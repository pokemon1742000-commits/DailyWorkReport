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ink/ink1.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fileSharing readOnlyRecommended="1"/>
  <workbookPr updateLinks="always" codeName="ThisWorkbook"/>
  <mc:AlternateContent xmlns:mc="http://schemas.openxmlformats.org/markup-compatibility/2006">
    <mc:Choice Requires="x15">
      <x15ac:absPath xmlns:x15ac="http://schemas.microsoft.com/office/spreadsheetml/2010/11/ac" url="C:\Users\anhng\OneDrive\Desktop\oanh\"/>
    </mc:Choice>
  </mc:AlternateContent>
  <xr:revisionPtr revIDLastSave="0" documentId="8_{FF341FBB-AD55-4464-8C9B-60F69BED6F5C}" xr6:coauthVersionLast="47" xr6:coauthVersionMax="47" xr10:uidLastSave="{00000000-0000-0000-0000-000000000000}"/>
  <bookViews>
    <workbookView xWindow="-108" yWindow="-108" windowWidth="23256" windowHeight="13896" tabRatio="684" xr2:uid="{00000000-000D-0000-FFFF-FFFF00000000}"/>
  </bookViews>
  <sheets>
    <sheet name="Danh sách máy" sheetId="5" r:id="rId1"/>
    <sheet name="Layout chỗ ngồi" sheetId="62" state="hidden" r:id="rId2"/>
    <sheet name="Sheet1" sheetId="59" state="hidden" r:id="rId3"/>
    <sheet name="Họp tiến độ(old)" sheetId="54" state="hidden" r:id="rId4"/>
    <sheet name="ISO-9001" sheetId="45" state="hidden" r:id="rId5"/>
    <sheet name="KPI lắp ráp" sheetId="51" state="hidden" r:id="rId6"/>
    <sheet name="KPI TK cơ" sheetId="52" state="hidden" r:id="rId7"/>
    <sheet name="KPI TK điện" sheetId="53" state="hidden" r:id="rId8"/>
    <sheet name="Hoàn thành KH" sheetId="55" state="hidden" r:id="rId9"/>
  </sheets>
  <definedNames>
    <definedName name="_xlnm._FilterDatabase" localSheetId="0" hidden="1">'Danh sách máy'!$A$4:$BX$1545</definedName>
    <definedName name="_xlnm._FilterDatabase" localSheetId="8" hidden="1">'Hoàn thành KH'!$A$10:$U$1500</definedName>
    <definedName name="_xlnm._FilterDatabase" localSheetId="3" hidden="1">'Họp tiến độ(old)'!$F$1:$F$215</definedName>
    <definedName name="_xlnm._FilterDatabase" localSheetId="4" hidden="1">'ISO-9001'!$A$3:$X$204</definedName>
    <definedName name="_xleta.IF" hidden="1" xlm="1">#NAME?</definedName>
    <definedName name="_xleta.ROW" hidden="1" xlm="1">#NAME?</definedName>
    <definedName name="_xlnm.Print_Area" localSheetId="0">'Danh sách máy'!$A$1:$BL$933</definedName>
    <definedName name="_xlnm.Print_Area" localSheetId="2">Sheet1!$A$1:$E$89</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08" i="5" l="1"/>
  <c r="H1144" i="55"/>
  <c r="H1145" i="55"/>
  <c r="H1146" i="55"/>
  <c r="H1165" i="55"/>
  <c r="H1218" i="55"/>
  <c r="H1273" i="55"/>
  <c r="H1336" i="55"/>
  <c r="H1378" i="55"/>
  <c r="H1388" i="55"/>
  <c r="H1404" i="55"/>
  <c r="H1411" i="55"/>
  <c r="H1421" i="55"/>
  <c r="H1451" i="55"/>
  <c r="B1315" i="55"/>
  <c r="B1323" i="55"/>
  <c r="B1347" i="55"/>
  <c r="B1373" i="55"/>
  <c r="B1471" i="55"/>
  <c r="B1473" i="55"/>
  <c r="B1477" i="55"/>
  <c r="B1487" i="55"/>
  <c r="G873" i="55"/>
  <c r="G874" i="55"/>
  <c r="G875" i="55"/>
  <c r="G876" i="55"/>
  <c r="G877" i="55"/>
  <c r="G878" i="55"/>
  <c r="G879" i="55"/>
  <c r="G880" i="55"/>
  <c r="G881" i="55"/>
  <c r="G882" i="55"/>
  <c r="G883" i="55"/>
  <c r="G884" i="55"/>
  <c r="G885" i="55"/>
  <c r="G886" i="55"/>
  <c r="G887" i="55"/>
  <c r="G888" i="55"/>
  <c r="G889" i="55"/>
  <c r="G890" i="55"/>
  <c r="G891" i="55"/>
  <c r="G892" i="55"/>
  <c r="G893" i="55"/>
  <c r="G894" i="55"/>
  <c r="G895" i="55"/>
  <c r="G896" i="55"/>
  <c r="G897" i="55"/>
  <c r="G898" i="55"/>
  <c r="G899" i="55"/>
  <c r="G900" i="55"/>
  <c r="G901" i="55"/>
  <c r="G902" i="55"/>
  <c r="G903" i="55"/>
  <c r="G904" i="55"/>
  <c r="G905" i="55"/>
  <c r="G906" i="55"/>
  <c r="G907" i="55"/>
  <c r="G908" i="55"/>
  <c r="G909" i="55"/>
  <c r="G910" i="55"/>
  <c r="G911" i="55"/>
  <c r="G912" i="55"/>
  <c r="G913" i="55"/>
  <c r="G914" i="55"/>
  <c r="G915" i="55"/>
  <c r="G916" i="55"/>
  <c r="G917" i="55"/>
  <c r="G918" i="55"/>
  <c r="G919" i="55"/>
  <c r="G920" i="55"/>
  <c r="G921" i="55"/>
  <c r="G922" i="55"/>
  <c r="G923" i="55"/>
  <c r="G924" i="55"/>
  <c r="G925" i="55"/>
  <c r="G926" i="55"/>
  <c r="G927" i="55"/>
  <c r="G928" i="55"/>
  <c r="G929" i="55"/>
  <c r="G930" i="55"/>
  <c r="G931" i="55"/>
  <c r="G932" i="55"/>
  <c r="G933" i="55"/>
  <c r="G934" i="55"/>
  <c r="G935" i="55"/>
  <c r="G936" i="55"/>
  <c r="G937" i="55"/>
  <c r="G938" i="55"/>
  <c r="G939" i="55"/>
  <c r="G940" i="55"/>
  <c r="G941" i="55"/>
  <c r="G942" i="55"/>
  <c r="G943" i="55"/>
  <c r="G944" i="55"/>
  <c r="G945" i="55"/>
  <c r="G946" i="55"/>
  <c r="G947" i="55"/>
  <c r="G948" i="55"/>
  <c r="G949" i="55"/>
  <c r="G950" i="55"/>
  <c r="G951" i="55"/>
  <c r="G952" i="55"/>
  <c r="G953" i="55"/>
  <c r="G954" i="55"/>
  <c r="G955" i="55"/>
  <c r="G956" i="55"/>
  <c r="G957" i="55"/>
  <c r="G958" i="55"/>
  <c r="G959" i="55"/>
  <c r="G960" i="55"/>
  <c r="G961" i="55"/>
  <c r="G962" i="55"/>
  <c r="G963" i="55"/>
  <c r="G964" i="55"/>
  <c r="G965" i="55"/>
  <c r="G966" i="55"/>
  <c r="G967" i="55"/>
  <c r="G968" i="55"/>
  <c r="G969" i="55"/>
  <c r="G970" i="55"/>
  <c r="G971" i="55"/>
  <c r="G972" i="55"/>
  <c r="G973" i="55"/>
  <c r="G974" i="55"/>
  <c r="G975" i="55"/>
  <c r="G976" i="55"/>
  <c r="G977" i="55"/>
  <c r="G978" i="55"/>
  <c r="G979" i="55"/>
  <c r="G980" i="55"/>
  <c r="G981" i="55"/>
  <c r="G982" i="55"/>
  <c r="G983" i="55"/>
  <c r="G984" i="55"/>
  <c r="G985" i="55"/>
  <c r="G986" i="55"/>
  <c r="G987" i="55"/>
  <c r="G988" i="55"/>
  <c r="G989" i="55"/>
  <c r="G990" i="55"/>
  <c r="G991" i="55"/>
  <c r="G992" i="55"/>
  <c r="G993" i="55"/>
  <c r="G994" i="55"/>
  <c r="G995" i="55"/>
  <c r="G996" i="55"/>
  <c r="G997" i="55"/>
  <c r="G998" i="55"/>
  <c r="G999" i="55"/>
  <c r="G1000" i="55"/>
  <c r="G1001" i="55"/>
  <c r="G1002" i="55"/>
  <c r="G1003" i="55"/>
  <c r="G1004" i="55"/>
  <c r="G1005" i="55"/>
  <c r="G1006" i="55"/>
  <c r="G1007" i="55"/>
  <c r="G1008" i="55"/>
  <c r="G1009" i="55"/>
  <c r="G1010" i="55"/>
  <c r="G1011" i="55"/>
  <c r="G1012" i="55"/>
  <c r="G1013" i="55"/>
  <c r="G1014" i="55"/>
  <c r="G1015" i="55"/>
  <c r="G1016" i="55"/>
  <c r="G1017" i="55"/>
  <c r="G1018" i="55"/>
  <c r="G1019" i="55"/>
  <c r="G1020" i="55"/>
  <c r="G1021" i="55"/>
  <c r="G1022" i="55"/>
  <c r="G1023" i="55"/>
  <c r="G1024" i="55"/>
  <c r="G1025" i="55"/>
  <c r="G1026" i="55"/>
  <c r="G1027" i="55"/>
  <c r="G1028" i="55"/>
  <c r="G1029" i="55"/>
  <c r="G1030" i="55"/>
  <c r="G1031" i="55"/>
  <c r="G1032" i="55"/>
  <c r="G1033" i="55"/>
  <c r="G1034" i="55"/>
  <c r="G1035" i="55"/>
  <c r="G1036" i="55"/>
  <c r="G1037" i="55"/>
  <c r="G1038" i="55"/>
  <c r="G1039" i="55"/>
  <c r="G1040" i="55"/>
  <c r="G1041" i="55"/>
  <c r="G1042" i="55"/>
  <c r="G1043" i="55"/>
  <c r="G1044" i="55"/>
  <c r="G1045" i="55"/>
  <c r="G1046" i="55"/>
  <c r="G1047" i="55"/>
  <c r="G1048" i="55"/>
  <c r="G1049" i="55"/>
  <c r="G1050" i="55"/>
  <c r="G1051" i="55"/>
  <c r="G1052" i="55"/>
  <c r="G1053" i="55"/>
  <c r="G1054" i="55"/>
  <c r="G1055" i="55"/>
  <c r="G1056" i="55"/>
  <c r="G1057" i="55"/>
  <c r="G1058" i="55"/>
  <c r="G1059" i="55"/>
  <c r="G1060" i="55"/>
  <c r="G1061" i="55"/>
  <c r="G1062" i="55"/>
  <c r="G1063" i="55"/>
  <c r="G1064" i="55"/>
  <c r="G1065" i="55"/>
  <c r="G1066" i="55"/>
  <c r="G1067" i="55"/>
  <c r="G1068" i="55"/>
  <c r="G1069" i="55"/>
  <c r="G1070" i="55"/>
  <c r="G1071" i="55"/>
  <c r="G1072" i="55"/>
  <c r="G1073" i="55"/>
  <c r="G1074" i="55"/>
  <c r="G1075" i="55"/>
  <c r="G1076" i="55"/>
  <c r="G1077" i="55"/>
  <c r="G1078" i="55"/>
  <c r="G1079" i="55"/>
  <c r="G1080" i="55"/>
  <c r="G1081" i="55"/>
  <c r="G1082" i="55"/>
  <c r="G1083" i="55"/>
  <c r="G1084" i="55"/>
  <c r="G1085" i="55"/>
  <c r="G1086" i="55"/>
  <c r="G1087" i="55"/>
  <c r="G1088" i="55"/>
  <c r="G1089" i="55"/>
  <c r="G1090" i="55"/>
  <c r="G1091" i="55"/>
  <c r="G1092" i="55"/>
  <c r="G1093" i="55"/>
  <c r="G1094" i="55"/>
  <c r="G1095" i="55"/>
  <c r="G1096" i="55"/>
  <c r="G1097" i="55"/>
  <c r="G1098" i="55"/>
  <c r="G1099" i="55"/>
  <c r="G1100" i="55"/>
  <c r="G1101" i="55"/>
  <c r="G1102" i="55"/>
  <c r="G1103" i="55"/>
  <c r="G1104" i="55"/>
  <c r="G1105" i="55"/>
  <c r="G1106" i="55"/>
  <c r="G1107" i="55"/>
  <c r="G1108" i="55"/>
  <c r="G1109" i="55"/>
  <c r="G1110" i="55"/>
  <c r="G1111" i="55"/>
  <c r="G1112" i="55"/>
  <c r="G1113" i="55"/>
  <c r="G1114" i="55"/>
  <c r="G1115" i="55"/>
  <c r="G1116" i="55"/>
  <c r="G1117" i="55"/>
  <c r="G1118" i="55"/>
  <c r="G1119" i="55"/>
  <c r="G1120" i="55"/>
  <c r="G1121" i="55"/>
  <c r="G1122" i="55"/>
  <c r="G1123" i="55"/>
  <c r="G1124" i="55"/>
  <c r="G1125" i="55"/>
  <c r="G1126" i="55"/>
  <c r="G1127" i="55"/>
  <c r="G1128" i="55"/>
  <c r="G1129" i="55"/>
  <c r="G1130" i="55"/>
  <c r="G1131" i="55"/>
  <c r="G1132" i="55"/>
  <c r="G1133" i="55"/>
  <c r="G1134" i="55"/>
  <c r="G1135" i="55"/>
  <c r="G1136" i="55"/>
  <c r="G1137" i="55"/>
  <c r="G1138" i="55"/>
  <c r="G1139" i="55"/>
  <c r="G1140" i="55"/>
  <c r="G1141" i="55"/>
  <c r="G1142" i="55"/>
  <c r="G1143" i="55"/>
  <c r="G1144" i="55"/>
  <c r="G1145" i="55"/>
  <c r="G1146" i="55"/>
  <c r="G1147" i="55"/>
  <c r="G1148" i="55"/>
  <c r="G1149" i="55"/>
  <c r="G1150" i="55"/>
  <c r="G1151" i="55"/>
  <c r="G1152" i="55"/>
  <c r="G1153" i="55"/>
  <c r="G1154" i="55"/>
  <c r="G1155" i="55"/>
  <c r="G1156" i="55"/>
  <c r="G1157" i="55"/>
  <c r="G1158" i="55"/>
  <c r="G1159" i="55"/>
  <c r="G1160" i="55"/>
  <c r="G1161" i="55"/>
  <c r="G1162" i="55"/>
  <c r="G1163" i="55"/>
  <c r="G1164" i="55"/>
  <c r="G1165" i="55"/>
  <c r="G1166" i="55"/>
  <c r="G1167" i="55"/>
  <c r="G1168" i="55"/>
  <c r="G1169" i="55"/>
  <c r="G1170" i="55"/>
  <c r="G1171" i="55"/>
  <c r="G1172" i="55"/>
  <c r="G1173" i="55"/>
  <c r="G1174" i="55"/>
  <c r="G1175" i="55"/>
  <c r="G1176" i="55"/>
  <c r="G1177" i="55"/>
  <c r="G1178" i="55"/>
  <c r="G1179" i="55"/>
  <c r="G1180" i="55"/>
  <c r="G1181" i="55"/>
  <c r="G1182" i="55"/>
  <c r="G1183" i="55"/>
  <c r="G1184" i="55"/>
  <c r="G1185" i="55"/>
  <c r="G1186" i="55"/>
  <c r="G1187" i="55"/>
  <c r="G1188" i="55"/>
  <c r="G1189" i="55"/>
  <c r="G1190" i="55"/>
  <c r="G1191" i="55"/>
  <c r="G1192" i="55"/>
  <c r="G1193" i="55"/>
  <c r="G1194" i="55"/>
  <c r="G1195" i="55"/>
  <c r="G1196" i="55"/>
  <c r="G1197" i="55"/>
  <c r="G1198" i="55"/>
  <c r="G1199" i="55"/>
  <c r="G1200" i="55"/>
  <c r="G1201" i="55"/>
  <c r="G1202" i="55"/>
  <c r="G1203" i="55"/>
  <c r="G1204" i="55"/>
  <c r="G1205" i="55"/>
  <c r="G1206" i="55"/>
  <c r="G1207" i="55"/>
  <c r="G1208" i="55"/>
  <c r="G1209" i="55"/>
  <c r="G1210" i="55"/>
  <c r="G1211" i="55"/>
  <c r="G1212" i="55"/>
  <c r="G1213" i="55"/>
  <c r="G1214" i="55"/>
  <c r="G1215" i="55"/>
  <c r="G1216" i="55"/>
  <c r="G1217" i="55"/>
  <c r="G1218" i="55"/>
  <c r="G1219" i="55"/>
  <c r="G1220" i="55"/>
  <c r="G1221" i="55"/>
  <c r="G1222" i="55"/>
  <c r="G1223" i="55"/>
  <c r="G1224" i="55"/>
  <c r="G1225" i="55"/>
  <c r="G1226" i="55"/>
  <c r="G1227" i="55"/>
  <c r="G1228" i="55"/>
  <c r="G1229" i="55"/>
  <c r="G1230" i="55"/>
  <c r="G1231" i="55"/>
  <c r="G1232" i="55"/>
  <c r="G1233" i="55"/>
  <c r="G1234" i="55"/>
  <c r="G1235" i="55"/>
  <c r="G1236" i="55"/>
  <c r="G1237" i="55"/>
  <c r="G1238" i="55"/>
  <c r="G1239" i="55"/>
  <c r="G1240" i="55"/>
  <c r="G1241" i="55"/>
  <c r="G1242" i="55"/>
  <c r="G1243" i="55"/>
  <c r="G1244" i="55"/>
  <c r="G1245" i="55"/>
  <c r="G1246" i="55"/>
  <c r="G1247" i="55"/>
  <c r="G1248" i="55"/>
  <c r="G1249" i="55"/>
  <c r="G1250" i="55"/>
  <c r="G1251" i="55"/>
  <c r="G1252" i="55"/>
  <c r="G1253" i="55"/>
  <c r="G1254" i="55"/>
  <c r="G1255" i="55"/>
  <c r="G1256" i="55"/>
  <c r="G1257" i="55"/>
  <c r="G1258" i="55"/>
  <c r="G1259" i="55"/>
  <c r="G1260" i="55"/>
  <c r="G1261" i="55"/>
  <c r="G1262" i="55"/>
  <c r="G1263" i="55"/>
  <c r="G1264" i="55"/>
  <c r="G1265" i="55"/>
  <c r="G1266" i="55"/>
  <c r="G1267" i="55"/>
  <c r="G1268" i="55"/>
  <c r="G1269" i="55"/>
  <c r="G1270" i="55"/>
  <c r="G1271" i="55"/>
  <c r="G1272" i="55"/>
  <c r="G1273" i="55"/>
  <c r="G1274" i="55"/>
  <c r="G1275" i="55"/>
  <c r="G1276" i="55"/>
  <c r="G1277" i="55"/>
  <c r="G1278" i="55"/>
  <c r="G1279" i="55"/>
  <c r="G1280" i="55"/>
  <c r="G1281" i="55"/>
  <c r="G1282" i="55"/>
  <c r="G1283" i="55"/>
  <c r="G1284" i="55"/>
  <c r="G1285" i="55"/>
  <c r="G1286" i="55"/>
  <c r="G1287" i="55"/>
  <c r="G1288" i="55"/>
  <c r="G1289" i="55"/>
  <c r="G1290" i="55"/>
  <c r="G1291" i="55"/>
  <c r="G1292" i="55"/>
  <c r="G1293" i="55"/>
  <c r="G1294" i="55"/>
  <c r="G1295" i="55"/>
  <c r="G1296" i="55"/>
  <c r="G1297" i="55"/>
  <c r="G1298" i="55"/>
  <c r="G1299" i="55"/>
  <c r="G1300" i="55"/>
  <c r="G1301" i="55"/>
  <c r="G1302" i="55"/>
  <c r="G1303" i="55"/>
  <c r="G1304" i="55"/>
  <c r="G1305" i="55"/>
  <c r="G1306" i="55"/>
  <c r="G1307" i="55"/>
  <c r="G1308" i="55"/>
  <c r="G1309" i="55"/>
  <c r="G1310" i="55"/>
  <c r="G1311" i="55"/>
  <c r="G1312" i="55"/>
  <c r="G1313" i="55"/>
  <c r="G1314" i="55"/>
  <c r="G1315" i="55"/>
  <c r="G1316" i="55"/>
  <c r="G1317" i="55"/>
  <c r="G1318" i="55"/>
  <c r="G1319" i="55"/>
  <c r="G1320" i="55"/>
  <c r="G1321" i="55"/>
  <c r="G1322" i="55"/>
  <c r="G1323" i="55"/>
  <c r="G1324" i="55"/>
  <c r="G1325" i="55"/>
  <c r="G1326" i="55"/>
  <c r="G1327" i="55"/>
  <c r="G1328" i="55"/>
  <c r="G1329" i="55"/>
  <c r="G1330" i="55"/>
  <c r="G1331" i="55"/>
  <c r="G1332" i="55"/>
  <c r="G1333" i="55"/>
  <c r="G1334" i="55"/>
  <c r="G1335" i="55"/>
  <c r="G1336" i="55"/>
  <c r="G1337" i="55"/>
  <c r="G1338" i="55"/>
  <c r="G1339" i="55"/>
  <c r="G1340" i="55"/>
  <c r="G1341" i="55"/>
  <c r="G1342" i="55"/>
  <c r="G1343" i="55"/>
  <c r="G1344" i="55"/>
  <c r="G1345" i="55"/>
  <c r="G1346" i="55"/>
  <c r="G1347" i="55"/>
  <c r="G1348" i="55"/>
  <c r="G1349" i="55"/>
  <c r="G1350" i="55"/>
  <c r="G1351" i="55"/>
  <c r="G1352" i="55"/>
  <c r="G1353" i="55"/>
  <c r="G1354" i="55"/>
  <c r="G1355" i="55"/>
  <c r="G1356" i="55"/>
  <c r="G1357" i="55"/>
  <c r="G1358" i="55"/>
  <c r="G1359" i="55"/>
  <c r="G1360" i="55"/>
  <c r="G1361" i="55"/>
  <c r="G1362" i="55"/>
  <c r="G1363" i="55"/>
  <c r="G1364" i="55"/>
  <c r="G1365" i="55"/>
  <c r="G1366" i="55"/>
  <c r="G1367" i="55"/>
  <c r="G1368" i="55"/>
  <c r="G1369" i="55"/>
  <c r="G1370" i="55"/>
  <c r="G1371" i="55"/>
  <c r="G1372" i="55"/>
  <c r="G1373" i="55"/>
  <c r="G1374" i="55"/>
  <c r="G1375" i="55"/>
  <c r="G1376" i="55"/>
  <c r="G1377" i="55"/>
  <c r="G1378" i="55"/>
  <c r="G1379" i="55"/>
  <c r="G1380" i="55"/>
  <c r="G1381" i="55"/>
  <c r="G1382" i="55"/>
  <c r="G1383" i="55"/>
  <c r="G1384" i="55"/>
  <c r="G1385" i="55"/>
  <c r="G1386" i="55"/>
  <c r="G1387" i="55"/>
  <c r="G1388" i="55"/>
  <c r="G1389" i="55"/>
  <c r="G1390" i="55"/>
  <c r="G1391" i="55"/>
  <c r="G1392" i="55"/>
  <c r="G1393" i="55"/>
  <c r="G1394" i="55"/>
  <c r="G1395" i="55"/>
  <c r="G1396" i="55"/>
  <c r="G1397" i="55"/>
  <c r="G1398" i="55"/>
  <c r="G1399" i="55"/>
  <c r="G1400" i="55"/>
  <c r="G1401" i="55"/>
  <c r="G1402" i="55"/>
  <c r="G1403" i="55"/>
  <c r="G1404" i="55"/>
  <c r="G1405" i="55"/>
  <c r="G1406" i="55"/>
  <c r="G1407" i="55"/>
  <c r="G1408" i="55"/>
  <c r="G1409" i="55"/>
  <c r="G1410" i="55"/>
  <c r="G1411" i="55"/>
  <c r="G1412" i="55"/>
  <c r="G1413" i="55"/>
  <c r="G1414" i="55"/>
  <c r="G1415" i="55"/>
  <c r="G1416" i="55"/>
  <c r="G1417" i="55"/>
  <c r="G1418" i="55"/>
  <c r="G1419" i="55"/>
  <c r="G1420" i="55"/>
  <c r="G1421" i="55"/>
  <c r="G1422" i="55"/>
  <c r="G1423" i="55"/>
  <c r="G1424" i="55"/>
  <c r="G1425" i="55"/>
  <c r="G1426" i="55"/>
  <c r="G1427" i="55"/>
  <c r="G1428" i="55"/>
  <c r="G1429" i="55"/>
  <c r="G1430" i="55"/>
  <c r="G1431" i="55"/>
  <c r="G1432" i="55"/>
  <c r="G1433" i="55"/>
  <c r="G1434" i="55"/>
  <c r="G1435" i="55"/>
  <c r="G1436" i="55"/>
  <c r="G1437" i="55"/>
  <c r="G1438" i="55"/>
  <c r="G1439" i="55"/>
  <c r="G1440" i="55"/>
  <c r="G1441" i="55"/>
  <c r="G1442" i="55"/>
  <c r="G1443" i="55"/>
  <c r="G1444" i="55"/>
  <c r="G1445" i="55"/>
  <c r="G1446" i="55"/>
  <c r="G1447" i="55"/>
  <c r="G1448" i="55"/>
  <c r="G1449" i="55"/>
  <c r="G1450" i="55"/>
  <c r="G1451" i="55"/>
  <c r="G1452" i="55"/>
  <c r="G1453" i="55"/>
  <c r="G1454" i="55"/>
  <c r="G1455" i="55"/>
  <c r="G1456" i="55"/>
  <c r="G1457" i="55"/>
  <c r="G1458" i="55"/>
  <c r="G1459" i="55"/>
  <c r="G1460" i="55"/>
  <c r="G1461" i="55"/>
  <c r="G1462" i="55"/>
  <c r="G1463" i="55"/>
  <c r="G1464" i="55"/>
  <c r="G1465" i="55"/>
  <c r="G1466" i="55"/>
  <c r="G1467" i="55"/>
  <c r="G1468" i="55"/>
  <c r="G1469" i="55"/>
  <c r="G1470" i="55"/>
  <c r="G1471" i="55"/>
  <c r="G1472" i="55"/>
  <c r="G1473" i="55"/>
  <c r="G1474" i="55"/>
  <c r="G1475" i="55"/>
  <c r="G1476" i="55"/>
  <c r="G1477" i="55"/>
  <c r="G1478" i="55"/>
  <c r="G1479" i="55"/>
  <c r="G1480" i="55"/>
  <c r="G1481" i="55"/>
  <c r="G1482" i="55"/>
  <c r="G1483" i="55"/>
  <c r="G1484" i="55"/>
  <c r="G1485" i="55"/>
  <c r="G1486" i="55"/>
  <c r="G1487" i="55"/>
  <c r="G1488" i="55"/>
  <c r="G1489" i="55"/>
  <c r="G1490" i="55"/>
  <c r="G1491" i="55"/>
  <c r="G1492" i="55"/>
  <c r="G1493" i="55"/>
  <c r="G1494" i="55"/>
  <c r="G1495" i="55"/>
  <c r="G1496" i="55"/>
  <c r="G1497" i="55"/>
  <c r="G1498" i="55"/>
  <c r="G1499" i="55"/>
  <c r="G1500" i="55"/>
  <c r="F873" i="55"/>
  <c r="F874" i="55"/>
  <c r="F875" i="55"/>
  <c r="F876" i="55"/>
  <c r="F877" i="55"/>
  <c r="F878" i="55"/>
  <c r="F879" i="55"/>
  <c r="F880" i="55"/>
  <c r="F881" i="55"/>
  <c r="F882" i="55"/>
  <c r="F883" i="55"/>
  <c r="F884" i="55"/>
  <c r="F885" i="55"/>
  <c r="F886" i="55"/>
  <c r="F887" i="55"/>
  <c r="F888" i="55"/>
  <c r="F889" i="55"/>
  <c r="F890" i="55"/>
  <c r="F891" i="55"/>
  <c r="F892" i="55"/>
  <c r="F893" i="55"/>
  <c r="F894" i="55"/>
  <c r="F895" i="55"/>
  <c r="F896" i="55"/>
  <c r="F897" i="55"/>
  <c r="F898" i="55"/>
  <c r="F899" i="55"/>
  <c r="F900" i="55"/>
  <c r="F901" i="55"/>
  <c r="F902" i="55"/>
  <c r="F903" i="55"/>
  <c r="F904" i="55"/>
  <c r="F905" i="55"/>
  <c r="F906" i="55"/>
  <c r="F907" i="55"/>
  <c r="F908" i="55"/>
  <c r="F909" i="55"/>
  <c r="F910" i="55"/>
  <c r="F911" i="55"/>
  <c r="F912" i="55"/>
  <c r="F913" i="55"/>
  <c r="F914" i="55"/>
  <c r="F915" i="55"/>
  <c r="F916" i="55"/>
  <c r="F917" i="55"/>
  <c r="F918" i="55"/>
  <c r="F919" i="55"/>
  <c r="F920" i="55"/>
  <c r="F921" i="55"/>
  <c r="F922" i="55"/>
  <c r="F923" i="55"/>
  <c r="F924" i="55"/>
  <c r="F925" i="55"/>
  <c r="F926" i="55"/>
  <c r="F927" i="55"/>
  <c r="F928" i="55"/>
  <c r="F929" i="55"/>
  <c r="F930" i="55"/>
  <c r="F931" i="55"/>
  <c r="F932" i="55"/>
  <c r="F933" i="55"/>
  <c r="F934" i="55"/>
  <c r="F935" i="55"/>
  <c r="F936" i="55"/>
  <c r="F937" i="55"/>
  <c r="F938" i="55"/>
  <c r="F939" i="55"/>
  <c r="F940" i="55"/>
  <c r="F941" i="55"/>
  <c r="F942" i="55"/>
  <c r="F943" i="55"/>
  <c r="F944" i="55"/>
  <c r="F945" i="55"/>
  <c r="F946" i="55"/>
  <c r="F947" i="55"/>
  <c r="F948" i="55"/>
  <c r="F949" i="55"/>
  <c r="F950" i="55"/>
  <c r="F951" i="55"/>
  <c r="F952" i="55"/>
  <c r="F953" i="55"/>
  <c r="F954" i="55"/>
  <c r="F955" i="55"/>
  <c r="F956" i="55"/>
  <c r="F957" i="55"/>
  <c r="F958" i="55"/>
  <c r="F959" i="55"/>
  <c r="F960" i="55"/>
  <c r="F961" i="55"/>
  <c r="F962" i="55"/>
  <c r="F963" i="55"/>
  <c r="F964" i="55"/>
  <c r="F965" i="55"/>
  <c r="F966" i="55"/>
  <c r="F967" i="55"/>
  <c r="F968" i="55"/>
  <c r="F969" i="55"/>
  <c r="F970" i="55"/>
  <c r="F971" i="55"/>
  <c r="F972" i="55"/>
  <c r="F973" i="55"/>
  <c r="F974" i="55"/>
  <c r="F975" i="55"/>
  <c r="F976" i="55"/>
  <c r="F977" i="55"/>
  <c r="F978" i="55"/>
  <c r="F979" i="55"/>
  <c r="F980" i="55"/>
  <c r="F981" i="55"/>
  <c r="F982" i="55"/>
  <c r="F983" i="55"/>
  <c r="F984" i="55"/>
  <c r="F985" i="55"/>
  <c r="F986" i="55"/>
  <c r="F987" i="55"/>
  <c r="F988" i="55"/>
  <c r="F989" i="55"/>
  <c r="F990" i="55"/>
  <c r="F991" i="55"/>
  <c r="F992" i="55"/>
  <c r="F993" i="55"/>
  <c r="F994" i="55"/>
  <c r="F995" i="55"/>
  <c r="F996" i="55"/>
  <c r="F997" i="55"/>
  <c r="F998" i="55"/>
  <c r="F999" i="55"/>
  <c r="F1000" i="55"/>
  <c r="F1001" i="55"/>
  <c r="F1002" i="55"/>
  <c r="F1003" i="55"/>
  <c r="F1004" i="55"/>
  <c r="F1005" i="55"/>
  <c r="F1006" i="55"/>
  <c r="F1007" i="55"/>
  <c r="F1008" i="55"/>
  <c r="F1009" i="55"/>
  <c r="F1010" i="55"/>
  <c r="F1011" i="55"/>
  <c r="F1012" i="55"/>
  <c r="F1013" i="55"/>
  <c r="F1014" i="55"/>
  <c r="F1015" i="55"/>
  <c r="F1016" i="55"/>
  <c r="F1017" i="55"/>
  <c r="F1018" i="55"/>
  <c r="F1019" i="55"/>
  <c r="F1020" i="55"/>
  <c r="F1021" i="55"/>
  <c r="F1022" i="55"/>
  <c r="F1023" i="55"/>
  <c r="F1024" i="55"/>
  <c r="F1025" i="55"/>
  <c r="F1026" i="55"/>
  <c r="F1027" i="55"/>
  <c r="F1028" i="55"/>
  <c r="F1029" i="55"/>
  <c r="F1030" i="55"/>
  <c r="F1031" i="55"/>
  <c r="F1032" i="55"/>
  <c r="F1033" i="55"/>
  <c r="F1034" i="55"/>
  <c r="F1035" i="55"/>
  <c r="F1036" i="55"/>
  <c r="F1037" i="55"/>
  <c r="F1038" i="55"/>
  <c r="F1039" i="55"/>
  <c r="F1040" i="55"/>
  <c r="F1041" i="55"/>
  <c r="F1042" i="55"/>
  <c r="F1043" i="55"/>
  <c r="F1044" i="55"/>
  <c r="F1045" i="55"/>
  <c r="F1046" i="55"/>
  <c r="F1047" i="55"/>
  <c r="F1048" i="55"/>
  <c r="F1049" i="55"/>
  <c r="F1050" i="55"/>
  <c r="F1051" i="55"/>
  <c r="F1052" i="55"/>
  <c r="F1053" i="55"/>
  <c r="F1054" i="55"/>
  <c r="F1055" i="55"/>
  <c r="F1056" i="55"/>
  <c r="F1057" i="55"/>
  <c r="F1058" i="55"/>
  <c r="F1059" i="55"/>
  <c r="F1060" i="55"/>
  <c r="F1061" i="55"/>
  <c r="F1062" i="55"/>
  <c r="F1063" i="55"/>
  <c r="F1064" i="55"/>
  <c r="F1065" i="55"/>
  <c r="F1066" i="55"/>
  <c r="F1067" i="55"/>
  <c r="F1068" i="55"/>
  <c r="F1069" i="55"/>
  <c r="F1070" i="55"/>
  <c r="F1071" i="55"/>
  <c r="F1072" i="55"/>
  <c r="F1073" i="55"/>
  <c r="F1074" i="55"/>
  <c r="F1075" i="55"/>
  <c r="F1076" i="55"/>
  <c r="F1077" i="55"/>
  <c r="F1078" i="55"/>
  <c r="F1079" i="55"/>
  <c r="F1080" i="55"/>
  <c r="F1081" i="55"/>
  <c r="F1082" i="55"/>
  <c r="F1083" i="55"/>
  <c r="F1084" i="55"/>
  <c r="F1085" i="55"/>
  <c r="F1086" i="55"/>
  <c r="F1087" i="55"/>
  <c r="F1088" i="55"/>
  <c r="F1089" i="55"/>
  <c r="F1090" i="55"/>
  <c r="F1091" i="55"/>
  <c r="F1092" i="55"/>
  <c r="F1093" i="55"/>
  <c r="F1094" i="55"/>
  <c r="F1095" i="55"/>
  <c r="F1096" i="55"/>
  <c r="F1097" i="55"/>
  <c r="F1098" i="55"/>
  <c r="F1099" i="55"/>
  <c r="F1100" i="55"/>
  <c r="F1101" i="55"/>
  <c r="F1102" i="55"/>
  <c r="F1103" i="55"/>
  <c r="F1104" i="55"/>
  <c r="F1105" i="55"/>
  <c r="F1106" i="55"/>
  <c r="F1107" i="55"/>
  <c r="F1108" i="55"/>
  <c r="F1109" i="55"/>
  <c r="F1110" i="55"/>
  <c r="F1111" i="55"/>
  <c r="F1112" i="55"/>
  <c r="F1113" i="55"/>
  <c r="F1114" i="55"/>
  <c r="F1115" i="55"/>
  <c r="F1116" i="55"/>
  <c r="F1117" i="55"/>
  <c r="F1118" i="55"/>
  <c r="F1119" i="55"/>
  <c r="F1120" i="55"/>
  <c r="F1121" i="55"/>
  <c r="F1122" i="55"/>
  <c r="F1123" i="55"/>
  <c r="F1124" i="55"/>
  <c r="F1125" i="55"/>
  <c r="F1126" i="55"/>
  <c r="F1127" i="55"/>
  <c r="F1128" i="55"/>
  <c r="F1129" i="55"/>
  <c r="F1130" i="55"/>
  <c r="F1131" i="55"/>
  <c r="F1132" i="55"/>
  <c r="F1133" i="55"/>
  <c r="F1134" i="55"/>
  <c r="F1135" i="55"/>
  <c r="F1136" i="55"/>
  <c r="F1137" i="55"/>
  <c r="F1138" i="55"/>
  <c r="F1139" i="55"/>
  <c r="F1140" i="55"/>
  <c r="F1141" i="55"/>
  <c r="F1142" i="55"/>
  <c r="F1143" i="55"/>
  <c r="F1144" i="55"/>
  <c r="F1145" i="55"/>
  <c r="F1146" i="55"/>
  <c r="F1147" i="55"/>
  <c r="F1148" i="55"/>
  <c r="F1149" i="55"/>
  <c r="F1150" i="55"/>
  <c r="F1151" i="55"/>
  <c r="F1152" i="55"/>
  <c r="F1153" i="55"/>
  <c r="F1154" i="55"/>
  <c r="F1155" i="55"/>
  <c r="F1156" i="55"/>
  <c r="F1157" i="55"/>
  <c r="F1158" i="55"/>
  <c r="F1159" i="55"/>
  <c r="F1160" i="55"/>
  <c r="F1161" i="55"/>
  <c r="F1162" i="55"/>
  <c r="F1163" i="55"/>
  <c r="F1164" i="55"/>
  <c r="F1165" i="55"/>
  <c r="F1166" i="55"/>
  <c r="F1167" i="55"/>
  <c r="F1168" i="55"/>
  <c r="F1169" i="55"/>
  <c r="F1170" i="55"/>
  <c r="F1171" i="55"/>
  <c r="F1172" i="55"/>
  <c r="F1173" i="55"/>
  <c r="F1174" i="55"/>
  <c r="F1175" i="55"/>
  <c r="F1176" i="55"/>
  <c r="F1177" i="55"/>
  <c r="F1178" i="55"/>
  <c r="F1179" i="55"/>
  <c r="F1180" i="55"/>
  <c r="F1181" i="55"/>
  <c r="F1182" i="55"/>
  <c r="F1183" i="55"/>
  <c r="F1184" i="55"/>
  <c r="F1185" i="55"/>
  <c r="F1186" i="55"/>
  <c r="F1187" i="55"/>
  <c r="F1188" i="55"/>
  <c r="F1189" i="55"/>
  <c r="F1190" i="55"/>
  <c r="F1191" i="55"/>
  <c r="F1192" i="55"/>
  <c r="F1193" i="55"/>
  <c r="F1194" i="55"/>
  <c r="F1195" i="55"/>
  <c r="F1196" i="55"/>
  <c r="F1197" i="55"/>
  <c r="F1198" i="55"/>
  <c r="F1199" i="55"/>
  <c r="F1200" i="55"/>
  <c r="F1201" i="55"/>
  <c r="F1202" i="55"/>
  <c r="F1203" i="55"/>
  <c r="F1204" i="55"/>
  <c r="F1205" i="55"/>
  <c r="F1206" i="55"/>
  <c r="F1207" i="55"/>
  <c r="F1208" i="55"/>
  <c r="F1209" i="55"/>
  <c r="F1210" i="55"/>
  <c r="F1211" i="55"/>
  <c r="F1212" i="55"/>
  <c r="F1213" i="55"/>
  <c r="F1214" i="55"/>
  <c r="F1215" i="55"/>
  <c r="F1216" i="55"/>
  <c r="F1217" i="55"/>
  <c r="F1218" i="55"/>
  <c r="F1219" i="55"/>
  <c r="F1220" i="55"/>
  <c r="F1221" i="55"/>
  <c r="F1222" i="55"/>
  <c r="F1223" i="55"/>
  <c r="F1224" i="55"/>
  <c r="F1225" i="55"/>
  <c r="F1226" i="55"/>
  <c r="F1227" i="55"/>
  <c r="F1228" i="55"/>
  <c r="F1229" i="55"/>
  <c r="F1230" i="55"/>
  <c r="F1231" i="55"/>
  <c r="F1232" i="55"/>
  <c r="F1233" i="55"/>
  <c r="F1234" i="55"/>
  <c r="F1235" i="55"/>
  <c r="F1236" i="55"/>
  <c r="F1237" i="55"/>
  <c r="F1238" i="55"/>
  <c r="F1239" i="55"/>
  <c r="F1240" i="55"/>
  <c r="F1241" i="55"/>
  <c r="F1242" i="55"/>
  <c r="F1243" i="55"/>
  <c r="F1244" i="55"/>
  <c r="F1245" i="55"/>
  <c r="F1246" i="55"/>
  <c r="F1247" i="55"/>
  <c r="F1248" i="55"/>
  <c r="F1249" i="55"/>
  <c r="F1250" i="55"/>
  <c r="F1251" i="55"/>
  <c r="F1252" i="55"/>
  <c r="F1253" i="55"/>
  <c r="F1254" i="55"/>
  <c r="F1255" i="55"/>
  <c r="F1256" i="55"/>
  <c r="F1257" i="55"/>
  <c r="F1258" i="55"/>
  <c r="F1259" i="55"/>
  <c r="F1260" i="55"/>
  <c r="F1261" i="55"/>
  <c r="F1262" i="55"/>
  <c r="F1263" i="55"/>
  <c r="F1264" i="55"/>
  <c r="F1265" i="55"/>
  <c r="F1266" i="55"/>
  <c r="F1267" i="55"/>
  <c r="F1268" i="55"/>
  <c r="F1269" i="55"/>
  <c r="F1270" i="55"/>
  <c r="F1271" i="55"/>
  <c r="F1272" i="55"/>
  <c r="F1273" i="55"/>
  <c r="F1274" i="55"/>
  <c r="F1275" i="55"/>
  <c r="F1276" i="55"/>
  <c r="F1277" i="55"/>
  <c r="F1278" i="55"/>
  <c r="F1279" i="55"/>
  <c r="F1280" i="55"/>
  <c r="F1281" i="55"/>
  <c r="F1282" i="55"/>
  <c r="F1283" i="55"/>
  <c r="F1284" i="55"/>
  <c r="F1285" i="55"/>
  <c r="F1286" i="55"/>
  <c r="F1287" i="55"/>
  <c r="F1288" i="55"/>
  <c r="F1289" i="55"/>
  <c r="F1290" i="55"/>
  <c r="F1291" i="55"/>
  <c r="F1292" i="55"/>
  <c r="F1293" i="55"/>
  <c r="F1294" i="55"/>
  <c r="F1295" i="55"/>
  <c r="F1296" i="55"/>
  <c r="F1297" i="55"/>
  <c r="F1298" i="55"/>
  <c r="F1299" i="55"/>
  <c r="F1300" i="55"/>
  <c r="F1301" i="55"/>
  <c r="F1302" i="55"/>
  <c r="F1303" i="55"/>
  <c r="F1304" i="55"/>
  <c r="F1305" i="55"/>
  <c r="F1306" i="55"/>
  <c r="F1307" i="55"/>
  <c r="F1308" i="55"/>
  <c r="F1309" i="55"/>
  <c r="F1310" i="55"/>
  <c r="F1311" i="55"/>
  <c r="F1312" i="55"/>
  <c r="F1313" i="55"/>
  <c r="F1314" i="55"/>
  <c r="F1315" i="55"/>
  <c r="F1316" i="55"/>
  <c r="F1317" i="55"/>
  <c r="F1318" i="55"/>
  <c r="F1319" i="55"/>
  <c r="F1320" i="55"/>
  <c r="F1321" i="55"/>
  <c r="F1322" i="55"/>
  <c r="F1323" i="55"/>
  <c r="F1324" i="55"/>
  <c r="F1325" i="55"/>
  <c r="F1326" i="55"/>
  <c r="F1327" i="55"/>
  <c r="F1328" i="55"/>
  <c r="F1329" i="55"/>
  <c r="F1330" i="55"/>
  <c r="F1331" i="55"/>
  <c r="F1332" i="55"/>
  <c r="F1333" i="55"/>
  <c r="F1334" i="55"/>
  <c r="F1335" i="55"/>
  <c r="F1336" i="55"/>
  <c r="F1337" i="55"/>
  <c r="F1338" i="55"/>
  <c r="F1339" i="55"/>
  <c r="F1340" i="55"/>
  <c r="F1341" i="55"/>
  <c r="F1342" i="55"/>
  <c r="F1343" i="55"/>
  <c r="F1344" i="55"/>
  <c r="F1345" i="55"/>
  <c r="F1346" i="55"/>
  <c r="F1347" i="55"/>
  <c r="F1348" i="55"/>
  <c r="F1349" i="55"/>
  <c r="F1350" i="55"/>
  <c r="F1351" i="55"/>
  <c r="F1352" i="55"/>
  <c r="F1353" i="55"/>
  <c r="F1354" i="55"/>
  <c r="F1355" i="55"/>
  <c r="F1356" i="55"/>
  <c r="F1357" i="55"/>
  <c r="F1358" i="55"/>
  <c r="F1359" i="55"/>
  <c r="F1360" i="55"/>
  <c r="F1361" i="55"/>
  <c r="F1362" i="55"/>
  <c r="F1363" i="55"/>
  <c r="F1364" i="55"/>
  <c r="F1365" i="55"/>
  <c r="F1366" i="55"/>
  <c r="F1367" i="55"/>
  <c r="F1368" i="55"/>
  <c r="F1369" i="55"/>
  <c r="F1370" i="55"/>
  <c r="F1371" i="55"/>
  <c r="F1372" i="55"/>
  <c r="F1373" i="55"/>
  <c r="F1374" i="55"/>
  <c r="F1375" i="55"/>
  <c r="F1376" i="55"/>
  <c r="F1377" i="55"/>
  <c r="F1378" i="55"/>
  <c r="F1379" i="55"/>
  <c r="F1380" i="55"/>
  <c r="F1381" i="55"/>
  <c r="F1382" i="55"/>
  <c r="F1383" i="55"/>
  <c r="F1384" i="55"/>
  <c r="F1385" i="55"/>
  <c r="F1386" i="55"/>
  <c r="F1387" i="55"/>
  <c r="F1388" i="55"/>
  <c r="F1389" i="55"/>
  <c r="F1390" i="55"/>
  <c r="F1391" i="55"/>
  <c r="F1392" i="55"/>
  <c r="F1393" i="55"/>
  <c r="F1394" i="55"/>
  <c r="F1395" i="55"/>
  <c r="F1396" i="55"/>
  <c r="F1397" i="55"/>
  <c r="F1398" i="55"/>
  <c r="F1399" i="55"/>
  <c r="F1400" i="55"/>
  <c r="F1401" i="55"/>
  <c r="F1402" i="55"/>
  <c r="F1403" i="55"/>
  <c r="F1404" i="55"/>
  <c r="F1405" i="55"/>
  <c r="F1406" i="55"/>
  <c r="F1407" i="55"/>
  <c r="F1408" i="55"/>
  <c r="F1409" i="55"/>
  <c r="F1410" i="55"/>
  <c r="F1411" i="55"/>
  <c r="F1412" i="55"/>
  <c r="F1413" i="55"/>
  <c r="F1414" i="55"/>
  <c r="F1415" i="55"/>
  <c r="F1416" i="55"/>
  <c r="F1417" i="55"/>
  <c r="F1418" i="55"/>
  <c r="F1419" i="55"/>
  <c r="F1420" i="55"/>
  <c r="F1421" i="55"/>
  <c r="F1422" i="55"/>
  <c r="F1423" i="55"/>
  <c r="F1424" i="55"/>
  <c r="F1425" i="55"/>
  <c r="F1426" i="55"/>
  <c r="F1427" i="55"/>
  <c r="F1428" i="55"/>
  <c r="F1429" i="55"/>
  <c r="F1430" i="55"/>
  <c r="F1431" i="55"/>
  <c r="F1432" i="55"/>
  <c r="F1433" i="55"/>
  <c r="F1434" i="55"/>
  <c r="F1435" i="55"/>
  <c r="F1436" i="55"/>
  <c r="F1437" i="55"/>
  <c r="F1438" i="55"/>
  <c r="F1439" i="55"/>
  <c r="F1440" i="55"/>
  <c r="F1441" i="55"/>
  <c r="F1442" i="55"/>
  <c r="F1443" i="55"/>
  <c r="F1444" i="55"/>
  <c r="F1445" i="55"/>
  <c r="F1446" i="55"/>
  <c r="F1447" i="55"/>
  <c r="F1448" i="55"/>
  <c r="F1449" i="55"/>
  <c r="F1450" i="55"/>
  <c r="F1451" i="55"/>
  <c r="F1452" i="55"/>
  <c r="F1453" i="55"/>
  <c r="F1454" i="55"/>
  <c r="F1455" i="55"/>
  <c r="F1456" i="55"/>
  <c r="F1457" i="55"/>
  <c r="F1458" i="55"/>
  <c r="F1459" i="55"/>
  <c r="F1460" i="55"/>
  <c r="F1461" i="55"/>
  <c r="F1462" i="55"/>
  <c r="F1463" i="55"/>
  <c r="F1464" i="55"/>
  <c r="F1465" i="55"/>
  <c r="F1466" i="55"/>
  <c r="F1467" i="55"/>
  <c r="F1468" i="55"/>
  <c r="F1469" i="55"/>
  <c r="F1470" i="55"/>
  <c r="F1471" i="55"/>
  <c r="F1472" i="55"/>
  <c r="F1473" i="55"/>
  <c r="F1474" i="55"/>
  <c r="F1475" i="55"/>
  <c r="F1476" i="55"/>
  <c r="F1477" i="55"/>
  <c r="F1478" i="55"/>
  <c r="F1479" i="55"/>
  <c r="F1480" i="55"/>
  <c r="F1481" i="55"/>
  <c r="F1482" i="55"/>
  <c r="F1483" i="55"/>
  <c r="F1484" i="55"/>
  <c r="F1485" i="55"/>
  <c r="F1486" i="55"/>
  <c r="F1487" i="55"/>
  <c r="F1488" i="55"/>
  <c r="F1489" i="55"/>
  <c r="F1490" i="55"/>
  <c r="F1491" i="55"/>
  <c r="F1492" i="55"/>
  <c r="F1493" i="55"/>
  <c r="F1494" i="55"/>
  <c r="F1495" i="55"/>
  <c r="F1496" i="55"/>
  <c r="F1497" i="55"/>
  <c r="F1498" i="55"/>
  <c r="F1499" i="55"/>
  <c r="F1500" i="55"/>
  <c r="D874" i="55"/>
  <c r="D875" i="55"/>
  <c r="D876" i="55"/>
  <c r="D877" i="55"/>
  <c r="D878" i="55"/>
  <c r="D879" i="55"/>
  <c r="D880" i="55"/>
  <c r="D881" i="55"/>
  <c r="D882" i="55"/>
  <c r="D883" i="55"/>
  <c r="D884" i="55"/>
  <c r="D885" i="55"/>
  <c r="D886" i="55"/>
  <c r="D887" i="55"/>
  <c r="D888" i="55"/>
  <c r="D889" i="55"/>
  <c r="D890" i="55"/>
  <c r="D891" i="55"/>
  <c r="D892" i="55"/>
  <c r="D893" i="55"/>
  <c r="D894" i="55"/>
  <c r="D895" i="55"/>
  <c r="D896" i="55"/>
  <c r="D897" i="55"/>
  <c r="D898" i="55"/>
  <c r="D899" i="55"/>
  <c r="D900" i="55"/>
  <c r="D901" i="55"/>
  <c r="D902" i="55"/>
  <c r="D903" i="55"/>
  <c r="D904" i="55"/>
  <c r="D905" i="55"/>
  <c r="D906" i="55"/>
  <c r="D907" i="55"/>
  <c r="D908" i="55"/>
  <c r="D909" i="55"/>
  <c r="D910" i="55"/>
  <c r="D911" i="55"/>
  <c r="D912" i="55"/>
  <c r="D913" i="55"/>
  <c r="D914" i="55"/>
  <c r="D915" i="55"/>
  <c r="D916" i="55"/>
  <c r="D917" i="55"/>
  <c r="D918" i="55"/>
  <c r="D919" i="55"/>
  <c r="D920" i="55"/>
  <c r="D921" i="55"/>
  <c r="D922" i="55"/>
  <c r="D923" i="55"/>
  <c r="D924" i="55"/>
  <c r="D925" i="55"/>
  <c r="D926" i="55"/>
  <c r="D927" i="55"/>
  <c r="D928" i="55"/>
  <c r="D929" i="55"/>
  <c r="D930" i="55"/>
  <c r="D931" i="55"/>
  <c r="D932" i="55"/>
  <c r="D933" i="55"/>
  <c r="D934" i="55"/>
  <c r="D935" i="55"/>
  <c r="D936" i="55"/>
  <c r="D937" i="55"/>
  <c r="D938" i="55"/>
  <c r="D939" i="55"/>
  <c r="D940" i="55"/>
  <c r="D941" i="55"/>
  <c r="D942" i="55"/>
  <c r="D943" i="55"/>
  <c r="D944" i="55"/>
  <c r="D945" i="55"/>
  <c r="D946" i="55"/>
  <c r="D947" i="55"/>
  <c r="D948" i="55"/>
  <c r="D949" i="55"/>
  <c r="D950" i="55"/>
  <c r="D951" i="55"/>
  <c r="D952" i="55"/>
  <c r="D953" i="55"/>
  <c r="D954" i="55"/>
  <c r="D955" i="55"/>
  <c r="D956" i="55"/>
  <c r="D957" i="55"/>
  <c r="D958" i="55"/>
  <c r="D959" i="55"/>
  <c r="D960" i="55"/>
  <c r="D961" i="55"/>
  <c r="D962" i="55"/>
  <c r="D963" i="55"/>
  <c r="D964" i="55"/>
  <c r="D965" i="55"/>
  <c r="D966" i="55"/>
  <c r="D967" i="55"/>
  <c r="D968" i="55"/>
  <c r="D969" i="55"/>
  <c r="D970" i="55"/>
  <c r="D971" i="55"/>
  <c r="D972" i="55"/>
  <c r="D973" i="55"/>
  <c r="D974" i="55"/>
  <c r="D975" i="55"/>
  <c r="D976" i="55"/>
  <c r="D977" i="55"/>
  <c r="D978" i="55"/>
  <c r="D979" i="55"/>
  <c r="D980" i="55"/>
  <c r="D981" i="55"/>
  <c r="D982" i="55"/>
  <c r="D983" i="55"/>
  <c r="D984" i="55"/>
  <c r="D985" i="55"/>
  <c r="D986" i="55"/>
  <c r="D987" i="55"/>
  <c r="D988" i="55"/>
  <c r="D989" i="55"/>
  <c r="D990" i="55"/>
  <c r="D991" i="55"/>
  <c r="D992" i="55"/>
  <c r="D993" i="55"/>
  <c r="D994" i="55"/>
  <c r="D995" i="55"/>
  <c r="D996" i="55"/>
  <c r="D997" i="55"/>
  <c r="D998" i="55"/>
  <c r="D999" i="55"/>
  <c r="D1000" i="55"/>
  <c r="D1001" i="55"/>
  <c r="D1002" i="55"/>
  <c r="D1003" i="55"/>
  <c r="D1004" i="55"/>
  <c r="D1005" i="55"/>
  <c r="D1006" i="55"/>
  <c r="D1007" i="55"/>
  <c r="D1008" i="55"/>
  <c r="D1009" i="55"/>
  <c r="D1010" i="55"/>
  <c r="D1011" i="55"/>
  <c r="D1012" i="55"/>
  <c r="D1013" i="55"/>
  <c r="D1014" i="55"/>
  <c r="D1015" i="55"/>
  <c r="D1016" i="55"/>
  <c r="D1017" i="55"/>
  <c r="D1018" i="55"/>
  <c r="D1019" i="55"/>
  <c r="D1020" i="55"/>
  <c r="D1021" i="55"/>
  <c r="D1022" i="55"/>
  <c r="D1023" i="55"/>
  <c r="D1024" i="55"/>
  <c r="D1025" i="55"/>
  <c r="D1026" i="55"/>
  <c r="D1027" i="55"/>
  <c r="D1028" i="55"/>
  <c r="D1029" i="55"/>
  <c r="D1030" i="55"/>
  <c r="D1031" i="55"/>
  <c r="D1032" i="55"/>
  <c r="D1033" i="55"/>
  <c r="D1034" i="55"/>
  <c r="D1035" i="55"/>
  <c r="D1036" i="55"/>
  <c r="D1037" i="55"/>
  <c r="D1038" i="55"/>
  <c r="D1039" i="55"/>
  <c r="D1040" i="55"/>
  <c r="D1041" i="55"/>
  <c r="D1042" i="55"/>
  <c r="D1043" i="55"/>
  <c r="D1044" i="55"/>
  <c r="D1045" i="55"/>
  <c r="D1046" i="55"/>
  <c r="D1047" i="55"/>
  <c r="D1048" i="55"/>
  <c r="D1049" i="55"/>
  <c r="D1050" i="55"/>
  <c r="D1051" i="55"/>
  <c r="D1052" i="55"/>
  <c r="D1053" i="55"/>
  <c r="D1054" i="55"/>
  <c r="D1055" i="55"/>
  <c r="D1056" i="55"/>
  <c r="D1057" i="55"/>
  <c r="D1058" i="55"/>
  <c r="D1059" i="55"/>
  <c r="D1060" i="55"/>
  <c r="D1061" i="55"/>
  <c r="D1062" i="55"/>
  <c r="D1063" i="55"/>
  <c r="D1064" i="55"/>
  <c r="D1065" i="55"/>
  <c r="D1066" i="55"/>
  <c r="D1067" i="55"/>
  <c r="D1068" i="55"/>
  <c r="D1069" i="55"/>
  <c r="D1070" i="55"/>
  <c r="D1071" i="55"/>
  <c r="D1072" i="55"/>
  <c r="D1073" i="55"/>
  <c r="D1074" i="55"/>
  <c r="D1075" i="55"/>
  <c r="D1076" i="55"/>
  <c r="D1077" i="55"/>
  <c r="D1078" i="55"/>
  <c r="D1079" i="55"/>
  <c r="D1080" i="55"/>
  <c r="D1081" i="55"/>
  <c r="D1082" i="55"/>
  <c r="D1083" i="55"/>
  <c r="D1084" i="55"/>
  <c r="D1085" i="55"/>
  <c r="D1086" i="55"/>
  <c r="D1087" i="55"/>
  <c r="D1088" i="55"/>
  <c r="D1089" i="55"/>
  <c r="D1090" i="55"/>
  <c r="D1091" i="55"/>
  <c r="D1092" i="55"/>
  <c r="D1093" i="55"/>
  <c r="D1094" i="55"/>
  <c r="D1095" i="55"/>
  <c r="D1096" i="55"/>
  <c r="D1097" i="55"/>
  <c r="D1098" i="55"/>
  <c r="D1099" i="55"/>
  <c r="D1100" i="55"/>
  <c r="D1101" i="55"/>
  <c r="D1102" i="55"/>
  <c r="D1103" i="55"/>
  <c r="D1104" i="55"/>
  <c r="D1105" i="55"/>
  <c r="D1106" i="55"/>
  <c r="D1107" i="55"/>
  <c r="D1108" i="55"/>
  <c r="D1109" i="55"/>
  <c r="D1110" i="55"/>
  <c r="D1111" i="55"/>
  <c r="D1112" i="55"/>
  <c r="D1113" i="55"/>
  <c r="D1114" i="55"/>
  <c r="D1115" i="55"/>
  <c r="D1116" i="55"/>
  <c r="D1117" i="55"/>
  <c r="D1118" i="55"/>
  <c r="D1119" i="55"/>
  <c r="D1120" i="55"/>
  <c r="D1121" i="55"/>
  <c r="D1122" i="55"/>
  <c r="D1123" i="55"/>
  <c r="D1124" i="55"/>
  <c r="D1125" i="55"/>
  <c r="D1126" i="55"/>
  <c r="D1127" i="55"/>
  <c r="D1128" i="55"/>
  <c r="D1129" i="55"/>
  <c r="D1130" i="55"/>
  <c r="D1131" i="55"/>
  <c r="D1132" i="55"/>
  <c r="D1133" i="55"/>
  <c r="D1134" i="55"/>
  <c r="D1135" i="55"/>
  <c r="D1136" i="55"/>
  <c r="D1137" i="55"/>
  <c r="D1138" i="55"/>
  <c r="D1139" i="55"/>
  <c r="D1140" i="55"/>
  <c r="D1141" i="55"/>
  <c r="D1142" i="55"/>
  <c r="D1143" i="55"/>
  <c r="D1144" i="55"/>
  <c r="D1145" i="55"/>
  <c r="D1146" i="55"/>
  <c r="D1147" i="55"/>
  <c r="D1148" i="55"/>
  <c r="D1149" i="55"/>
  <c r="D1150" i="55"/>
  <c r="D1151" i="55"/>
  <c r="D1152" i="55"/>
  <c r="D1153" i="55"/>
  <c r="D1154" i="55"/>
  <c r="D1155" i="55"/>
  <c r="D1156" i="55"/>
  <c r="D1157" i="55"/>
  <c r="D1158" i="55"/>
  <c r="D1159" i="55"/>
  <c r="D1160" i="55"/>
  <c r="D1161" i="55"/>
  <c r="D1162" i="55"/>
  <c r="D1163" i="55"/>
  <c r="D1164" i="55"/>
  <c r="D1165" i="55"/>
  <c r="D1166" i="55"/>
  <c r="D1167" i="55"/>
  <c r="D1168" i="55"/>
  <c r="D1169" i="55"/>
  <c r="D1170" i="55"/>
  <c r="D1171" i="55"/>
  <c r="D1172" i="55"/>
  <c r="D1173" i="55"/>
  <c r="D1174" i="55"/>
  <c r="D1175" i="55"/>
  <c r="D1176" i="55"/>
  <c r="D1177" i="55"/>
  <c r="D1178" i="55"/>
  <c r="D1179" i="55"/>
  <c r="D1180" i="55"/>
  <c r="D1181" i="55"/>
  <c r="D1182" i="55"/>
  <c r="D1183" i="55"/>
  <c r="D1184" i="55"/>
  <c r="D1185" i="55"/>
  <c r="D1186" i="55"/>
  <c r="D1187" i="55"/>
  <c r="D1188" i="55"/>
  <c r="D1189" i="55"/>
  <c r="D1190" i="55"/>
  <c r="D1191" i="55"/>
  <c r="D1192" i="55"/>
  <c r="D1193" i="55"/>
  <c r="D1194" i="55"/>
  <c r="D1195" i="55"/>
  <c r="D1196" i="55"/>
  <c r="D1197" i="55"/>
  <c r="D1198" i="55"/>
  <c r="D1199" i="55"/>
  <c r="D1200" i="55"/>
  <c r="D1201" i="55"/>
  <c r="D1202" i="55"/>
  <c r="D1203" i="55"/>
  <c r="D1204" i="55"/>
  <c r="D1205" i="55"/>
  <c r="D1206" i="55"/>
  <c r="D1207" i="55"/>
  <c r="D1208" i="55"/>
  <c r="D1209" i="55"/>
  <c r="D1210" i="55"/>
  <c r="D1211" i="55"/>
  <c r="D1212" i="55"/>
  <c r="D1213" i="55"/>
  <c r="D1214" i="55"/>
  <c r="D1215" i="55"/>
  <c r="D1216" i="55"/>
  <c r="D1217" i="55"/>
  <c r="D1218" i="55"/>
  <c r="D1219" i="55"/>
  <c r="D1220" i="55"/>
  <c r="D1221" i="55"/>
  <c r="D1222" i="55"/>
  <c r="D1223" i="55"/>
  <c r="D1224" i="55"/>
  <c r="D1225" i="55"/>
  <c r="D1226" i="55"/>
  <c r="D1227" i="55"/>
  <c r="D1228" i="55"/>
  <c r="D1229" i="55"/>
  <c r="D1230" i="55"/>
  <c r="D1231" i="55"/>
  <c r="D1232" i="55"/>
  <c r="D1233" i="55"/>
  <c r="D1234" i="55"/>
  <c r="D1235" i="55"/>
  <c r="D1236" i="55"/>
  <c r="D1237" i="55"/>
  <c r="D1238" i="55"/>
  <c r="D1239" i="55"/>
  <c r="D1240" i="55"/>
  <c r="D1241" i="55"/>
  <c r="D1242" i="55"/>
  <c r="D1243" i="55"/>
  <c r="D1244" i="55"/>
  <c r="D1245" i="55"/>
  <c r="D1246" i="55"/>
  <c r="D1247" i="55"/>
  <c r="D1248" i="55"/>
  <c r="D1249" i="55"/>
  <c r="D1250" i="55"/>
  <c r="D1251" i="55"/>
  <c r="D1252" i="55"/>
  <c r="D1253" i="55"/>
  <c r="D1254" i="55"/>
  <c r="D1255" i="55"/>
  <c r="D1256" i="55"/>
  <c r="D1257" i="55"/>
  <c r="D1258" i="55"/>
  <c r="D1259" i="55"/>
  <c r="D1260" i="55"/>
  <c r="D1261" i="55"/>
  <c r="D1262" i="55"/>
  <c r="D1263" i="55"/>
  <c r="D1264" i="55"/>
  <c r="D1265" i="55"/>
  <c r="D1266" i="55"/>
  <c r="D1267" i="55"/>
  <c r="D1268" i="55"/>
  <c r="D1269" i="55"/>
  <c r="D1270" i="55"/>
  <c r="D1271" i="55"/>
  <c r="D1272" i="55"/>
  <c r="D1273" i="55"/>
  <c r="D1274" i="55"/>
  <c r="D1275" i="55"/>
  <c r="D1276" i="55"/>
  <c r="D1277" i="55"/>
  <c r="D1278" i="55"/>
  <c r="D1279" i="55"/>
  <c r="D1280" i="55"/>
  <c r="D1281" i="55"/>
  <c r="D1282" i="55"/>
  <c r="D1283" i="55"/>
  <c r="D1284" i="55"/>
  <c r="D1285" i="55"/>
  <c r="D1286" i="55"/>
  <c r="D1287" i="55"/>
  <c r="D1288" i="55"/>
  <c r="D1289" i="55"/>
  <c r="D1290" i="55"/>
  <c r="D1291" i="55"/>
  <c r="D1292" i="55"/>
  <c r="D1293" i="55"/>
  <c r="D1294" i="55"/>
  <c r="D1295" i="55"/>
  <c r="D1296" i="55"/>
  <c r="D1297" i="55"/>
  <c r="D1298" i="55"/>
  <c r="D1299" i="55"/>
  <c r="D1300" i="55"/>
  <c r="D1301" i="55"/>
  <c r="D1302" i="55"/>
  <c r="D1303" i="55"/>
  <c r="D1304" i="55"/>
  <c r="D1305" i="55"/>
  <c r="D1306" i="55"/>
  <c r="D1307" i="55"/>
  <c r="D1308" i="55"/>
  <c r="D1309" i="55"/>
  <c r="D1310" i="55"/>
  <c r="D1311" i="55"/>
  <c r="D1312" i="55"/>
  <c r="D1313" i="55"/>
  <c r="D1314" i="55"/>
  <c r="D1315" i="55"/>
  <c r="D1316" i="55"/>
  <c r="D1317" i="55"/>
  <c r="D1318" i="55"/>
  <c r="D1319" i="55"/>
  <c r="D1320" i="55"/>
  <c r="D1321" i="55"/>
  <c r="D1322" i="55"/>
  <c r="D1323" i="55"/>
  <c r="D1324" i="55"/>
  <c r="D1325" i="55"/>
  <c r="D1326" i="55"/>
  <c r="D1327" i="55"/>
  <c r="D1328" i="55"/>
  <c r="D1329" i="55"/>
  <c r="D1330" i="55"/>
  <c r="D1331" i="55"/>
  <c r="D1332" i="55"/>
  <c r="D1333" i="55"/>
  <c r="D1334" i="55"/>
  <c r="D1335" i="55"/>
  <c r="D1336" i="55"/>
  <c r="D1337" i="55"/>
  <c r="D1338" i="55"/>
  <c r="D1339" i="55"/>
  <c r="D1340" i="55"/>
  <c r="D1341" i="55"/>
  <c r="D1342" i="55"/>
  <c r="D1343" i="55"/>
  <c r="D1344" i="55"/>
  <c r="D1345" i="55"/>
  <c r="D1346" i="55"/>
  <c r="D1347" i="55"/>
  <c r="D1348" i="55"/>
  <c r="D1349" i="55"/>
  <c r="D1350" i="55"/>
  <c r="D1351" i="55"/>
  <c r="D1352" i="55"/>
  <c r="D1353" i="55"/>
  <c r="D1354" i="55"/>
  <c r="D1355" i="55"/>
  <c r="D1356" i="55"/>
  <c r="D1357" i="55"/>
  <c r="D1358" i="55"/>
  <c r="D1359" i="55"/>
  <c r="D1360" i="55"/>
  <c r="D1361" i="55"/>
  <c r="D1362" i="55"/>
  <c r="D1363" i="55"/>
  <c r="D1364" i="55"/>
  <c r="D1365" i="55"/>
  <c r="D1366" i="55"/>
  <c r="D1367" i="55"/>
  <c r="D1368" i="55"/>
  <c r="D1369" i="55"/>
  <c r="D1370" i="55"/>
  <c r="D1371" i="55"/>
  <c r="D1372" i="55"/>
  <c r="D1373" i="55"/>
  <c r="D1374" i="55"/>
  <c r="D1375" i="55"/>
  <c r="D1376" i="55"/>
  <c r="D1377" i="55"/>
  <c r="D1378" i="55"/>
  <c r="D1379" i="55"/>
  <c r="D1380" i="55"/>
  <c r="D1381" i="55"/>
  <c r="D1382" i="55"/>
  <c r="D1383" i="55"/>
  <c r="D1384" i="55"/>
  <c r="D1385" i="55"/>
  <c r="D1386" i="55"/>
  <c r="D1387" i="55"/>
  <c r="D1388" i="55"/>
  <c r="D1389" i="55"/>
  <c r="D1390" i="55"/>
  <c r="D1391" i="55"/>
  <c r="D1392" i="55"/>
  <c r="D1393" i="55"/>
  <c r="D1394" i="55"/>
  <c r="D1395" i="55"/>
  <c r="D1396" i="55"/>
  <c r="D1397" i="55"/>
  <c r="D1398" i="55"/>
  <c r="D1399" i="55"/>
  <c r="D1400" i="55"/>
  <c r="D1401" i="55"/>
  <c r="D1402" i="55"/>
  <c r="D1403" i="55"/>
  <c r="D1404" i="55"/>
  <c r="D1405" i="55"/>
  <c r="D1406" i="55"/>
  <c r="D1407" i="55"/>
  <c r="D1408" i="55"/>
  <c r="D1409" i="55"/>
  <c r="D1410" i="55"/>
  <c r="D1411" i="55"/>
  <c r="D1412" i="55"/>
  <c r="D1413" i="55"/>
  <c r="D1414" i="55"/>
  <c r="D1415" i="55"/>
  <c r="D1416" i="55"/>
  <c r="D1417" i="55"/>
  <c r="D1418" i="55"/>
  <c r="D1419" i="55"/>
  <c r="D1420" i="55"/>
  <c r="D1421" i="55"/>
  <c r="D1422" i="55"/>
  <c r="D1423" i="55"/>
  <c r="D1424" i="55"/>
  <c r="D1425" i="55"/>
  <c r="D1426" i="55"/>
  <c r="D1427" i="55"/>
  <c r="D1428" i="55"/>
  <c r="D1429" i="55"/>
  <c r="D1430" i="55"/>
  <c r="D1431" i="55"/>
  <c r="D1432" i="55"/>
  <c r="D1433" i="55"/>
  <c r="D1434" i="55"/>
  <c r="D1435" i="55"/>
  <c r="D1436" i="55"/>
  <c r="D1437" i="55"/>
  <c r="D1438" i="55"/>
  <c r="D1439" i="55"/>
  <c r="D1440" i="55"/>
  <c r="D1441" i="55"/>
  <c r="D1442" i="55"/>
  <c r="D1443" i="55"/>
  <c r="D1444" i="55"/>
  <c r="D1445" i="55"/>
  <c r="D1446" i="55"/>
  <c r="D1447" i="55"/>
  <c r="D1448" i="55"/>
  <c r="D1449" i="55"/>
  <c r="D1450" i="55"/>
  <c r="D1451" i="55"/>
  <c r="D1452" i="55"/>
  <c r="D1453" i="55"/>
  <c r="D1454" i="55"/>
  <c r="D1455" i="55"/>
  <c r="D1456" i="55"/>
  <c r="D1457" i="55"/>
  <c r="D1458" i="55"/>
  <c r="D1459" i="55"/>
  <c r="D1460" i="55"/>
  <c r="D1461" i="55"/>
  <c r="D1462" i="55"/>
  <c r="D1463" i="55"/>
  <c r="D1464" i="55"/>
  <c r="D1465" i="55"/>
  <c r="D1466" i="55"/>
  <c r="D1467" i="55"/>
  <c r="D1468" i="55"/>
  <c r="D1469" i="55"/>
  <c r="D1470" i="55"/>
  <c r="D1471" i="55"/>
  <c r="D1472" i="55"/>
  <c r="D1473" i="55"/>
  <c r="D1474" i="55"/>
  <c r="D1475" i="55"/>
  <c r="D1476" i="55"/>
  <c r="D1477" i="55"/>
  <c r="D1478" i="55"/>
  <c r="D1479" i="55"/>
  <c r="D1480" i="55"/>
  <c r="D1481" i="55"/>
  <c r="D1482" i="55"/>
  <c r="D1483" i="55"/>
  <c r="D1484" i="55"/>
  <c r="D1485" i="55"/>
  <c r="D1486" i="55"/>
  <c r="D1487" i="55"/>
  <c r="D1488" i="55"/>
  <c r="D1489" i="55"/>
  <c r="D1490" i="55"/>
  <c r="D1491" i="55"/>
  <c r="D1492" i="55"/>
  <c r="D1493" i="55"/>
  <c r="D1494" i="55"/>
  <c r="D1495" i="55"/>
  <c r="D1496" i="55"/>
  <c r="D1497" i="55"/>
  <c r="D1498" i="55"/>
  <c r="D1499" i="55"/>
  <c r="D1500" i="55"/>
  <c r="D873" i="55"/>
  <c r="G12" i="55"/>
  <c r="G13" i="55"/>
  <c r="G14" i="55"/>
  <c r="G15" i="55"/>
  <c r="G16" i="55"/>
  <c r="G17" i="55"/>
  <c r="G18" i="55"/>
  <c r="G19" i="55"/>
  <c r="G20" i="55"/>
  <c r="G21" i="55"/>
  <c r="G22" i="55"/>
  <c r="G23" i="55"/>
  <c r="G24" i="55"/>
  <c r="G25" i="55"/>
  <c r="G26" i="55"/>
  <c r="G27" i="55"/>
  <c r="G28" i="55"/>
  <c r="G29" i="55"/>
  <c r="G30" i="55"/>
  <c r="G31" i="55"/>
  <c r="G32" i="55"/>
  <c r="G33" i="55"/>
  <c r="G34" i="55"/>
  <c r="G35" i="55"/>
  <c r="G36" i="55"/>
  <c r="G37" i="55"/>
  <c r="G38" i="55"/>
  <c r="G39" i="55"/>
  <c r="G40" i="55"/>
  <c r="G41" i="55"/>
  <c r="G42" i="55"/>
  <c r="G43" i="55"/>
  <c r="G44" i="55"/>
  <c r="G45" i="55"/>
  <c r="G46" i="55"/>
  <c r="G47" i="55"/>
  <c r="G48" i="55"/>
  <c r="G49" i="55"/>
  <c r="G50" i="55"/>
  <c r="G51" i="55"/>
  <c r="G52" i="55"/>
  <c r="G53" i="55"/>
  <c r="G54" i="55"/>
  <c r="G55" i="55"/>
  <c r="G56" i="55"/>
  <c r="G57" i="55"/>
  <c r="G58" i="55"/>
  <c r="G59" i="55"/>
  <c r="G60" i="55"/>
  <c r="G61" i="55"/>
  <c r="G62" i="55"/>
  <c r="G63" i="55"/>
  <c r="G64" i="55"/>
  <c r="G65" i="55"/>
  <c r="G66" i="55"/>
  <c r="G67" i="55"/>
  <c r="G68" i="55"/>
  <c r="G69" i="55"/>
  <c r="G70" i="55"/>
  <c r="G71" i="55"/>
  <c r="G72" i="55"/>
  <c r="G73" i="55"/>
  <c r="G74" i="55"/>
  <c r="G75" i="55"/>
  <c r="G76" i="55"/>
  <c r="G77" i="55"/>
  <c r="G78" i="55"/>
  <c r="G79" i="55"/>
  <c r="G80" i="55"/>
  <c r="G81" i="55"/>
  <c r="G82" i="55"/>
  <c r="G83" i="55"/>
  <c r="G84" i="55"/>
  <c r="G85" i="55"/>
  <c r="G86" i="55"/>
  <c r="G87" i="55"/>
  <c r="G88" i="55"/>
  <c r="G89" i="55"/>
  <c r="G90" i="55"/>
  <c r="G91" i="55"/>
  <c r="G92" i="55"/>
  <c r="G93" i="55"/>
  <c r="G94" i="55"/>
  <c r="G95" i="55"/>
  <c r="G96" i="55"/>
  <c r="G97" i="55"/>
  <c r="G98" i="55"/>
  <c r="G99" i="55"/>
  <c r="G100" i="55"/>
  <c r="G101" i="55"/>
  <c r="G102" i="55"/>
  <c r="G103" i="55"/>
  <c r="G104" i="55"/>
  <c r="G105" i="55"/>
  <c r="G106" i="55"/>
  <c r="G107" i="55"/>
  <c r="G108" i="55"/>
  <c r="G109" i="55"/>
  <c r="G110" i="55"/>
  <c r="G111" i="55"/>
  <c r="G112" i="55"/>
  <c r="G113" i="55"/>
  <c r="G114" i="55"/>
  <c r="G115" i="55"/>
  <c r="G116" i="55"/>
  <c r="G117" i="55"/>
  <c r="G118" i="55"/>
  <c r="G119" i="55"/>
  <c r="G120" i="55"/>
  <c r="G121" i="55"/>
  <c r="G122" i="55"/>
  <c r="G123" i="55"/>
  <c r="G124" i="55"/>
  <c r="G125" i="55"/>
  <c r="G126" i="55"/>
  <c r="G127" i="55"/>
  <c r="G128" i="55"/>
  <c r="G129" i="55"/>
  <c r="G130" i="55"/>
  <c r="G131" i="55"/>
  <c r="G132" i="55"/>
  <c r="G133" i="55"/>
  <c r="G134" i="55"/>
  <c r="G135" i="55"/>
  <c r="G136" i="55"/>
  <c r="G137" i="55"/>
  <c r="G138" i="55"/>
  <c r="G139" i="55"/>
  <c r="G140" i="55"/>
  <c r="G141" i="55"/>
  <c r="G142" i="55"/>
  <c r="G143" i="55"/>
  <c r="G144" i="55"/>
  <c r="G145" i="55"/>
  <c r="G146" i="55"/>
  <c r="G147" i="55"/>
  <c r="G148" i="55"/>
  <c r="G149" i="55"/>
  <c r="G150" i="55"/>
  <c r="G151" i="55"/>
  <c r="G152" i="55"/>
  <c r="G153" i="55"/>
  <c r="G154" i="55"/>
  <c r="G155" i="55"/>
  <c r="G156" i="55"/>
  <c r="G157" i="55"/>
  <c r="G158" i="55"/>
  <c r="G159" i="55"/>
  <c r="G160" i="55"/>
  <c r="G161" i="55"/>
  <c r="G162" i="55"/>
  <c r="G163" i="55"/>
  <c r="G164" i="55"/>
  <c r="G165" i="55"/>
  <c r="G166" i="55"/>
  <c r="G167" i="55"/>
  <c r="G168" i="55"/>
  <c r="G169" i="55"/>
  <c r="G170" i="55"/>
  <c r="G171" i="55"/>
  <c r="G172" i="55"/>
  <c r="G173" i="55"/>
  <c r="G174" i="55"/>
  <c r="G175" i="55"/>
  <c r="G176" i="55"/>
  <c r="G177" i="55"/>
  <c r="G178" i="55"/>
  <c r="G179" i="55"/>
  <c r="G180" i="55"/>
  <c r="G181" i="55"/>
  <c r="G182" i="55"/>
  <c r="G183" i="55"/>
  <c r="G184" i="55"/>
  <c r="G185" i="55"/>
  <c r="G186" i="55"/>
  <c r="G187" i="55"/>
  <c r="G188" i="55"/>
  <c r="G189" i="55"/>
  <c r="G190" i="55"/>
  <c r="G191" i="55"/>
  <c r="G192" i="55"/>
  <c r="G193" i="55"/>
  <c r="G194" i="55"/>
  <c r="G195" i="55"/>
  <c r="G196" i="55"/>
  <c r="G197" i="55"/>
  <c r="G198" i="55"/>
  <c r="G199" i="55"/>
  <c r="G200" i="55"/>
  <c r="G201" i="55"/>
  <c r="G202" i="55"/>
  <c r="G203" i="55"/>
  <c r="G204" i="55"/>
  <c r="G205" i="55"/>
  <c r="G206" i="55"/>
  <c r="G207" i="55"/>
  <c r="G208" i="55"/>
  <c r="G209" i="55"/>
  <c r="G210" i="55"/>
  <c r="G211" i="55"/>
  <c r="G212" i="55"/>
  <c r="G213" i="55"/>
  <c r="G214" i="55"/>
  <c r="G215" i="55"/>
  <c r="G216" i="55"/>
  <c r="G217" i="55"/>
  <c r="G218" i="55"/>
  <c r="G219" i="55"/>
  <c r="G220" i="55"/>
  <c r="G221" i="55"/>
  <c r="G222" i="55"/>
  <c r="G223" i="55"/>
  <c r="G224" i="55"/>
  <c r="G225" i="55"/>
  <c r="G226" i="55"/>
  <c r="G227" i="55"/>
  <c r="G228" i="55"/>
  <c r="G229" i="55"/>
  <c r="G230" i="55"/>
  <c r="G231" i="55"/>
  <c r="G232" i="55"/>
  <c r="G233" i="55"/>
  <c r="G234" i="55"/>
  <c r="G235" i="55"/>
  <c r="G236" i="55"/>
  <c r="G237" i="55"/>
  <c r="G238" i="55"/>
  <c r="G239" i="55"/>
  <c r="G240" i="55"/>
  <c r="G241" i="55"/>
  <c r="G242" i="55"/>
  <c r="G243" i="55"/>
  <c r="G244" i="55"/>
  <c r="G245" i="55"/>
  <c r="G246" i="55"/>
  <c r="G247" i="55"/>
  <c r="G248" i="55"/>
  <c r="G249" i="55"/>
  <c r="G250" i="55"/>
  <c r="G251" i="55"/>
  <c r="G252" i="55"/>
  <c r="G253" i="55"/>
  <c r="G254" i="55"/>
  <c r="G255" i="55"/>
  <c r="G256" i="55"/>
  <c r="G257" i="55"/>
  <c r="G258" i="55"/>
  <c r="G259" i="55"/>
  <c r="G260" i="55"/>
  <c r="G261" i="55"/>
  <c r="G262" i="55"/>
  <c r="G263" i="55"/>
  <c r="G264" i="55"/>
  <c r="G265" i="55"/>
  <c r="G266" i="55"/>
  <c r="G267" i="55"/>
  <c r="G268" i="55"/>
  <c r="G269" i="55"/>
  <c r="G270" i="55"/>
  <c r="G271" i="55"/>
  <c r="G272" i="55"/>
  <c r="G273" i="55"/>
  <c r="G274" i="55"/>
  <c r="G275" i="55"/>
  <c r="G276" i="55"/>
  <c r="G277" i="55"/>
  <c r="G278" i="55"/>
  <c r="G279" i="55"/>
  <c r="G280" i="55"/>
  <c r="G281" i="55"/>
  <c r="G282" i="55"/>
  <c r="G283" i="55"/>
  <c r="G284" i="55"/>
  <c r="G285" i="55"/>
  <c r="G286" i="55"/>
  <c r="G287" i="55"/>
  <c r="G288" i="55"/>
  <c r="G289" i="55"/>
  <c r="G290" i="55"/>
  <c r="G291" i="55"/>
  <c r="G292" i="55"/>
  <c r="G293" i="55"/>
  <c r="G294" i="55"/>
  <c r="G295" i="55"/>
  <c r="G296" i="55"/>
  <c r="G297" i="55"/>
  <c r="G298" i="55"/>
  <c r="G299" i="55"/>
  <c r="G300" i="55"/>
  <c r="G301" i="55"/>
  <c r="G302" i="55"/>
  <c r="G303" i="55"/>
  <c r="G304" i="55"/>
  <c r="G305" i="55"/>
  <c r="G306" i="55"/>
  <c r="G307" i="55"/>
  <c r="G308" i="55"/>
  <c r="G309" i="55"/>
  <c r="G310" i="55"/>
  <c r="G311" i="55"/>
  <c r="G312" i="55"/>
  <c r="G313" i="55"/>
  <c r="G314" i="55"/>
  <c r="G315" i="55"/>
  <c r="G316" i="55"/>
  <c r="G317" i="55"/>
  <c r="G318" i="55"/>
  <c r="G319" i="55"/>
  <c r="G320" i="55"/>
  <c r="G321" i="55"/>
  <c r="G322" i="55"/>
  <c r="G323" i="55"/>
  <c r="G324" i="55"/>
  <c r="G325" i="55"/>
  <c r="G326" i="55"/>
  <c r="G327" i="55"/>
  <c r="G328" i="55"/>
  <c r="G329" i="55"/>
  <c r="G330" i="55"/>
  <c r="G331" i="55"/>
  <c r="G332" i="55"/>
  <c r="G333" i="55"/>
  <c r="G334" i="55"/>
  <c r="G335" i="55"/>
  <c r="G336" i="55"/>
  <c r="G337" i="55"/>
  <c r="G338" i="55"/>
  <c r="G339" i="55"/>
  <c r="G340" i="55"/>
  <c r="G341" i="55"/>
  <c r="G342" i="55"/>
  <c r="G343" i="55"/>
  <c r="G344" i="55"/>
  <c r="G345" i="55"/>
  <c r="G346" i="55"/>
  <c r="G347" i="55"/>
  <c r="G348" i="55"/>
  <c r="G349" i="55"/>
  <c r="G350" i="55"/>
  <c r="G351" i="55"/>
  <c r="G352" i="55"/>
  <c r="G353" i="55"/>
  <c r="G354" i="55"/>
  <c r="G355" i="55"/>
  <c r="G356" i="55"/>
  <c r="G357" i="55"/>
  <c r="G358" i="55"/>
  <c r="G359" i="55"/>
  <c r="G360" i="55"/>
  <c r="G361" i="55"/>
  <c r="G362" i="55"/>
  <c r="G363" i="55"/>
  <c r="G364" i="55"/>
  <c r="G365" i="55"/>
  <c r="G366" i="55"/>
  <c r="G367" i="55"/>
  <c r="G368" i="55"/>
  <c r="G369" i="55"/>
  <c r="G370" i="55"/>
  <c r="G371" i="55"/>
  <c r="G372" i="55"/>
  <c r="G373" i="55"/>
  <c r="G374" i="55"/>
  <c r="G375" i="55"/>
  <c r="G376" i="55"/>
  <c r="G377" i="55"/>
  <c r="G378" i="55"/>
  <c r="G379" i="55"/>
  <c r="G380" i="55"/>
  <c r="G381" i="55"/>
  <c r="G382" i="55"/>
  <c r="G383" i="55"/>
  <c r="G384" i="55"/>
  <c r="G385" i="55"/>
  <c r="G386" i="55"/>
  <c r="G387" i="55"/>
  <c r="G388" i="55"/>
  <c r="G389" i="55"/>
  <c r="G390" i="55"/>
  <c r="G391" i="55"/>
  <c r="G392" i="55"/>
  <c r="G393" i="55"/>
  <c r="G394" i="55"/>
  <c r="G395" i="55"/>
  <c r="G396" i="55"/>
  <c r="G397" i="55"/>
  <c r="G398" i="55"/>
  <c r="G399" i="55"/>
  <c r="G400" i="55"/>
  <c r="G401" i="55"/>
  <c r="G402" i="55"/>
  <c r="G403" i="55"/>
  <c r="G404" i="55"/>
  <c r="G405" i="55"/>
  <c r="G406" i="55"/>
  <c r="G407" i="55"/>
  <c r="G408" i="55"/>
  <c r="G409" i="55"/>
  <c r="G410" i="55"/>
  <c r="G411" i="55"/>
  <c r="G412" i="55"/>
  <c r="G413" i="55"/>
  <c r="G414" i="55"/>
  <c r="G415" i="55"/>
  <c r="G416" i="55"/>
  <c r="G417" i="55"/>
  <c r="G418" i="55"/>
  <c r="G419" i="55"/>
  <c r="G420" i="55"/>
  <c r="G421" i="55"/>
  <c r="G422" i="55"/>
  <c r="G423" i="55"/>
  <c r="G424" i="55"/>
  <c r="G425" i="55"/>
  <c r="G426" i="55"/>
  <c r="G427" i="55"/>
  <c r="G428" i="55"/>
  <c r="G429" i="55"/>
  <c r="G430" i="55"/>
  <c r="G431" i="55"/>
  <c r="G432" i="55"/>
  <c r="G433" i="55"/>
  <c r="G434" i="55"/>
  <c r="G435" i="55"/>
  <c r="G436" i="55"/>
  <c r="G437" i="55"/>
  <c r="G438" i="55"/>
  <c r="G439" i="55"/>
  <c r="G440" i="55"/>
  <c r="G441" i="55"/>
  <c r="G442" i="55"/>
  <c r="G443" i="55"/>
  <c r="G444" i="55"/>
  <c r="G445" i="55"/>
  <c r="G446" i="55"/>
  <c r="G447" i="55"/>
  <c r="G448" i="55"/>
  <c r="G449" i="55"/>
  <c r="G450" i="55"/>
  <c r="G451" i="55"/>
  <c r="G452" i="55"/>
  <c r="G453" i="55"/>
  <c r="G454" i="55"/>
  <c r="G455" i="55"/>
  <c r="G456" i="55"/>
  <c r="G457" i="55"/>
  <c r="G458" i="55"/>
  <c r="G459" i="55"/>
  <c r="G460" i="55"/>
  <c r="G461" i="55"/>
  <c r="G462" i="55"/>
  <c r="G463" i="55"/>
  <c r="G464" i="55"/>
  <c r="G465" i="55"/>
  <c r="G466" i="55"/>
  <c r="G467" i="55"/>
  <c r="G468" i="55"/>
  <c r="G469" i="55"/>
  <c r="G470" i="55"/>
  <c r="G471" i="55"/>
  <c r="G472" i="55"/>
  <c r="G473" i="55"/>
  <c r="G474" i="55"/>
  <c r="G475" i="55"/>
  <c r="G476" i="55"/>
  <c r="G477" i="55"/>
  <c r="G478" i="55"/>
  <c r="G479" i="55"/>
  <c r="G480" i="55"/>
  <c r="G481" i="55"/>
  <c r="G482" i="55"/>
  <c r="G483" i="55"/>
  <c r="G484" i="55"/>
  <c r="G485" i="55"/>
  <c r="G486" i="55"/>
  <c r="G487" i="55"/>
  <c r="G488" i="55"/>
  <c r="G489" i="55"/>
  <c r="G490" i="55"/>
  <c r="G491" i="55"/>
  <c r="G492" i="55"/>
  <c r="G493" i="55"/>
  <c r="G494" i="55"/>
  <c r="G495" i="55"/>
  <c r="G496" i="55"/>
  <c r="G497" i="55"/>
  <c r="G498" i="55"/>
  <c r="G499" i="55"/>
  <c r="G500" i="55"/>
  <c r="G501" i="55"/>
  <c r="G502" i="55"/>
  <c r="G503" i="55"/>
  <c r="G504" i="55"/>
  <c r="G505" i="55"/>
  <c r="G506" i="55"/>
  <c r="G507" i="55"/>
  <c r="G508" i="55"/>
  <c r="G509" i="55"/>
  <c r="G510" i="55"/>
  <c r="G511" i="55"/>
  <c r="G512" i="55"/>
  <c r="G513" i="55"/>
  <c r="G514" i="55"/>
  <c r="G515" i="55"/>
  <c r="G516" i="55"/>
  <c r="G517" i="55"/>
  <c r="G518" i="55"/>
  <c r="G519" i="55"/>
  <c r="G520" i="55"/>
  <c r="G521" i="55"/>
  <c r="G522" i="55"/>
  <c r="G523" i="55"/>
  <c r="G524" i="55"/>
  <c r="G525" i="55"/>
  <c r="G526" i="55"/>
  <c r="G527" i="55"/>
  <c r="G528" i="55"/>
  <c r="G529" i="55"/>
  <c r="G530" i="55"/>
  <c r="G531" i="55"/>
  <c r="G532" i="55"/>
  <c r="G533" i="55"/>
  <c r="G534" i="55"/>
  <c r="G535" i="55"/>
  <c r="G536" i="55"/>
  <c r="G537" i="55"/>
  <c r="G538" i="55"/>
  <c r="G539" i="55"/>
  <c r="G540" i="55"/>
  <c r="G541" i="55"/>
  <c r="G542" i="55"/>
  <c r="G543" i="55"/>
  <c r="G544" i="55"/>
  <c r="G545" i="55"/>
  <c r="G546" i="55"/>
  <c r="G547" i="55"/>
  <c r="G548" i="55"/>
  <c r="G549" i="55"/>
  <c r="G550" i="55"/>
  <c r="G551" i="55"/>
  <c r="G552" i="55"/>
  <c r="G553" i="55"/>
  <c r="G554" i="55"/>
  <c r="G555" i="55"/>
  <c r="G556" i="55"/>
  <c r="G557" i="55"/>
  <c r="G558" i="55"/>
  <c r="G559" i="55"/>
  <c r="G560" i="55"/>
  <c r="G561" i="55"/>
  <c r="G562" i="55"/>
  <c r="G563" i="55"/>
  <c r="G564" i="55"/>
  <c r="G565" i="55"/>
  <c r="G566" i="55"/>
  <c r="G567" i="55"/>
  <c r="G568" i="55"/>
  <c r="G569" i="55"/>
  <c r="G570" i="55"/>
  <c r="G571" i="55"/>
  <c r="G572" i="55"/>
  <c r="G573" i="55"/>
  <c r="G574" i="55"/>
  <c r="G575" i="55"/>
  <c r="G576" i="55"/>
  <c r="G577" i="55"/>
  <c r="G578" i="55"/>
  <c r="G579" i="55"/>
  <c r="G580" i="55"/>
  <c r="G581" i="55"/>
  <c r="G582" i="55"/>
  <c r="G583" i="55"/>
  <c r="G584" i="55"/>
  <c r="G585" i="55"/>
  <c r="G586" i="55"/>
  <c r="G587" i="55"/>
  <c r="G588" i="55"/>
  <c r="G589" i="55"/>
  <c r="G590" i="55"/>
  <c r="G591" i="55"/>
  <c r="G592" i="55"/>
  <c r="G593" i="55"/>
  <c r="G594" i="55"/>
  <c r="G595" i="55"/>
  <c r="G596" i="55"/>
  <c r="G597" i="55"/>
  <c r="G598" i="55"/>
  <c r="G599" i="55"/>
  <c r="G600" i="55"/>
  <c r="G601" i="55"/>
  <c r="G602" i="55"/>
  <c r="G603" i="55"/>
  <c r="G604" i="55"/>
  <c r="G605" i="55"/>
  <c r="G606" i="55"/>
  <c r="G607" i="55"/>
  <c r="G608" i="55"/>
  <c r="G609" i="55"/>
  <c r="G610" i="55"/>
  <c r="G611" i="55"/>
  <c r="G612" i="55"/>
  <c r="G613" i="55"/>
  <c r="G614" i="55"/>
  <c r="G615" i="55"/>
  <c r="G616" i="55"/>
  <c r="G617" i="55"/>
  <c r="G618" i="55"/>
  <c r="G619" i="55"/>
  <c r="G620" i="55"/>
  <c r="G621" i="55"/>
  <c r="G622" i="55"/>
  <c r="G623" i="55"/>
  <c r="G624" i="55"/>
  <c r="G625" i="55"/>
  <c r="G626" i="55"/>
  <c r="G627" i="55"/>
  <c r="G628" i="55"/>
  <c r="G629" i="55"/>
  <c r="G630" i="55"/>
  <c r="G631" i="55"/>
  <c r="G632" i="55"/>
  <c r="G633" i="55"/>
  <c r="G634" i="55"/>
  <c r="G635" i="55"/>
  <c r="G636" i="55"/>
  <c r="G637" i="55"/>
  <c r="G638" i="55"/>
  <c r="G639" i="55"/>
  <c r="G640" i="55"/>
  <c r="G641" i="55"/>
  <c r="G642" i="55"/>
  <c r="G643" i="55"/>
  <c r="G644" i="55"/>
  <c r="G645" i="55"/>
  <c r="G646" i="55"/>
  <c r="G647" i="55"/>
  <c r="G648" i="55"/>
  <c r="G649" i="55"/>
  <c r="G650" i="55"/>
  <c r="G651" i="55"/>
  <c r="G652" i="55"/>
  <c r="G653" i="55"/>
  <c r="G654" i="55"/>
  <c r="G655" i="55"/>
  <c r="G656" i="55"/>
  <c r="G657" i="55"/>
  <c r="G658" i="55"/>
  <c r="G659" i="55"/>
  <c r="G660" i="55"/>
  <c r="G661" i="55"/>
  <c r="G662" i="55"/>
  <c r="G663" i="55"/>
  <c r="G664" i="55"/>
  <c r="G665" i="55"/>
  <c r="G666" i="55"/>
  <c r="G667" i="55"/>
  <c r="G668" i="55"/>
  <c r="G669" i="55"/>
  <c r="G670" i="55"/>
  <c r="G671" i="55"/>
  <c r="G672" i="55"/>
  <c r="G673" i="55"/>
  <c r="G674" i="55"/>
  <c r="G675" i="55"/>
  <c r="G676" i="55"/>
  <c r="G677" i="55"/>
  <c r="G678" i="55"/>
  <c r="G679" i="55"/>
  <c r="G680" i="55"/>
  <c r="G681" i="55"/>
  <c r="G682" i="55"/>
  <c r="G683" i="55"/>
  <c r="G684" i="55"/>
  <c r="G685" i="55"/>
  <c r="G686" i="55"/>
  <c r="G687" i="55"/>
  <c r="G688" i="55"/>
  <c r="G689" i="55"/>
  <c r="G690" i="55"/>
  <c r="G691" i="55"/>
  <c r="G692" i="55"/>
  <c r="G693" i="55"/>
  <c r="G694" i="55"/>
  <c r="G695" i="55"/>
  <c r="G696" i="55"/>
  <c r="G697" i="55"/>
  <c r="G698" i="55"/>
  <c r="G699" i="55"/>
  <c r="G700" i="55"/>
  <c r="G701" i="55"/>
  <c r="G702" i="55"/>
  <c r="G703" i="55"/>
  <c r="G704" i="55"/>
  <c r="G705" i="55"/>
  <c r="G706" i="55"/>
  <c r="G707" i="55"/>
  <c r="G708" i="55"/>
  <c r="G709" i="55"/>
  <c r="G710" i="55"/>
  <c r="G711" i="55"/>
  <c r="G712" i="55"/>
  <c r="G713" i="55"/>
  <c r="G714" i="55"/>
  <c r="G715" i="55"/>
  <c r="G716" i="55"/>
  <c r="G717" i="55"/>
  <c r="G718" i="55"/>
  <c r="G719" i="55"/>
  <c r="G720" i="55"/>
  <c r="G721" i="55"/>
  <c r="G722" i="55"/>
  <c r="G723" i="55"/>
  <c r="G724" i="55"/>
  <c r="G725" i="55"/>
  <c r="G726" i="55"/>
  <c r="G727" i="55"/>
  <c r="G728" i="55"/>
  <c r="G729" i="55"/>
  <c r="G730" i="55"/>
  <c r="G731" i="55"/>
  <c r="G732" i="55"/>
  <c r="G733" i="55"/>
  <c r="G734" i="55"/>
  <c r="G735" i="55"/>
  <c r="G736" i="55"/>
  <c r="G737" i="55"/>
  <c r="G738" i="55"/>
  <c r="G739" i="55"/>
  <c r="G740" i="55"/>
  <c r="G741" i="55"/>
  <c r="G742" i="55"/>
  <c r="G743" i="55"/>
  <c r="G744" i="55"/>
  <c r="G745" i="55"/>
  <c r="G746" i="55"/>
  <c r="G747" i="55"/>
  <c r="G748" i="55"/>
  <c r="G749" i="55"/>
  <c r="G750" i="55"/>
  <c r="G751" i="55"/>
  <c r="G752" i="55"/>
  <c r="G753" i="55"/>
  <c r="G754" i="55"/>
  <c r="G755" i="55"/>
  <c r="G756" i="55"/>
  <c r="G757" i="55"/>
  <c r="G758" i="55"/>
  <c r="G759" i="55"/>
  <c r="G760" i="55"/>
  <c r="G761" i="55"/>
  <c r="G762" i="55"/>
  <c r="G763" i="55"/>
  <c r="G764" i="55"/>
  <c r="G765" i="55"/>
  <c r="G766" i="55"/>
  <c r="G767" i="55"/>
  <c r="G768" i="55"/>
  <c r="G769" i="55"/>
  <c r="G770" i="55"/>
  <c r="G771" i="55"/>
  <c r="G772" i="55"/>
  <c r="G773" i="55"/>
  <c r="G774" i="55"/>
  <c r="G775" i="55"/>
  <c r="G776" i="55"/>
  <c r="G777" i="55"/>
  <c r="G778" i="55"/>
  <c r="G779" i="55"/>
  <c r="G780" i="55"/>
  <c r="G781" i="55"/>
  <c r="G782" i="55"/>
  <c r="G783" i="55"/>
  <c r="G784" i="55"/>
  <c r="G785" i="55"/>
  <c r="G786" i="55"/>
  <c r="G787" i="55"/>
  <c r="G788" i="55"/>
  <c r="G789" i="55"/>
  <c r="G790" i="55"/>
  <c r="G791" i="55"/>
  <c r="G792" i="55"/>
  <c r="G793" i="55"/>
  <c r="G794" i="55"/>
  <c r="G795" i="55"/>
  <c r="G796" i="55"/>
  <c r="G797" i="55"/>
  <c r="G798" i="55"/>
  <c r="G799" i="55"/>
  <c r="G800" i="55"/>
  <c r="G801" i="55"/>
  <c r="G802" i="55"/>
  <c r="G803" i="55"/>
  <c r="G804" i="55"/>
  <c r="G805" i="55"/>
  <c r="G806" i="55"/>
  <c r="G807" i="55"/>
  <c r="G808" i="55"/>
  <c r="G809" i="55"/>
  <c r="G810" i="55"/>
  <c r="G811" i="55"/>
  <c r="G812" i="55"/>
  <c r="G813" i="55"/>
  <c r="G814" i="55"/>
  <c r="G815" i="55"/>
  <c r="G816" i="55"/>
  <c r="G817" i="55"/>
  <c r="G818" i="55"/>
  <c r="G819" i="55"/>
  <c r="G820" i="55"/>
  <c r="G821" i="55"/>
  <c r="G822" i="55"/>
  <c r="G823" i="55"/>
  <c r="G824" i="55"/>
  <c r="G825" i="55"/>
  <c r="G826" i="55"/>
  <c r="G827" i="55"/>
  <c r="G828" i="55"/>
  <c r="G829" i="55"/>
  <c r="G830" i="55"/>
  <c r="G831" i="55"/>
  <c r="G832" i="55"/>
  <c r="G833" i="55"/>
  <c r="G834" i="55"/>
  <c r="G835" i="55"/>
  <c r="G836" i="55"/>
  <c r="G837" i="55"/>
  <c r="G838" i="55"/>
  <c r="G839" i="55"/>
  <c r="G840" i="55"/>
  <c r="G841" i="55"/>
  <c r="G842" i="55"/>
  <c r="G843" i="55"/>
  <c r="G844" i="55"/>
  <c r="G845" i="55"/>
  <c r="G846" i="55"/>
  <c r="G847" i="55"/>
  <c r="G848" i="55"/>
  <c r="G849" i="55"/>
  <c r="G850" i="55"/>
  <c r="G851" i="55"/>
  <c r="G852" i="55"/>
  <c r="G853" i="55"/>
  <c r="G854" i="55"/>
  <c r="G855" i="55"/>
  <c r="G856" i="55"/>
  <c r="G857" i="55"/>
  <c r="G858" i="55"/>
  <c r="G859" i="55"/>
  <c r="G860" i="55"/>
  <c r="G861" i="55"/>
  <c r="G862" i="55"/>
  <c r="G863" i="55"/>
  <c r="G864" i="55"/>
  <c r="G865" i="55"/>
  <c r="G866" i="55"/>
  <c r="G867" i="55"/>
  <c r="G868" i="55"/>
  <c r="G869" i="55"/>
  <c r="G870" i="55"/>
  <c r="G871" i="55"/>
  <c r="G872" i="55"/>
  <c r="A1144" i="55"/>
  <c r="A1145" i="55"/>
  <c r="A1146" i="55"/>
  <c r="A1147" i="55"/>
  <c r="A1148" i="55"/>
  <c r="A1149" i="55"/>
  <c r="A1150" i="55"/>
  <c r="A1151" i="55"/>
  <c r="A1152" i="55"/>
  <c r="A1153" i="55"/>
  <c r="A1154" i="55"/>
  <c r="A1155" i="55"/>
  <c r="A1156" i="55"/>
  <c r="A1157" i="55"/>
  <c r="A1158" i="55"/>
  <c r="A1159" i="55"/>
  <c r="A1160" i="55"/>
  <c r="A1161" i="55"/>
  <c r="A1162" i="55"/>
  <c r="A1163" i="55"/>
  <c r="A1164" i="55"/>
  <c r="A1165" i="55"/>
  <c r="A1166" i="55"/>
  <c r="A1167" i="55"/>
  <c r="A1168" i="55"/>
  <c r="A1169" i="55"/>
  <c r="A1170" i="55"/>
  <c r="A1171" i="55"/>
  <c r="A1172" i="55"/>
  <c r="A1173" i="55"/>
  <c r="A1174" i="55"/>
  <c r="A1175" i="55"/>
  <c r="A1176" i="55"/>
  <c r="A1177" i="55"/>
  <c r="A1178" i="55"/>
  <c r="A1179" i="55"/>
  <c r="A1180" i="55"/>
  <c r="A1181" i="55"/>
  <c r="A1182" i="55"/>
  <c r="A1183" i="55"/>
  <c r="A1184" i="55"/>
  <c r="A1185" i="55"/>
  <c r="A1186" i="55"/>
  <c r="A1187" i="55"/>
  <c r="A1188" i="55"/>
  <c r="A1189" i="55"/>
  <c r="A1190" i="55"/>
  <c r="A1191" i="55"/>
  <c r="A1192" i="55"/>
  <c r="A1193" i="55"/>
  <c r="A1194" i="55"/>
  <c r="A1195" i="55"/>
  <c r="A1196" i="55"/>
  <c r="A1197" i="55"/>
  <c r="A1198" i="55"/>
  <c r="A1199" i="55"/>
  <c r="A1200" i="55"/>
  <c r="A1201" i="55"/>
  <c r="A1202" i="55"/>
  <c r="A1203" i="55"/>
  <c r="A1204" i="55"/>
  <c r="A1205" i="55"/>
  <c r="A1206" i="55"/>
  <c r="A1207" i="55"/>
  <c r="A1208" i="55"/>
  <c r="A1209" i="55"/>
  <c r="A1210" i="55"/>
  <c r="A1211" i="55"/>
  <c r="A1212" i="55"/>
  <c r="A1213" i="55"/>
  <c r="A1214" i="55"/>
  <c r="A1215" i="55"/>
  <c r="A1216" i="55"/>
  <c r="A1217" i="55"/>
  <c r="A1218" i="55"/>
  <c r="A1219" i="55"/>
  <c r="A1220" i="55"/>
  <c r="A1221" i="55"/>
  <c r="A1222" i="55"/>
  <c r="A1223" i="55"/>
  <c r="A1224" i="55"/>
  <c r="A1225" i="55"/>
  <c r="A1226" i="55"/>
  <c r="A1227" i="55"/>
  <c r="A1228" i="55"/>
  <c r="A1229" i="55"/>
  <c r="A1230" i="55"/>
  <c r="A1231" i="55"/>
  <c r="A1232" i="55"/>
  <c r="A1233" i="55"/>
  <c r="A1234" i="55"/>
  <c r="A1235" i="55"/>
  <c r="A1236" i="55"/>
  <c r="A1237" i="55"/>
  <c r="A1238" i="55"/>
  <c r="A1239" i="55"/>
  <c r="A1240" i="55"/>
  <c r="A1241" i="55"/>
  <c r="A1242" i="55"/>
  <c r="A1243" i="55"/>
  <c r="A1244" i="55"/>
  <c r="A1245" i="55"/>
  <c r="A1246" i="55"/>
  <c r="A1247" i="55"/>
  <c r="A1248" i="55"/>
  <c r="A1249" i="55"/>
  <c r="A1250" i="55"/>
  <c r="A1251" i="55"/>
  <c r="A1252" i="55"/>
  <c r="A1253" i="55"/>
  <c r="A1254" i="55"/>
  <c r="A1255" i="55"/>
  <c r="A1256" i="55"/>
  <c r="A1257" i="55"/>
  <c r="A1258" i="55"/>
  <c r="A1259" i="55"/>
  <c r="A1260" i="55"/>
  <c r="A1261" i="55"/>
  <c r="A1262" i="55"/>
  <c r="A1263" i="55"/>
  <c r="A1264" i="55"/>
  <c r="A1265" i="55"/>
  <c r="A1266" i="55"/>
  <c r="A1267" i="55"/>
  <c r="A1268" i="55"/>
  <c r="A1269" i="55"/>
  <c r="A1270" i="55"/>
  <c r="A1271" i="55"/>
  <c r="A1272" i="55"/>
  <c r="A1273" i="55"/>
  <c r="A1274" i="55"/>
  <c r="A1275" i="55"/>
  <c r="A1276" i="55"/>
  <c r="A1277" i="55"/>
  <c r="A1278" i="55"/>
  <c r="A1279" i="55"/>
  <c r="A1280" i="55"/>
  <c r="A1281" i="55"/>
  <c r="A1282" i="55"/>
  <c r="A1283" i="55"/>
  <c r="A1284" i="55"/>
  <c r="A1285" i="55"/>
  <c r="A1286" i="55"/>
  <c r="A1287" i="55"/>
  <c r="A1288" i="55"/>
  <c r="A1289" i="55"/>
  <c r="A1290" i="55"/>
  <c r="A1291" i="55"/>
  <c r="A1292" i="55"/>
  <c r="A1293" i="55"/>
  <c r="A1294" i="55"/>
  <c r="A1295" i="55"/>
  <c r="A1296" i="55"/>
  <c r="A1297" i="55"/>
  <c r="A1298" i="55"/>
  <c r="A1299" i="55"/>
  <c r="A1300" i="55"/>
  <c r="A1301" i="55"/>
  <c r="A1302" i="55"/>
  <c r="A1303" i="55"/>
  <c r="A1304" i="55"/>
  <c r="A1305" i="55"/>
  <c r="A1306" i="55"/>
  <c r="A1307" i="55"/>
  <c r="A1308" i="55"/>
  <c r="A1309" i="55"/>
  <c r="A1310" i="55"/>
  <c r="A1311" i="55"/>
  <c r="A1312" i="55"/>
  <c r="A1313" i="55"/>
  <c r="A1314" i="55"/>
  <c r="A1315" i="55"/>
  <c r="A1316" i="55"/>
  <c r="A1317" i="55"/>
  <c r="A1318" i="55"/>
  <c r="A1319" i="55"/>
  <c r="A1320" i="55"/>
  <c r="A1321" i="55"/>
  <c r="A1322" i="55"/>
  <c r="A1323" i="55"/>
  <c r="A1324" i="55"/>
  <c r="A1325" i="55"/>
  <c r="A1326" i="55"/>
  <c r="A1327" i="55"/>
  <c r="A1328" i="55"/>
  <c r="A1329" i="55"/>
  <c r="A1330" i="55"/>
  <c r="A1331" i="55"/>
  <c r="A1332" i="55"/>
  <c r="A1333" i="55"/>
  <c r="A1334" i="55"/>
  <c r="A1335" i="55"/>
  <c r="A1336" i="55"/>
  <c r="A1337" i="55"/>
  <c r="A1338" i="55"/>
  <c r="A1339" i="55"/>
  <c r="A1340" i="55"/>
  <c r="A1341" i="55"/>
  <c r="A1342" i="55"/>
  <c r="A1343" i="55"/>
  <c r="A1344" i="55"/>
  <c r="A1345" i="55"/>
  <c r="A1346" i="55"/>
  <c r="A1347" i="55"/>
  <c r="A1348" i="55"/>
  <c r="A1349" i="55"/>
  <c r="A1350" i="55"/>
  <c r="A1351" i="55"/>
  <c r="A1352" i="55"/>
  <c r="A1353" i="55"/>
  <c r="A1354" i="55"/>
  <c r="A1355" i="55"/>
  <c r="A1356" i="55"/>
  <c r="A1357" i="55"/>
  <c r="A1358" i="55"/>
  <c r="A1359" i="55"/>
  <c r="A1360" i="55"/>
  <c r="A1361" i="55"/>
  <c r="A1362" i="55"/>
  <c r="A1363" i="55"/>
  <c r="A1364" i="55"/>
  <c r="A1365" i="55"/>
  <c r="A1366" i="55"/>
  <c r="A1367" i="55"/>
  <c r="A1368" i="55"/>
  <c r="A1369" i="55"/>
  <c r="A1370" i="55"/>
  <c r="A1371" i="55"/>
  <c r="A1372" i="55"/>
  <c r="A1373" i="55"/>
  <c r="A1374" i="55"/>
  <c r="A1375" i="55"/>
  <c r="A1376" i="55"/>
  <c r="A1377" i="55"/>
  <c r="A1378" i="55"/>
  <c r="A1379" i="55"/>
  <c r="A1380" i="55"/>
  <c r="A1381" i="55"/>
  <c r="A1382" i="55"/>
  <c r="A1383" i="55"/>
  <c r="A1384" i="55"/>
  <c r="A1385" i="55"/>
  <c r="A1386" i="55"/>
  <c r="A1387" i="55"/>
  <c r="A1388" i="55"/>
  <c r="A1389" i="55"/>
  <c r="A1390" i="55"/>
  <c r="A1391" i="55"/>
  <c r="A1392" i="55"/>
  <c r="A1393" i="55"/>
  <c r="A1394" i="55"/>
  <c r="A1395" i="55"/>
  <c r="A1396" i="55"/>
  <c r="A1397" i="55"/>
  <c r="A1398" i="55"/>
  <c r="A1399" i="55"/>
  <c r="A1400" i="55"/>
  <c r="A1401" i="55"/>
  <c r="A1402" i="55"/>
  <c r="A1403" i="55"/>
  <c r="A1404" i="55"/>
  <c r="A1405" i="55"/>
  <c r="A1406" i="55"/>
  <c r="A1407" i="55"/>
  <c r="A1408" i="55"/>
  <c r="A1409" i="55"/>
  <c r="A1410" i="55"/>
  <c r="A1411" i="55"/>
  <c r="A1412" i="55"/>
  <c r="A1413" i="55"/>
  <c r="A1414" i="55"/>
  <c r="A1415" i="55"/>
  <c r="A1416" i="55"/>
  <c r="A1417" i="55"/>
  <c r="A1418" i="55"/>
  <c r="A1419" i="55"/>
  <c r="A1420" i="55"/>
  <c r="A1421" i="55"/>
  <c r="A1422" i="55"/>
  <c r="A1423" i="55"/>
  <c r="A1424" i="55"/>
  <c r="A1425" i="55"/>
  <c r="A1426" i="55"/>
  <c r="A1427" i="55"/>
  <c r="A1428" i="55"/>
  <c r="A1429" i="55"/>
  <c r="A1430" i="55"/>
  <c r="A1431" i="55"/>
  <c r="A1432" i="55"/>
  <c r="A1433" i="55"/>
  <c r="A1434" i="55"/>
  <c r="A1435" i="55"/>
  <c r="A1436" i="55"/>
  <c r="A1437" i="55"/>
  <c r="A1438" i="55"/>
  <c r="A1439" i="55"/>
  <c r="A1440" i="55"/>
  <c r="A1441" i="55"/>
  <c r="A1442" i="55"/>
  <c r="A1443" i="55"/>
  <c r="A1444" i="55"/>
  <c r="A1445" i="55"/>
  <c r="A1446" i="55"/>
  <c r="A1447" i="55"/>
  <c r="A1448" i="55"/>
  <c r="A1449" i="55"/>
  <c r="A1450" i="55"/>
  <c r="A1451" i="55"/>
  <c r="A1452" i="55"/>
  <c r="A1453" i="55"/>
  <c r="A1454" i="55"/>
  <c r="A1455" i="55"/>
  <c r="A1456" i="55"/>
  <c r="A1457" i="55"/>
  <c r="A1458" i="55"/>
  <c r="A1459" i="55"/>
  <c r="A1460" i="55"/>
  <c r="A1461" i="55"/>
  <c r="A1462" i="55"/>
  <c r="A1463" i="55"/>
  <c r="A1464" i="55"/>
  <c r="A1465" i="55"/>
  <c r="A1466" i="55"/>
  <c r="A1467" i="55"/>
  <c r="A1468" i="55"/>
  <c r="A1469" i="55"/>
  <c r="A1470" i="55"/>
  <c r="A1471" i="55"/>
  <c r="A1472" i="55"/>
  <c r="A1473" i="55"/>
  <c r="A1474" i="55"/>
  <c r="A1475" i="55"/>
  <c r="A1476" i="55"/>
  <c r="A1477" i="55"/>
  <c r="A1478" i="55"/>
  <c r="A1479" i="55"/>
  <c r="A1480" i="55"/>
  <c r="A1481" i="55"/>
  <c r="A1482" i="55"/>
  <c r="A1483" i="55"/>
  <c r="A1484" i="55"/>
  <c r="A1485" i="55"/>
  <c r="A1486" i="55"/>
  <c r="A1487" i="55"/>
  <c r="A1488" i="55"/>
  <c r="A1489" i="55"/>
  <c r="A1490" i="55"/>
  <c r="A1491" i="55"/>
  <c r="A1492" i="55"/>
  <c r="A1493" i="55"/>
  <c r="A1494" i="55"/>
  <c r="A1495" i="55"/>
  <c r="A1496" i="55"/>
  <c r="A1497" i="55"/>
  <c r="A1498" i="55"/>
  <c r="A1499" i="55"/>
  <c r="A1500" i="55"/>
  <c r="A868" i="5"/>
  <c r="D12" i="55"/>
  <c r="D13" i="55"/>
  <c r="D14" i="55"/>
  <c r="D15" i="55"/>
  <c r="D16" i="55"/>
  <c r="D17" i="55"/>
  <c r="D18" i="55"/>
  <c r="D19" i="55"/>
  <c r="D20" i="55"/>
  <c r="D21" i="55"/>
  <c r="D22" i="55"/>
  <c r="D23" i="55"/>
  <c r="D24" i="55"/>
  <c r="D25" i="55"/>
  <c r="D26" i="55"/>
  <c r="D27" i="55"/>
  <c r="D28" i="55"/>
  <c r="D29" i="55"/>
  <c r="D30" i="55"/>
  <c r="D31" i="55"/>
  <c r="D32" i="55"/>
  <c r="D33" i="55"/>
  <c r="D34" i="55"/>
  <c r="D35" i="55"/>
  <c r="D36" i="55"/>
  <c r="D37" i="55"/>
  <c r="D38" i="55"/>
  <c r="D39" i="55"/>
  <c r="D40" i="55"/>
  <c r="D41" i="55"/>
  <c r="D42" i="55"/>
  <c r="D43" i="55"/>
  <c r="D44" i="55"/>
  <c r="D45" i="55"/>
  <c r="D46" i="55"/>
  <c r="D47" i="55"/>
  <c r="D48" i="55"/>
  <c r="D49" i="55"/>
  <c r="D50" i="55"/>
  <c r="D51" i="55"/>
  <c r="D52" i="55"/>
  <c r="D53" i="55"/>
  <c r="D54" i="55"/>
  <c r="D55" i="55"/>
  <c r="D56" i="55"/>
  <c r="D57" i="55"/>
  <c r="D58" i="55"/>
  <c r="D59" i="55"/>
  <c r="D60" i="55"/>
  <c r="D61" i="55"/>
  <c r="D62" i="55"/>
  <c r="D63" i="55"/>
  <c r="D64" i="55"/>
  <c r="D65" i="55"/>
  <c r="D66" i="55"/>
  <c r="D67" i="55"/>
  <c r="D68" i="55"/>
  <c r="D69" i="55"/>
  <c r="D70" i="55"/>
  <c r="D71" i="55"/>
  <c r="D72" i="55"/>
  <c r="D73" i="55"/>
  <c r="D74" i="55"/>
  <c r="D75" i="55"/>
  <c r="D76" i="55"/>
  <c r="D77" i="55"/>
  <c r="D78" i="55"/>
  <c r="D79" i="55"/>
  <c r="D80" i="55"/>
  <c r="D81" i="55"/>
  <c r="D82" i="55"/>
  <c r="D83" i="55"/>
  <c r="D84" i="55"/>
  <c r="D85" i="55"/>
  <c r="D86" i="55"/>
  <c r="D87" i="55"/>
  <c r="D88" i="55"/>
  <c r="D89" i="55"/>
  <c r="D90" i="55"/>
  <c r="D91" i="55"/>
  <c r="D92" i="55"/>
  <c r="D93" i="55"/>
  <c r="D94" i="55"/>
  <c r="D95" i="55"/>
  <c r="D96" i="55"/>
  <c r="D97" i="55"/>
  <c r="D98" i="55"/>
  <c r="D99" i="55"/>
  <c r="D100" i="55"/>
  <c r="D101" i="55"/>
  <c r="D102" i="55"/>
  <c r="D103" i="55"/>
  <c r="D104" i="55"/>
  <c r="D105" i="55"/>
  <c r="D106" i="55"/>
  <c r="D107" i="55"/>
  <c r="D108" i="55"/>
  <c r="D109" i="55"/>
  <c r="D110" i="55"/>
  <c r="D111" i="55"/>
  <c r="D112" i="55"/>
  <c r="D113" i="55"/>
  <c r="D114" i="55"/>
  <c r="D115" i="55"/>
  <c r="D116" i="55"/>
  <c r="D117" i="55"/>
  <c r="D118" i="55"/>
  <c r="D119" i="55"/>
  <c r="D120" i="55"/>
  <c r="D121" i="55"/>
  <c r="D122" i="55"/>
  <c r="D123" i="55"/>
  <c r="D124" i="55"/>
  <c r="D125" i="55"/>
  <c r="D126" i="55"/>
  <c r="D127" i="55"/>
  <c r="D128" i="55"/>
  <c r="D129" i="55"/>
  <c r="D130" i="55"/>
  <c r="D131" i="55"/>
  <c r="D132" i="55"/>
  <c r="D133" i="55"/>
  <c r="D134" i="55"/>
  <c r="D135" i="55"/>
  <c r="D136" i="55"/>
  <c r="D137" i="55"/>
  <c r="D138" i="55"/>
  <c r="D139" i="55"/>
  <c r="D140" i="55"/>
  <c r="D141" i="55"/>
  <c r="D142" i="55"/>
  <c r="D143" i="55"/>
  <c r="D144" i="55"/>
  <c r="D145" i="55"/>
  <c r="D146" i="55"/>
  <c r="D147" i="55"/>
  <c r="D148" i="55"/>
  <c r="D149" i="55"/>
  <c r="D150" i="55"/>
  <c r="D151" i="55"/>
  <c r="D152" i="55"/>
  <c r="D153" i="55"/>
  <c r="D154" i="55"/>
  <c r="D155" i="55"/>
  <c r="D156" i="55"/>
  <c r="D157" i="55"/>
  <c r="D158" i="55"/>
  <c r="D159" i="55"/>
  <c r="D160" i="55"/>
  <c r="D161" i="55"/>
  <c r="D162" i="55"/>
  <c r="D163" i="55"/>
  <c r="D164" i="55"/>
  <c r="D165" i="55"/>
  <c r="D166" i="55"/>
  <c r="D167" i="55"/>
  <c r="D168" i="55"/>
  <c r="D169" i="55"/>
  <c r="D170" i="55"/>
  <c r="D171" i="55"/>
  <c r="D172" i="55"/>
  <c r="D173" i="55"/>
  <c r="D174" i="55"/>
  <c r="D175" i="55"/>
  <c r="D176" i="55"/>
  <c r="D177" i="55"/>
  <c r="D178" i="55"/>
  <c r="D179" i="55"/>
  <c r="D180" i="55"/>
  <c r="D181" i="55"/>
  <c r="D182" i="55"/>
  <c r="D183" i="55"/>
  <c r="D184" i="55"/>
  <c r="D185" i="55"/>
  <c r="D186" i="55"/>
  <c r="D187" i="55"/>
  <c r="D188" i="55"/>
  <c r="D189" i="55"/>
  <c r="D190" i="55"/>
  <c r="D191" i="55"/>
  <c r="D192" i="55"/>
  <c r="D193" i="55"/>
  <c r="D194" i="55"/>
  <c r="D195" i="55"/>
  <c r="D196" i="55"/>
  <c r="D197" i="55"/>
  <c r="D198" i="55"/>
  <c r="D199" i="55"/>
  <c r="D200" i="55"/>
  <c r="D201" i="55"/>
  <c r="D202" i="55"/>
  <c r="D203" i="55"/>
  <c r="D204" i="55"/>
  <c r="D205" i="55"/>
  <c r="D206" i="55"/>
  <c r="D207" i="55"/>
  <c r="D208" i="55"/>
  <c r="D209" i="55"/>
  <c r="D210" i="55"/>
  <c r="D211" i="55"/>
  <c r="D212" i="55"/>
  <c r="D213" i="55"/>
  <c r="D214" i="55"/>
  <c r="D215" i="55"/>
  <c r="D216" i="55"/>
  <c r="D217" i="55"/>
  <c r="D218" i="55"/>
  <c r="D219" i="55"/>
  <c r="D220" i="55"/>
  <c r="D221" i="55"/>
  <c r="D222" i="55"/>
  <c r="D223" i="55"/>
  <c r="D224" i="55"/>
  <c r="D225" i="55"/>
  <c r="D226" i="55"/>
  <c r="D227" i="55"/>
  <c r="D228" i="55"/>
  <c r="D229" i="55"/>
  <c r="D230" i="55"/>
  <c r="D231" i="55"/>
  <c r="D232" i="55"/>
  <c r="D233" i="55"/>
  <c r="D234" i="55"/>
  <c r="D235" i="55"/>
  <c r="D236" i="55"/>
  <c r="D237" i="55"/>
  <c r="D238" i="55"/>
  <c r="D239" i="55"/>
  <c r="D240" i="55"/>
  <c r="D241" i="55"/>
  <c r="D242" i="55"/>
  <c r="D243" i="55"/>
  <c r="D244" i="55"/>
  <c r="D245" i="55"/>
  <c r="D246" i="55"/>
  <c r="D247" i="55"/>
  <c r="D248" i="55"/>
  <c r="D249" i="55"/>
  <c r="D250" i="55"/>
  <c r="D251" i="55"/>
  <c r="D252" i="55"/>
  <c r="D253" i="55"/>
  <c r="D254" i="55"/>
  <c r="D255" i="55"/>
  <c r="D256" i="55"/>
  <c r="D257" i="55"/>
  <c r="D258" i="55"/>
  <c r="D259" i="55"/>
  <c r="D260" i="55"/>
  <c r="D261" i="55"/>
  <c r="D262" i="55"/>
  <c r="D263" i="55"/>
  <c r="D264" i="55"/>
  <c r="D265" i="55"/>
  <c r="D266" i="55"/>
  <c r="D267" i="55"/>
  <c r="D268" i="55"/>
  <c r="D269" i="55"/>
  <c r="D270" i="55"/>
  <c r="D271" i="55"/>
  <c r="D272" i="55"/>
  <c r="D273" i="55"/>
  <c r="D274" i="55"/>
  <c r="D275" i="55"/>
  <c r="D276" i="55"/>
  <c r="D277" i="55"/>
  <c r="D278" i="55"/>
  <c r="D279" i="55"/>
  <c r="D280" i="55"/>
  <c r="D281" i="55"/>
  <c r="D282" i="55"/>
  <c r="D283" i="55"/>
  <c r="D284" i="55"/>
  <c r="D285" i="55"/>
  <c r="D286" i="55"/>
  <c r="D287" i="55"/>
  <c r="D288" i="55"/>
  <c r="D289" i="55"/>
  <c r="D290" i="55"/>
  <c r="D291" i="55"/>
  <c r="D292" i="55"/>
  <c r="D293" i="55"/>
  <c r="D294" i="55"/>
  <c r="D295" i="55"/>
  <c r="D296" i="55"/>
  <c r="D297" i="55"/>
  <c r="D298" i="55"/>
  <c r="D299" i="55"/>
  <c r="D300" i="55"/>
  <c r="D301" i="55"/>
  <c r="D302" i="55"/>
  <c r="D303" i="55"/>
  <c r="D304" i="55"/>
  <c r="D305" i="55"/>
  <c r="D306" i="55"/>
  <c r="D307" i="55"/>
  <c r="D308" i="55"/>
  <c r="D309" i="55"/>
  <c r="D310" i="55"/>
  <c r="D311" i="55"/>
  <c r="D312" i="55"/>
  <c r="D313" i="55"/>
  <c r="D314" i="55"/>
  <c r="D315" i="55"/>
  <c r="D316" i="55"/>
  <c r="D317" i="55"/>
  <c r="D318" i="55"/>
  <c r="D319" i="55"/>
  <c r="D320" i="55"/>
  <c r="D321" i="55"/>
  <c r="D322" i="55"/>
  <c r="D323" i="55"/>
  <c r="D324" i="55"/>
  <c r="D325" i="55"/>
  <c r="D326" i="55"/>
  <c r="D327" i="55"/>
  <c r="D328" i="55"/>
  <c r="D329" i="55"/>
  <c r="D330" i="55"/>
  <c r="D331" i="55"/>
  <c r="D332" i="55"/>
  <c r="D333" i="55"/>
  <c r="D334" i="55"/>
  <c r="D335" i="55"/>
  <c r="D336" i="55"/>
  <c r="D337" i="55"/>
  <c r="D338" i="55"/>
  <c r="D339" i="55"/>
  <c r="D340" i="55"/>
  <c r="D341" i="55"/>
  <c r="D342" i="55"/>
  <c r="D343" i="55"/>
  <c r="D344" i="55"/>
  <c r="D345" i="55"/>
  <c r="D346" i="55"/>
  <c r="D347" i="55"/>
  <c r="D348" i="55"/>
  <c r="D349" i="55"/>
  <c r="D350" i="55"/>
  <c r="D351" i="55"/>
  <c r="D352" i="55"/>
  <c r="D353" i="55"/>
  <c r="D354" i="55"/>
  <c r="D355" i="55"/>
  <c r="D356" i="55"/>
  <c r="D357" i="55"/>
  <c r="D358" i="55"/>
  <c r="D359" i="55"/>
  <c r="D360" i="55"/>
  <c r="D361" i="55"/>
  <c r="D362" i="55"/>
  <c r="D363" i="55"/>
  <c r="D364" i="55"/>
  <c r="D365" i="55"/>
  <c r="D366" i="55"/>
  <c r="D367" i="55"/>
  <c r="D368" i="55"/>
  <c r="D369" i="55"/>
  <c r="D370" i="55"/>
  <c r="D371" i="55"/>
  <c r="D372" i="55"/>
  <c r="D373" i="55"/>
  <c r="D374" i="55"/>
  <c r="D375" i="55"/>
  <c r="D376" i="55"/>
  <c r="D377" i="55"/>
  <c r="D378" i="55"/>
  <c r="D379" i="55"/>
  <c r="D380" i="55"/>
  <c r="D381" i="55"/>
  <c r="D382" i="55"/>
  <c r="D383" i="55"/>
  <c r="D384" i="55"/>
  <c r="D385" i="55"/>
  <c r="D386" i="55"/>
  <c r="D387" i="55"/>
  <c r="D388" i="55"/>
  <c r="D389" i="55"/>
  <c r="D390" i="55"/>
  <c r="D391" i="55"/>
  <c r="D392" i="55"/>
  <c r="D393" i="55"/>
  <c r="D394" i="55"/>
  <c r="D395" i="55"/>
  <c r="D396" i="55"/>
  <c r="D397" i="55"/>
  <c r="D398" i="55"/>
  <c r="D399" i="55"/>
  <c r="D400" i="55"/>
  <c r="D401" i="55"/>
  <c r="D402" i="55"/>
  <c r="D403" i="55"/>
  <c r="D404" i="55"/>
  <c r="D405" i="55"/>
  <c r="D406" i="55"/>
  <c r="D407" i="55"/>
  <c r="D408" i="55"/>
  <c r="D409" i="55"/>
  <c r="D410" i="55"/>
  <c r="D411" i="55"/>
  <c r="D412" i="55"/>
  <c r="D413" i="55"/>
  <c r="D414" i="55"/>
  <c r="D415" i="55"/>
  <c r="D416" i="55"/>
  <c r="D417" i="55"/>
  <c r="D418" i="55"/>
  <c r="D419" i="55"/>
  <c r="D420" i="55"/>
  <c r="D421" i="55"/>
  <c r="D422" i="55"/>
  <c r="D423" i="55"/>
  <c r="D424" i="55"/>
  <c r="D425" i="55"/>
  <c r="D426" i="55"/>
  <c r="D427" i="55"/>
  <c r="D428" i="55"/>
  <c r="D429" i="55"/>
  <c r="D430" i="55"/>
  <c r="D431" i="55"/>
  <c r="D432" i="55"/>
  <c r="D433" i="55"/>
  <c r="D434" i="55"/>
  <c r="D435" i="55"/>
  <c r="D436" i="55"/>
  <c r="D437" i="55"/>
  <c r="D438" i="55"/>
  <c r="D439" i="55"/>
  <c r="D440" i="55"/>
  <c r="D441" i="55"/>
  <c r="D442" i="55"/>
  <c r="D443" i="55"/>
  <c r="D444" i="55"/>
  <c r="D445" i="55"/>
  <c r="D446" i="55"/>
  <c r="D447" i="55"/>
  <c r="D448" i="55"/>
  <c r="D449" i="55"/>
  <c r="D450" i="55"/>
  <c r="D451" i="55"/>
  <c r="D452" i="55"/>
  <c r="D453" i="55"/>
  <c r="D454" i="55"/>
  <c r="D455" i="55"/>
  <c r="D456" i="55"/>
  <c r="D457" i="55"/>
  <c r="D458" i="55"/>
  <c r="D459" i="55"/>
  <c r="D460" i="55"/>
  <c r="D461" i="55"/>
  <c r="D462" i="55"/>
  <c r="D463" i="55"/>
  <c r="D464" i="55"/>
  <c r="D465" i="55"/>
  <c r="D466" i="55"/>
  <c r="D467" i="55"/>
  <c r="D468" i="55"/>
  <c r="D469" i="55"/>
  <c r="D470" i="55"/>
  <c r="D471" i="55"/>
  <c r="D472" i="55"/>
  <c r="D473" i="55"/>
  <c r="D474" i="55"/>
  <c r="D475" i="55"/>
  <c r="D476" i="55"/>
  <c r="D477" i="55"/>
  <c r="D478" i="55"/>
  <c r="D479" i="55"/>
  <c r="D480" i="55"/>
  <c r="D481" i="55"/>
  <c r="D482" i="55"/>
  <c r="D483" i="55"/>
  <c r="D484" i="55"/>
  <c r="D485" i="55"/>
  <c r="D486" i="55"/>
  <c r="D487" i="55"/>
  <c r="D488" i="55"/>
  <c r="D489" i="55"/>
  <c r="D490" i="55"/>
  <c r="D491" i="55"/>
  <c r="D492" i="55"/>
  <c r="D493" i="55"/>
  <c r="D494" i="55"/>
  <c r="D495" i="55"/>
  <c r="D496" i="55"/>
  <c r="D497" i="55"/>
  <c r="D498" i="55"/>
  <c r="D499" i="55"/>
  <c r="D500" i="55"/>
  <c r="D501" i="55"/>
  <c r="D502" i="55"/>
  <c r="D503" i="55"/>
  <c r="D504" i="55"/>
  <c r="D505" i="55"/>
  <c r="D506" i="55"/>
  <c r="D507" i="55"/>
  <c r="D508" i="55"/>
  <c r="D509" i="55"/>
  <c r="D510" i="55"/>
  <c r="D511" i="55"/>
  <c r="D512" i="55"/>
  <c r="D513" i="55"/>
  <c r="D514" i="55"/>
  <c r="D515" i="55"/>
  <c r="D516" i="55"/>
  <c r="D517" i="55"/>
  <c r="D518" i="55"/>
  <c r="D519" i="55"/>
  <c r="D520" i="55"/>
  <c r="D521" i="55"/>
  <c r="D522" i="55"/>
  <c r="D523" i="55"/>
  <c r="D524" i="55"/>
  <c r="D525" i="55"/>
  <c r="D526" i="55"/>
  <c r="D527" i="55"/>
  <c r="D528" i="55"/>
  <c r="D529" i="55"/>
  <c r="D530" i="55"/>
  <c r="D531" i="55"/>
  <c r="D532" i="55"/>
  <c r="D533" i="55"/>
  <c r="D534" i="55"/>
  <c r="D535" i="55"/>
  <c r="D536" i="55"/>
  <c r="D537" i="55"/>
  <c r="D538" i="55"/>
  <c r="D539" i="55"/>
  <c r="D540" i="55"/>
  <c r="D541" i="55"/>
  <c r="D542" i="55"/>
  <c r="D543" i="55"/>
  <c r="D544" i="55"/>
  <c r="D545" i="55"/>
  <c r="D546" i="55"/>
  <c r="D547" i="55"/>
  <c r="D548" i="55"/>
  <c r="D549" i="55"/>
  <c r="D550" i="55"/>
  <c r="D551" i="55"/>
  <c r="D552" i="55"/>
  <c r="D553" i="55"/>
  <c r="D554" i="55"/>
  <c r="D555" i="55"/>
  <c r="D556" i="55"/>
  <c r="D557" i="55"/>
  <c r="D558" i="55"/>
  <c r="D559" i="55"/>
  <c r="D560" i="55"/>
  <c r="D561" i="55"/>
  <c r="D562" i="55"/>
  <c r="D563" i="55"/>
  <c r="D564" i="55"/>
  <c r="D565" i="55"/>
  <c r="D566" i="55"/>
  <c r="D567" i="55"/>
  <c r="D568" i="55"/>
  <c r="D569" i="55"/>
  <c r="D570" i="55"/>
  <c r="D571" i="55"/>
  <c r="D572" i="55"/>
  <c r="D573" i="55"/>
  <c r="D574" i="55"/>
  <c r="D575" i="55"/>
  <c r="D576" i="55"/>
  <c r="D577" i="55"/>
  <c r="D578" i="55"/>
  <c r="D579" i="55"/>
  <c r="D580" i="55"/>
  <c r="D581" i="55"/>
  <c r="D582" i="55"/>
  <c r="D583" i="55"/>
  <c r="D584" i="55"/>
  <c r="D585" i="55"/>
  <c r="D586" i="55"/>
  <c r="D587" i="55"/>
  <c r="D588" i="55"/>
  <c r="D589" i="55"/>
  <c r="D590" i="55"/>
  <c r="D591" i="55"/>
  <c r="D592" i="55"/>
  <c r="D593" i="55"/>
  <c r="D594" i="55"/>
  <c r="D595" i="55"/>
  <c r="D596" i="55"/>
  <c r="D597" i="55"/>
  <c r="D598" i="55"/>
  <c r="D599" i="55"/>
  <c r="D600" i="55"/>
  <c r="D601" i="55"/>
  <c r="D602" i="55"/>
  <c r="D603" i="55"/>
  <c r="D604" i="55"/>
  <c r="D605" i="55"/>
  <c r="D606" i="55"/>
  <c r="D607" i="55"/>
  <c r="D608" i="55"/>
  <c r="D609" i="55"/>
  <c r="D610" i="55"/>
  <c r="D611" i="55"/>
  <c r="D612" i="55"/>
  <c r="D613" i="55"/>
  <c r="D614" i="55"/>
  <c r="D615" i="55"/>
  <c r="D616" i="55"/>
  <c r="D617" i="55"/>
  <c r="D618" i="55"/>
  <c r="D619" i="55"/>
  <c r="D620" i="55"/>
  <c r="D621" i="55"/>
  <c r="D622" i="55"/>
  <c r="D623" i="55"/>
  <c r="D624" i="55"/>
  <c r="D625" i="55"/>
  <c r="D626" i="55"/>
  <c r="D627" i="55"/>
  <c r="D628" i="55"/>
  <c r="D629" i="55"/>
  <c r="D630" i="55"/>
  <c r="D631" i="55"/>
  <c r="D632" i="55"/>
  <c r="D633" i="55"/>
  <c r="D634" i="55"/>
  <c r="D635" i="55"/>
  <c r="D636" i="55"/>
  <c r="D637" i="55"/>
  <c r="D638" i="55"/>
  <c r="D639" i="55"/>
  <c r="D640" i="55"/>
  <c r="D641" i="55"/>
  <c r="D642" i="55"/>
  <c r="D643" i="55"/>
  <c r="D644" i="55"/>
  <c r="D645" i="55"/>
  <c r="D646" i="55"/>
  <c r="D647" i="55"/>
  <c r="D648" i="55"/>
  <c r="D649" i="55"/>
  <c r="D650" i="55"/>
  <c r="D651" i="55"/>
  <c r="D652" i="55"/>
  <c r="D653" i="55"/>
  <c r="D654" i="55"/>
  <c r="D655" i="55"/>
  <c r="D656" i="55"/>
  <c r="D657" i="55"/>
  <c r="D658" i="55"/>
  <c r="D659" i="55"/>
  <c r="D660" i="55"/>
  <c r="D661" i="55"/>
  <c r="D662" i="55"/>
  <c r="D663" i="55"/>
  <c r="D664" i="55"/>
  <c r="D665" i="55"/>
  <c r="D666" i="55"/>
  <c r="D667" i="55"/>
  <c r="D668" i="55"/>
  <c r="D669" i="55"/>
  <c r="D670" i="55"/>
  <c r="D671" i="55"/>
  <c r="D672" i="55"/>
  <c r="D673" i="55"/>
  <c r="D674" i="55"/>
  <c r="D675" i="55"/>
  <c r="D676" i="55"/>
  <c r="D677" i="55"/>
  <c r="D678" i="55"/>
  <c r="D679" i="55"/>
  <c r="D680" i="55"/>
  <c r="D681" i="55"/>
  <c r="D682" i="55"/>
  <c r="D683" i="55"/>
  <c r="D684" i="55"/>
  <c r="D685" i="55"/>
  <c r="D686" i="55"/>
  <c r="D687" i="55"/>
  <c r="D688" i="55"/>
  <c r="D689" i="55"/>
  <c r="D690" i="55"/>
  <c r="D691" i="55"/>
  <c r="D692" i="55"/>
  <c r="D693" i="55"/>
  <c r="D694" i="55"/>
  <c r="D695" i="55"/>
  <c r="D696" i="55"/>
  <c r="D697" i="55"/>
  <c r="D698" i="55"/>
  <c r="D699" i="55"/>
  <c r="D700" i="55"/>
  <c r="D701" i="55"/>
  <c r="D702" i="55"/>
  <c r="D703" i="55"/>
  <c r="D704" i="55"/>
  <c r="D705" i="55"/>
  <c r="D706" i="55"/>
  <c r="D707" i="55"/>
  <c r="D708" i="55"/>
  <c r="D709" i="55"/>
  <c r="D710" i="55"/>
  <c r="D711" i="55"/>
  <c r="D712" i="55"/>
  <c r="D713" i="55"/>
  <c r="D714" i="55"/>
  <c r="D715" i="55"/>
  <c r="D716" i="55"/>
  <c r="D717" i="55"/>
  <c r="D718" i="55"/>
  <c r="D719" i="55"/>
  <c r="D720" i="55"/>
  <c r="D721" i="55"/>
  <c r="D722" i="55"/>
  <c r="D723" i="55"/>
  <c r="D724" i="55"/>
  <c r="D725" i="55"/>
  <c r="D726" i="55"/>
  <c r="D727" i="55"/>
  <c r="D728" i="55"/>
  <c r="D729" i="55"/>
  <c r="D730" i="55"/>
  <c r="D731" i="55"/>
  <c r="D732" i="55"/>
  <c r="D733" i="55"/>
  <c r="D734" i="55"/>
  <c r="D735" i="55"/>
  <c r="D736" i="55"/>
  <c r="D737" i="55"/>
  <c r="D738" i="55"/>
  <c r="D739" i="55"/>
  <c r="D740" i="55"/>
  <c r="D741" i="55"/>
  <c r="D742" i="55"/>
  <c r="D743" i="55"/>
  <c r="D744" i="55"/>
  <c r="D745" i="55"/>
  <c r="D746" i="55"/>
  <c r="D747" i="55"/>
  <c r="D748" i="55"/>
  <c r="D749" i="55"/>
  <c r="D750" i="55"/>
  <c r="D751" i="55"/>
  <c r="D752" i="55"/>
  <c r="D753" i="55"/>
  <c r="D754" i="55"/>
  <c r="D755" i="55"/>
  <c r="D756" i="55"/>
  <c r="D757" i="55"/>
  <c r="D758" i="55"/>
  <c r="D759" i="55"/>
  <c r="D760" i="55"/>
  <c r="D761" i="55"/>
  <c r="D762" i="55"/>
  <c r="D763" i="55"/>
  <c r="D764" i="55"/>
  <c r="D765" i="55"/>
  <c r="D766" i="55"/>
  <c r="D767" i="55"/>
  <c r="D768" i="55"/>
  <c r="D769" i="55"/>
  <c r="D770" i="55"/>
  <c r="D771" i="55"/>
  <c r="D772" i="55"/>
  <c r="D773" i="55"/>
  <c r="D774" i="55"/>
  <c r="D775" i="55"/>
  <c r="D776" i="55"/>
  <c r="D777" i="55"/>
  <c r="D778" i="55"/>
  <c r="D779" i="55"/>
  <c r="D780" i="55"/>
  <c r="D781" i="55"/>
  <c r="D782" i="55"/>
  <c r="D783" i="55"/>
  <c r="D784" i="55"/>
  <c r="D785" i="55"/>
  <c r="D786" i="55"/>
  <c r="D787" i="55"/>
  <c r="D788" i="55"/>
  <c r="D789" i="55"/>
  <c r="D790" i="55"/>
  <c r="D791" i="55"/>
  <c r="D792" i="55"/>
  <c r="D793" i="55"/>
  <c r="D794" i="55"/>
  <c r="D795" i="55"/>
  <c r="D796" i="55"/>
  <c r="D797" i="55"/>
  <c r="D798" i="55"/>
  <c r="D799" i="55"/>
  <c r="D800" i="55"/>
  <c r="D801" i="55"/>
  <c r="D802" i="55"/>
  <c r="D803" i="55"/>
  <c r="D804" i="55"/>
  <c r="D805" i="55"/>
  <c r="D806" i="55"/>
  <c r="D807" i="55"/>
  <c r="D808" i="55"/>
  <c r="D809" i="55"/>
  <c r="D810" i="55"/>
  <c r="D811" i="55"/>
  <c r="D812" i="55"/>
  <c r="D813" i="55"/>
  <c r="D814" i="55"/>
  <c r="D815" i="55"/>
  <c r="D816" i="55"/>
  <c r="D817" i="55"/>
  <c r="D818" i="55"/>
  <c r="D819" i="55"/>
  <c r="D820" i="55"/>
  <c r="D821" i="55"/>
  <c r="D822" i="55"/>
  <c r="D823" i="55"/>
  <c r="D824" i="55"/>
  <c r="D825" i="55"/>
  <c r="D826" i="55"/>
  <c r="D827" i="55"/>
  <c r="D828" i="55"/>
  <c r="D829" i="55"/>
  <c r="D830" i="55"/>
  <c r="D831" i="55"/>
  <c r="D832" i="55"/>
  <c r="D833" i="55"/>
  <c r="D834" i="55"/>
  <c r="D835" i="55"/>
  <c r="D836" i="55"/>
  <c r="D837" i="55"/>
  <c r="D838" i="55"/>
  <c r="D839" i="55"/>
  <c r="D840" i="55"/>
  <c r="D841" i="55"/>
  <c r="D842" i="55"/>
  <c r="D843" i="55"/>
  <c r="D844" i="55"/>
  <c r="D845" i="55"/>
  <c r="D846" i="55"/>
  <c r="D847" i="55"/>
  <c r="D848" i="55"/>
  <c r="D849" i="55"/>
  <c r="D850" i="55"/>
  <c r="D851" i="55"/>
  <c r="D852" i="55"/>
  <c r="D853" i="55"/>
  <c r="D854" i="55"/>
  <c r="D855" i="55"/>
  <c r="D856" i="55"/>
  <c r="D857" i="55"/>
  <c r="D858" i="55"/>
  <c r="D859" i="55"/>
  <c r="D860" i="55"/>
  <c r="D861" i="55"/>
  <c r="D862" i="55"/>
  <c r="D863" i="55"/>
  <c r="D864" i="55"/>
  <c r="D865" i="55"/>
  <c r="D866" i="55"/>
  <c r="D867" i="55"/>
  <c r="D868" i="55"/>
  <c r="D869" i="55"/>
  <c r="D870" i="55"/>
  <c r="D871" i="55"/>
  <c r="D872" i="55"/>
  <c r="F12" i="55"/>
  <c r="F13" i="55"/>
  <c r="F14" i="55"/>
  <c r="F15" i="55"/>
  <c r="F16" i="55"/>
  <c r="F17" i="55"/>
  <c r="F18" i="55"/>
  <c r="F19" i="55"/>
  <c r="F20" i="55"/>
  <c r="F21" i="55"/>
  <c r="F22" i="55"/>
  <c r="F23" i="55"/>
  <c r="F24" i="55"/>
  <c r="F25" i="55"/>
  <c r="F26" i="55"/>
  <c r="F27" i="55"/>
  <c r="F28" i="55"/>
  <c r="F29" i="55"/>
  <c r="F30" i="55"/>
  <c r="F31" i="55"/>
  <c r="F32" i="55"/>
  <c r="F33" i="55"/>
  <c r="F34" i="55"/>
  <c r="F35" i="55"/>
  <c r="F36" i="55"/>
  <c r="F37" i="55"/>
  <c r="F38" i="55"/>
  <c r="F39" i="55"/>
  <c r="F40" i="55"/>
  <c r="F41" i="55"/>
  <c r="F42" i="55"/>
  <c r="F43" i="55"/>
  <c r="F44" i="55"/>
  <c r="F45" i="55"/>
  <c r="F46" i="55"/>
  <c r="F47" i="55"/>
  <c r="F48" i="55"/>
  <c r="F49" i="55"/>
  <c r="F50" i="55"/>
  <c r="F51" i="55"/>
  <c r="F52" i="55"/>
  <c r="F53" i="55"/>
  <c r="F54" i="55"/>
  <c r="F55" i="55"/>
  <c r="F56" i="55"/>
  <c r="F57" i="55"/>
  <c r="F58" i="55"/>
  <c r="F59" i="55"/>
  <c r="F60" i="55"/>
  <c r="F61" i="55"/>
  <c r="F62" i="55"/>
  <c r="F63" i="55"/>
  <c r="F64" i="55"/>
  <c r="F65" i="55"/>
  <c r="F66" i="55"/>
  <c r="F67" i="55"/>
  <c r="F68" i="55"/>
  <c r="F69" i="55"/>
  <c r="F70" i="55"/>
  <c r="F71" i="55"/>
  <c r="F72" i="55"/>
  <c r="F73" i="55"/>
  <c r="F74" i="55"/>
  <c r="F75" i="55"/>
  <c r="F76" i="55"/>
  <c r="F77" i="55"/>
  <c r="F78" i="55"/>
  <c r="F79" i="55"/>
  <c r="F80" i="55"/>
  <c r="F81" i="55"/>
  <c r="F82" i="55"/>
  <c r="F83"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3" i="55"/>
  <c r="F114" i="55"/>
  <c r="F115" i="55"/>
  <c r="F116" i="55"/>
  <c r="F117" i="55"/>
  <c r="F118"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F157" i="55"/>
  <c r="F158" i="55"/>
  <c r="F159" i="55"/>
  <c r="F160" i="55"/>
  <c r="F161" i="55"/>
  <c r="F162" i="55"/>
  <c r="F163" i="55"/>
  <c r="F164" i="55"/>
  <c r="F165" i="55"/>
  <c r="F166" i="55"/>
  <c r="F167" i="55"/>
  <c r="F168" i="55"/>
  <c r="F169" i="55"/>
  <c r="F170" i="55"/>
  <c r="F171" i="55"/>
  <c r="F172" i="55"/>
  <c r="F173" i="55"/>
  <c r="F174" i="55"/>
  <c r="F175" i="55"/>
  <c r="F176" i="55"/>
  <c r="F177" i="55"/>
  <c r="F178" i="55"/>
  <c r="F179" i="55"/>
  <c r="F180" i="55"/>
  <c r="F181" i="55"/>
  <c r="F182" i="55"/>
  <c r="F183" i="55"/>
  <c r="F184" i="55"/>
  <c r="F185" i="55"/>
  <c r="F186" i="55"/>
  <c r="F187" i="55"/>
  <c r="F188" i="55"/>
  <c r="F189" i="55"/>
  <c r="F190" i="55"/>
  <c r="F191" i="55"/>
  <c r="F192" i="55"/>
  <c r="F193" i="55"/>
  <c r="F194" i="55"/>
  <c r="F195" i="55"/>
  <c r="F196" i="55"/>
  <c r="F197" i="55"/>
  <c r="F198" i="55"/>
  <c r="F199" i="55"/>
  <c r="F200" i="55"/>
  <c r="F201" i="55"/>
  <c r="F202" i="55"/>
  <c r="F203" i="55"/>
  <c r="F204" i="55"/>
  <c r="F205" i="55"/>
  <c r="F206" i="55"/>
  <c r="F207" i="55"/>
  <c r="F208" i="55"/>
  <c r="F209" i="55"/>
  <c r="F210" i="55"/>
  <c r="F211" i="55"/>
  <c r="F212" i="55"/>
  <c r="F213" i="55"/>
  <c r="F214" i="55"/>
  <c r="F215" i="55"/>
  <c r="F216" i="55"/>
  <c r="F217" i="55"/>
  <c r="F218" i="55"/>
  <c r="F219" i="55"/>
  <c r="F220" i="55"/>
  <c r="F221" i="55"/>
  <c r="F222" i="55"/>
  <c r="F223" i="55"/>
  <c r="F224" i="55"/>
  <c r="F225" i="55"/>
  <c r="F226" i="55"/>
  <c r="F227" i="55"/>
  <c r="F228" i="55"/>
  <c r="F229" i="55"/>
  <c r="F230" i="55"/>
  <c r="F231" i="55"/>
  <c r="F232" i="55"/>
  <c r="F233" i="55"/>
  <c r="F234" i="55"/>
  <c r="F235" i="55"/>
  <c r="F236" i="55"/>
  <c r="F237" i="55"/>
  <c r="F238" i="55"/>
  <c r="F239" i="55"/>
  <c r="F240" i="55"/>
  <c r="F241" i="55"/>
  <c r="F242" i="55"/>
  <c r="F243" i="55"/>
  <c r="F244" i="55"/>
  <c r="F245" i="55"/>
  <c r="F246" i="55"/>
  <c r="F247" i="55"/>
  <c r="F248" i="55"/>
  <c r="F249" i="55"/>
  <c r="F250" i="55"/>
  <c r="F251" i="55"/>
  <c r="F252" i="55"/>
  <c r="F253" i="55"/>
  <c r="F254" i="55"/>
  <c r="F255" i="55"/>
  <c r="F256" i="55"/>
  <c r="F257" i="55"/>
  <c r="F258" i="55"/>
  <c r="F259" i="55"/>
  <c r="F260" i="55"/>
  <c r="F261" i="55"/>
  <c r="F262" i="55"/>
  <c r="F263" i="55"/>
  <c r="F264" i="55"/>
  <c r="F265" i="55"/>
  <c r="F266" i="55"/>
  <c r="F267" i="55"/>
  <c r="F268" i="55"/>
  <c r="F269" i="55"/>
  <c r="F270" i="55"/>
  <c r="F271" i="55"/>
  <c r="F272" i="55"/>
  <c r="F273" i="55"/>
  <c r="F274" i="55"/>
  <c r="F275" i="55"/>
  <c r="F276" i="55"/>
  <c r="F277" i="55"/>
  <c r="F278" i="55"/>
  <c r="F279" i="55"/>
  <c r="F280" i="55"/>
  <c r="F281" i="55"/>
  <c r="F282" i="55"/>
  <c r="F283" i="55"/>
  <c r="F284" i="55"/>
  <c r="F285" i="55"/>
  <c r="F286" i="55"/>
  <c r="F287" i="55"/>
  <c r="F288" i="55"/>
  <c r="F289" i="55"/>
  <c r="F290" i="55"/>
  <c r="F291" i="55"/>
  <c r="F292" i="55"/>
  <c r="F293" i="55"/>
  <c r="F294" i="55"/>
  <c r="F295" i="55"/>
  <c r="F296" i="55"/>
  <c r="F297" i="55"/>
  <c r="F298" i="55"/>
  <c r="F299" i="55"/>
  <c r="F300" i="55"/>
  <c r="F301" i="55"/>
  <c r="F302" i="55"/>
  <c r="F303" i="55"/>
  <c r="F304" i="55"/>
  <c r="F305" i="55"/>
  <c r="F306" i="55"/>
  <c r="F307" i="55"/>
  <c r="F308" i="55"/>
  <c r="F309" i="55"/>
  <c r="F310" i="55"/>
  <c r="F311" i="55"/>
  <c r="F312" i="55"/>
  <c r="F313" i="55"/>
  <c r="F314" i="55"/>
  <c r="F315" i="55"/>
  <c r="F316" i="55"/>
  <c r="F317" i="55"/>
  <c r="F318" i="55"/>
  <c r="F319" i="55"/>
  <c r="F320" i="55"/>
  <c r="F321" i="55"/>
  <c r="F322" i="55"/>
  <c r="F323" i="55"/>
  <c r="F324" i="55"/>
  <c r="F325" i="55"/>
  <c r="F326" i="55"/>
  <c r="F327" i="55"/>
  <c r="F328" i="55"/>
  <c r="F329" i="55"/>
  <c r="F330" i="55"/>
  <c r="F331" i="55"/>
  <c r="F332" i="55"/>
  <c r="F333" i="55"/>
  <c r="F334" i="55"/>
  <c r="F335" i="55"/>
  <c r="F336" i="55"/>
  <c r="F337" i="55"/>
  <c r="F338" i="55"/>
  <c r="F339" i="55"/>
  <c r="F340" i="55"/>
  <c r="F341" i="55"/>
  <c r="F342" i="55"/>
  <c r="F343" i="55"/>
  <c r="F344" i="55"/>
  <c r="F345" i="55"/>
  <c r="F346" i="55"/>
  <c r="F347" i="55"/>
  <c r="F348" i="55"/>
  <c r="F349" i="55"/>
  <c r="F350" i="55"/>
  <c r="F351" i="55"/>
  <c r="F352" i="55"/>
  <c r="F353" i="55"/>
  <c r="F354" i="55"/>
  <c r="F355" i="55"/>
  <c r="F356" i="55"/>
  <c r="F357" i="55"/>
  <c r="F358" i="55"/>
  <c r="F359" i="55"/>
  <c r="F360" i="55"/>
  <c r="F361" i="55"/>
  <c r="F362" i="55"/>
  <c r="F363" i="55"/>
  <c r="F364" i="55"/>
  <c r="F365" i="55"/>
  <c r="F366" i="55"/>
  <c r="F367" i="55"/>
  <c r="F368" i="55"/>
  <c r="F369" i="55"/>
  <c r="F370" i="55"/>
  <c r="F371" i="55"/>
  <c r="F372" i="55"/>
  <c r="F373" i="55"/>
  <c r="F374" i="55"/>
  <c r="F375" i="55"/>
  <c r="F376" i="55"/>
  <c r="F377" i="55"/>
  <c r="F378" i="55"/>
  <c r="F379" i="55"/>
  <c r="F380" i="55"/>
  <c r="F381" i="55"/>
  <c r="F382" i="55"/>
  <c r="F383" i="55"/>
  <c r="F384" i="55"/>
  <c r="F385" i="55"/>
  <c r="F386" i="55"/>
  <c r="F387" i="55"/>
  <c r="F388" i="55"/>
  <c r="F389" i="55"/>
  <c r="F390" i="55"/>
  <c r="F391" i="55"/>
  <c r="F392" i="55"/>
  <c r="F393" i="55"/>
  <c r="F394" i="55"/>
  <c r="F395" i="55"/>
  <c r="F396" i="55"/>
  <c r="F397" i="55"/>
  <c r="F398" i="55"/>
  <c r="F399" i="55"/>
  <c r="F400" i="55"/>
  <c r="F401" i="55"/>
  <c r="F402" i="55"/>
  <c r="F403" i="55"/>
  <c r="F404" i="55"/>
  <c r="F405" i="55"/>
  <c r="F406" i="55"/>
  <c r="F407" i="55"/>
  <c r="F408" i="55"/>
  <c r="F409" i="55"/>
  <c r="F410" i="55"/>
  <c r="F411" i="55"/>
  <c r="F412" i="55"/>
  <c r="F413" i="55"/>
  <c r="F414" i="55"/>
  <c r="F415" i="55"/>
  <c r="F416" i="55"/>
  <c r="F417" i="55"/>
  <c r="F418" i="55"/>
  <c r="F419" i="55"/>
  <c r="F420" i="55"/>
  <c r="F421" i="55"/>
  <c r="F422" i="55"/>
  <c r="F423" i="55"/>
  <c r="F424" i="55"/>
  <c r="F425" i="55"/>
  <c r="F426" i="55"/>
  <c r="F427" i="55"/>
  <c r="F428" i="55"/>
  <c r="F429" i="55"/>
  <c r="F430" i="55"/>
  <c r="F431" i="55"/>
  <c r="F432" i="55"/>
  <c r="F433" i="55"/>
  <c r="F434" i="55"/>
  <c r="F435" i="55"/>
  <c r="F436" i="55"/>
  <c r="F437" i="55"/>
  <c r="F438" i="55"/>
  <c r="F439" i="55"/>
  <c r="F440" i="55"/>
  <c r="F441" i="55"/>
  <c r="F442" i="55"/>
  <c r="F443" i="55"/>
  <c r="F444" i="55"/>
  <c r="F445" i="55"/>
  <c r="F446" i="55"/>
  <c r="F447" i="55"/>
  <c r="F448" i="55"/>
  <c r="F449" i="55"/>
  <c r="F450" i="55"/>
  <c r="F451" i="55"/>
  <c r="F452" i="55"/>
  <c r="F453" i="55"/>
  <c r="F454" i="55"/>
  <c r="F455" i="55"/>
  <c r="F456" i="55"/>
  <c r="F457" i="55"/>
  <c r="F458" i="55"/>
  <c r="F459" i="55"/>
  <c r="F460" i="55"/>
  <c r="F461" i="55"/>
  <c r="F462" i="55"/>
  <c r="F463" i="55"/>
  <c r="F464" i="55"/>
  <c r="F465" i="55"/>
  <c r="F466" i="55"/>
  <c r="F467" i="55"/>
  <c r="F468" i="55"/>
  <c r="F469" i="55"/>
  <c r="F470" i="55"/>
  <c r="F471" i="55"/>
  <c r="F472" i="55"/>
  <c r="F473" i="55"/>
  <c r="F474" i="55"/>
  <c r="F475" i="55"/>
  <c r="F476" i="55"/>
  <c r="F477" i="55"/>
  <c r="F478" i="55"/>
  <c r="F479" i="55"/>
  <c r="F480" i="55"/>
  <c r="F481" i="55"/>
  <c r="F482" i="55"/>
  <c r="F483" i="55"/>
  <c r="F484" i="55"/>
  <c r="F485" i="55"/>
  <c r="F486" i="55"/>
  <c r="F487" i="55"/>
  <c r="F488" i="55"/>
  <c r="F489" i="55"/>
  <c r="F490" i="55"/>
  <c r="F491" i="55"/>
  <c r="F492" i="55"/>
  <c r="F493" i="55"/>
  <c r="F494" i="55"/>
  <c r="F495" i="55"/>
  <c r="F496" i="55"/>
  <c r="F497" i="55"/>
  <c r="F498" i="55"/>
  <c r="F499" i="55"/>
  <c r="F500" i="55"/>
  <c r="F501" i="55"/>
  <c r="F502" i="55"/>
  <c r="F503" i="55"/>
  <c r="F504" i="55"/>
  <c r="F505" i="55"/>
  <c r="F506" i="55"/>
  <c r="F507" i="55"/>
  <c r="F508" i="55"/>
  <c r="F509" i="55"/>
  <c r="F510" i="55"/>
  <c r="F511" i="55"/>
  <c r="F512" i="55"/>
  <c r="F513" i="55"/>
  <c r="F514" i="55"/>
  <c r="F515" i="55"/>
  <c r="F516" i="55"/>
  <c r="F517" i="55"/>
  <c r="F518" i="55"/>
  <c r="F519" i="55"/>
  <c r="F520" i="55"/>
  <c r="F521" i="55"/>
  <c r="F522" i="55"/>
  <c r="F523" i="55"/>
  <c r="F524" i="55"/>
  <c r="F525" i="55"/>
  <c r="F526" i="55"/>
  <c r="F527" i="55"/>
  <c r="F528" i="55"/>
  <c r="F529" i="55"/>
  <c r="F530" i="55"/>
  <c r="F531" i="55"/>
  <c r="F532" i="55"/>
  <c r="F533" i="55"/>
  <c r="F534" i="55"/>
  <c r="F535" i="55"/>
  <c r="F536" i="55"/>
  <c r="F537" i="55"/>
  <c r="F538" i="55"/>
  <c r="F539" i="55"/>
  <c r="F540" i="55"/>
  <c r="F541" i="55"/>
  <c r="F542" i="55"/>
  <c r="F543" i="55"/>
  <c r="F544" i="55"/>
  <c r="F545" i="55"/>
  <c r="F546" i="55"/>
  <c r="F547" i="55"/>
  <c r="F548" i="55"/>
  <c r="F549" i="55"/>
  <c r="F550" i="55"/>
  <c r="F551" i="55"/>
  <c r="F552" i="55"/>
  <c r="F553" i="55"/>
  <c r="F554" i="55"/>
  <c r="F555" i="55"/>
  <c r="F556" i="55"/>
  <c r="F557" i="55"/>
  <c r="F558" i="55"/>
  <c r="F559" i="55"/>
  <c r="F560" i="55"/>
  <c r="F561" i="55"/>
  <c r="F562" i="55"/>
  <c r="F563" i="55"/>
  <c r="F564" i="55"/>
  <c r="F565" i="55"/>
  <c r="F566" i="55"/>
  <c r="F567" i="55"/>
  <c r="F568" i="55"/>
  <c r="F569" i="55"/>
  <c r="F570" i="55"/>
  <c r="F571" i="55"/>
  <c r="F572" i="55"/>
  <c r="F573" i="55"/>
  <c r="F574" i="55"/>
  <c r="F575" i="55"/>
  <c r="F576" i="55"/>
  <c r="F577" i="55"/>
  <c r="F578" i="55"/>
  <c r="F579" i="55"/>
  <c r="F580" i="55"/>
  <c r="F581" i="55"/>
  <c r="F582" i="55"/>
  <c r="F583" i="55"/>
  <c r="F584" i="55"/>
  <c r="F585" i="55"/>
  <c r="F586" i="55"/>
  <c r="F587" i="55"/>
  <c r="F588" i="55"/>
  <c r="F589" i="55"/>
  <c r="F590" i="55"/>
  <c r="F591" i="55"/>
  <c r="F592" i="55"/>
  <c r="F593" i="55"/>
  <c r="F594" i="55"/>
  <c r="F595" i="55"/>
  <c r="F596" i="55"/>
  <c r="F597" i="55"/>
  <c r="F598" i="55"/>
  <c r="F599" i="55"/>
  <c r="F600" i="55"/>
  <c r="F601" i="55"/>
  <c r="F602" i="55"/>
  <c r="F603" i="55"/>
  <c r="F604" i="55"/>
  <c r="F605" i="55"/>
  <c r="F606" i="55"/>
  <c r="F607" i="55"/>
  <c r="F608" i="55"/>
  <c r="F609" i="55"/>
  <c r="F610" i="55"/>
  <c r="F611" i="55"/>
  <c r="F612" i="55"/>
  <c r="F613" i="55"/>
  <c r="F614" i="55"/>
  <c r="F615" i="55"/>
  <c r="F616" i="55"/>
  <c r="F617" i="55"/>
  <c r="F618" i="55"/>
  <c r="F619" i="55"/>
  <c r="F620" i="55"/>
  <c r="F621" i="55"/>
  <c r="F622" i="55"/>
  <c r="F623" i="55"/>
  <c r="F624" i="55"/>
  <c r="F625" i="55"/>
  <c r="F626" i="55"/>
  <c r="F627" i="55"/>
  <c r="F628" i="55"/>
  <c r="F629" i="55"/>
  <c r="F630" i="55"/>
  <c r="F631" i="55"/>
  <c r="F632" i="55"/>
  <c r="F633" i="55"/>
  <c r="F634" i="55"/>
  <c r="F635" i="55"/>
  <c r="F636" i="55"/>
  <c r="F637" i="55"/>
  <c r="F638" i="55"/>
  <c r="F639" i="55"/>
  <c r="F640" i="55"/>
  <c r="F641" i="55"/>
  <c r="F642" i="55"/>
  <c r="F643" i="55"/>
  <c r="F644" i="55"/>
  <c r="F645" i="55"/>
  <c r="F646" i="55"/>
  <c r="F647" i="55"/>
  <c r="F648" i="55"/>
  <c r="F649" i="55"/>
  <c r="F650" i="55"/>
  <c r="F651" i="55"/>
  <c r="F652" i="55"/>
  <c r="F653" i="55"/>
  <c r="F654" i="55"/>
  <c r="F655" i="55"/>
  <c r="F656" i="55"/>
  <c r="F657" i="55"/>
  <c r="F658" i="55"/>
  <c r="F659" i="55"/>
  <c r="F660" i="55"/>
  <c r="F661" i="55"/>
  <c r="F662" i="55"/>
  <c r="F663" i="55"/>
  <c r="F664" i="55"/>
  <c r="F665" i="55"/>
  <c r="F666" i="55"/>
  <c r="F667" i="55"/>
  <c r="F668" i="55"/>
  <c r="F669" i="55"/>
  <c r="F670" i="55"/>
  <c r="F671" i="55"/>
  <c r="F672" i="55"/>
  <c r="F673" i="55"/>
  <c r="F674" i="55"/>
  <c r="F675" i="55"/>
  <c r="F676" i="55"/>
  <c r="F677" i="55"/>
  <c r="F678" i="55"/>
  <c r="F679" i="55"/>
  <c r="F680" i="55"/>
  <c r="F681" i="55"/>
  <c r="F682" i="55"/>
  <c r="F683" i="55"/>
  <c r="F684" i="55"/>
  <c r="F685" i="55"/>
  <c r="F686" i="55"/>
  <c r="F687" i="55"/>
  <c r="F688" i="55"/>
  <c r="F689" i="55"/>
  <c r="F690" i="55"/>
  <c r="F691" i="55"/>
  <c r="F692" i="55"/>
  <c r="F693" i="55"/>
  <c r="F694" i="55"/>
  <c r="F695" i="55"/>
  <c r="F696" i="55"/>
  <c r="F697" i="55"/>
  <c r="F698" i="55"/>
  <c r="F699" i="55"/>
  <c r="F700" i="55"/>
  <c r="F701" i="55"/>
  <c r="F702" i="55"/>
  <c r="F703" i="55"/>
  <c r="F704" i="55"/>
  <c r="F705" i="55"/>
  <c r="F706" i="55"/>
  <c r="F707" i="55"/>
  <c r="F708" i="55"/>
  <c r="F709" i="55"/>
  <c r="F710" i="55"/>
  <c r="F711" i="55"/>
  <c r="F712" i="55"/>
  <c r="F713" i="55"/>
  <c r="F714" i="55"/>
  <c r="F715" i="55"/>
  <c r="F716" i="55"/>
  <c r="F717" i="55"/>
  <c r="F718" i="55"/>
  <c r="F719" i="55"/>
  <c r="F720" i="55"/>
  <c r="F721" i="55"/>
  <c r="F722" i="55"/>
  <c r="F723" i="55"/>
  <c r="F724" i="55"/>
  <c r="F725" i="55"/>
  <c r="F726" i="55"/>
  <c r="F727" i="55"/>
  <c r="F728" i="55"/>
  <c r="F729" i="55"/>
  <c r="F730" i="55"/>
  <c r="F731" i="55"/>
  <c r="F732" i="55"/>
  <c r="F733" i="55"/>
  <c r="F734" i="55"/>
  <c r="F735" i="55"/>
  <c r="F736" i="55"/>
  <c r="F737" i="55"/>
  <c r="F738" i="55"/>
  <c r="F739" i="55"/>
  <c r="F740" i="55"/>
  <c r="F741" i="55"/>
  <c r="F742" i="55"/>
  <c r="F743" i="55"/>
  <c r="F744" i="55"/>
  <c r="F745" i="55"/>
  <c r="F746" i="55"/>
  <c r="F747" i="55"/>
  <c r="F748" i="55"/>
  <c r="F749" i="55"/>
  <c r="F750" i="55"/>
  <c r="F751" i="55"/>
  <c r="F752" i="55"/>
  <c r="F753" i="55"/>
  <c r="F754" i="55"/>
  <c r="F755" i="55"/>
  <c r="F756" i="55"/>
  <c r="F757" i="55"/>
  <c r="F758" i="55"/>
  <c r="F759" i="55"/>
  <c r="F760" i="55"/>
  <c r="F761" i="55"/>
  <c r="F762" i="55"/>
  <c r="F763" i="55"/>
  <c r="F764" i="55"/>
  <c r="F765" i="55"/>
  <c r="F766" i="55"/>
  <c r="F767" i="55"/>
  <c r="F768" i="55"/>
  <c r="F769" i="55"/>
  <c r="F770" i="55"/>
  <c r="F771" i="55"/>
  <c r="F772" i="55"/>
  <c r="F773" i="55"/>
  <c r="F774" i="55"/>
  <c r="F775" i="55"/>
  <c r="F776" i="55"/>
  <c r="F777" i="55"/>
  <c r="F778" i="55"/>
  <c r="F779" i="55"/>
  <c r="F780" i="55"/>
  <c r="F781" i="55"/>
  <c r="F782" i="55"/>
  <c r="F783" i="55"/>
  <c r="F784" i="55"/>
  <c r="F785" i="55"/>
  <c r="F786" i="55"/>
  <c r="F787" i="55"/>
  <c r="F788" i="55"/>
  <c r="F789" i="55"/>
  <c r="F790" i="55"/>
  <c r="F791" i="55"/>
  <c r="F792" i="55"/>
  <c r="F793" i="55"/>
  <c r="F794" i="55"/>
  <c r="F795" i="55"/>
  <c r="F796" i="55"/>
  <c r="F797" i="55"/>
  <c r="F798" i="55"/>
  <c r="F799" i="55"/>
  <c r="F800" i="55"/>
  <c r="F801" i="55"/>
  <c r="F802" i="55"/>
  <c r="F803" i="55"/>
  <c r="F804" i="55"/>
  <c r="F805" i="55"/>
  <c r="F806" i="55"/>
  <c r="F807" i="55"/>
  <c r="F808" i="55"/>
  <c r="F809" i="55"/>
  <c r="F810" i="55"/>
  <c r="F811" i="55"/>
  <c r="F812" i="55"/>
  <c r="F813" i="55"/>
  <c r="F814" i="55"/>
  <c r="F815" i="55"/>
  <c r="F816" i="55"/>
  <c r="F817" i="55"/>
  <c r="F818" i="55"/>
  <c r="F819" i="55"/>
  <c r="F820" i="55"/>
  <c r="F821" i="55"/>
  <c r="F822" i="55"/>
  <c r="F823" i="55"/>
  <c r="F824" i="55"/>
  <c r="F825" i="55"/>
  <c r="F826" i="55"/>
  <c r="F827" i="55"/>
  <c r="F828" i="55"/>
  <c r="F829" i="55"/>
  <c r="F830" i="55"/>
  <c r="F831" i="55"/>
  <c r="F832" i="55"/>
  <c r="F833" i="55"/>
  <c r="F834" i="55"/>
  <c r="F835" i="55"/>
  <c r="F836" i="55"/>
  <c r="F837" i="55"/>
  <c r="F838" i="55"/>
  <c r="F839" i="55"/>
  <c r="F840" i="55"/>
  <c r="F841" i="55"/>
  <c r="F842" i="55"/>
  <c r="F843" i="55"/>
  <c r="F844" i="55"/>
  <c r="F845" i="55"/>
  <c r="F846" i="55"/>
  <c r="F847" i="55"/>
  <c r="F848" i="55"/>
  <c r="F849" i="55"/>
  <c r="F850" i="55"/>
  <c r="F851" i="55"/>
  <c r="F852" i="55"/>
  <c r="F853" i="55"/>
  <c r="F854" i="55"/>
  <c r="F855" i="55"/>
  <c r="F856" i="55"/>
  <c r="F857" i="55"/>
  <c r="F858" i="55"/>
  <c r="F859" i="55"/>
  <c r="F860" i="55"/>
  <c r="F861" i="55"/>
  <c r="F862" i="55"/>
  <c r="F863" i="55"/>
  <c r="F864" i="55"/>
  <c r="F865" i="55"/>
  <c r="F866" i="55"/>
  <c r="F867" i="55"/>
  <c r="F868" i="55"/>
  <c r="F869" i="55"/>
  <c r="F870" i="55"/>
  <c r="F871" i="55"/>
  <c r="F872" i="55"/>
  <c r="B12"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4" i="55"/>
  <c r="B105" i="55"/>
  <c r="B106" i="55"/>
  <c r="B107" i="55"/>
  <c r="B108" i="55"/>
  <c r="B109" i="55"/>
  <c r="B110" i="55"/>
  <c r="B111" i="55"/>
  <c r="B112" i="55"/>
  <c r="B113" i="55"/>
  <c r="B114" i="55"/>
  <c r="B187" i="55"/>
  <c r="B188" i="55"/>
  <c r="B189" i="55"/>
  <c r="B190" i="55"/>
  <c r="B191" i="55"/>
  <c r="B192" i="55"/>
  <c r="B193" i="55"/>
  <c r="B194" i="55"/>
  <c r="B195" i="55"/>
  <c r="B196" i="55"/>
  <c r="B197" i="55"/>
  <c r="B198" i="55"/>
  <c r="B199" i="55"/>
  <c r="B200" i="55"/>
  <c r="B201" i="55"/>
  <c r="B202" i="55"/>
  <c r="B203" i="55"/>
  <c r="B204" i="55"/>
  <c r="B205" i="55"/>
  <c r="B206" i="55"/>
  <c r="B207" i="55"/>
  <c r="B208" i="55"/>
  <c r="B209" i="55"/>
  <c r="B210" i="55"/>
  <c r="B211" i="55"/>
  <c r="B212" i="55"/>
  <c r="B213" i="55"/>
  <c r="B214" i="55"/>
  <c r="B215" i="55"/>
  <c r="B216" i="55"/>
  <c r="B217" i="55"/>
  <c r="B218" i="55"/>
  <c r="B219" i="55"/>
  <c r="B220" i="55"/>
  <c r="B221" i="55"/>
  <c r="B222" i="55"/>
  <c r="B223" i="55"/>
  <c r="B224" i="55"/>
  <c r="B225" i="55"/>
  <c r="B226" i="55"/>
  <c r="B227" i="55"/>
  <c r="B228" i="55"/>
  <c r="B229" i="55"/>
  <c r="B230" i="55"/>
  <c r="B231" i="55"/>
  <c r="B232" i="55"/>
  <c r="B233" i="55"/>
  <c r="B234" i="55"/>
  <c r="B235" i="55"/>
  <c r="B236" i="55"/>
  <c r="B237" i="55"/>
  <c r="B238" i="55"/>
  <c r="B239" i="55"/>
  <c r="B240" i="55"/>
  <c r="B241" i="55"/>
  <c r="B242" i="55"/>
  <c r="B243" i="55"/>
  <c r="B244" i="55"/>
  <c r="B245" i="55"/>
  <c r="B246" i="55"/>
  <c r="B247" i="55"/>
  <c r="B248" i="55"/>
  <c r="B249" i="55"/>
  <c r="B250" i="55"/>
  <c r="B251" i="55"/>
  <c r="B252" i="55"/>
  <c r="B253" i="55"/>
  <c r="B254" i="55"/>
  <c r="B255" i="55"/>
  <c r="B256" i="55"/>
  <c r="B257" i="55"/>
  <c r="B258" i="55"/>
  <c r="B259" i="55"/>
  <c r="B260" i="55"/>
  <c r="B261" i="55"/>
  <c r="B262" i="55"/>
  <c r="B263" i="55"/>
  <c r="B264" i="55"/>
  <c r="B265" i="55"/>
  <c r="B266" i="55"/>
  <c r="B267" i="55"/>
  <c r="B268" i="55"/>
  <c r="B269" i="55"/>
  <c r="B270" i="55"/>
  <c r="B271" i="55"/>
  <c r="B272" i="55"/>
  <c r="B273" i="55"/>
  <c r="B274" i="55"/>
  <c r="B275" i="55"/>
  <c r="B276" i="55"/>
  <c r="B277" i="55"/>
  <c r="B278" i="55"/>
  <c r="B279" i="55"/>
  <c r="B280" i="55"/>
  <c r="B281" i="55"/>
  <c r="B282" i="55"/>
  <c r="B283" i="55"/>
  <c r="B284" i="55"/>
  <c r="B285" i="55"/>
  <c r="B286" i="55"/>
  <c r="B287" i="55"/>
  <c r="B288" i="55"/>
  <c r="B289" i="55"/>
  <c r="B290" i="55"/>
  <c r="B291" i="55"/>
  <c r="B292" i="55"/>
  <c r="B293" i="55"/>
  <c r="B294" i="55"/>
  <c r="B295" i="55"/>
  <c r="B296" i="55"/>
  <c r="B297" i="55"/>
  <c r="B298" i="55"/>
  <c r="B299" i="55"/>
  <c r="B300" i="55"/>
  <c r="B301" i="55"/>
  <c r="B302" i="55"/>
  <c r="B303" i="55"/>
  <c r="B304" i="55"/>
  <c r="B305" i="55"/>
  <c r="B306" i="55"/>
  <c r="B307" i="55"/>
  <c r="B308" i="55"/>
  <c r="B309" i="55"/>
  <c r="B310" i="55"/>
  <c r="B311" i="55"/>
  <c r="B312" i="55"/>
  <c r="B313" i="55"/>
  <c r="B314" i="55"/>
  <c r="B315" i="55"/>
  <c r="B316" i="55"/>
  <c r="B317" i="55"/>
  <c r="B318" i="55"/>
  <c r="B319" i="55"/>
  <c r="B320" i="55"/>
  <c r="B321" i="55"/>
  <c r="B322" i="55"/>
  <c r="B323" i="55"/>
  <c r="B324" i="55"/>
  <c r="B325" i="55"/>
  <c r="B326" i="55"/>
  <c r="B327" i="55"/>
  <c r="B328" i="55"/>
  <c r="B329" i="55"/>
  <c r="B330" i="55"/>
  <c r="B331" i="55"/>
  <c r="B332" i="55"/>
  <c r="B333" i="55"/>
  <c r="B334" i="55"/>
  <c r="B335" i="55"/>
  <c r="B336" i="55"/>
  <c r="B337" i="55"/>
  <c r="B338" i="55"/>
  <c r="B339" i="55"/>
  <c r="B340" i="55"/>
  <c r="B341" i="55"/>
  <c r="B342" i="55"/>
  <c r="B343" i="55"/>
  <c r="B344" i="55"/>
  <c r="B345" i="55"/>
  <c r="B346" i="55"/>
  <c r="B347" i="55"/>
  <c r="B348" i="55"/>
  <c r="B349" i="55"/>
  <c r="B350" i="55"/>
  <c r="B351" i="55"/>
  <c r="B352" i="55"/>
  <c r="B353" i="55"/>
  <c r="B354" i="55"/>
  <c r="B355" i="55"/>
  <c r="B356" i="55"/>
  <c r="B357" i="55"/>
  <c r="B358" i="55"/>
  <c r="B359" i="55"/>
  <c r="B360" i="55"/>
  <c r="B361" i="55"/>
  <c r="B362" i="55"/>
  <c r="B363" i="55"/>
  <c r="B364" i="55"/>
  <c r="B365" i="55"/>
  <c r="B366" i="55"/>
  <c r="B367" i="55"/>
  <c r="B368" i="55"/>
  <c r="B369" i="55"/>
  <c r="B370" i="55"/>
  <c r="B371" i="55"/>
  <c r="B372" i="55"/>
  <c r="B373" i="55"/>
  <c r="BJ559" i="5"/>
  <c r="BK559" i="5"/>
  <c r="A907" i="5"/>
  <c r="A908" i="5"/>
  <c r="A909" i="5"/>
  <c r="A910" i="5"/>
  <c r="A911" i="5"/>
  <c r="A912" i="5"/>
  <c r="A913" i="5"/>
  <c r="A914" i="5"/>
  <c r="A915" i="5"/>
  <c r="A916" i="5"/>
  <c r="A917" i="5"/>
  <c r="A918" i="5"/>
  <c r="A919" i="5"/>
  <c r="A920" i="5"/>
  <c r="A921" i="5"/>
  <c r="A922" i="5"/>
  <c r="A923" i="5"/>
  <c r="A924" i="5"/>
  <c r="A880" i="5"/>
  <c r="A881" i="5"/>
  <c r="A882" i="5"/>
  <c r="A883" i="5"/>
  <c r="A884" i="5"/>
  <c r="A885" i="5"/>
  <c r="A886" i="5"/>
  <c r="A887" i="5"/>
  <c r="A888" i="5"/>
  <c r="A889" i="5"/>
  <c r="A890" i="5"/>
  <c r="A891" i="5"/>
  <c r="A892" i="5"/>
  <c r="A893" i="5"/>
  <c r="A894" i="5"/>
  <c r="A895" i="5"/>
  <c r="A896" i="5"/>
  <c r="A897" i="5"/>
  <c r="A898" i="5"/>
  <c r="A899" i="5"/>
  <c r="A900" i="5"/>
  <c r="A901" i="5"/>
  <c r="A902" i="5"/>
  <c r="A903" i="5"/>
  <c r="A904" i="5"/>
  <c r="A905" i="5"/>
  <c r="A906" i="5"/>
  <c r="A925" i="5"/>
  <c r="A1046" i="5"/>
  <c r="A1047" i="5"/>
  <c r="A1048" i="5"/>
  <c r="A1049" i="5"/>
  <c r="A1050" i="5"/>
  <c r="A1051" i="5"/>
  <c r="A1052" i="5"/>
  <c r="A1053" i="5"/>
  <c r="A1054" i="5"/>
  <c r="A1055" i="5"/>
  <c r="A1056" i="5"/>
  <c r="A1057" i="5"/>
  <c r="A1058" i="5"/>
  <c r="A1059" i="5"/>
  <c r="A1060" i="5"/>
  <c r="A1061" i="5"/>
  <c r="A1062" i="5"/>
  <c r="A1063" i="5"/>
  <c r="A1064" i="5"/>
  <c r="A1065" i="5"/>
  <c r="A1066" i="5"/>
  <c r="A1067" i="5"/>
  <c r="A1068" i="5"/>
  <c r="A1069" i="5"/>
  <c r="A1070" i="5"/>
  <c r="A1071" i="5"/>
  <c r="A1072" i="5"/>
  <c r="A1073" i="5"/>
  <c r="A1074" i="5"/>
  <c r="A1075" i="5"/>
  <c r="A1076" i="5"/>
  <c r="A1077" i="5"/>
  <c r="A1078" i="5"/>
  <c r="A1079" i="5"/>
  <c r="A1080" i="5"/>
  <c r="A1081" i="5"/>
  <c r="A1082" i="5"/>
  <c r="A1083" i="5"/>
  <c r="A1084" i="5"/>
  <c r="A1085" i="5"/>
  <c r="A1086" i="5"/>
  <c r="A1087" i="5"/>
  <c r="A1088" i="5"/>
  <c r="A1089" i="5"/>
  <c r="A1090" i="5"/>
  <c r="A1091" i="5"/>
  <c r="A1092" i="5"/>
  <c r="A1093" i="5"/>
  <c r="A1094" i="5"/>
  <c r="A1095" i="5"/>
  <c r="A1096" i="5"/>
  <c r="A1097" i="5"/>
  <c r="A1098" i="5"/>
  <c r="A1099" i="5"/>
  <c r="A1100" i="5"/>
  <c r="A1101" i="5"/>
  <c r="A1102" i="5"/>
  <c r="A1103" i="5"/>
  <c r="A1104" i="5"/>
  <c r="A1105" i="5"/>
  <c r="A1106" i="5"/>
  <c r="A1107" i="5"/>
  <c r="A1108" i="5"/>
  <c r="A1109" i="5"/>
  <c r="A1110" i="5"/>
  <c r="A1111" i="5"/>
  <c r="A1112" i="5"/>
  <c r="A1113" i="5"/>
  <c r="A1114" i="5"/>
  <c r="A1115" i="5"/>
  <c r="A1116" i="5"/>
  <c r="A1117" i="5"/>
  <c r="A1118" i="5"/>
  <c r="A1119" i="5"/>
  <c r="A1120" i="5"/>
  <c r="A1121" i="5"/>
  <c r="A1122" i="5"/>
  <c r="A1123" i="5"/>
  <c r="A1124" i="5"/>
  <c r="A1125" i="5"/>
  <c r="A1126" i="5"/>
  <c r="A1127" i="5"/>
  <c r="A1128" i="5"/>
  <c r="A1129" i="5"/>
  <c r="A1130" i="5"/>
  <c r="A1131" i="5"/>
  <c r="A1132" i="5"/>
  <c r="A1133" i="5"/>
  <c r="A1134" i="5"/>
  <c r="A1135" i="5"/>
  <c r="A1136" i="5"/>
  <c r="A1137" i="5"/>
  <c r="A1138" i="5"/>
  <c r="A1139" i="5"/>
  <c r="A1140" i="5"/>
  <c r="A1141" i="5"/>
  <c r="A1142" i="5"/>
  <c r="A1143" i="5"/>
  <c r="A1144" i="5"/>
  <c r="A1145" i="5"/>
  <c r="A1146" i="5"/>
  <c r="A1147" i="5"/>
  <c r="A1148" i="5"/>
  <c r="A1149" i="5"/>
  <c r="A1150" i="5"/>
  <c r="A1151" i="5"/>
  <c r="A1152" i="5"/>
  <c r="A1153" i="5"/>
  <c r="A1154" i="5"/>
  <c r="A1155" i="5"/>
  <c r="A1156" i="5"/>
  <c r="A1157" i="5"/>
  <c r="A1158" i="5"/>
  <c r="A1159" i="5"/>
  <c r="A1160" i="5"/>
  <c r="A1161" i="5"/>
  <c r="A1162" i="5"/>
  <c r="A1163" i="5"/>
  <c r="A1164" i="5"/>
  <c r="A1165" i="5"/>
  <c r="A1166" i="5"/>
  <c r="A1167" i="5"/>
  <c r="A1168" i="5"/>
  <c r="A1169" i="5"/>
  <c r="A1170" i="5"/>
  <c r="A1171" i="5"/>
  <c r="A1172" i="5"/>
  <c r="A1173" i="5"/>
  <c r="A1174" i="5"/>
  <c r="A1175" i="5"/>
  <c r="A1176" i="5"/>
  <c r="A1177" i="5"/>
  <c r="A1178" i="5"/>
  <c r="A1179" i="5"/>
  <c r="A1180" i="5"/>
  <c r="A1181" i="5"/>
  <c r="A1182" i="5"/>
  <c r="A1183" i="5"/>
  <c r="A1184" i="5"/>
  <c r="A1185" i="5"/>
  <c r="A1186" i="5"/>
  <c r="A1187" i="5"/>
  <c r="A1188" i="5"/>
  <c r="A1189" i="5"/>
  <c r="A1190" i="5"/>
  <c r="A1191" i="5"/>
  <c r="A1192" i="5"/>
  <c r="A1193" i="5"/>
  <c r="A1194" i="5"/>
  <c r="A1195" i="5"/>
  <c r="A1196" i="5"/>
  <c r="A1197" i="5"/>
  <c r="A1198" i="5"/>
  <c r="A1199" i="5"/>
  <c r="A1200" i="5"/>
  <c r="A1201" i="5"/>
  <c r="A1202" i="5"/>
  <c r="A1203" i="5"/>
  <c r="A1204" i="5"/>
  <c r="A1205" i="5"/>
  <c r="A1206" i="5"/>
  <c r="A1207" i="5"/>
  <c r="A1208" i="5"/>
  <c r="A1209" i="5"/>
  <c r="A1210" i="5"/>
  <c r="A1211" i="5"/>
  <c r="A1212" i="5"/>
  <c r="A1213" i="5"/>
  <c r="A1214" i="5"/>
  <c r="A1215" i="5"/>
  <c r="A1216" i="5"/>
  <c r="A1217" i="5"/>
  <c r="A1218" i="5"/>
  <c r="A1219" i="5"/>
  <c r="A1220" i="5"/>
  <c r="A1221" i="5"/>
  <c r="A1222" i="5"/>
  <c r="A1223" i="5"/>
  <c r="A1224" i="5"/>
  <c r="A1225" i="5"/>
  <c r="A1226" i="5"/>
  <c r="A1227" i="5"/>
  <c r="A1228" i="5"/>
  <c r="A1229" i="5"/>
  <c r="A1230" i="5"/>
  <c r="A1231" i="5"/>
  <c r="A1232" i="5"/>
  <c r="A1233" i="5"/>
  <c r="A1234" i="5"/>
  <c r="A1235" i="5"/>
  <c r="A1236" i="5"/>
  <c r="A1237" i="5"/>
  <c r="A1238" i="5"/>
  <c r="A1239" i="5"/>
  <c r="A1240" i="5"/>
  <c r="A1241" i="5"/>
  <c r="A1242" i="5"/>
  <c r="A1243" i="5"/>
  <c r="A1244" i="5"/>
  <c r="A1245" i="5"/>
  <c r="A1246" i="5"/>
  <c r="A1247" i="5"/>
  <c r="A1248" i="5"/>
  <c r="A1249" i="5"/>
  <c r="A1250" i="5"/>
  <c r="A1251" i="5"/>
  <c r="A1252" i="5"/>
  <c r="A1253" i="5"/>
  <c r="A1254" i="5"/>
  <c r="A1255" i="5"/>
  <c r="A1256" i="5"/>
  <c r="A1257" i="5"/>
  <c r="A1258" i="5"/>
  <c r="A1259" i="5"/>
  <c r="A1260" i="5"/>
  <c r="A1261" i="5"/>
  <c r="A1262" i="5"/>
  <c r="A1263" i="5"/>
  <c r="A1264" i="5"/>
  <c r="A1265" i="5"/>
  <c r="A1266" i="5"/>
  <c r="A1267" i="5"/>
  <c r="A1268" i="5"/>
  <c r="A1269" i="5"/>
  <c r="A1270" i="5"/>
  <c r="A1271" i="5"/>
  <c r="A1272" i="5"/>
  <c r="A1273" i="5"/>
  <c r="A1274" i="5"/>
  <c r="A1275" i="5"/>
  <c r="A1276" i="5"/>
  <c r="A1277" i="5"/>
  <c r="A1278" i="5"/>
  <c r="A1279" i="5"/>
  <c r="A1280" i="5"/>
  <c r="A1281" i="5"/>
  <c r="A1282" i="5"/>
  <c r="A1283" i="5"/>
  <c r="A1284" i="5"/>
  <c r="A1285" i="5"/>
  <c r="A1286" i="5"/>
  <c r="A1287" i="5"/>
  <c r="A1288" i="5"/>
  <c r="A1289" i="5"/>
  <c r="A1290" i="5"/>
  <c r="A1291" i="5"/>
  <c r="A1292" i="5"/>
  <c r="A1293" i="5"/>
  <c r="A1294" i="5"/>
  <c r="A1295" i="5"/>
  <c r="A1296" i="5"/>
  <c r="A1297" i="5"/>
  <c r="A1298" i="5"/>
  <c r="A1299" i="5"/>
  <c r="A1300" i="5"/>
  <c r="A1301" i="5"/>
  <c r="A1302" i="5"/>
  <c r="A1303" i="5"/>
  <c r="A1304" i="5"/>
  <c r="A1305" i="5"/>
  <c r="A1306" i="5"/>
  <c r="A1307" i="5"/>
  <c r="A1308" i="5"/>
  <c r="A1309" i="5"/>
  <c r="A1310" i="5"/>
  <c r="A1311" i="5"/>
  <c r="A1312" i="5"/>
  <c r="A1313" i="5"/>
  <c r="A1314" i="5"/>
  <c r="A1315" i="5"/>
  <c r="A1316" i="5"/>
  <c r="A1317" i="5"/>
  <c r="A1318" i="5"/>
  <c r="A1319" i="5"/>
  <c r="A1320" i="5"/>
  <c r="A1321" i="5"/>
  <c r="A1322" i="5"/>
  <c r="A1323" i="5"/>
  <c r="A1324" i="5"/>
  <c r="A1325" i="5"/>
  <c r="A1326" i="5"/>
  <c r="A1327" i="5"/>
  <c r="A1328" i="5"/>
  <c r="A1329" i="5"/>
  <c r="A1330" i="5"/>
  <c r="A1331" i="5"/>
  <c r="A1332" i="5"/>
  <c r="A1333" i="5"/>
  <c r="A1334" i="5"/>
  <c r="A1335" i="5"/>
  <c r="A1337" i="5"/>
  <c r="A1338" i="5"/>
  <c r="A1339" i="5"/>
  <c r="A1340" i="5"/>
  <c r="A1341" i="5"/>
  <c r="A1342" i="5"/>
  <c r="A1343" i="5"/>
  <c r="A1344" i="5"/>
  <c r="A1345" i="5"/>
  <c r="A1346" i="5"/>
  <c r="A1347" i="5"/>
  <c r="A1348" i="5"/>
  <c r="A1349" i="5"/>
  <c r="A1350" i="5"/>
  <c r="A1351" i="5"/>
  <c r="A1352" i="5"/>
  <c r="A1353" i="5"/>
  <c r="A1354" i="5"/>
  <c r="A1355" i="5"/>
  <c r="A1356" i="5"/>
  <c r="A1357" i="5"/>
  <c r="A1358" i="5"/>
  <c r="A1359" i="5"/>
  <c r="A1360" i="5"/>
  <c r="A1361" i="5"/>
  <c r="A1362" i="5"/>
  <c r="A1363" i="5"/>
  <c r="A1364" i="5"/>
  <c r="A1365" i="5"/>
  <c r="A1366" i="5"/>
  <c r="A1367" i="5"/>
  <c r="A1368" i="5"/>
  <c r="A1369" i="5"/>
  <c r="A1370" i="5"/>
  <c r="A1371" i="5"/>
  <c r="A1372" i="5"/>
  <c r="A1373" i="5"/>
  <c r="A1374" i="5"/>
  <c r="A1375" i="5"/>
  <c r="A1376" i="5"/>
  <c r="A1377" i="5"/>
  <c r="A1378" i="5"/>
  <c r="A1379" i="5"/>
  <c r="A1380" i="5"/>
  <c r="A1381" i="5"/>
  <c r="A1382" i="5"/>
  <c r="A1383" i="5"/>
  <c r="A1384" i="5"/>
  <c r="A1385" i="5"/>
  <c r="A1386" i="5"/>
  <c r="A1387" i="5"/>
  <c r="A1388" i="5"/>
  <c r="A1389" i="5"/>
  <c r="A1390" i="5"/>
  <c r="A1391" i="5"/>
  <c r="A1392" i="5"/>
  <c r="A1393" i="5"/>
  <c r="A1394" i="5"/>
  <c r="A1395" i="5"/>
  <c r="A1396" i="5"/>
  <c r="A1397" i="5"/>
  <c r="A1398" i="5"/>
  <c r="A1399" i="5"/>
  <c r="A1400" i="5"/>
  <c r="A1401" i="5"/>
  <c r="A1402" i="5"/>
  <c r="A1403" i="5"/>
  <c r="A1404" i="5"/>
  <c r="A1405" i="5"/>
  <c r="A1406" i="5"/>
  <c r="A1407" i="5"/>
  <c r="A1408" i="5"/>
  <c r="A1409" i="5"/>
  <c r="A1410" i="5"/>
  <c r="A1411" i="5"/>
  <c r="A1412" i="5"/>
  <c r="A1413" i="5"/>
  <c r="A1414" i="5"/>
  <c r="A1415" i="5"/>
  <c r="A1416" i="5"/>
  <c r="A1417" i="5"/>
  <c r="A1418" i="5"/>
  <c r="A1419" i="5"/>
  <c r="A1420" i="5"/>
  <c r="A1421" i="5"/>
  <c r="A1422" i="5"/>
  <c r="A1423" i="5"/>
  <c r="A1424" i="5"/>
  <c r="A1425" i="5"/>
  <c r="A1426" i="5"/>
  <c r="A1427" i="5"/>
  <c r="A1428" i="5"/>
  <c r="A1429" i="5"/>
  <c r="A1430" i="5"/>
  <c r="A1431" i="5"/>
  <c r="A1432" i="5"/>
  <c r="A1433" i="5"/>
  <c r="A1434" i="5"/>
  <c r="A1435" i="5"/>
  <c r="A1436" i="5"/>
  <c r="A1437" i="5"/>
  <c r="A1438" i="5"/>
  <c r="A1439" i="5"/>
  <c r="A1440" i="5"/>
  <c r="A1441" i="5"/>
  <c r="A1442" i="5"/>
  <c r="A1443" i="5"/>
  <c r="A1444" i="5"/>
  <c r="A1445" i="5"/>
  <c r="A1446" i="5"/>
  <c r="A1447" i="5"/>
  <c r="A1448" i="5"/>
  <c r="A1449" i="5"/>
  <c r="A1450" i="5"/>
  <c r="A1451" i="5"/>
  <c r="A1452" i="5"/>
  <c r="A1453" i="5"/>
  <c r="A1454" i="5"/>
  <c r="A1455" i="5"/>
  <c r="A1456" i="5"/>
  <c r="A1457" i="5"/>
  <c r="A1458" i="5"/>
  <c r="A1459" i="5"/>
  <c r="A1460" i="5"/>
  <c r="A1461" i="5"/>
  <c r="A1462" i="5"/>
  <c r="A1463" i="5"/>
  <c r="A1464" i="5"/>
  <c r="A1465" i="5"/>
  <c r="A1466" i="5"/>
  <c r="A1467" i="5"/>
  <c r="A1468" i="5"/>
  <c r="A1469" i="5"/>
  <c r="A1470" i="5"/>
  <c r="A1471" i="5"/>
  <c r="A1472" i="5"/>
  <c r="A1473" i="5"/>
  <c r="A1474" i="5"/>
  <c r="A1475" i="5"/>
  <c r="A1476" i="5"/>
  <c r="A1477" i="5"/>
  <c r="A1478" i="5"/>
  <c r="A1479" i="5"/>
  <c r="A1480" i="5"/>
  <c r="A1481" i="5"/>
  <c r="A1482" i="5"/>
  <c r="A1483" i="5"/>
  <c r="A1484" i="5"/>
  <c r="A1485" i="5"/>
  <c r="A1486" i="5"/>
  <c r="A1487" i="5"/>
  <c r="A1488" i="5"/>
  <c r="A1489" i="5"/>
  <c r="A1490" i="5"/>
  <c r="A1491" i="5"/>
  <c r="A1492" i="5"/>
  <c r="A1493" i="5"/>
  <c r="A1494" i="5"/>
  <c r="A1495" i="5"/>
  <c r="A1496" i="5"/>
  <c r="A1497" i="5"/>
  <c r="A1498" i="5"/>
  <c r="A1499" i="5"/>
  <c r="A1500" i="5"/>
  <c r="A1501" i="5"/>
  <c r="A1502" i="5"/>
  <c r="A1503" i="5"/>
  <c r="A1504" i="5"/>
  <c r="A1505" i="5"/>
  <c r="A1506" i="5"/>
  <c r="A1507" i="5"/>
  <c r="A1508" i="5"/>
  <c r="A1509" i="5"/>
  <c r="A1510" i="5"/>
  <c r="A1511" i="5"/>
  <c r="A1512" i="5"/>
  <c r="A1513" i="5"/>
  <c r="A1514" i="5"/>
  <c r="A1515" i="5"/>
  <c r="A1516" i="5"/>
  <c r="A1517" i="5"/>
  <c r="A1518" i="5"/>
  <c r="A1519" i="5"/>
  <c r="A1520" i="5"/>
  <c r="A1521" i="5"/>
  <c r="A1522" i="5"/>
  <c r="A1523" i="5"/>
  <c r="A1524" i="5"/>
  <c r="A1525" i="5"/>
  <c r="A1526" i="5"/>
  <c r="A1527" i="5"/>
  <c r="A1528" i="5"/>
  <c r="A1529" i="5"/>
  <c r="A1530" i="5"/>
  <c r="A1531" i="5"/>
  <c r="A1532" i="5"/>
  <c r="A1533" i="5"/>
  <c r="A1534" i="5"/>
  <c r="A1535" i="5"/>
  <c r="A1536" i="5"/>
  <c r="A1537" i="5"/>
  <c r="A1538" i="5"/>
  <c r="A1539" i="5"/>
  <c r="A1540" i="5"/>
  <c r="A1541" i="5"/>
  <c r="A1542" i="5"/>
  <c r="A1543" i="5"/>
  <c r="A1544" i="5"/>
  <c r="A1545" i="5"/>
  <c r="A757" i="5"/>
  <c r="A758" i="5"/>
  <c r="A759" i="5"/>
  <c r="A760" i="5"/>
  <c r="N12" i="55"/>
  <c r="N13" i="55"/>
  <c r="N14" i="55"/>
  <c r="N15" i="55"/>
  <c r="N16" i="55"/>
  <c r="N17" i="55"/>
  <c r="N18" i="55"/>
  <c r="N19" i="55"/>
  <c r="N20" i="55"/>
  <c r="N21" i="55"/>
  <c r="N22" i="55"/>
  <c r="N23" i="55"/>
  <c r="N24" i="55"/>
  <c r="N25" i="55"/>
  <c r="N26" i="55"/>
  <c r="N27" i="55"/>
  <c r="N28" i="55"/>
  <c r="N29" i="55"/>
  <c r="N30" i="55"/>
  <c r="N31" i="55"/>
  <c r="N32" i="55"/>
  <c r="N33" i="55"/>
  <c r="N34" i="55"/>
  <c r="N35" i="55"/>
  <c r="N36" i="55"/>
  <c r="N37" i="55"/>
  <c r="N38" i="55"/>
  <c r="N39" i="55"/>
  <c r="N40" i="55"/>
  <c r="N41" i="55"/>
  <c r="N42" i="55"/>
  <c r="N43" i="55"/>
  <c r="N44" i="55"/>
  <c r="N45" i="55"/>
  <c r="N46" i="55"/>
  <c r="N47" i="55"/>
  <c r="N48" i="55"/>
  <c r="N49" i="55"/>
  <c r="N50" i="55"/>
  <c r="N51" i="55"/>
  <c r="N52" i="55"/>
  <c r="N53" i="55"/>
  <c r="N54" i="55"/>
  <c r="N55" i="55"/>
  <c r="N56" i="55"/>
  <c r="N57" i="55"/>
  <c r="N58" i="55"/>
  <c r="N59" i="55"/>
  <c r="N60" i="55"/>
  <c r="N61" i="55"/>
  <c r="N62" i="55"/>
  <c r="N63" i="55"/>
  <c r="N64" i="55"/>
  <c r="N65" i="55"/>
  <c r="N66" i="55"/>
  <c r="N67" i="55"/>
  <c r="N68" i="55"/>
  <c r="N69" i="55"/>
  <c r="N70" i="55"/>
  <c r="N71" i="55"/>
  <c r="N72" i="55"/>
  <c r="N73" i="55"/>
  <c r="N74" i="55"/>
  <c r="N75" i="55"/>
  <c r="N76" i="55"/>
  <c r="N77" i="55"/>
  <c r="N78" i="55"/>
  <c r="N79" i="55"/>
  <c r="N80" i="55"/>
  <c r="N81" i="55"/>
  <c r="N82" i="55"/>
  <c r="N83" i="55"/>
  <c r="N84" i="55"/>
  <c r="N85" i="55"/>
  <c r="N86" i="55"/>
  <c r="N87" i="55"/>
  <c r="N88" i="55"/>
  <c r="N89" i="55"/>
  <c r="N90" i="55"/>
  <c r="N91" i="55"/>
  <c r="N92" i="55"/>
  <c r="N93" i="55"/>
  <c r="N94" i="55"/>
  <c r="N95" i="55"/>
  <c r="N96" i="55"/>
  <c r="N97" i="55"/>
  <c r="N98" i="55"/>
  <c r="N99" i="55"/>
  <c r="N100" i="55"/>
  <c r="N101" i="55"/>
  <c r="N102" i="55"/>
  <c r="N103" i="55"/>
  <c r="N104" i="55"/>
  <c r="N105" i="55"/>
  <c r="N106" i="55"/>
  <c r="N107" i="55"/>
  <c r="N108" i="55"/>
  <c r="N109" i="55"/>
  <c r="N110" i="55"/>
  <c r="N111" i="55"/>
  <c r="N112" i="55"/>
  <c r="N113" i="55"/>
  <c r="N114" i="55"/>
  <c r="N115" i="55"/>
  <c r="N116" i="55"/>
  <c r="N117" i="55"/>
  <c r="N118" i="55"/>
  <c r="N119" i="55"/>
  <c r="N120" i="55"/>
  <c r="N121" i="55"/>
  <c r="N122" i="55"/>
  <c r="N123" i="55"/>
  <c r="N124" i="55"/>
  <c r="N125" i="55"/>
  <c r="N126" i="55"/>
  <c r="N127" i="55"/>
  <c r="N128" i="55"/>
  <c r="N129" i="55"/>
  <c r="N130" i="55"/>
  <c r="N131" i="55"/>
  <c r="N132" i="55"/>
  <c r="N133" i="55"/>
  <c r="N134" i="55"/>
  <c r="N135" i="55"/>
  <c r="N136" i="55"/>
  <c r="N137" i="55"/>
  <c r="N138" i="55"/>
  <c r="N139" i="55"/>
  <c r="N140" i="55"/>
  <c r="N141" i="55"/>
  <c r="N142" i="55"/>
  <c r="N143" i="55"/>
  <c r="N144" i="55"/>
  <c r="N145" i="55"/>
  <c r="N146" i="55"/>
  <c r="N147" i="55"/>
  <c r="N148" i="55"/>
  <c r="N149" i="55"/>
  <c r="N150" i="55"/>
  <c r="N151" i="55"/>
  <c r="N152" i="55"/>
  <c r="N153" i="55"/>
  <c r="N154" i="55"/>
  <c r="N155" i="55"/>
  <c r="N156" i="55"/>
  <c r="N157" i="55"/>
  <c r="N158" i="55"/>
  <c r="N159" i="55"/>
  <c r="N160" i="55"/>
  <c r="N161" i="55"/>
  <c r="N162" i="55"/>
  <c r="N163" i="55"/>
  <c r="N164" i="55"/>
  <c r="N165" i="55"/>
  <c r="N166" i="55"/>
  <c r="N167" i="55"/>
  <c r="N168" i="55"/>
  <c r="N169" i="55"/>
  <c r="N170" i="55"/>
  <c r="N171" i="55"/>
  <c r="N172" i="55"/>
  <c r="N173" i="55"/>
  <c r="N174" i="55"/>
  <c r="N175" i="55"/>
  <c r="N176" i="55"/>
  <c r="N177" i="55"/>
  <c r="N178" i="55"/>
  <c r="N179" i="55"/>
  <c r="N180" i="55"/>
  <c r="N181" i="55"/>
  <c r="N182" i="55"/>
  <c r="N183" i="55"/>
  <c r="N184" i="55"/>
  <c r="N185" i="55"/>
  <c r="N186" i="55"/>
  <c r="N187" i="55"/>
  <c r="N188" i="55"/>
  <c r="N189" i="55"/>
  <c r="N190" i="55"/>
  <c r="N191" i="55"/>
  <c r="N192" i="55"/>
  <c r="N193" i="55"/>
  <c r="N194" i="55"/>
  <c r="N195" i="55"/>
  <c r="N196" i="55"/>
  <c r="N197" i="55"/>
  <c r="N198" i="55"/>
  <c r="N199" i="55"/>
  <c r="N200" i="55"/>
  <c r="N201" i="55"/>
  <c r="N202" i="55"/>
  <c r="N203" i="55"/>
  <c r="N204" i="55"/>
  <c r="N205" i="55"/>
  <c r="N206" i="55"/>
  <c r="N207" i="55"/>
  <c r="N208" i="55"/>
  <c r="N209" i="55"/>
  <c r="N210" i="55"/>
  <c r="N211" i="55"/>
  <c r="N212" i="55"/>
  <c r="N213" i="55"/>
  <c r="N214" i="55"/>
  <c r="N215" i="55"/>
  <c r="N216" i="55"/>
  <c r="N217" i="55"/>
  <c r="N218" i="55"/>
  <c r="N219" i="55"/>
  <c r="N220" i="55"/>
  <c r="N221" i="55"/>
  <c r="N222" i="55"/>
  <c r="N223" i="55"/>
  <c r="N224" i="55"/>
  <c r="N225" i="55"/>
  <c r="N226" i="55"/>
  <c r="N227" i="55"/>
  <c r="N228" i="55"/>
  <c r="N229" i="55"/>
  <c r="N230" i="55"/>
  <c r="N231" i="55"/>
  <c r="N232" i="55"/>
  <c r="N233" i="55"/>
  <c r="N234" i="55"/>
  <c r="N235" i="55"/>
  <c r="N236" i="55"/>
  <c r="N237" i="55"/>
  <c r="N238" i="55"/>
  <c r="N239" i="55"/>
  <c r="N240" i="55"/>
  <c r="N241" i="55"/>
  <c r="N242" i="55"/>
  <c r="N243" i="55"/>
  <c r="N244" i="55"/>
  <c r="N245" i="55"/>
  <c r="N246" i="55"/>
  <c r="N247" i="55"/>
  <c r="N248" i="55"/>
  <c r="N249" i="55"/>
  <c r="N250" i="55"/>
  <c r="N251" i="55"/>
  <c r="N252" i="55"/>
  <c r="N253" i="55"/>
  <c r="N254" i="55"/>
  <c r="N255" i="55"/>
  <c r="N256" i="55"/>
  <c r="N257" i="55"/>
  <c r="N258" i="55"/>
  <c r="N259" i="55"/>
  <c r="N260" i="55"/>
  <c r="N261" i="55"/>
  <c r="N262" i="55"/>
  <c r="N263" i="55"/>
  <c r="N264" i="55"/>
  <c r="N265" i="55"/>
  <c r="N266" i="55"/>
  <c r="N267" i="55"/>
  <c r="N268" i="55"/>
  <c r="N269" i="55"/>
  <c r="N270" i="55"/>
  <c r="N271" i="55"/>
  <c r="N272" i="55"/>
  <c r="N273" i="55"/>
  <c r="N274" i="55"/>
  <c r="N275" i="55"/>
  <c r="N276" i="55"/>
  <c r="N277" i="55"/>
  <c r="N278" i="55"/>
  <c r="N279" i="55"/>
  <c r="N280" i="55"/>
  <c r="N281" i="55"/>
  <c r="N282" i="55"/>
  <c r="N283" i="55"/>
  <c r="N284" i="55"/>
  <c r="N285" i="55"/>
  <c r="N286" i="55"/>
  <c r="N287" i="55"/>
  <c r="N288" i="55"/>
  <c r="N289" i="55"/>
  <c r="N290" i="55"/>
  <c r="N291" i="55"/>
  <c r="N292" i="55"/>
  <c r="N293" i="55"/>
  <c r="N294" i="55"/>
  <c r="N295" i="55"/>
  <c r="N296" i="55"/>
  <c r="N297" i="55"/>
  <c r="N298" i="55"/>
  <c r="N299" i="55"/>
  <c r="N300" i="55"/>
  <c r="N301" i="55"/>
  <c r="N302" i="55"/>
  <c r="N303" i="55"/>
  <c r="N304" i="55"/>
  <c r="N305" i="55"/>
  <c r="N306" i="55"/>
  <c r="N307" i="55"/>
  <c r="N308" i="55"/>
  <c r="N309" i="55"/>
  <c r="N310" i="55"/>
  <c r="N311" i="55"/>
  <c r="N312" i="55"/>
  <c r="N313" i="55"/>
  <c r="N314" i="55"/>
  <c r="N315" i="55"/>
  <c r="N316" i="55"/>
  <c r="N317" i="55"/>
  <c r="N318" i="55"/>
  <c r="N319" i="55"/>
  <c r="N320" i="55"/>
  <c r="N321" i="55"/>
  <c r="N322" i="55"/>
  <c r="N323" i="55"/>
  <c r="N324" i="55"/>
  <c r="N325" i="55"/>
  <c r="N326" i="55"/>
  <c r="N327" i="55"/>
  <c r="N328" i="55"/>
  <c r="N329" i="55"/>
  <c r="N330" i="55"/>
  <c r="N331" i="55"/>
  <c r="N332" i="55"/>
  <c r="N333" i="55"/>
  <c r="N334" i="55"/>
  <c r="N335" i="55"/>
  <c r="N336" i="55"/>
  <c r="N337" i="55"/>
  <c r="N338" i="55"/>
  <c r="N339" i="55"/>
  <c r="N340" i="55"/>
  <c r="N341" i="55"/>
  <c r="N342" i="55"/>
  <c r="N343" i="55"/>
  <c r="N344" i="55"/>
  <c r="N345" i="55"/>
  <c r="N346" i="55"/>
  <c r="N347" i="55"/>
  <c r="N348" i="55"/>
  <c r="N349" i="55"/>
  <c r="N350" i="55"/>
  <c r="N351" i="55"/>
  <c r="N352" i="55"/>
  <c r="N353" i="55"/>
  <c r="N354" i="55"/>
  <c r="N355" i="55"/>
  <c r="N356" i="55"/>
  <c r="N357" i="55"/>
  <c r="N358" i="55"/>
  <c r="N359" i="55"/>
  <c r="N360" i="55"/>
  <c r="N361" i="55"/>
  <c r="N362" i="55"/>
  <c r="N363" i="55"/>
  <c r="N364" i="55"/>
  <c r="N365" i="55"/>
  <c r="N366" i="55"/>
  <c r="N367" i="55"/>
  <c r="N368" i="55"/>
  <c r="N369" i="55"/>
  <c r="N370" i="55"/>
  <c r="N371" i="55"/>
  <c r="N372" i="55"/>
  <c r="N373" i="55"/>
  <c r="N374" i="55"/>
  <c r="N375" i="55"/>
  <c r="N376" i="55"/>
  <c r="N377" i="55"/>
  <c r="N378" i="55"/>
  <c r="N379" i="55"/>
  <c r="N380" i="55"/>
  <c r="N381" i="55"/>
  <c r="N382" i="55"/>
  <c r="N383" i="55"/>
  <c r="N384" i="55"/>
  <c r="N385" i="55"/>
  <c r="N386" i="55"/>
  <c r="N387" i="55"/>
  <c r="N388" i="55"/>
  <c r="N389" i="55"/>
  <c r="N390" i="55"/>
  <c r="N391" i="55"/>
  <c r="N392" i="55"/>
  <c r="N393" i="55"/>
  <c r="N394" i="55"/>
  <c r="N395" i="55"/>
  <c r="N396" i="55"/>
  <c r="N397" i="55"/>
  <c r="N398" i="55"/>
  <c r="N399" i="55"/>
  <c r="N400" i="55"/>
  <c r="N401" i="55"/>
  <c r="N402" i="55"/>
  <c r="N403" i="55"/>
  <c r="N404" i="55"/>
  <c r="N405" i="55"/>
  <c r="N406" i="55"/>
  <c r="N407" i="55"/>
  <c r="N408" i="55"/>
  <c r="N409" i="55"/>
  <c r="N410" i="55"/>
  <c r="N411" i="55"/>
  <c r="N412" i="55"/>
  <c r="N413" i="55"/>
  <c r="N414" i="55"/>
  <c r="N415" i="55"/>
  <c r="N416" i="55"/>
  <c r="N417" i="55"/>
  <c r="N418" i="55"/>
  <c r="N419" i="55"/>
  <c r="N420" i="55"/>
  <c r="N421" i="55"/>
  <c r="N422" i="55"/>
  <c r="N423" i="55"/>
  <c r="N424" i="55"/>
  <c r="N425" i="55"/>
  <c r="N426" i="55"/>
  <c r="N427" i="55"/>
  <c r="N428" i="55"/>
  <c r="N429" i="55"/>
  <c r="N430" i="55"/>
  <c r="N431" i="55"/>
  <c r="N432" i="55"/>
  <c r="N433" i="55"/>
  <c r="N434" i="55"/>
  <c r="N435" i="55"/>
  <c r="N436" i="55"/>
  <c r="N437" i="55"/>
  <c r="N438" i="55"/>
  <c r="N439" i="55"/>
  <c r="N440" i="55"/>
  <c r="N441" i="55"/>
  <c r="N442" i="55"/>
  <c r="N443" i="55"/>
  <c r="N444" i="55"/>
  <c r="N445" i="55"/>
  <c r="N446" i="55"/>
  <c r="N447" i="55"/>
  <c r="N448" i="55"/>
  <c r="N449" i="55"/>
  <c r="N450" i="55"/>
  <c r="N451" i="55"/>
  <c r="N452" i="55"/>
  <c r="N453" i="55"/>
  <c r="N454" i="55"/>
  <c r="N455" i="55"/>
  <c r="N456" i="55"/>
  <c r="N457" i="55"/>
  <c r="N458" i="55"/>
  <c r="N459" i="55"/>
  <c r="N460" i="55"/>
  <c r="N461" i="55"/>
  <c r="N462" i="55"/>
  <c r="N463" i="55"/>
  <c r="N464" i="55"/>
  <c r="N465" i="55"/>
  <c r="N466" i="55"/>
  <c r="N467" i="55"/>
  <c r="N468" i="55"/>
  <c r="N469" i="55"/>
  <c r="N470" i="55"/>
  <c r="N471" i="55"/>
  <c r="N472" i="55"/>
  <c r="N473" i="55"/>
  <c r="N474" i="55"/>
  <c r="N475" i="55"/>
  <c r="N476" i="55"/>
  <c r="N477" i="55"/>
  <c r="N478" i="55"/>
  <c r="N479" i="55"/>
  <c r="N480" i="55"/>
  <c r="N481" i="55"/>
  <c r="N482" i="55"/>
  <c r="N483" i="55"/>
  <c r="N484" i="55"/>
  <c r="N485" i="55"/>
  <c r="N486" i="55"/>
  <c r="N487" i="55"/>
  <c r="N488" i="55"/>
  <c r="N489" i="55"/>
  <c r="N490" i="55"/>
  <c r="N491" i="55"/>
  <c r="N492" i="55"/>
  <c r="N493" i="55"/>
  <c r="N494" i="55"/>
  <c r="N495" i="55"/>
  <c r="N496" i="55"/>
  <c r="N497" i="55"/>
  <c r="N498" i="55"/>
  <c r="N499" i="55"/>
  <c r="N500" i="55"/>
  <c r="N501" i="55"/>
  <c r="N502" i="55"/>
  <c r="N503" i="55"/>
  <c r="N504" i="55"/>
  <c r="N505" i="55"/>
  <c r="N506" i="55"/>
  <c r="N507" i="55"/>
  <c r="N508" i="55"/>
  <c r="N509" i="55"/>
  <c r="N510" i="55"/>
  <c r="N511" i="55"/>
  <c r="N512" i="55"/>
  <c r="N513" i="55"/>
  <c r="N514" i="55"/>
  <c r="N515" i="55"/>
  <c r="N516" i="55"/>
  <c r="N517" i="55"/>
  <c r="N518" i="55"/>
  <c r="N519" i="55"/>
  <c r="N520" i="55"/>
  <c r="N521" i="55"/>
  <c r="N522" i="55"/>
  <c r="N523" i="55"/>
  <c r="N524" i="55"/>
  <c r="N525" i="55"/>
  <c r="N526" i="55"/>
  <c r="N527" i="55"/>
  <c r="N528" i="55"/>
  <c r="N529" i="55"/>
  <c r="N530" i="55"/>
  <c r="N531" i="55"/>
  <c r="N532" i="55"/>
  <c r="N533" i="55"/>
  <c r="N534" i="55"/>
  <c r="N535" i="55"/>
  <c r="N536" i="55"/>
  <c r="N537" i="55"/>
  <c r="N538" i="55"/>
  <c r="N539" i="55"/>
  <c r="N540" i="55"/>
  <c r="N541" i="55"/>
  <c r="N542" i="55"/>
  <c r="N543" i="55"/>
  <c r="N544" i="55"/>
  <c r="N545" i="55"/>
  <c r="N546" i="55"/>
  <c r="N547" i="55"/>
  <c r="N548" i="55"/>
  <c r="N549" i="55"/>
  <c r="N550" i="55"/>
  <c r="N551" i="55"/>
  <c r="N552" i="55"/>
  <c r="N553" i="55"/>
  <c r="N554" i="55"/>
  <c r="N555" i="55"/>
  <c r="N556" i="55"/>
  <c r="N557" i="55"/>
  <c r="N558" i="55"/>
  <c r="N559" i="55"/>
  <c r="N560" i="55"/>
  <c r="N561" i="55"/>
  <c r="N562" i="55"/>
  <c r="N563" i="55"/>
  <c r="N564" i="55"/>
  <c r="N565" i="55"/>
  <c r="N566" i="55"/>
  <c r="N567" i="55"/>
  <c r="N568" i="55"/>
  <c r="N569" i="55"/>
  <c r="N570" i="55"/>
  <c r="N571" i="55"/>
  <c r="N572" i="55"/>
  <c r="N573" i="55"/>
  <c r="N574" i="55"/>
  <c r="N575" i="55"/>
  <c r="N576" i="55"/>
  <c r="N577" i="55"/>
  <c r="N578" i="55"/>
  <c r="N579" i="55"/>
  <c r="N580" i="55"/>
  <c r="N581" i="55"/>
  <c r="N582" i="55"/>
  <c r="N583" i="55"/>
  <c r="N584" i="55"/>
  <c r="N585" i="55"/>
  <c r="N586" i="55"/>
  <c r="N587" i="55"/>
  <c r="N588" i="55"/>
  <c r="N589" i="55"/>
  <c r="N590" i="55"/>
  <c r="N591" i="55"/>
  <c r="N592" i="55"/>
  <c r="N593" i="55"/>
  <c r="N594" i="55"/>
  <c r="N595" i="55"/>
  <c r="N596" i="55"/>
  <c r="N597" i="55"/>
  <c r="N598" i="55"/>
  <c r="N599" i="55"/>
  <c r="N600" i="55"/>
  <c r="N601" i="55"/>
  <c r="N602" i="55"/>
  <c r="N603" i="55"/>
  <c r="N604" i="55"/>
  <c r="N605" i="55"/>
  <c r="N606" i="55"/>
  <c r="N607" i="55"/>
  <c r="N608" i="55"/>
  <c r="N609" i="55"/>
  <c r="N610" i="55"/>
  <c r="N611" i="55"/>
  <c r="N612" i="55"/>
  <c r="N613" i="55"/>
  <c r="N614" i="55"/>
  <c r="N615" i="55"/>
  <c r="N616" i="55"/>
  <c r="N617" i="55"/>
  <c r="N618" i="55"/>
  <c r="N619" i="55"/>
  <c r="N620" i="55"/>
  <c r="N621" i="55"/>
  <c r="N622" i="55"/>
  <c r="N623" i="55"/>
  <c r="N624" i="55"/>
  <c r="N625" i="55"/>
  <c r="N626" i="55"/>
  <c r="N627" i="55"/>
  <c r="N628" i="55"/>
  <c r="N629" i="55"/>
  <c r="N630" i="55"/>
  <c r="N631" i="55"/>
  <c r="N632" i="55"/>
  <c r="N633" i="55"/>
  <c r="N634" i="55"/>
  <c r="N635" i="55"/>
  <c r="N636" i="55"/>
  <c r="N637" i="55"/>
  <c r="N638" i="55"/>
  <c r="N639" i="55"/>
  <c r="N640" i="55"/>
  <c r="N641" i="55"/>
  <c r="N642" i="55"/>
  <c r="N643" i="55"/>
  <c r="N644" i="55"/>
  <c r="N645" i="55"/>
  <c r="N646" i="55"/>
  <c r="N647" i="55"/>
  <c r="N648" i="55"/>
  <c r="N649" i="55"/>
  <c r="N650" i="55"/>
  <c r="N651" i="55"/>
  <c r="N652" i="55"/>
  <c r="N653" i="55"/>
  <c r="N654" i="55"/>
  <c r="N655" i="55"/>
  <c r="N656" i="55"/>
  <c r="N657" i="55"/>
  <c r="N658" i="55"/>
  <c r="N659" i="55"/>
  <c r="N660" i="55"/>
  <c r="N661" i="55"/>
  <c r="N662" i="55"/>
  <c r="N663" i="55"/>
  <c r="N664" i="55"/>
  <c r="N665" i="55"/>
  <c r="N666" i="55"/>
  <c r="N667" i="55"/>
  <c r="N668" i="55"/>
  <c r="N669" i="55"/>
  <c r="N670" i="55"/>
  <c r="N671" i="55"/>
  <c r="N672" i="55"/>
  <c r="N673" i="55"/>
  <c r="N674" i="55"/>
  <c r="N675" i="55"/>
  <c r="N676" i="55"/>
  <c r="N677" i="55"/>
  <c r="N678" i="55"/>
  <c r="N679" i="55"/>
  <c r="N680" i="55"/>
  <c r="N681" i="55"/>
  <c r="N682" i="55"/>
  <c r="N683" i="55"/>
  <c r="N684" i="55"/>
  <c r="N685" i="55"/>
  <c r="N686" i="55"/>
  <c r="N687" i="55"/>
  <c r="N688" i="55"/>
  <c r="N689" i="55"/>
  <c r="N690" i="55"/>
  <c r="N691" i="55"/>
  <c r="N692" i="55"/>
  <c r="N693" i="55"/>
  <c r="N694" i="55"/>
  <c r="N695" i="55"/>
  <c r="N696" i="55"/>
  <c r="N697" i="55"/>
  <c r="N698" i="55"/>
  <c r="N699" i="55"/>
  <c r="N700" i="55"/>
  <c r="N701" i="55"/>
  <c r="N702" i="55"/>
  <c r="N703" i="55"/>
  <c r="N704" i="55"/>
  <c r="N705" i="55"/>
  <c r="N706" i="55"/>
  <c r="N707" i="55"/>
  <c r="N708" i="55"/>
  <c r="N709" i="55"/>
  <c r="N710" i="55"/>
  <c r="N711" i="55"/>
  <c r="N712" i="55"/>
  <c r="N713" i="55"/>
  <c r="N714" i="55"/>
  <c r="N715" i="55"/>
  <c r="N716" i="55"/>
  <c r="N717" i="55"/>
  <c r="N718" i="55"/>
  <c r="N719" i="55"/>
  <c r="N720" i="55"/>
  <c r="N721" i="55"/>
  <c r="N722" i="55"/>
  <c r="N723" i="55"/>
  <c r="N724" i="55"/>
  <c r="N725" i="55"/>
  <c r="N726" i="55"/>
  <c r="N727" i="55"/>
  <c r="N728" i="55"/>
  <c r="N729" i="55"/>
  <c r="N730" i="55"/>
  <c r="N731" i="55"/>
  <c r="N732" i="55"/>
  <c r="N733" i="55"/>
  <c r="N734" i="55"/>
  <c r="N735" i="55"/>
  <c r="N736" i="55"/>
  <c r="N737" i="55"/>
  <c r="N738" i="55"/>
  <c r="N739" i="55"/>
  <c r="N740" i="55"/>
  <c r="N741" i="55"/>
  <c r="N742" i="55"/>
  <c r="N743" i="55"/>
  <c r="N744" i="55"/>
  <c r="N745" i="55"/>
  <c r="N746" i="55"/>
  <c r="N747" i="55"/>
  <c r="N748" i="55"/>
  <c r="N749" i="55"/>
  <c r="N750" i="55"/>
  <c r="N751" i="55"/>
  <c r="N752" i="55"/>
  <c r="N753" i="55"/>
  <c r="N754" i="55"/>
  <c r="N755" i="55"/>
  <c r="N756" i="55"/>
  <c r="N757" i="55"/>
  <c r="N758" i="55"/>
  <c r="N759" i="55"/>
  <c r="N760" i="55"/>
  <c r="N761" i="55"/>
  <c r="N762" i="55"/>
  <c r="N763" i="55"/>
  <c r="N764" i="55"/>
  <c r="N765" i="55"/>
  <c r="N766" i="55"/>
  <c r="N767" i="55"/>
  <c r="N768" i="55"/>
  <c r="N769" i="55"/>
  <c r="N770" i="55"/>
  <c r="N771" i="55"/>
  <c r="N772" i="55"/>
  <c r="N773" i="55"/>
  <c r="N774" i="55"/>
  <c r="N775" i="55"/>
  <c r="N776" i="55"/>
  <c r="N777" i="55"/>
  <c r="N778" i="55"/>
  <c r="N779" i="55"/>
  <c r="N780" i="55"/>
  <c r="N781" i="55"/>
  <c r="N782" i="55"/>
  <c r="N783" i="55"/>
  <c r="N784" i="55"/>
  <c r="N785" i="55"/>
  <c r="N786" i="55"/>
  <c r="N787" i="55"/>
  <c r="N788" i="55"/>
  <c r="N789" i="55"/>
  <c r="N790" i="55"/>
  <c r="N791" i="55"/>
  <c r="N792" i="55"/>
  <c r="N793" i="55"/>
  <c r="N794" i="55"/>
  <c r="N795" i="55"/>
  <c r="N796" i="55"/>
  <c r="N797" i="55"/>
  <c r="N798" i="55"/>
  <c r="N799" i="55"/>
  <c r="N800" i="55"/>
  <c r="N801" i="55"/>
  <c r="N802" i="55"/>
  <c r="N803" i="55"/>
  <c r="N804" i="55"/>
  <c r="N805" i="55"/>
  <c r="N806" i="55"/>
  <c r="N807" i="55"/>
  <c r="N808" i="55"/>
  <c r="N809" i="55"/>
  <c r="N810" i="55"/>
  <c r="N811" i="55"/>
  <c r="N812" i="55"/>
  <c r="N813" i="55"/>
  <c r="N814" i="55"/>
  <c r="N815" i="55"/>
  <c r="N816" i="55"/>
  <c r="N817" i="55"/>
  <c r="N818" i="55"/>
  <c r="N819" i="55"/>
  <c r="N820" i="55"/>
  <c r="N821" i="55"/>
  <c r="N822" i="55"/>
  <c r="N823" i="55"/>
  <c r="N824" i="55"/>
  <c r="N825" i="55"/>
  <c r="N826" i="55"/>
  <c r="N827" i="55"/>
  <c r="N828" i="55"/>
  <c r="N829" i="55"/>
  <c r="N830" i="55"/>
  <c r="N831" i="55"/>
  <c r="N832" i="55"/>
  <c r="N833" i="55"/>
  <c r="N834" i="55"/>
  <c r="N835" i="55"/>
  <c r="N836" i="55"/>
  <c r="N837" i="55"/>
  <c r="N838" i="55"/>
  <c r="N839" i="55"/>
  <c r="N840" i="55"/>
  <c r="N841" i="55"/>
  <c r="N842" i="55"/>
  <c r="N843" i="55"/>
  <c r="N844" i="55"/>
  <c r="N845" i="55"/>
  <c r="N846" i="55"/>
  <c r="N847" i="55"/>
  <c r="N848" i="55"/>
  <c r="N849" i="55"/>
  <c r="N850" i="55"/>
  <c r="N851" i="55"/>
  <c r="N852" i="55"/>
  <c r="N853" i="55"/>
  <c r="N854" i="55"/>
  <c r="N855" i="55"/>
  <c r="N856" i="55"/>
  <c r="N857" i="55"/>
  <c r="N858" i="55"/>
  <c r="N859" i="55"/>
  <c r="N860" i="55"/>
  <c r="N861" i="55"/>
  <c r="N862" i="55"/>
  <c r="N863" i="55"/>
  <c r="N864" i="55"/>
  <c r="N865" i="55"/>
  <c r="N866" i="55"/>
  <c r="N867" i="55"/>
  <c r="N868" i="55"/>
  <c r="N869" i="55"/>
  <c r="N870" i="55"/>
  <c r="N871" i="55"/>
  <c r="N872" i="55"/>
  <c r="N873" i="55"/>
  <c r="N874" i="55"/>
  <c r="N875" i="55"/>
  <c r="N876" i="55"/>
  <c r="N877" i="55"/>
  <c r="N878" i="55"/>
  <c r="N879" i="55"/>
  <c r="N880" i="55"/>
  <c r="N881" i="55"/>
  <c r="N882" i="55"/>
  <c r="N883" i="55"/>
  <c r="N884" i="55"/>
  <c r="N885" i="55"/>
  <c r="N886" i="55"/>
  <c r="N887" i="55"/>
  <c r="N888" i="55"/>
  <c r="N889" i="55"/>
  <c r="N890" i="55"/>
  <c r="N891" i="55"/>
  <c r="N892" i="55"/>
  <c r="N893" i="55"/>
  <c r="N894" i="55"/>
  <c r="N895" i="55"/>
  <c r="N896" i="55"/>
  <c r="N897" i="55"/>
  <c r="N898" i="55"/>
  <c r="N899" i="55"/>
  <c r="N900" i="55"/>
  <c r="N901" i="55"/>
  <c r="N902" i="55"/>
  <c r="N903" i="55"/>
  <c r="N904" i="55"/>
  <c r="N905" i="55"/>
  <c r="N906" i="55"/>
  <c r="N907" i="55"/>
  <c r="N908" i="55"/>
  <c r="N909" i="55"/>
  <c r="N910" i="55"/>
  <c r="N911" i="55"/>
  <c r="N912" i="55"/>
  <c r="N913" i="55"/>
  <c r="N914" i="55"/>
  <c r="N915" i="55"/>
  <c r="N916" i="55"/>
  <c r="N917" i="55"/>
  <c r="N918" i="55"/>
  <c r="N919" i="55"/>
  <c r="N920" i="55"/>
  <c r="N921" i="55"/>
  <c r="N922" i="55"/>
  <c r="N923" i="55"/>
  <c r="N924" i="55"/>
  <c r="N925" i="55"/>
  <c r="N926" i="55"/>
  <c r="N927" i="55"/>
  <c r="N928" i="55"/>
  <c r="N929" i="55"/>
  <c r="N930" i="55"/>
  <c r="N931" i="55"/>
  <c r="N932" i="55"/>
  <c r="N933" i="55"/>
  <c r="N934" i="55"/>
  <c r="N935" i="55"/>
  <c r="N936" i="55"/>
  <c r="N937" i="55"/>
  <c r="N938" i="55"/>
  <c r="N939" i="55"/>
  <c r="N940" i="55"/>
  <c r="N941" i="55"/>
  <c r="N942" i="55"/>
  <c r="N943" i="55"/>
  <c r="N944" i="55"/>
  <c r="N945" i="55"/>
  <c r="N946" i="55"/>
  <c r="N947" i="55"/>
  <c r="N948" i="55"/>
  <c r="N949" i="55"/>
  <c r="N950" i="55"/>
  <c r="N951" i="55"/>
  <c r="N952" i="55"/>
  <c r="N953" i="55"/>
  <c r="N954" i="55"/>
  <c r="N955" i="55"/>
  <c r="N956" i="55"/>
  <c r="N957" i="55"/>
  <c r="N958" i="55"/>
  <c r="N959" i="55"/>
  <c r="N960" i="55"/>
  <c r="N961" i="55"/>
  <c r="N962" i="55"/>
  <c r="N963" i="55"/>
  <c r="N964" i="55"/>
  <c r="N965" i="55"/>
  <c r="N966" i="55"/>
  <c r="N967" i="55"/>
  <c r="N968" i="55"/>
  <c r="N969" i="55"/>
  <c r="N970" i="55"/>
  <c r="N971" i="55"/>
  <c r="N972" i="55"/>
  <c r="N973" i="55"/>
  <c r="N974" i="55"/>
  <c r="N975" i="55"/>
  <c r="N976" i="55"/>
  <c r="N977" i="55"/>
  <c r="N978" i="55"/>
  <c r="N979" i="55"/>
  <c r="N980" i="55"/>
  <c r="N981" i="55"/>
  <c r="N982" i="55"/>
  <c r="N983" i="55"/>
  <c r="N984" i="55"/>
  <c r="N985" i="55"/>
  <c r="N986" i="55"/>
  <c r="N987" i="55"/>
  <c r="N988" i="55"/>
  <c r="N989" i="55"/>
  <c r="N990" i="55"/>
  <c r="N991" i="55"/>
  <c r="N992" i="55"/>
  <c r="N993" i="55"/>
  <c r="N994" i="55"/>
  <c r="N995" i="55"/>
  <c r="N996" i="55"/>
  <c r="N997" i="55"/>
  <c r="N998" i="55"/>
  <c r="N999" i="55"/>
  <c r="N1000" i="55"/>
  <c r="N1001" i="55"/>
  <c r="N1002" i="55"/>
  <c r="N1003" i="55"/>
  <c r="N1004" i="55"/>
  <c r="N1005" i="55"/>
  <c r="N1006" i="55"/>
  <c r="N1007" i="55"/>
  <c r="N1008" i="55"/>
  <c r="N1009" i="55"/>
  <c r="N1010" i="55"/>
  <c r="N1011" i="55"/>
  <c r="N1012" i="55"/>
  <c r="N1013" i="55"/>
  <c r="N1014" i="55"/>
  <c r="N1015" i="55"/>
  <c r="N1016" i="55"/>
  <c r="N1017" i="55"/>
  <c r="N1018" i="55"/>
  <c r="N1019" i="55"/>
  <c r="N1020" i="55"/>
  <c r="N1021" i="55"/>
  <c r="N1022" i="55"/>
  <c r="N1023" i="55"/>
  <c r="N1024" i="55"/>
  <c r="N1025" i="55"/>
  <c r="N1026" i="55"/>
  <c r="N1027" i="55"/>
  <c r="N1028" i="55"/>
  <c r="N1029" i="55"/>
  <c r="N1030" i="55"/>
  <c r="N1031" i="55"/>
  <c r="N1032" i="55"/>
  <c r="N1033" i="55"/>
  <c r="N1034" i="55"/>
  <c r="N1035" i="55"/>
  <c r="N1036" i="55"/>
  <c r="N1037" i="55"/>
  <c r="N1038" i="55"/>
  <c r="N1039" i="55"/>
  <c r="N1040" i="55"/>
  <c r="N1041" i="55"/>
  <c r="N1042" i="55"/>
  <c r="N1043" i="55"/>
  <c r="N1044" i="55"/>
  <c r="N1045" i="55"/>
  <c r="N1046" i="55"/>
  <c r="N1047" i="55"/>
  <c r="N1048" i="55"/>
  <c r="N1049" i="55"/>
  <c r="N1050" i="55"/>
  <c r="N1051" i="55"/>
  <c r="N1052" i="55"/>
  <c r="N1053" i="55"/>
  <c r="N1054" i="55"/>
  <c r="N1055" i="55"/>
  <c r="N1056" i="55"/>
  <c r="N1057" i="55"/>
  <c r="N1058" i="55"/>
  <c r="N1059" i="55"/>
  <c r="N1060" i="55"/>
  <c r="N1061" i="55"/>
  <c r="N1062" i="55"/>
  <c r="N1063" i="55"/>
  <c r="N1064" i="55"/>
  <c r="N1065" i="55"/>
  <c r="N1066" i="55"/>
  <c r="N1067" i="55"/>
  <c r="N1068" i="55"/>
  <c r="N1069" i="55"/>
  <c r="N1070" i="55"/>
  <c r="N1071" i="55"/>
  <c r="N1072" i="55"/>
  <c r="N1073" i="55"/>
  <c r="N1074" i="55"/>
  <c r="N1075" i="55"/>
  <c r="N1076" i="55"/>
  <c r="N1077" i="55"/>
  <c r="N1078" i="55"/>
  <c r="N1079" i="55"/>
  <c r="N1080" i="55"/>
  <c r="N1081" i="55"/>
  <c r="N1082" i="55"/>
  <c r="N1083" i="55"/>
  <c r="N1084" i="55"/>
  <c r="N1085" i="55"/>
  <c r="N1086" i="55"/>
  <c r="N1087" i="55"/>
  <c r="N1088" i="55"/>
  <c r="N1089" i="55"/>
  <c r="N1090" i="55"/>
  <c r="N1091" i="55"/>
  <c r="N1092" i="55"/>
  <c r="N1093" i="55"/>
  <c r="N1094" i="55"/>
  <c r="N1095" i="55"/>
  <c r="N1096" i="55"/>
  <c r="N1097" i="55"/>
  <c r="N1098" i="55"/>
  <c r="N1099" i="55"/>
  <c r="N1100" i="55"/>
  <c r="N1101" i="55"/>
  <c r="N1102" i="55"/>
  <c r="N1103" i="55"/>
  <c r="N1104" i="55"/>
  <c r="N1105" i="55"/>
  <c r="N1106" i="55"/>
  <c r="N1107" i="55"/>
  <c r="N1108" i="55"/>
  <c r="N1109" i="55"/>
  <c r="N1110" i="55"/>
  <c r="N1111" i="55"/>
  <c r="N1112" i="55"/>
  <c r="N1113" i="55"/>
  <c r="N1114" i="55"/>
  <c r="N1115" i="55"/>
  <c r="N1116" i="55"/>
  <c r="N1117" i="55"/>
  <c r="N1118" i="55"/>
  <c r="N1119" i="55"/>
  <c r="N1120" i="55"/>
  <c r="N1121" i="55"/>
  <c r="N1122" i="55"/>
  <c r="N1123" i="55"/>
  <c r="N1124" i="55"/>
  <c r="N1125" i="55"/>
  <c r="N1126" i="55"/>
  <c r="N1127" i="55"/>
  <c r="N1128" i="55"/>
  <c r="N1129" i="55"/>
  <c r="N1130" i="55"/>
  <c r="N1131" i="55"/>
  <c r="N1132" i="55"/>
  <c r="N1133" i="55"/>
  <c r="N1134" i="55"/>
  <c r="N1135" i="55"/>
  <c r="N1136" i="55"/>
  <c r="N1137" i="55"/>
  <c r="N1138" i="55"/>
  <c r="N1139" i="55"/>
  <c r="N1140" i="55"/>
  <c r="N1141" i="55"/>
  <c r="N1142" i="55"/>
  <c r="N1143" i="55"/>
  <c r="N1144" i="55"/>
  <c r="N1145" i="55"/>
  <c r="N1146" i="55"/>
  <c r="N1147" i="55"/>
  <c r="N1148" i="55"/>
  <c r="N1149" i="55"/>
  <c r="N1150" i="55"/>
  <c r="N1151" i="55"/>
  <c r="N1152" i="55"/>
  <c r="N1153" i="55"/>
  <c r="N1154" i="55"/>
  <c r="N1155" i="55"/>
  <c r="N1156" i="55"/>
  <c r="N1157" i="55"/>
  <c r="N1158" i="55"/>
  <c r="N1159" i="55"/>
  <c r="N1160" i="55"/>
  <c r="N1161" i="55"/>
  <c r="N1162" i="55"/>
  <c r="N1163" i="55"/>
  <c r="N1164" i="55"/>
  <c r="N1165" i="55"/>
  <c r="N1166" i="55"/>
  <c r="N1167" i="55"/>
  <c r="N1168" i="55"/>
  <c r="N1169" i="55"/>
  <c r="N1170" i="55"/>
  <c r="N1171" i="55"/>
  <c r="N1172" i="55"/>
  <c r="N1173" i="55"/>
  <c r="N1174" i="55"/>
  <c r="N1175" i="55"/>
  <c r="N1176" i="55"/>
  <c r="N1177" i="55"/>
  <c r="N1178" i="55"/>
  <c r="N1179" i="55"/>
  <c r="N1180" i="55"/>
  <c r="N1181" i="55"/>
  <c r="N1182" i="55"/>
  <c r="N1183" i="55"/>
  <c r="N1184" i="55"/>
  <c r="N1185" i="55"/>
  <c r="N1186" i="55"/>
  <c r="N1187" i="55"/>
  <c r="N1188" i="55"/>
  <c r="N1189" i="55"/>
  <c r="N1190" i="55"/>
  <c r="N1191" i="55"/>
  <c r="N1192" i="55"/>
  <c r="N1193" i="55"/>
  <c r="N1194" i="55"/>
  <c r="N1195" i="55"/>
  <c r="N1196" i="55"/>
  <c r="N1197" i="55"/>
  <c r="N1198" i="55"/>
  <c r="N1199" i="55"/>
  <c r="N1200" i="55"/>
  <c r="N1201" i="55"/>
  <c r="N1202" i="55"/>
  <c r="N1203" i="55"/>
  <c r="N1204" i="55"/>
  <c r="N1205" i="55"/>
  <c r="N1206" i="55"/>
  <c r="N1207" i="55"/>
  <c r="N1208" i="55"/>
  <c r="N1209" i="55"/>
  <c r="N1210" i="55"/>
  <c r="N1211" i="55"/>
  <c r="N1212" i="55"/>
  <c r="N1213" i="55"/>
  <c r="N1214" i="55"/>
  <c r="N1215" i="55"/>
  <c r="N1216" i="55"/>
  <c r="N1217" i="55"/>
  <c r="N1218" i="55"/>
  <c r="N1219" i="55"/>
  <c r="N1220" i="55"/>
  <c r="N1221" i="55"/>
  <c r="N1222" i="55"/>
  <c r="N1223" i="55"/>
  <c r="N1224" i="55"/>
  <c r="N1225" i="55"/>
  <c r="N1226" i="55"/>
  <c r="N1227" i="55"/>
  <c r="N1228" i="55"/>
  <c r="N1229" i="55"/>
  <c r="N1230" i="55"/>
  <c r="N1231" i="55"/>
  <c r="N1232" i="55"/>
  <c r="N1233" i="55"/>
  <c r="N1234" i="55"/>
  <c r="N1235" i="55"/>
  <c r="N1236" i="55"/>
  <c r="N1237" i="55"/>
  <c r="N1238" i="55"/>
  <c r="N1239" i="55"/>
  <c r="N1240" i="55"/>
  <c r="N1241" i="55"/>
  <c r="N1242" i="55"/>
  <c r="N1243" i="55"/>
  <c r="N1244" i="55"/>
  <c r="N1245" i="55"/>
  <c r="N1246" i="55"/>
  <c r="N1247" i="55"/>
  <c r="N1248" i="55"/>
  <c r="N1249" i="55"/>
  <c r="N1250" i="55"/>
  <c r="N1251" i="55"/>
  <c r="N1252" i="55"/>
  <c r="N1253" i="55"/>
  <c r="N1254" i="55"/>
  <c r="N1255" i="55"/>
  <c r="N1256" i="55"/>
  <c r="N1257" i="55"/>
  <c r="N1258" i="55"/>
  <c r="N1259" i="55"/>
  <c r="N1260" i="55"/>
  <c r="N1261" i="55"/>
  <c r="N1262" i="55"/>
  <c r="N1263" i="55"/>
  <c r="N1264" i="55"/>
  <c r="N1265" i="55"/>
  <c r="N1266" i="55"/>
  <c r="N1267" i="55"/>
  <c r="N1268" i="55"/>
  <c r="N1269" i="55"/>
  <c r="N1270" i="55"/>
  <c r="N1271" i="55"/>
  <c r="N1272" i="55"/>
  <c r="N1273" i="55"/>
  <c r="N1274" i="55"/>
  <c r="N1275" i="55"/>
  <c r="N1276" i="55"/>
  <c r="N1277" i="55"/>
  <c r="N1278" i="55"/>
  <c r="N1279" i="55"/>
  <c r="N1280" i="55"/>
  <c r="N1281" i="55"/>
  <c r="N1282" i="55"/>
  <c r="N1283" i="55"/>
  <c r="N1284" i="55"/>
  <c r="N1285" i="55"/>
  <c r="N1286" i="55"/>
  <c r="N1287" i="55"/>
  <c r="N1288" i="55"/>
  <c r="N1289" i="55"/>
  <c r="N1290" i="55"/>
  <c r="N1291" i="55"/>
  <c r="N1292" i="55"/>
  <c r="N1293" i="55"/>
  <c r="N1294" i="55"/>
  <c r="N1295" i="55"/>
  <c r="N1296" i="55"/>
  <c r="N1297" i="55"/>
  <c r="N1298" i="55"/>
  <c r="N1299" i="55"/>
  <c r="N1300" i="55"/>
  <c r="N1301" i="55"/>
  <c r="N1302" i="55"/>
  <c r="N1303" i="55"/>
  <c r="N1304" i="55"/>
  <c r="N1305" i="55"/>
  <c r="N1306" i="55"/>
  <c r="N1307" i="55"/>
  <c r="N1308" i="55"/>
  <c r="N1309" i="55"/>
  <c r="N1310" i="55"/>
  <c r="N1311" i="55"/>
  <c r="N1312" i="55"/>
  <c r="N1313" i="55"/>
  <c r="N1314" i="55"/>
  <c r="N1315" i="55"/>
  <c r="N1316" i="55"/>
  <c r="N1317" i="55"/>
  <c r="N1318" i="55"/>
  <c r="N1319" i="55"/>
  <c r="N1320" i="55"/>
  <c r="N1321" i="55"/>
  <c r="N1322" i="55"/>
  <c r="N1323" i="55"/>
  <c r="N1324" i="55"/>
  <c r="N1325" i="55"/>
  <c r="N1326" i="55"/>
  <c r="N1327" i="55"/>
  <c r="N1328" i="55"/>
  <c r="N1329" i="55"/>
  <c r="N1330" i="55"/>
  <c r="N1331" i="55"/>
  <c r="N1332" i="55"/>
  <c r="N1333" i="55"/>
  <c r="N1334" i="55"/>
  <c r="N1335" i="55"/>
  <c r="N1336" i="55"/>
  <c r="N1337" i="55"/>
  <c r="N1338" i="55"/>
  <c r="N1339" i="55"/>
  <c r="N1340" i="55"/>
  <c r="N1341" i="55"/>
  <c r="N1342" i="55"/>
  <c r="N1343" i="55"/>
  <c r="N1344" i="55"/>
  <c r="N1345" i="55"/>
  <c r="N1346" i="55"/>
  <c r="N1347" i="55"/>
  <c r="N1348" i="55"/>
  <c r="N1349" i="55"/>
  <c r="N1350" i="55"/>
  <c r="N1351" i="55"/>
  <c r="N1352" i="55"/>
  <c r="N1353" i="55"/>
  <c r="N1354" i="55"/>
  <c r="N1355" i="55"/>
  <c r="N1356" i="55"/>
  <c r="N1357" i="55"/>
  <c r="N1358" i="55"/>
  <c r="N1359" i="55"/>
  <c r="N1360" i="55"/>
  <c r="N1361" i="55"/>
  <c r="N1362" i="55"/>
  <c r="N1363" i="55"/>
  <c r="N1364" i="55"/>
  <c r="N1365" i="55"/>
  <c r="N1366" i="55"/>
  <c r="N1367" i="55"/>
  <c r="N1368" i="55"/>
  <c r="N1369" i="55"/>
  <c r="N1370" i="55"/>
  <c r="N1371" i="55"/>
  <c r="N1372" i="55"/>
  <c r="N1373" i="55"/>
  <c r="N1374" i="55"/>
  <c r="N1375" i="55"/>
  <c r="N1376" i="55"/>
  <c r="N1377" i="55"/>
  <c r="N1378" i="55"/>
  <c r="N1379" i="55"/>
  <c r="N1380" i="55"/>
  <c r="N1381" i="55"/>
  <c r="N1382" i="55"/>
  <c r="N1383" i="55"/>
  <c r="N1384" i="55"/>
  <c r="N1385" i="55"/>
  <c r="N1386" i="55"/>
  <c r="N1387" i="55"/>
  <c r="N1388" i="55"/>
  <c r="N1389" i="55"/>
  <c r="N1390" i="55"/>
  <c r="N1391" i="55"/>
  <c r="N1392" i="55"/>
  <c r="N1393" i="55"/>
  <c r="N1394" i="55"/>
  <c r="N1395" i="55"/>
  <c r="N1396" i="55"/>
  <c r="N1397" i="55"/>
  <c r="N1398" i="55"/>
  <c r="N1399" i="55"/>
  <c r="N1400" i="55"/>
  <c r="N1401" i="55"/>
  <c r="N1402" i="55"/>
  <c r="N1403" i="55"/>
  <c r="N1404" i="55"/>
  <c r="N1405" i="55"/>
  <c r="N1406" i="55"/>
  <c r="N1407" i="55"/>
  <c r="N1408" i="55"/>
  <c r="N1409" i="55"/>
  <c r="N1410" i="55"/>
  <c r="N1411" i="55"/>
  <c r="N1412" i="55"/>
  <c r="N1413" i="55"/>
  <c r="N1414" i="55"/>
  <c r="N1415" i="55"/>
  <c r="N1416" i="55"/>
  <c r="N1417" i="55"/>
  <c r="N1418" i="55"/>
  <c r="N1419" i="55"/>
  <c r="N1420" i="55"/>
  <c r="N1421" i="55"/>
  <c r="N1422" i="55"/>
  <c r="N1423" i="55"/>
  <c r="N1424" i="55"/>
  <c r="N1425" i="55"/>
  <c r="N1426" i="55"/>
  <c r="N1427" i="55"/>
  <c r="N1428" i="55"/>
  <c r="N1429" i="55"/>
  <c r="N1430" i="55"/>
  <c r="N1431" i="55"/>
  <c r="N1432" i="55"/>
  <c r="N1433" i="55"/>
  <c r="N1434" i="55"/>
  <c r="N1435" i="55"/>
  <c r="N1436" i="55"/>
  <c r="N1437" i="55"/>
  <c r="N1438" i="55"/>
  <c r="N1439" i="55"/>
  <c r="N1440" i="55"/>
  <c r="N1441" i="55"/>
  <c r="N1442" i="55"/>
  <c r="N1443" i="55"/>
  <c r="N1444" i="55"/>
  <c r="N1445" i="55"/>
  <c r="N1446" i="55"/>
  <c r="N1447" i="55"/>
  <c r="N1448" i="55"/>
  <c r="N1449" i="55"/>
  <c r="N1450" i="55"/>
  <c r="N1451" i="55"/>
  <c r="N1452" i="55"/>
  <c r="N1453" i="55"/>
  <c r="N1454" i="55"/>
  <c r="N1455" i="55"/>
  <c r="N1456" i="55"/>
  <c r="N1457" i="55"/>
  <c r="N1458" i="55"/>
  <c r="N1459" i="55"/>
  <c r="N1460" i="55"/>
  <c r="N1461" i="55"/>
  <c r="N1462" i="55"/>
  <c r="N1463" i="55"/>
  <c r="N1464" i="55"/>
  <c r="N1465" i="55"/>
  <c r="N1466" i="55"/>
  <c r="N1467" i="55"/>
  <c r="N1468" i="55"/>
  <c r="N1469" i="55"/>
  <c r="N1470" i="55"/>
  <c r="N1471" i="55"/>
  <c r="N1472" i="55"/>
  <c r="N1473" i="55"/>
  <c r="N1474" i="55"/>
  <c r="N1475" i="55"/>
  <c r="N1476" i="55"/>
  <c r="N1477" i="55"/>
  <c r="N1478" i="55"/>
  <c r="N1479" i="55"/>
  <c r="N1480" i="55"/>
  <c r="N1481" i="55"/>
  <c r="N1482" i="55"/>
  <c r="N1483" i="55"/>
  <c r="N1484" i="55"/>
  <c r="N1485" i="55"/>
  <c r="N1486" i="55"/>
  <c r="N1487" i="55"/>
  <c r="N1488" i="55"/>
  <c r="N1489" i="55"/>
  <c r="N1490" i="55"/>
  <c r="N1491" i="55"/>
  <c r="N1492" i="55"/>
  <c r="N1493" i="55"/>
  <c r="N1494" i="55"/>
  <c r="N1495" i="55"/>
  <c r="N1496" i="55"/>
  <c r="N1497" i="55"/>
  <c r="N1498" i="55"/>
  <c r="N1499" i="55"/>
  <c r="N1500" i="55"/>
  <c r="N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4"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4"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238" i="55"/>
  <c r="E239" i="55"/>
  <c r="E240" i="55"/>
  <c r="E241" i="55"/>
  <c r="E242" i="55"/>
  <c r="E243" i="55"/>
  <c r="E244" i="55"/>
  <c r="E245" i="55"/>
  <c r="E246" i="55"/>
  <c r="E247" i="55"/>
  <c r="E248" i="55"/>
  <c r="E249" i="55"/>
  <c r="E250" i="55"/>
  <c r="E251" i="55"/>
  <c r="E252" i="55"/>
  <c r="E253" i="55"/>
  <c r="E254" i="55"/>
  <c r="E255" i="55"/>
  <c r="E256" i="55"/>
  <c r="E257" i="55"/>
  <c r="E258" i="55"/>
  <c r="E259" i="55"/>
  <c r="E260" i="55"/>
  <c r="E261" i="55"/>
  <c r="E262" i="55"/>
  <c r="E263" i="55"/>
  <c r="E264" i="55"/>
  <c r="E265" i="55"/>
  <c r="E266" i="55"/>
  <c r="E267" i="55"/>
  <c r="E268" i="55"/>
  <c r="E269" i="55"/>
  <c r="E270" i="55"/>
  <c r="E271" i="55"/>
  <c r="E272" i="55"/>
  <c r="E273" i="55"/>
  <c r="E274" i="55"/>
  <c r="E275" i="55"/>
  <c r="E276" i="55"/>
  <c r="E277" i="55"/>
  <c r="E278" i="55"/>
  <c r="E279" i="55"/>
  <c r="E280" i="55"/>
  <c r="E281" i="55"/>
  <c r="E282" i="55"/>
  <c r="E283" i="55"/>
  <c r="E284" i="55"/>
  <c r="E285" i="55"/>
  <c r="E286" i="55"/>
  <c r="E287" i="55"/>
  <c r="E288" i="55"/>
  <c r="E289" i="55"/>
  <c r="E290" i="55"/>
  <c r="E291" i="55"/>
  <c r="E292" i="55"/>
  <c r="E293" i="55"/>
  <c r="E294" i="55"/>
  <c r="E295" i="55"/>
  <c r="E296" i="55"/>
  <c r="E297" i="55"/>
  <c r="E298" i="55"/>
  <c r="E299" i="55"/>
  <c r="E300" i="55"/>
  <c r="E301" i="55"/>
  <c r="E302" i="55"/>
  <c r="E303" i="55"/>
  <c r="E304" i="55"/>
  <c r="E305" i="55"/>
  <c r="E306" i="55"/>
  <c r="E307" i="55"/>
  <c r="E308" i="55"/>
  <c r="E309" i="55"/>
  <c r="E310" i="55"/>
  <c r="E311" i="55"/>
  <c r="E312" i="55"/>
  <c r="E313" i="55"/>
  <c r="E314" i="55"/>
  <c r="E315" i="55"/>
  <c r="E316" i="55"/>
  <c r="E317" i="55"/>
  <c r="E318" i="55"/>
  <c r="E319" i="55"/>
  <c r="E320" i="55"/>
  <c r="E321" i="55"/>
  <c r="E322" i="55"/>
  <c r="E323" i="55"/>
  <c r="E324" i="55"/>
  <c r="E325" i="55"/>
  <c r="E326" i="55"/>
  <c r="E327" i="55"/>
  <c r="E328" i="55"/>
  <c r="E329" i="55"/>
  <c r="E330" i="55"/>
  <c r="E331" i="55"/>
  <c r="E332" i="55"/>
  <c r="E333" i="55"/>
  <c r="E334" i="55"/>
  <c r="E335" i="55"/>
  <c r="E336" i="55"/>
  <c r="E337" i="55"/>
  <c r="E338" i="55"/>
  <c r="E339" i="55"/>
  <c r="E340" i="55"/>
  <c r="E341" i="55"/>
  <c r="E342" i="55"/>
  <c r="E343" i="55"/>
  <c r="E344" i="55"/>
  <c r="E345" i="55"/>
  <c r="E346" i="55"/>
  <c r="E347" i="55"/>
  <c r="E348" i="55"/>
  <c r="E349" i="55"/>
  <c r="E350" i="55"/>
  <c r="E351" i="55"/>
  <c r="E352" i="55"/>
  <c r="E353" i="55"/>
  <c r="E354" i="55"/>
  <c r="E355" i="55"/>
  <c r="E356" i="55"/>
  <c r="E357" i="55"/>
  <c r="E358" i="55"/>
  <c r="E359" i="55"/>
  <c r="E360" i="55"/>
  <c r="E361" i="55"/>
  <c r="E362" i="55"/>
  <c r="E363" i="55"/>
  <c r="E364" i="55"/>
  <c r="E365" i="55"/>
  <c r="E366" i="55"/>
  <c r="E367" i="55"/>
  <c r="E368" i="55"/>
  <c r="E369" i="55"/>
  <c r="E370" i="55"/>
  <c r="E371" i="55"/>
  <c r="E372" i="55"/>
  <c r="E373" i="55"/>
  <c r="E374" i="55"/>
  <c r="E375" i="55"/>
  <c r="E376" i="55"/>
  <c r="E377" i="55"/>
  <c r="E378" i="55"/>
  <c r="E379" i="55"/>
  <c r="E380" i="55"/>
  <c r="E381" i="55"/>
  <c r="E382" i="55"/>
  <c r="E383" i="55"/>
  <c r="E384" i="55"/>
  <c r="E385" i="55"/>
  <c r="E386" i="55"/>
  <c r="E387" i="55"/>
  <c r="E388" i="55"/>
  <c r="E389" i="55"/>
  <c r="E390" i="55"/>
  <c r="E391" i="55"/>
  <c r="E392" i="55"/>
  <c r="E393" i="55"/>
  <c r="E394" i="55"/>
  <c r="E395" i="55"/>
  <c r="E396" i="55"/>
  <c r="E397" i="55"/>
  <c r="E398" i="55"/>
  <c r="E399" i="55"/>
  <c r="E400" i="55"/>
  <c r="E401" i="55"/>
  <c r="E402" i="55"/>
  <c r="E403" i="55"/>
  <c r="E404" i="55"/>
  <c r="E405" i="55"/>
  <c r="E406" i="55"/>
  <c r="E407" i="55"/>
  <c r="E408" i="55"/>
  <c r="E409" i="55"/>
  <c r="E410" i="55"/>
  <c r="E411" i="55"/>
  <c r="E412" i="55"/>
  <c r="E413" i="55"/>
  <c r="E414" i="55"/>
  <c r="E415" i="55"/>
  <c r="E416" i="55"/>
  <c r="E417" i="55"/>
  <c r="E418" i="55"/>
  <c r="E419" i="55"/>
  <c r="E420" i="55"/>
  <c r="E421" i="55"/>
  <c r="E422" i="55"/>
  <c r="E423" i="55"/>
  <c r="E424" i="55"/>
  <c r="E425" i="55"/>
  <c r="E426" i="55"/>
  <c r="E427" i="55"/>
  <c r="E428" i="55"/>
  <c r="E429" i="55"/>
  <c r="E430" i="55"/>
  <c r="E431" i="55"/>
  <c r="E432" i="55"/>
  <c r="E433" i="55"/>
  <c r="E434" i="55"/>
  <c r="E435" i="55"/>
  <c r="E436" i="55"/>
  <c r="E437" i="55"/>
  <c r="E438" i="55"/>
  <c r="E439" i="55"/>
  <c r="E440" i="55"/>
  <c r="E441" i="55"/>
  <c r="E442" i="55"/>
  <c r="E443" i="55"/>
  <c r="E444" i="55"/>
  <c r="E445" i="55"/>
  <c r="E446" i="55"/>
  <c r="E447" i="55"/>
  <c r="E448" i="55"/>
  <c r="E449" i="55"/>
  <c r="E450" i="55"/>
  <c r="E451" i="55"/>
  <c r="E452" i="55"/>
  <c r="E453" i="55"/>
  <c r="E454" i="55"/>
  <c r="E455" i="55"/>
  <c r="E456" i="55"/>
  <c r="E457" i="55"/>
  <c r="E458" i="55"/>
  <c r="E459" i="55"/>
  <c r="E460" i="55"/>
  <c r="E461" i="55"/>
  <c r="E462" i="55"/>
  <c r="E463" i="55"/>
  <c r="E464" i="55"/>
  <c r="E465" i="55"/>
  <c r="E466" i="55"/>
  <c r="E467" i="55"/>
  <c r="E468" i="55"/>
  <c r="E469" i="55"/>
  <c r="E470" i="55"/>
  <c r="E471" i="55"/>
  <c r="E472" i="55"/>
  <c r="E473" i="55"/>
  <c r="E474" i="55"/>
  <c r="E475" i="55"/>
  <c r="E476" i="55"/>
  <c r="E477" i="55"/>
  <c r="E478" i="55"/>
  <c r="E479" i="55"/>
  <c r="E480" i="55"/>
  <c r="E481" i="55"/>
  <c r="E482" i="55"/>
  <c r="E483" i="55"/>
  <c r="E484" i="55"/>
  <c r="E485" i="55"/>
  <c r="E486" i="55"/>
  <c r="E487" i="55"/>
  <c r="E488" i="55"/>
  <c r="E489" i="55"/>
  <c r="E490" i="55"/>
  <c r="E491" i="55"/>
  <c r="E492" i="55"/>
  <c r="E493" i="55"/>
  <c r="E494" i="55"/>
  <c r="E495" i="55"/>
  <c r="E496" i="55"/>
  <c r="E497" i="55"/>
  <c r="E498" i="55"/>
  <c r="E499" i="55"/>
  <c r="E500" i="55"/>
  <c r="E501" i="55"/>
  <c r="E502" i="55"/>
  <c r="E503" i="55"/>
  <c r="E504" i="55"/>
  <c r="E505" i="55"/>
  <c r="E506" i="55"/>
  <c r="E507" i="55"/>
  <c r="E508" i="55"/>
  <c r="E509" i="55"/>
  <c r="E510" i="55"/>
  <c r="E511" i="55"/>
  <c r="E512" i="55"/>
  <c r="E513" i="55"/>
  <c r="E514" i="55"/>
  <c r="E515" i="55"/>
  <c r="E516" i="55"/>
  <c r="E517" i="55"/>
  <c r="E518" i="55"/>
  <c r="E519" i="55"/>
  <c r="E520" i="55"/>
  <c r="E521" i="55"/>
  <c r="E522" i="55"/>
  <c r="E523" i="55"/>
  <c r="E524" i="55"/>
  <c r="E525" i="55"/>
  <c r="E526" i="55"/>
  <c r="E527" i="55"/>
  <c r="E528" i="55"/>
  <c r="E529" i="55"/>
  <c r="E530" i="55"/>
  <c r="E531" i="55"/>
  <c r="E532" i="55"/>
  <c r="E533" i="55"/>
  <c r="E534" i="55"/>
  <c r="E535" i="55"/>
  <c r="E536" i="55"/>
  <c r="E537" i="55"/>
  <c r="E538" i="55"/>
  <c r="E539" i="55"/>
  <c r="E540" i="55"/>
  <c r="E541" i="55"/>
  <c r="E542" i="55"/>
  <c r="E543" i="55"/>
  <c r="E544" i="55"/>
  <c r="E545" i="55"/>
  <c r="E546" i="55"/>
  <c r="E547" i="55"/>
  <c r="E548" i="55"/>
  <c r="E549" i="55"/>
  <c r="E550" i="55"/>
  <c r="E551" i="55"/>
  <c r="E552" i="55"/>
  <c r="E553" i="55"/>
  <c r="E554" i="55"/>
  <c r="E555" i="55"/>
  <c r="E556" i="55"/>
  <c r="E557" i="55"/>
  <c r="E558" i="55"/>
  <c r="E559" i="55"/>
  <c r="E560" i="55"/>
  <c r="E561" i="55"/>
  <c r="E562" i="55"/>
  <c r="E563" i="55"/>
  <c r="E564" i="55"/>
  <c r="E565" i="55"/>
  <c r="E566" i="55"/>
  <c r="E567" i="55"/>
  <c r="E568" i="55"/>
  <c r="E569" i="55"/>
  <c r="E570" i="55"/>
  <c r="E571" i="55"/>
  <c r="E572" i="55"/>
  <c r="E573" i="55"/>
  <c r="E574" i="55"/>
  <c r="E575" i="55"/>
  <c r="E576" i="55"/>
  <c r="E577" i="55"/>
  <c r="E578" i="55"/>
  <c r="E579" i="55"/>
  <c r="E580" i="55"/>
  <c r="E581" i="55"/>
  <c r="E582" i="55"/>
  <c r="E583" i="55"/>
  <c r="E584" i="55"/>
  <c r="E585" i="55"/>
  <c r="E586" i="55"/>
  <c r="E587" i="55"/>
  <c r="E588" i="55"/>
  <c r="E589" i="55"/>
  <c r="E590" i="55"/>
  <c r="E591" i="55"/>
  <c r="E592" i="55"/>
  <c r="E593" i="55"/>
  <c r="E594" i="55"/>
  <c r="E595" i="55"/>
  <c r="E596" i="55"/>
  <c r="E597" i="55"/>
  <c r="E598" i="55"/>
  <c r="E599" i="55"/>
  <c r="E600" i="55"/>
  <c r="E601" i="55"/>
  <c r="E602" i="55"/>
  <c r="E603" i="55"/>
  <c r="E604" i="55"/>
  <c r="E605" i="55"/>
  <c r="E606" i="55"/>
  <c r="E607" i="55"/>
  <c r="E608" i="55"/>
  <c r="E609" i="55"/>
  <c r="E610" i="55"/>
  <c r="E611" i="55"/>
  <c r="E612" i="55"/>
  <c r="E613" i="55"/>
  <c r="E614" i="55"/>
  <c r="E615" i="55"/>
  <c r="E616" i="55"/>
  <c r="E617" i="55"/>
  <c r="E618" i="55"/>
  <c r="E619" i="55"/>
  <c r="E620" i="55"/>
  <c r="E621" i="55"/>
  <c r="E622" i="55"/>
  <c r="E623" i="55"/>
  <c r="E624" i="55"/>
  <c r="E625" i="55"/>
  <c r="E626" i="55"/>
  <c r="E627" i="55"/>
  <c r="E628" i="55"/>
  <c r="E629" i="55"/>
  <c r="E630" i="55"/>
  <c r="E631" i="55"/>
  <c r="E632" i="55"/>
  <c r="E633" i="55"/>
  <c r="E634" i="55"/>
  <c r="E635" i="55"/>
  <c r="E636" i="55"/>
  <c r="E637" i="55"/>
  <c r="E638" i="55"/>
  <c r="E639" i="55"/>
  <c r="E640" i="55"/>
  <c r="E641" i="55"/>
  <c r="E642" i="55"/>
  <c r="E643" i="55"/>
  <c r="E644" i="55"/>
  <c r="E645" i="55"/>
  <c r="E646" i="55"/>
  <c r="E647" i="55"/>
  <c r="E648" i="55"/>
  <c r="E649" i="55"/>
  <c r="E650" i="55"/>
  <c r="E651" i="55"/>
  <c r="E652" i="55"/>
  <c r="E653" i="55"/>
  <c r="E654" i="55"/>
  <c r="E655" i="55"/>
  <c r="E656" i="55"/>
  <c r="E657" i="55"/>
  <c r="E658" i="55"/>
  <c r="E659" i="55"/>
  <c r="E660" i="55"/>
  <c r="E661" i="55"/>
  <c r="E662" i="55"/>
  <c r="E663" i="55"/>
  <c r="E664" i="55"/>
  <c r="E665" i="55"/>
  <c r="E666" i="55"/>
  <c r="E667" i="55"/>
  <c r="E668" i="55"/>
  <c r="E669" i="55"/>
  <c r="E670" i="55"/>
  <c r="E671" i="55"/>
  <c r="E672" i="55"/>
  <c r="E673" i="55"/>
  <c r="E674" i="55"/>
  <c r="E675" i="55"/>
  <c r="E676" i="55"/>
  <c r="E677" i="55"/>
  <c r="E678" i="55"/>
  <c r="E679" i="55"/>
  <c r="E680" i="55"/>
  <c r="E681" i="55"/>
  <c r="E682" i="55"/>
  <c r="E683" i="55"/>
  <c r="E684" i="55"/>
  <c r="E685" i="55"/>
  <c r="E686" i="55"/>
  <c r="E687" i="55"/>
  <c r="E688" i="55"/>
  <c r="E689" i="55"/>
  <c r="E690" i="55"/>
  <c r="E691" i="55"/>
  <c r="E692" i="55"/>
  <c r="E693" i="55"/>
  <c r="E694" i="55"/>
  <c r="E695" i="55"/>
  <c r="E696" i="55"/>
  <c r="E697" i="55"/>
  <c r="E698" i="55"/>
  <c r="E699" i="55"/>
  <c r="E700" i="55"/>
  <c r="E701" i="55"/>
  <c r="E702" i="55"/>
  <c r="E703" i="55"/>
  <c r="E704" i="55"/>
  <c r="E705" i="55"/>
  <c r="E706" i="55"/>
  <c r="E707" i="55"/>
  <c r="E708" i="55"/>
  <c r="E709" i="55"/>
  <c r="E710" i="55"/>
  <c r="E711" i="55"/>
  <c r="E712" i="55"/>
  <c r="E713" i="55"/>
  <c r="E714" i="55"/>
  <c r="E715" i="55"/>
  <c r="E716" i="55"/>
  <c r="E717" i="55"/>
  <c r="E718" i="55"/>
  <c r="E719" i="55"/>
  <c r="E720" i="55"/>
  <c r="E721" i="55"/>
  <c r="E722" i="55"/>
  <c r="E723" i="55"/>
  <c r="E724" i="55"/>
  <c r="E725" i="55"/>
  <c r="E726" i="55"/>
  <c r="E727" i="55"/>
  <c r="E728" i="55"/>
  <c r="E729" i="55"/>
  <c r="E730" i="55"/>
  <c r="E731" i="55"/>
  <c r="E732" i="55"/>
  <c r="E733" i="55"/>
  <c r="E734" i="55"/>
  <c r="E735" i="55"/>
  <c r="E736" i="55"/>
  <c r="E737" i="55"/>
  <c r="E738" i="55"/>
  <c r="E739" i="55"/>
  <c r="E740" i="55"/>
  <c r="E741" i="55"/>
  <c r="E742" i="55"/>
  <c r="E743" i="55"/>
  <c r="E744" i="55"/>
  <c r="E745" i="55"/>
  <c r="E746" i="55"/>
  <c r="E747" i="55"/>
  <c r="E748" i="55"/>
  <c r="E749" i="55"/>
  <c r="E750" i="55"/>
  <c r="E751" i="55"/>
  <c r="E752" i="55"/>
  <c r="E753" i="55"/>
  <c r="E754" i="55"/>
  <c r="E755" i="55"/>
  <c r="E756" i="55"/>
  <c r="E757" i="55"/>
  <c r="E758" i="55"/>
  <c r="E759" i="55"/>
  <c r="E760" i="55"/>
  <c r="E761" i="55"/>
  <c r="E762" i="55"/>
  <c r="E763" i="55"/>
  <c r="E764" i="55"/>
  <c r="E765" i="55"/>
  <c r="E766" i="55"/>
  <c r="E767" i="55"/>
  <c r="E768" i="55"/>
  <c r="E769" i="55"/>
  <c r="E770" i="55"/>
  <c r="E771" i="55"/>
  <c r="E772" i="55"/>
  <c r="E773" i="55"/>
  <c r="E774" i="55"/>
  <c r="E775" i="55"/>
  <c r="E776" i="55"/>
  <c r="E777" i="55"/>
  <c r="E778" i="55"/>
  <c r="E779" i="55"/>
  <c r="E780" i="55"/>
  <c r="E781" i="55"/>
  <c r="E782" i="55"/>
  <c r="E783" i="55"/>
  <c r="E784" i="55"/>
  <c r="E785" i="55"/>
  <c r="E786" i="55"/>
  <c r="E787" i="55"/>
  <c r="E788" i="55"/>
  <c r="E789" i="55"/>
  <c r="E790" i="55"/>
  <c r="E791" i="55"/>
  <c r="E792" i="55"/>
  <c r="E793" i="55"/>
  <c r="E794" i="55"/>
  <c r="E795" i="55"/>
  <c r="E796" i="55"/>
  <c r="E797" i="55"/>
  <c r="E798" i="55"/>
  <c r="E799" i="55"/>
  <c r="E800" i="55"/>
  <c r="E801" i="55"/>
  <c r="E802" i="55"/>
  <c r="E803" i="55"/>
  <c r="E804" i="55"/>
  <c r="E805" i="55"/>
  <c r="E806" i="55"/>
  <c r="E807" i="55"/>
  <c r="E808" i="55"/>
  <c r="E809" i="55"/>
  <c r="E810" i="55"/>
  <c r="E811" i="55"/>
  <c r="E812" i="55"/>
  <c r="E813" i="55"/>
  <c r="E814" i="55"/>
  <c r="E815" i="55"/>
  <c r="E816" i="55"/>
  <c r="E817" i="55"/>
  <c r="E818" i="55"/>
  <c r="E819" i="55"/>
  <c r="E820" i="55"/>
  <c r="E821" i="55"/>
  <c r="E822" i="55"/>
  <c r="E823" i="55"/>
  <c r="E824" i="55"/>
  <c r="E825" i="55"/>
  <c r="E826" i="55"/>
  <c r="E827" i="55"/>
  <c r="E828" i="55"/>
  <c r="E829" i="55"/>
  <c r="E830" i="55"/>
  <c r="E831" i="55"/>
  <c r="E832" i="55"/>
  <c r="E833" i="55"/>
  <c r="E834" i="55"/>
  <c r="E835" i="55"/>
  <c r="E836" i="55"/>
  <c r="E837" i="55"/>
  <c r="E838" i="55"/>
  <c r="E839" i="55"/>
  <c r="E840" i="55"/>
  <c r="E841" i="55"/>
  <c r="E842" i="55"/>
  <c r="E843" i="55"/>
  <c r="E844" i="55"/>
  <c r="E845" i="55"/>
  <c r="E846" i="55"/>
  <c r="E847" i="55"/>
  <c r="E848" i="55"/>
  <c r="E849" i="55"/>
  <c r="E850" i="55"/>
  <c r="E851" i="55"/>
  <c r="E852" i="55"/>
  <c r="E853" i="55"/>
  <c r="E854" i="55"/>
  <c r="E855" i="55"/>
  <c r="E856" i="55"/>
  <c r="E857" i="55"/>
  <c r="E858" i="55"/>
  <c r="E859" i="55"/>
  <c r="E860" i="55"/>
  <c r="E861" i="55"/>
  <c r="E862" i="55"/>
  <c r="E863" i="55"/>
  <c r="E864" i="55"/>
  <c r="E865" i="55"/>
  <c r="E866" i="55"/>
  <c r="E867" i="55"/>
  <c r="E868" i="55"/>
  <c r="E869" i="55"/>
  <c r="E870" i="55"/>
  <c r="E871" i="55"/>
  <c r="E872" i="55"/>
  <c r="E873" i="55"/>
  <c r="E874" i="55"/>
  <c r="E875" i="55"/>
  <c r="E876" i="55"/>
  <c r="E877" i="55"/>
  <c r="E878" i="55"/>
  <c r="E879" i="55"/>
  <c r="E880" i="55"/>
  <c r="E881" i="55"/>
  <c r="E882" i="55"/>
  <c r="E883" i="55"/>
  <c r="E884" i="55"/>
  <c r="E885" i="55"/>
  <c r="E886" i="55"/>
  <c r="E887" i="55"/>
  <c r="E888" i="55"/>
  <c r="E889" i="55"/>
  <c r="E890" i="55"/>
  <c r="E891" i="55"/>
  <c r="E892" i="55"/>
  <c r="E893" i="55"/>
  <c r="E894" i="55"/>
  <c r="E895" i="55"/>
  <c r="E896" i="55"/>
  <c r="E897" i="55"/>
  <c r="E898" i="55"/>
  <c r="E899" i="55"/>
  <c r="E900" i="55"/>
  <c r="E901" i="55"/>
  <c r="E902" i="55"/>
  <c r="E903" i="55"/>
  <c r="E904" i="55"/>
  <c r="E905" i="55"/>
  <c r="E906" i="55"/>
  <c r="E907" i="55"/>
  <c r="E908" i="55"/>
  <c r="E909" i="55"/>
  <c r="E910" i="55"/>
  <c r="E911" i="55"/>
  <c r="E912" i="55"/>
  <c r="E913" i="55"/>
  <c r="E914" i="55"/>
  <c r="E915" i="55"/>
  <c r="E916" i="55"/>
  <c r="E917" i="55"/>
  <c r="E918" i="55"/>
  <c r="E919" i="55"/>
  <c r="E920" i="55"/>
  <c r="E921" i="55"/>
  <c r="E922" i="55"/>
  <c r="E923" i="55"/>
  <c r="E924" i="55"/>
  <c r="E925" i="55"/>
  <c r="E926" i="55"/>
  <c r="E927" i="55"/>
  <c r="E928" i="55"/>
  <c r="E929" i="55"/>
  <c r="E930" i="55"/>
  <c r="E931" i="55"/>
  <c r="E932" i="55"/>
  <c r="E933" i="55"/>
  <c r="E934" i="55"/>
  <c r="E935" i="55"/>
  <c r="E936" i="55"/>
  <c r="E937" i="55"/>
  <c r="E938" i="55"/>
  <c r="E939" i="55"/>
  <c r="E940" i="55"/>
  <c r="E941" i="55"/>
  <c r="E942" i="55"/>
  <c r="E943" i="55"/>
  <c r="E944" i="55"/>
  <c r="E945" i="55"/>
  <c r="E946" i="55"/>
  <c r="E947" i="55"/>
  <c r="E948" i="55"/>
  <c r="E949" i="55"/>
  <c r="E950" i="55"/>
  <c r="E951" i="55"/>
  <c r="E952" i="55"/>
  <c r="E953" i="55"/>
  <c r="E954" i="55"/>
  <c r="E955" i="55"/>
  <c r="E956" i="55"/>
  <c r="E957" i="55"/>
  <c r="E958" i="55"/>
  <c r="E959" i="55"/>
  <c r="E960" i="55"/>
  <c r="E961" i="55"/>
  <c r="E962" i="55"/>
  <c r="E963" i="55"/>
  <c r="E964" i="55"/>
  <c r="E965" i="55"/>
  <c r="E966" i="55"/>
  <c r="E967" i="55"/>
  <c r="E968" i="55"/>
  <c r="E969" i="55"/>
  <c r="E970" i="55"/>
  <c r="E971" i="55"/>
  <c r="E972" i="55"/>
  <c r="E973" i="55"/>
  <c r="E974" i="55"/>
  <c r="E975" i="55"/>
  <c r="E976" i="55"/>
  <c r="E977" i="55"/>
  <c r="E978" i="55"/>
  <c r="E979" i="55"/>
  <c r="E980" i="55"/>
  <c r="E981" i="55"/>
  <c r="E982" i="55"/>
  <c r="E983" i="55"/>
  <c r="E984" i="55"/>
  <c r="E985" i="55"/>
  <c r="E986" i="55"/>
  <c r="E987" i="55"/>
  <c r="E988" i="55"/>
  <c r="E989" i="55"/>
  <c r="E990" i="55"/>
  <c r="E991" i="55"/>
  <c r="E992" i="55"/>
  <c r="E993" i="55"/>
  <c r="E994" i="55"/>
  <c r="E995" i="55"/>
  <c r="E996" i="55"/>
  <c r="E997" i="55"/>
  <c r="E998" i="55"/>
  <c r="E999" i="55"/>
  <c r="E1000" i="55"/>
  <c r="E1001" i="55"/>
  <c r="E1002" i="55"/>
  <c r="E1003" i="55"/>
  <c r="E1004" i="55"/>
  <c r="E1005" i="55"/>
  <c r="E1006" i="55"/>
  <c r="E1007" i="55"/>
  <c r="E1008" i="55"/>
  <c r="E1009" i="55"/>
  <c r="E1010" i="55"/>
  <c r="E1011" i="55"/>
  <c r="E1012" i="55"/>
  <c r="E1013" i="55"/>
  <c r="E1014" i="55"/>
  <c r="E1015" i="55"/>
  <c r="E1016" i="55"/>
  <c r="E1017" i="55"/>
  <c r="E1018" i="55"/>
  <c r="E1019" i="55"/>
  <c r="E1020" i="55"/>
  <c r="E1021" i="55"/>
  <c r="E1022" i="55"/>
  <c r="E1023" i="55"/>
  <c r="E1024" i="55"/>
  <c r="E1025" i="55"/>
  <c r="E1026" i="55"/>
  <c r="E1027" i="55"/>
  <c r="E1028" i="55"/>
  <c r="E1029" i="55"/>
  <c r="E1030" i="55"/>
  <c r="E1031" i="55"/>
  <c r="E1032" i="55"/>
  <c r="E1033" i="55"/>
  <c r="E1034" i="55"/>
  <c r="E1035" i="55"/>
  <c r="E1036" i="55"/>
  <c r="E1037" i="55"/>
  <c r="E1038" i="55"/>
  <c r="E1039" i="55"/>
  <c r="E1040" i="55"/>
  <c r="E1041" i="55"/>
  <c r="E1042" i="55"/>
  <c r="E1043" i="55"/>
  <c r="E1044" i="55"/>
  <c r="E1045" i="55"/>
  <c r="E1046" i="55"/>
  <c r="E1047" i="55"/>
  <c r="E1048" i="55"/>
  <c r="E1049" i="55"/>
  <c r="E1050" i="55"/>
  <c r="E1051" i="55"/>
  <c r="E1052" i="55"/>
  <c r="E1053" i="55"/>
  <c r="E1054" i="55"/>
  <c r="E1055" i="55"/>
  <c r="E1056" i="55"/>
  <c r="E1057" i="55"/>
  <c r="E1058" i="55"/>
  <c r="E1059" i="55"/>
  <c r="E1060" i="55"/>
  <c r="E1061" i="55"/>
  <c r="E1062" i="55"/>
  <c r="E1063" i="55"/>
  <c r="E1064" i="55"/>
  <c r="E1065" i="55"/>
  <c r="E1066" i="55"/>
  <c r="E1067" i="55"/>
  <c r="E1068" i="55"/>
  <c r="E1069" i="55"/>
  <c r="E1070" i="55"/>
  <c r="E1071" i="55"/>
  <c r="E1072" i="55"/>
  <c r="E1073" i="55"/>
  <c r="E1074" i="55"/>
  <c r="E1075" i="55"/>
  <c r="E1076" i="55"/>
  <c r="E1077" i="55"/>
  <c r="E1078" i="55"/>
  <c r="E1079" i="55"/>
  <c r="E1080" i="55"/>
  <c r="E1081" i="55"/>
  <c r="E1082" i="55"/>
  <c r="E1083" i="55"/>
  <c r="E1084" i="55"/>
  <c r="E1085" i="55"/>
  <c r="E1086" i="55"/>
  <c r="E1087" i="55"/>
  <c r="E1088" i="55"/>
  <c r="E1089" i="55"/>
  <c r="E1090" i="55"/>
  <c r="E1091" i="55"/>
  <c r="E1092" i="55"/>
  <c r="E1093" i="55"/>
  <c r="E1094" i="55"/>
  <c r="E1095" i="55"/>
  <c r="E1096" i="55"/>
  <c r="E1097" i="55"/>
  <c r="E1098" i="55"/>
  <c r="E1099" i="55"/>
  <c r="E1100" i="55"/>
  <c r="E1101" i="55"/>
  <c r="E1102" i="55"/>
  <c r="E1103" i="55"/>
  <c r="E1104" i="55"/>
  <c r="E1105" i="55"/>
  <c r="E1106" i="55"/>
  <c r="E1107" i="55"/>
  <c r="E1108" i="55"/>
  <c r="E1109" i="55"/>
  <c r="E1110" i="55"/>
  <c r="E1111" i="55"/>
  <c r="E1112" i="55"/>
  <c r="E1113" i="55"/>
  <c r="E1114" i="55"/>
  <c r="E1115" i="55"/>
  <c r="E1116" i="55"/>
  <c r="E1117" i="55"/>
  <c r="E1118" i="55"/>
  <c r="E1119" i="55"/>
  <c r="E1120" i="55"/>
  <c r="E1121" i="55"/>
  <c r="E1122" i="55"/>
  <c r="E1123" i="55"/>
  <c r="E1124" i="55"/>
  <c r="E1125" i="55"/>
  <c r="E1126" i="55"/>
  <c r="E1127" i="55"/>
  <c r="E1128" i="55"/>
  <c r="E1129" i="55"/>
  <c r="E1130" i="55"/>
  <c r="E1131" i="55"/>
  <c r="E1132" i="55"/>
  <c r="E1133" i="55"/>
  <c r="E1134" i="55"/>
  <c r="E1135" i="55"/>
  <c r="E1136" i="55"/>
  <c r="E1137" i="55"/>
  <c r="E1138" i="55"/>
  <c r="E1139" i="55"/>
  <c r="E1140" i="55"/>
  <c r="E1141" i="55"/>
  <c r="E1142" i="55"/>
  <c r="E1143" i="55"/>
  <c r="E1144" i="55"/>
  <c r="E1145" i="55"/>
  <c r="E1146" i="55"/>
  <c r="E1147" i="55"/>
  <c r="E1148" i="55"/>
  <c r="E1149" i="55"/>
  <c r="E1150" i="55"/>
  <c r="E1151" i="55"/>
  <c r="E1152" i="55"/>
  <c r="E1153" i="55"/>
  <c r="E1154" i="55"/>
  <c r="E1155" i="55"/>
  <c r="E1156" i="55"/>
  <c r="E1157" i="55"/>
  <c r="E1158" i="55"/>
  <c r="E1159" i="55"/>
  <c r="E1160" i="55"/>
  <c r="E1161" i="55"/>
  <c r="E1162" i="55"/>
  <c r="E1163" i="55"/>
  <c r="E1164" i="55"/>
  <c r="E1165" i="55"/>
  <c r="E1166" i="55"/>
  <c r="E1167" i="55"/>
  <c r="E1168" i="55"/>
  <c r="E1169" i="55"/>
  <c r="E1170" i="55"/>
  <c r="E1171" i="55"/>
  <c r="E1172" i="55"/>
  <c r="E1173" i="55"/>
  <c r="E1174" i="55"/>
  <c r="E1175" i="55"/>
  <c r="E1176" i="55"/>
  <c r="E1177" i="55"/>
  <c r="E1178" i="55"/>
  <c r="E1179" i="55"/>
  <c r="E1180" i="55"/>
  <c r="E1181" i="55"/>
  <c r="E1182" i="55"/>
  <c r="E1183" i="55"/>
  <c r="E1184" i="55"/>
  <c r="E1185" i="55"/>
  <c r="E1186" i="55"/>
  <c r="E1187" i="55"/>
  <c r="E1188" i="55"/>
  <c r="E1189" i="55"/>
  <c r="E1190" i="55"/>
  <c r="E1191" i="55"/>
  <c r="E1192" i="55"/>
  <c r="E1193" i="55"/>
  <c r="E1194" i="55"/>
  <c r="E1195" i="55"/>
  <c r="E1196" i="55"/>
  <c r="E1197" i="55"/>
  <c r="E1198" i="55"/>
  <c r="E1199" i="55"/>
  <c r="E1200" i="55"/>
  <c r="E1201" i="55"/>
  <c r="E1202" i="55"/>
  <c r="E1203" i="55"/>
  <c r="E1204" i="55"/>
  <c r="E1205" i="55"/>
  <c r="E1206" i="55"/>
  <c r="E1207" i="55"/>
  <c r="E1208" i="55"/>
  <c r="E1209" i="55"/>
  <c r="E1210" i="55"/>
  <c r="E1211" i="55"/>
  <c r="E1212" i="55"/>
  <c r="E1213" i="55"/>
  <c r="E1214" i="55"/>
  <c r="E1215" i="55"/>
  <c r="E1216" i="55"/>
  <c r="E1217" i="55"/>
  <c r="E1218" i="55"/>
  <c r="E1219" i="55"/>
  <c r="E1220" i="55"/>
  <c r="E1221" i="55"/>
  <c r="E1222" i="55"/>
  <c r="E1223" i="55"/>
  <c r="E1224" i="55"/>
  <c r="E1225" i="55"/>
  <c r="E1226" i="55"/>
  <c r="E1227" i="55"/>
  <c r="E1228" i="55"/>
  <c r="E1229" i="55"/>
  <c r="E1230" i="55"/>
  <c r="E1231" i="55"/>
  <c r="E1232" i="55"/>
  <c r="E1233" i="55"/>
  <c r="E1234" i="55"/>
  <c r="E1235" i="55"/>
  <c r="E1236" i="55"/>
  <c r="E1237" i="55"/>
  <c r="E1238" i="55"/>
  <c r="E1239" i="55"/>
  <c r="E1240" i="55"/>
  <c r="E1241" i="55"/>
  <c r="E1242" i="55"/>
  <c r="E1243" i="55"/>
  <c r="E1244" i="55"/>
  <c r="E1245" i="55"/>
  <c r="E1246" i="55"/>
  <c r="E1247" i="55"/>
  <c r="E1248" i="55"/>
  <c r="E1249" i="55"/>
  <c r="E1250" i="55"/>
  <c r="E1251" i="55"/>
  <c r="E1252" i="55"/>
  <c r="E1253" i="55"/>
  <c r="E1254" i="55"/>
  <c r="E1255" i="55"/>
  <c r="E1256" i="55"/>
  <c r="E1257" i="55"/>
  <c r="E1258" i="55"/>
  <c r="E1259" i="55"/>
  <c r="E1260" i="55"/>
  <c r="E1261" i="55"/>
  <c r="E1262" i="55"/>
  <c r="E1263" i="55"/>
  <c r="E1264" i="55"/>
  <c r="E1265" i="55"/>
  <c r="E1266" i="55"/>
  <c r="E1267" i="55"/>
  <c r="E1268" i="55"/>
  <c r="E1269" i="55"/>
  <c r="E1270" i="55"/>
  <c r="E1271" i="55"/>
  <c r="E1272" i="55"/>
  <c r="E1273" i="55"/>
  <c r="E1274" i="55"/>
  <c r="E1275" i="55"/>
  <c r="E1276" i="55"/>
  <c r="E1277" i="55"/>
  <c r="E1278" i="55"/>
  <c r="E1279" i="55"/>
  <c r="E1280" i="55"/>
  <c r="E1281" i="55"/>
  <c r="E1282" i="55"/>
  <c r="E1283" i="55"/>
  <c r="E1284" i="55"/>
  <c r="E1285" i="55"/>
  <c r="E1286" i="55"/>
  <c r="E1287" i="55"/>
  <c r="E1288" i="55"/>
  <c r="E1289" i="55"/>
  <c r="E1290" i="55"/>
  <c r="E1291" i="55"/>
  <c r="E1292" i="55"/>
  <c r="E1293" i="55"/>
  <c r="E1294" i="55"/>
  <c r="E1295" i="55"/>
  <c r="E1296" i="55"/>
  <c r="E1297" i="55"/>
  <c r="E1298" i="55"/>
  <c r="E1299" i="55"/>
  <c r="E1300" i="55"/>
  <c r="E1301" i="55"/>
  <c r="E1302" i="55"/>
  <c r="E1303" i="55"/>
  <c r="E1304" i="55"/>
  <c r="E1305" i="55"/>
  <c r="E1306" i="55"/>
  <c r="E1307" i="55"/>
  <c r="E1308" i="55"/>
  <c r="E1309" i="55"/>
  <c r="E1310" i="55"/>
  <c r="E1311" i="55"/>
  <c r="E1312" i="55"/>
  <c r="E1313" i="55"/>
  <c r="E1314" i="55"/>
  <c r="E1315" i="55"/>
  <c r="E1316" i="55"/>
  <c r="E1317" i="55"/>
  <c r="E1318" i="55"/>
  <c r="E1319" i="55"/>
  <c r="E1320" i="55"/>
  <c r="E1321" i="55"/>
  <c r="E1322" i="55"/>
  <c r="E1323" i="55"/>
  <c r="E1324" i="55"/>
  <c r="E1325" i="55"/>
  <c r="E1326" i="55"/>
  <c r="E1327" i="55"/>
  <c r="E1328" i="55"/>
  <c r="E1329" i="55"/>
  <c r="E1330" i="55"/>
  <c r="E1331" i="55"/>
  <c r="E1332" i="55"/>
  <c r="E1333" i="55"/>
  <c r="E1334" i="55"/>
  <c r="E1335" i="55"/>
  <c r="E1336" i="55"/>
  <c r="E1337" i="55"/>
  <c r="E1338" i="55"/>
  <c r="E1339" i="55"/>
  <c r="E1340" i="55"/>
  <c r="E1341" i="55"/>
  <c r="E1342" i="55"/>
  <c r="E1343" i="55"/>
  <c r="E1344" i="55"/>
  <c r="E1345" i="55"/>
  <c r="E1346" i="55"/>
  <c r="E1347" i="55"/>
  <c r="E1348" i="55"/>
  <c r="E1349" i="55"/>
  <c r="E1350" i="55"/>
  <c r="E1351" i="55"/>
  <c r="E1352" i="55"/>
  <c r="E1353" i="55"/>
  <c r="E1354" i="55"/>
  <c r="E1355" i="55"/>
  <c r="E1356" i="55"/>
  <c r="E1357" i="55"/>
  <c r="E1358" i="55"/>
  <c r="E1359" i="55"/>
  <c r="E1360" i="55"/>
  <c r="E1361" i="55"/>
  <c r="E1362" i="55"/>
  <c r="E1363" i="55"/>
  <c r="E1364" i="55"/>
  <c r="E1365" i="55"/>
  <c r="E1366" i="55"/>
  <c r="E1367" i="55"/>
  <c r="E1368" i="55"/>
  <c r="E1369" i="55"/>
  <c r="E1370" i="55"/>
  <c r="E1371" i="55"/>
  <c r="E1372" i="55"/>
  <c r="E1373" i="55"/>
  <c r="E1374" i="55"/>
  <c r="E1375" i="55"/>
  <c r="E1376" i="55"/>
  <c r="E1377" i="55"/>
  <c r="E1378" i="55"/>
  <c r="E1379" i="55"/>
  <c r="E1380" i="55"/>
  <c r="E1381" i="55"/>
  <c r="E1382" i="55"/>
  <c r="E1383" i="55"/>
  <c r="E1384" i="55"/>
  <c r="E1385" i="55"/>
  <c r="E1386" i="55"/>
  <c r="E1387" i="55"/>
  <c r="E1388" i="55"/>
  <c r="E1389" i="55"/>
  <c r="E1390" i="55"/>
  <c r="E1391" i="55"/>
  <c r="E1392" i="55"/>
  <c r="E1393" i="55"/>
  <c r="E1394" i="55"/>
  <c r="E1395" i="55"/>
  <c r="E1396" i="55"/>
  <c r="E1397" i="55"/>
  <c r="E1398" i="55"/>
  <c r="E1399" i="55"/>
  <c r="E1400" i="55"/>
  <c r="E1401" i="55"/>
  <c r="E1402" i="55"/>
  <c r="E1403" i="55"/>
  <c r="E1404" i="55"/>
  <c r="E1405" i="55"/>
  <c r="E1406" i="55"/>
  <c r="E1407" i="55"/>
  <c r="E1408" i="55"/>
  <c r="E1409" i="55"/>
  <c r="E1410" i="55"/>
  <c r="E1411" i="55"/>
  <c r="E1412" i="55"/>
  <c r="E1413" i="55"/>
  <c r="E1414" i="55"/>
  <c r="E1415" i="55"/>
  <c r="E1416" i="55"/>
  <c r="E1417" i="55"/>
  <c r="E1418" i="55"/>
  <c r="E1419" i="55"/>
  <c r="E1420" i="55"/>
  <c r="E1421" i="55"/>
  <c r="E1422" i="55"/>
  <c r="E1423" i="55"/>
  <c r="E1424" i="55"/>
  <c r="E1425" i="55"/>
  <c r="E1426" i="55"/>
  <c r="E1427" i="55"/>
  <c r="E1428" i="55"/>
  <c r="E1429" i="55"/>
  <c r="E1430" i="55"/>
  <c r="E1431" i="55"/>
  <c r="E1432" i="55"/>
  <c r="E1433" i="55"/>
  <c r="E1434" i="55"/>
  <c r="E1435" i="55"/>
  <c r="E1436" i="55"/>
  <c r="E1437" i="55"/>
  <c r="E1438" i="55"/>
  <c r="E1439" i="55"/>
  <c r="E1440" i="55"/>
  <c r="E1441" i="55"/>
  <c r="E1442" i="55"/>
  <c r="E1443" i="55"/>
  <c r="E1444" i="55"/>
  <c r="E1445" i="55"/>
  <c r="E1446" i="55"/>
  <c r="E1447" i="55"/>
  <c r="E1448" i="55"/>
  <c r="E1449" i="55"/>
  <c r="E1450" i="55"/>
  <c r="E1451" i="55"/>
  <c r="E1452" i="55"/>
  <c r="E1453" i="55"/>
  <c r="E1454" i="55"/>
  <c r="E1455" i="55"/>
  <c r="E1456" i="55"/>
  <c r="E1457" i="55"/>
  <c r="E1458" i="55"/>
  <c r="E1459" i="55"/>
  <c r="E1460" i="55"/>
  <c r="E1461" i="55"/>
  <c r="E1462" i="55"/>
  <c r="E1463" i="55"/>
  <c r="E1464" i="55"/>
  <c r="E1465" i="55"/>
  <c r="E1466" i="55"/>
  <c r="E1467" i="55"/>
  <c r="E1468" i="55"/>
  <c r="E1469" i="55"/>
  <c r="E1470" i="55"/>
  <c r="E1471" i="55"/>
  <c r="E1472" i="55"/>
  <c r="E1473" i="55"/>
  <c r="E1474" i="55"/>
  <c r="E1475" i="55"/>
  <c r="E1476" i="55"/>
  <c r="E1477" i="55"/>
  <c r="E1478" i="55"/>
  <c r="E1479" i="55"/>
  <c r="E1480" i="55"/>
  <c r="E1481" i="55"/>
  <c r="E1482" i="55"/>
  <c r="E1483" i="55"/>
  <c r="E1484" i="55"/>
  <c r="E1485" i="55"/>
  <c r="E1486" i="55"/>
  <c r="E1487" i="55"/>
  <c r="E1488" i="55"/>
  <c r="E1489" i="55"/>
  <c r="E1490" i="55"/>
  <c r="E1491" i="55"/>
  <c r="E1492" i="55"/>
  <c r="E1493" i="55"/>
  <c r="E1494" i="55"/>
  <c r="E1495" i="55"/>
  <c r="E1496" i="55"/>
  <c r="E1497" i="55"/>
  <c r="E1498" i="55"/>
  <c r="E1499" i="55"/>
  <c r="E1500" i="55"/>
  <c r="E11" i="55"/>
  <c r="C12" i="55"/>
  <c r="C13" i="55"/>
  <c r="C14"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104" i="55"/>
  <c r="C105" i="55"/>
  <c r="C106" i="55"/>
  <c r="C107" i="55"/>
  <c r="C108" i="55"/>
  <c r="C109" i="55"/>
  <c r="C110" i="55"/>
  <c r="C111" i="55"/>
  <c r="C112" i="55"/>
  <c r="C113" i="55"/>
  <c r="C114" i="55"/>
  <c r="C115" i="55"/>
  <c r="C116" i="55"/>
  <c r="C117" i="55"/>
  <c r="C118" i="55"/>
  <c r="C119" i="55"/>
  <c r="C120" i="55"/>
  <c r="C121" i="55"/>
  <c r="C122" i="55"/>
  <c r="C123" i="55"/>
  <c r="C124" i="55"/>
  <c r="C125" i="55"/>
  <c r="C126" i="55"/>
  <c r="C127" i="55"/>
  <c r="C128" i="55"/>
  <c r="C129" i="55"/>
  <c r="C130" i="55"/>
  <c r="C131" i="55"/>
  <c r="C132" i="55"/>
  <c r="C133" i="55"/>
  <c r="C134" i="55"/>
  <c r="C135" i="55"/>
  <c r="C136" i="55"/>
  <c r="C137" i="55"/>
  <c r="C138" i="55"/>
  <c r="C139" i="55"/>
  <c r="C140" i="55"/>
  <c r="C141" i="55"/>
  <c r="C142" i="55"/>
  <c r="C143" i="55"/>
  <c r="C144" i="55"/>
  <c r="C145" i="55"/>
  <c r="C146" i="55"/>
  <c r="C147" i="55"/>
  <c r="C148" i="55"/>
  <c r="C149" i="55"/>
  <c r="C150" i="55"/>
  <c r="C151" i="55"/>
  <c r="C152" i="55"/>
  <c r="C153" i="55"/>
  <c r="C154" i="55"/>
  <c r="C155" i="55"/>
  <c r="C156" i="55"/>
  <c r="C157" i="55"/>
  <c r="C158" i="55"/>
  <c r="C159" i="55"/>
  <c r="C160" i="55"/>
  <c r="C161" i="55"/>
  <c r="C162" i="55"/>
  <c r="C163" i="55"/>
  <c r="C164" i="55"/>
  <c r="C165" i="55"/>
  <c r="C166" i="55"/>
  <c r="C167" i="55"/>
  <c r="C168" i="55"/>
  <c r="C169" i="55"/>
  <c r="C170" i="55"/>
  <c r="C171" i="55"/>
  <c r="C172" i="55"/>
  <c r="C173" i="55"/>
  <c r="C174" i="55"/>
  <c r="C175" i="55"/>
  <c r="C176" i="55"/>
  <c r="C177" i="55"/>
  <c r="C178" i="55"/>
  <c r="C179" i="55"/>
  <c r="C180" i="55"/>
  <c r="C181" i="55"/>
  <c r="C182" i="55"/>
  <c r="C183" i="55"/>
  <c r="C184" i="55"/>
  <c r="C185" i="55"/>
  <c r="C186" i="55"/>
  <c r="C187" i="55"/>
  <c r="C188" i="55"/>
  <c r="C189" i="55"/>
  <c r="C190" i="55"/>
  <c r="C191" i="55"/>
  <c r="C192" i="55"/>
  <c r="C193" i="55"/>
  <c r="C194" i="55"/>
  <c r="C195" i="55"/>
  <c r="C196" i="55"/>
  <c r="C197" i="55"/>
  <c r="C198" i="55"/>
  <c r="C199" i="55"/>
  <c r="C200" i="55"/>
  <c r="C201" i="55"/>
  <c r="C202" i="55"/>
  <c r="C203" i="55"/>
  <c r="C204" i="55"/>
  <c r="C205" i="55"/>
  <c r="C206" i="55"/>
  <c r="C207" i="55"/>
  <c r="C208" i="55"/>
  <c r="C209" i="55"/>
  <c r="C210" i="55"/>
  <c r="C211" i="55"/>
  <c r="C212" i="55"/>
  <c r="C213" i="55"/>
  <c r="C214" i="55"/>
  <c r="C215" i="55"/>
  <c r="C216" i="55"/>
  <c r="C217" i="55"/>
  <c r="C218" i="55"/>
  <c r="C219" i="55"/>
  <c r="C220" i="55"/>
  <c r="C221" i="55"/>
  <c r="C222" i="55"/>
  <c r="C223" i="55"/>
  <c r="C224" i="55"/>
  <c r="C225" i="55"/>
  <c r="C226" i="55"/>
  <c r="C227" i="55"/>
  <c r="C228" i="55"/>
  <c r="C229" i="55"/>
  <c r="C230" i="55"/>
  <c r="C231" i="55"/>
  <c r="C232" i="55"/>
  <c r="C233" i="55"/>
  <c r="C234" i="55"/>
  <c r="C235" i="55"/>
  <c r="C236" i="55"/>
  <c r="C237" i="55"/>
  <c r="C238" i="55"/>
  <c r="C239" i="55"/>
  <c r="C240" i="55"/>
  <c r="C241" i="55"/>
  <c r="C242" i="55"/>
  <c r="C243" i="55"/>
  <c r="C244" i="55"/>
  <c r="C245" i="55"/>
  <c r="C246" i="55"/>
  <c r="C247" i="55"/>
  <c r="C248" i="55"/>
  <c r="C249" i="55"/>
  <c r="C250" i="55"/>
  <c r="C251" i="55"/>
  <c r="C252" i="55"/>
  <c r="C253" i="55"/>
  <c r="C254" i="55"/>
  <c r="C255" i="55"/>
  <c r="C256" i="55"/>
  <c r="C257" i="55"/>
  <c r="C258" i="55"/>
  <c r="C259" i="55"/>
  <c r="C260" i="55"/>
  <c r="C261" i="55"/>
  <c r="C262" i="55"/>
  <c r="C263" i="55"/>
  <c r="C264" i="55"/>
  <c r="C265" i="55"/>
  <c r="C266" i="55"/>
  <c r="C267" i="55"/>
  <c r="C268" i="55"/>
  <c r="C269" i="55"/>
  <c r="C270" i="55"/>
  <c r="C271" i="55"/>
  <c r="C272" i="55"/>
  <c r="C273" i="55"/>
  <c r="C274" i="55"/>
  <c r="C275" i="55"/>
  <c r="C276" i="55"/>
  <c r="C277" i="55"/>
  <c r="C278" i="55"/>
  <c r="C279" i="55"/>
  <c r="C280" i="55"/>
  <c r="C281" i="55"/>
  <c r="C282" i="55"/>
  <c r="C283" i="55"/>
  <c r="C284" i="55"/>
  <c r="C285" i="55"/>
  <c r="C286" i="55"/>
  <c r="C287" i="55"/>
  <c r="C288" i="55"/>
  <c r="C289" i="55"/>
  <c r="C290" i="55"/>
  <c r="C291" i="55"/>
  <c r="C292" i="55"/>
  <c r="C293" i="55"/>
  <c r="C294" i="55"/>
  <c r="C295" i="55"/>
  <c r="C296" i="55"/>
  <c r="C297" i="55"/>
  <c r="C298" i="55"/>
  <c r="C299" i="55"/>
  <c r="C300" i="55"/>
  <c r="C301" i="55"/>
  <c r="C302" i="55"/>
  <c r="C303" i="55"/>
  <c r="C304" i="55"/>
  <c r="C305" i="55"/>
  <c r="C306" i="55"/>
  <c r="C307" i="55"/>
  <c r="C308" i="55"/>
  <c r="C309" i="55"/>
  <c r="C310" i="55"/>
  <c r="C311" i="55"/>
  <c r="C312" i="55"/>
  <c r="C313" i="55"/>
  <c r="C314" i="55"/>
  <c r="C315" i="55"/>
  <c r="C316" i="55"/>
  <c r="C317" i="55"/>
  <c r="C318" i="55"/>
  <c r="C319" i="55"/>
  <c r="C320" i="55"/>
  <c r="C321" i="55"/>
  <c r="C322" i="55"/>
  <c r="C323" i="55"/>
  <c r="C324" i="55"/>
  <c r="C325" i="55"/>
  <c r="C326" i="55"/>
  <c r="C327" i="55"/>
  <c r="C328" i="55"/>
  <c r="C329" i="55"/>
  <c r="C330" i="55"/>
  <c r="C331" i="55"/>
  <c r="C332" i="55"/>
  <c r="C333" i="55"/>
  <c r="C334" i="55"/>
  <c r="C335" i="55"/>
  <c r="C336" i="55"/>
  <c r="C337" i="55"/>
  <c r="C338" i="55"/>
  <c r="C339" i="55"/>
  <c r="C340" i="55"/>
  <c r="C341" i="55"/>
  <c r="C342" i="55"/>
  <c r="C343" i="55"/>
  <c r="C344" i="55"/>
  <c r="C345" i="55"/>
  <c r="C346" i="55"/>
  <c r="C347" i="55"/>
  <c r="C348" i="55"/>
  <c r="C349" i="55"/>
  <c r="C350" i="55"/>
  <c r="C351" i="55"/>
  <c r="C352" i="55"/>
  <c r="C353" i="55"/>
  <c r="C354" i="55"/>
  <c r="C355" i="55"/>
  <c r="C356" i="55"/>
  <c r="C357" i="55"/>
  <c r="C358" i="55"/>
  <c r="C359" i="55"/>
  <c r="C360" i="55"/>
  <c r="C361" i="55"/>
  <c r="C362" i="55"/>
  <c r="C363" i="55"/>
  <c r="C364" i="55"/>
  <c r="C365" i="55"/>
  <c r="C366" i="55"/>
  <c r="C367" i="55"/>
  <c r="C368" i="55"/>
  <c r="C369" i="55"/>
  <c r="C370" i="55"/>
  <c r="C371" i="55"/>
  <c r="C372" i="55"/>
  <c r="C373" i="55"/>
  <c r="C374" i="55"/>
  <c r="C375" i="55"/>
  <c r="C376" i="55"/>
  <c r="C377" i="55"/>
  <c r="C378" i="55"/>
  <c r="C379" i="55"/>
  <c r="C380" i="55"/>
  <c r="C381" i="55"/>
  <c r="C382" i="55"/>
  <c r="C383" i="55"/>
  <c r="C384" i="55"/>
  <c r="C385" i="55"/>
  <c r="C386" i="55"/>
  <c r="C387" i="55"/>
  <c r="C388" i="55"/>
  <c r="C389" i="55"/>
  <c r="C390" i="55"/>
  <c r="C391" i="55"/>
  <c r="C392" i="55"/>
  <c r="C393" i="55"/>
  <c r="C394" i="55"/>
  <c r="C395" i="55"/>
  <c r="C396" i="55"/>
  <c r="C397" i="55"/>
  <c r="C398" i="55"/>
  <c r="C399" i="55"/>
  <c r="C400" i="55"/>
  <c r="C401" i="55"/>
  <c r="C402" i="55"/>
  <c r="C403" i="55"/>
  <c r="C404" i="55"/>
  <c r="C405" i="55"/>
  <c r="C406" i="55"/>
  <c r="C407" i="55"/>
  <c r="C408" i="55"/>
  <c r="C409" i="55"/>
  <c r="C410" i="55"/>
  <c r="C411" i="55"/>
  <c r="C412" i="55"/>
  <c r="C413" i="55"/>
  <c r="C414" i="55"/>
  <c r="C415" i="55"/>
  <c r="C416" i="55"/>
  <c r="C417" i="55"/>
  <c r="C418" i="55"/>
  <c r="C419" i="55"/>
  <c r="C420" i="55"/>
  <c r="C421" i="55"/>
  <c r="C422" i="55"/>
  <c r="C423" i="55"/>
  <c r="C424" i="55"/>
  <c r="C425" i="55"/>
  <c r="C426" i="55"/>
  <c r="C427" i="55"/>
  <c r="C428" i="55"/>
  <c r="C429" i="55"/>
  <c r="C430" i="55"/>
  <c r="C431" i="55"/>
  <c r="C432" i="55"/>
  <c r="C433" i="55"/>
  <c r="C434" i="55"/>
  <c r="C435" i="55"/>
  <c r="C436" i="55"/>
  <c r="C437" i="55"/>
  <c r="C438" i="55"/>
  <c r="C439" i="55"/>
  <c r="C440" i="55"/>
  <c r="C441" i="55"/>
  <c r="C442" i="55"/>
  <c r="C443" i="55"/>
  <c r="C444" i="55"/>
  <c r="C445" i="55"/>
  <c r="C446" i="55"/>
  <c r="C447" i="55"/>
  <c r="C448" i="55"/>
  <c r="C449" i="55"/>
  <c r="C450" i="55"/>
  <c r="C451" i="55"/>
  <c r="C452" i="55"/>
  <c r="C453" i="55"/>
  <c r="C454" i="55"/>
  <c r="C455" i="55"/>
  <c r="C456" i="55"/>
  <c r="C457" i="55"/>
  <c r="C458" i="55"/>
  <c r="C459" i="55"/>
  <c r="C460" i="55"/>
  <c r="C461" i="55"/>
  <c r="C462" i="55"/>
  <c r="C463" i="55"/>
  <c r="C464" i="55"/>
  <c r="C465" i="55"/>
  <c r="C466" i="55"/>
  <c r="C467" i="55"/>
  <c r="C468" i="55"/>
  <c r="C469" i="55"/>
  <c r="C470" i="55"/>
  <c r="C471" i="55"/>
  <c r="C472" i="55"/>
  <c r="C473" i="55"/>
  <c r="C474" i="55"/>
  <c r="C475" i="55"/>
  <c r="C476" i="55"/>
  <c r="C477" i="55"/>
  <c r="C478" i="55"/>
  <c r="C479" i="55"/>
  <c r="C480" i="55"/>
  <c r="C481" i="55"/>
  <c r="C482" i="55"/>
  <c r="C483" i="55"/>
  <c r="C484" i="55"/>
  <c r="C485" i="55"/>
  <c r="C486" i="55"/>
  <c r="C487" i="55"/>
  <c r="C488" i="55"/>
  <c r="C489" i="55"/>
  <c r="C490" i="55"/>
  <c r="C491" i="55"/>
  <c r="C492" i="55"/>
  <c r="C493" i="55"/>
  <c r="C494" i="55"/>
  <c r="C495" i="55"/>
  <c r="C496" i="55"/>
  <c r="C497" i="55"/>
  <c r="C498" i="55"/>
  <c r="C499" i="55"/>
  <c r="C500" i="55"/>
  <c r="C501" i="55"/>
  <c r="C502" i="55"/>
  <c r="C503" i="55"/>
  <c r="C504" i="55"/>
  <c r="C505" i="55"/>
  <c r="C506" i="55"/>
  <c r="C507" i="55"/>
  <c r="C508" i="55"/>
  <c r="C509" i="55"/>
  <c r="C510" i="55"/>
  <c r="C511" i="55"/>
  <c r="C512" i="55"/>
  <c r="C513" i="55"/>
  <c r="C514" i="55"/>
  <c r="C515" i="55"/>
  <c r="C516" i="55"/>
  <c r="C517" i="55"/>
  <c r="C518" i="55"/>
  <c r="C519" i="55"/>
  <c r="C520" i="55"/>
  <c r="C521" i="55"/>
  <c r="C522" i="55"/>
  <c r="C523" i="55"/>
  <c r="C524" i="55"/>
  <c r="C525" i="55"/>
  <c r="C526" i="55"/>
  <c r="C527" i="55"/>
  <c r="C528" i="55"/>
  <c r="C529" i="55"/>
  <c r="C530" i="55"/>
  <c r="C531" i="55"/>
  <c r="C532" i="55"/>
  <c r="C533" i="55"/>
  <c r="C534" i="55"/>
  <c r="C535" i="55"/>
  <c r="C536" i="55"/>
  <c r="C537" i="55"/>
  <c r="C538" i="55"/>
  <c r="C539" i="55"/>
  <c r="C540" i="55"/>
  <c r="C541" i="55"/>
  <c r="C542" i="55"/>
  <c r="C543" i="55"/>
  <c r="C544" i="55"/>
  <c r="C545" i="55"/>
  <c r="C546" i="55"/>
  <c r="C547" i="55"/>
  <c r="C548" i="55"/>
  <c r="C549" i="55"/>
  <c r="C550" i="55"/>
  <c r="C551" i="55"/>
  <c r="C552" i="55"/>
  <c r="C553" i="55"/>
  <c r="C554" i="55"/>
  <c r="C555" i="55"/>
  <c r="C556" i="55"/>
  <c r="C557" i="55"/>
  <c r="C558" i="55"/>
  <c r="C559" i="55"/>
  <c r="C560" i="55"/>
  <c r="C561" i="55"/>
  <c r="C562" i="55"/>
  <c r="C563" i="55"/>
  <c r="C564" i="55"/>
  <c r="C565" i="55"/>
  <c r="C566" i="55"/>
  <c r="C567" i="55"/>
  <c r="C568" i="55"/>
  <c r="C569" i="55"/>
  <c r="C570" i="55"/>
  <c r="C571" i="55"/>
  <c r="C572" i="55"/>
  <c r="C573" i="55"/>
  <c r="C574" i="55"/>
  <c r="C575" i="55"/>
  <c r="C576" i="55"/>
  <c r="C577" i="55"/>
  <c r="C578" i="55"/>
  <c r="C579" i="55"/>
  <c r="C580" i="55"/>
  <c r="C581" i="55"/>
  <c r="C582" i="55"/>
  <c r="C583" i="55"/>
  <c r="C584" i="55"/>
  <c r="C585" i="55"/>
  <c r="C586" i="55"/>
  <c r="C587" i="55"/>
  <c r="C588" i="55"/>
  <c r="C589" i="55"/>
  <c r="C590" i="55"/>
  <c r="C591" i="55"/>
  <c r="C592" i="55"/>
  <c r="C593" i="55"/>
  <c r="C594" i="55"/>
  <c r="C595" i="55"/>
  <c r="C596" i="55"/>
  <c r="C597" i="55"/>
  <c r="C598" i="55"/>
  <c r="C599" i="55"/>
  <c r="C600" i="55"/>
  <c r="C601" i="55"/>
  <c r="C602" i="55"/>
  <c r="C603" i="55"/>
  <c r="C604" i="55"/>
  <c r="C605" i="55"/>
  <c r="C606" i="55"/>
  <c r="C607" i="55"/>
  <c r="C608" i="55"/>
  <c r="C609" i="55"/>
  <c r="C610" i="55"/>
  <c r="C611" i="55"/>
  <c r="C612" i="55"/>
  <c r="C613" i="55"/>
  <c r="C614" i="55"/>
  <c r="C615" i="55"/>
  <c r="C616" i="55"/>
  <c r="C617" i="55"/>
  <c r="C618" i="55"/>
  <c r="C619" i="55"/>
  <c r="C620" i="55"/>
  <c r="C621" i="55"/>
  <c r="C622" i="55"/>
  <c r="C623" i="55"/>
  <c r="C624" i="55"/>
  <c r="C625" i="55"/>
  <c r="C626" i="55"/>
  <c r="C627" i="55"/>
  <c r="C628" i="55"/>
  <c r="C629" i="55"/>
  <c r="C630" i="55"/>
  <c r="C631" i="55"/>
  <c r="C632" i="55"/>
  <c r="C633" i="55"/>
  <c r="C634" i="55"/>
  <c r="C635" i="55"/>
  <c r="C636" i="55"/>
  <c r="C637" i="55"/>
  <c r="C638" i="55"/>
  <c r="C639" i="55"/>
  <c r="C640" i="55"/>
  <c r="C641" i="55"/>
  <c r="C642" i="55"/>
  <c r="C643" i="55"/>
  <c r="C644" i="55"/>
  <c r="C645" i="55"/>
  <c r="C646" i="55"/>
  <c r="C647" i="55"/>
  <c r="C648" i="55"/>
  <c r="C649" i="55"/>
  <c r="C650" i="55"/>
  <c r="C651" i="55"/>
  <c r="C652" i="55"/>
  <c r="C653" i="55"/>
  <c r="C654" i="55"/>
  <c r="C655" i="55"/>
  <c r="C656" i="55"/>
  <c r="C657" i="55"/>
  <c r="C658" i="55"/>
  <c r="C659" i="55"/>
  <c r="C660" i="55"/>
  <c r="C661" i="55"/>
  <c r="C662" i="55"/>
  <c r="C663" i="55"/>
  <c r="C664" i="55"/>
  <c r="C665" i="55"/>
  <c r="C666" i="55"/>
  <c r="C667" i="55"/>
  <c r="C668" i="55"/>
  <c r="C669" i="55"/>
  <c r="C670" i="55"/>
  <c r="C671" i="55"/>
  <c r="C672" i="55"/>
  <c r="C673" i="55"/>
  <c r="C674" i="55"/>
  <c r="C675" i="55"/>
  <c r="C676" i="55"/>
  <c r="C677" i="55"/>
  <c r="C678" i="55"/>
  <c r="C679" i="55"/>
  <c r="C680" i="55"/>
  <c r="C681" i="55"/>
  <c r="C682" i="55"/>
  <c r="C683" i="55"/>
  <c r="C684" i="55"/>
  <c r="C685" i="55"/>
  <c r="C686" i="55"/>
  <c r="C687" i="55"/>
  <c r="C688" i="55"/>
  <c r="C689" i="55"/>
  <c r="C690" i="55"/>
  <c r="C691" i="55"/>
  <c r="C692" i="55"/>
  <c r="C693" i="55"/>
  <c r="C694" i="55"/>
  <c r="C695" i="55"/>
  <c r="C696" i="55"/>
  <c r="C697" i="55"/>
  <c r="C698" i="55"/>
  <c r="C699" i="55"/>
  <c r="C700" i="55"/>
  <c r="C701" i="55"/>
  <c r="C702" i="55"/>
  <c r="C703" i="55"/>
  <c r="C704" i="55"/>
  <c r="C705" i="55"/>
  <c r="C706" i="55"/>
  <c r="C707" i="55"/>
  <c r="C708" i="55"/>
  <c r="C709" i="55"/>
  <c r="C710" i="55"/>
  <c r="C711" i="55"/>
  <c r="C712" i="55"/>
  <c r="C713" i="55"/>
  <c r="C714" i="55"/>
  <c r="C715" i="55"/>
  <c r="C716" i="55"/>
  <c r="C717" i="55"/>
  <c r="C718" i="55"/>
  <c r="C719" i="55"/>
  <c r="C720" i="55"/>
  <c r="C721" i="55"/>
  <c r="C722" i="55"/>
  <c r="C723" i="55"/>
  <c r="C724" i="55"/>
  <c r="C725" i="55"/>
  <c r="C726" i="55"/>
  <c r="C727" i="55"/>
  <c r="C728" i="55"/>
  <c r="C729" i="55"/>
  <c r="C730" i="55"/>
  <c r="C731" i="55"/>
  <c r="C732" i="55"/>
  <c r="C733" i="55"/>
  <c r="C734" i="55"/>
  <c r="C735" i="55"/>
  <c r="C736" i="55"/>
  <c r="C737" i="55"/>
  <c r="C738" i="55"/>
  <c r="C739" i="55"/>
  <c r="C740" i="55"/>
  <c r="C741" i="55"/>
  <c r="C742" i="55"/>
  <c r="C743" i="55"/>
  <c r="C744" i="55"/>
  <c r="C745" i="55"/>
  <c r="C746" i="55"/>
  <c r="C747" i="55"/>
  <c r="C748" i="55"/>
  <c r="C749" i="55"/>
  <c r="C750" i="55"/>
  <c r="C751" i="55"/>
  <c r="C752" i="55"/>
  <c r="C753" i="55"/>
  <c r="C754" i="55"/>
  <c r="C755" i="55"/>
  <c r="C756" i="55"/>
  <c r="C757" i="55"/>
  <c r="C758" i="55"/>
  <c r="C759" i="55"/>
  <c r="C760" i="55"/>
  <c r="C761" i="55"/>
  <c r="C762" i="55"/>
  <c r="C763" i="55"/>
  <c r="C764" i="55"/>
  <c r="C765" i="55"/>
  <c r="C766" i="55"/>
  <c r="C767" i="55"/>
  <c r="C768" i="55"/>
  <c r="C769" i="55"/>
  <c r="C770" i="55"/>
  <c r="C771" i="55"/>
  <c r="C772" i="55"/>
  <c r="C773" i="55"/>
  <c r="C774" i="55"/>
  <c r="C775" i="55"/>
  <c r="C776" i="55"/>
  <c r="C777" i="55"/>
  <c r="C778" i="55"/>
  <c r="C779" i="55"/>
  <c r="C780" i="55"/>
  <c r="C781" i="55"/>
  <c r="C782" i="55"/>
  <c r="C783" i="55"/>
  <c r="C784" i="55"/>
  <c r="C785" i="55"/>
  <c r="C786" i="55"/>
  <c r="C787" i="55"/>
  <c r="C788" i="55"/>
  <c r="C789" i="55"/>
  <c r="C790" i="55"/>
  <c r="C791" i="55"/>
  <c r="C792" i="55"/>
  <c r="C793" i="55"/>
  <c r="C794" i="55"/>
  <c r="C795" i="55"/>
  <c r="C796" i="55"/>
  <c r="C797" i="55"/>
  <c r="C798" i="55"/>
  <c r="C799" i="55"/>
  <c r="C800" i="55"/>
  <c r="C801" i="55"/>
  <c r="C802" i="55"/>
  <c r="C803" i="55"/>
  <c r="C804" i="55"/>
  <c r="C805" i="55"/>
  <c r="C806" i="55"/>
  <c r="C807" i="55"/>
  <c r="C808" i="55"/>
  <c r="C809" i="55"/>
  <c r="C810" i="55"/>
  <c r="C811" i="55"/>
  <c r="C812" i="55"/>
  <c r="C813" i="55"/>
  <c r="C814" i="55"/>
  <c r="C815" i="55"/>
  <c r="C816" i="55"/>
  <c r="C817" i="55"/>
  <c r="C818" i="55"/>
  <c r="C819" i="55"/>
  <c r="C820" i="55"/>
  <c r="C821" i="55"/>
  <c r="C822" i="55"/>
  <c r="C823" i="55"/>
  <c r="C824" i="55"/>
  <c r="C825" i="55"/>
  <c r="C826" i="55"/>
  <c r="C827" i="55"/>
  <c r="C828" i="55"/>
  <c r="C829" i="55"/>
  <c r="C830" i="55"/>
  <c r="C831" i="55"/>
  <c r="C832" i="55"/>
  <c r="C833" i="55"/>
  <c r="C834" i="55"/>
  <c r="C835" i="55"/>
  <c r="C836" i="55"/>
  <c r="C837" i="55"/>
  <c r="C838" i="55"/>
  <c r="C839" i="55"/>
  <c r="C840" i="55"/>
  <c r="C841" i="55"/>
  <c r="C842" i="55"/>
  <c r="C843" i="55"/>
  <c r="C844" i="55"/>
  <c r="C845" i="55"/>
  <c r="C846" i="55"/>
  <c r="C847" i="55"/>
  <c r="C848" i="55"/>
  <c r="C849" i="55"/>
  <c r="C850" i="55"/>
  <c r="C851" i="55"/>
  <c r="C852" i="55"/>
  <c r="C853" i="55"/>
  <c r="C854" i="55"/>
  <c r="C855" i="55"/>
  <c r="C856" i="55"/>
  <c r="C857" i="55"/>
  <c r="C858" i="55"/>
  <c r="C859" i="55"/>
  <c r="C860" i="55"/>
  <c r="C861" i="55"/>
  <c r="C862" i="55"/>
  <c r="C863" i="55"/>
  <c r="C864" i="55"/>
  <c r="C865" i="55"/>
  <c r="C866" i="55"/>
  <c r="C867" i="55"/>
  <c r="C868" i="55"/>
  <c r="C869" i="55"/>
  <c r="C870" i="55"/>
  <c r="C871" i="55"/>
  <c r="C872" i="55"/>
  <c r="C873" i="55"/>
  <c r="C874" i="55"/>
  <c r="C875" i="55"/>
  <c r="C876" i="55"/>
  <c r="C877" i="55"/>
  <c r="C878" i="55"/>
  <c r="C879" i="55"/>
  <c r="C880" i="55"/>
  <c r="C881" i="55"/>
  <c r="C882" i="55"/>
  <c r="C883" i="55"/>
  <c r="C884" i="55"/>
  <c r="C885" i="55"/>
  <c r="C886" i="55"/>
  <c r="C887" i="55"/>
  <c r="C888" i="55"/>
  <c r="C889" i="55"/>
  <c r="C890" i="55"/>
  <c r="C891" i="55"/>
  <c r="C892" i="55"/>
  <c r="C893" i="55"/>
  <c r="C894" i="55"/>
  <c r="C895" i="55"/>
  <c r="C896" i="55"/>
  <c r="C897" i="55"/>
  <c r="C898" i="55"/>
  <c r="C899" i="55"/>
  <c r="C900" i="55"/>
  <c r="C901" i="55"/>
  <c r="C902" i="55"/>
  <c r="C903" i="55"/>
  <c r="C904" i="55"/>
  <c r="C905" i="55"/>
  <c r="C906" i="55"/>
  <c r="C907" i="55"/>
  <c r="C908" i="55"/>
  <c r="C909" i="55"/>
  <c r="C910" i="55"/>
  <c r="C911" i="55"/>
  <c r="C912" i="55"/>
  <c r="C913" i="55"/>
  <c r="C914" i="55"/>
  <c r="C915" i="55"/>
  <c r="C916" i="55"/>
  <c r="C917" i="55"/>
  <c r="C918" i="55"/>
  <c r="C919" i="55"/>
  <c r="C920" i="55"/>
  <c r="C921" i="55"/>
  <c r="C922" i="55"/>
  <c r="C923" i="55"/>
  <c r="C924" i="55"/>
  <c r="C925" i="55"/>
  <c r="C926" i="55"/>
  <c r="C927" i="55"/>
  <c r="C928" i="55"/>
  <c r="C929" i="55"/>
  <c r="C930" i="55"/>
  <c r="C931" i="55"/>
  <c r="C932" i="55"/>
  <c r="C933" i="55"/>
  <c r="C934" i="55"/>
  <c r="C935" i="55"/>
  <c r="C936" i="55"/>
  <c r="C937" i="55"/>
  <c r="C938" i="55"/>
  <c r="C939" i="55"/>
  <c r="C940" i="55"/>
  <c r="C941" i="55"/>
  <c r="C942" i="55"/>
  <c r="C943" i="55"/>
  <c r="C944" i="55"/>
  <c r="C945" i="55"/>
  <c r="C946" i="55"/>
  <c r="C947" i="55"/>
  <c r="C948" i="55"/>
  <c r="C949" i="55"/>
  <c r="C950" i="55"/>
  <c r="C951" i="55"/>
  <c r="C952" i="55"/>
  <c r="C953" i="55"/>
  <c r="C954" i="55"/>
  <c r="C955" i="55"/>
  <c r="C956" i="55"/>
  <c r="C957" i="55"/>
  <c r="C958" i="55"/>
  <c r="C959" i="55"/>
  <c r="C960" i="55"/>
  <c r="C961" i="55"/>
  <c r="C962" i="55"/>
  <c r="C963" i="55"/>
  <c r="C964" i="55"/>
  <c r="C965" i="55"/>
  <c r="C966" i="55"/>
  <c r="C967" i="55"/>
  <c r="C968" i="55"/>
  <c r="C969" i="55"/>
  <c r="C970" i="55"/>
  <c r="C971" i="55"/>
  <c r="C972" i="55"/>
  <c r="C973" i="55"/>
  <c r="C974" i="55"/>
  <c r="C975" i="55"/>
  <c r="C976" i="55"/>
  <c r="C977" i="55"/>
  <c r="C978" i="55"/>
  <c r="C979" i="55"/>
  <c r="C980" i="55"/>
  <c r="C981" i="55"/>
  <c r="C982" i="55"/>
  <c r="C983" i="55"/>
  <c r="C984" i="55"/>
  <c r="C985" i="55"/>
  <c r="C986" i="55"/>
  <c r="C987" i="55"/>
  <c r="C988" i="55"/>
  <c r="C989" i="55"/>
  <c r="C990" i="55"/>
  <c r="C991" i="55"/>
  <c r="C992" i="55"/>
  <c r="C993" i="55"/>
  <c r="C994" i="55"/>
  <c r="C995" i="55"/>
  <c r="C996" i="55"/>
  <c r="C997" i="55"/>
  <c r="C998" i="55"/>
  <c r="C999" i="55"/>
  <c r="C1000" i="55"/>
  <c r="C1001" i="55"/>
  <c r="C1002" i="55"/>
  <c r="C1003" i="55"/>
  <c r="C1004" i="55"/>
  <c r="C1005" i="55"/>
  <c r="C1006" i="55"/>
  <c r="C1007" i="55"/>
  <c r="C1008" i="55"/>
  <c r="C1009" i="55"/>
  <c r="C1010" i="55"/>
  <c r="C1011" i="55"/>
  <c r="C1012" i="55"/>
  <c r="C1013" i="55"/>
  <c r="C1014" i="55"/>
  <c r="C1015" i="55"/>
  <c r="C1016" i="55"/>
  <c r="C1017" i="55"/>
  <c r="C1018" i="55"/>
  <c r="C1019" i="55"/>
  <c r="C1020" i="55"/>
  <c r="C1021" i="55"/>
  <c r="C1022" i="55"/>
  <c r="C1023" i="55"/>
  <c r="C1024" i="55"/>
  <c r="C1025" i="55"/>
  <c r="C1026" i="55"/>
  <c r="C1027" i="55"/>
  <c r="C1028" i="55"/>
  <c r="C1029" i="55"/>
  <c r="C1030" i="55"/>
  <c r="C1031" i="55"/>
  <c r="C1032" i="55"/>
  <c r="C1033" i="55"/>
  <c r="C1034" i="55"/>
  <c r="C1035" i="55"/>
  <c r="C1036" i="55"/>
  <c r="C1037" i="55"/>
  <c r="C1038" i="55"/>
  <c r="C1039" i="55"/>
  <c r="C1040" i="55"/>
  <c r="C1041" i="55"/>
  <c r="C1042" i="55"/>
  <c r="C1043" i="55"/>
  <c r="C1044" i="55"/>
  <c r="C1045" i="55"/>
  <c r="C1046" i="55"/>
  <c r="C1047" i="55"/>
  <c r="C1048" i="55"/>
  <c r="C1049" i="55"/>
  <c r="C1050" i="55"/>
  <c r="C1051" i="55"/>
  <c r="C1052" i="55"/>
  <c r="C1053" i="55"/>
  <c r="C1054" i="55"/>
  <c r="C1055" i="55"/>
  <c r="C1056" i="55"/>
  <c r="C1057" i="55"/>
  <c r="C1058" i="55"/>
  <c r="C1059" i="55"/>
  <c r="C1060" i="55"/>
  <c r="C1061" i="55"/>
  <c r="C1062" i="55"/>
  <c r="C1063" i="55"/>
  <c r="C1064" i="55"/>
  <c r="C1065" i="55"/>
  <c r="C1066" i="55"/>
  <c r="C1067" i="55"/>
  <c r="C1068" i="55"/>
  <c r="C1069" i="55"/>
  <c r="C1070" i="55"/>
  <c r="C1071" i="55"/>
  <c r="C1072" i="55"/>
  <c r="C1073" i="55"/>
  <c r="C1074" i="55"/>
  <c r="C1075" i="55"/>
  <c r="C1076" i="55"/>
  <c r="C1077" i="55"/>
  <c r="C1078" i="55"/>
  <c r="C1079" i="55"/>
  <c r="C1080" i="55"/>
  <c r="C1081" i="55"/>
  <c r="C1082" i="55"/>
  <c r="C1083" i="55"/>
  <c r="C1084" i="55"/>
  <c r="C1085" i="55"/>
  <c r="C1086" i="55"/>
  <c r="C1087" i="55"/>
  <c r="C1088" i="55"/>
  <c r="C1089" i="55"/>
  <c r="C1090" i="55"/>
  <c r="C1091" i="55"/>
  <c r="C1092" i="55"/>
  <c r="C1093" i="55"/>
  <c r="C1094" i="55"/>
  <c r="C1095" i="55"/>
  <c r="C1096" i="55"/>
  <c r="C1097" i="55"/>
  <c r="C1098" i="55"/>
  <c r="C1099" i="55"/>
  <c r="C1100" i="55"/>
  <c r="C1101" i="55"/>
  <c r="C1102" i="55"/>
  <c r="C1103" i="55"/>
  <c r="C1104" i="55"/>
  <c r="C1105" i="55"/>
  <c r="C1106" i="55"/>
  <c r="C1107" i="55"/>
  <c r="C1108" i="55"/>
  <c r="C1109" i="55"/>
  <c r="C1110" i="55"/>
  <c r="C1111" i="55"/>
  <c r="C1112" i="55"/>
  <c r="C1113" i="55"/>
  <c r="C1114" i="55"/>
  <c r="C1115" i="55"/>
  <c r="C1116" i="55"/>
  <c r="C1117" i="55"/>
  <c r="C1118" i="55"/>
  <c r="C1119" i="55"/>
  <c r="C1120" i="55"/>
  <c r="C1121" i="55"/>
  <c r="C1122" i="55"/>
  <c r="C1123" i="55"/>
  <c r="C1124" i="55"/>
  <c r="C1125" i="55"/>
  <c r="C1126" i="55"/>
  <c r="C1127" i="55"/>
  <c r="C1128" i="55"/>
  <c r="C1129" i="55"/>
  <c r="C1130" i="55"/>
  <c r="C1131" i="55"/>
  <c r="C1132" i="55"/>
  <c r="C1133" i="55"/>
  <c r="C1134" i="55"/>
  <c r="C1135" i="55"/>
  <c r="C1136" i="55"/>
  <c r="C1137" i="55"/>
  <c r="C1138" i="55"/>
  <c r="C1139" i="55"/>
  <c r="C1140" i="55"/>
  <c r="C1141" i="55"/>
  <c r="C1142" i="55"/>
  <c r="C1143" i="55"/>
  <c r="C1144" i="55"/>
  <c r="C1145" i="55"/>
  <c r="C1146" i="55"/>
  <c r="C1147" i="55"/>
  <c r="C1148" i="55"/>
  <c r="C1149" i="55"/>
  <c r="C1150" i="55"/>
  <c r="C1151" i="55"/>
  <c r="C1152" i="55"/>
  <c r="C1153" i="55"/>
  <c r="C1154" i="55"/>
  <c r="C1155" i="55"/>
  <c r="C1156" i="55"/>
  <c r="C1157" i="55"/>
  <c r="C1158" i="55"/>
  <c r="C1159" i="55"/>
  <c r="C1160" i="55"/>
  <c r="C1161" i="55"/>
  <c r="C1162" i="55"/>
  <c r="C1163" i="55"/>
  <c r="C1164" i="55"/>
  <c r="C1165" i="55"/>
  <c r="C1166" i="55"/>
  <c r="C1167" i="55"/>
  <c r="C1168" i="55"/>
  <c r="C1169" i="55"/>
  <c r="C1170" i="55"/>
  <c r="C1171" i="55"/>
  <c r="C1172" i="55"/>
  <c r="C1173" i="55"/>
  <c r="C1174" i="55"/>
  <c r="C1175" i="55"/>
  <c r="C1176" i="55"/>
  <c r="C1177" i="55"/>
  <c r="C1178" i="55"/>
  <c r="C1179" i="55"/>
  <c r="C1180" i="55"/>
  <c r="C1181" i="55"/>
  <c r="C1182" i="55"/>
  <c r="C1183" i="55"/>
  <c r="C1184" i="55"/>
  <c r="C1185" i="55"/>
  <c r="C1186" i="55"/>
  <c r="C1187" i="55"/>
  <c r="C1188" i="55"/>
  <c r="C1189" i="55"/>
  <c r="C1190" i="55"/>
  <c r="C1191" i="55"/>
  <c r="C1192" i="55"/>
  <c r="C1193" i="55"/>
  <c r="C1194" i="55"/>
  <c r="C1195" i="55"/>
  <c r="C1196" i="55"/>
  <c r="C1197" i="55"/>
  <c r="C1198" i="55"/>
  <c r="C1199" i="55"/>
  <c r="C1200" i="55"/>
  <c r="C1201" i="55"/>
  <c r="C1202" i="55"/>
  <c r="C1203" i="55"/>
  <c r="C1204" i="55"/>
  <c r="C1205" i="55"/>
  <c r="C1206" i="55"/>
  <c r="C1207" i="55"/>
  <c r="C1208" i="55"/>
  <c r="C1209" i="55"/>
  <c r="C1210" i="55"/>
  <c r="C1211" i="55"/>
  <c r="C1212" i="55"/>
  <c r="C1213" i="55"/>
  <c r="C1214" i="55"/>
  <c r="C1215" i="55"/>
  <c r="C1216" i="55"/>
  <c r="C1217" i="55"/>
  <c r="C1218" i="55"/>
  <c r="C1219" i="55"/>
  <c r="C1220" i="55"/>
  <c r="C1221" i="55"/>
  <c r="C1222" i="55"/>
  <c r="C1223" i="55"/>
  <c r="C1224" i="55"/>
  <c r="C1225" i="55"/>
  <c r="C1226" i="55"/>
  <c r="C1227" i="55"/>
  <c r="C1228" i="55"/>
  <c r="C1229" i="55"/>
  <c r="C1230" i="55"/>
  <c r="C1231" i="55"/>
  <c r="C1232" i="55"/>
  <c r="C1233" i="55"/>
  <c r="C1234" i="55"/>
  <c r="C1235" i="55"/>
  <c r="C1236" i="55"/>
  <c r="C1237" i="55"/>
  <c r="C1238" i="55"/>
  <c r="C1239" i="55"/>
  <c r="C1240" i="55"/>
  <c r="C1241" i="55"/>
  <c r="C1242" i="55"/>
  <c r="C1243" i="55"/>
  <c r="C1244" i="55"/>
  <c r="C1245" i="55"/>
  <c r="C1246" i="55"/>
  <c r="C1247" i="55"/>
  <c r="C1248" i="55"/>
  <c r="C1249" i="55"/>
  <c r="C1250" i="55"/>
  <c r="C1251" i="55"/>
  <c r="C1252" i="55"/>
  <c r="C1253" i="55"/>
  <c r="C1254" i="55"/>
  <c r="C1255" i="55"/>
  <c r="C1256" i="55"/>
  <c r="C1257" i="55"/>
  <c r="C1258" i="55"/>
  <c r="C1259" i="55"/>
  <c r="C1260" i="55"/>
  <c r="C1261" i="55"/>
  <c r="C1262" i="55"/>
  <c r="C1263" i="55"/>
  <c r="C1264" i="55"/>
  <c r="C1265" i="55"/>
  <c r="C1266" i="55"/>
  <c r="C1267" i="55"/>
  <c r="C1268" i="55"/>
  <c r="C1269" i="55"/>
  <c r="C1270" i="55"/>
  <c r="C1271" i="55"/>
  <c r="C1272" i="55"/>
  <c r="C1273" i="55"/>
  <c r="C1274" i="55"/>
  <c r="C1275" i="55"/>
  <c r="C1276" i="55"/>
  <c r="C1277" i="55"/>
  <c r="C1278" i="55"/>
  <c r="C1279" i="55"/>
  <c r="C1280" i="55"/>
  <c r="C1281" i="55"/>
  <c r="C1282" i="55"/>
  <c r="C1283" i="55"/>
  <c r="C1284" i="55"/>
  <c r="C1285" i="55"/>
  <c r="C1286" i="55"/>
  <c r="C1287" i="55"/>
  <c r="C1288" i="55"/>
  <c r="C1289" i="55"/>
  <c r="C1290" i="55"/>
  <c r="C1291" i="55"/>
  <c r="C1292" i="55"/>
  <c r="C1293" i="55"/>
  <c r="C1294" i="55"/>
  <c r="C1295" i="55"/>
  <c r="C1296" i="55"/>
  <c r="C1297" i="55"/>
  <c r="C1298" i="55"/>
  <c r="C1299" i="55"/>
  <c r="C1300" i="55"/>
  <c r="C1301" i="55"/>
  <c r="C1302" i="55"/>
  <c r="C1303" i="55"/>
  <c r="C1304" i="55"/>
  <c r="C1305" i="55"/>
  <c r="C1306" i="55"/>
  <c r="C1307" i="55"/>
  <c r="C1308" i="55"/>
  <c r="C1309" i="55"/>
  <c r="C1310" i="55"/>
  <c r="C1311" i="55"/>
  <c r="C1312" i="55"/>
  <c r="C1313" i="55"/>
  <c r="C1314" i="55"/>
  <c r="C1315" i="55"/>
  <c r="C1316" i="55"/>
  <c r="C1317" i="55"/>
  <c r="C1318" i="55"/>
  <c r="C1319" i="55"/>
  <c r="C1320" i="55"/>
  <c r="C1321" i="55"/>
  <c r="C1322" i="55"/>
  <c r="C1323" i="55"/>
  <c r="C1324" i="55"/>
  <c r="C1325" i="55"/>
  <c r="C1326" i="55"/>
  <c r="C1327" i="55"/>
  <c r="C1328" i="55"/>
  <c r="C1329" i="55"/>
  <c r="C1330" i="55"/>
  <c r="C1331" i="55"/>
  <c r="C1332" i="55"/>
  <c r="C1333" i="55"/>
  <c r="C1334" i="55"/>
  <c r="C1335" i="55"/>
  <c r="C1336" i="55"/>
  <c r="C1337" i="55"/>
  <c r="C1338" i="55"/>
  <c r="C1339" i="55"/>
  <c r="C1340" i="55"/>
  <c r="C1341" i="55"/>
  <c r="C1342" i="55"/>
  <c r="C1343" i="55"/>
  <c r="C1344" i="55"/>
  <c r="C1345" i="55"/>
  <c r="C1346" i="55"/>
  <c r="C1347" i="55"/>
  <c r="C1348" i="55"/>
  <c r="C1349" i="55"/>
  <c r="C1350" i="55"/>
  <c r="C1351" i="55"/>
  <c r="C1352" i="55"/>
  <c r="C1353" i="55"/>
  <c r="C1354" i="55"/>
  <c r="C1355" i="55"/>
  <c r="C1356" i="55"/>
  <c r="C1357" i="55"/>
  <c r="C1358" i="55"/>
  <c r="C1359" i="55"/>
  <c r="C1360" i="55"/>
  <c r="C1361" i="55"/>
  <c r="C1362" i="55"/>
  <c r="C1363" i="55"/>
  <c r="C1364" i="55"/>
  <c r="C1365" i="55"/>
  <c r="C1366" i="55"/>
  <c r="C1367" i="55"/>
  <c r="C1368" i="55"/>
  <c r="C1369" i="55"/>
  <c r="C1370" i="55"/>
  <c r="C1371" i="55"/>
  <c r="C1372" i="55"/>
  <c r="C1373" i="55"/>
  <c r="C1374" i="55"/>
  <c r="C1375" i="55"/>
  <c r="C1376" i="55"/>
  <c r="C1377" i="55"/>
  <c r="C1378" i="55"/>
  <c r="C1379" i="55"/>
  <c r="C1380" i="55"/>
  <c r="C1381" i="55"/>
  <c r="C1382" i="55"/>
  <c r="C1383" i="55"/>
  <c r="C1384" i="55"/>
  <c r="C1385" i="55"/>
  <c r="C1386" i="55"/>
  <c r="C1387" i="55"/>
  <c r="C1388" i="55"/>
  <c r="C1389" i="55"/>
  <c r="C1390" i="55"/>
  <c r="C1391" i="55"/>
  <c r="C1392" i="55"/>
  <c r="C1393" i="55"/>
  <c r="C1394" i="55"/>
  <c r="C1395" i="55"/>
  <c r="C1396" i="55"/>
  <c r="C1397" i="55"/>
  <c r="C1398" i="55"/>
  <c r="C1399" i="55"/>
  <c r="C1400" i="55"/>
  <c r="C1401" i="55"/>
  <c r="C1402" i="55"/>
  <c r="C1403" i="55"/>
  <c r="C1404" i="55"/>
  <c r="C1405" i="55"/>
  <c r="C1406" i="55"/>
  <c r="C1407" i="55"/>
  <c r="C1408" i="55"/>
  <c r="C1409" i="55"/>
  <c r="C1410" i="55"/>
  <c r="C1411" i="55"/>
  <c r="C1412" i="55"/>
  <c r="C1413" i="55"/>
  <c r="C1414" i="55"/>
  <c r="C1415" i="55"/>
  <c r="C1416" i="55"/>
  <c r="C1417" i="55"/>
  <c r="C1418" i="55"/>
  <c r="C1419" i="55"/>
  <c r="C1420" i="55"/>
  <c r="C1421" i="55"/>
  <c r="C1422" i="55"/>
  <c r="C1423" i="55"/>
  <c r="C1424" i="55"/>
  <c r="C1425" i="55"/>
  <c r="C1426" i="55"/>
  <c r="C1427" i="55"/>
  <c r="C1428" i="55"/>
  <c r="C1429" i="55"/>
  <c r="C1430" i="55"/>
  <c r="C1431" i="55"/>
  <c r="C1432" i="55"/>
  <c r="C1433" i="55"/>
  <c r="C1434" i="55"/>
  <c r="C1435" i="55"/>
  <c r="C1436" i="55"/>
  <c r="C1437" i="55"/>
  <c r="C1438" i="55"/>
  <c r="C1439" i="55"/>
  <c r="C1440" i="55"/>
  <c r="C1441" i="55"/>
  <c r="C1442" i="55"/>
  <c r="C1443" i="55"/>
  <c r="C1444" i="55"/>
  <c r="C1445" i="55"/>
  <c r="C1446" i="55"/>
  <c r="C1447" i="55"/>
  <c r="C1448" i="55"/>
  <c r="C1449" i="55"/>
  <c r="C1450" i="55"/>
  <c r="C1451" i="55"/>
  <c r="C1452" i="55"/>
  <c r="C1453" i="55"/>
  <c r="C1454" i="55"/>
  <c r="C1455" i="55"/>
  <c r="C1456" i="55"/>
  <c r="C1457" i="55"/>
  <c r="C1458" i="55"/>
  <c r="C1459" i="55"/>
  <c r="C1460" i="55"/>
  <c r="C1461" i="55"/>
  <c r="C1462" i="55"/>
  <c r="C1463" i="55"/>
  <c r="C1464" i="55"/>
  <c r="C1465" i="55"/>
  <c r="C1466" i="55"/>
  <c r="C1467" i="55"/>
  <c r="C1468" i="55"/>
  <c r="C1469" i="55"/>
  <c r="C1470" i="55"/>
  <c r="C1471" i="55"/>
  <c r="C1472" i="55"/>
  <c r="C1473" i="55"/>
  <c r="C1474" i="55"/>
  <c r="C1475" i="55"/>
  <c r="C1476" i="55"/>
  <c r="C1477" i="55"/>
  <c r="C1478" i="55"/>
  <c r="C1479" i="55"/>
  <c r="C1480" i="55"/>
  <c r="C1481" i="55"/>
  <c r="C1482" i="55"/>
  <c r="C1483" i="55"/>
  <c r="C1484" i="55"/>
  <c r="C1485" i="55"/>
  <c r="C1486" i="55"/>
  <c r="C1487" i="55"/>
  <c r="C1488" i="55"/>
  <c r="C1489" i="55"/>
  <c r="C1490" i="55"/>
  <c r="C1491" i="55"/>
  <c r="C1492" i="55"/>
  <c r="C1493" i="55"/>
  <c r="C1494" i="55"/>
  <c r="C1495" i="55"/>
  <c r="C1496" i="55"/>
  <c r="C1497" i="55"/>
  <c r="C1498" i="55"/>
  <c r="C1499" i="55"/>
  <c r="C1500" i="55"/>
  <c r="C11" i="55"/>
  <c r="P12" i="55" a="1"/>
  <c r="P12" i="55"/>
  <c r="P13" i="55" a="1"/>
  <c r="P13" i="55"/>
  <c r="P14" i="55" a="1"/>
  <c r="P14" i="55"/>
  <c r="P15" i="55" a="1"/>
  <c r="P15" i="55"/>
  <c r="O12" i="55" a="1"/>
  <c r="O12" i="55"/>
  <c r="O13" i="55" a="1"/>
  <c r="O13" i="55"/>
  <c r="O14" i="55" a="1"/>
  <c r="O14" i="55"/>
  <c r="O15" i="55" a="1"/>
  <c r="O15" i="55"/>
  <c r="O16" i="55" a="1"/>
  <c r="O16" i="55"/>
  <c r="P16" i="55" a="1"/>
  <c r="P16" i="55"/>
  <c r="O17" i="55" a="1"/>
  <c r="O17" i="55"/>
  <c r="P17" i="55" a="1"/>
  <c r="P17" i="55"/>
  <c r="O18" i="55" a="1"/>
  <c r="O18" i="55"/>
  <c r="P18" i="55" a="1"/>
  <c r="P18" i="55"/>
  <c r="O19" i="55" a="1"/>
  <c r="O19" i="55"/>
  <c r="P19" i="55" a="1"/>
  <c r="P19" i="55"/>
  <c r="O20" i="55" a="1"/>
  <c r="O20" i="55"/>
  <c r="P20" i="55" a="1"/>
  <c r="P20" i="55"/>
  <c r="O21" i="55" a="1"/>
  <c r="O21" i="55"/>
  <c r="P21" i="55" a="1"/>
  <c r="P21" i="55"/>
  <c r="O22" i="55" a="1"/>
  <c r="O22" i="55"/>
  <c r="P22" i="55" a="1"/>
  <c r="P22" i="55"/>
  <c r="O23" i="55" a="1"/>
  <c r="O23" i="55"/>
  <c r="P23" i="55" a="1"/>
  <c r="P23" i="55"/>
  <c r="O24" i="55" a="1"/>
  <c r="O24" i="55"/>
  <c r="P24" i="55" a="1"/>
  <c r="P24" i="55"/>
  <c r="O25" i="55" a="1"/>
  <c r="O25" i="55"/>
  <c r="P25" i="55" a="1"/>
  <c r="P25" i="55"/>
  <c r="O26" i="55" a="1"/>
  <c r="O26" i="55"/>
  <c r="P26" i="55" a="1"/>
  <c r="P26" i="55"/>
  <c r="O27" i="55" a="1"/>
  <c r="O27" i="55"/>
  <c r="P27" i="55" a="1"/>
  <c r="P27" i="55"/>
  <c r="O28" i="55" a="1"/>
  <c r="O28" i="55"/>
  <c r="P28" i="55" a="1"/>
  <c r="P28" i="55"/>
  <c r="O29" i="55" a="1"/>
  <c r="O29" i="55"/>
  <c r="P29" i="55" a="1"/>
  <c r="P29" i="55"/>
  <c r="O30" i="55" a="1"/>
  <c r="O30" i="55"/>
  <c r="P30" i="55" a="1"/>
  <c r="P30" i="55"/>
  <c r="O31" i="55" a="1"/>
  <c r="O31" i="55"/>
  <c r="P31" i="55" a="1"/>
  <c r="P31" i="55"/>
  <c r="O32" i="55" a="1"/>
  <c r="O32" i="55"/>
  <c r="P32" i="55" a="1"/>
  <c r="P32" i="55"/>
  <c r="O33" i="55" a="1"/>
  <c r="O33" i="55"/>
  <c r="P33" i="55" a="1"/>
  <c r="P33" i="55"/>
  <c r="O34" i="55" a="1"/>
  <c r="O34" i="55"/>
  <c r="P34" i="55" a="1"/>
  <c r="P34" i="55"/>
  <c r="O35" i="55" a="1"/>
  <c r="O35" i="55"/>
  <c r="P35" i="55" a="1"/>
  <c r="P35" i="55"/>
  <c r="O36" i="55" a="1"/>
  <c r="O36" i="55"/>
  <c r="P36" i="55" a="1"/>
  <c r="P36" i="55"/>
  <c r="O37" i="55" a="1"/>
  <c r="O37" i="55"/>
  <c r="P37" i="55" a="1"/>
  <c r="P37" i="55"/>
  <c r="O38" i="55" a="1"/>
  <c r="O38" i="55"/>
  <c r="P38" i="55" a="1"/>
  <c r="P38" i="55"/>
  <c r="O39" i="55" a="1"/>
  <c r="O39" i="55"/>
  <c r="P39" i="55" a="1"/>
  <c r="P39" i="55"/>
  <c r="O40" i="55" a="1"/>
  <c r="O40" i="55"/>
  <c r="P40" i="55" a="1"/>
  <c r="P40" i="55"/>
  <c r="O41" i="55" a="1"/>
  <c r="O41" i="55"/>
  <c r="P41" i="55" a="1"/>
  <c r="P41" i="55"/>
  <c r="O42" i="55" a="1"/>
  <c r="O42" i="55"/>
  <c r="P42" i="55" a="1"/>
  <c r="P42" i="55"/>
  <c r="O43" i="55" a="1"/>
  <c r="O43" i="55"/>
  <c r="P43" i="55" a="1"/>
  <c r="P43" i="55"/>
  <c r="O44" i="55" a="1"/>
  <c r="O44" i="55"/>
  <c r="P44" i="55" a="1"/>
  <c r="P44" i="55"/>
  <c r="O45" i="55" a="1"/>
  <c r="O45" i="55"/>
  <c r="P45" i="55" a="1"/>
  <c r="P45" i="55"/>
  <c r="O46" i="55" a="1"/>
  <c r="O46" i="55"/>
  <c r="P46" i="55" a="1"/>
  <c r="P46" i="55"/>
  <c r="O47" i="55" a="1"/>
  <c r="O47" i="55"/>
  <c r="P47" i="55" a="1"/>
  <c r="P47" i="55"/>
  <c r="O48" i="55" a="1"/>
  <c r="O48" i="55"/>
  <c r="P48" i="55" a="1"/>
  <c r="P48" i="55"/>
  <c r="O49" i="55" a="1"/>
  <c r="O49" i="55"/>
  <c r="P49" i="55" a="1"/>
  <c r="P49" i="55"/>
  <c r="O50" i="55" a="1"/>
  <c r="O50" i="55"/>
  <c r="P50" i="55" a="1"/>
  <c r="P50" i="55"/>
  <c r="O51" i="55" a="1"/>
  <c r="O51" i="55"/>
  <c r="P51" i="55" a="1"/>
  <c r="P51" i="55"/>
  <c r="O52" i="55" a="1"/>
  <c r="O52" i="55"/>
  <c r="P52" i="55" a="1"/>
  <c r="P52" i="55"/>
  <c r="O53" i="55" a="1"/>
  <c r="O53" i="55"/>
  <c r="P53" i="55" a="1"/>
  <c r="P53" i="55"/>
  <c r="O54" i="55" a="1"/>
  <c r="O54" i="55"/>
  <c r="P54" i="55" a="1"/>
  <c r="P54" i="55"/>
  <c r="O55" i="55" a="1"/>
  <c r="O55" i="55"/>
  <c r="P55" i="55" a="1"/>
  <c r="P55" i="55"/>
  <c r="O56" i="55" a="1"/>
  <c r="O56" i="55"/>
  <c r="P56" i="55" a="1"/>
  <c r="P56" i="55"/>
  <c r="O57" i="55" a="1"/>
  <c r="O57" i="55"/>
  <c r="P57" i="55" a="1"/>
  <c r="P57" i="55"/>
  <c r="O58" i="55" a="1"/>
  <c r="O58" i="55"/>
  <c r="P58" i="55" a="1"/>
  <c r="P58" i="55"/>
  <c r="O59" i="55" a="1"/>
  <c r="O59" i="55"/>
  <c r="P59" i="55" a="1"/>
  <c r="P59" i="55"/>
  <c r="O60" i="55" a="1"/>
  <c r="O60" i="55"/>
  <c r="P60" i="55" a="1"/>
  <c r="P60" i="55"/>
  <c r="O61" i="55" a="1"/>
  <c r="O61" i="55"/>
  <c r="P61" i="55" a="1"/>
  <c r="P61" i="55"/>
  <c r="O62" i="55" a="1"/>
  <c r="O62" i="55"/>
  <c r="P62" i="55" a="1"/>
  <c r="P62" i="55"/>
  <c r="O63" i="55" a="1"/>
  <c r="O63" i="55"/>
  <c r="P63" i="55" a="1"/>
  <c r="P63" i="55"/>
  <c r="O64" i="55" a="1"/>
  <c r="O64" i="55"/>
  <c r="P64" i="55" a="1"/>
  <c r="P64" i="55"/>
  <c r="O65" i="55" a="1"/>
  <c r="O65" i="55"/>
  <c r="P65" i="55" a="1"/>
  <c r="P65" i="55"/>
  <c r="O66" i="55" a="1"/>
  <c r="O66" i="55"/>
  <c r="P66" i="55" a="1"/>
  <c r="P66" i="55"/>
  <c r="O67" i="55" a="1"/>
  <c r="O67" i="55"/>
  <c r="P67" i="55" a="1"/>
  <c r="P67" i="55"/>
  <c r="O68" i="55" a="1"/>
  <c r="O68" i="55"/>
  <c r="P68" i="55" a="1"/>
  <c r="P68" i="55"/>
  <c r="O69" i="55" a="1"/>
  <c r="O69" i="55"/>
  <c r="P69" i="55" a="1"/>
  <c r="P69" i="55"/>
  <c r="O70" i="55" a="1"/>
  <c r="O70" i="55"/>
  <c r="P70" i="55" a="1"/>
  <c r="P70" i="55"/>
  <c r="O71" i="55" a="1"/>
  <c r="O71" i="55"/>
  <c r="P71" i="55" a="1"/>
  <c r="P71" i="55"/>
  <c r="O72" i="55" a="1"/>
  <c r="O72" i="55"/>
  <c r="P72" i="55" a="1"/>
  <c r="P72" i="55"/>
  <c r="O73" i="55" a="1"/>
  <c r="O73" i="55"/>
  <c r="P73" i="55" a="1"/>
  <c r="P73" i="55"/>
  <c r="O74" i="55" a="1"/>
  <c r="O74" i="55"/>
  <c r="P74" i="55" a="1"/>
  <c r="P74" i="55"/>
  <c r="O75" i="55" a="1"/>
  <c r="O75" i="55"/>
  <c r="P75" i="55" a="1"/>
  <c r="P75" i="55"/>
  <c r="O76" i="55" a="1"/>
  <c r="O76" i="55"/>
  <c r="P76" i="55" a="1"/>
  <c r="P76" i="55"/>
  <c r="O77" i="55" a="1"/>
  <c r="O77" i="55"/>
  <c r="P77" i="55" a="1"/>
  <c r="P77" i="55"/>
  <c r="O78" i="55" a="1"/>
  <c r="O78" i="55"/>
  <c r="P78" i="55" a="1"/>
  <c r="P78" i="55"/>
  <c r="O79" i="55" a="1"/>
  <c r="O79" i="55"/>
  <c r="P79" i="55" a="1"/>
  <c r="P79" i="55"/>
  <c r="O80" i="55" a="1"/>
  <c r="O80" i="55"/>
  <c r="P80" i="55" a="1"/>
  <c r="P80" i="55"/>
  <c r="O81" i="55" a="1"/>
  <c r="O81" i="55"/>
  <c r="P81" i="55" a="1"/>
  <c r="P81" i="55"/>
  <c r="O82" i="55" a="1"/>
  <c r="O82" i="55"/>
  <c r="P82" i="55" a="1"/>
  <c r="P82" i="55"/>
  <c r="O83" i="55" a="1"/>
  <c r="O83" i="55"/>
  <c r="P83" i="55" a="1"/>
  <c r="P83" i="55"/>
  <c r="O84" i="55" a="1"/>
  <c r="O84" i="55"/>
  <c r="P84" i="55" a="1"/>
  <c r="P84" i="55"/>
  <c r="O85" i="55" a="1"/>
  <c r="O85" i="55"/>
  <c r="P85" i="55" a="1"/>
  <c r="P85" i="55"/>
  <c r="O86" i="55" a="1"/>
  <c r="O86" i="55"/>
  <c r="P86" i="55" a="1"/>
  <c r="P86" i="55"/>
  <c r="O87" i="55" a="1"/>
  <c r="O87" i="55"/>
  <c r="P87" i="55" a="1"/>
  <c r="P87" i="55"/>
  <c r="O88" i="55" a="1"/>
  <c r="O88" i="55"/>
  <c r="P88" i="55" a="1"/>
  <c r="P88" i="55"/>
  <c r="O89" i="55" a="1"/>
  <c r="O89" i="55"/>
  <c r="P89" i="55" a="1"/>
  <c r="P89" i="55"/>
  <c r="O90" i="55" a="1"/>
  <c r="O90" i="55"/>
  <c r="P90" i="55" a="1"/>
  <c r="P90" i="55"/>
  <c r="O91" i="55" a="1"/>
  <c r="O91" i="55"/>
  <c r="P91" i="55" a="1"/>
  <c r="P91" i="55"/>
  <c r="O92" i="55" a="1"/>
  <c r="O92" i="55"/>
  <c r="P92" i="55" a="1"/>
  <c r="P92" i="55"/>
  <c r="O93" i="55" a="1"/>
  <c r="O93" i="55"/>
  <c r="P93" i="55" a="1"/>
  <c r="P93" i="55"/>
  <c r="O94" i="55" a="1"/>
  <c r="O94" i="55"/>
  <c r="P94" i="55" a="1"/>
  <c r="P94" i="55"/>
  <c r="O95" i="55" a="1"/>
  <c r="O95" i="55"/>
  <c r="P95" i="55" a="1"/>
  <c r="P95" i="55"/>
  <c r="O96" i="55" a="1"/>
  <c r="O96" i="55"/>
  <c r="P96" i="55" a="1"/>
  <c r="P96" i="55"/>
  <c r="O97" i="55" a="1"/>
  <c r="O97" i="55"/>
  <c r="P97" i="55" a="1"/>
  <c r="P97" i="55"/>
  <c r="O98" i="55" a="1"/>
  <c r="O98" i="55"/>
  <c r="P98" i="55" a="1"/>
  <c r="P98" i="55"/>
  <c r="O99" i="55" a="1"/>
  <c r="O99" i="55"/>
  <c r="P99" i="55" a="1"/>
  <c r="P99" i="55"/>
  <c r="O100" i="55" a="1"/>
  <c r="O100" i="55"/>
  <c r="P100" i="55" a="1"/>
  <c r="P100" i="55"/>
  <c r="O101" i="55" a="1"/>
  <c r="O101" i="55"/>
  <c r="P101" i="55" a="1"/>
  <c r="P101" i="55"/>
  <c r="O102" i="55" a="1"/>
  <c r="O102" i="55"/>
  <c r="P102" i="55" a="1"/>
  <c r="P102" i="55"/>
  <c r="O103" i="55" a="1"/>
  <c r="O103" i="55"/>
  <c r="P103" i="55" a="1"/>
  <c r="P103" i="55"/>
  <c r="O104" i="55" a="1"/>
  <c r="O104" i="55"/>
  <c r="P104" i="55" a="1"/>
  <c r="P104" i="55"/>
  <c r="O105" i="55" a="1"/>
  <c r="O105" i="55"/>
  <c r="P105" i="55" a="1"/>
  <c r="P105" i="55"/>
  <c r="O106" i="55" a="1"/>
  <c r="O106" i="55"/>
  <c r="P106" i="55" a="1"/>
  <c r="P106" i="55"/>
  <c r="O107" i="55" a="1"/>
  <c r="O107" i="55"/>
  <c r="P107" i="55" a="1"/>
  <c r="P107" i="55"/>
  <c r="O108" i="55" a="1"/>
  <c r="O108" i="55"/>
  <c r="P108" i="55" a="1"/>
  <c r="P108" i="55"/>
  <c r="O109" i="55" a="1"/>
  <c r="O109" i="55"/>
  <c r="P109" i="55" a="1"/>
  <c r="P109" i="55"/>
  <c r="O110" i="55" a="1"/>
  <c r="O110" i="55"/>
  <c r="P110" i="55" a="1"/>
  <c r="P110" i="55"/>
  <c r="O111" i="55" a="1"/>
  <c r="O111" i="55"/>
  <c r="P111" i="55" a="1"/>
  <c r="P111" i="55"/>
  <c r="O112" i="55" a="1"/>
  <c r="O112" i="55"/>
  <c r="P112" i="55" a="1"/>
  <c r="P112" i="55"/>
  <c r="O113" i="55" a="1"/>
  <c r="O113" i="55"/>
  <c r="P113" i="55" a="1"/>
  <c r="P113" i="55"/>
  <c r="O114" i="55" a="1"/>
  <c r="O114" i="55"/>
  <c r="P114" i="55" a="1"/>
  <c r="P114" i="55"/>
  <c r="O115" i="55" a="1"/>
  <c r="O115" i="55"/>
  <c r="P115" i="55" a="1"/>
  <c r="P115" i="55"/>
  <c r="O116" i="55" a="1"/>
  <c r="O116" i="55"/>
  <c r="P116" i="55" a="1"/>
  <c r="P116" i="55"/>
  <c r="O117" i="55" a="1"/>
  <c r="O117" i="55"/>
  <c r="P117" i="55" a="1"/>
  <c r="P117" i="55"/>
  <c r="O118" i="55" a="1"/>
  <c r="O118" i="55"/>
  <c r="P118" i="55" a="1"/>
  <c r="P118" i="55"/>
  <c r="O119" i="55" a="1"/>
  <c r="O119" i="55"/>
  <c r="P119" i="55" a="1"/>
  <c r="P119" i="55"/>
  <c r="O120" i="55" a="1"/>
  <c r="O120" i="55"/>
  <c r="P120" i="55" a="1"/>
  <c r="P120" i="55"/>
  <c r="O121" i="55" a="1"/>
  <c r="O121" i="55"/>
  <c r="P121" i="55" a="1"/>
  <c r="P121" i="55"/>
  <c r="O122" i="55" a="1"/>
  <c r="O122" i="55"/>
  <c r="P122" i="55" a="1"/>
  <c r="P122" i="55"/>
  <c r="O123" i="55" a="1"/>
  <c r="O123" i="55"/>
  <c r="P123" i="55" a="1"/>
  <c r="P123" i="55"/>
  <c r="O124" i="55" a="1"/>
  <c r="O124" i="55"/>
  <c r="P124" i="55" a="1"/>
  <c r="P124" i="55"/>
  <c r="O125" i="55" a="1"/>
  <c r="O125" i="55"/>
  <c r="P125" i="55" a="1"/>
  <c r="P125" i="55"/>
  <c r="O126" i="55" a="1"/>
  <c r="O126" i="55"/>
  <c r="P126" i="55" a="1"/>
  <c r="P126" i="55"/>
  <c r="O127" i="55" a="1"/>
  <c r="O127" i="55"/>
  <c r="P127" i="55" a="1"/>
  <c r="P127" i="55"/>
  <c r="O128" i="55" a="1"/>
  <c r="O128" i="55"/>
  <c r="P128" i="55" a="1"/>
  <c r="P128" i="55"/>
  <c r="O129" i="55" a="1"/>
  <c r="O129" i="55"/>
  <c r="P129" i="55" a="1"/>
  <c r="P129" i="55"/>
  <c r="O130" i="55" a="1"/>
  <c r="O130" i="55"/>
  <c r="P130" i="55" a="1"/>
  <c r="P130" i="55"/>
  <c r="O131" i="55" a="1"/>
  <c r="O131" i="55"/>
  <c r="P131" i="55" a="1"/>
  <c r="P131" i="55"/>
  <c r="O132" i="55" a="1"/>
  <c r="O132" i="55"/>
  <c r="P132" i="55" a="1"/>
  <c r="P132" i="55"/>
  <c r="O133" i="55" a="1"/>
  <c r="O133" i="55"/>
  <c r="P133" i="55" a="1"/>
  <c r="P133" i="55"/>
  <c r="O134" i="55" a="1"/>
  <c r="O134" i="55"/>
  <c r="P134" i="55" a="1"/>
  <c r="P134" i="55"/>
  <c r="O135" i="55" a="1"/>
  <c r="O135" i="55"/>
  <c r="P135" i="55" a="1"/>
  <c r="P135" i="55"/>
  <c r="O136" i="55" a="1"/>
  <c r="O136" i="55"/>
  <c r="P136" i="55" a="1"/>
  <c r="P136" i="55"/>
  <c r="O137" i="55" a="1"/>
  <c r="O137" i="55"/>
  <c r="P137" i="55" a="1"/>
  <c r="P137" i="55"/>
  <c r="O138" i="55" a="1"/>
  <c r="O138" i="55"/>
  <c r="P138" i="55" a="1"/>
  <c r="P138" i="55"/>
  <c r="O139" i="55" a="1"/>
  <c r="O139" i="55"/>
  <c r="P139" i="55" a="1"/>
  <c r="P139" i="55"/>
  <c r="O140" i="55" a="1"/>
  <c r="O140" i="55"/>
  <c r="P140" i="55" a="1"/>
  <c r="P140" i="55"/>
  <c r="O141" i="55" a="1"/>
  <c r="O141" i="55"/>
  <c r="P141" i="55" a="1"/>
  <c r="P141" i="55"/>
  <c r="O142" i="55" a="1"/>
  <c r="O142" i="55"/>
  <c r="P142" i="55" a="1"/>
  <c r="P142" i="55"/>
  <c r="O143" i="55" a="1"/>
  <c r="O143" i="55"/>
  <c r="P143" i="55" a="1"/>
  <c r="P143" i="55"/>
  <c r="O144" i="55" a="1"/>
  <c r="O144" i="55"/>
  <c r="P144" i="55" a="1"/>
  <c r="P144" i="55"/>
  <c r="O145" i="55" a="1"/>
  <c r="O145" i="55"/>
  <c r="P145" i="55" a="1"/>
  <c r="P145" i="55"/>
  <c r="O146" i="55" a="1"/>
  <c r="O146" i="55"/>
  <c r="P146" i="55" a="1"/>
  <c r="P146" i="55"/>
  <c r="O147" i="55" a="1"/>
  <c r="O147" i="55"/>
  <c r="P147" i="55" a="1"/>
  <c r="P147" i="55"/>
  <c r="O148" i="55" a="1"/>
  <c r="O148" i="55"/>
  <c r="P148" i="55" a="1"/>
  <c r="P148" i="55"/>
  <c r="O149" i="55" a="1"/>
  <c r="O149" i="55"/>
  <c r="P149" i="55" a="1"/>
  <c r="P149" i="55"/>
  <c r="O150" i="55" a="1"/>
  <c r="O150" i="55"/>
  <c r="P150" i="55" a="1"/>
  <c r="P150" i="55"/>
  <c r="O151" i="55" a="1"/>
  <c r="O151" i="55"/>
  <c r="P151" i="55" a="1"/>
  <c r="P151" i="55"/>
  <c r="O152" i="55" a="1"/>
  <c r="O152" i="55"/>
  <c r="P152" i="55" a="1"/>
  <c r="P152" i="55"/>
  <c r="O153" i="55" a="1"/>
  <c r="O153" i="55"/>
  <c r="P153" i="55" a="1"/>
  <c r="P153" i="55"/>
  <c r="O154" i="55" a="1"/>
  <c r="O154" i="55"/>
  <c r="P154" i="55" a="1"/>
  <c r="P154" i="55"/>
  <c r="O155" i="55" a="1"/>
  <c r="O155" i="55"/>
  <c r="P155" i="55" a="1"/>
  <c r="P155" i="55"/>
  <c r="O156" i="55" a="1"/>
  <c r="O156" i="55"/>
  <c r="P156" i="55" a="1"/>
  <c r="P156" i="55"/>
  <c r="O157" i="55" a="1"/>
  <c r="O157" i="55"/>
  <c r="P157" i="55" a="1"/>
  <c r="P157" i="55"/>
  <c r="O158" i="55" a="1"/>
  <c r="O158" i="55"/>
  <c r="P158" i="55" a="1"/>
  <c r="P158" i="55"/>
  <c r="O159" i="55" a="1"/>
  <c r="O159" i="55"/>
  <c r="P159" i="55" a="1"/>
  <c r="P159" i="55"/>
  <c r="O160" i="55" a="1"/>
  <c r="O160" i="55"/>
  <c r="P160" i="55" a="1"/>
  <c r="P160" i="55"/>
  <c r="O161" i="55" a="1"/>
  <c r="O161" i="55"/>
  <c r="P161" i="55" a="1"/>
  <c r="P161" i="55"/>
  <c r="O162" i="55" a="1"/>
  <c r="O162" i="55"/>
  <c r="P162" i="55" a="1"/>
  <c r="P162" i="55"/>
  <c r="O163" i="55" a="1"/>
  <c r="O163" i="55"/>
  <c r="P163" i="55" a="1"/>
  <c r="P163" i="55"/>
  <c r="O164" i="55" a="1"/>
  <c r="O164" i="55"/>
  <c r="P164" i="55" a="1"/>
  <c r="P164" i="55"/>
  <c r="O165" i="55" a="1"/>
  <c r="O165" i="55"/>
  <c r="P165" i="55" a="1"/>
  <c r="P165" i="55"/>
  <c r="O166" i="55" a="1"/>
  <c r="O166" i="55"/>
  <c r="P166" i="55" a="1"/>
  <c r="P166" i="55"/>
  <c r="O167" i="55" a="1"/>
  <c r="O167" i="55"/>
  <c r="P167" i="55" a="1"/>
  <c r="P167" i="55"/>
  <c r="O168" i="55" a="1"/>
  <c r="O168" i="55"/>
  <c r="P168" i="55" a="1"/>
  <c r="P168" i="55"/>
  <c r="O169" i="55" a="1"/>
  <c r="O169" i="55"/>
  <c r="P169" i="55" a="1"/>
  <c r="P169" i="55"/>
  <c r="O170" i="55" a="1"/>
  <c r="O170" i="55"/>
  <c r="P170" i="55" a="1"/>
  <c r="P170" i="55"/>
  <c r="O171" i="55" a="1"/>
  <c r="O171" i="55"/>
  <c r="P171" i="55" a="1"/>
  <c r="P171" i="55"/>
  <c r="O172" i="55" a="1"/>
  <c r="O172" i="55"/>
  <c r="P172" i="55" a="1"/>
  <c r="P172" i="55"/>
  <c r="O173" i="55" a="1"/>
  <c r="O173" i="55"/>
  <c r="P173" i="55" a="1"/>
  <c r="P173" i="55"/>
  <c r="O174" i="55" a="1"/>
  <c r="O174" i="55"/>
  <c r="P174" i="55" a="1"/>
  <c r="P174" i="55"/>
  <c r="O175" i="55" a="1"/>
  <c r="O175" i="55"/>
  <c r="P175" i="55" a="1"/>
  <c r="P175" i="55"/>
  <c r="O176" i="55" a="1"/>
  <c r="O176" i="55"/>
  <c r="P176" i="55" a="1"/>
  <c r="P176" i="55"/>
  <c r="O177" i="55" a="1"/>
  <c r="O177" i="55"/>
  <c r="P177" i="55" a="1"/>
  <c r="P177" i="55"/>
  <c r="O178" i="55" a="1"/>
  <c r="O178" i="55"/>
  <c r="P178" i="55" a="1"/>
  <c r="P178" i="55"/>
  <c r="O179" i="55" a="1"/>
  <c r="O179" i="55"/>
  <c r="P179" i="55" a="1"/>
  <c r="P179" i="55"/>
  <c r="O180" i="55" a="1"/>
  <c r="O180" i="55"/>
  <c r="P180" i="55" a="1"/>
  <c r="P180" i="55"/>
  <c r="O181" i="55" a="1"/>
  <c r="O181" i="55"/>
  <c r="P181" i="55" a="1"/>
  <c r="P181" i="55"/>
  <c r="O182" i="55" a="1"/>
  <c r="O182" i="55"/>
  <c r="P182" i="55" a="1"/>
  <c r="P182" i="55"/>
  <c r="O183" i="55" a="1"/>
  <c r="O183" i="55"/>
  <c r="P183" i="55" a="1"/>
  <c r="P183" i="55"/>
  <c r="O184" i="55" a="1"/>
  <c r="O184" i="55"/>
  <c r="P184" i="55" a="1"/>
  <c r="P184" i="55"/>
  <c r="O185" i="55" a="1"/>
  <c r="O185" i="55"/>
  <c r="P185" i="55" a="1"/>
  <c r="P185" i="55"/>
  <c r="O186" i="55" a="1"/>
  <c r="O186" i="55"/>
  <c r="P186" i="55" a="1"/>
  <c r="P186" i="55"/>
  <c r="O187" i="55" a="1"/>
  <c r="O187" i="55"/>
  <c r="P187" i="55" a="1"/>
  <c r="P187" i="55"/>
  <c r="O188" i="55" a="1"/>
  <c r="O188" i="55"/>
  <c r="P188" i="55" a="1"/>
  <c r="P188" i="55"/>
  <c r="O189" i="55" a="1"/>
  <c r="O189" i="55"/>
  <c r="P189" i="55" a="1"/>
  <c r="P189" i="55"/>
  <c r="O190" i="55" a="1"/>
  <c r="O190" i="55"/>
  <c r="P190" i="55" a="1"/>
  <c r="P190" i="55"/>
  <c r="O191" i="55" a="1"/>
  <c r="O191" i="55"/>
  <c r="P191" i="55" a="1"/>
  <c r="P191" i="55"/>
  <c r="O192" i="55" a="1"/>
  <c r="O192" i="55"/>
  <c r="P192" i="55" a="1"/>
  <c r="P192" i="55"/>
  <c r="O193" i="55" a="1"/>
  <c r="O193" i="55"/>
  <c r="P193" i="55" a="1"/>
  <c r="P193" i="55"/>
  <c r="O194" i="55" a="1"/>
  <c r="O194" i="55"/>
  <c r="P194" i="55" a="1"/>
  <c r="P194" i="55"/>
  <c r="O195" i="55" a="1"/>
  <c r="O195" i="55"/>
  <c r="P195" i="55" a="1"/>
  <c r="P195" i="55"/>
  <c r="O196" i="55" a="1"/>
  <c r="O196" i="55"/>
  <c r="P196" i="55" a="1"/>
  <c r="P196" i="55"/>
  <c r="O197" i="55" a="1"/>
  <c r="O197" i="55"/>
  <c r="P197" i="55" a="1"/>
  <c r="P197" i="55"/>
  <c r="O198" i="55" a="1"/>
  <c r="O198" i="55"/>
  <c r="P198" i="55" a="1"/>
  <c r="P198" i="55"/>
  <c r="O199" i="55" a="1"/>
  <c r="O199" i="55"/>
  <c r="P199" i="55" a="1"/>
  <c r="P199" i="55"/>
  <c r="O200" i="55" a="1"/>
  <c r="O200" i="55"/>
  <c r="P200" i="55" a="1"/>
  <c r="P200" i="55"/>
  <c r="O201" i="55" a="1"/>
  <c r="O201" i="55"/>
  <c r="P201" i="55" a="1"/>
  <c r="P201" i="55"/>
  <c r="O202" i="55" a="1"/>
  <c r="O202" i="55"/>
  <c r="P202" i="55" a="1"/>
  <c r="P202" i="55"/>
  <c r="O203" i="55" a="1"/>
  <c r="O203" i="55"/>
  <c r="P203" i="55" a="1"/>
  <c r="P203" i="55"/>
  <c r="O204" i="55" a="1"/>
  <c r="O204" i="55"/>
  <c r="P204" i="55" a="1"/>
  <c r="P204" i="55"/>
  <c r="O205" i="55" a="1"/>
  <c r="O205" i="55"/>
  <c r="P205" i="55" a="1"/>
  <c r="P205" i="55"/>
  <c r="O206" i="55" a="1"/>
  <c r="O206" i="55"/>
  <c r="P206" i="55" a="1"/>
  <c r="P206" i="55"/>
  <c r="O207" i="55" a="1"/>
  <c r="O207" i="55"/>
  <c r="P207" i="55" a="1"/>
  <c r="P207" i="55"/>
  <c r="O208" i="55" a="1"/>
  <c r="O208" i="55"/>
  <c r="P208" i="55" a="1"/>
  <c r="P208" i="55"/>
  <c r="O209" i="55" a="1"/>
  <c r="O209" i="55"/>
  <c r="P209" i="55" a="1"/>
  <c r="P209" i="55"/>
  <c r="O210" i="55" a="1"/>
  <c r="O210" i="55"/>
  <c r="P210" i="55" a="1"/>
  <c r="P210" i="55"/>
  <c r="O211" i="55" a="1"/>
  <c r="O211" i="55"/>
  <c r="P211" i="55" a="1"/>
  <c r="P211" i="55"/>
  <c r="O212" i="55" a="1"/>
  <c r="O212" i="55"/>
  <c r="P212" i="55" a="1"/>
  <c r="P212" i="55"/>
  <c r="O213" i="55" a="1"/>
  <c r="O213" i="55"/>
  <c r="P213" i="55" a="1"/>
  <c r="P213" i="55"/>
  <c r="O214" i="55" a="1"/>
  <c r="O214" i="55"/>
  <c r="P214" i="55" a="1"/>
  <c r="P214" i="55"/>
  <c r="O215" i="55" a="1"/>
  <c r="O215" i="55"/>
  <c r="P215" i="55" a="1"/>
  <c r="P215" i="55"/>
  <c r="O216" i="55" a="1"/>
  <c r="O216" i="55"/>
  <c r="P216" i="55" a="1"/>
  <c r="P216" i="55"/>
  <c r="O217" i="55" a="1"/>
  <c r="O217" i="55"/>
  <c r="P217" i="55" a="1"/>
  <c r="P217" i="55"/>
  <c r="O218" i="55" a="1"/>
  <c r="O218" i="55"/>
  <c r="P218" i="55" a="1"/>
  <c r="P218" i="55"/>
  <c r="O219" i="55" a="1"/>
  <c r="O219" i="55"/>
  <c r="P219" i="55" a="1"/>
  <c r="P219" i="55"/>
  <c r="O220" i="55" a="1"/>
  <c r="O220" i="55"/>
  <c r="P220" i="55" a="1"/>
  <c r="P220" i="55"/>
  <c r="O221" i="55" a="1"/>
  <c r="O221" i="55"/>
  <c r="P221" i="55" a="1"/>
  <c r="P221" i="55"/>
  <c r="O222" i="55" a="1"/>
  <c r="O222" i="55"/>
  <c r="P222" i="55" a="1"/>
  <c r="P222" i="55"/>
  <c r="O223" i="55" a="1"/>
  <c r="O223" i="55"/>
  <c r="P223" i="55" a="1"/>
  <c r="P223" i="55"/>
  <c r="O224" i="55" a="1"/>
  <c r="O224" i="55"/>
  <c r="P224" i="55" a="1"/>
  <c r="P224" i="55"/>
  <c r="O225" i="55" a="1"/>
  <c r="O225" i="55"/>
  <c r="P225" i="55" a="1"/>
  <c r="P225" i="55"/>
  <c r="O226" i="55" a="1"/>
  <c r="O226" i="55"/>
  <c r="P226" i="55" a="1"/>
  <c r="P226" i="55"/>
  <c r="O227" i="55" a="1"/>
  <c r="O227" i="55"/>
  <c r="P227" i="55" a="1"/>
  <c r="P227" i="55"/>
  <c r="O228" i="55" a="1"/>
  <c r="O228" i="55"/>
  <c r="P228" i="55" a="1"/>
  <c r="P228" i="55"/>
  <c r="O229" i="55" a="1"/>
  <c r="O229" i="55"/>
  <c r="P229" i="55" a="1"/>
  <c r="P229" i="55"/>
  <c r="O230" i="55" a="1"/>
  <c r="O230" i="55"/>
  <c r="P230" i="55" a="1"/>
  <c r="P230" i="55"/>
  <c r="O231" i="55" a="1"/>
  <c r="O231" i="55"/>
  <c r="P231" i="55" a="1"/>
  <c r="P231" i="55"/>
  <c r="O232" i="55" a="1"/>
  <c r="O232" i="55"/>
  <c r="P232" i="55" a="1"/>
  <c r="P232" i="55"/>
  <c r="O233" i="55" a="1"/>
  <c r="O233" i="55"/>
  <c r="P233" i="55" a="1"/>
  <c r="P233" i="55"/>
  <c r="O234" i="55" a="1"/>
  <c r="O234" i="55"/>
  <c r="P234" i="55" a="1"/>
  <c r="P234" i="55"/>
  <c r="O235" i="55" a="1"/>
  <c r="O235" i="55"/>
  <c r="P235" i="55" a="1"/>
  <c r="P235" i="55"/>
  <c r="O236" i="55" a="1"/>
  <c r="O236" i="55"/>
  <c r="P236" i="55" a="1"/>
  <c r="P236" i="55"/>
  <c r="O237" i="55" a="1"/>
  <c r="O237" i="55"/>
  <c r="P237" i="55" a="1"/>
  <c r="P237" i="55"/>
  <c r="O238" i="55" a="1"/>
  <c r="O238" i="55"/>
  <c r="P238" i="55" a="1"/>
  <c r="P238" i="55"/>
  <c r="O239" i="55" a="1"/>
  <c r="O239" i="55"/>
  <c r="P239" i="55" a="1"/>
  <c r="P239" i="55"/>
  <c r="O240" i="55" a="1"/>
  <c r="O240" i="55"/>
  <c r="P240" i="55" a="1"/>
  <c r="P240" i="55"/>
  <c r="O241" i="55" a="1"/>
  <c r="O241" i="55"/>
  <c r="P241" i="55" a="1"/>
  <c r="P241" i="55"/>
  <c r="O242" i="55" a="1"/>
  <c r="O242" i="55"/>
  <c r="P242" i="55" a="1"/>
  <c r="P242" i="55"/>
  <c r="O243" i="55" a="1"/>
  <c r="O243" i="55"/>
  <c r="P243" i="55" a="1"/>
  <c r="P243" i="55"/>
  <c r="O244" i="55" a="1"/>
  <c r="O244" i="55"/>
  <c r="P244" i="55" a="1"/>
  <c r="P244" i="55"/>
  <c r="O245" i="55" a="1"/>
  <c r="O245" i="55"/>
  <c r="P245" i="55" a="1"/>
  <c r="P245" i="55"/>
  <c r="O246" i="55" a="1"/>
  <c r="O246" i="55"/>
  <c r="P246" i="55" a="1"/>
  <c r="P246" i="55"/>
  <c r="O247" i="55" a="1"/>
  <c r="O247" i="55"/>
  <c r="P247" i="55" a="1"/>
  <c r="P247" i="55"/>
  <c r="O248" i="55" a="1"/>
  <c r="O248" i="55"/>
  <c r="P248" i="55" a="1"/>
  <c r="P248" i="55"/>
  <c r="O249" i="55" a="1"/>
  <c r="O249" i="55"/>
  <c r="P249" i="55" a="1"/>
  <c r="P249" i="55"/>
  <c r="O250" i="55" a="1"/>
  <c r="O250" i="55"/>
  <c r="P250" i="55" a="1"/>
  <c r="P250" i="55"/>
  <c r="O251" i="55" a="1"/>
  <c r="O251" i="55"/>
  <c r="P251" i="55" a="1"/>
  <c r="P251" i="55"/>
  <c r="O252" i="55" a="1"/>
  <c r="O252" i="55"/>
  <c r="P252" i="55" a="1"/>
  <c r="P252" i="55"/>
  <c r="O253" i="55" a="1"/>
  <c r="O253" i="55"/>
  <c r="P253" i="55" a="1"/>
  <c r="P253" i="55"/>
  <c r="O254" i="55" a="1"/>
  <c r="O254" i="55"/>
  <c r="P254" i="55" a="1"/>
  <c r="P254" i="55"/>
  <c r="O255" i="55" a="1"/>
  <c r="O255" i="55"/>
  <c r="P255" i="55" a="1"/>
  <c r="P255" i="55"/>
  <c r="O256" i="55" a="1"/>
  <c r="O256" i="55"/>
  <c r="P256" i="55" a="1"/>
  <c r="P256" i="55"/>
  <c r="O257" i="55" a="1"/>
  <c r="O257" i="55"/>
  <c r="P257" i="55" a="1"/>
  <c r="P257" i="55"/>
  <c r="O258" i="55" a="1"/>
  <c r="O258" i="55"/>
  <c r="P258" i="55" a="1"/>
  <c r="P258" i="55"/>
  <c r="O259" i="55" a="1"/>
  <c r="O259" i="55"/>
  <c r="P259" i="55" a="1"/>
  <c r="P259" i="55"/>
  <c r="O260" i="55" a="1"/>
  <c r="O260" i="55"/>
  <c r="P260" i="55" a="1"/>
  <c r="P260" i="55"/>
  <c r="O261" i="55" a="1"/>
  <c r="O261" i="55"/>
  <c r="P261" i="55" a="1"/>
  <c r="P261" i="55"/>
  <c r="O262" i="55" a="1"/>
  <c r="O262" i="55"/>
  <c r="P262" i="55" a="1"/>
  <c r="P262" i="55"/>
  <c r="O263" i="55" a="1"/>
  <c r="O263" i="55"/>
  <c r="P263" i="55" a="1"/>
  <c r="P263" i="55"/>
  <c r="O264" i="55" a="1"/>
  <c r="O264" i="55"/>
  <c r="P264" i="55" a="1"/>
  <c r="P264" i="55"/>
  <c r="O265" i="55" a="1"/>
  <c r="O265" i="55"/>
  <c r="P265" i="55" a="1"/>
  <c r="P265" i="55"/>
  <c r="O266" i="55" a="1"/>
  <c r="O266" i="55"/>
  <c r="P266" i="55" a="1"/>
  <c r="P266" i="55"/>
  <c r="O267" i="55" a="1"/>
  <c r="O267" i="55"/>
  <c r="P267" i="55" a="1"/>
  <c r="P267" i="55"/>
  <c r="O268" i="55" a="1"/>
  <c r="O268" i="55"/>
  <c r="P268" i="55" a="1"/>
  <c r="P268" i="55"/>
  <c r="O269" i="55" a="1"/>
  <c r="O269" i="55"/>
  <c r="P269" i="55" a="1"/>
  <c r="P269" i="55"/>
  <c r="O270" i="55" a="1"/>
  <c r="O270" i="55"/>
  <c r="P270" i="55" a="1"/>
  <c r="P270" i="55"/>
  <c r="O271" i="55" a="1"/>
  <c r="O271" i="55"/>
  <c r="P271" i="55" a="1"/>
  <c r="P271" i="55"/>
  <c r="O272" i="55" a="1"/>
  <c r="O272" i="55"/>
  <c r="P272" i="55" a="1"/>
  <c r="P272" i="55"/>
  <c r="O273" i="55" a="1"/>
  <c r="O273" i="55"/>
  <c r="P273" i="55" a="1"/>
  <c r="P273" i="55"/>
  <c r="O274" i="55" a="1"/>
  <c r="O274" i="55"/>
  <c r="P274" i="55" a="1"/>
  <c r="P274" i="55"/>
  <c r="O275" i="55" a="1"/>
  <c r="O275" i="55"/>
  <c r="P275" i="55" a="1"/>
  <c r="P275" i="55"/>
  <c r="O276" i="55" a="1"/>
  <c r="O276" i="55"/>
  <c r="P276" i="55" a="1"/>
  <c r="P276" i="55"/>
  <c r="O277" i="55" a="1"/>
  <c r="O277" i="55"/>
  <c r="P277" i="55" a="1"/>
  <c r="P277" i="55"/>
  <c r="O278" i="55" a="1"/>
  <c r="O278" i="55"/>
  <c r="P278" i="55" a="1"/>
  <c r="P278" i="55"/>
  <c r="O279" i="55" a="1"/>
  <c r="O279" i="55"/>
  <c r="P279" i="55" a="1"/>
  <c r="P279" i="55"/>
  <c r="O280" i="55" a="1"/>
  <c r="O280" i="55"/>
  <c r="P280" i="55" a="1"/>
  <c r="P280" i="55"/>
  <c r="O281" i="55" a="1"/>
  <c r="O281" i="55"/>
  <c r="P281" i="55" a="1"/>
  <c r="P281" i="55"/>
  <c r="O282" i="55" a="1"/>
  <c r="O282" i="55"/>
  <c r="P282" i="55" a="1"/>
  <c r="P282" i="55"/>
  <c r="O283" i="55" a="1"/>
  <c r="O283" i="55"/>
  <c r="P283" i="55" a="1"/>
  <c r="P283" i="55"/>
  <c r="O284" i="55" a="1"/>
  <c r="O284" i="55"/>
  <c r="P284" i="55" a="1"/>
  <c r="P284" i="55"/>
  <c r="O285" i="55" a="1"/>
  <c r="O285" i="55"/>
  <c r="P285" i="55" a="1"/>
  <c r="P285" i="55"/>
  <c r="O286" i="55" a="1"/>
  <c r="O286" i="55"/>
  <c r="P286" i="55" a="1"/>
  <c r="P286" i="55"/>
  <c r="O287" i="55" a="1"/>
  <c r="O287" i="55"/>
  <c r="P287" i="55" a="1"/>
  <c r="P287" i="55"/>
  <c r="O288" i="55" a="1"/>
  <c r="O288" i="55"/>
  <c r="P288" i="55" a="1"/>
  <c r="P288" i="55"/>
  <c r="O289" i="55" a="1"/>
  <c r="O289" i="55"/>
  <c r="P289" i="55" a="1"/>
  <c r="P289" i="55"/>
  <c r="O290" i="55" a="1"/>
  <c r="O290" i="55"/>
  <c r="P290" i="55" a="1"/>
  <c r="P290" i="55"/>
  <c r="O291" i="55" a="1"/>
  <c r="O291" i="55"/>
  <c r="P291" i="55" a="1"/>
  <c r="P291" i="55"/>
  <c r="O292" i="55" a="1"/>
  <c r="O292" i="55"/>
  <c r="P292" i="55" a="1"/>
  <c r="P292" i="55"/>
  <c r="O293" i="55" a="1"/>
  <c r="O293" i="55"/>
  <c r="P293" i="55" a="1"/>
  <c r="P293" i="55"/>
  <c r="O294" i="55" a="1"/>
  <c r="O294" i="55"/>
  <c r="P294" i="55" a="1"/>
  <c r="P294" i="55"/>
  <c r="O295" i="55" a="1"/>
  <c r="O295" i="55"/>
  <c r="P295" i="55" a="1"/>
  <c r="P295" i="55"/>
  <c r="O296" i="55" a="1"/>
  <c r="O296" i="55"/>
  <c r="P296" i="55" a="1"/>
  <c r="P296" i="55"/>
  <c r="O297" i="55" a="1"/>
  <c r="O297" i="55"/>
  <c r="P297" i="55" a="1"/>
  <c r="P297" i="55"/>
  <c r="O298" i="55" a="1"/>
  <c r="O298" i="55"/>
  <c r="P298" i="55" a="1"/>
  <c r="P298" i="55"/>
  <c r="O299" i="55" a="1"/>
  <c r="O299" i="55"/>
  <c r="P299" i="55" a="1"/>
  <c r="P299" i="55"/>
  <c r="O300" i="55" a="1"/>
  <c r="O300" i="55"/>
  <c r="P300" i="55" a="1"/>
  <c r="P300" i="55"/>
  <c r="O301" i="55" a="1"/>
  <c r="O301" i="55"/>
  <c r="P301" i="55" a="1"/>
  <c r="P301" i="55"/>
  <c r="O302" i="55" a="1"/>
  <c r="O302" i="55"/>
  <c r="P302" i="55" a="1"/>
  <c r="P302" i="55"/>
  <c r="O303" i="55" a="1"/>
  <c r="O303" i="55"/>
  <c r="P303" i="55" a="1"/>
  <c r="P303" i="55"/>
  <c r="O304" i="55" a="1"/>
  <c r="O304" i="55"/>
  <c r="P304" i="55" a="1"/>
  <c r="P304" i="55"/>
  <c r="O305" i="55" a="1"/>
  <c r="O305" i="55"/>
  <c r="P305" i="55" a="1"/>
  <c r="P305" i="55"/>
  <c r="O306" i="55" a="1"/>
  <c r="O306" i="55"/>
  <c r="P306" i="55" a="1"/>
  <c r="P306" i="55"/>
  <c r="O307" i="55" a="1"/>
  <c r="O307" i="55"/>
  <c r="P307" i="55" a="1"/>
  <c r="P307" i="55"/>
  <c r="O308" i="55" a="1"/>
  <c r="O308" i="55"/>
  <c r="P308" i="55" a="1"/>
  <c r="P308" i="55"/>
  <c r="O309" i="55" a="1"/>
  <c r="O309" i="55"/>
  <c r="P309" i="55" a="1"/>
  <c r="P309" i="55"/>
  <c r="O310" i="55" a="1"/>
  <c r="O310" i="55"/>
  <c r="P310" i="55" a="1"/>
  <c r="P310" i="55"/>
  <c r="O311" i="55" a="1"/>
  <c r="O311" i="55"/>
  <c r="P311" i="55" a="1"/>
  <c r="P311" i="55"/>
  <c r="O312" i="55" a="1"/>
  <c r="O312" i="55"/>
  <c r="P312" i="55" a="1"/>
  <c r="P312" i="55"/>
  <c r="O313" i="55" a="1"/>
  <c r="O313" i="55"/>
  <c r="P313" i="55" a="1"/>
  <c r="P313" i="55"/>
  <c r="O314" i="55" a="1"/>
  <c r="O314" i="55"/>
  <c r="P314" i="55" a="1"/>
  <c r="P314" i="55"/>
  <c r="O315" i="55" a="1"/>
  <c r="O315" i="55"/>
  <c r="P315" i="55" a="1"/>
  <c r="P315" i="55"/>
  <c r="O316" i="55" a="1"/>
  <c r="O316" i="55"/>
  <c r="P316" i="55" a="1"/>
  <c r="P316" i="55"/>
  <c r="O317" i="55" a="1"/>
  <c r="O317" i="55"/>
  <c r="P317" i="55" a="1"/>
  <c r="P317" i="55"/>
  <c r="O318" i="55" a="1"/>
  <c r="O318" i="55"/>
  <c r="P318" i="55" a="1"/>
  <c r="P318" i="55"/>
  <c r="O319" i="55" a="1"/>
  <c r="O319" i="55"/>
  <c r="P319" i="55" a="1"/>
  <c r="P319" i="55"/>
  <c r="O320" i="55" a="1"/>
  <c r="O320" i="55"/>
  <c r="P320" i="55" a="1"/>
  <c r="P320" i="55"/>
  <c r="O321" i="55" a="1"/>
  <c r="O321" i="55"/>
  <c r="P321" i="55" a="1"/>
  <c r="P321" i="55"/>
  <c r="O322" i="55" a="1"/>
  <c r="O322" i="55"/>
  <c r="P322" i="55" a="1"/>
  <c r="P322" i="55"/>
  <c r="O323" i="55" a="1"/>
  <c r="O323" i="55"/>
  <c r="P323" i="55" a="1"/>
  <c r="P323" i="55"/>
  <c r="O324" i="55" a="1"/>
  <c r="O324" i="55"/>
  <c r="P324" i="55" a="1"/>
  <c r="P324" i="55"/>
  <c r="O325" i="55" a="1"/>
  <c r="O325" i="55"/>
  <c r="P325" i="55" a="1"/>
  <c r="P325" i="55"/>
  <c r="O326" i="55" a="1"/>
  <c r="O326" i="55"/>
  <c r="P326" i="55" a="1"/>
  <c r="P326" i="55"/>
  <c r="O327" i="55" a="1"/>
  <c r="O327" i="55"/>
  <c r="P327" i="55" a="1"/>
  <c r="P327" i="55"/>
  <c r="O328" i="55" a="1"/>
  <c r="O328" i="55"/>
  <c r="P328" i="55" a="1"/>
  <c r="P328" i="55"/>
  <c r="O329" i="55" a="1"/>
  <c r="O329" i="55"/>
  <c r="P329" i="55" a="1"/>
  <c r="P329" i="55"/>
  <c r="O330" i="55" a="1"/>
  <c r="O330" i="55"/>
  <c r="P330" i="55" a="1"/>
  <c r="P330" i="55"/>
  <c r="O331" i="55" a="1"/>
  <c r="O331" i="55"/>
  <c r="P331" i="55" a="1"/>
  <c r="P331" i="55"/>
  <c r="O332" i="55" a="1"/>
  <c r="O332" i="55"/>
  <c r="P332" i="55" a="1"/>
  <c r="P332" i="55"/>
  <c r="O333" i="55" a="1"/>
  <c r="O333" i="55"/>
  <c r="P333" i="55" a="1"/>
  <c r="P333" i="55"/>
  <c r="O334" i="55" a="1"/>
  <c r="O334" i="55"/>
  <c r="P334" i="55" a="1"/>
  <c r="P334" i="55"/>
  <c r="O335" i="55" a="1"/>
  <c r="O335" i="55"/>
  <c r="P335" i="55" a="1"/>
  <c r="P335" i="55"/>
  <c r="O336" i="55" a="1"/>
  <c r="O336" i="55"/>
  <c r="P336" i="55" a="1"/>
  <c r="P336" i="55"/>
  <c r="O337" i="55" a="1"/>
  <c r="O337" i="55"/>
  <c r="P337" i="55" a="1"/>
  <c r="P337" i="55"/>
  <c r="O338" i="55" a="1"/>
  <c r="O338" i="55"/>
  <c r="P338" i="55" a="1"/>
  <c r="P338" i="55"/>
  <c r="O339" i="55" a="1"/>
  <c r="O339" i="55"/>
  <c r="P339" i="55" a="1"/>
  <c r="P339" i="55"/>
  <c r="O340" i="55" a="1"/>
  <c r="O340" i="55"/>
  <c r="P340" i="55" a="1"/>
  <c r="P340" i="55"/>
  <c r="O341" i="55" a="1"/>
  <c r="O341" i="55"/>
  <c r="P341" i="55" a="1"/>
  <c r="P341" i="55"/>
  <c r="O342" i="55" a="1"/>
  <c r="O342" i="55"/>
  <c r="P342" i="55" a="1"/>
  <c r="P342" i="55"/>
  <c r="O343" i="55" a="1"/>
  <c r="O343" i="55"/>
  <c r="P343" i="55" a="1"/>
  <c r="P343" i="55"/>
  <c r="O344" i="55" a="1"/>
  <c r="O344" i="55"/>
  <c r="P344" i="55" a="1"/>
  <c r="P344" i="55"/>
  <c r="O345" i="55" a="1"/>
  <c r="O345" i="55"/>
  <c r="P345" i="55" a="1"/>
  <c r="P345" i="55"/>
  <c r="O346" i="55" a="1"/>
  <c r="O346" i="55"/>
  <c r="P346" i="55" a="1"/>
  <c r="P346" i="55"/>
  <c r="O347" i="55" a="1"/>
  <c r="O347" i="55"/>
  <c r="P347" i="55" a="1"/>
  <c r="P347" i="55"/>
  <c r="O348" i="55" a="1"/>
  <c r="O348" i="55"/>
  <c r="P348" i="55" a="1"/>
  <c r="P348" i="55"/>
  <c r="O349" i="55" a="1"/>
  <c r="O349" i="55"/>
  <c r="P349" i="55" a="1"/>
  <c r="P349" i="55"/>
  <c r="O350" i="55" a="1"/>
  <c r="O350" i="55"/>
  <c r="P350" i="55" a="1"/>
  <c r="P350" i="55"/>
  <c r="O351" i="55" a="1"/>
  <c r="O351" i="55"/>
  <c r="P351" i="55" a="1"/>
  <c r="P351" i="55"/>
  <c r="O352" i="55" a="1"/>
  <c r="O352" i="55"/>
  <c r="P352" i="55" a="1"/>
  <c r="P352" i="55"/>
  <c r="O353" i="55" a="1"/>
  <c r="O353" i="55"/>
  <c r="P353" i="55" a="1"/>
  <c r="P353" i="55"/>
  <c r="O354" i="55" a="1"/>
  <c r="O354" i="55"/>
  <c r="P354" i="55" a="1"/>
  <c r="P354" i="55"/>
  <c r="O355" i="55" a="1"/>
  <c r="O355" i="55"/>
  <c r="P355" i="55" a="1"/>
  <c r="P355" i="55"/>
  <c r="O356" i="55" a="1"/>
  <c r="O356" i="55"/>
  <c r="P356" i="55" a="1"/>
  <c r="P356" i="55"/>
  <c r="O357" i="55" a="1"/>
  <c r="O357" i="55"/>
  <c r="P357" i="55" a="1"/>
  <c r="P357" i="55"/>
  <c r="O358" i="55" a="1"/>
  <c r="O358" i="55"/>
  <c r="P358" i="55" a="1"/>
  <c r="P358" i="55"/>
  <c r="O359" i="55" a="1"/>
  <c r="O359" i="55"/>
  <c r="P359" i="55" a="1"/>
  <c r="P359" i="55"/>
  <c r="O360" i="55" a="1"/>
  <c r="O360" i="55"/>
  <c r="P360" i="55" a="1"/>
  <c r="P360" i="55"/>
  <c r="O361" i="55" a="1"/>
  <c r="O361" i="55"/>
  <c r="P361" i="55" a="1"/>
  <c r="P361" i="55"/>
  <c r="O362" i="55" a="1"/>
  <c r="O362" i="55"/>
  <c r="P362" i="55" a="1"/>
  <c r="P362" i="55"/>
  <c r="O363" i="55" a="1"/>
  <c r="O363" i="55"/>
  <c r="P363" i="55" a="1"/>
  <c r="P363" i="55"/>
  <c r="O364" i="55" a="1"/>
  <c r="O364" i="55"/>
  <c r="P364" i="55" a="1"/>
  <c r="P364" i="55"/>
  <c r="O365" i="55" a="1"/>
  <c r="O365" i="55"/>
  <c r="P365" i="55" a="1"/>
  <c r="P365" i="55"/>
  <c r="O366" i="55" a="1"/>
  <c r="O366" i="55"/>
  <c r="P366" i="55" a="1"/>
  <c r="P366" i="55"/>
  <c r="O367" i="55" a="1"/>
  <c r="O367" i="55"/>
  <c r="P367" i="55" a="1"/>
  <c r="P367" i="55"/>
  <c r="O368" i="55" a="1"/>
  <c r="O368" i="55"/>
  <c r="P368" i="55" a="1"/>
  <c r="P368" i="55"/>
  <c r="O369" i="55" a="1"/>
  <c r="O369" i="55"/>
  <c r="P369" i="55" a="1"/>
  <c r="P369" i="55"/>
  <c r="O370" i="55" a="1"/>
  <c r="O370" i="55"/>
  <c r="P370" i="55" a="1"/>
  <c r="P370" i="55"/>
  <c r="O371" i="55" a="1"/>
  <c r="O371" i="55"/>
  <c r="P371" i="55" a="1"/>
  <c r="P371" i="55"/>
  <c r="O372" i="55" a="1"/>
  <c r="O372" i="55"/>
  <c r="P372" i="55" a="1"/>
  <c r="P372" i="55"/>
  <c r="O373" i="55" a="1"/>
  <c r="O373" i="55"/>
  <c r="P373" i="55" a="1"/>
  <c r="P373" i="55"/>
  <c r="O374" i="55" a="1"/>
  <c r="O374" i="55"/>
  <c r="P374" i="55" a="1"/>
  <c r="P374" i="55"/>
  <c r="O375" i="55" a="1"/>
  <c r="O375" i="55"/>
  <c r="P375" i="55" a="1"/>
  <c r="P375" i="55"/>
  <c r="O376" i="55" a="1"/>
  <c r="O376" i="55"/>
  <c r="P376" i="55" a="1"/>
  <c r="P376" i="55"/>
  <c r="O377" i="55" a="1"/>
  <c r="O377" i="55"/>
  <c r="P377" i="55" a="1"/>
  <c r="P377" i="55"/>
  <c r="O378" i="55" a="1"/>
  <c r="O378" i="55"/>
  <c r="P378" i="55" a="1"/>
  <c r="P378" i="55"/>
  <c r="O379" i="55" a="1"/>
  <c r="O379" i="55"/>
  <c r="P379" i="55" a="1"/>
  <c r="P379" i="55"/>
  <c r="O380" i="55" a="1"/>
  <c r="O380" i="55"/>
  <c r="P380" i="55" a="1"/>
  <c r="P380" i="55"/>
  <c r="O381" i="55" a="1"/>
  <c r="O381" i="55"/>
  <c r="P381" i="55" a="1"/>
  <c r="P381" i="55"/>
  <c r="O382" i="55" a="1"/>
  <c r="O382" i="55"/>
  <c r="P382" i="55" a="1"/>
  <c r="P382" i="55"/>
  <c r="O383" i="55" a="1"/>
  <c r="O383" i="55"/>
  <c r="P383" i="55" a="1"/>
  <c r="P383" i="55"/>
  <c r="O384" i="55" a="1"/>
  <c r="O384" i="55"/>
  <c r="P384" i="55" a="1"/>
  <c r="P384" i="55"/>
  <c r="O385" i="55" a="1"/>
  <c r="O385" i="55"/>
  <c r="P385" i="55" a="1"/>
  <c r="P385" i="55"/>
  <c r="O386" i="55" a="1"/>
  <c r="O386" i="55"/>
  <c r="P386" i="55" a="1"/>
  <c r="P386" i="55"/>
  <c r="O387" i="55" a="1"/>
  <c r="O387" i="55"/>
  <c r="P387" i="55" a="1"/>
  <c r="P387" i="55"/>
  <c r="O388" i="55" a="1"/>
  <c r="O388" i="55"/>
  <c r="P388" i="55" a="1"/>
  <c r="P388" i="55"/>
  <c r="O389" i="55" a="1"/>
  <c r="O389" i="55"/>
  <c r="P389" i="55" a="1"/>
  <c r="P389" i="55"/>
  <c r="O390" i="55" a="1"/>
  <c r="O390" i="55"/>
  <c r="P390" i="55" a="1"/>
  <c r="P390" i="55"/>
  <c r="O391" i="55" a="1"/>
  <c r="O391" i="55"/>
  <c r="P391" i="55" a="1"/>
  <c r="P391" i="55"/>
  <c r="O392" i="55" a="1"/>
  <c r="O392" i="55"/>
  <c r="P392" i="55" a="1"/>
  <c r="P392" i="55"/>
  <c r="O393" i="55" a="1"/>
  <c r="O393" i="55"/>
  <c r="P393" i="55" a="1"/>
  <c r="P393" i="55"/>
  <c r="O394" i="55" a="1"/>
  <c r="O394" i="55"/>
  <c r="P394" i="55" a="1"/>
  <c r="P394" i="55"/>
  <c r="O395" i="55" a="1"/>
  <c r="O395" i="55"/>
  <c r="P395" i="55" a="1"/>
  <c r="P395" i="55"/>
  <c r="O396" i="55" a="1"/>
  <c r="O396" i="55"/>
  <c r="P396" i="55" a="1"/>
  <c r="P396" i="55"/>
  <c r="O397" i="55" a="1"/>
  <c r="O397" i="55"/>
  <c r="P397" i="55" a="1"/>
  <c r="P397" i="55"/>
  <c r="O398" i="55" a="1"/>
  <c r="O398" i="55"/>
  <c r="P398" i="55" a="1"/>
  <c r="P398" i="55"/>
  <c r="O399" i="55" a="1"/>
  <c r="O399" i="55"/>
  <c r="P399" i="55" a="1"/>
  <c r="P399" i="55"/>
  <c r="O400" i="55" a="1"/>
  <c r="O400" i="55"/>
  <c r="P400" i="55" a="1"/>
  <c r="P400" i="55"/>
  <c r="O401" i="55" a="1"/>
  <c r="O401" i="55"/>
  <c r="P401" i="55" a="1"/>
  <c r="P401" i="55"/>
  <c r="O402" i="55" a="1"/>
  <c r="O402" i="55"/>
  <c r="P402" i="55" a="1"/>
  <c r="P402" i="55"/>
  <c r="O403" i="55" a="1"/>
  <c r="O403" i="55"/>
  <c r="P403" i="55" a="1"/>
  <c r="P403" i="55"/>
  <c r="O404" i="55" a="1"/>
  <c r="O404" i="55"/>
  <c r="P404" i="55" a="1"/>
  <c r="P404" i="55"/>
  <c r="O405" i="55" a="1"/>
  <c r="O405" i="55"/>
  <c r="P405" i="55" a="1"/>
  <c r="P405" i="55"/>
  <c r="O406" i="55" a="1"/>
  <c r="O406" i="55"/>
  <c r="P406" i="55" a="1"/>
  <c r="P406" i="55"/>
  <c r="O407" i="55" a="1"/>
  <c r="O407" i="55"/>
  <c r="P407" i="55" a="1"/>
  <c r="P407" i="55"/>
  <c r="O408" i="55" a="1"/>
  <c r="O408" i="55"/>
  <c r="P408" i="55" a="1"/>
  <c r="P408" i="55"/>
  <c r="O409" i="55" a="1"/>
  <c r="O409" i="55"/>
  <c r="P409" i="55" a="1"/>
  <c r="P409" i="55"/>
  <c r="O410" i="55" a="1"/>
  <c r="O410" i="55"/>
  <c r="P410" i="55" a="1"/>
  <c r="P410" i="55"/>
  <c r="O411" i="55" a="1"/>
  <c r="O411" i="55"/>
  <c r="P411" i="55" a="1"/>
  <c r="P411" i="55"/>
  <c r="O412" i="55" a="1"/>
  <c r="O412" i="55"/>
  <c r="P412" i="55" a="1"/>
  <c r="P412" i="55"/>
  <c r="O413" i="55" a="1"/>
  <c r="O413" i="55"/>
  <c r="P413" i="55" a="1"/>
  <c r="P413" i="55"/>
  <c r="O414" i="55" a="1"/>
  <c r="O414" i="55"/>
  <c r="P414" i="55" a="1"/>
  <c r="P414" i="55"/>
  <c r="O415" i="55" a="1"/>
  <c r="O415" i="55"/>
  <c r="P415" i="55" a="1"/>
  <c r="P415" i="55"/>
  <c r="O416" i="55" a="1"/>
  <c r="O416" i="55"/>
  <c r="P416" i="55" a="1"/>
  <c r="P416" i="55"/>
  <c r="O417" i="55" a="1"/>
  <c r="O417" i="55"/>
  <c r="P417" i="55" a="1"/>
  <c r="P417" i="55"/>
  <c r="O418" i="55" a="1"/>
  <c r="O418" i="55"/>
  <c r="P418" i="55" a="1"/>
  <c r="P418" i="55"/>
  <c r="O419" i="55" a="1"/>
  <c r="O419" i="55"/>
  <c r="P419" i="55" a="1"/>
  <c r="P419" i="55"/>
  <c r="O420" i="55" a="1"/>
  <c r="O420" i="55"/>
  <c r="P420" i="55" a="1"/>
  <c r="P420" i="55"/>
  <c r="O421" i="55" a="1"/>
  <c r="O421" i="55"/>
  <c r="P421" i="55" a="1"/>
  <c r="P421" i="55"/>
  <c r="O422" i="55" a="1"/>
  <c r="O422" i="55"/>
  <c r="P422" i="55" a="1"/>
  <c r="P422" i="55"/>
  <c r="O423" i="55" a="1"/>
  <c r="O423" i="55"/>
  <c r="P423" i="55" a="1"/>
  <c r="P423" i="55"/>
  <c r="O424" i="55" a="1"/>
  <c r="O424" i="55"/>
  <c r="P424" i="55" a="1"/>
  <c r="P424" i="55"/>
  <c r="O425" i="55" a="1"/>
  <c r="O425" i="55"/>
  <c r="P425" i="55" a="1"/>
  <c r="P425" i="55"/>
  <c r="O426" i="55" a="1"/>
  <c r="O426" i="55"/>
  <c r="P426" i="55" a="1"/>
  <c r="P426" i="55"/>
  <c r="O427" i="55" a="1"/>
  <c r="O427" i="55"/>
  <c r="P427" i="55" a="1"/>
  <c r="P427" i="55"/>
  <c r="O428" i="55" a="1"/>
  <c r="O428" i="55"/>
  <c r="P428" i="55" a="1"/>
  <c r="P428" i="55"/>
  <c r="O429" i="55" a="1"/>
  <c r="O429" i="55"/>
  <c r="P429" i="55" a="1"/>
  <c r="P429" i="55"/>
  <c r="O430" i="55" a="1"/>
  <c r="O430" i="55"/>
  <c r="P430" i="55" a="1"/>
  <c r="P430" i="55"/>
  <c r="O431" i="55" a="1"/>
  <c r="O431" i="55"/>
  <c r="P431" i="55" a="1"/>
  <c r="P431" i="55"/>
  <c r="O432" i="55" a="1"/>
  <c r="O432" i="55"/>
  <c r="P432" i="55" a="1"/>
  <c r="P432" i="55"/>
  <c r="O433" i="55" a="1"/>
  <c r="O433" i="55"/>
  <c r="P433" i="55" a="1"/>
  <c r="P433" i="55"/>
  <c r="O434" i="55" a="1"/>
  <c r="O434" i="55"/>
  <c r="P434" i="55" a="1"/>
  <c r="P434" i="55"/>
  <c r="O435" i="55" a="1"/>
  <c r="O435" i="55"/>
  <c r="P435" i="55" a="1"/>
  <c r="P435" i="55"/>
  <c r="O436" i="55" a="1"/>
  <c r="O436" i="55"/>
  <c r="P436" i="55" a="1"/>
  <c r="P436" i="55"/>
  <c r="O437" i="55" a="1"/>
  <c r="O437" i="55"/>
  <c r="P437" i="55" a="1"/>
  <c r="P437" i="55"/>
  <c r="O438" i="55" a="1"/>
  <c r="O438" i="55"/>
  <c r="P438" i="55" a="1"/>
  <c r="P438" i="55"/>
  <c r="O439" i="55" a="1"/>
  <c r="O439" i="55"/>
  <c r="P439" i="55" a="1"/>
  <c r="P439" i="55"/>
  <c r="O440" i="55" a="1"/>
  <c r="O440" i="55"/>
  <c r="P440" i="55" a="1"/>
  <c r="P440" i="55"/>
  <c r="O441" i="55" a="1"/>
  <c r="O441" i="55"/>
  <c r="P441" i="55" a="1"/>
  <c r="P441" i="55"/>
  <c r="O442" i="55" a="1"/>
  <c r="O442" i="55"/>
  <c r="P442" i="55" a="1"/>
  <c r="P442" i="55"/>
  <c r="O443" i="55" a="1"/>
  <c r="O443" i="55"/>
  <c r="P443" i="55" a="1"/>
  <c r="P443" i="55"/>
  <c r="O444" i="55" a="1"/>
  <c r="O444" i="55"/>
  <c r="P444" i="55" a="1"/>
  <c r="P444" i="55"/>
  <c r="O445" i="55" a="1"/>
  <c r="O445" i="55"/>
  <c r="P445" i="55" a="1"/>
  <c r="P445" i="55"/>
  <c r="O446" i="55" a="1"/>
  <c r="O446" i="55"/>
  <c r="P446" i="55" a="1"/>
  <c r="P446" i="55"/>
  <c r="O447" i="55" a="1"/>
  <c r="O447" i="55"/>
  <c r="P447" i="55" a="1"/>
  <c r="P447" i="55"/>
  <c r="O448" i="55" a="1"/>
  <c r="O448" i="55"/>
  <c r="P448" i="55" a="1"/>
  <c r="P448" i="55"/>
  <c r="O449" i="55" a="1"/>
  <c r="O449" i="55"/>
  <c r="P449" i="55" a="1"/>
  <c r="P449" i="55"/>
  <c r="O450" i="55" a="1"/>
  <c r="O450" i="55"/>
  <c r="P450" i="55" a="1"/>
  <c r="P450" i="55"/>
  <c r="O451" i="55" a="1"/>
  <c r="O451" i="55"/>
  <c r="P451" i="55" a="1"/>
  <c r="P451" i="55"/>
  <c r="O452" i="55" a="1"/>
  <c r="O452" i="55"/>
  <c r="P452" i="55" a="1"/>
  <c r="P452" i="55"/>
  <c r="O453" i="55" a="1"/>
  <c r="O453" i="55"/>
  <c r="P453" i="55" a="1"/>
  <c r="P453" i="55"/>
  <c r="O454" i="55" a="1"/>
  <c r="O454" i="55"/>
  <c r="P454" i="55" a="1"/>
  <c r="P454" i="55"/>
  <c r="O455" i="55" a="1"/>
  <c r="O455" i="55"/>
  <c r="P455" i="55" a="1"/>
  <c r="P455" i="55"/>
  <c r="O456" i="55" a="1"/>
  <c r="O456" i="55"/>
  <c r="P456" i="55" a="1"/>
  <c r="P456" i="55"/>
  <c r="O457" i="55" a="1"/>
  <c r="O457" i="55"/>
  <c r="P457" i="55" a="1"/>
  <c r="P457" i="55"/>
  <c r="O458" i="55" a="1"/>
  <c r="O458" i="55"/>
  <c r="P458" i="55" a="1"/>
  <c r="P458" i="55"/>
  <c r="O459" i="55" a="1"/>
  <c r="O459" i="55"/>
  <c r="P459" i="55" a="1"/>
  <c r="P459" i="55"/>
  <c r="O460" i="55" a="1"/>
  <c r="O460" i="55"/>
  <c r="P460" i="55" a="1"/>
  <c r="P460" i="55"/>
  <c r="O461" i="55" a="1"/>
  <c r="O461" i="55"/>
  <c r="P461" i="55" a="1"/>
  <c r="P461" i="55"/>
  <c r="O462" i="55" a="1"/>
  <c r="O462" i="55"/>
  <c r="P462" i="55" a="1"/>
  <c r="P462" i="55"/>
  <c r="O463" i="55" a="1"/>
  <c r="O463" i="55"/>
  <c r="P463" i="55" a="1"/>
  <c r="P463" i="55"/>
  <c r="O464" i="55" a="1"/>
  <c r="O464" i="55"/>
  <c r="P464" i="55" a="1"/>
  <c r="P464" i="55"/>
  <c r="O465" i="55" a="1"/>
  <c r="O465" i="55"/>
  <c r="P465" i="55" a="1"/>
  <c r="P465" i="55"/>
  <c r="O466" i="55" a="1"/>
  <c r="O466" i="55"/>
  <c r="P466" i="55" a="1"/>
  <c r="P466" i="55"/>
  <c r="O467" i="55" a="1"/>
  <c r="O467" i="55"/>
  <c r="P467" i="55" a="1"/>
  <c r="P467" i="55"/>
  <c r="O468" i="55" a="1"/>
  <c r="O468" i="55"/>
  <c r="P468" i="55" a="1"/>
  <c r="P468" i="55"/>
  <c r="O469" i="55" a="1"/>
  <c r="O469" i="55"/>
  <c r="P469" i="55" a="1"/>
  <c r="P469" i="55"/>
  <c r="O470" i="55" a="1"/>
  <c r="O470" i="55"/>
  <c r="P470" i="55" a="1"/>
  <c r="P470" i="55"/>
  <c r="O471" i="55" a="1"/>
  <c r="O471" i="55"/>
  <c r="P471" i="55" a="1"/>
  <c r="P471" i="55"/>
  <c r="O472" i="55" a="1"/>
  <c r="O472" i="55"/>
  <c r="P472" i="55" a="1"/>
  <c r="P472" i="55"/>
  <c r="O473" i="55" a="1"/>
  <c r="O473" i="55"/>
  <c r="P473" i="55" a="1"/>
  <c r="P473" i="55"/>
  <c r="O474" i="55" a="1"/>
  <c r="O474" i="55"/>
  <c r="P474" i="55" a="1"/>
  <c r="P474" i="55"/>
  <c r="O475" i="55" a="1"/>
  <c r="O475" i="55"/>
  <c r="P475" i="55" a="1"/>
  <c r="P475" i="55"/>
  <c r="O476" i="55" a="1"/>
  <c r="O476" i="55"/>
  <c r="P476" i="55" a="1"/>
  <c r="P476" i="55"/>
  <c r="O477" i="55" a="1"/>
  <c r="O477" i="55"/>
  <c r="P477" i="55" a="1"/>
  <c r="P477" i="55"/>
  <c r="O478" i="55" a="1"/>
  <c r="O478" i="55"/>
  <c r="P478" i="55" a="1"/>
  <c r="P478" i="55"/>
  <c r="O479" i="55" a="1"/>
  <c r="O479" i="55"/>
  <c r="P479" i="55" a="1"/>
  <c r="P479" i="55"/>
  <c r="O480" i="55" a="1"/>
  <c r="O480" i="55"/>
  <c r="P480" i="55" a="1"/>
  <c r="P480" i="55"/>
  <c r="O481" i="55" a="1"/>
  <c r="O481" i="55"/>
  <c r="P481" i="55" a="1"/>
  <c r="P481" i="55"/>
  <c r="O482" i="55" a="1"/>
  <c r="O482" i="55"/>
  <c r="P482" i="55" a="1"/>
  <c r="P482" i="55"/>
  <c r="O483" i="55" a="1"/>
  <c r="O483" i="55"/>
  <c r="P483" i="55" a="1"/>
  <c r="P483" i="55"/>
  <c r="O484" i="55" a="1"/>
  <c r="O484" i="55"/>
  <c r="P484" i="55" a="1"/>
  <c r="P484" i="55"/>
  <c r="O485" i="55" a="1"/>
  <c r="O485" i="55"/>
  <c r="P485" i="55" a="1"/>
  <c r="P485" i="55"/>
  <c r="O486" i="55" a="1"/>
  <c r="O486" i="55"/>
  <c r="P486" i="55" a="1"/>
  <c r="P486" i="55"/>
  <c r="O487" i="55" a="1"/>
  <c r="O487" i="55"/>
  <c r="P487" i="55" a="1"/>
  <c r="P487" i="55"/>
  <c r="O488" i="55" a="1"/>
  <c r="O488" i="55"/>
  <c r="P488" i="55" a="1"/>
  <c r="P488" i="55"/>
  <c r="O489" i="55" a="1"/>
  <c r="O489" i="55"/>
  <c r="P489" i="55" a="1"/>
  <c r="P489" i="55"/>
  <c r="O490" i="55" a="1"/>
  <c r="O490" i="55"/>
  <c r="P490" i="55" a="1"/>
  <c r="P490" i="55"/>
  <c r="O491" i="55" a="1"/>
  <c r="O491" i="55"/>
  <c r="P491" i="55" a="1"/>
  <c r="P491" i="55"/>
  <c r="O492" i="55" a="1"/>
  <c r="O492" i="55"/>
  <c r="P492" i="55" a="1"/>
  <c r="P492" i="55"/>
  <c r="O493" i="55" a="1"/>
  <c r="O493" i="55"/>
  <c r="P493" i="55" a="1"/>
  <c r="P493" i="55"/>
  <c r="O494" i="55" a="1"/>
  <c r="O494" i="55"/>
  <c r="P494" i="55" a="1"/>
  <c r="P494" i="55"/>
  <c r="O495" i="55" a="1"/>
  <c r="O495" i="55"/>
  <c r="P495" i="55" a="1"/>
  <c r="P495" i="55"/>
  <c r="O496" i="55" a="1"/>
  <c r="O496" i="55"/>
  <c r="P496" i="55" a="1"/>
  <c r="P496" i="55"/>
  <c r="O497" i="55" a="1"/>
  <c r="O497" i="55"/>
  <c r="P497" i="55" a="1"/>
  <c r="P497" i="55"/>
  <c r="O498" i="55" a="1"/>
  <c r="O498" i="55"/>
  <c r="P498" i="55" a="1"/>
  <c r="P498" i="55"/>
  <c r="O499" i="55" a="1"/>
  <c r="O499" i="55"/>
  <c r="P499" i="55" a="1"/>
  <c r="P499" i="55"/>
  <c r="O500" i="55" a="1"/>
  <c r="O500" i="55"/>
  <c r="P500" i="55" a="1"/>
  <c r="P500" i="55"/>
  <c r="O501" i="55" a="1"/>
  <c r="O501" i="55"/>
  <c r="P501" i="55" a="1"/>
  <c r="P501" i="55"/>
  <c r="O502" i="55" a="1"/>
  <c r="O502" i="55"/>
  <c r="P502" i="55" a="1"/>
  <c r="P502" i="55"/>
  <c r="O503" i="55" a="1"/>
  <c r="O503" i="55"/>
  <c r="P503" i="55" a="1"/>
  <c r="P503" i="55"/>
  <c r="O504" i="55" a="1"/>
  <c r="O504" i="55"/>
  <c r="P504" i="55" a="1"/>
  <c r="P504" i="55"/>
  <c r="O505" i="55" a="1"/>
  <c r="O505" i="55"/>
  <c r="P505" i="55" a="1"/>
  <c r="P505" i="55"/>
  <c r="O506" i="55" a="1"/>
  <c r="O506" i="55"/>
  <c r="P506" i="55" a="1"/>
  <c r="P506" i="55"/>
  <c r="O507" i="55" a="1"/>
  <c r="O507" i="55"/>
  <c r="P507" i="55" a="1"/>
  <c r="P507" i="55"/>
  <c r="O508" i="55" a="1"/>
  <c r="O508" i="55"/>
  <c r="P508" i="55" a="1"/>
  <c r="P508" i="55"/>
  <c r="O509" i="55" a="1"/>
  <c r="O509" i="55"/>
  <c r="P509" i="55" a="1"/>
  <c r="P509" i="55"/>
  <c r="O510" i="55" a="1"/>
  <c r="O510" i="55"/>
  <c r="P510" i="55" a="1"/>
  <c r="P510" i="55"/>
  <c r="O511" i="55" a="1"/>
  <c r="O511" i="55"/>
  <c r="P511" i="55" a="1"/>
  <c r="P511" i="55"/>
  <c r="O512" i="55" a="1"/>
  <c r="O512" i="55"/>
  <c r="P512" i="55" a="1"/>
  <c r="P512" i="55"/>
  <c r="O513" i="55" a="1"/>
  <c r="O513" i="55"/>
  <c r="P513" i="55" a="1"/>
  <c r="P513" i="55"/>
  <c r="O514" i="55" a="1"/>
  <c r="O514" i="55"/>
  <c r="P514" i="55" a="1"/>
  <c r="P514" i="55"/>
  <c r="O515" i="55" a="1"/>
  <c r="O515" i="55"/>
  <c r="P515" i="55" a="1"/>
  <c r="P515" i="55"/>
  <c r="O516" i="55" a="1"/>
  <c r="O516" i="55"/>
  <c r="P516" i="55" a="1"/>
  <c r="P516" i="55"/>
  <c r="O517" i="55" a="1"/>
  <c r="O517" i="55"/>
  <c r="P517" i="55" a="1"/>
  <c r="P517" i="55"/>
  <c r="O518" i="55" a="1"/>
  <c r="O518" i="55"/>
  <c r="P518" i="55" a="1"/>
  <c r="P518" i="55"/>
  <c r="O519" i="55" a="1"/>
  <c r="O519" i="55"/>
  <c r="P519" i="55" a="1"/>
  <c r="P519" i="55"/>
  <c r="O520" i="55" a="1"/>
  <c r="O520" i="55"/>
  <c r="P520" i="55" a="1"/>
  <c r="P520" i="55"/>
  <c r="O521" i="55" a="1"/>
  <c r="O521" i="55"/>
  <c r="P521" i="55" a="1"/>
  <c r="P521" i="55"/>
  <c r="O522" i="55" a="1"/>
  <c r="O522" i="55"/>
  <c r="P522" i="55" a="1"/>
  <c r="P522" i="55"/>
  <c r="O523" i="55" a="1"/>
  <c r="O523" i="55"/>
  <c r="P523" i="55" a="1"/>
  <c r="P523" i="55"/>
  <c r="O524" i="55" a="1"/>
  <c r="O524" i="55"/>
  <c r="P524" i="55" a="1"/>
  <c r="P524" i="55"/>
  <c r="O525" i="55" a="1"/>
  <c r="O525" i="55"/>
  <c r="P525" i="55" a="1"/>
  <c r="P525" i="55"/>
  <c r="O526" i="55" a="1"/>
  <c r="O526" i="55"/>
  <c r="P526" i="55" a="1"/>
  <c r="P526" i="55"/>
  <c r="O527" i="55" a="1"/>
  <c r="O527" i="55"/>
  <c r="P527" i="55" a="1"/>
  <c r="P527" i="55"/>
  <c r="O528" i="55" a="1"/>
  <c r="O528" i="55"/>
  <c r="P528" i="55" a="1"/>
  <c r="P528" i="55"/>
  <c r="O529" i="55" a="1"/>
  <c r="O529" i="55"/>
  <c r="P529" i="55" a="1"/>
  <c r="P529" i="55"/>
  <c r="O530" i="55" a="1"/>
  <c r="O530" i="55"/>
  <c r="P530" i="55" a="1"/>
  <c r="P530" i="55"/>
  <c r="O531" i="55" a="1"/>
  <c r="O531" i="55"/>
  <c r="P531" i="55" a="1"/>
  <c r="P531" i="55"/>
  <c r="O532" i="55" a="1"/>
  <c r="O532" i="55"/>
  <c r="P532" i="55" a="1"/>
  <c r="P532" i="55"/>
  <c r="O533" i="55" a="1"/>
  <c r="O533" i="55"/>
  <c r="P533" i="55" a="1"/>
  <c r="P533" i="55"/>
  <c r="O534" i="55" a="1"/>
  <c r="O534" i="55"/>
  <c r="P534" i="55" a="1"/>
  <c r="P534" i="55"/>
  <c r="O535" i="55" a="1"/>
  <c r="O535" i="55"/>
  <c r="P535" i="55" a="1"/>
  <c r="P535" i="55"/>
  <c r="O536" i="55" a="1"/>
  <c r="O536" i="55"/>
  <c r="P536" i="55" a="1"/>
  <c r="P536" i="55"/>
  <c r="O537" i="55" a="1"/>
  <c r="O537" i="55"/>
  <c r="P537" i="55" a="1"/>
  <c r="P537" i="55"/>
  <c r="O538" i="55" a="1"/>
  <c r="O538" i="55"/>
  <c r="P538" i="55" a="1"/>
  <c r="P538" i="55"/>
  <c r="O539" i="55" a="1"/>
  <c r="O539" i="55"/>
  <c r="P539" i="55" a="1"/>
  <c r="P539" i="55"/>
  <c r="O540" i="55" a="1"/>
  <c r="O540" i="55"/>
  <c r="P540" i="55" a="1"/>
  <c r="P540" i="55"/>
  <c r="O541" i="55" a="1"/>
  <c r="O541" i="55"/>
  <c r="P541" i="55" a="1"/>
  <c r="P541" i="55"/>
  <c r="O542" i="55" a="1"/>
  <c r="O542" i="55"/>
  <c r="P542" i="55" a="1"/>
  <c r="P542" i="55"/>
  <c r="O543" i="55" a="1"/>
  <c r="O543" i="55"/>
  <c r="P543" i="55" a="1"/>
  <c r="P543" i="55"/>
  <c r="O544" i="55" a="1"/>
  <c r="O544" i="55"/>
  <c r="P544" i="55" a="1"/>
  <c r="P544" i="55"/>
  <c r="O545" i="55" a="1"/>
  <c r="O545" i="55"/>
  <c r="P545" i="55" a="1"/>
  <c r="P545" i="55"/>
  <c r="O546" i="55" a="1"/>
  <c r="O546" i="55"/>
  <c r="P546" i="55" a="1"/>
  <c r="P546" i="55"/>
  <c r="O547" i="55" a="1"/>
  <c r="O547" i="55"/>
  <c r="P547" i="55" a="1"/>
  <c r="P547" i="55"/>
  <c r="O548" i="55" a="1"/>
  <c r="O548" i="55"/>
  <c r="P548" i="55" a="1"/>
  <c r="P548" i="55"/>
  <c r="O549" i="55" a="1"/>
  <c r="O549" i="55"/>
  <c r="P549" i="55" a="1"/>
  <c r="P549" i="55"/>
  <c r="O550" i="55" a="1"/>
  <c r="O550" i="55"/>
  <c r="P550" i="55" a="1"/>
  <c r="P550" i="55"/>
  <c r="O551" i="55" a="1"/>
  <c r="O551" i="55"/>
  <c r="P551" i="55" a="1"/>
  <c r="P551" i="55"/>
  <c r="O552" i="55" a="1"/>
  <c r="O552" i="55"/>
  <c r="P552" i="55" a="1"/>
  <c r="P552" i="55"/>
  <c r="O553" i="55" a="1"/>
  <c r="O553" i="55"/>
  <c r="P553" i="55" a="1"/>
  <c r="P553" i="55"/>
  <c r="O554" i="55" a="1"/>
  <c r="O554" i="55"/>
  <c r="P554" i="55" a="1"/>
  <c r="P554" i="55"/>
  <c r="O555" i="55" a="1"/>
  <c r="O555" i="55"/>
  <c r="P555" i="55" a="1"/>
  <c r="P555" i="55"/>
  <c r="O556" i="55" a="1"/>
  <c r="O556" i="55"/>
  <c r="P556" i="55" a="1"/>
  <c r="P556" i="55"/>
  <c r="O557" i="55" a="1"/>
  <c r="O557" i="55"/>
  <c r="P557" i="55" a="1"/>
  <c r="P557" i="55"/>
  <c r="O558" i="55" a="1"/>
  <c r="O558" i="55"/>
  <c r="P558" i="55" a="1"/>
  <c r="P558" i="55"/>
  <c r="O559" i="55" a="1"/>
  <c r="O559" i="55"/>
  <c r="P559" i="55" a="1"/>
  <c r="P559" i="55"/>
  <c r="O560" i="55" a="1"/>
  <c r="O560" i="55"/>
  <c r="P560" i="55" a="1"/>
  <c r="P560" i="55"/>
  <c r="O561" i="55" a="1"/>
  <c r="O561" i="55"/>
  <c r="P561" i="55" a="1"/>
  <c r="P561" i="55"/>
  <c r="O562" i="55" a="1"/>
  <c r="O562" i="55"/>
  <c r="P562" i="55" a="1"/>
  <c r="P562" i="55"/>
  <c r="O563" i="55" a="1"/>
  <c r="O563" i="55"/>
  <c r="P563" i="55" a="1"/>
  <c r="P563" i="55"/>
  <c r="O564" i="55" a="1"/>
  <c r="O564" i="55"/>
  <c r="P564" i="55" a="1"/>
  <c r="P564" i="55"/>
  <c r="O565" i="55" a="1"/>
  <c r="O565" i="55"/>
  <c r="P565" i="55" a="1"/>
  <c r="P565" i="55"/>
  <c r="O566" i="55" a="1"/>
  <c r="O566" i="55"/>
  <c r="P566" i="55" a="1"/>
  <c r="P566" i="55"/>
  <c r="O567" i="55" a="1"/>
  <c r="O567" i="55"/>
  <c r="P567" i="55" a="1"/>
  <c r="P567" i="55"/>
  <c r="O568" i="55" a="1"/>
  <c r="O568" i="55"/>
  <c r="P568" i="55" a="1"/>
  <c r="P568" i="55"/>
  <c r="O569" i="55" a="1"/>
  <c r="O569" i="55"/>
  <c r="P569" i="55" a="1"/>
  <c r="P569" i="55"/>
  <c r="O570" i="55" a="1"/>
  <c r="O570" i="55"/>
  <c r="P570" i="55" a="1"/>
  <c r="P570" i="55"/>
  <c r="O571" i="55" a="1"/>
  <c r="O571" i="55"/>
  <c r="P571" i="55" a="1"/>
  <c r="P571" i="55"/>
  <c r="O572" i="55" a="1"/>
  <c r="O572" i="55"/>
  <c r="P572" i="55" a="1"/>
  <c r="P572" i="55"/>
  <c r="O573" i="55" a="1"/>
  <c r="O573" i="55"/>
  <c r="P573" i="55" a="1"/>
  <c r="P573" i="55"/>
  <c r="O574" i="55" a="1"/>
  <c r="O574" i="55"/>
  <c r="P574" i="55" a="1"/>
  <c r="P574" i="55"/>
  <c r="O575" i="55" a="1"/>
  <c r="O575" i="55"/>
  <c r="P575" i="55" a="1"/>
  <c r="P575" i="55"/>
  <c r="O576" i="55" a="1"/>
  <c r="O576" i="55"/>
  <c r="P576" i="55" a="1"/>
  <c r="P576" i="55"/>
  <c r="O577" i="55" a="1"/>
  <c r="O577" i="55"/>
  <c r="P577" i="55" a="1"/>
  <c r="P577" i="55"/>
  <c r="O578" i="55" a="1"/>
  <c r="O578" i="55"/>
  <c r="P578" i="55" a="1"/>
  <c r="P578" i="55"/>
  <c r="O579" i="55" a="1"/>
  <c r="O579" i="55"/>
  <c r="P579" i="55" a="1"/>
  <c r="P579" i="55"/>
  <c r="O580" i="55" a="1"/>
  <c r="O580" i="55"/>
  <c r="P580" i="55" a="1"/>
  <c r="P580" i="55"/>
  <c r="O581" i="55" a="1"/>
  <c r="O581" i="55"/>
  <c r="P581" i="55" a="1"/>
  <c r="P581" i="55"/>
  <c r="O582" i="55" a="1"/>
  <c r="O582" i="55"/>
  <c r="P582" i="55" a="1"/>
  <c r="P582" i="55"/>
  <c r="O583" i="55" a="1"/>
  <c r="O583" i="55"/>
  <c r="P583" i="55" a="1"/>
  <c r="P583" i="55"/>
  <c r="O584" i="55" a="1"/>
  <c r="O584" i="55"/>
  <c r="P584" i="55" a="1"/>
  <c r="P584" i="55"/>
  <c r="O585" i="55" a="1"/>
  <c r="O585" i="55"/>
  <c r="P585" i="55" a="1"/>
  <c r="P585" i="55"/>
  <c r="O586" i="55" a="1"/>
  <c r="O586" i="55"/>
  <c r="P586" i="55" a="1"/>
  <c r="P586" i="55"/>
  <c r="O587" i="55" a="1"/>
  <c r="O587" i="55"/>
  <c r="P587" i="55" a="1"/>
  <c r="P587" i="55"/>
  <c r="O588" i="55" a="1"/>
  <c r="O588" i="55"/>
  <c r="P588" i="55" a="1"/>
  <c r="P588" i="55"/>
  <c r="O589" i="55" a="1"/>
  <c r="O589" i="55"/>
  <c r="P589" i="55" a="1"/>
  <c r="P589" i="55"/>
  <c r="O590" i="55" a="1"/>
  <c r="O590" i="55"/>
  <c r="P590" i="55" a="1"/>
  <c r="P590" i="55"/>
  <c r="O591" i="55" a="1"/>
  <c r="O591" i="55"/>
  <c r="P591" i="55" a="1"/>
  <c r="P591" i="55"/>
  <c r="O592" i="55" a="1"/>
  <c r="O592" i="55"/>
  <c r="P592" i="55" a="1"/>
  <c r="P592" i="55"/>
  <c r="O593" i="55" a="1"/>
  <c r="O593" i="55"/>
  <c r="P593" i="55" a="1"/>
  <c r="P593" i="55"/>
  <c r="O594" i="55" a="1"/>
  <c r="O594" i="55"/>
  <c r="P594" i="55" a="1"/>
  <c r="P594" i="55"/>
  <c r="O595" i="55" a="1"/>
  <c r="O595" i="55"/>
  <c r="P595" i="55" a="1"/>
  <c r="P595" i="55"/>
  <c r="O596" i="55" a="1"/>
  <c r="O596" i="55"/>
  <c r="P596" i="55" a="1"/>
  <c r="P596" i="55"/>
  <c r="O597" i="55" a="1"/>
  <c r="O597" i="55"/>
  <c r="P597" i="55" a="1"/>
  <c r="P597" i="55"/>
  <c r="O598" i="55" a="1"/>
  <c r="O598" i="55"/>
  <c r="P598" i="55" a="1"/>
  <c r="P598" i="55"/>
  <c r="O599" i="55" a="1"/>
  <c r="O599" i="55"/>
  <c r="P599" i="55" a="1"/>
  <c r="P599" i="55"/>
  <c r="O600" i="55" a="1"/>
  <c r="O600" i="55"/>
  <c r="P600" i="55" a="1"/>
  <c r="P600" i="55"/>
  <c r="O601" i="55" a="1"/>
  <c r="O601" i="55"/>
  <c r="P601" i="55" a="1"/>
  <c r="P601" i="55"/>
  <c r="O602" i="55" a="1"/>
  <c r="O602" i="55"/>
  <c r="P602" i="55" a="1"/>
  <c r="P602" i="55"/>
  <c r="O603" i="55" a="1"/>
  <c r="O603" i="55"/>
  <c r="P603" i="55" a="1"/>
  <c r="P603" i="55"/>
  <c r="O604" i="55" a="1"/>
  <c r="O604" i="55"/>
  <c r="P604" i="55" a="1"/>
  <c r="P604" i="55"/>
  <c r="O605" i="55" a="1"/>
  <c r="O605" i="55"/>
  <c r="P605" i="55" a="1"/>
  <c r="P605" i="55"/>
  <c r="O606" i="55" a="1"/>
  <c r="O606" i="55"/>
  <c r="P606" i="55" a="1"/>
  <c r="P606" i="55"/>
  <c r="O607" i="55" a="1"/>
  <c r="O607" i="55"/>
  <c r="P607" i="55" a="1"/>
  <c r="P607" i="55"/>
  <c r="O608" i="55" a="1"/>
  <c r="O608" i="55"/>
  <c r="P608" i="55" a="1"/>
  <c r="P608" i="55"/>
  <c r="O609" i="55" a="1"/>
  <c r="O609" i="55"/>
  <c r="P609" i="55" a="1"/>
  <c r="P609" i="55"/>
  <c r="O610" i="55" a="1"/>
  <c r="O610" i="55"/>
  <c r="P610" i="55" a="1"/>
  <c r="P610" i="55"/>
  <c r="O611" i="55" a="1"/>
  <c r="O611" i="55"/>
  <c r="P611" i="55" a="1"/>
  <c r="P611" i="55"/>
  <c r="O612" i="55" a="1"/>
  <c r="O612" i="55"/>
  <c r="P612" i="55" a="1"/>
  <c r="P612" i="55"/>
  <c r="O613" i="55" a="1"/>
  <c r="O613" i="55"/>
  <c r="P613" i="55" a="1"/>
  <c r="P613" i="55"/>
  <c r="O614" i="55" a="1"/>
  <c r="O614" i="55"/>
  <c r="P614" i="55" a="1"/>
  <c r="P614" i="55"/>
  <c r="O615" i="55" a="1"/>
  <c r="O615" i="55"/>
  <c r="P615" i="55" a="1"/>
  <c r="P615" i="55"/>
  <c r="O616" i="55" a="1"/>
  <c r="O616" i="55"/>
  <c r="P616" i="55" a="1"/>
  <c r="P616" i="55"/>
  <c r="O617" i="55" a="1"/>
  <c r="O617" i="55"/>
  <c r="P617" i="55" a="1"/>
  <c r="P617" i="55"/>
  <c r="O618" i="55" a="1"/>
  <c r="O618" i="55"/>
  <c r="P618" i="55" a="1"/>
  <c r="P618" i="55"/>
  <c r="O619" i="55" a="1"/>
  <c r="O619" i="55"/>
  <c r="P619" i="55" a="1"/>
  <c r="P619" i="55"/>
  <c r="O620" i="55" a="1"/>
  <c r="O620" i="55"/>
  <c r="P620" i="55" a="1"/>
  <c r="P620" i="55"/>
  <c r="O621" i="55" a="1"/>
  <c r="O621" i="55"/>
  <c r="P621" i="55" a="1"/>
  <c r="P621" i="55"/>
  <c r="O622" i="55" a="1"/>
  <c r="O622" i="55"/>
  <c r="P622" i="55" a="1"/>
  <c r="P622" i="55"/>
  <c r="O623" i="55" a="1"/>
  <c r="O623" i="55"/>
  <c r="P623" i="55" a="1"/>
  <c r="P623" i="55"/>
  <c r="O624" i="55" a="1"/>
  <c r="O624" i="55"/>
  <c r="P624" i="55" a="1"/>
  <c r="P624" i="55"/>
  <c r="O625" i="55" a="1"/>
  <c r="O625" i="55"/>
  <c r="P625" i="55" a="1"/>
  <c r="P625" i="55"/>
  <c r="O626" i="55" a="1"/>
  <c r="O626" i="55"/>
  <c r="P626" i="55" a="1"/>
  <c r="P626" i="55"/>
  <c r="O627" i="55" a="1"/>
  <c r="O627" i="55"/>
  <c r="P627" i="55" a="1"/>
  <c r="P627" i="55"/>
  <c r="O628" i="55" a="1"/>
  <c r="O628" i="55"/>
  <c r="P628" i="55" a="1"/>
  <c r="P628" i="55"/>
  <c r="O629" i="55" a="1"/>
  <c r="O629" i="55"/>
  <c r="P629" i="55" a="1"/>
  <c r="P629" i="55"/>
  <c r="O630" i="55" a="1"/>
  <c r="O630" i="55"/>
  <c r="P630" i="55" a="1"/>
  <c r="P630" i="55"/>
  <c r="O631" i="55" a="1"/>
  <c r="O631" i="55"/>
  <c r="P631" i="55" a="1"/>
  <c r="P631" i="55"/>
  <c r="O632" i="55" a="1"/>
  <c r="O632" i="55"/>
  <c r="P632" i="55" a="1"/>
  <c r="P632" i="55"/>
  <c r="O633" i="55" a="1"/>
  <c r="O633" i="55"/>
  <c r="P633" i="55" a="1"/>
  <c r="P633" i="55"/>
  <c r="O634" i="55" a="1"/>
  <c r="O634" i="55"/>
  <c r="P634" i="55" a="1"/>
  <c r="P634" i="55"/>
  <c r="O635" i="55" a="1"/>
  <c r="O635" i="55"/>
  <c r="P635" i="55" a="1"/>
  <c r="P635" i="55"/>
  <c r="O636" i="55" a="1"/>
  <c r="O636" i="55"/>
  <c r="P636" i="55" a="1"/>
  <c r="P636" i="55"/>
  <c r="O637" i="55" a="1"/>
  <c r="O637" i="55"/>
  <c r="P637" i="55" a="1"/>
  <c r="P637" i="55"/>
  <c r="O638" i="55" a="1"/>
  <c r="O638" i="55"/>
  <c r="P638" i="55" a="1"/>
  <c r="P638" i="55"/>
  <c r="O639" i="55" a="1"/>
  <c r="O639" i="55"/>
  <c r="P639" i="55" a="1"/>
  <c r="P639" i="55"/>
  <c r="O640" i="55" a="1"/>
  <c r="O640" i="55"/>
  <c r="P640" i="55" a="1"/>
  <c r="P640" i="55"/>
  <c r="O641" i="55" a="1"/>
  <c r="O641" i="55"/>
  <c r="P641" i="55" a="1"/>
  <c r="P641" i="55"/>
  <c r="O642" i="55" a="1"/>
  <c r="O642" i="55"/>
  <c r="P642" i="55" a="1"/>
  <c r="P642" i="55"/>
  <c r="O643" i="55" a="1"/>
  <c r="O643" i="55"/>
  <c r="P643" i="55" a="1"/>
  <c r="P643" i="55"/>
  <c r="O644" i="55" a="1"/>
  <c r="O644" i="55"/>
  <c r="P644" i="55" a="1"/>
  <c r="P644" i="55"/>
  <c r="O645" i="55" a="1"/>
  <c r="O645" i="55"/>
  <c r="P645" i="55" a="1"/>
  <c r="P645" i="55"/>
  <c r="O646" i="55" a="1"/>
  <c r="O646" i="55"/>
  <c r="P646" i="55" a="1"/>
  <c r="P646" i="55"/>
  <c r="O647" i="55" a="1"/>
  <c r="O647" i="55"/>
  <c r="P647" i="55" a="1"/>
  <c r="P647" i="55"/>
  <c r="O648" i="55" a="1"/>
  <c r="O648" i="55"/>
  <c r="P648" i="55" a="1"/>
  <c r="P648" i="55"/>
  <c r="O649" i="55" a="1"/>
  <c r="O649" i="55"/>
  <c r="P649" i="55" a="1"/>
  <c r="P649" i="55"/>
  <c r="O650" i="55" a="1"/>
  <c r="O650" i="55"/>
  <c r="P650" i="55" a="1"/>
  <c r="P650" i="55"/>
  <c r="O651" i="55" a="1"/>
  <c r="O651" i="55"/>
  <c r="P651" i="55" a="1"/>
  <c r="P651" i="55"/>
  <c r="O652" i="55" a="1"/>
  <c r="O652" i="55"/>
  <c r="P652" i="55" a="1"/>
  <c r="P652" i="55"/>
  <c r="O653" i="55" a="1"/>
  <c r="O653" i="55"/>
  <c r="P653" i="55" a="1"/>
  <c r="P653" i="55"/>
  <c r="O654" i="55" a="1"/>
  <c r="O654" i="55"/>
  <c r="P654" i="55" a="1"/>
  <c r="P654" i="55"/>
  <c r="O655" i="55" a="1"/>
  <c r="O655" i="55"/>
  <c r="P655" i="55" a="1"/>
  <c r="P655" i="55"/>
  <c r="O656" i="55" a="1"/>
  <c r="O656" i="55"/>
  <c r="P656" i="55" a="1"/>
  <c r="P656" i="55"/>
  <c r="O657" i="55" a="1"/>
  <c r="O657" i="55"/>
  <c r="P657" i="55" a="1"/>
  <c r="P657" i="55"/>
  <c r="O658" i="55" a="1"/>
  <c r="O658" i="55"/>
  <c r="P658" i="55" a="1"/>
  <c r="P658" i="55"/>
  <c r="O659" i="55" a="1"/>
  <c r="O659" i="55"/>
  <c r="P659" i="55" a="1"/>
  <c r="P659" i="55"/>
  <c r="O660" i="55" a="1"/>
  <c r="O660" i="55"/>
  <c r="P660" i="55" a="1"/>
  <c r="P660" i="55"/>
  <c r="O661" i="55" a="1"/>
  <c r="O661" i="55"/>
  <c r="P661" i="55" a="1"/>
  <c r="P661" i="55"/>
  <c r="O662" i="55" a="1"/>
  <c r="O662" i="55"/>
  <c r="P662" i="55" a="1"/>
  <c r="P662" i="55"/>
  <c r="O663" i="55" a="1"/>
  <c r="O663" i="55"/>
  <c r="P663" i="55" a="1"/>
  <c r="P663" i="55"/>
  <c r="O664" i="55" a="1"/>
  <c r="O664" i="55"/>
  <c r="P664" i="55" a="1"/>
  <c r="P664" i="55"/>
  <c r="O665" i="55" a="1"/>
  <c r="O665" i="55"/>
  <c r="P665" i="55" a="1"/>
  <c r="P665" i="55"/>
  <c r="O666" i="55" a="1"/>
  <c r="O666" i="55"/>
  <c r="P666" i="55" a="1"/>
  <c r="P666" i="55"/>
  <c r="O667" i="55" a="1"/>
  <c r="O667" i="55"/>
  <c r="P667" i="55" a="1"/>
  <c r="P667" i="55"/>
  <c r="O668" i="55" a="1"/>
  <c r="O668" i="55"/>
  <c r="P668" i="55" a="1"/>
  <c r="P668" i="55"/>
  <c r="O669" i="55" a="1"/>
  <c r="O669" i="55"/>
  <c r="P669" i="55" a="1"/>
  <c r="P669" i="55"/>
  <c r="O670" i="55" a="1"/>
  <c r="O670" i="55"/>
  <c r="P670" i="55" a="1"/>
  <c r="P670" i="55"/>
  <c r="O671" i="55" a="1"/>
  <c r="O671" i="55"/>
  <c r="P671" i="55" a="1"/>
  <c r="P671" i="55"/>
  <c r="O672" i="55" a="1"/>
  <c r="O672" i="55"/>
  <c r="P672" i="55" a="1"/>
  <c r="P672" i="55"/>
  <c r="O673" i="55" a="1"/>
  <c r="O673" i="55"/>
  <c r="P673" i="55" a="1"/>
  <c r="P673" i="55"/>
  <c r="O674" i="55" a="1"/>
  <c r="O674" i="55"/>
  <c r="P674" i="55" a="1"/>
  <c r="P674" i="55"/>
  <c r="O675" i="55" a="1"/>
  <c r="O675" i="55"/>
  <c r="P675" i="55" a="1"/>
  <c r="P675" i="55"/>
  <c r="O676" i="55" a="1"/>
  <c r="O676" i="55"/>
  <c r="P676" i="55" a="1"/>
  <c r="P676" i="55"/>
  <c r="O677" i="55" a="1"/>
  <c r="O677" i="55"/>
  <c r="P677" i="55" a="1"/>
  <c r="P677" i="55"/>
  <c r="O678" i="55" a="1"/>
  <c r="O678" i="55"/>
  <c r="P678" i="55" a="1"/>
  <c r="P678" i="55"/>
  <c r="O679" i="55" a="1"/>
  <c r="O679" i="55"/>
  <c r="P679" i="55" a="1"/>
  <c r="P679" i="55"/>
  <c r="O680" i="55" a="1"/>
  <c r="O680" i="55"/>
  <c r="P680" i="55" a="1"/>
  <c r="P680" i="55"/>
  <c r="O681" i="55" a="1"/>
  <c r="O681" i="55"/>
  <c r="P681" i="55" a="1"/>
  <c r="P681" i="55"/>
  <c r="O682" i="55" a="1"/>
  <c r="O682" i="55"/>
  <c r="P682" i="55" a="1"/>
  <c r="P682" i="55"/>
  <c r="O683" i="55" a="1"/>
  <c r="O683" i="55"/>
  <c r="P683" i="55" a="1"/>
  <c r="P683" i="55"/>
  <c r="O684" i="55" a="1"/>
  <c r="O684" i="55"/>
  <c r="P684" i="55" a="1"/>
  <c r="P684" i="55"/>
  <c r="O685" i="55" a="1"/>
  <c r="O685" i="55"/>
  <c r="P685" i="55" a="1"/>
  <c r="P685" i="55"/>
  <c r="O686" i="55" a="1"/>
  <c r="O686" i="55"/>
  <c r="P686" i="55" a="1"/>
  <c r="P686" i="55"/>
  <c r="O687" i="55" a="1"/>
  <c r="O687" i="55"/>
  <c r="P687" i="55" a="1"/>
  <c r="P687" i="55"/>
  <c r="O688" i="55" a="1"/>
  <c r="O688" i="55"/>
  <c r="P688" i="55" a="1"/>
  <c r="P688" i="55"/>
  <c r="O689" i="55" a="1"/>
  <c r="O689" i="55"/>
  <c r="P689" i="55" a="1"/>
  <c r="P689" i="55"/>
  <c r="O690" i="55" a="1"/>
  <c r="O690" i="55"/>
  <c r="P690" i="55" a="1"/>
  <c r="P690" i="55"/>
  <c r="O691" i="55" a="1"/>
  <c r="O691" i="55"/>
  <c r="P691" i="55" a="1"/>
  <c r="P691" i="55"/>
  <c r="O692" i="55" a="1"/>
  <c r="O692" i="55"/>
  <c r="P692" i="55" a="1"/>
  <c r="P692" i="55"/>
  <c r="O693" i="55" a="1"/>
  <c r="O693" i="55"/>
  <c r="P693" i="55" a="1"/>
  <c r="P693" i="55"/>
  <c r="O694" i="55" a="1"/>
  <c r="O694" i="55"/>
  <c r="P694" i="55" a="1"/>
  <c r="P694" i="55"/>
  <c r="O695" i="55" a="1"/>
  <c r="O695" i="55"/>
  <c r="P695" i="55" a="1"/>
  <c r="P695" i="55"/>
  <c r="O696" i="55" a="1"/>
  <c r="O696" i="55"/>
  <c r="P696" i="55" a="1"/>
  <c r="P696" i="55"/>
  <c r="O697" i="55" a="1"/>
  <c r="O697" i="55"/>
  <c r="P697" i="55" a="1"/>
  <c r="P697" i="55"/>
  <c r="O698" i="55" a="1"/>
  <c r="O698" i="55"/>
  <c r="P698" i="55" a="1"/>
  <c r="P698" i="55"/>
  <c r="O699" i="55" a="1"/>
  <c r="O699" i="55"/>
  <c r="P699" i="55" a="1"/>
  <c r="P699" i="55"/>
  <c r="O700" i="55" a="1"/>
  <c r="O700" i="55"/>
  <c r="P700" i="55" a="1"/>
  <c r="P700" i="55"/>
  <c r="O701" i="55" a="1"/>
  <c r="O701" i="55"/>
  <c r="P701" i="55" a="1"/>
  <c r="P701" i="55"/>
  <c r="O702" i="55" a="1"/>
  <c r="O702" i="55"/>
  <c r="P702" i="55" a="1"/>
  <c r="P702" i="55"/>
  <c r="O703" i="55" a="1"/>
  <c r="O703" i="55"/>
  <c r="P703" i="55" a="1"/>
  <c r="P703" i="55"/>
  <c r="O704" i="55" a="1"/>
  <c r="O704" i="55"/>
  <c r="P704" i="55" a="1"/>
  <c r="P704" i="55"/>
  <c r="O705" i="55" a="1"/>
  <c r="O705" i="55"/>
  <c r="P705" i="55" a="1"/>
  <c r="P705" i="55"/>
  <c r="O706" i="55" a="1"/>
  <c r="O706" i="55"/>
  <c r="P706" i="55" a="1"/>
  <c r="P706" i="55"/>
  <c r="O707" i="55" a="1"/>
  <c r="O707" i="55"/>
  <c r="P707" i="55" a="1"/>
  <c r="P707" i="55"/>
  <c r="O708" i="55" a="1"/>
  <c r="O708" i="55"/>
  <c r="P708" i="55" a="1"/>
  <c r="P708" i="55"/>
  <c r="O709" i="55" a="1"/>
  <c r="O709" i="55"/>
  <c r="P709" i="55" a="1"/>
  <c r="P709" i="55"/>
  <c r="O710" i="55" a="1"/>
  <c r="O710" i="55"/>
  <c r="P710" i="55" a="1"/>
  <c r="P710" i="55"/>
  <c r="O711" i="55" a="1"/>
  <c r="O711" i="55"/>
  <c r="P711" i="55" a="1"/>
  <c r="P711" i="55"/>
  <c r="O712" i="55" a="1"/>
  <c r="O712" i="55"/>
  <c r="P712" i="55" a="1"/>
  <c r="P712" i="55"/>
  <c r="O713" i="55" a="1"/>
  <c r="O713" i="55"/>
  <c r="P713" i="55" a="1"/>
  <c r="P713" i="55"/>
  <c r="O714" i="55" a="1"/>
  <c r="O714" i="55"/>
  <c r="P714" i="55" a="1"/>
  <c r="P714" i="55"/>
  <c r="O715" i="55" a="1"/>
  <c r="O715" i="55"/>
  <c r="P715" i="55" a="1"/>
  <c r="P715" i="55"/>
  <c r="O716" i="55" a="1"/>
  <c r="O716" i="55"/>
  <c r="P716" i="55" a="1"/>
  <c r="P716" i="55"/>
  <c r="O717" i="55" a="1"/>
  <c r="O717" i="55"/>
  <c r="P717" i="55" a="1"/>
  <c r="P717" i="55"/>
  <c r="O718" i="55" a="1"/>
  <c r="O718" i="55"/>
  <c r="P718" i="55" a="1"/>
  <c r="P718" i="55"/>
  <c r="O719" i="55" a="1"/>
  <c r="O719" i="55"/>
  <c r="P719" i="55" a="1"/>
  <c r="P719" i="55"/>
  <c r="O720" i="55" a="1"/>
  <c r="O720" i="55"/>
  <c r="P720" i="55" a="1"/>
  <c r="P720" i="55"/>
  <c r="O721" i="55" a="1"/>
  <c r="O721" i="55"/>
  <c r="P721" i="55" a="1"/>
  <c r="P721" i="55"/>
  <c r="O722" i="55" a="1"/>
  <c r="O722" i="55"/>
  <c r="P722" i="55" a="1"/>
  <c r="P722" i="55"/>
  <c r="O723" i="55" a="1"/>
  <c r="O723" i="55"/>
  <c r="P723" i="55" a="1"/>
  <c r="P723" i="55"/>
  <c r="O724" i="55" a="1"/>
  <c r="O724" i="55"/>
  <c r="P724" i="55" a="1"/>
  <c r="P724" i="55"/>
  <c r="O725" i="55" a="1"/>
  <c r="O725" i="55"/>
  <c r="P725" i="55" a="1"/>
  <c r="P725" i="55"/>
  <c r="O726" i="55" a="1"/>
  <c r="O726" i="55"/>
  <c r="P726" i="55" a="1"/>
  <c r="P726" i="55"/>
  <c r="O727" i="55" a="1"/>
  <c r="O727" i="55"/>
  <c r="P727" i="55" a="1"/>
  <c r="P727" i="55"/>
  <c r="O728" i="55" a="1"/>
  <c r="O728" i="55"/>
  <c r="P728" i="55" a="1"/>
  <c r="P728" i="55"/>
  <c r="O729" i="55" a="1"/>
  <c r="O729" i="55"/>
  <c r="P729" i="55" a="1"/>
  <c r="P729" i="55"/>
  <c r="O730" i="55" a="1"/>
  <c r="O730" i="55"/>
  <c r="P730" i="55" a="1"/>
  <c r="P730" i="55"/>
  <c r="O731" i="55" a="1"/>
  <c r="O731" i="55"/>
  <c r="P731" i="55" a="1"/>
  <c r="P731" i="55"/>
  <c r="O732" i="55" a="1"/>
  <c r="O732" i="55"/>
  <c r="P732" i="55" a="1"/>
  <c r="P732" i="55"/>
  <c r="O733" i="55" a="1"/>
  <c r="O733" i="55"/>
  <c r="P733" i="55" a="1"/>
  <c r="P733" i="55"/>
  <c r="O734" i="55" a="1"/>
  <c r="O734" i="55"/>
  <c r="P734" i="55" a="1"/>
  <c r="P734" i="55"/>
  <c r="O735" i="55" a="1"/>
  <c r="O735" i="55"/>
  <c r="P735" i="55" a="1"/>
  <c r="P735" i="55"/>
  <c r="O736" i="55" a="1"/>
  <c r="O736" i="55"/>
  <c r="P736" i="55" a="1"/>
  <c r="P736" i="55"/>
  <c r="O737" i="55" a="1"/>
  <c r="O737" i="55"/>
  <c r="P737" i="55" a="1"/>
  <c r="P737" i="55"/>
  <c r="O738" i="55" a="1"/>
  <c r="O738" i="55"/>
  <c r="P738" i="55" a="1"/>
  <c r="P738" i="55"/>
  <c r="O739" i="55" a="1"/>
  <c r="O739" i="55"/>
  <c r="P739" i="55" a="1"/>
  <c r="P739" i="55"/>
  <c r="O740" i="55" a="1"/>
  <c r="O740" i="55"/>
  <c r="P740" i="55" a="1"/>
  <c r="P740" i="55"/>
  <c r="O741" i="55" a="1"/>
  <c r="O741" i="55"/>
  <c r="P741" i="55" a="1"/>
  <c r="P741" i="55"/>
  <c r="O742" i="55" a="1"/>
  <c r="O742" i="55"/>
  <c r="P742" i="55" a="1"/>
  <c r="P742" i="55"/>
  <c r="O743" i="55" a="1"/>
  <c r="O743" i="55"/>
  <c r="P743" i="55" a="1"/>
  <c r="P743" i="55"/>
  <c r="O744" i="55" a="1"/>
  <c r="O744" i="55"/>
  <c r="P744" i="55" a="1"/>
  <c r="P744" i="55"/>
  <c r="O745" i="55" a="1"/>
  <c r="O745" i="55"/>
  <c r="P745" i="55" a="1"/>
  <c r="P745" i="55"/>
  <c r="O746" i="55" a="1"/>
  <c r="O746" i="55"/>
  <c r="P746" i="55" a="1"/>
  <c r="P746" i="55"/>
  <c r="O747" i="55" a="1"/>
  <c r="O747" i="55"/>
  <c r="P747" i="55" a="1"/>
  <c r="P747" i="55"/>
  <c r="O748" i="55" a="1"/>
  <c r="O748" i="55"/>
  <c r="P748" i="55" a="1"/>
  <c r="P748" i="55"/>
  <c r="O749" i="55" a="1"/>
  <c r="O749" i="55"/>
  <c r="P749" i="55" a="1"/>
  <c r="P749" i="55"/>
  <c r="O750" i="55" a="1"/>
  <c r="O750" i="55"/>
  <c r="P750" i="55" a="1"/>
  <c r="P750" i="55"/>
  <c r="O751" i="55" a="1"/>
  <c r="O751" i="55"/>
  <c r="P751" i="55" a="1"/>
  <c r="P751" i="55"/>
  <c r="O752" i="55" a="1"/>
  <c r="O752" i="55"/>
  <c r="P752" i="55" a="1"/>
  <c r="P752" i="55"/>
  <c r="O753" i="55" a="1"/>
  <c r="O753" i="55"/>
  <c r="P753" i="55" a="1"/>
  <c r="P753" i="55"/>
  <c r="O754" i="55" a="1"/>
  <c r="O754" i="55"/>
  <c r="P754" i="55" a="1"/>
  <c r="P754" i="55"/>
  <c r="O755" i="55" a="1"/>
  <c r="O755" i="55"/>
  <c r="P755" i="55" a="1"/>
  <c r="P755" i="55"/>
  <c r="O756" i="55" a="1"/>
  <c r="O756" i="55"/>
  <c r="P756" i="55" a="1"/>
  <c r="P756" i="55"/>
  <c r="O757" i="55" a="1"/>
  <c r="O757" i="55"/>
  <c r="P757" i="55" a="1"/>
  <c r="P757" i="55"/>
  <c r="O758" i="55" a="1"/>
  <c r="O758" i="55"/>
  <c r="P758" i="55" a="1"/>
  <c r="P758" i="55"/>
  <c r="O759" i="55" a="1"/>
  <c r="O759" i="55"/>
  <c r="P759" i="55" a="1"/>
  <c r="P759" i="55"/>
  <c r="O760" i="55" a="1"/>
  <c r="O760" i="55"/>
  <c r="P760" i="55" a="1"/>
  <c r="P760" i="55"/>
  <c r="O761" i="55" a="1"/>
  <c r="O761" i="55"/>
  <c r="P761" i="55" a="1"/>
  <c r="P761" i="55"/>
  <c r="O762" i="55" a="1"/>
  <c r="O762" i="55"/>
  <c r="P762" i="55" a="1"/>
  <c r="P762" i="55"/>
  <c r="O763" i="55" a="1"/>
  <c r="O763" i="55"/>
  <c r="P763" i="55" a="1"/>
  <c r="P763" i="55"/>
  <c r="O764" i="55" a="1"/>
  <c r="O764" i="55"/>
  <c r="P764" i="55" a="1"/>
  <c r="P764" i="55"/>
  <c r="O765" i="55" a="1"/>
  <c r="O765" i="55"/>
  <c r="P765" i="55" a="1"/>
  <c r="P765" i="55"/>
  <c r="O766" i="55" a="1"/>
  <c r="O766" i="55"/>
  <c r="P766" i="55" a="1"/>
  <c r="P766" i="55"/>
  <c r="O767" i="55" a="1"/>
  <c r="O767" i="55"/>
  <c r="P767" i="55" a="1"/>
  <c r="P767" i="55"/>
  <c r="O768" i="55" a="1"/>
  <c r="O768" i="55"/>
  <c r="P768" i="55" a="1"/>
  <c r="P768" i="55"/>
  <c r="O769" i="55" a="1"/>
  <c r="O769" i="55"/>
  <c r="P769" i="55" a="1"/>
  <c r="P769" i="55"/>
  <c r="O770" i="55" a="1"/>
  <c r="O770" i="55"/>
  <c r="P770" i="55" a="1"/>
  <c r="P770" i="55"/>
  <c r="O771" i="55" a="1"/>
  <c r="O771" i="55"/>
  <c r="P771" i="55" a="1"/>
  <c r="P771" i="55"/>
  <c r="O772" i="55" a="1"/>
  <c r="O772" i="55"/>
  <c r="P772" i="55" a="1"/>
  <c r="P772" i="55"/>
  <c r="O773" i="55" a="1"/>
  <c r="O773" i="55"/>
  <c r="P773" i="55" a="1"/>
  <c r="P773" i="55"/>
  <c r="O774" i="55" a="1"/>
  <c r="O774" i="55"/>
  <c r="P774" i="55" a="1"/>
  <c r="P774" i="55"/>
  <c r="O775" i="55" a="1"/>
  <c r="O775" i="55"/>
  <c r="P775" i="55" a="1"/>
  <c r="P775" i="55"/>
  <c r="O776" i="55" a="1"/>
  <c r="O776" i="55"/>
  <c r="P776" i="55" a="1"/>
  <c r="P776" i="55"/>
  <c r="O777" i="55" a="1"/>
  <c r="O777" i="55"/>
  <c r="P777" i="55" a="1"/>
  <c r="P777" i="55"/>
  <c r="O778" i="55" a="1"/>
  <c r="O778" i="55"/>
  <c r="P778" i="55" a="1"/>
  <c r="P778" i="55"/>
  <c r="O779" i="55" a="1"/>
  <c r="O779" i="55"/>
  <c r="P779" i="55" a="1"/>
  <c r="P779" i="55"/>
  <c r="O780" i="55" a="1"/>
  <c r="O780" i="55"/>
  <c r="P780" i="55" a="1"/>
  <c r="P780" i="55"/>
  <c r="O781" i="55" a="1"/>
  <c r="O781" i="55"/>
  <c r="P781" i="55" a="1"/>
  <c r="P781" i="55"/>
  <c r="O782" i="55" a="1"/>
  <c r="O782" i="55"/>
  <c r="P782" i="55" a="1"/>
  <c r="P782" i="55"/>
  <c r="O783" i="55" a="1"/>
  <c r="O783" i="55"/>
  <c r="P783" i="55" a="1"/>
  <c r="P783" i="55"/>
  <c r="O784" i="55" a="1"/>
  <c r="O784" i="55"/>
  <c r="P784" i="55" a="1"/>
  <c r="P784" i="55"/>
  <c r="O785" i="55" a="1"/>
  <c r="O785" i="55"/>
  <c r="P785" i="55" a="1"/>
  <c r="P785" i="55"/>
  <c r="O786" i="55" a="1"/>
  <c r="O786" i="55"/>
  <c r="P786" i="55" a="1"/>
  <c r="P786" i="55"/>
  <c r="O787" i="55" a="1"/>
  <c r="O787" i="55"/>
  <c r="P787" i="55" a="1"/>
  <c r="P787" i="55"/>
  <c r="O788" i="55" a="1"/>
  <c r="O788" i="55"/>
  <c r="P788" i="55" a="1"/>
  <c r="P788" i="55"/>
  <c r="O789" i="55" a="1"/>
  <c r="O789" i="55"/>
  <c r="P789" i="55" a="1"/>
  <c r="P789" i="55"/>
  <c r="O790" i="55" a="1"/>
  <c r="O790" i="55"/>
  <c r="P790" i="55" a="1"/>
  <c r="P790" i="55"/>
  <c r="O791" i="55" a="1"/>
  <c r="O791" i="55"/>
  <c r="P791" i="55" a="1"/>
  <c r="P791" i="55"/>
  <c r="O792" i="55" a="1"/>
  <c r="O792" i="55"/>
  <c r="P792" i="55" a="1"/>
  <c r="P792" i="55"/>
  <c r="O793" i="55" a="1"/>
  <c r="O793" i="55"/>
  <c r="P793" i="55" a="1"/>
  <c r="P793" i="55"/>
  <c r="O794" i="55" a="1"/>
  <c r="O794" i="55"/>
  <c r="P794" i="55" a="1"/>
  <c r="P794" i="55"/>
  <c r="O795" i="55" a="1"/>
  <c r="O795" i="55"/>
  <c r="P795" i="55" a="1"/>
  <c r="P795" i="55"/>
  <c r="O796" i="55" a="1"/>
  <c r="O796" i="55"/>
  <c r="P796" i="55" a="1"/>
  <c r="P796" i="55"/>
  <c r="O797" i="55" a="1"/>
  <c r="O797" i="55"/>
  <c r="P797" i="55" a="1"/>
  <c r="P797" i="55"/>
  <c r="O798" i="55" a="1"/>
  <c r="O798" i="55"/>
  <c r="P798" i="55" a="1"/>
  <c r="P798" i="55"/>
  <c r="O799" i="55" a="1"/>
  <c r="O799" i="55"/>
  <c r="P799" i="55" a="1"/>
  <c r="P799" i="55"/>
  <c r="O800" i="55" a="1"/>
  <c r="O800" i="55"/>
  <c r="P800" i="55" a="1"/>
  <c r="P800" i="55"/>
  <c r="O801" i="55" a="1"/>
  <c r="O801" i="55"/>
  <c r="P801" i="55" a="1"/>
  <c r="P801" i="55"/>
  <c r="O802" i="55" a="1"/>
  <c r="O802" i="55"/>
  <c r="P802" i="55" a="1"/>
  <c r="P802" i="55"/>
  <c r="O803" i="55" a="1"/>
  <c r="O803" i="55"/>
  <c r="P803" i="55" a="1"/>
  <c r="P803" i="55"/>
  <c r="O804" i="55" a="1"/>
  <c r="O804" i="55"/>
  <c r="P804" i="55" a="1"/>
  <c r="P804" i="55"/>
  <c r="O805" i="55" a="1"/>
  <c r="O805" i="55"/>
  <c r="P805" i="55" a="1"/>
  <c r="P805" i="55"/>
  <c r="O806" i="55" a="1"/>
  <c r="O806" i="55"/>
  <c r="P806" i="55" a="1"/>
  <c r="P806" i="55"/>
  <c r="O807" i="55" a="1"/>
  <c r="O807" i="55"/>
  <c r="P807" i="55" a="1"/>
  <c r="P807" i="55"/>
  <c r="O808" i="55" a="1"/>
  <c r="O808" i="55"/>
  <c r="P808" i="55" a="1"/>
  <c r="P808" i="55"/>
  <c r="O809" i="55" a="1"/>
  <c r="O809" i="55"/>
  <c r="P809" i="55" a="1"/>
  <c r="P809" i="55"/>
  <c r="O810" i="55" a="1"/>
  <c r="O810" i="55"/>
  <c r="P810" i="55" a="1"/>
  <c r="P810" i="55"/>
  <c r="O811" i="55" a="1"/>
  <c r="O811" i="55"/>
  <c r="P811" i="55" a="1"/>
  <c r="P811" i="55"/>
  <c r="O812" i="55" a="1"/>
  <c r="O812" i="55"/>
  <c r="P812" i="55" a="1"/>
  <c r="P812" i="55"/>
  <c r="O813" i="55" a="1"/>
  <c r="O813" i="55"/>
  <c r="P813" i="55" a="1"/>
  <c r="P813" i="55"/>
  <c r="O814" i="55" a="1"/>
  <c r="O814" i="55"/>
  <c r="P814" i="55" a="1"/>
  <c r="P814" i="55"/>
  <c r="O815" i="55" a="1"/>
  <c r="O815" i="55"/>
  <c r="P815" i="55" a="1"/>
  <c r="P815" i="55"/>
  <c r="O816" i="55" a="1"/>
  <c r="O816" i="55"/>
  <c r="P816" i="55" a="1"/>
  <c r="P816" i="55"/>
  <c r="O817" i="55" a="1"/>
  <c r="O817" i="55"/>
  <c r="P817" i="55" a="1"/>
  <c r="P817" i="55"/>
  <c r="O818" i="55" a="1"/>
  <c r="O818" i="55"/>
  <c r="P818" i="55" a="1"/>
  <c r="P818" i="55"/>
  <c r="O819" i="55" a="1"/>
  <c r="O819" i="55"/>
  <c r="P819" i="55" a="1"/>
  <c r="P819" i="55"/>
  <c r="O820" i="55" a="1"/>
  <c r="O820" i="55"/>
  <c r="P820" i="55" a="1"/>
  <c r="P820" i="55"/>
  <c r="O821" i="55" a="1"/>
  <c r="O821" i="55"/>
  <c r="P821" i="55" a="1"/>
  <c r="P821" i="55"/>
  <c r="O822" i="55" a="1"/>
  <c r="O822" i="55"/>
  <c r="P822" i="55" a="1"/>
  <c r="P822" i="55"/>
  <c r="O823" i="55" a="1"/>
  <c r="O823" i="55"/>
  <c r="P823" i="55" a="1"/>
  <c r="P823" i="55"/>
  <c r="O824" i="55" a="1"/>
  <c r="O824" i="55"/>
  <c r="P824" i="55" a="1"/>
  <c r="P824" i="55"/>
  <c r="O825" i="55" a="1"/>
  <c r="O825" i="55"/>
  <c r="P825" i="55" a="1"/>
  <c r="P825" i="55"/>
  <c r="O826" i="55" a="1"/>
  <c r="O826" i="55"/>
  <c r="P826" i="55" a="1"/>
  <c r="P826" i="55"/>
  <c r="O827" i="55" a="1"/>
  <c r="O827" i="55"/>
  <c r="P827" i="55" a="1"/>
  <c r="P827" i="55"/>
  <c r="O828" i="55" a="1"/>
  <c r="O828" i="55"/>
  <c r="P828" i="55" a="1"/>
  <c r="P828" i="55"/>
  <c r="O829" i="55" a="1"/>
  <c r="O829" i="55"/>
  <c r="P829" i="55" a="1"/>
  <c r="P829" i="55"/>
  <c r="O830" i="55" a="1"/>
  <c r="O830" i="55"/>
  <c r="P830" i="55" a="1"/>
  <c r="P830" i="55"/>
  <c r="O831" i="55" a="1"/>
  <c r="O831" i="55"/>
  <c r="P831" i="55" a="1"/>
  <c r="P831" i="55"/>
  <c r="O832" i="55" a="1"/>
  <c r="O832" i="55"/>
  <c r="P832" i="55" a="1"/>
  <c r="P832" i="55"/>
  <c r="O833" i="55" a="1"/>
  <c r="O833" i="55"/>
  <c r="P833" i="55" a="1"/>
  <c r="P833" i="55"/>
  <c r="O834" i="55" a="1"/>
  <c r="O834" i="55"/>
  <c r="P834" i="55" a="1"/>
  <c r="P834" i="55"/>
  <c r="O835" i="55" a="1"/>
  <c r="O835" i="55"/>
  <c r="P835" i="55" a="1"/>
  <c r="P835" i="55"/>
  <c r="O836" i="55" a="1"/>
  <c r="O836" i="55"/>
  <c r="P836" i="55" a="1"/>
  <c r="P836" i="55"/>
  <c r="O837" i="55" a="1"/>
  <c r="O837" i="55"/>
  <c r="P837" i="55" a="1"/>
  <c r="P837" i="55"/>
  <c r="O838" i="55" a="1"/>
  <c r="O838" i="55"/>
  <c r="P838" i="55" a="1"/>
  <c r="P838" i="55"/>
  <c r="O839" i="55" a="1"/>
  <c r="O839" i="55"/>
  <c r="P839" i="55" a="1"/>
  <c r="P839" i="55"/>
  <c r="O840" i="55" a="1"/>
  <c r="O840" i="55"/>
  <c r="P840" i="55" a="1"/>
  <c r="P840" i="55"/>
  <c r="O841" i="55" a="1"/>
  <c r="O841" i="55"/>
  <c r="P841" i="55" a="1"/>
  <c r="P841" i="55"/>
  <c r="O842" i="55" a="1"/>
  <c r="O842" i="55"/>
  <c r="P842" i="55" a="1"/>
  <c r="P842" i="55"/>
  <c r="O843" i="55" a="1"/>
  <c r="O843" i="55"/>
  <c r="P843" i="55" a="1"/>
  <c r="P843" i="55"/>
  <c r="O844" i="55" a="1"/>
  <c r="O844" i="55"/>
  <c r="P844" i="55" a="1"/>
  <c r="P844" i="55"/>
  <c r="O845" i="55" a="1"/>
  <c r="O845" i="55"/>
  <c r="P845" i="55" a="1"/>
  <c r="P845" i="55"/>
  <c r="O846" i="55" a="1"/>
  <c r="O846" i="55"/>
  <c r="P846" i="55" a="1"/>
  <c r="P846" i="55"/>
  <c r="O847" i="55" a="1"/>
  <c r="O847" i="55"/>
  <c r="P847" i="55" a="1"/>
  <c r="P847" i="55"/>
  <c r="O848" i="55" a="1"/>
  <c r="O848" i="55"/>
  <c r="P848" i="55" a="1"/>
  <c r="P848" i="55"/>
  <c r="O849" i="55" a="1"/>
  <c r="O849" i="55"/>
  <c r="P849" i="55" a="1"/>
  <c r="P849" i="55"/>
  <c r="O850" i="55" a="1"/>
  <c r="O850" i="55"/>
  <c r="P850" i="55" a="1"/>
  <c r="P850" i="55"/>
  <c r="O851" i="55" a="1"/>
  <c r="O851" i="55"/>
  <c r="P851" i="55" a="1"/>
  <c r="P851" i="55"/>
  <c r="O852" i="55" a="1"/>
  <c r="O852" i="55"/>
  <c r="P852" i="55" a="1"/>
  <c r="P852" i="55"/>
  <c r="O853" i="55" a="1"/>
  <c r="O853" i="55"/>
  <c r="P853" i="55" a="1"/>
  <c r="P853" i="55"/>
  <c r="O854" i="55" a="1"/>
  <c r="O854" i="55"/>
  <c r="P854" i="55" a="1"/>
  <c r="P854" i="55"/>
  <c r="O855" i="55" a="1"/>
  <c r="O855" i="55"/>
  <c r="P855" i="55" a="1"/>
  <c r="P855" i="55"/>
  <c r="O856" i="55" a="1"/>
  <c r="O856" i="55"/>
  <c r="P856" i="55" a="1"/>
  <c r="P856" i="55"/>
  <c r="O857" i="55" a="1"/>
  <c r="O857" i="55"/>
  <c r="P857" i="55" a="1"/>
  <c r="P857" i="55"/>
  <c r="O858" i="55" a="1"/>
  <c r="O858" i="55"/>
  <c r="P858" i="55" a="1"/>
  <c r="P858" i="55"/>
  <c r="O859" i="55" a="1"/>
  <c r="O859" i="55"/>
  <c r="P859" i="55" a="1"/>
  <c r="P859" i="55"/>
  <c r="O860" i="55" a="1"/>
  <c r="O860" i="55"/>
  <c r="P860" i="55" a="1"/>
  <c r="P860" i="55"/>
  <c r="O861" i="55" a="1"/>
  <c r="O861" i="55"/>
  <c r="P861" i="55" a="1"/>
  <c r="P861" i="55"/>
  <c r="O862" i="55" a="1"/>
  <c r="O862" i="55"/>
  <c r="P862" i="55" a="1"/>
  <c r="P862" i="55"/>
  <c r="O863" i="55" a="1"/>
  <c r="O863" i="55"/>
  <c r="P863" i="55" a="1"/>
  <c r="P863" i="55"/>
  <c r="O864" i="55" a="1"/>
  <c r="O864" i="55"/>
  <c r="P864" i="55" a="1"/>
  <c r="P864" i="55"/>
  <c r="O865" i="55" a="1"/>
  <c r="O865" i="55"/>
  <c r="P865" i="55" a="1"/>
  <c r="P865" i="55"/>
  <c r="O866" i="55" a="1"/>
  <c r="O866" i="55"/>
  <c r="P866" i="55" a="1"/>
  <c r="P866" i="55"/>
  <c r="O867" i="55" a="1"/>
  <c r="O867" i="55"/>
  <c r="P867" i="55" a="1"/>
  <c r="P867" i="55"/>
  <c r="O868" i="55" a="1"/>
  <c r="O868" i="55"/>
  <c r="P868" i="55" a="1"/>
  <c r="P868" i="55"/>
  <c r="O869" i="55" a="1"/>
  <c r="O869" i="55"/>
  <c r="P869" i="55" a="1"/>
  <c r="P869" i="55"/>
  <c r="O870" i="55" a="1"/>
  <c r="O870" i="55"/>
  <c r="P870" i="55" a="1"/>
  <c r="P870" i="55"/>
  <c r="O871" i="55" a="1"/>
  <c r="O871" i="55"/>
  <c r="P871" i="55" a="1"/>
  <c r="P871" i="55"/>
  <c r="O872" i="55" a="1"/>
  <c r="O872" i="55"/>
  <c r="P872" i="55" a="1"/>
  <c r="P872" i="55"/>
  <c r="O873" i="55" a="1"/>
  <c r="O873" i="55"/>
  <c r="P873" i="55" a="1"/>
  <c r="P873" i="55"/>
  <c r="O874" i="55" a="1"/>
  <c r="O874" i="55"/>
  <c r="P874" i="55" a="1"/>
  <c r="P874" i="55"/>
  <c r="O875" i="55" a="1"/>
  <c r="O875" i="55"/>
  <c r="P875" i="55" a="1"/>
  <c r="P875" i="55"/>
  <c r="O876" i="55" a="1"/>
  <c r="O876" i="55"/>
  <c r="P876" i="55" a="1"/>
  <c r="P876" i="55"/>
  <c r="O877" i="55" a="1"/>
  <c r="O877" i="55"/>
  <c r="P877" i="55" a="1"/>
  <c r="P877" i="55"/>
  <c r="O878" i="55" a="1"/>
  <c r="O878" i="55"/>
  <c r="P878" i="55" a="1"/>
  <c r="P878" i="55"/>
  <c r="O879" i="55" a="1"/>
  <c r="O879" i="55"/>
  <c r="P879" i="55" a="1"/>
  <c r="P879" i="55"/>
  <c r="O880" i="55" a="1"/>
  <c r="O880" i="55"/>
  <c r="P880" i="55" a="1"/>
  <c r="P880" i="55"/>
  <c r="O881" i="55" a="1"/>
  <c r="O881" i="55"/>
  <c r="P881" i="55" a="1"/>
  <c r="P881" i="55"/>
  <c r="O882" i="55" a="1"/>
  <c r="O882" i="55"/>
  <c r="P882" i="55" a="1"/>
  <c r="P882" i="55"/>
  <c r="O883" i="55" a="1"/>
  <c r="O883" i="55"/>
  <c r="P883" i="55" a="1"/>
  <c r="P883" i="55"/>
  <c r="O884" i="55" a="1"/>
  <c r="O884" i="55"/>
  <c r="P884" i="55" a="1"/>
  <c r="P884" i="55"/>
  <c r="O885" i="55" a="1"/>
  <c r="O885" i="55"/>
  <c r="P885" i="55" a="1"/>
  <c r="P885" i="55"/>
  <c r="O886" i="55" a="1"/>
  <c r="O886" i="55"/>
  <c r="P886" i="55" a="1"/>
  <c r="P886" i="55"/>
  <c r="O887" i="55" a="1"/>
  <c r="O887" i="55"/>
  <c r="P887" i="55" a="1"/>
  <c r="P887" i="55"/>
  <c r="O888" i="55" a="1"/>
  <c r="O888" i="55"/>
  <c r="P888" i="55" a="1"/>
  <c r="P888" i="55"/>
  <c r="O889" i="55" a="1"/>
  <c r="O889" i="55"/>
  <c r="P889" i="55" a="1"/>
  <c r="P889" i="55"/>
  <c r="O890" i="55" a="1"/>
  <c r="O890" i="55"/>
  <c r="P890" i="55" a="1"/>
  <c r="P890" i="55"/>
  <c r="O891" i="55" a="1"/>
  <c r="O891" i="55"/>
  <c r="P891" i="55" a="1"/>
  <c r="P891" i="55"/>
  <c r="O892" i="55" a="1"/>
  <c r="O892" i="55"/>
  <c r="P892" i="55" a="1"/>
  <c r="P892" i="55"/>
  <c r="O893" i="55" a="1"/>
  <c r="O893" i="55"/>
  <c r="P893" i="55" a="1"/>
  <c r="P893" i="55"/>
  <c r="O894" i="55" a="1"/>
  <c r="O894" i="55"/>
  <c r="P894" i="55" a="1"/>
  <c r="P894" i="55"/>
  <c r="O895" i="55" a="1"/>
  <c r="O895" i="55"/>
  <c r="P895" i="55" a="1"/>
  <c r="P895" i="55"/>
  <c r="O896" i="55" a="1"/>
  <c r="O896" i="55"/>
  <c r="P896" i="55" a="1"/>
  <c r="P896" i="55"/>
  <c r="O897" i="55" a="1"/>
  <c r="O897" i="55"/>
  <c r="P897" i="55" a="1"/>
  <c r="P897" i="55"/>
  <c r="O898" i="55" a="1"/>
  <c r="O898" i="55"/>
  <c r="P898" i="55" a="1"/>
  <c r="P898" i="55"/>
  <c r="O899" i="55" a="1"/>
  <c r="O899" i="55"/>
  <c r="P899" i="55" a="1"/>
  <c r="P899" i="55"/>
  <c r="O900" i="55" a="1"/>
  <c r="O900" i="55"/>
  <c r="P900" i="55" a="1"/>
  <c r="P900" i="55"/>
  <c r="O901" i="55" a="1"/>
  <c r="O901" i="55"/>
  <c r="P901" i="55" a="1"/>
  <c r="P901" i="55"/>
  <c r="O902" i="55" a="1"/>
  <c r="O902" i="55"/>
  <c r="P902" i="55" a="1"/>
  <c r="P902" i="55"/>
  <c r="O903" i="55" a="1"/>
  <c r="O903" i="55"/>
  <c r="P903" i="55" a="1"/>
  <c r="P903" i="55"/>
  <c r="O904" i="55" a="1"/>
  <c r="O904" i="55"/>
  <c r="P904" i="55" a="1"/>
  <c r="P904" i="55"/>
  <c r="O905" i="55" a="1"/>
  <c r="O905" i="55"/>
  <c r="P905" i="55" a="1"/>
  <c r="P905" i="55"/>
  <c r="O906" i="55" a="1"/>
  <c r="O906" i="55"/>
  <c r="P906" i="55" a="1"/>
  <c r="P906" i="55"/>
  <c r="O907" i="55" a="1"/>
  <c r="O907" i="55"/>
  <c r="P907" i="55" a="1"/>
  <c r="P907" i="55"/>
  <c r="O908" i="55" a="1"/>
  <c r="O908" i="55"/>
  <c r="P908" i="55" a="1"/>
  <c r="P908" i="55"/>
  <c r="O909" i="55" a="1"/>
  <c r="O909" i="55"/>
  <c r="P909" i="55" a="1"/>
  <c r="P909" i="55"/>
  <c r="O910" i="55" a="1"/>
  <c r="O910" i="55"/>
  <c r="P910" i="55" a="1"/>
  <c r="P910" i="55"/>
  <c r="O911" i="55" a="1"/>
  <c r="O911" i="55"/>
  <c r="P911" i="55" a="1"/>
  <c r="P911" i="55"/>
  <c r="O912" i="55" a="1"/>
  <c r="O912" i="55"/>
  <c r="P912" i="55" a="1"/>
  <c r="P912" i="55"/>
  <c r="O913" i="55" a="1"/>
  <c r="O913" i="55"/>
  <c r="P913" i="55" a="1"/>
  <c r="P913" i="55"/>
  <c r="O914" i="55" a="1"/>
  <c r="O914" i="55"/>
  <c r="P914" i="55" a="1"/>
  <c r="P914" i="55"/>
  <c r="O915" i="55" a="1"/>
  <c r="O915" i="55"/>
  <c r="P915" i="55" a="1"/>
  <c r="P915" i="55"/>
  <c r="O916" i="55" a="1"/>
  <c r="O916" i="55"/>
  <c r="P916" i="55" a="1"/>
  <c r="P916" i="55"/>
  <c r="O917" i="55" a="1"/>
  <c r="O917" i="55"/>
  <c r="P917" i="55" a="1"/>
  <c r="P917" i="55"/>
  <c r="O918" i="55" a="1"/>
  <c r="O918" i="55"/>
  <c r="P918" i="55" a="1"/>
  <c r="P918" i="55"/>
  <c r="O919" i="55" a="1"/>
  <c r="O919" i="55"/>
  <c r="P919" i="55" a="1"/>
  <c r="P919" i="55"/>
  <c r="O920" i="55" a="1"/>
  <c r="O920" i="55"/>
  <c r="P920" i="55" a="1"/>
  <c r="P920" i="55"/>
  <c r="O921" i="55" a="1"/>
  <c r="O921" i="55"/>
  <c r="P921" i="55" a="1"/>
  <c r="P921" i="55"/>
  <c r="O922" i="55" a="1"/>
  <c r="O922" i="55"/>
  <c r="P922" i="55" a="1"/>
  <c r="P922" i="55"/>
  <c r="O923" i="55" a="1"/>
  <c r="O923" i="55"/>
  <c r="P923" i="55" a="1"/>
  <c r="P923" i="55"/>
  <c r="O924" i="55" a="1"/>
  <c r="O924" i="55"/>
  <c r="P924" i="55" a="1"/>
  <c r="P924" i="55"/>
  <c r="O925" i="55" a="1"/>
  <c r="O925" i="55"/>
  <c r="P925" i="55" a="1"/>
  <c r="P925" i="55"/>
  <c r="O926" i="55" a="1"/>
  <c r="O926" i="55"/>
  <c r="P926" i="55" a="1"/>
  <c r="P926" i="55"/>
  <c r="O927" i="55" a="1"/>
  <c r="O927" i="55"/>
  <c r="P927" i="55" a="1"/>
  <c r="P927" i="55"/>
  <c r="O928" i="55" a="1"/>
  <c r="O928" i="55"/>
  <c r="P928" i="55" a="1"/>
  <c r="P928" i="55"/>
  <c r="O929" i="55" a="1"/>
  <c r="O929" i="55"/>
  <c r="P929" i="55" a="1"/>
  <c r="P929" i="55"/>
  <c r="O930" i="55" a="1"/>
  <c r="O930" i="55"/>
  <c r="P930" i="55" a="1"/>
  <c r="P930" i="55"/>
  <c r="O931" i="55" a="1"/>
  <c r="O931" i="55"/>
  <c r="P931" i="55" a="1"/>
  <c r="P931" i="55"/>
  <c r="O932" i="55" a="1"/>
  <c r="O932" i="55"/>
  <c r="P932" i="55" a="1"/>
  <c r="P932" i="55"/>
  <c r="O933" i="55" a="1"/>
  <c r="O933" i="55"/>
  <c r="P933" i="55" a="1"/>
  <c r="P933" i="55"/>
  <c r="O934" i="55" a="1"/>
  <c r="O934" i="55"/>
  <c r="P934" i="55" a="1"/>
  <c r="P934" i="55"/>
  <c r="O935" i="55" a="1"/>
  <c r="O935" i="55"/>
  <c r="P935" i="55" a="1"/>
  <c r="P935" i="55"/>
  <c r="O936" i="55" a="1"/>
  <c r="O936" i="55"/>
  <c r="P936" i="55" a="1"/>
  <c r="P936" i="55"/>
  <c r="O937" i="55" a="1"/>
  <c r="O937" i="55"/>
  <c r="P937" i="55" a="1"/>
  <c r="P937" i="55"/>
  <c r="O938" i="55" a="1"/>
  <c r="O938" i="55"/>
  <c r="P938" i="55" a="1"/>
  <c r="P938" i="55"/>
  <c r="O939" i="55" a="1"/>
  <c r="O939" i="55"/>
  <c r="P939" i="55" a="1"/>
  <c r="P939" i="55"/>
  <c r="O940" i="55" a="1"/>
  <c r="O940" i="55"/>
  <c r="P940" i="55" a="1"/>
  <c r="P940" i="55"/>
  <c r="O941" i="55" a="1"/>
  <c r="O941" i="55"/>
  <c r="P941" i="55" a="1"/>
  <c r="P941" i="55"/>
  <c r="O942" i="55" a="1"/>
  <c r="O942" i="55"/>
  <c r="P942" i="55" a="1"/>
  <c r="P942" i="55"/>
  <c r="O943" i="55" a="1"/>
  <c r="O943" i="55"/>
  <c r="P943" i="55" a="1"/>
  <c r="P943" i="55"/>
  <c r="O944" i="55" a="1"/>
  <c r="O944" i="55"/>
  <c r="P944" i="55" a="1"/>
  <c r="P944" i="55"/>
  <c r="O945" i="55" a="1"/>
  <c r="O945" i="55"/>
  <c r="P945" i="55" a="1"/>
  <c r="P945" i="55"/>
  <c r="O946" i="55" a="1"/>
  <c r="O946" i="55"/>
  <c r="P946" i="55" a="1"/>
  <c r="P946" i="55"/>
  <c r="O947" i="55" a="1"/>
  <c r="O947" i="55"/>
  <c r="P947" i="55" a="1"/>
  <c r="P947" i="55"/>
  <c r="O948" i="55" a="1"/>
  <c r="O948" i="55"/>
  <c r="P948" i="55" a="1"/>
  <c r="P948" i="55"/>
  <c r="O949" i="55" a="1"/>
  <c r="O949" i="55"/>
  <c r="P949" i="55" a="1"/>
  <c r="P949" i="55"/>
  <c r="O950" i="55" a="1"/>
  <c r="O950" i="55"/>
  <c r="P950" i="55" a="1"/>
  <c r="P950" i="55"/>
  <c r="O951" i="55" a="1"/>
  <c r="O951" i="55"/>
  <c r="P951" i="55" a="1"/>
  <c r="P951" i="55"/>
  <c r="O952" i="55" a="1"/>
  <c r="O952" i="55"/>
  <c r="P952" i="55" a="1"/>
  <c r="P952" i="55"/>
  <c r="O953" i="55" a="1"/>
  <c r="O953" i="55"/>
  <c r="P953" i="55" a="1"/>
  <c r="P953" i="55"/>
  <c r="O954" i="55" a="1"/>
  <c r="O954" i="55"/>
  <c r="P954" i="55" a="1"/>
  <c r="P954" i="55"/>
  <c r="O955" i="55" a="1"/>
  <c r="O955" i="55"/>
  <c r="P955" i="55" a="1"/>
  <c r="P955" i="55"/>
  <c r="O956" i="55" a="1"/>
  <c r="O956" i="55"/>
  <c r="P956" i="55" a="1"/>
  <c r="P956" i="55"/>
  <c r="O957" i="55" a="1"/>
  <c r="O957" i="55"/>
  <c r="P957" i="55" a="1"/>
  <c r="P957" i="55"/>
  <c r="O958" i="55" a="1"/>
  <c r="O958" i="55"/>
  <c r="P958" i="55" a="1"/>
  <c r="P958" i="55"/>
  <c r="O959" i="55" a="1"/>
  <c r="O959" i="55"/>
  <c r="P959" i="55" a="1"/>
  <c r="P959" i="55"/>
  <c r="O960" i="55" a="1"/>
  <c r="O960" i="55"/>
  <c r="P960" i="55" a="1"/>
  <c r="P960" i="55"/>
  <c r="O961" i="55" a="1"/>
  <c r="O961" i="55"/>
  <c r="P961" i="55" a="1"/>
  <c r="P961" i="55"/>
  <c r="O962" i="55" a="1"/>
  <c r="O962" i="55"/>
  <c r="P962" i="55" a="1"/>
  <c r="P962" i="55"/>
  <c r="O963" i="55" a="1"/>
  <c r="O963" i="55"/>
  <c r="P963" i="55" a="1"/>
  <c r="P963" i="55"/>
  <c r="O964" i="55" a="1"/>
  <c r="O964" i="55"/>
  <c r="P964" i="55" a="1"/>
  <c r="P964" i="55"/>
  <c r="O965" i="55" a="1"/>
  <c r="O965" i="55"/>
  <c r="P965" i="55" a="1"/>
  <c r="P965" i="55"/>
  <c r="O966" i="55" a="1"/>
  <c r="O966" i="55"/>
  <c r="P966" i="55" a="1"/>
  <c r="P966" i="55"/>
  <c r="O967" i="55" a="1"/>
  <c r="O967" i="55"/>
  <c r="P967" i="55" a="1"/>
  <c r="P967" i="55"/>
  <c r="O968" i="55" a="1"/>
  <c r="O968" i="55"/>
  <c r="P968" i="55" a="1"/>
  <c r="P968" i="55"/>
  <c r="O969" i="55" a="1"/>
  <c r="O969" i="55"/>
  <c r="P969" i="55" a="1"/>
  <c r="P969" i="55"/>
  <c r="O970" i="55" a="1"/>
  <c r="O970" i="55"/>
  <c r="P970" i="55" a="1"/>
  <c r="P970" i="55"/>
  <c r="O971" i="55" a="1"/>
  <c r="O971" i="55"/>
  <c r="P971" i="55" a="1"/>
  <c r="P971" i="55"/>
  <c r="O972" i="55" a="1"/>
  <c r="O972" i="55"/>
  <c r="P972" i="55" a="1"/>
  <c r="P972" i="55"/>
  <c r="O973" i="55" a="1"/>
  <c r="O973" i="55"/>
  <c r="P973" i="55" a="1"/>
  <c r="P973" i="55"/>
  <c r="O974" i="55" a="1"/>
  <c r="O974" i="55"/>
  <c r="P974" i="55" a="1"/>
  <c r="P974" i="55"/>
  <c r="O975" i="55" a="1"/>
  <c r="O975" i="55"/>
  <c r="P975" i="55" a="1"/>
  <c r="P975" i="55"/>
  <c r="O976" i="55" a="1"/>
  <c r="O976" i="55"/>
  <c r="P976" i="55" a="1"/>
  <c r="P976" i="55"/>
  <c r="O977" i="55" a="1"/>
  <c r="O977" i="55"/>
  <c r="P977" i="55" a="1"/>
  <c r="P977" i="55"/>
  <c r="O978" i="55" a="1"/>
  <c r="O978" i="55"/>
  <c r="P978" i="55" a="1"/>
  <c r="P978" i="55"/>
  <c r="O979" i="55" a="1"/>
  <c r="O979" i="55"/>
  <c r="P979" i="55" a="1"/>
  <c r="P979" i="55"/>
  <c r="O980" i="55" a="1"/>
  <c r="O980" i="55"/>
  <c r="P980" i="55" a="1"/>
  <c r="P980" i="55"/>
  <c r="O981" i="55" a="1"/>
  <c r="O981" i="55"/>
  <c r="P981" i="55" a="1"/>
  <c r="P981" i="55"/>
  <c r="O982" i="55" a="1"/>
  <c r="O982" i="55"/>
  <c r="P982" i="55" a="1"/>
  <c r="P982" i="55"/>
  <c r="O983" i="55" a="1"/>
  <c r="O983" i="55"/>
  <c r="P983" i="55" a="1"/>
  <c r="P983" i="55"/>
  <c r="O984" i="55" a="1"/>
  <c r="O984" i="55"/>
  <c r="P984" i="55" a="1"/>
  <c r="P984" i="55"/>
  <c r="O985" i="55" a="1"/>
  <c r="O985" i="55"/>
  <c r="P985" i="55" a="1"/>
  <c r="P985" i="55"/>
  <c r="O986" i="55" a="1"/>
  <c r="O986" i="55"/>
  <c r="P986" i="55" a="1"/>
  <c r="P986" i="55"/>
  <c r="O987" i="55" a="1"/>
  <c r="O987" i="55"/>
  <c r="P987" i="55" a="1"/>
  <c r="P987" i="55"/>
  <c r="O988" i="55" a="1"/>
  <c r="O988" i="55"/>
  <c r="P988" i="55" a="1"/>
  <c r="P988" i="55"/>
  <c r="O989" i="55" a="1"/>
  <c r="O989" i="55"/>
  <c r="P989" i="55" a="1"/>
  <c r="P989" i="55"/>
  <c r="O990" i="55" a="1"/>
  <c r="O990" i="55"/>
  <c r="P990" i="55" a="1"/>
  <c r="P990" i="55"/>
  <c r="O991" i="55" a="1"/>
  <c r="O991" i="55"/>
  <c r="P991" i="55" a="1"/>
  <c r="P991" i="55"/>
  <c r="O992" i="55" a="1"/>
  <c r="O992" i="55"/>
  <c r="P992" i="55" a="1"/>
  <c r="P992" i="55"/>
  <c r="O993" i="55" a="1"/>
  <c r="O993" i="55"/>
  <c r="P993" i="55" a="1"/>
  <c r="P993" i="55"/>
  <c r="O994" i="55" a="1"/>
  <c r="O994" i="55"/>
  <c r="P994" i="55" a="1"/>
  <c r="P994" i="55"/>
  <c r="O995" i="55" a="1"/>
  <c r="O995" i="55"/>
  <c r="P995" i="55" a="1"/>
  <c r="P995" i="55"/>
  <c r="O996" i="55" a="1"/>
  <c r="O996" i="55"/>
  <c r="P996" i="55" a="1"/>
  <c r="P996" i="55"/>
  <c r="O997" i="55" a="1"/>
  <c r="O997" i="55"/>
  <c r="P997" i="55" a="1"/>
  <c r="P997" i="55"/>
  <c r="O998" i="55" a="1"/>
  <c r="O998" i="55"/>
  <c r="P998" i="55" a="1"/>
  <c r="P998" i="55"/>
  <c r="O999" i="55" a="1"/>
  <c r="O999" i="55"/>
  <c r="P999" i="55" a="1"/>
  <c r="P999" i="55"/>
  <c r="O1000" i="55" a="1"/>
  <c r="O1000" i="55"/>
  <c r="P1000" i="55" a="1"/>
  <c r="P1000" i="55"/>
  <c r="O1001" i="55" a="1"/>
  <c r="O1001" i="55"/>
  <c r="P1001" i="55" a="1"/>
  <c r="P1001" i="55"/>
  <c r="O1002" i="55" a="1"/>
  <c r="O1002" i="55"/>
  <c r="P1002" i="55" a="1"/>
  <c r="P1002" i="55"/>
  <c r="O1003" i="55" a="1"/>
  <c r="O1003" i="55"/>
  <c r="P1003" i="55" a="1"/>
  <c r="P1003" i="55"/>
  <c r="O1004" i="55" a="1"/>
  <c r="O1004" i="55"/>
  <c r="P1004" i="55" a="1"/>
  <c r="P1004" i="55"/>
  <c r="O1005" i="55" a="1"/>
  <c r="O1005" i="55"/>
  <c r="P1005" i="55" a="1"/>
  <c r="P1005" i="55"/>
  <c r="O1006" i="55" a="1"/>
  <c r="O1006" i="55"/>
  <c r="P1006" i="55" a="1"/>
  <c r="P1006" i="55"/>
  <c r="O1007" i="55" a="1"/>
  <c r="O1007" i="55"/>
  <c r="P1007" i="55" a="1"/>
  <c r="P1007" i="55"/>
  <c r="O1008" i="55" a="1"/>
  <c r="O1008" i="55"/>
  <c r="P1008" i="55" a="1"/>
  <c r="P1008" i="55"/>
  <c r="O1009" i="55" a="1"/>
  <c r="O1009" i="55"/>
  <c r="P1009" i="55" a="1"/>
  <c r="P1009" i="55"/>
  <c r="O1010" i="55" a="1"/>
  <c r="O1010" i="55"/>
  <c r="P1010" i="55" a="1"/>
  <c r="P1010" i="55"/>
  <c r="O1011" i="55" a="1"/>
  <c r="O1011" i="55"/>
  <c r="P1011" i="55" a="1"/>
  <c r="P1011" i="55"/>
  <c r="O1012" i="55" a="1"/>
  <c r="O1012" i="55"/>
  <c r="P1012" i="55" a="1"/>
  <c r="P1012" i="55"/>
  <c r="O1013" i="55" a="1"/>
  <c r="O1013" i="55"/>
  <c r="P1013" i="55" a="1"/>
  <c r="P1013" i="55"/>
  <c r="O1014" i="55" a="1"/>
  <c r="O1014" i="55"/>
  <c r="P1014" i="55" a="1"/>
  <c r="P1014" i="55"/>
  <c r="O1015" i="55" a="1"/>
  <c r="O1015" i="55"/>
  <c r="P1015" i="55" a="1"/>
  <c r="P1015" i="55"/>
  <c r="O1016" i="55" a="1"/>
  <c r="O1016" i="55"/>
  <c r="P1016" i="55" a="1"/>
  <c r="P1016" i="55"/>
  <c r="O1017" i="55" a="1"/>
  <c r="O1017" i="55"/>
  <c r="P1017" i="55" a="1"/>
  <c r="P1017" i="55"/>
  <c r="O1018" i="55" a="1"/>
  <c r="O1018" i="55"/>
  <c r="P1018" i="55" a="1"/>
  <c r="P1018" i="55"/>
  <c r="O1019" i="55" a="1"/>
  <c r="O1019" i="55"/>
  <c r="P1019" i="55" a="1"/>
  <c r="P1019" i="55"/>
  <c r="O1020" i="55" a="1"/>
  <c r="O1020" i="55"/>
  <c r="P1020" i="55" a="1"/>
  <c r="P1020" i="55"/>
  <c r="O1021" i="55" a="1"/>
  <c r="O1021" i="55"/>
  <c r="P1021" i="55" a="1"/>
  <c r="P1021" i="55"/>
  <c r="O1022" i="55" a="1"/>
  <c r="O1022" i="55"/>
  <c r="P1022" i="55" a="1"/>
  <c r="P1022" i="55"/>
  <c r="O1023" i="55" a="1"/>
  <c r="O1023" i="55"/>
  <c r="P1023" i="55" a="1"/>
  <c r="P1023" i="55"/>
  <c r="O1024" i="55" a="1"/>
  <c r="O1024" i="55"/>
  <c r="P1024" i="55" a="1"/>
  <c r="P1024" i="55"/>
  <c r="O1025" i="55" a="1"/>
  <c r="O1025" i="55"/>
  <c r="P1025" i="55" a="1"/>
  <c r="P1025" i="55"/>
  <c r="O1026" i="55" a="1"/>
  <c r="O1026" i="55"/>
  <c r="P1026" i="55" a="1"/>
  <c r="P1026" i="55"/>
  <c r="O1027" i="55" a="1"/>
  <c r="O1027" i="55"/>
  <c r="P1027" i="55" a="1"/>
  <c r="P1027" i="55"/>
  <c r="O1028" i="55" a="1"/>
  <c r="O1028" i="55"/>
  <c r="P1028" i="55" a="1"/>
  <c r="P1028" i="55"/>
  <c r="O1029" i="55" a="1"/>
  <c r="O1029" i="55"/>
  <c r="P1029" i="55" a="1"/>
  <c r="P1029" i="55"/>
  <c r="O1030" i="55" a="1"/>
  <c r="O1030" i="55"/>
  <c r="P1030" i="55" a="1"/>
  <c r="P1030" i="55"/>
  <c r="O1031" i="55" a="1"/>
  <c r="O1031" i="55"/>
  <c r="P1031" i="55" a="1"/>
  <c r="P1031" i="55"/>
  <c r="O1032" i="55" a="1"/>
  <c r="O1032" i="55"/>
  <c r="P1032" i="55" a="1"/>
  <c r="P1032" i="55"/>
  <c r="O1033" i="55" a="1"/>
  <c r="O1033" i="55"/>
  <c r="P1033" i="55" a="1"/>
  <c r="P1033" i="55"/>
  <c r="O1034" i="55" a="1"/>
  <c r="O1034" i="55"/>
  <c r="P1034" i="55" a="1"/>
  <c r="P1034" i="55"/>
  <c r="O1035" i="55" a="1"/>
  <c r="O1035" i="55"/>
  <c r="P1035" i="55" a="1"/>
  <c r="P1035" i="55"/>
  <c r="O1036" i="55" a="1"/>
  <c r="O1036" i="55"/>
  <c r="P1036" i="55" a="1"/>
  <c r="P1036" i="55"/>
  <c r="O1037" i="55" a="1"/>
  <c r="O1037" i="55"/>
  <c r="P1037" i="55" a="1"/>
  <c r="P1037" i="55"/>
  <c r="O1038" i="55" a="1"/>
  <c r="O1038" i="55"/>
  <c r="P1038" i="55" a="1"/>
  <c r="P1038" i="55"/>
  <c r="O1039" i="55" a="1"/>
  <c r="O1039" i="55"/>
  <c r="P1039" i="55" a="1"/>
  <c r="P1039" i="55"/>
  <c r="O1040" i="55" a="1"/>
  <c r="O1040" i="55"/>
  <c r="P1040" i="55" a="1"/>
  <c r="P1040" i="55"/>
  <c r="O1041" i="55" a="1"/>
  <c r="O1041" i="55"/>
  <c r="P1041" i="55" a="1"/>
  <c r="P1041" i="55"/>
  <c r="O1042" i="55" a="1"/>
  <c r="O1042" i="55"/>
  <c r="P1042" i="55" a="1"/>
  <c r="P1042" i="55"/>
  <c r="O1043" i="55" a="1"/>
  <c r="O1043" i="55"/>
  <c r="P1043" i="55" a="1"/>
  <c r="P1043" i="55"/>
  <c r="O1044" i="55" a="1"/>
  <c r="O1044" i="55"/>
  <c r="P1044" i="55" a="1"/>
  <c r="P1044" i="55"/>
  <c r="O1045" i="55" a="1"/>
  <c r="O1045" i="55"/>
  <c r="P1045" i="55" a="1"/>
  <c r="P1045" i="55"/>
  <c r="O1046" i="55" a="1"/>
  <c r="O1046" i="55"/>
  <c r="P1046" i="55" a="1"/>
  <c r="P1046" i="55"/>
  <c r="O1047" i="55" a="1"/>
  <c r="O1047" i="55"/>
  <c r="P1047" i="55" a="1"/>
  <c r="P1047" i="55"/>
  <c r="O1048" i="55" a="1"/>
  <c r="O1048" i="55"/>
  <c r="P1048" i="55" a="1"/>
  <c r="P1048" i="55"/>
  <c r="O1049" i="55" a="1"/>
  <c r="O1049" i="55"/>
  <c r="P1049" i="55" a="1"/>
  <c r="P1049" i="55"/>
  <c r="O1050" i="55" a="1"/>
  <c r="O1050" i="55"/>
  <c r="P1050" i="55" a="1"/>
  <c r="P1050" i="55"/>
  <c r="O1051" i="55" a="1"/>
  <c r="O1051" i="55"/>
  <c r="P1051" i="55" a="1"/>
  <c r="P1051" i="55"/>
  <c r="O1052" i="55" a="1"/>
  <c r="O1052" i="55"/>
  <c r="P1052" i="55" a="1"/>
  <c r="P1052" i="55"/>
  <c r="O1053" i="55" a="1"/>
  <c r="O1053" i="55"/>
  <c r="P1053" i="55" a="1"/>
  <c r="P1053" i="55"/>
  <c r="O1054" i="55" a="1"/>
  <c r="O1054" i="55"/>
  <c r="P1054" i="55" a="1"/>
  <c r="P1054" i="55"/>
  <c r="O1055" i="55" a="1"/>
  <c r="O1055" i="55"/>
  <c r="P1055" i="55" a="1"/>
  <c r="P1055" i="55"/>
  <c r="O1056" i="55" a="1"/>
  <c r="O1056" i="55"/>
  <c r="P1056" i="55" a="1"/>
  <c r="P1056" i="55"/>
  <c r="O1057" i="55" a="1"/>
  <c r="O1057" i="55"/>
  <c r="P1057" i="55" a="1"/>
  <c r="P1057" i="55"/>
  <c r="O1058" i="55" a="1"/>
  <c r="O1058" i="55"/>
  <c r="P1058" i="55" a="1"/>
  <c r="P1058" i="55"/>
  <c r="O1059" i="55" a="1"/>
  <c r="O1059" i="55"/>
  <c r="P1059" i="55" a="1"/>
  <c r="P1059" i="55"/>
  <c r="O1060" i="55" a="1"/>
  <c r="O1060" i="55"/>
  <c r="P1060" i="55" a="1"/>
  <c r="P1060" i="55"/>
  <c r="O1061" i="55" a="1"/>
  <c r="O1061" i="55"/>
  <c r="P1061" i="55" a="1"/>
  <c r="P1061" i="55"/>
  <c r="O1062" i="55" a="1"/>
  <c r="O1062" i="55"/>
  <c r="P1062" i="55" a="1"/>
  <c r="P1062" i="55"/>
  <c r="O1063" i="55" a="1"/>
  <c r="O1063" i="55"/>
  <c r="P1063" i="55" a="1"/>
  <c r="P1063" i="55"/>
  <c r="O1064" i="55" a="1"/>
  <c r="O1064" i="55"/>
  <c r="P1064" i="55" a="1"/>
  <c r="P1064" i="55"/>
  <c r="O1065" i="55" a="1"/>
  <c r="O1065" i="55"/>
  <c r="P1065" i="55" a="1"/>
  <c r="P1065" i="55"/>
  <c r="O1066" i="55" a="1"/>
  <c r="O1066" i="55"/>
  <c r="P1066" i="55" a="1"/>
  <c r="P1066" i="55"/>
  <c r="O1067" i="55" a="1"/>
  <c r="O1067" i="55"/>
  <c r="P1067" i="55" a="1"/>
  <c r="P1067" i="55"/>
  <c r="O1068" i="55" a="1"/>
  <c r="O1068" i="55"/>
  <c r="P1068" i="55" a="1"/>
  <c r="P1068" i="55"/>
  <c r="O1069" i="55" a="1"/>
  <c r="O1069" i="55"/>
  <c r="P1069" i="55" a="1"/>
  <c r="P1069" i="55"/>
  <c r="O1070" i="55" a="1"/>
  <c r="O1070" i="55"/>
  <c r="P1070" i="55" a="1"/>
  <c r="P1070" i="55"/>
  <c r="O1071" i="55" a="1"/>
  <c r="O1071" i="55"/>
  <c r="P1071" i="55" a="1"/>
  <c r="P1071" i="55"/>
  <c r="O1072" i="55" a="1"/>
  <c r="O1072" i="55"/>
  <c r="P1072" i="55" a="1"/>
  <c r="P1072" i="55"/>
  <c r="O1073" i="55" a="1"/>
  <c r="O1073" i="55"/>
  <c r="P1073" i="55" a="1"/>
  <c r="P1073" i="55"/>
  <c r="O1074" i="55" a="1"/>
  <c r="O1074" i="55"/>
  <c r="P1074" i="55" a="1"/>
  <c r="P1074" i="55"/>
  <c r="O1075" i="55" a="1"/>
  <c r="O1075" i="55"/>
  <c r="P1075" i="55" a="1"/>
  <c r="P1075" i="55"/>
  <c r="O1076" i="55" a="1"/>
  <c r="O1076" i="55"/>
  <c r="P1076" i="55" a="1"/>
  <c r="P1076" i="55"/>
  <c r="O1077" i="55" a="1"/>
  <c r="O1077" i="55"/>
  <c r="P1077" i="55" a="1"/>
  <c r="P1077" i="55"/>
  <c r="O1078" i="55" a="1"/>
  <c r="O1078" i="55"/>
  <c r="P1078" i="55" a="1"/>
  <c r="P1078" i="55"/>
  <c r="O1079" i="55" a="1"/>
  <c r="O1079" i="55"/>
  <c r="P1079" i="55" a="1"/>
  <c r="P1079" i="55"/>
  <c r="O1080" i="55" a="1"/>
  <c r="O1080" i="55"/>
  <c r="P1080" i="55" a="1"/>
  <c r="P1080" i="55"/>
  <c r="O1081" i="55" a="1"/>
  <c r="O1081" i="55"/>
  <c r="P1081" i="55" a="1"/>
  <c r="P1081" i="55"/>
  <c r="O1082" i="55" a="1"/>
  <c r="O1082" i="55"/>
  <c r="P1082" i="55" a="1"/>
  <c r="P1082" i="55"/>
  <c r="O1083" i="55" a="1"/>
  <c r="O1083" i="55"/>
  <c r="P1083" i="55" a="1"/>
  <c r="P1083" i="55"/>
  <c r="O1084" i="55" a="1"/>
  <c r="O1084" i="55"/>
  <c r="P1084" i="55" a="1"/>
  <c r="P1084" i="55"/>
  <c r="O1085" i="55" a="1"/>
  <c r="O1085" i="55"/>
  <c r="P1085" i="55" a="1"/>
  <c r="P1085" i="55"/>
  <c r="O1086" i="55" a="1"/>
  <c r="O1086" i="55"/>
  <c r="P1086" i="55" a="1"/>
  <c r="P1086" i="55"/>
  <c r="O1087" i="55" a="1"/>
  <c r="O1087" i="55"/>
  <c r="P1087" i="55" a="1"/>
  <c r="P1087" i="55"/>
  <c r="O1088" i="55" a="1"/>
  <c r="O1088" i="55"/>
  <c r="P1088" i="55" a="1"/>
  <c r="P1088" i="55"/>
  <c r="O1089" i="55" a="1"/>
  <c r="O1089" i="55"/>
  <c r="P1089" i="55" a="1"/>
  <c r="P1089" i="55"/>
  <c r="O1090" i="55" a="1"/>
  <c r="O1090" i="55"/>
  <c r="P1090" i="55" a="1"/>
  <c r="P1090" i="55"/>
  <c r="O1091" i="55" a="1"/>
  <c r="O1091" i="55"/>
  <c r="P1091" i="55" a="1"/>
  <c r="P1091" i="55"/>
  <c r="O1092" i="55" a="1"/>
  <c r="O1092" i="55"/>
  <c r="P1092" i="55" a="1"/>
  <c r="P1092" i="55"/>
  <c r="O1093" i="55" a="1"/>
  <c r="O1093" i="55"/>
  <c r="P1093" i="55" a="1"/>
  <c r="P1093" i="55"/>
  <c r="O1094" i="55" a="1"/>
  <c r="O1094" i="55"/>
  <c r="P1094" i="55" a="1"/>
  <c r="P1094" i="55"/>
  <c r="O1095" i="55" a="1"/>
  <c r="O1095" i="55"/>
  <c r="P1095" i="55" a="1"/>
  <c r="P1095" i="55"/>
  <c r="O1096" i="55" a="1"/>
  <c r="O1096" i="55"/>
  <c r="P1096" i="55" a="1"/>
  <c r="P1096" i="55"/>
  <c r="O1097" i="55" a="1"/>
  <c r="O1097" i="55"/>
  <c r="P1097" i="55" a="1"/>
  <c r="P1097" i="55"/>
  <c r="O1098" i="55" a="1"/>
  <c r="O1098" i="55"/>
  <c r="P1098" i="55" a="1"/>
  <c r="P1098" i="55"/>
  <c r="O1099" i="55" a="1"/>
  <c r="O1099" i="55"/>
  <c r="P1099" i="55" a="1"/>
  <c r="P1099" i="55"/>
  <c r="O1100" i="55" a="1"/>
  <c r="O1100" i="55"/>
  <c r="P1100" i="55" a="1"/>
  <c r="P1100" i="55"/>
  <c r="O1101" i="55" a="1"/>
  <c r="O1101" i="55"/>
  <c r="P1101" i="55" a="1"/>
  <c r="P1101" i="55"/>
  <c r="O1102" i="55" a="1"/>
  <c r="O1102" i="55"/>
  <c r="P1102" i="55" a="1"/>
  <c r="P1102" i="55"/>
  <c r="O1103" i="55" a="1"/>
  <c r="O1103" i="55"/>
  <c r="P1103" i="55" a="1"/>
  <c r="P1103" i="55"/>
  <c r="O1104" i="55" a="1"/>
  <c r="O1104" i="55"/>
  <c r="P1104" i="55" a="1"/>
  <c r="P1104" i="55"/>
  <c r="O1105" i="55" a="1"/>
  <c r="O1105" i="55"/>
  <c r="P1105" i="55" a="1"/>
  <c r="P1105" i="55"/>
  <c r="O1106" i="55" a="1"/>
  <c r="O1106" i="55"/>
  <c r="P1106" i="55" a="1"/>
  <c r="P1106" i="55"/>
  <c r="O1107" i="55" a="1"/>
  <c r="O1107" i="55"/>
  <c r="P1107" i="55" a="1"/>
  <c r="P1107" i="55"/>
  <c r="O1108" i="55" a="1"/>
  <c r="O1108" i="55"/>
  <c r="P1108" i="55" a="1"/>
  <c r="P1108" i="55"/>
  <c r="O1109" i="55" a="1"/>
  <c r="O1109" i="55"/>
  <c r="P1109" i="55" a="1"/>
  <c r="P1109" i="55"/>
  <c r="O1110" i="55" a="1"/>
  <c r="O1110" i="55"/>
  <c r="P1110" i="55" a="1"/>
  <c r="P1110" i="55"/>
  <c r="O1111" i="55" a="1"/>
  <c r="O1111" i="55"/>
  <c r="P1111" i="55" a="1"/>
  <c r="P1111" i="55"/>
  <c r="O1112" i="55" a="1"/>
  <c r="O1112" i="55"/>
  <c r="P1112" i="55" a="1"/>
  <c r="P1112" i="55"/>
  <c r="O1113" i="55" a="1"/>
  <c r="O1113" i="55"/>
  <c r="P1113" i="55" a="1"/>
  <c r="P1113" i="55"/>
  <c r="O1114" i="55" a="1"/>
  <c r="O1114" i="55"/>
  <c r="P1114" i="55" a="1"/>
  <c r="P1114" i="55"/>
  <c r="O1115" i="55" a="1"/>
  <c r="O1115" i="55"/>
  <c r="P1115" i="55" a="1"/>
  <c r="P1115" i="55"/>
  <c r="O1116" i="55" a="1"/>
  <c r="O1116" i="55"/>
  <c r="P1116" i="55" a="1"/>
  <c r="P1116" i="55"/>
  <c r="O1117" i="55" a="1"/>
  <c r="O1117" i="55"/>
  <c r="P1117" i="55" a="1"/>
  <c r="P1117" i="55"/>
  <c r="O1118" i="55" a="1"/>
  <c r="O1118" i="55"/>
  <c r="P1118" i="55" a="1"/>
  <c r="P1118" i="55"/>
  <c r="O1119" i="55" a="1"/>
  <c r="O1119" i="55"/>
  <c r="P1119" i="55" a="1"/>
  <c r="P1119" i="55"/>
  <c r="O1120" i="55" a="1"/>
  <c r="O1120" i="55"/>
  <c r="P1120" i="55" a="1"/>
  <c r="P1120" i="55"/>
  <c r="O1121" i="55" a="1"/>
  <c r="O1121" i="55"/>
  <c r="P1121" i="55" a="1"/>
  <c r="P1121" i="55"/>
  <c r="O1122" i="55" a="1"/>
  <c r="O1122" i="55"/>
  <c r="P1122" i="55" a="1"/>
  <c r="P1122" i="55"/>
  <c r="O1123" i="55" a="1"/>
  <c r="O1123" i="55"/>
  <c r="P1123" i="55" a="1"/>
  <c r="P1123" i="55"/>
  <c r="O1124" i="55" a="1"/>
  <c r="O1124" i="55"/>
  <c r="P1124" i="55" a="1"/>
  <c r="P1124" i="55"/>
  <c r="O1125" i="55" a="1"/>
  <c r="O1125" i="55"/>
  <c r="P1125" i="55" a="1"/>
  <c r="P1125" i="55"/>
  <c r="O1126" i="55" a="1"/>
  <c r="O1126" i="55"/>
  <c r="P1126" i="55" a="1"/>
  <c r="P1126" i="55"/>
  <c r="O1127" i="55" a="1"/>
  <c r="O1127" i="55"/>
  <c r="P1127" i="55" a="1"/>
  <c r="P1127" i="55"/>
  <c r="O1128" i="55" a="1"/>
  <c r="O1128" i="55"/>
  <c r="P1128" i="55" a="1"/>
  <c r="P1128" i="55"/>
  <c r="O1129" i="55" a="1"/>
  <c r="O1129" i="55"/>
  <c r="P1129" i="55" a="1"/>
  <c r="P1129" i="55"/>
  <c r="O1130" i="55" a="1"/>
  <c r="O1130" i="55"/>
  <c r="P1130" i="55" a="1"/>
  <c r="P1130" i="55"/>
  <c r="O1131" i="55" a="1"/>
  <c r="O1131" i="55"/>
  <c r="P1131" i="55" a="1"/>
  <c r="P1131" i="55"/>
  <c r="O1132" i="55" a="1"/>
  <c r="O1132" i="55"/>
  <c r="P1132" i="55" a="1"/>
  <c r="P1132" i="55"/>
  <c r="O1133" i="55" a="1"/>
  <c r="O1133" i="55"/>
  <c r="P1133" i="55" a="1"/>
  <c r="P1133" i="55"/>
  <c r="O1134" i="55" a="1"/>
  <c r="O1134" i="55"/>
  <c r="P1134" i="55" a="1"/>
  <c r="P1134" i="55"/>
  <c r="O1135" i="55" a="1"/>
  <c r="O1135" i="55"/>
  <c r="P1135" i="55" a="1"/>
  <c r="P1135" i="55"/>
  <c r="O1136" i="55" a="1"/>
  <c r="O1136" i="55"/>
  <c r="P1136" i="55" a="1"/>
  <c r="P1136" i="55"/>
  <c r="O1137" i="55" a="1"/>
  <c r="O1137" i="55"/>
  <c r="P1137" i="55" a="1"/>
  <c r="P1137" i="55"/>
  <c r="O1138" i="55" a="1"/>
  <c r="O1138" i="55"/>
  <c r="P1138" i="55" a="1"/>
  <c r="P1138" i="55"/>
  <c r="O1139" i="55" a="1"/>
  <c r="O1139" i="55"/>
  <c r="P1139" i="55" a="1"/>
  <c r="P1139" i="55"/>
  <c r="O1140" i="55" a="1"/>
  <c r="O1140" i="55"/>
  <c r="P1140" i="55" a="1"/>
  <c r="P1140" i="55"/>
  <c r="O1141" i="55" a="1"/>
  <c r="O1141" i="55"/>
  <c r="P1141" i="55" a="1"/>
  <c r="P1141" i="55"/>
  <c r="O1142" i="55" a="1"/>
  <c r="O1142" i="55"/>
  <c r="P1142" i="55" a="1"/>
  <c r="P1142" i="55"/>
  <c r="O1143" i="55" a="1"/>
  <c r="O1143" i="55"/>
  <c r="P1143" i="55" a="1"/>
  <c r="P1143" i="55"/>
  <c r="O1144" i="55" a="1"/>
  <c r="O1144" i="55"/>
  <c r="P1144" i="55" a="1"/>
  <c r="P1144" i="55"/>
  <c r="O1145" i="55" a="1"/>
  <c r="O1145" i="55"/>
  <c r="P1145" i="55" a="1"/>
  <c r="P1145" i="55"/>
  <c r="O1146" i="55" a="1"/>
  <c r="O1146" i="55"/>
  <c r="P1146" i="55" a="1"/>
  <c r="P1146" i="55"/>
  <c r="O1147" i="55" a="1"/>
  <c r="O1147" i="55"/>
  <c r="P1147" i="55" a="1"/>
  <c r="P1147" i="55"/>
  <c r="O1148" i="55" a="1"/>
  <c r="O1148" i="55"/>
  <c r="P1148" i="55" a="1"/>
  <c r="P1148" i="55"/>
  <c r="O1149" i="55" a="1"/>
  <c r="O1149" i="55"/>
  <c r="P1149" i="55" a="1"/>
  <c r="P1149" i="55"/>
  <c r="O1150" i="55" a="1"/>
  <c r="O1150" i="55"/>
  <c r="P1150" i="55" a="1"/>
  <c r="P1150" i="55"/>
  <c r="O1151" i="55" a="1"/>
  <c r="O1151" i="55"/>
  <c r="P1151" i="55" a="1"/>
  <c r="P1151" i="55"/>
  <c r="O1152" i="55" a="1"/>
  <c r="O1152" i="55"/>
  <c r="P1152" i="55" a="1"/>
  <c r="P1152" i="55"/>
  <c r="O1153" i="55" a="1"/>
  <c r="O1153" i="55"/>
  <c r="P1153" i="55" a="1"/>
  <c r="P1153" i="55"/>
  <c r="O1154" i="55" a="1"/>
  <c r="O1154" i="55"/>
  <c r="P1154" i="55" a="1"/>
  <c r="P1154" i="55"/>
  <c r="O1155" i="55" a="1"/>
  <c r="O1155" i="55"/>
  <c r="P1155" i="55" a="1"/>
  <c r="P1155" i="55"/>
  <c r="O1156" i="55" a="1"/>
  <c r="O1156" i="55"/>
  <c r="P1156" i="55" a="1"/>
  <c r="P1156" i="55"/>
  <c r="O1157" i="55" a="1"/>
  <c r="O1157" i="55"/>
  <c r="P1157" i="55" a="1"/>
  <c r="P1157" i="55"/>
  <c r="O1158" i="55" a="1"/>
  <c r="O1158" i="55"/>
  <c r="P1158" i="55" a="1"/>
  <c r="P1158" i="55"/>
  <c r="O1159" i="55" a="1"/>
  <c r="O1159" i="55"/>
  <c r="P1159" i="55" a="1"/>
  <c r="P1159" i="55"/>
  <c r="O1160" i="55" a="1"/>
  <c r="O1160" i="55"/>
  <c r="P1160" i="55" a="1"/>
  <c r="P1160" i="55"/>
  <c r="O1161" i="55" a="1"/>
  <c r="O1161" i="55"/>
  <c r="P1161" i="55" a="1"/>
  <c r="P1161" i="55"/>
  <c r="O1162" i="55" a="1"/>
  <c r="O1162" i="55"/>
  <c r="P1162" i="55" a="1"/>
  <c r="P1162" i="55"/>
  <c r="O1163" i="55" a="1"/>
  <c r="O1163" i="55"/>
  <c r="P1163" i="55" a="1"/>
  <c r="P1163" i="55"/>
  <c r="O1164" i="55" a="1"/>
  <c r="O1164" i="55"/>
  <c r="P1164" i="55" a="1"/>
  <c r="P1164" i="55"/>
  <c r="O1165" i="55" a="1"/>
  <c r="O1165" i="55"/>
  <c r="P1165" i="55" a="1"/>
  <c r="P1165" i="55"/>
  <c r="O1166" i="55" a="1"/>
  <c r="O1166" i="55"/>
  <c r="P1166" i="55" a="1"/>
  <c r="P1166" i="55"/>
  <c r="O1167" i="55" a="1"/>
  <c r="O1167" i="55"/>
  <c r="P1167" i="55" a="1"/>
  <c r="P1167" i="55"/>
  <c r="O1168" i="55" a="1"/>
  <c r="O1168" i="55"/>
  <c r="P1168" i="55" a="1"/>
  <c r="P1168" i="55"/>
  <c r="O1169" i="55" a="1"/>
  <c r="O1169" i="55"/>
  <c r="P1169" i="55" a="1"/>
  <c r="P1169" i="55"/>
  <c r="O1170" i="55" a="1"/>
  <c r="O1170" i="55"/>
  <c r="P1170" i="55" a="1"/>
  <c r="P1170" i="55"/>
  <c r="O1171" i="55" a="1"/>
  <c r="O1171" i="55"/>
  <c r="P1171" i="55" a="1"/>
  <c r="P1171" i="55"/>
  <c r="O1172" i="55" a="1"/>
  <c r="O1172" i="55"/>
  <c r="P1172" i="55" a="1"/>
  <c r="P1172" i="55"/>
  <c r="O1173" i="55" a="1"/>
  <c r="O1173" i="55"/>
  <c r="P1173" i="55" a="1"/>
  <c r="P1173" i="55"/>
  <c r="O1174" i="55" a="1"/>
  <c r="O1174" i="55"/>
  <c r="P1174" i="55" a="1"/>
  <c r="P1174" i="55"/>
  <c r="O1175" i="55" a="1"/>
  <c r="O1175" i="55"/>
  <c r="P1175" i="55" a="1"/>
  <c r="P1175" i="55"/>
  <c r="O1176" i="55" a="1"/>
  <c r="O1176" i="55"/>
  <c r="P1176" i="55" a="1"/>
  <c r="P1176" i="55"/>
  <c r="O1177" i="55" a="1"/>
  <c r="O1177" i="55"/>
  <c r="P1177" i="55" a="1"/>
  <c r="P1177" i="55"/>
  <c r="O1178" i="55" a="1"/>
  <c r="O1178" i="55"/>
  <c r="P1178" i="55" a="1"/>
  <c r="P1178" i="55"/>
  <c r="O1179" i="55" a="1"/>
  <c r="O1179" i="55"/>
  <c r="P1179" i="55" a="1"/>
  <c r="P1179" i="55"/>
  <c r="O1180" i="55" a="1"/>
  <c r="O1180" i="55"/>
  <c r="P1180" i="55" a="1"/>
  <c r="P1180" i="55"/>
  <c r="O1181" i="55" a="1"/>
  <c r="O1181" i="55"/>
  <c r="P1181" i="55" a="1"/>
  <c r="P1181" i="55"/>
  <c r="O1182" i="55" a="1"/>
  <c r="O1182" i="55"/>
  <c r="P1182" i="55" a="1"/>
  <c r="P1182" i="55"/>
  <c r="O1183" i="55" a="1"/>
  <c r="O1183" i="55"/>
  <c r="P1183" i="55" a="1"/>
  <c r="P1183" i="55"/>
  <c r="O1184" i="55" a="1"/>
  <c r="O1184" i="55"/>
  <c r="P1184" i="55" a="1"/>
  <c r="P1184" i="55"/>
  <c r="O1185" i="55" a="1"/>
  <c r="O1185" i="55"/>
  <c r="P1185" i="55" a="1"/>
  <c r="P1185" i="55"/>
  <c r="O1186" i="55" a="1"/>
  <c r="O1186" i="55"/>
  <c r="P1186" i="55" a="1"/>
  <c r="P1186" i="55"/>
  <c r="O1187" i="55" a="1"/>
  <c r="O1187" i="55"/>
  <c r="P1187" i="55" a="1"/>
  <c r="P1187" i="55"/>
  <c r="O1188" i="55" a="1"/>
  <c r="O1188" i="55"/>
  <c r="P1188" i="55" a="1"/>
  <c r="P1188" i="55"/>
  <c r="O1189" i="55" a="1"/>
  <c r="O1189" i="55"/>
  <c r="P1189" i="55" a="1"/>
  <c r="P1189" i="55"/>
  <c r="O1190" i="55" a="1"/>
  <c r="O1190" i="55"/>
  <c r="P1190" i="55" a="1"/>
  <c r="P1190" i="55"/>
  <c r="O1191" i="55" a="1"/>
  <c r="O1191" i="55"/>
  <c r="P1191" i="55" a="1"/>
  <c r="P1191" i="55"/>
  <c r="O1192" i="55" a="1"/>
  <c r="O1192" i="55"/>
  <c r="P1192" i="55" a="1"/>
  <c r="P1192" i="55"/>
  <c r="O1193" i="55" a="1"/>
  <c r="O1193" i="55"/>
  <c r="P1193" i="55" a="1"/>
  <c r="P1193" i="55"/>
  <c r="O1194" i="55" a="1"/>
  <c r="O1194" i="55"/>
  <c r="P1194" i="55" a="1"/>
  <c r="P1194" i="55"/>
  <c r="O1195" i="55" a="1"/>
  <c r="O1195" i="55"/>
  <c r="P1195" i="55" a="1"/>
  <c r="P1195" i="55"/>
  <c r="O1196" i="55" a="1"/>
  <c r="O1196" i="55"/>
  <c r="P1196" i="55" a="1"/>
  <c r="P1196" i="55"/>
  <c r="O1197" i="55" a="1"/>
  <c r="O1197" i="55"/>
  <c r="P1197" i="55" a="1"/>
  <c r="P1197" i="55"/>
  <c r="O1198" i="55" a="1"/>
  <c r="O1198" i="55"/>
  <c r="P1198" i="55" a="1"/>
  <c r="P1198" i="55"/>
  <c r="O1199" i="55" a="1"/>
  <c r="O1199" i="55"/>
  <c r="P1199" i="55" a="1"/>
  <c r="P1199" i="55"/>
  <c r="O1200" i="55" a="1"/>
  <c r="O1200" i="55"/>
  <c r="P1200" i="55" a="1"/>
  <c r="P1200" i="55"/>
  <c r="O1201" i="55" a="1"/>
  <c r="O1201" i="55"/>
  <c r="P1201" i="55" a="1"/>
  <c r="P1201" i="55"/>
  <c r="O1202" i="55" a="1"/>
  <c r="O1202" i="55"/>
  <c r="P1202" i="55" a="1"/>
  <c r="P1202" i="55"/>
  <c r="O1203" i="55" a="1"/>
  <c r="O1203" i="55"/>
  <c r="P1203" i="55" a="1"/>
  <c r="P1203" i="55"/>
  <c r="O1204" i="55" a="1"/>
  <c r="O1204" i="55"/>
  <c r="P1204" i="55" a="1"/>
  <c r="P1204" i="55"/>
  <c r="O1205" i="55" a="1"/>
  <c r="O1205" i="55"/>
  <c r="P1205" i="55" a="1"/>
  <c r="P1205" i="55"/>
  <c r="O1206" i="55" a="1"/>
  <c r="O1206" i="55"/>
  <c r="P1206" i="55" a="1"/>
  <c r="P1206" i="55"/>
  <c r="O1207" i="55" a="1"/>
  <c r="O1207" i="55"/>
  <c r="P1207" i="55" a="1"/>
  <c r="P1207" i="55"/>
  <c r="O1208" i="55" a="1"/>
  <c r="O1208" i="55"/>
  <c r="P1208" i="55" a="1"/>
  <c r="P1208" i="55"/>
  <c r="O1209" i="55" a="1"/>
  <c r="O1209" i="55"/>
  <c r="P1209" i="55" a="1"/>
  <c r="P1209" i="55"/>
  <c r="O1210" i="55" a="1"/>
  <c r="O1210" i="55"/>
  <c r="P1210" i="55" a="1"/>
  <c r="P1210" i="55"/>
  <c r="O1211" i="55" a="1"/>
  <c r="O1211" i="55"/>
  <c r="P1211" i="55" a="1"/>
  <c r="P1211" i="55"/>
  <c r="O1212" i="55" a="1"/>
  <c r="O1212" i="55"/>
  <c r="P1212" i="55" a="1"/>
  <c r="P1212" i="55"/>
  <c r="O1213" i="55" a="1"/>
  <c r="O1213" i="55"/>
  <c r="P1213" i="55" a="1"/>
  <c r="P1213" i="55"/>
  <c r="O1214" i="55" a="1"/>
  <c r="O1214" i="55"/>
  <c r="P1214" i="55" a="1"/>
  <c r="P1214" i="55"/>
  <c r="O1215" i="55" a="1"/>
  <c r="O1215" i="55"/>
  <c r="P1215" i="55" a="1"/>
  <c r="P1215" i="55"/>
  <c r="O1216" i="55" a="1"/>
  <c r="O1216" i="55"/>
  <c r="P1216" i="55" a="1"/>
  <c r="P1216" i="55"/>
  <c r="O1217" i="55" a="1"/>
  <c r="O1217" i="55"/>
  <c r="P1217" i="55" a="1"/>
  <c r="P1217" i="55"/>
  <c r="O1218" i="55" a="1"/>
  <c r="O1218" i="55"/>
  <c r="P1218" i="55" a="1"/>
  <c r="P1218" i="55"/>
  <c r="O1219" i="55" a="1"/>
  <c r="O1219" i="55"/>
  <c r="P1219" i="55" a="1"/>
  <c r="P1219" i="55"/>
  <c r="O1220" i="55" a="1"/>
  <c r="O1220" i="55"/>
  <c r="P1220" i="55" a="1"/>
  <c r="P1220" i="55"/>
  <c r="O1221" i="55" a="1"/>
  <c r="O1221" i="55"/>
  <c r="P1221" i="55" a="1"/>
  <c r="P1221" i="55"/>
  <c r="O1222" i="55" a="1"/>
  <c r="O1222" i="55"/>
  <c r="P1222" i="55" a="1"/>
  <c r="P1222" i="55"/>
  <c r="O1223" i="55" a="1"/>
  <c r="O1223" i="55"/>
  <c r="P1223" i="55" a="1"/>
  <c r="P1223" i="55"/>
  <c r="O1224" i="55" a="1"/>
  <c r="O1224" i="55"/>
  <c r="P1224" i="55" a="1"/>
  <c r="P1224" i="55"/>
  <c r="O1225" i="55" a="1"/>
  <c r="O1225" i="55"/>
  <c r="P1225" i="55" a="1"/>
  <c r="P1225" i="55"/>
  <c r="O1226" i="55" a="1"/>
  <c r="O1226" i="55"/>
  <c r="P1226" i="55" a="1"/>
  <c r="P1226" i="55"/>
  <c r="O1227" i="55" a="1"/>
  <c r="O1227" i="55"/>
  <c r="P1227" i="55" a="1"/>
  <c r="P1227" i="55"/>
  <c r="O1228" i="55" a="1"/>
  <c r="O1228" i="55"/>
  <c r="P1228" i="55" a="1"/>
  <c r="P1228" i="55"/>
  <c r="O1229" i="55" a="1"/>
  <c r="O1229" i="55"/>
  <c r="P1229" i="55" a="1"/>
  <c r="P1229" i="55"/>
  <c r="O1230" i="55" a="1"/>
  <c r="O1230" i="55"/>
  <c r="P1230" i="55" a="1"/>
  <c r="P1230" i="55"/>
  <c r="O1231" i="55" a="1"/>
  <c r="O1231" i="55"/>
  <c r="P1231" i="55" a="1"/>
  <c r="P1231" i="55"/>
  <c r="O1232" i="55" a="1"/>
  <c r="O1232" i="55"/>
  <c r="P1232" i="55" a="1"/>
  <c r="P1232" i="55"/>
  <c r="O1233" i="55" a="1"/>
  <c r="O1233" i="55"/>
  <c r="P1233" i="55" a="1"/>
  <c r="P1233" i="55"/>
  <c r="O1234" i="55" a="1"/>
  <c r="O1234" i="55"/>
  <c r="P1234" i="55" a="1"/>
  <c r="P1234" i="55"/>
  <c r="O1235" i="55" a="1"/>
  <c r="O1235" i="55"/>
  <c r="P1235" i="55" a="1"/>
  <c r="P1235" i="55"/>
  <c r="O1236" i="55" a="1"/>
  <c r="O1236" i="55"/>
  <c r="P1236" i="55" a="1"/>
  <c r="P1236" i="55"/>
  <c r="O1237" i="55" a="1"/>
  <c r="O1237" i="55"/>
  <c r="P1237" i="55" a="1"/>
  <c r="P1237" i="55"/>
  <c r="O1238" i="55" a="1"/>
  <c r="O1238" i="55"/>
  <c r="P1238" i="55" a="1"/>
  <c r="P1238" i="55"/>
  <c r="O1239" i="55" a="1"/>
  <c r="O1239" i="55"/>
  <c r="P1239" i="55" a="1"/>
  <c r="P1239" i="55"/>
  <c r="O1240" i="55" a="1"/>
  <c r="O1240" i="55"/>
  <c r="P1240" i="55" a="1"/>
  <c r="P1240" i="55"/>
  <c r="O1241" i="55" a="1"/>
  <c r="O1241" i="55"/>
  <c r="P1241" i="55" a="1"/>
  <c r="P1241" i="55"/>
  <c r="O1242" i="55" a="1"/>
  <c r="O1242" i="55"/>
  <c r="P1242" i="55" a="1"/>
  <c r="P1242" i="55"/>
  <c r="O1243" i="55" a="1"/>
  <c r="O1243" i="55"/>
  <c r="P1243" i="55" a="1"/>
  <c r="P1243" i="55"/>
  <c r="O1244" i="55" a="1"/>
  <c r="O1244" i="55"/>
  <c r="P1244" i="55" a="1"/>
  <c r="P1244" i="55"/>
  <c r="O1245" i="55" a="1"/>
  <c r="O1245" i="55"/>
  <c r="P1245" i="55" a="1"/>
  <c r="P1245" i="55"/>
  <c r="O1246" i="55" a="1"/>
  <c r="O1246" i="55"/>
  <c r="P1246" i="55" a="1"/>
  <c r="P1246" i="55"/>
  <c r="O1247" i="55" a="1"/>
  <c r="O1247" i="55"/>
  <c r="P1247" i="55" a="1"/>
  <c r="P1247" i="55"/>
  <c r="O1248" i="55" a="1"/>
  <c r="O1248" i="55"/>
  <c r="P1248" i="55" a="1"/>
  <c r="P1248" i="55"/>
  <c r="O1249" i="55" a="1"/>
  <c r="O1249" i="55"/>
  <c r="P1249" i="55" a="1"/>
  <c r="P1249" i="55"/>
  <c r="O1250" i="55" a="1"/>
  <c r="O1250" i="55"/>
  <c r="P1250" i="55" a="1"/>
  <c r="P1250" i="55"/>
  <c r="O1251" i="55" a="1"/>
  <c r="O1251" i="55"/>
  <c r="P1251" i="55" a="1"/>
  <c r="P1251" i="55"/>
  <c r="O1252" i="55" a="1"/>
  <c r="O1252" i="55"/>
  <c r="P1252" i="55" a="1"/>
  <c r="P1252" i="55"/>
  <c r="O1253" i="55" a="1"/>
  <c r="O1253" i="55"/>
  <c r="P1253" i="55" a="1"/>
  <c r="P1253" i="55"/>
  <c r="O1254" i="55" a="1"/>
  <c r="O1254" i="55"/>
  <c r="P1254" i="55" a="1"/>
  <c r="P1254" i="55"/>
  <c r="O1255" i="55" a="1"/>
  <c r="O1255" i="55"/>
  <c r="P1255" i="55" a="1"/>
  <c r="P1255" i="55"/>
  <c r="O1256" i="55" a="1"/>
  <c r="O1256" i="55"/>
  <c r="P1256" i="55" a="1"/>
  <c r="P1256" i="55"/>
  <c r="O1257" i="55" a="1"/>
  <c r="O1257" i="55"/>
  <c r="P1257" i="55" a="1"/>
  <c r="P1257" i="55"/>
  <c r="O1258" i="55" a="1"/>
  <c r="O1258" i="55"/>
  <c r="P1258" i="55" a="1"/>
  <c r="P1258" i="55"/>
  <c r="O1259" i="55" a="1"/>
  <c r="O1259" i="55"/>
  <c r="P1259" i="55" a="1"/>
  <c r="P1259" i="55"/>
  <c r="O1260" i="55" a="1"/>
  <c r="O1260" i="55"/>
  <c r="P1260" i="55" a="1"/>
  <c r="P1260" i="55"/>
  <c r="O1261" i="55" a="1"/>
  <c r="O1261" i="55"/>
  <c r="P1261" i="55" a="1"/>
  <c r="P1261" i="55"/>
  <c r="O1262" i="55" a="1"/>
  <c r="O1262" i="55"/>
  <c r="P1262" i="55" a="1"/>
  <c r="P1262" i="55"/>
  <c r="O1263" i="55" a="1"/>
  <c r="O1263" i="55"/>
  <c r="P1263" i="55" a="1"/>
  <c r="P1263" i="55"/>
  <c r="O1264" i="55" a="1"/>
  <c r="O1264" i="55"/>
  <c r="P1264" i="55" a="1"/>
  <c r="P1264" i="55"/>
  <c r="O1265" i="55" a="1"/>
  <c r="O1265" i="55"/>
  <c r="P1265" i="55" a="1"/>
  <c r="P1265" i="55"/>
  <c r="O1266" i="55" a="1"/>
  <c r="O1266" i="55"/>
  <c r="P1266" i="55" a="1"/>
  <c r="P1266" i="55"/>
  <c r="O1267" i="55" a="1"/>
  <c r="O1267" i="55"/>
  <c r="P1267" i="55" a="1"/>
  <c r="P1267" i="55"/>
  <c r="O1268" i="55" a="1"/>
  <c r="O1268" i="55"/>
  <c r="P1268" i="55" a="1"/>
  <c r="P1268" i="55"/>
  <c r="O1269" i="55" a="1"/>
  <c r="O1269" i="55"/>
  <c r="P1269" i="55" a="1"/>
  <c r="P1269" i="55"/>
  <c r="O1270" i="55" a="1"/>
  <c r="O1270" i="55"/>
  <c r="P1270" i="55" a="1"/>
  <c r="P1270" i="55"/>
  <c r="O1271" i="55" a="1"/>
  <c r="O1271" i="55"/>
  <c r="P1271" i="55" a="1"/>
  <c r="P1271" i="55"/>
  <c r="O1272" i="55" a="1"/>
  <c r="O1272" i="55"/>
  <c r="P1272" i="55" a="1"/>
  <c r="P1272" i="55"/>
  <c r="O1273" i="55" a="1"/>
  <c r="O1273" i="55"/>
  <c r="P1273" i="55" a="1"/>
  <c r="P1273" i="55"/>
  <c r="O1274" i="55" a="1"/>
  <c r="O1274" i="55"/>
  <c r="P1274" i="55" a="1"/>
  <c r="P1274" i="55"/>
  <c r="O1275" i="55" a="1"/>
  <c r="O1275" i="55"/>
  <c r="P1275" i="55" a="1"/>
  <c r="P1275" i="55"/>
  <c r="O1276" i="55" a="1"/>
  <c r="O1276" i="55"/>
  <c r="P1276" i="55" a="1"/>
  <c r="P1276" i="55"/>
  <c r="O1277" i="55" a="1"/>
  <c r="O1277" i="55"/>
  <c r="P1277" i="55" a="1"/>
  <c r="P1277" i="55"/>
  <c r="O1278" i="55" a="1"/>
  <c r="O1278" i="55"/>
  <c r="P1278" i="55" a="1"/>
  <c r="P1278" i="55"/>
  <c r="O1279" i="55" a="1"/>
  <c r="O1279" i="55"/>
  <c r="P1279" i="55" a="1"/>
  <c r="P1279" i="55"/>
  <c r="O1280" i="55" a="1"/>
  <c r="O1280" i="55"/>
  <c r="P1280" i="55" a="1"/>
  <c r="P1280" i="55"/>
  <c r="O1281" i="55" a="1"/>
  <c r="O1281" i="55"/>
  <c r="P1281" i="55" a="1"/>
  <c r="P1281" i="55"/>
  <c r="O1282" i="55" a="1"/>
  <c r="O1282" i="55"/>
  <c r="P1282" i="55" a="1"/>
  <c r="P1282" i="55"/>
  <c r="O1283" i="55" a="1"/>
  <c r="O1283" i="55"/>
  <c r="P1283" i="55" a="1"/>
  <c r="P1283" i="55"/>
  <c r="O1284" i="55" a="1"/>
  <c r="O1284" i="55"/>
  <c r="P1284" i="55" a="1"/>
  <c r="P1284" i="55"/>
  <c r="O1285" i="55" a="1"/>
  <c r="O1285" i="55"/>
  <c r="P1285" i="55" a="1"/>
  <c r="P1285" i="55"/>
  <c r="O1286" i="55" a="1"/>
  <c r="O1286" i="55"/>
  <c r="P1286" i="55" a="1"/>
  <c r="P1286" i="55"/>
  <c r="O1287" i="55" a="1"/>
  <c r="O1287" i="55"/>
  <c r="P1287" i="55" a="1"/>
  <c r="P1287" i="55"/>
  <c r="O1288" i="55" a="1"/>
  <c r="O1288" i="55"/>
  <c r="P1288" i="55" a="1"/>
  <c r="P1288" i="55"/>
  <c r="O1289" i="55" a="1"/>
  <c r="O1289" i="55"/>
  <c r="P1289" i="55" a="1"/>
  <c r="P1289" i="55"/>
  <c r="O1290" i="55" a="1"/>
  <c r="O1290" i="55"/>
  <c r="P1290" i="55" a="1"/>
  <c r="P1290" i="55"/>
  <c r="O1291" i="55" a="1"/>
  <c r="O1291" i="55"/>
  <c r="P1291" i="55" a="1"/>
  <c r="P1291" i="55"/>
  <c r="O1292" i="55" a="1"/>
  <c r="O1292" i="55"/>
  <c r="P1292" i="55" a="1"/>
  <c r="P1292" i="55"/>
  <c r="O1293" i="55" a="1"/>
  <c r="O1293" i="55"/>
  <c r="P1293" i="55" a="1"/>
  <c r="P1293" i="55"/>
  <c r="O1294" i="55" a="1"/>
  <c r="O1294" i="55"/>
  <c r="P1294" i="55" a="1"/>
  <c r="P1294" i="55"/>
  <c r="O1295" i="55" a="1"/>
  <c r="O1295" i="55"/>
  <c r="P1295" i="55" a="1"/>
  <c r="P1295" i="55"/>
  <c r="O1296" i="55" a="1"/>
  <c r="O1296" i="55"/>
  <c r="P1296" i="55" a="1"/>
  <c r="P1296" i="55"/>
  <c r="O1297" i="55" a="1"/>
  <c r="O1297" i="55"/>
  <c r="P1297" i="55" a="1"/>
  <c r="P1297" i="55"/>
  <c r="O1298" i="55" a="1"/>
  <c r="O1298" i="55"/>
  <c r="P1298" i="55" a="1"/>
  <c r="P1298" i="55"/>
  <c r="O1299" i="55" a="1"/>
  <c r="O1299" i="55"/>
  <c r="P1299" i="55" a="1"/>
  <c r="P1299" i="55"/>
  <c r="O1300" i="55" a="1"/>
  <c r="O1300" i="55"/>
  <c r="P1300" i="55" a="1"/>
  <c r="P1300" i="55"/>
  <c r="O1301" i="55" a="1"/>
  <c r="O1301" i="55"/>
  <c r="P1301" i="55" a="1"/>
  <c r="P1301" i="55"/>
  <c r="O1302" i="55" a="1"/>
  <c r="O1302" i="55"/>
  <c r="P1302" i="55" a="1"/>
  <c r="P1302" i="55"/>
  <c r="O1303" i="55" a="1"/>
  <c r="O1303" i="55"/>
  <c r="P1303" i="55" a="1"/>
  <c r="P1303" i="55"/>
  <c r="O1304" i="55" a="1"/>
  <c r="O1304" i="55"/>
  <c r="P1304" i="55" a="1"/>
  <c r="P1304" i="55"/>
  <c r="O1305" i="55" a="1"/>
  <c r="O1305" i="55"/>
  <c r="P1305" i="55" a="1"/>
  <c r="P1305" i="55"/>
  <c r="O1306" i="55" a="1"/>
  <c r="O1306" i="55"/>
  <c r="P1306" i="55" a="1"/>
  <c r="P1306" i="55"/>
  <c r="O1307" i="55" a="1"/>
  <c r="O1307" i="55"/>
  <c r="P1307" i="55" a="1"/>
  <c r="P1307" i="55"/>
  <c r="O1308" i="55" a="1"/>
  <c r="O1308" i="55"/>
  <c r="P1308" i="55" a="1"/>
  <c r="P1308" i="55"/>
  <c r="O1309" i="55" a="1"/>
  <c r="O1309" i="55"/>
  <c r="P1309" i="55" a="1"/>
  <c r="P1309" i="55"/>
  <c r="O1310" i="55" a="1"/>
  <c r="O1310" i="55"/>
  <c r="P1310" i="55" a="1"/>
  <c r="P1310" i="55"/>
  <c r="O1311" i="55" a="1"/>
  <c r="O1311" i="55"/>
  <c r="P1311" i="55" a="1"/>
  <c r="P1311" i="55"/>
  <c r="O1312" i="55" a="1"/>
  <c r="O1312" i="55"/>
  <c r="P1312" i="55" a="1"/>
  <c r="P1312" i="55"/>
  <c r="O1313" i="55" a="1"/>
  <c r="O1313" i="55"/>
  <c r="P1313" i="55" a="1"/>
  <c r="P1313" i="55"/>
  <c r="O1314" i="55" a="1"/>
  <c r="O1314" i="55"/>
  <c r="P1314" i="55" a="1"/>
  <c r="P1314" i="55"/>
  <c r="O1315" i="55" a="1"/>
  <c r="O1315" i="55"/>
  <c r="P1315" i="55" a="1"/>
  <c r="P1315" i="55"/>
  <c r="O1316" i="55" a="1"/>
  <c r="O1316" i="55"/>
  <c r="P1316" i="55" a="1"/>
  <c r="P1316" i="55"/>
  <c r="O1317" i="55" a="1"/>
  <c r="O1317" i="55"/>
  <c r="P1317" i="55" a="1"/>
  <c r="P1317" i="55"/>
  <c r="O1318" i="55" a="1"/>
  <c r="O1318" i="55"/>
  <c r="P1318" i="55" a="1"/>
  <c r="P1318" i="55"/>
  <c r="O1319" i="55" a="1"/>
  <c r="O1319" i="55"/>
  <c r="P1319" i="55" a="1"/>
  <c r="P1319" i="55"/>
  <c r="O1320" i="55" a="1"/>
  <c r="O1320" i="55"/>
  <c r="P1320" i="55" a="1"/>
  <c r="P1320" i="55"/>
  <c r="O1321" i="55" a="1"/>
  <c r="O1321" i="55"/>
  <c r="P1321" i="55" a="1"/>
  <c r="P1321" i="55"/>
  <c r="O1322" i="55" a="1"/>
  <c r="O1322" i="55"/>
  <c r="P1322" i="55" a="1"/>
  <c r="P1322" i="55"/>
  <c r="O1323" i="55" a="1"/>
  <c r="O1323" i="55"/>
  <c r="P1323" i="55" a="1"/>
  <c r="P1323" i="55"/>
  <c r="O1324" i="55" a="1"/>
  <c r="O1324" i="55"/>
  <c r="P1324" i="55" a="1"/>
  <c r="P1324" i="55"/>
  <c r="O1325" i="55" a="1"/>
  <c r="O1325" i="55"/>
  <c r="P1325" i="55" a="1"/>
  <c r="P1325" i="55"/>
  <c r="O1326" i="55" a="1"/>
  <c r="O1326" i="55"/>
  <c r="P1326" i="55" a="1"/>
  <c r="P1326" i="55"/>
  <c r="O1327" i="55" a="1"/>
  <c r="O1327" i="55"/>
  <c r="P1327" i="55" a="1"/>
  <c r="P1327" i="55"/>
  <c r="O1328" i="55" a="1"/>
  <c r="O1328" i="55"/>
  <c r="P1328" i="55" a="1"/>
  <c r="P1328" i="55"/>
  <c r="O1329" i="55" a="1"/>
  <c r="O1329" i="55"/>
  <c r="P1329" i="55" a="1"/>
  <c r="P1329" i="55"/>
  <c r="O1330" i="55" a="1"/>
  <c r="O1330" i="55"/>
  <c r="P1330" i="55" a="1"/>
  <c r="P1330" i="55"/>
  <c r="O1331" i="55" a="1"/>
  <c r="O1331" i="55"/>
  <c r="P1331" i="55" a="1"/>
  <c r="P1331" i="55"/>
  <c r="O1332" i="55" a="1"/>
  <c r="O1332" i="55"/>
  <c r="P1332" i="55" a="1"/>
  <c r="P1332" i="55"/>
  <c r="O1333" i="55" a="1"/>
  <c r="O1333" i="55"/>
  <c r="P1333" i="55" a="1"/>
  <c r="P1333" i="55"/>
  <c r="O1334" i="55" a="1"/>
  <c r="O1334" i="55"/>
  <c r="P1334" i="55" a="1"/>
  <c r="P1334" i="55"/>
  <c r="O1335" i="55" a="1"/>
  <c r="O1335" i="55"/>
  <c r="P1335" i="55" a="1"/>
  <c r="P1335" i="55"/>
  <c r="O1336" i="55" a="1"/>
  <c r="O1336" i="55"/>
  <c r="P1336" i="55" a="1"/>
  <c r="P1336" i="55"/>
  <c r="O1337" i="55" a="1"/>
  <c r="O1337" i="55"/>
  <c r="P1337" i="55" a="1"/>
  <c r="P1337" i="55"/>
  <c r="O1338" i="55" a="1"/>
  <c r="O1338" i="55"/>
  <c r="P1338" i="55" a="1"/>
  <c r="P1338" i="55"/>
  <c r="O1339" i="55" a="1"/>
  <c r="O1339" i="55"/>
  <c r="P1339" i="55" a="1"/>
  <c r="P1339" i="55"/>
  <c r="O1340" i="55" a="1"/>
  <c r="O1340" i="55"/>
  <c r="P1340" i="55" a="1"/>
  <c r="P1340" i="55"/>
  <c r="O1341" i="55" a="1"/>
  <c r="O1341" i="55"/>
  <c r="P1341" i="55" a="1"/>
  <c r="P1341" i="55"/>
  <c r="O1342" i="55" a="1"/>
  <c r="O1342" i="55"/>
  <c r="P1342" i="55" a="1"/>
  <c r="P1342" i="55"/>
  <c r="O1343" i="55" a="1"/>
  <c r="O1343" i="55"/>
  <c r="P1343" i="55" a="1"/>
  <c r="P1343" i="55"/>
  <c r="O1344" i="55" a="1"/>
  <c r="O1344" i="55"/>
  <c r="P1344" i="55" a="1"/>
  <c r="P1344" i="55"/>
  <c r="O1345" i="55" a="1"/>
  <c r="O1345" i="55"/>
  <c r="P1345" i="55" a="1"/>
  <c r="P1345" i="55"/>
  <c r="O1346" i="55" a="1"/>
  <c r="O1346" i="55"/>
  <c r="P1346" i="55" a="1"/>
  <c r="P1346" i="55"/>
  <c r="O1347" i="55" a="1"/>
  <c r="O1347" i="55"/>
  <c r="P1347" i="55" a="1"/>
  <c r="P1347" i="55"/>
  <c r="O1348" i="55" a="1"/>
  <c r="O1348" i="55"/>
  <c r="P1348" i="55" a="1"/>
  <c r="P1348" i="55"/>
  <c r="O1349" i="55" a="1"/>
  <c r="O1349" i="55"/>
  <c r="P1349" i="55" a="1"/>
  <c r="P1349" i="55"/>
  <c r="O1350" i="55" a="1"/>
  <c r="O1350" i="55"/>
  <c r="P1350" i="55" a="1"/>
  <c r="P1350" i="55"/>
  <c r="O1351" i="55" a="1"/>
  <c r="O1351" i="55"/>
  <c r="P1351" i="55" a="1"/>
  <c r="P1351" i="55"/>
  <c r="O1352" i="55" a="1"/>
  <c r="O1352" i="55"/>
  <c r="P1352" i="55" a="1"/>
  <c r="P1352" i="55"/>
  <c r="O1353" i="55" a="1"/>
  <c r="O1353" i="55"/>
  <c r="P1353" i="55" a="1"/>
  <c r="P1353" i="55"/>
  <c r="O1354" i="55" a="1"/>
  <c r="O1354" i="55"/>
  <c r="P1354" i="55" a="1"/>
  <c r="P1354" i="55"/>
  <c r="O1355" i="55" a="1"/>
  <c r="O1355" i="55"/>
  <c r="P1355" i="55" a="1"/>
  <c r="P1355" i="55"/>
  <c r="O1356" i="55" a="1"/>
  <c r="O1356" i="55"/>
  <c r="P1356" i="55" a="1"/>
  <c r="P1356" i="55"/>
  <c r="O1357" i="55" a="1"/>
  <c r="O1357" i="55"/>
  <c r="P1357" i="55" a="1"/>
  <c r="P1357" i="55"/>
  <c r="O1358" i="55" a="1"/>
  <c r="O1358" i="55"/>
  <c r="P1358" i="55" a="1"/>
  <c r="P1358" i="55"/>
  <c r="O1359" i="55" a="1"/>
  <c r="O1359" i="55"/>
  <c r="P1359" i="55" a="1"/>
  <c r="P1359" i="55"/>
  <c r="O1360" i="55" a="1"/>
  <c r="O1360" i="55"/>
  <c r="P1360" i="55" a="1"/>
  <c r="P1360" i="55"/>
  <c r="O1361" i="55" a="1"/>
  <c r="O1361" i="55"/>
  <c r="P1361" i="55" a="1"/>
  <c r="P1361" i="55"/>
  <c r="O1362" i="55" a="1"/>
  <c r="O1362" i="55"/>
  <c r="P1362" i="55" a="1"/>
  <c r="P1362" i="55"/>
  <c r="O1363" i="55" a="1"/>
  <c r="O1363" i="55"/>
  <c r="P1363" i="55" a="1"/>
  <c r="P1363" i="55"/>
  <c r="O1364" i="55" a="1"/>
  <c r="O1364" i="55"/>
  <c r="P1364" i="55" a="1"/>
  <c r="P1364" i="55"/>
  <c r="O1365" i="55" a="1"/>
  <c r="O1365" i="55"/>
  <c r="P1365" i="55" a="1"/>
  <c r="P1365" i="55"/>
  <c r="O1366" i="55" a="1"/>
  <c r="O1366" i="55"/>
  <c r="P1366" i="55" a="1"/>
  <c r="P1366" i="55"/>
  <c r="O1367" i="55" a="1"/>
  <c r="O1367" i="55"/>
  <c r="P1367" i="55" a="1"/>
  <c r="P1367" i="55"/>
  <c r="O1368" i="55" a="1"/>
  <c r="O1368" i="55"/>
  <c r="P1368" i="55" a="1"/>
  <c r="P1368" i="55"/>
  <c r="O1369" i="55" a="1"/>
  <c r="O1369" i="55"/>
  <c r="P1369" i="55" a="1"/>
  <c r="P1369" i="55"/>
  <c r="O1370" i="55" a="1"/>
  <c r="O1370" i="55"/>
  <c r="P1370" i="55" a="1"/>
  <c r="P1370" i="55"/>
  <c r="O1371" i="55" a="1"/>
  <c r="O1371" i="55"/>
  <c r="P1371" i="55" a="1"/>
  <c r="P1371" i="55"/>
  <c r="O1372" i="55" a="1"/>
  <c r="O1372" i="55"/>
  <c r="P1372" i="55" a="1"/>
  <c r="P1372" i="55"/>
  <c r="O1373" i="55" a="1"/>
  <c r="O1373" i="55"/>
  <c r="P1373" i="55" a="1"/>
  <c r="P1373" i="55"/>
  <c r="O1374" i="55" a="1"/>
  <c r="O1374" i="55"/>
  <c r="P1374" i="55" a="1"/>
  <c r="P1374" i="55"/>
  <c r="O1375" i="55" a="1"/>
  <c r="O1375" i="55"/>
  <c r="P1375" i="55" a="1"/>
  <c r="P1375" i="55"/>
  <c r="O1376" i="55" a="1"/>
  <c r="O1376" i="55"/>
  <c r="P1376" i="55" a="1"/>
  <c r="P1376" i="55"/>
  <c r="O1377" i="55" a="1"/>
  <c r="O1377" i="55"/>
  <c r="P1377" i="55" a="1"/>
  <c r="P1377" i="55"/>
  <c r="O1378" i="55" a="1"/>
  <c r="O1378" i="55"/>
  <c r="P1378" i="55" a="1"/>
  <c r="P1378" i="55"/>
  <c r="O1379" i="55" a="1"/>
  <c r="O1379" i="55"/>
  <c r="P1379" i="55" a="1"/>
  <c r="P1379" i="55"/>
  <c r="O1380" i="55" a="1"/>
  <c r="O1380" i="55"/>
  <c r="P1380" i="55" a="1"/>
  <c r="P1380" i="55"/>
  <c r="O1381" i="55" a="1"/>
  <c r="O1381" i="55"/>
  <c r="P1381" i="55" a="1"/>
  <c r="P1381" i="55"/>
  <c r="O1382" i="55" a="1"/>
  <c r="O1382" i="55"/>
  <c r="P1382" i="55" a="1"/>
  <c r="P1382" i="55"/>
  <c r="O1383" i="55" a="1"/>
  <c r="O1383" i="55"/>
  <c r="P1383" i="55" a="1"/>
  <c r="P1383" i="55"/>
  <c r="O1384" i="55" a="1"/>
  <c r="O1384" i="55"/>
  <c r="P1384" i="55" a="1"/>
  <c r="P1384" i="55"/>
  <c r="O1385" i="55" a="1"/>
  <c r="O1385" i="55"/>
  <c r="P1385" i="55" a="1"/>
  <c r="P1385" i="55"/>
  <c r="O1386" i="55" a="1"/>
  <c r="O1386" i="55"/>
  <c r="P1386" i="55" a="1"/>
  <c r="P1386" i="55"/>
  <c r="O1387" i="55" a="1"/>
  <c r="O1387" i="55"/>
  <c r="P1387" i="55" a="1"/>
  <c r="P1387" i="55"/>
  <c r="O1388" i="55" a="1"/>
  <c r="O1388" i="55"/>
  <c r="P1388" i="55" a="1"/>
  <c r="P1388" i="55"/>
  <c r="O1389" i="55" a="1"/>
  <c r="O1389" i="55"/>
  <c r="P1389" i="55" a="1"/>
  <c r="P1389" i="55"/>
  <c r="O1390" i="55" a="1"/>
  <c r="O1390" i="55"/>
  <c r="P1390" i="55" a="1"/>
  <c r="P1390" i="55"/>
  <c r="O1391" i="55" a="1"/>
  <c r="O1391" i="55"/>
  <c r="P1391" i="55" a="1"/>
  <c r="P1391" i="55"/>
  <c r="O1392" i="55" a="1"/>
  <c r="O1392" i="55"/>
  <c r="P1392" i="55" a="1"/>
  <c r="P1392" i="55"/>
  <c r="O1393" i="55" a="1"/>
  <c r="O1393" i="55"/>
  <c r="P1393" i="55" a="1"/>
  <c r="P1393" i="55"/>
  <c r="O1394" i="55" a="1"/>
  <c r="O1394" i="55"/>
  <c r="P1394" i="55" a="1"/>
  <c r="P1394" i="55"/>
  <c r="O1395" i="55" a="1"/>
  <c r="O1395" i="55"/>
  <c r="P1395" i="55" a="1"/>
  <c r="P1395" i="55"/>
  <c r="O1396" i="55" a="1"/>
  <c r="O1396" i="55"/>
  <c r="P1396" i="55" a="1"/>
  <c r="P1396" i="55"/>
  <c r="O1397" i="55" a="1"/>
  <c r="O1397" i="55"/>
  <c r="P1397" i="55" a="1"/>
  <c r="P1397" i="55"/>
  <c r="O1398" i="55" a="1"/>
  <c r="O1398" i="55"/>
  <c r="P1398" i="55" a="1"/>
  <c r="P1398" i="55"/>
  <c r="O1399" i="55" a="1"/>
  <c r="O1399" i="55"/>
  <c r="P1399" i="55" a="1"/>
  <c r="P1399" i="55"/>
  <c r="O1400" i="55" a="1"/>
  <c r="O1400" i="55"/>
  <c r="P1400" i="55" a="1"/>
  <c r="P1400" i="55"/>
  <c r="O1401" i="55" a="1"/>
  <c r="O1401" i="55"/>
  <c r="P1401" i="55" a="1"/>
  <c r="P1401" i="55"/>
  <c r="O1402" i="55" a="1"/>
  <c r="O1402" i="55"/>
  <c r="P1402" i="55" a="1"/>
  <c r="P1402" i="55"/>
  <c r="O1403" i="55" a="1"/>
  <c r="O1403" i="55"/>
  <c r="P1403" i="55" a="1"/>
  <c r="P1403" i="55"/>
  <c r="O1404" i="55" a="1"/>
  <c r="O1404" i="55"/>
  <c r="P1404" i="55" a="1"/>
  <c r="P1404" i="55"/>
  <c r="O1405" i="55" a="1"/>
  <c r="O1405" i="55"/>
  <c r="P1405" i="55" a="1"/>
  <c r="P1405" i="55"/>
  <c r="O1406" i="55" a="1"/>
  <c r="O1406" i="55"/>
  <c r="P1406" i="55" a="1"/>
  <c r="P1406" i="55"/>
  <c r="O1407" i="55" a="1"/>
  <c r="O1407" i="55"/>
  <c r="P1407" i="55" a="1"/>
  <c r="P1407" i="55"/>
  <c r="O1408" i="55" a="1"/>
  <c r="O1408" i="55"/>
  <c r="P1408" i="55" a="1"/>
  <c r="P1408" i="55"/>
  <c r="O1409" i="55" a="1"/>
  <c r="O1409" i="55"/>
  <c r="P1409" i="55" a="1"/>
  <c r="P1409" i="55"/>
  <c r="O1410" i="55" a="1"/>
  <c r="O1410" i="55"/>
  <c r="P1410" i="55" a="1"/>
  <c r="P1410" i="55"/>
  <c r="O1411" i="55" a="1"/>
  <c r="O1411" i="55"/>
  <c r="P1411" i="55" a="1"/>
  <c r="P1411" i="55"/>
  <c r="O1412" i="55" a="1"/>
  <c r="O1412" i="55"/>
  <c r="P1412" i="55" a="1"/>
  <c r="P1412" i="55"/>
  <c r="O1413" i="55" a="1"/>
  <c r="O1413" i="55"/>
  <c r="P1413" i="55" a="1"/>
  <c r="P1413" i="55"/>
  <c r="O1414" i="55" a="1"/>
  <c r="O1414" i="55"/>
  <c r="P1414" i="55" a="1"/>
  <c r="P1414" i="55"/>
  <c r="O1415" i="55" a="1"/>
  <c r="O1415" i="55"/>
  <c r="P1415" i="55" a="1"/>
  <c r="P1415" i="55"/>
  <c r="O1416" i="55" a="1"/>
  <c r="O1416" i="55"/>
  <c r="P1416" i="55" a="1"/>
  <c r="P1416" i="55"/>
  <c r="O1417" i="55" a="1"/>
  <c r="O1417" i="55"/>
  <c r="P1417" i="55" a="1"/>
  <c r="P1417" i="55"/>
  <c r="O1418" i="55" a="1"/>
  <c r="O1418" i="55"/>
  <c r="P1418" i="55" a="1"/>
  <c r="P1418" i="55"/>
  <c r="O1419" i="55" a="1"/>
  <c r="O1419" i="55"/>
  <c r="P1419" i="55" a="1"/>
  <c r="P1419" i="55"/>
  <c r="O1420" i="55" a="1"/>
  <c r="O1420" i="55"/>
  <c r="P1420" i="55" a="1"/>
  <c r="P1420" i="55"/>
  <c r="O1421" i="55" a="1"/>
  <c r="O1421" i="55"/>
  <c r="P1421" i="55" a="1"/>
  <c r="P1421" i="55"/>
  <c r="O1422" i="55" a="1"/>
  <c r="O1422" i="55"/>
  <c r="P1422" i="55" a="1"/>
  <c r="P1422" i="55"/>
  <c r="O1423" i="55" a="1"/>
  <c r="O1423" i="55"/>
  <c r="P1423" i="55" a="1"/>
  <c r="P1423" i="55"/>
  <c r="O1424" i="55" a="1"/>
  <c r="O1424" i="55"/>
  <c r="P1424" i="55" a="1"/>
  <c r="P1424" i="55"/>
  <c r="O1425" i="55" a="1"/>
  <c r="O1425" i="55"/>
  <c r="P1425" i="55" a="1"/>
  <c r="P1425" i="55"/>
  <c r="O1426" i="55" a="1"/>
  <c r="O1426" i="55"/>
  <c r="P1426" i="55" a="1"/>
  <c r="P1426" i="55"/>
  <c r="O1427" i="55" a="1"/>
  <c r="O1427" i="55"/>
  <c r="P1427" i="55" a="1"/>
  <c r="P1427" i="55"/>
  <c r="O1428" i="55" a="1"/>
  <c r="O1428" i="55"/>
  <c r="P1428" i="55" a="1"/>
  <c r="P1428" i="55"/>
  <c r="O1429" i="55" a="1"/>
  <c r="O1429" i="55"/>
  <c r="P1429" i="55" a="1"/>
  <c r="P1429" i="55"/>
  <c r="O1430" i="55" a="1"/>
  <c r="O1430" i="55"/>
  <c r="P1430" i="55" a="1"/>
  <c r="P1430" i="55"/>
  <c r="O1431" i="55" a="1"/>
  <c r="O1431" i="55"/>
  <c r="P1431" i="55" a="1"/>
  <c r="P1431" i="55"/>
  <c r="O1432" i="55" a="1"/>
  <c r="O1432" i="55"/>
  <c r="P1432" i="55" a="1"/>
  <c r="P1432" i="55"/>
  <c r="O1433" i="55" a="1"/>
  <c r="O1433" i="55"/>
  <c r="P1433" i="55" a="1"/>
  <c r="P1433" i="55"/>
  <c r="O1434" i="55" a="1"/>
  <c r="O1434" i="55"/>
  <c r="P1434" i="55" a="1"/>
  <c r="P1434" i="55"/>
  <c r="O1435" i="55" a="1"/>
  <c r="O1435" i="55"/>
  <c r="P1435" i="55" a="1"/>
  <c r="P1435" i="55"/>
  <c r="O1436" i="55" a="1"/>
  <c r="O1436" i="55"/>
  <c r="P1436" i="55" a="1"/>
  <c r="P1436" i="55"/>
  <c r="O1437" i="55" a="1"/>
  <c r="O1437" i="55"/>
  <c r="P1437" i="55" a="1"/>
  <c r="P1437" i="55"/>
  <c r="O1438" i="55" a="1"/>
  <c r="O1438" i="55"/>
  <c r="P1438" i="55" a="1"/>
  <c r="P1438" i="55"/>
  <c r="O1439" i="55" a="1"/>
  <c r="O1439" i="55"/>
  <c r="P1439" i="55" a="1"/>
  <c r="P1439" i="55"/>
  <c r="O1440" i="55" a="1"/>
  <c r="O1440" i="55"/>
  <c r="P1440" i="55" a="1"/>
  <c r="P1440" i="55"/>
  <c r="O1441" i="55" a="1"/>
  <c r="O1441" i="55"/>
  <c r="P1441" i="55" a="1"/>
  <c r="P1441" i="55"/>
  <c r="O1442" i="55" a="1"/>
  <c r="O1442" i="55"/>
  <c r="P1442" i="55" a="1"/>
  <c r="P1442" i="55"/>
  <c r="O1443" i="55" a="1"/>
  <c r="O1443" i="55"/>
  <c r="P1443" i="55" a="1"/>
  <c r="P1443" i="55"/>
  <c r="O1444" i="55" a="1"/>
  <c r="O1444" i="55"/>
  <c r="P1444" i="55" a="1"/>
  <c r="P1444" i="55"/>
  <c r="O1445" i="55" a="1"/>
  <c r="O1445" i="55"/>
  <c r="P1445" i="55" a="1"/>
  <c r="P1445" i="55"/>
  <c r="O1446" i="55" a="1"/>
  <c r="O1446" i="55"/>
  <c r="P1446" i="55" a="1"/>
  <c r="P1446" i="55"/>
  <c r="O1447" i="55" a="1"/>
  <c r="O1447" i="55"/>
  <c r="P1447" i="55" a="1"/>
  <c r="P1447" i="55"/>
  <c r="O1448" i="55" a="1"/>
  <c r="O1448" i="55"/>
  <c r="P1448" i="55" a="1"/>
  <c r="P1448" i="55"/>
  <c r="O1449" i="55" a="1"/>
  <c r="O1449" i="55"/>
  <c r="P1449" i="55" a="1"/>
  <c r="P1449" i="55"/>
  <c r="O1450" i="55" a="1"/>
  <c r="O1450" i="55"/>
  <c r="P1450" i="55" a="1"/>
  <c r="P1450" i="55"/>
  <c r="O1451" i="55" a="1"/>
  <c r="O1451" i="55"/>
  <c r="P1451" i="55" a="1"/>
  <c r="P1451" i="55"/>
  <c r="O1452" i="55" a="1"/>
  <c r="O1452" i="55"/>
  <c r="P1452" i="55" a="1"/>
  <c r="P1452" i="55"/>
  <c r="O1453" i="55" a="1"/>
  <c r="O1453" i="55"/>
  <c r="P1453" i="55" a="1"/>
  <c r="P1453" i="55"/>
  <c r="O1454" i="55" a="1"/>
  <c r="O1454" i="55"/>
  <c r="P1454" i="55" a="1"/>
  <c r="P1454" i="55"/>
  <c r="O1455" i="55" a="1"/>
  <c r="O1455" i="55"/>
  <c r="P1455" i="55" a="1"/>
  <c r="P1455" i="55"/>
  <c r="O1456" i="55" a="1"/>
  <c r="O1456" i="55"/>
  <c r="P1456" i="55" a="1"/>
  <c r="P1456" i="55"/>
  <c r="O1457" i="55" a="1"/>
  <c r="O1457" i="55"/>
  <c r="P1457" i="55" a="1"/>
  <c r="P1457" i="55"/>
  <c r="O1458" i="55" a="1"/>
  <c r="O1458" i="55"/>
  <c r="P1458" i="55" a="1"/>
  <c r="P1458" i="55"/>
  <c r="O1459" i="55" a="1"/>
  <c r="O1459" i="55"/>
  <c r="P1459" i="55" a="1"/>
  <c r="P1459" i="55"/>
  <c r="O1460" i="55" a="1"/>
  <c r="O1460" i="55"/>
  <c r="P1460" i="55" a="1"/>
  <c r="P1460" i="55"/>
  <c r="O1461" i="55" a="1"/>
  <c r="O1461" i="55"/>
  <c r="P1461" i="55" a="1"/>
  <c r="P1461" i="55"/>
  <c r="O1462" i="55" a="1"/>
  <c r="O1462" i="55"/>
  <c r="P1462" i="55" a="1"/>
  <c r="P1462" i="55"/>
  <c r="O1463" i="55" a="1"/>
  <c r="O1463" i="55"/>
  <c r="P1463" i="55" a="1"/>
  <c r="P1463" i="55"/>
  <c r="O1464" i="55" a="1"/>
  <c r="O1464" i="55"/>
  <c r="P1464" i="55" a="1"/>
  <c r="P1464" i="55"/>
  <c r="O1465" i="55" a="1"/>
  <c r="O1465" i="55"/>
  <c r="P1465" i="55" a="1"/>
  <c r="P1465" i="55"/>
  <c r="O1466" i="55" a="1"/>
  <c r="O1466" i="55"/>
  <c r="P1466" i="55" a="1"/>
  <c r="P1466" i="55"/>
  <c r="O1467" i="55" a="1"/>
  <c r="O1467" i="55"/>
  <c r="P1467" i="55" a="1"/>
  <c r="P1467" i="55"/>
  <c r="O1468" i="55" a="1"/>
  <c r="O1468" i="55"/>
  <c r="P1468" i="55" a="1"/>
  <c r="P1468" i="55"/>
  <c r="O1469" i="55" a="1"/>
  <c r="O1469" i="55"/>
  <c r="P1469" i="55" a="1"/>
  <c r="P1469" i="55"/>
  <c r="O1470" i="55" a="1"/>
  <c r="O1470" i="55"/>
  <c r="P1470" i="55" a="1"/>
  <c r="P1470" i="55"/>
  <c r="O1471" i="55" a="1"/>
  <c r="O1471" i="55"/>
  <c r="P1471" i="55" a="1"/>
  <c r="P1471" i="55"/>
  <c r="O1472" i="55" a="1"/>
  <c r="O1472" i="55"/>
  <c r="P1472" i="55" a="1"/>
  <c r="P1472" i="55"/>
  <c r="O1473" i="55" a="1"/>
  <c r="O1473" i="55"/>
  <c r="P1473" i="55" a="1"/>
  <c r="P1473" i="55"/>
  <c r="O1474" i="55" a="1"/>
  <c r="O1474" i="55"/>
  <c r="P1474" i="55" a="1"/>
  <c r="P1474" i="55"/>
  <c r="O1475" i="55" a="1"/>
  <c r="O1475" i="55"/>
  <c r="P1475" i="55" a="1"/>
  <c r="P1475" i="55"/>
  <c r="O1476" i="55" a="1"/>
  <c r="O1476" i="55"/>
  <c r="P1476" i="55" a="1"/>
  <c r="P1476" i="55"/>
  <c r="O1477" i="55" a="1"/>
  <c r="O1477" i="55"/>
  <c r="P1477" i="55" a="1"/>
  <c r="P1477" i="55"/>
  <c r="O1478" i="55" a="1"/>
  <c r="O1478" i="55"/>
  <c r="P1478" i="55" a="1"/>
  <c r="P1478" i="55"/>
  <c r="O1479" i="55" a="1"/>
  <c r="O1479" i="55"/>
  <c r="P1479" i="55" a="1"/>
  <c r="P1479" i="55"/>
  <c r="O1480" i="55" a="1"/>
  <c r="O1480" i="55"/>
  <c r="P1480" i="55" a="1"/>
  <c r="P1480" i="55"/>
  <c r="O1481" i="55" a="1"/>
  <c r="O1481" i="55"/>
  <c r="P1481" i="55" a="1"/>
  <c r="P1481" i="55"/>
  <c r="O1482" i="55" a="1"/>
  <c r="O1482" i="55"/>
  <c r="P1482" i="55" a="1"/>
  <c r="P1482" i="55"/>
  <c r="O1483" i="55" a="1"/>
  <c r="O1483" i="55"/>
  <c r="P1483" i="55" a="1"/>
  <c r="P1483" i="55"/>
  <c r="O1484" i="55" a="1"/>
  <c r="O1484" i="55"/>
  <c r="P1484" i="55" a="1"/>
  <c r="P1484" i="55"/>
  <c r="O1485" i="55" a="1"/>
  <c r="O1485" i="55"/>
  <c r="P1485" i="55" a="1"/>
  <c r="P1485" i="55"/>
  <c r="O1486" i="55" a="1"/>
  <c r="O1486" i="55"/>
  <c r="P1486" i="55" a="1"/>
  <c r="P1486" i="55"/>
  <c r="O1487" i="55" a="1"/>
  <c r="O1487" i="55"/>
  <c r="P1487" i="55" a="1"/>
  <c r="P1487" i="55"/>
  <c r="O1488" i="55" a="1"/>
  <c r="O1488" i="55"/>
  <c r="P1488" i="55" a="1"/>
  <c r="P1488" i="55"/>
  <c r="O1489" i="55" a="1"/>
  <c r="O1489" i="55"/>
  <c r="P1489" i="55" a="1"/>
  <c r="P1489" i="55"/>
  <c r="O1490" i="55" a="1"/>
  <c r="O1490" i="55"/>
  <c r="P1490" i="55" a="1"/>
  <c r="P1490" i="55"/>
  <c r="O1491" i="55" a="1"/>
  <c r="O1491" i="55"/>
  <c r="P1491" i="55" a="1"/>
  <c r="P1491" i="55"/>
  <c r="O1492" i="55" a="1"/>
  <c r="O1492" i="55"/>
  <c r="P1492" i="55" a="1"/>
  <c r="P1492" i="55"/>
  <c r="O1493" i="55" a="1"/>
  <c r="O1493" i="55"/>
  <c r="P1493" i="55" a="1"/>
  <c r="P1493" i="55"/>
  <c r="O1494" i="55" a="1"/>
  <c r="O1494" i="55"/>
  <c r="P1494" i="55" a="1"/>
  <c r="P1494" i="55"/>
  <c r="O1495" i="55" a="1"/>
  <c r="O1495" i="55"/>
  <c r="P1495" i="55" a="1"/>
  <c r="P1495" i="55"/>
  <c r="O1496" i="55" a="1"/>
  <c r="O1496" i="55"/>
  <c r="P1496" i="55" a="1"/>
  <c r="P1496" i="55"/>
  <c r="O1497" i="55" a="1"/>
  <c r="O1497" i="55"/>
  <c r="P1497" i="55" a="1"/>
  <c r="P1497" i="55"/>
  <c r="O1498" i="55" a="1"/>
  <c r="O1498" i="55"/>
  <c r="P1498" i="55" a="1"/>
  <c r="P1498" i="55"/>
  <c r="O1499" i="55" a="1"/>
  <c r="O1499" i="55"/>
  <c r="P1499" i="55" a="1"/>
  <c r="P1499" i="55"/>
  <c r="O1500" i="55" a="1"/>
  <c r="O1500" i="55"/>
  <c r="P1500" i="55" a="1"/>
  <c r="P1500" i="55"/>
  <c r="A844" i="55"/>
  <c r="A845" i="55"/>
  <c r="A846" i="55"/>
  <c r="A847" i="55"/>
  <c r="A848" i="55"/>
  <c r="A849" i="55"/>
  <c r="A850" i="55"/>
  <c r="A851" i="55"/>
  <c r="A852" i="55"/>
  <c r="A853" i="55"/>
  <c r="A854" i="55"/>
  <c r="A855" i="55"/>
  <c r="A856" i="55"/>
  <c r="A857" i="55"/>
  <c r="A858" i="55"/>
  <c r="A859" i="55"/>
  <c r="A860" i="55"/>
  <c r="A861" i="55"/>
  <c r="A862" i="55"/>
  <c r="A863" i="55"/>
  <c r="A864" i="55"/>
  <c r="A865" i="55"/>
  <c r="A866" i="55"/>
  <c r="A867" i="55"/>
  <c r="A868" i="55"/>
  <c r="A869" i="55"/>
  <c r="A870" i="55"/>
  <c r="A871" i="55"/>
  <c r="A872" i="55"/>
  <c r="A873" i="55"/>
  <c r="A874" i="55"/>
  <c r="A875" i="55"/>
  <c r="A876" i="55"/>
  <c r="A877" i="55"/>
  <c r="A878" i="55"/>
  <c r="A879" i="55"/>
  <c r="A880" i="55"/>
  <c r="A881" i="55"/>
  <c r="A882" i="55"/>
  <c r="A883" i="55"/>
  <c r="A884" i="55"/>
  <c r="A885" i="55"/>
  <c r="A886" i="55"/>
  <c r="A887" i="55"/>
  <c r="A888" i="55"/>
  <c r="A889" i="55"/>
  <c r="A890" i="55"/>
  <c r="A891" i="55"/>
  <c r="A892" i="55"/>
  <c r="A893" i="55"/>
  <c r="A894" i="55"/>
  <c r="A895" i="55"/>
  <c r="A896" i="55"/>
  <c r="A897" i="55"/>
  <c r="A898" i="55"/>
  <c r="A899" i="55"/>
  <c r="A900" i="55"/>
  <c r="A901" i="55"/>
  <c r="A902" i="55"/>
  <c r="A903" i="55"/>
  <c r="A904" i="55"/>
  <c r="A905" i="55"/>
  <c r="A906" i="55"/>
  <c r="A907" i="55"/>
  <c r="A908" i="55"/>
  <c r="A909" i="55"/>
  <c r="A910" i="55"/>
  <c r="A911" i="55"/>
  <c r="A912" i="55"/>
  <c r="A913" i="55"/>
  <c r="A914" i="55"/>
  <c r="A915" i="55"/>
  <c r="A916" i="55"/>
  <c r="A917" i="55"/>
  <c r="A918" i="55"/>
  <c r="A919" i="55"/>
  <c r="A920" i="55"/>
  <c r="A921" i="55"/>
  <c r="A922" i="55"/>
  <c r="A923" i="55"/>
  <c r="A924" i="55"/>
  <c r="A925" i="55"/>
  <c r="A926" i="55"/>
  <c r="A927" i="55"/>
  <c r="A928" i="55"/>
  <c r="A929" i="55"/>
  <c r="A930" i="55"/>
  <c r="A931" i="55"/>
  <c r="A932" i="55"/>
  <c r="A933" i="55"/>
  <c r="A934" i="55"/>
  <c r="A935" i="55"/>
  <c r="A936" i="55"/>
  <c r="A937" i="55"/>
  <c r="A938" i="55"/>
  <c r="A939" i="55"/>
  <c r="A941" i="55"/>
  <c r="A942" i="55"/>
  <c r="A943" i="55"/>
  <c r="A944" i="55"/>
  <c r="A945" i="55"/>
  <c r="A946" i="55"/>
  <c r="A947" i="55"/>
  <c r="A948" i="55"/>
  <c r="A949" i="55"/>
  <c r="A950" i="55"/>
  <c r="A951" i="55"/>
  <c r="A952" i="55"/>
  <c r="A953" i="55"/>
  <c r="A954" i="55"/>
  <c r="A955" i="55"/>
  <c r="A956" i="55"/>
  <c r="A957" i="55"/>
  <c r="A958" i="55"/>
  <c r="A959" i="55"/>
  <c r="A960" i="55"/>
  <c r="A961" i="55"/>
  <c r="A962" i="55"/>
  <c r="A963" i="55"/>
  <c r="A965" i="55"/>
  <c r="A966" i="55"/>
  <c r="A968" i="55"/>
  <c r="A969" i="55"/>
  <c r="A971" i="55"/>
  <c r="A972" i="55"/>
  <c r="A973" i="55"/>
  <c r="A974" i="55"/>
  <c r="A975" i="55"/>
  <c r="A976" i="55"/>
  <c r="A977" i="55"/>
  <c r="A978" i="55"/>
  <c r="A979" i="55"/>
  <c r="A980" i="55"/>
  <c r="A981" i="55"/>
  <c r="A982" i="55"/>
  <c r="A983" i="55"/>
  <c r="A984" i="55"/>
  <c r="A985" i="55"/>
  <c r="A986" i="55"/>
  <c r="A987" i="55"/>
  <c r="A988" i="55"/>
  <c r="A989" i="55"/>
  <c r="A990" i="55"/>
  <c r="A992" i="55"/>
  <c r="A993" i="55"/>
  <c r="A994" i="55"/>
  <c r="A995" i="55"/>
  <c r="A996" i="55"/>
  <c r="A997" i="55"/>
  <c r="A998" i="55"/>
  <c r="A999" i="55"/>
  <c r="A1000" i="55"/>
  <c r="A1003" i="55"/>
  <c r="A1004" i="55"/>
  <c r="A1005" i="55"/>
  <c r="A1006" i="55"/>
  <c r="A1009" i="55"/>
  <c r="A1010" i="55"/>
  <c r="A1011" i="55"/>
  <c r="A1012" i="55"/>
  <c r="A1013" i="55"/>
  <c r="A1014" i="55"/>
  <c r="A1016" i="55"/>
  <c r="A1017" i="55"/>
  <c r="A1019" i="55"/>
  <c r="A1020" i="55"/>
  <c r="A1022" i="55"/>
  <c r="A1023" i="55"/>
  <c r="A1024" i="55"/>
  <c r="A1025" i="55"/>
  <c r="A1026" i="55"/>
  <c r="A1028" i="55"/>
  <c r="A1029" i="55"/>
  <c r="A1031" i="55"/>
  <c r="A1032" i="55"/>
  <c r="A1033" i="55"/>
  <c r="A1036" i="55"/>
  <c r="A1037" i="55"/>
  <c r="A1039" i="55"/>
  <c r="A1040" i="55"/>
  <c r="A1041" i="55"/>
  <c r="A1042" i="55"/>
  <c r="A1043" i="55"/>
  <c r="A1044" i="55"/>
  <c r="A1046" i="55"/>
  <c r="A1047" i="55"/>
  <c r="A1048" i="55"/>
  <c r="A1049" i="55"/>
  <c r="A1050" i="55"/>
  <c r="A1052" i="55"/>
  <c r="A1053" i="55"/>
  <c r="A1054" i="55"/>
  <c r="A1055" i="55"/>
  <c r="A1057" i="55"/>
  <c r="A1058" i="55"/>
  <c r="A1060" i="55"/>
  <c r="A1061" i="55"/>
  <c r="A1063" i="55"/>
  <c r="A1064" i="55"/>
  <c r="A1067" i="55"/>
  <c r="A1068" i="55"/>
  <c r="A1070" i="55"/>
  <c r="A1071" i="55"/>
  <c r="A1072" i="55"/>
  <c r="A1074" i="55"/>
  <c r="A1075" i="55"/>
  <c r="A1076" i="55"/>
  <c r="A1077" i="55"/>
  <c r="A1078" i="55"/>
  <c r="A1079" i="55"/>
  <c r="A1081" i="55"/>
  <c r="A1082" i="55"/>
  <c r="A1083" i="55"/>
  <c r="A1084" i="55"/>
  <c r="A1085" i="55"/>
  <c r="A1086" i="55"/>
  <c r="A1087" i="55"/>
  <c r="A1088" i="55"/>
  <c r="A1089" i="55"/>
  <c r="A1090" i="55"/>
  <c r="A1092" i="55"/>
  <c r="A1093" i="55"/>
  <c r="A1094" i="55"/>
  <c r="A1095" i="55"/>
  <c r="A1096" i="55"/>
  <c r="A1097" i="55"/>
  <c r="A1098" i="55"/>
  <c r="A1099" i="55"/>
  <c r="A1100" i="55"/>
  <c r="A1101" i="55"/>
  <c r="A1102" i="55"/>
  <c r="A1103" i="55"/>
  <c r="A1104" i="55"/>
  <c r="A1105" i="55"/>
  <c r="A1106" i="55"/>
  <c r="A1107" i="55"/>
  <c r="A1108" i="55"/>
  <c r="A1109" i="55"/>
  <c r="A1110" i="55"/>
  <c r="A1111" i="55"/>
  <c r="A1112" i="55"/>
  <c r="A1113" i="55"/>
  <c r="A1114" i="55"/>
  <c r="A1115" i="55"/>
  <c r="A1117" i="55"/>
  <c r="A1118" i="55"/>
  <c r="A1119" i="55"/>
  <c r="A1120" i="55"/>
  <c r="A1121" i="55"/>
  <c r="A1122" i="55"/>
  <c r="A1123" i="55"/>
  <c r="A1124" i="55"/>
  <c r="A1126" i="55"/>
  <c r="A1127" i="55"/>
  <c r="A1131" i="55"/>
  <c r="A1132" i="55"/>
  <c r="A1133" i="55"/>
  <c r="A1134" i="55"/>
  <c r="A1135" i="55"/>
  <c r="A1137" i="55"/>
  <c r="A1138" i="55"/>
  <c r="A1139" i="55"/>
  <c r="A1140" i="55"/>
  <c r="A1141" i="55"/>
  <c r="A1142" i="55"/>
  <c r="A1143" i="55"/>
  <c r="A1045" i="5"/>
  <c r="A1044" i="5"/>
  <c r="A1043" i="5"/>
  <c r="A1042" i="5"/>
  <c r="A1041" i="5"/>
  <c r="A1040" i="5"/>
  <c r="A1039" i="5"/>
  <c r="A1038" i="5"/>
  <c r="A1037" i="5"/>
  <c r="A1036" i="5"/>
  <c r="A1035" i="5"/>
  <c r="A1034" i="5"/>
  <c r="A1033" i="5"/>
  <c r="A1032" i="5"/>
  <c r="A1031" i="5"/>
  <c r="A1030" i="5"/>
  <c r="A1029" i="5"/>
  <c r="A1028" i="5"/>
  <c r="A1027" i="5"/>
  <c r="A1026" i="5"/>
  <c r="A1025" i="5"/>
  <c r="A1024" i="5"/>
  <c r="A1023" i="5"/>
  <c r="A1022" i="5"/>
  <c r="A1021" i="5"/>
  <c r="A1020" i="5"/>
  <c r="A1019" i="5"/>
  <c r="A1018" i="5"/>
  <c r="A1017" i="5"/>
  <c r="A1016" i="5"/>
  <c r="A1015" i="5"/>
  <c r="A1014" i="5"/>
  <c r="A1013" i="5"/>
  <c r="A1012" i="5"/>
  <c r="A1011" i="5"/>
  <c r="A1010" i="5"/>
  <c r="A1009" i="5"/>
  <c r="A1008" i="5"/>
  <c r="A1007" i="5"/>
  <c r="A1006" i="5"/>
  <c r="A1005" i="5"/>
  <c r="A1004" i="5"/>
  <c r="A1003" i="5"/>
  <c r="A1002" i="5"/>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879" i="5"/>
  <c r="A878" i="5"/>
  <c r="A877" i="5"/>
  <c r="A876" i="5"/>
  <c r="A875" i="5"/>
  <c r="A874" i="5"/>
  <c r="A873" i="5"/>
  <c r="A872" i="5"/>
  <c r="A871" i="5"/>
  <c r="A870" i="5"/>
  <c r="A869"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740" i="5"/>
  <c r="A741" i="5"/>
  <c r="A742" i="5"/>
  <c r="A743" i="5"/>
  <c r="A744" i="5"/>
  <c r="A745" i="5"/>
  <c r="A746" i="5"/>
  <c r="A747" i="5"/>
  <c r="A748" i="5"/>
  <c r="A749" i="5"/>
  <c r="A750" i="5"/>
  <c r="A751" i="5"/>
  <c r="A752" i="5"/>
  <c r="A753" i="5"/>
  <c r="A754" i="5"/>
  <c r="A755" i="5"/>
  <c r="A756" i="5"/>
  <c r="A761" i="5"/>
  <c r="A762" i="5"/>
  <c r="A763" i="5"/>
  <c r="A764" i="5"/>
  <c r="A765" i="5"/>
  <c r="A766" i="5"/>
  <c r="A767" i="5"/>
  <c r="A768" i="5"/>
  <c r="A769" i="5"/>
  <c r="A770" i="5"/>
  <c r="A771" i="5"/>
  <c r="A772" i="5"/>
  <c r="A773" i="5"/>
  <c r="A774" i="5"/>
  <c r="A775" i="5"/>
  <c r="A776" i="5"/>
  <c r="A777" i="5"/>
  <c r="A778" i="5"/>
  <c r="A779" i="5"/>
  <c r="A780" i="5"/>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A813" i="5"/>
  <c r="A814" i="5"/>
  <c r="A815" i="5"/>
  <c r="A816" i="5"/>
  <c r="A817" i="5"/>
  <c r="A818" i="5"/>
  <c r="A819" i="5"/>
  <c r="A820" i="5"/>
  <c r="A821" i="5"/>
  <c r="A822" i="5"/>
  <c r="A823" i="5"/>
  <c r="A824" i="5"/>
  <c r="A825" i="5"/>
  <c r="A826" i="5"/>
  <c r="A827" i="5"/>
  <c r="A828" i="5"/>
  <c r="A829" i="5"/>
  <c r="A830" i="5"/>
  <c r="A831" i="5"/>
  <c r="A832" i="5"/>
  <c r="A833"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4" i="5"/>
  <c r="A683" i="5"/>
  <c r="A682" i="5"/>
  <c r="A681" i="5"/>
  <c r="A680" i="5"/>
  <c r="A679" i="5"/>
  <c r="A678" i="5"/>
  <c r="A677" i="5"/>
  <c r="A676" i="5"/>
  <c r="A675" i="5"/>
  <c r="A674" i="5"/>
  <c r="A673" i="5"/>
  <c r="A672" i="5"/>
  <c r="A671" i="5"/>
  <c r="A670" i="5"/>
  <c r="A669" i="5"/>
  <c r="A668" i="5"/>
  <c r="A667" i="5"/>
  <c r="A666" i="5"/>
  <c r="A665" i="5"/>
  <c r="A664" i="5"/>
  <c r="A663" i="5"/>
  <c r="A662" i="5"/>
  <c r="A661" i="5"/>
  <c r="A617" i="5"/>
  <c r="A659" i="5"/>
  <c r="A660" i="5"/>
  <c r="A655" i="5"/>
  <c r="A656" i="5"/>
  <c r="A657" i="5"/>
  <c r="A658" i="5"/>
  <c r="A632" i="5"/>
  <c r="A633" i="5"/>
  <c r="A634" i="5"/>
  <c r="A635" i="5"/>
  <c r="A636" i="5"/>
  <c r="A637" i="5"/>
  <c r="A638" i="5"/>
  <c r="A639" i="5"/>
  <c r="A640" i="5"/>
  <c r="A641" i="5"/>
  <c r="A642" i="5"/>
  <c r="A643" i="5"/>
  <c r="A644" i="5"/>
  <c r="A645" i="5"/>
  <c r="A646" i="5"/>
  <c r="A647" i="5"/>
  <c r="A648" i="5"/>
  <c r="A649" i="5"/>
  <c r="A650" i="5"/>
  <c r="A651" i="5"/>
  <c r="A652" i="5"/>
  <c r="A653" i="5"/>
  <c r="A654" i="5"/>
  <c r="A631" i="5"/>
  <c r="A630" i="5"/>
  <c r="BI559" i="5"/>
  <c r="A588" i="5"/>
  <c r="A670" i="55"/>
  <c r="A673" i="55"/>
  <c r="A676" i="55"/>
  <c r="A677" i="55"/>
  <c r="A678" i="55"/>
  <c r="A679" i="55"/>
  <c r="A680" i="55"/>
  <c r="A681" i="55"/>
  <c r="A683" i="55"/>
  <c r="A685" i="55"/>
  <c r="A686" i="55"/>
  <c r="A687" i="55"/>
  <c r="A688" i="55"/>
  <c r="A689" i="55"/>
  <c r="A690" i="55"/>
  <c r="A693" i="55"/>
  <c r="A694" i="55"/>
  <c r="A695" i="55"/>
  <c r="A696" i="55"/>
  <c r="A697" i="55"/>
  <c r="A698" i="55"/>
  <c r="A699" i="55"/>
  <c r="A700" i="55"/>
  <c r="A702" i="55"/>
  <c r="A703" i="55"/>
  <c r="A704" i="55"/>
  <c r="A705" i="55"/>
  <c r="A706" i="55"/>
  <c r="A707" i="55"/>
  <c r="A708" i="55"/>
  <c r="A709" i="55"/>
  <c r="A710" i="55"/>
  <c r="A711" i="55"/>
  <c r="A712" i="55"/>
  <c r="A717" i="55"/>
  <c r="A718" i="55"/>
  <c r="A719" i="55"/>
  <c r="A720" i="55"/>
  <c r="A721" i="55"/>
  <c r="A722" i="55"/>
  <c r="A723" i="55"/>
  <c r="A724" i="55"/>
  <c r="A725" i="55"/>
  <c r="A727" i="55"/>
  <c r="A728" i="55"/>
  <c r="A729" i="55"/>
  <c r="A730" i="55"/>
  <c r="A731" i="55"/>
  <c r="A733" i="55"/>
  <c r="A734" i="55"/>
  <c r="A735" i="55"/>
  <c r="A736" i="55"/>
  <c r="A737" i="55"/>
  <c r="A738" i="55"/>
  <c r="A739" i="55"/>
  <c r="A740" i="55"/>
  <c r="A742" i="55"/>
  <c r="A743" i="55"/>
  <c r="A744" i="55"/>
  <c r="A746" i="55"/>
  <c r="A747" i="55"/>
  <c r="A748" i="55"/>
  <c r="A749" i="55"/>
  <c r="A751" i="55"/>
  <c r="A752" i="55"/>
  <c r="A753" i="55"/>
  <c r="A754" i="55"/>
  <c r="A755" i="55"/>
  <c r="A757" i="55"/>
  <c r="A759" i="55"/>
  <c r="A760" i="55"/>
  <c r="A761" i="55"/>
  <c r="A763" i="55"/>
  <c r="A764" i="55"/>
  <c r="A765" i="55"/>
  <c r="A766" i="55"/>
  <c r="A767" i="55"/>
  <c r="A769" i="55"/>
  <c r="A770" i="55"/>
  <c r="A771" i="55"/>
  <c r="A772" i="55"/>
  <c r="A773" i="55"/>
  <c r="A774" i="55"/>
  <c r="A775" i="55"/>
  <c r="A776" i="55"/>
  <c r="A778" i="55"/>
  <c r="A780" i="55"/>
  <c r="A781" i="55"/>
  <c r="A782" i="55"/>
  <c r="A783" i="55"/>
  <c r="A784" i="55"/>
  <c r="A785" i="55"/>
  <c r="A786" i="55"/>
  <c r="A787" i="55"/>
  <c r="A788" i="55"/>
  <c r="A789" i="55"/>
  <c r="A790" i="55"/>
  <c r="A791" i="55"/>
  <c r="A792" i="55"/>
  <c r="A793" i="55"/>
  <c r="A794" i="55"/>
  <c r="A796" i="55"/>
  <c r="A797" i="55"/>
  <c r="A798" i="55"/>
  <c r="A800" i="55"/>
  <c r="A801" i="55"/>
  <c r="A802" i="55"/>
  <c r="A803" i="55"/>
  <c r="A804" i="55"/>
  <c r="A805" i="55"/>
  <c r="A807" i="55"/>
  <c r="A808" i="55"/>
  <c r="A809" i="55"/>
  <c r="A811" i="55"/>
  <c r="A812" i="55"/>
  <c r="A813" i="55"/>
  <c r="A815" i="55"/>
  <c r="A817" i="55"/>
  <c r="A818" i="55"/>
  <c r="A819" i="55"/>
  <c r="A820" i="55"/>
  <c r="A821" i="55"/>
  <c r="A822" i="55"/>
  <c r="A823" i="55"/>
  <c r="A824" i="55"/>
  <c r="A826" i="55"/>
  <c r="A828" i="55"/>
  <c r="A831" i="55"/>
  <c r="A832" i="55"/>
  <c r="A833" i="55"/>
  <c r="A834" i="55"/>
  <c r="A835" i="55"/>
  <c r="A836" i="55"/>
  <c r="A838" i="55"/>
  <c r="A840" i="55"/>
  <c r="A843" i="55"/>
  <c r="A592" i="55"/>
  <c r="A595" i="55"/>
  <c r="A596" i="55"/>
  <c r="A597" i="55"/>
  <c r="A598" i="55"/>
  <c r="A599" i="55"/>
  <c r="A600" i="55"/>
  <c r="A601" i="55"/>
  <c r="A603" i="55"/>
  <c r="A604" i="55"/>
  <c r="A605" i="55"/>
  <c r="A606" i="55"/>
  <c r="A607" i="55"/>
  <c r="A608" i="55"/>
  <c r="A609" i="55"/>
  <c r="A611" i="55"/>
  <c r="A612" i="55"/>
  <c r="A614" i="55"/>
  <c r="A615" i="55"/>
  <c r="A616" i="55"/>
  <c r="A617" i="55"/>
  <c r="A618" i="55"/>
  <c r="A619" i="55"/>
  <c r="A620" i="55"/>
  <c r="A621" i="55"/>
  <c r="A622" i="55"/>
  <c r="A623" i="55"/>
  <c r="A624" i="55"/>
  <c r="A626" i="55"/>
  <c r="A627" i="55"/>
  <c r="A628" i="55"/>
  <c r="A629" i="55"/>
  <c r="A630" i="55"/>
  <c r="A631" i="55"/>
  <c r="A632" i="55"/>
  <c r="A634" i="55"/>
  <c r="A635" i="55"/>
  <c r="A636" i="55"/>
  <c r="A637" i="55"/>
  <c r="A638" i="55"/>
  <c r="A640" i="55"/>
  <c r="A641" i="55"/>
  <c r="A642" i="55"/>
  <c r="A643" i="55"/>
  <c r="A644" i="55"/>
  <c r="A645" i="55"/>
  <c r="A646" i="55"/>
  <c r="A647" i="55"/>
  <c r="A648" i="55"/>
  <c r="A649" i="55"/>
  <c r="A650" i="55"/>
  <c r="A651" i="55"/>
  <c r="A652" i="55"/>
  <c r="A653" i="55"/>
  <c r="A654" i="55"/>
  <c r="A655" i="55"/>
  <c r="A656" i="55"/>
  <c r="A657" i="55"/>
  <c r="A658" i="55"/>
  <c r="A660" i="55"/>
  <c r="A661" i="55"/>
  <c r="A663" i="55"/>
  <c r="A664" i="55"/>
  <c r="A665" i="55"/>
  <c r="A666" i="55"/>
  <c r="A667" i="55"/>
  <c r="A668" i="55"/>
  <c r="A669" i="55"/>
  <c r="A515" i="55"/>
  <c r="A516" i="55"/>
  <c r="A517" i="55"/>
  <c r="A518" i="55"/>
  <c r="A519" i="55"/>
  <c r="A521" i="55"/>
  <c r="A523" i="55"/>
  <c r="A524" i="55"/>
  <c r="A525" i="55"/>
  <c r="A526" i="55"/>
  <c r="A527" i="55"/>
  <c r="A528" i="55"/>
  <c r="A529" i="55"/>
  <c r="A530" i="55"/>
  <c r="A531" i="55"/>
  <c r="A532" i="55"/>
  <c r="A533" i="55"/>
  <c r="A534" i="55"/>
  <c r="A535" i="55"/>
  <c r="A536" i="55"/>
  <c r="A537" i="55"/>
  <c r="A538" i="55"/>
  <c r="A539" i="55"/>
  <c r="A540" i="55"/>
  <c r="A541" i="55"/>
  <c r="A542" i="55"/>
  <c r="A543" i="55"/>
  <c r="A544" i="55"/>
  <c r="A545" i="55"/>
  <c r="A547" i="55"/>
  <c r="A548" i="55"/>
  <c r="A549" i="55"/>
  <c r="A550" i="55"/>
  <c r="A551" i="55"/>
  <c r="A552" i="55"/>
  <c r="A553" i="55"/>
  <c r="A554" i="55"/>
  <c r="A555" i="55"/>
  <c r="A556" i="55"/>
  <c r="A557" i="55"/>
  <c r="A558" i="55"/>
  <c r="A559" i="55"/>
  <c r="A560" i="55"/>
  <c r="A561" i="55"/>
  <c r="A562" i="55"/>
  <c r="A565" i="55"/>
  <c r="A566" i="55"/>
  <c r="A567" i="55"/>
  <c r="A568" i="55"/>
  <c r="A569" i="55"/>
  <c r="A570" i="55"/>
  <c r="A571" i="55"/>
  <c r="A572" i="55"/>
  <c r="A573" i="55"/>
  <c r="A574" i="55"/>
  <c r="A575" i="55"/>
  <c r="A576" i="55"/>
  <c r="A577" i="55"/>
  <c r="A578" i="55"/>
  <c r="A579" i="55"/>
  <c r="A580" i="55"/>
  <c r="A581" i="55"/>
  <c r="A582" i="55"/>
  <c r="A584" i="55"/>
  <c r="A585" i="55"/>
  <c r="A586" i="55"/>
  <c r="A588" i="55"/>
  <c r="A589" i="55"/>
  <c r="A590" i="55"/>
  <c r="A625" i="5"/>
  <c r="A626" i="5"/>
  <c r="A627" i="5"/>
  <c r="A628" i="5"/>
  <c r="A629" i="5"/>
  <c r="A624" i="5"/>
  <c r="A623" i="5"/>
  <c r="A622" i="5"/>
  <c r="A621"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8" i="5"/>
  <c r="A619" i="5"/>
  <c r="A620" i="5"/>
  <c r="A500" i="5"/>
  <c r="A501" i="5"/>
  <c r="A502" i="5"/>
  <c r="A503" i="5"/>
  <c r="A504" i="5"/>
  <c r="A505" i="5"/>
  <c r="A506" i="5"/>
  <c r="A507" i="5"/>
  <c r="A508" i="5"/>
  <c r="A509" i="5"/>
  <c r="A510" i="5"/>
  <c r="A511" i="5"/>
  <c r="A512" i="5"/>
  <c r="A513" i="5"/>
  <c r="A514" i="5"/>
  <c r="B68" i="54"/>
  <c r="U4" i="55"/>
  <c r="U3" i="55"/>
  <c r="B67" i="54"/>
  <c r="B65" i="54"/>
  <c r="B57" i="54"/>
  <c r="B58" i="54"/>
  <c r="B59" i="54"/>
  <c r="B60" i="54"/>
  <c r="B61" i="54"/>
  <c r="B62" i="54"/>
  <c r="B63" i="54"/>
  <c r="B64" i="54"/>
  <c r="B66" i="54"/>
  <c r="B69" i="54"/>
  <c r="B70" i="54"/>
  <c r="B71" i="54"/>
  <c r="B72" i="54"/>
  <c r="B73" i="54"/>
  <c r="B74" i="54"/>
  <c r="B75" i="54"/>
  <c r="B76" i="54"/>
  <c r="B77" i="54"/>
  <c r="B78" i="54"/>
  <c r="B79" i="54"/>
  <c r="B80" i="54"/>
  <c r="B81" i="54"/>
  <c r="B82" i="54"/>
  <c r="B53" i="54"/>
  <c r="D35" i="54"/>
  <c r="B33" i="54"/>
  <c r="B46" i="54"/>
  <c r="B48" i="54"/>
  <c r="B49" i="54"/>
  <c r="B50" i="54"/>
  <c r="B51" i="54"/>
  <c r="B52" i="54"/>
  <c r="B54" i="54"/>
  <c r="B55" i="54"/>
  <c r="B56" i="54"/>
  <c r="B34" i="54"/>
  <c r="B35" i="54"/>
  <c r="B36" i="54"/>
  <c r="B37" i="54"/>
  <c r="B38" i="54"/>
  <c r="B39" i="54"/>
  <c r="B40" i="54"/>
  <c r="B41" i="54"/>
  <c r="B42" i="54"/>
  <c r="B43" i="54"/>
  <c r="B44" i="54"/>
  <c r="B45" i="54"/>
  <c r="B32" i="54"/>
  <c r="B6" i="54"/>
  <c r="B7" i="54"/>
  <c r="B8" i="54"/>
  <c r="B9" i="54"/>
  <c r="B10" i="54"/>
  <c r="B11" i="54"/>
  <c r="B12" i="54"/>
  <c r="B13" i="54"/>
  <c r="B14" i="54"/>
  <c r="B15" i="54"/>
  <c r="B16" i="54"/>
  <c r="B17" i="54"/>
  <c r="B18" i="54"/>
  <c r="B19" i="54"/>
  <c r="B20" i="54"/>
  <c r="B21" i="54"/>
  <c r="B22" i="54"/>
  <c r="B23" i="54"/>
  <c r="B24" i="54"/>
  <c r="B25" i="54"/>
  <c r="B26" i="54"/>
  <c r="B27" i="54"/>
  <c r="B28" i="54"/>
  <c r="B29" i="54"/>
  <c r="B30" i="54"/>
  <c r="B5" i="54"/>
  <c r="P11" i="55" a="1"/>
  <c r="P11" i="55"/>
  <c r="O11" i="55" a="1"/>
  <c r="O11" i="55"/>
  <c r="O6" i="55"/>
  <c r="O7" i="55"/>
  <c r="O5" i="55"/>
  <c r="P6" i="55"/>
  <c r="P7" i="55"/>
  <c r="P5" i="55"/>
  <c r="L191" i="54"/>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492" i="55"/>
  <c r="A494" i="55"/>
  <c r="A496" i="55"/>
  <c r="A497" i="55"/>
  <c r="A498" i="55"/>
  <c r="A500" i="55"/>
  <c r="A501" i="55"/>
  <c r="A502" i="55"/>
  <c r="A503" i="55"/>
  <c r="A504" i="55"/>
  <c r="A505" i="55"/>
  <c r="A506" i="55"/>
  <c r="A507" i="55"/>
  <c r="A508" i="55"/>
  <c r="A509" i="55"/>
  <c r="A510" i="55"/>
  <c r="A511" i="55"/>
  <c r="A512" i="55"/>
  <c r="A513" i="55"/>
  <c r="A514" i="55"/>
  <c r="A472" i="5"/>
  <c r="A471" i="5"/>
  <c r="A470" i="5"/>
  <c r="A469" i="5"/>
  <c r="A468" i="5"/>
  <c r="A467" i="5"/>
  <c r="A466" i="5"/>
  <c r="A465" i="5"/>
  <c r="A320" i="55"/>
  <c r="A487" i="55"/>
  <c r="A488" i="55"/>
  <c r="A489" i="55"/>
  <c r="A490" i="55"/>
  <c r="A491" i="55"/>
  <c r="A477" i="55"/>
  <c r="A478" i="55"/>
  <c r="A479" i="55"/>
  <c r="A480" i="55"/>
  <c r="A481" i="55"/>
  <c r="A482" i="55"/>
  <c r="A483" i="55"/>
  <c r="A484" i="55"/>
  <c r="A485" i="55"/>
  <c r="A486" i="55"/>
  <c r="A460" i="55"/>
  <c r="A461" i="55"/>
  <c r="A462" i="55"/>
  <c r="A463" i="55"/>
  <c r="A464" i="55"/>
  <c r="A465" i="55"/>
  <c r="A466" i="55"/>
  <c r="A467" i="55"/>
  <c r="A468" i="55"/>
  <c r="A469" i="55"/>
  <c r="A470" i="55"/>
  <c r="A471" i="55"/>
  <c r="A472" i="55"/>
  <c r="A473" i="55"/>
  <c r="A474" i="55"/>
  <c r="A475" i="55"/>
  <c r="A476" i="55"/>
  <c r="A454" i="55"/>
  <c r="A455" i="55"/>
  <c r="A456" i="55"/>
  <c r="A457" i="55"/>
  <c r="A458" i="55"/>
  <c r="A459" i="55"/>
  <c r="A449" i="5"/>
  <c r="A450" i="5"/>
  <c r="A451" i="5"/>
  <c r="A452" i="5"/>
  <c r="A453" i="5"/>
  <c r="A454" i="5"/>
  <c r="A455" i="5"/>
  <c r="A456" i="5"/>
  <c r="A457" i="5"/>
  <c r="A458" i="5"/>
  <c r="A459" i="5"/>
  <c r="A460" i="5"/>
  <c r="A461" i="5"/>
  <c r="A462" i="5"/>
  <c r="A463" i="5"/>
  <c r="A464" i="5"/>
  <c r="A445" i="55"/>
  <c r="A447" i="55"/>
  <c r="A448" i="55"/>
  <c r="A449" i="55"/>
  <c r="A450" i="55"/>
  <c r="A451" i="55"/>
  <c r="A452" i="55"/>
  <c r="A453" i="55"/>
  <c r="A435" i="55"/>
  <c r="A436" i="55"/>
  <c r="A437" i="55"/>
  <c r="A438" i="55"/>
  <c r="A439" i="55"/>
  <c r="A440" i="55"/>
  <c r="A441" i="55"/>
  <c r="A442" i="55"/>
  <c r="A443" i="55"/>
  <c r="A444" i="55"/>
  <c r="A423" i="55"/>
  <c r="A424" i="55"/>
  <c r="A425" i="55"/>
  <c r="A426" i="55"/>
  <c r="A427" i="55"/>
  <c r="A428" i="55"/>
  <c r="A429" i="55"/>
  <c r="A430" i="55"/>
  <c r="A431" i="55"/>
  <c r="A432" i="55"/>
  <c r="A433" i="55"/>
  <c r="A434" i="55"/>
  <c r="A64" i="5"/>
  <c r="A448" i="5"/>
  <c r="A447" i="5"/>
  <c r="A446" i="5"/>
  <c r="A445" i="5"/>
  <c r="A444" i="5"/>
  <c r="A443" i="5"/>
  <c r="A442" i="5"/>
  <c r="A441" i="5"/>
  <c r="A427" i="5"/>
  <c r="A428" i="5"/>
  <c r="A429" i="5"/>
  <c r="A430" i="5"/>
  <c r="A431" i="5"/>
  <c r="A432" i="5"/>
  <c r="A433" i="5"/>
  <c r="A434" i="5"/>
  <c r="A435" i="5"/>
  <c r="A436" i="5"/>
  <c r="A437" i="5"/>
  <c r="A438" i="5"/>
  <c r="A439" i="5"/>
  <c r="A440" i="5"/>
  <c r="A410" i="55"/>
  <c r="A411" i="55"/>
  <c r="A412" i="55"/>
  <c r="A413" i="55"/>
  <c r="A414" i="55"/>
  <c r="A415" i="55"/>
  <c r="A416" i="55"/>
  <c r="A417" i="55"/>
  <c r="A418" i="55"/>
  <c r="A419" i="55"/>
  <c r="A420" i="55"/>
  <c r="A421" i="55"/>
  <c r="A422" i="55"/>
  <c r="A404" i="55"/>
  <c r="A405" i="55"/>
  <c r="A406" i="55"/>
  <c r="A407" i="55"/>
  <c r="A408" i="55"/>
  <c r="A409" i="55"/>
  <c r="A393" i="55"/>
  <c r="A394" i="55"/>
  <c r="A395" i="55"/>
  <c r="A396" i="55"/>
  <c r="A397" i="55"/>
  <c r="A398" i="55"/>
  <c r="A399" i="55"/>
  <c r="A400" i="55"/>
  <c r="A401" i="55"/>
  <c r="A402" i="55"/>
  <c r="A403" i="55"/>
  <c r="A115" i="55"/>
  <c r="A116" i="55"/>
  <c r="A117" i="55"/>
  <c r="A118" i="55"/>
  <c r="A119" i="55"/>
  <c r="A120" i="55"/>
  <c r="A121" i="55"/>
  <c r="A122" i="55"/>
  <c r="A123" i="55"/>
  <c r="A124" i="55"/>
  <c r="A125" i="55"/>
  <c r="A126" i="55"/>
  <c r="A127" i="55"/>
  <c r="A128" i="55"/>
  <c r="A129" i="55"/>
  <c r="A130" i="55"/>
  <c r="A131" i="55"/>
  <c r="A132" i="55"/>
  <c r="A133" i="55"/>
  <c r="A134" i="55"/>
  <c r="A135" i="55"/>
  <c r="A136" i="55"/>
  <c r="A137" i="55"/>
  <c r="A138" i="55"/>
  <c r="A139" i="55"/>
  <c r="A140" i="55"/>
  <c r="A141" i="55"/>
  <c r="A142" i="55"/>
  <c r="A143" i="55"/>
  <c r="A144" i="55"/>
  <c r="A145" i="55"/>
  <c r="A146" i="55"/>
  <c r="A147" i="55"/>
  <c r="A148" i="55"/>
  <c r="A149" i="55"/>
  <c r="A150" i="55"/>
  <c r="A151" i="55"/>
  <c r="A152" i="55"/>
  <c r="A153" i="55"/>
  <c r="A154" i="55"/>
  <c r="A155" i="55"/>
  <c r="A156" i="55"/>
  <c r="A157" i="55"/>
  <c r="A158" i="55"/>
  <c r="A159" i="55"/>
  <c r="A160" i="55"/>
  <c r="A161" i="55"/>
  <c r="A162" i="55"/>
  <c r="A163" i="55"/>
  <c r="A164" i="55"/>
  <c r="A165" i="55"/>
  <c r="A166" i="55"/>
  <c r="A167" i="55"/>
  <c r="A168" i="55"/>
  <c r="A169" i="55"/>
  <c r="A170" i="55"/>
  <c r="A171" i="55"/>
  <c r="A172" i="55"/>
  <c r="A173" i="55"/>
  <c r="A174" i="55"/>
  <c r="A175" i="55"/>
  <c r="A176" i="55"/>
  <c r="A177" i="55"/>
  <c r="A178" i="55"/>
  <c r="A179" i="55"/>
  <c r="A180" i="55"/>
  <c r="A181" i="55"/>
  <c r="A182" i="55"/>
  <c r="A183" i="55"/>
  <c r="A184" i="55"/>
  <c r="A185" i="55"/>
  <c r="A186" i="55"/>
  <c r="A187" i="55"/>
  <c r="A188" i="55"/>
  <c r="A189" i="55"/>
  <c r="A190" i="55"/>
  <c r="A191" i="55"/>
  <c r="A192" i="55"/>
  <c r="A193" i="55"/>
  <c r="A194" i="55"/>
  <c r="A195" i="55"/>
  <c r="A196" i="55"/>
  <c r="A197" i="55"/>
  <c r="A198" i="55"/>
  <c r="A199" i="55"/>
  <c r="A200" i="55"/>
  <c r="A201" i="55"/>
  <c r="A202" i="55"/>
  <c r="A203" i="55"/>
  <c r="A204" i="55"/>
  <c r="A205" i="55"/>
  <c r="A206" i="55"/>
  <c r="A207" i="55"/>
  <c r="A208" i="55"/>
  <c r="A209" i="55"/>
  <c r="A210" i="55"/>
  <c r="A211" i="55"/>
  <c r="A212" i="55"/>
  <c r="A213" i="55"/>
  <c r="A214" i="55"/>
  <c r="A215" i="55"/>
  <c r="A216" i="55"/>
  <c r="A217" i="55"/>
  <c r="A218" i="55"/>
  <c r="A219" i="55"/>
  <c r="A220" i="55"/>
  <c r="A221" i="55"/>
  <c r="A222" i="55"/>
  <c r="A223" i="55"/>
  <c r="A224" i="55"/>
  <c r="A225" i="55"/>
  <c r="A226" i="55"/>
  <c r="A227" i="55"/>
  <c r="A228" i="55"/>
  <c r="A229" i="55"/>
  <c r="A230" i="55"/>
  <c r="A231" i="55"/>
  <c r="A232" i="55"/>
  <c r="A233" i="55"/>
  <c r="A234" i="55"/>
  <c r="A235" i="55"/>
  <c r="A236" i="55"/>
  <c r="A237" i="55"/>
  <c r="A238" i="55"/>
  <c r="A239" i="55"/>
  <c r="A240" i="55"/>
  <c r="A241" i="55"/>
  <c r="A242" i="55"/>
  <c r="A243" i="55"/>
  <c r="A244" i="55"/>
  <c r="A245" i="55"/>
  <c r="A246" i="55"/>
  <c r="A247" i="55"/>
  <c r="A248" i="55"/>
  <c r="A249" i="55"/>
  <c r="A250" i="55"/>
  <c r="A251" i="55"/>
  <c r="A252" i="55"/>
  <c r="A253" i="55"/>
  <c r="A254" i="55"/>
  <c r="A255" i="55"/>
  <c r="A256" i="55"/>
  <c r="A257" i="55"/>
  <c r="A258" i="55"/>
  <c r="A259" i="55"/>
  <c r="A260" i="55"/>
  <c r="A261" i="55"/>
  <c r="A262" i="55"/>
  <c r="A263" i="55"/>
  <c r="A264" i="55"/>
  <c r="A265" i="55"/>
  <c r="A266" i="55"/>
  <c r="A267" i="55"/>
  <c r="A268" i="55"/>
  <c r="A269" i="55"/>
  <c r="A270" i="55"/>
  <c r="A271" i="55"/>
  <c r="A272" i="55"/>
  <c r="A273" i="55"/>
  <c r="A274" i="55"/>
  <c r="A275" i="55"/>
  <c r="A276" i="55"/>
  <c r="A277" i="55"/>
  <c r="A278" i="55"/>
  <c r="A279" i="55"/>
  <c r="A280" i="55"/>
  <c r="A281" i="55"/>
  <c r="A282" i="55"/>
  <c r="A283" i="55"/>
  <c r="A284" i="55"/>
  <c r="A285" i="55"/>
  <c r="A286" i="55"/>
  <c r="A287" i="55"/>
  <c r="A288" i="55"/>
  <c r="A289" i="55"/>
  <c r="A290" i="55"/>
  <c r="A291" i="55"/>
  <c r="A292" i="55"/>
  <c r="A293" i="55"/>
  <c r="A294" i="55"/>
  <c r="A295" i="55"/>
  <c r="A296" i="55"/>
  <c r="A297" i="55"/>
  <c r="A298" i="55"/>
  <c r="A299" i="55"/>
  <c r="A300" i="55"/>
  <c r="A301" i="55"/>
  <c r="A302" i="55"/>
  <c r="A303" i="55"/>
  <c r="A304" i="55"/>
  <c r="A305" i="55"/>
  <c r="A306" i="55"/>
  <c r="A307" i="55"/>
  <c r="A308" i="55"/>
  <c r="A309" i="55"/>
  <c r="A310" i="55"/>
  <c r="A311" i="55"/>
  <c r="A312" i="55"/>
  <c r="A313" i="55"/>
  <c r="A314" i="55"/>
  <c r="A315" i="55"/>
  <c r="A316" i="55"/>
  <c r="A317" i="55"/>
  <c r="A318" i="55"/>
  <c r="A319" i="55"/>
  <c r="A321" i="55"/>
  <c r="A322" i="55"/>
  <c r="A323" i="55"/>
  <c r="A324" i="55"/>
  <c r="A325" i="55"/>
  <c r="A326" i="55"/>
  <c r="A327" i="55"/>
  <c r="A328" i="55"/>
  <c r="A329" i="55"/>
  <c r="A330" i="55"/>
  <c r="A331" i="55"/>
  <c r="A332" i="55"/>
  <c r="A333" i="55"/>
  <c r="A334" i="55"/>
  <c r="A335" i="55"/>
  <c r="A336" i="55"/>
  <c r="A337" i="55"/>
  <c r="A338" i="55"/>
  <c r="A339" i="55"/>
  <c r="A340" i="55"/>
  <c r="A341" i="55"/>
  <c r="A342" i="55"/>
  <c r="A343" i="55"/>
  <c r="A344" i="55"/>
  <c r="A345" i="55"/>
  <c r="A346" i="55"/>
  <c r="A347" i="55"/>
  <c r="A348" i="55"/>
  <c r="A349" i="55"/>
  <c r="A350" i="55"/>
  <c r="A351" i="55"/>
  <c r="A352" i="55"/>
  <c r="A353" i="55"/>
  <c r="A354" i="55"/>
  <c r="A355" i="55"/>
  <c r="A356" i="55"/>
  <c r="A357" i="55"/>
  <c r="A358" i="55"/>
  <c r="A359" i="55"/>
  <c r="A360" i="55"/>
  <c r="A361" i="55"/>
  <c r="A362" i="55"/>
  <c r="A363" i="55"/>
  <c r="A364" i="55"/>
  <c r="A365" i="55"/>
  <c r="A366" i="55"/>
  <c r="A367" i="55"/>
  <c r="A368" i="55"/>
  <c r="A369" i="55"/>
  <c r="A370" i="55"/>
  <c r="A371" i="55"/>
  <c r="A372" i="55"/>
  <c r="A373" i="55"/>
  <c r="A374" i="55"/>
  <c r="A375" i="55"/>
  <c r="A376" i="55"/>
  <c r="A377" i="55"/>
  <c r="A378" i="55"/>
  <c r="A379" i="55"/>
  <c r="A380" i="55"/>
  <c r="A381" i="55"/>
  <c r="A382" i="55"/>
  <c r="A383" i="55"/>
  <c r="A384" i="55"/>
  <c r="A385" i="55"/>
  <c r="A386" i="55"/>
  <c r="A387" i="55"/>
  <c r="A388" i="55"/>
  <c r="A389" i="55"/>
  <c r="A390" i="55"/>
  <c r="A391" i="55"/>
  <c r="A392" i="55"/>
  <c r="A12" i="55"/>
  <c r="A13" i="55"/>
  <c r="A14" i="55"/>
  <c r="A15" i="55"/>
  <c r="A16" i="55"/>
  <c r="A17" i="55"/>
  <c r="A18" i="55"/>
  <c r="A19" i="55"/>
  <c r="A20" i="55"/>
  <c r="A21" i="55"/>
  <c r="A22" i="55"/>
  <c r="A23" i="55"/>
  <c r="A24" i="55"/>
  <c r="A25" i="55"/>
  <c r="A26" i="55"/>
  <c r="A27" i="55"/>
  <c r="A28" i="55"/>
  <c r="A29" i="55"/>
  <c r="A30" i="55"/>
  <c r="A31" i="55"/>
  <c r="A32" i="55"/>
  <c r="A33" i="55"/>
  <c r="A34" i="55"/>
  <c r="A35" i="55"/>
  <c r="A36" i="55"/>
  <c r="A37" i="55"/>
  <c r="A38" i="55"/>
  <c r="A39" i="55"/>
  <c r="A40" i="55"/>
  <c r="A41" i="55"/>
  <c r="A42" i="55"/>
  <c r="A43" i="55"/>
  <c r="A44" i="55"/>
  <c r="A45" i="55"/>
  <c r="A46" i="55"/>
  <c r="A47" i="55"/>
  <c r="A48" i="55"/>
  <c r="A49" i="55"/>
  <c r="A50" i="55"/>
  <c r="A51" i="55"/>
  <c r="A52" i="55"/>
  <c r="A53" i="55"/>
  <c r="A54" i="55"/>
  <c r="A55" i="55"/>
  <c r="A56" i="55"/>
  <c r="A57" i="55"/>
  <c r="A58" i="55"/>
  <c r="A59" i="55"/>
  <c r="A60" i="55"/>
  <c r="A61" i="55"/>
  <c r="A62" i="55"/>
  <c r="A63" i="55"/>
  <c r="A64" i="55"/>
  <c r="A65" i="55"/>
  <c r="A66" i="55"/>
  <c r="A67" i="55"/>
  <c r="A68" i="55"/>
  <c r="A69" i="55"/>
  <c r="A70" i="55"/>
  <c r="A71" i="55"/>
  <c r="A72" i="55"/>
  <c r="A73" i="55"/>
  <c r="A74" i="55"/>
  <c r="A75" i="55"/>
  <c r="A76" i="55"/>
  <c r="A77" i="55"/>
  <c r="A78" i="55"/>
  <c r="A79" i="55"/>
  <c r="A80" i="55"/>
  <c r="A81" i="55"/>
  <c r="A82" i="55"/>
  <c r="A83" i="55"/>
  <c r="A84" i="55"/>
  <c r="A85" i="55"/>
  <c r="A86" i="55"/>
  <c r="A87" i="55"/>
  <c r="A88" i="55"/>
  <c r="A89" i="55"/>
  <c r="A90" i="55"/>
  <c r="A91" i="55"/>
  <c r="A92" i="55"/>
  <c r="A93" i="55"/>
  <c r="A94" i="55"/>
  <c r="A95" i="55"/>
  <c r="A96" i="55"/>
  <c r="A97" i="55"/>
  <c r="A98" i="55"/>
  <c r="A99" i="55"/>
  <c r="A100" i="55"/>
  <c r="A101" i="55"/>
  <c r="A102" i="55"/>
  <c r="A103" i="55"/>
  <c r="A104" i="55"/>
  <c r="A105" i="55"/>
  <c r="A106" i="55"/>
  <c r="A107" i="55"/>
  <c r="A108" i="55"/>
  <c r="A109" i="55"/>
  <c r="A110" i="55"/>
  <c r="A111" i="55"/>
  <c r="A112" i="55"/>
  <c r="A113" i="55"/>
  <c r="A114" i="55"/>
  <c r="A11" i="55"/>
  <c r="A108" i="5"/>
  <c r="A109"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6" i="5"/>
  <c r="B125" i="45"/>
  <c r="C125" i="45"/>
  <c r="D125" i="45"/>
  <c r="E125" i="45"/>
  <c r="F125" i="45"/>
  <c r="G125" i="45"/>
  <c r="H125" i="45"/>
  <c r="B126" i="45"/>
  <c r="C126" i="45"/>
  <c r="D126" i="45"/>
  <c r="E126" i="45"/>
  <c r="F126" i="45"/>
  <c r="G126" i="45"/>
  <c r="H126" i="45"/>
  <c r="B127" i="45"/>
  <c r="C127" i="45"/>
  <c r="D127" i="45"/>
  <c r="E127" i="45"/>
  <c r="F127" i="45"/>
  <c r="G127" i="45"/>
  <c r="H127" i="45"/>
  <c r="B128" i="45"/>
  <c r="C128" i="45"/>
  <c r="D128" i="45"/>
  <c r="E128" i="45"/>
  <c r="F128" i="45"/>
  <c r="G128" i="45"/>
  <c r="H128" i="45"/>
  <c r="B129" i="45"/>
  <c r="C129" i="45"/>
  <c r="D129" i="45"/>
  <c r="E129" i="45"/>
  <c r="F129" i="45"/>
  <c r="G129" i="45"/>
  <c r="H129" i="45"/>
  <c r="B130" i="45"/>
  <c r="C130" i="45"/>
  <c r="D130" i="45"/>
  <c r="E130" i="45"/>
  <c r="F130" i="45"/>
  <c r="G130" i="45"/>
  <c r="H130" i="45"/>
  <c r="B131" i="45"/>
  <c r="C131" i="45"/>
  <c r="D131" i="45"/>
  <c r="E131" i="45"/>
  <c r="F131" i="45"/>
  <c r="G131" i="45"/>
  <c r="H131" i="45"/>
  <c r="B132" i="45"/>
  <c r="C132" i="45"/>
  <c r="D132" i="45"/>
  <c r="E132" i="45"/>
  <c r="F132" i="45"/>
  <c r="G132" i="45"/>
  <c r="H132" i="45"/>
  <c r="B133" i="45"/>
  <c r="C133" i="45"/>
  <c r="D133" i="45"/>
  <c r="E133" i="45"/>
  <c r="F133" i="45"/>
  <c r="G133" i="45"/>
  <c r="H133" i="45"/>
  <c r="B134" i="45"/>
  <c r="C134" i="45"/>
  <c r="D134" i="45"/>
  <c r="E134" i="45"/>
  <c r="F134" i="45"/>
  <c r="G134" i="45"/>
  <c r="H134" i="45"/>
  <c r="B135" i="45"/>
  <c r="C135" i="45"/>
  <c r="D135" i="45"/>
  <c r="E135" i="45"/>
  <c r="F135" i="45"/>
  <c r="G135" i="45"/>
  <c r="H135" i="45"/>
  <c r="B136" i="45"/>
  <c r="C136" i="45"/>
  <c r="D136" i="45"/>
  <c r="E136" i="45"/>
  <c r="F136" i="45"/>
  <c r="G136" i="45"/>
  <c r="H136" i="45"/>
  <c r="B137" i="45"/>
  <c r="C137" i="45"/>
  <c r="D137" i="45"/>
  <c r="E137" i="45"/>
  <c r="F137" i="45"/>
  <c r="G137" i="45"/>
  <c r="H137" i="45"/>
  <c r="B138" i="45"/>
  <c r="C138" i="45"/>
  <c r="D138" i="45"/>
  <c r="E138" i="45"/>
  <c r="F138" i="45"/>
  <c r="G138" i="45"/>
  <c r="H138" i="45"/>
  <c r="B139" i="45"/>
  <c r="C139" i="45"/>
  <c r="D139" i="45"/>
  <c r="E139" i="45"/>
  <c r="F139" i="45"/>
  <c r="G139" i="45"/>
  <c r="H139" i="45"/>
  <c r="B140" i="45"/>
  <c r="C140" i="45"/>
  <c r="D140" i="45"/>
  <c r="E140" i="45"/>
  <c r="F140" i="45"/>
  <c r="G140" i="45"/>
  <c r="H140" i="45"/>
  <c r="B141" i="45"/>
  <c r="C141" i="45"/>
  <c r="D141" i="45"/>
  <c r="E141" i="45"/>
  <c r="F141" i="45"/>
  <c r="G141" i="45"/>
  <c r="H141" i="45"/>
  <c r="B142" i="45"/>
  <c r="C142" i="45"/>
  <c r="D142" i="45"/>
  <c r="E142" i="45"/>
  <c r="F142" i="45"/>
  <c r="G142" i="45"/>
  <c r="H142" i="45"/>
  <c r="B143" i="45"/>
  <c r="C143" i="45"/>
  <c r="D143" i="45"/>
  <c r="E143" i="45"/>
  <c r="F143" i="45"/>
  <c r="G143" i="45"/>
  <c r="H143" i="45"/>
  <c r="B144" i="45"/>
  <c r="C144" i="45"/>
  <c r="D144" i="45"/>
  <c r="E144" i="45"/>
  <c r="F144" i="45"/>
  <c r="G144" i="45"/>
  <c r="H144" i="45"/>
  <c r="B145" i="45"/>
  <c r="C145" i="45"/>
  <c r="D145" i="45"/>
  <c r="E145" i="45"/>
  <c r="F145" i="45"/>
  <c r="G145" i="45"/>
  <c r="H145" i="45"/>
  <c r="B146" i="45"/>
  <c r="C146" i="45"/>
  <c r="D146" i="45"/>
  <c r="E146" i="45"/>
  <c r="F146" i="45"/>
  <c r="G146" i="45"/>
  <c r="H146" i="45"/>
  <c r="B147" i="45"/>
  <c r="C147" i="45"/>
  <c r="D147" i="45"/>
  <c r="E147" i="45"/>
  <c r="F147" i="45"/>
  <c r="G147" i="45"/>
  <c r="H147" i="45"/>
  <c r="B148" i="45"/>
  <c r="C148" i="45"/>
  <c r="D148" i="45"/>
  <c r="E148" i="45"/>
  <c r="F148" i="45"/>
  <c r="G148" i="45"/>
  <c r="H148" i="45"/>
  <c r="B149" i="45"/>
  <c r="C149" i="45"/>
  <c r="D149" i="45"/>
  <c r="E149" i="45"/>
  <c r="F149" i="45"/>
  <c r="G149" i="45"/>
  <c r="H149" i="45"/>
  <c r="B150" i="45"/>
  <c r="C150" i="45"/>
  <c r="D150" i="45"/>
  <c r="E150" i="45"/>
  <c r="F150" i="45"/>
  <c r="G150" i="45"/>
  <c r="H150" i="45"/>
  <c r="B151" i="45"/>
  <c r="C151" i="45"/>
  <c r="D151" i="45"/>
  <c r="E151" i="45"/>
  <c r="F151" i="45"/>
  <c r="G151" i="45"/>
  <c r="H151" i="45"/>
  <c r="B152" i="45"/>
  <c r="C152" i="45"/>
  <c r="D152" i="45"/>
  <c r="E152" i="45"/>
  <c r="F152" i="45"/>
  <c r="G152" i="45"/>
  <c r="H152" i="45"/>
  <c r="B153" i="45"/>
  <c r="C153" i="45"/>
  <c r="D153" i="45"/>
  <c r="E153" i="45"/>
  <c r="F153" i="45"/>
  <c r="G153" i="45"/>
  <c r="H153" i="45"/>
  <c r="B154" i="45"/>
  <c r="C154" i="45"/>
  <c r="D154" i="45"/>
  <c r="E154" i="45"/>
  <c r="F154" i="45"/>
  <c r="G154" i="45"/>
  <c r="H154" i="45"/>
  <c r="B155" i="45"/>
  <c r="C155" i="45"/>
  <c r="D155" i="45"/>
  <c r="E155" i="45"/>
  <c r="F155" i="45"/>
  <c r="G155" i="45"/>
  <c r="H155" i="45"/>
  <c r="B156" i="45"/>
  <c r="C156" i="45"/>
  <c r="D156" i="45"/>
  <c r="E156" i="45"/>
  <c r="F156" i="45"/>
  <c r="G156" i="45"/>
  <c r="H156" i="45"/>
  <c r="B157" i="45"/>
  <c r="C157" i="45"/>
  <c r="D157" i="45"/>
  <c r="E157" i="45"/>
  <c r="F157" i="45"/>
  <c r="G157" i="45"/>
  <c r="H157" i="45"/>
  <c r="B158" i="45"/>
  <c r="C158" i="45"/>
  <c r="D158" i="45"/>
  <c r="E158" i="45"/>
  <c r="F158" i="45"/>
  <c r="G158" i="45"/>
  <c r="H158" i="45"/>
  <c r="B159" i="45"/>
  <c r="C159" i="45"/>
  <c r="D159" i="45"/>
  <c r="E159" i="45"/>
  <c r="F159" i="45"/>
  <c r="G159" i="45"/>
  <c r="H159" i="45"/>
  <c r="B160" i="45"/>
  <c r="C160" i="45"/>
  <c r="D160" i="45"/>
  <c r="E160" i="45"/>
  <c r="F160" i="45"/>
  <c r="G160" i="45"/>
  <c r="H160" i="45"/>
  <c r="B161" i="45"/>
  <c r="C161" i="45"/>
  <c r="D161" i="45"/>
  <c r="E161" i="45"/>
  <c r="F161" i="45"/>
  <c r="G161" i="45"/>
  <c r="H161" i="45"/>
  <c r="B162" i="45"/>
  <c r="C162" i="45"/>
  <c r="D162" i="45"/>
  <c r="E162" i="45"/>
  <c r="F162" i="45"/>
  <c r="G162" i="45"/>
  <c r="H162" i="45"/>
  <c r="B163" i="45"/>
  <c r="C163" i="45"/>
  <c r="D163" i="45"/>
  <c r="E163" i="45"/>
  <c r="F163" i="45"/>
  <c r="G163" i="45"/>
  <c r="H163" i="45"/>
  <c r="B164" i="45"/>
  <c r="C164" i="45"/>
  <c r="D164" i="45"/>
  <c r="E164" i="45"/>
  <c r="F164" i="45"/>
  <c r="G164" i="45"/>
  <c r="H164" i="45"/>
  <c r="B165" i="45"/>
  <c r="C165" i="45"/>
  <c r="D165" i="45"/>
  <c r="E165" i="45"/>
  <c r="F165" i="45"/>
  <c r="G165" i="45"/>
  <c r="H165" i="45"/>
  <c r="B166" i="45"/>
  <c r="C166" i="45"/>
  <c r="D166" i="45"/>
  <c r="E166" i="45"/>
  <c r="F166" i="45"/>
  <c r="G166" i="45"/>
  <c r="H166" i="45"/>
  <c r="B167" i="45"/>
  <c r="C167" i="45"/>
  <c r="D167" i="45"/>
  <c r="E167" i="45"/>
  <c r="F167" i="45"/>
  <c r="G167" i="45"/>
  <c r="H167" i="45"/>
  <c r="B168" i="45"/>
  <c r="C168" i="45"/>
  <c r="D168" i="45"/>
  <c r="E168" i="45"/>
  <c r="F168" i="45"/>
  <c r="G168" i="45"/>
  <c r="H168" i="45"/>
  <c r="B169" i="45"/>
  <c r="C169" i="45"/>
  <c r="D169" i="45"/>
  <c r="E169" i="45"/>
  <c r="F169" i="45"/>
  <c r="G169" i="45"/>
  <c r="H169" i="45"/>
  <c r="B170" i="45"/>
  <c r="C170" i="45"/>
  <c r="D170" i="45"/>
  <c r="E170" i="45"/>
  <c r="F170" i="45"/>
  <c r="G170" i="45"/>
  <c r="H170" i="45"/>
  <c r="B171" i="45"/>
  <c r="C171" i="45"/>
  <c r="D171" i="45"/>
  <c r="E171" i="45"/>
  <c r="F171" i="45"/>
  <c r="G171" i="45"/>
  <c r="H171" i="45"/>
  <c r="B172" i="45"/>
  <c r="C172" i="45"/>
  <c r="D172" i="45"/>
  <c r="E172" i="45"/>
  <c r="F172" i="45"/>
  <c r="G172" i="45"/>
  <c r="H172" i="45"/>
  <c r="B173" i="45"/>
  <c r="C173" i="45"/>
  <c r="D173" i="45"/>
  <c r="E173" i="45"/>
  <c r="F173" i="45"/>
  <c r="G173" i="45"/>
  <c r="H173" i="45"/>
  <c r="B174" i="45"/>
  <c r="C174" i="45"/>
  <c r="D174" i="45"/>
  <c r="E174" i="45"/>
  <c r="F174" i="45"/>
  <c r="G174" i="45"/>
  <c r="H174" i="45"/>
  <c r="B175" i="45"/>
  <c r="C175" i="45"/>
  <c r="D175" i="45"/>
  <c r="E175" i="45"/>
  <c r="F175" i="45"/>
  <c r="G175" i="45"/>
  <c r="H175" i="45"/>
  <c r="B176" i="45"/>
  <c r="C176" i="45"/>
  <c r="D176" i="45"/>
  <c r="E176" i="45"/>
  <c r="F176" i="45"/>
  <c r="G176" i="45"/>
  <c r="H176" i="45"/>
  <c r="B177" i="45"/>
  <c r="C177" i="45"/>
  <c r="D177" i="45"/>
  <c r="E177" i="45"/>
  <c r="F177" i="45"/>
  <c r="G177" i="45"/>
  <c r="H177" i="45"/>
  <c r="B178" i="45"/>
  <c r="C178" i="45"/>
  <c r="D178" i="45"/>
  <c r="E178" i="45"/>
  <c r="F178" i="45"/>
  <c r="G178" i="45"/>
  <c r="H178" i="45"/>
  <c r="B179" i="45"/>
  <c r="C179" i="45"/>
  <c r="D179" i="45"/>
  <c r="E179" i="45"/>
  <c r="F179" i="45"/>
  <c r="G179" i="45"/>
  <c r="H179" i="45"/>
  <c r="B180" i="45"/>
  <c r="C180" i="45"/>
  <c r="D180" i="45"/>
  <c r="E180" i="45"/>
  <c r="F180" i="45"/>
  <c r="G180" i="45"/>
  <c r="H180" i="45"/>
  <c r="B181" i="45"/>
  <c r="C181" i="45"/>
  <c r="D181" i="45"/>
  <c r="E181" i="45"/>
  <c r="F181" i="45"/>
  <c r="G181" i="45"/>
  <c r="H181" i="45"/>
  <c r="B182" i="45"/>
  <c r="C182" i="45"/>
  <c r="D182" i="45"/>
  <c r="E182" i="45"/>
  <c r="F182" i="45"/>
  <c r="G182" i="45"/>
  <c r="H182" i="45"/>
  <c r="B183" i="45"/>
  <c r="C183" i="45"/>
  <c r="D183" i="45"/>
  <c r="E183" i="45"/>
  <c r="F183" i="45"/>
  <c r="G183" i="45"/>
  <c r="H183" i="45"/>
  <c r="B184" i="45"/>
  <c r="C184" i="45"/>
  <c r="D184" i="45"/>
  <c r="E184" i="45"/>
  <c r="F184" i="45"/>
  <c r="G184" i="45"/>
  <c r="H184" i="45"/>
  <c r="B185" i="45"/>
  <c r="C185" i="45"/>
  <c r="D185" i="45"/>
  <c r="E185" i="45"/>
  <c r="F185" i="45"/>
  <c r="G185" i="45"/>
  <c r="H185" i="45"/>
  <c r="B186" i="45"/>
  <c r="C186" i="45"/>
  <c r="D186" i="45"/>
  <c r="E186" i="45"/>
  <c r="F186" i="45"/>
  <c r="G186" i="45"/>
  <c r="H186" i="45"/>
  <c r="B187" i="45"/>
  <c r="C187" i="45"/>
  <c r="D187" i="45"/>
  <c r="E187" i="45"/>
  <c r="F187" i="45"/>
  <c r="G187" i="45"/>
  <c r="H187" i="45"/>
  <c r="B188" i="45"/>
  <c r="C188" i="45"/>
  <c r="D188" i="45"/>
  <c r="E188" i="45"/>
  <c r="F188" i="45"/>
  <c r="G188" i="45"/>
  <c r="H188" i="45"/>
  <c r="B189" i="45"/>
  <c r="C189" i="45"/>
  <c r="D189" i="45"/>
  <c r="E189" i="45"/>
  <c r="F189" i="45"/>
  <c r="G189" i="45"/>
  <c r="H189" i="45"/>
  <c r="B190" i="45"/>
  <c r="C190" i="45"/>
  <c r="D190" i="45"/>
  <c r="E190" i="45"/>
  <c r="F190" i="45"/>
  <c r="G190" i="45"/>
  <c r="H190" i="45"/>
  <c r="B191" i="45"/>
  <c r="C191" i="45"/>
  <c r="D191" i="45"/>
  <c r="E191" i="45"/>
  <c r="F191" i="45"/>
  <c r="G191" i="45"/>
  <c r="H191" i="45"/>
  <c r="B192" i="45"/>
  <c r="C192" i="45"/>
  <c r="D192" i="45"/>
  <c r="E192" i="45"/>
  <c r="F192" i="45"/>
  <c r="G192" i="45"/>
  <c r="H192" i="45"/>
  <c r="B193" i="45"/>
  <c r="C193" i="45"/>
  <c r="D193" i="45"/>
  <c r="E193" i="45"/>
  <c r="F193" i="45"/>
  <c r="G193" i="45"/>
  <c r="H193" i="45"/>
  <c r="B194" i="45"/>
  <c r="C194" i="45"/>
  <c r="D194" i="45"/>
  <c r="E194" i="45"/>
  <c r="F194" i="45"/>
  <c r="G194" i="45"/>
  <c r="H194" i="45"/>
  <c r="B195" i="45"/>
  <c r="C195" i="45"/>
  <c r="D195" i="45"/>
  <c r="E195" i="45"/>
  <c r="F195" i="45"/>
  <c r="G195" i="45"/>
  <c r="H195" i="45"/>
  <c r="B196" i="45"/>
  <c r="C196" i="45"/>
  <c r="D196" i="45"/>
  <c r="E196" i="45"/>
  <c r="F196" i="45"/>
  <c r="G196" i="45"/>
  <c r="H196" i="45"/>
  <c r="B197" i="45"/>
  <c r="C197" i="45"/>
  <c r="D197" i="45"/>
  <c r="E197" i="45"/>
  <c r="F197" i="45"/>
  <c r="G197" i="45"/>
  <c r="H197" i="45"/>
  <c r="B198" i="45"/>
  <c r="C198" i="45"/>
  <c r="D198" i="45"/>
  <c r="E198" i="45"/>
  <c r="F198" i="45"/>
  <c r="G198" i="45"/>
  <c r="H198" i="45"/>
  <c r="B199" i="45"/>
  <c r="C199" i="45"/>
  <c r="D199" i="45"/>
  <c r="E199" i="45"/>
  <c r="F199" i="45"/>
  <c r="G199" i="45"/>
  <c r="H199" i="45"/>
  <c r="B200" i="45"/>
  <c r="C200" i="45"/>
  <c r="D200" i="45"/>
  <c r="E200" i="45"/>
  <c r="F200" i="45"/>
  <c r="G200" i="45"/>
  <c r="H200" i="45"/>
  <c r="B201" i="45"/>
  <c r="C201" i="45"/>
  <c r="D201" i="45"/>
  <c r="E201" i="45"/>
  <c r="F201" i="45"/>
  <c r="G201" i="45"/>
  <c r="H201" i="45"/>
  <c r="B202" i="45"/>
  <c r="C202" i="45"/>
  <c r="D202" i="45"/>
  <c r="E202" i="45"/>
  <c r="F202" i="45"/>
  <c r="G202" i="45"/>
  <c r="H202" i="45"/>
  <c r="B203" i="45"/>
  <c r="C203" i="45"/>
  <c r="D203" i="45"/>
  <c r="E203" i="45"/>
  <c r="F203" i="45"/>
  <c r="G203" i="45"/>
  <c r="H203" i="45"/>
  <c r="B204" i="45"/>
  <c r="C204" i="45"/>
  <c r="D204" i="45"/>
  <c r="E204" i="45"/>
  <c r="F204" i="45"/>
  <c r="G204" i="45"/>
  <c r="H204" i="45"/>
  <c r="B6" i="45"/>
  <c r="C6" i="45"/>
  <c r="D6" i="45"/>
  <c r="E6" i="45"/>
  <c r="F6" i="45"/>
  <c r="G6" i="45"/>
  <c r="H6" i="45"/>
  <c r="B7" i="45"/>
  <c r="C7" i="45"/>
  <c r="D7" i="45"/>
  <c r="E7" i="45"/>
  <c r="F7" i="45"/>
  <c r="G7" i="45"/>
  <c r="H7" i="45"/>
  <c r="B8" i="45"/>
  <c r="C8" i="45"/>
  <c r="D8" i="45"/>
  <c r="E8" i="45"/>
  <c r="F8" i="45"/>
  <c r="G8" i="45"/>
  <c r="H8" i="45"/>
  <c r="B9" i="45"/>
  <c r="C9" i="45"/>
  <c r="D9" i="45"/>
  <c r="E9" i="45"/>
  <c r="F9" i="45"/>
  <c r="G9" i="45"/>
  <c r="H9" i="45"/>
  <c r="B10" i="45"/>
  <c r="C10" i="45"/>
  <c r="D10" i="45"/>
  <c r="E10" i="45"/>
  <c r="F10" i="45"/>
  <c r="G10" i="45"/>
  <c r="H10" i="45"/>
  <c r="B11" i="45"/>
  <c r="C11" i="45"/>
  <c r="D11" i="45"/>
  <c r="E11" i="45"/>
  <c r="F11" i="45"/>
  <c r="G11" i="45"/>
  <c r="H11" i="45"/>
  <c r="B12" i="45"/>
  <c r="C12" i="45"/>
  <c r="D12" i="45"/>
  <c r="E12" i="45"/>
  <c r="F12" i="45"/>
  <c r="G12" i="45"/>
  <c r="H12" i="45"/>
  <c r="B13" i="45"/>
  <c r="C13" i="45"/>
  <c r="D13" i="45"/>
  <c r="E13" i="45"/>
  <c r="F13" i="45"/>
  <c r="G13" i="45"/>
  <c r="H13" i="45"/>
  <c r="B14" i="45"/>
  <c r="C14" i="45"/>
  <c r="D14" i="45"/>
  <c r="E14" i="45"/>
  <c r="F14" i="45"/>
  <c r="G14" i="45"/>
  <c r="H14" i="45"/>
  <c r="B15" i="45"/>
  <c r="C15" i="45"/>
  <c r="D15" i="45"/>
  <c r="E15" i="45"/>
  <c r="F15" i="45"/>
  <c r="G15" i="45"/>
  <c r="H15" i="45"/>
  <c r="B16" i="45"/>
  <c r="C16" i="45"/>
  <c r="D16" i="45"/>
  <c r="E16" i="45"/>
  <c r="F16" i="45"/>
  <c r="G16" i="45"/>
  <c r="H16" i="45"/>
  <c r="B17" i="45"/>
  <c r="C17" i="45"/>
  <c r="D17" i="45"/>
  <c r="E17" i="45"/>
  <c r="F17" i="45"/>
  <c r="G17" i="45"/>
  <c r="H17" i="45"/>
  <c r="B18" i="45"/>
  <c r="C18" i="45"/>
  <c r="D18" i="45"/>
  <c r="E18" i="45"/>
  <c r="F18" i="45"/>
  <c r="G18" i="45"/>
  <c r="H18" i="45"/>
  <c r="B19" i="45"/>
  <c r="C19" i="45"/>
  <c r="D19" i="45"/>
  <c r="E19" i="45"/>
  <c r="F19" i="45"/>
  <c r="G19" i="45"/>
  <c r="H19" i="45"/>
  <c r="B20" i="45"/>
  <c r="C20" i="45"/>
  <c r="D20" i="45"/>
  <c r="E20" i="45"/>
  <c r="F20" i="45"/>
  <c r="G20" i="45"/>
  <c r="H20" i="45"/>
  <c r="B21" i="45"/>
  <c r="C21" i="45"/>
  <c r="D21" i="45"/>
  <c r="E21" i="45"/>
  <c r="F21" i="45"/>
  <c r="G21" i="45"/>
  <c r="H21" i="45"/>
  <c r="B22" i="45"/>
  <c r="C22" i="45"/>
  <c r="D22" i="45"/>
  <c r="E22" i="45"/>
  <c r="F22" i="45"/>
  <c r="G22" i="45"/>
  <c r="H22" i="45"/>
  <c r="B23" i="45"/>
  <c r="C23" i="45"/>
  <c r="D23" i="45"/>
  <c r="E23" i="45"/>
  <c r="F23" i="45"/>
  <c r="G23" i="45"/>
  <c r="H23" i="45"/>
  <c r="B24" i="45"/>
  <c r="C24" i="45"/>
  <c r="D24" i="45"/>
  <c r="E24" i="45"/>
  <c r="F24" i="45"/>
  <c r="G24" i="45"/>
  <c r="H24" i="45"/>
  <c r="B25" i="45"/>
  <c r="C25" i="45"/>
  <c r="D25" i="45"/>
  <c r="E25" i="45"/>
  <c r="F25" i="45"/>
  <c r="G25" i="45"/>
  <c r="H25" i="45"/>
  <c r="B26" i="45"/>
  <c r="C26" i="45"/>
  <c r="D26" i="45"/>
  <c r="E26" i="45"/>
  <c r="F26" i="45"/>
  <c r="G26" i="45"/>
  <c r="H26" i="45"/>
  <c r="B27" i="45"/>
  <c r="C27" i="45"/>
  <c r="D27" i="45"/>
  <c r="E27" i="45"/>
  <c r="F27" i="45"/>
  <c r="G27" i="45"/>
  <c r="H27" i="45"/>
  <c r="B28" i="45"/>
  <c r="C28" i="45"/>
  <c r="D28" i="45"/>
  <c r="E28" i="45"/>
  <c r="F28" i="45"/>
  <c r="G28" i="45"/>
  <c r="H28" i="45"/>
  <c r="B29" i="45"/>
  <c r="C29" i="45"/>
  <c r="D29" i="45"/>
  <c r="E29" i="45"/>
  <c r="F29" i="45"/>
  <c r="G29" i="45"/>
  <c r="H29" i="45"/>
  <c r="B30" i="45"/>
  <c r="C30" i="45"/>
  <c r="D30" i="45"/>
  <c r="E30" i="45"/>
  <c r="F30" i="45"/>
  <c r="G30" i="45"/>
  <c r="H30" i="45"/>
  <c r="B31" i="45"/>
  <c r="C31" i="45"/>
  <c r="D31" i="45"/>
  <c r="E31" i="45"/>
  <c r="F31" i="45"/>
  <c r="G31" i="45"/>
  <c r="H31" i="45"/>
  <c r="B32" i="45"/>
  <c r="C32" i="45"/>
  <c r="D32" i="45"/>
  <c r="E32" i="45"/>
  <c r="F32" i="45"/>
  <c r="G32" i="45"/>
  <c r="H32" i="45"/>
  <c r="B33" i="45"/>
  <c r="C33" i="45"/>
  <c r="D33" i="45"/>
  <c r="E33" i="45"/>
  <c r="F33" i="45"/>
  <c r="G33" i="45"/>
  <c r="H33" i="45"/>
  <c r="B34" i="45"/>
  <c r="C34" i="45"/>
  <c r="D34" i="45"/>
  <c r="E34" i="45"/>
  <c r="F34" i="45"/>
  <c r="G34" i="45"/>
  <c r="H34" i="45"/>
  <c r="B35" i="45"/>
  <c r="C35" i="45"/>
  <c r="D35" i="45"/>
  <c r="E35" i="45"/>
  <c r="F35" i="45"/>
  <c r="G35" i="45"/>
  <c r="H35" i="45"/>
  <c r="B36" i="45"/>
  <c r="C36" i="45"/>
  <c r="D36" i="45"/>
  <c r="E36" i="45"/>
  <c r="F36" i="45"/>
  <c r="G36" i="45"/>
  <c r="H36" i="45"/>
  <c r="B37" i="45"/>
  <c r="C37" i="45"/>
  <c r="D37" i="45"/>
  <c r="E37" i="45"/>
  <c r="F37" i="45"/>
  <c r="G37" i="45"/>
  <c r="H37" i="45"/>
  <c r="B38" i="45"/>
  <c r="C38" i="45"/>
  <c r="D38" i="45"/>
  <c r="E38" i="45"/>
  <c r="F38" i="45"/>
  <c r="G38" i="45"/>
  <c r="H38" i="45"/>
  <c r="B39" i="45"/>
  <c r="C39" i="45"/>
  <c r="D39" i="45"/>
  <c r="E39" i="45"/>
  <c r="F39" i="45"/>
  <c r="G39" i="45"/>
  <c r="H39" i="45"/>
  <c r="B40" i="45"/>
  <c r="C40" i="45"/>
  <c r="D40" i="45"/>
  <c r="E40" i="45"/>
  <c r="F40" i="45"/>
  <c r="G40" i="45"/>
  <c r="H40" i="45"/>
  <c r="B41" i="45"/>
  <c r="C41" i="45"/>
  <c r="D41" i="45"/>
  <c r="E41" i="45"/>
  <c r="F41" i="45"/>
  <c r="G41" i="45"/>
  <c r="H41" i="45"/>
  <c r="B42" i="45"/>
  <c r="C42" i="45"/>
  <c r="D42" i="45"/>
  <c r="E42" i="45"/>
  <c r="F42" i="45"/>
  <c r="G42" i="45"/>
  <c r="H42" i="45"/>
  <c r="B43" i="45"/>
  <c r="C43" i="45"/>
  <c r="D43" i="45"/>
  <c r="E43" i="45"/>
  <c r="F43" i="45"/>
  <c r="G43" i="45"/>
  <c r="H43" i="45"/>
  <c r="B44" i="45"/>
  <c r="C44" i="45"/>
  <c r="D44" i="45"/>
  <c r="E44" i="45"/>
  <c r="F44" i="45"/>
  <c r="G44" i="45"/>
  <c r="H44" i="45"/>
  <c r="B45" i="45"/>
  <c r="C45" i="45"/>
  <c r="D45" i="45"/>
  <c r="E45" i="45"/>
  <c r="F45" i="45"/>
  <c r="G45" i="45"/>
  <c r="H45" i="45"/>
  <c r="B46" i="45"/>
  <c r="C46" i="45"/>
  <c r="D46" i="45"/>
  <c r="E46" i="45"/>
  <c r="F46" i="45"/>
  <c r="G46" i="45"/>
  <c r="H46" i="45"/>
  <c r="B47" i="45"/>
  <c r="C47" i="45"/>
  <c r="D47" i="45"/>
  <c r="E47" i="45"/>
  <c r="F47" i="45"/>
  <c r="G47" i="45"/>
  <c r="H47" i="45"/>
  <c r="B48" i="45"/>
  <c r="C48" i="45"/>
  <c r="D48" i="45"/>
  <c r="E48" i="45"/>
  <c r="F48" i="45"/>
  <c r="G48" i="45"/>
  <c r="H48" i="45"/>
  <c r="B49" i="45"/>
  <c r="C49" i="45"/>
  <c r="D49" i="45"/>
  <c r="E49" i="45"/>
  <c r="F49" i="45"/>
  <c r="G49" i="45"/>
  <c r="H49" i="45"/>
  <c r="B50" i="45"/>
  <c r="C50" i="45"/>
  <c r="D50" i="45"/>
  <c r="E50" i="45"/>
  <c r="F50" i="45"/>
  <c r="G50" i="45"/>
  <c r="H50" i="45"/>
  <c r="B51" i="45"/>
  <c r="C51" i="45"/>
  <c r="D51" i="45"/>
  <c r="E51" i="45"/>
  <c r="F51" i="45"/>
  <c r="G51" i="45"/>
  <c r="H51" i="45"/>
  <c r="B52" i="45"/>
  <c r="C52" i="45"/>
  <c r="D52" i="45"/>
  <c r="E52" i="45"/>
  <c r="F52" i="45"/>
  <c r="G52" i="45"/>
  <c r="H52" i="45"/>
  <c r="B53" i="45"/>
  <c r="C53" i="45"/>
  <c r="D53" i="45"/>
  <c r="E53" i="45"/>
  <c r="F53" i="45"/>
  <c r="G53" i="45"/>
  <c r="H53" i="45"/>
  <c r="B54" i="45"/>
  <c r="C54" i="45"/>
  <c r="D54" i="45"/>
  <c r="E54" i="45"/>
  <c r="F54" i="45"/>
  <c r="G54" i="45"/>
  <c r="H54" i="45"/>
  <c r="B55" i="45"/>
  <c r="C55" i="45"/>
  <c r="D55" i="45"/>
  <c r="E55" i="45"/>
  <c r="F55" i="45"/>
  <c r="G55" i="45"/>
  <c r="H55" i="45"/>
  <c r="B56" i="45"/>
  <c r="C56" i="45"/>
  <c r="D56" i="45"/>
  <c r="E56" i="45"/>
  <c r="F56" i="45"/>
  <c r="G56" i="45"/>
  <c r="H56" i="45"/>
  <c r="B57" i="45"/>
  <c r="C57" i="45"/>
  <c r="D57" i="45"/>
  <c r="E57" i="45"/>
  <c r="F57" i="45"/>
  <c r="G57" i="45"/>
  <c r="H57" i="45"/>
  <c r="B58" i="45"/>
  <c r="C58" i="45"/>
  <c r="D58" i="45"/>
  <c r="E58" i="45"/>
  <c r="F58" i="45"/>
  <c r="G58" i="45"/>
  <c r="H58" i="45"/>
  <c r="B59" i="45"/>
  <c r="C59" i="45"/>
  <c r="D59" i="45"/>
  <c r="E59" i="45"/>
  <c r="F59" i="45"/>
  <c r="G59" i="45"/>
  <c r="H59" i="45"/>
  <c r="B60" i="45"/>
  <c r="C60" i="45"/>
  <c r="D60" i="45"/>
  <c r="E60" i="45"/>
  <c r="F60" i="45"/>
  <c r="G60" i="45"/>
  <c r="H60" i="45"/>
  <c r="B61" i="45"/>
  <c r="C61" i="45"/>
  <c r="D61" i="45"/>
  <c r="E61" i="45"/>
  <c r="F61" i="45"/>
  <c r="G61" i="45"/>
  <c r="H61" i="45"/>
  <c r="B62" i="45"/>
  <c r="C62" i="45"/>
  <c r="D62" i="45"/>
  <c r="E62" i="45"/>
  <c r="F62" i="45"/>
  <c r="G62" i="45"/>
  <c r="H62" i="45"/>
  <c r="B63" i="45"/>
  <c r="C63" i="45"/>
  <c r="D63" i="45"/>
  <c r="E63" i="45"/>
  <c r="F63" i="45"/>
  <c r="G63" i="45"/>
  <c r="H63" i="45"/>
  <c r="B64" i="45"/>
  <c r="C64" i="45"/>
  <c r="D64" i="45"/>
  <c r="E64" i="45"/>
  <c r="F64" i="45"/>
  <c r="G64" i="45"/>
  <c r="H64" i="45"/>
  <c r="B65" i="45"/>
  <c r="C65" i="45"/>
  <c r="D65" i="45"/>
  <c r="E65" i="45"/>
  <c r="F65" i="45"/>
  <c r="G65" i="45"/>
  <c r="H65" i="45"/>
  <c r="B66" i="45"/>
  <c r="C66" i="45"/>
  <c r="D66" i="45"/>
  <c r="E66" i="45"/>
  <c r="F66" i="45"/>
  <c r="G66" i="45"/>
  <c r="H66" i="45"/>
  <c r="B67" i="45"/>
  <c r="C67" i="45"/>
  <c r="D67" i="45"/>
  <c r="E67" i="45"/>
  <c r="F67" i="45"/>
  <c r="G67" i="45"/>
  <c r="H67" i="45"/>
  <c r="B68" i="45"/>
  <c r="C68" i="45"/>
  <c r="D68" i="45"/>
  <c r="E68" i="45"/>
  <c r="F68" i="45"/>
  <c r="G68" i="45"/>
  <c r="H68" i="45"/>
  <c r="B69" i="45"/>
  <c r="C69" i="45"/>
  <c r="D69" i="45"/>
  <c r="E69" i="45"/>
  <c r="F69" i="45"/>
  <c r="G69" i="45"/>
  <c r="H69" i="45"/>
  <c r="B70" i="45"/>
  <c r="C70" i="45"/>
  <c r="D70" i="45"/>
  <c r="E70" i="45"/>
  <c r="F70" i="45"/>
  <c r="G70" i="45"/>
  <c r="H70" i="45"/>
  <c r="B71" i="45"/>
  <c r="C71" i="45"/>
  <c r="D71" i="45"/>
  <c r="E71" i="45"/>
  <c r="F71" i="45"/>
  <c r="G71" i="45"/>
  <c r="H71" i="45"/>
  <c r="B72" i="45"/>
  <c r="C72" i="45"/>
  <c r="D72" i="45"/>
  <c r="E72" i="45"/>
  <c r="F72" i="45"/>
  <c r="G72" i="45"/>
  <c r="H72" i="45"/>
  <c r="B73" i="45"/>
  <c r="C73" i="45"/>
  <c r="D73" i="45"/>
  <c r="E73" i="45"/>
  <c r="F73" i="45"/>
  <c r="G73" i="45"/>
  <c r="H73" i="45"/>
  <c r="B74" i="45"/>
  <c r="C74" i="45"/>
  <c r="D74" i="45"/>
  <c r="E74" i="45"/>
  <c r="F74" i="45"/>
  <c r="G74" i="45"/>
  <c r="H74" i="45"/>
  <c r="B75" i="45"/>
  <c r="C75" i="45"/>
  <c r="D75" i="45"/>
  <c r="E75" i="45"/>
  <c r="F75" i="45"/>
  <c r="G75" i="45"/>
  <c r="H75" i="45"/>
  <c r="B76" i="45"/>
  <c r="C76" i="45"/>
  <c r="D76" i="45"/>
  <c r="E76" i="45"/>
  <c r="F76" i="45"/>
  <c r="G76" i="45"/>
  <c r="H76" i="45"/>
  <c r="B77" i="45"/>
  <c r="C77" i="45"/>
  <c r="D77" i="45"/>
  <c r="E77" i="45"/>
  <c r="F77" i="45"/>
  <c r="G77" i="45"/>
  <c r="H77" i="45"/>
  <c r="B78" i="45"/>
  <c r="C78" i="45"/>
  <c r="D78" i="45"/>
  <c r="E78" i="45"/>
  <c r="F78" i="45"/>
  <c r="G78" i="45"/>
  <c r="H78" i="45"/>
  <c r="B79" i="45"/>
  <c r="C79" i="45"/>
  <c r="D79" i="45"/>
  <c r="E79" i="45"/>
  <c r="F79" i="45"/>
  <c r="G79" i="45"/>
  <c r="H79" i="45"/>
  <c r="B80" i="45"/>
  <c r="C80" i="45"/>
  <c r="D80" i="45"/>
  <c r="E80" i="45"/>
  <c r="F80" i="45"/>
  <c r="G80" i="45"/>
  <c r="H80" i="45"/>
  <c r="B81" i="45"/>
  <c r="C81" i="45"/>
  <c r="D81" i="45"/>
  <c r="E81" i="45"/>
  <c r="F81" i="45"/>
  <c r="G81" i="45"/>
  <c r="H81" i="45"/>
  <c r="B82" i="45"/>
  <c r="C82" i="45"/>
  <c r="D82" i="45"/>
  <c r="E82" i="45"/>
  <c r="F82" i="45"/>
  <c r="G82" i="45"/>
  <c r="H82" i="45"/>
  <c r="B83" i="45"/>
  <c r="C83" i="45"/>
  <c r="D83" i="45"/>
  <c r="E83" i="45"/>
  <c r="F83" i="45"/>
  <c r="G83" i="45"/>
  <c r="H83" i="45"/>
  <c r="B84" i="45"/>
  <c r="C84" i="45"/>
  <c r="D84" i="45"/>
  <c r="E84" i="45"/>
  <c r="F84" i="45"/>
  <c r="G84" i="45"/>
  <c r="H84" i="45"/>
  <c r="B85" i="45"/>
  <c r="C85" i="45"/>
  <c r="D85" i="45"/>
  <c r="E85" i="45"/>
  <c r="F85" i="45"/>
  <c r="G85" i="45"/>
  <c r="H85" i="45"/>
  <c r="B86" i="45"/>
  <c r="C86" i="45"/>
  <c r="D86" i="45"/>
  <c r="E86" i="45"/>
  <c r="F86" i="45"/>
  <c r="G86" i="45"/>
  <c r="H86" i="45"/>
  <c r="B87" i="45"/>
  <c r="C87" i="45"/>
  <c r="D87" i="45"/>
  <c r="E87" i="45"/>
  <c r="F87" i="45"/>
  <c r="G87" i="45"/>
  <c r="H87" i="45"/>
  <c r="B88" i="45"/>
  <c r="C88" i="45"/>
  <c r="D88" i="45"/>
  <c r="E88" i="45"/>
  <c r="F88" i="45"/>
  <c r="G88" i="45"/>
  <c r="H88" i="45"/>
  <c r="B89" i="45"/>
  <c r="C89" i="45"/>
  <c r="D89" i="45"/>
  <c r="E89" i="45"/>
  <c r="F89" i="45"/>
  <c r="G89" i="45"/>
  <c r="H89" i="45"/>
  <c r="B90" i="45"/>
  <c r="C90" i="45"/>
  <c r="D90" i="45"/>
  <c r="E90" i="45"/>
  <c r="F90" i="45"/>
  <c r="G90" i="45"/>
  <c r="H90" i="45"/>
  <c r="B91" i="45"/>
  <c r="C91" i="45"/>
  <c r="D91" i="45"/>
  <c r="E91" i="45"/>
  <c r="F91" i="45"/>
  <c r="G91" i="45"/>
  <c r="H91" i="45"/>
  <c r="B92" i="45"/>
  <c r="C92" i="45"/>
  <c r="D92" i="45"/>
  <c r="E92" i="45"/>
  <c r="F92" i="45"/>
  <c r="G92" i="45"/>
  <c r="H92" i="45"/>
  <c r="B93" i="45"/>
  <c r="C93" i="45"/>
  <c r="D93" i="45"/>
  <c r="E93" i="45"/>
  <c r="F93" i="45"/>
  <c r="G93" i="45"/>
  <c r="H93" i="45"/>
  <c r="B94" i="45"/>
  <c r="C94" i="45"/>
  <c r="D94" i="45"/>
  <c r="E94" i="45"/>
  <c r="F94" i="45"/>
  <c r="G94" i="45"/>
  <c r="H94" i="45"/>
  <c r="B95" i="45"/>
  <c r="C95" i="45"/>
  <c r="D95" i="45"/>
  <c r="E95" i="45"/>
  <c r="F95" i="45"/>
  <c r="G95" i="45"/>
  <c r="H95" i="45"/>
  <c r="B96" i="45"/>
  <c r="C96" i="45"/>
  <c r="D96" i="45"/>
  <c r="E96" i="45"/>
  <c r="F96" i="45"/>
  <c r="G96" i="45"/>
  <c r="H96" i="45"/>
  <c r="B97" i="45"/>
  <c r="C97" i="45"/>
  <c r="D97" i="45"/>
  <c r="E97" i="45"/>
  <c r="F97" i="45"/>
  <c r="G97" i="45"/>
  <c r="H97" i="45"/>
  <c r="B98" i="45"/>
  <c r="C98" i="45"/>
  <c r="D98" i="45"/>
  <c r="E98" i="45"/>
  <c r="F98" i="45"/>
  <c r="G98" i="45"/>
  <c r="H98" i="45"/>
  <c r="B99" i="45"/>
  <c r="C99" i="45"/>
  <c r="D99" i="45"/>
  <c r="E99" i="45"/>
  <c r="F99" i="45"/>
  <c r="G99" i="45"/>
  <c r="H99" i="45"/>
  <c r="B100" i="45"/>
  <c r="C100" i="45"/>
  <c r="D100" i="45"/>
  <c r="E100" i="45"/>
  <c r="F100" i="45"/>
  <c r="G100" i="45"/>
  <c r="H100" i="45"/>
  <c r="B101" i="45"/>
  <c r="C101" i="45"/>
  <c r="D101" i="45"/>
  <c r="E101" i="45"/>
  <c r="F101" i="45"/>
  <c r="G101" i="45"/>
  <c r="H101" i="45"/>
  <c r="B102" i="45"/>
  <c r="C102" i="45"/>
  <c r="D102" i="45"/>
  <c r="E102" i="45"/>
  <c r="F102" i="45"/>
  <c r="G102" i="45"/>
  <c r="H102" i="45"/>
  <c r="B103" i="45"/>
  <c r="C103" i="45"/>
  <c r="D103" i="45"/>
  <c r="E103" i="45"/>
  <c r="F103" i="45"/>
  <c r="G103" i="45"/>
  <c r="H103" i="45"/>
  <c r="B104" i="45"/>
  <c r="C104" i="45"/>
  <c r="D104" i="45"/>
  <c r="E104" i="45"/>
  <c r="F104" i="45"/>
  <c r="G104" i="45"/>
  <c r="H104" i="45"/>
  <c r="B105" i="45"/>
  <c r="C105" i="45"/>
  <c r="D105" i="45"/>
  <c r="E105" i="45"/>
  <c r="F105" i="45"/>
  <c r="G105" i="45"/>
  <c r="H105" i="45"/>
  <c r="B106" i="45"/>
  <c r="C106" i="45"/>
  <c r="D106" i="45"/>
  <c r="E106" i="45"/>
  <c r="F106" i="45"/>
  <c r="G106" i="45"/>
  <c r="H106" i="45"/>
  <c r="B107" i="45"/>
  <c r="C107" i="45"/>
  <c r="D107" i="45"/>
  <c r="E107" i="45"/>
  <c r="F107" i="45"/>
  <c r="G107" i="45"/>
  <c r="H107" i="45"/>
  <c r="B108" i="45"/>
  <c r="C108" i="45"/>
  <c r="D108" i="45"/>
  <c r="E108" i="45"/>
  <c r="F108" i="45"/>
  <c r="G108" i="45"/>
  <c r="H108" i="45"/>
  <c r="B109" i="45"/>
  <c r="C109" i="45"/>
  <c r="D109" i="45"/>
  <c r="E109" i="45"/>
  <c r="F109" i="45"/>
  <c r="G109" i="45"/>
  <c r="H109" i="45"/>
  <c r="B110" i="45"/>
  <c r="C110" i="45"/>
  <c r="D110" i="45"/>
  <c r="E110" i="45"/>
  <c r="F110" i="45"/>
  <c r="G110" i="45"/>
  <c r="H110" i="45"/>
  <c r="B111" i="45"/>
  <c r="C111" i="45"/>
  <c r="D111" i="45"/>
  <c r="E111" i="45"/>
  <c r="F111" i="45"/>
  <c r="G111" i="45"/>
  <c r="H111" i="45"/>
  <c r="B112" i="45"/>
  <c r="C112" i="45"/>
  <c r="D112" i="45"/>
  <c r="E112" i="45"/>
  <c r="F112" i="45"/>
  <c r="G112" i="45"/>
  <c r="H112" i="45"/>
  <c r="B113" i="45"/>
  <c r="C113" i="45"/>
  <c r="D113" i="45"/>
  <c r="E113" i="45"/>
  <c r="F113" i="45"/>
  <c r="G113" i="45"/>
  <c r="H113" i="45"/>
  <c r="B114" i="45"/>
  <c r="C114" i="45"/>
  <c r="D114" i="45"/>
  <c r="E114" i="45"/>
  <c r="F114" i="45"/>
  <c r="G114" i="45"/>
  <c r="H114" i="45"/>
  <c r="B115" i="45"/>
  <c r="C115" i="45"/>
  <c r="D115" i="45"/>
  <c r="E115" i="45"/>
  <c r="F115" i="45"/>
  <c r="G115" i="45"/>
  <c r="H115" i="45"/>
  <c r="B116" i="45"/>
  <c r="C116" i="45"/>
  <c r="D116" i="45"/>
  <c r="E116" i="45"/>
  <c r="F116" i="45"/>
  <c r="G116" i="45"/>
  <c r="H116" i="45"/>
  <c r="B117" i="45"/>
  <c r="C117" i="45"/>
  <c r="D117" i="45"/>
  <c r="E117" i="45"/>
  <c r="F117" i="45"/>
  <c r="G117" i="45"/>
  <c r="H117" i="45"/>
  <c r="B118" i="45"/>
  <c r="C118" i="45"/>
  <c r="D118" i="45"/>
  <c r="E118" i="45"/>
  <c r="F118" i="45"/>
  <c r="G118" i="45"/>
  <c r="H118" i="45"/>
  <c r="B119" i="45"/>
  <c r="C119" i="45"/>
  <c r="D119" i="45"/>
  <c r="E119" i="45"/>
  <c r="F119" i="45"/>
  <c r="G119" i="45"/>
  <c r="H119" i="45"/>
  <c r="B120" i="45"/>
  <c r="C120" i="45"/>
  <c r="D120" i="45"/>
  <c r="E120" i="45"/>
  <c r="F120" i="45"/>
  <c r="G120" i="45"/>
  <c r="H120" i="45"/>
  <c r="B121" i="45"/>
  <c r="C121" i="45"/>
  <c r="D121" i="45"/>
  <c r="E121" i="45"/>
  <c r="F121" i="45"/>
  <c r="G121" i="45"/>
  <c r="H121" i="45"/>
  <c r="B122" i="45"/>
  <c r="C122" i="45"/>
  <c r="D122" i="45"/>
  <c r="E122" i="45"/>
  <c r="F122" i="45"/>
  <c r="G122" i="45"/>
  <c r="H122" i="45"/>
  <c r="B123" i="45"/>
  <c r="C123" i="45"/>
  <c r="D123" i="45"/>
  <c r="E123" i="45"/>
  <c r="F123" i="45"/>
  <c r="G123" i="45"/>
  <c r="H123" i="45"/>
  <c r="B124" i="45"/>
  <c r="C124" i="45"/>
  <c r="D124" i="45"/>
  <c r="E124" i="45"/>
  <c r="F124" i="45"/>
  <c r="G124" i="45"/>
  <c r="H124" i="45"/>
  <c r="H5" i="45"/>
  <c r="G5" i="45"/>
  <c r="F5" i="45"/>
  <c r="E5" i="45"/>
  <c r="D5" i="45"/>
  <c r="C5" i="45"/>
  <c r="B5" i="45"/>
  <c r="G11" i="55"/>
  <c r="F11" i="55"/>
  <c r="D11" i="55"/>
  <c r="H1371" i="55" l="1"/>
  <c r="Q1371" i="55" s="1" a="1"/>
  <c r="Q1371" i="55" s="1"/>
  <c r="H1465" i="55"/>
  <c r="R1465" i="55" s="1" a="1"/>
  <c r="R1465" i="55" s="1"/>
  <c r="H1337" i="55"/>
  <c r="R1337" i="55" s="1" a="1"/>
  <c r="R1337" i="55" s="1"/>
  <c r="H1355" i="55"/>
  <c r="R1355" i="55" s="1" a="1"/>
  <c r="R1355" i="55" s="1"/>
  <c r="A741" i="55"/>
  <c r="A814" i="55"/>
  <c r="A520" i="55"/>
  <c r="A493" i="55"/>
  <c r="A495" i="55"/>
  <c r="A499" i="55"/>
  <c r="A675" i="55"/>
  <c r="A593" i="55"/>
  <c r="A610" i="55"/>
  <c r="A714" i="55"/>
  <c r="A837" i="55"/>
  <c r="A446" i="55"/>
  <c r="A825" i="55"/>
  <c r="A829" i="55"/>
  <c r="A691" i="55"/>
  <c r="A777" i="55"/>
  <c r="A806" i="55"/>
  <c r="A625" i="55"/>
  <c r="A940" i="55"/>
  <c r="A964" i="55"/>
  <c r="A967" i="55"/>
  <c r="A1002" i="55"/>
  <c r="A1008" i="55"/>
  <c r="A1018" i="55"/>
  <c r="A1027" i="55"/>
  <c r="A1030" i="55"/>
  <c r="A1035" i="55"/>
  <c r="A1045" i="55"/>
  <c r="A1065" i="55"/>
  <c r="A1073" i="55"/>
  <c r="A1129" i="55"/>
  <c r="A1130" i="55"/>
  <c r="A1136" i="55"/>
  <c r="A674" i="55"/>
  <c r="A732" i="55"/>
  <c r="A768" i="55"/>
  <c r="A779" i="55"/>
  <c r="A841" i="55"/>
  <c r="A633" i="55"/>
  <c r="A522" i="55"/>
  <c r="A587" i="55"/>
  <c r="A970" i="55"/>
  <c r="A991" i="55"/>
  <c r="A1001" i="55"/>
  <c r="A1007" i="55"/>
  <c r="A1015" i="55"/>
  <c r="A1021" i="55"/>
  <c r="A1034" i="55"/>
  <c r="A1038" i="55"/>
  <c r="A1051" i="55"/>
  <c r="A1056" i="55"/>
  <c r="A1059" i="55"/>
  <c r="A1062" i="55"/>
  <c r="A1066" i="55"/>
  <c r="A1069" i="55"/>
  <c r="A1080" i="55"/>
  <c r="A1091" i="55"/>
  <c r="A1116" i="55"/>
  <c r="A1125" i="55"/>
  <c r="A1128" i="55"/>
  <c r="A671" i="55"/>
  <c r="A758" i="55"/>
  <c r="A795" i="55"/>
  <c r="A810" i="55"/>
  <c r="A827" i="55"/>
  <c r="A839" i="55"/>
  <c r="A692" i="55"/>
  <c r="A745" i="55"/>
  <c r="A762" i="55"/>
  <c r="A816" i="55"/>
  <c r="A602" i="55"/>
  <c r="A713" i="55"/>
  <c r="A756" i="55"/>
  <c r="A563" i="55"/>
  <c r="A583" i="55"/>
  <c r="A546" i="55"/>
  <c r="A715" i="55"/>
  <c r="A672" i="55"/>
  <c r="A684" i="55"/>
  <c r="A750" i="55"/>
  <c r="A830" i="55"/>
  <c r="A639" i="55"/>
  <c r="A564" i="55"/>
  <c r="A682" i="55"/>
  <c r="A701" i="55"/>
  <c r="A716" i="55"/>
  <c r="A613" i="55"/>
  <c r="K11" i="55"/>
  <c r="A726" i="55"/>
  <c r="A799" i="55"/>
  <c r="A842" i="55"/>
  <c r="A594" i="55"/>
  <c r="A659" i="55"/>
  <c r="A662" i="55"/>
  <c r="A591" i="55"/>
  <c r="H35" i="55"/>
  <c r="BH30" i="5"/>
  <c r="H284" i="55"/>
  <c r="BH279" i="5"/>
  <c r="H720" i="55"/>
  <c r="H1226" i="55"/>
  <c r="H1412" i="55"/>
  <c r="H1434" i="55"/>
  <c r="H1477" i="55"/>
  <c r="H1483" i="55"/>
  <c r="H1487" i="55"/>
  <c r="Q3" i="55"/>
  <c r="H1163" i="55"/>
  <c r="H1206" i="55"/>
  <c r="H1234" i="55"/>
  <c r="H1361" i="55"/>
  <c r="H1380" i="55"/>
  <c r="H1381" i="55"/>
  <c r="H1390" i="55"/>
  <c r="H1395" i="55"/>
  <c r="H1400" i="55"/>
  <c r="H1410" i="55"/>
  <c r="H1413" i="55"/>
  <c r="H1448" i="55"/>
  <c r="H1454" i="55"/>
  <c r="H1464" i="55"/>
  <c r="H1466" i="55"/>
  <c r="H1489" i="55"/>
  <c r="H1491" i="55"/>
  <c r="BH6" i="5"/>
  <c r="H11"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2" i="55"/>
  <c r="B153" i="55"/>
  <c r="B154" i="55"/>
  <c r="B155" i="55"/>
  <c r="B156" i="55"/>
  <c r="B157" i="55"/>
  <c r="B158" i="55"/>
  <c r="B159" i="55"/>
  <c r="B160" i="55"/>
  <c r="B161" i="55"/>
  <c r="B162" i="55"/>
  <c r="B163" i="55"/>
  <c r="B164" i="55"/>
  <c r="B165" i="55"/>
  <c r="B166" i="55"/>
  <c r="B167" i="55"/>
  <c r="B168" i="55"/>
  <c r="B169" i="55"/>
  <c r="B170" i="55"/>
  <c r="B171" i="55"/>
  <c r="B172" i="55"/>
  <c r="B173" i="55"/>
  <c r="B174" i="55"/>
  <c r="B175" i="55"/>
  <c r="B176" i="55"/>
  <c r="B177" i="55"/>
  <c r="B178" i="55"/>
  <c r="B179" i="55"/>
  <c r="B180" i="55"/>
  <c r="B181" i="55"/>
  <c r="B182" i="55"/>
  <c r="B183" i="55"/>
  <c r="B184" i="55"/>
  <c r="B185" i="55"/>
  <c r="B186" i="55"/>
  <c r="K509" i="55"/>
  <c r="B151" i="55"/>
  <c r="B474" i="55"/>
  <c r="K475" i="55"/>
  <c r="B475" i="55"/>
  <c r="K476" i="55"/>
  <c r="B476" i="55"/>
  <c r="K492" i="55"/>
  <c r="B492" i="55"/>
  <c r="K493" i="55"/>
  <c r="B493" i="55"/>
  <c r="B494" i="55"/>
  <c r="K494" i="55"/>
  <c r="B495" i="55"/>
  <c r="K495" i="55"/>
  <c r="B496" i="55"/>
  <c r="K496" i="55"/>
  <c r="B497" i="55"/>
  <c r="K497" i="55"/>
  <c r="B498" i="55"/>
  <c r="K498" i="55"/>
  <c r="K499" i="55"/>
  <c r="B499" i="55"/>
  <c r="B500" i="55"/>
  <c r="K500" i="55"/>
  <c r="K501" i="55"/>
  <c r="B501" i="55"/>
  <c r="B502" i="55"/>
  <c r="K502" i="55"/>
  <c r="B503" i="55"/>
  <c r="K503" i="55"/>
  <c r="B504" i="55"/>
  <c r="K504" i="55"/>
  <c r="B505" i="55"/>
  <c r="K505" i="55"/>
  <c r="B506" i="55"/>
  <c r="K506" i="55"/>
  <c r="B507" i="55"/>
  <c r="K507" i="55"/>
  <c r="B508" i="55"/>
  <c r="K508" i="55"/>
  <c r="B509" i="55"/>
  <c r="B510" i="55"/>
  <c r="K510" i="55"/>
  <c r="K511" i="55"/>
  <c r="B511" i="55"/>
  <c r="K512" i="55"/>
  <c r="B512" i="55"/>
  <c r="B513" i="55"/>
  <c r="K513" i="55"/>
  <c r="K514" i="55"/>
  <c r="B514" i="55"/>
  <c r="BH455" i="5"/>
  <c r="H460" i="55"/>
  <c r="BH456" i="5"/>
  <c r="H461" i="55"/>
  <c r="BH457" i="5"/>
  <c r="H462" i="55"/>
  <c r="BH458" i="5"/>
  <c r="H463" i="55"/>
  <c r="BH459" i="5"/>
  <c r="H464" i="55"/>
  <c r="BH460" i="5"/>
  <c r="H465" i="55"/>
  <c r="BH461" i="5"/>
  <c r="H466" i="55"/>
  <c r="BH462" i="5"/>
  <c r="H467" i="55"/>
  <c r="Q467" i="55" s="1" a="1"/>
  <c r="Q467" i="55" s="1"/>
  <c r="BH463" i="5"/>
  <c r="H468" i="55"/>
  <c r="Q468" i="55" s="1" a="1"/>
  <c r="Q468" i="55" s="1"/>
  <c r="BH464" i="5"/>
  <c r="H469" i="55"/>
  <c r="Q469" i="55" s="1" a="1"/>
  <c r="Q469" i="55" s="1"/>
  <c r="BH465" i="5"/>
  <c r="H470" i="55"/>
  <c r="BH466" i="5"/>
  <c r="H471" i="55"/>
  <c r="BH467" i="5"/>
  <c r="H472" i="55"/>
  <c r="BH468" i="5"/>
  <c r="H473" i="55"/>
  <c r="BH469" i="5"/>
  <c r="H474" i="55"/>
  <c r="BH470" i="5"/>
  <c r="H475" i="55"/>
  <c r="BH471" i="5"/>
  <c r="H476" i="55"/>
  <c r="BH472" i="5"/>
  <c r="H477" i="55"/>
  <c r="H479" i="55"/>
  <c r="H480" i="55"/>
  <c r="H481" i="55"/>
  <c r="H482" i="55"/>
  <c r="H483" i="55"/>
  <c r="H484" i="55"/>
  <c r="H485" i="55"/>
  <c r="H486" i="55"/>
  <c r="H1147" i="55"/>
  <c r="H1164" i="55"/>
  <c r="H1166" i="55"/>
  <c r="H1167" i="55"/>
  <c r="H1168" i="55"/>
  <c r="H1169" i="55"/>
  <c r="H1170" i="55"/>
  <c r="H1171" i="55"/>
  <c r="H1172" i="55"/>
  <c r="H1174" i="55"/>
  <c r="H1184" i="55"/>
  <c r="H1186" i="55"/>
  <c r="H1201" i="55"/>
  <c r="H1209" i="55"/>
  <c r="H1213" i="55"/>
  <c r="H1220" i="55"/>
  <c r="H1222" i="55"/>
  <c r="H1230" i="55"/>
  <c r="H1232" i="55"/>
  <c r="H1239" i="55"/>
  <c r="H1240" i="55"/>
  <c r="H1259" i="55"/>
  <c r="H1289" i="55"/>
  <c r="H1290" i="55"/>
  <c r="H1294" i="55"/>
  <c r="H1315" i="55"/>
  <c r="H1316" i="55"/>
  <c r="H1327" i="55"/>
  <c r="H1332" i="55"/>
  <c r="H1333" i="55"/>
  <c r="H1340" i="55"/>
  <c r="H1351" i="55"/>
  <c r="H1357" i="55"/>
  <c r="H1364" i="55"/>
  <c r="H1368" i="55"/>
  <c r="H1375" i="55"/>
  <c r="H1377" i="55"/>
  <c r="H1379" i="55"/>
  <c r="H1382" i="55"/>
  <c r="H1383" i="55"/>
  <c r="H1384" i="55"/>
  <c r="H1385" i="55"/>
  <c r="H1386" i="55"/>
  <c r="H1387" i="55"/>
  <c r="H1389" i="55"/>
  <c r="H1391" i="55"/>
  <c r="H1392" i="55"/>
  <c r="H1393" i="55"/>
  <c r="H1394" i="55"/>
  <c r="H1422" i="55"/>
  <c r="H1429" i="55"/>
  <c r="H1441" i="55"/>
  <c r="H1460" i="55"/>
  <c r="H1463" i="55"/>
  <c r="H1468" i="55"/>
  <c r="H1476" i="55"/>
  <c r="H1480" i="55"/>
  <c r="H1488" i="55"/>
  <c r="H1490" i="55"/>
  <c r="H1495" i="55"/>
  <c r="H1498" i="55"/>
  <c r="K423" i="55"/>
  <c r="B423" i="55"/>
  <c r="B424" i="55"/>
  <c r="K424" i="55"/>
  <c r="K425" i="55"/>
  <c r="B425" i="55"/>
  <c r="K426" i="55"/>
  <c r="B426" i="55"/>
  <c r="K427" i="55"/>
  <c r="B427" i="55"/>
  <c r="K428" i="55"/>
  <c r="B428" i="55"/>
  <c r="B429" i="55"/>
  <c r="K429" i="55"/>
  <c r="B430" i="55"/>
  <c r="K430" i="55"/>
  <c r="K431" i="55"/>
  <c r="B431" i="55"/>
  <c r="K432" i="55"/>
  <c r="B432" i="55"/>
  <c r="B433" i="55"/>
  <c r="K433" i="55"/>
  <c r="B434" i="55"/>
  <c r="K434" i="55"/>
  <c r="B435" i="55"/>
  <c r="K435" i="55"/>
  <c r="B436" i="55"/>
  <c r="K436" i="55"/>
  <c r="B437" i="55"/>
  <c r="K437" i="55"/>
  <c r="B438" i="55"/>
  <c r="K438" i="55"/>
  <c r="B439" i="55"/>
  <c r="K439" i="55"/>
  <c r="B440" i="55"/>
  <c r="K440" i="55"/>
  <c r="B441" i="55"/>
  <c r="K441" i="55"/>
  <c r="B442" i="55"/>
  <c r="K442" i="55"/>
  <c r="B443" i="55"/>
  <c r="K443" i="55"/>
  <c r="B444" i="55"/>
  <c r="K444" i="55"/>
  <c r="B445" i="55"/>
  <c r="K445" i="55"/>
  <c r="K446" i="55"/>
  <c r="B446" i="55"/>
  <c r="B447" i="55"/>
  <c r="K447" i="55"/>
  <c r="K448" i="55"/>
  <c r="B448" i="55"/>
  <c r="K449" i="55"/>
  <c r="B449" i="55"/>
  <c r="B450" i="55"/>
  <c r="K450" i="55"/>
  <c r="B451" i="55"/>
  <c r="K451" i="55"/>
  <c r="B452" i="55"/>
  <c r="K452" i="55"/>
  <c r="B453" i="55"/>
  <c r="K453" i="55"/>
  <c r="B454" i="55"/>
  <c r="K454" i="55"/>
  <c r="B455" i="55"/>
  <c r="K455" i="55"/>
  <c r="B456" i="55"/>
  <c r="K456" i="55"/>
  <c r="K457" i="55"/>
  <c r="B457" i="55"/>
  <c r="K458" i="55"/>
  <c r="B458" i="55"/>
  <c r="K459" i="55"/>
  <c r="B459" i="55"/>
  <c r="K460" i="55"/>
  <c r="B460" i="55"/>
  <c r="K461" i="55"/>
  <c r="B461" i="55"/>
  <c r="B462" i="55"/>
  <c r="K462" i="55"/>
  <c r="K463" i="55"/>
  <c r="B463" i="55"/>
  <c r="K464" i="55"/>
  <c r="B464" i="55"/>
  <c r="K465" i="55"/>
  <c r="B465" i="55"/>
  <c r="K466" i="55"/>
  <c r="B466" i="55"/>
  <c r="K467" i="55"/>
  <c r="B467" i="55"/>
  <c r="K468" i="55"/>
  <c r="B468" i="55"/>
  <c r="B469" i="55"/>
  <c r="K469" i="55"/>
  <c r="K470" i="55"/>
  <c r="B470" i="55"/>
  <c r="K471" i="55"/>
  <c r="B471" i="55"/>
  <c r="B472" i="55"/>
  <c r="K472" i="55"/>
  <c r="B473" i="55"/>
  <c r="K473" i="55"/>
  <c r="K474" i="55"/>
  <c r="K477" i="55"/>
  <c r="B477" i="55"/>
  <c r="K478" i="55"/>
  <c r="B478" i="55"/>
  <c r="K479" i="55"/>
  <c r="B479" i="55"/>
  <c r="B480" i="55"/>
  <c r="K480" i="55"/>
  <c r="K481" i="55"/>
  <c r="B481" i="55"/>
  <c r="K482" i="55"/>
  <c r="B482" i="55"/>
  <c r="K483" i="55"/>
  <c r="B483" i="55"/>
  <c r="K484" i="55"/>
  <c r="B484" i="55"/>
  <c r="B485" i="55"/>
  <c r="K485" i="55"/>
  <c r="K486" i="55"/>
  <c r="B486" i="55"/>
  <c r="K487" i="55"/>
  <c r="B487" i="55"/>
  <c r="B488" i="55"/>
  <c r="K488" i="55"/>
  <c r="K489" i="55"/>
  <c r="B489" i="55"/>
  <c r="B490" i="55"/>
  <c r="K490" i="55"/>
  <c r="B491" i="55"/>
  <c r="K491" i="55"/>
  <c r="BH7" i="5"/>
  <c r="H12" i="55"/>
  <c r="H13" i="55"/>
  <c r="BH8" i="5"/>
  <c r="H14" i="55"/>
  <c r="Q14" i="55" s="1" a="1"/>
  <c r="Q14" i="55" s="1"/>
  <c r="BH9" i="5"/>
  <c r="H15" i="55"/>
  <c r="BH10" i="5"/>
  <c r="H16" i="55"/>
  <c r="BH11" i="5"/>
  <c r="H17" i="55"/>
  <c r="BH12" i="5"/>
  <c r="BH13" i="5"/>
  <c r="H18" i="55"/>
  <c r="H19" i="55"/>
  <c r="BH14" i="5"/>
  <c r="BH15" i="5"/>
  <c r="H20" i="55"/>
  <c r="H21" i="55"/>
  <c r="BH16" i="5"/>
  <c r="BH17" i="5"/>
  <c r="H22" i="55"/>
  <c r="H23" i="55"/>
  <c r="BH18" i="5"/>
  <c r="BH19" i="5"/>
  <c r="H24" i="55"/>
  <c r="H25" i="55"/>
  <c r="BH20" i="5"/>
  <c r="H26" i="55"/>
  <c r="BH21" i="5"/>
  <c r="H27" i="55"/>
  <c r="BH22" i="5"/>
  <c r="BH23" i="5"/>
  <c r="H28" i="55"/>
  <c r="H29" i="55"/>
  <c r="BH24" i="5"/>
  <c r="H30" i="55"/>
  <c r="BH25" i="5"/>
  <c r="H31" i="55"/>
  <c r="Q31" i="55" s="1" a="1"/>
  <c r="Q31" i="55" s="1"/>
  <c r="BH26" i="5"/>
  <c r="H32" i="55"/>
  <c r="BH27" i="5"/>
  <c r="H33" i="55"/>
  <c r="BH28" i="5"/>
  <c r="H34" i="55"/>
  <c r="Q34" i="55" s="1" a="1"/>
  <c r="Q34" i="55" s="1"/>
  <c r="BH29" i="5"/>
  <c r="BH31" i="5"/>
  <c r="H36" i="55"/>
  <c r="H37" i="55"/>
  <c r="BH32" i="5"/>
  <c r="H38" i="55"/>
  <c r="Q38" i="55" s="1" a="1"/>
  <c r="Q38" i="55" s="1"/>
  <c r="BH33" i="5"/>
  <c r="H39" i="55"/>
  <c r="BH34" i="5"/>
  <c r="H40" i="55"/>
  <c r="BH35" i="5"/>
  <c r="BH36" i="5"/>
  <c r="H41" i="55"/>
  <c r="H42" i="55"/>
  <c r="BH37" i="5"/>
  <c r="BH38" i="5"/>
  <c r="H43" i="55"/>
  <c r="Q43" i="55" s="1" a="1"/>
  <c r="Q43" i="55" s="1"/>
  <c r="BH39" i="5"/>
  <c r="H44" i="55"/>
  <c r="BH40" i="5"/>
  <c r="H45" i="55"/>
  <c r="H46" i="55"/>
  <c r="Q46" i="55" s="1" a="1"/>
  <c r="Q46" i="55" s="1"/>
  <c r="BH41" i="5"/>
  <c r="H47" i="55"/>
  <c r="Q47" i="55" s="1" a="1"/>
  <c r="Q47" i="55" s="1"/>
  <c r="BH42" i="5"/>
  <c r="BH43" i="5"/>
  <c r="H48" i="55"/>
  <c r="Q48" i="55" s="1" a="1"/>
  <c r="Q48" i="55" s="1"/>
  <c r="BH44" i="5"/>
  <c r="H49" i="55"/>
  <c r="Q49" i="55" s="1" a="1"/>
  <c r="Q49" i="55" s="1"/>
  <c r="H50" i="55"/>
  <c r="BH45" i="5"/>
  <c r="BH46" i="5"/>
  <c r="H51" i="55"/>
  <c r="H52" i="55"/>
  <c r="BH47" i="5"/>
  <c r="H53" i="55"/>
  <c r="BH48" i="5"/>
  <c r="H54" i="55"/>
  <c r="BH49" i="5"/>
  <c r="H55" i="55"/>
  <c r="BH50" i="5"/>
  <c r="H56" i="55"/>
  <c r="Q56" i="55" s="1" a="1"/>
  <c r="Q56" i="55" s="1"/>
  <c r="BH51" i="5"/>
  <c r="BH52" i="5"/>
  <c r="H57" i="55"/>
  <c r="Q57" i="55" s="1" a="1"/>
  <c r="Q57" i="55" s="1"/>
  <c r="BH53" i="5"/>
  <c r="H58" i="55"/>
  <c r="BH54" i="5"/>
  <c r="H59" i="55"/>
  <c r="BH55" i="5"/>
  <c r="H60" i="55"/>
  <c r="BH56" i="5"/>
  <c r="H61" i="55"/>
  <c r="H62" i="55"/>
  <c r="BH57" i="5"/>
  <c r="H63" i="55"/>
  <c r="BH58" i="5"/>
  <c r="BH59" i="5"/>
  <c r="H64" i="55"/>
  <c r="H65" i="55"/>
  <c r="BH60" i="5"/>
  <c r="H66" i="55"/>
  <c r="BH61" i="5"/>
  <c r="BH62" i="5"/>
  <c r="H67" i="55"/>
  <c r="Q67" i="55" s="1" a="1"/>
  <c r="Q67" i="55" s="1"/>
  <c r="BH63" i="5"/>
  <c r="H68" i="55"/>
  <c r="BH64" i="5"/>
  <c r="H69" i="55"/>
  <c r="BH65" i="5"/>
  <c r="H70" i="55"/>
  <c r="BH66" i="5"/>
  <c r="H71" i="55"/>
  <c r="BH67" i="5"/>
  <c r="H72" i="55"/>
  <c r="BH68" i="5"/>
  <c r="H73" i="55"/>
  <c r="Q73" i="55" s="1" a="1"/>
  <c r="Q73" i="55" s="1"/>
  <c r="H74" i="55"/>
  <c r="BH69" i="5"/>
  <c r="BH70" i="5"/>
  <c r="H75" i="55"/>
  <c r="Q75" i="55" s="1" a="1"/>
  <c r="Q75" i="55" s="1"/>
  <c r="H76" i="55"/>
  <c r="Q76" i="55" s="1" a="1"/>
  <c r="Q76" i="55" s="1"/>
  <c r="BH71" i="5"/>
  <c r="BH72" i="5"/>
  <c r="H77" i="55"/>
  <c r="Q77" i="55" s="1" a="1"/>
  <c r="Q77" i="55" s="1"/>
  <c r="H78" i="55"/>
  <c r="BH73" i="5"/>
  <c r="BH74" i="5"/>
  <c r="H79" i="55"/>
  <c r="H80" i="55"/>
  <c r="Q80" i="55" s="1" a="1"/>
  <c r="Q80" i="55" s="1"/>
  <c r="BH75" i="5"/>
  <c r="H81" i="55"/>
  <c r="BH76" i="5"/>
  <c r="H82" i="55"/>
  <c r="BH77" i="5"/>
  <c r="H83" i="55"/>
  <c r="BH78" i="5"/>
  <c r="H84" i="55"/>
  <c r="BH79" i="5"/>
  <c r="H85" i="55"/>
  <c r="BH80" i="5"/>
  <c r="H86" i="55"/>
  <c r="BH81" i="5"/>
  <c r="H87" i="55"/>
  <c r="BH82" i="5"/>
  <c r="H88" i="55"/>
  <c r="BH83" i="5"/>
  <c r="H89" i="55"/>
  <c r="BH84" i="5"/>
  <c r="H90" i="55"/>
  <c r="BH85" i="5"/>
  <c r="BH86" i="5"/>
  <c r="H91" i="55"/>
  <c r="Q91" i="55" s="1" a="1"/>
  <c r="Q91" i="55" s="1"/>
  <c r="H92" i="55"/>
  <c r="BH87" i="5"/>
  <c r="BH88" i="5"/>
  <c r="H93" i="55"/>
  <c r="BH89" i="5"/>
  <c r="H94" i="55"/>
  <c r="BH90" i="5"/>
  <c r="H95" i="55"/>
  <c r="BH91" i="5"/>
  <c r="H96" i="55"/>
  <c r="BH92" i="5"/>
  <c r="H97" i="55"/>
  <c r="H98" i="55"/>
  <c r="BH93" i="5"/>
  <c r="H99" i="55"/>
  <c r="BH94" i="5"/>
  <c r="BH95" i="5"/>
  <c r="H100" i="55"/>
  <c r="H101" i="55"/>
  <c r="BH96" i="5"/>
  <c r="BH97" i="5"/>
  <c r="H102" i="55"/>
  <c r="BH98" i="5"/>
  <c r="H103" i="55"/>
  <c r="BH99" i="5"/>
  <c r="H104" i="55"/>
  <c r="BH100" i="5"/>
  <c r="H105" i="55"/>
  <c r="BH101" i="5"/>
  <c r="H106" i="55"/>
  <c r="H107" i="55"/>
  <c r="BH102" i="5"/>
  <c r="H108" i="55"/>
  <c r="BH103" i="5"/>
  <c r="H109" i="55"/>
  <c r="BH104" i="5"/>
  <c r="BH105" i="5"/>
  <c r="H110" i="55"/>
  <c r="BH106" i="5"/>
  <c r="H111" i="55"/>
  <c r="H112" i="55"/>
  <c r="BH107" i="5"/>
  <c r="BH108" i="5"/>
  <c r="H113" i="55"/>
  <c r="BH109" i="5"/>
  <c r="H114" i="55"/>
  <c r="H115" i="55"/>
  <c r="BH110" i="5"/>
  <c r="H116" i="55"/>
  <c r="BH111" i="5"/>
  <c r="H117" i="55"/>
  <c r="BH112" i="5"/>
  <c r="BH113" i="5"/>
  <c r="H118" i="55"/>
  <c r="H119" i="55"/>
  <c r="BH114" i="5"/>
  <c r="BH115" i="5"/>
  <c r="H120" i="55"/>
  <c r="Q120" i="55" s="1" a="1"/>
  <c r="Q120" i="55" s="1"/>
  <c r="BH116" i="5"/>
  <c r="H121" i="55"/>
  <c r="Q121" i="55" s="1" a="1"/>
  <c r="Q121" i="55" s="1"/>
  <c r="BH117" i="5"/>
  <c r="H122" i="55"/>
  <c r="BH118" i="5"/>
  <c r="H123" i="55"/>
  <c r="H124" i="55"/>
  <c r="BH119" i="5"/>
  <c r="BH120" i="5"/>
  <c r="H125" i="55"/>
  <c r="BH121" i="5"/>
  <c r="H126" i="55"/>
  <c r="BH122" i="5"/>
  <c r="H127" i="55"/>
  <c r="H128" i="55"/>
  <c r="BH123" i="5"/>
  <c r="BH124" i="5"/>
  <c r="H129" i="55"/>
  <c r="BH125" i="5"/>
  <c r="H130" i="55"/>
  <c r="BH126" i="5"/>
  <c r="H131" i="55"/>
  <c r="H132" i="55"/>
  <c r="BH127" i="5"/>
  <c r="H133" i="55"/>
  <c r="BH128" i="5"/>
  <c r="BH129" i="5"/>
  <c r="H134" i="55"/>
  <c r="BH130" i="5"/>
  <c r="H135" i="55"/>
  <c r="Q135" i="55" s="1" a="1"/>
  <c r="Q135" i="55" s="1"/>
  <c r="BH131" i="5"/>
  <c r="H136" i="55"/>
  <c r="H137" i="55"/>
  <c r="BH132" i="5"/>
  <c r="H138" i="55"/>
  <c r="BH133" i="5"/>
  <c r="H139" i="55"/>
  <c r="BH134" i="5"/>
  <c r="H140" i="55"/>
  <c r="BH135" i="5"/>
  <c r="H141" i="55"/>
  <c r="Q141" i="55" s="1" a="1"/>
  <c r="Q141" i="55" s="1"/>
  <c r="BH136" i="5"/>
  <c r="H142" i="55"/>
  <c r="Q142" i="55" s="1" a="1"/>
  <c r="Q142" i="55" s="1"/>
  <c r="BH137" i="5"/>
  <c r="H143" i="55"/>
  <c r="BH138" i="5"/>
  <c r="BH139" i="5"/>
  <c r="H144" i="55"/>
  <c r="BH140" i="5"/>
  <c r="H145" i="55"/>
  <c r="Q145" i="55" s="1" a="1"/>
  <c r="Q145" i="55" s="1"/>
  <c r="BH141" i="5"/>
  <c r="H146" i="55"/>
  <c r="BH142" i="5"/>
  <c r="H147" i="55"/>
  <c r="BH143" i="5"/>
  <c r="H148" i="55"/>
  <c r="Q148" i="55" s="1" a="1"/>
  <c r="Q148" i="55" s="1"/>
  <c r="BH144" i="5"/>
  <c r="H149" i="55"/>
  <c r="Q149" i="55" s="1" a="1"/>
  <c r="Q149" i="55" s="1"/>
  <c r="BH145" i="5"/>
  <c r="H150" i="55"/>
  <c r="BH146" i="5"/>
  <c r="H151" i="55"/>
  <c r="H152" i="55"/>
  <c r="Q152" i="55" s="1" a="1"/>
  <c r="Q152" i="55" s="1"/>
  <c r="BH147" i="5"/>
  <c r="BH148" i="5"/>
  <c r="H153" i="55"/>
  <c r="BH149" i="5"/>
  <c r="H154" i="55"/>
  <c r="BH150" i="5"/>
  <c r="H155" i="55"/>
  <c r="BH151" i="5"/>
  <c r="H156" i="55"/>
  <c r="BH152" i="5"/>
  <c r="H157" i="55"/>
  <c r="BH153" i="5"/>
  <c r="H158" i="55"/>
  <c r="BH154" i="5"/>
  <c r="H159" i="55"/>
  <c r="BH155" i="5"/>
  <c r="H160" i="55"/>
  <c r="BH156" i="5"/>
  <c r="H161" i="55"/>
  <c r="Q161" i="55" s="1" a="1"/>
  <c r="Q161" i="55" s="1"/>
  <c r="BH157" i="5"/>
  <c r="H162" i="55"/>
  <c r="BH158" i="5"/>
  <c r="H163" i="55"/>
  <c r="Q163" i="55" s="1" a="1"/>
  <c r="Q163" i="55" s="1"/>
  <c r="BH159" i="5"/>
  <c r="H164" i="55"/>
  <c r="Q164" i="55" s="1" a="1"/>
  <c r="Q164" i="55" s="1"/>
  <c r="BH160" i="5"/>
  <c r="H165" i="55"/>
  <c r="BH161" i="5"/>
  <c r="H166" i="55"/>
  <c r="BH162" i="5"/>
  <c r="H167" i="55"/>
  <c r="Q167" i="55" s="1" a="1"/>
  <c r="Q167" i="55" s="1"/>
  <c r="BH163" i="5"/>
  <c r="H168" i="55"/>
  <c r="BH164" i="5"/>
  <c r="H169" i="55"/>
  <c r="BH165" i="5"/>
  <c r="H170" i="55"/>
  <c r="BH166" i="5"/>
  <c r="H171" i="55"/>
  <c r="BH167" i="5"/>
  <c r="H172" i="55"/>
  <c r="H173" i="55"/>
  <c r="BH168" i="5"/>
  <c r="H174" i="55"/>
  <c r="BH169" i="5"/>
  <c r="H175" i="55"/>
  <c r="BH170" i="5"/>
  <c r="BH171" i="5"/>
  <c r="H176" i="55"/>
  <c r="H177" i="55"/>
  <c r="BH172" i="5"/>
  <c r="H178" i="55"/>
  <c r="BH173" i="5"/>
  <c r="BH174" i="5"/>
  <c r="H179" i="55"/>
  <c r="H180" i="55"/>
  <c r="BH175" i="5"/>
  <c r="BH176" i="5"/>
  <c r="H181" i="55"/>
  <c r="H182" i="55"/>
  <c r="BH177" i="5"/>
  <c r="BH178" i="5"/>
  <c r="H183" i="55"/>
  <c r="Q183" i="55" s="1" a="1"/>
  <c r="Q183" i="55" s="1"/>
  <c r="BH179" i="5"/>
  <c r="H184" i="55"/>
  <c r="H185" i="55"/>
  <c r="BH180" i="5"/>
  <c r="H186" i="55"/>
  <c r="Q186" i="55" s="1" a="1"/>
  <c r="Q186" i="55" s="1"/>
  <c r="BH181" i="5"/>
  <c r="BH182" i="5"/>
  <c r="H187" i="55"/>
  <c r="H188" i="55"/>
  <c r="BH183" i="5"/>
  <c r="BH184" i="5"/>
  <c r="H189" i="55"/>
  <c r="H190" i="55"/>
  <c r="BH185" i="5"/>
  <c r="H191" i="55"/>
  <c r="BH186" i="5"/>
  <c r="BH187" i="5"/>
  <c r="H192" i="55"/>
  <c r="BH188" i="5"/>
  <c r="H193" i="55"/>
  <c r="Q193" i="55" s="1" a="1"/>
  <c r="Q193" i="55" s="1"/>
  <c r="BH189" i="5"/>
  <c r="H194" i="55"/>
  <c r="H195" i="55"/>
  <c r="BH190" i="5"/>
  <c r="BH191" i="5"/>
  <c r="H196" i="55"/>
  <c r="H197" i="55"/>
  <c r="BH192" i="5"/>
  <c r="H198" i="55"/>
  <c r="BH193" i="5"/>
  <c r="H199" i="55"/>
  <c r="BH194" i="5"/>
  <c r="H200" i="55"/>
  <c r="BH195" i="5"/>
  <c r="BH196" i="5"/>
  <c r="H201" i="55"/>
  <c r="BH197" i="5"/>
  <c r="H202" i="55"/>
  <c r="BH198" i="5"/>
  <c r="H203" i="55"/>
  <c r="BH199" i="5"/>
  <c r="H204" i="55"/>
  <c r="Q204" i="55" s="1" a="1"/>
  <c r="Q204" i="55" s="1"/>
  <c r="H205" i="55"/>
  <c r="Q205" i="55" s="1" a="1"/>
  <c r="Q205" i="55" s="1"/>
  <c r="BH200" i="5"/>
  <c r="H206" i="55"/>
  <c r="BH201" i="5"/>
  <c r="BH202" i="5"/>
  <c r="H207" i="55"/>
  <c r="BH203" i="5"/>
  <c r="H208" i="55"/>
  <c r="BH204" i="5"/>
  <c r="H209" i="55"/>
  <c r="H210" i="55"/>
  <c r="BH205" i="5"/>
  <c r="H211" i="55"/>
  <c r="BH206" i="5"/>
  <c r="BH207" i="5"/>
  <c r="H212" i="55"/>
  <c r="H213" i="55"/>
  <c r="BH208" i="5"/>
  <c r="BH209" i="5"/>
  <c r="H214" i="55"/>
  <c r="BH210" i="5"/>
  <c r="H215" i="55"/>
  <c r="BH211" i="5"/>
  <c r="H216" i="55"/>
  <c r="H217" i="55"/>
  <c r="BH212" i="5"/>
  <c r="H218" i="55"/>
  <c r="BH213" i="5"/>
  <c r="H219" i="55"/>
  <c r="BH214" i="5"/>
  <c r="H220" i="55"/>
  <c r="BH215" i="5"/>
  <c r="BH216" i="5"/>
  <c r="H221" i="55"/>
  <c r="H222" i="55"/>
  <c r="BH217" i="5"/>
  <c r="H223" i="55"/>
  <c r="BH218" i="5"/>
  <c r="H224" i="55"/>
  <c r="Q224" i="55" s="1" a="1"/>
  <c r="Q224" i="55" s="1"/>
  <c r="BH219" i="5"/>
  <c r="BH220" i="5"/>
  <c r="H225" i="55"/>
  <c r="Q225" i="55" s="1" a="1"/>
  <c r="Q225" i="55" s="1"/>
  <c r="H226" i="55"/>
  <c r="BH221" i="5"/>
  <c r="BH222" i="5"/>
  <c r="H227" i="55"/>
  <c r="BH223" i="5"/>
  <c r="H228" i="55"/>
  <c r="BH224" i="5"/>
  <c r="H229" i="55"/>
  <c r="H230" i="55"/>
  <c r="BH225" i="5"/>
  <c r="H231" i="55"/>
  <c r="BH226" i="5"/>
  <c r="H232" i="55"/>
  <c r="BH227" i="5"/>
  <c r="BH228" i="5"/>
  <c r="H233" i="55"/>
  <c r="BH229" i="5"/>
  <c r="H234" i="55"/>
  <c r="BH230" i="5"/>
  <c r="H235" i="55"/>
  <c r="H236" i="55"/>
  <c r="BH231" i="5"/>
  <c r="BH232" i="5"/>
  <c r="H237" i="55"/>
  <c r="H238" i="55"/>
  <c r="BH233" i="5"/>
  <c r="H239" i="55"/>
  <c r="BH234" i="5"/>
  <c r="H240" i="55"/>
  <c r="BH235" i="5"/>
  <c r="BH236" i="5"/>
  <c r="H241" i="55"/>
  <c r="H242" i="55"/>
  <c r="BH237" i="5"/>
  <c r="BH238" i="5"/>
  <c r="H243" i="55"/>
  <c r="BH239" i="5"/>
  <c r="H244" i="55"/>
  <c r="Q244" i="55" s="1" a="1"/>
  <c r="Q244" i="55" s="1"/>
  <c r="BH240" i="5"/>
  <c r="H245" i="55"/>
  <c r="H246" i="55"/>
  <c r="BH241" i="5"/>
  <c r="BH242" i="5"/>
  <c r="H247" i="55"/>
  <c r="BH243" i="5"/>
  <c r="H248" i="55"/>
  <c r="BH244" i="5"/>
  <c r="H249" i="55"/>
  <c r="BH245" i="5"/>
  <c r="H250" i="55"/>
  <c r="BH246" i="5"/>
  <c r="H251" i="55"/>
  <c r="BH247" i="5"/>
  <c r="H252" i="55"/>
  <c r="H253" i="55"/>
  <c r="BH248" i="5"/>
  <c r="H254" i="55"/>
  <c r="BH249" i="5"/>
  <c r="BH250" i="5"/>
  <c r="H255" i="55"/>
  <c r="Q255" i="55" s="1" a="1"/>
  <c r="Q255" i="55" s="1"/>
  <c r="H256" i="55"/>
  <c r="BH251" i="5"/>
  <c r="H257" i="55"/>
  <c r="Q257" i="55" s="1" a="1"/>
  <c r="Q257" i="55" s="1"/>
  <c r="BH252" i="5"/>
  <c r="H258" i="55"/>
  <c r="BH253" i="5"/>
  <c r="H259" i="55"/>
  <c r="BH254" i="5"/>
  <c r="BH255" i="5"/>
  <c r="H260" i="55"/>
  <c r="H261" i="55"/>
  <c r="BH256" i="5"/>
  <c r="H262" i="55"/>
  <c r="BH257" i="5"/>
  <c r="H263" i="55"/>
  <c r="Q263" i="55" s="1" a="1"/>
  <c r="Q263" i="55" s="1"/>
  <c r="BH258" i="5"/>
  <c r="BH259" i="5"/>
  <c r="H264" i="55"/>
  <c r="H265" i="55"/>
  <c r="Q265" i="55" s="1" a="1"/>
  <c r="Q265" i="55" s="1"/>
  <c r="BH260" i="5"/>
  <c r="BH261" i="5"/>
  <c r="H266" i="55"/>
  <c r="Q266" i="55" s="1" a="1"/>
  <c r="Q266" i="55" s="1"/>
  <c r="BH262" i="5"/>
  <c r="H267" i="55"/>
  <c r="H268" i="55"/>
  <c r="Q268" i="55" s="1" a="1"/>
  <c r="Q268" i="55" s="1"/>
  <c r="BH263" i="5"/>
  <c r="H269" i="55"/>
  <c r="Q269" i="55" s="1" a="1"/>
  <c r="Q269" i="55" s="1"/>
  <c r="BH264" i="5"/>
  <c r="BH265" i="5"/>
  <c r="H270" i="55"/>
  <c r="H271" i="55"/>
  <c r="BH266" i="5"/>
  <c r="H272" i="55"/>
  <c r="BH267" i="5"/>
  <c r="H273" i="55"/>
  <c r="BH268" i="5"/>
  <c r="H274" i="55"/>
  <c r="BH269" i="5"/>
  <c r="H275" i="55"/>
  <c r="BH270" i="5"/>
  <c r="H276" i="55"/>
  <c r="BH271" i="5"/>
  <c r="BH272" i="5"/>
  <c r="H277" i="55"/>
  <c r="H278" i="55"/>
  <c r="BH273" i="5"/>
  <c r="H279" i="55"/>
  <c r="BH274" i="5"/>
  <c r="BH275" i="5"/>
  <c r="H280" i="55"/>
  <c r="H281" i="55"/>
  <c r="BH276" i="5"/>
  <c r="BH277" i="5"/>
  <c r="H282" i="55"/>
  <c r="BH278" i="5"/>
  <c r="H283" i="55"/>
  <c r="H285" i="55"/>
  <c r="BH280" i="5"/>
  <c r="BH281" i="5"/>
  <c r="H286" i="55"/>
  <c r="H287" i="55"/>
  <c r="Q287" i="55" s="1" a="1"/>
  <c r="Q287" i="55" s="1"/>
  <c r="BH282" i="5"/>
  <c r="BH283" i="5"/>
  <c r="H288" i="55"/>
  <c r="BH284" i="5"/>
  <c r="H289" i="55"/>
  <c r="Q289" i="55" s="1" a="1"/>
  <c r="Q289" i="55" s="1"/>
  <c r="H290" i="55"/>
  <c r="BH285" i="5"/>
  <c r="H291" i="55"/>
  <c r="BH286" i="5"/>
  <c r="BH287" i="5"/>
  <c r="H292" i="55"/>
  <c r="H293" i="55"/>
  <c r="BH288" i="5"/>
  <c r="BH289" i="5"/>
  <c r="H294" i="55"/>
  <c r="BH290" i="5"/>
  <c r="H295" i="55"/>
  <c r="BH291" i="5"/>
  <c r="H296" i="55"/>
  <c r="BH292" i="5"/>
  <c r="H297" i="55"/>
  <c r="Q297" i="55" s="1" a="1"/>
  <c r="Q297" i="55" s="1"/>
  <c r="H298" i="55"/>
  <c r="BH293" i="5"/>
  <c r="H299" i="55"/>
  <c r="BH294" i="5"/>
  <c r="BH295" i="5"/>
  <c r="H300" i="55"/>
  <c r="H301" i="55"/>
  <c r="BH296" i="5"/>
  <c r="BH297" i="5"/>
  <c r="H302" i="55"/>
  <c r="Q302" i="55" s="1" a="1"/>
  <c r="Q302" i="55" s="1"/>
  <c r="H303" i="55"/>
  <c r="Q303" i="55" s="1" a="1"/>
  <c r="Q303" i="55" s="1"/>
  <c r="BH298" i="5"/>
  <c r="BH299" i="5"/>
  <c r="H304" i="55"/>
  <c r="H305" i="55"/>
  <c r="Q305" i="55" s="1" a="1"/>
  <c r="Q305" i="55" s="1"/>
  <c r="BH300" i="5"/>
  <c r="H306" i="55"/>
  <c r="BH301" i="5"/>
  <c r="H307" i="55"/>
  <c r="BH302" i="5"/>
  <c r="H308" i="55"/>
  <c r="BH303" i="5"/>
  <c r="H309" i="55"/>
  <c r="BH304" i="5"/>
  <c r="H310" i="55"/>
  <c r="Q310" i="55" s="1" a="1"/>
  <c r="Q310" i="55" s="1"/>
  <c r="BH305" i="5"/>
  <c r="H311" i="55"/>
  <c r="Q311" i="55" s="1" a="1"/>
  <c r="Q311" i="55" s="1"/>
  <c r="BH306" i="5"/>
  <c r="H312" i="55"/>
  <c r="R312" i="55" s="1" a="1"/>
  <c r="R312" i="55" s="1"/>
  <c r="BH307" i="5"/>
  <c r="BH308" i="5"/>
  <c r="H313" i="55"/>
  <c r="BH309" i="5"/>
  <c r="H314" i="55"/>
  <c r="H315" i="55"/>
  <c r="BH310" i="5"/>
  <c r="BH311" i="5"/>
  <c r="H316" i="55"/>
  <c r="BH312" i="5"/>
  <c r="H317" i="55"/>
  <c r="BH313" i="5"/>
  <c r="H318" i="55"/>
  <c r="Q318" i="55" s="1" a="1"/>
  <c r="Q318" i="55" s="1"/>
  <c r="H319" i="55"/>
  <c r="Q319" i="55" s="1" a="1"/>
  <c r="Q319" i="55" s="1"/>
  <c r="BH314" i="5"/>
  <c r="H320" i="55"/>
  <c r="Q320" i="55" s="1" a="1"/>
  <c r="Q320" i="55" s="1"/>
  <c r="BH315" i="5"/>
  <c r="H321" i="55"/>
  <c r="Q321" i="55" s="1" a="1"/>
  <c r="Q321" i="55" s="1"/>
  <c r="BH316" i="5"/>
  <c r="H322" i="55"/>
  <c r="BH317" i="5"/>
  <c r="BH318" i="5"/>
  <c r="H323" i="55"/>
  <c r="Q323" i="55" s="1" a="1"/>
  <c r="Q323" i="55" s="1"/>
  <c r="H324" i="55"/>
  <c r="Q324" i="55" s="1" a="1"/>
  <c r="Q324" i="55" s="1"/>
  <c r="BH319" i="5"/>
  <c r="H325" i="55"/>
  <c r="Q325" i="55" s="1" a="1"/>
  <c r="Q325" i="55" s="1"/>
  <c r="BH320" i="5"/>
  <c r="BH321" i="5"/>
  <c r="H326" i="55"/>
  <c r="Q326" i="55" s="1" a="1"/>
  <c r="Q326" i="55" s="1"/>
  <c r="H327" i="55"/>
  <c r="BH322" i="5"/>
  <c r="BH323" i="5"/>
  <c r="H328" i="55"/>
  <c r="H329" i="55"/>
  <c r="BH324" i="5"/>
  <c r="BH325" i="5"/>
  <c r="H330" i="55"/>
  <c r="H331" i="55"/>
  <c r="BH326" i="5"/>
  <c r="BH327" i="5"/>
  <c r="H332" i="55"/>
  <c r="H333" i="55"/>
  <c r="BH328" i="5"/>
  <c r="H334" i="55"/>
  <c r="BH329" i="5"/>
  <c r="H335" i="55"/>
  <c r="BH330" i="5"/>
  <c r="BH331" i="5"/>
  <c r="H336" i="55"/>
  <c r="H337" i="55"/>
  <c r="BH332" i="5"/>
  <c r="H338" i="55"/>
  <c r="BH333" i="5"/>
  <c r="BH334" i="5"/>
  <c r="H339" i="55"/>
  <c r="BH335" i="5"/>
  <c r="H340" i="55"/>
  <c r="BH336" i="5"/>
  <c r="H341" i="55"/>
  <c r="Q341" i="55" s="1" a="1"/>
  <c r="Q341" i="55" s="1"/>
  <c r="BH337" i="5"/>
  <c r="H342" i="55"/>
  <c r="Q342" i="55" s="1" a="1"/>
  <c r="Q342" i="55" s="1"/>
  <c r="BH338" i="5"/>
  <c r="H343" i="55"/>
  <c r="H344" i="55"/>
  <c r="BH339" i="5"/>
  <c r="BH340" i="5"/>
  <c r="H345" i="55"/>
  <c r="H346" i="55"/>
  <c r="BH341" i="5"/>
  <c r="H347" i="55"/>
  <c r="BH342" i="5"/>
  <c r="H348" i="55"/>
  <c r="BH343" i="5"/>
  <c r="BH344" i="5"/>
  <c r="H349" i="55"/>
  <c r="BH345" i="5"/>
  <c r="H350" i="55"/>
  <c r="H351" i="55"/>
  <c r="BH346" i="5"/>
  <c r="BH347" i="5"/>
  <c r="H352" i="55"/>
  <c r="H353" i="55"/>
  <c r="Q353" i="55" s="1" a="1"/>
  <c r="Q353" i="55" s="1"/>
  <c r="BH348" i="5"/>
  <c r="H354" i="55"/>
  <c r="BH349" i="5"/>
  <c r="H355" i="55"/>
  <c r="BH350" i="5"/>
  <c r="BH351" i="5"/>
  <c r="H356" i="55"/>
  <c r="Q356" i="55" s="1" a="1"/>
  <c r="Q356" i="55" s="1"/>
  <c r="BH352" i="5"/>
  <c r="H357" i="55"/>
  <c r="BH353" i="5"/>
  <c r="H358" i="55"/>
  <c r="BH354" i="5"/>
  <c r="H359" i="55"/>
  <c r="BH355" i="5"/>
  <c r="H360" i="55"/>
  <c r="Q360" i="55" s="1" a="1"/>
  <c r="Q360" i="55" s="1"/>
  <c r="BH356" i="5"/>
  <c r="H361" i="55"/>
  <c r="Q361" i="55" s="1" a="1"/>
  <c r="Q361" i="55" s="1"/>
  <c r="BH357" i="5"/>
  <c r="H362" i="55"/>
  <c r="BH358" i="5"/>
  <c r="H363" i="55"/>
  <c r="H364" i="55"/>
  <c r="Q364" i="55" s="1" a="1"/>
  <c r="Q364" i="55" s="1"/>
  <c r="BH359" i="5"/>
  <c r="BH360" i="5"/>
  <c r="H365" i="55"/>
  <c r="BH361" i="5"/>
  <c r="H366" i="55"/>
  <c r="BH362" i="5"/>
  <c r="H367" i="55"/>
  <c r="Q367" i="55" s="1" a="1"/>
  <c r="Q367" i="55" s="1"/>
  <c r="BH363" i="5"/>
  <c r="H368" i="55"/>
  <c r="Q368" i="55" s="1" a="1"/>
  <c r="Q368" i="55" s="1"/>
  <c r="BH364" i="5"/>
  <c r="H369" i="55"/>
  <c r="Q369" i="55" s="1" a="1"/>
  <c r="Q369" i="55" s="1"/>
  <c r="H370" i="55"/>
  <c r="BH365" i="5"/>
  <c r="H371" i="55"/>
  <c r="Q371" i="55" s="1" a="1"/>
  <c r="Q371" i="55" s="1"/>
  <c r="BH366" i="5"/>
  <c r="BH367" i="5"/>
  <c r="H372" i="55"/>
  <c r="Q372" i="55" s="1" a="1"/>
  <c r="Q372" i="55" s="1"/>
  <c r="BH368" i="5"/>
  <c r="H373" i="55"/>
  <c r="H374" i="55"/>
  <c r="BH369" i="5"/>
  <c r="BH370" i="5"/>
  <c r="H375" i="55"/>
  <c r="BH371" i="5"/>
  <c r="H376" i="55"/>
  <c r="Q376" i="55" s="1" a="1"/>
  <c r="Q376" i="55" s="1"/>
  <c r="BH372" i="5"/>
  <c r="H377" i="55"/>
  <c r="H378" i="55"/>
  <c r="BH373" i="5"/>
  <c r="H379" i="55"/>
  <c r="BH374" i="5"/>
  <c r="H380" i="55"/>
  <c r="BH375" i="5"/>
  <c r="BH376" i="5"/>
  <c r="H381" i="55"/>
  <c r="Q381" i="55" s="1" a="1"/>
  <c r="Q381" i="55" s="1"/>
  <c r="H382" i="55"/>
  <c r="BH377" i="5"/>
  <c r="H383" i="55"/>
  <c r="Q383" i="55" s="1" a="1"/>
  <c r="Q383" i="55" s="1"/>
  <c r="BH378" i="5"/>
  <c r="H384" i="55"/>
  <c r="Q384" i="55" s="1" a="1"/>
  <c r="Q384" i="55" s="1"/>
  <c r="BH379" i="5"/>
  <c r="H385" i="55"/>
  <c r="BH380" i="5"/>
  <c r="H386" i="55"/>
  <c r="BH381" i="5"/>
  <c r="H387" i="55"/>
  <c r="BH382" i="5"/>
  <c r="BH383" i="5"/>
  <c r="H388" i="55"/>
  <c r="Q388" i="55" s="1" a="1"/>
  <c r="Q388" i="55" s="1"/>
  <c r="BH384" i="5"/>
  <c r="H389" i="55"/>
  <c r="H390" i="55"/>
  <c r="BH385" i="5"/>
  <c r="H391" i="55"/>
  <c r="Q391" i="55" s="1" a="1"/>
  <c r="Q391" i="55" s="1"/>
  <c r="BH386" i="5"/>
  <c r="BH387" i="5"/>
  <c r="H392" i="55"/>
  <c r="H393" i="55"/>
  <c r="BH388" i="5"/>
  <c r="H394" i="55"/>
  <c r="BH389" i="5"/>
  <c r="BH390" i="5"/>
  <c r="H395" i="55"/>
  <c r="BH391" i="5"/>
  <c r="H396" i="55"/>
  <c r="H397" i="55"/>
  <c r="BH392" i="5"/>
  <c r="H398" i="55"/>
  <c r="BH393" i="5"/>
  <c r="H399" i="55"/>
  <c r="BH394" i="5"/>
  <c r="BH395" i="5"/>
  <c r="H400" i="55"/>
  <c r="BH396" i="5"/>
  <c r="H401" i="55"/>
  <c r="BH397" i="5"/>
  <c r="H402" i="55"/>
  <c r="H403" i="55"/>
  <c r="BH398" i="5"/>
  <c r="BH399" i="5"/>
  <c r="H404" i="55"/>
  <c r="H405" i="55"/>
  <c r="BH400" i="5"/>
  <c r="BH401" i="5"/>
  <c r="H406" i="55"/>
  <c r="BH402" i="5"/>
  <c r="H407" i="55"/>
  <c r="BH403" i="5"/>
  <c r="H408" i="55"/>
  <c r="BH404" i="5"/>
  <c r="H409" i="55"/>
  <c r="Q409" i="55" s="1" a="1"/>
  <c r="Q409" i="55" s="1"/>
  <c r="BH405" i="5"/>
  <c r="H410" i="55"/>
  <c r="Q410" i="55" s="1" a="1"/>
  <c r="Q410" i="55" s="1"/>
  <c r="BH406" i="5"/>
  <c r="H411" i="55"/>
  <c r="Q411" i="55" s="1" a="1"/>
  <c r="Q411" i="55" s="1"/>
  <c r="H412" i="55"/>
  <c r="Q412" i="55" s="1" a="1"/>
  <c r="Q412" i="55" s="1"/>
  <c r="BH407" i="5"/>
  <c r="BH408" i="5"/>
  <c r="H413" i="55"/>
  <c r="Q413" i="55" s="1" a="1"/>
  <c r="Q413" i="55" s="1"/>
  <c r="BH409" i="5"/>
  <c r="H414" i="55"/>
  <c r="Q414" i="55" s="1" a="1"/>
  <c r="Q414" i="55" s="1"/>
  <c r="BH410" i="5"/>
  <c r="H415" i="55"/>
  <c r="Q415" i="55" s="1" a="1"/>
  <c r="Q415" i="55" s="1"/>
  <c r="BH411" i="5"/>
  <c r="H416" i="55"/>
  <c r="Q416" i="55" s="1" a="1"/>
  <c r="Q416" i="55" s="1"/>
  <c r="BH412" i="5"/>
  <c r="H417" i="55"/>
  <c r="Q417" i="55" s="1" a="1"/>
  <c r="Q417" i="55" s="1"/>
  <c r="BH413" i="5"/>
  <c r="H418" i="55"/>
  <c r="BH414" i="5"/>
  <c r="H419" i="55"/>
  <c r="Q419" i="55" s="1" a="1"/>
  <c r="Q419" i="55" s="1"/>
  <c r="BH415" i="5"/>
  <c r="H420" i="55"/>
  <c r="H421" i="55"/>
  <c r="BH416" i="5"/>
  <c r="H422" i="55"/>
  <c r="BH417" i="5"/>
  <c r="BH418" i="5"/>
  <c r="H423" i="55"/>
  <c r="H424" i="55"/>
  <c r="BH419" i="5"/>
  <c r="H425" i="55"/>
  <c r="BH420" i="5"/>
  <c r="BH421" i="5"/>
  <c r="H426" i="55"/>
  <c r="BH422" i="5"/>
  <c r="H427" i="55"/>
  <c r="H428" i="55"/>
  <c r="BH423" i="5"/>
  <c r="BH424" i="5"/>
  <c r="H429" i="55"/>
  <c r="BH425" i="5"/>
  <c r="H430" i="55"/>
  <c r="BH426" i="5"/>
  <c r="H431" i="55"/>
  <c r="BH427" i="5"/>
  <c r="H432" i="55"/>
  <c r="H433" i="55"/>
  <c r="BH428" i="5"/>
  <c r="H434" i="55"/>
  <c r="BH429" i="5"/>
  <c r="BH430" i="5"/>
  <c r="H435" i="55"/>
  <c r="BH431" i="5"/>
  <c r="H436" i="55"/>
  <c r="H437" i="55"/>
  <c r="BH432" i="5"/>
  <c r="H438" i="55"/>
  <c r="BH433" i="5"/>
  <c r="H439" i="55"/>
  <c r="BH434" i="5"/>
  <c r="BH435" i="5"/>
  <c r="H440" i="55"/>
  <c r="BH436" i="5"/>
  <c r="H441" i="55"/>
  <c r="BH437" i="5"/>
  <c r="H442" i="55"/>
  <c r="BH438" i="5"/>
  <c r="H443" i="55"/>
  <c r="H444" i="55"/>
  <c r="BH439" i="5"/>
  <c r="H445" i="55"/>
  <c r="BH440" i="5"/>
  <c r="BH441" i="5"/>
  <c r="H446" i="55"/>
  <c r="BH442" i="5"/>
  <c r="H447" i="55"/>
  <c r="BH443" i="5"/>
  <c r="H448" i="55"/>
  <c r="BH444" i="5"/>
  <c r="H449" i="55"/>
  <c r="BH445" i="5"/>
  <c r="H450" i="55"/>
  <c r="H451" i="55"/>
  <c r="BH446" i="5"/>
  <c r="H452" i="55"/>
  <c r="BH447" i="5"/>
  <c r="H453" i="55"/>
  <c r="BH448" i="5"/>
  <c r="H454" i="55"/>
  <c r="BH449" i="5"/>
  <c r="H455" i="55"/>
  <c r="BH450" i="5"/>
  <c r="H456" i="55"/>
  <c r="BH451" i="5"/>
  <c r="H457" i="55"/>
  <c r="BH452" i="5"/>
  <c r="H458" i="55"/>
  <c r="BH453" i="5"/>
  <c r="H459" i="55"/>
  <c r="BH454" i="5"/>
  <c r="H478" i="55"/>
  <c r="H487" i="55"/>
  <c r="BH482" i="5"/>
  <c r="H488" i="55"/>
  <c r="BH483" i="5"/>
  <c r="H489" i="55"/>
  <c r="BH484" i="5"/>
  <c r="H490" i="55"/>
  <c r="BH485" i="5"/>
  <c r="H491" i="55"/>
  <c r="Q491" i="55" s="1" a="1"/>
  <c r="Q491" i="55" s="1"/>
  <c r="BH486" i="5"/>
  <c r="H873" i="55"/>
  <c r="H874" i="55"/>
  <c r="H875" i="55"/>
  <c r="H876" i="55"/>
  <c r="H877" i="55"/>
  <c r="H878" i="55"/>
  <c r="H879" i="55"/>
  <c r="H880" i="55"/>
  <c r="H881" i="55"/>
  <c r="H882" i="55"/>
  <c r="H883" i="55"/>
  <c r="H884" i="55"/>
  <c r="H885" i="55"/>
  <c r="H886" i="55"/>
  <c r="H887" i="55"/>
  <c r="H888" i="55"/>
  <c r="H889" i="55"/>
  <c r="H890" i="55"/>
  <c r="H891" i="55"/>
  <c r="H892" i="55"/>
  <c r="H893" i="55"/>
  <c r="H894" i="55"/>
  <c r="H895" i="55"/>
  <c r="H896" i="55"/>
  <c r="H897" i="55"/>
  <c r="H898" i="55"/>
  <c r="H899" i="55"/>
  <c r="H900" i="55"/>
  <c r="H901" i="55"/>
  <c r="H902" i="55"/>
  <c r="H903" i="55"/>
  <c r="H904" i="55"/>
  <c r="H905" i="55"/>
  <c r="H906" i="55"/>
  <c r="H907" i="55"/>
  <c r="H908" i="55"/>
  <c r="H909" i="55"/>
  <c r="H910" i="55"/>
  <c r="H911" i="55"/>
  <c r="H912" i="55"/>
  <c r="H913" i="55"/>
  <c r="H914" i="55"/>
  <c r="H915" i="55"/>
  <c r="H916" i="55"/>
  <c r="H917" i="55"/>
  <c r="H918" i="55"/>
  <c r="H919" i="55"/>
  <c r="H920" i="55"/>
  <c r="H921" i="55"/>
  <c r="H922" i="55"/>
  <c r="H923" i="55"/>
  <c r="H924" i="55"/>
  <c r="H925" i="55"/>
  <c r="H926" i="55"/>
  <c r="H927" i="55"/>
  <c r="H928" i="55"/>
  <c r="H929" i="55"/>
  <c r="H930" i="55"/>
  <c r="H931" i="55"/>
  <c r="H932" i="55"/>
  <c r="H933" i="55"/>
  <c r="H934" i="55"/>
  <c r="H935" i="55"/>
  <c r="H936" i="55"/>
  <c r="H937" i="55"/>
  <c r="H938" i="55"/>
  <c r="H939" i="55"/>
  <c r="H940" i="55"/>
  <c r="H941" i="55"/>
  <c r="H942" i="55"/>
  <c r="H943" i="55"/>
  <c r="H944" i="55"/>
  <c r="H945" i="55"/>
  <c r="H946" i="55"/>
  <c r="H947" i="55"/>
  <c r="H948" i="55"/>
  <c r="H949" i="55"/>
  <c r="H950" i="55"/>
  <c r="H951" i="55"/>
  <c r="H952" i="55"/>
  <c r="H953" i="55"/>
  <c r="H954" i="55"/>
  <c r="H955" i="55"/>
  <c r="H956" i="55"/>
  <c r="H957" i="55"/>
  <c r="H958" i="55"/>
  <c r="H959" i="55"/>
  <c r="H960" i="55"/>
  <c r="H961" i="55"/>
  <c r="H962" i="55"/>
  <c r="H963" i="55"/>
  <c r="H964" i="55"/>
  <c r="H965" i="55"/>
  <c r="H966" i="55"/>
  <c r="H967" i="55"/>
  <c r="H968" i="55"/>
  <c r="H969" i="55"/>
  <c r="H970" i="55"/>
  <c r="H971" i="55"/>
  <c r="H972" i="55"/>
  <c r="H973" i="55"/>
  <c r="H974" i="55"/>
  <c r="H975" i="55"/>
  <c r="H976" i="55"/>
  <c r="H977" i="55"/>
  <c r="H978" i="55"/>
  <c r="H979" i="55"/>
  <c r="H980" i="55"/>
  <c r="H981" i="55"/>
  <c r="H982" i="55"/>
  <c r="H983" i="55"/>
  <c r="H984" i="55"/>
  <c r="H985" i="55"/>
  <c r="H986" i="55"/>
  <c r="H987" i="55"/>
  <c r="H988" i="55"/>
  <c r="H989" i="55"/>
  <c r="H990" i="55"/>
  <c r="H991" i="55"/>
  <c r="H992" i="55"/>
  <c r="H993" i="55"/>
  <c r="H994" i="55"/>
  <c r="H995" i="55"/>
  <c r="H996" i="55"/>
  <c r="H997" i="55"/>
  <c r="H998" i="55"/>
  <c r="H999" i="55"/>
  <c r="H1000" i="55"/>
  <c r="H1001" i="55"/>
  <c r="H1002" i="55"/>
  <c r="H1003" i="55"/>
  <c r="H1004" i="55"/>
  <c r="H1005" i="55"/>
  <c r="H1006" i="55"/>
  <c r="H1007" i="55"/>
  <c r="H1008" i="55"/>
  <c r="H1009" i="55"/>
  <c r="H1010" i="55"/>
  <c r="H1011" i="55"/>
  <c r="H1012" i="55"/>
  <c r="H1013" i="55"/>
  <c r="H1014" i="55"/>
  <c r="H1015" i="55"/>
  <c r="H1016" i="55"/>
  <c r="H1017" i="55"/>
  <c r="H1018" i="55"/>
  <c r="H1019" i="55"/>
  <c r="H1020" i="55"/>
  <c r="H1021" i="55"/>
  <c r="H1022" i="55"/>
  <c r="H1023" i="55"/>
  <c r="H1024" i="55"/>
  <c r="H1025" i="55"/>
  <c r="H1026" i="55"/>
  <c r="H1027" i="55"/>
  <c r="H1028" i="55"/>
  <c r="H1029" i="55"/>
  <c r="H1030" i="55"/>
  <c r="H1031" i="55"/>
  <c r="H1032" i="55"/>
  <c r="H1033" i="55"/>
  <c r="H1034" i="55"/>
  <c r="H1035" i="55"/>
  <c r="H1036" i="55"/>
  <c r="H1037" i="55"/>
  <c r="H1038" i="55"/>
  <c r="H1039" i="55"/>
  <c r="H1040" i="55"/>
  <c r="H1041" i="55"/>
  <c r="H1042" i="55"/>
  <c r="H1043" i="55"/>
  <c r="H1044" i="55"/>
  <c r="H1045" i="55"/>
  <c r="H1046" i="55"/>
  <c r="H1047" i="55"/>
  <c r="H1048" i="55"/>
  <c r="H1049" i="55"/>
  <c r="H1050" i="55"/>
  <c r="H1051" i="55"/>
  <c r="H1052" i="55"/>
  <c r="H1053" i="55"/>
  <c r="H1054" i="55"/>
  <c r="H1055" i="55"/>
  <c r="H1056" i="55"/>
  <c r="H1057" i="55"/>
  <c r="H1058" i="55"/>
  <c r="H1059" i="55"/>
  <c r="H1060" i="55"/>
  <c r="H1061" i="55"/>
  <c r="H1062" i="55"/>
  <c r="H1063" i="55"/>
  <c r="H1064" i="55"/>
  <c r="H1065" i="55"/>
  <c r="H1066" i="55"/>
  <c r="H1067" i="55"/>
  <c r="H1068" i="55"/>
  <c r="H1069" i="55"/>
  <c r="H1070" i="55"/>
  <c r="H1071" i="55"/>
  <c r="H1072" i="55"/>
  <c r="H1073" i="55"/>
  <c r="H1074" i="55"/>
  <c r="H1075" i="55"/>
  <c r="H1076" i="55"/>
  <c r="H1077" i="55"/>
  <c r="H1078" i="55"/>
  <c r="H1079" i="55"/>
  <c r="H1080" i="55"/>
  <c r="H1081" i="55"/>
  <c r="H1082" i="55"/>
  <c r="H1083" i="55"/>
  <c r="H1084" i="55"/>
  <c r="H1085" i="55"/>
  <c r="H1086" i="55"/>
  <c r="H1087" i="55"/>
  <c r="H1088" i="55"/>
  <c r="H1089" i="55"/>
  <c r="H1090" i="55"/>
  <c r="H1091" i="55"/>
  <c r="H1092" i="55"/>
  <c r="H1093" i="55"/>
  <c r="H1094" i="55"/>
  <c r="H1095" i="55"/>
  <c r="H1096" i="55"/>
  <c r="H1097" i="55"/>
  <c r="H1098" i="55"/>
  <c r="H1099" i="55"/>
  <c r="H1100" i="55"/>
  <c r="H1101" i="55"/>
  <c r="H1102" i="55"/>
  <c r="H1103" i="55"/>
  <c r="H1104" i="55"/>
  <c r="H1105" i="55"/>
  <c r="H1106" i="55"/>
  <c r="H1107" i="55"/>
  <c r="H1108" i="55"/>
  <c r="H1109" i="55"/>
  <c r="H1110" i="55"/>
  <c r="H1111" i="55"/>
  <c r="H1112" i="55"/>
  <c r="H1113" i="55"/>
  <c r="H1114" i="55"/>
  <c r="H1115" i="55"/>
  <c r="H1116" i="55"/>
  <c r="H1117" i="55"/>
  <c r="H1118" i="55"/>
  <c r="H1119" i="55"/>
  <c r="H1120" i="55"/>
  <c r="H1121" i="55"/>
  <c r="H1122" i="55"/>
  <c r="H1123" i="55"/>
  <c r="H1124" i="55"/>
  <c r="H1125" i="55"/>
  <c r="H1126" i="55"/>
  <c r="H1127" i="55"/>
  <c r="H1128" i="55"/>
  <c r="H1129" i="55"/>
  <c r="H1130" i="55"/>
  <c r="H1131" i="55"/>
  <c r="H1132" i="55"/>
  <c r="H1133" i="55"/>
  <c r="H1134" i="55"/>
  <c r="H1135" i="55"/>
  <c r="H1136" i="55"/>
  <c r="H1137" i="55"/>
  <c r="H1138" i="55"/>
  <c r="H1139" i="55"/>
  <c r="H1140" i="55"/>
  <c r="H1141" i="55"/>
  <c r="H1142" i="55"/>
  <c r="H1143" i="55"/>
  <c r="R1144" i="55" a="1"/>
  <c r="R1144" i="55" s="1"/>
  <c r="Q1144" i="55" a="1"/>
  <c r="Q1144" i="55" s="1"/>
  <c r="R1145" i="55" a="1"/>
  <c r="R1145" i="55" s="1"/>
  <c r="Q1145" i="55" a="1"/>
  <c r="Q1145" i="55" s="1"/>
  <c r="R1146" i="55" a="1"/>
  <c r="R1146" i="55" s="1"/>
  <c r="Q1146" i="55" a="1"/>
  <c r="Q1146" i="55" s="1"/>
  <c r="H1148" i="55"/>
  <c r="H1149" i="55"/>
  <c r="H1150" i="55"/>
  <c r="H1151" i="55"/>
  <c r="H1152" i="55"/>
  <c r="H1153" i="55"/>
  <c r="H1154" i="55"/>
  <c r="H1155" i="55"/>
  <c r="H1156" i="55"/>
  <c r="H1157" i="55"/>
  <c r="H1158" i="55"/>
  <c r="H1159" i="55"/>
  <c r="H1160" i="55"/>
  <c r="H1161" i="55"/>
  <c r="H1162" i="55"/>
  <c r="R1165" i="55" a="1"/>
  <c r="R1165" i="55" s="1"/>
  <c r="Q1165" i="55" a="1"/>
  <c r="Q1165" i="55" s="1"/>
  <c r="H1173" i="55"/>
  <c r="H1175" i="55"/>
  <c r="H1176" i="55"/>
  <c r="H1177" i="55"/>
  <c r="H1178" i="55"/>
  <c r="H1179" i="55"/>
  <c r="H1180" i="55"/>
  <c r="H1181" i="55"/>
  <c r="H1182" i="55"/>
  <c r="H1183" i="55"/>
  <c r="H1185" i="55"/>
  <c r="H1187" i="55"/>
  <c r="H1188" i="55"/>
  <c r="H1189" i="55"/>
  <c r="H1190" i="55"/>
  <c r="H1191" i="55"/>
  <c r="H1192" i="55"/>
  <c r="H1193" i="55"/>
  <c r="H1194" i="55"/>
  <c r="H1195" i="55"/>
  <c r="H1196" i="55"/>
  <c r="H1197" i="55"/>
  <c r="H1198" i="55"/>
  <c r="H1199" i="55"/>
  <c r="H1200" i="55"/>
  <c r="H1202" i="55"/>
  <c r="H1203" i="55"/>
  <c r="H1204" i="55"/>
  <c r="H1205" i="55"/>
  <c r="H1207" i="55"/>
  <c r="H1208" i="55"/>
  <c r="H1210" i="55"/>
  <c r="H1211" i="55"/>
  <c r="H1212" i="55"/>
  <c r="H1214" i="55"/>
  <c r="H1215" i="55"/>
  <c r="H1216" i="55"/>
  <c r="H1217" i="55"/>
  <c r="R1218" i="55" a="1"/>
  <c r="R1218" i="55" s="1"/>
  <c r="Q1218" i="55" a="1"/>
  <c r="Q1218" i="55" s="1"/>
  <c r="H1219" i="55"/>
  <c r="H1221" i="55"/>
  <c r="H1223" i="55"/>
  <c r="H1224" i="55"/>
  <c r="H1225" i="55"/>
  <c r="H1227" i="55"/>
  <c r="H1228" i="55"/>
  <c r="H1229" i="55"/>
  <c r="H1231" i="55"/>
  <c r="H1233" i="55"/>
  <c r="H1235" i="55"/>
  <c r="H1236" i="55"/>
  <c r="H1237" i="55"/>
  <c r="H1238" i="55"/>
  <c r="H1241" i="55"/>
  <c r="H1242" i="55"/>
  <c r="H1243" i="55"/>
  <c r="H1244" i="55"/>
  <c r="H1245" i="55"/>
  <c r="H1246" i="55"/>
  <c r="H1247" i="55"/>
  <c r="H1248" i="55"/>
  <c r="H1249" i="55"/>
  <c r="H1250" i="55"/>
  <c r="H1251" i="55"/>
  <c r="H1252" i="55"/>
  <c r="H1253" i="55"/>
  <c r="H1254" i="55"/>
  <c r="H1255" i="55"/>
  <c r="H1256" i="55"/>
  <c r="H1257" i="55"/>
  <c r="H1258" i="55"/>
  <c r="H1260" i="55"/>
  <c r="H1261" i="55"/>
  <c r="H1262" i="55"/>
  <c r="H1263" i="55"/>
  <c r="H1264" i="55"/>
  <c r="H1265" i="55"/>
  <c r="H1266" i="55"/>
  <c r="H1267" i="55"/>
  <c r="H1268" i="55"/>
  <c r="H1269" i="55"/>
  <c r="H1270" i="55"/>
  <c r="H1271" i="55"/>
  <c r="H1272" i="55"/>
  <c r="R1273" i="55" a="1"/>
  <c r="R1273" i="55" s="1"/>
  <c r="Q1273" i="55" a="1"/>
  <c r="Q1273" i="55" s="1"/>
  <c r="H1274" i="55"/>
  <c r="H1275" i="55"/>
  <c r="H1276" i="55"/>
  <c r="H1277" i="55"/>
  <c r="H1278" i="55"/>
  <c r="H1279" i="55"/>
  <c r="H1280" i="55"/>
  <c r="H1281" i="55"/>
  <c r="H1282" i="55"/>
  <c r="H1283" i="55"/>
  <c r="H1284" i="55"/>
  <c r="H1285" i="55"/>
  <c r="H1286" i="55"/>
  <c r="H1287" i="55"/>
  <c r="H1288" i="55"/>
  <c r="H1291" i="55"/>
  <c r="H1292" i="55"/>
  <c r="H1293" i="55"/>
  <c r="H1295" i="55"/>
  <c r="H1296" i="55"/>
  <c r="H1297" i="55"/>
  <c r="H1298" i="55"/>
  <c r="H1299" i="55"/>
  <c r="H1300" i="55"/>
  <c r="H1301" i="55"/>
  <c r="H1302" i="55"/>
  <c r="H1303" i="55"/>
  <c r="H1304" i="55"/>
  <c r="H1305" i="55"/>
  <c r="H1306" i="55"/>
  <c r="H1307" i="55"/>
  <c r="H1308" i="55"/>
  <c r="H1309" i="55"/>
  <c r="H1310" i="55"/>
  <c r="H1311" i="55"/>
  <c r="H1312" i="55"/>
  <c r="H1313" i="55"/>
  <c r="H1314" i="55"/>
  <c r="H1317" i="55"/>
  <c r="H1318" i="55"/>
  <c r="H1319" i="55"/>
  <c r="H1320" i="55"/>
  <c r="H1321" i="55"/>
  <c r="H1322" i="55"/>
  <c r="H1323" i="55"/>
  <c r="H1324" i="55"/>
  <c r="H1325" i="55"/>
  <c r="H1326" i="55"/>
  <c r="H1328" i="55"/>
  <c r="H1329" i="55"/>
  <c r="H1330" i="55"/>
  <c r="H1331" i="55"/>
  <c r="H1334" i="55"/>
  <c r="H1335" i="55"/>
  <c r="R1336" i="55" a="1"/>
  <c r="R1336" i="55" s="1"/>
  <c r="Q1336" i="55" a="1"/>
  <c r="Q1336" i="55" s="1"/>
  <c r="H1338" i="55"/>
  <c r="H1339" i="55"/>
  <c r="H1341" i="55"/>
  <c r="H1342" i="55"/>
  <c r="H1343" i="55"/>
  <c r="H1344" i="55"/>
  <c r="H1345" i="55"/>
  <c r="H1346" i="55"/>
  <c r="H1347" i="55"/>
  <c r="H1348" i="55"/>
  <c r="H1349" i="55"/>
  <c r="H1350" i="55"/>
  <c r="H1352" i="55"/>
  <c r="H1353" i="55"/>
  <c r="H1354" i="55"/>
  <c r="H1356" i="55"/>
  <c r="H1358" i="55"/>
  <c r="H1359" i="55"/>
  <c r="H1360" i="55"/>
  <c r="H1362" i="55"/>
  <c r="H1363" i="55"/>
  <c r="H1365" i="55"/>
  <c r="H1366" i="55"/>
  <c r="H1367" i="55"/>
  <c r="H1369" i="55"/>
  <c r="H1370" i="55"/>
  <c r="H1372" i="55"/>
  <c r="H1373" i="55"/>
  <c r="H1374" i="55"/>
  <c r="H1376" i="55"/>
  <c r="R1378" i="55" a="1"/>
  <c r="R1378" i="55" s="1"/>
  <c r="Q1378" i="55" a="1"/>
  <c r="Q1378" i="55" s="1"/>
  <c r="R1388" i="55" a="1"/>
  <c r="R1388" i="55" s="1"/>
  <c r="Q1388" i="55" a="1"/>
  <c r="Q1388" i="55" s="1"/>
  <c r="H1396" i="55"/>
  <c r="H1397" i="55"/>
  <c r="H1398" i="55"/>
  <c r="H1399" i="55"/>
  <c r="H1401" i="55"/>
  <c r="H1402" i="55"/>
  <c r="H1403" i="55"/>
  <c r="R1404" i="55" a="1"/>
  <c r="R1404" i="55" s="1"/>
  <c r="Q1404" i="55" a="1"/>
  <c r="Q1404" i="55" s="1"/>
  <c r="H1405" i="55"/>
  <c r="H1406" i="55"/>
  <c r="H1407" i="55"/>
  <c r="H1408" i="55"/>
  <c r="H1409" i="55"/>
  <c r="R1411" i="55" a="1"/>
  <c r="R1411" i="55" s="1"/>
  <c r="Q1411" i="55" a="1"/>
  <c r="Q1411" i="55" s="1"/>
  <c r="H1414" i="55"/>
  <c r="H1415" i="55"/>
  <c r="H1416" i="55"/>
  <c r="H1417" i="55"/>
  <c r="H1418" i="55"/>
  <c r="H1419" i="55"/>
  <c r="H1420" i="55"/>
  <c r="R1421" i="55" a="1"/>
  <c r="R1421" i="55" s="1"/>
  <c r="Q1421" i="55" a="1"/>
  <c r="Q1421" i="55" s="1"/>
  <c r="H1423" i="55"/>
  <c r="H1424" i="55"/>
  <c r="H1425" i="55"/>
  <c r="H1426" i="55"/>
  <c r="H1427" i="55"/>
  <c r="H1428" i="55"/>
  <c r="H1430" i="55"/>
  <c r="H1431" i="55"/>
  <c r="H1432" i="55"/>
  <c r="H1433" i="55"/>
  <c r="H1435" i="55"/>
  <c r="H1436" i="55"/>
  <c r="H1437" i="55"/>
  <c r="H1438" i="55"/>
  <c r="H1439" i="55"/>
  <c r="H1440" i="55"/>
  <c r="H1442" i="55"/>
  <c r="H1443" i="55"/>
  <c r="H1444" i="55"/>
  <c r="H1445" i="55"/>
  <c r="H1446" i="55"/>
  <c r="H1447" i="55"/>
  <c r="H1449" i="55"/>
  <c r="H1450" i="55"/>
  <c r="R1451" i="55" a="1"/>
  <c r="R1451" i="55" s="1"/>
  <c r="Q1451" i="55" a="1"/>
  <c r="Q1451" i="55" s="1"/>
  <c r="H1452" i="55"/>
  <c r="H1453" i="55"/>
  <c r="H1455" i="55"/>
  <c r="H1456" i="55"/>
  <c r="H1457" i="55"/>
  <c r="H1458" i="55"/>
  <c r="H1459" i="55"/>
  <c r="H1461" i="55"/>
  <c r="H1462" i="55"/>
  <c r="H1467" i="55"/>
  <c r="H1469" i="55"/>
  <c r="H1470" i="55"/>
  <c r="H1471" i="55"/>
  <c r="H1472" i="55"/>
  <c r="H1473" i="55"/>
  <c r="H1474" i="55"/>
  <c r="H1475" i="55"/>
  <c r="H1478" i="55"/>
  <c r="H1479" i="55"/>
  <c r="H1481" i="55"/>
  <c r="H1482" i="55"/>
  <c r="H1484" i="55"/>
  <c r="H1485" i="55"/>
  <c r="H1486" i="55"/>
  <c r="H1492" i="55"/>
  <c r="H1493" i="55"/>
  <c r="H1494" i="55"/>
  <c r="H1496" i="55"/>
  <c r="H1497" i="55"/>
  <c r="H1499" i="55"/>
  <c r="H1500" i="55"/>
  <c r="B873" i="55"/>
  <c r="K873" i="55"/>
  <c r="K874" i="55"/>
  <c r="B874" i="55"/>
  <c r="B875" i="55"/>
  <c r="K875" i="55"/>
  <c r="K876" i="55"/>
  <c r="B876" i="55"/>
  <c r="K877" i="55"/>
  <c r="B877" i="55"/>
  <c r="B878" i="55"/>
  <c r="K878" i="55"/>
  <c r="B879" i="55"/>
  <c r="K879" i="55"/>
  <c r="B880" i="55"/>
  <c r="K880" i="55"/>
  <c r="B881" i="55"/>
  <c r="K881" i="55"/>
  <c r="K882" i="55"/>
  <c r="B882" i="55"/>
  <c r="B883" i="55"/>
  <c r="K883" i="55"/>
  <c r="K884" i="55"/>
  <c r="B884" i="55"/>
  <c r="K885" i="55"/>
  <c r="B885" i="55"/>
  <c r="K886" i="55"/>
  <c r="B886" i="55"/>
  <c r="B887" i="55"/>
  <c r="K887" i="55"/>
  <c r="K888" i="55"/>
  <c r="B888" i="55"/>
  <c r="B889" i="55"/>
  <c r="K889" i="55"/>
  <c r="B890" i="55"/>
  <c r="K890" i="55"/>
  <c r="K891" i="55"/>
  <c r="B891" i="55"/>
  <c r="B892" i="55"/>
  <c r="K892" i="55"/>
  <c r="B893" i="55"/>
  <c r="K893" i="55"/>
  <c r="B894" i="55"/>
  <c r="K894" i="55"/>
  <c r="K895" i="55"/>
  <c r="B895" i="55"/>
  <c r="K896" i="55"/>
  <c r="B896" i="55"/>
  <c r="K897" i="55"/>
  <c r="B897" i="55"/>
  <c r="B898" i="55"/>
  <c r="K898" i="55"/>
  <c r="K899" i="55"/>
  <c r="B899" i="55"/>
  <c r="B900" i="55"/>
  <c r="K900" i="55"/>
  <c r="B901" i="55"/>
  <c r="K901" i="55"/>
  <c r="K902" i="55"/>
  <c r="B902" i="55"/>
  <c r="K903" i="55"/>
  <c r="B903" i="55"/>
  <c r="K904" i="55"/>
  <c r="B904" i="55"/>
  <c r="K905" i="55"/>
  <c r="B905" i="55"/>
  <c r="B906" i="55"/>
  <c r="K906" i="55"/>
  <c r="B907" i="55"/>
  <c r="K907" i="55"/>
  <c r="B908" i="55"/>
  <c r="K908" i="55"/>
  <c r="K909" i="55"/>
  <c r="B909" i="55"/>
  <c r="K910" i="55"/>
  <c r="B910" i="55"/>
  <c r="B911" i="55"/>
  <c r="K911" i="55"/>
  <c r="B912" i="55"/>
  <c r="K912" i="55"/>
  <c r="K913" i="55"/>
  <c r="B913" i="55"/>
  <c r="B914" i="55"/>
  <c r="K914" i="55"/>
  <c r="K915" i="55"/>
  <c r="B915" i="55"/>
  <c r="K916" i="55"/>
  <c r="B916" i="55"/>
  <c r="K917" i="55"/>
  <c r="B917" i="55"/>
  <c r="K918" i="55"/>
  <c r="B918" i="55"/>
  <c r="B919" i="55"/>
  <c r="K919" i="55"/>
  <c r="K920" i="55"/>
  <c r="B920" i="55"/>
  <c r="K921" i="55"/>
  <c r="B921" i="55"/>
  <c r="B922" i="55"/>
  <c r="K922" i="55"/>
  <c r="K923" i="55"/>
  <c r="B923" i="55"/>
  <c r="K924" i="55"/>
  <c r="B924" i="55"/>
  <c r="K925" i="55"/>
  <c r="B925" i="55"/>
  <c r="K926" i="55"/>
  <c r="B926" i="55"/>
  <c r="B927" i="55"/>
  <c r="K927" i="55"/>
  <c r="B928" i="55"/>
  <c r="K928" i="55"/>
  <c r="K929" i="55"/>
  <c r="B929" i="55"/>
  <c r="B930" i="55"/>
  <c r="K930" i="55"/>
  <c r="K931" i="55"/>
  <c r="B931" i="55"/>
  <c r="B932" i="55"/>
  <c r="K932" i="55"/>
  <c r="B933" i="55"/>
  <c r="K933" i="55"/>
  <c r="B934" i="55"/>
  <c r="K934" i="55"/>
  <c r="K935" i="55"/>
  <c r="B935" i="55"/>
  <c r="K936" i="55"/>
  <c r="B936" i="55"/>
  <c r="K937" i="55"/>
  <c r="B937" i="55"/>
  <c r="K938" i="55"/>
  <c r="B938" i="55"/>
  <c r="K939" i="55"/>
  <c r="B939" i="55"/>
  <c r="K940" i="55"/>
  <c r="B940" i="55"/>
  <c r="B941" i="55"/>
  <c r="K941" i="55"/>
  <c r="B942" i="55"/>
  <c r="K942" i="55"/>
  <c r="B943" i="55"/>
  <c r="K943" i="55"/>
  <c r="K944" i="55"/>
  <c r="B944" i="55"/>
  <c r="B945" i="55"/>
  <c r="K945" i="55"/>
  <c r="B946" i="55"/>
  <c r="K946" i="55"/>
  <c r="B947" i="55"/>
  <c r="K947" i="55"/>
  <c r="K948" i="55"/>
  <c r="B948" i="55"/>
  <c r="B949" i="55"/>
  <c r="K949" i="55"/>
  <c r="K950" i="55"/>
  <c r="B950" i="55"/>
  <c r="K951" i="55"/>
  <c r="B951" i="55"/>
  <c r="B952" i="55"/>
  <c r="K952" i="55"/>
  <c r="B953" i="55"/>
  <c r="K953" i="55"/>
  <c r="B954" i="55"/>
  <c r="K954" i="55"/>
  <c r="B955" i="55"/>
  <c r="K955" i="55"/>
  <c r="B956" i="55"/>
  <c r="K956" i="55"/>
  <c r="B957" i="55"/>
  <c r="K957" i="55"/>
  <c r="B958" i="55"/>
  <c r="K958" i="55"/>
  <c r="K959" i="55"/>
  <c r="B959" i="55"/>
  <c r="B960" i="55"/>
  <c r="K960" i="55"/>
  <c r="K961" i="55"/>
  <c r="B961" i="55"/>
  <c r="B962" i="55"/>
  <c r="K962" i="55"/>
  <c r="B963" i="55"/>
  <c r="K963" i="55"/>
  <c r="K964" i="55"/>
  <c r="B964" i="55"/>
  <c r="B965" i="55"/>
  <c r="K965" i="55"/>
  <c r="K966" i="55"/>
  <c r="B966" i="55"/>
  <c r="B967" i="55"/>
  <c r="K967" i="55"/>
  <c r="K968" i="55"/>
  <c r="B968" i="55"/>
  <c r="K969" i="55"/>
  <c r="B969" i="55"/>
  <c r="B970" i="55"/>
  <c r="K970" i="55"/>
  <c r="K971" i="55"/>
  <c r="B971" i="55"/>
  <c r="K972" i="55"/>
  <c r="B972" i="55"/>
  <c r="B973" i="55"/>
  <c r="K973" i="55"/>
  <c r="B974" i="55"/>
  <c r="K974" i="55"/>
  <c r="K975" i="55"/>
  <c r="B975" i="55"/>
  <c r="K976" i="55"/>
  <c r="B976" i="55"/>
  <c r="K977" i="55"/>
  <c r="B977" i="55"/>
  <c r="K978" i="55"/>
  <c r="B978" i="55"/>
  <c r="B979" i="55"/>
  <c r="K979" i="55"/>
  <c r="B980" i="55"/>
  <c r="K980" i="55"/>
  <c r="K981" i="55"/>
  <c r="B981" i="55"/>
  <c r="K982" i="55"/>
  <c r="B982" i="55"/>
  <c r="K983" i="55"/>
  <c r="B983" i="55"/>
  <c r="K984" i="55"/>
  <c r="B984" i="55"/>
  <c r="B985" i="55"/>
  <c r="K985" i="55"/>
  <c r="K986" i="55"/>
  <c r="B986" i="55"/>
  <c r="B987" i="55"/>
  <c r="K987" i="55"/>
  <c r="K988" i="55"/>
  <c r="B988" i="55"/>
  <c r="B989" i="55"/>
  <c r="K989" i="55"/>
  <c r="B990" i="55"/>
  <c r="K990" i="55"/>
  <c r="K991" i="55"/>
  <c r="B991" i="55"/>
  <c r="K992" i="55"/>
  <c r="B992" i="55"/>
  <c r="K993" i="55"/>
  <c r="B993" i="55"/>
  <c r="B994" i="55"/>
  <c r="K994" i="55"/>
  <c r="K995" i="55"/>
  <c r="B995" i="55"/>
  <c r="K996" i="55"/>
  <c r="B996" i="55"/>
  <c r="B997" i="55"/>
  <c r="K997" i="55"/>
  <c r="B998" i="55"/>
  <c r="K998" i="55"/>
  <c r="K999" i="55"/>
  <c r="B999" i="55"/>
  <c r="K1000" i="55"/>
  <c r="B1000" i="55"/>
  <c r="B1001" i="55"/>
  <c r="K1001" i="55"/>
  <c r="B1002" i="55"/>
  <c r="K1002" i="55"/>
  <c r="K1003" i="55"/>
  <c r="B1003" i="55"/>
  <c r="B1004" i="55"/>
  <c r="K1004" i="55"/>
  <c r="K1005" i="55"/>
  <c r="B1005" i="55"/>
  <c r="K1006" i="55"/>
  <c r="B1006" i="55"/>
  <c r="B1007" i="55"/>
  <c r="K1007" i="55"/>
  <c r="B1008" i="55"/>
  <c r="K1008" i="55"/>
  <c r="K1009" i="55"/>
  <c r="B1009" i="55"/>
  <c r="B1010" i="55"/>
  <c r="K1010" i="55"/>
  <c r="B1011" i="55"/>
  <c r="K1011" i="55"/>
  <c r="B1012" i="55"/>
  <c r="K1012" i="55"/>
  <c r="B1013" i="55"/>
  <c r="K1013" i="55"/>
  <c r="B1014" i="55"/>
  <c r="K1014" i="55"/>
  <c r="B1015" i="55"/>
  <c r="K1015" i="55"/>
  <c r="B1016" i="55"/>
  <c r="K1016" i="55"/>
  <c r="B1017" i="55"/>
  <c r="K1017" i="55"/>
  <c r="K1018" i="55"/>
  <c r="B1018" i="55"/>
  <c r="K1019" i="55"/>
  <c r="B1019" i="55"/>
  <c r="B1020" i="55"/>
  <c r="K1020" i="55"/>
  <c r="B1021" i="55"/>
  <c r="K1021" i="55"/>
  <c r="K1022" i="55"/>
  <c r="B1022" i="55"/>
  <c r="B1023" i="55"/>
  <c r="K1023" i="55"/>
  <c r="K1024" i="55"/>
  <c r="B1024" i="55"/>
  <c r="B1025" i="55"/>
  <c r="K1025" i="55"/>
  <c r="K1026" i="55"/>
  <c r="B1026" i="55"/>
  <c r="K1027" i="55"/>
  <c r="B1027" i="55"/>
  <c r="K1028" i="55"/>
  <c r="B1028" i="55"/>
  <c r="B1029" i="55"/>
  <c r="K1029" i="55"/>
  <c r="K1030" i="55"/>
  <c r="B1030" i="55"/>
  <c r="B1031" i="55"/>
  <c r="K1031" i="55"/>
  <c r="B1032" i="55"/>
  <c r="K1032" i="55"/>
  <c r="K1033" i="55"/>
  <c r="B1033" i="55"/>
  <c r="B1034" i="55"/>
  <c r="K1034" i="55"/>
  <c r="K1035" i="55"/>
  <c r="B1035" i="55"/>
  <c r="B1036" i="55"/>
  <c r="K1036" i="55"/>
  <c r="B1037" i="55"/>
  <c r="K1037" i="55"/>
  <c r="K1038" i="55"/>
  <c r="B1038" i="55"/>
  <c r="K1039" i="55"/>
  <c r="B1039" i="55"/>
  <c r="B1040" i="55"/>
  <c r="K1040" i="55"/>
  <c r="B1041" i="55"/>
  <c r="K1041" i="55"/>
  <c r="B1042" i="55"/>
  <c r="K1042" i="55"/>
  <c r="B1043" i="55"/>
  <c r="K1043" i="55"/>
  <c r="B1044" i="55"/>
  <c r="K1044" i="55"/>
  <c r="K1045" i="55"/>
  <c r="B1045" i="55"/>
  <c r="K1046" i="55"/>
  <c r="B1046" i="55"/>
  <c r="B1047" i="55"/>
  <c r="K1047" i="55"/>
  <c r="K1048" i="55"/>
  <c r="B1048" i="55"/>
  <c r="K1049" i="55"/>
  <c r="B1049" i="55"/>
  <c r="K1050" i="55"/>
  <c r="B1050" i="55"/>
  <c r="K1051" i="55"/>
  <c r="B1051" i="55"/>
  <c r="K1052" i="55"/>
  <c r="B1052" i="55"/>
  <c r="B1053" i="55"/>
  <c r="K1053" i="55"/>
  <c r="B1054" i="55"/>
  <c r="K1054" i="55"/>
  <c r="K1055" i="55"/>
  <c r="B1055" i="55"/>
  <c r="B1056" i="55"/>
  <c r="K1056" i="55"/>
  <c r="K1057" i="55"/>
  <c r="B1057" i="55"/>
  <c r="K1058" i="55"/>
  <c r="B1058" i="55"/>
  <c r="K1059" i="55"/>
  <c r="B1059" i="55"/>
  <c r="K1060" i="55"/>
  <c r="B1060" i="55"/>
  <c r="B1061" i="55"/>
  <c r="K1061" i="55"/>
  <c r="B1062" i="55"/>
  <c r="K1062" i="55"/>
  <c r="B1063" i="55"/>
  <c r="K1063" i="55"/>
  <c r="K1064" i="55"/>
  <c r="B1064" i="55"/>
  <c r="K1065" i="55"/>
  <c r="B1065" i="55"/>
  <c r="B1066" i="55"/>
  <c r="K1066" i="55"/>
  <c r="B1067" i="55"/>
  <c r="K1067" i="55"/>
  <c r="K1068" i="55"/>
  <c r="B1068" i="55"/>
  <c r="B1069" i="55"/>
  <c r="K1069" i="55"/>
  <c r="K1070" i="55"/>
  <c r="B1070" i="55"/>
  <c r="K1071" i="55"/>
  <c r="B1071" i="55"/>
  <c r="B1072" i="55"/>
  <c r="K1072" i="55"/>
  <c r="B1073" i="55"/>
  <c r="K1073" i="55"/>
  <c r="K1074" i="55"/>
  <c r="B1074" i="55"/>
  <c r="K1075" i="55"/>
  <c r="B1075" i="55"/>
  <c r="K1076" i="55"/>
  <c r="B1076" i="55"/>
  <c r="K1077" i="55"/>
  <c r="B1077" i="55"/>
  <c r="B1078" i="55"/>
  <c r="K1078" i="55"/>
  <c r="B1079" i="55"/>
  <c r="K1079" i="55"/>
  <c r="K1080" i="55"/>
  <c r="B1080" i="55"/>
  <c r="B1081" i="55"/>
  <c r="K1081" i="55"/>
  <c r="K1082" i="55"/>
  <c r="B1082" i="55"/>
  <c r="K1083" i="55"/>
  <c r="B1083" i="55"/>
  <c r="K1084" i="55"/>
  <c r="B1084" i="55"/>
  <c r="K1085" i="55"/>
  <c r="B1085" i="55"/>
  <c r="K1086" i="55"/>
  <c r="B1086" i="55"/>
  <c r="B1087" i="55"/>
  <c r="K1087" i="55"/>
  <c r="K1088" i="55"/>
  <c r="B1088" i="55"/>
  <c r="B1089" i="55"/>
  <c r="K1089" i="55"/>
  <c r="K1090" i="55"/>
  <c r="B1090" i="55"/>
  <c r="B1091" i="55"/>
  <c r="K1091" i="55"/>
  <c r="K1092" i="55"/>
  <c r="B1092" i="55"/>
  <c r="K1093" i="55"/>
  <c r="B1093" i="55"/>
  <c r="B1094" i="55"/>
  <c r="K1094" i="55"/>
  <c r="B1095" i="55"/>
  <c r="K1095" i="55"/>
  <c r="B1096" i="55"/>
  <c r="K1096" i="55"/>
  <c r="B1097" i="55"/>
  <c r="K1097" i="55"/>
  <c r="K1098" i="55"/>
  <c r="B1098" i="55"/>
  <c r="B1099" i="55"/>
  <c r="K1099" i="55"/>
  <c r="B1100" i="55"/>
  <c r="K1100" i="55"/>
  <c r="B1101" i="55"/>
  <c r="K1101" i="55"/>
  <c r="B1102" i="55"/>
  <c r="K1102" i="55"/>
  <c r="B1103" i="55"/>
  <c r="K1103" i="55"/>
  <c r="K1104" i="55"/>
  <c r="B1104" i="55"/>
  <c r="K1105" i="55"/>
  <c r="B1105" i="55"/>
  <c r="B1106" i="55"/>
  <c r="K1106" i="55"/>
  <c r="K1107" i="55"/>
  <c r="B1107" i="55"/>
  <c r="K1108" i="55"/>
  <c r="B1108" i="55"/>
  <c r="K1109" i="55"/>
  <c r="B1109" i="55"/>
  <c r="B1110" i="55"/>
  <c r="K1110" i="55"/>
  <c r="B1111" i="55"/>
  <c r="K1111" i="55"/>
  <c r="K1112" i="55"/>
  <c r="B1112" i="55"/>
  <c r="B1113" i="55"/>
  <c r="K1113" i="55"/>
  <c r="B1114" i="55"/>
  <c r="K1114" i="55"/>
  <c r="B1115" i="55"/>
  <c r="K1115" i="55"/>
  <c r="B1116" i="55"/>
  <c r="K1116" i="55"/>
  <c r="B1117" i="55"/>
  <c r="K1117" i="55"/>
  <c r="B1118" i="55"/>
  <c r="K1118" i="55"/>
  <c r="K1119" i="55"/>
  <c r="B1119" i="55"/>
  <c r="K1120" i="55"/>
  <c r="B1120" i="55"/>
  <c r="B1121" i="55"/>
  <c r="K1121" i="55"/>
  <c r="K1122" i="55"/>
  <c r="B1122" i="55"/>
  <c r="B1123" i="55"/>
  <c r="K1123" i="55"/>
  <c r="K1124" i="55"/>
  <c r="B1124" i="55"/>
  <c r="B1125" i="55"/>
  <c r="K1125" i="55"/>
  <c r="B1126" i="55"/>
  <c r="K1126" i="55"/>
  <c r="K1127" i="55"/>
  <c r="B1127" i="55"/>
  <c r="K1128" i="55"/>
  <c r="B1128" i="55"/>
  <c r="K1129" i="55"/>
  <c r="B1129" i="55"/>
  <c r="K1130" i="55"/>
  <c r="B1130" i="55"/>
  <c r="B1131" i="55"/>
  <c r="K1131" i="55"/>
  <c r="B1132" i="55"/>
  <c r="K1132" i="55"/>
  <c r="K1133" i="55"/>
  <c r="B1133" i="55"/>
  <c r="B1134" i="55"/>
  <c r="K1134" i="55"/>
  <c r="B1135" i="55"/>
  <c r="K1135" i="55"/>
  <c r="B1136" i="55"/>
  <c r="K1136" i="55"/>
  <c r="K1137" i="55"/>
  <c r="B1137" i="55"/>
  <c r="K1138" i="55"/>
  <c r="B1138" i="55"/>
  <c r="B1139" i="55"/>
  <c r="K1139" i="55"/>
  <c r="B1140" i="55"/>
  <c r="K1140" i="55"/>
  <c r="B1141" i="55"/>
  <c r="K1141" i="55"/>
  <c r="B1142" i="55"/>
  <c r="K1142" i="55"/>
  <c r="B1143" i="55"/>
  <c r="K1143" i="55"/>
  <c r="K1144" i="55"/>
  <c r="B1144" i="55"/>
  <c r="B1145" i="55"/>
  <c r="K1145" i="55"/>
  <c r="K1146" i="55"/>
  <c r="B1146" i="55"/>
  <c r="B1147" i="55"/>
  <c r="K1147" i="55"/>
  <c r="B1148" i="55"/>
  <c r="K1148" i="55"/>
  <c r="K1149" i="55"/>
  <c r="B1149" i="55"/>
  <c r="B1150" i="55"/>
  <c r="K1150" i="55"/>
  <c r="B1151" i="55"/>
  <c r="K1151" i="55"/>
  <c r="K1152" i="55"/>
  <c r="B1152" i="55"/>
  <c r="B1153" i="55"/>
  <c r="K1153" i="55"/>
  <c r="B1154" i="55"/>
  <c r="K1154" i="55"/>
  <c r="B1155" i="55"/>
  <c r="K1155" i="55"/>
  <c r="B1156" i="55"/>
  <c r="K1156" i="55"/>
  <c r="K1157" i="55"/>
  <c r="B1157" i="55"/>
  <c r="B1158" i="55"/>
  <c r="K1158" i="55"/>
  <c r="B1159" i="55"/>
  <c r="K1159" i="55"/>
  <c r="B1160" i="55"/>
  <c r="K1160" i="55"/>
  <c r="K1161" i="55"/>
  <c r="B1161" i="55"/>
  <c r="B1162" i="55"/>
  <c r="K1162" i="55"/>
  <c r="B1163" i="55"/>
  <c r="K1163" i="55"/>
  <c r="B1164" i="55"/>
  <c r="K1164" i="55"/>
  <c r="B1165" i="55"/>
  <c r="K1165" i="55"/>
  <c r="B1166" i="55"/>
  <c r="K1166" i="55"/>
  <c r="B1167" i="55"/>
  <c r="K1167" i="55"/>
  <c r="B1168" i="55"/>
  <c r="K1168" i="55"/>
  <c r="B1169" i="55"/>
  <c r="K1169" i="55"/>
  <c r="B1170" i="55"/>
  <c r="K1170" i="55"/>
  <c r="B1171" i="55"/>
  <c r="K1171" i="55"/>
  <c r="B1172" i="55"/>
  <c r="K1172" i="55"/>
  <c r="B1173" i="55"/>
  <c r="K1173" i="55"/>
  <c r="B1174" i="55"/>
  <c r="K1174" i="55"/>
  <c r="B1175" i="55"/>
  <c r="K1175" i="55"/>
  <c r="K1176" i="55"/>
  <c r="B1176" i="55"/>
  <c r="B1177" i="55"/>
  <c r="K1177" i="55"/>
  <c r="K1178" i="55"/>
  <c r="B1178" i="55"/>
  <c r="K1179" i="55"/>
  <c r="B1179" i="55"/>
  <c r="K1180" i="55"/>
  <c r="B1180" i="55"/>
  <c r="K1181" i="55"/>
  <c r="B1181" i="55"/>
  <c r="K1182" i="55"/>
  <c r="B1182" i="55"/>
  <c r="K1183" i="55"/>
  <c r="B1183" i="55"/>
  <c r="K1184" i="55"/>
  <c r="B1184" i="55"/>
  <c r="K1185" i="55"/>
  <c r="B1185" i="55"/>
  <c r="B1186" i="55"/>
  <c r="K1186" i="55"/>
  <c r="B1187" i="55"/>
  <c r="K1187" i="55"/>
  <c r="B1188" i="55"/>
  <c r="K1188" i="55"/>
  <c r="B1189" i="55"/>
  <c r="K1189" i="55"/>
  <c r="B1190" i="55"/>
  <c r="K1190" i="55"/>
  <c r="B1191" i="55"/>
  <c r="K1191" i="55"/>
  <c r="K1192" i="55"/>
  <c r="B1192" i="55"/>
  <c r="B1193" i="55"/>
  <c r="K1193" i="55"/>
  <c r="B1194" i="55"/>
  <c r="K1194" i="55"/>
  <c r="K1195" i="55"/>
  <c r="B1195" i="55"/>
  <c r="B1196" i="55"/>
  <c r="K1196" i="55"/>
  <c r="B1197" i="55"/>
  <c r="K1197" i="55"/>
  <c r="B1198" i="55"/>
  <c r="K1198" i="55"/>
  <c r="K1199" i="55"/>
  <c r="B1199" i="55"/>
  <c r="K1200" i="55"/>
  <c r="B1200" i="55"/>
  <c r="K1201" i="55"/>
  <c r="B1201" i="55"/>
  <c r="K1202" i="55"/>
  <c r="B1202" i="55"/>
  <c r="K1203" i="55"/>
  <c r="B1203" i="55"/>
  <c r="B1204" i="55"/>
  <c r="K1204" i="55"/>
  <c r="B1205" i="55"/>
  <c r="K1205" i="55"/>
  <c r="K1206" i="55"/>
  <c r="B1206" i="55"/>
  <c r="B1207" i="55"/>
  <c r="K1207" i="55"/>
  <c r="B1208" i="55"/>
  <c r="K1208" i="55"/>
  <c r="B1209" i="55"/>
  <c r="K1209" i="55"/>
  <c r="K1210" i="55"/>
  <c r="B1210" i="55"/>
  <c r="K1211" i="55"/>
  <c r="B1211" i="55"/>
  <c r="K1212" i="55"/>
  <c r="B1212" i="55"/>
  <c r="K1213" i="55"/>
  <c r="B1213" i="55"/>
  <c r="K1214" i="55"/>
  <c r="B1214" i="55"/>
  <c r="K1215" i="55"/>
  <c r="B1215" i="55"/>
  <c r="B1216" i="55"/>
  <c r="K1216" i="55"/>
  <c r="K1217" i="55"/>
  <c r="B1217" i="55"/>
  <c r="B1218" i="55"/>
  <c r="K1218" i="55"/>
  <c r="B1219" i="55"/>
  <c r="K1219" i="55"/>
  <c r="B1220" i="55"/>
  <c r="K1220" i="55"/>
  <c r="K1221" i="55"/>
  <c r="B1221" i="55"/>
  <c r="K1222" i="55"/>
  <c r="B1222" i="55"/>
  <c r="B1223" i="55"/>
  <c r="K1223" i="55"/>
  <c r="K1224" i="55"/>
  <c r="B1224" i="55"/>
  <c r="K1225" i="55"/>
  <c r="B1225" i="55"/>
  <c r="B1226" i="55"/>
  <c r="K1226" i="55"/>
  <c r="K1227" i="55"/>
  <c r="B1227" i="55"/>
  <c r="B1228" i="55"/>
  <c r="K1228" i="55"/>
  <c r="B1229" i="55"/>
  <c r="K1229" i="55"/>
  <c r="B1230" i="55"/>
  <c r="K1230" i="55"/>
  <c r="K1231" i="55"/>
  <c r="B1231" i="55"/>
  <c r="B1232" i="55"/>
  <c r="K1232" i="55"/>
  <c r="B1233" i="55"/>
  <c r="K1233" i="55"/>
  <c r="K1234" i="55"/>
  <c r="B1234" i="55"/>
  <c r="K1235" i="55"/>
  <c r="B1235" i="55"/>
  <c r="B1236" i="55"/>
  <c r="K1236" i="55"/>
  <c r="K1237" i="55"/>
  <c r="B1237" i="55"/>
  <c r="K1238" i="55"/>
  <c r="B1238" i="55"/>
  <c r="K1239" i="55"/>
  <c r="B1239" i="55"/>
  <c r="K1240" i="55"/>
  <c r="B1240" i="55"/>
  <c r="K1241" i="55"/>
  <c r="B1241" i="55"/>
  <c r="B1242" i="55"/>
  <c r="K1242" i="55"/>
  <c r="B1243" i="55"/>
  <c r="K1243" i="55"/>
  <c r="B1244" i="55"/>
  <c r="K1244" i="55"/>
  <c r="B1245" i="55"/>
  <c r="K1245" i="55"/>
  <c r="K1246" i="55"/>
  <c r="B1246" i="55"/>
  <c r="K1247" i="55"/>
  <c r="B1247" i="55"/>
  <c r="B1248" i="55"/>
  <c r="K1248" i="55"/>
  <c r="K1249" i="55"/>
  <c r="B1249" i="55"/>
  <c r="K1250" i="55"/>
  <c r="B1250" i="55"/>
  <c r="B1251" i="55"/>
  <c r="K1251" i="55"/>
  <c r="B1252" i="55"/>
  <c r="K1252" i="55"/>
  <c r="K1253" i="55"/>
  <c r="B1253" i="55"/>
  <c r="K1254" i="55"/>
  <c r="B1254" i="55"/>
  <c r="K1255" i="55"/>
  <c r="B1255" i="55"/>
  <c r="K1256" i="55"/>
  <c r="B1256" i="55"/>
  <c r="K1257" i="55"/>
  <c r="B1257" i="55"/>
  <c r="B1258" i="55"/>
  <c r="K1258" i="55"/>
  <c r="K1259" i="55"/>
  <c r="B1259" i="55"/>
  <c r="B1260" i="55"/>
  <c r="K1260" i="55"/>
  <c r="K1261" i="55"/>
  <c r="B1261" i="55"/>
  <c r="B1262" i="55"/>
  <c r="K1262" i="55"/>
  <c r="K1263" i="55"/>
  <c r="B1263" i="55"/>
  <c r="K1264" i="55"/>
  <c r="B1264" i="55"/>
  <c r="K1265" i="55"/>
  <c r="B1265" i="55"/>
  <c r="B1266" i="55"/>
  <c r="K1266" i="55"/>
  <c r="B1267" i="55"/>
  <c r="K1267" i="55"/>
  <c r="B1268" i="55"/>
  <c r="K1268" i="55"/>
  <c r="B1269" i="55"/>
  <c r="K1269" i="55"/>
  <c r="B1270" i="55"/>
  <c r="K1270" i="55"/>
  <c r="K1271" i="55"/>
  <c r="B1271" i="55"/>
  <c r="K1272" i="55"/>
  <c r="B1272" i="55"/>
  <c r="K1273" i="55"/>
  <c r="B1273" i="55"/>
  <c r="K1274" i="55"/>
  <c r="B1274" i="55"/>
  <c r="K1275" i="55"/>
  <c r="B1275" i="55"/>
  <c r="B1276" i="55"/>
  <c r="K1276" i="55"/>
  <c r="K1277" i="55"/>
  <c r="B1277" i="55"/>
  <c r="K1278" i="55"/>
  <c r="B1278" i="55"/>
  <c r="K1279" i="55"/>
  <c r="B1279" i="55"/>
  <c r="B1280" i="55"/>
  <c r="K1280" i="55"/>
  <c r="B1281" i="55"/>
  <c r="K1281" i="55"/>
  <c r="K1282" i="55"/>
  <c r="B1282" i="55"/>
  <c r="B1283" i="55"/>
  <c r="K1283" i="55"/>
  <c r="B1284" i="55"/>
  <c r="K1284" i="55"/>
  <c r="B1285" i="55"/>
  <c r="K1285" i="55"/>
  <c r="B1286" i="55"/>
  <c r="K1286" i="55"/>
  <c r="B1287" i="55"/>
  <c r="K1287" i="55"/>
  <c r="B1288" i="55"/>
  <c r="K1288" i="55"/>
  <c r="B1289" i="55"/>
  <c r="K1289" i="55"/>
  <c r="B1290" i="55"/>
  <c r="K1290" i="55"/>
  <c r="K1291" i="55"/>
  <c r="B1291" i="55"/>
  <c r="B1292" i="55"/>
  <c r="K1292" i="55"/>
  <c r="K1293" i="55"/>
  <c r="B1293" i="55"/>
  <c r="K1294" i="55"/>
  <c r="B1294" i="55"/>
  <c r="K1295" i="55"/>
  <c r="B1295" i="55"/>
  <c r="B1296" i="55"/>
  <c r="K1296" i="55"/>
  <c r="K1297" i="55"/>
  <c r="B1297" i="55"/>
  <c r="K1298" i="55"/>
  <c r="B1298" i="55"/>
  <c r="B1299" i="55"/>
  <c r="K1299" i="55"/>
  <c r="B1300" i="55"/>
  <c r="K1300" i="55"/>
  <c r="B1301" i="55"/>
  <c r="K1301" i="55"/>
  <c r="K1302" i="55"/>
  <c r="B1302" i="55"/>
  <c r="K1303" i="55"/>
  <c r="B1303" i="55"/>
  <c r="B1304" i="55"/>
  <c r="K1304" i="55"/>
  <c r="B1305" i="55"/>
  <c r="K1305" i="55"/>
  <c r="K1306" i="55"/>
  <c r="B1306" i="55"/>
  <c r="B1307" i="55"/>
  <c r="K1307" i="55"/>
  <c r="K1308" i="55"/>
  <c r="B1308" i="55"/>
  <c r="B1309" i="55"/>
  <c r="K1309" i="55"/>
  <c r="K1310" i="55"/>
  <c r="B1310" i="55"/>
  <c r="K1311" i="55"/>
  <c r="B1311" i="55"/>
  <c r="K1312" i="55"/>
  <c r="B1312" i="55"/>
  <c r="B1313" i="55"/>
  <c r="K1313" i="55"/>
  <c r="B1314" i="55"/>
  <c r="K1314" i="55"/>
  <c r="K1315" i="55"/>
  <c r="K1316" i="55"/>
  <c r="B1316" i="55"/>
  <c r="K1317" i="55"/>
  <c r="B1317" i="55"/>
  <c r="B1318" i="55"/>
  <c r="K1318" i="55"/>
  <c r="B1319" i="55"/>
  <c r="K1319" i="55"/>
  <c r="B1320" i="55"/>
  <c r="K1320" i="55"/>
  <c r="B1321" i="55"/>
  <c r="K1321" i="55"/>
  <c r="B1322" i="55"/>
  <c r="K1322" i="55"/>
  <c r="K1323" i="55"/>
  <c r="B1324" i="55"/>
  <c r="K1324" i="55"/>
  <c r="B1325" i="55"/>
  <c r="K1325" i="55"/>
  <c r="K1326" i="55"/>
  <c r="B1326" i="55"/>
  <c r="K1327" i="55"/>
  <c r="B1327" i="55"/>
  <c r="B1328" i="55"/>
  <c r="K1328" i="55"/>
  <c r="B1329" i="55"/>
  <c r="K1329" i="55"/>
  <c r="K1330" i="55"/>
  <c r="B1330" i="55"/>
  <c r="K1331" i="55"/>
  <c r="B1331" i="55"/>
  <c r="K1332" i="55"/>
  <c r="B1332" i="55"/>
  <c r="B1333" i="55"/>
  <c r="K1333" i="55"/>
  <c r="B1334" i="55"/>
  <c r="K1334" i="55"/>
  <c r="K1335" i="55"/>
  <c r="B1335" i="55"/>
  <c r="B1336" i="55"/>
  <c r="K1336" i="55"/>
  <c r="K1337" i="55"/>
  <c r="B1337" i="55"/>
  <c r="K1338" i="55"/>
  <c r="B1338" i="55"/>
  <c r="K1339" i="55"/>
  <c r="B1339" i="55"/>
  <c r="K1340" i="55"/>
  <c r="B1340" i="55"/>
  <c r="K1341" i="55"/>
  <c r="B1341" i="55"/>
  <c r="K1342" i="55"/>
  <c r="B1342" i="55"/>
  <c r="B1343" i="55"/>
  <c r="K1343" i="55"/>
  <c r="B1344" i="55"/>
  <c r="K1344" i="55"/>
  <c r="B1345" i="55"/>
  <c r="K1345" i="55"/>
  <c r="K1346" i="55"/>
  <c r="B1346" i="55"/>
  <c r="K1347" i="55"/>
  <c r="K1348" i="55"/>
  <c r="B1348" i="55"/>
  <c r="K1349" i="55"/>
  <c r="B1349" i="55"/>
  <c r="B1350" i="55"/>
  <c r="K1350" i="55"/>
  <c r="B1351" i="55"/>
  <c r="K1351" i="55"/>
  <c r="B1352" i="55"/>
  <c r="K1352" i="55"/>
  <c r="K1353" i="55"/>
  <c r="B1353" i="55"/>
  <c r="B1354" i="55"/>
  <c r="K1354" i="55"/>
  <c r="B1355" i="55"/>
  <c r="K1355" i="55"/>
  <c r="B1356" i="55"/>
  <c r="K1356" i="55"/>
  <c r="K1357" i="55"/>
  <c r="B1357" i="55"/>
  <c r="B1358" i="55"/>
  <c r="K1358" i="55"/>
  <c r="B1359" i="55"/>
  <c r="K1359" i="55"/>
  <c r="B1360" i="55"/>
  <c r="K1360" i="55"/>
  <c r="B1361" i="55"/>
  <c r="K1361" i="55"/>
  <c r="B1362" i="55"/>
  <c r="K1362" i="55"/>
  <c r="B1363" i="55"/>
  <c r="K1363" i="55"/>
  <c r="B1364" i="55"/>
  <c r="K1364" i="55"/>
  <c r="B1365" i="55"/>
  <c r="K1365" i="55"/>
  <c r="B1366" i="55"/>
  <c r="K1366" i="55"/>
  <c r="B1367" i="55"/>
  <c r="K1367" i="55"/>
  <c r="B1368" i="55"/>
  <c r="K1368" i="55"/>
  <c r="K1369" i="55"/>
  <c r="B1369" i="55"/>
  <c r="B1370" i="55"/>
  <c r="K1370" i="55"/>
  <c r="B1371" i="55"/>
  <c r="K1371" i="55"/>
  <c r="B1372" i="55"/>
  <c r="K1372" i="55"/>
  <c r="K1373" i="55"/>
  <c r="B1374" i="55"/>
  <c r="K1374" i="55"/>
  <c r="B1375" i="55"/>
  <c r="K1375" i="55"/>
  <c r="B1376" i="55"/>
  <c r="K1376" i="55"/>
  <c r="B1377" i="55"/>
  <c r="K1377" i="55"/>
  <c r="B1378" i="55"/>
  <c r="K1378" i="55"/>
  <c r="B1379" i="55"/>
  <c r="K1379" i="55"/>
  <c r="B1380" i="55"/>
  <c r="K1380" i="55"/>
  <c r="B1381" i="55"/>
  <c r="K1381" i="55"/>
  <c r="B1382" i="55"/>
  <c r="K1382" i="55"/>
  <c r="B1383" i="55"/>
  <c r="K1383" i="55"/>
  <c r="K1384" i="55"/>
  <c r="B1384" i="55"/>
  <c r="B1385" i="55"/>
  <c r="K1385" i="55"/>
  <c r="B1386" i="55"/>
  <c r="K1386" i="55"/>
  <c r="B1387" i="55"/>
  <c r="K1387" i="55"/>
  <c r="B1388" i="55"/>
  <c r="K1388" i="55"/>
  <c r="K1389" i="55"/>
  <c r="B1389" i="55"/>
  <c r="B1390" i="55"/>
  <c r="K1390" i="55"/>
  <c r="K1391" i="55"/>
  <c r="B1391" i="55"/>
  <c r="B1392" i="55"/>
  <c r="K1392" i="55"/>
  <c r="K1393" i="55"/>
  <c r="B1393" i="55"/>
  <c r="K1394" i="55"/>
  <c r="B1394" i="55"/>
  <c r="K1395" i="55"/>
  <c r="B1395" i="55"/>
  <c r="B1396" i="55"/>
  <c r="K1396" i="55"/>
  <c r="B1397" i="55"/>
  <c r="K1397" i="55"/>
  <c r="B1398" i="55"/>
  <c r="K1398" i="55"/>
  <c r="K1399" i="55"/>
  <c r="B1399" i="55"/>
  <c r="B1400" i="55"/>
  <c r="K1400" i="55"/>
  <c r="K1401" i="55"/>
  <c r="B1401" i="55"/>
  <c r="K1402" i="55"/>
  <c r="B1402" i="55"/>
  <c r="B1403" i="55"/>
  <c r="K1403" i="55"/>
  <c r="B1404" i="55"/>
  <c r="K1404" i="55"/>
  <c r="B1405" i="55"/>
  <c r="K1405" i="55"/>
  <c r="B1406" i="55"/>
  <c r="K1406" i="55"/>
  <c r="B1407" i="55"/>
  <c r="K1407" i="55"/>
  <c r="B1408" i="55"/>
  <c r="K1408" i="55"/>
  <c r="K1409" i="55"/>
  <c r="B1409" i="55"/>
  <c r="B1410" i="55"/>
  <c r="K1410" i="55"/>
  <c r="B1411" i="55"/>
  <c r="K1411" i="55"/>
  <c r="B1412" i="55"/>
  <c r="K1412" i="55"/>
  <c r="B1413" i="55"/>
  <c r="K1413" i="55"/>
  <c r="B1414" i="55"/>
  <c r="K1414" i="55"/>
  <c r="B1415" i="55"/>
  <c r="K1415" i="55"/>
  <c r="B1416" i="55"/>
  <c r="K1416" i="55"/>
  <c r="K1417" i="55"/>
  <c r="B1417" i="55"/>
  <c r="K1418" i="55"/>
  <c r="B1418" i="55"/>
  <c r="B1419" i="55"/>
  <c r="K1419" i="55"/>
  <c r="B1420" i="55"/>
  <c r="K1420" i="55"/>
  <c r="B1421" i="55"/>
  <c r="K1421" i="55"/>
  <c r="B1422" i="55"/>
  <c r="K1422" i="55"/>
  <c r="B1423" i="55"/>
  <c r="K1423" i="55"/>
  <c r="B1424" i="55"/>
  <c r="K1424" i="55"/>
  <c r="B1425" i="55"/>
  <c r="K1425" i="55"/>
  <c r="B1426" i="55"/>
  <c r="K1426" i="55"/>
  <c r="B1427" i="55"/>
  <c r="K1427" i="55"/>
  <c r="K1428" i="55"/>
  <c r="B1428" i="55"/>
  <c r="B1429" i="55"/>
  <c r="K1429" i="55"/>
  <c r="B1430" i="55"/>
  <c r="K1430" i="55"/>
  <c r="B1431" i="55"/>
  <c r="K1431" i="55"/>
  <c r="B1432" i="55"/>
  <c r="K1432" i="55"/>
  <c r="B1433" i="55"/>
  <c r="K1433" i="55"/>
  <c r="K1434" i="55"/>
  <c r="B1434" i="55"/>
  <c r="K1435" i="55"/>
  <c r="B1435" i="55"/>
  <c r="K1436" i="55"/>
  <c r="B1436" i="55"/>
  <c r="K1437" i="55"/>
  <c r="B1437" i="55"/>
  <c r="B1438" i="55"/>
  <c r="K1438" i="55"/>
  <c r="K1439" i="55"/>
  <c r="B1439" i="55"/>
  <c r="B1440" i="55"/>
  <c r="K1440" i="55"/>
  <c r="B1441" i="55"/>
  <c r="K1441" i="55"/>
  <c r="B1442" i="55"/>
  <c r="K1442" i="55"/>
  <c r="K1443" i="55"/>
  <c r="B1443" i="55"/>
  <c r="B1444" i="55"/>
  <c r="K1444" i="55"/>
  <c r="K1445" i="55"/>
  <c r="B1445" i="55"/>
  <c r="K1446" i="55"/>
  <c r="B1446" i="55"/>
  <c r="K1447" i="55"/>
  <c r="B1447" i="55"/>
  <c r="B1448" i="55"/>
  <c r="K1448" i="55"/>
  <c r="B1449" i="55"/>
  <c r="K1449" i="55"/>
  <c r="B1450" i="55"/>
  <c r="K1450" i="55"/>
  <c r="K1451" i="55"/>
  <c r="B1451" i="55"/>
  <c r="B1452" i="55"/>
  <c r="K1452" i="55"/>
  <c r="B1453" i="55"/>
  <c r="K1453" i="55"/>
  <c r="K1454" i="55"/>
  <c r="B1454" i="55"/>
  <c r="B1455" i="55"/>
  <c r="K1455" i="55"/>
  <c r="K1456" i="55"/>
  <c r="B1456" i="55"/>
  <c r="B1457" i="55"/>
  <c r="K1457" i="55"/>
  <c r="K1458" i="55"/>
  <c r="B1458" i="55"/>
  <c r="K1459" i="55"/>
  <c r="B1459" i="55"/>
  <c r="K1460" i="55"/>
  <c r="B1460" i="55"/>
  <c r="K1461" i="55"/>
  <c r="B1461" i="55"/>
  <c r="K1462" i="55"/>
  <c r="B1462" i="55"/>
  <c r="B1463" i="55"/>
  <c r="K1463" i="55"/>
  <c r="K1464" i="55"/>
  <c r="B1464" i="55"/>
  <c r="B1465" i="55"/>
  <c r="K1465" i="55"/>
  <c r="K1466" i="55"/>
  <c r="B1466" i="55"/>
  <c r="K1467" i="55"/>
  <c r="B1467" i="55"/>
  <c r="K1468" i="55"/>
  <c r="B1468" i="55"/>
  <c r="B1469" i="55"/>
  <c r="K1469" i="55"/>
  <c r="B1470" i="55"/>
  <c r="K1470" i="55"/>
  <c r="K1471" i="55"/>
  <c r="K1472" i="55"/>
  <c r="B1472" i="55"/>
  <c r="K1473" i="55"/>
  <c r="B1474" i="55"/>
  <c r="K1474" i="55"/>
  <c r="B1475" i="55"/>
  <c r="K1475" i="55"/>
  <c r="K1476" i="55"/>
  <c r="B1476" i="55"/>
  <c r="K1477" i="55"/>
  <c r="B1478" i="55"/>
  <c r="K1478" i="55"/>
  <c r="B1479" i="55"/>
  <c r="K1479" i="55"/>
  <c r="B1480" i="55"/>
  <c r="K1480" i="55"/>
  <c r="B1481" i="55"/>
  <c r="K1481" i="55"/>
  <c r="K1482" i="55"/>
  <c r="B1482" i="55"/>
  <c r="B1483" i="55"/>
  <c r="K1483" i="55"/>
  <c r="B1484" i="55"/>
  <c r="K1484" i="55"/>
  <c r="K1485" i="55"/>
  <c r="B1485" i="55"/>
  <c r="K1486" i="55"/>
  <c r="B1486" i="55"/>
  <c r="K1487" i="55"/>
  <c r="K1488" i="55"/>
  <c r="B1488" i="55"/>
  <c r="K1489" i="55"/>
  <c r="B1489" i="55"/>
  <c r="B1490" i="55"/>
  <c r="K1490" i="55"/>
  <c r="K1491" i="55"/>
  <c r="B1491" i="55"/>
  <c r="B1492" i="55"/>
  <c r="K1492" i="55"/>
  <c r="B1493" i="55"/>
  <c r="K1493" i="55"/>
  <c r="K1494" i="55"/>
  <c r="B1494" i="55"/>
  <c r="B1495" i="55"/>
  <c r="K1495" i="55"/>
  <c r="K1496" i="55"/>
  <c r="B1496" i="55"/>
  <c r="K1497" i="55"/>
  <c r="B1497" i="55"/>
  <c r="B1498" i="55"/>
  <c r="K1498" i="55"/>
  <c r="B1499" i="55"/>
  <c r="K1499" i="55"/>
  <c r="K1500" i="55"/>
  <c r="B1500" i="55"/>
  <c r="K12" i="55"/>
  <c r="K13" i="55"/>
  <c r="K14" i="55"/>
  <c r="K15" i="55"/>
  <c r="K16" i="55"/>
  <c r="K17" i="55"/>
  <c r="K18" i="55"/>
  <c r="K19" i="55"/>
  <c r="K20" i="55"/>
  <c r="K21" i="55"/>
  <c r="K22" i="55"/>
  <c r="K23" i="55"/>
  <c r="K24" i="55"/>
  <c r="K25" i="55"/>
  <c r="K26" i="55"/>
  <c r="K27" i="55"/>
  <c r="K28" i="55"/>
  <c r="K29" i="55"/>
  <c r="K30" i="55"/>
  <c r="K31" i="55"/>
  <c r="K32" i="55"/>
  <c r="K33" i="55"/>
  <c r="K34" i="55"/>
  <c r="K35" i="55"/>
  <c r="K36" i="55"/>
  <c r="K37" i="55"/>
  <c r="K38" i="55"/>
  <c r="K39" i="55"/>
  <c r="K40" i="55"/>
  <c r="K41" i="55"/>
  <c r="K42" i="55"/>
  <c r="K43" i="55"/>
  <c r="K44" i="55"/>
  <c r="K45" i="55"/>
  <c r="K46" i="55"/>
  <c r="K47" i="55"/>
  <c r="K48" i="55"/>
  <c r="K49" i="55"/>
  <c r="K50" i="55"/>
  <c r="K51" i="55"/>
  <c r="K52" i="55"/>
  <c r="K53" i="55"/>
  <c r="K54" i="55"/>
  <c r="K55" i="55"/>
  <c r="K56" i="55"/>
  <c r="K57" i="55"/>
  <c r="K58" i="55"/>
  <c r="K59" i="55"/>
  <c r="K60" i="55"/>
  <c r="K61" i="55"/>
  <c r="K62" i="55"/>
  <c r="K63" i="55"/>
  <c r="K64" i="55"/>
  <c r="K65" i="55"/>
  <c r="K66" i="55"/>
  <c r="K67" i="55"/>
  <c r="K68" i="55"/>
  <c r="K69" i="55"/>
  <c r="K70" i="55"/>
  <c r="K71" i="55"/>
  <c r="K72" i="55"/>
  <c r="K73" i="55"/>
  <c r="K74" i="55"/>
  <c r="K75" i="55"/>
  <c r="K76" i="55"/>
  <c r="K77" i="55"/>
  <c r="K78" i="55"/>
  <c r="K79" i="55"/>
  <c r="K80" i="55"/>
  <c r="K81" i="55"/>
  <c r="K82" i="55"/>
  <c r="K83" i="55"/>
  <c r="K84" i="55"/>
  <c r="K85" i="55"/>
  <c r="K86" i="55"/>
  <c r="K87" i="55"/>
  <c r="K88" i="55"/>
  <c r="K89" i="55"/>
  <c r="K90" i="55"/>
  <c r="K91" i="55"/>
  <c r="K92" i="55"/>
  <c r="K93" i="55"/>
  <c r="K94" i="55"/>
  <c r="K95" i="55"/>
  <c r="K96" i="55"/>
  <c r="K97" i="55"/>
  <c r="K98" i="55"/>
  <c r="K99" i="55"/>
  <c r="K100" i="55"/>
  <c r="K101" i="55"/>
  <c r="K102" i="55"/>
  <c r="K103" i="55"/>
  <c r="K104" i="55"/>
  <c r="K105" i="55"/>
  <c r="K106" i="55"/>
  <c r="K107" i="55"/>
  <c r="K108" i="55"/>
  <c r="K109" i="55"/>
  <c r="K110" i="55"/>
  <c r="K111" i="55"/>
  <c r="K112" i="55"/>
  <c r="K113" i="55"/>
  <c r="K114" i="55"/>
  <c r="K115" i="55"/>
  <c r="K116" i="55"/>
  <c r="K117" i="55"/>
  <c r="K118" i="55"/>
  <c r="K119" i="55"/>
  <c r="K120" i="55"/>
  <c r="K121" i="55"/>
  <c r="K122" i="55"/>
  <c r="K123" i="55"/>
  <c r="K124" i="55"/>
  <c r="K125" i="55"/>
  <c r="K126" i="55"/>
  <c r="K127" i="55"/>
  <c r="K128" i="55"/>
  <c r="K129" i="55"/>
  <c r="K130" i="55"/>
  <c r="K131" i="55"/>
  <c r="K132" i="55"/>
  <c r="K133" i="55"/>
  <c r="K134" i="55"/>
  <c r="K135" i="55"/>
  <c r="K136" i="55"/>
  <c r="K137" i="55"/>
  <c r="K138" i="55"/>
  <c r="K139" i="55"/>
  <c r="K140" i="55"/>
  <c r="K141" i="55"/>
  <c r="K142" i="55"/>
  <c r="K143" i="55"/>
  <c r="K144" i="55"/>
  <c r="K145" i="55"/>
  <c r="K146" i="55"/>
  <c r="K147" i="55"/>
  <c r="K148" i="55"/>
  <c r="K149" i="55"/>
  <c r="K150" i="55"/>
  <c r="K151" i="55"/>
  <c r="K152" i="55"/>
  <c r="K153" i="55"/>
  <c r="K154" i="55"/>
  <c r="K155" i="55"/>
  <c r="K156" i="55"/>
  <c r="K157" i="55"/>
  <c r="K158" i="55"/>
  <c r="K159" i="55"/>
  <c r="K160" i="55"/>
  <c r="K161" i="55"/>
  <c r="K162" i="55"/>
  <c r="K163" i="55"/>
  <c r="K164" i="55"/>
  <c r="K165" i="55"/>
  <c r="K166" i="55"/>
  <c r="K167" i="55"/>
  <c r="K168" i="55"/>
  <c r="K169" i="55"/>
  <c r="K170" i="55"/>
  <c r="K171" i="55"/>
  <c r="K172" i="55"/>
  <c r="K173" i="55"/>
  <c r="K174" i="55"/>
  <c r="K175" i="55"/>
  <c r="K176" i="55"/>
  <c r="K177" i="55"/>
  <c r="K178" i="55"/>
  <c r="K179" i="55"/>
  <c r="K180" i="55"/>
  <c r="K181" i="55"/>
  <c r="K182" i="55"/>
  <c r="K183" i="55"/>
  <c r="K184" i="55"/>
  <c r="K185" i="55"/>
  <c r="K186" i="55"/>
  <c r="K187" i="55"/>
  <c r="K188" i="55"/>
  <c r="K189" i="55"/>
  <c r="K190" i="55"/>
  <c r="K191" i="55"/>
  <c r="K192" i="55"/>
  <c r="K193" i="55"/>
  <c r="K194" i="55"/>
  <c r="K195" i="55"/>
  <c r="K196" i="55"/>
  <c r="K197" i="55"/>
  <c r="K198" i="55"/>
  <c r="K199" i="55"/>
  <c r="K200" i="55"/>
  <c r="K201" i="55"/>
  <c r="K202" i="55"/>
  <c r="K203" i="55"/>
  <c r="K204" i="55"/>
  <c r="K205" i="55"/>
  <c r="K206" i="55"/>
  <c r="K207" i="55"/>
  <c r="K208" i="55"/>
  <c r="K209" i="55"/>
  <c r="K210" i="55"/>
  <c r="K211" i="55"/>
  <c r="K212" i="55"/>
  <c r="K213" i="55"/>
  <c r="K214" i="55"/>
  <c r="K215" i="55"/>
  <c r="K216" i="55"/>
  <c r="K217" i="55"/>
  <c r="K218" i="55"/>
  <c r="K219" i="55"/>
  <c r="K220" i="55"/>
  <c r="K221" i="55"/>
  <c r="K222" i="55"/>
  <c r="K223" i="55"/>
  <c r="K224" i="55"/>
  <c r="K225" i="55"/>
  <c r="K226" i="55"/>
  <c r="K227" i="55"/>
  <c r="K228" i="55"/>
  <c r="K229" i="55"/>
  <c r="K230" i="55"/>
  <c r="K231" i="55"/>
  <c r="K232" i="55"/>
  <c r="K233" i="55"/>
  <c r="K234" i="55"/>
  <c r="K235" i="55"/>
  <c r="K236" i="55"/>
  <c r="K237" i="55"/>
  <c r="K238" i="55"/>
  <c r="K239" i="55"/>
  <c r="K240" i="55"/>
  <c r="K241" i="55"/>
  <c r="K242" i="55"/>
  <c r="K243" i="55"/>
  <c r="K244" i="55"/>
  <c r="K245" i="55"/>
  <c r="K246" i="55"/>
  <c r="K247" i="55"/>
  <c r="K248" i="55"/>
  <c r="K249" i="55"/>
  <c r="K250" i="55"/>
  <c r="K251" i="55"/>
  <c r="K252" i="55"/>
  <c r="K253" i="55"/>
  <c r="K254" i="55"/>
  <c r="K255" i="55"/>
  <c r="K256" i="55"/>
  <c r="K257" i="55"/>
  <c r="K258" i="55"/>
  <c r="K259" i="55"/>
  <c r="K260" i="55"/>
  <c r="K261" i="55"/>
  <c r="K262" i="55"/>
  <c r="K263" i="55"/>
  <c r="K264" i="55"/>
  <c r="K265" i="55"/>
  <c r="K266" i="55"/>
  <c r="K267" i="55"/>
  <c r="K268" i="55"/>
  <c r="K269" i="55"/>
  <c r="K270" i="55"/>
  <c r="K271" i="55"/>
  <c r="K272" i="55"/>
  <c r="K273" i="55"/>
  <c r="K274" i="55"/>
  <c r="K275" i="55"/>
  <c r="K276" i="55"/>
  <c r="K277" i="55"/>
  <c r="K278" i="55"/>
  <c r="K279" i="55"/>
  <c r="K280" i="55"/>
  <c r="K281" i="55"/>
  <c r="K282" i="55"/>
  <c r="K283" i="55"/>
  <c r="K284" i="55"/>
  <c r="K285" i="55"/>
  <c r="K286" i="55"/>
  <c r="K287" i="55"/>
  <c r="K288" i="55"/>
  <c r="K289" i="55"/>
  <c r="K290" i="55"/>
  <c r="K291" i="55"/>
  <c r="K292" i="55"/>
  <c r="K293" i="55"/>
  <c r="K294" i="55"/>
  <c r="K295" i="55"/>
  <c r="K296" i="55"/>
  <c r="K297" i="55"/>
  <c r="K298" i="55"/>
  <c r="K299" i="55"/>
  <c r="K300" i="55"/>
  <c r="K301" i="55"/>
  <c r="K302" i="55"/>
  <c r="K303" i="55"/>
  <c r="K304" i="55"/>
  <c r="K305" i="55"/>
  <c r="K306" i="55"/>
  <c r="K307" i="55"/>
  <c r="K308" i="55"/>
  <c r="K309" i="55"/>
  <c r="K310" i="55"/>
  <c r="K311" i="55"/>
  <c r="K312" i="55"/>
  <c r="K313" i="55"/>
  <c r="K314" i="55"/>
  <c r="K315" i="55"/>
  <c r="K316" i="55"/>
  <c r="K317" i="55"/>
  <c r="K318" i="55"/>
  <c r="K319" i="55"/>
  <c r="K320" i="55"/>
  <c r="K321" i="55"/>
  <c r="K322" i="55"/>
  <c r="K323" i="55"/>
  <c r="K324" i="55"/>
  <c r="K325" i="55"/>
  <c r="K326" i="55"/>
  <c r="K327" i="55"/>
  <c r="K328" i="55"/>
  <c r="K329" i="55"/>
  <c r="K330" i="55"/>
  <c r="K331" i="55"/>
  <c r="K332" i="55"/>
  <c r="K333" i="55"/>
  <c r="K334" i="55"/>
  <c r="K335" i="55"/>
  <c r="K336" i="55"/>
  <c r="K337" i="55"/>
  <c r="K338" i="55"/>
  <c r="K339" i="55"/>
  <c r="K340" i="55"/>
  <c r="K341" i="55"/>
  <c r="K342" i="55"/>
  <c r="K343" i="55"/>
  <c r="K344" i="55"/>
  <c r="K345" i="55"/>
  <c r="K346" i="55"/>
  <c r="K347" i="55"/>
  <c r="K348" i="55"/>
  <c r="K349" i="55"/>
  <c r="K350" i="55"/>
  <c r="K351" i="55"/>
  <c r="K352" i="55"/>
  <c r="K353" i="55"/>
  <c r="K354" i="55"/>
  <c r="K355" i="55"/>
  <c r="K356" i="55"/>
  <c r="K357" i="55"/>
  <c r="K358" i="55"/>
  <c r="K359" i="55"/>
  <c r="K360" i="55"/>
  <c r="K361" i="55"/>
  <c r="K362" i="55"/>
  <c r="K363" i="55"/>
  <c r="K364" i="55"/>
  <c r="K365" i="55"/>
  <c r="K366" i="55"/>
  <c r="K367" i="55"/>
  <c r="K368" i="55"/>
  <c r="K369" i="55"/>
  <c r="K370" i="55"/>
  <c r="K371" i="55"/>
  <c r="K372" i="55"/>
  <c r="K373" i="55"/>
  <c r="B374" i="55"/>
  <c r="K374" i="55"/>
  <c r="K375" i="55"/>
  <c r="B375" i="55"/>
  <c r="B376" i="55"/>
  <c r="K376" i="55"/>
  <c r="K377" i="55"/>
  <c r="B377" i="55"/>
  <c r="B378" i="55"/>
  <c r="K378" i="55"/>
  <c r="B379" i="55"/>
  <c r="K379" i="55"/>
  <c r="B380" i="55"/>
  <c r="K380" i="55"/>
  <c r="B381" i="55"/>
  <c r="K381" i="55"/>
  <c r="K382" i="55"/>
  <c r="B382" i="55"/>
  <c r="B383" i="55"/>
  <c r="K383" i="55"/>
  <c r="B384" i="55"/>
  <c r="K384" i="55"/>
  <c r="K385" i="55"/>
  <c r="B385" i="55"/>
  <c r="B386" i="55"/>
  <c r="K386" i="55"/>
  <c r="B387" i="55"/>
  <c r="K387" i="55"/>
  <c r="B388" i="55"/>
  <c r="K388" i="55"/>
  <c r="K389" i="55"/>
  <c r="B389" i="55"/>
  <c r="B390" i="55"/>
  <c r="K390" i="55"/>
  <c r="B391" i="55"/>
  <c r="K391" i="55"/>
  <c r="K392" i="55"/>
  <c r="B392" i="55"/>
  <c r="B393" i="55"/>
  <c r="K393" i="55"/>
  <c r="B394" i="55"/>
  <c r="K394" i="55"/>
  <c r="K395" i="55"/>
  <c r="B395" i="55"/>
  <c r="K396" i="55"/>
  <c r="B396" i="55"/>
  <c r="B397" i="55"/>
  <c r="K397" i="55"/>
  <c r="K398" i="55"/>
  <c r="B398" i="55"/>
  <c r="B399" i="55"/>
  <c r="K399" i="55"/>
  <c r="B400" i="55"/>
  <c r="K400" i="55"/>
  <c r="B401" i="55"/>
  <c r="K401" i="55"/>
  <c r="K402" i="55"/>
  <c r="B402" i="55"/>
  <c r="B403" i="55"/>
  <c r="K403" i="55"/>
  <c r="B404" i="55"/>
  <c r="K404" i="55"/>
  <c r="K405" i="55"/>
  <c r="B405" i="55"/>
  <c r="K406" i="55"/>
  <c r="B406" i="55"/>
  <c r="B407" i="55"/>
  <c r="K407" i="55"/>
  <c r="B408" i="55"/>
  <c r="K408" i="55"/>
  <c r="B409" i="55"/>
  <c r="K409" i="55"/>
  <c r="B410" i="55"/>
  <c r="K410" i="55"/>
  <c r="K411" i="55"/>
  <c r="B411" i="55"/>
  <c r="B412" i="55"/>
  <c r="K412" i="55"/>
  <c r="B413" i="55"/>
  <c r="K413" i="55"/>
  <c r="B414" i="55"/>
  <c r="K414" i="55"/>
  <c r="K415" i="55"/>
  <c r="B415" i="55"/>
  <c r="K416" i="55"/>
  <c r="B416" i="55"/>
  <c r="K417" i="55"/>
  <c r="B417" i="55"/>
  <c r="B418" i="55"/>
  <c r="K418" i="55"/>
  <c r="B419" i="55"/>
  <c r="K419" i="55"/>
  <c r="K420" i="55"/>
  <c r="B420" i="55"/>
  <c r="B421" i="55"/>
  <c r="K421" i="55"/>
  <c r="B422" i="55"/>
  <c r="K422" i="55"/>
  <c r="K515" i="55"/>
  <c r="B515" i="55"/>
  <c r="K516" i="55"/>
  <c r="B516" i="55"/>
  <c r="K517" i="55"/>
  <c r="B517" i="55"/>
  <c r="K518" i="55"/>
  <c r="B518" i="55"/>
  <c r="K519" i="55"/>
  <c r="B519" i="55"/>
  <c r="B520" i="55"/>
  <c r="K520" i="55"/>
  <c r="K521" i="55"/>
  <c r="B521" i="55"/>
  <c r="B522" i="55"/>
  <c r="K522" i="55"/>
  <c r="B523" i="55"/>
  <c r="K523" i="55"/>
  <c r="B524" i="55"/>
  <c r="K524" i="55"/>
  <c r="K525" i="55"/>
  <c r="B525" i="55"/>
  <c r="K526" i="55"/>
  <c r="B526" i="55"/>
  <c r="B527" i="55"/>
  <c r="K527" i="55"/>
  <c r="B528" i="55"/>
  <c r="K528" i="55"/>
  <c r="K529" i="55"/>
  <c r="B529" i="55"/>
  <c r="K530" i="55"/>
  <c r="B530" i="55"/>
  <c r="K531" i="55"/>
  <c r="B531" i="55"/>
  <c r="B532" i="55"/>
  <c r="K532" i="55"/>
  <c r="B533" i="55"/>
  <c r="K533" i="55"/>
  <c r="B534" i="55"/>
  <c r="K534" i="55"/>
  <c r="K535" i="55"/>
  <c r="B535" i="55"/>
  <c r="B536" i="55"/>
  <c r="K536" i="55"/>
  <c r="K537" i="55"/>
  <c r="B537" i="55"/>
  <c r="B538" i="55"/>
  <c r="K538" i="55"/>
  <c r="B539" i="55"/>
  <c r="K539" i="55"/>
  <c r="B540" i="55"/>
  <c r="K540" i="55"/>
  <c r="K541" i="55"/>
  <c r="B541" i="55"/>
  <c r="K542" i="55"/>
  <c r="B542" i="55"/>
  <c r="K543" i="55"/>
  <c r="B543" i="55"/>
  <c r="B544" i="55"/>
  <c r="K544" i="55"/>
  <c r="K545" i="55"/>
  <c r="B545" i="55"/>
  <c r="B546" i="55"/>
  <c r="K546" i="55"/>
  <c r="K547" i="55"/>
  <c r="B547" i="55"/>
  <c r="K548" i="55"/>
  <c r="B548" i="55"/>
  <c r="K549" i="55"/>
  <c r="B549" i="55"/>
  <c r="B550" i="55"/>
  <c r="K550" i="55"/>
  <c r="B551" i="55"/>
  <c r="K551" i="55"/>
  <c r="B552" i="55"/>
  <c r="K552" i="55"/>
  <c r="B553" i="55"/>
  <c r="K553" i="55"/>
  <c r="K554" i="55"/>
  <c r="B554" i="55"/>
  <c r="B555" i="55"/>
  <c r="K555" i="55"/>
  <c r="B556" i="55"/>
  <c r="K556" i="55"/>
  <c r="B557" i="55"/>
  <c r="K557" i="55"/>
  <c r="K558" i="55"/>
  <c r="B558" i="55"/>
  <c r="B559" i="55"/>
  <c r="K559" i="55"/>
  <c r="B560" i="55"/>
  <c r="K560" i="55"/>
  <c r="B561" i="55"/>
  <c r="K561" i="55"/>
  <c r="K562" i="55"/>
  <c r="B562" i="55"/>
  <c r="B563" i="55"/>
  <c r="K563" i="55"/>
  <c r="B564" i="55"/>
  <c r="K564" i="55"/>
  <c r="B565" i="55"/>
  <c r="K565" i="55"/>
  <c r="B566" i="55"/>
  <c r="K566" i="55"/>
  <c r="B567" i="55"/>
  <c r="K567" i="55"/>
  <c r="B568" i="55"/>
  <c r="K568" i="55"/>
  <c r="K569" i="55"/>
  <c r="B569" i="55"/>
  <c r="B570" i="55"/>
  <c r="K570" i="55"/>
  <c r="K571" i="55"/>
  <c r="B571" i="55"/>
  <c r="K572" i="55"/>
  <c r="B572" i="55"/>
  <c r="B573" i="55"/>
  <c r="K573" i="55"/>
  <c r="K574" i="55"/>
  <c r="B574" i="55"/>
  <c r="B575" i="55"/>
  <c r="K575" i="55"/>
  <c r="K576" i="55"/>
  <c r="B576" i="55"/>
  <c r="B577" i="55"/>
  <c r="K577" i="55"/>
  <c r="K578" i="55"/>
  <c r="B578" i="55"/>
  <c r="B579" i="55"/>
  <c r="K579" i="55"/>
  <c r="K580" i="55"/>
  <c r="B580" i="55"/>
  <c r="K581" i="55"/>
  <c r="B581" i="55"/>
  <c r="K582" i="55"/>
  <c r="B582" i="55"/>
  <c r="B583" i="55"/>
  <c r="K583" i="55"/>
  <c r="K584" i="55"/>
  <c r="B584" i="55"/>
  <c r="B585" i="55"/>
  <c r="K585" i="55"/>
  <c r="B586" i="55"/>
  <c r="K586" i="55"/>
  <c r="B587" i="55"/>
  <c r="K587" i="55"/>
  <c r="K588" i="55"/>
  <c r="B588" i="55"/>
  <c r="B589" i="55"/>
  <c r="K589" i="55"/>
  <c r="K590" i="55"/>
  <c r="B590" i="55"/>
  <c r="B591" i="55"/>
  <c r="K591" i="55"/>
  <c r="B592" i="55"/>
  <c r="K592" i="55"/>
  <c r="B593" i="55"/>
  <c r="K593" i="55"/>
  <c r="B594" i="55"/>
  <c r="K594" i="55"/>
  <c r="B595" i="55"/>
  <c r="K595" i="55"/>
  <c r="K596" i="55"/>
  <c r="B596" i="55"/>
  <c r="B597" i="55"/>
  <c r="K597" i="55"/>
  <c r="K598" i="55"/>
  <c r="B598" i="55"/>
  <c r="B599" i="55"/>
  <c r="K599" i="55"/>
  <c r="K600" i="55"/>
  <c r="B600" i="55"/>
  <c r="B601" i="55"/>
  <c r="K601" i="55"/>
  <c r="B602" i="55"/>
  <c r="K602" i="55"/>
  <c r="B603" i="55"/>
  <c r="K603" i="55"/>
  <c r="K604" i="55"/>
  <c r="B604" i="55"/>
  <c r="K605" i="55"/>
  <c r="B605" i="55"/>
  <c r="K606" i="55"/>
  <c r="B606" i="55"/>
  <c r="B607" i="55"/>
  <c r="K607" i="55"/>
  <c r="B608" i="55"/>
  <c r="K608" i="55"/>
  <c r="K609" i="55"/>
  <c r="B609" i="55"/>
  <c r="K610" i="55"/>
  <c r="B610" i="55"/>
  <c r="B611" i="55"/>
  <c r="K611" i="55"/>
  <c r="B612" i="55"/>
  <c r="K612" i="55"/>
  <c r="B613" i="55"/>
  <c r="K613" i="55"/>
  <c r="K614" i="55"/>
  <c r="B614" i="55"/>
  <c r="K615" i="55"/>
  <c r="B615" i="55"/>
  <c r="B616" i="55"/>
  <c r="K616" i="55"/>
  <c r="K617" i="55"/>
  <c r="B617" i="55"/>
  <c r="B618" i="55"/>
  <c r="K618" i="55"/>
  <c r="K619" i="55"/>
  <c r="B619" i="55"/>
  <c r="K620" i="55"/>
  <c r="B620" i="55"/>
  <c r="K621" i="55"/>
  <c r="B621" i="55"/>
  <c r="K622" i="55"/>
  <c r="B622" i="55"/>
  <c r="K623" i="55"/>
  <c r="B623" i="55"/>
  <c r="K624" i="55"/>
  <c r="B624" i="55"/>
  <c r="B625" i="55"/>
  <c r="K625" i="55"/>
  <c r="K626" i="55"/>
  <c r="B626" i="55"/>
  <c r="K627" i="55"/>
  <c r="B627" i="55"/>
  <c r="B628" i="55"/>
  <c r="K628" i="55"/>
  <c r="B629" i="55"/>
  <c r="K629" i="55"/>
  <c r="B630" i="55"/>
  <c r="K630" i="55"/>
  <c r="B631" i="55"/>
  <c r="K631" i="55"/>
  <c r="B632" i="55"/>
  <c r="K632" i="55"/>
  <c r="B633" i="55"/>
  <c r="K633" i="55"/>
  <c r="B634" i="55"/>
  <c r="K634" i="55"/>
  <c r="K635" i="55"/>
  <c r="B635" i="55"/>
  <c r="K636" i="55"/>
  <c r="B636" i="55"/>
  <c r="K637" i="55"/>
  <c r="B637" i="55"/>
  <c r="K638" i="55"/>
  <c r="B638" i="55"/>
  <c r="B639" i="55"/>
  <c r="K639" i="55"/>
  <c r="K640" i="55"/>
  <c r="B640" i="55"/>
  <c r="K641" i="55"/>
  <c r="B641" i="55"/>
  <c r="B642" i="55"/>
  <c r="K642" i="55"/>
  <c r="K643" i="55"/>
  <c r="B643" i="55"/>
  <c r="K644" i="55"/>
  <c r="B644" i="55"/>
  <c r="B645" i="55"/>
  <c r="K645" i="55"/>
  <c r="B646" i="55"/>
  <c r="K646" i="55"/>
  <c r="K647" i="55"/>
  <c r="B647" i="55"/>
  <c r="K648" i="55"/>
  <c r="B648" i="55"/>
  <c r="K649" i="55"/>
  <c r="B649" i="55"/>
  <c r="K650" i="55"/>
  <c r="B650" i="55"/>
  <c r="B651" i="55"/>
  <c r="K651" i="55"/>
  <c r="B652" i="55"/>
  <c r="K652" i="55"/>
  <c r="B653" i="55"/>
  <c r="K653" i="55"/>
  <c r="K654" i="55"/>
  <c r="B654" i="55"/>
  <c r="K655" i="55"/>
  <c r="B655" i="55"/>
  <c r="B656" i="55"/>
  <c r="K656" i="55"/>
  <c r="K657" i="55"/>
  <c r="B657" i="55"/>
  <c r="K658" i="55"/>
  <c r="B658" i="55"/>
  <c r="B659" i="55"/>
  <c r="K659" i="55"/>
  <c r="B660" i="55"/>
  <c r="K660" i="55"/>
  <c r="K661" i="55"/>
  <c r="B661" i="55"/>
  <c r="B662" i="55"/>
  <c r="K662" i="55"/>
  <c r="B663" i="55"/>
  <c r="K663" i="55"/>
  <c r="K664" i="55"/>
  <c r="B664" i="55"/>
  <c r="B665" i="55"/>
  <c r="K665" i="55"/>
  <c r="K666" i="55"/>
  <c r="B666" i="55"/>
  <c r="K667" i="55"/>
  <c r="B667" i="55"/>
  <c r="K668" i="55"/>
  <c r="B668" i="55"/>
  <c r="B669" i="55"/>
  <c r="K669" i="55"/>
  <c r="B670" i="55"/>
  <c r="K670" i="55"/>
  <c r="B671" i="55"/>
  <c r="K671" i="55"/>
  <c r="K672" i="55"/>
  <c r="B672" i="55"/>
  <c r="B673" i="55"/>
  <c r="K673" i="55"/>
  <c r="K674" i="55"/>
  <c r="B674" i="55"/>
  <c r="B675" i="55"/>
  <c r="K675" i="55"/>
  <c r="B676" i="55"/>
  <c r="K676" i="55"/>
  <c r="B677" i="55"/>
  <c r="K677" i="55"/>
  <c r="K678" i="55"/>
  <c r="B678" i="55"/>
  <c r="B679" i="55"/>
  <c r="K679" i="55"/>
  <c r="B680" i="55"/>
  <c r="K680" i="55"/>
  <c r="K681" i="55"/>
  <c r="B681" i="55"/>
  <c r="B682" i="55"/>
  <c r="K682" i="55"/>
  <c r="B683" i="55"/>
  <c r="K683" i="55"/>
  <c r="B684" i="55"/>
  <c r="K684" i="55"/>
  <c r="B685" i="55"/>
  <c r="K685" i="55"/>
  <c r="K686" i="55"/>
  <c r="B686" i="55"/>
  <c r="B687" i="55"/>
  <c r="K687" i="55"/>
  <c r="B688" i="55"/>
  <c r="K688" i="55"/>
  <c r="K689" i="55"/>
  <c r="B689" i="55"/>
  <c r="B690" i="55"/>
  <c r="K690" i="55"/>
  <c r="K691" i="55"/>
  <c r="B691" i="55"/>
  <c r="K692" i="55"/>
  <c r="B692" i="55"/>
  <c r="K693" i="55"/>
  <c r="B693" i="55"/>
  <c r="K694" i="55"/>
  <c r="B694" i="55"/>
  <c r="K695" i="55"/>
  <c r="B695" i="55"/>
  <c r="K696" i="55"/>
  <c r="B696" i="55"/>
  <c r="B697" i="55"/>
  <c r="K697" i="55"/>
  <c r="B698" i="55"/>
  <c r="K698" i="55"/>
  <c r="K699" i="55"/>
  <c r="B699" i="55"/>
  <c r="K700" i="55"/>
  <c r="B700" i="55"/>
  <c r="K701" i="55"/>
  <c r="B701" i="55"/>
  <c r="K702" i="55"/>
  <c r="B702" i="55"/>
  <c r="K703" i="55"/>
  <c r="B703" i="55"/>
  <c r="B704" i="55"/>
  <c r="K704" i="55"/>
  <c r="K705" i="55"/>
  <c r="B705" i="55"/>
  <c r="K706" i="55"/>
  <c r="B706" i="55"/>
  <c r="B707" i="55"/>
  <c r="K707" i="55"/>
  <c r="K708" i="55"/>
  <c r="B708" i="55"/>
  <c r="K709" i="55"/>
  <c r="B709" i="55"/>
  <c r="K710" i="55"/>
  <c r="B710" i="55"/>
  <c r="K711" i="55"/>
  <c r="B711" i="55"/>
  <c r="K712" i="55"/>
  <c r="B712" i="55"/>
  <c r="K713" i="55"/>
  <c r="B713" i="55"/>
  <c r="B714" i="55"/>
  <c r="K714" i="55"/>
  <c r="K715" i="55"/>
  <c r="B715" i="55"/>
  <c r="B716" i="55"/>
  <c r="K716" i="55"/>
  <c r="B717" i="55"/>
  <c r="K717" i="55"/>
  <c r="K718" i="55"/>
  <c r="B718" i="55"/>
  <c r="B719" i="55"/>
  <c r="K719" i="55"/>
  <c r="K720" i="55"/>
  <c r="B720" i="55"/>
  <c r="K721" i="55"/>
  <c r="B721" i="55"/>
  <c r="B722" i="55"/>
  <c r="K722" i="55"/>
  <c r="B723" i="55"/>
  <c r="K723" i="55"/>
  <c r="K724" i="55"/>
  <c r="B724" i="55"/>
  <c r="B725" i="55"/>
  <c r="K725" i="55"/>
  <c r="B726" i="55"/>
  <c r="K726" i="55"/>
  <c r="K727" i="55"/>
  <c r="B727" i="55"/>
  <c r="K728" i="55"/>
  <c r="B728" i="55"/>
  <c r="B729" i="55"/>
  <c r="K729" i="55"/>
  <c r="B730" i="55"/>
  <c r="K730" i="55"/>
  <c r="B731" i="55"/>
  <c r="K731" i="55"/>
  <c r="K732" i="55"/>
  <c r="B732" i="55"/>
  <c r="B733" i="55"/>
  <c r="K733" i="55"/>
  <c r="B734" i="55"/>
  <c r="K734" i="55"/>
  <c r="K735" i="55"/>
  <c r="B735" i="55"/>
  <c r="B736" i="55"/>
  <c r="K736" i="55"/>
  <c r="B737" i="55"/>
  <c r="K737" i="55"/>
  <c r="B738" i="55"/>
  <c r="K738" i="55"/>
  <c r="B739" i="55"/>
  <c r="K739" i="55"/>
  <c r="B740" i="55"/>
  <c r="K740" i="55"/>
  <c r="K741" i="55"/>
  <c r="B741" i="55"/>
  <c r="B742" i="55"/>
  <c r="K742" i="55"/>
  <c r="K743" i="55"/>
  <c r="B743" i="55"/>
  <c r="B744" i="55"/>
  <c r="K744" i="55"/>
  <c r="K745" i="55"/>
  <c r="B745" i="55"/>
  <c r="K746" i="55"/>
  <c r="B746" i="55"/>
  <c r="K747" i="55"/>
  <c r="B747" i="55"/>
  <c r="K748" i="55"/>
  <c r="B748" i="55"/>
  <c r="B749" i="55"/>
  <c r="K749" i="55"/>
  <c r="K750" i="55"/>
  <c r="B750" i="55"/>
  <c r="B751" i="55"/>
  <c r="K751" i="55"/>
  <c r="K752" i="55"/>
  <c r="B752" i="55"/>
  <c r="K753" i="55"/>
  <c r="B753" i="55"/>
  <c r="K754" i="55"/>
  <c r="B754" i="55"/>
  <c r="K755" i="55"/>
  <c r="B755" i="55"/>
  <c r="K756" i="55"/>
  <c r="B756" i="55"/>
  <c r="K757" i="55"/>
  <c r="B757" i="55"/>
  <c r="B758" i="55"/>
  <c r="K758" i="55"/>
  <c r="K759" i="55"/>
  <c r="B759" i="55"/>
  <c r="B760" i="55"/>
  <c r="K760" i="55"/>
  <c r="B761" i="55"/>
  <c r="K761" i="55"/>
  <c r="K762" i="55"/>
  <c r="B762" i="55"/>
  <c r="K763" i="55"/>
  <c r="B763" i="55"/>
  <c r="K764" i="55"/>
  <c r="B764" i="55"/>
  <c r="B765" i="55"/>
  <c r="K765" i="55"/>
  <c r="K766" i="55"/>
  <c r="B766" i="55"/>
  <c r="B767" i="55"/>
  <c r="K767" i="55"/>
  <c r="K768" i="55"/>
  <c r="B768" i="55"/>
  <c r="B769" i="55"/>
  <c r="K769" i="55"/>
  <c r="B770" i="55"/>
  <c r="K770" i="55"/>
  <c r="B771" i="55"/>
  <c r="K771" i="55"/>
  <c r="B772" i="55"/>
  <c r="K772" i="55"/>
  <c r="K773" i="55"/>
  <c r="B773" i="55"/>
  <c r="B774" i="55"/>
  <c r="K774" i="55"/>
  <c r="K775" i="55"/>
  <c r="B775" i="55"/>
  <c r="B776" i="55"/>
  <c r="K776" i="55"/>
  <c r="B777" i="55"/>
  <c r="K777" i="55"/>
  <c r="K778" i="55"/>
  <c r="B778" i="55"/>
  <c r="K779" i="55"/>
  <c r="B779" i="55"/>
  <c r="B780" i="55"/>
  <c r="K780" i="55"/>
  <c r="K781" i="55"/>
  <c r="B781" i="55"/>
  <c r="B782" i="55"/>
  <c r="K782" i="55"/>
  <c r="K783" i="55"/>
  <c r="B783" i="55"/>
  <c r="B784" i="55"/>
  <c r="K784" i="55"/>
  <c r="K785" i="55"/>
  <c r="B785" i="55"/>
  <c r="B786" i="55"/>
  <c r="K786" i="55"/>
  <c r="K787" i="55"/>
  <c r="B787" i="55"/>
  <c r="B788" i="55"/>
  <c r="K788" i="55"/>
  <c r="B789" i="55"/>
  <c r="K789" i="55"/>
  <c r="K790" i="55"/>
  <c r="B790" i="55"/>
  <c r="B791" i="55"/>
  <c r="K791" i="55"/>
  <c r="K792" i="55"/>
  <c r="B792" i="55"/>
  <c r="B793" i="55"/>
  <c r="K793" i="55"/>
  <c r="B794" i="55"/>
  <c r="K794" i="55"/>
  <c r="K795" i="55"/>
  <c r="B795" i="55"/>
  <c r="B796" i="55"/>
  <c r="K796" i="55"/>
  <c r="K797" i="55"/>
  <c r="B797" i="55"/>
  <c r="K798" i="55"/>
  <c r="B798" i="55"/>
  <c r="B799" i="55"/>
  <c r="K799" i="55"/>
  <c r="K800" i="55"/>
  <c r="B800" i="55"/>
  <c r="B801" i="55"/>
  <c r="K801" i="55"/>
  <c r="K802" i="55"/>
  <c r="B802" i="55"/>
  <c r="K803" i="55"/>
  <c r="B803" i="55"/>
  <c r="B804" i="55"/>
  <c r="K804" i="55"/>
  <c r="B805" i="55"/>
  <c r="K805" i="55"/>
  <c r="B806" i="55"/>
  <c r="K806" i="55"/>
  <c r="B807" i="55"/>
  <c r="K807" i="55"/>
  <c r="B808" i="55"/>
  <c r="K808" i="55"/>
  <c r="B809" i="55"/>
  <c r="K809" i="55"/>
  <c r="K810" i="55"/>
  <c r="B810" i="55"/>
  <c r="K811" i="55"/>
  <c r="B811" i="55"/>
  <c r="K812" i="55"/>
  <c r="B812" i="55"/>
  <c r="B813" i="55"/>
  <c r="K813" i="55"/>
  <c r="B814" i="55"/>
  <c r="K814" i="55"/>
  <c r="B815" i="55"/>
  <c r="K815" i="55"/>
  <c r="K816" i="55"/>
  <c r="B816" i="55"/>
  <c r="B817" i="55"/>
  <c r="K817" i="55"/>
  <c r="B818" i="55"/>
  <c r="K818" i="55"/>
  <c r="K819" i="55"/>
  <c r="B819" i="55"/>
  <c r="B820" i="55"/>
  <c r="K820" i="55"/>
  <c r="K821" i="55"/>
  <c r="B821" i="55"/>
  <c r="K822" i="55"/>
  <c r="B822" i="55"/>
  <c r="B823" i="55"/>
  <c r="K823" i="55"/>
  <c r="K824" i="55"/>
  <c r="B824" i="55"/>
  <c r="K825" i="55"/>
  <c r="B825" i="55"/>
  <c r="B826" i="55"/>
  <c r="K826" i="55"/>
  <c r="K827" i="55"/>
  <c r="B827" i="55"/>
  <c r="K828" i="55"/>
  <c r="B828" i="55"/>
  <c r="K829" i="55"/>
  <c r="B829" i="55"/>
  <c r="B830" i="55"/>
  <c r="K830" i="55"/>
  <c r="K831" i="55"/>
  <c r="B831" i="55"/>
  <c r="B832" i="55"/>
  <c r="K832" i="55"/>
  <c r="B833" i="55"/>
  <c r="K833" i="55"/>
  <c r="B834" i="55"/>
  <c r="K834" i="55"/>
  <c r="K835" i="55"/>
  <c r="B835" i="55"/>
  <c r="B836" i="55"/>
  <c r="K836" i="55"/>
  <c r="K837" i="55"/>
  <c r="B837" i="55"/>
  <c r="K838" i="55"/>
  <c r="B838" i="55"/>
  <c r="K839" i="55"/>
  <c r="B839" i="55"/>
  <c r="B840" i="55"/>
  <c r="K840" i="55"/>
  <c r="B841" i="55"/>
  <c r="K841" i="55"/>
  <c r="K842" i="55"/>
  <c r="B842" i="55"/>
  <c r="B843" i="55"/>
  <c r="K843" i="55"/>
  <c r="K844" i="55"/>
  <c r="B844" i="55"/>
  <c r="B845" i="55"/>
  <c r="K845" i="55"/>
  <c r="K846" i="55"/>
  <c r="B846" i="55"/>
  <c r="B847" i="55"/>
  <c r="K847" i="55"/>
  <c r="B848" i="55"/>
  <c r="K848" i="55"/>
  <c r="B849" i="55"/>
  <c r="K849" i="55"/>
  <c r="B850" i="55"/>
  <c r="K850" i="55"/>
  <c r="K851" i="55"/>
  <c r="B851" i="55"/>
  <c r="K852" i="55"/>
  <c r="B852" i="55"/>
  <c r="B853" i="55"/>
  <c r="K853" i="55"/>
  <c r="K854" i="55"/>
  <c r="B854" i="55"/>
  <c r="B855" i="55"/>
  <c r="K855" i="55"/>
  <c r="K856" i="55"/>
  <c r="B856" i="55"/>
  <c r="K857" i="55"/>
  <c r="B857" i="55"/>
  <c r="B858" i="55"/>
  <c r="K858" i="55"/>
  <c r="B859" i="55"/>
  <c r="K859" i="55"/>
  <c r="B860" i="55"/>
  <c r="K860" i="55"/>
  <c r="B861" i="55"/>
  <c r="K861" i="55"/>
  <c r="B862" i="55"/>
  <c r="K862" i="55"/>
  <c r="K863" i="55"/>
  <c r="B863" i="55"/>
  <c r="B864" i="55"/>
  <c r="K864" i="55"/>
  <c r="K865" i="55"/>
  <c r="B865" i="55"/>
  <c r="B866" i="55"/>
  <c r="K866" i="55"/>
  <c r="B867" i="55"/>
  <c r="K867" i="55"/>
  <c r="B868" i="55"/>
  <c r="K868" i="55"/>
  <c r="K869" i="55"/>
  <c r="B869" i="55"/>
  <c r="K870" i="55"/>
  <c r="B870" i="55"/>
  <c r="B871" i="55"/>
  <c r="K871" i="55"/>
  <c r="B872" i="55"/>
  <c r="K872" i="55"/>
  <c r="BH487" i="5"/>
  <c r="H492" i="55"/>
  <c r="H493" i="55"/>
  <c r="BH488" i="5"/>
  <c r="H494" i="55"/>
  <c r="BH489" i="5"/>
  <c r="H495" i="55"/>
  <c r="BH490" i="5"/>
  <c r="BH491" i="5"/>
  <c r="H496" i="55"/>
  <c r="H497" i="55"/>
  <c r="BH492" i="5"/>
  <c r="H498" i="55"/>
  <c r="BH493" i="5"/>
  <c r="BH494" i="5"/>
  <c r="H499" i="55"/>
  <c r="BH495" i="5"/>
  <c r="H500" i="55"/>
  <c r="BH496" i="5"/>
  <c r="H501" i="55"/>
  <c r="H502" i="55"/>
  <c r="BH497" i="5"/>
  <c r="H503" i="55"/>
  <c r="BH498" i="5"/>
  <c r="BH499" i="5"/>
  <c r="H504" i="55"/>
  <c r="BH500" i="5"/>
  <c r="H505" i="55"/>
  <c r="H506" i="55"/>
  <c r="BH501" i="5"/>
  <c r="BH502" i="5"/>
  <c r="H507" i="55"/>
  <c r="BH503" i="5"/>
  <c r="H508" i="55"/>
  <c r="H509" i="55"/>
  <c r="BH504" i="5"/>
  <c r="BH505" i="5"/>
  <c r="H510" i="55"/>
  <c r="BH506" i="5"/>
  <c r="H511" i="55"/>
  <c r="BH507" i="5"/>
  <c r="H512" i="55"/>
  <c r="H513" i="55"/>
  <c r="BH508" i="5"/>
  <c r="BH509" i="5"/>
  <c r="H514" i="55"/>
  <c r="BH510" i="5"/>
  <c r="H515" i="55"/>
  <c r="BH511" i="5"/>
  <c r="H516" i="55"/>
  <c r="H517" i="55"/>
  <c r="BH512" i="5"/>
  <c r="H518" i="55"/>
  <c r="BH513" i="5"/>
  <c r="BH514" i="5"/>
  <c r="H519" i="55"/>
  <c r="H520" i="55"/>
  <c r="BH515" i="5"/>
  <c r="BH516" i="5"/>
  <c r="H521" i="55"/>
  <c r="H522" i="55"/>
  <c r="BH517" i="5"/>
  <c r="H523" i="55"/>
  <c r="BH518" i="5"/>
  <c r="H524" i="55"/>
  <c r="BH519" i="5"/>
  <c r="BH520" i="5"/>
  <c r="H525" i="55"/>
  <c r="BH521" i="5"/>
  <c r="H526" i="55"/>
  <c r="BH522" i="5"/>
  <c r="H527" i="55"/>
  <c r="H528" i="55"/>
  <c r="BH523" i="5"/>
  <c r="H529" i="55"/>
  <c r="BH524" i="5"/>
  <c r="H530" i="55"/>
  <c r="BH525" i="5"/>
  <c r="H531" i="55"/>
  <c r="BH526" i="5"/>
  <c r="BH527" i="5"/>
  <c r="H532" i="55"/>
  <c r="BH528" i="5"/>
  <c r="H533" i="55"/>
  <c r="BH529" i="5"/>
  <c r="H534" i="55"/>
  <c r="H535" i="55"/>
  <c r="BH530" i="5"/>
  <c r="H536" i="55"/>
  <c r="BH531" i="5"/>
  <c r="BH532" i="5"/>
  <c r="H537" i="55"/>
  <c r="H538" i="55"/>
  <c r="BH533" i="5"/>
  <c r="H539" i="55"/>
  <c r="BH534" i="5"/>
  <c r="H540" i="55"/>
  <c r="BH535" i="5"/>
  <c r="H541" i="55"/>
  <c r="BH536" i="5"/>
  <c r="BH537" i="5"/>
  <c r="H542" i="55"/>
  <c r="BH538" i="5"/>
  <c r="H543" i="55"/>
  <c r="H544" i="55"/>
  <c r="BH539" i="5"/>
  <c r="H545" i="55"/>
  <c r="BH540" i="5"/>
  <c r="BH541" i="5"/>
  <c r="H546" i="55"/>
  <c r="H547" i="55"/>
  <c r="BH542" i="5"/>
  <c r="H548" i="55"/>
  <c r="BH543" i="5"/>
  <c r="H549" i="55"/>
  <c r="BH544" i="5"/>
  <c r="H550" i="55"/>
  <c r="BH545" i="5"/>
  <c r="H551" i="55"/>
  <c r="BH546" i="5"/>
  <c r="H552" i="55"/>
  <c r="BH547" i="5"/>
  <c r="BH548" i="5"/>
  <c r="H553" i="55"/>
  <c r="BH549" i="5"/>
  <c r="H554" i="55"/>
  <c r="H555" i="55"/>
  <c r="BH550" i="5"/>
  <c r="BH551" i="5"/>
  <c r="H556" i="55"/>
  <c r="H557" i="55"/>
  <c r="BH552" i="5"/>
  <c r="H558" i="55"/>
  <c r="BH553" i="5"/>
  <c r="H559" i="55"/>
  <c r="BH554" i="5"/>
  <c r="H560" i="55"/>
  <c r="BH555" i="5"/>
  <c r="H561" i="55"/>
  <c r="BH556" i="5"/>
  <c r="H562" i="55"/>
  <c r="BH557" i="5"/>
  <c r="H563" i="55"/>
  <c r="BH558" i="5"/>
  <c r="H564" i="55"/>
  <c r="BH559" i="5"/>
  <c r="BH560" i="5"/>
  <c r="H565" i="55"/>
  <c r="H566" i="55"/>
  <c r="BH561" i="5"/>
  <c r="BH562" i="5"/>
  <c r="H567" i="55"/>
  <c r="H568" i="55"/>
  <c r="BH563" i="5"/>
  <c r="BH564" i="5"/>
  <c r="H569" i="55"/>
  <c r="BH565" i="5"/>
  <c r="H570" i="55"/>
  <c r="BH566" i="5"/>
  <c r="H571" i="55"/>
  <c r="BH567" i="5"/>
  <c r="H572" i="55"/>
  <c r="BH568" i="5"/>
  <c r="H573" i="55"/>
  <c r="H574" i="55"/>
  <c r="BH569" i="5"/>
  <c r="BH570" i="5"/>
  <c r="H575" i="55"/>
  <c r="BH571" i="5"/>
  <c r="H576" i="55"/>
  <c r="BH572" i="5"/>
  <c r="H577" i="55"/>
  <c r="H578" i="55"/>
  <c r="BH573" i="5"/>
  <c r="H579" i="55"/>
  <c r="BH574" i="5"/>
  <c r="H580" i="55"/>
  <c r="BH575" i="5"/>
  <c r="BH576" i="5"/>
  <c r="H581" i="55"/>
  <c r="H582" i="55"/>
  <c r="BH577" i="5"/>
  <c r="H583" i="55"/>
  <c r="BH578" i="5"/>
  <c r="BH579" i="5"/>
  <c r="H584" i="55"/>
  <c r="BH580" i="5"/>
  <c r="H585" i="55"/>
  <c r="H586" i="55"/>
  <c r="BH581" i="5"/>
  <c r="H587" i="55"/>
  <c r="BH582" i="5"/>
  <c r="BH583" i="5"/>
  <c r="H588" i="55"/>
  <c r="BH584" i="5"/>
  <c r="H589" i="55"/>
  <c r="H590" i="55"/>
  <c r="BH585" i="5"/>
  <c r="BH586" i="5"/>
  <c r="H591" i="55"/>
  <c r="BH587" i="5"/>
  <c r="H592" i="55"/>
  <c r="BH588" i="5"/>
  <c r="H593" i="55"/>
  <c r="H594" i="55"/>
  <c r="BH589" i="5"/>
  <c r="BH590" i="5"/>
  <c r="H595" i="55"/>
  <c r="BH591" i="5"/>
  <c r="H596" i="55"/>
  <c r="BH592" i="5"/>
  <c r="H597" i="55"/>
  <c r="BH593" i="5"/>
  <c r="H598" i="55"/>
  <c r="H599" i="55"/>
  <c r="BH594" i="5"/>
  <c r="BH595" i="5"/>
  <c r="H600" i="55"/>
  <c r="H601" i="55"/>
  <c r="BH596" i="5"/>
  <c r="BH597" i="5"/>
  <c r="H602" i="55"/>
  <c r="BH598" i="5"/>
  <c r="H603" i="55"/>
  <c r="H604" i="55"/>
  <c r="BH599" i="5"/>
  <c r="H605" i="55"/>
  <c r="BH600" i="5"/>
  <c r="BH601" i="5"/>
  <c r="H606" i="55"/>
  <c r="BH602" i="5"/>
  <c r="H607" i="55"/>
  <c r="BH603" i="5"/>
  <c r="H608" i="55"/>
  <c r="BH604" i="5"/>
  <c r="H609" i="55"/>
  <c r="H610" i="55"/>
  <c r="BH605" i="5"/>
  <c r="H611" i="55"/>
  <c r="BH606" i="5"/>
  <c r="H612" i="55"/>
  <c r="BH607" i="5"/>
  <c r="BH608" i="5"/>
  <c r="H613" i="55"/>
  <c r="H614" i="55"/>
  <c r="BH609" i="5"/>
  <c r="H615" i="55"/>
  <c r="BH610" i="5"/>
  <c r="BH611" i="5"/>
  <c r="H616" i="55"/>
  <c r="BH612" i="5"/>
  <c r="H617" i="55"/>
  <c r="H618" i="55"/>
  <c r="BH613" i="5"/>
  <c r="BH614" i="5"/>
  <c r="H619" i="55"/>
  <c r="H620" i="55"/>
  <c r="BH615" i="5"/>
  <c r="H621" i="55"/>
  <c r="BH616" i="5"/>
  <c r="H622" i="55"/>
  <c r="BH617" i="5"/>
  <c r="BH618" i="5"/>
  <c r="H623" i="55"/>
  <c r="BH619" i="5"/>
  <c r="H624" i="55"/>
  <c r="H625" i="55"/>
  <c r="BH620" i="5"/>
  <c r="H626" i="55"/>
  <c r="BH621" i="5"/>
  <c r="BH622" i="5"/>
  <c r="H627" i="55"/>
  <c r="H628" i="55"/>
  <c r="BH623" i="5"/>
  <c r="BH624" i="5"/>
  <c r="H629" i="55"/>
  <c r="H630" i="55"/>
  <c r="BH625" i="5"/>
  <c r="H631" i="55"/>
  <c r="BH626" i="5"/>
  <c r="BH627" i="5"/>
  <c r="H632" i="55"/>
  <c r="H633" i="55"/>
  <c r="BH628" i="5"/>
  <c r="H634" i="55"/>
  <c r="BH629" i="5"/>
  <c r="H635" i="55"/>
  <c r="H636" i="55"/>
  <c r="H637" i="55"/>
  <c r="H638" i="55"/>
  <c r="H639" i="55"/>
  <c r="H640" i="55"/>
  <c r="H641" i="55"/>
  <c r="H642" i="55"/>
  <c r="H643" i="55"/>
  <c r="H644" i="55"/>
  <c r="H645" i="55"/>
  <c r="H646" i="55"/>
  <c r="H647" i="55"/>
  <c r="H648" i="55"/>
  <c r="H649" i="55"/>
  <c r="H650" i="55"/>
  <c r="H651" i="55"/>
  <c r="H652" i="55"/>
  <c r="H653" i="55"/>
  <c r="H654" i="55"/>
  <c r="H655" i="55"/>
  <c r="H656" i="55"/>
  <c r="H657" i="55"/>
  <c r="H658" i="55"/>
  <c r="H659" i="55"/>
  <c r="H660" i="55"/>
  <c r="H661" i="55"/>
  <c r="H662" i="55"/>
  <c r="H663" i="55"/>
  <c r="H664" i="55"/>
  <c r="H665" i="55"/>
  <c r="H666" i="55"/>
  <c r="H667" i="55"/>
  <c r="H668" i="55"/>
  <c r="H669" i="55"/>
  <c r="H670" i="55"/>
  <c r="H671" i="55"/>
  <c r="H672" i="55"/>
  <c r="H673" i="55"/>
  <c r="H674" i="55"/>
  <c r="H675" i="55"/>
  <c r="H676" i="55"/>
  <c r="H677" i="55"/>
  <c r="H678" i="55"/>
  <c r="H679" i="55"/>
  <c r="H680" i="55"/>
  <c r="H681" i="55"/>
  <c r="H682" i="55"/>
  <c r="H683" i="55"/>
  <c r="H684" i="55"/>
  <c r="H685" i="55"/>
  <c r="H686" i="55"/>
  <c r="H687" i="55"/>
  <c r="H688" i="55"/>
  <c r="H689" i="55"/>
  <c r="H690" i="55"/>
  <c r="H691" i="55"/>
  <c r="H692" i="55"/>
  <c r="H693" i="55"/>
  <c r="H694" i="55"/>
  <c r="H695" i="55"/>
  <c r="H696" i="55"/>
  <c r="H697" i="55"/>
  <c r="H698" i="55"/>
  <c r="H699" i="55"/>
  <c r="H700" i="55"/>
  <c r="H701" i="55"/>
  <c r="H702" i="55"/>
  <c r="H703" i="55"/>
  <c r="H704" i="55"/>
  <c r="H705" i="55"/>
  <c r="H706" i="55"/>
  <c r="H707" i="55"/>
  <c r="H708" i="55"/>
  <c r="H709" i="55"/>
  <c r="H710" i="55"/>
  <c r="H711" i="55"/>
  <c r="H712" i="55"/>
  <c r="H713" i="55"/>
  <c r="H714" i="55"/>
  <c r="H715" i="55"/>
  <c r="H716" i="55"/>
  <c r="H717" i="55"/>
  <c r="H718" i="55"/>
  <c r="H719" i="55"/>
  <c r="H721" i="55"/>
  <c r="H722" i="55"/>
  <c r="H723" i="55"/>
  <c r="H724" i="55"/>
  <c r="H725" i="55"/>
  <c r="H726" i="55"/>
  <c r="H727" i="55"/>
  <c r="H728" i="55"/>
  <c r="H729" i="55"/>
  <c r="H730" i="55"/>
  <c r="H731" i="55"/>
  <c r="H732" i="55"/>
  <c r="H733" i="55"/>
  <c r="H734" i="55"/>
  <c r="H735" i="55"/>
  <c r="H736" i="55"/>
  <c r="H737" i="55"/>
  <c r="H738" i="55"/>
  <c r="H739" i="55"/>
  <c r="H740" i="55"/>
  <c r="H741" i="55"/>
  <c r="H742" i="55"/>
  <c r="H743" i="55"/>
  <c r="H744" i="55"/>
  <c r="H745" i="55"/>
  <c r="H746" i="55"/>
  <c r="H747" i="55"/>
  <c r="H748" i="55"/>
  <c r="H749" i="55"/>
  <c r="H750" i="55"/>
  <c r="H751" i="55"/>
  <c r="H752" i="55"/>
  <c r="H753" i="55"/>
  <c r="H754" i="55"/>
  <c r="H755" i="55"/>
  <c r="H756" i="55"/>
  <c r="H757" i="55"/>
  <c r="H758" i="55"/>
  <c r="H759" i="55"/>
  <c r="H760" i="55"/>
  <c r="H761" i="55"/>
  <c r="H762" i="55"/>
  <c r="H763" i="55"/>
  <c r="H764" i="55"/>
  <c r="H765" i="55"/>
  <c r="H766" i="55"/>
  <c r="H767" i="55"/>
  <c r="H768" i="55"/>
  <c r="H769" i="55"/>
  <c r="H770" i="55"/>
  <c r="H771" i="55"/>
  <c r="H772" i="55"/>
  <c r="H773" i="55"/>
  <c r="H774" i="55"/>
  <c r="H775" i="55"/>
  <c r="H776" i="55"/>
  <c r="H777" i="55"/>
  <c r="H778" i="55"/>
  <c r="H779" i="55"/>
  <c r="H780" i="55"/>
  <c r="H781" i="55"/>
  <c r="H782" i="55"/>
  <c r="H783" i="55"/>
  <c r="H784" i="55"/>
  <c r="H785" i="55"/>
  <c r="H786" i="55"/>
  <c r="H787" i="55"/>
  <c r="H788" i="55"/>
  <c r="H789" i="55"/>
  <c r="H790" i="55"/>
  <c r="H791" i="55"/>
  <c r="H792" i="55"/>
  <c r="H793" i="55"/>
  <c r="H794" i="55"/>
  <c r="H795" i="55"/>
  <c r="H796" i="55"/>
  <c r="H797" i="55"/>
  <c r="H798" i="55"/>
  <c r="H799" i="55"/>
  <c r="H800" i="55"/>
  <c r="H801" i="55"/>
  <c r="H802" i="55"/>
  <c r="H803" i="55"/>
  <c r="H804" i="55"/>
  <c r="H805" i="55"/>
  <c r="H806" i="55"/>
  <c r="H807" i="55"/>
  <c r="H808" i="55"/>
  <c r="H809" i="55"/>
  <c r="H810" i="55"/>
  <c r="H811" i="55"/>
  <c r="H812" i="55"/>
  <c r="H813" i="55"/>
  <c r="H814" i="55"/>
  <c r="H815" i="55"/>
  <c r="H816" i="55"/>
  <c r="H817" i="55"/>
  <c r="H818" i="55"/>
  <c r="H819" i="55"/>
  <c r="H820" i="55"/>
  <c r="H821" i="55"/>
  <c r="H822" i="55"/>
  <c r="H823" i="55"/>
  <c r="H824" i="55"/>
  <c r="H825" i="55"/>
  <c r="H826" i="55"/>
  <c r="H827" i="55"/>
  <c r="H828" i="55"/>
  <c r="H829" i="55"/>
  <c r="H830" i="55"/>
  <c r="H831" i="55"/>
  <c r="H832" i="55"/>
  <c r="H833" i="55"/>
  <c r="H834" i="55"/>
  <c r="H835" i="55"/>
  <c r="H836" i="55"/>
  <c r="H837" i="55"/>
  <c r="H838" i="55"/>
  <c r="H839" i="55"/>
  <c r="H840" i="55"/>
  <c r="H841" i="55"/>
  <c r="H842" i="55"/>
  <c r="H843" i="55"/>
  <c r="H844" i="55"/>
  <c r="H845" i="55"/>
  <c r="H846" i="55"/>
  <c r="H847" i="55"/>
  <c r="H848" i="55"/>
  <c r="H849" i="55"/>
  <c r="H850" i="55"/>
  <c r="H851" i="55"/>
  <c r="H852" i="55"/>
  <c r="H853" i="55"/>
  <c r="H854" i="55"/>
  <c r="H855" i="55"/>
  <c r="H856" i="55"/>
  <c r="H857" i="55"/>
  <c r="H858" i="55"/>
  <c r="H859" i="55"/>
  <c r="H860" i="55"/>
  <c r="H861" i="55"/>
  <c r="H862" i="55"/>
  <c r="H863" i="55"/>
  <c r="H864" i="55"/>
  <c r="H865" i="55"/>
  <c r="H866" i="55"/>
  <c r="H867" i="55"/>
  <c r="H868" i="55"/>
  <c r="H869" i="55"/>
  <c r="H870" i="55"/>
  <c r="H871" i="55"/>
  <c r="H872" i="55"/>
  <c r="Q1465" i="55" l="1" a="1"/>
  <c r="Q1465" i="55" s="1"/>
  <c r="Q1337" i="55" a="1"/>
  <c r="Q1337" i="55" s="1"/>
  <c r="Q1355" i="55" a="1"/>
  <c r="Q1355" i="55" s="1"/>
  <c r="R1371" i="55" a="1"/>
  <c r="R1371" i="55" s="1"/>
  <c r="B11" i="55"/>
  <c r="Q11" i="55" a="1"/>
  <c r="Q11" i="55" s="1"/>
  <c r="R11" i="55" a="1"/>
  <c r="R11" i="55" s="1"/>
  <c r="Q720" i="55" a="1"/>
  <c r="Q720" i="55" s="1"/>
  <c r="Q1477" i="55" a="1"/>
  <c r="Q1477" i="55" s="1"/>
  <c r="R1483" i="55" a="1"/>
  <c r="R1483" i="55" s="1"/>
  <c r="Q1483" i="55" a="1"/>
  <c r="Q1483" i="55" s="1"/>
  <c r="R1487" i="55" a="1"/>
  <c r="R1487" i="55" s="1"/>
  <c r="Q1487" i="55" a="1"/>
  <c r="Q1487" i="55" s="1"/>
  <c r="R1477" i="55" a="1"/>
  <c r="R1477" i="55" s="1"/>
  <c r="R1226" i="55" a="1"/>
  <c r="R1226" i="55" s="1"/>
  <c r="Q1226" i="55" a="1"/>
  <c r="Q1226" i="55" s="1"/>
  <c r="R720" i="55" a="1"/>
  <c r="R720" i="55" s="1"/>
  <c r="R1412" i="55" a="1"/>
  <c r="R1412" i="55" s="1"/>
  <c r="Q1412" i="55" a="1"/>
  <c r="Q1412" i="55" s="1"/>
  <c r="R1434" i="55" a="1"/>
  <c r="R1434" i="55" s="1"/>
  <c r="Q1434" i="55" a="1"/>
  <c r="Q1434" i="55" s="1"/>
  <c r="R1361" i="55" a="1"/>
  <c r="R1361" i="55" s="1"/>
  <c r="Q1361" i="55" a="1"/>
  <c r="Q1361" i="55" s="1"/>
  <c r="Q1380" i="55" a="1"/>
  <c r="Q1380" i="55" s="1"/>
  <c r="R1380" i="55" a="1"/>
  <c r="R1380" i="55" s="1"/>
  <c r="R1381" i="55" a="1"/>
  <c r="R1381" i="55" s="1"/>
  <c r="Q1381" i="55" a="1"/>
  <c r="Q1381" i="55" s="1"/>
  <c r="R1390" i="55" a="1"/>
  <c r="R1390" i="55" s="1"/>
  <c r="Q1390" i="55" a="1"/>
  <c r="Q1390" i="55" s="1"/>
  <c r="R1395" i="55" a="1"/>
  <c r="R1395" i="55" s="1"/>
  <c r="Q1395" i="55" a="1"/>
  <c r="Q1395" i="55" s="1"/>
  <c r="R1400" i="55" a="1"/>
  <c r="R1400" i="55" s="1"/>
  <c r="Q1400" i="55" a="1"/>
  <c r="Q1400" i="55" s="1"/>
  <c r="R1410" i="55" a="1"/>
  <c r="R1410" i="55" s="1"/>
  <c r="Q1410" i="55" a="1"/>
  <c r="Q1410" i="55" s="1"/>
  <c r="R1413" i="55" a="1"/>
  <c r="R1413" i="55" s="1"/>
  <c r="Q1413" i="55" a="1"/>
  <c r="Q1413" i="55" s="1"/>
  <c r="R1448" i="55" a="1"/>
  <c r="R1448" i="55" s="1"/>
  <c r="Q1448" i="55" a="1"/>
  <c r="Q1448" i="55" s="1"/>
  <c r="R1454" i="55" a="1"/>
  <c r="R1454" i="55" s="1"/>
  <c r="Q1454" i="55" a="1"/>
  <c r="Q1454" i="55" s="1"/>
  <c r="R1464" i="55" a="1"/>
  <c r="R1464" i="55" s="1"/>
  <c r="Q1464" i="55" a="1"/>
  <c r="Q1464" i="55" s="1"/>
  <c r="R1163" i="55" a="1"/>
  <c r="R1163" i="55" s="1"/>
  <c r="Q1163" i="55" a="1"/>
  <c r="Q1163" i="55" s="1"/>
  <c r="R1206" i="55" a="1"/>
  <c r="R1206" i="55" s="1"/>
  <c r="Q1206" i="55" a="1"/>
  <c r="Q1206" i="55" s="1"/>
  <c r="R1234" i="55" a="1"/>
  <c r="R1234" i="55" s="1"/>
  <c r="Q1234" i="55" a="1"/>
  <c r="Q1234" i="55" s="1"/>
  <c r="R471" i="55" a="1"/>
  <c r="R471" i="55" s="1"/>
  <c r="Q471" i="55" a="1"/>
  <c r="Q471" i="55" s="1"/>
  <c r="Q472" i="55" a="1"/>
  <c r="Q472" i="55" s="1"/>
  <c r="R472" i="55" a="1"/>
  <c r="R472" i="55" s="1"/>
  <c r="Q479" i="55" a="1"/>
  <c r="Q479" i="55" s="1"/>
  <c r="R479" i="55" a="1"/>
  <c r="R479" i="55" s="1"/>
  <c r="Q480" i="55" a="1"/>
  <c r="Q480" i="55" s="1"/>
  <c r="R480" i="55" a="1"/>
  <c r="R480" i="55" s="1"/>
  <c r="Q481" i="55" a="1"/>
  <c r="Q481" i="55" s="1"/>
  <c r="R481" i="55" a="1"/>
  <c r="R481" i="55" s="1"/>
  <c r="Q482" i="55" a="1"/>
  <c r="Q482" i="55" s="1"/>
  <c r="R482" i="55" a="1"/>
  <c r="R482" i="55" s="1"/>
  <c r="Q483" i="55" a="1"/>
  <c r="Q483" i="55" s="1"/>
  <c r="R483" i="55" a="1"/>
  <c r="R483" i="55" s="1"/>
  <c r="R484" i="55" a="1"/>
  <c r="R484" i="55" s="1"/>
  <c r="Q484" i="55" a="1"/>
  <c r="Q484" i="55" s="1"/>
  <c r="Q485" i="55" a="1"/>
  <c r="Q485" i="55" s="1"/>
  <c r="R485" i="55" a="1"/>
  <c r="R485" i="55" s="1"/>
  <c r="Q1466" i="55" a="1"/>
  <c r="Q1466" i="55" s="1"/>
  <c r="R1466" i="55" a="1"/>
  <c r="R1466" i="55" s="1"/>
  <c r="Q1489" i="55" a="1"/>
  <c r="Q1489" i="55" s="1"/>
  <c r="R1489" i="55" a="1"/>
  <c r="R1489" i="55" s="1"/>
  <c r="Q1491" i="55" a="1"/>
  <c r="Q1491" i="55" s="1"/>
  <c r="R1491" i="55" a="1"/>
  <c r="R1491" i="55" s="1"/>
  <c r="R1147" i="55" a="1"/>
  <c r="R1147" i="55" s="1"/>
  <c r="Q1147" i="55" a="1"/>
  <c r="Q1147" i="55" s="1"/>
  <c r="Q1164" i="55" a="1"/>
  <c r="Q1164" i="55" s="1"/>
  <c r="R1164" i="55" a="1"/>
  <c r="R1164" i="55" s="1"/>
  <c r="R1166" i="55" a="1"/>
  <c r="R1166" i="55" s="1"/>
  <c r="Q1166" i="55" a="1"/>
  <c r="Q1166" i="55" s="1"/>
  <c r="R1167" i="55" a="1"/>
  <c r="R1167" i="55" s="1"/>
  <c r="Q1167" i="55" a="1"/>
  <c r="Q1167" i="55" s="1"/>
  <c r="Q1168" i="55" a="1"/>
  <c r="Q1168" i="55" s="1"/>
  <c r="R1168" i="55" a="1"/>
  <c r="R1168" i="55" s="1"/>
  <c r="Q1169" i="55" a="1"/>
  <c r="Q1169" i="55" s="1"/>
  <c r="R1169" i="55" a="1"/>
  <c r="R1169" i="55" s="1"/>
  <c r="Q1170" i="55" a="1"/>
  <c r="Q1170" i="55" s="1"/>
  <c r="R1170" i="55" a="1"/>
  <c r="R1170" i="55" s="1"/>
  <c r="Q1171" i="55" a="1"/>
  <c r="Q1171" i="55" s="1"/>
  <c r="R1171" i="55" a="1"/>
  <c r="R1171" i="55" s="1"/>
  <c r="Q1172" i="55" a="1"/>
  <c r="Q1172" i="55" s="1"/>
  <c r="R1172" i="55" a="1"/>
  <c r="R1172" i="55" s="1"/>
  <c r="Q1174" i="55" a="1"/>
  <c r="Q1174" i="55" s="1"/>
  <c r="R1174" i="55" a="1"/>
  <c r="R1174" i="55" s="1"/>
  <c r="R1184" i="55" a="1"/>
  <c r="R1184" i="55" s="1"/>
  <c r="Q1184" i="55" a="1"/>
  <c r="Q1184" i="55" s="1"/>
  <c r="R1186" i="55" a="1"/>
  <c r="R1186" i="55" s="1"/>
  <c r="Q1186" i="55" a="1"/>
  <c r="Q1186" i="55" s="1"/>
  <c r="R1201" i="55" a="1"/>
  <c r="R1201" i="55" s="1"/>
  <c r="Q1201" i="55" a="1"/>
  <c r="Q1201" i="55" s="1"/>
  <c r="R1209" i="55" a="1"/>
  <c r="R1209" i="55" s="1"/>
  <c r="Q1209" i="55" a="1"/>
  <c r="Q1209" i="55" s="1"/>
  <c r="Q1213" i="55" a="1"/>
  <c r="Q1213" i="55" s="1"/>
  <c r="R1213" i="55" a="1"/>
  <c r="R1213" i="55" s="1"/>
  <c r="Q1220" i="55" a="1"/>
  <c r="Q1220" i="55" s="1"/>
  <c r="R1220" i="55" a="1"/>
  <c r="R1220" i="55" s="1"/>
  <c r="R1222" i="55" a="1"/>
  <c r="R1222" i="55" s="1"/>
  <c r="Q1222" i="55" a="1"/>
  <c r="Q1222" i="55" s="1"/>
  <c r="Q1230" i="55" a="1"/>
  <c r="Q1230" i="55" s="1"/>
  <c r="R1230" i="55" a="1"/>
  <c r="R1230" i="55" s="1"/>
  <c r="Q1232" i="55" a="1"/>
  <c r="Q1232" i="55" s="1"/>
  <c r="R1232" i="55" a="1"/>
  <c r="R1232" i="55" s="1"/>
  <c r="Q1239" i="55" a="1"/>
  <c r="Q1239" i="55" s="1"/>
  <c r="R1239" i="55" a="1"/>
  <c r="R1239" i="55" s="1"/>
  <c r="Q1240" i="55" a="1"/>
  <c r="Q1240" i="55" s="1"/>
  <c r="R1240" i="55" a="1"/>
  <c r="R1240" i="55" s="1"/>
  <c r="R1259" i="55" a="1"/>
  <c r="R1259" i="55" s="1"/>
  <c r="Q1259" i="55" a="1"/>
  <c r="Q1259" i="55" s="1"/>
  <c r="R1289" i="55" a="1"/>
  <c r="R1289" i="55" s="1"/>
  <c r="Q1289" i="55" a="1"/>
  <c r="Q1289" i="55" s="1"/>
  <c r="R1290" i="55" a="1"/>
  <c r="R1290" i="55" s="1"/>
  <c r="Q1290" i="55" a="1"/>
  <c r="Q1290" i="55" s="1"/>
  <c r="Q1294" i="55" a="1"/>
  <c r="Q1294" i="55" s="1"/>
  <c r="R1294" i="55" a="1"/>
  <c r="R1294" i="55" s="1"/>
  <c r="Q1315" i="55" a="1"/>
  <c r="Q1315" i="55" s="1"/>
  <c r="R1315" i="55" a="1"/>
  <c r="R1315" i="55" s="1"/>
  <c r="Q1316" i="55" a="1"/>
  <c r="Q1316" i="55" s="1"/>
  <c r="R1316" i="55" a="1"/>
  <c r="R1316" i="55" s="1"/>
  <c r="Q1327" i="55" a="1"/>
  <c r="Q1327" i="55" s="1"/>
  <c r="R1327" i="55" a="1"/>
  <c r="R1327" i="55" s="1"/>
  <c r="Q1332" i="55" a="1"/>
  <c r="Q1332" i="55" s="1"/>
  <c r="R1332" i="55" a="1"/>
  <c r="R1332" i="55" s="1"/>
  <c r="R1340" i="55" a="1"/>
  <c r="R1340" i="55" s="1"/>
  <c r="Q1340" i="55" a="1"/>
  <c r="Q1340" i="55" s="1"/>
  <c r="Q1351" i="55" a="1"/>
  <c r="Q1351" i="55" s="1"/>
  <c r="R1351" i="55" a="1"/>
  <c r="R1351" i="55" s="1"/>
  <c r="R1357" i="55" a="1"/>
  <c r="R1357" i="55" s="1"/>
  <c r="Q1357" i="55" a="1"/>
  <c r="Q1357" i="55" s="1"/>
  <c r="R1364" i="55" a="1"/>
  <c r="R1364" i="55" s="1"/>
  <c r="Q1364" i="55" a="1"/>
  <c r="Q1364" i="55" s="1"/>
  <c r="Q1368" i="55" a="1"/>
  <c r="Q1368" i="55" s="1"/>
  <c r="R1368" i="55" a="1"/>
  <c r="R1368" i="55" s="1"/>
  <c r="Q1375" i="55" a="1"/>
  <c r="Q1375" i="55" s="1"/>
  <c r="R1375" i="55" a="1"/>
  <c r="R1375" i="55" s="1"/>
  <c r="R1377" i="55" a="1"/>
  <c r="R1377" i="55" s="1"/>
  <c r="Q1377" i="55" a="1"/>
  <c r="Q1377" i="55" s="1"/>
  <c r="R1379" i="55" a="1"/>
  <c r="R1379" i="55" s="1"/>
  <c r="Q1379" i="55" a="1"/>
  <c r="Q1379" i="55" s="1"/>
  <c r="Q1382" i="55" a="1"/>
  <c r="Q1382" i="55" s="1"/>
  <c r="R1382" i="55" a="1"/>
  <c r="R1382" i="55" s="1"/>
  <c r="Q1383" i="55" a="1"/>
  <c r="Q1383" i="55" s="1"/>
  <c r="R1383" i="55" a="1"/>
  <c r="R1383" i="55" s="1"/>
  <c r="R1384" i="55" a="1"/>
  <c r="R1384" i="55" s="1"/>
  <c r="Q1384" i="55" a="1"/>
  <c r="Q1384" i="55" s="1"/>
  <c r="R1385" i="55" a="1"/>
  <c r="R1385" i="55" s="1"/>
  <c r="Q1385" i="55" a="1"/>
  <c r="Q1385" i="55" s="1"/>
  <c r="Q1386" i="55" a="1"/>
  <c r="Q1386" i="55" s="1"/>
  <c r="R1386" i="55" a="1"/>
  <c r="R1386" i="55" s="1"/>
  <c r="R1387" i="55" a="1"/>
  <c r="R1387" i="55" s="1"/>
  <c r="Q1387" i="55" a="1"/>
  <c r="Q1387" i="55" s="1"/>
  <c r="R1389" i="55" a="1"/>
  <c r="R1389" i="55" s="1"/>
  <c r="Q1389" i="55" a="1"/>
  <c r="Q1389" i="55" s="1"/>
  <c r="R1391" i="55" a="1"/>
  <c r="R1391" i="55" s="1"/>
  <c r="Q1391" i="55" a="1"/>
  <c r="Q1391" i="55" s="1"/>
  <c r="R1392" i="55" a="1"/>
  <c r="R1392" i="55" s="1"/>
  <c r="Q1392" i="55" a="1"/>
  <c r="Q1392" i="55" s="1"/>
  <c r="R1393" i="55" a="1"/>
  <c r="R1393" i="55" s="1"/>
  <c r="Q1393" i="55" a="1"/>
  <c r="Q1393" i="55" s="1"/>
  <c r="R1394" i="55" a="1"/>
  <c r="R1394" i="55" s="1"/>
  <c r="Q1394" i="55" a="1"/>
  <c r="Q1394" i="55" s="1"/>
  <c r="R1422" i="55" a="1"/>
  <c r="R1422" i="55" s="1"/>
  <c r="Q1422" i="55" a="1"/>
  <c r="Q1422" i="55" s="1"/>
  <c r="R1429" i="55" a="1"/>
  <c r="R1429" i="55" s="1"/>
  <c r="Q1429" i="55" a="1"/>
  <c r="Q1429" i="55" s="1"/>
  <c r="Q1441" i="55" a="1"/>
  <c r="Q1441" i="55" s="1"/>
  <c r="R1441" i="55" a="1"/>
  <c r="R1441" i="55" s="1"/>
  <c r="Q1460" i="55" a="1"/>
  <c r="Q1460" i="55" s="1"/>
  <c r="R1460" i="55" a="1"/>
  <c r="R1460" i="55" s="1"/>
  <c r="Q1463" i="55" a="1"/>
  <c r="Q1463" i="55" s="1"/>
  <c r="R1463" i="55" a="1"/>
  <c r="R1463" i="55" s="1"/>
  <c r="Q1468" i="55" a="1"/>
  <c r="Q1468" i="55" s="1"/>
  <c r="R1468" i="55" a="1"/>
  <c r="R1468" i="55" s="1"/>
  <c r="Q1476" i="55" a="1"/>
  <c r="Q1476" i="55" s="1"/>
  <c r="R1476" i="55" a="1"/>
  <c r="R1476" i="55" s="1"/>
  <c r="Q1480" i="55" a="1"/>
  <c r="Q1480" i="55" s="1"/>
  <c r="R1480" i="55" a="1"/>
  <c r="R1480" i="55" s="1"/>
  <c r="R1488" i="55" a="1"/>
  <c r="R1488" i="55" s="1"/>
  <c r="Q1488" i="55" a="1"/>
  <c r="Q1488" i="55" s="1"/>
  <c r="Q1490" i="55" a="1"/>
  <c r="Q1490" i="55" s="1"/>
  <c r="R1490" i="55" a="1"/>
  <c r="R1490" i="55" s="1"/>
  <c r="Q1495" i="55" a="1"/>
  <c r="Q1495" i="55" s="1"/>
  <c r="R1495" i="55" a="1"/>
  <c r="R1495" i="55" s="1"/>
  <c r="Q1498" i="55" a="1"/>
  <c r="Q1498" i="55" s="1"/>
  <c r="R1498" i="55" a="1"/>
  <c r="R1498" i="55" s="1"/>
  <c r="R460" i="55" a="1"/>
  <c r="R460" i="55" s="1"/>
  <c r="Q460" i="55" a="1"/>
  <c r="Q460" i="55" s="1"/>
  <c r="Q461" i="55" a="1"/>
  <c r="Q461" i="55" s="1"/>
  <c r="R461" i="55" a="1"/>
  <c r="R461" i="55" s="1"/>
  <c r="R462" i="55" a="1"/>
  <c r="R462" i="55" s="1"/>
  <c r="Q462" i="55" a="1"/>
  <c r="Q462" i="55" s="1"/>
  <c r="Q463" i="55" a="1"/>
  <c r="Q463" i="55" s="1"/>
  <c r="R463" i="55" a="1"/>
  <c r="R463" i="55" s="1"/>
  <c r="R470" i="55" a="1"/>
  <c r="R470" i="55" s="1"/>
  <c r="Q470" i="55" a="1"/>
  <c r="Q470" i="55" s="1"/>
  <c r="R473" i="55" a="1"/>
  <c r="R473" i="55" s="1"/>
  <c r="Q473" i="55" a="1"/>
  <c r="Q473" i="55" s="1"/>
  <c r="R475" i="55" a="1"/>
  <c r="R475" i="55" s="1"/>
  <c r="Q475" i="55" a="1"/>
  <c r="Q475" i="55" s="1"/>
  <c r="Q476" i="55" a="1"/>
  <c r="Q476" i="55" s="1"/>
  <c r="R476" i="55" a="1"/>
  <c r="R476" i="55" s="1"/>
  <c r="R486" i="55" a="1"/>
  <c r="R486" i="55" s="1"/>
  <c r="Q486" i="55" a="1"/>
  <c r="Q486" i="55" s="1"/>
  <c r="R467" i="55" a="1"/>
  <c r="R467" i="55" s="1"/>
  <c r="R468" i="55" a="1"/>
  <c r="R468" i="55" s="1"/>
  <c r="R469" i="55" a="1"/>
  <c r="R469" i="55" s="1"/>
  <c r="R491" i="55" a="1"/>
  <c r="R491" i="55" s="1"/>
  <c r="R1333" i="55" a="1"/>
  <c r="R1333" i="55" s="1"/>
  <c r="Q1333" i="55" a="1"/>
  <c r="Q1333" i="55" s="1"/>
  <c r="R464" i="55" a="1"/>
  <c r="R464" i="55" s="1"/>
  <c r="Q464" i="55" a="1"/>
  <c r="Q464" i="55" s="1"/>
  <c r="R465" i="55" a="1"/>
  <c r="R465" i="55" s="1"/>
  <c r="Q465" i="55" a="1"/>
  <c r="Q465" i="55" s="1"/>
  <c r="R466" i="55" a="1"/>
  <c r="R466" i="55" s="1"/>
  <c r="Q466" i="55" a="1"/>
  <c r="Q466" i="55" s="1"/>
  <c r="R474" i="55" a="1"/>
  <c r="R474" i="55" s="1"/>
  <c r="Q474" i="55" a="1"/>
  <c r="Q474" i="55" s="1"/>
  <c r="R477" i="55" a="1"/>
  <c r="R477" i="55" s="1"/>
  <c r="Q477" i="55" a="1"/>
  <c r="Q477" i="55" s="1"/>
  <c r="R24" i="55" a="1"/>
  <c r="R24" i="55" s="1"/>
  <c r="Q24" i="55" a="1"/>
  <c r="Q24" i="55" s="1"/>
  <c r="R39" i="55" a="1"/>
  <c r="R39" i="55" s="1"/>
  <c r="Q39" i="55" a="1"/>
  <c r="Q39" i="55" s="1"/>
  <c r="Q41" i="55" a="1"/>
  <c r="Q41" i="55" s="1"/>
  <c r="R41" i="55" a="1"/>
  <c r="R41" i="55" s="1"/>
  <c r="R44" i="55" a="1"/>
  <c r="R44" i="55" s="1"/>
  <c r="Q44" i="55" a="1"/>
  <c r="Q44" i="55" s="1"/>
  <c r="R51" i="55" a="1"/>
  <c r="R51" i="55" s="1"/>
  <c r="Q51" i="55" a="1"/>
  <c r="Q51" i="55" s="1"/>
  <c r="R58" i="55" a="1"/>
  <c r="R58" i="55" s="1"/>
  <c r="Q58" i="55" a="1"/>
  <c r="Q58" i="55" s="1"/>
  <c r="R63" i="55" a="1"/>
  <c r="R63" i="55" s="1"/>
  <c r="Q63" i="55" a="1"/>
  <c r="Q63" i="55" s="1"/>
  <c r="R64" i="55" a="1"/>
  <c r="R64" i="55" s="1"/>
  <c r="Q64" i="55" a="1"/>
  <c r="Q64" i="55" s="1"/>
  <c r="R68" i="55" a="1"/>
  <c r="R68" i="55" s="1"/>
  <c r="Q68" i="55" a="1"/>
  <c r="Q68" i="55" s="1"/>
  <c r="R70" i="55" a="1"/>
  <c r="R70" i="55" s="1"/>
  <c r="Q70" i="55" a="1"/>
  <c r="Q70" i="55" s="1"/>
  <c r="Q72" i="55" a="1"/>
  <c r="Q72" i="55" s="1"/>
  <c r="R72" i="55" a="1"/>
  <c r="R72" i="55" s="1"/>
  <c r="R74" i="55" a="1"/>
  <c r="R74" i="55" s="1"/>
  <c r="Q74" i="55" a="1"/>
  <c r="Q74" i="55" s="1"/>
  <c r="Q78" i="55" a="1"/>
  <c r="Q78" i="55" s="1"/>
  <c r="R78" i="55" a="1"/>
  <c r="R78" i="55" s="1"/>
  <c r="R81" i="55" a="1"/>
  <c r="R81" i="55" s="1"/>
  <c r="Q81" i="55" a="1"/>
  <c r="Q81" i="55" s="1"/>
  <c r="R82" i="55" a="1"/>
  <c r="R82" i="55" s="1"/>
  <c r="Q82" i="55" a="1"/>
  <c r="Q82" i="55" s="1"/>
  <c r="R87" i="55" a="1"/>
  <c r="R87" i="55" s="1"/>
  <c r="Q87" i="55" a="1"/>
  <c r="Q87" i="55" s="1"/>
  <c r="R94" i="55" a="1"/>
  <c r="R94" i="55" s="1"/>
  <c r="Q94" i="55" a="1"/>
  <c r="Q94" i="55" s="1"/>
  <c r="Q95" i="55" a="1"/>
  <c r="Q95" i="55" s="1"/>
  <c r="R95" i="55" a="1"/>
  <c r="R95" i="55" s="1"/>
  <c r="R96" i="55" a="1"/>
  <c r="R96" i="55" s="1"/>
  <c r="Q96" i="55" a="1"/>
  <c r="Q96" i="55" s="1"/>
  <c r="R97" i="55" a="1"/>
  <c r="R97" i="55" s="1"/>
  <c r="Q97" i="55" a="1"/>
  <c r="Q97" i="55" s="1"/>
  <c r="R98" i="55" a="1"/>
  <c r="R98" i="55" s="1"/>
  <c r="Q98" i="55" a="1"/>
  <c r="Q98" i="55" s="1"/>
  <c r="R99" i="55" a="1"/>
  <c r="R99" i="55" s="1"/>
  <c r="Q99" i="55" a="1"/>
  <c r="Q99" i="55" s="1"/>
  <c r="R100" i="55" a="1"/>
  <c r="R100" i="55" s="1"/>
  <c r="Q100" i="55" a="1"/>
  <c r="Q100" i="55" s="1"/>
  <c r="R101" i="55" a="1"/>
  <c r="R101" i="55" s="1"/>
  <c r="Q101" i="55" a="1"/>
  <c r="Q101" i="55" s="1"/>
  <c r="Q102" i="55" a="1"/>
  <c r="Q102" i="55" s="1"/>
  <c r="R102" i="55" a="1"/>
  <c r="R102" i="55" s="1"/>
  <c r="R103" i="55" a="1"/>
  <c r="R103" i="55" s="1"/>
  <c r="Q103" i="55" a="1"/>
  <c r="Q103" i="55" s="1"/>
  <c r="R104" i="55" a="1"/>
  <c r="R104" i="55" s="1"/>
  <c r="Q104" i="55" a="1"/>
  <c r="Q104" i="55" s="1"/>
  <c r="Q105" i="55" a="1"/>
  <c r="Q105" i="55" s="1"/>
  <c r="R105" i="55" a="1"/>
  <c r="R105" i="55" s="1"/>
  <c r="R106" i="55" a="1"/>
  <c r="R106" i="55" s="1"/>
  <c r="Q106" i="55" a="1"/>
  <c r="Q106" i="55" s="1"/>
  <c r="R107" i="55" a="1"/>
  <c r="R107" i="55" s="1"/>
  <c r="Q107" i="55" a="1"/>
  <c r="Q107" i="55" s="1"/>
  <c r="Q108" i="55" a="1"/>
  <c r="Q108" i="55" s="1"/>
  <c r="R108" i="55" a="1"/>
  <c r="R108" i="55" s="1"/>
  <c r="Q109" i="55" a="1"/>
  <c r="Q109" i="55" s="1"/>
  <c r="R109" i="55" a="1"/>
  <c r="R109" i="55" s="1"/>
  <c r="R110" i="55" a="1"/>
  <c r="R110" i="55" s="1"/>
  <c r="Q110" i="55" a="1"/>
  <c r="Q110" i="55" s="1"/>
  <c r="R111" i="55" a="1"/>
  <c r="R111" i="55" s="1"/>
  <c r="Q111" i="55" a="1"/>
  <c r="Q111" i="55" s="1"/>
  <c r="R112" i="55" a="1"/>
  <c r="R112" i="55" s="1"/>
  <c r="Q112" i="55" a="1"/>
  <c r="Q112" i="55" s="1"/>
  <c r="R114" i="55" a="1"/>
  <c r="R114" i="55" s="1"/>
  <c r="Q114" i="55" a="1"/>
  <c r="Q114" i="55" s="1"/>
  <c r="R116" i="55" a="1"/>
  <c r="R116" i="55" s="1"/>
  <c r="Q116" i="55" a="1"/>
  <c r="Q116" i="55" s="1"/>
  <c r="R117" i="55" a="1"/>
  <c r="R117" i="55" s="1"/>
  <c r="Q117" i="55" a="1"/>
  <c r="Q117" i="55" s="1"/>
  <c r="Q118" i="55" a="1"/>
  <c r="Q118" i="55" s="1"/>
  <c r="R118" i="55" a="1"/>
  <c r="R118" i="55" s="1"/>
  <c r="R122" i="55" a="1"/>
  <c r="R122" i="55" s="1"/>
  <c r="Q122" i="55" a="1"/>
  <c r="Q122" i="55" s="1"/>
  <c r="R124" i="55" a="1"/>
  <c r="R124" i="55" s="1"/>
  <c r="Q124" i="55" a="1"/>
  <c r="Q124" i="55" s="1"/>
  <c r="R125" i="55" a="1"/>
  <c r="R125" i="55" s="1"/>
  <c r="Q125" i="55" a="1"/>
  <c r="Q125" i="55" s="1"/>
  <c r="R126" i="55" a="1"/>
  <c r="R126" i="55" s="1"/>
  <c r="Q126" i="55" a="1"/>
  <c r="Q126" i="55" s="1"/>
  <c r="R127" i="55" a="1"/>
  <c r="R127" i="55" s="1"/>
  <c r="Q127" i="55" a="1"/>
  <c r="Q127" i="55" s="1"/>
  <c r="Q128" i="55" a="1"/>
  <c r="Q128" i="55" s="1"/>
  <c r="R128" i="55" a="1"/>
  <c r="R128" i="55" s="1"/>
  <c r="Q137" i="55" a="1"/>
  <c r="Q137" i="55" s="1"/>
  <c r="R137" i="55" a="1"/>
  <c r="R137" i="55" s="1"/>
  <c r="Q138" i="55" a="1"/>
  <c r="Q138" i="55" s="1"/>
  <c r="R138" i="55" a="1"/>
  <c r="R138" i="55" s="1"/>
  <c r="Q139" i="55" a="1"/>
  <c r="Q139" i="55" s="1"/>
  <c r="R139" i="55" a="1"/>
  <c r="R139" i="55" s="1"/>
  <c r="R140" i="55" a="1"/>
  <c r="R140" i="55" s="1"/>
  <c r="Q140" i="55" a="1"/>
  <c r="Q140" i="55" s="1"/>
  <c r="Q143" i="55" a="1"/>
  <c r="Q143" i="55" s="1"/>
  <c r="R143" i="55" a="1"/>
  <c r="R143" i="55" s="1"/>
  <c r="R146" i="55" a="1"/>
  <c r="R146" i="55" s="1"/>
  <c r="Q146" i="55" a="1"/>
  <c r="Q146" i="55" s="1"/>
  <c r="R147" i="55" a="1"/>
  <c r="R147" i="55" s="1"/>
  <c r="Q147" i="55" a="1"/>
  <c r="Q147" i="55" s="1"/>
  <c r="R150" i="55" a="1"/>
  <c r="R150" i="55" s="1"/>
  <c r="Q150" i="55" a="1"/>
  <c r="Q150" i="55" s="1"/>
  <c r="R151" i="55" a="1"/>
  <c r="R151" i="55" s="1"/>
  <c r="Q151" i="55" a="1"/>
  <c r="Q151" i="55" s="1"/>
  <c r="R153" i="55" a="1"/>
  <c r="R153" i="55" s="1"/>
  <c r="Q153" i="55" a="1"/>
  <c r="Q153" i="55" s="1"/>
  <c r="Q154" i="55" a="1"/>
  <c r="Q154" i="55" s="1"/>
  <c r="R154" i="55" a="1"/>
  <c r="R154" i="55" s="1"/>
  <c r="R155" i="55" a="1"/>
  <c r="R155" i="55" s="1"/>
  <c r="Q155" i="55" a="1"/>
  <c r="Q155" i="55" s="1"/>
  <c r="Q156" i="55" a="1"/>
  <c r="Q156" i="55" s="1"/>
  <c r="R156" i="55" a="1"/>
  <c r="R156" i="55" s="1"/>
  <c r="R157" i="55" a="1"/>
  <c r="R157" i="55" s="1"/>
  <c r="Q157" i="55" a="1"/>
  <c r="Q157" i="55" s="1"/>
  <c r="R158" i="55" a="1"/>
  <c r="R158" i="55" s="1"/>
  <c r="Q158" i="55" a="1"/>
  <c r="Q158" i="55" s="1"/>
  <c r="R159" i="55" a="1"/>
  <c r="R159" i="55" s="1"/>
  <c r="Q159" i="55" a="1"/>
  <c r="Q159" i="55" s="1"/>
  <c r="R160" i="55" a="1"/>
  <c r="R160" i="55" s="1"/>
  <c r="Q160" i="55" a="1"/>
  <c r="Q160" i="55" s="1"/>
  <c r="R170" i="55" a="1"/>
  <c r="R170" i="55" s="1"/>
  <c r="Q170" i="55" a="1"/>
  <c r="Q170" i="55" s="1"/>
  <c r="R171" i="55" a="1"/>
  <c r="R171" i="55" s="1"/>
  <c r="Q171" i="55" a="1"/>
  <c r="Q171" i="55" s="1"/>
  <c r="R172" i="55" a="1"/>
  <c r="R172" i="55" s="1"/>
  <c r="Q172" i="55" a="1"/>
  <c r="Q172" i="55" s="1"/>
  <c r="R173" i="55" a="1"/>
  <c r="R173" i="55" s="1"/>
  <c r="Q173" i="55" a="1"/>
  <c r="Q173" i="55" s="1"/>
  <c r="Q174" i="55" a="1"/>
  <c r="Q174" i="55" s="1"/>
  <c r="R174" i="55" a="1"/>
  <c r="R174" i="55" s="1"/>
  <c r="R175" i="55" a="1"/>
  <c r="R175" i="55" s="1"/>
  <c r="Q175" i="55" a="1"/>
  <c r="Q175" i="55" s="1"/>
  <c r="Q176" i="55" a="1"/>
  <c r="Q176" i="55" s="1"/>
  <c r="R176" i="55" a="1"/>
  <c r="R176" i="55" s="1"/>
  <c r="R177" i="55" a="1"/>
  <c r="R177" i="55" s="1"/>
  <c r="Q177" i="55" a="1"/>
  <c r="Q177" i="55" s="1"/>
  <c r="R178" i="55" a="1"/>
  <c r="R178" i="55" s="1"/>
  <c r="Q178" i="55" a="1"/>
  <c r="Q178" i="55" s="1"/>
  <c r="Q179" i="55" a="1"/>
  <c r="Q179" i="55" s="1"/>
  <c r="R179" i="55" a="1"/>
  <c r="R179" i="55" s="1"/>
  <c r="R180" i="55" a="1"/>
  <c r="R180" i="55" s="1"/>
  <c r="Q180" i="55" a="1"/>
  <c r="Q180" i="55" s="1"/>
  <c r="Q181" i="55" a="1"/>
  <c r="Q181" i="55" s="1"/>
  <c r="R181" i="55" a="1"/>
  <c r="R181" i="55" s="1"/>
  <c r="R184" i="55" a="1"/>
  <c r="R184" i="55" s="1"/>
  <c r="Q184" i="55" a="1"/>
  <c r="Q184" i="55" s="1"/>
  <c r="R187" i="55" a="1"/>
  <c r="R187" i="55" s="1"/>
  <c r="Q187" i="55" a="1"/>
  <c r="Q187" i="55" s="1"/>
  <c r="R188" i="55" a="1"/>
  <c r="R188" i="55" s="1"/>
  <c r="Q188" i="55" a="1"/>
  <c r="Q188" i="55" s="1"/>
  <c r="R189" i="55" a="1"/>
  <c r="R189" i="55" s="1"/>
  <c r="Q189" i="55" a="1"/>
  <c r="Q189" i="55" s="1"/>
  <c r="R190" i="55" a="1"/>
  <c r="R190" i="55" s="1"/>
  <c r="Q190" i="55" a="1"/>
  <c r="Q190" i="55" s="1"/>
  <c r="R191" i="55" a="1"/>
  <c r="R191" i="55" s="1"/>
  <c r="Q191" i="55" a="1"/>
  <c r="Q191" i="55" s="1"/>
  <c r="Q192" i="55" a="1"/>
  <c r="Q192" i="55" s="1"/>
  <c r="R192" i="55" a="1"/>
  <c r="R192" i="55" s="1"/>
  <c r="R196" i="55" a="1"/>
  <c r="R196" i="55" s="1"/>
  <c r="Q196" i="55" a="1"/>
  <c r="Q196" i="55" s="1"/>
  <c r="R197" i="55" a="1"/>
  <c r="R197" i="55" s="1"/>
  <c r="Q197" i="55" a="1"/>
  <c r="Q197" i="55" s="1"/>
  <c r="R198" i="55" a="1"/>
  <c r="R198" i="55" s="1"/>
  <c r="Q198" i="55" a="1"/>
  <c r="Q198" i="55" s="1"/>
  <c r="Q199" i="55" a="1"/>
  <c r="Q199" i="55" s="1"/>
  <c r="R199" i="55" a="1"/>
  <c r="R199" i="55" s="1"/>
  <c r="R200" i="55" a="1"/>
  <c r="R200" i="55" s="1"/>
  <c r="Q200" i="55" a="1"/>
  <c r="Q200" i="55" s="1"/>
  <c r="R201" i="55" a="1"/>
  <c r="R201" i="55" s="1"/>
  <c r="Q201" i="55" a="1"/>
  <c r="Q201" i="55" s="1"/>
  <c r="R221" i="55" a="1"/>
  <c r="R221" i="55" s="1"/>
  <c r="Q221" i="55" a="1"/>
  <c r="Q221" i="55" s="1"/>
  <c r="R222" i="55" a="1"/>
  <c r="R222" i="55" s="1"/>
  <c r="Q222" i="55" a="1"/>
  <c r="Q222" i="55" s="1"/>
  <c r="R245" i="55" a="1"/>
  <c r="R245" i="55" s="1"/>
  <c r="Q245" i="55" a="1"/>
  <c r="Q245" i="55" s="1"/>
  <c r="R277" i="55" a="1"/>
  <c r="R277" i="55" s="1"/>
  <c r="Q277" i="55" a="1"/>
  <c r="Q277" i="55" s="1"/>
  <c r="R285" i="55" a="1"/>
  <c r="R285" i="55" s="1"/>
  <c r="Q285" i="55" a="1"/>
  <c r="Q285" i="55" s="1"/>
  <c r="R291" i="55" a="1"/>
  <c r="R291" i="55" s="1"/>
  <c r="Q291" i="55" a="1"/>
  <c r="Q291" i="55" s="1"/>
  <c r="R293" i="55" a="1"/>
  <c r="R293" i="55" s="1"/>
  <c r="Q293" i="55" a="1"/>
  <c r="Q293" i="55" s="1"/>
  <c r="R294" i="55" a="1"/>
  <c r="R294" i="55" s="1"/>
  <c r="Q294" i="55" a="1"/>
  <c r="Q294" i="55" s="1"/>
  <c r="R327" i="55" a="1"/>
  <c r="R327" i="55" s="1"/>
  <c r="Q327" i="55" a="1"/>
  <c r="Q327" i="55" s="1"/>
  <c r="R343" i="55" a="1"/>
  <c r="R343" i="55" s="1"/>
  <c r="Q343" i="55" a="1"/>
  <c r="Q343" i="55" s="1"/>
  <c r="R347" i="55" a="1"/>
  <c r="R347" i="55" s="1"/>
  <c r="Q347" i="55" a="1"/>
  <c r="Q347" i="55" s="1"/>
  <c r="R348" i="55" a="1"/>
  <c r="R348" i="55" s="1"/>
  <c r="Q348" i="55" a="1"/>
  <c r="Q348" i="55" s="1"/>
  <c r="Q354" i="55" a="1"/>
  <c r="Q354" i="55" s="1"/>
  <c r="R354" i="55" a="1"/>
  <c r="R354" i="55" s="1"/>
  <c r="R355" i="55" a="1"/>
  <c r="R355" i="55" s="1"/>
  <c r="Q355" i="55" a="1"/>
  <c r="Q355" i="55" s="1"/>
  <c r="R358" i="55" a="1"/>
  <c r="R358" i="55" s="1"/>
  <c r="Q358" i="55" a="1"/>
  <c r="Q358" i="55" s="1"/>
  <c r="R359" i="55" a="1"/>
  <c r="R359" i="55" s="1"/>
  <c r="Q359" i="55" a="1"/>
  <c r="Q359" i="55" s="1"/>
  <c r="R362" i="55" a="1"/>
  <c r="R362" i="55" s="1"/>
  <c r="Q362" i="55" a="1"/>
  <c r="Q362" i="55" s="1"/>
  <c r="R363" i="55" a="1"/>
  <c r="R363" i="55" s="1"/>
  <c r="Q363" i="55" a="1"/>
  <c r="Q363" i="55" s="1"/>
  <c r="R377" i="55" a="1"/>
  <c r="R377" i="55" s="1"/>
  <c r="Q377" i="55" a="1"/>
  <c r="Q377" i="55" s="1"/>
  <c r="R380" i="55" a="1"/>
  <c r="R380" i="55" s="1"/>
  <c r="Q380" i="55" a="1"/>
  <c r="Q380" i="55" s="1"/>
  <c r="R382" i="55" a="1"/>
  <c r="R382" i="55" s="1"/>
  <c r="Q382" i="55" a="1"/>
  <c r="Q382" i="55" s="1"/>
  <c r="Q387" i="55" a="1"/>
  <c r="Q387" i="55" s="1"/>
  <c r="R387" i="55" a="1"/>
  <c r="R387" i="55" s="1"/>
  <c r="R393" i="55" a="1"/>
  <c r="R393" i="55" s="1"/>
  <c r="Q393" i="55" a="1"/>
  <c r="Q393" i="55" s="1"/>
  <c r="Q394" i="55" a="1"/>
  <c r="Q394" i="55" s="1"/>
  <c r="R394" i="55" a="1"/>
  <c r="R394" i="55" s="1"/>
  <c r="R395" i="55" a="1"/>
  <c r="R395" i="55" s="1"/>
  <c r="Q395" i="55" a="1"/>
  <c r="Q395" i="55" s="1"/>
  <c r="R396" i="55" a="1"/>
  <c r="R396" i="55" s="1"/>
  <c r="Q396" i="55" a="1"/>
  <c r="Q396" i="55" s="1"/>
  <c r="R397" i="55" a="1"/>
  <c r="R397" i="55" s="1"/>
  <c r="Q397" i="55" a="1"/>
  <c r="Q397" i="55" s="1"/>
  <c r="R398" i="55" a="1"/>
  <c r="R398" i="55" s="1"/>
  <c r="Q398" i="55" a="1"/>
  <c r="Q398" i="55" s="1"/>
  <c r="R399" i="55" a="1"/>
  <c r="R399" i="55" s="1"/>
  <c r="Q399" i="55" a="1"/>
  <c r="Q399" i="55" s="1"/>
  <c r="R402" i="55" a="1"/>
  <c r="R402" i="55" s="1"/>
  <c r="Q402" i="55" a="1"/>
  <c r="Q402" i="55" s="1"/>
  <c r="R418" i="55" a="1"/>
  <c r="R418" i="55" s="1"/>
  <c r="Q418" i="55" a="1"/>
  <c r="Q418" i="55" s="1"/>
  <c r="R423" i="55" a="1"/>
  <c r="R423" i="55" s="1"/>
  <c r="Q423" i="55" a="1"/>
  <c r="Q423" i="55" s="1"/>
  <c r="R424" i="55" a="1"/>
  <c r="R424" i="55" s="1"/>
  <c r="Q424" i="55" a="1"/>
  <c r="Q424" i="55" s="1"/>
  <c r="R425" i="55" a="1"/>
  <c r="R425" i="55" s="1"/>
  <c r="Q425" i="55" a="1"/>
  <c r="Q425" i="55" s="1"/>
  <c r="R426" i="55" a="1"/>
  <c r="R426" i="55" s="1"/>
  <c r="Q426" i="55" a="1"/>
  <c r="Q426" i="55" s="1"/>
  <c r="R427" i="55" a="1"/>
  <c r="R427" i="55" s="1"/>
  <c r="Q427" i="55" a="1"/>
  <c r="Q427" i="55" s="1"/>
  <c r="R428" i="55" a="1"/>
  <c r="R428" i="55" s="1"/>
  <c r="Q428" i="55" a="1"/>
  <c r="Q428" i="55" s="1"/>
  <c r="R429" i="55" a="1"/>
  <c r="R429" i="55" s="1"/>
  <c r="Q429" i="55" a="1"/>
  <c r="Q429" i="55" s="1"/>
  <c r="R430" i="55" a="1"/>
  <c r="R430" i="55" s="1"/>
  <c r="Q430" i="55" a="1"/>
  <c r="Q430" i="55" s="1"/>
  <c r="R431" i="55" a="1"/>
  <c r="R431" i="55" s="1"/>
  <c r="Q431" i="55" a="1"/>
  <c r="Q431" i="55" s="1"/>
  <c r="R432" i="55" a="1"/>
  <c r="R432" i="55" s="1"/>
  <c r="Q432" i="55" a="1"/>
  <c r="Q432" i="55" s="1"/>
  <c r="R433" i="55" a="1"/>
  <c r="R433" i="55" s="1"/>
  <c r="Q433" i="55" a="1"/>
  <c r="Q433" i="55" s="1"/>
  <c r="R434" i="55" a="1"/>
  <c r="R434" i="55" s="1"/>
  <c r="Q434" i="55" a="1"/>
  <c r="Q434" i="55" s="1"/>
  <c r="R435" i="55" a="1"/>
  <c r="R435" i="55" s="1"/>
  <c r="Q435" i="55" a="1"/>
  <c r="Q435" i="55" s="1"/>
  <c r="R436" i="55" a="1"/>
  <c r="R436" i="55" s="1"/>
  <c r="Q436" i="55" a="1"/>
  <c r="Q436" i="55" s="1"/>
  <c r="R437" i="55" a="1"/>
  <c r="R437" i="55" s="1"/>
  <c r="Q437" i="55" a="1"/>
  <c r="Q437" i="55" s="1"/>
  <c r="R438" i="55" a="1"/>
  <c r="R438" i="55" s="1"/>
  <c r="Q438" i="55" a="1"/>
  <c r="Q438" i="55" s="1"/>
  <c r="R439" i="55" a="1"/>
  <c r="R439" i="55" s="1"/>
  <c r="Q439" i="55" a="1"/>
  <c r="Q439" i="55" s="1"/>
  <c r="R440" i="55" a="1"/>
  <c r="R440" i="55" s="1"/>
  <c r="Q440" i="55" a="1"/>
  <c r="Q440" i="55" s="1"/>
  <c r="R441" i="55" a="1"/>
  <c r="R441" i="55" s="1"/>
  <c r="Q441" i="55" a="1"/>
  <c r="Q441" i="55" s="1"/>
  <c r="Q442" i="55" a="1"/>
  <c r="Q442" i="55" s="1"/>
  <c r="R442" i="55" a="1"/>
  <c r="R442" i="55" s="1"/>
  <c r="R443" i="55" a="1"/>
  <c r="R443" i="55" s="1"/>
  <c r="Q443" i="55" a="1"/>
  <c r="Q443" i="55" s="1"/>
  <c r="R444" i="55" a="1"/>
  <c r="R444" i="55" s="1"/>
  <c r="Q444" i="55" a="1"/>
  <c r="Q444" i="55" s="1"/>
  <c r="R445" i="55" a="1"/>
  <c r="R445" i="55" s="1"/>
  <c r="Q445" i="55" a="1"/>
  <c r="Q445" i="55" s="1"/>
  <c r="R446" i="55" a="1"/>
  <c r="R446" i="55" s="1"/>
  <c r="Q446" i="55" a="1"/>
  <c r="Q446" i="55" s="1"/>
  <c r="R447" i="55" a="1"/>
  <c r="R447" i="55" s="1"/>
  <c r="Q447" i="55" a="1"/>
  <c r="Q447" i="55" s="1"/>
  <c r="R448" i="55" a="1"/>
  <c r="R448" i="55" s="1"/>
  <c r="Q448" i="55" a="1"/>
  <c r="Q448" i="55" s="1"/>
  <c r="R449" i="55" a="1"/>
  <c r="R449" i="55" s="1"/>
  <c r="Q449" i="55" a="1"/>
  <c r="Q449" i="55" s="1"/>
  <c r="R450" i="55" a="1"/>
  <c r="R450" i="55" s="1"/>
  <c r="Q450" i="55" a="1"/>
  <c r="Q450" i="55" s="1"/>
  <c r="R451" i="55" a="1"/>
  <c r="R451" i="55" s="1"/>
  <c r="Q451" i="55" a="1"/>
  <c r="Q451" i="55" s="1"/>
  <c r="R452" i="55" a="1"/>
  <c r="R452" i="55" s="1"/>
  <c r="Q452" i="55" a="1"/>
  <c r="Q452" i="55" s="1"/>
  <c r="R453" i="55" a="1"/>
  <c r="R453" i="55" s="1"/>
  <c r="Q453" i="55" a="1"/>
  <c r="Q453" i="55" s="1"/>
  <c r="R454" i="55" a="1"/>
  <c r="R454" i="55" s="1"/>
  <c r="Q454" i="55" a="1"/>
  <c r="Q454" i="55" s="1"/>
  <c r="R455" i="55" a="1"/>
  <c r="R455" i="55" s="1"/>
  <c r="Q455" i="55" a="1"/>
  <c r="Q455" i="55" s="1"/>
  <c r="R456" i="55" a="1"/>
  <c r="R456" i="55" s="1"/>
  <c r="Q456" i="55" a="1"/>
  <c r="Q456" i="55" s="1"/>
  <c r="R457" i="55" a="1"/>
  <c r="R457" i="55" s="1"/>
  <c r="Q457" i="55" a="1"/>
  <c r="Q457" i="55" s="1"/>
  <c r="R458" i="55" a="1"/>
  <c r="R458" i="55" s="1"/>
  <c r="Q458" i="55" a="1"/>
  <c r="Q458" i="55" s="1"/>
  <c r="R459" i="55" a="1"/>
  <c r="R459" i="55" s="1"/>
  <c r="Q459" i="55" a="1"/>
  <c r="Q459" i="55" s="1"/>
  <c r="R478" i="55" a="1"/>
  <c r="R478" i="55" s="1"/>
  <c r="Q478" i="55" a="1"/>
  <c r="Q478" i="55" s="1"/>
  <c r="R14" i="55" a="1"/>
  <c r="R14" i="55" s="1"/>
  <c r="R31" i="55" a="1"/>
  <c r="R31" i="55" s="1"/>
  <c r="R34" i="55" a="1"/>
  <c r="R34" i="55" s="1"/>
  <c r="R38" i="55" a="1"/>
  <c r="R38" i="55" s="1"/>
  <c r="R43" i="55" a="1"/>
  <c r="R43" i="55" s="1"/>
  <c r="R46" i="55" a="1"/>
  <c r="R46" i="55" s="1"/>
  <c r="R47" i="55" a="1"/>
  <c r="R47" i="55" s="1"/>
  <c r="R48" i="55" a="1"/>
  <c r="R48" i="55" s="1"/>
  <c r="R49" i="55" a="1"/>
  <c r="R49" i="55" s="1"/>
  <c r="R56" i="55" a="1"/>
  <c r="R56" i="55" s="1"/>
  <c r="R57" i="55" a="1"/>
  <c r="R57" i="55" s="1"/>
  <c r="R67" i="55" a="1"/>
  <c r="R67" i="55" s="1"/>
  <c r="R73" i="55" a="1"/>
  <c r="R73" i="55" s="1"/>
  <c r="R75" i="55" a="1"/>
  <c r="R75" i="55" s="1"/>
  <c r="R76" i="55" a="1"/>
  <c r="R76" i="55" s="1"/>
  <c r="R77" i="55" a="1"/>
  <c r="R77" i="55" s="1"/>
  <c r="R80" i="55" a="1"/>
  <c r="R80" i="55" s="1"/>
  <c r="R91" i="55" a="1"/>
  <c r="R91" i="55" s="1"/>
  <c r="R120" i="55" a="1"/>
  <c r="R120" i="55" s="1"/>
  <c r="R121" i="55" a="1"/>
  <c r="R121" i="55" s="1"/>
  <c r="R135" i="55" a="1"/>
  <c r="R135" i="55" s="1"/>
  <c r="R141" i="55" a="1"/>
  <c r="R141" i="55" s="1"/>
  <c r="R142" i="55" a="1"/>
  <c r="R142" i="55" s="1"/>
  <c r="R145" i="55" a="1"/>
  <c r="R145" i="55" s="1"/>
  <c r="R148" i="55" a="1"/>
  <c r="R148" i="55" s="1"/>
  <c r="R149" i="55" a="1"/>
  <c r="R149" i="55" s="1"/>
  <c r="R152" i="55" a="1"/>
  <c r="R152" i="55" s="1"/>
  <c r="R161" i="55" a="1"/>
  <c r="R161" i="55" s="1"/>
  <c r="R163" i="55" a="1"/>
  <c r="R163" i="55" s="1"/>
  <c r="R164" i="55" a="1"/>
  <c r="R164" i="55" s="1"/>
  <c r="R167" i="55" a="1"/>
  <c r="R167" i="55" s="1"/>
  <c r="R183" i="55" a="1"/>
  <c r="R183" i="55" s="1"/>
  <c r="R186" i="55" a="1"/>
  <c r="R186" i="55" s="1"/>
  <c r="R193" i="55" a="1"/>
  <c r="R193" i="55" s="1"/>
  <c r="R204" i="55" a="1"/>
  <c r="R204" i="55" s="1"/>
  <c r="R205" i="55" a="1"/>
  <c r="R205" i="55" s="1"/>
  <c r="R224" i="55" a="1"/>
  <c r="R224" i="55" s="1"/>
  <c r="R225" i="55" a="1"/>
  <c r="R225" i="55" s="1"/>
  <c r="R244" i="55" a="1"/>
  <c r="R244" i="55" s="1"/>
  <c r="R255" i="55" a="1"/>
  <c r="R255" i="55" s="1"/>
  <c r="R257" i="55" a="1"/>
  <c r="R257" i="55" s="1"/>
  <c r="R263" i="55" a="1"/>
  <c r="R263" i="55" s="1"/>
  <c r="R265" i="55" a="1"/>
  <c r="R265" i="55" s="1"/>
  <c r="R266" i="55" a="1"/>
  <c r="R266" i="55" s="1"/>
  <c r="R268" i="55" a="1"/>
  <c r="R268" i="55" s="1"/>
  <c r="R269" i="55" a="1"/>
  <c r="R269" i="55" s="1"/>
  <c r="R287" i="55" a="1"/>
  <c r="R287" i="55" s="1"/>
  <c r="R289" i="55" a="1"/>
  <c r="R289" i="55" s="1"/>
  <c r="R297" i="55" a="1"/>
  <c r="R297" i="55" s="1"/>
  <c r="R302" i="55" a="1"/>
  <c r="R302" i="55" s="1"/>
  <c r="R303" i="55" a="1"/>
  <c r="R303" i="55" s="1"/>
  <c r="R305" i="55" a="1"/>
  <c r="R305" i="55" s="1"/>
  <c r="R310" i="55" a="1"/>
  <c r="R310" i="55" s="1"/>
  <c r="R311" i="55" a="1"/>
  <c r="R311" i="55" s="1"/>
  <c r="Q312" i="55" a="1"/>
  <c r="Q312" i="55" s="1"/>
  <c r="R318" i="55" a="1"/>
  <c r="R318" i="55" s="1"/>
  <c r="R319" i="55" a="1"/>
  <c r="R319" i="55" s="1"/>
  <c r="R320" i="55" a="1"/>
  <c r="R320" i="55" s="1"/>
  <c r="R321" i="55" a="1"/>
  <c r="R321" i="55" s="1"/>
  <c r="R323" i="55" a="1"/>
  <c r="R323" i="55" s="1"/>
  <c r="R324" i="55" a="1"/>
  <c r="R324" i="55" s="1"/>
  <c r="R325" i="55" a="1"/>
  <c r="R325" i="55" s="1"/>
  <c r="R326" i="55" a="1"/>
  <c r="R326" i="55" s="1"/>
  <c r="R341" i="55" a="1"/>
  <c r="R341" i="55" s="1"/>
  <c r="R342" i="55" a="1"/>
  <c r="R342" i="55" s="1"/>
  <c r="R353" i="55" a="1"/>
  <c r="R353" i="55" s="1"/>
  <c r="R356" i="55" a="1"/>
  <c r="R356" i="55" s="1"/>
  <c r="R360" i="55" a="1"/>
  <c r="R360" i="55" s="1"/>
  <c r="R361" i="55" a="1"/>
  <c r="R361" i="55" s="1"/>
  <c r="R364" i="55" a="1"/>
  <c r="R364" i="55" s="1"/>
  <c r="R367" i="55" a="1"/>
  <c r="R367" i="55" s="1"/>
  <c r="R368" i="55" a="1"/>
  <c r="R368" i="55" s="1"/>
  <c r="R369" i="55" a="1"/>
  <c r="R369" i="55" s="1"/>
  <c r="R371" i="55" a="1"/>
  <c r="R371" i="55" s="1"/>
  <c r="R372" i="55" a="1"/>
  <c r="R372" i="55" s="1"/>
  <c r="R376" i="55" a="1"/>
  <c r="R376" i="55" s="1"/>
  <c r="R381" i="55" a="1"/>
  <c r="R381" i="55" s="1"/>
  <c r="R383" i="55" a="1"/>
  <c r="R383" i="55" s="1"/>
  <c r="R384" i="55" a="1"/>
  <c r="R384" i="55" s="1"/>
  <c r="R388" i="55" a="1"/>
  <c r="R388" i="55" s="1"/>
  <c r="R391" i="55" a="1"/>
  <c r="R391" i="55" s="1"/>
  <c r="R409" i="55" a="1"/>
  <c r="R409" i="55" s="1"/>
  <c r="R410" i="55" a="1"/>
  <c r="R410" i="55" s="1"/>
  <c r="R411" i="55" a="1"/>
  <c r="R411" i="55" s="1"/>
  <c r="R412" i="55" a="1"/>
  <c r="R412" i="55" s="1"/>
  <c r="R413" i="55" a="1"/>
  <c r="R413" i="55" s="1"/>
  <c r="R414" i="55" a="1"/>
  <c r="R414" i="55" s="1"/>
  <c r="R415" i="55" a="1"/>
  <c r="R415" i="55" s="1"/>
  <c r="R416" i="55" a="1"/>
  <c r="R416" i="55" s="1"/>
  <c r="R417" i="55" a="1"/>
  <c r="R417" i="55" s="1"/>
  <c r="R419" i="55" a="1"/>
  <c r="R419" i="55" s="1"/>
  <c r="Q4" i="55"/>
  <c r="R487" i="55" a="1"/>
  <c r="R487" i="55" s="1"/>
  <c r="Q487" i="55" a="1"/>
  <c r="Q487" i="55" s="1"/>
  <c r="Q488" i="55" a="1"/>
  <c r="Q488" i="55" s="1"/>
  <c r="R488" i="55" a="1"/>
  <c r="R488" i="55" s="1"/>
  <c r="R489" i="55" a="1"/>
  <c r="R489" i="55" s="1"/>
  <c r="Q489" i="55" a="1"/>
  <c r="Q489" i="55" s="1"/>
  <c r="R490" i="55" a="1"/>
  <c r="R490" i="55" s="1"/>
  <c r="Q490" i="55" a="1"/>
  <c r="Q490" i="55" s="1"/>
  <c r="Q29" i="55" a="1"/>
  <c r="Q29" i="55" s="1"/>
  <c r="R29" i="55" a="1"/>
  <c r="R29" i="55" s="1"/>
  <c r="R32" i="55" a="1"/>
  <c r="R32" i="55" s="1"/>
  <c r="Q32" i="55" a="1"/>
  <c r="Q32" i="55" s="1"/>
  <c r="Q61" i="55" a="1"/>
  <c r="Q61" i="55" s="1"/>
  <c r="R61" i="55" a="1"/>
  <c r="R61" i="55" s="1"/>
  <c r="Q83" i="55" a="1"/>
  <c r="Q83" i="55" s="1"/>
  <c r="R83" i="55" a="1"/>
  <c r="R83" i="55" s="1"/>
  <c r="Q85" i="55" a="1"/>
  <c r="Q85" i="55" s="1"/>
  <c r="R85" i="55" a="1"/>
  <c r="R85" i="55" s="1"/>
  <c r="Q115" i="55" a="1"/>
  <c r="Q115" i="55" s="1"/>
  <c r="R115" i="55" a="1"/>
  <c r="R115" i="55" s="1"/>
  <c r="Q134" i="55" a="1"/>
  <c r="Q134" i="55" s="1"/>
  <c r="R134" i="55" a="1"/>
  <c r="R134" i="55" s="1"/>
  <c r="Q136" i="55" a="1"/>
  <c r="Q136" i="55" s="1"/>
  <c r="R136" i="55" a="1"/>
  <c r="R136" i="55" s="1"/>
  <c r="R144" i="55" a="1"/>
  <c r="R144" i="55" s="1"/>
  <c r="Q144" i="55" a="1"/>
  <c r="Q144" i="55" s="1"/>
  <c r="Q162" i="55" a="1"/>
  <c r="Q162" i="55" s="1"/>
  <c r="R162" i="55" a="1"/>
  <c r="R162" i="55" s="1"/>
  <c r="R182" i="55" a="1"/>
  <c r="R182" i="55" s="1"/>
  <c r="Q182" i="55" a="1"/>
  <c r="Q182" i="55" s="1"/>
  <c r="R232" i="55" a="1"/>
  <c r="R232" i="55" s="1"/>
  <c r="Q232" i="55" a="1"/>
  <c r="Q232" i="55" s="1"/>
  <c r="R243" i="55" a="1"/>
  <c r="R243" i="55" s="1"/>
  <c r="Q243" i="55" a="1"/>
  <c r="Q243" i="55" s="1"/>
  <c r="R248" i="55" a="1"/>
  <c r="R248" i="55" s="1"/>
  <c r="Q248" i="55" a="1"/>
  <c r="Q248" i="55" s="1"/>
  <c r="Q259" i="55" a="1"/>
  <c r="Q259" i="55" s="1"/>
  <c r="R259" i="55" a="1"/>
  <c r="R259" i="55" s="1"/>
  <c r="R262" i="55" a="1"/>
  <c r="R262" i="55" s="1"/>
  <c r="Q262" i="55" a="1"/>
  <c r="Q262" i="55" s="1"/>
  <c r="R272" i="55" a="1"/>
  <c r="R272" i="55" s="1"/>
  <c r="Q272" i="55" a="1"/>
  <c r="Q272" i="55" s="1"/>
  <c r="Q273" i="55" a="1"/>
  <c r="Q273" i="55" s="1"/>
  <c r="R273" i="55" a="1"/>
  <c r="R273" i="55" s="1"/>
  <c r="R275" i="55" a="1"/>
  <c r="R275" i="55" s="1"/>
  <c r="Q275" i="55" a="1"/>
  <c r="Q275" i="55" s="1"/>
  <c r="R301" i="55" a="1"/>
  <c r="R301" i="55" s="1"/>
  <c r="Q301" i="55" a="1"/>
  <c r="Q301" i="55" s="1"/>
  <c r="R306" i="55" a="1"/>
  <c r="R306" i="55" s="1"/>
  <c r="Q306" i="55" a="1"/>
  <c r="Q306" i="55" s="1"/>
  <c r="R322" i="55" a="1"/>
  <c r="R322" i="55" s="1"/>
  <c r="Q322" i="55" a="1"/>
  <c r="Q322" i="55" s="1"/>
  <c r="R357" i="55" a="1"/>
  <c r="R357" i="55" s="1"/>
  <c r="Q357" i="55" a="1"/>
  <c r="Q357" i="55" s="1"/>
  <c r="Q400" i="55" a="1"/>
  <c r="Q400" i="55" s="1"/>
  <c r="R400" i="55" a="1"/>
  <c r="R400" i="55" s="1"/>
  <c r="R401" i="55" a="1"/>
  <c r="R401" i="55" s="1"/>
  <c r="Q401" i="55" a="1"/>
  <c r="Q401" i="55" s="1"/>
  <c r="Q403" i="55" a="1"/>
  <c r="Q403" i="55" s="1"/>
  <c r="R403" i="55" a="1"/>
  <c r="R403" i="55" s="1"/>
  <c r="R404" i="55" a="1"/>
  <c r="R404" i="55" s="1"/>
  <c r="Q404" i="55" a="1"/>
  <c r="Q404" i="55" s="1"/>
  <c r="R405" i="55" a="1"/>
  <c r="R405" i="55" s="1"/>
  <c r="Q405" i="55" a="1"/>
  <c r="Q405" i="55" s="1"/>
  <c r="R406" i="55" a="1"/>
  <c r="R406" i="55" s="1"/>
  <c r="Q406" i="55" a="1"/>
  <c r="Q406" i="55" s="1"/>
  <c r="Q407" i="55" a="1"/>
  <c r="Q407" i="55" s="1"/>
  <c r="R407" i="55" a="1"/>
  <c r="R407" i="55" s="1"/>
  <c r="Q408" i="55" a="1"/>
  <c r="Q408" i="55" s="1"/>
  <c r="R408" i="55" a="1"/>
  <c r="R408" i="55" s="1"/>
  <c r="R420" i="55" a="1"/>
  <c r="R420" i="55" s="1"/>
  <c r="Q420" i="55" a="1"/>
  <c r="Q420" i="55" s="1"/>
  <c r="Q421" i="55" a="1"/>
  <c r="Q421" i="55" s="1"/>
  <c r="R421" i="55" a="1"/>
  <c r="R421" i="55" s="1"/>
  <c r="Q873" i="55" a="1"/>
  <c r="Q873" i="55" s="1"/>
  <c r="R873" i="55" a="1"/>
  <c r="R873" i="55" s="1"/>
  <c r="R874" i="55" a="1"/>
  <c r="R874" i="55" s="1"/>
  <c r="Q874" i="55" a="1"/>
  <c r="Q874" i="55" s="1"/>
  <c r="R875" i="55" a="1"/>
  <c r="R875" i="55" s="1"/>
  <c r="Q875" i="55" a="1"/>
  <c r="Q875" i="55" s="1"/>
  <c r="R876" i="55" a="1"/>
  <c r="R876" i="55" s="1"/>
  <c r="Q876" i="55" a="1"/>
  <c r="Q876" i="55" s="1"/>
  <c r="Q877" i="55" a="1"/>
  <c r="Q877" i="55" s="1"/>
  <c r="R877" i="55" a="1"/>
  <c r="R877" i="55" s="1"/>
  <c r="Q878" i="55" a="1"/>
  <c r="Q878" i="55" s="1"/>
  <c r="R878" i="55" a="1"/>
  <c r="R878" i="55" s="1"/>
  <c r="Q879" i="55" a="1"/>
  <c r="Q879" i="55" s="1"/>
  <c r="R879" i="55" a="1"/>
  <c r="R879" i="55" s="1"/>
  <c r="Q880" i="55" a="1"/>
  <c r="Q880" i="55" s="1"/>
  <c r="R880" i="55" a="1"/>
  <c r="R880" i="55" s="1"/>
  <c r="R881" i="55" a="1"/>
  <c r="R881" i="55" s="1"/>
  <c r="Q881" i="55" a="1"/>
  <c r="Q881" i="55" s="1"/>
  <c r="Q882" i="55" a="1"/>
  <c r="Q882" i="55" s="1"/>
  <c r="R882" i="55" a="1"/>
  <c r="R882" i="55" s="1"/>
  <c r="R883" i="55" a="1"/>
  <c r="R883" i="55" s="1"/>
  <c r="Q883" i="55" a="1"/>
  <c r="Q883" i="55" s="1"/>
  <c r="Q884" i="55" a="1"/>
  <c r="Q884" i="55" s="1"/>
  <c r="R884" i="55" a="1"/>
  <c r="R884" i="55" s="1"/>
  <c r="Q885" i="55" a="1"/>
  <c r="Q885" i="55" s="1"/>
  <c r="R885" i="55" a="1"/>
  <c r="R885" i="55" s="1"/>
  <c r="R886" i="55" a="1"/>
  <c r="R886" i="55" s="1"/>
  <c r="Q886" i="55" a="1"/>
  <c r="Q886" i="55" s="1"/>
  <c r="R887" i="55" a="1"/>
  <c r="R887" i="55" s="1"/>
  <c r="Q887" i="55" a="1"/>
  <c r="Q887" i="55" s="1"/>
  <c r="R888" i="55" a="1"/>
  <c r="R888" i="55" s="1"/>
  <c r="Q888" i="55" a="1"/>
  <c r="Q888" i="55" s="1"/>
  <c r="R889" i="55" a="1"/>
  <c r="R889" i="55" s="1"/>
  <c r="Q889" i="55" a="1"/>
  <c r="Q889" i="55" s="1"/>
  <c r="R890" i="55" a="1"/>
  <c r="R890" i="55" s="1"/>
  <c r="Q890" i="55" a="1"/>
  <c r="Q890" i="55" s="1"/>
  <c r="R891" i="55" a="1"/>
  <c r="R891" i="55" s="1"/>
  <c r="Q891" i="55" a="1"/>
  <c r="Q891" i="55" s="1"/>
  <c r="R892" i="55" a="1"/>
  <c r="R892" i="55" s="1"/>
  <c r="Q892" i="55" a="1"/>
  <c r="Q892" i="55" s="1"/>
  <c r="R893" i="55" a="1"/>
  <c r="R893" i="55" s="1"/>
  <c r="Q893" i="55" a="1"/>
  <c r="Q893" i="55" s="1"/>
  <c r="R894" i="55" a="1"/>
  <c r="R894" i="55" s="1"/>
  <c r="Q894" i="55" a="1"/>
  <c r="Q894" i="55" s="1"/>
  <c r="R895" i="55" a="1"/>
  <c r="R895" i="55" s="1"/>
  <c r="Q895" i="55" a="1"/>
  <c r="Q895" i="55" s="1"/>
  <c r="R896" i="55" a="1"/>
  <c r="R896" i="55" s="1"/>
  <c r="Q896" i="55" a="1"/>
  <c r="Q896" i="55" s="1"/>
  <c r="Q897" i="55" a="1"/>
  <c r="Q897" i="55" s="1"/>
  <c r="R897" i="55" a="1"/>
  <c r="R897" i="55" s="1"/>
  <c r="Q898" i="55" a="1"/>
  <c r="Q898" i="55" s="1"/>
  <c r="R898" i="55" a="1"/>
  <c r="R898" i="55" s="1"/>
  <c r="Q899" i="55" a="1"/>
  <c r="Q899" i="55" s="1"/>
  <c r="R899" i="55" a="1"/>
  <c r="R899" i="55" s="1"/>
  <c r="R900" i="55" a="1"/>
  <c r="R900" i="55" s="1"/>
  <c r="Q900" i="55" a="1"/>
  <c r="Q900" i="55" s="1"/>
  <c r="R901" i="55" a="1"/>
  <c r="R901" i="55" s="1"/>
  <c r="Q901" i="55" a="1"/>
  <c r="Q901" i="55" s="1"/>
  <c r="R902" i="55" a="1"/>
  <c r="R902" i="55" s="1"/>
  <c r="Q902" i="55" a="1"/>
  <c r="Q902" i="55" s="1"/>
  <c r="R903" i="55" a="1"/>
  <c r="R903" i="55" s="1"/>
  <c r="Q903" i="55" a="1"/>
  <c r="Q903" i="55" s="1"/>
  <c r="Q904" i="55" a="1"/>
  <c r="Q904" i="55" s="1"/>
  <c r="R904" i="55" a="1"/>
  <c r="R904" i="55" s="1"/>
  <c r="R905" i="55" a="1"/>
  <c r="R905" i="55" s="1"/>
  <c r="Q905" i="55" a="1"/>
  <c r="Q905" i="55" s="1"/>
  <c r="R906" i="55" a="1"/>
  <c r="R906" i="55" s="1"/>
  <c r="Q906" i="55" a="1"/>
  <c r="Q906" i="55" s="1"/>
  <c r="Q907" i="55" a="1"/>
  <c r="Q907" i="55" s="1"/>
  <c r="R907" i="55" a="1"/>
  <c r="R907" i="55" s="1"/>
  <c r="R908" i="55" a="1"/>
  <c r="R908" i="55" s="1"/>
  <c r="Q908" i="55" a="1"/>
  <c r="Q908" i="55" s="1"/>
  <c r="R909" i="55" a="1"/>
  <c r="R909" i="55" s="1"/>
  <c r="Q909" i="55" a="1"/>
  <c r="Q909" i="55" s="1"/>
  <c r="R910" i="55" a="1"/>
  <c r="R910" i="55" s="1"/>
  <c r="Q910" i="55" a="1"/>
  <c r="Q910" i="55" s="1"/>
  <c r="R911" i="55" a="1"/>
  <c r="R911" i="55" s="1"/>
  <c r="Q911" i="55" a="1"/>
  <c r="Q911" i="55" s="1"/>
  <c r="Q912" i="55" a="1"/>
  <c r="Q912" i="55" s="1"/>
  <c r="R912" i="55" a="1"/>
  <c r="R912" i="55" s="1"/>
  <c r="Q913" i="55" a="1"/>
  <c r="Q913" i="55" s="1"/>
  <c r="R913" i="55" a="1"/>
  <c r="R913" i="55" s="1"/>
  <c r="Q914" i="55" a="1"/>
  <c r="Q914" i="55" s="1"/>
  <c r="R914" i="55" a="1"/>
  <c r="R914" i="55" s="1"/>
  <c r="R915" i="55" a="1"/>
  <c r="R915" i="55" s="1"/>
  <c r="Q915" i="55" a="1"/>
  <c r="Q915" i="55" s="1"/>
  <c r="R916" i="55" a="1"/>
  <c r="R916" i="55" s="1"/>
  <c r="Q916" i="55" a="1"/>
  <c r="Q916" i="55" s="1"/>
  <c r="R917" i="55" a="1"/>
  <c r="R917" i="55" s="1"/>
  <c r="Q917" i="55" a="1"/>
  <c r="Q917" i="55" s="1"/>
  <c r="Q918" i="55" a="1"/>
  <c r="Q918" i="55" s="1"/>
  <c r="R918" i="55" a="1"/>
  <c r="R918" i="55" s="1"/>
  <c r="R919" i="55" a="1"/>
  <c r="R919" i="55" s="1"/>
  <c r="Q919" i="55" a="1"/>
  <c r="Q919" i="55" s="1"/>
  <c r="R920" i="55" a="1"/>
  <c r="R920" i="55" s="1"/>
  <c r="Q920" i="55" a="1"/>
  <c r="Q920" i="55" s="1"/>
  <c r="R921" i="55" a="1"/>
  <c r="R921" i="55" s="1"/>
  <c r="Q921" i="55" a="1"/>
  <c r="Q921" i="55" s="1"/>
  <c r="R922" i="55" a="1"/>
  <c r="R922" i="55" s="1"/>
  <c r="Q922" i="55" a="1"/>
  <c r="Q922" i="55" s="1"/>
  <c r="Q923" i="55" a="1"/>
  <c r="Q923" i="55" s="1"/>
  <c r="R923" i="55" a="1"/>
  <c r="R923" i="55" s="1"/>
  <c r="R924" i="55" a="1"/>
  <c r="R924" i="55" s="1"/>
  <c r="Q924" i="55" a="1"/>
  <c r="Q924" i="55" s="1"/>
  <c r="R925" i="55" a="1"/>
  <c r="R925" i="55" s="1"/>
  <c r="Q925" i="55" a="1"/>
  <c r="Q925" i="55" s="1"/>
  <c r="R926" i="55" a="1"/>
  <c r="R926" i="55" s="1"/>
  <c r="Q926" i="55" a="1"/>
  <c r="Q926" i="55" s="1"/>
  <c r="Q927" i="55" a="1"/>
  <c r="Q927" i="55" s="1"/>
  <c r="R927" i="55" a="1"/>
  <c r="R927" i="55" s="1"/>
  <c r="R928" i="55" a="1"/>
  <c r="R928" i="55" s="1"/>
  <c r="Q928" i="55" a="1"/>
  <c r="Q928" i="55" s="1"/>
  <c r="R929" i="55" a="1"/>
  <c r="R929" i="55" s="1"/>
  <c r="Q929" i="55" a="1"/>
  <c r="Q929" i="55" s="1"/>
  <c r="R930" i="55" a="1"/>
  <c r="R930" i="55" s="1"/>
  <c r="Q930" i="55" a="1"/>
  <c r="Q930" i="55" s="1"/>
  <c r="Q931" i="55" a="1"/>
  <c r="Q931" i="55" s="1"/>
  <c r="R931" i="55" a="1"/>
  <c r="R931" i="55" s="1"/>
  <c r="R932" i="55" a="1"/>
  <c r="R932" i="55" s="1"/>
  <c r="Q932" i="55" a="1"/>
  <c r="Q932" i="55" s="1"/>
  <c r="Q933" i="55" a="1"/>
  <c r="Q933" i="55" s="1"/>
  <c r="R933" i="55" a="1"/>
  <c r="R933" i="55" s="1"/>
  <c r="Q934" i="55" a="1"/>
  <c r="Q934" i="55" s="1"/>
  <c r="R934" i="55" a="1"/>
  <c r="R934" i="55" s="1"/>
  <c r="R935" i="55" a="1"/>
  <c r="R935" i="55" s="1"/>
  <c r="Q935" i="55" a="1"/>
  <c r="Q935" i="55" s="1"/>
  <c r="Q936" i="55" a="1"/>
  <c r="Q936" i="55" s="1"/>
  <c r="R936" i="55" a="1"/>
  <c r="R936" i="55" s="1"/>
  <c r="R937" i="55" a="1"/>
  <c r="R937" i="55" s="1"/>
  <c r="Q937" i="55" a="1"/>
  <c r="Q937" i="55" s="1"/>
  <c r="R938" i="55" a="1"/>
  <c r="R938" i="55" s="1"/>
  <c r="Q938" i="55" a="1"/>
  <c r="Q938" i="55" s="1"/>
  <c r="R939" i="55" a="1"/>
  <c r="R939" i="55" s="1"/>
  <c r="Q939" i="55" a="1"/>
  <c r="Q939" i="55" s="1"/>
  <c r="Q940" i="55" a="1"/>
  <c r="Q940" i="55" s="1"/>
  <c r="R940" i="55" a="1"/>
  <c r="R940" i="55" s="1"/>
  <c r="Q941" i="55" a="1"/>
  <c r="Q941" i="55" s="1"/>
  <c r="R941" i="55" a="1"/>
  <c r="R941" i="55" s="1"/>
  <c r="R942" i="55" a="1"/>
  <c r="R942" i="55" s="1"/>
  <c r="Q942" i="55" a="1"/>
  <c r="Q942" i="55" s="1"/>
  <c r="R943" i="55" a="1"/>
  <c r="R943" i="55" s="1"/>
  <c r="Q943" i="55" a="1"/>
  <c r="Q943" i="55" s="1"/>
  <c r="R944" i="55" a="1"/>
  <c r="R944" i="55" s="1"/>
  <c r="Q944" i="55" a="1"/>
  <c r="Q944" i="55" s="1"/>
  <c r="R945" i="55" a="1"/>
  <c r="R945" i="55" s="1"/>
  <c r="Q945" i="55" a="1"/>
  <c r="Q945" i="55" s="1"/>
  <c r="R946" i="55" a="1"/>
  <c r="R946" i="55" s="1"/>
  <c r="Q946" i="55" a="1"/>
  <c r="Q946" i="55" s="1"/>
  <c r="R947" i="55" a="1"/>
  <c r="R947" i="55" s="1"/>
  <c r="Q947" i="55" a="1"/>
  <c r="Q947" i="55" s="1"/>
  <c r="R948" i="55" a="1"/>
  <c r="R948" i="55" s="1"/>
  <c r="Q948" i="55" a="1"/>
  <c r="Q948" i="55" s="1"/>
  <c r="R949" i="55" a="1"/>
  <c r="R949" i="55" s="1"/>
  <c r="Q949" i="55" a="1"/>
  <c r="Q949" i="55" s="1"/>
  <c r="Q950" i="55" a="1"/>
  <c r="Q950" i="55" s="1"/>
  <c r="R950" i="55" a="1"/>
  <c r="R950" i="55" s="1"/>
  <c r="R951" i="55" a="1"/>
  <c r="R951" i="55" s="1"/>
  <c r="Q951" i="55" a="1"/>
  <c r="Q951" i="55" s="1"/>
  <c r="R952" i="55" a="1"/>
  <c r="R952" i="55" s="1"/>
  <c r="Q952" i="55" a="1"/>
  <c r="Q952" i="55" s="1"/>
  <c r="R953" i="55" a="1"/>
  <c r="R953" i="55" s="1"/>
  <c r="Q953" i="55" a="1"/>
  <c r="Q953" i="55" s="1"/>
  <c r="R954" i="55" a="1"/>
  <c r="R954" i="55" s="1"/>
  <c r="Q954" i="55" a="1"/>
  <c r="Q954" i="55" s="1"/>
  <c r="R955" i="55" a="1"/>
  <c r="R955" i="55" s="1"/>
  <c r="Q955" i="55" a="1"/>
  <c r="Q955" i="55" s="1"/>
  <c r="R956" i="55" a="1"/>
  <c r="R956" i="55" s="1"/>
  <c r="Q956" i="55" a="1"/>
  <c r="Q956" i="55" s="1"/>
  <c r="R957" i="55" a="1"/>
  <c r="R957" i="55" s="1"/>
  <c r="Q957" i="55" a="1"/>
  <c r="Q957" i="55" s="1"/>
  <c r="R958" i="55" a="1"/>
  <c r="R958" i="55" s="1"/>
  <c r="Q958" i="55" a="1"/>
  <c r="Q958" i="55" s="1"/>
  <c r="R959" i="55" a="1"/>
  <c r="R959" i="55" s="1"/>
  <c r="Q959" i="55" a="1"/>
  <c r="Q959" i="55" s="1"/>
  <c r="R960" i="55" a="1"/>
  <c r="R960" i="55" s="1"/>
  <c r="Q960" i="55" a="1"/>
  <c r="Q960" i="55" s="1"/>
  <c r="R961" i="55" a="1"/>
  <c r="R961" i="55" s="1"/>
  <c r="Q961" i="55" a="1"/>
  <c r="Q961" i="55" s="1"/>
  <c r="R962" i="55" a="1"/>
  <c r="R962" i="55" s="1"/>
  <c r="Q962" i="55" a="1"/>
  <c r="Q962" i="55" s="1"/>
  <c r="R963" i="55" a="1"/>
  <c r="R963" i="55" s="1"/>
  <c r="Q963" i="55" a="1"/>
  <c r="Q963" i="55" s="1"/>
  <c r="R964" i="55" a="1"/>
  <c r="R964" i="55" s="1"/>
  <c r="Q964" i="55" a="1"/>
  <c r="Q964" i="55" s="1"/>
  <c r="R965" i="55" a="1"/>
  <c r="R965" i="55" s="1"/>
  <c r="Q965" i="55" a="1"/>
  <c r="Q965" i="55" s="1"/>
  <c r="Q966" i="55" a="1"/>
  <c r="Q966" i="55" s="1"/>
  <c r="R966" i="55" a="1"/>
  <c r="R966" i="55" s="1"/>
  <c r="R967" i="55" a="1"/>
  <c r="R967" i="55" s="1"/>
  <c r="Q967" i="55" a="1"/>
  <c r="Q967" i="55" s="1"/>
  <c r="Q968" i="55" a="1"/>
  <c r="Q968" i="55" s="1"/>
  <c r="R968" i="55" a="1"/>
  <c r="R968" i="55" s="1"/>
  <c r="R969" i="55" a="1"/>
  <c r="R969" i="55" s="1"/>
  <c r="Q969" i="55" a="1"/>
  <c r="Q969" i="55" s="1"/>
  <c r="R970" i="55" a="1"/>
  <c r="R970" i="55" s="1"/>
  <c r="Q970" i="55" a="1"/>
  <c r="Q970" i="55" s="1"/>
  <c r="R971" i="55" a="1"/>
  <c r="R971" i="55" s="1"/>
  <c r="Q971" i="55" a="1"/>
  <c r="Q971" i="55" s="1"/>
  <c r="Q972" i="55" a="1"/>
  <c r="Q972" i="55" s="1"/>
  <c r="R972" i="55" a="1"/>
  <c r="R972" i="55" s="1"/>
  <c r="Q973" i="55" a="1"/>
  <c r="Q973" i="55" s="1"/>
  <c r="R973" i="55" a="1"/>
  <c r="R973" i="55" s="1"/>
  <c r="R974" i="55" a="1"/>
  <c r="R974" i="55" s="1"/>
  <c r="Q974" i="55" a="1"/>
  <c r="Q974" i="55" s="1"/>
  <c r="R975" i="55" a="1"/>
  <c r="R975" i="55" s="1"/>
  <c r="Q975" i="55" a="1"/>
  <c r="Q975" i="55" s="1"/>
  <c r="R976" i="55" a="1"/>
  <c r="R976" i="55" s="1"/>
  <c r="Q976" i="55" a="1"/>
  <c r="Q976" i="55" s="1"/>
  <c r="Q977" i="55" a="1"/>
  <c r="Q977" i="55" s="1"/>
  <c r="R977" i="55" a="1"/>
  <c r="R977" i="55" s="1"/>
  <c r="R978" i="55" a="1"/>
  <c r="R978" i="55" s="1"/>
  <c r="Q978" i="55" a="1"/>
  <c r="Q978" i="55" s="1"/>
  <c r="Q979" i="55" a="1"/>
  <c r="Q979" i="55" s="1"/>
  <c r="R979" i="55" a="1"/>
  <c r="R979" i="55" s="1"/>
  <c r="R980" i="55" a="1"/>
  <c r="R980" i="55" s="1"/>
  <c r="Q980" i="55" a="1"/>
  <c r="Q980" i="55" s="1"/>
  <c r="R981" i="55" a="1"/>
  <c r="R981" i="55" s="1"/>
  <c r="Q981" i="55" a="1"/>
  <c r="Q981" i="55" s="1"/>
  <c r="Q982" i="55" a="1"/>
  <c r="Q982" i="55" s="1"/>
  <c r="R982" i="55" a="1"/>
  <c r="R982" i="55" s="1"/>
  <c r="Q983" i="55" a="1"/>
  <c r="Q983" i="55" s="1"/>
  <c r="R983" i="55" a="1"/>
  <c r="R983" i="55" s="1"/>
  <c r="R984" i="55" a="1"/>
  <c r="R984" i="55" s="1"/>
  <c r="Q984" i="55" a="1"/>
  <c r="Q984" i="55" s="1"/>
  <c r="R985" i="55" a="1"/>
  <c r="R985" i="55" s="1"/>
  <c r="Q985" i="55" a="1"/>
  <c r="Q985" i="55" s="1"/>
  <c r="Q986" i="55" a="1"/>
  <c r="Q986" i="55" s="1"/>
  <c r="R986" i="55" a="1"/>
  <c r="R986" i="55" s="1"/>
  <c r="Q987" i="55" a="1"/>
  <c r="Q987" i="55" s="1"/>
  <c r="R987" i="55" a="1"/>
  <c r="R987" i="55" s="1"/>
  <c r="R988" i="55" a="1"/>
  <c r="R988" i="55" s="1"/>
  <c r="Q988" i="55" a="1"/>
  <c r="Q988" i="55" s="1"/>
  <c r="R989" i="55" a="1"/>
  <c r="R989" i="55" s="1"/>
  <c r="Q989" i="55" a="1"/>
  <c r="Q989" i="55" s="1"/>
  <c r="R990" i="55" a="1"/>
  <c r="R990" i="55" s="1"/>
  <c r="Q990" i="55" a="1"/>
  <c r="Q990" i="55" s="1"/>
  <c r="Q991" i="55" a="1"/>
  <c r="Q991" i="55" s="1"/>
  <c r="R991" i="55" a="1"/>
  <c r="R991" i="55" s="1"/>
  <c r="R992" i="55" a="1"/>
  <c r="R992" i="55" s="1"/>
  <c r="Q992" i="55" a="1"/>
  <c r="Q992" i="55" s="1"/>
  <c r="Q993" i="55" a="1"/>
  <c r="Q993" i="55" s="1"/>
  <c r="R993" i="55" a="1"/>
  <c r="R993" i="55" s="1"/>
  <c r="Q994" i="55" a="1"/>
  <c r="Q994" i="55" s="1"/>
  <c r="R994" i="55" a="1"/>
  <c r="R994" i="55" s="1"/>
  <c r="R995" i="55" a="1"/>
  <c r="R995" i="55" s="1"/>
  <c r="Q995" i="55" a="1"/>
  <c r="Q995" i="55" s="1"/>
  <c r="Q996" i="55" a="1"/>
  <c r="Q996" i="55" s="1"/>
  <c r="R996" i="55" a="1"/>
  <c r="R996" i="55" s="1"/>
  <c r="Q997" i="55" a="1"/>
  <c r="Q997" i="55" s="1"/>
  <c r="R997" i="55" a="1"/>
  <c r="R997" i="55" s="1"/>
  <c r="Q998" i="55" a="1"/>
  <c r="Q998" i="55" s="1"/>
  <c r="R998" i="55" a="1"/>
  <c r="R998" i="55" s="1"/>
  <c r="R999" i="55" a="1"/>
  <c r="R999" i="55" s="1"/>
  <c r="Q999" i="55" a="1"/>
  <c r="Q999" i="55" s="1"/>
  <c r="Q1000" i="55" a="1"/>
  <c r="Q1000" i="55" s="1"/>
  <c r="R1000" i="55" a="1"/>
  <c r="R1000" i="55" s="1"/>
  <c r="R1001" i="55" a="1"/>
  <c r="R1001" i="55" s="1"/>
  <c r="Q1001" i="55" a="1"/>
  <c r="Q1001" i="55" s="1"/>
  <c r="R1002" i="55" a="1"/>
  <c r="R1002" i="55" s="1"/>
  <c r="Q1002" i="55" a="1"/>
  <c r="Q1002" i="55" s="1"/>
  <c r="R1003" i="55" a="1"/>
  <c r="R1003" i="55" s="1"/>
  <c r="Q1003" i="55" a="1"/>
  <c r="Q1003" i="55" s="1"/>
  <c r="R1004" i="55" a="1"/>
  <c r="R1004" i="55" s="1"/>
  <c r="Q1004" i="55" a="1"/>
  <c r="Q1004" i="55" s="1"/>
  <c r="Q1005" i="55" a="1"/>
  <c r="Q1005" i="55" s="1"/>
  <c r="R1005" i="55" a="1"/>
  <c r="R1005" i="55" s="1"/>
  <c r="R1006" i="55" a="1"/>
  <c r="R1006" i="55" s="1"/>
  <c r="Q1006" i="55" a="1"/>
  <c r="Q1006" i="55" s="1"/>
  <c r="Q1007" i="55" a="1"/>
  <c r="Q1007" i="55" s="1"/>
  <c r="R1007" i="55" a="1"/>
  <c r="R1007" i="55" s="1"/>
  <c r="Q1008" i="55" a="1"/>
  <c r="Q1008" i="55" s="1"/>
  <c r="R1008" i="55" a="1"/>
  <c r="R1008" i="55" s="1"/>
  <c r="R1009" i="55" a="1"/>
  <c r="R1009" i="55" s="1"/>
  <c r="Q1009" i="55" a="1"/>
  <c r="Q1009" i="55" s="1"/>
  <c r="R1010" i="55" a="1"/>
  <c r="R1010" i="55" s="1"/>
  <c r="Q1010" i="55" a="1"/>
  <c r="Q1010" i="55" s="1"/>
  <c r="R1011" i="55" a="1"/>
  <c r="R1011" i="55" s="1"/>
  <c r="Q1011" i="55" a="1"/>
  <c r="Q1011" i="55" s="1"/>
  <c r="R1012" i="55" a="1"/>
  <c r="R1012" i="55" s="1"/>
  <c r="Q1012" i="55" a="1"/>
  <c r="Q1012" i="55" s="1"/>
  <c r="Q1013" i="55" a="1"/>
  <c r="Q1013" i="55" s="1"/>
  <c r="R1013" i="55" a="1"/>
  <c r="R1013" i="55" s="1"/>
  <c r="R1014" i="55" a="1"/>
  <c r="R1014" i="55" s="1"/>
  <c r="Q1014" i="55" a="1"/>
  <c r="Q1014" i="55" s="1"/>
  <c r="R1015" i="55" a="1"/>
  <c r="R1015" i="55" s="1"/>
  <c r="Q1015" i="55" a="1"/>
  <c r="Q1015" i="55" s="1"/>
  <c r="Q1016" i="55" a="1"/>
  <c r="Q1016" i="55" s="1"/>
  <c r="R1016" i="55" a="1"/>
  <c r="R1016" i="55" s="1"/>
  <c r="R1017" i="55" a="1"/>
  <c r="R1017" i="55" s="1"/>
  <c r="Q1017" i="55" a="1"/>
  <c r="Q1017" i="55" s="1"/>
  <c r="R1018" i="55" a="1"/>
  <c r="R1018" i="55" s="1"/>
  <c r="Q1018" i="55" a="1"/>
  <c r="Q1018" i="55" s="1"/>
  <c r="R1019" i="55" a="1"/>
  <c r="R1019" i="55" s="1"/>
  <c r="Q1019" i="55" a="1"/>
  <c r="Q1019" i="55" s="1"/>
  <c r="R1020" i="55" a="1"/>
  <c r="R1020" i="55" s="1"/>
  <c r="Q1020" i="55" a="1"/>
  <c r="Q1020" i="55" s="1"/>
  <c r="R1021" i="55" a="1"/>
  <c r="R1021" i="55" s="1"/>
  <c r="Q1021" i="55" a="1"/>
  <c r="Q1021" i="55" s="1"/>
  <c r="R1022" i="55" a="1"/>
  <c r="R1022" i="55" s="1"/>
  <c r="Q1022" i="55" a="1"/>
  <c r="Q1022" i="55" s="1"/>
  <c r="R1023" i="55" a="1"/>
  <c r="R1023" i="55" s="1"/>
  <c r="Q1023" i="55" a="1"/>
  <c r="Q1023" i="55" s="1"/>
  <c r="R1024" i="55" a="1"/>
  <c r="R1024" i="55" s="1"/>
  <c r="Q1024" i="55" a="1"/>
  <c r="Q1024" i="55" s="1"/>
  <c r="Q1025" i="55" a="1"/>
  <c r="Q1025" i="55" s="1"/>
  <c r="R1025" i="55" a="1"/>
  <c r="R1025" i="55" s="1"/>
  <c r="R1026" i="55" a="1"/>
  <c r="R1026" i="55" s="1"/>
  <c r="Q1026" i="55" a="1"/>
  <c r="Q1026" i="55" s="1"/>
  <c r="R1027" i="55" a="1"/>
  <c r="R1027" i="55" s="1"/>
  <c r="Q1027" i="55" a="1"/>
  <c r="Q1027" i="55" s="1"/>
  <c r="R1028" i="55" a="1"/>
  <c r="R1028" i="55" s="1"/>
  <c r="Q1028" i="55" a="1"/>
  <c r="Q1028" i="55" s="1"/>
  <c r="Q1029" i="55" a="1"/>
  <c r="Q1029" i="55" s="1"/>
  <c r="R1029" i="55" a="1"/>
  <c r="R1029" i="55" s="1"/>
  <c r="R1030" i="55" a="1"/>
  <c r="R1030" i="55" s="1"/>
  <c r="Q1030" i="55" a="1"/>
  <c r="Q1030" i="55" s="1"/>
  <c r="R1031" i="55" a="1"/>
  <c r="R1031" i="55" s="1"/>
  <c r="Q1031" i="55" a="1"/>
  <c r="Q1031" i="55" s="1"/>
  <c r="Q1032" i="55" a="1"/>
  <c r="Q1032" i="55" s="1"/>
  <c r="R1032" i="55" a="1"/>
  <c r="R1032" i="55" s="1"/>
  <c r="R1033" i="55" a="1"/>
  <c r="R1033" i="55" s="1"/>
  <c r="Q1033" i="55" a="1"/>
  <c r="Q1033" i="55" s="1"/>
  <c r="R1034" i="55" a="1"/>
  <c r="R1034" i="55" s="1"/>
  <c r="Q1034" i="55" a="1"/>
  <c r="Q1034" i="55" s="1"/>
  <c r="Q1035" i="55" a="1"/>
  <c r="Q1035" i="55" s="1"/>
  <c r="R1035" i="55" a="1"/>
  <c r="R1035" i="55" s="1"/>
  <c r="Q1036" i="55" a="1"/>
  <c r="Q1036" i="55" s="1"/>
  <c r="R1036" i="55" a="1"/>
  <c r="R1036" i="55" s="1"/>
  <c r="Q1037" i="55" a="1"/>
  <c r="Q1037" i="55" s="1"/>
  <c r="R1037" i="55" a="1"/>
  <c r="R1037" i="55" s="1"/>
  <c r="Q1038" i="55" a="1"/>
  <c r="Q1038" i="55" s="1"/>
  <c r="R1038" i="55" a="1"/>
  <c r="R1038" i="55" s="1"/>
  <c r="R1039" i="55" a="1"/>
  <c r="R1039" i="55" s="1"/>
  <c r="Q1039" i="55" a="1"/>
  <c r="Q1039" i="55" s="1"/>
  <c r="R1040" i="55" a="1"/>
  <c r="R1040" i="55" s="1"/>
  <c r="Q1040" i="55" a="1"/>
  <c r="Q1040" i="55" s="1"/>
  <c r="Q1041" i="55" a="1"/>
  <c r="Q1041" i="55" s="1"/>
  <c r="R1041" i="55" a="1"/>
  <c r="R1041" i="55" s="1"/>
  <c r="R1042" i="55" a="1"/>
  <c r="R1042" i="55" s="1"/>
  <c r="Q1042" i="55" a="1"/>
  <c r="Q1042" i="55" s="1"/>
  <c r="R1043" i="55" a="1"/>
  <c r="R1043" i="55" s="1"/>
  <c r="Q1043" i="55" a="1"/>
  <c r="Q1043" i="55" s="1"/>
  <c r="R1044" i="55" a="1"/>
  <c r="R1044" i="55" s="1"/>
  <c r="Q1044" i="55" a="1"/>
  <c r="Q1044" i="55" s="1"/>
  <c r="Q1045" i="55" a="1"/>
  <c r="Q1045" i="55" s="1"/>
  <c r="R1045" i="55" a="1"/>
  <c r="R1045" i="55" s="1"/>
  <c r="R1046" i="55" a="1"/>
  <c r="R1046" i="55" s="1"/>
  <c r="Q1046" i="55" a="1"/>
  <c r="Q1046" i="55" s="1"/>
  <c r="R1047" i="55" a="1"/>
  <c r="R1047" i="55" s="1"/>
  <c r="Q1047" i="55" a="1"/>
  <c r="Q1047" i="55" s="1"/>
  <c r="Q1048" i="55" a="1"/>
  <c r="Q1048" i="55" s="1"/>
  <c r="R1048" i="55" a="1"/>
  <c r="R1048" i="55" s="1"/>
  <c r="Q1049" i="55" a="1"/>
  <c r="Q1049" i="55" s="1"/>
  <c r="R1049" i="55" a="1"/>
  <c r="R1049" i="55" s="1"/>
  <c r="R1050" i="55" a="1"/>
  <c r="R1050" i="55" s="1"/>
  <c r="Q1050" i="55" a="1"/>
  <c r="Q1050" i="55" s="1"/>
  <c r="R1051" i="55" a="1"/>
  <c r="R1051" i="55" s="1"/>
  <c r="Q1051" i="55" a="1"/>
  <c r="Q1051" i="55" s="1"/>
  <c r="Q1052" i="55" a="1"/>
  <c r="Q1052" i="55" s="1"/>
  <c r="R1052" i="55" a="1"/>
  <c r="R1052" i="55" s="1"/>
  <c r="Q1053" i="55" a="1"/>
  <c r="Q1053" i="55" s="1"/>
  <c r="R1053" i="55" a="1"/>
  <c r="R1053" i="55" s="1"/>
  <c r="R1054" i="55" a="1"/>
  <c r="R1054" i="55" s="1"/>
  <c r="Q1054" i="55" a="1"/>
  <c r="Q1054" i="55" s="1"/>
  <c r="R1055" i="55" a="1"/>
  <c r="R1055" i="55" s="1"/>
  <c r="Q1055" i="55" a="1"/>
  <c r="Q1055" i="55" s="1"/>
  <c r="R1056" i="55" a="1"/>
  <c r="R1056" i="55" s="1"/>
  <c r="Q1056" i="55" a="1"/>
  <c r="Q1056" i="55" s="1"/>
  <c r="Q1057" i="55" a="1"/>
  <c r="Q1057" i="55" s="1"/>
  <c r="R1057" i="55" a="1"/>
  <c r="R1057" i="55" s="1"/>
  <c r="R1058" i="55" a="1"/>
  <c r="R1058" i="55" s="1"/>
  <c r="Q1058" i="55" a="1"/>
  <c r="Q1058" i="55" s="1"/>
  <c r="Q1059" i="55" a="1"/>
  <c r="Q1059" i="55" s="1"/>
  <c r="R1059" i="55" a="1"/>
  <c r="R1059" i="55" s="1"/>
  <c r="R1060" i="55" a="1"/>
  <c r="R1060" i="55" s="1"/>
  <c r="Q1060" i="55" a="1"/>
  <c r="Q1060" i="55" s="1"/>
  <c r="R1061" i="55" a="1"/>
  <c r="R1061" i="55" s="1"/>
  <c r="Q1061" i="55" a="1"/>
  <c r="Q1061" i="55" s="1"/>
  <c r="R1062" i="55" a="1"/>
  <c r="R1062" i="55" s="1"/>
  <c r="Q1062" i="55" a="1"/>
  <c r="Q1062" i="55" s="1"/>
  <c r="Q1063" i="55" a="1"/>
  <c r="Q1063" i="55" s="1"/>
  <c r="R1063" i="55" a="1"/>
  <c r="R1063" i="55" s="1"/>
  <c r="Q1064" i="55" a="1"/>
  <c r="Q1064" i="55" s="1"/>
  <c r="R1064" i="55" a="1"/>
  <c r="R1064" i="55" s="1"/>
  <c r="R1065" i="55" a="1"/>
  <c r="R1065" i="55" s="1"/>
  <c r="Q1065" i="55" a="1"/>
  <c r="Q1065" i="55" s="1"/>
  <c r="R1066" i="55" a="1"/>
  <c r="R1066" i="55" s="1"/>
  <c r="Q1066" i="55" a="1"/>
  <c r="Q1066" i="55" s="1"/>
  <c r="R1067" i="55" a="1"/>
  <c r="R1067" i="55" s="1"/>
  <c r="Q1067" i="55" a="1"/>
  <c r="Q1067" i="55" s="1"/>
  <c r="Q1068" i="55" a="1"/>
  <c r="Q1068" i="55" s="1"/>
  <c r="R1068" i="55" a="1"/>
  <c r="R1068" i="55" s="1"/>
  <c r="R1069" i="55" a="1"/>
  <c r="R1069" i="55" s="1"/>
  <c r="Q1069" i="55" a="1"/>
  <c r="Q1069" i="55" s="1"/>
  <c r="R1070" i="55" a="1"/>
  <c r="R1070" i="55" s="1"/>
  <c r="Q1070" i="55" a="1"/>
  <c r="Q1070" i="55" s="1"/>
  <c r="Q1071" i="55" a="1"/>
  <c r="Q1071" i="55" s="1"/>
  <c r="R1071" i="55" a="1"/>
  <c r="R1071" i="55" s="1"/>
  <c r="R1072" i="55" a="1"/>
  <c r="R1072" i="55" s="1"/>
  <c r="Q1072" i="55" a="1"/>
  <c r="Q1072" i="55" s="1"/>
  <c r="R1073" i="55" a="1"/>
  <c r="R1073" i="55" s="1"/>
  <c r="Q1073" i="55" a="1"/>
  <c r="Q1073" i="55" s="1"/>
  <c r="Q1074" i="55" a="1"/>
  <c r="Q1074" i="55" s="1"/>
  <c r="R1074" i="55" a="1"/>
  <c r="R1074" i="55" s="1"/>
  <c r="R1075" i="55" a="1"/>
  <c r="R1075" i="55" s="1"/>
  <c r="Q1075" i="55" a="1"/>
  <c r="Q1075" i="55" s="1"/>
  <c r="R1076" i="55" a="1"/>
  <c r="R1076" i="55" s="1"/>
  <c r="Q1076" i="55" a="1"/>
  <c r="Q1076" i="55" s="1"/>
  <c r="Q1077" i="55" a="1"/>
  <c r="Q1077" i="55" s="1"/>
  <c r="R1077" i="55" a="1"/>
  <c r="R1077" i="55" s="1"/>
  <c r="R1078" i="55" a="1"/>
  <c r="R1078" i="55" s="1"/>
  <c r="Q1078" i="55" a="1"/>
  <c r="Q1078" i="55" s="1"/>
  <c r="Q1079" i="55" a="1"/>
  <c r="Q1079" i="55" s="1"/>
  <c r="R1079" i="55" a="1"/>
  <c r="R1079" i="55" s="1"/>
  <c r="R1080" i="55" a="1"/>
  <c r="R1080" i="55" s="1"/>
  <c r="Q1080" i="55" a="1"/>
  <c r="Q1080" i="55" s="1"/>
  <c r="R1081" i="55" a="1"/>
  <c r="R1081" i="55" s="1"/>
  <c r="Q1081" i="55" a="1"/>
  <c r="Q1081" i="55" s="1"/>
  <c r="Q1082" i="55" a="1"/>
  <c r="Q1082" i="55" s="1"/>
  <c r="R1082" i="55" a="1"/>
  <c r="R1082" i="55" s="1"/>
  <c r="Q1083" i="55" a="1"/>
  <c r="Q1083" i="55" s="1"/>
  <c r="R1083" i="55" a="1"/>
  <c r="R1083" i="55" s="1"/>
  <c r="Q1084" i="55" a="1"/>
  <c r="Q1084" i="55" s="1"/>
  <c r="R1084" i="55" a="1"/>
  <c r="R1084" i="55" s="1"/>
  <c r="R1085" i="55" a="1"/>
  <c r="R1085" i="55" s="1"/>
  <c r="Q1085" i="55" a="1"/>
  <c r="Q1085" i="55" s="1"/>
  <c r="R1086" i="55" a="1"/>
  <c r="R1086" i="55" s="1"/>
  <c r="Q1086" i="55" a="1"/>
  <c r="Q1086" i="55" s="1"/>
  <c r="R1087" i="55" a="1"/>
  <c r="R1087" i="55" s="1"/>
  <c r="Q1087" i="55" a="1"/>
  <c r="Q1087" i="55" s="1"/>
  <c r="R1088" i="55" a="1"/>
  <c r="R1088" i="55" s="1"/>
  <c r="Q1088" i="55" a="1"/>
  <c r="Q1088" i="55" s="1"/>
  <c r="R1089" i="55" a="1"/>
  <c r="R1089" i="55" s="1"/>
  <c r="Q1089" i="55" a="1"/>
  <c r="Q1089" i="55" s="1"/>
  <c r="R1090" i="55" a="1"/>
  <c r="R1090" i="55" s="1"/>
  <c r="Q1090" i="55" a="1"/>
  <c r="Q1090" i="55" s="1"/>
  <c r="R1091" i="55" a="1"/>
  <c r="R1091" i="55" s="1"/>
  <c r="Q1091" i="55" a="1"/>
  <c r="Q1091" i="55" s="1"/>
  <c r="R1092" i="55" a="1"/>
  <c r="R1092" i="55" s="1"/>
  <c r="Q1092" i="55" a="1"/>
  <c r="Q1092" i="55" s="1"/>
  <c r="R1093" i="55" a="1"/>
  <c r="R1093" i="55" s="1"/>
  <c r="Q1093" i="55" a="1"/>
  <c r="Q1093" i="55" s="1"/>
  <c r="Q1094" i="55" a="1"/>
  <c r="Q1094" i="55" s="1"/>
  <c r="R1094" i="55" a="1"/>
  <c r="R1094" i="55" s="1"/>
  <c r="Q1095" i="55" a="1"/>
  <c r="Q1095" i="55" s="1"/>
  <c r="R1095" i="55" a="1"/>
  <c r="R1095" i="55" s="1"/>
  <c r="R1096" i="55" a="1"/>
  <c r="R1096" i="55" s="1"/>
  <c r="Q1096" i="55" a="1"/>
  <c r="Q1096" i="55" s="1"/>
  <c r="Q1097" i="55" a="1"/>
  <c r="Q1097" i="55" s="1"/>
  <c r="R1097" i="55" a="1"/>
  <c r="R1097" i="55" s="1"/>
  <c r="R1098" i="55" a="1"/>
  <c r="R1098" i="55" s="1"/>
  <c r="Q1098" i="55" a="1"/>
  <c r="Q1098" i="55" s="1"/>
  <c r="R1099" i="55" a="1"/>
  <c r="R1099" i="55" s="1"/>
  <c r="Q1099" i="55" a="1"/>
  <c r="Q1099" i="55" s="1"/>
  <c r="Q1100" i="55" a="1"/>
  <c r="Q1100" i="55" s="1"/>
  <c r="R1100" i="55" a="1"/>
  <c r="R1100" i="55" s="1"/>
  <c r="Q1101" i="55" a="1"/>
  <c r="Q1101" i="55" s="1"/>
  <c r="R1101" i="55" a="1"/>
  <c r="R1101" i="55" s="1"/>
  <c r="R1102" i="55" a="1"/>
  <c r="R1102" i="55" s="1"/>
  <c r="Q1102" i="55" a="1"/>
  <c r="Q1102" i="55" s="1"/>
  <c r="R1103" i="55" a="1"/>
  <c r="R1103" i="55" s="1"/>
  <c r="Q1103" i="55" a="1"/>
  <c r="Q1103" i="55" s="1"/>
  <c r="R1104" i="55" a="1"/>
  <c r="R1104" i="55" s="1"/>
  <c r="Q1104" i="55" a="1"/>
  <c r="Q1104" i="55" s="1"/>
  <c r="Q1105" i="55" a="1"/>
  <c r="Q1105" i="55" s="1"/>
  <c r="R1105" i="55" a="1"/>
  <c r="R1105" i="55" s="1"/>
  <c r="R1106" i="55" a="1"/>
  <c r="R1106" i="55" s="1"/>
  <c r="Q1106" i="55" a="1"/>
  <c r="Q1106" i="55" s="1"/>
  <c r="R1107" i="55" a="1"/>
  <c r="R1107" i="55" s="1"/>
  <c r="Q1107" i="55" a="1"/>
  <c r="Q1107" i="55" s="1"/>
  <c r="R1108" i="55" a="1"/>
  <c r="R1108" i="55" s="1"/>
  <c r="Q1108" i="55" a="1"/>
  <c r="Q1108" i="55" s="1"/>
  <c r="Q1109" i="55" a="1"/>
  <c r="Q1109" i="55" s="1"/>
  <c r="R1109" i="55" a="1"/>
  <c r="R1109" i="55" s="1"/>
  <c r="R1110" i="55" a="1"/>
  <c r="R1110" i="55" s="1"/>
  <c r="Q1110" i="55" a="1"/>
  <c r="Q1110" i="55" s="1"/>
  <c r="Q1111" i="55" a="1"/>
  <c r="Q1111" i="55" s="1"/>
  <c r="R1111" i="55" a="1"/>
  <c r="R1111" i="55" s="1"/>
  <c r="Q1112" i="55" a="1"/>
  <c r="Q1112" i="55" s="1"/>
  <c r="R1112" i="55" a="1"/>
  <c r="R1112" i="55" s="1"/>
  <c r="Q1113" i="55" a="1"/>
  <c r="Q1113" i="55" s="1"/>
  <c r="R1113" i="55" a="1"/>
  <c r="R1113" i="55" s="1"/>
  <c r="Q1114" i="55" a="1"/>
  <c r="Q1114" i="55" s="1"/>
  <c r="R1114" i="55" a="1"/>
  <c r="R1114" i="55" s="1"/>
  <c r="R1115" i="55" a="1"/>
  <c r="R1115" i="55" s="1"/>
  <c r="Q1115" i="55" a="1"/>
  <c r="Q1115" i="55" s="1"/>
  <c r="R1116" i="55" a="1"/>
  <c r="R1116" i="55" s="1"/>
  <c r="Q1116" i="55" a="1"/>
  <c r="Q1116" i="55" s="1"/>
  <c r="R1117" i="55" a="1"/>
  <c r="R1117" i="55" s="1"/>
  <c r="Q1117" i="55" a="1"/>
  <c r="Q1117" i="55" s="1"/>
  <c r="R1118" i="55" a="1"/>
  <c r="R1118" i="55" s="1"/>
  <c r="Q1118" i="55" a="1"/>
  <c r="Q1118" i="55" s="1"/>
  <c r="R1119" i="55" a="1"/>
  <c r="R1119" i="55" s="1"/>
  <c r="Q1119" i="55" a="1"/>
  <c r="Q1119" i="55" s="1"/>
  <c r="R1120" i="55" a="1"/>
  <c r="R1120" i="55" s="1"/>
  <c r="Q1120" i="55" a="1"/>
  <c r="Q1120" i="55" s="1"/>
  <c r="R1121" i="55" a="1"/>
  <c r="R1121" i="55" s="1"/>
  <c r="Q1121" i="55" a="1"/>
  <c r="Q1121" i="55" s="1"/>
  <c r="Q1122" i="55" a="1"/>
  <c r="Q1122" i="55" s="1"/>
  <c r="R1122" i="55" a="1"/>
  <c r="R1122" i="55" s="1"/>
  <c r="R1123" i="55" a="1"/>
  <c r="R1123" i="55" s="1"/>
  <c r="Q1123" i="55" a="1"/>
  <c r="Q1123" i="55" s="1"/>
  <c r="R1124" i="55" a="1"/>
  <c r="R1124" i="55" s="1"/>
  <c r="Q1124" i="55" a="1"/>
  <c r="Q1124" i="55" s="1"/>
  <c r="Q1125" i="55" a="1"/>
  <c r="Q1125" i="55" s="1"/>
  <c r="R1125" i="55" a="1"/>
  <c r="R1125" i="55" s="1"/>
  <c r="R1126" i="55" a="1"/>
  <c r="R1126" i="55" s="1"/>
  <c r="Q1126" i="55" a="1"/>
  <c r="Q1126" i="55" s="1"/>
  <c r="R1127" i="55" a="1"/>
  <c r="R1127" i="55" s="1"/>
  <c r="Q1127" i="55" a="1"/>
  <c r="Q1127" i="55" s="1"/>
  <c r="R1128" i="55" a="1"/>
  <c r="R1128" i="55" s="1"/>
  <c r="Q1128" i="55" a="1"/>
  <c r="Q1128" i="55" s="1"/>
  <c r="Q1129" i="55" a="1"/>
  <c r="Q1129" i="55" s="1"/>
  <c r="R1129" i="55" a="1"/>
  <c r="R1129" i="55" s="1"/>
  <c r="R1130" i="55" a="1"/>
  <c r="R1130" i="55" s="1"/>
  <c r="Q1130" i="55" a="1"/>
  <c r="Q1130" i="55" s="1"/>
  <c r="R1131" i="55" a="1"/>
  <c r="R1131" i="55" s="1"/>
  <c r="Q1131" i="55" a="1"/>
  <c r="Q1131" i="55" s="1"/>
  <c r="R1132" i="55" a="1"/>
  <c r="R1132" i="55" s="1"/>
  <c r="Q1132" i="55" a="1"/>
  <c r="Q1132" i="55" s="1"/>
  <c r="R1133" i="55" a="1"/>
  <c r="R1133" i="55" s="1"/>
  <c r="Q1133" i="55" a="1"/>
  <c r="Q1133" i="55" s="1"/>
  <c r="R1134" i="55" a="1"/>
  <c r="R1134" i="55" s="1"/>
  <c r="Q1134" i="55" a="1"/>
  <c r="Q1134" i="55" s="1"/>
  <c r="R1135" i="55" a="1"/>
  <c r="R1135" i="55" s="1"/>
  <c r="Q1135" i="55" a="1"/>
  <c r="Q1135" i="55" s="1"/>
  <c r="Q1136" i="55" a="1"/>
  <c r="Q1136" i="55" s="1"/>
  <c r="R1136" i="55" a="1"/>
  <c r="R1136" i="55" s="1"/>
  <c r="R1137" i="55" a="1"/>
  <c r="R1137" i="55" s="1"/>
  <c r="Q1137" i="55" a="1"/>
  <c r="Q1137" i="55" s="1"/>
  <c r="R1138" i="55" a="1"/>
  <c r="R1138" i="55" s="1"/>
  <c r="Q1138" i="55" a="1"/>
  <c r="Q1138" i="55" s="1"/>
  <c r="Q1139" i="55" a="1"/>
  <c r="Q1139" i="55" s="1"/>
  <c r="R1139" i="55" a="1"/>
  <c r="R1139" i="55" s="1"/>
  <c r="Q1140" i="55" a="1"/>
  <c r="Q1140" i="55" s="1"/>
  <c r="R1140" i="55" a="1"/>
  <c r="R1140" i="55" s="1"/>
  <c r="Q1141" i="55" a="1"/>
  <c r="Q1141" i="55" s="1"/>
  <c r="R1141" i="55" a="1"/>
  <c r="R1141" i="55" s="1"/>
  <c r="R1142" i="55" a="1"/>
  <c r="R1142" i="55" s="1"/>
  <c r="Q1142" i="55" a="1"/>
  <c r="Q1142" i="55" s="1"/>
  <c r="R1143" i="55" a="1"/>
  <c r="R1143" i="55" s="1"/>
  <c r="Q1143" i="55" a="1"/>
  <c r="Q1143" i="55" s="1"/>
  <c r="Q1148" i="55" a="1"/>
  <c r="Q1148" i="55" s="1"/>
  <c r="R1148" i="55" a="1"/>
  <c r="R1148" i="55" s="1"/>
  <c r="R1149" i="55" a="1"/>
  <c r="R1149" i="55" s="1"/>
  <c r="Q1149" i="55" a="1"/>
  <c r="Q1149" i="55" s="1"/>
  <c r="R1150" i="55" a="1"/>
  <c r="R1150" i="55" s="1"/>
  <c r="Q1150" i="55" a="1"/>
  <c r="Q1150" i="55" s="1"/>
  <c r="R1151" i="55" a="1"/>
  <c r="R1151" i="55" s="1"/>
  <c r="Q1151" i="55" a="1"/>
  <c r="Q1151" i="55" s="1"/>
  <c r="R1152" i="55" a="1"/>
  <c r="R1152" i="55" s="1"/>
  <c r="Q1152" i="55" a="1"/>
  <c r="Q1152" i="55" s="1"/>
  <c r="R1153" i="55" a="1"/>
  <c r="R1153" i="55" s="1"/>
  <c r="Q1153" i="55" a="1"/>
  <c r="Q1153" i="55" s="1"/>
  <c r="R1154" i="55" a="1"/>
  <c r="R1154" i="55" s="1"/>
  <c r="Q1154" i="55" a="1"/>
  <c r="Q1154" i="55" s="1"/>
  <c r="R1155" i="55" a="1"/>
  <c r="R1155" i="55" s="1"/>
  <c r="Q1155" i="55" a="1"/>
  <c r="Q1155" i="55" s="1"/>
  <c r="R1156" i="55" a="1"/>
  <c r="R1156" i="55" s="1"/>
  <c r="Q1156" i="55" a="1"/>
  <c r="Q1156" i="55" s="1"/>
  <c r="R1157" i="55" a="1"/>
  <c r="R1157" i="55" s="1"/>
  <c r="Q1157" i="55" a="1"/>
  <c r="Q1157" i="55" s="1"/>
  <c r="R1158" i="55" a="1"/>
  <c r="R1158" i="55" s="1"/>
  <c r="Q1158" i="55" a="1"/>
  <c r="Q1158" i="55" s="1"/>
  <c r="R1159" i="55" a="1"/>
  <c r="R1159" i="55" s="1"/>
  <c r="Q1159" i="55" a="1"/>
  <c r="Q1159" i="55" s="1"/>
  <c r="Q1160" i="55" a="1"/>
  <c r="Q1160" i="55" s="1"/>
  <c r="R1160" i="55" a="1"/>
  <c r="R1160" i="55" s="1"/>
  <c r="R1161" i="55" a="1"/>
  <c r="R1161" i="55" s="1"/>
  <c r="Q1161" i="55" a="1"/>
  <c r="Q1161" i="55" s="1"/>
  <c r="R1162" i="55" a="1"/>
  <c r="R1162" i="55" s="1"/>
  <c r="Q1162" i="55" a="1"/>
  <c r="Q1162" i="55" s="1"/>
  <c r="R1173" i="55" a="1"/>
  <c r="R1173" i="55" s="1"/>
  <c r="Q1173" i="55" a="1"/>
  <c r="Q1173" i="55" s="1"/>
  <c r="R1175" i="55" a="1"/>
  <c r="R1175" i="55" s="1"/>
  <c r="Q1175" i="55" a="1"/>
  <c r="Q1175" i="55" s="1"/>
  <c r="R1176" i="55" a="1"/>
  <c r="R1176" i="55" s="1"/>
  <c r="Q1176" i="55" a="1"/>
  <c r="Q1176" i="55" s="1"/>
  <c r="R1177" i="55" a="1"/>
  <c r="R1177" i="55" s="1"/>
  <c r="Q1177" i="55" a="1"/>
  <c r="Q1177" i="55" s="1"/>
  <c r="R1178" i="55" a="1"/>
  <c r="R1178" i="55" s="1"/>
  <c r="Q1178" i="55" a="1"/>
  <c r="Q1178" i="55" s="1"/>
  <c r="R1179" i="55" a="1"/>
  <c r="R1179" i="55" s="1"/>
  <c r="Q1179" i="55" a="1"/>
  <c r="Q1179" i="55" s="1"/>
  <c r="R1180" i="55" a="1"/>
  <c r="R1180" i="55" s="1"/>
  <c r="Q1180" i="55" a="1"/>
  <c r="Q1180" i="55" s="1"/>
  <c r="R1181" i="55" a="1"/>
  <c r="R1181" i="55" s="1"/>
  <c r="Q1181" i="55" a="1"/>
  <c r="Q1181" i="55" s="1"/>
  <c r="R1182" i="55" a="1"/>
  <c r="R1182" i="55" s="1"/>
  <c r="Q1182" i="55" a="1"/>
  <c r="Q1182" i="55" s="1"/>
  <c r="R1183" i="55" a="1"/>
  <c r="R1183" i="55" s="1"/>
  <c r="Q1183" i="55" a="1"/>
  <c r="Q1183" i="55" s="1"/>
  <c r="Q1185" i="55" a="1"/>
  <c r="Q1185" i="55" s="1"/>
  <c r="R1185" i="55" a="1"/>
  <c r="R1185" i="55" s="1"/>
  <c r="R1187" i="55" a="1"/>
  <c r="R1187" i="55" s="1"/>
  <c r="Q1187" i="55" a="1"/>
  <c r="Q1187" i="55" s="1"/>
  <c r="R1188" i="55" a="1"/>
  <c r="R1188" i="55" s="1"/>
  <c r="Q1188" i="55" a="1"/>
  <c r="Q1188" i="55" s="1"/>
  <c r="R1189" i="55" a="1"/>
  <c r="R1189" i="55" s="1"/>
  <c r="Q1189" i="55" a="1"/>
  <c r="Q1189" i="55" s="1"/>
  <c r="R1190" i="55" a="1"/>
  <c r="R1190" i="55" s="1"/>
  <c r="Q1190" i="55" a="1"/>
  <c r="Q1190" i="55" s="1"/>
  <c r="R1191" i="55" a="1"/>
  <c r="R1191" i="55" s="1"/>
  <c r="Q1191" i="55" a="1"/>
  <c r="Q1191" i="55" s="1"/>
  <c r="R1192" i="55" a="1"/>
  <c r="R1192" i="55" s="1"/>
  <c r="Q1192" i="55" a="1"/>
  <c r="Q1192" i="55" s="1"/>
  <c r="R1193" i="55" a="1"/>
  <c r="R1193" i="55" s="1"/>
  <c r="Q1193" i="55" a="1"/>
  <c r="Q1193" i="55" s="1"/>
  <c r="R1194" i="55" a="1"/>
  <c r="R1194" i="55" s="1"/>
  <c r="Q1194" i="55" a="1"/>
  <c r="Q1194" i="55" s="1"/>
  <c r="R1195" i="55" a="1"/>
  <c r="R1195" i="55" s="1"/>
  <c r="Q1195" i="55" a="1"/>
  <c r="Q1195" i="55" s="1"/>
  <c r="Q1196" i="55" a="1"/>
  <c r="Q1196" i="55" s="1"/>
  <c r="R1196" i="55" a="1"/>
  <c r="R1196" i="55" s="1"/>
  <c r="R1197" i="55" a="1"/>
  <c r="R1197" i="55" s="1"/>
  <c r="Q1197" i="55" a="1"/>
  <c r="Q1197" i="55" s="1"/>
  <c r="R1198" i="55" a="1"/>
  <c r="R1198" i="55" s="1"/>
  <c r="Q1198" i="55" a="1"/>
  <c r="Q1198" i="55" s="1"/>
  <c r="Q1199" i="55" a="1"/>
  <c r="Q1199" i="55" s="1"/>
  <c r="R1199" i="55" a="1"/>
  <c r="R1199" i="55" s="1"/>
  <c r="R1200" i="55" a="1"/>
  <c r="R1200" i="55" s="1"/>
  <c r="Q1200" i="55" a="1"/>
  <c r="Q1200" i="55" s="1"/>
  <c r="R1202" i="55" a="1"/>
  <c r="R1202" i="55" s="1"/>
  <c r="Q1202" i="55" a="1"/>
  <c r="Q1202" i="55" s="1"/>
  <c r="R1203" i="55" a="1"/>
  <c r="R1203" i="55" s="1"/>
  <c r="Q1203" i="55" a="1"/>
  <c r="Q1203" i="55" s="1"/>
  <c r="R1204" i="55" a="1"/>
  <c r="R1204" i="55" s="1"/>
  <c r="Q1204" i="55" a="1"/>
  <c r="Q1204" i="55" s="1"/>
  <c r="R1205" i="55" a="1"/>
  <c r="R1205" i="55" s="1"/>
  <c r="Q1205" i="55" a="1"/>
  <c r="Q1205" i="55" s="1"/>
  <c r="R1207" i="55" a="1"/>
  <c r="R1207" i="55" s="1"/>
  <c r="Q1207" i="55" a="1"/>
  <c r="Q1207" i="55" s="1"/>
  <c r="Q1208" i="55" a="1"/>
  <c r="Q1208" i="55" s="1"/>
  <c r="R1208" i="55" a="1"/>
  <c r="R1208" i="55" s="1"/>
  <c r="R1210" i="55" a="1"/>
  <c r="R1210" i="55" s="1"/>
  <c r="Q1210" i="55" a="1"/>
  <c r="Q1210" i="55" s="1"/>
  <c r="R1211" i="55" a="1"/>
  <c r="R1211" i="55" s="1"/>
  <c r="Q1211" i="55" a="1"/>
  <c r="Q1211" i="55" s="1"/>
  <c r="R1212" i="55" a="1"/>
  <c r="R1212" i="55" s="1"/>
  <c r="Q1212" i="55" a="1"/>
  <c r="Q1212" i="55" s="1"/>
  <c r="R1214" i="55" a="1"/>
  <c r="R1214" i="55" s="1"/>
  <c r="Q1214" i="55" a="1"/>
  <c r="Q1214" i="55" s="1"/>
  <c r="Q1215" i="55" a="1"/>
  <c r="Q1215" i="55" s="1"/>
  <c r="R1215" i="55" a="1"/>
  <c r="R1215" i="55" s="1"/>
  <c r="R1216" i="55" a="1"/>
  <c r="R1216" i="55" s="1"/>
  <c r="Q1216" i="55" a="1"/>
  <c r="Q1216" i="55" s="1"/>
  <c r="R1217" i="55" a="1"/>
  <c r="R1217" i="55" s="1"/>
  <c r="Q1217" i="55" a="1"/>
  <c r="Q1217" i="55" s="1"/>
  <c r="Q1219" i="55" a="1"/>
  <c r="Q1219" i="55" s="1"/>
  <c r="R1219" i="55" a="1"/>
  <c r="R1219" i="55" s="1"/>
  <c r="R1221" i="55" a="1"/>
  <c r="R1221" i="55" s="1"/>
  <c r="Q1221" i="55" a="1"/>
  <c r="Q1221" i="55" s="1"/>
  <c r="R1223" i="55" a="1"/>
  <c r="R1223" i="55" s="1"/>
  <c r="Q1223" i="55" a="1"/>
  <c r="Q1223" i="55" s="1"/>
  <c r="Q1224" i="55" a="1"/>
  <c r="Q1224" i="55" s="1"/>
  <c r="R1224" i="55" a="1"/>
  <c r="R1224" i="55" s="1"/>
  <c r="R1225" i="55" a="1"/>
  <c r="R1225" i="55" s="1"/>
  <c r="Q1225" i="55" a="1"/>
  <c r="Q1225" i="55" s="1"/>
  <c r="Q1227" i="55" a="1"/>
  <c r="Q1227" i="55" s="1"/>
  <c r="R1227" i="55" a="1"/>
  <c r="R1227" i="55" s="1"/>
  <c r="R1228" i="55" a="1"/>
  <c r="R1228" i="55" s="1"/>
  <c r="Q1228" i="55" a="1"/>
  <c r="Q1228" i="55" s="1"/>
  <c r="R1229" i="55" a="1"/>
  <c r="R1229" i="55" s="1"/>
  <c r="Q1229" i="55" a="1"/>
  <c r="Q1229" i="55" s="1"/>
  <c r="R1231" i="55" a="1"/>
  <c r="R1231" i="55" s="1"/>
  <c r="Q1231" i="55" a="1"/>
  <c r="Q1231" i="55" s="1"/>
  <c r="R1233" i="55" a="1"/>
  <c r="R1233" i="55" s="1"/>
  <c r="Q1233" i="55" a="1"/>
  <c r="Q1233" i="55" s="1"/>
  <c r="R1235" i="55" a="1"/>
  <c r="R1235" i="55" s="1"/>
  <c r="Q1235" i="55" a="1"/>
  <c r="Q1235" i="55" s="1"/>
  <c r="R1236" i="55" a="1"/>
  <c r="R1236" i="55" s="1"/>
  <c r="Q1236" i="55" a="1"/>
  <c r="Q1236" i="55" s="1"/>
  <c r="R1237" i="55" a="1"/>
  <c r="R1237" i="55" s="1"/>
  <c r="Q1237" i="55" a="1"/>
  <c r="Q1237" i="55" s="1"/>
  <c r="R1238" i="55" a="1"/>
  <c r="R1238" i="55" s="1"/>
  <c r="Q1238" i="55" a="1"/>
  <c r="Q1238" i="55" s="1"/>
  <c r="R1241" i="55" a="1"/>
  <c r="R1241" i="55" s="1"/>
  <c r="Q1241" i="55" a="1"/>
  <c r="Q1241" i="55" s="1"/>
  <c r="R1242" i="55" a="1"/>
  <c r="R1242" i="55" s="1"/>
  <c r="Q1242" i="55" a="1"/>
  <c r="Q1242" i="55" s="1"/>
  <c r="R1243" i="55" a="1"/>
  <c r="R1243" i="55" s="1"/>
  <c r="Q1243" i="55" a="1"/>
  <c r="Q1243" i="55" s="1"/>
  <c r="R1244" i="55" a="1"/>
  <c r="R1244" i="55" s="1"/>
  <c r="Q1244" i="55" a="1"/>
  <c r="Q1244" i="55" s="1"/>
  <c r="R1245" i="55" a="1"/>
  <c r="R1245" i="55" s="1"/>
  <c r="Q1245" i="55" a="1"/>
  <c r="Q1245" i="55" s="1"/>
  <c r="R1246" i="55" a="1"/>
  <c r="R1246" i="55" s="1"/>
  <c r="Q1246" i="55" a="1"/>
  <c r="Q1246" i="55" s="1"/>
  <c r="R1247" i="55" a="1"/>
  <c r="R1247" i="55" s="1"/>
  <c r="Q1247" i="55" a="1"/>
  <c r="Q1247" i="55" s="1"/>
  <c r="R1248" i="55" a="1"/>
  <c r="R1248" i="55" s="1"/>
  <c r="Q1248" i="55" a="1"/>
  <c r="Q1248" i="55" s="1"/>
  <c r="R1249" i="55" a="1"/>
  <c r="R1249" i="55" s="1"/>
  <c r="Q1249" i="55" a="1"/>
  <c r="Q1249" i="55" s="1"/>
  <c r="R1250" i="55" a="1"/>
  <c r="R1250" i="55" s="1"/>
  <c r="Q1250" i="55" a="1"/>
  <c r="Q1250" i="55" s="1"/>
  <c r="Q1251" i="55" a="1"/>
  <c r="Q1251" i="55" s="1"/>
  <c r="R1251" i="55" a="1"/>
  <c r="R1251" i="55" s="1"/>
  <c r="R1252" i="55" a="1"/>
  <c r="R1252" i="55" s="1"/>
  <c r="Q1252" i="55" a="1"/>
  <c r="Q1252" i="55" s="1"/>
  <c r="R1253" i="55" a="1"/>
  <c r="R1253" i="55" s="1"/>
  <c r="Q1253" i="55" a="1"/>
  <c r="Q1253" i="55" s="1"/>
  <c r="R1254" i="55" a="1"/>
  <c r="R1254" i="55" s="1"/>
  <c r="Q1254" i="55" a="1"/>
  <c r="Q1254" i="55" s="1"/>
  <c r="R1255" i="55" a="1"/>
  <c r="R1255" i="55" s="1"/>
  <c r="Q1255" i="55" a="1"/>
  <c r="Q1255" i="55" s="1"/>
  <c r="R1256" i="55" a="1"/>
  <c r="R1256" i="55" s="1"/>
  <c r="Q1256" i="55" a="1"/>
  <c r="Q1256" i="55" s="1"/>
  <c r="R1257" i="55" a="1"/>
  <c r="R1257" i="55" s="1"/>
  <c r="Q1257" i="55" a="1"/>
  <c r="Q1257" i="55" s="1"/>
  <c r="Q1258" i="55" a="1"/>
  <c r="Q1258" i="55" s="1"/>
  <c r="R1258" i="55" a="1"/>
  <c r="R1258" i="55" s="1"/>
  <c r="R1260" i="55" a="1"/>
  <c r="R1260" i="55" s="1"/>
  <c r="Q1260" i="55" a="1"/>
  <c r="Q1260" i="55" s="1"/>
  <c r="R1261" i="55" a="1"/>
  <c r="R1261" i="55" s="1"/>
  <c r="Q1261" i="55" a="1"/>
  <c r="Q1261" i="55" s="1"/>
  <c r="R1262" i="55" a="1"/>
  <c r="R1262" i="55" s="1"/>
  <c r="Q1262" i="55" a="1"/>
  <c r="Q1262" i="55" s="1"/>
  <c r="R1263" i="55" a="1"/>
  <c r="R1263" i="55" s="1"/>
  <c r="Q1263" i="55" a="1"/>
  <c r="Q1263" i="55" s="1"/>
  <c r="R1264" i="55" a="1"/>
  <c r="R1264" i="55" s="1"/>
  <c r="Q1264" i="55" a="1"/>
  <c r="Q1264" i="55" s="1"/>
  <c r="R1265" i="55" a="1"/>
  <c r="R1265" i="55" s="1"/>
  <c r="Q1265" i="55" a="1"/>
  <c r="Q1265" i="55" s="1"/>
  <c r="R1266" i="55" a="1"/>
  <c r="R1266" i="55" s="1"/>
  <c r="Q1266" i="55" a="1"/>
  <c r="Q1266" i="55" s="1"/>
  <c r="R1267" i="55" a="1"/>
  <c r="R1267" i="55" s="1"/>
  <c r="Q1267" i="55" a="1"/>
  <c r="Q1267" i="55" s="1"/>
  <c r="R1268" i="55" a="1"/>
  <c r="R1268" i="55" s="1"/>
  <c r="Q1268" i="55" a="1"/>
  <c r="Q1268" i="55" s="1"/>
  <c r="R1269" i="55" a="1"/>
  <c r="R1269" i="55" s="1"/>
  <c r="Q1269" i="55" a="1"/>
  <c r="Q1269" i="55" s="1"/>
  <c r="R1270" i="55" a="1"/>
  <c r="R1270" i="55" s="1"/>
  <c r="Q1270" i="55" a="1"/>
  <c r="Q1270" i="55" s="1"/>
  <c r="R1271" i="55" a="1"/>
  <c r="R1271" i="55" s="1"/>
  <c r="Q1271" i="55" a="1"/>
  <c r="Q1271" i="55" s="1"/>
  <c r="R1272" i="55" a="1"/>
  <c r="R1272" i="55" s="1"/>
  <c r="Q1272" i="55" a="1"/>
  <c r="Q1272" i="55" s="1"/>
  <c r="R1274" i="55" a="1"/>
  <c r="R1274" i="55" s="1"/>
  <c r="Q1274" i="55" a="1"/>
  <c r="Q1274" i="55" s="1"/>
  <c r="R1275" i="55" a="1"/>
  <c r="R1275" i="55" s="1"/>
  <c r="Q1275" i="55" a="1"/>
  <c r="Q1275" i="55" s="1"/>
  <c r="R1276" i="55" a="1"/>
  <c r="R1276" i="55" s="1"/>
  <c r="Q1276" i="55" a="1"/>
  <c r="Q1276" i="55" s="1"/>
  <c r="R1277" i="55" a="1"/>
  <c r="R1277" i="55" s="1"/>
  <c r="Q1277" i="55" a="1"/>
  <c r="Q1277" i="55" s="1"/>
  <c r="R1278" i="55" a="1"/>
  <c r="R1278" i="55" s="1"/>
  <c r="Q1278" i="55" a="1"/>
  <c r="Q1278" i="55" s="1"/>
  <c r="R1279" i="55" a="1"/>
  <c r="R1279" i="55" s="1"/>
  <c r="Q1279" i="55" a="1"/>
  <c r="Q1279" i="55" s="1"/>
  <c r="R1280" i="55" a="1"/>
  <c r="R1280" i="55" s="1"/>
  <c r="Q1280" i="55" a="1"/>
  <c r="Q1280" i="55" s="1"/>
  <c r="R1281" i="55" a="1"/>
  <c r="R1281" i="55" s="1"/>
  <c r="Q1281" i="55" a="1"/>
  <c r="Q1281" i="55" s="1"/>
  <c r="R1282" i="55" a="1"/>
  <c r="R1282" i="55" s="1"/>
  <c r="Q1282" i="55" a="1"/>
  <c r="Q1282" i="55" s="1"/>
  <c r="R1283" i="55" a="1"/>
  <c r="R1283" i="55" s="1"/>
  <c r="Q1283" i="55" a="1"/>
  <c r="Q1283" i="55" s="1"/>
  <c r="Q1284" i="55" a="1"/>
  <c r="Q1284" i="55" s="1"/>
  <c r="R1284" i="55" a="1"/>
  <c r="R1284" i="55" s="1"/>
  <c r="R1285" i="55" a="1"/>
  <c r="R1285" i="55" s="1"/>
  <c r="Q1285" i="55" a="1"/>
  <c r="Q1285" i="55" s="1"/>
  <c r="R1286" i="55" a="1"/>
  <c r="R1286" i="55" s="1"/>
  <c r="Q1286" i="55" a="1"/>
  <c r="Q1286" i="55" s="1"/>
  <c r="R1287" i="55" a="1"/>
  <c r="R1287" i="55" s="1"/>
  <c r="Q1287" i="55" a="1"/>
  <c r="Q1287" i="55" s="1"/>
  <c r="R1288" i="55" a="1"/>
  <c r="R1288" i="55" s="1"/>
  <c r="Q1288" i="55" a="1"/>
  <c r="Q1288" i="55" s="1"/>
  <c r="R1291" i="55" a="1"/>
  <c r="R1291" i="55" s="1"/>
  <c r="Q1291" i="55" a="1"/>
  <c r="Q1291" i="55" s="1"/>
  <c r="R1292" i="55" a="1"/>
  <c r="R1292" i="55" s="1"/>
  <c r="Q1292" i="55" a="1"/>
  <c r="Q1292" i="55" s="1"/>
  <c r="R1293" i="55" a="1"/>
  <c r="R1293" i="55" s="1"/>
  <c r="Q1293" i="55" a="1"/>
  <c r="Q1293" i="55" s="1"/>
  <c r="R1295" i="55" a="1"/>
  <c r="R1295" i="55" s="1"/>
  <c r="Q1295" i="55" a="1"/>
  <c r="Q1295" i="55" s="1"/>
  <c r="R1296" i="55" a="1"/>
  <c r="R1296" i="55" s="1"/>
  <c r="Q1296" i="55" a="1"/>
  <c r="Q1296" i="55" s="1"/>
  <c r="R1297" i="55" a="1"/>
  <c r="R1297" i="55" s="1"/>
  <c r="Q1297" i="55" a="1"/>
  <c r="Q1297" i="55" s="1"/>
  <c r="R1298" i="55" a="1"/>
  <c r="R1298" i="55" s="1"/>
  <c r="Q1298" i="55" a="1"/>
  <c r="Q1298" i="55" s="1"/>
  <c r="R1299" i="55" a="1"/>
  <c r="R1299" i="55" s="1"/>
  <c r="Q1299" i="55" a="1"/>
  <c r="Q1299" i="55" s="1"/>
  <c r="R1300" i="55" a="1"/>
  <c r="R1300" i="55" s="1"/>
  <c r="Q1300" i="55" a="1"/>
  <c r="Q1300" i="55" s="1"/>
  <c r="R1301" i="55" a="1"/>
  <c r="R1301" i="55" s="1"/>
  <c r="Q1301" i="55" a="1"/>
  <c r="Q1301" i="55" s="1"/>
  <c r="R1302" i="55" a="1"/>
  <c r="R1302" i="55" s="1"/>
  <c r="Q1302" i="55" a="1"/>
  <c r="Q1302" i="55" s="1"/>
  <c r="R1303" i="55" a="1"/>
  <c r="R1303" i="55" s="1"/>
  <c r="Q1303" i="55" a="1"/>
  <c r="Q1303" i="55" s="1"/>
  <c r="R1304" i="55" a="1"/>
  <c r="R1304" i="55" s="1"/>
  <c r="Q1304" i="55" a="1"/>
  <c r="Q1304" i="55" s="1"/>
  <c r="R1305" i="55" a="1"/>
  <c r="R1305" i="55" s="1"/>
  <c r="Q1305" i="55" a="1"/>
  <c r="Q1305" i="55" s="1"/>
  <c r="R1306" i="55" a="1"/>
  <c r="R1306" i="55" s="1"/>
  <c r="Q1306" i="55" a="1"/>
  <c r="Q1306" i="55" s="1"/>
  <c r="Q1307" i="55" a="1"/>
  <c r="Q1307" i="55" s="1"/>
  <c r="R1307" i="55" a="1"/>
  <c r="R1307" i="55" s="1"/>
  <c r="R1308" i="55" a="1"/>
  <c r="R1308" i="55" s="1"/>
  <c r="Q1308" i="55" a="1"/>
  <c r="Q1308" i="55" s="1"/>
  <c r="R1309" i="55" a="1"/>
  <c r="R1309" i="55" s="1"/>
  <c r="Q1309" i="55" a="1"/>
  <c r="Q1309" i="55" s="1"/>
  <c r="R1310" i="55" a="1"/>
  <c r="R1310" i="55" s="1"/>
  <c r="Q1310" i="55" a="1"/>
  <c r="Q1310" i="55" s="1"/>
  <c r="Q1311" i="55" a="1"/>
  <c r="Q1311" i="55" s="1"/>
  <c r="R1311" i="55" a="1"/>
  <c r="R1311" i="55" s="1"/>
  <c r="R1312" i="55" a="1"/>
  <c r="R1312" i="55" s="1"/>
  <c r="Q1312" i="55" a="1"/>
  <c r="Q1312" i="55" s="1"/>
  <c r="R1313" i="55" a="1"/>
  <c r="R1313" i="55" s="1"/>
  <c r="Q1313" i="55" a="1"/>
  <c r="Q1313" i="55" s="1"/>
  <c r="R1314" i="55" a="1"/>
  <c r="R1314" i="55" s="1"/>
  <c r="Q1314" i="55" a="1"/>
  <c r="Q1314" i="55" s="1"/>
  <c r="Q1317" i="55" a="1"/>
  <c r="Q1317" i="55" s="1"/>
  <c r="R1317" i="55" a="1"/>
  <c r="R1317" i="55" s="1"/>
  <c r="R1318" i="55" a="1"/>
  <c r="R1318" i="55" s="1"/>
  <c r="Q1318" i="55" a="1"/>
  <c r="Q1318" i="55" s="1"/>
  <c r="R1319" i="55" a="1"/>
  <c r="R1319" i="55" s="1"/>
  <c r="Q1319" i="55" a="1"/>
  <c r="Q1319" i="55" s="1"/>
  <c r="R1320" i="55" a="1"/>
  <c r="R1320" i="55" s="1"/>
  <c r="Q1320" i="55" a="1"/>
  <c r="Q1320" i="55" s="1"/>
  <c r="R1321" i="55" a="1"/>
  <c r="R1321" i="55" s="1"/>
  <c r="Q1321" i="55" a="1"/>
  <c r="Q1321" i="55" s="1"/>
  <c r="R1322" i="55" a="1"/>
  <c r="R1322" i="55" s="1"/>
  <c r="Q1322" i="55" a="1"/>
  <c r="Q1322" i="55" s="1"/>
  <c r="R1323" i="55" a="1"/>
  <c r="R1323" i="55" s="1"/>
  <c r="Q1323" i="55" a="1"/>
  <c r="Q1323" i="55" s="1"/>
  <c r="R1324" i="55" a="1"/>
  <c r="R1324" i="55" s="1"/>
  <c r="Q1324" i="55" a="1"/>
  <c r="Q1324" i="55" s="1"/>
  <c r="R1325" i="55" a="1"/>
  <c r="R1325" i="55" s="1"/>
  <c r="Q1325" i="55" a="1"/>
  <c r="Q1325" i="55" s="1"/>
  <c r="R1326" i="55" a="1"/>
  <c r="R1326" i="55" s="1"/>
  <c r="Q1326" i="55" a="1"/>
  <c r="Q1326" i="55" s="1"/>
  <c r="R1328" i="55" a="1"/>
  <c r="R1328" i="55" s="1"/>
  <c r="Q1328" i="55" a="1"/>
  <c r="Q1328" i="55" s="1"/>
  <c r="R1329" i="55" a="1"/>
  <c r="R1329" i="55" s="1"/>
  <c r="Q1329" i="55" a="1"/>
  <c r="Q1329" i="55" s="1"/>
  <c r="R1330" i="55" a="1"/>
  <c r="R1330" i="55" s="1"/>
  <c r="Q1330" i="55" a="1"/>
  <c r="Q1330" i="55" s="1"/>
  <c r="R1331" i="55" a="1"/>
  <c r="R1331" i="55" s="1"/>
  <c r="Q1331" i="55" a="1"/>
  <c r="Q1331" i="55" s="1"/>
  <c r="R1334" i="55" a="1"/>
  <c r="R1334" i="55" s="1"/>
  <c r="Q1334" i="55" a="1"/>
  <c r="Q1334" i="55" s="1"/>
  <c r="R1335" i="55" a="1"/>
  <c r="R1335" i="55" s="1"/>
  <c r="Q1335" i="55" a="1"/>
  <c r="Q1335" i="55" s="1"/>
  <c r="R1338" i="55" a="1"/>
  <c r="R1338" i="55" s="1"/>
  <c r="Q1338" i="55" a="1"/>
  <c r="Q1338" i="55" s="1"/>
  <c r="Q1339" i="55" a="1"/>
  <c r="Q1339" i="55" s="1"/>
  <c r="R1339" i="55" a="1"/>
  <c r="R1339" i="55" s="1"/>
  <c r="R1341" i="55" a="1"/>
  <c r="R1341" i="55" s="1"/>
  <c r="Q1341" i="55" a="1"/>
  <c r="Q1341" i="55" s="1"/>
  <c r="R1342" i="55" a="1"/>
  <c r="R1342" i="55" s="1"/>
  <c r="Q1342" i="55" a="1"/>
  <c r="Q1342" i="55" s="1"/>
  <c r="R1343" i="55" a="1"/>
  <c r="R1343" i="55" s="1"/>
  <c r="Q1343" i="55" a="1"/>
  <c r="Q1343" i="55" s="1"/>
  <c r="R1344" i="55" a="1"/>
  <c r="R1344" i="55" s="1"/>
  <c r="Q1344" i="55" a="1"/>
  <c r="Q1344" i="55" s="1"/>
  <c r="R1345" i="55" a="1"/>
  <c r="R1345" i="55" s="1"/>
  <c r="Q1345" i="55" a="1"/>
  <c r="Q1345" i="55" s="1"/>
  <c r="R1346" i="55" a="1"/>
  <c r="R1346" i="55" s="1"/>
  <c r="Q1346" i="55" a="1"/>
  <c r="Q1346" i="55" s="1"/>
  <c r="R1347" i="55" a="1"/>
  <c r="R1347" i="55" s="1"/>
  <c r="Q1347" i="55" a="1"/>
  <c r="Q1347" i="55" s="1"/>
  <c r="R1348" i="55" a="1"/>
  <c r="R1348" i="55" s="1"/>
  <c r="Q1348" i="55" a="1"/>
  <c r="Q1348" i="55" s="1"/>
  <c r="R1349" i="55" a="1"/>
  <c r="R1349" i="55" s="1"/>
  <c r="Q1349" i="55" a="1"/>
  <c r="Q1349" i="55" s="1"/>
  <c r="R1350" i="55" a="1"/>
  <c r="R1350" i="55" s="1"/>
  <c r="Q1350" i="55" a="1"/>
  <c r="Q1350" i="55" s="1"/>
  <c r="R1352" i="55" a="1"/>
  <c r="R1352" i="55" s="1"/>
  <c r="Q1352" i="55" a="1"/>
  <c r="Q1352" i="55" s="1"/>
  <c r="R1353" i="55" a="1"/>
  <c r="R1353" i="55" s="1"/>
  <c r="Q1353" i="55" a="1"/>
  <c r="Q1353" i="55" s="1"/>
  <c r="Q1354" i="55" a="1"/>
  <c r="Q1354" i="55" s="1"/>
  <c r="R1354" i="55" a="1"/>
  <c r="R1354" i="55" s="1"/>
  <c r="R1356" i="55" a="1"/>
  <c r="R1356" i="55" s="1"/>
  <c r="Q1356" i="55" a="1"/>
  <c r="Q1356" i="55" s="1"/>
  <c r="R1358" i="55" a="1"/>
  <c r="R1358" i="55" s="1"/>
  <c r="Q1358" i="55" a="1"/>
  <c r="Q1358" i="55" s="1"/>
  <c r="R1359" i="55" a="1"/>
  <c r="R1359" i="55" s="1"/>
  <c r="Q1359" i="55" a="1"/>
  <c r="Q1359" i="55" s="1"/>
  <c r="R1360" i="55" a="1"/>
  <c r="R1360" i="55" s="1"/>
  <c r="Q1360" i="55" a="1"/>
  <c r="Q1360" i="55" s="1"/>
  <c r="R1362" i="55" a="1"/>
  <c r="R1362" i="55" s="1"/>
  <c r="Q1362" i="55" a="1"/>
  <c r="Q1362" i="55" s="1"/>
  <c r="R1363" i="55" a="1"/>
  <c r="R1363" i="55" s="1"/>
  <c r="Q1363" i="55" a="1"/>
  <c r="Q1363" i="55" s="1"/>
  <c r="R1365" i="55" a="1"/>
  <c r="R1365" i="55" s="1"/>
  <c r="Q1365" i="55" a="1"/>
  <c r="Q1365" i="55" s="1"/>
  <c r="R1366" i="55" a="1"/>
  <c r="R1366" i="55" s="1"/>
  <c r="Q1366" i="55" a="1"/>
  <c r="Q1366" i="55" s="1"/>
  <c r="R1367" i="55" a="1"/>
  <c r="R1367" i="55" s="1"/>
  <c r="Q1367" i="55" a="1"/>
  <c r="Q1367" i="55" s="1"/>
  <c r="R1369" i="55" a="1"/>
  <c r="R1369" i="55" s="1"/>
  <c r="Q1369" i="55" a="1"/>
  <c r="Q1369" i="55" s="1"/>
  <c r="R1370" i="55" a="1"/>
  <c r="R1370" i="55" s="1"/>
  <c r="Q1370" i="55" a="1"/>
  <c r="Q1370" i="55" s="1"/>
  <c r="R1372" i="55" a="1"/>
  <c r="R1372" i="55" s="1"/>
  <c r="Q1372" i="55" a="1"/>
  <c r="Q1372" i="55" s="1"/>
  <c r="R1373" i="55" a="1"/>
  <c r="R1373" i="55" s="1"/>
  <c r="Q1373" i="55" a="1"/>
  <c r="Q1373" i="55" s="1"/>
  <c r="R1374" i="55" a="1"/>
  <c r="R1374" i="55" s="1"/>
  <c r="Q1374" i="55" a="1"/>
  <c r="Q1374" i="55" s="1"/>
  <c r="R1376" i="55" a="1"/>
  <c r="R1376" i="55" s="1"/>
  <c r="Q1376" i="55" a="1"/>
  <c r="Q1376" i="55" s="1"/>
  <c r="R1396" i="55" a="1"/>
  <c r="R1396" i="55" s="1"/>
  <c r="Q1396" i="55" a="1"/>
  <c r="Q1396" i="55" s="1"/>
  <c r="R1397" i="55" a="1"/>
  <c r="R1397" i="55" s="1"/>
  <c r="Q1397" i="55" a="1"/>
  <c r="Q1397" i="55" s="1"/>
  <c r="R1398" i="55" a="1"/>
  <c r="R1398" i="55" s="1"/>
  <c r="Q1398" i="55" a="1"/>
  <c r="Q1398" i="55" s="1"/>
  <c r="R1399" i="55" a="1"/>
  <c r="R1399" i="55" s="1"/>
  <c r="Q1399" i="55" a="1"/>
  <c r="Q1399" i="55" s="1"/>
  <c r="R1401" i="55" a="1"/>
  <c r="R1401" i="55" s="1"/>
  <c r="Q1401" i="55" a="1"/>
  <c r="Q1401" i="55" s="1"/>
  <c r="R1402" i="55" a="1"/>
  <c r="R1402" i="55" s="1"/>
  <c r="Q1402" i="55" a="1"/>
  <c r="Q1402" i="55" s="1"/>
  <c r="R1403" i="55" a="1"/>
  <c r="R1403" i="55" s="1"/>
  <c r="Q1403" i="55" a="1"/>
  <c r="Q1403" i="55" s="1"/>
  <c r="R1405" i="55" a="1"/>
  <c r="R1405" i="55" s="1"/>
  <c r="Q1405" i="55" a="1"/>
  <c r="Q1405" i="55" s="1"/>
  <c r="R1406" i="55" a="1"/>
  <c r="R1406" i="55" s="1"/>
  <c r="Q1406" i="55" a="1"/>
  <c r="Q1406" i="55" s="1"/>
  <c r="R1407" i="55" a="1"/>
  <c r="R1407" i="55" s="1"/>
  <c r="Q1407" i="55" a="1"/>
  <c r="Q1407" i="55" s="1"/>
  <c r="R1408" i="55" a="1"/>
  <c r="R1408" i="55" s="1"/>
  <c r="Q1408" i="55" a="1"/>
  <c r="Q1408" i="55" s="1"/>
  <c r="R1409" i="55" a="1"/>
  <c r="R1409" i="55" s="1"/>
  <c r="Q1409" i="55" a="1"/>
  <c r="Q1409" i="55" s="1"/>
  <c r="R1414" i="55" a="1"/>
  <c r="R1414" i="55" s="1"/>
  <c r="Q1414" i="55" a="1"/>
  <c r="Q1414" i="55" s="1"/>
  <c r="R1415" i="55" a="1"/>
  <c r="R1415" i="55" s="1"/>
  <c r="Q1415" i="55" a="1"/>
  <c r="Q1415" i="55" s="1"/>
  <c r="R1416" i="55" a="1"/>
  <c r="R1416" i="55" s="1"/>
  <c r="Q1416" i="55" a="1"/>
  <c r="Q1416" i="55" s="1"/>
  <c r="R1417" i="55" a="1"/>
  <c r="R1417" i="55" s="1"/>
  <c r="Q1417" i="55" a="1"/>
  <c r="Q1417" i="55" s="1"/>
  <c r="Q1418" i="55" a="1"/>
  <c r="Q1418" i="55" s="1"/>
  <c r="R1418" i="55" a="1"/>
  <c r="R1418" i="55" s="1"/>
  <c r="R1419" i="55" a="1"/>
  <c r="R1419" i="55" s="1"/>
  <c r="Q1419" i="55" a="1"/>
  <c r="Q1419" i="55" s="1"/>
  <c r="R1420" i="55" a="1"/>
  <c r="R1420" i="55" s="1"/>
  <c r="Q1420" i="55" a="1"/>
  <c r="Q1420" i="55" s="1"/>
  <c r="R1423" i="55" a="1"/>
  <c r="R1423" i="55" s="1"/>
  <c r="Q1423" i="55" a="1"/>
  <c r="Q1423" i="55" s="1"/>
  <c r="R1424" i="55" a="1"/>
  <c r="R1424" i="55" s="1"/>
  <c r="Q1424" i="55" a="1"/>
  <c r="Q1424" i="55" s="1"/>
  <c r="R1425" i="55" a="1"/>
  <c r="R1425" i="55" s="1"/>
  <c r="Q1425" i="55" a="1"/>
  <c r="Q1425" i="55" s="1"/>
  <c r="R1426" i="55" a="1"/>
  <c r="R1426" i="55" s="1"/>
  <c r="Q1426" i="55" a="1"/>
  <c r="Q1426" i="55" s="1"/>
  <c r="R1427" i="55" a="1"/>
  <c r="R1427" i="55" s="1"/>
  <c r="Q1427" i="55" a="1"/>
  <c r="Q1427" i="55" s="1"/>
  <c r="R1428" i="55" a="1"/>
  <c r="R1428" i="55" s="1"/>
  <c r="Q1428" i="55" a="1"/>
  <c r="Q1428" i="55" s="1"/>
  <c r="R1430" i="55" a="1"/>
  <c r="R1430" i="55" s="1"/>
  <c r="Q1430" i="55" a="1"/>
  <c r="Q1430" i="55" s="1"/>
  <c r="R1431" i="55" a="1"/>
  <c r="R1431" i="55" s="1"/>
  <c r="Q1431" i="55" a="1"/>
  <c r="Q1431" i="55" s="1"/>
  <c r="Q1432" i="55" a="1"/>
  <c r="Q1432" i="55" s="1"/>
  <c r="R1432" i="55" a="1"/>
  <c r="R1432" i="55" s="1"/>
  <c r="R1433" i="55" a="1"/>
  <c r="R1433" i="55" s="1"/>
  <c r="Q1433" i="55" a="1"/>
  <c r="Q1433" i="55" s="1"/>
  <c r="R1435" i="55" a="1"/>
  <c r="R1435" i="55" s="1"/>
  <c r="Q1435" i="55" a="1"/>
  <c r="Q1435" i="55" s="1"/>
  <c r="R1436" i="55" a="1"/>
  <c r="R1436" i="55" s="1"/>
  <c r="Q1436" i="55" a="1"/>
  <c r="Q1436" i="55" s="1"/>
  <c r="R1437" i="55" a="1"/>
  <c r="R1437" i="55" s="1"/>
  <c r="Q1437" i="55" a="1"/>
  <c r="Q1437" i="55" s="1"/>
  <c r="R1438" i="55" a="1"/>
  <c r="R1438" i="55" s="1"/>
  <c r="Q1438" i="55" a="1"/>
  <c r="Q1438" i="55" s="1"/>
  <c r="R1439" i="55" a="1"/>
  <c r="R1439" i="55" s="1"/>
  <c r="Q1439" i="55" a="1"/>
  <c r="Q1439" i="55" s="1"/>
  <c r="R1440" i="55" a="1"/>
  <c r="R1440" i="55" s="1"/>
  <c r="Q1440" i="55" a="1"/>
  <c r="Q1440" i="55" s="1"/>
  <c r="R1442" i="55" a="1"/>
  <c r="R1442" i="55" s="1"/>
  <c r="Q1442" i="55" a="1"/>
  <c r="Q1442" i="55" s="1"/>
  <c r="R1443" i="55" a="1"/>
  <c r="R1443" i="55" s="1"/>
  <c r="Q1443" i="55" a="1"/>
  <c r="Q1443" i="55" s="1"/>
  <c r="R1444" i="55" a="1"/>
  <c r="R1444" i="55" s="1"/>
  <c r="Q1444" i="55" a="1"/>
  <c r="Q1444" i="55" s="1"/>
  <c r="R1445" i="55" a="1"/>
  <c r="R1445" i="55" s="1"/>
  <c r="Q1445" i="55" a="1"/>
  <c r="Q1445" i="55" s="1"/>
  <c r="R1446" i="55" a="1"/>
  <c r="R1446" i="55" s="1"/>
  <c r="Q1446" i="55" a="1"/>
  <c r="Q1446" i="55" s="1"/>
  <c r="R1447" i="55" a="1"/>
  <c r="R1447" i="55" s="1"/>
  <c r="Q1447" i="55" a="1"/>
  <c r="Q1447" i="55" s="1"/>
  <c r="R1449" i="55" a="1"/>
  <c r="R1449" i="55" s="1"/>
  <c r="Q1449" i="55" a="1"/>
  <c r="Q1449" i="55" s="1"/>
  <c r="R1450" i="55" a="1"/>
  <c r="R1450" i="55" s="1"/>
  <c r="Q1450" i="55" a="1"/>
  <c r="Q1450" i="55" s="1"/>
  <c r="R1452" i="55" a="1"/>
  <c r="R1452" i="55" s="1"/>
  <c r="Q1452" i="55" a="1"/>
  <c r="Q1452" i="55" s="1"/>
  <c r="R1453" i="55" a="1"/>
  <c r="R1453" i="55" s="1"/>
  <c r="Q1453" i="55" a="1"/>
  <c r="Q1453" i="55" s="1"/>
  <c r="R1455" i="55" a="1"/>
  <c r="R1455" i="55" s="1"/>
  <c r="Q1455" i="55" a="1"/>
  <c r="Q1455" i="55" s="1"/>
  <c r="Q1456" i="55" a="1"/>
  <c r="Q1456" i="55" s="1"/>
  <c r="R1456" i="55" a="1"/>
  <c r="R1456" i="55" s="1"/>
  <c r="R1457" i="55" a="1"/>
  <c r="R1457" i="55" s="1"/>
  <c r="Q1457" i="55" a="1"/>
  <c r="Q1457" i="55" s="1"/>
  <c r="R1458" i="55" a="1"/>
  <c r="R1458" i="55" s="1"/>
  <c r="Q1458" i="55" a="1"/>
  <c r="Q1458" i="55" s="1"/>
  <c r="R1459" i="55" a="1"/>
  <c r="R1459" i="55" s="1"/>
  <c r="Q1459" i="55" a="1"/>
  <c r="Q1459" i="55" s="1"/>
  <c r="R1461" i="55" a="1"/>
  <c r="R1461" i="55" s="1"/>
  <c r="Q1461" i="55" a="1"/>
  <c r="Q1461" i="55" s="1"/>
  <c r="R1462" i="55" a="1"/>
  <c r="R1462" i="55" s="1"/>
  <c r="Q1462" i="55" a="1"/>
  <c r="Q1462" i="55" s="1"/>
  <c r="R1467" i="55" a="1"/>
  <c r="R1467" i="55" s="1"/>
  <c r="Q1467" i="55" a="1"/>
  <c r="Q1467" i="55" s="1"/>
  <c r="R1469" i="55" a="1"/>
  <c r="R1469" i="55" s="1"/>
  <c r="Q1469" i="55" a="1"/>
  <c r="Q1469" i="55" s="1"/>
  <c r="R1470" i="55" a="1"/>
  <c r="R1470" i="55" s="1"/>
  <c r="Q1470" i="55" a="1"/>
  <c r="Q1470" i="55" s="1"/>
  <c r="Q1471" i="55" a="1"/>
  <c r="Q1471" i="55" s="1"/>
  <c r="R1471" i="55" a="1"/>
  <c r="R1471" i="55" s="1"/>
  <c r="R1472" i="55" a="1"/>
  <c r="R1472" i="55" s="1"/>
  <c r="Q1472" i="55" a="1"/>
  <c r="Q1472" i="55" s="1"/>
  <c r="R1473" i="55" a="1"/>
  <c r="R1473" i="55" s="1"/>
  <c r="Q1473" i="55" a="1"/>
  <c r="Q1473" i="55" s="1"/>
  <c r="R1474" i="55" a="1"/>
  <c r="R1474" i="55" s="1"/>
  <c r="Q1474" i="55" a="1"/>
  <c r="Q1474" i="55" s="1"/>
  <c r="R1475" i="55" a="1"/>
  <c r="R1475" i="55" s="1"/>
  <c r="Q1475" i="55" a="1"/>
  <c r="Q1475" i="55" s="1"/>
  <c r="R1478" i="55" a="1"/>
  <c r="R1478" i="55" s="1"/>
  <c r="Q1478" i="55" a="1"/>
  <c r="Q1478" i="55" s="1"/>
  <c r="R1479" i="55" a="1"/>
  <c r="R1479" i="55" s="1"/>
  <c r="Q1479" i="55" a="1"/>
  <c r="Q1479" i="55" s="1"/>
  <c r="R1481" i="55" a="1"/>
  <c r="R1481" i="55" s="1"/>
  <c r="Q1481" i="55" a="1"/>
  <c r="Q1481" i="55" s="1"/>
  <c r="R1482" i="55" a="1"/>
  <c r="R1482" i="55" s="1"/>
  <c r="Q1482" i="55" a="1"/>
  <c r="Q1482" i="55" s="1"/>
  <c r="R1484" i="55" a="1"/>
  <c r="R1484" i="55" s="1"/>
  <c r="Q1484" i="55" a="1"/>
  <c r="Q1484" i="55" s="1"/>
  <c r="R1485" i="55" a="1"/>
  <c r="R1485" i="55" s="1"/>
  <c r="Q1485" i="55" a="1"/>
  <c r="Q1485" i="55" s="1"/>
  <c r="R1486" i="55" a="1"/>
  <c r="R1486" i="55" s="1"/>
  <c r="Q1486" i="55" a="1"/>
  <c r="Q1486" i="55" s="1"/>
  <c r="R1492" i="55" a="1"/>
  <c r="R1492" i="55" s="1"/>
  <c r="Q1492" i="55" a="1"/>
  <c r="Q1492" i="55" s="1"/>
  <c r="R1493" i="55" a="1"/>
  <c r="R1493" i="55" s="1"/>
  <c r="Q1493" i="55" a="1"/>
  <c r="Q1493" i="55" s="1"/>
  <c r="R1494" i="55" a="1"/>
  <c r="R1494" i="55" s="1"/>
  <c r="Q1494" i="55" a="1"/>
  <c r="Q1494" i="55" s="1"/>
  <c r="R1496" i="55" a="1"/>
  <c r="R1496" i="55" s="1"/>
  <c r="Q1496" i="55" a="1"/>
  <c r="Q1496" i="55" s="1"/>
  <c r="Q1497" i="55" a="1"/>
  <c r="Q1497" i="55" s="1"/>
  <c r="R1497" i="55" a="1"/>
  <c r="R1497" i="55" s="1"/>
  <c r="R1499" i="55" a="1"/>
  <c r="R1499" i="55" s="1"/>
  <c r="Q1499" i="55" a="1"/>
  <c r="Q1499" i="55" s="1"/>
  <c r="R1500" i="55" a="1"/>
  <c r="R1500" i="55" s="1"/>
  <c r="Q1500" i="55" a="1"/>
  <c r="Q1500" i="55" s="1"/>
  <c r="Q12" i="55" a="1"/>
  <c r="Q12" i="55" s="1"/>
  <c r="R12" i="55" a="1"/>
  <c r="R12" i="55" s="1"/>
  <c r="Q13" i="55" a="1"/>
  <c r="Q13" i="55" s="1"/>
  <c r="R13" i="55" a="1"/>
  <c r="R13" i="55" s="1"/>
  <c r="Q15" i="55" a="1"/>
  <c r="Q15" i="55" s="1"/>
  <c r="R15" i="55" a="1"/>
  <c r="R15" i="55" s="1"/>
  <c r="R16" i="55" a="1"/>
  <c r="R16" i="55" s="1"/>
  <c r="Q16" i="55" a="1"/>
  <c r="Q16" i="55" s="1"/>
  <c r="Q17" i="55" a="1"/>
  <c r="Q17" i="55" s="1"/>
  <c r="R17" i="55" a="1"/>
  <c r="R17" i="55" s="1"/>
  <c r="R18" i="55" a="1"/>
  <c r="R18" i="55" s="1"/>
  <c r="Q18" i="55" a="1"/>
  <c r="Q18" i="55" s="1"/>
  <c r="R19" i="55" a="1"/>
  <c r="R19" i="55" s="1"/>
  <c r="Q19" i="55" a="1"/>
  <c r="Q19" i="55" s="1"/>
  <c r="R20" i="55" a="1"/>
  <c r="R20" i="55" s="1"/>
  <c r="Q20" i="55" a="1"/>
  <c r="Q20" i="55" s="1"/>
  <c r="Q21" i="55" a="1"/>
  <c r="Q21" i="55" s="1"/>
  <c r="R21" i="55" a="1"/>
  <c r="R21" i="55" s="1"/>
  <c r="Q22" i="55" a="1"/>
  <c r="Q22" i="55" s="1"/>
  <c r="R22" i="55" a="1"/>
  <c r="R22" i="55" s="1"/>
  <c r="R23" i="55" a="1"/>
  <c r="R23" i="55" s="1"/>
  <c r="Q23" i="55" a="1"/>
  <c r="Q23" i="55" s="1"/>
  <c r="Q25" i="55" a="1"/>
  <c r="Q25" i="55" s="1"/>
  <c r="R25" i="55" a="1"/>
  <c r="R25" i="55" s="1"/>
  <c r="Q26" i="55" a="1"/>
  <c r="Q26" i="55" s="1"/>
  <c r="R26" i="55" a="1"/>
  <c r="R26" i="55" s="1"/>
  <c r="R27" i="55" a="1"/>
  <c r="R27" i="55" s="1"/>
  <c r="Q27" i="55" a="1"/>
  <c r="Q27" i="55" s="1"/>
  <c r="R28" i="55" a="1"/>
  <c r="R28" i="55" s="1"/>
  <c r="Q28" i="55" a="1"/>
  <c r="Q28" i="55" s="1"/>
  <c r="R30" i="55" a="1"/>
  <c r="R30" i="55" s="1"/>
  <c r="Q30" i="55" a="1"/>
  <c r="Q30" i="55" s="1"/>
  <c r="Q33" i="55" a="1"/>
  <c r="Q33" i="55" s="1"/>
  <c r="R33" i="55" a="1"/>
  <c r="R33" i="55" s="1"/>
  <c r="R35" i="55" a="1"/>
  <c r="R35" i="55" s="1"/>
  <c r="Q35" i="55" a="1"/>
  <c r="Q35" i="55" s="1"/>
  <c r="R36" i="55" a="1"/>
  <c r="R36" i="55" s="1"/>
  <c r="Q36" i="55" a="1"/>
  <c r="Q36" i="55" s="1"/>
  <c r="Q37" i="55" a="1"/>
  <c r="Q37" i="55" s="1"/>
  <c r="R37" i="55" a="1"/>
  <c r="R37" i="55" s="1"/>
  <c r="Q40" i="55" a="1"/>
  <c r="Q40" i="55" s="1"/>
  <c r="R40" i="55" a="1"/>
  <c r="R40" i="55" s="1"/>
  <c r="R42" i="55" a="1"/>
  <c r="R42" i="55" s="1"/>
  <c r="Q42" i="55" a="1"/>
  <c r="Q42" i="55" s="1"/>
  <c r="Q45" i="55" a="1"/>
  <c r="Q45" i="55" s="1"/>
  <c r="R45" i="55" a="1"/>
  <c r="R45" i="55" s="1"/>
  <c r="R50" i="55" a="1"/>
  <c r="R50" i="55" s="1"/>
  <c r="Q50" i="55" a="1"/>
  <c r="Q50" i="55" s="1"/>
  <c r="R52" i="55" a="1"/>
  <c r="R52" i="55" s="1"/>
  <c r="Q52" i="55" a="1"/>
  <c r="Q52" i="55" s="1"/>
  <c r="Q53" i="55" a="1"/>
  <c r="Q53" i="55" s="1"/>
  <c r="R53" i="55" a="1"/>
  <c r="R53" i="55" s="1"/>
  <c r="R54" i="55" a="1"/>
  <c r="R54" i="55" s="1"/>
  <c r="Q54" i="55" a="1"/>
  <c r="Q54" i="55" s="1"/>
  <c r="R55" i="55" a="1"/>
  <c r="R55" i="55" s="1"/>
  <c r="Q55" i="55" a="1"/>
  <c r="Q55" i="55" s="1"/>
  <c r="Q59" i="55" a="1"/>
  <c r="Q59" i="55" s="1"/>
  <c r="R59" i="55" a="1"/>
  <c r="R59" i="55" s="1"/>
  <c r="Q60" i="55" a="1"/>
  <c r="Q60" i="55" s="1"/>
  <c r="R60" i="55" a="1"/>
  <c r="R60" i="55" s="1"/>
  <c r="R62" i="55" a="1"/>
  <c r="R62" i="55" s="1"/>
  <c r="Q62" i="55" a="1"/>
  <c r="Q62" i="55" s="1"/>
  <c r="R65" i="55" a="1"/>
  <c r="R65" i="55" s="1"/>
  <c r="Q65" i="55" a="1"/>
  <c r="Q65" i="55" s="1"/>
  <c r="R66" i="55" a="1"/>
  <c r="R66" i="55" s="1"/>
  <c r="Q66" i="55" a="1"/>
  <c r="Q66" i="55" s="1"/>
  <c r="Q69" i="55" a="1"/>
  <c r="Q69" i="55" s="1"/>
  <c r="R69" i="55" a="1"/>
  <c r="R69" i="55" s="1"/>
  <c r="R71" i="55" a="1"/>
  <c r="R71" i="55" s="1"/>
  <c r="Q71" i="55" a="1"/>
  <c r="Q71" i="55" s="1"/>
  <c r="R79" i="55" a="1"/>
  <c r="R79" i="55" s="1"/>
  <c r="Q79" i="55" a="1"/>
  <c r="Q79" i="55" s="1"/>
  <c r="R84" i="55" a="1"/>
  <c r="R84" i="55" s="1"/>
  <c r="Q84" i="55" a="1"/>
  <c r="Q84" i="55" s="1"/>
  <c r="R86" i="55" a="1"/>
  <c r="R86" i="55" s="1"/>
  <c r="Q86" i="55" a="1"/>
  <c r="Q86" i="55" s="1"/>
  <c r="R88" i="55" a="1"/>
  <c r="R88" i="55" s="1"/>
  <c r="Q88" i="55" a="1"/>
  <c r="Q88" i="55" s="1"/>
  <c r="R89" i="55" a="1"/>
  <c r="R89" i="55" s="1"/>
  <c r="Q89" i="55" a="1"/>
  <c r="Q89" i="55" s="1"/>
  <c r="R90" i="55" a="1"/>
  <c r="R90" i="55" s="1"/>
  <c r="Q90" i="55" a="1"/>
  <c r="Q90" i="55" s="1"/>
  <c r="Q92" i="55" a="1"/>
  <c r="Q92" i="55" s="1"/>
  <c r="R92" i="55" a="1"/>
  <c r="R92" i="55" s="1"/>
  <c r="Q93" i="55" a="1"/>
  <c r="Q93" i="55" s="1"/>
  <c r="R93" i="55" a="1"/>
  <c r="R93" i="55" s="1"/>
  <c r="Q113" i="55" a="1"/>
  <c r="Q113" i="55" s="1"/>
  <c r="R113" i="55" a="1"/>
  <c r="R113" i="55" s="1"/>
  <c r="R119" i="55" a="1"/>
  <c r="R119" i="55" s="1"/>
  <c r="Q119" i="55" a="1"/>
  <c r="Q119" i="55" s="1"/>
  <c r="Q123" i="55" a="1"/>
  <c r="Q123" i="55" s="1"/>
  <c r="R123" i="55" a="1"/>
  <c r="R123" i="55" s="1"/>
  <c r="R129" i="55" a="1"/>
  <c r="R129" i="55" s="1"/>
  <c r="Q129" i="55" a="1"/>
  <c r="Q129" i="55" s="1"/>
  <c r="Q130" i="55" a="1"/>
  <c r="Q130" i="55" s="1"/>
  <c r="R130" i="55" a="1"/>
  <c r="R130" i="55" s="1"/>
  <c r="R131" i="55" a="1"/>
  <c r="R131" i="55" s="1"/>
  <c r="Q131" i="55" a="1"/>
  <c r="Q131" i="55" s="1"/>
  <c r="R132" i="55" a="1"/>
  <c r="R132" i="55" s="1"/>
  <c r="Q132" i="55" a="1"/>
  <c r="Q132" i="55" s="1"/>
  <c r="R133" i="55" a="1"/>
  <c r="R133" i="55" s="1"/>
  <c r="Q133" i="55" a="1"/>
  <c r="Q133" i="55" s="1"/>
  <c r="R165" i="55" a="1"/>
  <c r="R165" i="55" s="1"/>
  <c r="Q165" i="55" a="1"/>
  <c r="Q165" i="55" s="1"/>
  <c r="Q166" i="55" a="1"/>
  <c r="Q166" i="55" s="1"/>
  <c r="R166" i="55" a="1"/>
  <c r="R166" i="55" s="1"/>
  <c r="Q168" i="55" a="1"/>
  <c r="Q168" i="55" s="1"/>
  <c r="R168" i="55" a="1"/>
  <c r="R168" i="55" s="1"/>
  <c r="R169" i="55" a="1"/>
  <c r="R169" i="55" s="1"/>
  <c r="Q169" i="55" a="1"/>
  <c r="Q169" i="55" s="1"/>
  <c r="R185" i="55" a="1"/>
  <c r="R185" i="55" s="1"/>
  <c r="Q185" i="55" a="1"/>
  <c r="Q185" i="55" s="1"/>
  <c r="R194" i="55" a="1"/>
  <c r="R194" i="55" s="1"/>
  <c r="Q194" i="55" a="1"/>
  <c r="Q194" i="55" s="1"/>
  <c r="R195" i="55" a="1"/>
  <c r="R195" i="55" s="1"/>
  <c r="Q195" i="55" a="1"/>
  <c r="Q195" i="55" s="1"/>
  <c r="R202" i="55" a="1"/>
  <c r="R202" i="55" s="1"/>
  <c r="Q202" i="55" a="1"/>
  <c r="Q202" i="55" s="1"/>
  <c r="Q203" i="55" a="1"/>
  <c r="Q203" i="55" s="1"/>
  <c r="R203" i="55" a="1"/>
  <c r="R203" i="55" s="1"/>
  <c r="R206" i="55" a="1"/>
  <c r="R206" i="55" s="1"/>
  <c r="Q206" i="55" a="1"/>
  <c r="Q206" i="55" s="1"/>
  <c r="R207" i="55" a="1"/>
  <c r="R207" i="55" s="1"/>
  <c r="Q207" i="55" a="1"/>
  <c r="Q207" i="55" s="1"/>
  <c r="Q208" i="55" a="1"/>
  <c r="Q208" i="55" s="1"/>
  <c r="R208" i="55" a="1"/>
  <c r="R208" i="55" s="1"/>
  <c r="R209" i="55" a="1"/>
  <c r="R209" i="55" s="1"/>
  <c r="Q209" i="55" a="1"/>
  <c r="Q209" i="55" s="1"/>
  <c r="Q210" i="55" a="1"/>
  <c r="Q210" i="55" s="1"/>
  <c r="R210" i="55" a="1"/>
  <c r="R210" i="55" s="1"/>
  <c r="R211" i="55" a="1"/>
  <c r="R211" i="55" s="1"/>
  <c r="Q211" i="55" a="1"/>
  <c r="Q211" i="55" s="1"/>
  <c r="R212" i="55" a="1"/>
  <c r="R212" i="55" s="1"/>
  <c r="Q212" i="55" a="1"/>
  <c r="Q212" i="55" s="1"/>
  <c r="Q213" i="55" a="1"/>
  <c r="Q213" i="55" s="1"/>
  <c r="R213" i="55" a="1"/>
  <c r="R213" i="55" s="1"/>
  <c r="Q214" i="55" a="1"/>
  <c r="Q214" i="55" s="1"/>
  <c r="R214" i="55" a="1"/>
  <c r="R214" i="55" s="1"/>
  <c r="R215" i="55" a="1"/>
  <c r="R215" i="55" s="1"/>
  <c r="Q215" i="55" a="1"/>
  <c r="Q215" i="55" s="1"/>
  <c r="R216" i="55" a="1"/>
  <c r="R216" i="55" s="1"/>
  <c r="Q216" i="55" a="1"/>
  <c r="Q216" i="55" s="1"/>
  <c r="R217" i="55" a="1"/>
  <c r="R217" i="55" s="1"/>
  <c r="Q217" i="55" a="1"/>
  <c r="Q217" i="55" s="1"/>
  <c r="R218" i="55" a="1"/>
  <c r="R218" i="55" s="1"/>
  <c r="Q218" i="55" a="1"/>
  <c r="Q218" i="55" s="1"/>
  <c r="R219" i="55" a="1"/>
  <c r="R219" i="55" s="1"/>
  <c r="Q219" i="55" a="1"/>
  <c r="Q219" i="55" s="1"/>
  <c r="Q220" i="55" a="1"/>
  <c r="Q220" i="55" s="1"/>
  <c r="R220" i="55" a="1"/>
  <c r="R220" i="55" s="1"/>
  <c r="R223" i="55" a="1"/>
  <c r="R223" i="55" s="1"/>
  <c r="Q223" i="55" a="1"/>
  <c r="Q223" i="55" s="1"/>
  <c r="Q226" i="55" a="1"/>
  <c r="Q226" i="55" s="1"/>
  <c r="R226" i="55" a="1"/>
  <c r="R226" i="55" s="1"/>
  <c r="R227" i="55" a="1"/>
  <c r="R227" i="55" s="1"/>
  <c r="Q227" i="55" a="1"/>
  <c r="Q227" i="55" s="1"/>
  <c r="R228" i="55" a="1"/>
  <c r="R228" i="55" s="1"/>
  <c r="Q228" i="55" a="1"/>
  <c r="Q228" i="55" s="1"/>
  <c r="Q229" i="55" a="1"/>
  <c r="Q229" i="55" s="1"/>
  <c r="R229" i="55" a="1"/>
  <c r="R229" i="55" s="1"/>
  <c r="Q230" i="55" a="1"/>
  <c r="Q230" i="55" s="1"/>
  <c r="R230" i="55" a="1"/>
  <c r="R230" i="55" s="1"/>
  <c r="R231" i="55" a="1"/>
  <c r="R231" i="55" s="1"/>
  <c r="Q231" i="55" a="1"/>
  <c r="Q231" i="55" s="1"/>
  <c r="R233" i="55" a="1"/>
  <c r="R233" i="55" s="1"/>
  <c r="Q233" i="55" a="1"/>
  <c r="Q233" i="55" s="1"/>
  <c r="R234" i="55" a="1"/>
  <c r="R234" i="55" s="1"/>
  <c r="Q234" i="55" a="1"/>
  <c r="Q234" i="55" s="1"/>
  <c r="Q235" i="55" a="1"/>
  <c r="Q235" i="55" s="1"/>
  <c r="R235" i="55" a="1"/>
  <c r="R235" i="55" s="1"/>
  <c r="R236" i="55" a="1"/>
  <c r="R236" i="55" s="1"/>
  <c r="Q236" i="55" a="1"/>
  <c r="Q236" i="55" s="1"/>
  <c r="Q237" i="55" a="1"/>
  <c r="Q237" i="55" s="1"/>
  <c r="R237" i="55" a="1"/>
  <c r="R237" i="55" s="1"/>
  <c r="R238" i="55" a="1"/>
  <c r="R238" i="55" s="1"/>
  <c r="Q238" i="55" a="1"/>
  <c r="Q238" i="55" s="1"/>
  <c r="R239" i="55" a="1"/>
  <c r="R239" i="55" s="1"/>
  <c r="Q239" i="55" a="1"/>
  <c r="Q239" i="55" s="1"/>
  <c r="R240" i="55" a="1"/>
  <c r="R240" i="55" s="1"/>
  <c r="Q240" i="55" a="1"/>
  <c r="Q240" i="55" s="1"/>
  <c r="R241" i="55" a="1"/>
  <c r="R241" i="55" s="1"/>
  <c r="Q241" i="55" a="1"/>
  <c r="Q241" i="55" s="1"/>
  <c r="Q242" i="55" a="1"/>
  <c r="Q242" i="55" s="1"/>
  <c r="R242" i="55" a="1"/>
  <c r="R242" i="55" s="1"/>
  <c r="R246" i="55" a="1"/>
  <c r="R246" i="55" s="1"/>
  <c r="Q246" i="55" a="1"/>
  <c r="Q246" i="55" s="1"/>
  <c r="R247" i="55" a="1"/>
  <c r="R247" i="55" s="1"/>
  <c r="Q247" i="55" a="1"/>
  <c r="Q247" i="55" s="1"/>
  <c r="Q249" i="55" a="1"/>
  <c r="Q249" i="55" s="1"/>
  <c r="R249" i="55" a="1"/>
  <c r="R249" i="55" s="1"/>
  <c r="R250" i="55" a="1"/>
  <c r="R250" i="55" s="1"/>
  <c r="Q250" i="55" a="1"/>
  <c r="Q250" i="55" s="1"/>
  <c r="R251" i="55" a="1"/>
  <c r="R251" i="55" s="1"/>
  <c r="Q251" i="55" a="1"/>
  <c r="Q251" i="55" s="1"/>
  <c r="R252" i="55" a="1"/>
  <c r="R252" i="55" s="1"/>
  <c r="Q252" i="55" a="1"/>
  <c r="Q252" i="55" s="1"/>
  <c r="Q253" i="55" a="1"/>
  <c r="Q253" i="55" s="1"/>
  <c r="R253" i="55" a="1"/>
  <c r="R253" i="55" s="1"/>
  <c r="R254" i="55" a="1"/>
  <c r="R254" i="55" s="1"/>
  <c r="Q254" i="55" a="1"/>
  <c r="Q254" i="55" s="1"/>
  <c r="R256" i="55" a="1"/>
  <c r="R256" i="55" s="1"/>
  <c r="Q256" i="55" a="1"/>
  <c r="Q256" i="55" s="1"/>
  <c r="Q258" i="55" a="1"/>
  <c r="Q258" i="55" s="1"/>
  <c r="R258" i="55" a="1"/>
  <c r="R258" i="55" s="1"/>
  <c r="R260" i="55" a="1"/>
  <c r="R260" i="55" s="1"/>
  <c r="Q260" i="55" a="1"/>
  <c r="Q260" i="55" s="1"/>
  <c r="Q261" i="55" a="1"/>
  <c r="Q261" i="55" s="1"/>
  <c r="R261" i="55" a="1"/>
  <c r="R261" i="55" s="1"/>
  <c r="R264" i="55" a="1"/>
  <c r="R264" i="55" s="1"/>
  <c r="Q264" i="55" a="1"/>
  <c r="Q264" i="55" s="1"/>
  <c r="Q267" i="55" a="1"/>
  <c r="Q267" i="55" s="1"/>
  <c r="R267" i="55" a="1"/>
  <c r="R267" i="55" s="1"/>
  <c r="R270" i="55" a="1"/>
  <c r="R270" i="55" s="1"/>
  <c r="Q270" i="55" a="1"/>
  <c r="Q270" i="55" s="1"/>
  <c r="R271" i="55" a="1"/>
  <c r="R271" i="55" s="1"/>
  <c r="Q271" i="55" a="1"/>
  <c r="Q271" i="55" s="1"/>
  <c r="R274" i="55" a="1"/>
  <c r="R274" i="55" s="1"/>
  <c r="Q274" i="55" a="1"/>
  <c r="Q274" i="55" s="1"/>
  <c r="R276" i="55" a="1"/>
  <c r="R276" i="55" s="1"/>
  <c r="Q276" i="55" a="1"/>
  <c r="Q276" i="55" s="1"/>
  <c r="Q278" i="55" a="1"/>
  <c r="Q278" i="55" s="1"/>
  <c r="R278" i="55" a="1"/>
  <c r="R278" i="55" s="1"/>
  <c r="Q279" i="55" a="1"/>
  <c r="Q279" i="55" s="1"/>
  <c r="R279" i="55" a="1"/>
  <c r="R279" i="55" s="1"/>
  <c r="Q280" i="55" a="1"/>
  <c r="Q280" i="55" s="1"/>
  <c r="R280" i="55" a="1"/>
  <c r="R280" i="55" s="1"/>
  <c r="R281" i="55" a="1"/>
  <c r="R281" i="55" s="1"/>
  <c r="Q281" i="55" a="1"/>
  <c r="Q281" i="55" s="1"/>
  <c r="R282" i="55" a="1"/>
  <c r="R282" i="55" s="1"/>
  <c r="Q282" i="55" a="1"/>
  <c r="Q282" i="55" s="1"/>
  <c r="R283" i="55" a="1"/>
  <c r="R283" i="55" s="1"/>
  <c r="Q283" i="55" a="1"/>
  <c r="Q283" i="55" s="1"/>
  <c r="Q284" i="55" a="1"/>
  <c r="Q284" i="55" s="1"/>
  <c r="R284" i="55" a="1"/>
  <c r="R284" i="55" s="1"/>
  <c r="R286" i="55" a="1"/>
  <c r="R286" i="55" s="1"/>
  <c r="Q286" i="55" a="1"/>
  <c r="Q286" i="55" s="1"/>
  <c r="R288" i="55" a="1"/>
  <c r="R288" i="55" s="1"/>
  <c r="Q288" i="55" a="1"/>
  <c r="Q288" i="55" s="1"/>
  <c r="Q290" i="55" a="1"/>
  <c r="Q290" i="55" s="1"/>
  <c r="R290" i="55" a="1"/>
  <c r="R290" i="55" s="1"/>
  <c r="R292" i="55" a="1"/>
  <c r="R292" i="55" s="1"/>
  <c r="Q292" i="55" a="1"/>
  <c r="Q292" i="55" s="1"/>
  <c r="Q295" i="55" a="1"/>
  <c r="Q295" i="55" s="1"/>
  <c r="R295" i="55" a="1"/>
  <c r="R295" i="55" s="1"/>
  <c r="R296" i="55" a="1"/>
  <c r="R296" i="55" s="1"/>
  <c r="Q296" i="55" a="1"/>
  <c r="Q296" i="55" s="1"/>
  <c r="R298" i="55" a="1"/>
  <c r="R298" i="55" s="1"/>
  <c r="Q298" i="55" a="1"/>
  <c r="Q298" i="55" s="1"/>
  <c r="Q299" i="55" a="1"/>
  <c r="Q299" i="55" s="1"/>
  <c r="R299" i="55" a="1"/>
  <c r="R299" i="55" s="1"/>
  <c r="R300" i="55" a="1"/>
  <c r="R300" i="55" s="1"/>
  <c r="Q300" i="55" a="1"/>
  <c r="Q300" i="55" s="1"/>
  <c r="Q304" i="55" a="1"/>
  <c r="Q304" i="55" s="1"/>
  <c r="R304" i="55" a="1"/>
  <c r="R304" i="55" s="1"/>
  <c r="R307" i="55" a="1"/>
  <c r="R307" i="55" s="1"/>
  <c r="Q307" i="55" a="1"/>
  <c r="Q307" i="55" s="1"/>
  <c r="R308" i="55" a="1"/>
  <c r="R308" i="55" s="1"/>
  <c r="Q308" i="55" a="1"/>
  <c r="Q308" i="55" s="1"/>
  <c r="Q309" i="55" a="1"/>
  <c r="Q309" i="55" s="1"/>
  <c r="R309" i="55" a="1"/>
  <c r="R309" i="55" s="1"/>
  <c r="Q313" i="55" a="1"/>
  <c r="Q313" i="55" s="1"/>
  <c r="R313" i="55" a="1"/>
  <c r="R313" i="55" s="1"/>
  <c r="R314" i="55" a="1"/>
  <c r="R314" i="55" s="1"/>
  <c r="Q314" i="55" a="1"/>
  <c r="Q314" i="55" s="1"/>
  <c r="Q315" i="55" a="1"/>
  <c r="Q315" i="55" s="1"/>
  <c r="R315" i="55" a="1"/>
  <c r="R315" i="55" s="1"/>
  <c r="Q316" i="55" a="1"/>
  <c r="Q316" i="55" s="1"/>
  <c r="R316" i="55" a="1"/>
  <c r="R316" i="55" s="1"/>
  <c r="Q317" i="55" a="1"/>
  <c r="Q317" i="55" s="1"/>
  <c r="R317" i="55" a="1"/>
  <c r="R317" i="55" s="1"/>
  <c r="R328" i="55" a="1"/>
  <c r="R328" i="55" s="1"/>
  <c r="Q328" i="55" a="1"/>
  <c r="Q328" i="55" s="1"/>
  <c r="Q329" i="55" a="1"/>
  <c r="Q329" i="55" s="1"/>
  <c r="R329" i="55" a="1"/>
  <c r="R329" i="55" s="1"/>
  <c r="Q330" i="55" a="1"/>
  <c r="Q330" i="55" s="1"/>
  <c r="R330" i="55" a="1"/>
  <c r="R330" i="55" s="1"/>
  <c r="R331" i="55" a="1"/>
  <c r="R331" i="55" s="1"/>
  <c r="Q331" i="55" a="1"/>
  <c r="Q331" i="55" s="1"/>
  <c r="R332" i="55" a="1"/>
  <c r="R332" i="55" s="1"/>
  <c r="Q332" i="55" a="1"/>
  <c r="Q332" i="55" s="1"/>
  <c r="Q333" i="55" a="1"/>
  <c r="Q333" i="55" s="1"/>
  <c r="R333" i="55" a="1"/>
  <c r="R333" i="55" s="1"/>
  <c r="Q334" i="55" a="1"/>
  <c r="Q334" i="55" s="1"/>
  <c r="R334" i="55" a="1"/>
  <c r="R334" i="55" s="1"/>
  <c r="R335" i="55" a="1"/>
  <c r="R335" i="55" s="1"/>
  <c r="Q335" i="55" a="1"/>
  <c r="Q335" i="55" s="1"/>
  <c r="R336" i="55" a="1"/>
  <c r="R336" i="55" s="1"/>
  <c r="Q336" i="55" a="1"/>
  <c r="Q336" i="55" s="1"/>
  <c r="R337" i="55" a="1"/>
  <c r="R337" i="55" s="1"/>
  <c r="Q337" i="55" a="1"/>
  <c r="Q337" i="55" s="1"/>
  <c r="R338" i="55" a="1"/>
  <c r="R338" i="55" s="1"/>
  <c r="Q338" i="55" a="1"/>
  <c r="Q338" i="55" s="1"/>
  <c r="Q339" i="55" a="1"/>
  <c r="Q339" i="55" s="1"/>
  <c r="R339" i="55" a="1"/>
  <c r="R339" i="55" s="1"/>
  <c r="Q340" i="55" a="1"/>
  <c r="Q340" i="55" s="1"/>
  <c r="R340" i="55" a="1"/>
  <c r="R340" i="55" s="1"/>
  <c r="R344" i="55" a="1"/>
  <c r="R344" i="55" s="1"/>
  <c r="Q344" i="55" a="1"/>
  <c r="Q344" i="55" s="1"/>
  <c r="Q345" i="55" a="1"/>
  <c r="Q345" i="55" s="1"/>
  <c r="R345" i="55" a="1"/>
  <c r="R345" i="55" s="1"/>
  <c r="R346" i="55" a="1"/>
  <c r="R346" i="55" s="1"/>
  <c r="Q346" i="55" a="1"/>
  <c r="Q346" i="55" s="1"/>
  <c r="R349" i="55" a="1"/>
  <c r="R349" i="55" s="1"/>
  <c r="Q349" i="55" a="1"/>
  <c r="Q349" i="55" s="1"/>
  <c r="Q350" i="55" a="1"/>
  <c r="Q350" i="55" s="1"/>
  <c r="R350" i="55" a="1"/>
  <c r="R350" i="55" s="1"/>
  <c r="R351" i="55" a="1"/>
  <c r="R351" i="55" s="1"/>
  <c r="Q351" i="55" a="1"/>
  <c r="Q351" i="55" s="1"/>
  <c r="R352" i="55" a="1"/>
  <c r="R352" i="55" s="1"/>
  <c r="Q352" i="55" a="1"/>
  <c r="Q352" i="55" s="1"/>
  <c r="Q365" i="55" a="1"/>
  <c r="Q365" i="55" s="1"/>
  <c r="R365" i="55" a="1"/>
  <c r="R365" i="55" s="1"/>
  <c r="Q366" i="55" a="1"/>
  <c r="Q366" i="55" s="1"/>
  <c r="R366" i="55" a="1"/>
  <c r="R366" i="55" s="1"/>
  <c r="Q370" i="55" a="1"/>
  <c r="Q370" i="55" s="1"/>
  <c r="R370" i="55" a="1"/>
  <c r="R370" i="55" s="1"/>
  <c r="R373" i="55" a="1"/>
  <c r="R373" i="55" s="1"/>
  <c r="Q373" i="55" a="1"/>
  <c r="Q373" i="55" s="1"/>
  <c r="Q374" i="55" a="1"/>
  <c r="Q374" i="55" s="1"/>
  <c r="R374" i="55" a="1"/>
  <c r="R374" i="55" s="1"/>
  <c r="R375" i="55" a="1"/>
  <c r="R375" i="55" s="1"/>
  <c r="Q375" i="55" a="1"/>
  <c r="Q375" i="55" s="1"/>
  <c r="Q378" i="55" a="1"/>
  <c r="Q378" i="55" s="1"/>
  <c r="R378" i="55" a="1"/>
  <c r="R378" i="55" s="1"/>
  <c r="R379" i="55" a="1"/>
  <c r="R379" i="55" s="1"/>
  <c r="Q379" i="55" a="1"/>
  <c r="Q379" i="55" s="1"/>
  <c r="R385" i="55" a="1"/>
  <c r="R385" i="55" s="1"/>
  <c r="Q385" i="55" a="1"/>
  <c r="Q385" i="55" s="1"/>
  <c r="R386" i="55" a="1"/>
  <c r="R386" i="55" s="1"/>
  <c r="Q386" i="55" a="1"/>
  <c r="Q386" i="55" s="1"/>
  <c r="Q389" i="55" a="1"/>
  <c r="Q389" i="55" s="1"/>
  <c r="R389" i="55" a="1"/>
  <c r="R389" i="55" s="1"/>
  <c r="R390" i="55" a="1"/>
  <c r="R390" i="55" s="1"/>
  <c r="Q390" i="55" a="1"/>
  <c r="Q390" i="55" s="1"/>
  <c r="Q392" i="55" a="1"/>
  <c r="Q392" i="55" s="1"/>
  <c r="R392" i="55" a="1"/>
  <c r="R392" i="55" s="1"/>
  <c r="R422" i="55" a="1"/>
  <c r="R422" i="55" s="1"/>
  <c r="Q422" i="55" a="1"/>
  <c r="Q422" i="55" s="1"/>
  <c r="Q492" i="55" a="1"/>
  <c r="Q492" i="55" s="1"/>
  <c r="R492" i="55" a="1"/>
  <c r="R492" i="55" s="1"/>
  <c r="Q493" i="55" a="1"/>
  <c r="Q493" i="55" s="1"/>
  <c r="R493" i="55" a="1"/>
  <c r="R493" i="55" s="1"/>
  <c r="Q494" i="55" a="1"/>
  <c r="Q494" i="55" s="1"/>
  <c r="R494" i="55" a="1"/>
  <c r="R494" i="55" s="1"/>
  <c r="R495" i="55" a="1"/>
  <c r="R495" i="55" s="1"/>
  <c r="Q495" i="55" a="1"/>
  <c r="Q495" i="55" s="1"/>
  <c r="R496" i="55" a="1"/>
  <c r="R496" i="55" s="1"/>
  <c r="Q496" i="55" a="1"/>
  <c r="Q496" i="55" s="1"/>
  <c r="Q497" i="55" a="1"/>
  <c r="Q497" i="55" s="1"/>
  <c r="R497" i="55" a="1"/>
  <c r="R497" i="55" s="1"/>
  <c r="Q498" i="55" a="1"/>
  <c r="Q498" i="55" s="1"/>
  <c r="R498" i="55" a="1"/>
  <c r="R498" i="55" s="1"/>
  <c r="Q499" i="55" a="1"/>
  <c r="Q499" i="55" s="1"/>
  <c r="R499" i="55" a="1"/>
  <c r="R499" i="55" s="1"/>
  <c r="R500" i="55" a="1"/>
  <c r="R500" i="55" s="1"/>
  <c r="Q500" i="55" a="1"/>
  <c r="Q500" i="55" s="1"/>
  <c r="Q501" i="55" a="1"/>
  <c r="Q501" i="55" s="1"/>
  <c r="R501" i="55" a="1"/>
  <c r="R501" i="55" s="1"/>
  <c r="Q502" i="55" a="1"/>
  <c r="Q502" i="55" s="1"/>
  <c r="R502" i="55" a="1"/>
  <c r="R502" i="55" s="1"/>
  <c r="Q503" i="55" a="1"/>
  <c r="Q503" i="55" s="1"/>
  <c r="R503" i="55" a="1"/>
  <c r="R503" i="55" s="1"/>
  <c r="R504" i="55" a="1"/>
  <c r="R504" i="55" s="1"/>
  <c r="Q504" i="55" a="1"/>
  <c r="Q504" i="55" s="1"/>
  <c r="R505" i="55" a="1"/>
  <c r="R505" i="55" s="1"/>
  <c r="Q505" i="55" a="1"/>
  <c r="Q505" i="55" s="1"/>
  <c r="R506" i="55" a="1"/>
  <c r="R506" i="55" s="1"/>
  <c r="Q506" i="55" a="1"/>
  <c r="Q506" i="55" s="1"/>
  <c r="R507" i="55" a="1"/>
  <c r="R507" i="55" s="1"/>
  <c r="Q507" i="55" a="1"/>
  <c r="Q507" i="55" s="1"/>
  <c r="Q508" i="55" a="1"/>
  <c r="Q508" i="55" s="1"/>
  <c r="R508" i="55" a="1"/>
  <c r="R508" i="55" s="1"/>
  <c r="R509" i="55" a="1"/>
  <c r="R509" i="55" s="1"/>
  <c r="Q509" i="55" a="1"/>
  <c r="Q509" i="55" s="1"/>
  <c r="R510" i="55" a="1"/>
  <c r="R510" i="55" s="1"/>
  <c r="Q510" i="55" a="1"/>
  <c r="Q510" i="55" s="1"/>
  <c r="Q511" i="55" a="1"/>
  <c r="Q511" i="55" s="1"/>
  <c r="R511" i="55" a="1"/>
  <c r="R511" i="55" s="1"/>
  <c r="Q512" i="55" a="1"/>
  <c r="Q512" i="55" s="1"/>
  <c r="R512" i="55" a="1"/>
  <c r="R512" i="55" s="1"/>
  <c r="R513" i="55" a="1"/>
  <c r="R513" i="55" s="1"/>
  <c r="Q513" i="55" a="1"/>
  <c r="Q513" i="55" s="1"/>
  <c r="Q514" i="55" a="1"/>
  <c r="Q514" i="55" s="1"/>
  <c r="R514" i="55" a="1"/>
  <c r="R514" i="55" s="1"/>
  <c r="R515" i="55" a="1"/>
  <c r="R515" i="55" s="1"/>
  <c r="Q515" i="55" a="1"/>
  <c r="Q515" i="55" s="1"/>
  <c r="R516" i="55" a="1"/>
  <c r="R516" i="55" s="1"/>
  <c r="Q516" i="55" a="1"/>
  <c r="Q516" i="55" s="1"/>
  <c r="Q517" i="55" a="1"/>
  <c r="Q517" i="55" s="1"/>
  <c r="R517" i="55" a="1"/>
  <c r="R517" i="55" s="1"/>
  <c r="R518" i="55" a="1"/>
  <c r="R518" i="55" s="1"/>
  <c r="Q518" i="55" a="1"/>
  <c r="Q518" i="55" s="1"/>
  <c r="R519" i="55" a="1"/>
  <c r="R519" i="55" s="1"/>
  <c r="Q519" i="55" a="1"/>
  <c r="Q519" i="55" s="1"/>
  <c r="Q520" i="55" a="1"/>
  <c r="Q520" i="55" s="1"/>
  <c r="R520" i="55" a="1"/>
  <c r="R520" i="55" s="1"/>
  <c r="R521" i="55" a="1"/>
  <c r="R521" i="55" s="1"/>
  <c r="Q521" i="55" a="1"/>
  <c r="Q521" i="55" s="1"/>
  <c r="R522" i="55" a="1"/>
  <c r="R522" i="55" s="1"/>
  <c r="Q522" i="55" a="1"/>
  <c r="Q522" i="55" s="1"/>
  <c r="R523" i="55" a="1"/>
  <c r="R523" i="55" s="1"/>
  <c r="Q523" i="55" a="1"/>
  <c r="Q523" i="55" s="1"/>
  <c r="R524" i="55" a="1"/>
  <c r="R524" i="55" s="1"/>
  <c r="Q524" i="55" a="1"/>
  <c r="Q524" i="55" s="1"/>
  <c r="R525" i="55" a="1"/>
  <c r="R525" i="55" s="1"/>
  <c r="Q525" i="55" a="1"/>
  <c r="Q525" i="55" s="1"/>
  <c r="R526" i="55" a="1"/>
  <c r="R526" i="55" s="1"/>
  <c r="Q526" i="55" a="1"/>
  <c r="Q526" i="55" s="1"/>
  <c r="Q527" i="55" a="1"/>
  <c r="Q527" i="55" s="1"/>
  <c r="R527" i="55" a="1"/>
  <c r="R527" i="55" s="1"/>
  <c r="R528" i="55" a="1"/>
  <c r="R528" i="55" s="1"/>
  <c r="Q528" i="55" a="1"/>
  <c r="Q528" i="55" s="1"/>
  <c r="R529" i="55" a="1"/>
  <c r="R529" i="55" s="1"/>
  <c r="Q529" i="55" a="1"/>
  <c r="Q529" i="55" s="1"/>
  <c r="Q530" i="55" a="1"/>
  <c r="Q530" i="55" s="1"/>
  <c r="R530" i="55" a="1"/>
  <c r="R530" i="55" s="1"/>
  <c r="R531" i="55" a="1"/>
  <c r="R531" i="55" s="1"/>
  <c r="Q531" i="55" a="1"/>
  <c r="Q531" i="55" s="1"/>
  <c r="R532" i="55" a="1"/>
  <c r="R532" i="55" s="1"/>
  <c r="Q532" i="55" a="1"/>
  <c r="Q532" i="55" s="1"/>
  <c r="Q533" i="55" a="1"/>
  <c r="Q533" i="55" s="1"/>
  <c r="R533" i="55" a="1"/>
  <c r="R533" i="55" s="1"/>
  <c r="R534" i="55" a="1"/>
  <c r="R534" i="55" s="1"/>
  <c r="Q534" i="55" a="1"/>
  <c r="Q534" i="55" s="1"/>
  <c r="R535" i="55" a="1"/>
  <c r="R535" i="55" s="1"/>
  <c r="Q535" i="55" a="1"/>
  <c r="Q535" i="55" s="1"/>
  <c r="Q536" i="55" a="1"/>
  <c r="Q536" i="55" s="1"/>
  <c r="R536" i="55" a="1"/>
  <c r="R536" i="55" s="1"/>
  <c r="R537" i="55" a="1"/>
  <c r="R537" i="55" s="1"/>
  <c r="Q537" i="55" a="1"/>
  <c r="Q537" i="55" s="1"/>
  <c r="R538" i="55" a="1"/>
  <c r="R538" i="55" s="1"/>
  <c r="Q538" i="55" a="1"/>
  <c r="Q538" i="55" s="1"/>
  <c r="R539" i="55" a="1"/>
  <c r="R539" i="55" s="1"/>
  <c r="Q539" i="55" a="1"/>
  <c r="Q539" i="55" s="1"/>
  <c r="R540" i="55" a="1"/>
  <c r="R540" i="55" s="1"/>
  <c r="Q540" i="55" a="1"/>
  <c r="Q540" i="55" s="1"/>
  <c r="R541" i="55" a="1"/>
  <c r="R541" i="55" s="1"/>
  <c r="Q541" i="55" a="1"/>
  <c r="Q541" i="55" s="1"/>
  <c r="R542" i="55" a="1"/>
  <c r="R542" i="55" s="1"/>
  <c r="Q542" i="55" a="1"/>
  <c r="Q542" i="55" s="1"/>
  <c r="Q543" i="55" a="1"/>
  <c r="Q543" i="55" s="1"/>
  <c r="R543" i="55" a="1"/>
  <c r="R543" i="55" s="1"/>
  <c r="Q544" i="55" a="1"/>
  <c r="Q544" i="55" s="1"/>
  <c r="R544" i="55" a="1"/>
  <c r="R544" i="55" s="1"/>
  <c r="R545" i="55" a="1"/>
  <c r="R545" i="55" s="1"/>
  <c r="Q545" i="55" a="1"/>
  <c r="Q545" i="55" s="1"/>
  <c r="Q546" i="55" a="1"/>
  <c r="Q546" i="55" s="1"/>
  <c r="R546" i="55" a="1"/>
  <c r="R546" i="55" s="1"/>
  <c r="R547" i="55" a="1"/>
  <c r="R547" i="55" s="1"/>
  <c r="Q547" i="55" a="1"/>
  <c r="Q547" i="55" s="1"/>
  <c r="R548" i="55" a="1"/>
  <c r="R548" i="55" s="1"/>
  <c r="Q548" i="55" a="1"/>
  <c r="Q548" i="55" s="1"/>
  <c r="Q549" i="55" a="1"/>
  <c r="Q549" i="55" s="1"/>
  <c r="R549" i="55" a="1"/>
  <c r="R549" i="55" s="1"/>
  <c r="R550" i="55" a="1"/>
  <c r="R550" i="55" s="1"/>
  <c r="Q550" i="55" a="1"/>
  <c r="Q550" i="55" s="1"/>
  <c r="R551" i="55" a="1"/>
  <c r="R551" i="55" s="1"/>
  <c r="Q551" i="55" a="1"/>
  <c r="Q551" i="55" s="1"/>
  <c r="R552" i="55" a="1"/>
  <c r="R552" i="55" s="1"/>
  <c r="Q552" i="55" a="1"/>
  <c r="Q552" i="55" s="1"/>
  <c r="R553" i="55" a="1"/>
  <c r="R553" i="55" s="1"/>
  <c r="Q553" i="55" a="1"/>
  <c r="Q553" i="55" s="1"/>
  <c r="R554" i="55" a="1"/>
  <c r="R554" i="55" s="1"/>
  <c r="Q554" i="55" a="1"/>
  <c r="Q554" i="55" s="1"/>
  <c r="Q555" i="55" a="1"/>
  <c r="Q555" i="55" s="1"/>
  <c r="R555" i="55" a="1"/>
  <c r="R555" i="55" s="1"/>
  <c r="R556" i="55" a="1"/>
  <c r="R556" i="55" s="1"/>
  <c r="Q556" i="55" a="1"/>
  <c r="Q556" i="55" s="1"/>
  <c r="R557" i="55" a="1"/>
  <c r="R557" i="55" s="1"/>
  <c r="Q557" i="55" a="1"/>
  <c r="Q557" i="55" s="1"/>
  <c r="R558" i="55" a="1"/>
  <c r="R558" i="55" s="1"/>
  <c r="Q558" i="55" a="1"/>
  <c r="Q558" i="55" s="1"/>
  <c r="R559" i="55" a="1"/>
  <c r="R559" i="55" s="1"/>
  <c r="Q559" i="55" a="1"/>
  <c r="Q559" i="55" s="1"/>
  <c r="R560" i="55" a="1"/>
  <c r="R560" i="55" s="1"/>
  <c r="Q560" i="55" a="1"/>
  <c r="Q560" i="55" s="1"/>
  <c r="R561" i="55" a="1"/>
  <c r="R561" i="55" s="1"/>
  <c r="Q561" i="55" a="1"/>
  <c r="Q561" i="55" s="1"/>
  <c r="Q562" i="55" a="1"/>
  <c r="Q562" i="55" s="1"/>
  <c r="R562" i="55" a="1"/>
  <c r="R562" i="55" s="1"/>
  <c r="R563" i="55" a="1"/>
  <c r="R563" i="55" s="1"/>
  <c r="Q563" i="55" a="1"/>
  <c r="Q563" i="55" s="1"/>
  <c r="R564" i="55" a="1"/>
  <c r="R564" i="55" s="1"/>
  <c r="Q564" i="55" a="1"/>
  <c r="Q564" i="55" s="1"/>
  <c r="Q565" i="55" a="1"/>
  <c r="Q565" i="55" s="1"/>
  <c r="R565" i="55" a="1"/>
  <c r="R565" i="55" s="1"/>
  <c r="R566" i="55" a="1"/>
  <c r="R566" i="55" s="1"/>
  <c r="Q566" i="55" a="1"/>
  <c r="Q566" i="55" s="1"/>
  <c r="R567" i="55" a="1"/>
  <c r="R567" i="55" s="1"/>
  <c r="Q567" i="55" a="1"/>
  <c r="Q567" i="55" s="1"/>
  <c r="Q568" i="55" a="1"/>
  <c r="Q568" i="55" s="1"/>
  <c r="R568" i="55" a="1"/>
  <c r="R568" i="55" s="1"/>
  <c r="R569" i="55" a="1"/>
  <c r="R569" i="55" s="1"/>
  <c r="Q569" i="55" a="1"/>
  <c r="Q569" i="55" s="1"/>
  <c r="R570" i="55" a="1"/>
  <c r="R570" i="55" s="1"/>
  <c r="Q570" i="55" a="1"/>
  <c r="Q570" i="55" s="1"/>
  <c r="Q571" i="55" a="1"/>
  <c r="Q571" i="55" s="1"/>
  <c r="R571" i="55" a="1"/>
  <c r="R571" i="55" s="1"/>
  <c r="R572" i="55" a="1"/>
  <c r="R572" i="55" s="1"/>
  <c r="Q572" i="55" a="1"/>
  <c r="Q572" i="55" s="1"/>
  <c r="R573" i="55" a="1"/>
  <c r="R573" i="55" s="1"/>
  <c r="Q573" i="55" a="1"/>
  <c r="Q573" i="55" s="1"/>
  <c r="R574" i="55" a="1"/>
  <c r="R574" i="55" s="1"/>
  <c r="Q574" i="55" a="1"/>
  <c r="Q574" i="55" s="1"/>
  <c r="R575" i="55" a="1"/>
  <c r="R575" i="55" s="1"/>
  <c r="Q575" i="55" a="1"/>
  <c r="Q575" i="55" s="1"/>
  <c r="R576" i="55" a="1"/>
  <c r="R576" i="55" s="1"/>
  <c r="Q576" i="55" a="1"/>
  <c r="Q576" i="55" s="1"/>
  <c r="R577" i="55" a="1"/>
  <c r="R577" i="55" s="1"/>
  <c r="Q577" i="55" a="1"/>
  <c r="Q577" i="55" s="1"/>
  <c r="Q578" i="55" a="1"/>
  <c r="Q578" i="55" s="1"/>
  <c r="R578" i="55" a="1"/>
  <c r="R578" i="55" s="1"/>
  <c r="R579" i="55" a="1"/>
  <c r="R579" i="55" s="1"/>
  <c r="Q579" i="55" a="1"/>
  <c r="Q579" i="55" s="1"/>
  <c r="Q580" i="55" a="1"/>
  <c r="Q580" i="55" s="1"/>
  <c r="R580" i="55" a="1"/>
  <c r="R580" i="55" s="1"/>
  <c r="Q581" i="55" a="1"/>
  <c r="Q581" i="55" s="1"/>
  <c r="R581" i="55" a="1"/>
  <c r="R581" i="55" s="1"/>
  <c r="R582" i="55" a="1"/>
  <c r="R582" i="55" s="1"/>
  <c r="Q582" i="55" a="1"/>
  <c r="Q582" i="55" s="1"/>
  <c r="R583" i="55" a="1"/>
  <c r="R583" i="55" s="1"/>
  <c r="Q583" i="55" a="1"/>
  <c r="Q583" i="55" s="1"/>
  <c r="R584" i="55" a="1"/>
  <c r="R584" i="55" s="1"/>
  <c r="Q584" i="55" a="1"/>
  <c r="Q584" i="55" s="1"/>
  <c r="R585" i="55" a="1"/>
  <c r="R585" i="55" s="1"/>
  <c r="Q585" i="55" a="1"/>
  <c r="Q585" i="55" s="1"/>
  <c r="R586" i="55" a="1"/>
  <c r="R586" i="55" s="1"/>
  <c r="Q586" i="55" a="1"/>
  <c r="Q586" i="55" s="1"/>
  <c r="R587" i="55" a="1"/>
  <c r="R587" i="55" s="1"/>
  <c r="Q587" i="55" a="1"/>
  <c r="Q587" i="55" s="1"/>
  <c r="R588" i="55" a="1"/>
  <c r="R588" i="55" s="1"/>
  <c r="Q588" i="55" a="1"/>
  <c r="Q588" i="55" s="1"/>
  <c r="R589" i="55" a="1"/>
  <c r="R589" i="55" s="1"/>
  <c r="Q589" i="55" a="1"/>
  <c r="Q589" i="55" s="1"/>
  <c r="R590" i="55" a="1"/>
  <c r="R590" i="55" s="1"/>
  <c r="Q590" i="55" a="1"/>
  <c r="Q590" i="55" s="1"/>
  <c r="Q591" i="55" a="1"/>
  <c r="Q591" i="55" s="1"/>
  <c r="R591" i="55" a="1"/>
  <c r="R591" i="55" s="1"/>
  <c r="R592" i="55" a="1"/>
  <c r="R592" i="55" s="1"/>
  <c r="Q592" i="55" a="1"/>
  <c r="Q592" i="55" s="1"/>
  <c r="R593" i="55" a="1"/>
  <c r="R593" i="55" s="1"/>
  <c r="Q593" i="55" a="1"/>
  <c r="Q593" i="55" s="1"/>
  <c r="Q594" i="55" a="1"/>
  <c r="Q594" i="55" s="1"/>
  <c r="R594" i="55" a="1"/>
  <c r="R594" i="55" s="1"/>
  <c r="R595" i="55" a="1"/>
  <c r="R595" i="55" s="1"/>
  <c r="Q595" i="55" a="1"/>
  <c r="Q595" i="55" s="1"/>
  <c r="Q596" i="55" a="1"/>
  <c r="Q596" i="55" s="1"/>
  <c r="R596" i="55" a="1"/>
  <c r="R596" i="55" s="1"/>
  <c r="Q597" i="55" a="1"/>
  <c r="Q597" i="55" s="1"/>
  <c r="R597" i="55" a="1"/>
  <c r="R597" i="55" s="1"/>
  <c r="R598" i="55" a="1"/>
  <c r="R598" i="55" s="1"/>
  <c r="Q598" i="55" a="1"/>
  <c r="Q598" i="55" s="1"/>
  <c r="R599" i="55" a="1"/>
  <c r="R599" i="55" s="1"/>
  <c r="Q599" i="55" a="1"/>
  <c r="Q599" i="55" s="1"/>
  <c r="R600" i="55" a="1"/>
  <c r="R600" i="55" s="1"/>
  <c r="Q600" i="55" a="1"/>
  <c r="Q600" i="55" s="1"/>
  <c r="R601" i="55" a="1"/>
  <c r="R601" i="55" s="1"/>
  <c r="Q601" i="55" a="1"/>
  <c r="Q601" i="55" s="1"/>
  <c r="R602" i="55" a="1"/>
  <c r="R602" i="55" s="1"/>
  <c r="Q602" i="55" a="1"/>
  <c r="Q602" i="55" s="1"/>
  <c r="R603" i="55" a="1"/>
  <c r="R603" i="55" s="1"/>
  <c r="Q603" i="55" a="1"/>
  <c r="Q603" i="55" s="1"/>
  <c r="R604" i="55" a="1"/>
  <c r="R604" i="55" s="1"/>
  <c r="Q604" i="55" a="1"/>
  <c r="Q604" i="55" s="1"/>
  <c r="R605" i="55" a="1"/>
  <c r="R605" i="55" s="1"/>
  <c r="Q605" i="55" a="1"/>
  <c r="Q605" i="55" s="1"/>
  <c r="R606" i="55" a="1"/>
  <c r="R606" i="55" s="1"/>
  <c r="Q606" i="55" a="1"/>
  <c r="Q606" i="55" s="1"/>
  <c r="Q607" i="55" a="1"/>
  <c r="Q607" i="55" s="1"/>
  <c r="R607" i="55" a="1"/>
  <c r="R607" i="55" s="1"/>
  <c r="R608" i="55" a="1"/>
  <c r="R608" i="55" s="1"/>
  <c r="Q608" i="55" a="1"/>
  <c r="Q608" i="55" s="1"/>
  <c r="R609" i="55" a="1"/>
  <c r="R609" i="55" s="1"/>
  <c r="Q609" i="55" a="1"/>
  <c r="Q609" i="55" s="1"/>
  <c r="Q610" i="55" a="1"/>
  <c r="Q610" i="55" s="1"/>
  <c r="R610" i="55" a="1"/>
  <c r="R610" i="55" s="1"/>
  <c r="R611" i="55" a="1"/>
  <c r="R611" i="55" s="1"/>
  <c r="Q611" i="55" a="1"/>
  <c r="Q611" i="55" s="1"/>
  <c r="R612" i="55" a="1"/>
  <c r="R612" i="55" s="1"/>
  <c r="Q612" i="55" a="1"/>
  <c r="Q612" i="55" s="1"/>
  <c r="Q613" i="55" a="1"/>
  <c r="Q613" i="55" s="1"/>
  <c r="R613" i="55" a="1"/>
  <c r="R613" i="55" s="1"/>
  <c r="R614" i="55" a="1"/>
  <c r="R614" i="55" s="1"/>
  <c r="Q614" i="55" a="1"/>
  <c r="Q614" i="55" s="1"/>
  <c r="R615" i="55" a="1"/>
  <c r="R615" i="55" s="1"/>
  <c r="Q615" i="55" a="1"/>
  <c r="Q615" i="55" s="1"/>
  <c r="R616" i="55" a="1"/>
  <c r="R616" i="55" s="1"/>
  <c r="Q616" i="55" a="1"/>
  <c r="Q616" i="55" s="1"/>
  <c r="R617" i="55" a="1"/>
  <c r="R617" i="55" s="1"/>
  <c r="Q617" i="55" a="1"/>
  <c r="Q617" i="55" s="1"/>
  <c r="R618" i="55" a="1"/>
  <c r="R618" i="55" s="1"/>
  <c r="Q618" i="55" a="1"/>
  <c r="Q618" i="55" s="1"/>
  <c r="R619" i="55" a="1"/>
  <c r="R619" i="55" s="1"/>
  <c r="Q619" i="55" a="1"/>
  <c r="Q619" i="55" s="1"/>
  <c r="Q620" i="55" a="1"/>
  <c r="Q620" i="55" s="1"/>
  <c r="R620" i="55" a="1"/>
  <c r="R620" i="55" s="1"/>
  <c r="R621" i="55" a="1"/>
  <c r="R621" i="55" s="1"/>
  <c r="Q621" i="55" a="1"/>
  <c r="Q621" i="55" s="1"/>
  <c r="R622" i="55" a="1"/>
  <c r="R622" i="55" s="1"/>
  <c r="Q622" i="55" a="1"/>
  <c r="Q622" i="55" s="1"/>
  <c r="R623" i="55" a="1"/>
  <c r="R623" i="55" s="1"/>
  <c r="Q623" i="55" a="1"/>
  <c r="Q623" i="55" s="1"/>
  <c r="Q624" i="55" a="1"/>
  <c r="Q624" i="55" s="1"/>
  <c r="R624" i="55" a="1"/>
  <c r="R624" i="55" s="1"/>
  <c r="R625" i="55" a="1"/>
  <c r="R625" i="55" s="1"/>
  <c r="Q625" i="55" a="1"/>
  <c r="Q625" i="55" s="1"/>
  <c r="Q626" i="55" a="1"/>
  <c r="Q626" i="55" s="1"/>
  <c r="R626" i="55" a="1"/>
  <c r="R626" i="55" s="1"/>
  <c r="Q627" i="55" a="1"/>
  <c r="Q627" i="55" s="1"/>
  <c r="R627" i="55" a="1"/>
  <c r="R627" i="55" s="1"/>
  <c r="R628" i="55" a="1"/>
  <c r="R628" i="55" s="1"/>
  <c r="Q628" i="55" a="1"/>
  <c r="Q628" i="55" s="1"/>
  <c r="Q629" i="55" a="1"/>
  <c r="Q629" i="55" s="1"/>
  <c r="R629" i="55" a="1"/>
  <c r="R629" i="55" s="1"/>
  <c r="R630" i="55" a="1"/>
  <c r="R630" i="55" s="1"/>
  <c r="Q630" i="55" a="1"/>
  <c r="Q630" i="55" s="1"/>
  <c r="Q631" i="55" a="1"/>
  <c r="Q631" i="55" s="1"/>
  <c r="R631" i="55" a="1"/>
  <c r="R631" i="55" s="1"/>
  <c r="R632" i="55" a="1"/>
  <c r="R632" i="55" s="1"/>
  <c r="Q632" i="55" a="1"/>
  <c r="Q632" i="55" s="1"/>
  <c r="R633" i="55" a="1"/>
  <c r="R633" i="55" s="1"/>
  <c r="Q633" i="55" a="1"/>
  <c r="Q633" i="55" s="1"/>
  <c r="R634" i="55" a="1"/>
  <c r="R634" i="55" s="1"/>
  <c r="Q634" i="55" a="1"/>
  <c r="Q634" i="55" s="1"/>
  <c r="R635" i="55" a="1"/>
  <c r="R635" i="55" s="1"/>
  <c r="Q635" i="55" a="1"/>
  <c r="Q635" i="55" s="1"/>
  <c r="R636" i="55" a="1"/>
  <c r="R636" i="55" s="1"/>
  <c r="Q636" i="55" a="1"/>
  <c r="Q636" i="55" s="1"/>
  <c r="R637" i="55" a="1"/>
  <c r="R637" i="55" s="1"/>
  <c r="Q637" i="55" a="1"/>
  <c r="Q637" i="55" s="1"/>
  <c r="R638" i="55" a="1"/>
  <c r="R638" i="55" s="1"/>
  <c r="Q638" i="55" a="1"/>
  <c r="Q638" i="55" s="1"/>
  <c r="R639" i="55" a="1"/>
  <c r="R639" i="55" s="1"/>
  <c r="Q639" i="55" a="1"/>
  <c r="Q639" i="55" s="1"/>
  <c r="Q640" i="55" a="1"/>
  <c r="Q640" i="55" s="1"/>
  <c r="R640" i="55" a="1"/>
  <c r="R640" i="55" s="1"/>
  <c r="R641" i="55" a="1"/>
  <c r="R641" i="55" s="1"/>
  <c r="Q641" i="55" a="1"/>
  <c r="Q641" i="55" s="1"/>
  <c r="Q642" i="55" a="1"/>
  <c r="Q642" i="55" s="1"/>
  <c r="R642" i="55" a="1"/>
  <c r="R642" i="55" s="1"/>
  <c r="R643" i="55" a="1"/>
  <c r="R643" i="55" s="1"/>
  <c r="Q643" i="55" a="1"/>
  <c r="Q643" i="55" s="1"/>
  <c r="R644" i="55" a="1"/>
  <c r="R644" i="55" s="1"/>
  <c r="Q644" i="55" a="1"/>
  <c r="Q644" i="55" s="1"/>
  <c r="Q645" i="55" a="1"/>
  <c r="Q645" i="55" s="1"/>
  <c r="R645" i="55" a="1"/>
  <c r="R645" i="55" s="1"/>
  <c r="R646" i="55" a="1"/>
  <c r="R646" i="55" s="1"/>
  <c r="Q646" i="55" a="1"/>
  <c r="Q646" i="55" s="1"/>
  <c r="R647" i="55" a="1"/>
  <c r="R647" i="55" s="1"/>
  <c r="Q647" i="55" a="1"/>
  <c r="Q647" i="55" s="1"/>
  <c r="R648" i="55" a="1"/>
  <c r="R648" i="55" s="1"/>
  <c r="Q648" i="55" a="1"/>
  <c r="Q648" i="55" s="1"/>
  <c r="R649" i="55" a="1"/>
  <c r="R649" i="55" s="1"/>
  <c r="Q649" i="55" a="1"/>
  <c r="Q649" i="55" s="1"/>
  <c r="R650" i="55" a="1"/>
  <c r="R650" i="55" s="1"/>
  <c r="Q650" i="55" a="1"/>
  <c r="Q650" i="55" s="1"/>
  <c r="Q651" i="55" a="1"/>
  <c r="Q651" i="55" s="1"/>
  <c r="R651" i="55" a="1"/>
  <c r="R651" i="55" s="1"/>
  <c r="R652" i="55" a="1"/>
  <c r="R652" i="55" s="1"/>
  <c r="Q652" i="55" a="1"/>
  <c r="Q652" i="55" s="1"/>
  <c r="R653" i="55" a="1"/>
  <c r="R653" i="55" s="1"/>
  <c r="Q653" i="55" a="1"/>
  <c r="Q653" i="55" s="1"/>
  <c r="R654" i="55" a="1"/>
  <c r="R654" i="55" s="1"/>
  <c r="Q654" i="55" a="1"/>
  <c r="Q654" i="55" s="1"/>
  <c r="R655" i="55" a="1"/>
  <c r="R655" i="55" s="1"/>
  <c r="Q655" i="55" a="1"/>
  <c r="Q655" i="55" s="1"/>
  <c r="R656" i="55" a="1"/>
  <c r="R656" i="55" s="1"/>
  <c r="Q656" i="55" a="1"/>
  <c r="Q656" i="55" s="1"/>
  <c r="R657" i="55" a="1"/>
  <c r="R657" i="55" s="1"/>
  <c r="Q657" i="55" a="1"/>
  <c r="Q657" i="55" s="1"/>
  <c r="Q658" i="55" a="1"/>
  <c r="Q658" i="55" s="1"/>
  <c r="R658" i="55" a="1"/>
  <c r="R658" i="55" s="1"/>
  <c r="R659" i="55" a="1"/>
  <c r="R659" i="55" s="1"/>
  <c r="Q659" i="55" a="1"/>
  <c r="Q659" i="55" s="1"/>
  <c r="Q660" i="55" a="1"/>
  <c r="Q660" i="55" s="1"/>
  <c r="R660" i="55" a="1"/>
  <c r="R660" i="55" s="1"/>
  <c r="Q661" i="55" a="1"/>
  <c r="Q661" i="55" s="1"/>
  <c r="R661" i="55" a="1"/>
  <c r="R661" i="55" s="1"/>
  <c r="R662" i="55" a="1"/>
  <c r="R662" i="55" s="1"/>
  <c r="Q662" i="55" a="1"/>
  <c r="Q662" i="55" s="1"/>
  <c r="R663" i="55" a="1"/>
  <c r="R663" i="55" s="1"/>
  <c r="Q663" i="55" a="1"/>
  <c r="Q663" i="55" s="1"/>
  <c r="R664" i="55" a="1"/>
  <c r="R664" i="55" s="1"/>
  <c r="Q664" i="55" a="1"/>
  <c r="Q664" i="55" s="1"/>
  <c r="R665" i="55" a="1"/>
  <c r="R665" i="55" s="1"/>
  <c r="Q665" i="55" a="1"/>
  <c r="Q665" i="55" s="1"/>
  <c r="R666" i="55" a="1"/>
  <c r="R666" i="55" s="1"/>
  <c r="Q666" i="55" a="1"/>
  <c r="Q666" i="55" s="1"/>
  <c r="R667" i="55" a="1"/>
  <c r="R667" i="55" s="1"/>
  <c r="Q667" i="55" a="1"/>
  <c r="Q667" i="55" s="1"/>
  <c r="R668" i="55" a="1"/>
  <c r="R668" i="55" s="1"/>
  <c r="Q668" i="55" a="1"/>
  <c r="Q668" i="55" s="1"/>
  <c r="R669" i="55" a="1"/>
  <c r="R669" i="55" s="1"/>
  <c r="Q669" i="55" a="1"/>
  <c r="Q669" i="55" s="1"/>
  <c r="R670" i="55" a="1"/>
  <c r="R670" i="55" s="1"/>
  <c r="Q670" i="55" a="1"/>
  <c r="Q670" i="55" s="1"/>
  <c r="R671" i="55" a="1"/>
  <c r="R671" i="55" s="1"/>
  <c r="Q671" i="55" a="1"/>
  <c r="Q671" i="55" s="1"/>
  <c r="R672" i="55" a="1"/>
  <c r="R672" i="55" s="1"/>
  <c r="Q672" i="55" a="1"/>
  <c r="Q672" i="55" s="1"/>
  <c r="R673" i="55" a="1"/>
  <c r="R673" i="55" s="1"/>
  <c r="Q673" i="55" a="1"/>
  <c r="Q673" i="55" s="1"/>
  <c r="Q674" i="55" a="1"/>
  <c r="Q674" i="55" s="1"/>
  <c r="R674" i="55" a="1"/>
  <c r="R674" i="55" s="1"/>
  <c r="Q675" i="55" a="1"/>
  <c r="Q675" i="55" s="1"/>
  <c r="R675" i="55" a="1"/>
  <c r="R675" i="55" s="1"/>
  <c r="R676" i="55" a="1"/>
  <c r="R676" i="55" s="1"/>
  <c r="Q676" i="55" a="1"/>
  <c r="Q676" i="55" s="1"/>
  <c r="Q677" i="55" a="1"/>
  <c r="Q677" i="55" s="1"/>
  <c r="R677" i="55" a="1"/>
  <c r="R677" i="55" s="1"/>
  <c r="R678" i="55" a="1"/>
  <c r="R678" i="55" s="1"/>
  <c r="Q678" i="55" a="1"/>
  <c r="Q678" i="55" s="1"/>
  <c r="Q679" i="55" a="1"/>
  <c r="Q679" i="55" s="1"/>
  <c r="R679" i="55" a="1"/>
  <c r="R679" i="55" s="1"/>
  <c r="Q680" i="55" a="1"/>
  <c r="Q680" i="55" s="1"/>
  <c r="R680" i="55" a="1"/>
  <c r="R680" i="55" s="1"/>
  <c r="Q681" i="55" a="1"/>
  <c r="Q681" i="55" s="1"/>
  <c r="R681" i="55" a="1"/>
  <c r="R681" i="55" s="1"/>
  <c r="R682" i="55" a="1"/>
  <c r="R682" i="55" s="1"/>
  <c r="Q682" i="55" a="1"/>
  <c r="Q682" i="55" s="1"/>
  <c r="R683" i="55" a="1"/>
  <c r="R683" i="55" s="1"/>
  <c r="Q683" i="55" a="1"/>
  <c r="Q683" i="55" s="1"/>
  <c r="R684" i="55" a="1"/>
  <c r="R684" i="55" s="1"/>
  <c r="Q684" i="55" a="1"/>
  <c r="Q684" i="55" s="1"/>
  <c r="R685" i="55" a="1"/>
  <c r="R685" i="55" s="1"/>
  <c r="Q685" i="55" a="1"/>
  <c r="Q685" i="55" s="1"/>
  <c r="R686" i="55" a="1"/>
  <c r="R686" i="55" s="1"/>
  <c r="Q686" i="55" a="1"/>
  <c r="Q686" i="55" s="1"/>
  <c r="R687" i="55" a="1"/>
  <c r="R687" i="55" s="1"/>
  <c r="Q687" i="55" a="1"/>
  <c r="Q687" i="55" s="1"/>
  <c r="Q688" i="55" a="1"/>
  <c r="Q688" i="55" s="1"/>
  <c r="R688" i="55" a="1"/>
  <c r="R688" i="55" s="1"/>
  <c r="R689" i="55" a="1"/>
  <c r="R689" i="55" s="1"/>
  <c r="Q689" i="55" a="1"/>
  <c r="Q689" i="55" s="1"/>
  <c r="Q690" i="55" a="1"/>
  <c r="Q690" i="55" s="1"/>
  <c r="R690" i="55" a="1"/>
  <c r="R690" i="55" s="1"/>
  <c r="R691" i="55" a="1"/>
  <c r="R691" i="55" s="1"/>
  <c r="Q691" i="55" a="1"/>
  <c r="Q691" i="55" s="1"/>
  <c r="R692" i="55" a="1"/>
  <c r="R692" i="55" s="1"/>
  <c r="Q692" i="55" a="1"/>
  <c r="Q692" i="55" s="1"/>
  <c r="R693" i="55" a="1"/>
  <c r="R693" i="55" s="1"/>
  <c r="Q693" i="55" a="1"/>
  <c r="Q693" i="55" s="1"/>
  <c r="R694" i="55" a="1"/>
  <c r="R694" i="55" s="1"/>
  <c r="Q694" i="55" a="1"/>
  <c r="Q694" i="55" s="1"/>
  <c r="R695" i="55" a="1"/>
  <c r="R695" i="55" s="1"/>
  <c r="Q695" i="55" a="1"/>
  <c r="Q695" i="55" s="1"/>
  <c r="R696" i="55" a="1"/>
  <c r="R696" i="55" s="1"/>
  <c r="Q696" i="55" a="1"/>
  <c r="Q696" i="55" s="1"/>
  <c r="Q697" i="55" a="1"/>
  <c r="Q697" i="55" s="1"/>
  <c r="R697" i="55" a="1"/>
  <c r="R697" i="55" s="1"/>
  <c r="R698" i="55" a="1"/>
  <c r="R698" i="55" s="1"/>
  <c r="Q698" i="55" a="1"/>
  <c r="Q698" i="55" s="1"/>
  <c r="Q699" i="55" a="1"/>
  <c r="Q699" i="55" s="1"/>
  <c r="R699" i="55" a="1"/>
  <c r="R699" i="55" s="1"/>
  <c r="R700" i="55" a="1"/>
  <c r="R700" i="55" s="1"/>
  <c r="Q700" i="55" a="1"/>
  <c r="Q700" i="55" s="1"/>
  <c r="R701" i="55" a="1"/>
  <c r="R701" i="55" s="1"/>
  <c r="Q701" i="55" a="1"/>
  <c r="Q701" i="55" s="1"/>
  <c r="R702" i="55" a="1"/>
  <c r="R702" i="55" s="1"/>
  <c r="Q702" i="55" a="1"/>
  <c r="Q702" i="55" s="1"/>
  <c r="R703" i="55" a="1"/>
  <c r="R703" i="55" s="1"/>
  <c r="Q703" i="55" a="1"/>
  <c r="Q703" i="55" s="1"/>
  <c r="R704" i="55" a="1"/>
  <c r="R704" i="55" s="1"/>
  <c r="Q704" i="55" a="1"/>
  <c r="Q704" i="55" s="1"/>
  <c r="Q705" i="55" a="1"/>
  <c r="Q705" i="55" s="1"/>
  <c r="R705" i="55" a="1"/>
  <c r="R705" i="55" s="1"/>
  <c r="Q706" i="55" a="1"/>
  <c r="Q706" i="55" s="1"/>
  <c r="R706" i="55" a="1"/>
  <c r="R706" i="55" s="1"/>
  <c r="R707" i="55" a="1"/>
  <c r="R707" i="55" s="1"/>
  <c r="Q707" i="55" a="1"/>
  <c r="Q707" i="55" s="1"/>
  <c r="R708" i="55" a="1"/>
  <c r="R708" i="55" s="1"/>
  <c r="Q708" i="55" a="1"/>
  <c r="Q708" i="55" s="1"/>
  <c r="R709" i="55" a="1"/>
  <c r="R709" i="55" s="1"/>
  <c r="Q709" i="55" a="1"/>
  <c r="Q709" i="55" s="1"/>
  <c r="R710" i="55" a="1"/>
  <c r="R710" i="55" s="1"/>
  <c r="Q710" i="55" a="1"/>
  <c r="Q710" i="55" s="1"/>
  <c r="R711" i="55" a="1"/>
  <c r="R711" i="55" s="1"/>
  <c r="Q711" i="55" a="1"/>
  <c r="Q711" i="55" s="1"/>
  <c r="R712" i="55" a="1"/>
  <c r="R712" i="55" s="1"/>
  <c r="Q712" i="55" a="1"/>
  <c r="Q712" i="55" s="1"/>
  <c r="R713" i="55" a="1"/>
  <c r="R713" i="55" s="1"/>
  <c r="Q713" i="55" a="1"/>
  <c r="Q713" i="55" s="1"/>
  <c r="R714" i="55" a="1"/>
  <c r="R714" i="55" s="1"/>
  <c r="Q714" i="55" a="1"/>
  <c r="Q714" i="55" s="1"/>
  <c r="R715" i="55" a="1"/>
  <c r="R715" i="55" s="1"/>
  <c r="Q715" i="55" a="1"/>
  <c r="Q715" i="55" s="1"/>
  <c r="Q716" i="55" a="1"/>
  <c r="Q716" i="55" s="1"/>
  <c r="R716" i="55" a="1"/>
  <c r="R716" i="55" s="1"/>
  <c r="R717" i="55" a="1"/>
  <c r="R717" i="55" s="1"/>
  <c r="Q717" i="55" a="1"/>
  <c r="Q717" i="55" s="1"/>
  <c r="R718" i="55" a="1"/>
  <c r="R718" i="55" s="1"/>
  <c r="Q718" i="55" a="1"/>
  <c r="Q718" i="55" s="1"/>
  <c r="Q719" i="55" a="1"/>
  <c r="Q719" i="55" s="1"/>
  <c r="R719" i="55" a="1"/>
  <c r="R719" i="55" s="1"/>
  <c r="R721" i="55" a="1"/>
  <c r="R721" i="55" s="1"/>
  <c r="Q721" i="55" a="1"/>
  <c r="Q721" i="55" s="1"/>
  <c r="Q722" i="55" a="1"/>
  <c r="Q722" i="55" s="1"/>
  <c r="R722" i="55" a="1"/>
  <c r="R722" i="55" s="1"/>
  <c r="R723" i="55" a="1"/>
  <c r="R723" i="55" s="1"/>
  <c r="Q723" i="55" a="1"/>
  <c r="Q723" i="55" s="1"/>
  <c r="Q724" i="55" a="1"/>
  <c r="Q724" i="55" s="1"/>
  <c r="R724" i="55" a="1"/>
  <c r="R724" i="55" s="1"/>
  <c r="R725" i="55" a="1"/>
  <c r="R725" i="55" s="1"/>
  <c r="Q725" i="55" a="1"/>
  <c r="Q725" i="55" s="1"/>
  <c r="R726" i="55" a="1"/>
  <c r="R726" i="55" s="1"/>
  <c r="Q726" i="55" a="1"/>
  <c r="Q726" i="55" s="1"/>
  <c r="Q727" i="55" a="1"/>
  <c r="Q727" i="55" s="1"/>
  <c r="R727" i="55" a="1"/>
  <c r="R727" i="55" s="1"/>
  <c r="R728" i="55" a="1"/>
  <c r="R728" i="55" s="1"/>
  <c r="Q728" i="55" a="1"/>
  <c r="Q728" i="55" s="1"/>
  <c r="R729" i="55" a="1"/>
  <c r="R729" i="55" s="1"/>
  <c r="Q729" i="55" a="1"/>
  <c r="Q729" i="55" s="1"/>
  <c r="R730" i="55" a="1"/>
  <c r="R730" i="55" s="1"/>
  <c r="Q730" i="55" a="1"/>
  <c r="Q730" i="55" s="1"/>
  <c r="R731" i="55" a="1"/>
  <c r="R731" i="55" s="1"/>
  <c r="Q731" i="55" a="1"/>
  <c r="Q731" i="55" s="1"/>
  <c r="R732" i="55" a="1"/>
  <c r="R732" i="55" s="1"/>
  <c r="Q732" i="55" a="1"/>
  <c r="Q732" i="55" s="1"/>
  <c r="Q733" i="55" a="1"/>
  <c r="Q733" i="55" s="1"/>
  <c r="R733" i="55" a="1"/>
  <c r="R733" i="55" s="1"/>
  <c r="R734" i="55" a="1"/>
  <c r="R734" i="55" s="1"/>
  <c r="Q734" i="55" a="1"/>
  <c r="Q734" i="55" s="1"/>
  <c r="R735" i="55" a="1"/>
  <c r="R735" i="55" s="1"/>
  <c r="Q735" i="55" a="1"/>
  <c r="Q735" i="55" s="1"/>
  <c r="Q736" i="55" a="1"/>
  <c r="Q736" i="55" s="1"/>
  <c r="R736" i="55" a="1"/>
  <c r="R736" i="55" s="1"/>
  <c r="R737" i="55" a="1"/>
  <c r="R737" i="55" s="1"/>
  <c r="Q737" i="55" a="1"/>
  <c r="Q737" i="55" s="1"/>
  <c r="Q738" i="55" a="1"/>
  <c r="Q738" i="55" s="1"/>
  <c r="R738" i="55" a="1"/>
  <c r="R738" i="55" s="1"/>
  <c r="R739" i="55" a="1"/>
  <c r="R739" i="55" s="1"/>
  <c r="Q739" i="55" a="1"/>
  <c r="Q739" i="55" s="1"/>
  <c r="R740" i="55" a="1"/>
  <c r="R740" i="55" s="1"/>
  <c r="Q740" i="55" a="1"/>
  <c r="Q740" i="55" s="1"/>
  <c r="R741" i="55" a="1"/>
  <c r="R741" i="55" s="1"/>
  <c r="Q741" i="55" a="1"/>
  <c r="Q741" i="55" s="1"/>
  <c r="R742" i="55" a="1"/>
  <c r="R742" i="55" s="1"/>
  <c r="Q742" i="55" a="1"/>
  <c r="Q742" i="55" s="1"/>
  <c r="R743" i="55" a="1"/>
  <c r="R743" i="55" s="1"/>
  <c r="Q743" i="55" a="1"/>
  <c r="Q743" i="55" s="1"/>
  <c r="R744" i="55" a="1"/>
  <c r="R744" i="55" s="1"/>
  <c r="Q744" i="55" a="1"/>
  <c r="Q744" i="55" s="1"/>
  <c r="R745" i="55" a="1"/>
  <c r="R745" i="55" s="1"/>
  <c r="Q745" i="55" a="1"/>
  <c r="Q745" i="55" s="1"/>
  <c r="R746" i="55" a="1"/>
  <c r="R746" i="55" s="1"/>
  <c r="Q746" i="55" a="1"/>
  <c r="Q746" i="55" s="1"/>
  <c r="R747" i="55" a="1"/>
  <c r="R747" i="55" s="1"/>
  <c r="Q747" i="55" a="1"/>
  <c r="Q747" i="55" s="1"/>
  <c r="R748" i="55" a="1"/>
  <c r="R748" i="55" s="1"/>
  <c r="Q748" i="55" a="1"/>
  <c r="Q748" i="55" s="1"/>
  <c r="R749" i="55" a="1"/>
  <c r="R749" i="55" s="1"/>
  <c r="Q749" i="55" a="1"/>
  <c r="Q749" i="55" s="1"/>
  <c r="R750" i="55" a="1"/>
  <c r="R750" i="55" s="1"/>
  <c r="Q750" i="55" a="1"/>
  <c r="Q750" i="55" s="1"/>
  <c r="Q751" i="55" a="1"/>
  <c r="Q751" i="55" s="1"/>
  <c r="R751" i="55" a="1"/>
  <c r="R751" i="55" s="1"/>
  <c r="R752" i="55" a="1"/>
  <c r="R752" i="55" s="1"/>
  <c r="Q752" i="55" a="1"/>
  <c r="Q752" i="55" s="1"/>
  <c r="Q753" i="55" a="1"/>
  <c r="Q753" i="55" s="1"/>
  <c r="R753" i="55" a="1"/>
  <c r="R753" i="55" s="1"/>
  <c r="Q754" i="55" a="1"/>
  <c r="Q754" i="55" s="1"/>
  <c r="R754" i="55" a="1"/>
  <c r="R754" i="55" s="1"/>
  <c r="R755" i="55" a="1"/>
  <c r="R755" i="55" s="1"/>
  <c r="Q755" i="55" a="1"/>
  <c r="Q755" i="55" s="1"/>
  <c r="Q756" i="55" a="1"/>
  <c r="Q756" i="55" s="1"/>
  <c r="R756" i="55" a="1"/>
  <c r="R756" i="55" s="1"/>
  <c r="R757" i="55" a="1"/>
  <c r="R757" i="55" s="1"/>
  <c r="Q757" i="55" a="1"/>
  <c r="Q757" i="55" s="1"/>
  <c r="R758" i="55" a="1"/>
  <c r="R758" i="55" s="1"/>
  <c r="Q758" i="55" a="1"/>
  <c r="Q758" i="55" s="1"/>
  <c r="R759" i="55" a="1"/>
  <c r="R759" i="55" s="1"/>
  <c r="Q759" i="55" a="1"/>
  <c r="Q759" i="55" s="1"/>
  <c r="R760" i="55" a="1"/>
  <c r="R760" i="55" s="1"/>
  <c r="Q760" i="55" a="1"/>
  <c r="Q760" i="55" s="1"/>
  <c r="Q761" i="55" a="1"/>
  <c r="Q761" i="55" s="1"/>
  <c r="R761" i="55" a="1"/>
  <c r="R761" i="55" s="1"/>
  <c r="R762" i="55" a="1"/>
  <c r="R762" i="55" s="1"/>
  <c r="Q762" i="55" a="1"/>
  <c r="Q762" i="55" s="1"/>
  <c r="R763" i="55" a="1"/>
  <c r="R763" i="55" s="1"/>
  <c r="Q763" i="55" a="1"/>
  <c r="Q763" i="55" s="1"/>
  <c r="R764" i="55" a="1"/>
  <c r="R764" i="55" s="1"/>
  <c r="Q764" i="55" a="1"/>
  <c r="Q764" i="55" s="1"/>
  <c r="R765" i="55" a="1"/>
  <c r="R765" i="55" s="1"/>
  <c r="Q765" i="55" a="1"/>
  <c r="Q765" i="55" s="1"/>
  <c r="R766" i="55" a="1"/>
  <c r="R766" i="55" s="1"/>
  <c r="Q766" i="55" a="1"/>
  <c r="Q766" i="55" s="1"/>
  <c r="Q767" i="55" a="1"/>
  <c r="Q767" i="55" s="1"/>
  <c r="R767" i="55" a="1"/>
  <c r="R767" i="55" s="1"/>
  <c r="R768" i="55" a="1"/>
  <c r="R768" i="55" s="1"/>
  <c r="Q768" i="55" a="1"/>
  <c r="Q768" i="55" s="1"/>
  <c r="R769" i="55" a="1"/>
  <c r="R769" i="55" s="1"/>
  <c r="Q769" i="55" a="1"/>
  <c r="Q769" i="55" s="1"/>
  <c r="Q770" i="55" a="1"/>
  <c r="Q770" i="55" s="1"/>
  <c r="R770" i="55" a="1"/>
  <c r="R770" i="55" s="1"/>
  <c r="R771" i="55" a="1"/>
  <c r="R771" i="55" s="1"/>
  <c r="Q771" i="55" a="1"/>
  <c r="Q771" i="55" s="1"/>
  <c r="R772" i="55" a="1"/>
  <c r="R772" i="55" s="1"/>
  <c r="Q772" i="55" a="1"/>
  <c r="Q772" i="55" s="1"/>
  <c r="Q773" i="55" a="1"/>
  <c r="Q773" i="55" s="1"/>
  <c r="R773" i="55" a="1"/>
  <c r="R773" i="55" s="1"/>
  <c r="Q774" i="55" a="1"/>
  <c r="Q774" i="55" s="1"/>
  <c r="R774" i="55" a="1"/>
  <c r="R774" i="55" s="1"/>
  <c r="R775" i="55" a="1"/>
  <c r="R775" i="55" s="1"/>
  <c r="Q775" i="55" a="1"/>
  <c r="Q775" i="55" s="1"/>
  <c r="Q776" i="55" a="1"/>
  <c r="Q776" i="55" s="1"/>
  <c r="R776" i="55" a="1"/>
  <c r="R776" i="55" s="1"/>
  <c r="R777" i="55" a="1"/>
  <c r="R777" i="55" s="1"/>
  <c r="Q777" i="55" a="1"/>
  <c r="Q777" i="55" s="1"/>
  <c r="Q778" i="55" a="1"/>
  <c r="Q778" i="55" s="1"/>
  <c r="R778" i="55" a="1"/>
  <c r="R778" i="55" s="1"/>
  <c r="Q779" i="55" a="1"/>
  <c r="Q779" i="55" s="1"/>
  <c r="R779" i="55" a="1"/>
  <c r="R779" i="55" s="1"/>
  <c r="R780" i="55" a="1"/>
  <c r="R780" i="55" s="1"/>
  <c r="Q780" i="55" a="1"/>
  <c r="Q780" i="55" s="1"/>
  <c r="Q781" i="55" a="1"/>
  <c r="Q781" i="55" s="1"/>
  <c r="R781" i="55" a="1"/>
  <c r="R781" i="55" s="1"/>
  <c r="Q782" i="55" a="1"/>
  <c r="Q782" i="55" s="1"/>
  <c r="R782" i="55" a="1"/>
  <c r="R782" i="55" s="1"/>
  <c r="R783" i="55" a="1"/>
  <c r="R783" i="55" s="1"/>
  <c r="Q783" i="55" a="1"/>
  <c r="Q783" i="55" s="1"/>
  <c r="R784" i="55" a="1"/>
  <c r="R784" i="55" s="1"/>
  <c r="Q784" i="55" a="1"/>
  <c r="Q784" i="55" s="1"/>
  <c r="Q785" i="55" a="1"/>
  <c r="Q785" i="55" s="1"/>
  <c r="R785" i="55" a="1"/>
  <c r="R785" i="55" s="1"/>
  <c r="Q786" i="55" a="1"/>
  <c r="Q786" i="55" s="1"/>
  <c r="R786" i="55" a="1"/>
  <c r="R786" i="55" s="1"/>
  <c r="R787" i="55" a="1"/>
  <c r="R787" i="55" s="1"/>
  <c r="Q787" i="55" a="1"/>
  <c r="Q787" i="55" s="1"/>
  <c r="R788" i="55" a="1"/>
  <c r="R788" i="55" s="1"/>
  <c r="Q788" i="55" a="1"/>
  <c r="Q788" i="55" s="1"/>
  <c r="R789" i="55" a="1"/>
  <c r="R789" i="55" s="1"/>
  <c r="Q789" i="55" a="1"/>
  <c r="Q789" i="55" s="1"/>
  <c r="Q790" i="55" a="1"/>
  <c r="Q790" i="55" s="1"/>
  <c r="R790" i="55" a="1"/>
  <c r="R790" i="55" s="1"/>
  <c r="R791" i="55" a="1"/>
  <c r="R791" i="55" s="1"/>
  <c r="Q791" i="55" a="1"/>
  <c r="Q791" i="55" s="1"/>
  <c r="Q792" i="55" a="1"/>
  <c r="Q792" i="55" s="1"/>
  <c r="R792" i="55" a="1"/>
  <c r="R792" i="55" s="1"/>
  <c r="R793" i="55" a="1"/>
  <c r="R793" i="55" s="1"/>
  <c r="Q793" i="55" a="1"/>
  <c r="Q793" i="55" s="1"/>
  <c r="Q794" i="55" a="1"/>
  <c r="Q794" i="55" s="1"/>
  <c r="R794" i="55" a="1"/>
  <c r="R794" i="55" s="1"/>
  <c r="R795" i="55" a="1"/>
  <c r="R795" i="55" s="1"/>
  <c r="Q795" i="55" a="1"/>
  <c r="Q795" i="55" s="1"/>
  <c r="R796" i="55" a="1"/>
  <c r="R796" i="55" s="1"/>
  <c r="Q796" i="55" a="1"/>
  <c r="Q796" i="55" s="1"/>
  <c r="Q797" i="55" a="1"/>
  <c r="Q797" i="55" s="1"/>
  <c r="R797" i="55" a="1"/>
  <c r="R797" i="55" s="1"/>
  <c r="Q798" i="55" a="1"/>
  <c r="Q798" i="55" s="1"/>
  <c r="R798" i="55" a="1"/>
  <c r="R798" i="55" s="1"/>
  <c r="Q799" i="55" a="1"/>
  <c r="Q799" i="55" s="1"/>
  <c r="R799" i="55" a="1"/>
  <c r="R799" i="55" s="1"/>
  <c r="Q800" i="55" a="1"/>
  <c r="Q800" i="55" s="1"/>
  <c r="R800" i="55" a="1"/>
  <c r="R800" i="55" s="1"/>
  <c r="R801" i="55" a="1"/>
  <c r="R801" i="55" s="1"/>
  <c r="Q801" i="55" a="1"/>
  <c r="Q801" i="55" s="1"/>
  <c r="Q802" i="55" a="1"/>
  <c r="Q802" i="55" s="1"/>
  <c r="R802" i="55" a="1"/>
  <c r="R802" i="55" s="1"/>
  <c r="R803" i="55" a="1"/>
  <c r="R803" i="55" s="1"/>
  <c r="Q803" i="55" a="1"/>
  <c r="Q803" i="55" s="1"/>
  <c r="R804" i="55" a="1"/>
  <c r="R804" i="55" s="1"/>
  <c r="Q804" i="55" a="1"/>
  <c r="Q804" i="55" s="1"/>
  <c r="Q805" i="55" a="1"/>
  <c r="Q805" i="55" s="1"/>
  <c r="R805" i="55" a="1"/>
  <c r="R805" i="55" s="1"/>
  <c r="Q806" i="55" a="1"/>
  <c r="Q806" i="55" s="1"/>
  <c r="R806" i="55" a="1"/>
  <c r="R806" i="55" s="1"/>
  <c r="Q807" i="55" a="1"/>
  <c r="Q807" i="55" s="1"/>
  <c r="R807" i="55" a="1"/>
  <c r="R807" i="55" s="1"/>
  <c r="Q808" i="55" a="1"/>
  <c r="Q808" i="55" s="1"/>
  <c r="R808" i="55" a="1"/>
  <c r="R808" i="55" s="1"/>
  <c r="Q809" i="55" a="1"/>
  <c r="Q809" i="55" s="1"/>
  <c r="R809" i="55" a="1"/>
  <c r="R809" i="55" s="1"/>
  <c r="Q810" i="55" a="1"/>
  <c r="Q810" i="55" s="1"/>
  <c r="R810" i="55" a="1"/>
  <c r="R810" i="55" s="1"/>
  <c r="Q811" i="55" a="1"/>
  <c r="Q811" i="55" s="1"/>
  <c r="R811" i="55" a="1"/>
  <c r="R811" i="55" s="1"/>
  <c r="Q812" i="55" a="1"/>
  <c r="Q812" i="55" s="1"/>
  <c r="R812" i="55" a="1"/>
  <c r="R812" i="55" s="1"/>
  <c r="Q813" i="55" a="1"/>
  <c r="Q813" i="55" s="1"/>
  <c r="R813" i="55" a="1"/>
  <c r="R813" i="55" s="1"/>
  <c r="Q814" i="55" a="1"/>
  <c r="Q814" i="55" s="1"/>
  <c r="R814" i="55" a="1"/>
  <c r="R814" i="55" s="1"/>
  <c r="Q815" i="55" a="1"/>
  <c r="Q815" i="55" s="1"/>
  <c r="R815" i="55" a="1"/>
  <c r="R815" i="55" s="1"/>
  <c r="Q816" i="55" a="1"/>
  <c r="Q816" i="55" s="1"/>
  <c r="R816" i="55" a="1"/>
  <c r="R816" i="55" s="1"/>
  <c r="Q817" i="55" a="1"/>
  <c r="Q817" i="55" s="1"/>
  <c r="R817" i="55" a="1"/>
  <c r="R817" i="55" s="1"/>
  <c r="Q818" i="55" a="1"/>
  <c r="Q818" i="55" s="1"/>
  <c r="R818" i="55" a="1"/>
  <c r="R818" i="55" s="1"/>
  <c r="Q819" i="55" a="1"/>
  <c r="Q819" i="55" s="1"/>
  <c r="R819" i="55" a="1"/>
  <c r="R819" i="55" s="1"/>
  <c r="Q820" i="55" a="1"/>
  <c r="Q820" i="55" s="1"/>
  <c r="R820" i="55" a="1"/>
  <c r="R820" i="55" s="1"/>
  <c r="Q821" i="55" a="1"/>
  <c r="Q821" i="55" s="1"/>
  <c r="R821" i="55" a="1"/>
  <c r="R821" i="55" s="1"/>
  <c r="Q822" i="55" a="1"/>
  <c r="Q822" i="55" s="1"/>
  <c r="R822" i="55" a="1"/>
  <c r="R822" i="55" s="1"/>
  <c r="Q823" i="55" a="1"/>
  <c r="Q823" i="55" s="1"/>
  <c r="R823" i="55" a="1"/>
  <c r="R823" i="55" s="1"/>
  <c r="Q824" i="55" a="1"/>
  <c r="Q824" i="55" s="1"/>
  <c r="R824" i="55" a="1"/>
  <c r="R824" i="55" s="1"/>
  <c r="Q825" i="55" a="1"/>
  <c r="Q825" i="55" s="1"/>
  <c r="R825" i="55" a="1"/>
  <c r="R825" i="55" s="1"/>
  <c r="Q826" i="55" a="1"/>
  <c r="Q826" i="55" s="1"/>
  <c r="R826" i="55" a="1"/>
  <c r="R826" i="55" s="1"/>
  <c r="Q827" i="55" a="1"/>
  <c r="Q827" i="55" s="1"/>
  <c r="R827" i="55" a="1"/>
  <c r="R827" i="55" s="1"/>
  <c r="Q828" i="55" a="1"/>
  <c r="Q828" i="55" s="1"/>
  <c r="R828" i="55" a="1"/>
  <c r="R828" i="55" s="1"/>
  <c r="Q829" i="55" a="1"/>
  <c r="Q829" i="55" s="1"/>
  <c r="R829" i="55" a="1"/>
  <c r="R829" i="55" s="1"/>
  <c r="Q830" i="55" a="1"/>
  <c r="Q830" i="55" s="1"/>
  <c r="R830" i="55" a="1"/>
  <c r="R830" i="55" s="1"/>
  <c r="Q831" i="55" a="1"/>
  <c r="Q831" i="55" s="1"/>
  <c r="R831" i="55" a="1"/>
  <c r="R831" i="55" s="1"/>
  <c r="R832" i="55" a="1"/>
  <c r="R832" i="55" s="1"/>
  <c r="Q832" i="55" a="1"/>
  <c r="Q832" i="55" s="1"/>
  <c r="R833" i="55" a="1"/>
  <c r="R833" i="55" s="1"/>
  <c r="Q833" i="55" a="1"/>
  <c r="Q833" i="55" s="1"/>
  <c r="R834" i="55" a="1"/>
  <c r="R834" i="55" s="1"/>
  <c r="Q834" i="55" a="1"/>
  <c r="Q834" i="55" s="1"/>
  <c r="Q835" i="55" a="1"/>
  <c r="Q835" i="55" s="1"/>
  <c r="R835" i="55" a="1"/>
  <c r="R835" i="55" s="1"/>
  <c r="Q836" i="55" a="1"/>
  <c r="Q836" i="55" s="1"/>
  <c r="R836" i="55" a="1"/>
  <c r="R836" i="55" s="1"/>
  <c r="Q837" i="55" a="1"/>
  <c r="Q837" i="55" s="1"/>
  <c r="R837" i="55" a="1"/>
  <c r="R837" i="55" s="1"/>
  <c r="Q838" i="55" a="1"/>
  <c r="Q838" i="55" s="1"/>
  <c r="R838" i="55" a="1"/>
  <c r="R838" i="55" s="1"/>
  <c r="Q839" i="55" a="1"/>
  <c r="Q839" i="55" s="1"/>
  <c r="R839" i="55" a="1"/>
  <c r="R839" i="55" s="1"/>
  <c r="Q840" i="55" a="1"/>
  <c r="Q840" i="55" s="1"/>
  <c r="R840" i="55" a="1"/>
  <c r="R840" i="55" s="1"/>
  <c r="Q841" i="55" a="1"/>
  <c r="Q841" i="55" s="1"/>
  <c r="R841" i="55" a="1"/>
  <c r="R841" i="55" s="1"/>
  <c r="Q842" i="55" a="1"/>
  <c r="Q842" i="55" s="1"/>
  <c r="R842" i="55" a="1"/>
  <c r="R842" i="55" s="1"/>
  <c r="Q843" i="55" a="1"/>
  <c r="Q843" i="55" s="1"/>
  <c r="R843" i="55" a="1"/>
  <c r="R843" i="55" s="1"/>
  <c r="Q844" i="55" a="1"/>
  <c r="Q844" i="55" s="1"/>
  <c r="R844" i="55" a="1"/>
  <c r="R844" i="55" s="1"/>
  <c r="Q845" i="55" a="1"/>
  <c r="Q845" i="55" s="1"/>
  <c r="R845" i="55" a="1"/>
  <c r="R845" i="55" s="1"/>
  <c r="Q846" i="55" a="1"/>
  <c r="Q846" i="55" s="1"/>
  <c r="R846" i="55" a="1"/>
  <c r="R846" i="55" s="1"/>
  <c r="Q847" i="55" a="1"/>
  <c r="Q847" i="55" s="1"/>
  <c r="R847" i="55" a="1"/>
  <c r="R847" i="55" s="1"/>
  <c r="Q848" i="55" a="1"/>
  <c r="Q848" i="55" s="1"/>
  <c r="R848" i="55" a="1"/>
  <c r="R848" i="55" s="1"/>
  <c r="Q849" i="55" a="1"/>
  <c r="Q849" i="55" s="1"/>
  <c r="R849" i="55" a="1"/>
  <c r="R849" i="55" s="1"/>
  <c r="Q850" i="55" a="1"/>
  <c r="Q850" i="55" s="1"/>
  <c r="R850" i="55" a="1"/>
  <c r="R850" i="55" s="1"/>
  <c r="Q851" i="55" a="1"/>
  <c r="Q851" i="55" s="1"/>
  <c r="R851" i="55" a="1"/>
  <c r="R851" i="55" s="1"/>
  <c r="Q852" i="55" a="1"/>
  <c r="Q852" i="55" s="1"/>
  <c r="R852" i="55" a="1"/>
  <c r="R852" i="55" s="1"/>
  <c r="Q853" i="55" a="1"/>
  <c r="Q853" i="55" s="1"/>
  <c r="R853" i="55" a="1"/>
  <c r="R853" i="55" s="1"/>
  <c r="Q854" i="55" a="1"/>
  <c r="Q854" i="55" s="1"/>
  <c r="R854" i="55" a="1"/>
  <c r="R854" i="55" s="1"/>
  <c r="Q855" i="55" a="1"/>
  <c r="Q855" i="55" s="1"/>
  <c r="R855" i="55" a="1"/>
  <c r="R855" i="55" s="1"/>
  <c r="Q856" i="55" a="1"/>
  <c r="Q856" i="55" s="1"/>
  <c r="R856" i="55" a="1"/>
  <c r="R856" i="55" s="1"/>
  <c r="Q857" i="55" a="1"/>
  <c r="Q857" i="55" s="1"/>
  <c r="R857" i="55" a="1"/>
  <c r="R857" i="55" s="1"/>
  <c r="R858" i="55" a="1"/>
  <c r="R858" i="55" s="1"/>
  <c r="Q858" i="55" a="1"/>
  <c r="Q858" i="55" s="1"/>
  <c r="Q859" i="55" a="1"/>
  <c r="Q859" i="55" s="1"/>
  <c r="R859" i="55" a="1"/>
  <c r="R859" i="55" s="1"/>
  <c r="R860" i="55" a="1"/>
  <c r="R860" i="55" s="1"/>
  <c r="Q860" i="55" a="1"/>
  <c r="Q860" i="55" s="1"/>
  <c r="R861" i="55" a="1"/>
  <c r="R861" i="55" s="1"/>
  <c r="Q861" i="55" a="1"/>
  <c r="Q861" i="55" s="1"/>
  <c r="Q862" i="55" a="1"/>
  <c r="Q862" i="55" s="1"/>
  <c r="R862" i="55" a="1"/>
  <c r="R862" i="55" s="1"/>
  <c r="Q863" i="55" a="1"/>
  <c r="Q863" i="55" s="1"/>
  <c r="R863" i="55" a="1"/>
  <c r="R863" i="55" s="1"/>
  <c r="Q864" i="55" a="1"/>
  <c r="Q864" i="55" s="1"/>
  <c r="R864" i="55" a="1"/>
  <c r="R864" i="55" s="1"/>
  <c r="Q865" i="55" a="1"/>
  <c r="Q865" i="55" s="1"/>
  <c r="R865" i="55" a="1"/>
  <c r="R865" i="55" s="1"/>
  <c r="R866" i="55" a="1"/>
  <c r="R866" i="55" s="1"/>
  <c r="Q866" i="55" a="1"/>
  <c r="Q866" i="55" s="1"/>
  <c r="R867" i="55" a="1"/>
  <c r="R867" i="55" s="1"/>
  <c r="Q867" i="55" a="1"/>
  <c r="Q867" i="55" s="1"/>
  <c r="R868" i="55" a="1"/>
  <c r="R868" i="55" s="1"/>
  <c r="Q868" i="55" a="1"/>
  <c r="Q868" i="55" s="1"/>
  <c r="R869" i="55" a="1"/>
  <c r="R869" i="55" s="1"/>
  <c r="Q869" i="55" a="1"/>
  <c r="Q869" i="55" s="1"/>
  <c r="Q870" i="55" a="1"/>
  <c r="Q870" i="55" s="1"/>
  <c r="R870" i="55" a="1"/>
  <c r="R870" i="55" s="1"/>
  <c r="Q871" i="55" a="1"/>
  <c r="Q871" i="55" s="1"/>
  <c r="R871" i="55" a="1"/>
  <c r="R871" i="55" s="1"/>
  <c r="Q872" i="55" a="1"/>
  <c r="Q872" i="55" s="1"/>
  <c r="R872" i="55" a="1"/>
  <c r="R872" i="55" s="1"/>
  <c r="Q5" i="55" l="1"/>
  <c r="K5" i="55" s="1"/>
  <c r="Q6" i="55"/>
  <c r="K6" i="55" l="1"/>
  <c r="Q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tc={19BBCA8B-BC7B-44BD-8EEB-DA0361F4802C}</author>
    <author>tc={7172C4F1-FA90-4142-8E6B-91A3233517B7}</author>
    <author>tc={BB71C8CB-D3AE-4EC6-A9D5-490048D7635A}</author>
    <author>tc={3A8769E6-8EC1-4112-AD44-F8DD427A67EB}</author>
    <author>tc={D4492F5A-2224-4714-8B71-AA82C88DA39F}</author>
    <author>tc={9ADE8475-F2A6-4208-BF00-93A3102F0DC4}</author>
    <author>tc={E43A9C5B-B5FD-4B08-9B06-1B14F9C012BA}</author>
    <author>tc={FC41638C-40D5-438A-8E69-7570F354F77A}</author>
    <author>tc={8E394B99-B541-43B7-9BC2-4CDC9C2BF103}</author>
    <author>tc={E2101F14-F6C0-4E74-9736-D7AB7B8DB692}</author>
    <author>tc={5B76A7A1-903B-48CE-B565-91C9B1D9C9AE}</author>
    <author>tc={B1BC5FB0-3954-4A98-97D4-0F32939A1CD1}</author>
    <author>tc={5AA45893-9AB0-4874-A7C1-614EC8485F48}</author>
    <author>tc={AEC6DCC3-49CC-4E02-8948-1DC5BE896F0C}</author>
    <author>tc={53388376-28E0-4625-9C0C-B5D4BDA9FD30}</author>
    <author>tc={F60B2E1D-7310-4451-BE69-62AC832C18F9}</author>
    <author>tc={E53C91CD-BF69-4079-B0AE-64D8782830E8}</author>
    <author>tc={4FC0E56A-D2EE-4E9E-8223-1E1AA4EAB223}</author>
    <author>tc={2315E5D9-2668-49ED-BC72-62A5998A8652}</author>
    <author>tc={F050E720-B071-4358-9882-2F11D3C66C98}</author>
    <author>tc={B3CD90F7-773A-41E7-9E54-B0C74A5D11AA}</author>
    <author>tc={239E6611-D7B7-47AF-ABD3-28DB16294888}</author>
    <author>tc={C410F7BF-6D74-44B6-AA0A-7B61FB6D1999}</author>
    <author>tc={02EC1A6A-A681-43D8-ACC0-72A4DD30E680}</author>
    <author>tc={19171E19-A981-4FA9-B17A-8590B9630BCF}</author>
    <author>tc={DD27C18F-F8A7-405E-B7B3-4F9A709A4202}</author>
    <author>tc={17876225-6838-42C7-A2E2-CCE89CB9585C}</author>
    <author>tc={0EA641D1-3C40-4CC0-94A4-822EC2E20460}</author>
    <author>tc={47C1FBA2-5C74-45CC-8731-F969E30DFE2A}</author>
    <author>tc={80161BD7-F498-45C0-9060-746BFD67F8C9}</author>
    <author>tc={F68926AF-08A6-4D38-BD1F-CF682CE528F2}</author>
    <author>tc={8A582D91-131E-4881-A180-B59514CBAFA7}</author>
    <author>tc={BA78BC3C-680A-4446-A7F2-B472D25C5B88}</author>
    <author>tc={EC593842-0133-46BC-8162-341FD87CA7D3}</author>
  </authors>
  <commentList>
    <comment ref="B46" authorId="0" shapeId="0" xr:uid="{19BBCA8B-BC7B-44BD-8EEB-DA0361F4802C}">
      <text>
        <t>[Threaded comment]
Your version of Excel allows you to read this threaded comment; however, any edits to it will get removed if the file is opened in a newer version of Excel. Learn more: https://go.microsoft.com/fwlink/?linkid=870924
Comment:
    Chuyển bán sang mã MEC2503014</t>
      </text>
    </comment>
    <comment ref="B63" authorId="1" shapeId="0" xr:uid="{7172C4F1-FA90-4142-8E6B-91A3233517B7}">
      <text>
        <t>[Threaded comment]
Your version of Excel allows you to read this threaded comment; however, any edits to it will get removed if the file is opened in a newer version of Excel. Learn more: https://go.microsoft.com/fwlink/?linkid=870924
Comment:
    Chuyển sang mã MEC2503011</t>
      </text>
    </comment>
    <comment ref="B65" authorId="2" shapeId="0" xr:uid="{BB71C8CB-D3AE-4EC6-A9D5-490048D7635A}">
      <text>
        <t>[Threaded comment]
Your version of Excel allows you to read this threaded comment; however, any edits to it will get removed if the file is opened in a newer version of Excel. Learn more: https://go.microsoft.com/fwlink/?linkid=870924
Comment:
    Chuyển sang lắp vào máy MEC2502051</t>
      </text>
    </comment>
    <comment ref="B69" authorId="3" shapeId="0" xr:uid="{3A8769E6-8EC1-4112-AD44-F8DD427A67EB}">
      <text>
        <t>[Threaded comment]
Your version of Excel allows you to read this threaded comment; however, any edits to it will get removed if the file is opened in a newer version of Excel. Learn more: https://go.microsoft.com/fwlink/?linkid=870924
Comment:
    Cải tiến từ ULD --&gt; LD bán vào mã MEC2502020</t>
      </text>
    </comment>
    <comment ref="B77" authorId="4" shapeId="0" xr:uid="{D4492F5A-2224-4714-8B71-AA82C88DA39F}">
      <text>
        <t>[Threaded comment]
Your version of Excel allows you to read this threaded comment; however, any edits to it will get removed if the file is opened in a newer version of Excel. Learn more: https://go.microsoft.com/fwlink/?linkid=870924
Comment:
    Cải tiến, chuyển sang bán cho máy MEC2503041</t>
      </text>
    </comment>
    <comment ref="A87" authorId="5" shapeId="0" xr:uid="{9ADE8475-F2A6-4208-BF00-93A3102F0DC4}">
      <text>
        <t>[Threaded comment]
Your version of Excel allows you to read this threaded comment; however, any edits to it will get removed if the file is opened in a newer version of Excel. Learn more: https://go.microsoft.com/fwlink/?linkid=870924
Comment:
    PO đặt cho line DES</t>
      </text>
    </comment>
    <comment ref="M88" authorId="6" shapeId="0" xr:uid="{E43A9C5B-B5FD-4B08-9B06-1B14F9C012BA}">
      <text>
        <t>[Threaded comment]
Your version of Excel allows you to read this threaded comment; however, any edits to it will get removed if the file is opened in a newer version of Excel. Learn more: https://go.microsoft.com/fwlink/?linkid=870924
Comment:
    Mar-03-2025 Yêu cầu phải --&gt; Trái</t>
      </text>
    </comment>
    <comment ref="B179" authorId="7" shapeId="0" xr:uid="{FC41638C-40D5-438A-8E69-7570F354F77A}">
      <text>
        <t>[Threaded comment]
Your version of Excel allows you to read this threaded comment; however, any edits to it will get removed if the file is opened in a newer version of Excel. Learn more: https://go.microsoft.com/fwlink/?linkid=870924
Comment:
    Cải tiến từ ULD --&gt; LD bán bù mã MEC2502047</t>
      </text>
    </comment>
    <comment ref="B192" authorId="8" shapeId="0" xr:uid="{8E394B99-B541-43B7-9BC2-4CDC9C2BF103}">
      <text>
        <t>[Threaded comment]
Your version of Excel allows you to read this threaded comment; however, any edits to it will get removed if the file is opened in a newer version of Excel. Learn more: https://go.microsoft.com/fwlink/?linkid=870924
Comment:
    Chuyển bán sang mã MEC2502047
(Mar-31)
--&gt; Lắp sang mã MEC2501022</t>
      </text>
    </comment>
    <comment ref="K271" authorId="9" shapeId="0" xr:uid="{E2101F14-F6C0-4E74-9736-D7AB7B8DB692}">
      <text>
        <t>[Threaded comment]
Your version of Excel allows you to read this threaded comment; however, any edits to it will get removed if the file is opened in a newer version of Excel. Learn more: https://go.microsoft.com/fwlink/?linkid=870924
Comment:
    1/ Lấy máy MEC2403043 chuyển sang xuất vị trí này</t>
      </text>
    </comment>
    <comment ref="B292" authorId="10" shapeId="0" xr:uid="{5B76A7A1-903B-48CE-B565-91C9B1D9C9AE}">
      <text>
        <t>[Threaded comment]
Your version of Excel allows you to read this threaded comment; however, any edits to it will get removed if the file is opened in a newer version of Excel. Learn more: https://go.microsoft.com/fwlink/?linkid=870924
Comment:
    Có chiều dày vách 50mm --&gt; Cần có trục băng tải nối.</t>
      </text>
    </comment>
    <comment ref="B375" authorId="11" shapeId="0" xr:uid="{B1BC5FB0-3954-4A98-97D4-0F32939A1CD1}">
      <text>
        <t>[Threaded comment]
Your version of Excel allows you to read this threaded comment; however, any edits to it will get removed if the file is opened in a newer version of Excel. Learn more: https://go.microsoft.com/fwlink/?linkid=870924
Comment:
    Chưa có trong list PE</t>
      </text>
    </comment>
    <comment ref="B425" authorId="12" shapeId="0" xr:uid="{5AA45893-9AB0-4874-A7C1-614EC8485F48}">
      <text>
        <t>[Threaded comment]
Your version of Excel allows you to read this threaded comment; however, any edits to it will get removed if the file is opened in a newer version of Excel. Learn more: https://go.microsoft.com/fwlink/?linkid=870924
Comment:
    Lấy mã MEC2407012 để bán
Do máy lắp vào MEC2501022
--&gt; Lấy MEC2407014 cải tiến từ ULD --&gt; LD để bán.
Jan-28, 2026
 Nhầm dạng máy  cần làm máy TYPE 3 (khung Inox)</t>
      </text>
    </comment>
    <comment ref="M425" authorId="13" shapeId="0" xr:uid="{AEC6DCC3-49CC-4E02-8948-1DC5BE896F0C}">
      <text>
        <t>[Threaded comment]
Your version of Excel allows you to read this threaded comment; however, any edits to it will get removed if the file is opened in a newer version of Excel. Learn more: https://go.microsoft.com/fwlink/?linkid=870924
Comment:
    Máy hướng Phải -&gt; trái đã lắp cho MEC2501022 (làm sai hướng Trái -&gt; Phải)
Vậy còn tồn máy Load hướng trái -&gt; phải
Máy MEC2502047 cần Phải -&gt; Trái</t>
      </text>
    </comment>
    <comment ref="B428" authorId="14" shapeId="0" xr:uid="{53388376-28E0-4625-9C0C-B5D4BDA9FD30}">
      <text>
        <t>[Threaded comment]
Your version of Excel allows you to read this threaded comment; however, any edits to it will get removed if the file is opened in a newer version of Excel. Learn more: https://go.microsoft.com/fwlink/?linkid=870924
Comment:
    Lấy máy MEC2403055 để bán</t>
      </text>
    </comment>
    <comment ref="M453" authorId="15" shapeId="0" xr:uid="{F60B2E1D-7310-4451-BE69-62AC832C18F9}">
      <text>
        <t>[Threaded comment]
Your version of Excel allows you to read this threaded comment; however, any edits to it will get removed if the file is opened in a newer version of Excel. Learn more: https://go.microsoft.com/fwlink/?linkid=870924
Comment:
    May-21, 2025 Sai hương máy
Yêu cầu: Phải -&gt; Trái,
Máy làm Trái -&gt; phải
Đã lấy MEC2502047 lắp trước.
--&gt; còn tồn máy Trái -&gt; Phải</t>
      </text>
    </comment>
    <comment ref="B454" authorId="16" shapeId="0" xr:uid="{E53C91CD-BF69-4079-B0AE-64D8782830E8}">
      <text>
        <t>[Threaded comment]
Your version of Excel allows you to read this threaded comment; however, any edits to it will get removed if the file is opened in a newer version of Excel. Learn more: https://go.microsoft.com/fwlink/?linkid=870924
Comment:
    Xác nhận lại mua hàng máy TYPE 3 --&gt; L rack</t>
      </text>
    </comment>
    <comment ref="AD454" authorId="17" shapeId="0" xr:uid="{4FC0E56A-D2EE-4E9E-8223-1E1AA4EAB223}">
      <text>
        <t>[Threaded comment]
Your version of Excel allows you to read this threaded comment; however, any edits to it will get removed if the file is opened in a newer version of Excel. Learn more: https://go.microsoft.com/fwlink/?linkid=870924
Comment:
    2025/03/08 --&gt; Chuyển L rack (họp cùng Ms. Hiền)</t>
      </text>
    </comment>
    <comment ref="B473" authorId="18" shapeId="0" xr:uid="{2315E5D9-2668-49ED-BC72-62A5998A8652}">
      <text>
        <t>[Threaded comment]
Your version of Excel allows you to read this threaded comment; however, any edits to it will get removed if the file is opened in a newer version of Excel. Learn more: https://go.microsoft.com/fwlink/?linkid=870924
Comment:
    Chuyển bán sang mã MEC2507018</t>
      </text>
    </comment>
    <comment ref="B482" authorId="19" shapeId="0" xr:uid="{F050E720-B071-4358-9882-2F11D3C66C98}">
      <text>
        <t>[Threaded comment]
Your version of Excel allows you to read this threaded comment; however, any edits to it will get removed if the file is opened in a newer version of Excel. Learn more: https://go.microsoft.com/fwlink/?linkid=870924
Comment:
    NVL mua: MEC2502034
Bán sang mã MEC2505004</t>
      </text>
    </comment>
    <comment ref="O483" authorId="20" shapeId="0" xr:uid="{B3CD90F7-773A-41E7-9E54-B0C74A5D11AA}">
      <text>
        <t>[Threaded comment]
Your version of Excel allows you to read this threaded comment; however, any edits to it will get removed if the file is opened in a newer version of Excel. Learn more: https://go.microsoft.com/fwlink/?linkid=870924
Comment:
    (Chiều ngang bo 724mm)</t>
      </text>
    </comment>
    <comment ref="O484" authorId="21" shapeId="0" xr:uid="{239E6611-D7B7-47AF-ABD3-28DB16294888}">
      <text>
        <t>[Threaded comment]
Your version of Excel allows you to read this threaded comment; however, any edits to it will get removed if the file is opened in a newer version of Excel. Learn more: https://go.microsoft.com/fwlink/?linkid=870924
Comment:
    (Chiều ngang bo 724mm)</t>
      </text>
    </comment>
    <comment ref="B485" authorId="22" shapeId="0" xr:uid="{C410F7BF-6D74-44B6-AA0A-7B61FB6D1999}">
      <text>
        <t>[Threaded comment]
Your version of Excel allows you to read this threaded comment; however, any edits to it will get removed if the file is opened in a newer version of Excel. Learn more: https://go.microsoft.com/fwlink/?linkid=870924
Comment:
    Lấy MEC2403053 chuyển sang lắp
Chuyển sang lắp cho MEC2502047
--&gt; Làm mới khung sơn bù vị trí này</t>
      </text>
    </comment>
    <comment ref="O485" authorId="23" shapeId="0" xr:uid="{02EC1A6A-A681-43D8-ACC0-72A4DD30E680}">
      <text>
        <t>[Threaded comment]
Your version of Excel allows you to read this threaded comment; however, any edits to it will get removed if the file is opened in a newer version of Excel. Learn more: https://go.microsoft.com/fwlink/?linkid=870924
Comment:
    (Chiều ngang bo 724mm)</t>
      </text>
    </comment>
    <comment ref="B488" authorId="24" shapeId="0" xr:uid="{19171E19-A981-4FA9-B17A-8590B9630BCF}">
      <text>
        <t>[Threaded comment]
Your version of Excel allows you to read this threaded comment; however, any edits to it will get removed if the file is opened in a newer version of Excel. Learn more: https://go.microsoft.com/fwlink/?linkid=870924
Comment:
    Lấy MEC2403036 để bán</t>
      </text>
    </comment>
    <comment ref="B492" authorId="25" shapeId="0" xr:uid="{DD27C18F-F8A7-405E-B7B3-4F9A709A4202}">
      <text>
        <t>[Threaded comment]
Your version of Excel allows you to read this threaded comment; however, any edits to it will get removed if the file is opened in a newer version of Excel. Learn more: https://go.microsoft.com/fwlink/?linkid=870924
Comment:
    Cải tiến từ máy MEC2403059 ULD --&gt; LD sang để bán.</t>
      </text>
    </comment>
    <comment ref="B494" authorId="26" shapeId="0" xr:uid="{17876225-6838-42C7-A2E2-CCE89CB9585C}">
      <text>
        <t>[Threaded comment]
Your version of Excel allows you to read this threaded comment; however, any edits to it will get removed if the file is opened in a newer version of Excel. Learn more: https://go.microsoft.com/fwlink/?linkid=870924
Comment:
    Apr-21 --&gt; Sale xác nhận Spec máy</t>
      </text>
    </comment>
    <comment ref="B497" authorId="27" shapeId="0" xr:uid="{0EA641D1-3C40-4CC0-94A4-822EC2E20460}">
      <text>
        <t>[Threaded comment]
Your version of Excel allows you to read this threaded comment; however, any edits to it will get removed if the file is opened in a newer version of Excel. Learn more: https://go.microsoft.com/fwlink/?linkid=870924
Comment:
    Bán sang máy MEC2505032</t>
      </text>
    </comment>
    <comment ref="B498" authorId="28" shapeId="0" xr:uid="{47C1FBA2-5C74-45CC-8731-F969E30DFE2A}">
      <text>
        <t>[Threaded comment]
Your version of Excel allows you to read this threaded comment; however, any edits to it will get removed if the file is opened in a newer version of Excel. Learn more: https://go.microsoft.com/fwlink/?linkid=870924
Comment:
    Bán sang máy MEC2505033</t>
      </text>
    </comment>
    <comment ref="B545" authorId="29" shapeId="0" xr:uid="{80161BD7-F498-45C0-9060-746BFD67F8C9}">
      <text>
        <t>[Threaded comment]
Your version of Excel allows you to read this threaded comment; however, any edits to it will get removed if the file is opened in a newer version of Excel. Learn more: https://go.microsoft.com/fwlink/?linkid=870924
Comment:
    Lấy máy MEC2504016 để bán</t>
      </text>
    </comment>
    <comment ref="B546" authorId="30" shapeId="0" xr:uid="{F68926AF-08A6-4D38-BD1F-CF682CE528F2}">
      <text>
        <t>[Threaded comment]
Your version of Excel allows you to read this threaded comment; however, any edits to it will get removed if the file is opened in a newer version of Excel. Learn more: https://go.microsoft.com/fwlink/?linkid=870924
Comment:
    Lấy máy MEC2504017 để bán</t>
      </text>
    </comment>
    <comment ref="B640" authorId="31" shapeId="0" xr:uid="{8A582D91-131E-4881-A180-B59514CBAFA7}">
      <text>
        <t>[Threaded comment]
Your version of Excel allows you to read this threaded comment; however, any edits to it will get removed if the file is opened in a newer version of Excel. Learn more: https://go.microsoft.com/fwlink/?linkid=870924
Comment:
    Lấy mã MEC2502025 bán vào mã này</t>
      </text>
    </comment>
    <comment ref="K689" authorId="32" shapeId="0" xr:uid="{BA78BC3C-680A-4446-A7F2-B472D25C5B88}">
      <text>
        <t>[Threaded comment]
Your version of Excel allows you to read this threaded comment; however, any edits to it will get removed if the file is opened in a newer version of Excel. Learn more: https://go.microsoft.com/fwlink/?linkid=870924
Comment:
    Thêm cảm biến màu và cảm biến kim loại phi kim.</t>
      </text>
    </comment>
    <comment ref="B752" authorId="33" shapeId="0" xr:uid="{EC593842-0133-46BC-8162-341FD87CA7D3}">
      <text>
        <t>[Threaded comment]
Your version of Excel allows you to read this threaded comment; however, any edits to it will get removed if the file is opened in a newer version of Excel. Learn more: https://go.microsoft.com/fwlink/?linkid=870924
Comment:
    Mar-16 chuyển dạng máy TYPE 3 --&gt;  PCB Transfer (H rack 2 vị trí)</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<sst xmlns="http://schemas.openxmlformats.org/spreadsheetml/2006/main" count="21883" uniqueCount="4422">
  <si>
    <t>MKVC</t>
  </si>
  <si>
    <t>MKTC</t>
  </si>
  <si>
    <t>TEN</t>
  </si>
  <si>
    <t>ISHI</t>
  </si>
  <si>
    <t>KAH</t>
  </si>
  <si>
    <t>MKHC</t>
  </si>
  <si>
    <t>Fact.4</t>
  </si>
  <si>
    <t>Lắp ráp</t>
  </si>
  <si>
    <t>Thiết kế</t>
  </si>
  <si>
    <t>Số máy</t>
  </si>
  <si>
    <t>FPC</t>
  </si>
  <si>
    <t>VUH</t>
  </si>
  <si>
    <t>OUT</t>
  </si>
  <si>
    <t>Laser Mitsu</t>
  </si>
  <si>
    <t>Phân loại</t>
  </si>
  <si>
    <t>Bo mach　基板</t>
  </si>
  <si>
    <t>Tấm cách 合紙</t>
  </si>
  <si>
    <t>Max</t>
  </si>
  <si>
    <t>Min</t>
  </si>
  <si>
    <t>t</t>
  </si>
  <si>
    <t>MLB</t>
  </si>
  <si>
    <t>724 x 618</t>
  </si>
  <si>
    <t>514 x 404</t>
  </si>
  <si>
    <t>0.06～2.0</t>
  </si>
  <si>
    <t>740 x 640</t>
  </si>
  <si>
    <t>545 x 420</t>
  </si>
  <si>
    <t>HDI</t>
  </si>
  <si>
    <t>614 x 514</t>
  </si>
  <si>
    <t>640 x 540</t>
  </si>
  <si>
    <t>All</t>
  </si>
  <si>
    <t>PKG</t>
  </si>
  <si>
    <t>620 x 510</t>
  </si>
  <si>
    <t>510 x 340</t>
  </si>
  <si>
    <t>0.03～1.6</t>
  </si>
  <si>
    <t>645 x 570</t>
  </si>
  <si>
    <t>540 x 370</t>
  </si>
  <si>
    <t>TENDOU</t>
  </si>
  <si>
    <t>0.03～3.2</t>
  </si>
  <si>
    <t>730 x 630</t>
  </si>
  <si>
    <t>530 x 360</t>
  </si>
  <si>
    <t>ISHINOMAKI</t>
  </si>
  <si>
    <t>515 x 510</t>
  </si>
  <si>
    <t>-</t>
  </si>
  <si>
    <t>0.4～1.6</t>
  </si>
  <si>
    <t>620 x 539</t>
  </si>
  <si>
    <t>500 x 350</t>
  </si>
  <si>
    <t>0.05～3.5</t>
  </si>
  <si>
    <t>MKHB</t>
  </si>
  <si>
    <t>624 x 549</t>
  </si>
  <si>
    <t>616 x541</t>
  </si>
  <si>
    <t>No.</t>
  </si>
  <si>
    <t>Số lượng</t>
  </si>
  <si>
    <t>Customer</t>
  </si>
  <si>
    <t>PO</t>
  </si>
  <si>
    <t>Kế hoạch</t>
  </si>
  <si>
    <t>Laser Mitsu 605</t>
  </si>
  <si>
    <t>Laser Mitsu 706</t>
  </si>
  <si>
    <t>USD</t>
  </si>
  <si>
    <t>Tình trạng</t>
  </si>
  <si>
    <t xml:space="preserve"> </t>
  </si>
  <si>
    <t>↓　Finish:ラインに設定完了、Wating：ラインに設定待ち、Doing：MKAC工場で組付け中,</t>
  </si>
  <si>
    <t>要求</t>
  </si>
  <si>
    <t>Thực hiện</t>
  </si>
  <si>
    <t>コメント
Note</t>
  </si>
  <si>
    <t>納期変更歴史</t>
  </si>
  <si>
    <t>Trái→phải
左→右</t>
  </si>
  <si>
    <t>950±50</t>
  </si>
  <si>
    <t>MKACの管理
コード
Số quản lý MKAC</t>
  </si>
  <si>
    <t>PO Number</t>
  </si>
  <si>
    <t>AUTO giao máy SALE</t>
  </si>
  <si>
    <t>SALE giao máy thưc tế</t>
  </si>
  <si>
    <t>評価
Đánh giá</t>
  </si>
  <si>
    <t>改善報告
Khắc phục</t>
  </si>
  <si>
    <t xml:space="preserve">PR No.
Số PR </t>
  </si>
  <si>
    <t>設定場所
Vị trí lắp đặt</t>
  </si>
  <si>
    <t>Line</t>
  </si>
  <si>
    <t>Pass line
パッツライン
(mm)</t>
  </si>
  <si>
    <t>Hướng thao tác máy
作業側</t>
  </si>
  <si>
    <t>普通
サイズ</t>
  </si>
  <si>
    <t>大
サイズ</t>
  </si>
  <si>
    <t>基板
重量
(kg)</t>
  </si>
  <si>
    <t>CV Speed
(m/min)</t>
  </si>
  <si>
    <t>CV wide
(mm)</t>
  </si>
  <si>
    <t>K/c
bo -bo
(mm)</t>
  </si>
  <si>
    <t>タクト(s)
CT</t>
  </si>
  <si>
    <t>AGV</t>
  </si>
  <si>
    <t>2D code Reader</t>
  </si>
  <si>
    <t>CAM
Vision</t>
  </si>
  <si>
    <t>形式
Xe</t>
  </si>
  <si>
    <t>合紙
IC</t>
  </si>
  <si>
    <t>Clean room</t>
  </si>
  <si>
    <t>Double sheet sensor</t>
  </si>
  <si>
    <t>Alligment type</t>
  </si>
  <si>
    <t>プロジェクト名
Tên dự án</t>
  </si>
  <si>
    <t>設備
Type</t>
  </si>
  <si>
    <t>Báo giá cho SALE</t>
  </si>
  <si>
    <t>Ngày nhận PO</t>
  </si>
  <si>
    <t>お客様の
出荷要求
Yêu cầu Leadtime</t>
  </si>
  <si>
    <t>製作完了（予定）
AUTO hoàn thành</t>
  </si>
  <si>
    <t>MKAC工場で完了予定
Dự kiến lắp MKAC</t>
  </si>
  <si>
    <t>Trạng thái</t>
  </si>
  <si>
    <t>Cơ khí
機械設計</t>
  </si>
  <si>
    <t>Điện
電気設計</t>
  </si>
  <si>
    <t>Lắp ráp
組立</t>
  </si>
  <si>
    <t>TK cơ</t>
  </si>
  <si>
    <t>TK điện</t>
  </si>
  <si>
    <t>Leadtime</t>
  </si>
  <si>
    <t>Hàng TC cơ khí</t>
  </si>
  <si>
    <t>Hàng gia công</t>
  </si>
  <si>
    <t>Điện</t>
  </si>
  <si>
    <t>Flowchart</t>
  </si>
  <si>
    <t>Bản vẽ điện</t>
  </si>
  <si>
    <t>PR thuê lắp ngoài</t>
  </si>
  <si>
    <t>PR thuê test máy</t>
  </si>
  <si>
    <t>Số kế hoạch MKVC</t>
  </si>
  <si>
    <t>初期</t>
  </si>
  <si>
    <t>1回目</t>
  </si>
  <si>
    <t>2回目</t>
  </si>
  <si>
    <t>３回目</t>
  </si>
  <si>
    <t>Giá tham khảo</t>
  </si>
  <si>
    <t>Phải →Trái
右→左</t>
  </si>
  <si>
    <t>1000±100</t>
  </si>
  <si>
    <t>TÊN MÁY trên TEM</t>
  </si>
  <si>
    <t>MEC2201011</t>
  </si>
  <si>
    <t>20240520-001546-F800</t>
  </si>
  <si>
    <t>第２工場 2F</t>
  </si>
  <si>
    <t>4軸レーザー</t>
  </si>
  <si>
    <t>●</t>
  </si>
  <si>
    <t>Tray (box)</t>
  </si>
  <si>
    <t>VIAレーザ加工機用マテハン (4軸）＃１
Carrier device (Load/Unload) for Laser VIA (4 Axis) for Ishinomaki #1</t>
  </si>
  <si>
    <t>Laser VIA</t>
  </si>
  <si>
    <t>Finish</t>
  </si>
  <si>
    <t>M.Tiến</t>
  </si>
  <si>
    <t>M.Quyết</t>
  </si>
  <si>
    <t>A1</t>
  </si>
  <si>
    <t>Hàng gia công: Jul-22</t>
  </si>
  <si>
    <t>MEC2403105</t>
  </si>
  <si>
    <t>VIAレーザ加工機用マテハン　 (4軸）＃２
Carrier device (Load/Unload) for Laser VIA (4 Axis) for Ishinomaki #2</t>
  </si>
  <si>
    <t>MEC2309024</t>
  </si>
  <si>
    <t>VG146-231101E</t>
  </si>
  <si>
    <t xml:space="preserve">Fact.2 3F </t>
  </si>
  <si>
    <t>穴理研磨　（３F SR）
Mài lỗ （３F SR）</t>
  </si>
  <si>
    <t>L rack</t>
  </si>
  <si>
    <t>中心</t>
  </si>
  <si>
    <t>Máy đưa bo (Loader) L rack
 投入機（Lラック）</t>
  </si>
  <si>
    <t>L rack LD</t>
  </si>
  <si>
    <t>A.Quân</t>
  </si>
  <si>
    <t>H.Quang</t>
  </si>
  <si>
    <t>MEC2309025</t>
  </si>
  <si>
    <t>Tạo mạch lớp ngoài DES#2
外層DES＃２</t>
  </si>
  <si>
    <t>V rack</t>
  </si>
  <si>
    <t>Máy nhận bo (Unloader) V rack TYPE ４ có tấm cách bo line DES#2 tạo mạch lớp ngoài
 外層DES＃２　受取機（Vラック, 合紙）</t>
  </si>
  <si>
    <t>TYPE 4 UL</t>
  </si>
  <si>
    <t>X.Thủy</t>
  </si>
  <si>
    <t>V.Anh</t>
  </si>
  <si>
    <t>MEC2309031</t>
  </si>
  <si>
    <t>Fact.3 2F</t>
  </si>
  <si>
    <t>AUTOTECH Desmear
デスミア化学銅</t>
  </si>
  <si>
    <t>PKG box</t>
  </si>
  <si>
    <t>Máy đưa bo line Desmear AUTOTECH
デスミア化学銅　投入機　(PKG)</t>
  </si>
  <si>
    <t>TYPE 5 LD</t>
  </si>
  <si>
    <t>Đ.Thành</t>
  </si>
  <si>
    <t>H.Khánh</t>
  </si>
  <si>
    <t>MEC2309032</t>
  </si>
  <si>
    <t>デスミア・BH　方向変換　＃１
Băng tải đổi hướng #1</t>
  </si>
  <si>
    <t>Rotary Conveyor</t>
  </si>
  <si>
    <t>B.Đăng</t>
  </si>
  <si>
    <t>MEC2309033</t>
  </si>
  <si>
    <t>デスミア・BH　連結コンベア
Băng tải liên kết Line</t>
  </si>
  <si>
    <t>Simple conveyor</t>
  </si>
  <si>
    <t>MEC2309034</t>
  </si>
  <si>
    <t>デスミア・BH　方向変換　＃２
Băng tải đổi hướng #2</t>
  </si>
  <si>
    <t>MEC2309035</t>
  </si>
  <si>
    <t>Máy nhận bo line Desmear AUTOTECH
デスミア化学銅　受取機　(PKG)</t>
  </si>
  <si>
    <t>TYPE 6 UL</t>
  </si>
  <si>
    <t>Đ.Chiến</t>
  </si>
  <si>
    <t>Leadtime điện: Mar-25</t>
  </si>
  <si>
    <t>MEC2402003</t>
  </si>
  <si>
    <t>VG146-24050006</t>
  </si>
  <si>
    <t>2D　Barcode検査機 _Z</t>
  </si>
  <si>
    <t>Xe tự chế + Base</t>
  </si>
  <si>
    <t>Máy check 2D code đáp ứng bo 365 x575mm, dọc 1 Code/1 mặt</t>
  </si>
  <si>
    <t>2D Barcode checking</t>
  </si>
  <si>
    <t>H.Tuấn</t>
  </si>
  <si>
    <t>MEC2311012</t>
  </si>
  <si>
    <t>VG146-24040032</t>
  </si>
  <si>
    <t xml:space="preserve">Laser </t>
  </si>
  <si>
    <t>Khắc 2D code</t>
  </si>
  <si>
    <t>Máy khắc 2D code bo mạch, tự động Load và Unload</t>
  </si>
  <si>
    <t>Laser make</t>
  </si>
  <si>
    <t>X.Thành</t>
  </si>
  <si>
    <t>V.Lâm</t>
  </si>
  <si>
    <t>Điện Leadtime: Apr-25</t>
  </si>
  <si>
    <t>MEC2403007</t>
  </si>
  <si>
    <t>VG146-24040033</t>
  </si>
  <si>
    <t>SR 3F</t>
  </si>
  <si>
    <t>穴埋研磨ライン
Line mài lỗ</t>
  </si>
  <si>
    <t>Tâm-trái-phải</t>
  </si>
  <si>
    <t>Máy đưa bo (Loader) V rack TYPE 3 Line mài lỗ (line số 2)
穴埋研磨ライン(2ライン目） 投入機（Vラック）</t>
  </si>
  <si>
    <t>TYPE 3 LD</t>
  </si>
  <si>
    <t>L.Trường</t>
  </si>
  <si>
    <t>Bo tầng 3 phủ sơn --&gt; dễ xước</t>
  </si>
  <si>
    <t>MEC2403008</t>
  </si>
  <si>
    <t>Băng tải quay 90deg line Mài lỗ  (line số 2)
穴理研磨(2ライン目）90°回転機　　</t>
  </si>
  <si>
    <t>下接続
Lắp dưới</t>
  </si>
  <si>
    <t>MEC2403009</t>
  </si>
  <si>
    <t>Máy nhận bo (Unloader) V rack TYPE 3  Line mài lỗ (line số 2)
穴理研磨(2ライン目） 受取機（Vラック）</t>
  </si>
  <si>
    <t>TYPE 3 UL</t>
  </si>
  <si>
    <t>Doing</t>
  </si>
  <si>
    <t>A3</t>
  </si>
  <si>
    <t>MEC2403010</t>
  </si>
  <si>
    <t>VG146-24120045</t>
  </si>
  <si>
    <t>Fact.2 2F</t>
  </si>
  <si>
    <t>Mạ xung #1</t>
  </si>
  <si>
    <t>Siêu âm</t>
  </si>
  <si>
    <t>Center</t>
  </si>
  <si>
    <t xml:space="preserve">Máy đưa bo cho line mạ xung #1 </t>
  </si>
  <si>
    <t>Passline và hướng là phán đoán.
Chưa có thông tin chính xác</t>
  </si>
  <si>
    <t>上接続
Lắp trên</t>
  </si>
  <si>
    <t>MEC2403011</t>
  </si>
  <si>
    <t>VG146-24120047</t>
  </si>
  <si>
    <t xml:space="preserve">Máy nhận bo cho line mạ xung #1 </t>
  </si>
  <si>
    <t>MEC2403012</t>
  </si>
  <si>
    <t>TMT 1F</t>
  </si>
  <si>
    <t>LPR　＃3</t>
  </si>
  <si>
    <t>9s</t>
  </si>
  <si>
    <t>Máy nhận bo (Unloader) V rack TYPE 3  Line LPR　＃3
LPR#3　受取機（Vラック）</t>
  </si>
  <si>
    <t>MEC2403013</t>
  </si>
  <si>
    <t>VG146-24040034</t>
  </si>
  <si>
    <t>LPR　＃4</t>
  </si>
  <si>
    <t>Máy nhận bo (Unloader) V rack TYPE 3  Line LPR　＃4
LPR#4　受取機（Vラック）</t>
  </si>
  <si>
    <t>MEC2403014</t>
  </si>
  <si>
    <t>自動露光ライン#1
Tự động chụp sáng #1</t>
  </si>
  <si>
    <t>15s</t>
  </si>
  <si>
    <t>Máy đưa bo (Loader) V rack TYPE 3 Line Tự động chụp sáng #1
自動露光ライン#1 投入機（Vラック）</t>
  </si>
  <si>
    <t>Jun-07 Đặt hàng một số cụm trước Leadtime: Jul-01</t>
  </si>
  <si>
    <t>MEC2403015</t>
  </si>
  <si>
    <t>Máy nâng bo tạm thời (Hanger stock) Line Tự động chụp sáng #1
自動露光ライン#1 ストッカー</t>
  </si>
  <si>
    <t>Hanger stock</t>
  </si>
  <si>
    <t>T.Quang</t>
  </si>
  <si>
    <t>MEC2403016</t>
  </si>
  <si>
    <t>Máy nhận bo (Unloader) V rack TYPE 3  Line Tự động chụp sáng #1
自動露光ライン#1 受取機（Vラック）</t>
  </si>
  <si>
    <t>MEC2403017</t>
  </si>
  <si>
    <t>VG146-24040035</t>
  </si>
  <si>
    <t>自動露光ライン#2
Tự động chụp sáng #2</t>
  </si>
  <si>
    <t>Máy đưa bo (Loader) V rack TYPE 3 Line Tự động chụp sáng #2
自動露光ライン#2 投入機（Vラック）</t>
  </si>
  <si>
    <t>MEC2403018</t>
  </si>
  <si>
    <t>Máy nâng bo tạm thời (Hanger stock) Line Tự động chụp sáng #2
自動露光ライン#2　 ストッカー</t>
  </si>
  <si>
    <t>MEC2403019</t>
  </si>
  <si>
    <t>Máy nhận bo (Unloader) V rack TYPE 3  Line Tự động chụp sáng #2
自動露光ライン#2 受取機（Vラック）</t>
  </si>
  <si>
    <t>MEC2403020</t>
  </si>
  <si>
    <t>自動露光ライン#3
Tự động chụp sáng #3</t>
  </si>
  <si>
    <t>Máy đưa bo (Loader) V rack TYPE 3 Line Tự động chụp sáng #3
自動露光ライン#3 投入機（Vラック）</t>
  </si>
  <si>
    <t>MEC2403021</t>
  </si>
  <si>
    <t>VG146-24040036</t>
  </si>
  <si>
    <t>Máy nâng bo tạm thời (Hanger stock) Line Tự động chụp sáng #3
自動露光ライン#3　 ストッカー</t>
  </si>
  <si>
    <t>MEC2403022</t>
  </si>
  <si>
    <t>Máy nhận bo (Unloader) V rack TYPE 3  Line Tự động chụp sáng #3
自動露光ライン#3 受取機（Vラック）</t>
  </si>
  <si>
    <t>MEC2403023</t>
  </si>
  <si>
    <t>DES line #5</t>
  </si>
  <si>
    <t>Máy đưa bo (Loader) V rack TYPE 3 Line DES #5
DES #5　投入機（Vラック）</t>
  </si>
  <si>
    <t>MEC2403024</t>
  </si>
  <si>
    <t>Chưa PO</t>
  </si>
  <si>
    <t>DES #5 とAOI Inline 連結コンベヤー
Băng tải kết nối DES#5- AOI Inline</t>
  </si>
  <si>
    <t>Stop</t>
  </si>
  <si>
    <t>H.Minh</t>
  </si>
  <si>
    <t>MEC2403025</t>
  </si>
  <si>
    <t>VG146-25010067</t>
  </si>
  <si>
    <t>DES#2</t>
  </si>
  <si>
    <t>H rack</t>
  </si>
  <si>
    <t>Non</t>
  </si>
  <si>
    <t>DES　受取機（平積・合紙）
Máy nhận bo Des #2 TMN2F</t>
  </si>
  <si>
    <t>PCB transfer UL</t>
  </si>
  <si>
    <t>V.Quang</t>
  </si>
  <si>
    <t>Đặt hàng TC cơ và một phần hàng gia công ngày 18/9
Hàng gia công khung Leadtime: Oct-30</t>
  </si>
  <si>
    <t>MEC2403026</t>
  </si>
  <si>
    <t>Inline AOI</t>
  </si>
  <si>
    <t>8s</t>
  </si>
  <si>
    <t>AOI Inline　受取機（平積・合紙）
Máy nhận bo (H rack + IC)</t>
  </si>
  <si>
    <t>Đặt hàng TC cơ và một phần hàng gia công ngày 18/9
Hàng gia công khung Leadtime: Oct-30
Chuyển bán hàng sang mã MEC2403044</t>
  </si>
  <si>
    <t>MEC2403027</t>
  </si>
  <si>
    <t>EL 1F</t>
  </si>
  <si>
    <t>積層後研磨ライン
Mài sau ép lớp</t>
  </si>
  <si>
    <t>Máy đưa bo (Loader) V rack TYPE4  có tấm cách bo Line Mài sau ép lớp
積層後研磨ライン 投入機　Vラック　合紙抜挿</t>
  </si>
  <si>
    <t>TYPE 4 LD</t>
  </si>
  <si>
    <t>Đổi máy cho AOI Fact.2 1F nhắm tăng sản lượng của Line</t>
  </si>
  <si>
    <t>MEC2403028</t>
  </si>
  <si>
    <t>VG146-24040037</t>
  </si>
  <si>
    <t>Máy nhận bo (Unloader) V rack TYPE4  có tấm cách bo Line Mài sau ép lớp
積層後研磨ライン 受取機　Vラック　合紙抜挿</t>
  </si>
  <si>
    <t>Cải tiến đổi máy cho Loading AOI Fact.2 1F nhắm tăng sản lượng của Line (#2)</t>
  </si>
  <si>
    <t>MEC2403029</t>
  </si>
  <si>
    <t>Khoan NC</t>
  </si>
  <si>
    <t>ピン打ち・テープ貼り機
Máy đóng Pin NC</t>
  </si>
  <si>
    <t>NC stacking</t>
  </si>
  <si>
    <t>V.Giang</t>
  </si>
  <si>
    <t>X.Tuyền</t>
  </si>
  <si>
    <t>MEC2403030</t>
  </si>
  <si>
    <t>VG146-24120046</t>
  </si>
  <si>
    <t>水平デスミアライン #1
Desmear #1</t>
  </si>
  <si>
    <t>Cylinder</t>
  </si>
  <si>
    <t>Máy đưa bo line Mạ xung #2</t>
  </si>
  <si>
    <t>MEC2403031</t>
  </si>
  <si>
    <t>MĐ 1F</t>
  </si>
  <si>
    <t>Máy nhận bo (Unloader) V rack TYPE4  có tấm cách bo Line Desmear #1
水平デスミアライン #1 受取機　Vラック　合紙抜挿</t>
  </si>
  <si>
    <t>MEC2403032</t>
  </si>
  <si>
    <t>水平デスミアライン #2
Desmear #2</t>
  </si>
  <si>
    <t>Máy đưa bo (Loader) V rack TYPE 3 Line Desmear #2
水平デスミアライン #2　 投入機（Vラック）</t>
  </si>
  <si>
    <t>MEC2403033</t>
  </si>
  <si>
    <t>Máy nhận bo (Unloader) V rack TYPE4  có tấm cách bo Line Desmear #2
水平デスミアライン #2 受取機　Vラック　合紙抜挿</t>
  </si>
  <si>
    <t>MEC2403034</t>
  </si>
  <si>
    <t>VG146-24040038</t>
  </si>
  <si>
    <t>TMN 3F</t>
  </si>
  <si>
    <t>DFRライン
Line DFR</t>
  </si>
  <si>
    <t>Máy đưa bo (Loader) V rack TYPE 3 Line DFR４・５
DFRライン4・５ライン目　投入機（Vラック）</t>
  </si>
  <si>
    <t>MEC2403035</t>
  </si>
  <si>
    <t>VG146-24100007</t>
  </si>
  <si>
    <t>Tạo mạch 3F</t>
  </si>
  <si>
    <t>自動露光ライン#5
Tự động chụp sáng #5</t>
  </si>
  <si>
    <t>自動露光ライン#5 投入機（Vラック）
Máy đưa bo Vrack</t>
  </si>
  <si>
    <t>MEC2403036</t>
  </si>
  <si>
    <t>自動露光ライン#5 ストッカ
Hanger Stock chụp sáng #5</t>
  </si>
  <si>
    <t>MEC2403037</t>
  </si>
  <si>
    <t>VG146-24100011</t>
  </si>
  <si>
    <t>自動露光ライン#5 受取機（Vラック）
Máy nhận bo Vrack</t>
  </si>
  <si>
    <t>MEC2403038</t>
  </si>
  <si>
    <t>VG146-24100008</t>
  </si>
  <si>
    <t>自動露光ライン#6
Tự động chụp sáng #6</t>
  </si>
  <si>
    <t>自動露光ライン#6 投入機（Vラック）
Máy đưa bo Vrack</t>
  </si>
  <si>
    <t>MEC2403039</t>
  </si>
  <si>
    <t>自動露光ライン#6 ストッカ
Hanger Stock chụp sáng #6</t>
  </si>
  <si>
    <t>Waiting</t>
  </si>
  <si>
    <t>MEC2403040</t>
  </si>
  <si>
    <t>VG146-24100006</t>
  </si>
  <si>
    <t>自動露光ライン#6 受取機（Vラック）
Máy nhận bo Vrack</t>
  </si>
  <si>
    <t>MEC2403041</t>
  </si>
  <si>
    <t>DES line #4</t>
  </si>
  <si>
    <t>Máy đưa bo (Loader) V rack TYPE 3 Line DES#4
DES#4　 投入機（Vラック）</t>
  </si>
  <si>
    <t>MEC2403042</t>
  </si>
  <si>
    <t>Máy nhận bo (Unloader) V rack TYPE4  có tấm cách bo Line DES#4
DES#4  受取機　Vラック　合紙抜挿</t>
  </si>
  <si>
    <t>MEC2403043</t>
  </si>
  <si>
    <t>InlineAOIライン</t>
  </si>
  <si>
    <t>InlineAOIライン 投入機（Vラック・合紙）
Máy đưa bo V rack TYPE 4</t>
  </si>
  <si>
    <t>Chuyển xuất máy sang mã MEC2409084</t>
  </si>
  <si>
    <t>MEC2403044</t>
  </si>
  <si>
    <t>VG146-24100010</t>
  </si>
  <si>
    <t>InlineAOIライン 受取機（平積・合紙）
Máy nhận bo (H rack + IC)</t>
  </si>
  <si>
    <t>Lấy máy MEC2403026 để xuất máy
Máy ngược hướng phải -&gt; trái (sai) --&gt; Trái - phải (đúng) đã sửa lại</t>
  </si>
  <si>
    <t>MEC2403045</t>
  </si>
  <si>
    <t>VG146-24080037</t>
  </si>
  <si>
    <t>自動露光 SR・シルク
Tự động chụp sáng SR</t>
  </si>
  <si>
    <t>Patapata</t>
  </si>
  <si>
    <t>自動露光 SR・シルク 投入機
Máy đưa bo Patapata</t>
  </si>
  <si>
    <t>Patapata LD</t>
  </si>
  <si>
    <t>MEC2403046</t>
  </si>
  <si>
    <t>自動露光 SR・シルク ストッカー
Hanger stock line Tự động chụp sáng SR</t>
  </si>
  <si>
    <t>MEC2403047</t>
  </si>
  <si>
    <t>自動露光 SR・シルク 受取機
Máy nhận bo Patapata</t>
  </si>
  <si>
    <t>Patapata UL</t>
  </si>
  <si>
    <t>MEC2403048</t>
  </si>
  <si>
    <t>Rửa nước #2
(CV speed: 4.5m/min)</t>
  </si>
  <si>
    <t>最終洗浄ライン
Rửa nước cuối cùng</t>
  </si>
  <si>
    <t>Other</t>
  </si>
  <si>
    <t xml:space="preserve">Máy đưa bo nhiều hàng </t>
  </si>
  <si>
    <t>Many rows LD</t>
  </si>
  <si>
    <t>MEC2403049</t>
  </si>
  <si>
    <t>Rửa nước #3
(CV speed: 4.5m/min)</t>
  </si>
  <si>
    <t>T.Tuấn</t>
  </si>
  <si>
    <t>MEC2403050</t>
  </si>
  <si>
    <t>VG146-25030007</t>
  </si>
  <si>
    <t>Fact.2 1F</t>
  </si>
  <si>
    <t>内層回路　DES♯3
Tạo mạch lớp trong DES#3</t>
  </si>
  <si>
    <t>内層回路　DES♯3 投入機（Vラック）
Máy đưa bo Vrack line Tạo mạch lớp trong DES#3</t>
  </si>
  <si>
    <t>Hàng điện Leadtime: 30/Oct
10/4: Lắp máy đưa bo cho line bóc màng 3 （Mail Mr.Kiên FE）</t>
  </si>
  <si>
    <t>5002-VP-062</t>
  </si>
  <si>
    <t>OK</t>
  </si>
  <si>
    <t>MEC2403051</t>
  </si>
  <si>
    <t>VG146-25030006</t>
  </si>
  <si>
    <t>現象・エッチング・剥離　DES♯4
Hiện ảnh, ăn mòn, bóc màng DES#4</t>
  </si>
  <si>
    <t>内層回路　DES♯4 投入機（Vラック）
Máy đưa bo Vrack line Tạo mạch lớp trong DES#4</t>
  </si>
  <si>
    <t>Hàng điện Leadtime: 30/Oct
11/4: Lắp máy đưa bo cho line bóc màng 4 （Mail Mr.Kiên FE）</t>
  </si>
  <si>
    <t>5002-VP-063</t>
  </si>
  <si>
    <t>MEC2403052</t>
  </si>
  <si>
    <t>内層回路　DFR#1
Tạo mạch lớp trong DFR</t>
  </si>
  <si>
    <t>Lệch tâm</t>
  </si>
  <si>
    <t>内層回路　DFR 投入機（Vラック・合紙）
Máy đưa bo V rack TYPE 4 line Tạo mạch lớp trong DFR</t>
  </si>
  <si>
    <t>PR lắp Oct-28, Leadtime: Nov-10</t>
  </si>
  <si>
    <t>5002-VP-066</t>
  </si>
  <si>
    <t>No IC</t>
  </si>
  <si>
    <t>MEC2403053</t>
  </si>
  <si>
    <t>受取機（Vラック）内層回路　DFR
Máy nhận bo Vrack line Tạo mạch lớp trong DFR</t>
  </si>
  <si>
    <t>Hàng điện Leadtime: 30/Oct
Feb-14: Cần đổi công đoạn</t>
  </si>
  <si>
    <t>5002-VP-065</t>
  </si>
  <si>
    <t>MEC2403054</t>
  </si>
  <si>
    <t>VG146-25010009</t>
  </si>
  <si>
    <t>積層後水洗 #1
Rửa nước sau ép lớp</t>
  </si>
  <si>
    <t>積層後水洗 受取機（Vラック, 合紙）
Máy nhận bo V rack TYPE 4 line Rửa nước sau ép lớp</t>
  </si>
  <si>
    <t>5002-VP-070</t>
  </si>
  <si>
    <t>MEC2403055</t>
  </si>
  <si>
    <t>積層後水洗 #2
Rửa nước sau ép lớp</t>
  </si>
  <si>
    <t>積層後水洗  受取機（Vラック, 合紙）
Máy nhận bo V rack TYPE 4 line Rửa nước sau ép lớp</t>
  </si>
  <si>
    <t>Ngược hướng</t>
  </si>
  <si>
    <t>MEC2403056</t>
  </si>
  <si>
    <t>VG146-25010011</t>
  </si>
  <si>
    <t>積層後水洗 #3
Rửa nước sau ép lớp</t>
  </si>
  <si>
    <t>Chưa PO
MEC2403057</t>
  </si>
  <si>
    <t>積層後水洗 #4
Rửa nước sau ép lớp</t>
  </si>
  <si>
    <t>MEC2403058</t>
  </si>
  <si>
    <t>Fact.3 1F</t>
  </si>
  <si>
    <t>積層後水洗 #5
Rửa nước sau ép lớp</t>
  </si>
  <si>
    <t>5002-VP-069</t>
  </si>
  <si>
    <t>MEC2403059</t>
  </si>
  <si>
    <t>積層後水洗 (New)
Rửa nước sau ép lớp (New)</t>
  </si>
  <si>
    <t>Chưa có hướng</t>
  </si>
  <si>
    <t>MEC2403060</t>
  </si>
  <si>
    <t>VG146-25010010</t>
  </si>
  <si>
    <t>積層後水洗 #8
Rửa nước sau ép lớp</t>
  </si>
  <si>
    <t>積層後水洗 受取機（Vラック, 合紙）
Máy nhận bo V rack TYPE 4  line Rửa nước sau ép lớp</t>
  </si>
  <si>
    <t>MEC2403061</t>
  </si>
  <si>
    <t>VG146-24120017</t>
  </si>
  <si>
    <t>積層後水洗 #6
Rửa nước sau ép lớp</t>
  </si>
  <si>
    <t>MEC2403062</t>
  </si>
  <si>
    <t>VG146-24120027</t>
  </si>
  <si>
    <t>第3工場積層後水洗 (#6)
Rửa nước sau ép lớp Fact.3</t>
  </si>
  <si>
    <t>第3工場積層後水洗 投入機（Vラック）
Máy đưa bo Vrack line Rửa nước sau ép lớp Fact.3</t>
  </si>
  <si>
    <t>Hàng điện Leadtime: 30/Oct</t>
  </si>
  <si>
    <t>5002-VP-071</t>
  </si>
  <si>
    <t>MEC2403063</t>
  </si>
  <si>
    <t>自動スタック機 投入合紙抜取改造
Cải tiến thêm cụm gắp IC máy NC stacking</t>
  </si>
  <si>
    <t>MEC2403064</t>
  </si>
  <si>
    <t>VG146-2503041</t>
  </si>
  <si>
    <t>穴洗浄後 #1
Sau rửa nước sau khoan NC #1</t>
  </si>
  <si>
    <t>穴洗浄後 受取機（Vラック, 合紙）
Máy nhận bo V rack TYPE 4</t>
  </si>
  <si>
    <t>finish</t>
  </si>
  <si>
    <t>5002-VP-077</t>
  </si>
  <si>
    <t>MEC2403065</t>
  </si>
  <si>
    <t>穴洗浄後 #2
Sau rửa nước sau khoan NC #2</t>
  </si>
  <si>
    <t>Chưa PO
MEC2403066</t>
  </si>
  <si>
    <t>穴洗浄後 #4
Sau rửa nước sau khoan NC #4</t>
  </si>
  <si>
    <t>5002-VP-078</t>
  </si>
  <si>
    <t>MEC2403067</t>
  </si>
  <si>
    <t>穴洗浄後 #5
Sau rửa nước sau khoan NC #5</t>
  </si>
  <si>
    <t>MEC2403068</t>
  </si>
  <si>
    <t>穴洗浄後
Sau rửa nước sau khoan NC #3</t>
  </si>
  <si>
    <t>Line đang để trên phủ sơn chạy rửa tấm cách bo?</t>
  </si>
  <si>
    <t>MEC2403069</t>
  </si>
  <si>
    <t>VG146-25010065</t>
  </si>
  <si>
    <t>DES #5</t>
  </si>
  <si>
    <t>銅めっき酸洗 受取機（Vラック, 合紙）
Máy nhận bo V rack TYPE 4 line DES</t>
  </si>
  <si>
    <t>Chuyển bán sang máy MEC2412004</t>
  </si>
  <si>
    <t>5002-VP-080</t>
  </si>
  <si>
    <t>MEC2403070</t>
  </si>
  <si>
    <t>ガラスエッチ #2
Glass Etching</t>
  </si>
  <si>
    <t>ガラスエッチ 投入機（Vラック・合紙）
Máy đưa bo V rack TYPE 4 line Glass Etching</t>
  </si>
  <si>
    <t>Cần khảo sát đường vận chuyển máy,
Mr. Hùng MQ liên lạc đường chuyển máy hẹp
PR lắp Oct-28, Leadtime: Nov-10</t>
  </si>
  <si>
    <t>5002-VP-081</t>
  </si>
  <si>
    <t>MEC2403071</t>
  </si>
  <si>
    <t>VG146-24120023</t>
  </si>
  <si>
    <t>ガラスエッチ 受取機（Vラック, 合紙）
Máy nhận bo V rack TYPE 4 line Glass Etching</t>
  </si>
  <si>
    <t>Chưa PO
(MEC2403072)</t>
  </si>
  <si>
    <t>ガラスエッチ #3
Glass Etching</t>
  </si>
  <si>
    <t>5002-VP-082</t>
  </si>
  <si>
    <t>MEC2403073</t>
  </si>
  <si>
    <t>VG146-24120024</t>
  </si>
  <si>
    <t>MEC2403074</t>
  </si>
  <si>
    <t>VG146-25010069</t>
  </si>
  <si>
    <t>ﾌﾗｯｼｭｴｯﾁ #1
Flash Etching</t>
  </si>
  <si>
    <t>ﾌﾗｯｼｭｴｯﾁ 投入機（Vラック・合紙）
Máy đưa bo V rack TYPE 4 line Flash Etching</t>
  </si>
  <si>
    <t>5002-VP-083</t>
  </si>
  <si>
    <t>MEC2403075</t>
  </si>
  <si>
    <t>VG146-25010068</t>
  </si>
  <si>
    <t>ﾌﾗｯｼｭｴｯﾁ 受取機（Vラック, 合紙）
Máy nhận bo V rack TYPE 4 Flash Etching</t>
  </si>
  <si>
    <t>5002-VP-084</t>
  </si>
  <si>
    <t>MEC2403076</t>
  </si>
  <si>
    <t>VG146-24090027</t>
  </si>
  <si>
    <t>ハーフエッチ #2
Haft Etching</t>
  </si>
  <si>
    <t>ハーフエッチ 投入機（Vラック・合紙）
Máy đưa bo V rack TYPE 4 line Haft Etching</t>
  </si>
  <si>
    <t>5002-VP-085</t>
  </si>
  <si>
    <t>MEC2403077</t>
  </si>
  <si>
    <t>VG146-25010066</t>
  </si>
  <si>
    <t>DES #2
Hiện ảnh bóc màng DES#2</t>
  </si>
  <si>
    <t>DES #2 受取機（Vラック, 合紙）
Máy nhận bo V rack TYPE 4 line Hiện ảnh bóc màng DES#2</t>
  </si>
  <si>
    <t>5002-VP-086</t>
  </si>
  <si>
    <t>MEC2403078</t>
  </si>
  <si>
    <t>VG146-24090028</t>
  </si>
  <si>
    <t>ハーフエッチ #3
Haft Etching</t>
  </si>
  <si>
    <t>ハーフエッチ 受取機（Vラック, 合紙）
Máy nhận bo V rack TYPE 4 line Haft Etching</t>
  </si>
  <si>
    <t xml:space="preserve">PR lắp Oct-28, Leadtime: Nov-10
Chuyển bán cho line CCD #1 </t>
  </si>
  <si>
    <t>MEC2403080</t>
  </si>
  <si>
    <t>D-PTHカゴ挿入機・取出機
Đưa bo vào rack D-PTH</t>
  </si>
  <si>
    <t>D-PTHカゴ挿入機
Máy đưa bo vào Rack Magazine D-PTH</t>
  </si>
  <si>
    <t>Magazine PTH LD</t>
  </si>
  <si>
    <t>5002-VP-087</t>
  </si>
  <si>
    <t>MEC2403081</t>
  </si>
  <si>
    <t>D-PTHカゴ取出機
Máy lấy bo từ Rack Magazine D-PTH</t>
  </si>
  <si>
    <t>Magazine PTH ULD</t>
  </si>
  <si>
    <t>MEC2403082</t>
  </si>
  <si>
    <t xml:space="preserve">穴埋研磨 回転機
Xoay bo mài lỗ </t>
  </si>
  <si>
    <t>穴埋研磨　90°回転機
Băng tải quay bo 90deg　line mài lấp lỗ vĩnh cửu</t>
  </si>
  <si>
    <t>Seg-05 họp cùng FE 
Cần xác nhận lại vị trí xem có đặt hàng hay không?</t>
  </si>
  <si>
    <t>MEC2403083</t>
  </si>
  <si>
    <t>外層回路　DES #1
Tạo mạch lớp ngoài DES</t>
  </si>
  <si>
    <t>外層回路　DES 受取機（平積・合紙）
Máy nhận bo (H rack + IC) line DES tạo mạch lớp ngoài</t>
  </si>
  <si>
    <t>MEC2403084</t>
  </si>
  <si>
    <t>AOI Inline</t>
  </si>
  <si>
    <t>InlineAOIライン 投入機（Vラック・合紙）
Máy đưa bo V rack TYPE 4 InlineAOI, MEC2409084</t>
  </si>
  <si>
    <t>MEC2403085</t>
  </si>
  <si>
    <t>Fact.3</t>
  </si>
  <si>
    <t>回路DI露光機
Tạo mạch chụp sáng DI</t>
  </si>
  <si>
    <t>回路DI露光機 投入機
Máy đưa bo PKG line Tạo mạch chụp sáng DI</t>
  </si>
  <si>
    <t>MEC2403086</t>
  </si>
  <si>
    <t>回路DI露光機 ストッカー
Hanger Stock  line Tạo mạch chụp sáng DI</t>
  </si>
  <si>
    <t>Hanger stock PKG</t>
  </si>
  <si>
    <t>MEC2403087</t>
  </si>
  <si>
    <t>回路DI露光機　受取機
Máy nhận bo PKG line Tạo mạch chụp sáng DI</t>
  </si>
  <si>
    <t>MEC2403088</t>
  </si>
  <si>
    <t>MEC2403089</t>
  </si>
  <si>
    <t>MEC2403090</t>
  </si>
  <si>
    <t>MEC2403091</t>
  </si>
  <si>
    <t>MEC2403092</t>
  </si>
  <si>
    <t>MEC2403093</t>
  </si>
  <si>
    <t>PE・PD</t>
  </si>
  <si>
    <t>Laser</t>
  </si>
  <si>
    <t>Máy lật mặt A-&gt; B sau khoan Laser</t>
  </si>
  <si>
    <t>MEC2403094</t>
  </si>
  <si>
    <t>回路露光後のストッカー
Sau chụp sáng tạo mạch</t>
  </si>
  <si>
    <t>回路露光後のストッカー
Hanger Stock　Sau chụp sáng tạo mạch</t>
  </si>
  <si>
    <t>MEC2403095</t>
  </si>
  <si>
    <t>VCP＃９</t>
  </si>
  <si>
    <t>VCP#9</t>
  </si>
  <si>
    <t>Cải tiến quay bo 90deg VCP#9</t>
  </si>
  <si>
    <t>MEC2403096</t>
  </si>
  <si>
    <t>VCP#8</t>
  </si>
  <si>
    <t>Cải tiến quay bo 90deg VCP#8</t>
  </si>
  <si>
    <t>MEC2403097</t>
  </si>
  <si>
    <t>Filled ＃５</t>
  </si>
  <si>
    <t>Filled #5 　基板反転V→L</t>
  </si>
  <si>
    <t>Cải tiến máy từ V rack --&gt; L rack</t>
  </si>
  <si>
    <t>MEC2407017</t>
  </si>
  <si>
    <t>VG146-25040045</t>
  </si>
  <si>
    <t>FQC</t>
  </si>
  <si>
    <t>梱包
Đóng gói</t>
  </si>
  <si>
    <t>Packaging machine Máy đóng gói sản phẩm đầu
vào khách hàng Z</t>
  </si>
  <si>
    <t>PR băng tải NV và #3-1-1: Mar-19 --&gt; LT: Apr-16
Sep-24 gửi báo giá ver.04
Mã IGUS leadtime dài --&gt; cuối tháng 2 giao hàng
Phát hành 1 phần: Feb-10 --&gt; leadtime: Feb-28
Mar-05 phát hành hàng gia công còn lại --&gt; LT: Mar-25</t>
  </si>
  <si>
    <t>MEC2410022</t>
  </si>
  <si>
    <t>Packaging machine Máy đóng gói sản phẩm đầu
ra khách hàng Z</t>
  </si>
  <si>
    <t>PR băng tải NV và #3-1-1: Mar-19 --&gt; LT: Apr-16
Sep-24 gửi báo giá ver.04</t>
  </si>
  <si>
    <t>MEC2310018</t>
  </si>
  <si>
    <t>マテハン改造(河北サイズ対応)
Cải tiến đối ứng bo nhỏ TENDOU</t>
  </si>
  <si>
    <t>Assembling</t>
  </si>
  <si>
    <t>MEC2403099</t>
  </si>
  <si>
    <t>OSP</t>
  </si>
  <si>
    <t>Máy đưa bo line OSP TENDOU</t>
  </si>
  <si>
    <t>Double cart LD</t>
  </si>
  <si>
    <t>MEC2403100</t>
  </si>
  <si>
    <t>Máy nhận bo line OSP TENDOU</t>
  </si>
  <si>
    <t>Double cart UL</t>
  </si>
  <si>
    <t>MEC2403101</t>
  </si>
  <si>
    <t>Vラック追加</t>
  </si>
  <si>
    <t>MEC2310017</t>
  </si>
  <si>
    <t>20231214-002805-F800</t>
  </si>
  <si>
    <t xml:space="preserve">Fact.1 </t>
  </si>
  <si>
    <t>DB line</t>
  </si>
  <si>
    <t>Máy Unloading dạng PCB transfer dùng xe Laser</t>
  </si>
  <si>
    <t>MEC2310016</t>
  </si>
  <si>
    <t>20240924-002805-F800-1</t>
  </si>
  <si>
    <t xml:space="preserve">Fact.2 </t>
  </si>
  <si>
    <t>Máy Unloading Magazine dạng sheet</t>
  </si>
  <si>
    <t>Sheet magazine UL</t>
  </si>
  <si>
    <t>3/10 TC
15/10 GC</t>
  </si>
  <si>
    <t>MEC2401011</t>
  </si>
  <si>
    <t>VG146-24060053</t>
  </si>
  <si>
    <t xml:space="preserve">Máy rửa con lăn cản nước </t>
  </si>
  <si>
    <t>MEC2303004</t>
  </si>
  <si>
    <t>OQC</t>
  </si>
  <si>
    <t>Cải tiến máy 2D code số 1 MKVC</t>
  </si>
  <si>
    <t>MEC2403108</t>
  </si>
  <si>
    <t>VG146-24040013</t>
  </si>
  <si>
    <t>Fact.2 3F</t>
  </si>
  <si>
    <t>Mạ thiêc</t>
  </si>
  <si>
    <t>Máy sheet unload line mạ thiếc kiểu Băng tải ngắn</t>
  </si>
  <si>
    <t>Sheet UL</t>
  </si>
  <si>
    <t>MEC2112012</t>
  </si>
  <si>
    <t>VG146-211201E</t>
  </si>
  <si>
    <t>Cụm nâng hạ trong Passbox #3</t>
  </si>
  <si>
    <t>Pass box PKG</t>
  </si>
  <si>
    <t>MEC2112013</t>
  </si>
  <si>
    <t>Cụm nâng hạ trong Passbox #4</t>
  </si>
  <si>
    <t>MEC2112014</t>
  </si>
  <si>
    <t>Cụm nâng hạ trong Passbox #5</t>
  </si>
  <si>
    <t>MEC2112015</t>
  </si>
  <si>
    <t>Fact.3 3F</t>
  </si>
  <si>
    <t>Cụm nâng hạ trong Passbox #6</t>
  </si>
  <si>
    <t>MEC2112016</t>
  </si>
  <si>
    <t>Cụm nâng hạ trong Passbox #7</t>
  </si>
  <si>
    <t>MEC2309004</t>
  </si>
  <si>
    <t>20230903-001546-F800</t>
  </si>
  <si>
    <t>FITC</t>
  </si>
  <si>
    <t>H rack + Tray</t>
  </si>
  <si>
    <t>Mitsubishi Laser GTW-Ⅵ matehan　＃５  FITC</t>
  </si>
  <si>
    <t>MEC2309005</t>
  </si>
  <si>
    <t>Mitsubishi Laser GTW-Ⅵ matehan　＃６  FITC</t>
  </si>
  <si>
    <t>MEC2309006</t>
  </si>
  <si>
    <t>Mitsubishi Laser GTW-Ⅵ matehan　＃７  FITC</t>
  </si>
  <si>
    <t>MEC2309007</t>
  </si>
  <si>
    <t>Mitsubishi Laser GTW-Ⅵ matehan　＃８  FITC</t>
  </si>
  <si>
    <t>MEC2309014</t>
  </si>
  <si>
    <t>積層前処理
Tiền xử lý ép lớp</t>
  </si>
  <si>
    <t>Băng tải thường line Tiền xử lý ép lớp
一般コンベヤー　積層前処理受取</t>
  </si>
  <si>
    <t>MEC2309026</t>
  </si>
  <si>
    <t>SR自動露光機
Tự động chụp sáng SR</t>
  </si>
  <si>
    <t>SR自動露光機　投入機
Máy đưa bo line chụp sáng SR (xe Patapata?), có xoay bo 90deg</t>
  </si>
  <si>
    <t>MEC2309027</t>
  </si>
  <si>
    <t>SR自動露光機　受取機
Máy nhận bo line chụp sáng SR (xe Patapata?) có xoay bo 90deg</t>
  </si>
  <si>
    <t>MEC2201013</t>
  </si>
  <si>
    <t>2軸レーザー</t>
  </si>
  <si>
    <t>台車平積み</t>
  </si>
  <si>
    <t>VIAレーザ加工機用マテハン
Carrier device (Load/Unload) for Laser VIA (2 Axis) for Ishinomaki #1</t>
  </si>
  <si>
    <t>Quotation</t>
  </si>
  <si>
    <t>Báo giá cho SALE  ngày 06/Jan/2026</t>
  </si>
  <si>
    <t>MEC2401017</t>
  </si>
  <si>
    <t>VIAレーザ加工機用マテハン
Carrier device (Load/Unload) for Laser VIA (2 Axis) for Ishinomaki #2</t>
  </si>
  <si>
    <t>MEC2404004</t>
  </si>
  <si>
    <t>第1工場</t>
  </si>
  <si>
    <t>中圧水洗機</t>
  </si>
  <si>
    <t>石巻工場向け中圧水洗機用投入機 
Máy Loading cho line rửa nước áp lực trung bình nhà máy Ishinomaki</t>
  </si>
  <si>
    <t>PCB transfer LD</t>
  </si>
  <si>
    <t>MEC2404005</t>
  </si>
  <si>
    <t>石巻工場向け中圧水洗機用受取機 Máy Unloading cho line rửa nước áp lực trung bình nhà máy Ishinomaki</t>
  </si>
  <si>
    <t>MEC2307019</t>
  </si>
  <si>
    <t>VC146-231002C-FE</t>
  </si>
  <si>
    <t>VCP#5, #6</t>
  </si>
  <si>
    <t>Cải tiến Tool Robot đầu ra Line VCP#3, #4 Fact.3 1F</t>
  </si>
  <si>
    <t>MEC2403113</t>
  </si>
  <si>
    <t>VG146-24080021</t>
  </si>
  <si>
    <t>Reflow</t>
  </si>
  <si>
    <t>Băng tải cho reflow 2 công đoạn phủ sơn 3F Fact.2</t>
  </si>
  <si>
    <t>MEC2403114</t>
  </si>
  <si>
    <t>TXL CZ</t>
  </si>
  <si>
    <t>Băng tải txl-Cz  công đoạn phủ sơn 3F Fact.2</t>
  </si>
  <si>
    <t>MEC2404012</t>
  </si>
  <si>
    <t>B.Braun</t>
  </si>
  <si>
    <t>Dự án làm máy Pick and Place Ecoflac Mix Machine cho khách hàng B.Braun</t>
  </si>
  <si>
    <t>MEC2404025</t>
  </si>
  <si>
    <t>20250325-001546-F800</t>
  </si>
  <si>
    <t>3F</t>
  </si>
  <si>
    <t>最終水洗 Rửa nước sau GCNH</t>
  </si>
  <si>
    <t>Máy Loading dạng sheet (robot nhện) line rửa nước sau GCNH 最終水洗用蜘蛛の手の投入機</t>
  </si>
  <si>
    <t>Sheet LD TEN</t>
  </si>
  <si>
    <t>Setting</t>
  </si>
  <si>
    <t>MEC2404018</t>
  </si>
  <si>
    <t>Máy Unloading dạng sheet (robot nhện)+ Băng tải line rửa nước sau GCNH　最終水洗用蜘蛛の手の受取機</t>
  </si>
  <si>
    <t>Sheet UL TEN</t>
  </si>
  <si>
    <t>MEC2404019</t>
  </si>
  <si>
    <t>反り矯正検査 Kiểm tra cong vênh</t>
  </si>
  <si>
    <t>Máy Loading dạng sheet (robot nhện) line kiểm tra cong vênh　反り矯正検査用蜘蛛の手の投入機</t>
  </si>
  <si>
    <t>MEC2404020</t>
  </si>
  <si>
    <t>Máy Unloading dạng sheet (robot nhện)+ Băng tải  line kiểm tra cong vênh　反り矯正検査用蜘蛛の手の受取機</t>
  </si>
  <si>
    <t>MEC2404021</t>
  </si>
  <si>
    <t>20250117-001546-F800</t>
  </si>
  <si>
    <t>フラックス FLUX</t>
  </si>
  <si>
    <t>1100±50</t>
  </si>
  <si>
    <t>Máy Loading dạng sheet (robot nhện) line FLUX
フラックス用蜘蛛の手の投入機</t>
  </si>
  <si>
    <t>MEC2404022</t>
  </si>
  <si>
    <t>Máy Unloading dạng sheet (robot nhện)+ Băng tải line FLUX　フラックス用蜘蛛の手の受取機</t>
  </si>
  <si>
    <t>MEC2404023</t>
  </si>
  <si>
    <t>AVI</t>
  </si>
  <si>
    <t>Máy Unloading dạng sheet (robot nhện) + Băng tải
AVI用蜘蛛の手の受取機</t>
  </si>
  <si>
    <t>MEC2404024</t>
  </si>
  <si>
    <t>梱包</t>
  </si>
  <si>
    <t xml:space="preserve">スキンパック包装機
Máy đóng gói </t>
  </si>
  <si>
    <t>Packing</t>
  </si>
  <si>
    <t>stop</t>
  </si>
  <si>
    <t>MEC2403004</t>
  </si>
  <si>
    <t>VG146-24050048</t>
  </si>
  <si>
    <t>2F</t>
  </si>
  <si>
    <t>Black hole</t>
  </si>
  <si>
    <t>Test xác nhận concept robot Duaro Kawasaki áp dụng mạch FPC</t>
  </si>
  <si>
    <t>MEC2404027</t>
  </si>
  <si>
    <t>SR 前処理
Tiền xử lý SR</t>
  </si>
  <si>
    <t>SR前処理　受取機
Máy nhận bo line TXL SR (xe Patapata), có xoay bo 180deg</t>
  </si>
  <si>
    <t>MEC2404028</t>
  </si>
  <si>
    <t>静電塗布ライン
Phun sơn tĩnh điện</t>
  </si>
  <si>
    <t>静電塗布ライン　投入機
Máy đưa bo line phun sơn tĩnh điện (xe Patapata)</t>
  </si>
  <si>
    <t>MEC2404029</t>
  </si>
  <si>
    <t>静電塗布ライン　受取機
Máy nhận bo line phun sơn tĩnh điện (xe Patapata), có xoay bo 180deg</t>
  </si>
  <si>
    <t>MEC2404030</t>
  </si>
  <si>
    <t>印刷Aライン
In chữ mặt A</t>
  </si>
  <si>
    <t>印刷Aライン　投入機 (180度回転投入有無)
Máy đưa bo line in chữ mặt A (xe Patapata), có Mode xoay bo 180deg or not</t>
  </si>
  <si>
    <t>MEC2404031</t>
  </si>
  <si>
    <t>印刷Aライン　受取機
Máy nhận bo line  in chữ mặt A (xe Patapata), có xoay bo 180deg</t>
  </si>
  <si>
    <t>MEC2404032</t>
  </si>
  <si>
    <t>印刷Bライン
In chữ mặt B</t>
  </si>
  <si>
    <t>印刷Bライン　投入機 (180度回転投入有無)
Máy đưa bo line in chữ mặt B (xe Patapata),  có Mode xoay bo 180deg or not</t>
  </si>
  <si>
    <t>MEC2404033</t>
  </si>
  <si>
    <t>印刷Bライン　受取機
Máy nhận bo line  in chữ mặt B (xe Patapata), có xoay bo 180deg</t>
  </si>
  <si>
    <t>MEC2404034</t>
  </si>
  <si>
    <t>露光Aライン
Line chụp sáng A</t>
  </si>
  <si>
    <t>1 cạnh</t>
  </si>
  <si>
    <t>露光Aライン 　投入機 (90度回転)
Máy đưa bo line in chữ mặt B (xe Patapata),  có xoay bo 90deg</t>
  </si>
  <si>
    <t>MEC2404035</t>
  </si>
  <si>
    <t>20250108-001546-F800</t>
  </si>
  <si>
    <t>CCD穴明 #1</t>
  </si>
  <si>
    <t xml:space="preserve">V rack 45°
H rack </t>
  </si>
  <si>
    <t>CCD穴明機 #1 用 投入機
Máy đưa bo cho máy gia công lỗ CCD#1</t>
  </si>
  <si>
    <t>PR mua động cơ Yaskawa, Oriental, Tsubaki ~ Oct-10, Leadtime; Jan-15,2025
PR mua Robot kawasaki: 25kg : Feb-27, Leadtime: May-05
PR hàng GC cụm LU: Jun-18 --&gt; Jul-10 (leadtime)</t>
  </si>
  <si>
    <t>MEC2404036</t>
  </si>
  <si>
    <t>CCD穴明機 #1 用 受取機
Máy nhận bo cho máy gia công lỗ CCD#1</t>
  </si>
  <si>
    <t>MEC2501034</t>
  </si>
  <si>
    <t>20250212-001546-F800</t>
  </si>
  <si>
    <t>VCP</t>
  </si>
  <si>
    <t>Loading machine for line VCP</t>
  </si>
  <si>
    <t>PR mua Robot kawasaki: 25kg : Feb-27, Leadtime: May-05</t>
  </si>
  <si>
    <t>MEC2501035</t>
  </si>
  <si>
    <t>Unloading machine for line VCP</t>
  </si>
  <si>
    <t>MEC2404026</t>
  </si>
  <si>
    <t>MKC-240530-T01</t>
  </si>
  <si>
    <t>DES</t>
  </si>
  <si>
    <t>N/A</t>
  </si>
  <si>
    <t>Cải tiến lắp thêm đầu đọc 2D và xuất tín hiệu NG cho băng tải Line DES TENDOU</t>
  </si>
  <si>
    <t>MEC2403109</t>
  </si>
  <si>
    <t>MEC2403006</t>
  </si>
  <si>
    <t>VG146-240507C-FE</t>
  </si>
  <si>
    <t>Cải tiến máy 2d barcode số 1 MKVC (nâng cấp máy 1 đang hỏng như máy 2 và 3)</t>
  </si>
  <si>
    <t>2D Barcode Checking</t>
  </si>
  <si>
    <t>MEC2405019</t>
  </si>
  <si>
    <t>VG146-24070052</t>
  </si>
  <si>
    <t>Máy khắc 2D code bo mạch, tự động Load và Unload #2</t>
  </si>
  <si>
    <t>7/Jun phát hành PR hàng TC (các mã leadtime lâu)
MEC2405022 --&gt; Mã trùng</t>
  </si>
  <si>
    <t>MEC2401015</t>
  </si>
  <si>
    <t>VG146-2406201E</t>
  </si>
  <si>
    <t>Máy check 2D code hệ X-Y MKTC</t>
  </si>
  <si>
    <t>1工1F</t>
  </si>
  <si>
    <t>MLB銅メッキ</t>
  </si>
  <si>
    <t>46s/2board</t>
  </si>
  <si>
    <t>L Rack</t>
  </si>
  <si>
    <t>VCP電解銅メッキライン  投入機（Lラック)_1号機
Máy đưa bo Lrack Line mạ đồng VCP (Máy số 1)</t>
  </si>
  <si>
    <t>Load_VCP</t>
  </si>
  <si>
    <t>Bo dày: 0.4~2.0mm
Size: max:535*610,   min:338*510</t>
  </si>
  <si>
    <t>VCP電解銅メッキライン  投入機（Lラック)_2号機
Máy đưa bo Lrack Line mạ đồng VCP (Máy số 21)</t>
  </si>
  <si>
    <t>VCP電解銅メッキライン  投入機（Lラック)_3号機
Máy đưa bo Lrack Line mạ đồng VCP (Máy số 3)</t>
  </si>
  <si>
    <t>VCP電解銅メッキライン  投入機（Lラック)_4号機
Máy đưa bo Lrack Line mạ đồng VCP (Máy số 4)</t>
  </si>
  <si>
    <t>1工2F</t>
  </si>
  <si>
    <t>CZ前処理</t>
  </si>
  <si>
    <t>CZ前処理ライン 投入機（Lラック・合紙）
Máy đưa bo L rack có tấm cách bo line tiền xử lý CZ</t>
  </si>
  <si>
    <t>2工2F</t>
  </si>
  <si>
    <t>静電塗布_前処理</t>
  </si>
  <si>
    <t>CZ前処理ライン  投入機（Vラック)
Máy đưa bo Vrack Line tiền xử lý CZ</t>
  </si>
  <si>
    <t>HDI銅メッキ</t>
  </si>
  <si>
    <t>VCP電気メッキ(#9) 投入機（Vラック・合紙）
Máy đưa bo V rack TYPE 4 line mạ đông #9</t>
  </si>
  <si>
    <t>VCP電気メッキ(#10) 投入機（Vラック・合紙）
Máy đưa bo V rack TYPE 4 line mạ đông #10</t>
  </si>
  <si>
    <t>VCP電気メッキ(#11) 投入機（Vラック・合紙）
Máy đưa bo V rack TYPE 4 line mạ đông #11</t>
  </si>
  <si>
    <t>2工3F</t>
  </si>
  <si>
    <t>HDIフィルドメッキ</t>
  </si>
  <si>
    <t>VCP電気メッキ(#12) 投入機（Vラック・合紙）
Máy đưa bo V rack TYPE 4 line mạ đông #12</t>
  </si>
  <si>
    <t>VCP電気メッキ  投入機（Vラック・合紙）#1
Máy đưa bo V rack TYPE 4 line mạ đông #1</t>
  </si>
  <si>
    <t>VCP電気メッキ  投入機（Vラック・合紙）#2
Máy đưa bo V rack TYPE 4 line mạ đông #2</t>
  </si>
  <si>
    <t>MEC2407002</t>
  </si>
  <si>
    <t>Băng tải thường L600mm</t>
  </si>
  <si>
    <t>MEC2407013</t>
  </si>
  <si>
    <t>VG146-25030010</t>
  </si>
  <si>
    <t>ハーフエッチ #4
Haft Etching</t>
  </si>
  <si>
    <t>投入機（Vラック・合紙）
Máy đưa bo V rack TYPE 4</t>
  </si>
  <si>
    <r>
      <t xml:space="preserve">PR lắp Oct-28, Leadtime: Nov-10
</t>
    </r>
    <r>
      <rPr>
        <sz val="11"/>
        <color rgb="FFFF0000"/>
        <rFont val="Meiryo UI"/>
        <family val="2"/>
      </rPr>
      <t>Lấy máy bán sang mã:MEC2409084 (Trái -&gt; Phải)</t>
    </r>
  </si>
  <si>
    <t>MEC2407014</t>
  </si>
  <si>
    <t>受取機（Vラック, 合紙）
Máy nhận bo V rack TYPE 4</t>
  </si>
  <si>
    <t>MEC2408024</t>
  </si>
  <si>
    <t>VG146-24100042</t>
  </si>
  <si>
    <t>Tiền xử lý CZ</t>
  </si>
  <si>
    <t>Máy đưa bo line tiền xử lý CZ dùng robot Duaro Kawasaki áp dụng mạch FPC</t>
  </si>
  <si>
    <t>MEC2408025</t>
  </si>
  <si>
    <t>VG146-24090021</t>
  </si>
  <si>
    <t>Rửa tấm cách bo</t>
  </si>
  <si>
    <t>Máy đưa bo line rửa tấm cách bo dùng robot Duaro Kawasaki áp dụng mạch FPC</t>
  </si>
  <si>
    <t>Mài tấm SUS</t>
  </si>
  <si>
    <t>Máy Loading line mài tấm SUS</t>
  </si>
  <si>
    <t>Máy Unloading line mài tấm SUS</t>
  </si>
  <si>
    <t>MEC2408016</t>
  </si>
  <si>
    <t>Hanger Stocker Máy nâng bo tạm thời Line TXL #1 FPC</t>
  </si>
  <si>
    <t>Hanh</t>
  </si>
  <si>
    <t>MEC2408017</t>
  </si>
  <si>
    <t>Hanger Stocker Máy nâng bo tạm thời Line TXL #2 FPC</t>
  </si>
  <si>
    <t>MEC2408019</t>
  </si>
  <si>
    <t>Máy cắt băng dính tổ hợp khoan NC- FPC</t>
  </si>
  <si>
    <t>MEC2408032</t>
  </si>
  <si>
    <t>Dịch vụ cải tiến máy 2D bar code số 1 từ hệ robot sang hệ trục XYZ</t>
  </si>
  <si>
    <t>Đã gửi báo giá</t>
  </si>
  <si>
    <t>MEC2409003</t>
  </si>
  <si>
    <t>Máy Unloading Magazine dạng sheet #2</t>
  </si>
  <si>
    <t>MEC2409004</t>
  </si>
  <si>
    <t>VG146-24100022</t>
  </si>
  <si>
    <t>Băng tải thường L 600mm MEC2409004</t>
  </si>
  <si>
    <t>Đã gửi báo giá ngày 13/9/202</t>
  </si>
  <si>
    <t>MEC2409005</t>
  </si>
  <si>
    <t>Băng tải thường L 600mm MEC2409005</t>
  </si>
  <si>
    <t>Đã gửi báo giá ngày 13/9/2024</t>
  </si>
  <si>
    <t>MEC2407011</t>
  </si>
  <si>
    <t>MEC2407012</t>
  </si>
  <si>
    <t>内層回路　DFR#2
Tạo mạch lớp trong DFR#2</t>
  </si>
  <si>
    <t>MEC2407015</t>
  </si>
  <si>
    <t>Trái-phải-tâm</t>
  </si>
  <si>
    <t>穴埋研磨 投入機（L型）
Máy đưa bo L rack  line mài lấp lỗ vĩnh cửu</t>
  </si>
  <si>
    <t>MEC2410001</t>
  </si>
  <si>
    <t>Chụp sáng</t>
  </si>
  <si>
    <t>Băng tải thường PKG Fact.3 2F line chụp sáng</t>
  </si>
  <si>
    <t>Không feed back (có lẽ trùng với các dự án MEC2412015?)</t>
  </si>
  <si>
    <t>MEC2410002</t>
  </si>
  <si>
    <t>Dịch vụ cải tiến máy nhận bo line DFR</t>
  </si>
  <si>
    <t>MEC2409010</t>
  </si>
  <si>
    <t>VG146-24123001</t>
  </si>
  <si>
    <t>HB</t>
  </si>
  <si>
    <t>1F</t>
  </si>
  <si>
    <t>ハーフエッチ
Haft Etch</t>
  </si>
  <si>
    <t>Magazine
rack</t>
  </si>
  <si>
    <t>ハーフエッチ マガジンラックの投入機
Máy đưa bo Magazine rack line Haft Etch</t>
  </si>
  <si>
    <t>Magazine rack LD</t>
  </si>
  <si>
    <t>Hàng gia công cụm LU, Khung đặt lại Apr-10 --&gt; leadtime Apr-25</t>
  </si>
  <si>
    <t>Phase #1</t>
  </si>
  <si>
    <t>MEC2409011</t>
  </si>
  <si>
    <t>ハーフエッチ マガジンラックの受取機
Máy nhận bo Magazine rack line Haft Etch</t>
  </si>
  <si>
    <t>Magazine rack UL</t>
  </si>
  <si>
    <t>Hàng gia công cụm LU, TF H rack, TF tray, mở kẹp, Tool PCB --&gt; PR: Feb-28, leadtime: Mar-20
Hàng gia công cụm LU, Khung đặt lại Apr-10 --&gt; leadtime Apr-25</t>
  </si>
  <si>
    <t>MEC2409012</t>
  </si>
  <si>
    <t>積層前処理 マガジンラックの投入機
Máy đưa bo Magazine rack line Tiền xử lý ép lớp</t>
  </si>
  <si>
    <t>Mar-17 (mail Mr.Mikami) thay đổi Passline 1100 --&gt; 1400mm</t>
  </si>
  <si>
    <t>MEC2409013</t>
  </si>
  <si>
    <t>積層前処理 マガジンラックの受取機
Máy nhận bo Magazine rack line Tiền xử lý ép lớp</t>
  </si>
  <si>
    <t>MEC2409014</t>
  </si>
  <si>
    <t>積層後外周加工
Cắt viền sau ép lớp</t>
  </si>
  <si>
    <t>積層後外周加工 Hラックの投入機
Máy đưa bo H rack line Cắt viền sau ép lớp</t>
  </si>
  <si>
    <t>L.V.Luyện</t>
  </si>
  <si>
    <t>Duy Anh</t>
  </si>
  <si>
    <t>20/07
15/8 -&gt; GC</t>
  </si>
  <si>
    <t>MEC2409015</t>
  </si>
  <si>
    <t>積層後外周加工 マガジンラックの受取機
Máy nhận bo Magazine rack line Cắt viền sau ép lớp</t>
  </si>
  <si>
    <t>MEC2409016</t>
  </si>
  <si>
    <t>VG146-24123002</t>
  </si>
  <si>
    <t>レーザー前処理
Tiền xử lý Laser</t>
  </si>
  <si>
    <t>レーザー前処理 マガジンラックの投入機
Máy đưa bo Magazine rack line Tiền xử lý Laser</t>
  </si>
  <si>
    <t>MEC2409017</t>
  </si>
  <si>
    <t>レーザー前処理 マガジンラックの投入機
Máy nhận bo Magazine rack line Tiền xử lý Laser</t>
  </si>
  <si>
    <t>MEC2409018</t>
  </si>
  <si>
    <t>レーザー穴明機
Khoan　Laser</t>
  </si>
  <si>
    <t>Carrier Device (Load &amp; Unload) for ML605 laser processing HOABINH (ホアビン向けレーザー機用マテハン） #1</t>
  </si>
  <si>
    <t>MEC2409019</t>
  </si>
  <si>
    <t>レーザー後処理
Hậu xử lý Laser</t>
  </si>
  <si>
    <t>レーザー後処理 マガジンラックの投入機
Máy đưa bo Magazine rack line hậu xử lý Laser</t>
  </si>
  <si>
    <t>MEC2409020</t>
  </si>
  <si>
    <t>レーザー後処理 マガジンラックの投入機
Máy nhận bo Magazine rack line hậu xử lý Laser</t>
  </si>
  <si>
    <t>MEC2409021</t>
  </si>
  <si>
    <t>穴洗浄・穴検査
Rửa và kiểm tra lỗ</t>
  </si>
  <si>
    <t>穴洗浄・穴検査 マガジンラックの投入機
Máy đưa bo Magazine rack line Rửa và kiểm tra lỗ</t>
  </si>
  <si>
    <t>MEC2409022</t>
  </si>
  <si>
    <t>VG146-24123003</t>
  </si>
  <si>
    <t>穴洗浄・穴検査 マガジンラックの投入機
Máy nhận bo Magazine rack line Rửa và kiểm tra lỗ</t>
  </si>
  <si>
    <t>MEC2409023</t>
  </si>
  <si>
    <t>デスミア
Desmear</t>
  </si>
  <si>
    <t>デスミア マガジンラックの投入機
Máy đưa bo Magazine rack line Desmear</t>
  </si>
  <si>
    <t>MEC2409024</t>
  </si>
  <si>
    <t>デスミア マガジンラックの投入機
Máy nhận bo Magazine rack line Desmear</t>
  </si>
  <si>
    <t>MEC2409025</t>
  </si>
  <si>
    <t>化学銅・フラッシュめっき
Mạ hóa</t>
  </si>
  <si>
    <t>化学銅・フラッシュめっき マガジンラックの投入機
Máy đưa bo Magazine rack line Mạ hóa</t>
  </si>
  <si>
    <t>MEC2409026</t>
  </si>
  <si>
    <t>化学銅・フラッシュめっき マガジンラックの投入機
Máy nhận bo Magazine rack line Mạ hóa</t>
  </si>
  <si>
    <t>MEC2409027</t>
  </si>
  <si>
    <t>フィルドメッキ（X-VIA）
Filled (X-VIA)</t>
  </si>
  <si>
    <t>2 Edge</t>
  </si>
  <si>
    <t>フィルドメッキ（X-VIA） マガジンラックの投入機
Máy đưa bo Magazine rack line Filled (X-VIA)</t>
  </si>
  <si>
    <t>KSDW</t>
  </si>
  <si>
    <t>MEC2409028</t>
  </si>
  <si>
    <t>VG146-24123004</t>
  </si>
  <si>
    <t>フィルドメッキ（X-VIA） Magazine rack の投入機
Máy nhận bo Magazine rack line Filled (X-VIA)</t>
  </si>
  <si>
    <t>MEC2409029</t>
  </si>
  <si>
    <t>フィルドめっき</t>
  </si>
  <si>
    <t xml:space="preserve">フィルドメッキ マガジンラックの投入機
Máy đưa bo Magazine rack line Filled </t>
  </si>
  <si>
    <t>MEC2409030</t>
  </si>
  <si>
    <t xml:space="preserve">フィルドメッキ Magazine rack の投入機
Máy nhận bo Magazine rack line Filled </t>
  </si>
  <si>
    <t>MEC2409031</t>
  </si>
  <si>
    <t>DES Magazine rack の投入機
Máy đưa bo Magazine rack line DES</t>
  </si>
  <si>
    <t>MEC2409032</t>
  </si>
  <si>
    <t>DES マガジンラックの受取機
Máy nhận bo Magazine rack line DES</t>
  </si>
  <si>
    <t>MEC2409033</t>
  </si>
  <si>
    <t>DFR</t>
  </si>
  <si>
    <t>DFR Magazine rack の投入機
Máy đưa bo Magazine rack line DFR</t>
  </si>
  <si>
    <t>MEC2409034</t>
  </si>
  <si>
    <t>DFR　ストッカー
Hanger Stock DFR</t>
  </si>
  <si>
    <t>Hanger stock FIFO</t>
  </si>
  <si>
    <t>MEC2409035</t>
  </si>
  <si>
    <t>DFR　冷却機
Máy làm mát DFR</t>
  </si>
  <si>
    <t>Flat cooling</t>
  </si>
  <si>
    <t>MEC2409036</t>
  </si>
  <si>
    <t>VG146-24123005</t>
  </si>
  <si>
    <t>DFR Magazine rack の受取機
Máy nhận bo Magazine rack line DFR</t>
  </si>
  <si>
    <t>MEC2409037</t>
  </si>
  <si>
    <t>DI 露光
Chụp sáng DI</t>
  </si>
  <si>
    <t>DI 露光 Magazine rack の投入機
Máy đưa bo Magazine rack line Chụp sáng DI</t>
  </si>
  <si>
    <t>MEC2409038</t>
  </si>
  <si>
    <t>DI 露光 　ストッカー
Hanger Stock chụp sáng DI</t>
  </si>
  <si>
    <t>MEC2409039</t>
  </si>
  <si>
    <t>DI 露光 Magazine rack の受取機
Máy nhận bo Magazine rack line Chụp sáng DI</t>
  </si>
  <si>
    <t>Mar-17 (mail Mr.Mikami) thay đổi Passline 1100 --&gt; 800mm</t>
  </si>
  <si>
    <t>MEC2409040</t>
  </si>
  <si>
    <t>MSAP　現象
Hiện ảnh MSAP</t>
  </si>
  <si>
    <t>MSAP　現象 Magazine rack の投入機
Máy đưa bo Magazine rack line Hiện ảnh MSAP</t>
  </si>
  <si>
    <t>MEC2409041</t>
  </si>
  <si>
    <t>MSAP　現象 マガジンラックの受取機
Máy nhận bo Magazine rack line Hiện ảnh MSAP</t>
  </si>
  <si>
    <t>MEC2409042</t>
  </si>
  <si>
    <t>VG146-24123006</t>
  </si>
  <si>
    <t>MSAP　プラズマ
MSAP　Plasma</t>
  </si>
  <si>
    <t>MSAP　プラズマ マガジンラックの投入機
Máy đưa bo Magazine rack line MSAP　Plasma</t>
  </si>
  <si>
    <t>Magazine rack LD 
Plasma</t>
  </si>
  <si>
    <t>Cần đưa bo đến vị trí chỉ định trong máy Plasma
Phát hành các cụm không thay đỏi Jun-16 (TR Tray, LU, Fix xe)</t>
  </si>
  <si>
    <t>MEC2409043</t>
  </si>
  <si>
    <t>MSAP　プラズマ  マガジンラックの受取機
Máy nhận bo Magazine rack line MSAP　Plasma</t>
  </si>
  <si>
    <t>Magazine rack UL 
Plasma</t>
  </si>
  <si>
    <t>Phát hành các cụm không thay đỏi Jun-16 (TR Tray, LU, Fix xe)
Jul-14 phát hành hàng gia công cơ khí --&gt; Deadline; Jul-30</t>
  </si>
  <si>
    <t>MEC2409044</t>
  </si>
  <si>
    <t>MSAP パターンメッキ
Mạ từng phần MSAP</t>
  </si>
  <si>
    <t>MSAP パターンメッキ マガジンラックの投入機
Máy đưa bo Magazine rack line Mạ từng phần MSAP</t>
  </si>
  <si>
    <t>Magazine rack 
Robot LD</t>
  </si>
  <si>
    <t>Cần đưa trực tiếp bo lên JIG mạ, 
Jig mã dừng và kẹp trên dưới</t>
  </si>
  <si>
    <t>MEC2409045</t>
  </si>
  <si>
    <t>MSAP パターンメッキ  マガジンラックの受取機
Máy nhận bo Magazine rack line Mạ từng phần MSAP</t>
  </si>
  <si>
    <t>MEC2409046</t>
  </si>
  <si>
    <t>MSAP 剥離
Bóc màng MSAP</t>
  </si>
  <si>
    <t>MSAP 剥離 マガジンラックの投入機
Máy đưa bo Magazine rack line Bóc màng MSAP</t>
  </si>
  <si>
    <t>MEC2409047</t>
  </si>
  <si>
    <t>MSAP 剥離  マガジンラックの受取機
Máy nhận bo Magazine rack line Bóc màng MSAP</t>
  </si>
  <si>
    <t>MEC2409048</t>
  </si>
  <si>
    <t>VG146-24123007</t>
  </si>
  <si>
    <t>MSAP アニーリング
Annealing MSAP</t>
  </si>
  <si>
    <t>MSAP アニーリング マガジンラックの投入機
Máy đưa bo Magazine rack line Annealing MSAP</t>
  </si>
  <si>
    <t>MEC2409049</t>
  </si>
  <si>
    <t>MSAP アニーリング  マガジンラックの受取機
Máy nhận bo Magazine rack line Annealing MSAP</t>
  </si>
  <si>
    <t>MEC2409050</t>
  </si>
  <si>
    <t>MSAP フラッシュ
Flash MSAP</t>
  </si>
  <si>
    <t>MSAP フラッシュ マガジンラックの投入機
Máy đưa bo Magazine rack line Flash MSAP</t>
  </si>
  <si>
    <t>MEC2409051</t>
  </si>
  <si>
    <t>MSAP フラッシュ  マガジンラックの受取機
Máy nhận bo Magazine rack line Flash MSAP</t>
  </si>
  <si>
    <t>MEC2409052</t>
  </si>
  <si>
    <t>MSAP AOI</t>
  </si>
  <si>
    <t>MSAP AOI マガジンラックの投入機
Máy đưa bo Magazine rack line MSAP AOI</t>
  </si>
  <si>
    <t>Magazine rack AOI</t>
  </si>
  <si>
    <t>Thiết kế dạng máy LD-ULD Laser, có làm sạch.
Không cần phun mực in chữ</t>
  </si>
  <si>
    <t>MEC2409053</t>
  </si>
  <si>
    <t>MSAP AOI  マガジンラックの受取機
Máy nhận bo Magazine rack line MSAP AOI</t>
  </si>
  <si>
    <t>MEC2409054</t>
  </si>
  <si>
    <t>VG146-24123008</t>
  </si>
  <si>
    <r>
      <rPr>
        <strike/>
        <sz val="11"/>
        <rFont val="Meiryo UI"/>
        <family val="2"/>
      </rPr>
      <t xml:space="preserve">MSAP　VRS
</t>
    </r>
    <r>
      <rPr>
        <sz val="11"/>
        <rFont val="Meiryo UI"/>
        <family val="2"/>
      </rPr>
      <t>二次コード加工2D code maker</t>
    </r>
  </si>
  <si>
    <r>
      <rPr>
        <b/>
        <sz val="11"/>
        <color rgb="FFFF0000"/>
        <rFont val="Meiryo UI"/>
        <family val="2"/>
      </rPr>
      <t>二次コード加工</t>
    </r>
    <r>
      <rPr>
        <sz val="11"/>
        <rFont val="Meiryo UI"/>
        <family val="2"/>
      </rPr>
      <t xml:space="preserve"> マガジンラックの投入機
Máy đưa bo Magazine rack line </t>
    </r>
    <r>
      <rPr>
        <sz val="11"/>
        <color rgb="FFFF0000"/>
        <rFont val="Meiryo UI"/>
        <family val="2"/>
      </rPr>
      <t>2D code maker</t>
    </r>
  </si>
  <si>
    <t>Đổi sang Line 2D code maker (Feb-26)</t>
  </si>
  <si>
    <t>MEC2409055</t>
  </si>
  <si>
    <r>
      <rPr>
        <b/>
        <sz val="11"/>
        <color rgb="FFFF0000"/>
        <rFont val="Meiryo UI"/>
        <family val="2"/>
      </rPr>
      <t>二次コード加工</t>
    </r>
    <r>
      <rPr>
        <sz val="11"/>
        <rFont val="Meiryo UI"/>
        <family val="2"/>
      </rPr>
      <t xml:space="preserve">  マガジンラックの受取機
Máy nhận bo Magazine rack line </t>
    </r>
    <r>
      <rPr>
        <sz val="11"/>
        <color rgb="FFFF0000"/>
        <rFont val="Meiryo UI"/>
        <family val="2"/>
      </rPr>
      <t>2D code maker</t>
    </r>
  </si>
  <si>
    <t>MEC2409056</t>
  </si>
  <si>
    <t>SR　前処理
Tiền xử lý SR</t>
  </si>
  <si>
    <t>SR　前処理 マガジンラックの投入機
Máy đưa bo Magazine rack line tiền xử lý SR</t>
  </si>
  <si>
    <t>MEC2409057</t>
  </si>
  <si>
    <t>SR　前処理　冷却機
Máy làm mát bo mạch line tiền xử lý SR</t>
  </si>
  <si>
    <t>MEC2409058</t>
  </si>
  <si>
    <t>SR　前処理  マガジンラックの受取機
Máy nhận bo Magazine rack line Tiền xử lý SR</t>
  </si>
  <si>
    <t>MEC2409059</t>
  </si>
  <si>
    <t>SR　印刷→セミキュー
In chữ ~ Semi cure SR</t>
  </si>
  <si>
    <t>SR　印刷→セミキュー マガジンラックの投入機
Máy đưa bo Magazine rack line In chữ ~ Semi cure SR</t>
  </si>
  <si>
    <t>MEC2409060</t>
  </si>
  <si>
    <t>VG146-24123009</t>
  </si>
  <si>
    <t>SR　印刷→セミキュー   マガジンラックの受取機
Máy nhận bo Magazine rack line In chữ ~ Semi cure SR</t>
  </si>
  <si>
    <t>MEC2409061</t>
  </si>
  <si>
    <t>SR DI 露光
Chụp sáng DI　SR</t>
  </si>
  <si>
    <t>SR DI 露光 マガジンラックの投入機
Máy đưa bo Magazine rack line Chụp sáng DI　SR</t>
  </si>
  <si>
    <t>MEC2409062</t>
  </si>
  <si>
    <t>SR DI 露光   マガジンラックの受取機
Máy nhận bo Magazine rack line Chụp sáng DI　SR</t>
  </si>
  <si>
    <t>MEC2409063</t>
  </si>
  <si>
    <t>SR　現象～ポストキュー
SR Hiện ảnh ~ Postcure</t>
  </si>
  <si>
    <t xml:space="preserve">SR　現象～ポストキュー マガジンラックの投入機
Máy đưa bo Magazine rack line SR Hiện ảnh ~ Postcure </t>
  </si>
  <si>
    <t>MEC2409064</t>
  </si>
  <si>
    <t>SR　現象～ポストキュー   マガジンラックの受取機
Máy nhận bo Magazine rack line SR Hiện ảnh ~ Postcure</t>
  </si>
  <si>
    <t>MEC2409065</t>
  </si>
  <si>
    <t>MASK DFR～露光
MASK DFR~Chụp sáng</t>
  </si>
  <si>
    <t xml:space="preserve">MASK DFR～露光 マガジンラックの投入機
Máy đưa bo Magazine rack line MASK DFR~Chụp sáng </t>
  </si>
  <si>
    <t>MEC2409066</t>
  </si>
  <si>
    <t>VG146-24123010</t>
  </si>
  <si>
    <t xml:space="preserve">MASK DFR～露光 ストッカー
Hanger stock line MASK DFR~Chụp sáng </t>
  </si>
  <si>
    <t>MEC2409067</t>
  </si>
  <si>
    <t>MASK DFR～露光　冷却機
Máy làm mát bo mạch line MASK DFR~Chụp sáng</t>
  </si>
  <si>
    <t>MEC2409068</t>
  </si>
  <si>
    <t>MEC2409069</t>
  </si>
  <si>
    <t>MASK DFR～露光 Magazine rackの受取機
Máy nhận bo Magazine rack line MASK DFR~Chụp sáng</t>
  </si>
  <si>
    <t>MEC2409070</t>
  </si>
  <si>
    <t>MASK現象～ポストキュア
MASK Hiện ảnh ~ Postcure</t>
  </si>
  <si>
    <t>MASK現象～ポストキュア Magazine rackの投入機
Máy đưa bo Magazine rack line MASK Hiện ảnh ~ Postcure</t>
  </si>
  <si>
    <t>MEC2409071</t>
  </si>
  <si>
    <t>MASK現象～ポストキュア Magazine rackの受取機
Máy nhận bo Magazine rack line MASK Hiện ảnh ~ Postcure</t>
  </si>
  <si>
    <t>MEC2409072</t>
  </si>
  <si>
    <t>VG146-24123011</t>
  </si>
  <si>
    <t>MASK　剥離
MASK Bóc màng</t>
  </si>
  <si>
    <t>MASK　剥離 Magazine rackの投入機
Máy đưa bo Magazine rack line MASK Bóc màng</t>
  </si>
  <si>
    <t>MEC2409073</t>
  </si>
  <si>
    <t>MASK　剥離　冷却機
Máy làm mát bo mạch line MASK Bóc màng</t>
  </si>
  <si>
    <t>MEC2409074</t>
  </si>
  <si>
    <t>MASK　剥離 Magazine rackの受取機
Máy nhận bo Magazine rack line MASK Bóc màng</t>
  </si>
  <si>
    <t>MEC2409075</t>
  </si>
  <si>
    <t>金メッキ　前処理
Tiền xử lý mạ vàng</t>
  </si>
  <si>
    <t>金メッキ　前処理 Magazine rackの投入機
Máy đưa bo Magazine rack line Tiền xử lý mạ vàng</t>
  </si>
  <si>
    <t>MEC2409076</t>
  </si>
  <si>
    <t>金メッキ　前処理 Magazine rackの受取機
Máy nhận bo Magazine rack line Tiền xử lý mạ vàng</t>
  </si>
  <si>
    <t>MEC2409077</t>
  </si>
  <si>
    <t>金メッキ　後処理
Hậu xử lý mạ vàng</t>
  </si>
  <si>
    <t>金メッキ　後処理 Magazine rackの受取機
Máy nhận bo Magazine rack line Hậu xử lý mạ vàng</t>
  </si>
  <si>
    <t>MEC2409078</t>
  </si>
  <si>
    <t>VG146-24123012</t>
  </si>
  <si>
    <t>OSP　個片多列水平　投入機
Máy đưa bo nhiều hàng line OSP</t>
  </si>
  <si>
    <t>Sheet LD MKHC</t>
  </si>
  <si>
    <t>MEC2409079</t>
  </si>
  <si>
    <t>OSP　個片多列水平　受取機
Máy nhận bo nhiều hàng line OSP</t>
  </si>
  <si>
    <t>Sheet UL MKHC</t>
  </si>
  <si>
    <t>MEC2409080</t>
  </si>
  <si>
    <t>OSP 剥離
Bóc màng OSP</t>
  </si>
  <si>
    <t>OSP 剥離　個片多列水平　投入機
Máy đưa bo nhiều hàng line Bóc màng OSP</t>
  </si>
  <si>
    <t>MEC2409081</t>
  </si>
  <si>
    <t>OSP 剥離 個片多列水平　受取機
Máy nhận bo nhiều hàng line Bóc màng OSP</t>
  </si>
  <si>
    <t>MEC2409082</t>
  </si>
  <si>
    <t>最終洗浄
Rửa nước cuối cùng</t>
  </si>
  <si>
    <t>最終洗浄　個片多列水平　投入機
Máy đưa bo nhiều hàng line Rửa nước cuối cùng</t>
  </si>
  <si>
    <t>MEC2409083</t>
  </si>
  <si>
    <t>最終洗浄 個片多列水平　受取機
Máy nhận bo nhiều hàng line Rửa nước cuối cùng</t>
  </si>
  <si>
    <t>MEC2409084</t>
  </si>
  <si>
    <t>VG146-24100009</t>
  </si>
  <si>
    <t>Optima AOI Inline</t>
  </si>
  <si>
    <t>InlineAOIライン 投入機（Vラック・合紙）
Máy đưa bo V rack TYPE 4 MEC2409084</t>
  </si>
  <si>
    <t>MEC2409085</t>
  </si>
  <si>
    <t>InlineAOIライン 投入機（Vラック・合紙）
Máy đưa bo V rack TYPE 4 MEC2409085</t>
  </si>
  <si>
    <t>MEC2409095</t>
  </si>
  <si>
    <t>2412430004
2412430005</t>
  </si>
  <si>
    <t>Carrier Device (Load &amp; Unload) for ML605 laser processing, VUHAN - Standard version system (武漢向けレーザー機用マテハン標準機) 01</t>
  </si>
  <si>
    <t>Gửi báo giá sang SALE ngày 03/10/2024</t>
  </si>
  <si>
    <t>MEC2409096</t>
  </si>
  <si>
    <t>Carrier Device (Load &amp; Unload) for ML605 laser processing, VUHAN - Standard version system (武漢向けレーザー機用マテハン標準機) 02</t>
  </si>
  <si>
    <t>MEC2409097</t>
  </si>
  <si>
    <t>Carrier Device (Load &amp; Unload) for ML605 laser processing, VUHAN - Standard version system (武漢向けレーザー機用マテハン標準機) 03</t>
  </si>
  <si>
    <t>MEC2409098</t>
  </si>
  <si>
    <t>Carrier Device (Load &amp; Unload) for ML605 laser processing, VUHAN - Standard version system (武漢向けレーザー機用マテハン標準機) 04</t>
  </si>
  <si>
    <t>MEC2409099</t>
  </si>
  <si>
    <t>Carrier Device (Load &amp; Unload) for ML605 laser processing, VUHAN - Standard version system (武漢向けレーザー機用マテハン標準機) 05</t>
  </si>
  <si>
    <t>MEC2409100</t>
  </si>
  <si>
    <t>VG146-25043003</t>
  </si>
  <si>
    <t>Carrier Device (Load &amp; Unload) for ML605 laser processing HOABINH (ホアビン向けレーザー機用マテハン） #2</t>
  </si>
  <si>
    <t>MEC2409102</t>
  </si>
  <si>
    <t>20251225-002805-F800-1</t>
  </si>
  <si>
    <t>2F Laser</t>
  </si>
  <si>
    <t>Loading &amp; Unloading machine for Laser ML605 GTW6  for Tendo factory #4</t>
  </si>
  <si>
    <t>T.Phi</t>
  </si>
  <si>
    <t>MEC2409103</t>
  </si>
  <si>
    <t>Máy đưa bo kiểm tra cong vênh</t>
  </si>
  <si>
    <t>MEC2410024</t>
  </si>
  <si>
    <t>VG146-25010043</t>
  </si>
  <si>
    <t>1F 積層
Ép lớp 1F</t>
  </si>
  <si>
    <t>V-Bond #1</t>
  </si>
  <si>
    <t>1000±50</t>
  </si>
  <si>
    <t>≦2kg</t>
  </si>
  <si>
    <t>1F 積層　V-Bond #1  投入機（Vラック)
Máy đưa bo Vrack Line V-Bond #1 ép lớp 1F</t>
  </si>
  <si>
    <t>Đ.Phú</t>
  </si>
  <si>
    <t>24-A0001</t>
  </si>
  <si>
    <t>MEC2410025</t>
  </si>
  <si>
    <t>1F 積層　V-Bond #1 一般コンベヤー
Băng tải thường Line V-Bond #1 ép lớp 1F</t>
  </si>
  <si>
    <t>K.Huy</t>
  </si>
  <si>
    <t>24-A0011</t>
  </si>
  <si>
    <t>MEC2410026</t>
  </si>
  <si>
    <t>V-Bond #2</t>
  </si>
  <si>
    <t>1F 積層　V-Bond #2  投入機（Vラック)
Máy đưa bo Vrack Line V-Bond #2 ép lớp 1F</t>
  </si>
  <si>
    <t>MEC2410027</t>
  </si>
  <si>
    <t>1F 積層　V-Bond #2 一般コンベヤー
Băng tải thường Line V-Bond #2 ép lớp 1F</t>
  </si>
  <si>
    <t>MEC2410028</t>
  </si>
  <si>
    <t>外周加工ライン
Cắt viền</t>
  </si>
  <si>
    <t>4kg</t>
  </si>
  <si>
    <r>
      <t>1F 積層　外周加工ライン  投入機（</t>
    </r>
    <r>
      <rPr>
        <sz val="11"/>
        <color rgb="FFFF0000"/>
        <rFont val="Meiryo UI"/>
        <family val="2"/>
      </rPr>
      <t>Hラック</t>
    </r>
    <r>
      <rPr>
        <sz val="11"/>
        <rFont val="Meiryo UI"/>
        <family val="2"/>
      </rPr>
      <t xml:space="preserve">)
Máy đưa bo </t>
    </r>
    <r>
      <rPr>
        <sz val="11"/>
        <color rgb="FFFF0000"/>
        <rFont val="Meiryo UI"/>
        <family val="2"/>
      </rPr>
      <t>Hrack</t>
    </r>
    <r>
      <rPr>
        <sz val="11"/>
        <rFont val="Meiryo UI"/>
        <family val="2"/>
      </rPr>
      <t xml:space="preserve"> Line cắt viền Ép lớp 1F</t>
    </r>
  </si>
  <si>
    <t>Cooling sys</t>
  </si>
  <si>
    <t>Chữ 田 t2.0</t>
  </si>
  <si>
    <t>MEC2410029</t>
  </si>
  <si>
    <t>1F 積層　外周加工ライン  整列コンベヤー
Băng tải căn bo Line cắt viền Ép lớp 1F</t>
  </si>
  <si>
    <t>Alignment Conveyor</t>
  </si>
  <si>
    <t>MEC2410030</t>
  </si>
  <si>
    <t>VG146-25010044</t>
  </si>
  <si>
    <t>1F 積層　外周加工ライン  受取機（Vラック)
Máy nhận bo Vrack Line cắt viền Ép lớp 1F</t>
  </si>
  <si>
    <t>Tray　chữ 口</t>
  </si>
  <si>
    <t>MEC2410031</t>
  </si>
  <si>
    <t>Laser
Laser 1F</t>
  </si>
  <si>
    <t>レーザ加工前処理
Tiền xử lý Laser</t>
  </si>
  <si>
    <t>1F 積層　レーザ加工前処理ライン  投入機
Máy đưa bo Line tiền xử lý Laser 1F</t>
  </si>
  <si>
    <t>Racking LD</t>
  </si>
  <si>
    <t>MEC2410032</t>
  </si>
  <si>
    <t>Laser 
H rack</t>
  </si>
  <si>
    <t>1F 積層　レーザ加工前処理ライン  受取機
Máy nhận bo Line tiền xử lý Laser 1F</t>
  </si>
  <si>
    <t>Racking ULD</t>
  </si>
  <si>
    <t>MEC2410033</t>
  </si>
  <si>
    <t>1F 穴明
Khoan NC 1F</t>
  </si>
  <si>
    <t>穴洗浄ライン
Rửa sau khoan NC</t>
  </si>
  <si>
    <t>Trái-phải</t>
  </si>
  <si>
    <t>1F　穴明け　洗浄工ライン  投入機（Vラック)
Máy đưa bo Vrack Line Rửa sau khoan NC 1F</t>
  </si>
  <si>
    <t>Jan-21, thay đổi hướng máy Trái -&gt; phải thành Phải --&gt; trái.
Khung PR phát hành Mar-31, -&gt; Leadtime: Apr-10</t>
  </si>
  <si>
    <t>MEC2410034</t>
  </si>
  <si>
    <t>1F　穴明け　洗浄工ライン  整列コンベヤー
Băng tải căn bo Line Rửa sau khoan NC 1F</t>
  </si>
  <si>
    <t>Jan-21, thay đổi hướng máy Trái -&gt; phải thành Phải --&gt; trái.</t>
  </si>
  <si>
    <t>MEC2410035</t>
  </si>
  <si>
    <t>1F　穴明け　洗浄工ライン  ストッカー(NG基板）
Máy nâng bo tạm thời Line Rửa sau khoan NC 1F (Bo NG)</t>
  </si>
  <si>
    <t>Do nối liền line DFR, xác nhận cần hay không?
Jan-21, thay đổi hướng máy Trái -&gt; phải thành Phải --&gt; trái.</t>
  </si>
  <si>
    <t>MEC2410036</t>
  </si>
  <si>
    <t>1F　穴明け　洗浄工ライン  受取機（Vラック)
Máy nhận bo Vrack Line Rửa sau khoan NC 1F</t>
  </si>
  <si>
    <t>MEC2410037</t>
  </si>
  <si>
    <t>VG146-25010052</t>
  </si>
  <si>
    <t>２F　内層回路
Tạo mạch trong 2F</t>
  </si>
  <si>
    <t>DFRラミネーター
Line DFR</t>
  </si>
  <si>
    <t>2 V rack</t>
  </si>
  <si>
    <t>２F　内層回路　DFRラミネーター  投入機（ダブルVラック、レーザー刻印機付き)
Máy đưa bo Vrack Line DFR tạo mạch trong 2F (2 V rack)</t>
  </si>
  <si>
    <t>TYPE 3 +</t>
  </si>
  <si>
    <t>Đầu khắc Keyence đã đặt, cuối tháng 5 về MKAC
Robot đã đặt --&gt; Jul/26 về MKAC</t>
  </si>
  <si>
    <t>MEC2410038</t>
  </si>
  <si>
    <t>２F　内層回路　DFRラミネーター  ストッカー 
Máy nâng bo tạm thời Line DFR tạo mạch trong 2F</t>
  </si>
  <si>
    <t>MEC2410039</t>
  </si>
  <si>
    <t>２F　内層回路　DFRラミネーター  整列機
Băng tải căn bo Line DFR tạo mạch trong 2F</t>
  </si>
  <si>
    <t>MEC2410040</t>
  </si>
  <si>
    <t>２F　内層回路　DFRラミネーター  冷却機 #1
Máy　làm mát bo Line DFR tạo mạch trong 2F</t>
  </si>
  <si>
    <t>Flip &amp; Cooling</t>
  </si>
  <si>
    <t>T.Quỳnh</t>
  </si>
  <si>
    <t>MEC2410041</t>
  </si>
  <si>
    <t>２F　内層回路　DFRラミネーター  冷却機 #2
Máy　làm mát bo Line DFR tạo mạch trong 2F</t>
  </si>
  <si>
    <t>MEC2410042</t>
  </si>
  <si>
    <t>VG146-25010053</t>
  </si>
  <si>
    <t>MEC2410043</t>
  </si>
  <si>
    <t>２F　内層回路　DFRラミネーター  整列コンベヤー
Băng tải căn bo Line DFR tạo mạch trong 2F</t>
  </si>
  <si>
    <t>Nov-29 họp cùng Mr Dương PE --&gt; Băng tải căn bo</t>
  </si>
  <si>
    <t>MEC2410044</t>
  </si>
  <si>
    <t>DI露光ライン DFR
Line Chụp sáng DI</t>
  </si>
  <si>
    <t>２F　内層回路　DI 露光ライン  ストッカー 
Máy nâng bo tạm thời Line chụp sáng DI tạo mạch trong 2F</t>
  </si>
  <si>
    <t>MEC2410045</t>
  </si>
  <si>
    <t>２F　内層回路　DI 露光ライン  受取機（Vラック)
Máy nhận bo Vrack Line chụp sáng DI tạo mạch trong 2F</t>
  </si>
  <si>
    <t>MEC2410046</t>
  </si>
  <si>
    <t>DES #1 (DFR)</t>
  </si>
  <si>
    <t>２F　内層回路　DES#1  投入機（Vラック)
Máy đưa bo Vrack Line DES #1 tạo mạch trong 2F</t>
  </si>
  <si>
    <t>Jan-21, thay đổi hướng máy Phải --&gt; trái thành Trái -&gt; phải.</t>
  </si>
  <si>
    <t>MEC2410047</t>
  </si>
  <si>
    <t>VG146-25010054</t>
  </si>
  <si>
    <t>２F　内層回路　DES #1 (DFR)  ストッカー 
Máy nâng bo tạm thời Line DES#1 (DFR) tạo mạch trong 2F</t>
  </si>
  <si>
    <t>MEC2410048</t>
  </si>
  <si>
    <t>２F　内層回路　DES #1 (DFR)  整列コンベヤー
Băng tải căn bo Line DES#1 (DFR) tạo mạch trong 2F</t>
  </si>
  <si>
    <t>MEC2501009</t>
  </si>
  <si>
    <t>VG146-25010063</t>
  </si>
  <si>
    <t>２F　内層回路　DES #1 (DFR)    冷却機
Máy làm mát bo Line DES#1 (DFR) tạo mạch trong 2F</t>
  </si>
  <si>
    <t>MEC2410050</t>
  </si>
  <si>
    <t>4 V rack</t>
  </si>
  <si>
    <t>２F　内層回路　DES#1  受取機（4 Vラック, OK-NG判別)
Máy nhận bo 4Vrack Line DES #1 tạo mạch trong 2F (phân biệt OK-NG_</t>
  </si>
  <si>
    <t>TYPE 10 UL</t>
  </si>
  <si>
    <t>MEC2410051</t>
  </si>
  <si>
    <t>LPR #1</t>
  </si>
  <si>
    <t>２F　内層回路　LPR#1  投入機（ダブルVラック、レーザー刻印機付き)
Máy đưa bo Vrack Line LPR #1 tạo mạch trong 2F (2 V rack)</t>
  </si>
  <si>
    <t>Double cart +</t>
  </si>
  <si>
    <t>MEC2410052</t>
  </si>
  <si>
    <t>２F　内層回路　LPR#1  冷却機 (エアコン付き）
Máy　làm mát bo Line LPR#1 tạo mạch trong 2F (Có điều hòa)</t>
  </si>
  <si>
    <t>MEC2410053</t>
  </si>
  <si>
    <t>VG146-25010055</t>
  </si>
  <si>
    <t>MEC2410054</t>
  </si>
  <si>
    <t>２F　内層回路　LPR #1 (DFR)  ストッカー 
Máy nâng bo tạm thời Line LPR#1 (DFR) tạo mạch trong 2F</t>
  </si>
  <si>
    <t>MEC2410055</t>
  </si>
  <si>
    <t>２F　内層回路　LPR#1  反転可能整列コンベヤー
Băng tải nâng bo có chức năng lật Line LPR tạo mạch trong 2F</t>
  </si>
  <si>
    <t>Bounup + Alignment CV</t>
  </si>
  <si>
    <t>MEC2410056</t>
  </si>
  <si>
    <t>DI露光ライン LPR#1
Line Chụp sáng DI LPR#1</t>
  </si>
  <si>
    <t>２F　内層回路　DI露光ライン LPR#1  ストッカー (NG基板） 
Máy nâng bo　NG tạm thời Line chụp sáng DI LPR#1 tạo mạch trong 2F</t>
  </si>
  <si>
    <t>MEC2410057</t>
  </si>
  <si>
    <t>２F　内層回路　DI露光ライン LPR#1  冷却機 
Máy　làm mát bo Line chụp sáng DI LPR#1 tạo mạch trong 2F</t>
  </si>
  <si>
    <t>Do kết nối với chụp sáng --&gt; có cần máy hay không?</t>
  </si>
  <si>
    <t>MEC2410058</t>
  </si>
  <si>
    <t>VG146-25010056</t>
  </si>
  <si>
    <t>Do kết nối với DFR --&gt; Có cần máy hay không?</t>
  </si>
  <si>
    <t>MEC2410059</t>
  </si>
  <si>
    <t>MEC2410060</t>
  </si>
  <si>
    <t>２F　内層回路　DI露光ライン LPR#1  ストッカー 
Máy nâng bo tạm thời Line chụp sáng DI LPR#1 tạo mạch trong 2F</t>
  </si>
  <si>
    <t>MEC2410061</t>
  </si>
  <si>
    <t>２F　内層回路　DI露光ライン LPR#1  反転可能整列コンベヤー
Băng tải nâng bo có chức năng lật Line chụp sáng DI LPR#1 tạo mạch trong 2F</t>
  </si>
  <si>
    <t>MEC2410062</t>
  </si>
  <si>
    <t>DES (LPR#1)
Line DES (LPR#1)</t>
  </si>
  <si>
    <t>２F　内層回路　DES (LPR#1)  ストッカー 
Máy nâng bo tạm thời Line DES (LPR#1) tạo mạch trong 2F</t>
  </si>
  <si>
    <t>MEC2410063</t>
  </si>
  <si>
    <t>VG146-25010057</t>
  </si>
  <si>
    <t>２F　内層回路　DES (LPR#1)  整列機
Băng tải căn bo Line DES (LPR#1) tạo mạch trong 2F</t>
  </si>
  <si>
    <t>MEC2410064</t>
  </si>
  <si>
    <t>２F　内層回路　DES (LPR#1)  冷却機 
Máy　làm mát bo Line DES (LPR#1) tạo mạch trong 2F</t>
  </si>
  <si>
    <t>MEC2410065</t>
  </si>
  <si>
    <t>MEC2410066</t>
  </si>
  <si>
    <t>２F　内層回路　DES (LPR#1)  受取機（4 Vラック, OK-NG判別)
Máy nhận bo 4Vrack có phân tách bo OK/NG Line DES (LPR#1) tạo mạch trong 2F</t>
  </si>
  <si>
    <t>Sti</t>
  </si>
  <si>
    <t>MEC2410067</t>
  </si>
  <si>
    <t>LPR #2</t>
  </si>
  <si>
    <t>２F　内層回路　LPR#2  投入機（ダブルVラック、レーザー刻印機付き)
Máy đưa bo Vrack Line LPR #2 tạo mạch trong 2F (2 V rack)</t>
  </si>
  <si>
    <t>MEC2410068</t>
  </si>
  <si>
    <t>２F　内層回路　LPR#2  冷却機  (エアコン付き）
Máy　làm mát bo Line LPR#2 tạo mạch trong 2F (Có điều hòa)</t>
  </si>
  <si>
    <t>MEC2410069</t>
  </si>
  <si>
    <t>VG146-25010058</t>
  </si>
  <si>
    <t>MEC2410070</t>
  </si>
  <si>
    <t>２F　内層回路　LPR #2 (DFR)  ストッカー 
Máy nâng bo tạm thời Line LPR#2 (DFR) tạo mạch trong 2F</t>
  </si>
  <si>
    <t>MEC2410071</t>
  </si>
  <si>
    <t>２F　内層回路　LPR#2  反転可能整列コンベヤー
Băng tải nâng bo có chức năng lật Line LPR tạo mạch trong 2F</t>
  </si>
  <si>
    <t>MEC2410072</t>
  </si>
  <si>
    <t>DI露光ライン LPR#2
Line Chụp sáng DI LPR#2</t>
  </si>
  <si>
    <t>２F　内層回路　DI露光ライン LPR#2  ストッカー (NG基板）
Máy nâng bo NG tạm thời Line chụp sáng DI LPR#2 tạo mạch trong 2F</t>
  </si>
  <si>
    <t>MEC2410073</t>
  </si>
  <si>
    <t>２F　内層回路　DI露光ライン LPR#2  冷却機 
Máy　làm mát bo Line chụp sáng DI LPR#2 tạo mạch trong 2F</t>
  </si>
  <si>
    <t>MEC2410074</t>
  </si>
  <si>
    <t>VG146-25010059</t>
  </si>
  <si>
    <t>MEC2410075</t>
  </si>
  <si>
    <t>MEC2410076</t>
  </si>
  <si>
    <t>２F　内層回路　DI露光ライン LPR#2  ストッカー 
Máy nâng bo tạm thời Line chụp sáng DI LPR#2 tạo mạch trong 2F</t>
  </si>
  <si>
    <t>MEC2410077</t>
  </si>
  <si>
    <t>２F　内層回路　DI露光ライン LPR#2  反転可能整列コンベヤー
Băng tải nâng bo có chức năng lật Line chụp sáng DI LPR#2 tạo mạch trong 2F</t>
  </si>
  <si>
    <t>MEC2410078</t>
  </si>
  <si>
    <t>DES (LPR#2)
Line DES (LPR#2)</t>
  </si>
  <si>
    <t>２F　内層回路　DES (LPR#2)  ストッカー 
Máy nâng bo tạm thời Line DES (LPR#2) tạo mạch trong 2F</t>
  </si>
  <si>
    <t>MEC2410079</t>
  </si>
  <si>
    <t>VG146-25010060</t>
  </si>
  <si>
    <t>２F　内層回路　DES (LPR#2)  整列機
Băng tải căn bo Line DES (LPR#2) tạo mạch trong 2F</t>
  </si>
  <si>
    <t>MEC2410080</t>
  </si>
  <si>
    <t>２F　内層回路　DES (LPR#2)  冷却機 
Máy　làm mát bo Line DES (LPR#2) tạo mạch trong 2F</t>
  </si>
  <si>
    <t>MEC2410081</t>
  </si>
  <si>
    <t>MEC2410082</t>
  </si>
  <si>
    <t>２F　内層回路　DES (LPR#2)  受取機（4 Vラック, OK-NG判別)
Máy nhận bo 4Vrack có phân tách bo OK/NG Line DES (LPR#2) tạo mạch trong 2F</t>
  </si>
  <si>
    <t>STi</t>
  </si>
  <si>
    <t>MEC2410083</t>
  </si>
  <si>
    <t>2F 銅メッキ
Mạ đồng 2F</t>
  </si>
  <si>
    <t>デスミアライン #1
Line Desmear #1</t>
  </si>
  <si>
    <t>２F　銅メッキ　デスミアライン#1  投入機（Vラック)
Máy đưa bo Vrack Line Desmear #1 mạ đồng 2F</t>
  </si>
  <si>
    <t>Jan-21 thay đổi hướng Trái -&gt; phải thành Phải-&gt; trái
Khung PR phát hành Mar-31, -&gt; Leadtime: Apr-20</t>
  </si>
  <si>
    <t>MEC2410084</t>
  </si>
  <si>
    <t>２F　銅メッキ　デスミアライン#1  受取機（Vラック)
Máy nhận bo Vrack Line Desmear #1 mạ đồng 2F</t>
  </si>
  <si>
    <t>Jan-21 thay đổi hướng Trái -&gt; phải thành Phải-&gt; trái</t>
  </si>
  <si>
    <t>MEC2410085</t>
  </si>
  <si>
    <t>デスミアライン #2
Line Desmear #2</t>
  </si>
  <si>
    <t>２F　銅メッキ　デスミアライン#2  投入機（Vラック)
Máy đưa bo Vrack Line Desmear #2 mạ đồng 2F</t>
  </si>
  <si>
    <t>MEC2410086</t>
  </si>
  <si>
    <t>２F　銅メッキ　デスミアライン#2  受取機（Vラック)
Máy nhận bo Vrack Line Desmear #2 mạ đồng 2F</t>
  </si>
  <si>
    <t>MEC2410087</t>
  </si>
  <si>
    <t>VG146-25010061</t>
  </si>
  <si>
    <t>GEライン
Line Glass etching</t>
  </si>
  <si>
    <t>２F　銅メッキ　GEアライン  投入機（Vラック)
Máy đưa bo Vrack Line Glass etching mạ đồng 2F</t>
  </si>
  <si>
    <t>MEC2410088</t>
  </si>
  <si>
    <t>２F　銅メッキ　GEライン  受取機（Vラック)
Máy nhận bo Vrack Line Glass etching mạ đồng 2F</t>
  </si>
  <si>
    <t>MEC2410089</t>
  </si>
  <si>
    <t>HE　ライン
Haft Etching</t>
  </si>
  <si>
    <t>２F　銅メッキ　HE　ライン  投入機（Vラック)
Máy đưa bo Vrack Line Haft Etching mạ đồng 2F</t>
  </si>
  <si>
    <t>MEC2410090</t>
  </si>
  <si>
    <t>２F　銅メッキ　HE　ライン  受取機（Vラック)
Máy nhận bo Vrack Line Haft Etching mạ đồng 2F</t>
  </si>
  <si>
    <t>MEC2410091</t>
  </si>
  <si>
    <t>VCP #1</t>
  </si>
  <si>
    <t xml:space="preserve"> 2 V rack</t>
  </si>
  <si>
    <t>２F　銅メッキ　VCPライン#1  投入機（Vラック)
Máy đưa bo Vrack Line VCP #1 mạ đồng 2F</t>
  </si>
  <si>
    <t>MEC2410092</t>
  </si>
  <si>
    <t>２F　銅メッキ　VCPライン#1 コンベヤーL1650mm 
Băng tải dài L1650mm Line VCP #1 mạ đồng 2F</t>
  </si>
  <si>
    <t>Stop theo liên lạc Mr. Dương PE mail ngày 24/Dec/2024</t>
  </si>
  <si>
    <t>MEC2410093</t>
  </si>
  <si>
    <t>Edge</t>
  </si>
  <si>
    <t>２F　銅メッキ　VCPライン#1 整列コンベヤー
Băng tải căn bo Line VCP #1 mạ đồng 2F</t>
  </si>
  <si>
    <t>MEC2410094</t>
  </si>
  <si>
    <t>VG146-25010062</t>
  </si>
  <si>
    <t>２F　銅メッキ　VCPライン#1  受取機（Vラック)
Máy nhận bo Vrack Line VCP #1 mạ đồng 2F</t>
  </si>
  <si>
    <t>MEC2410095</t>
  </si>
  <si>
    <t>VCP #2</t>
  </si>
  <si>
    <t>２F　銅メッキ　VCPライン#2  投入機（Vラック)
Máy đưa bo Vrack Line VCP #2 mạ đồng 2F</t>
  </si>
  <si>
    <t>MEC2410096</t>
  </si>
  <si>
    <t>２F　銅メッキ　VCPライン#2 コンベヤーL1650mm 
Băng tải dài L1650mm Line VCP #2 mạ đồng 2F</t>
  </si>
  <si>
    <t>MEC2410097</t>
  </si>
  <si>
    <t>２F　銅メッキ　VCPライン#2 整列コンベヤー
Băng tải căn bo Line VCP #2 mạ đồng 2F</t>
  </si>
  <si>
    <t>MEC2410098</t>
  </si>
  <si>
    <t>２F　銅メッキ　VCPライン#2  受取機（Vラック)
Máy nhận bo Vrack Line VCP #2 mạ đồng 2F</t>
  </si>
  <si>
    <t>MEC2410099</t>
  </si>
  <si>
    <t>VCP #3</t>
  </si>
  <si>
    <t>２F　銅メッキ　VCPライン#3  投入機（Vラック)
Máy đưa bo Vrack Line VCP #3 mạ đồng 2F</t>
  </si>
  <si>
    <t>MEC2410100</t>
  </si>
  <si>
    <t>２F　銅メッキ　VCPライン#3 コンベヤーL1650mm 
Băng tải dài L1650mm Line VCP #3 mạ đồng 2F</t>
  </si>
  <si>
    <t>MEC2410101</t>
  </si>
  <si>
    <t>２F　銅メッキ　VCPライン#3 整列コンベヤー
Băng tải căn bo Line VCP #3 mạ đồng 2F</t>
  </si>
  <si>
    <t>MEC2410102</t>
  </si>
  <si>
    <t>２F　銅メッキ　VCPライン#3  受取機（Vラック)
Máy nhận bo Vrack Line VCP #3 mạ đồng 2F</t>
  </si>
  <si>
    <t>MEC2410103</t>
  </si>
  <si>
    <t>VG146-25010045</t>
  </si>
  <si>
    <t>４F　（外層）
Tạo mạch ngoài 4F</t>
  </si>
  <si>
    <t>DFR前処理ライン
Line tiền xử lý DFR</t>
  </si>
  <si>
    <t>4F　外層　DFR前処理ライン  投入機（Vラック)
Máy　đưa bo Line tiền xử lý DFR tạo mạch ngoài 4F</t>
  </si>
  <si>
    <t>Hàng gia công: Apr-10
Khung PR phát hành Mar-31, -&gt; Leadtime: Apr-20</t>
  </si>
  <si>
    <t>MEC2410104</t>
  </si>
  <si>
    <t>4F　外層　DFR前処理ライン  ストッカー 
Máy nâng bo tạm thời Line tiền xử lý DFR tạo mạch ngoài 4F</t>
  </si>
  <si>
    <t>MEC2410105</t>
  </si>
  <si>
    <t>4F　外層　DFR前処理ライン  整列機
Băng tải căn bo Line tiền xử lý DFR tạo mạch ngoài 4F</t>
  </si>
  <si>
    <t>MEC2410106</t>
  </si>
  <si>
    <t>4F　外層　DFR前処理ライン  冷却機 
Máy　làm mát bo Line tiền xử lý DFR tạo mạch ngoài 4F</t>
  </si>
  <si>
    <t>MEC2410107</t>
  </si>
  <si>
    <t>MEC2410108</t>
  </si>
  <si>
    <t>VG146-25010046</t>
  </si>
  <si>
    <t>MEC2410109</t>
  </si>
  <si>
    <t>4F　外層　DFR前処理ライン  整列コンベヤー
Băng tải căn bo Line tiền xử lý DFR tạo mạch ngoài 4F</t>
  </si>
  <si>
    <t>Nối với máy chụp sáng --&gt; Có cần máy hay không?</t>
  </si>
  <si>
    <t>MEC2410110</t>
  </si>
  <si>
    <t>露光ライン
Line chụp sáng</t>
  </si>
  <si>
    <t>4F　外層　露光ライン  ストッカー (NG基板）
Máy nâng bo NG tạm thời Line chụp sáng tạo mạch ngoài 4F</t>
  </si>
  <si>
    <t>Nối với máy TXL --&gt; Có cần máy hay không?</t>
  </si>
  <si>
    <t>MEC2410111</t>
  </si>
  <si>
    <t>4F　外層　露光ライン  受取機機（Vラック)
Máy nhận bo Line tự động chụp sáng tạo mạch ngoài 4F</t>
  </si>
  <si>
    <t>MEC2410112</t>
  </si>
  <si>
    <t>4F　外層　DES  投入機（Vラック)
Máy đưa bo Vrack Line DES Tạo mạch ngoài 4F</t>
  </si>
  <si>
    <t>MEC2410113</t>
  </si>
  <si>
    <t>VG146-25010047</t>
  </si>
  <si>
    <t>4F　外層　DES  ストッカー 
Máy nâng bo tạm thời Line DES tạo mạch ngoài 4F</t>
  </si>
  <si>
    <t>MEC2410114</t>
  </si>
  <si>
    <t>4F　外層　DES  整列機
Băng tải căn bo Line DES Tạo mạch ngoài 4F</t>
  </si>
  <si>
    <t>MEC2410115</t>
  </si>
  <si>
    <t>MEC2410116</t>
  </si>
  <si>
    <t>4F　外層　DES  受取機（Vラック)
Máy nhận bo Line DES Tạo mạch ngoài 4F</t>
  </si>
  <si>
    <t>MEC2410117</t>
  </si>
  <si>
    <t>SR前処理
Tiền xử lý SR</t>
  </si>
  <si>
    <t>4F　外層　SR前処理ライン  投入機（Vラック)
Máy　đưa bo Line tiền xử lý SR tạo mạch ngoài 4F</t>
  </si>
  <si>
    <t>MEC2410118</t>
  </si>
  <si>
    <t>4F　外層　SR前処理  整列機
Băng tải căn bo Line tiền xử lý SR Tạo mạch ngoài 4F</t>
  </si>
  <si>
    <t>MEC2410119</t>
  </si>
  <si>
    <t>4F　外層　SR前処理  冷却機
Máy　làm mát bo Line tiền xử lý SR tạo mạch ngoài 4F</t>
  </si>
  <si>
    <t>MEC2410120</t>
  </si>
  <si>
    <t>4F　外層　SR前処理  ストッカー 
Máy nâng bo tạm thời Line tiền xử lý SR tạo mạch ngoài 4F</t>
  </si>
  <si>
    <t>MEC2410121</t>
  </si>
  <si>
    <t>VG146-25010048</t>
  </si>
  <si>
    <t>900±50</t>
  </si>
  <si>
    <t>4F　外層　SR前処理ライン  受取機（Lラック)
Máy　nhận bo Lrack Line tiền xử lý SR tạo mạch ngoài 4F</t>
  </si>
  <si>
    <t>L rack UL</t>
  </si>
  <si>
    <t>MEC2410122</t>
  </si>
  <si>
    <t>自動印刷ライン (A面）
Line tự động in chữ mặt A</t>
  </si>
  <si>
    <t>Máy đưa bo Lrack Line tự động chụp sáng 4F MEC2410122</t>
  </si>
  <si>
    <t>MEC2410123</t>
  </si>
  <si>
    <t>VG146-25010049</t>
  </si>
  <si>
    <t>自動印刷ライン (B面）
Line tự động in chữ mặt B</t>
  </si>
  <si>
    <t>4F　外層　自動印刷ライン (B面）  受取機（パタパタラック)
Máy nhận bo　Patapata rack Line tiền xử lý SR tạo mạch ngoài 4F</t>
  </si>
  <si>
    <t>Leatime hàng TC cơ: Mar-10
Hàng gia công cơ: Mar-10</t>
  </si>
  <si>
    <t>MEC2410124</t>
  </si>
  <si>
    <t>露光ライン
Line Chụp sáng</t>
  </si>
  <si>
    <t>4F　外層　露光ラインライン (A面)  投入機（パタパタラック)
Máy đưa bo　Patapata rack Line Chụp sáng SR mặt A tạo mạch ngoài 4F</t>
  </si>
  <si>
    <t>MEC2410125</t>
  </si>
  <si>
    <t>4F　外層　露光ライン  ストッカー (A面 NG基板）
Máy nâng bo NG tạm thời Line Chụp sáng SR mặt A tạo mạch ngoài 4F</t>
  </si>
  <si>
    <t>Cancell theo mail Mr. Thuận Bạch ngày Jan-03</t>
  </si>
  <si>
    <t>MEC2410126</t>
  </si>
  <si>
    <t>4F　外層　露光ライン  ストッカー (B面　NG基板）
Máy nâng bo NG tạm thời Line Chụp sáng SR mặt B tạo mạch ngoài 4F</t>
  </si>
  <si>
    <t>MEC2410127</t>
  </si>
  <si>
    <t>4F　外層　露光ライン  受取機（パタパタラック)
Máy nhận bo　Patapata rack Line Chụp sáng SR tạo mạch ngoài 4F</t>
  </si>
  <si>
    <t>MEC2411038</t>
  </si>
  <si>
    <t>現像～乾燥ライン
Line hiện ảnh~ sấy khô</t>
  </si>
  <si>
    <t>4F　外層　現像～乾燥ライン 投入機（パタパタラック)
Máy đưa bo　Patapata rack Line Line hiện ảnh~ sấy khô tạo mạch ngoài 4F</t>
  </si>
  <si>
    <t>MEC2411039</t>
  </si>
  <si>
    <t>VG146-25010050</t>
  </si>
  <si>
    <t>Bo 120℃</t>
  </si>
  <si>
    <t>4F　外層　現像～乾燥ライン  冷却機
Máy　làm mát bo Line hiện ảnh~ sấy khô tạo mạch ngoài 4F</t>
  </si>
  <si>
    <t>MEC2411040</t>
  </si>
  <si>
    <t>4F　外層　現像～乾燥ライン  受取機機（Vラック)
Máy nhận bo Line hiện ảnh~ sấy khô tạo mạch ngoài 4F</t>
  </si>
  <si>
    <t>MEC2411041</t>
  </si>
  <si>
    <t>４F　（外形）
Gia công ngoại hình 4F</t>
  </si>
  <si>
    <t>リフローライン
Line Reflow</t>
  </si>
  <si>
    <t>4F　外形　リフローライン  投入機（Vラック)
Máy đưa bo Vrack Line Reflow gia công ngoại hình 4F</t>
  </si>
  <si>
    <t>MEC2411042</t>
  </si>
  <si>
    <t>4F　外形　リフローライン  冷却コンベヤー
Băng tải làm mát Line Reflow gia công ngoại hình 4F</t>
  </si>
  <si>
    <t>Flat Cooling</t>
  </si>
  <si>
    <t>MEC2411043</t>
  </si>
  <si>
    <t>4F　外形　リフローライン  冷却機
Máy　làm mát bo Line Reflow gia công ngoại hình 4F</t>
  </si>
  <si>
    <t>MEC2411044</t>
  </si>
  <si>
    <t>4F　外層　現像～乾燥ライン  受取機機（Vラック)
Máy nhận bo Line Reflow gia công ngoại hình 4F</t>
  </si>
  <si>
    <t>MEC2411045</t>
  </si>
  <si>
    <t>3F　（部分金用）
Mạ vàng từng phần 4F</t>
  </si>
  <si>
    <t>現象ライン
Line hiện ảnh</t>
  </si>
  <si>
    <t>3F　（部分金用）　現象ライン  投入機（Vラック)
Máy đưa bo Vrack Line hiện ảnh mạ vàng từng phần 4F</t>
  </si>
  <si>
    <t>MEC2411046</t>
  </si>
  <si>
    <t>3F　（部分金用）　現象ライン  冷却機
Máy　làm mát bo Line hiện ảnh mạ vàng từng phần 3F</t>
  </si>
  <si>
    <t>MEC2411047</t>
  </si>
  <si>
    <t>3F　（部分金用）　現象ライン  受取機（Lラック)
Máy nhận bo Lrack Line hiện ảnh mạ vàng từng phần 3F</t>
  </si>
  <si>
    <t>MEC2411048</t>
  </si>
  <si>
    <t>3F　（金メッキ）
Mạ vàng 3F</t>
  </si>
  <si>
    <t>前処理ライン
Tiền xử lý</t>
  </si>
  <si>
    <t>3F　（金メッキ）　前処理ライン  投入機（Vラック)
Máy đưa bo Vrack Line tiền xử lý mạ vàng 3F</t>
  </si>
  <si>
    <t>MEC2411049</t>
  </si>
  <si>
    <t>3F　（金メッキ）　前処理ライン  受取機（Vラック)
Máy nhận bo Vrack Line tiền xử lý mạ vàng 3F</t>
  </si>
  <si>
    <t>MEC2411050</t>
  </si>
  <si>
    <t>後処理ライン
Hậu xử lý</t>
  </si>
  <si>
    <t>3F　（金メッキ）後処理ライン  投入機（Vラック)
Máy đưa bo Vrack Line hậu xử lý mạ vàng 3F</t>
  </si>
  <si>
    <t>MEC2411051</t>
  </si>
  <si>
    <t>3F　（金メッキ）後処理ライン  受取機（Vラック)
Máy nhận bo Vrack Line hậu xử lý mạ vàng 3F</t>
  </si>
  <si>
    <t>Feb-14 họp cùng SALE, không chuyển từ Fact.2 sang.
--&gt; Mua hàng linh kiện sản xuất mới</t>
  </si>
  <si>
    <t>MEC2411052</t>
  </si>
  <si>
    <t>3F　（部分金用）
Mạ vàng từng phần 3F</t>
  </si>
  <si>
    <t>部分金の剥離ライン
Bóc màng</t>
  </si>
  <si>
    <t>3F　（金メッキ）部分金の剥離ライン  投入機（Vラック)
Máy đưa bo Vrack Line bóc màng mạ vàng từng phần 3F</t>
  </si>
  <si>
    <t>MEC2411053</t>
  </si>
  <si>
    <t>3F　（金メッキ）部分金の剥離ライン  受取機（Vラック)
Máy nhận bo Vrack Line bóc màng mạ vàng từng phần 3F</t>
  </si>
  <si>
    <t>MEC2411054</t>
  </si>
  <si>
    <t>最終水洗ライン
Rửa nước cuối cùng</t>
  </si>
  <si>
    <t>v=3.7m/min
a= 50mm</t>
  </si>
  <si>
    <t>４F　（外形）最終水洗ライン  投入機（シート)
Máy đưa bo dạng sheet Line rửa nước cuối cùng gia công ngoại hình 4F</t>
  </si>
  <si>
    <t>MEC2410011</t>
  </si>
  <si>
    <t>VG146-24110033</t>
  </si>
  <si>
    <t>レーザー加工
Gia công Laser</t>
  </si>
  <si>
    <t>Laser GTW6</t>
  </si>
  <si>
    <t>Carrier Device (Load &amp; Unload) for ML605 laser processing, Fact.4 MKVC #1</t>
  </si>
  <si>
    <t>Lê Văn Luyện</t>
  </si>
  <si>
    <t>LD-&gt; A processing -&gt;Lật mặt --&gt; để tạm --&gt; Load --&gt; B Processing -&gt; LD (Có tấm cách bo)</t>
  </si>
  <si>
    <t>MEC2410012</t>
  </si>
  <si>
    <t>VG146-24110034</t>
  </si>
  <si>
    <t>Carrier Device (Load &amp; Unload) for ML605 laser processing, Fact.4 MKVC #2</t>
  </si>
  <si>
    <t>MEC2410013</t>
  </si>
  <si>
    <t>VG146-24110035</t>
  </si>
  <si>
    <t>Carrier Device (Load &amp; Unload) for ML605 laser processing, Fact.4 MKVC #3</t>
  </si>
  <si>
    <t>MEC2410014</t>
  </si>
  <si>
    <t>VG146-24110036</t>
  </si>
  <si>
    <t>Carrier Device (Load &amp; Unload) for ML605 laser processing, Fact.4 MKVC #4</t>
  </si>
  <si>
    <t>MEC2410015</t>
  </si>
  <si>
    <t>VG146-24110037</t>
  </si>
  <si>
    <t>Carrier Device (Load &amp; Unload) for ML605 laser processing, Fact.4 MKVC #5</t>
  </si>
  <si>
    <t>MEC2410016</t>
  </si>
  <si>
    <t>VG146-24110038</t>
  </si>
  <si>
    <t>Carrier Device (Load &amp; Unload) for ML605 laser processing, Fact.4 MKVC #6</t>
  </si>
  <si>
    <t>MEC2410017</t>
  </si>
  <si>
    <t>VG146-24110039</t>
  </si>
  <si>
    <t>Carrier Device (Load &amp; Unload) for ML605 laser processing, Fact.4 MKVC #7</t>
  </si>
  <si>
    <t>MEC2410018</t>
  </si>
  <si>
    <t>VG146-24110042</t>
  </si>
  <si>
    <t>Carrier Device (Load &amp; Unload) for ML605 laser processing, Fact.4 MKVC #8</t>
  </si>
  <si>
    <t>MEC2410019</t>
  </si>
  <si>
    <t>VG146-24110041</t>
  </si>
  <si>
    <t>Carrier Device (Load &amp; Unload) for ML605 laser processing, Fact.4 MKVC #9</t>
  </si>
  <si>
    <t>MEC2410020</t>
  </si>
  <si>
    <t>VG146-24110040</t>
  </si>
  <si>
    <t>Carrier Device (Load &amp; Unload) for ML605 laser processing, Fact.4 MKVC #10</t>
  </si>
  <si>
    <t>MEC2411055</t>
  </si>
  <si>
    <t>v=3.2m/min
a= 50mm</t>
  </si>
  <si>
    <t>４F　（外形）最終水洗ライン  受取機（シート)
Máy nhận bo dạng sheet Line rửa nước cuối cùng gia công ngoại hình 4F</t>
  </si>
  <si>
    <t>MEC2411056</t>
  </si>
  <si>
    <t>４F　（表面処理）
Xử lý bề mặt 4F</t>
  </si>
  <si>
    <t>FLUX</t>
  </si>
  <si>
    <t>４F　（表面処理）FLUXライン  投入機（シート)
Máy đưa bo dạng sheet Line FLUX xử lý bề mặt 4F</t>
  </si>
  <si>
    <t>MEC2411057</t>
  </si>
  <si>
    <t>４F　（表面処理）FLUXライン  受取機（シート)
Máy nhận bo dạng sheet Line FLUX xử lý bề mặt 4F</t>
  </si>
  <si>
    <t>MEC2411058</t>
  </si>
  <si>
    <t>超音波水洗ライン
Rửa siêu âm</t>
  </si>
  <si>
    <t>v=2.2m/min
a= 50mm</t>
  </si>
  <si>
    <t>４F　（外形）超音波水洗ライン  投入機（シート)
Máy đưa bo dạng sheet Line rửa siêu âm gia công ngoại hình 4F</t>
  </si>
  <si>
    <t>MEC2411059</t>
  </si>
  <si>
    <t>４F　（外形）超音波水洗ライン  受取機（シート)
Máy nhận bo dạng sheet Line rửa siêu âm gia công ngoại hình 4F</t>
  </si>
  <si>
    <t>MEC2412022</t>
  </si>
  <si>
    <t>露光ライン#2
Line Chụp sáng #2</t>
  </si>
  <si>
    <t>4F　外層　露光ライン#2 (A面)  投入機（パタパタラック)
Máy đưa bo　Patapata rack Line Chụp sáng SR mặt A tạo mạch ngoài 4F</t>
  </si>
  <si>
    <t>MEC2505144</t>
  </si>
  <si>
    <t>VG146-25060059</t>
  </si>
  <si>
    <t>LPR#1</t>
  </si>
  <si>
    <t>Băng tải thường (L580mm)</t>
  </si>
  <si>
    <t>MEC2412024</t>
  </si>
  <si>
    <t>VG146-25010051</t>
  </si>
  <si>
    <t>4F　外層　露光ライン#2  ストッカー (B面　NG基板）
Máy nâng bo NG tạm thời Line Chụp sáng SR mặt B tạo mạch ngoài 4F</t>
  </si>
  <si>
    <t>MEC2412025</t>
  </si>
  <si>
    <t>4F　外層　露光ライン#2  受取機（パタパタラック)
Máy nhận bo　Patapata rack Line Chụp sáng SR tạo mạch ngoài 4F</t>
  </si>
  <si>
    <t>MEC2412037</t>
  </si>
  <si>
    <t>自動印刷ライン (A面）反転機
Băng tải lật bo giữa in chữ mặt A và in chữ mặt B</t>
  </si>
  <si>
    <t>Flip Conveyor</t>
  </si>
  <si>
    <t>MEC2412038</t>
  </si>
  <si>
    <t>自動印刷ライン (A面）一般コンベアー
Băng tải thường giữa in chữ mặt A và in chữ mặt B</t>
  </si>
  <si>
    <t>MEC2412039</t>
  </si>
  <si>
    <t>自動印刷ライン (A面） ストッカー FIFO
Máy nâng bo tạm thời FIFO Line Line tự động in chữ mặt A</t>
  </si>
  <si>
    <t>Hanger Stock FIFO</t>
  </si>
  <si>
    <t>MEC2501033</t>
  </si>
  <si>
    <t>VG146-25030001</t>
  </si>
  <si>
    <t>Máy kiểm tra 2D barcode (Đọc nhiều Code, 2 mặt khách hàng Z)</t>
  </si>
  <si>
    <t>MEC2502047</t>
  </si>
  <si>
    <t>VG146-25030039</t>
  </si>
  <si>
    <t>Fac 2  2F</t>
  </si>
  <si>
    <t>Hiện ảnh #1</t>
  </si>
  <si>
    <t>Máy đưa bo tạo mạch trong Line Hiện ảnh #1</t>
  </si>
  <si>
    <t>Lấy máy MEC2407012 bán sang mã này
May-22 đã lấy máy sang lắp vào MEC2501022? Cần tìm phương án bù máy
Jan-22, 2026 xác nhận lại máy TYPE 4--&gt; TYPE 3 khugn Inox</t>
  </si>
  <si>
    <t>MEC2502048</t>
  </si>
  <si>
    <t>VG146-25030040</t>
  </si>
  <si>
    <t>UV #1</t>
  </si>
  <si>
    <t>Máy đưa bo Tạo mạch trong Line UV#1</t>
  </si>
  <si>
    <t>Bắc</t>
  </si>
  <si>
    <t>MEC2412003</t>
  </si>
  <si>
    <t>VG146-24120048</t>
  </si>
  <si>
    <t>パルスメッキ＃2
Mạ xung #2</t>
  </si>
  <si>
    <t>Máy nhận bo V rack TYPE 3 line mạ xung #2</t>
  </si>
  <si>
    <t>MEC2502051</t>
  </si>
  <si>
    <t>VG146-25030033</t>
  </si>
  <si>
    <t xml:space="preserve">Máy nhận bo mạ đồng line HE #2 fact 2 1F  </t>
  </si>
  <si>
    <t>Chuyển hàng điện mua sang máy MEC2502046
(Apr-29 Fe liên lạc Lắp cho DES?)</t>
  </si>
  <si>
    <t>MEC2502052</t>
  </si>
  <si>
    <t>Rửa Axit</t>
  </si>
  <si>
    <t>Máy nhận bo mạ đồng line rửa axit #2 fact 2 1F</t>
  </si>
  <si>
    <t>MEC2412027</t>
  </si>
  <si>
    <t>VG146-24120051</t>
  </si>
  <si>
    <t>Purmice前処理
Tiền xử lý Purmice</t>
  </si>
  <si>
    <t>Máy đưa bo line tiền xử lý Purmice</t>
  </si>
  <si>
    <t>MEC2412004</t>
  </si>
  <si>
    <t>VG146-24120050</t>
  </si>
  <si>
    <t>前処理GB＃４
Tiền xử lý GB#4</t>
  </si>
  <si>
    <t>Máy đưa bo line tiền xử lý GB#4</t>
  </si>
  <si>
    <t>MEC2412029</t>
  </si>
  <si>
    <t>VG146-24120052</t>
  </si>
  <si>
    <t>前処理CZ
Tiền xử lý CZ (Purmice #5)</t>
  </si>
  <si>
    <t>Máy đưa bo line tiền xử lý CZ</t>
  </si>
  <si>
    <t>最終洗浄ライン #4 (speed: 4.5m/min)
Rửa nước cuối cùng #4</t>
  </si>
  <si>
    <t>FLUX #1
(speed: 3.2m/min)</t>
  </si>
  <si>
    <t>1200±50</t>
  </si>
  <si>
    <t>Máy đưa bo nhiều hàng line FLUX #1</t>
  </si>
  <si>
    <t>FLUX #2
(speed: 3.2m/min)</t>
  </si>
  <si>
    <t>Máy đưa bo nhiều hàng line FLUX #2</t>
  </si>
  <si>
    <t>FLUX #3
(speed: 3.2m/min)</t>
  </si>
  <si>
    <t>Máy đưa bo nhiều hàng line FLUX #3</t>
  </si>
  <si>
    <t>FLUX #4
(speed: 3.2m/min)</t>
  </si>
  <si>
    <t>Máy đưa bo nhiều hàng line FLUX #4</t>
  </si>
  <si>
    <t>MEC2411011</t>
  </si>
  <si>
    <t>Carrier Device (Load &amp; Unload) for ML605 laser processing, VUHAN - Standard version system (武漢向けレーザー機用マテハン標準機) 06</t>
  </si>
  <si>
    <t>MEC2411012</t>
  </si>
  <si>
    <t>Carrier Device (Load &amp; Unload) for ML605 laser processing, VUHAN - Standard version system (武漢向けレーザー機用マテハン標準機) 07</t>
  </si>
  <si>
    <t>MEC2411013</t>
  </si>
  <si>
    <t>Carrier Device (Load &amp; Unload) for ML605 laser processing, VUHAN - Standard version system (武漢向けレーザー機用マテハン標準機) 08</t>
  </si>
  <si>
    <t>MEC2411014</t>
  </si>
  <si>
    <t>Carrier Device (Load &amp; Unload) for ML605 laser processing, VUHAN - Standard version system (武漢向けレーザー機用マテハン標準機) 09</t>
  </si>
  <si>
    <t>MEC2411015</t>
  </si>
  <si>
    <t>Carrier Device (Load &amp; Unload) for ML605 laser processing, VUHAN - Standard version system (武漢向けレーザー機用マテハン標準機) 10</t>
  </si>
  <si>
    <t>MEC2411060</t>
  </si>
  <si>
    <t>VG146-25070061</t>
  </si>
  <si>
    <t>Fact.4 2F</t>
  </si>
  <si>
    <t>In sơn lấp lỗ</t>
  </si>
  <si>
    <t>720x720
t0.4~4.0</t>
  </si>
  <si>
    <t>Băng tải xoay bo #1 cho Line in sơn lấp lỗ (quay 90 vs 180 deg)</t>
  </si>
  <si>
    <t>P.Nam</t>
  </si>
  <si>
    <t>MEC2411061</t>
  </si>
  <si>
    <t>Băng tải xoay bo #2 cho Line in sơn lấp lỗ (quay 90 vs 180 deg)</t>
  </si>
  <si>
    <t>MEC2411062</t>
  </si>
  <si>
    <t>Băng tải xoay bo #3 cho Line in sơn lấp lỗ tầng 1 Fact.2</t>
  </si>
  <si>
    <t>MEC2411063</t>
  </si>
  <si>
    <t>Băng tải xoay bo #4 cho Line in sơn lấp lỗ tầng 1 Fact.2</t>
  </si>
  <si>
    <t>MEC2401005</t>
  </si>
  <si>
    <t>20241206-001546-F800</t>
  </si>
  <si>
    <t>Installation fee for Matehan machine at Tendo factory</t>
  </si>
  <si>
    <t>MEC2412013</t>
  </si>
  <si>
    <t>VG146-25010012</t>
  </si>
  <si>
    <t xml:space="preserve">Băng tải thường #1 cho bo PKG </t>
  </si>
  <si>
    <t>MEC2412014</t>
  </si>
  <si>
    <t xml:space="preserve">Băng tải thường #2 cho bo PKG </t>
  </si>
  <si>
    <t>MEC2412015</t>
  </si>
  <si>
    <t>Băng tải con lăn từ không có căn bo PKG</t>
  </si>
  <si>
    <t>MEC2412016</t>
  </si>
  <si>
    <t>Băng tải con lăn từ có căn bo cơ khí PKG</t>
  </si>
  <si>
    <t>MEC2501008</t>
  </si>
  <si>
    <t>Loading &amp; Unloading machine for Laser ML605 GTW6  for Tendo factory #1</t>
  </si>
  <si>
    <t>MEC2501022</t>
  </si>
  <si>
    <t>VG146-25020014</t>
  </si>
  <si>
    <t>Fact. 2 1F</t>
  </si>
  <si>
    <t>Tiền xử lý #5</t>
  </si>
  <si>
    <t>前処理♯5　投入機
 Máy đưa bo TXL #5</t>
  </si>
  <si>
    <r>
      <t>May-21, 2025 Máy làm sai hướng 
Yêu cầu: Phải --&gt; Trái
Máy: Trái --&gt; phải
May-22 đã lấy máy (MEC2502047 (MEC2407012))  để lắp --&gt;</t>
    </r>
    <r>
      <rPr>
        <sz val="11"/>
        <color rgb="FFFF0000"/>
        <rFont val="Meiryo UI"/>
        <family val="2"/>
      </rPr>
      <t xml:space="preserve"> cần phương án xử lý</t>
    </r>
  </si>
  <si>
    <t>MEC2501023</t>
  </si>
  <si>
    <t>VG146-25010064</t>
  </si>
  <si>
    <t>Fact. 2 2F</t>
  </si>
  <si>
    <t>Desmear　投入機 Máy đưa bo Desmear</t>
  </si>
  <si>
    <t>Phúc</t>
  </si>
  <si>
    <t>04-Mar
19-Aug</t>
  </si>
  <si>
    <t>FBT lắp. Nov-13: Mượn biến tần từ MEC2507009 (AOI MKHC)</t>
  </si>
  <si>
    <t>MEC2501036</t>
  </si>
  <si>
    <t>Service to improve Matehan machine for Tendo factory to match board size Step②-1</t>
  </si>
  <si>
    <t>MEC2501037</t>
  </si>
  <si>
    <t>Service to improve Matehan machine for Tendo factory to match board size Step②-2</t>
  </si>
  <si>
    <t>MEC2501038</t>
  </si>
  <si>
    <t>Service to improve Matehan machine for Tendo factory to match board size Step②-3</t>
  </si>
  <si>
    <t>MEC2501039</t>
  </si>
  <si>
    <t>Service to improve Matehan machine for Tendo factory to match board size Step②-4</t>
  </si>
  <si>
    <t>MEC2501010</t>
  </si>
  <si>
    <t>Loading &amp; Unloading machine for Laser ML605 GTW6  for Tendo factory #2</t>
  </si>
  <si>
    <t>MEC2501011</t>
  </si>
  <si>
    <t>Loading &amp; Unloading machine for Laser ML605 GTW6  for Tendo factory #3</t>
  </si>
  <si>
    <t>MEC2501032</t>
  </si>
  <si>
    <t>VG146-25030029</t>
  </si>
  <si>
    <t>Máy khắc laser 2D barcode tự đông đưa và nhận bo (#3)</t>
  </si>
  <si>
    <t>PR mua Robot Yaskawa: Feb-27, Leadtime: May-05
Apr-10 đặt hàng TC và 1 phần hàng GC.
Apr-17 đặt nốt PR còn lại (Leadtime: May-12)</t>
  </si>
  <si>
    <t>MEC2503020</t>
  </si>
  <si>
    <t>VG146-25040003</t>
  </si>
  <si>
    <t>Haft Etching</t>
  </si>
  <si>
    <t>Băng tải L700mm Line HE#3</t>
  </si>
  <si>
    <t>MEC2502005</t>
  </si>
  <si>
    <t>VG146-25020033</t>
  </si>
  <si>
    <t>Máy khắc laser 2D barcode tự đông đưa và nhận bo (#4)</t>
  </si>
  <si>
    <t>MEC2502006</t>
  </si>
  <si>
    <t>VG146-25020032</t>
  </si>
  <si>
    <t>Máy khắc laser 2D barcode tự đông đưa và nhận bo (#5)</t>
  </si>
  <si>
    <t>MEC2502001</t>
  </si>
  <si>
    <t>Băng tải thường MKCV-7171NR</t>
  </si>
  <si>
    <t>MEC2502002</t>
  </si>
  <si>
    <t>Máy nâng bo tạm thời MKHS-7171NR</t>
  </si>
  <si>
    <t>Hanger Stock</t>
  </si>
  <si>
    <t>MEC2502003</t>
  </si>
  <si>
    <t>Băng tải căn bo MKAV-AL7171NR</t>
  </si>
  <si>
    <t>MEC2502004</t>
  </si>
  <si>
    <t>Băng tải thay đổi tốc độ MKCV-SC7171NR</t>
  </si>
  <si>
    <t>MEC2502021</t>
  </si>
  <si>
    <t>VG146-25030008</t>
  </si>
  <si>
    <t>GCNH</t>
  </si>
  <si>
    <t>Máy khắc tạm cho máy khắc 2D barcode</t>
  </si>
  <si>
    <t>MEC2502022</t>
  </si>
  <si>
    <t>VG146-25030009</t>
  </si>
  <si>
    <t>MEC2502036</t>
  </si>
  <si>
    <t>Carrier Device (Load &amp; Unload) for ML605 laser processing HOABINH (ホアビン向けレーザー機用マテハン） #3</t>
  </si>
  <si>
    <t>Phase #2</t>
  </si>
  <si>
    <t>MEC2502037</t>
  </si>
  <si>
    <t>Carrier Device (Load &amp; Unload) for ML605 laser processing HOABINH (ホアビン向けレーザー機用マテハン） #4</t>
  </si>
  <si>
    <t>MEC2502025</t>
  </si>
  <si>
    <t>積層</t>
  </si>
  <si>
    <t>積層前処理
TXL ép lớp</t>
  </si>
  <si>
    <t>Băng tải nâng hạ chuyển sản phẩm
段差解消機</t>
  </si>
  <si>
    <t>Up-down Conveyor</t>
  </si>
  <si>
    <t>Thông tin Cancell Mar-17 (Mr.Mikami mail)
Thông tin đặt lại ngày 26/6 đối ứng việc sai Passline từ MKHC
Đồng thời yêu cầu Passline máy LD và ULD thay đổi</t>
  </si>
  <si>
    <t>MEC2502026</t>
  </si>
  <si>
    <t>回路</t>
  </si>
  <si>
    <t>Thông tin Cancell Mar-17 (Mr.Mikami mail)
Đồng thời yêu cầu Passline máy LD và ULD thay đổi</t>
  </si>
  <si>
    <t>MEC2502027</t>
  </si>
  <si>
    <t>MEC2502028</t>
  </si>
  <si>
    <t>MSAP</t>
  </si>
  <si>
    <t>現象
Hiện ảnh</t>
  </si>
  <si>
    <t>MEC2502029</t>
  </si>
  <si>
    <t>Flass Etch</t>
  </si>
  <si>
    <t>MEC2502030</t>
  </si>
  <si>
    <t>SR</t>
  </si>
  <si>
    <t>前処理
Tiền xử lý</t>
  </si>
  <si>
    <t>MEC2502031</t>
  </si>
  <si>
    <t>現象～ポストキュア
Hiện ảnh ~ toàn cố hóa</t>
  </si>
  <si>
    <t>MEC2502032</t>
  </si>
  <si>
    <t>MASK</t>
  </si>
  <si>
    <t>DFR～露光</t>
  </si>
  <si>
    <t>MEC2502033</t>
  </si>
  <si>
    <t>MEC2505004</t>
  </si>
  <si>
    <t>VG146-25073046</t>
  </si>
  <si>
    <t>反転・回転機
Băng tải lật bo + xoay bo (A--&gt; B + xoay 90deg)</t>
  </si>
  <si>
    <t>PR Jul-01 thêm hàng tiêu chuẩn? --&gt; Leadtime: Jul-10
PR hàng gia công: Jul-02 --&gt; Leadtime: Jul-15</t>
  </si>
  <si>
    <t>MEC2503009</t>
  </si>
  <si>
    <t>VG146-25030037</t>
  </si>
  <si>
    <t>624x724</t>
  </si>
  <si>
    <t xml:space="preserve">Máy làm mát bo line hiện ảnh #5 SR3F </t>
  </si>
  <si>
    <t>X.Sáng</t>
  </si>
  <si>
    <t>MEC2503010</t>
  </si>
  <si>
    <t>Máy đưa bo line hiện ảnh #5 SR3F</t>
  </si>
  <si>
    <t>MEC2503011</t>
  </si>
  <si>
    <t>Máy nhận bo line hiện ảnh #5 SR 3F</t>
  </si>
  <si>
    <t>Jan-28, 2026 máy đặt phòng thường, cần chuyển thành khung sơn.</t>
  </si>
  <si>
    <t>MEC2503012</t>
  </si>
  <si>
    <t>VG146-25030038</t>
  </si>
  <si>
    <t>Tạo mạch ngoài</t>
  </si>
  <si>
    <t>640x554</t>
  </si>
  <si>
    <t>Máy đưa bo DI #2 tạo mạch ngoài 2F</t>
  </si>
  <si>
    <t>MEC2503013</t>
  </si>
  <si>
    <t>Máy nhận bo DI #2 tạo mạch ngoài 2F</t>
  </si>
  <si>
    <t>MEC2503014</t>
  </si>
  <si>
    <t>Máy nâng bo DI #2 tạo mạch ngoài 2F</t>
  </si>
  <si>
    <t>MEC2503015</t>
  </si>
  <si>
    <t>Hệ thống băng tải chuyển bo từ xếp lớp vào máy ép
 (Không cần căn bo)</t>
  </si>
  <si>
    <t>Conveyor sys</t>
  </si>
  <si>
    <t>6/27にMKHC -Accutech làm việc trức tiếp.</t>
  </si>
  <si>
    <t>MEC2503016</t>
  </si>
  <si>
    <t>VG146-25083009</t>
  </si>
  <si>
    <t>Máy chuyển bo từ máy cắt viền sang máy khoan X ray</t>
  </si>
  <si>
    <t>X ray</t>
  </si>
  <si>
    <t>MEC2503017</t>
  </si>
  <si>
    <t>Robot chuyển bo từ Jig mạ xuống băng tải</t>
  </si>
  <si>
    <t>Robot ULD</t>
  </si>
  <si>
    <t>PR mua tool RB và tủ điện ngày May-06 --&gt; LT: May-19
PR mua hàng TC đợt 2 và GC May-28 --&gt; LT: Jun-16</t>
  </si>
  <si>
    <t>MEC2502020</t>
  </si>
  <si>
    <t>VG146-25030011</t>
  </si>
  <si>
    <t>Bond film #9</t>
  </si>
  <si>
    <t>Máy đưa bo cho bond film (dạng V rack TYPE 4) có tấm cách</t>
  </si>
  <si>
    <t>Cải tiến từ máy MEC2403059 sang bán vào mã MEC2502020 (Mar-31)</t>
  </si>
  <si>
    <t>MEC2502046</t>
  </si>
  <si>
    <t>VG146-25030036</t>
  </si>
  <si>
    <t>Máy đưa bo tạo mạch ngoài Line TXL #5</t>
  </si>
  <si>
    <t>May-30, Lấy hàng điện từ máy MEC2502051 đã mua</t>
  </si>
  <si>
    <t>MEC2503028</t>
  </si>
  <si>
    <t>VG146-25040001</t>
  </si>
  <si>
    <t>1 H rack</t>
  </si>
  <si>
    <t>Máy transfer rửa tấm IC #1 Phủ sơn 2F MEC2503028 (load)</t>
  </si>
  <si>
    <t>2 Roller LD</t>
  </si>
  <si>
    <t>Dạng máy kiểu gì?</t>
  </si>
  <si>
    <t>MEC2503029</t>
  </si>
  <si>
    <t>VG146-25040002</t>
  </si>
  <si>
    <t>Rửa nước sấy khô sau mạ hóa</t>
  </si>
  <si>
    <t>Máy nhận bo line rửa nước sấy khô sau Mạ đồng #1</t>
  </si>
  <si>
    <t xml:space="preserve">Giống MEC2107048 đang chạy được 7s/1bo (MKAC đã làm) </t>
  </si>
  <si>
    <t>MEC2504002</t>
  </si>
  <si>
    <t>VG146-25060060</t>
  </si>
  <si>
    <t>LPR#2</t>
  </si>
  <si>
    <t>Băng tải thường MEC2504002 (L580mm)</t>
  </si>
  <si>
    <t>MEC2504016</t>
  </si>
  <si>
    <t>SR 前処理</t>
  </si>
  <si>
    <t>Máy nâng bo tạm thời Hanger stock FIFO</t>
  </si>
  <si>
    <t>Động cơ TROY: Jul-10 về</t>
  </si>
  <si>
    <t>MEC2504017</t>
  </si>
  <si>
    <t>印刷～セミキュア</t>
  </si>
  <si>
    <t>MEC2503034</t>
  </si>
  <si>
    <t>WS070-25070001</t>
  </si>
  <si>
    <t>Laser (714x618mm)</t>
  </si>
  <si>
    <t>Carrier device (Load &amp; Unload) for laser processing system ML706GTW-Ⅵ (with flip board) for WUHAN factory MEC2503034</t>
  </si>
  <si>
    <t>PR phát hành hàng tiêu chuẩn cơ (leadtime dài: May-16)
PR hàng TC cơ: 14/Jul --&gt; Leadtime: 05/Aug</t>
  </si>
  <si>
    <t>MEC2503035</t>
  </si>
  <si>
    <t>Carrier device (Load &amp; Unload) for laser processing system ML706GTW-Ⅵ (with flip board) for WUHAN factory MEC2503035</t>
  </si>
  <si>
    <t>MEC2504025</t>
  </si>
  <si>
    <t>Carrier device (Load &amp; Unload) for laser processing system ML706GTW-Ⅵ (with flip board) for WUHAN factoryMEC2504025</t>
  </si>
  <si>
    <t>MEC2504026</t>
  </si>
  <si>
    <t>Carrier device (Load &amp; Unload) for laser processing system ML706GTW-Ⅵ (with flip board) for WUHAN factoryMEC2504026</t>
  </si>
  <si>
    <t>MEC2503040</t>
  </si>
  <si>
    <t>VG146-25040018</t>
  </si>
  <si>
    <t>Ép lớp</t>
  </si>
  <si>
    <t>CCD #1 (MEC2403072)</t>
  </si>
  <si>
    <t>408*614</t>
  </si>
  <si>
    <t>762*635</t>
  </si>
  <si>
    <t>Máy đưa bo line đục lỗ #2 NM2 1F</t>
  </si>
  <si>
    <t>MEC2503041</t>
  </si>
  <si>
    <t>VG146-25040019</t>
  </si>
  <si>
    <t>CCD #1 (MEC2403067)</t>
  </si>
  <si>
    <t>Máy nhận bo line đục lỗ #2 NM2 1F</t>
  </si>
  <si>
    <t>MEC2411022</t>
  </si>
  <si>
    <t>DuAro Robot (本体）</t>
  </si>
  <si>
    <t>MEC2411023</t>
  </si>
  <si>
    <t>MEC2411024</t>
  </si>
  <si>
    <t>MEC2411025</t>
  </si>
  <si>
    <t>MEC2505001</t>
  </si>
  <si>
    <t>TXL #2,#3</t>
  </si>
  <si>
    <t>Dịch vụ cải tiến căn bo TMN 3F, TXL#3,4 thêm chức năng căn lệch</t>
  </si>
  <si>
    <t>MEC2506030</t>
  </si>
  <si>
    <t>VG146-25070014</t>
  </si>
  <si>
    <t>Loading &amp; Unloading machine for Laser ML706 GTW6  for Fact.4 #1</t>
  </si>
  <si>
    <t>MEC2506031</t>
  </si>
  <si>
    <t>Loading &amp; Unloading machine for Laser ML706 GTW6  for Fact.4 #2</t>
  </si>
  <si>
    <t>MEC2506032</t>
  </si>
  <si>
    <t>Loading &amp; Unloading machine for Laser ML706 GTW6  for Fact.4 #3</t>
  </si>
  <si>
    <t>MEC2506033</t>
  </si>
  <si>
    <t>Loading &amp; Unloading machine for Laser ML706 GTW6  for Fact.4 #4</t>
  </si>
  <si>
    <t>MEC2506034</t>
  </si>
  <si>
    <t>Loading &amp; Unloading machine for Laser ML706 GTW6  for Fact.4 #5</t>
  </si>
  <si>
    <t>MEC2505002</t>
  </si>
  <si>
    <t>VG146-25073051</t>
  </si>
  <si>
    <t>パターンメッキ　＃3
Mạ từng phần</t>
  </si>
  <si>
    <t>パターンメッキ_UNLOAD-Robot MEC2505002</t>
  </si>
  <si>
    <t>PR Robot Aug-28 --&gt; Leadtime: Oct-30</t>
  </si>
  <si>
    <t>MEC2505003</t>
  </si>
  <si>
    <t>パターンメッキ　＃２
Mạ từng phần</t>
  </si>
  <si>
    <t>パターンメッキ_UNLOAD-Robot MEC250 5003</t>
  </si>
  <si>
    <t>PR đặt Robot Aug-19 --&gt; Oct-05</t>
  </si>
  <si>
    <t>積層前処理＃２</t>
  </si>
  <si>
    <t>Máy lật bo_反転機 MEC2505004</t>
  </si>
  <si>
    <t>Flip conveyor</t>
  </si>
  <si>
    <t>MEC2505005</t>
  </si>
  <si>
    <t>VG146-25073034</t>
  </si>
  <si>
    <t>Tray</t>
  </si>
  <si>
    <t>Laser Mitsubishi_ML605GTW6 MEC2505005</t>
  </si>
  <si>
    <t>Jun-13 phát hành hàng điện 10 máy, hàng động cơ Mitsu 10 máy</t>
  </si>
  <si>
    <t>MEC2505006</t>
  </si>
  <si>
    <t>VG146-25073038</t>
  </si>
  <si>
    <t>Laser Mitsubishi_ML605GTW6 MEC2505006</t>
  </si>
  <si>
    <t>MEC2505007</t>
  </si>
  <si>
    <t>VG146-25073042</t>
  </si>
  <si>
    <t>Laser Mitsubishi_ML605GTW6 MEC2505007</t>
  </si>
  <si>
    <t>MEC2505008</t>
  </si>
  <si>
    <t>VG146-25073043</t>
  </si>
  <si>
    <t>Laser Mitsubishi_ML605GTW6 MEC2505008</t>
  </si>
  <si>
    <t>MEC2505009</t>
  </si>
  <si>
    <t>Laser Mitsubishi_ML605GTW6 MEC2505009</t>
  </si>
  <si>
    <t>MEC2505010</t>
  </si>
  <si>
    <t>VG146-25073044</t>
  </si>
  <si>
    <t>Laser Mitsubishi_ML605GTW6 MEC2505010</t>
  </si>
  <si>
    <t>MEC2505011</t>
  </si>
  <si>
    <t>Laser Mitsubishi_ML605GTW6 MEC2505011</t>
  </si>
  <si>
    <t>MEC2505012</t>
  </si>
  <si>
    <t>VG146-25073045</t>
  </si>
  <si>
    <t>Laser Mitsubishi_ML605GTW6 MEC2505012</t>
  </si>
  <si>
    <t>MEC2505013</t>
  </si>
  <si>
    <t>Laser Mitsubishi_ML605GTW6 MEC2505013</t>
  </si>
  <si>
    <t>MEC2505014</t>
  </si>
  <si>
    <t>VG146-25073035</t>
  </si>
  <si>
    <t>Laser Mitsubishi_ML605GTW6 MEC2505014</t>
  </si>
  <si>
    <t>MEC2505015</t>
  </si>
  <si>
    <t>Laser Mitsubishi_ML605GTW6 MEC2505015</t>
  </si>
  <si>
    <t>Jun-20 phát hành toàn bộ hàng Mitsubishi</t>
  </si>
  <si>
    <t>MEC2505016</t>
  </si>
  <si>
    <t>Laser Mitsubishi_ML605GTW6 MEC2505016</t>
  </si>
  <si>
    <t>MEC2505017</t>
  </si>
  <si>
    <t>VG146-25073036</t>
  </si>
  <si>
    <t>Laser Mitsubishi_ML605GTW6 MEC2505017</t>
  </si>
  <si>
    <t>MEC2505018</t>
  </si>
  <si>
    <t>Laser Mitsubishi_ML605GTW6 MEC2505018</t>
  </si>
  <si>
    <t>MEC2505019</t>
  </si>
  <si>
    <t>VG146-25073037</t>
  </si>
  <si>
    <t>Laser Mitsubishi_ML605GTW6 MEC2505019</t>
  </si>
  <si>
    <t>MEC2505020</t>
  </si>
  <si>
    <t>Laser Mitsubishi_ML605GTW6 MEC2505020</t>
  </si>
  <si>
    <t>MEC2505021</t>
  </si>
  <si>
    <t>Laser Mitsubishi_ML605GTW6 MEC2505021</t>
  </si>
  <si>
    <t>MEC2505022</t>
  </si>
  <si>
    <t>Laser Mitsubishi_ML605GTW6 MEC2505022</t>
  </si>
  <si>
    <t>MEC2505023</t>
  </si>
  <si>
    <t>Laser Mitsubishi_ML605GTW6 MEC2505023</t>
  </si>
  <si>
    <t>MEC2505024</t>
  </si>
  <si>
    <t>VG146-25073039</t>
  </si>
  <si>
    <t>Laser Mitsubishi_ML605GTW6 MEC2505024</t>
  </si>
  <si>
    <t>MEC2505025</t>
  </si>
  <si>
    <t>Laser Mitsubishi_ML605GTW6 MEC2505025</t>
  </si>
  <si>
    <t>MEC2505026</t>
  </si>
  <si>
    <t>VG146-25073040</t>
  </si>
  <si>
    <t>Laser Mitsubishi_ML605GTW6 MEC2505026</t>
  </si>
  <si>
    <t>MEC2505027</t>
  </si>
  <si>
    <t>Laser Mitsubishi_ML605GTW6 MEC2505027</t>
  </si>
  <si>
    <t>MEC2505028</t>
  </si>
  <si>
    <t>Laser Mitsubishi_ML605GTW6 MEC2505028</t>
  </si>
  <si>
    <t>MEC2505029</t>
  </si>
  <si>
    <t>VG146-25073041</t>
  </si>
  <si>
    <t>Laser Mitsubishi_ML605GTW6 MEC2505029</t>
  </si>
  <si>
    <t>MEC2505030</t>
  </si>
  <si>
    <t>DFR #2</t>
  </si>
  <si>
    <t>Máy làm mát bo_冷却機 MEC2505030</t>
  </si>
  <si>
    <t>MEC2505031</t>
  </si>
  <si>
    <t xml:space="preserve">DFR #3 </t>
  </si>
  <si>
    <t>Máy làm mát bo_冷却機 MEC2505031</t>
  </si>
  <si>
    <t>MEC2505032</t>
  </si>
  <si>
    <t>Máy nâng bo tạm thời_ストッカーFIFO MEC2505032</t>
  </si>
  <si>
    <t>MEC2505033</t>
  </si>
  <si>
    <t>DI 露光＃２</t>
  </si>
  <si>
    <t>Máy nâng bo tạm thời_ストッカーFIFO MEC2505033</t>
  </si>
  <si>
    <t>MEC2505034</t>
  </si>
  <si>
    <t>DI 露光＃3</t>
  </si>
  <si>
    <t>Máy nâng bo tạm thời_ストッカーFIFO MEC2505034</t>
  </si>
  <si>
    <t>MEC2505035</t>
  </si>
  <si>
    <t>Máy nâng bo tạm thời_ストッカーFIFO MEC2505035</t>
  </si>
  <si>
    <t>MEC2505036</t>
  </si>
  <si>
    <t>VG146-25073047</t>
  </si>
  <si>
    <t>DI 露光＃4</t>
  </si>
  <si>
    <t>Máy nâng bo tạm thời_ストッカーFIFO MEC2505036</t>
  </si>
  <si>
    <t>MEC2505037</t>
  </si>
  <si>
    <t>Laser Mitsubishi_ML605GTF6 MEC2505037</t>
  </si>
  <si>
    <t>MEC2505038</t>
  </si>
  <si>
    <t>Laser Mitsubishi_ML605GTF6 MEC2505038</t>
  </si>
  <si>
    <t>MEC2505039</t>
  </si>
  <si>
    <t>Laser Mitsubishi_ML605GTF6 MEC2505039</t>
  </si>
  <si>
    <t>MEC2505040</t>
  </si>
  <si>
    <t>Laser Mitsubishi_ML605GTF6 MEC2505040</t>
  </si>
  <si>
    <t>MEC2505041</t>
  </si>
  <si>
    <t>Laser Mitsubishi_ML605GTF6 MEC2505041</t>
  </si>
  <si>
    <t>MEC2505042</t>
  </si>
  <si>
    <t>Laser Mitsubishi_ML605GTF6 MEC2505042</t>
  </si>
  <si>
    <t>MEC2505043</t>
  </si>
  <si>
    <t>Laser Mitsubishi_ML605GTF6 MEC2505043</t>
  </si>
  <si>
    <t>MEC2505044</t>
  </si>
  <si>
    <t>Laser Mitsubishi_ML605GTF6 MEC2505044</t>
  </si>
  <si>
    <t>MEC2505045</t>
  </si>
  <si>
    <t>Laser Mitsubishi_ML605GTF6 MEC2505045</t>
  </si>
  <si>
    <t>MEC2505046</t>
  </si>
  <si>
    <t>Laser Mitsubishi_ML605GTF6 MEC2505046</t>
  </si>
  <si>
    <t>MEC2505047</t>
  </si>
  <si>
    <t>Laser Mitsubishi_ML605GTF6 MEC2505047</t>
  </si>
  <si>
    <t>MEC2505048</t>
  </si>
  <si>
    <t>Laser Mitsubishi_ML605GTF6 MEC2505048</t>
  </si>
  <si>
    <t>MEC2505049</t>
  </si>
  <si>
    <t>Laser Mitsubishi_ML605GTF6 MEC2505049</t>
  </si>
  <si>
    <t>MEC2505050</t>
  </si>
  <si>
    <t>Laser Mitsubishi_ML605GTF6 MEC2505050</t>
  </si>
  <si>
    <t>MEC2505051</t>
  </si>
  <si>
    <t>Laser Mitsubishi_ML605GTF6 MEC2505051</t>
  </si>
  <si>
    <t>MEC2505052</t>
  </si>
  <si>
    <t>Laser Mitsubishi_ML605GTF6 MEC2505052</t>
  </si>
  <si>
    <t>MEC2505053</t>
  </si>
  <si>
    <t>Laser Mitsubishi_ML605GTF6 MEC2505053</t>
  </si>
  <si>
    <t>MEC2505054</t>
  </si>
  <si>
    <t>Laser Mitsubishi_ML605GTF6 MEC2505054</t>
  </si>
  <si>
    <t>MEC2505055</t>
  </si>
  <si>
    <t>Laser Mitsubishi_ML605GTF6 MEC2505055</t>
  </si>
  <si>
    <t>MEC2505056</t>
  </si>
  <si>
    <t>Laser Mitsubishi_ML605GTF6 MEC2505056</t>
  </si>
  <si>
    <t>MEC2505057</t>
  </si>
  <si>
    <t>Laser Mitsubishi_ML605GTF6 MEC2505057</t>
  </si>
  <si>
    <t>MEC2505058</t>
  </si>
  <si>
    <t>Laser Mitsubishi_ML605GTF6 MEC2505058</t>
  </si>
  <si>
    <t>MEC2505059</t>
  </si>
  <si>
    <t>Laser Mitsubishi_ML605GTF6 MEC2505059</t>
  </si>
  <si>
    <t>MEC2505060</t>
  </si>
  <si>
    <t>Laser Mitsubishi_ML605GTF6 MEC2505060</t>
  </si>
  <si>
    <t>MEC2505061</t>
  </si>
  <si>
    <t>Laser Mitsubishi_ML605GTF6 MEC2505061</t>
  </si>
  <si>
    <t>MEC2505062</t>
  </si>
  <si>
    <t>Laser Mitsubishi_ML605GTF6 MEC2505062</t>
  </si>
  <si>
    <t>MEC2505063</t>
  </si>
  <si>
    <t>Laser Mitsubishi_ML605GTF6 MEC2505063</t>
  </si>
  <si>
    <t>MEC2505064</t>
  </si>
  <si>
    <t>Laser Mitsubishi_ML605GTF6 MEC2505064</t>
  </si>
  <si>
    <t>MEC2505065</t>
  </si>
  <si>
    <t>Laser Mitsubishi_ML605GTF6 MEC2505065</t>
  </si>
  <si>
    <t>MEC2505066</t>
  </si>
  <si>
    <t>Laser Mitsubishi_ML605GTF6 MEC2505066</t>
  </si>
  <si>
    <t>MEC2505067</t>
  </si>
  <si>
    <t>Laser Mitsubishi_ML605GTF6 MEC2505067</t>
  </si>
  <si>
    <t>MEC2505068</t>
  </si>
  <si>
    <t>Laser Mitsubishi_ML605GTF6 MEC2505068</t>
  </si>
  <si>
    <t>MEC2505069</t>
  </si>
  <si>
    <t>Laser Mitsubishi_ML605GTF6 MEC2505069</t>
  </si>
  <si>
    <t>MEC2505070</t>
  </si>
  <si>
    <t>VG146-25073033</t>
  </si>
  <si>
    <t>Plasma #2</t>
  </si>
  <si>
    <t>プラズマ マガジンラックの投入機 MEC2505070
Máy đưa bo Magazine rack line MSAP　Plasma #2</t>
  </si>
  <si>
    <t>06-Oct
08-Oct
10-Oct</t>
  </si>
  <si>
    <t>Oct-06 đặt hàng gia công cụm LU
Oct-06 đã đặt H rack
Oct-08 hàng gia công các cụm khác
Oct-10 hàng gia công cụm CL</t>
  </si>
  <si>
    <t>MEC2505071</t>
  </si>
  <si>
    <t>パターンメッキ　＃２</t>
  </si>
  <si>
    <t>パターンメッキ_LOAD-Robot MEC2505071</t>
  </si>
  <si>
    <t>MEC2505072</t>
  </si>
  <si>
    <t>Plasma #3</t>
  </si>
  <si>
    <t>プラズマ マガジンラックの投入機 MEC2505072
Máy đưa bo Magazine rack line MSAP　Plasma #3</t>
  </si>
  <si>
    <t>13-Oct
16-Oct</t>
  </si>
  <si>
    <t>Oct-13 hàng TC và GC cụm LU</t>
  </si>
  <si>
    <t>MEC2505073</t>
  </si>
  <si>
    <t>パターンメッキ　＃3</t>
  </si>
  <si>
    <t>パターンメッキ_LOAD-Robot MEC2505073</t>
  </si>
  <si>
    <t>MEC2505074</t>
  </si>
  <si>
    <t>VG146-25073030</t>
  </si>
  <si>
    <t>DFR #2 (CV:650mm)</t>
  </si>
  <si>
    <t>1400±50</t>
  </si>
  <si>
    <t>マガジンラック式投入機_Magazine rack LD_Phase 2 MEC2505074</t>
  </si>
  <si>
    <t>28-Jul
20-Oct</t>
  </si>
  <si>
    <t>PR 28/7 đặt hàng động cơ, HMI, bộ TOYO ETH17, xi lanh điện…</t>
  </si>
  <si>
    <t>MEC2505075</t>
  </si>
  <si>
    <t>VG146-25073031</t>
  </si>
  <si>
    <t>マガジンラック式投入機_Magazine rack LD_Phase 2 MEC2505075</t>
  </si>
  <si>
    <r>
      <t xml:space="preserve">Cần CV 1000mm
</t>
    </r>
    <r>
      <rPr>
        <sz val="11"/>
        <rFont val="Meiryo UI"/>
        <family val="2"/>
      </rPr>
      <t>PR 28/7 đặt hàng động cơ, HMI, bộ TOYO ETH17, xi lanh điện…</t>
    </r>
    <r>
      <rPr>
        <sz val="11"/>
        <color rgb="FFFF0000"/>
        <rFont val="Meiryo UI"/>
        <family val="2"/>
      </rPr>
      <t xml:space="preserve">
PR hàng TC vs Gia công TO,TF1,TF2,LU,FR1 --&gt; Aug-14
PR hàng cụm CL: Aug-15 </t>
    </r>
  </si>
  <si>
    <t>MEC2505076</t>
  </si>
  <si>
    <t>マガジンラック式投入機_Magazine rack LD_Phase 2 MEC2505076</t>
  </si>
  <si>
    <r>
      <rPr>
        <sz val="11"/>
        <color rgb="FFFF0000"/>
        <rFont val="Meiryo UI"/>
        <family val="2"/>
      </rPr>
      <t>Cần CV 1000mm</t>
    </r>
    <r>
      <rPr>
        <sz val="11"/>
        <rFont val="Meiryo UI"/>
        <family val="2"/>
      </rPr>
      <t xml:space="preserve">
PR 28/7 đặt hàng động cơ, HMI, bộ TOYO ETH17, xi lanh điện…
PR hàng TC vs Gia công TO,TF1,TF2,LU,FR1 --&gt; Aug-12
PR hàng cụm CL: Aug-15 </t>
    </r>
  </si>
  <si>
    <t>MEC2505077</t>
  </si>
  <si>
    <t>VG146-25073032</t>
  </si>
  <si>
    <t>DFR #3  (CV line: 650mm)</t>
  </si>
  <si>
    <t>マガジンラック式投入機_Magazine rack LD_Phase 2 MEC2505077</t>
  </si>
  <si>
    <t>PR 28/7 đặt hàng động cơ, HMI, bộ TOYO ETH17, xi lanh điện…
Dùng máy MEC2409012 lắp vào vị trí này--&gt; hàng điện đưa về tồn kho.</t>
  </si>
  <si>
    <t>Lấy máy 09012 lắp vào vị trí này.
Phát hành máy pasline 1100mm --&gt; lắp trả 09075</t>
  </si>
  <si>
    <t>MEC2505078</t>
  </si>
  <si>
    <t>マガジンラック式投入機_Magazine rack LD_Phase 2 MEC2505078</t>
  </si>
  <si>
    <t xml:space="preserve">PR 28/7 đặt hàng động cơ, HMI, bộ TOYO ETH17, xi lanh điện…
PR hàng TC vs Gia công TO,TF1,TF2,LU,FR1 --&gt; Aug-12
PR hàng cụm CL: Aug-15 </t>
  </si>
  <si>
    <t>MEC2505079</t>
  </si>
  <si>
    <t>積層前処理　＃２（CV Line：650）</t>
  </si>
  <si>
    <t>マガジンラック式投入機_Magazine rack LD_Phase 2 MEC2505079</t>
  </si>
  <si>
    <t>28-Jul
19-Sep</t>
  </si>
  <si>
    <t>MEC2505080</t>
  </si>
  <si>
    <t>銅メッキ</t>
  </si>
  <si>
    <t>水平デスミア　＃２ (CV line: 181)</t>
  </si>
  <si>
    <t>マガジンラック式投入機_Magazine rack LD_Phase 2 MEC2505080</t>
  </si>
  <si>
    <t xml:space="preserve">PR 28/7 đặt hàng động cơ, HMI, bộ TOYO ETH17, xi lanh điện…
Hàng GC vsTC cụm TF2, TF1, TO, LU, FR1 --&gt; PR: 8/14
PR hàng cụm CL: Aug-15 </t>
  </si>
  <si>
    <t>MEC2505081</t>
  </si>
  <si>
    <r>
      <t>水平PTH　＃２（CVLine：168）</t>
    </r>
    <r>
      <rPr>
        <strike/>
        <sz val="11"/>
        <color rgb="FFFF0000"/>
        <rFont val="Meiryo UI"/>
        <family val="2"/>
      </rPr>
      <t>Buffer Dummy</t>
    </r>
  </si>
  <si>
    <t>マガジンラック式投入機_Magazine rack LD_Phase 2 MEC2505081</t>
  </si>
  <si>
    <t>MEC2505082</t>
  </si>
  <si>
    <t>フィルドメッキ＃２</t>
  </si>
  <si>
    <t>マガジンラック式投入機_Magazine rack LD_Phase 2 MEC2505082</t>
  </si>
  <si>
    <t>MEC2505083</t>
  </si>
  <si>
    <t>フィルドメッキ＃3</t>
  </si>
  <si>
    <t>マガジンラック式投入機_Magazine rack LD_Phase 2 MEC2505083</t>
  </si>
  <si>
    <t>MEC2505084</t>
  </si>
  <si>
    <t>水平デスミア　＃3 (CV line: 181)</t>
  </si>
  <si>
    <t>マガジンラック式投入機_Magazine rack LD_Phase 2 MEC2505084</t>
  </si>
  <si>
    <t>MEC2505085</t>
  </si>
  <si>
    <r>
      <t xml:space="preserve">水平PTH　＃3 (CV line: 168)
</t>
    </r>
    <r>
      <rPr>
        <strike/>
        <sz val="11"/>
        <color rgb="FFFF0000"/>
        <rFont val="Meiryo UI"/>
        <family val="2"/>
      </rPr>
      <t>Buffer Dummy</t>
    </r>
  </si>
  <si>
    <t>マガジンラック式投入機_Magazine rack LD_Phase 2 MEC2505085</t>
  </si>
  <si>
    <t>MEC2505086</t>
  </si>
  <si>
    <t>フィルドメッキ＃5</t>
  </si>
  <si>
    <t>マガジンラック式投入機_Magazine rack LD_Phase 2 MEC2505086</t>
  </si>
  <si>
    <t>MEC2505087</t>
  </si>
  <si>
    <t>フィルドメッキ＃4</t>
  </si>
  <si>
    <t>マガジンラック式投入機_Magazine rack LD_Phase 2 MEC2505087</t>
  </si>
  <si>
    <t>MEC2505088</t>
  </si>
  <si>
    <t>マガジンラック式受取機_Magazine rack UL_Phase 2 MEC2505088</t>
  </si>
  <si>
    <t xml:space="preserve">PR 28/7 đặt hàng động cơ, HMI, bộ TOYO ETH17, xi lanh điện…
PR hàng TC vs Gia công TO,TF1,TF2,LU,FR1 --&gt; Aug-12PR hàng cụm CL: Aug-15 
Cụm CV: Aug-18 </t>
  </si>
  <si>
    <t>MEC2505089</t>
  </si>
  <si>
    <t>VG146-25073048</t>
  </si>
  <si>
    <t>マガジンラック式受取機_Magazine rack UL_Phase 2 MEC2505089</t>
  </si>
  <si>
    <t>PR 28/7 đặt hàng động cơ, HMI, bộ TOYO ETH17, xi lanh điện…
PR hàng TC vs Gia công TO,TF1,TF2,LU,FR1 --&gt; Aug-12
PR hàng cụm CL: Aug-15 
Cụm CV: Aug-18</t>
  </si>
  <si>
    <t>MEC2505090</t>
  </si>
  <si>
    <t>VG146-25073049</t>
  </si>
  <si>
    <t>マガジンラック式受取機_Magazine rack UL_Phase 2 MEC2505090</t>
  </si>
  <si>
    <t>MEC2505091</t>
  </si>
  <si>
    <t>マガジンラック式受取機_Magazine rack UL_Phase 2 MEC2505091</t>
  </si>
  <si>
    <t>MEC2505092</t>
  </si>
  <si>
    <t>VG146-25073050</t>
  </si>
  <si>
    <t>マガジンラック式受取機_Magazine rack UL_Phase 2 MEC2505092</t>
  </si>
  <si>
    <t>MEC2505093</t>
  </si>
  <si>
    <t>マガジンラック式受取機_Magazine rack UL_Phase 2 MEC2505093</t>
  </si>
  <si>
    <t>06-Oct
16-Oct</t>
  </si>
  <si>
    <t>Oct-06 đặt hàng gia công cụm LU
Oct-06 đã đặt H rack</t>
  </si>
  <si>
    <t>MEC2505094</t>
  </si>
  <si>
    <t>パターンメッキ＃２</t>
  </si>
  <si>
    <t>マガジンラック式受取機_Magazine rack UL_Phase 2 MEC2505094</t>
  </si>
  <si>
    <t>28-Jul
24-Sep</t>
  </si>
  <si>
    <t>MEC2505095</t>
  </si>
  <si>
    <t>マガジンラック式受取機_Magazine rack UL_Phase 2 MEC2505095</t>
  </si>
  <si>
    <t>MEC2505096</t>
  </si>
  <si>
    <t>パターンメッキ＃３</t>
  </si>
  <si>
    <t>マガジンラック式受取機_Magazine rack UL_Phase 2 MEC2505096</t>
  </si>
  <si>
    <t>MEC2505097</t>
  </si>
  <si>
    <t>水平デスミア　＃２</t>
  </si>
  <si>
    <t>マガジンラック式受取機_Magazine rack UL_Phase 2 MEC2505097</t>
  </si>
  <si>
    <t>PR 28/7 đặt hàng động cơ, HMI, bộ TOYO ETH17, xi lanh điện…
PR hàng TC vs Gia công TO,TF1,TF2,LU,FR1 --&gt; Aug-12
PR hàng cụm CL: Aug-15 
Cụm CV: Aug-18 --&gt; Sep-10</t>
  </si>
  <si>
    <t>MEC2505098</t>
  </si>
  <si>
    <t>水平PTH　＃２
Buffer Dummy</t>
  </si>
  <si>
    <t>マガジンラック式受取機_Magazine rack UL_Phase 2 MEC2505098</t>
  </si>
  <si>
    <t>MEC2505099</t>
  </si>
  <si>
    <t>マガジンラック式受取機_Magazine rack UL_Phase 2 MEC2505099</t>
  </si>
  <si>
    <t>MEC2505100</t>
  </si>
  <si>
    <t>マガジンラック式受取機_Magazine rack UL_Phase 2 MEC2505100</t>
  </si>
  <si>
    <t>MEC2505101</t>
  </si>
  <si>
    <t>マガジンラック式受取機_Magazine rack UL_Phase 2 MEC2505101</t>
  </si>
  <si>
    <t>MEC2505102</t>
  </si>
  <si>
    <t>水平デスミア　＃3</t>
  </si>
  <si>
    <t>マガジンラック式受取機_Magazine rack UL_Phase 2 MEC2505102</t>
  </si>
  <si>
    <t>MEC2505103</t>
  </si>
  <si>
    <r>
      <t xml:space="preserve">水平PTH　＃3
</t>
    </r>
    <r>
      <rPr>
        <sz val="11"/>
        <color rgb="FFFF0000"/>
        <rFont val="Meiryo UI"/>
        <family val="2"/>
      </rPr>
      <t>Buffer Dummy</t>
    </r>
  </si>
  <si>
    <t>マガジンラック式受取機_Magazine rack UL_Phase 2 MEC2505103</t>
  </si>
  <si>
    <t>MEC2505104</t>
  </si>
  <si>
    <t>マガジンラック式受取機_Magazine rack UL_Phase 2 MEC2505104</t>
  </si>
  <si>
    <t>MEC2505105</t>
  </si>
  <si>
    <t>積層前処理　＃２</t>
  </si>
  <si>
    <r>
      <t xml:space="preserve">Tray + JIG
</t>
    </r>
    <r>
      <rPr>
        <sz val="10"/>
        <rFont val="Meiryo UI"/>
        <family val="2"/>
      </rPr>
      <t>ACCUTECH</t>
    </r>
  </si>
  <si>
    <t>マガジンラック式受取機_Magazine rack UL_Phase 2 MEC2505105</t>
  </si>
  <si>
    <t>MEC2505106</t>
  </si>
  <si>
    <t>外周加工　＃２</t>
  </si>
  <si>
    <t>マガジンラック式受取機_Magazine rack UL_Phase 2 MEC2505106</t>
  </si>
  <si>
    <t>MEC2505107</t>
  </si>
  <si>
    <t>Rack Accutech</t>
  </si>
  <si>
    <t>外周加工投入機-Máy loading H rack MEC2505107</t>
  </si>
  <si>
    <t>PR hàng tiêu chuẩn Aug-20
PR hàng gia công: Sep-04 --&gt; Leadtime: Sep-20</t>
  </si>
  <si>
    <t>MEC2506004</t>
  </si>
  <si>
    <t>VG146-25060062</t>
  </si>
  <si>
    <t>Máy làm mát bo cho Line LPR#1 Fact.4 / 
 Air cooled flip over machine</t>
  </si>
  <si>
    <t>Huy</t>
  </si>
  <si>
    <t>MEC2506005</t>
  </si>
  <si>
    <t>VG146-25060063</t>
  </si>
  <si>
    <t>DES (LPR#1)</t>
  </si>
  <si>
    <t>Máy làm mát bo cho Line LPR#2 Fact.4 / 
 Air cooled flip over machine</t>
  </si>
  <si>
    <t>MEC2506006</t>
  </si>
  <si>
    <t>VG146-25060061</t>
  </si>
  <si>
    <t>DES (LPR#2)</t>
  </si>
  <si>
    <t>Máy làm mát bo cho Line Des Fact.4 / 
 Air cooled flip over machine</t>
  </si>
  <si>
    <t>HUy</t>
  </si>
  <si>
    <t>MEC2506021</t>
  </si>
  <si>
    <t>VG146-25083006</t>
  </si>
  <si>
    <t>Pattern DI</t>
  </si>
  <si>
    <t>Băng tải thường L1000mm (line chụp sáng từng phần) #1</t>
  </si>
  <si>
    <t>Đăng</t>
  </si>
  <si>
    <t>MEC2506022</t>
  </si>
  <si>
    <t>Băng tải thường L1000mm (line chụp sáng từng phần) #2</t>
  </si>
  <si>
    <t>MEC2506023</t>
  </si>
  <si>
    <t>Băng tải thường L710mm (line DES)</t>
  </si>
  <si>
    <t>MEC2506024</t>
  </si>
  <si>
    <t>Băng tải thường L1800mm (line SR Develop)</t>
  </si>
  <si>
    <t>MEC2506025</t>
  </si>
  <si>
    <t>Băng tải thường L280mm (line MASK Develop)</t>
  </si>
  <si>
    <t>MEC2506012</t>
  </si>
  <si>
    <t>Băng tải căn bo line VCP</t>
  </si>
  <si>
    <t>Phú</t>
  </si>
  <si>
    <t>Khánh</t>
  </si>
  <si>
    <t>MEC2505110</t>
  </si>
  <si>
    <t>VCP#2</t>
  </si>
  <si>
    <t>Băng tải căn bo #2 line VCP</t>
  </si>
  <si>
    <t>MEC2507009</t>
  </si>
  <si>
    <t>VG146-25093003</t>
  </si>
  <si>
    <t>３F</t>
  </si>
  <si>
    <t>AOI</t>
  </si>
  <si>
    <t>Máy đưa nhận bo công đoạn AOI #1</t>
  </si>
  <si>
    <t>AOI Tray</t>
  </si>
  <si>
    <t>Oct-17 phát hành hàng động cơ và CAM
Nov-04 chốt dùng INOX,, phòng sạch</t>
  </si>
  <si>
    <t>MEC2507010</t>
  </si>
  <si>
    <t>Máy đưa nhận bo công đoạn AOI #2</t>
  </si>
  <si>
    <t>Testing</t>
  </si>
  <si>
    <t>MEC2507011</t>
  </si>
  <si>
    <t>Máy đưa nhận bo công đoạn AOI #3</t>
  </si>
  <si>
    <t>MEC2507012</t>
  </si>
  <si>
    <t>VG146-25093004</t>
  </si>
  <si>
    <t>Máy đưa nhận bo công đoạn AOI #4</t>
  </si>
  <si>
    <t>A2</t>
  </si>
  <si>
    <t>MEC2507013</t>
  </si>
  <si>
    <t>Máy đưa nhận bo công đoạn AOI #5</t>
  </si>
  <si>
    <t>MEC2507014</t>
  </si>
  <si>
    <t>Máy đưa nhận bo công đoạn AOI #6</t>
  </si>
  <si>
    <t>MEC2507015</t>
  </si>
  <si>
    <t>Máy đưa nhận bo công đoạn AOI #7</t>
  </si>
  <si>
    <t>A4</t>
  </si>
  <si>
    <t>MEC2507016</t>
  </si>
  <si>
    <t>Máy đưa nhận bo công đoạn AOI #8</t>
  </si>
  <si>
    <t>MEC2507017</t>
  </si>
  <si>
    <t>VG146-25093005</t>
  </si>
  <si>
    <t>Máy đưa nhận bo công đoạn AOI #9</t>
  </si>
  <si>
    <t>MEC2507018</t>
  </si>
  <si>
    <t>Máy nâng hạ tự động #1 cho Tiền xử lý Ép lớp  (800 --&gt; 1100mm)</t>
  </si>
  <si>
    <t>MEC2507019</t>
  </si>
  <si>
    <t>Máy nâng hạ tự động #2 cho Tiền xử lý Ép lớp  (800 --&gt; 1100mm)</t>
  </si>
  <si>
    <t>MEC2507022</t>
  </si>
  <si>
    <t>Máy lật bo và xoay bo #2 cho Tiền xử lý Ép lớp</t>
  </si>
  <si>
    <t>MEC2507023</t>
  </si>
  <si>
    <t>VG146-25093001</t>
  </si>
  <si>
    <t>Cắt viền</t>
  </si>
  <si>
    <t>(1100±50)</t>
  </si>
  <si>
    <t>Máy đưa bo #2 từ cắt viền - X ray</t>
  </si>
  <si>
    <t>PR đặt Robot Aug-19 --&gt; Oct-05
PR Sep-12 hàng gia công tủ điện và băng tải.</t>
  </si>
  <si>
    <t>MEC2507024</t>
  </si>
  <si>
    <t>レーザー</t>
  </si>
  <si>
    <t>レーザー前処理 (CV line: 348)</t>
  </si>
  <si>
    <t>TRAY</t>
  </si>
  <si>
    <t>Máy đưa bo Magazine rack #1 cho Tiền xử lý Laser</t>
  </si>
  <si>
    <t>MEC2507025</t>
  </si>
  <si>
    <t>レーザー後処理(CV line: 348)</t>
  </si>
  <si>
    <t xml:space="preserve">Máy đưa bo Magazine rack #2 cho Tiền xử lý Laser </t>
  </si>
  <si>
    <t>MEC2507026</t>
  </si>
  <si>
    <t>VG146-25093025</t>
  </si>
  <si>
    <t>2D</t>
  </si>
  <si>
    <r>
      <t xml:space="preserve">2D code </t>
    </r>
    <r>
      <rPr>
        <sz val="11"/>
        <color rgb="FFFF0000"/>
        <rFont val="Meiryo UI"/>
        <family val="2"/>
      </rPr>
      <t>(Cần quay bo 90 vs 180 deg)</t>
    </r>
  </si>
  <si>
    <t>Máy đưa bo Magazine rack #1 cho gia công 2D code</t>
  </si>
  <si>
    <t>28-Jul
13-Oct</t>
  </si>
  <si>
    <t>MEC2507027</t>
  </si>
  <si>
    <t>レーザー前処理(CV line: 348)</t>
  </si>
  <si>
    <t>Máy nhận bo Magazine rack #1 cho Tiền xử lý Laser</t>
  </si>
  <si>
    <t>PR 28/7 đặt hàng động cơ, HMI, bộ TOYO ETH17, xi lanh điện…
PR hàng TC vs Gia công TO,TF1,TF2,LU,FR1 --&gt; Aug-12
PR hàng cụm CL: Aug-15 
Cụm CV: Aug-18 -&gt; Sep-10</t>
  </si>
  <si>
    <t>MEC2507028</t>
  </si>
  <si>
    <t>VG146-25093006</t>
  </si>
  <si>
    <t xml:space="preserve">Máy nhận bo Magazine rack #2 cho Hậu xử lý Laser </t>
  </si>
  <si>
    <t>MEC2507029</t>
  </si>
  <si>
    <r>
      <t>2D code</t>
    </r>
    <r>
      <rPr>
        <sz val="11"/>
        <color rgb="FFFF0000"/>
        <rFont val="Meiryo UI"/>
        <family val="2"/>
      </rPr>
      <t xml:space="preserve"> (Cần quay bo 90 vs 180 deg)</t>
    </r>
  </si>
  <si>
    <t>Máy nhận bo Magazine rack #1 Gia công mã 2D code</t>
  </si>
  <si>
    <t>MEC2507030</t>
  </si>
  <si>
    <t>メッキ</t>
  </si>
  <si>
    <t>Băng tải căn bo #3 line VCP
側整列コンベア #3</t>
  </si>
  <si>
    <t>MEC2507031</t>
  </si>
  <si>
    <t>Băng tải căn bo #4 line VCP
側整列コンベア #4</t>
  </si>
  <si>
    <t>MEC2507032</t>
  </si>
  <si>
    <t>Băng tải căn bo #5 line VCP 
側整列コンベア #5</t>
  </si>
  <si>
    <t>MEC2507002</t>
  </si>
  <si>
    <t>VG146-25070062</t>
  </si>
  <si>
    <t>Máy khắc laser 2D barcode tự động đưa và nhận bo #6</t>
  </si>
  <si>
    <t>CỤm X-Y Toyo: Sep-10 về MKAC
Robot Yas: Oct-10
Động cơ Yas:</t>
  </si>
  <si>
    <t>MEC2508009</t>
  </si>
  <si>
    <t>VG146-25100006</t>
  </si>
  <si>
    <t>DES#1</t>
  </si>
  <si>
    <t>1110±30</t>
  </si>
  <si>
    <t>Max: 539x618
Min: 508 x 402
t0.1~1.8</t>
  </si>
  <si>
    <t>Máy đưa bo Lrack Line DES #1 Tạo mạch ngoài</t>
  </si>
  <si>
    <t>Máy đưa bo nhẹ nhàng, tránh bo va đập gây xước, rách DFR, đứt lỗ</t>
  </si>
  <si>
    <t>MEC2508010</t>
  </si>
  <si>
    <t>VG146-25100005</t>
  </si>
  <si>
    <t>Máy đưa bo Lrack Line DES #2 Tạo mạch ngoài</t>
  </si>
  <si>
    <t>Máy tồn do làm sai hướng</t>
  </si>
  <si>
    <t>Fact.2</t>
  </si>
  <si>
    <t>1000±30</t>
  </si>
  <si>
    <t>Máy đưa bo V rack TYPE 4</t>
  </si>
  <si>
    <t>MEC2507004</t>
  </si>
  <si>
    <t>VG146-25080014</t>
  </si>
  <si>
    <t>DES (TMN)</t>
  </si>
  <si>
    <t>500x350 
620x539</t>
  </si>
  <si>
    <t>Sale liên lạc Stop không làm máy (Aug-20)</t>
  </si>
  <si>
    <t>MEC2508033</t>
  </si>
  <si>
    <t>TXL ép lớp #1</t>
  </si>
  <si>
    <t>Băng tải L600mm_MKHC</t>
  </si>
  <si>
    <t>MEC2508034</t>
  </si>
  <si>
    <t>Băng tải L1000mm_MKHC</t>
  </si>
  <si>
    <t>MEC2509001</t>
  </si>
  <si>
    <t>VG146-25113005</t>
  </si>
  <si>
    <t xml:space="preserve">レーザー前処理 </t>
  </si>
  <si>
    <t>Băng tải L350 #1</t>
  </si>
  <si>
    <t>Lắp vào máy MEC2507024</t>
  </si>
  <si>
    <t>MEC2509002</t>
  </si>
  <si>
    <t>レーザー後処理</t>
  </si>
  <si>
    <t>Băng tải L350 #2</t>
  </si>
  <si>
    <t>Lắp vào máy MEC2507025</t>
  </si>
  <si>
    <t>MEC2509003</t>
  </si>
  <si>
    <t>Băng tải L520 #1</t>
  </si>
  <si>
    <t>Lắp vào máy MEC2505080</t>
  </si>
  <si>
    <t>MEC2509004</t>
  </si>
  <si>
    <t>水平PTH　＃２</t>
  </si>
  <si>
    <t>Băng tải L520 #2</t>
  </si>
  <si>
    <t>Lắp vào máy MEC2505081</t>
  </si>
  <si>
    <t>MEC2509005</t>
  </si>
  <si>
    <t>水平デスミア　＃３</t>
  </si>
  <si>
    <t>Băng tải L520 #3</t>
  </si>
  <si>
    <t>Lắp vào máy MEC2505084</t>
  </si>
  <si>
    <t>MEC2509006</t>
  </si>
  <si>
    <t>VG146-25113006</t>
  </si>
  <si>
    <t>水平PTH　＃３</t>
  </si>
  <si>
    <t>Băng tải L520 #4</t>
  </si>
  <si>
    <t>Lắp vào máy MEC2505085</t>
  </si>
  <si>
    <t>MEC2509007</t>
  </si>
  <si>
    <t>Băng tải L600mm #1</t>
  </si>
  <si>
    <t>Lắp vào máy MEC2409028</t>
  </si>
  <si>
    <t>MEC2509008</t>
  </si>
  <si>
    <t>パターンめっき
Đã giao MKHC trước rồi</t>
  </si>
  <si>
    <t>Băng tải L600mm #2</t>
  </si>
  <si>
    <t>Lắp vào máy MEC2409045</t>
  </si>
  <si>
    <t>MEC2509009</t>
  </si>
  <si>
    <t>積層前処理
Đã giao MKHC trước rồi</t>
  </si>
  <si>
    <t>Băng tải L600mm #3</t>
  </si>
  <si>
    <t>Lắp vào máy MEC2409012</t>
  </si>
  <si>
    <t>MEC2509010</t>
  </si>
  <si>
    <t>MASK DFR～露光</t>
  </si>
  <si>
    <t>Băng tải L600mm #4</t>
  </si>
  <si>
    <t>Lắp với máy MEC2409065</t>
  </si>
  <si>
    <t>MEC2509011</t>
  </si>
  <si>
    <t>金めっき　前処理
Đã giao MKHC trước rồi</t>
  </si>
  <si>
    <t>Băng tải L600mm #5</t>
  </si>
  <si>
    <t>Lắp vào máy MEC2409075</t>
  </si>
  <si>
    <t>MEC2509012</t>
  </si>
  <si>
    <t>VG146-25113007</t>
  </si>
  <si>
    <t>DI 露光　＃２</t>
  </si>
  <si>
    <t>Băng tải L700mm #1</t>
  </si>
  <si>
    <t>Lắp vào máy MEC2505075</t>
  </si>
  <si>
    <t>MEC2509013</t>
  </si>
  <si>
    <t>VG146-25113008</t>
  </si>
  <si>
    <t>DI 露光　＃３</t>
  </si>
  <si>
    <t>Băng tải L700mm #2</t>
  </si>
  <si>
    <t>Lắp vào máy MEC2505076</t>
  </si>
  <si>
    <t>MEC2509014</t>
  </si>
  <si>
    <t>DI 露光　＃４</t>
  </si>
  <si>
    <t>Băng tải L700mm #3</t>
  </si>
  <si>
    <t>Lắp vào máy MEC2505078</t>
  </si>
  <si>
    <t>MEC2509015</t>
  </si>
  <si>
    <t>Băng tải L700mm #4</t>
  </si>
  <si>
    <t>Lắp vào máy MEC2505082</t>
  </si>
  <si>
    <t>MEC2509016</t>
  </si>
  <si>
    <t>フィルドメッキ＃３</t>
  </si>
  <si>
    <t>Băng tải L700mm #5</t>
  </si>
  <si>
    <t>Lắp vào máy MEC2505083</t>
  </si>
  <si>
    <t>MEC2509017</t>
  </si>
  <si>
    <t>Băng tải L700mm #6</t>
  </si>
  <si>
    <t>Lắp vào máy MEC2505086</t>
  </si>
  <si>
    <t>MEC2509018</t>
  </si>
  <si>
    <t>Băng tải L700mm #7</t>
  </si>
  <si>
    <t>Lắp vào máy MEC2505087</t>
  </si>
  <si>
    <t>MEC2509019</t>
  </si>
  <si>
    <t>2D code</t>
  </si>
  <si>
    <t>Băng tải L700mm #8</t>
  </si>
  <si>
    <t>Lắp vào máy MEC2507026</t>
  </si>
  <si>
    <t>MEC2509020</t>
  </si>
  <si>
    <t>Băng tải L1000mm #3</t>
  </si>
  <si>
    <t>Lắp vào máy MEC2409033</t>
  </si>
  <si>
    <t>MEC2509024</t>
  </si>
  <si>
    <t>VG146-251105C-MKHC</t>
  </si>
  <si>
    <t>Dịch vụ lắp thêm cover an toàn cho máy Matehan MKHC Phase #1</t>
  </si>
  <si>
    <t>MEC2509040</t>
  </si>
  <si>
    <t>Máy kiểm tra 2D barcode hệ X-Y-Z cho FPC</t>
  </si>
  <si>
    <t>MEC2510002</t>
  </si>
  <si>
    <t>Máy khắc 2d barcode Tripod</t>
  </si>
  <si>
    <t>Laser Make</t>
  </si>
  <si>
    <t>MEC2510010</t>
  </si>
  <si>
    <t>VG146-26020009</t>
  </si>
  <si>
    <t xml:space="preserve">Hiện ảnh </t>
  </si>
  <si>
    <t>Máy đưa bo (TRAY) cho dây chuyền hiện ảnh PKG 3F</t>
  </si>
  <si>
    <t>Gửi báo giá Nov-06, update bản vẽ gửi MKVC
Apr-01 phát hành hàng TC máy
Hàng gia công leadtime: May-05</t>
  </si>
  <si>
    <t>MEC2510016</t>
  </si>
  <si>
    <t>20251225-002805-F800</t>
  </si>
  <si>
    <t>TENDOU 2F</t>
  </si>
  <si>
    <t>724x618
510x332</t>
  </si>
  <si>
    <t>Carrier Device (Load&amp;Unload) for Laser Processing System ML706GTW6_TENDOU</t>
  </si>
  <si>
    <t>MEC2510017</t>
  </si>
  <si>
    <t>Oct-27, 2025 Mr. Takahashi gọi điện báo số lượng 2 --&gt; 1 máy, stop 1 máy</t>
  </si>
  <si>
    <t>MEC2509031</t>
  </si>
  <si>
    <t>VG146-251102C-MKHC</t>
  </si>
  <si>
    <t>2D ID</t>
  </si>
  <si>
    <t>Cải tiến thêm cơ cấu quay bo 90 deg và 180 deg máy đưa bo cho gia công 2D code</t>
  </si>
  <si>
    <t>MEC2509032</t>
  </si>
  <si>
    <t>Cải tiến thêm cơ cấu quay bo 90 deg và 180 deg máy nhận bo cho gia công 2D code</t>
  </si>
  <si>
    <t>MEC2510025</t>
  </si>
  <si>
    <t>Dịch vụ cải tiến lắp thay đổi vị trí đầu đọc 2D code các máy Meiko Hòa Bình</t>
  </si>
  <si>
    <t>MEC2403066</t>
  </si>
  <si>
    <t>VG146-25120025</t>
  </si>
  <si>
    <t>TXL Tạo Mạch ngoài
(Đổi cho sấy UV)</t>
  </si>
  <si>
    <t>920±20㎜</t>
  </si>
  <si>
    <t>610x400
0.2~2.0</t>
  </si>
  <si>
    <t>720x620
0.2~2.0
3.0kg</t>
  </si>
  <si>
    <t>Siêu âm
Xi lanh？</t>
  </si>
  <si>
    <t>Máy đưa bo tiền xử lý tạo mạch ngoài #1</t>
  </si>
  <si>
    <r>
      <t xml:space="preserve">Báo giá Nov-21 (Lấy máy tồn kho bán)
</t>
    </r>
    <r>
      <rPr>
        <sz val="11"/>
        <color rgb="FFFF0000"/>
        <rFont val="Meiryo UI"/>
        <family val="2"/>
      </rPr>
      <t>Cần phải đảm bao 100% tấm IC không vào line</t>
    </r>
  </si>
  <si>
    <t>MEC2511003</t>
  </si>
  <si>
    <t>TXL Tạo Mạch ngoài
(Đổi cho mạ xung #2)</t>
  </si>
  <si>
    <t>1100±30</t>
  </si>
  <si>
    <t>Máy đưa bo tiền xử lý tạo mạch ngoài #2</t>
  </si>
  <si>
    <t>MEC2403057</t>
  </si>
  <si>
    <t>VG146-25120026</t>
  </si>
  <si>
    <t>Sấy UV　＃１</t>
  </si>
  <si>
    <t>920±20</t>
  </si>
  <si>
    <t>Máy nhận bo sấy UV tạo mạch ngoài #1</t>
  </si>
  <si>
    <t>Báo giá Nov-21 (Lấy máy tồn kho bán)</t>
  </si>
  <si>
    <t>MEC2403072</t>
  </si>
  <si>
    <t>VG146-25120036</t>
  </si>
  <si>
    <t>CCD #1 (bo mỏng)</t>
  </si>
  <si>
    <t>950(+20
-0)</t>
  </si>
  <si>
    <t>Máy đưa bo đục lỗ CCD #1</t>
  </si>
  <si>
    <t>MEC2403079</t>
  </si>
  <si>
    <t>VG146-25120042</t>
  </si>
  <si>
    <t>Máy nhận bo đục lỗ CCD #1</t>
  </si>
  <si>
    <t>MEC2511014</t>
  </si>
  <si>
    <t>VG146-25110040</t>
  </si>
  <si>
    <t>Fact.4 1F</t>
  </si>
  <si>
    <t>340x410
t:0.1-2.0</t>
  </si>
  <si>
    <t>714x618
t:0.1-2.0</t>
  </si>
  <si>
    <t>Hrack Laser</t>
  </si>
  <si>
    <t>Loading &amp; Unloading machine for Laser ML706 GTW6  for Fact.4 #6</t>
  </si>
  <si>
    <t>Động cơ Tsubaki: Jan-20, 2026</t>
  </si>
  <si>
    <t>MEC2511016</t>
  </si>
  <si>
    <t>MTV</t>
  </si>
  <si>
    <t>900±30</t>
  </si>
  <si>
    <t>50x50</t>
  </si>
  <si>
    <t>445x330</t>
  </si>
  <si>
    <t>Máy đưa PCB cho máy SMT</t>
  </si>
  <si>
    <t>MEC2511008</t>
  </si>
  <si>
    <t>VG146-25120062</t>
  </si>
  <si>
    <t>FE-251029-01</t>
  </si>
  <si>
    <t>VCP #4</t>
  </si>
  <si>
    <t>Máy đưa bo cho Mạ đồng VCP#4 Fact. 4</t>
  </si>
  <si>
    <t>Báo giá bằng giá máy đã bán: MEC2410095
Apr-13 phát hành gia công LU, RB, TO</t>
  </si>
  <si>
    <t>MEC2511009</t>
  </si>
  <si>
    <t>VG146-25120063</t>
  </si>
  <si>
    <t>Máy nhận bo cho Mạ đồng VCP#4 Fact. 4</t>
  </si>
  <si>
    <t>Báo giá bằng giá máy đã bán: MEC2410098
Apr-13 phát hành gia công LU, RB, TO</t>
  </si>
  <si>
    <t>MEC2512001</t>
  </si>
  <si>
    <t>Fact.4 3F</t>
  </si>
  <si>
    <t>Mạ vàng</t>
  </si>
  <si>
    <t>1180±30</t>
  </si>
  <si>
    <t>635x635
350x350
t0.4~4.0</t>
  </si>
  <si>
    <t>Băng tải chữ U line mạ vàng tầng 3 Fact 4</t>
  </si>
  <si>
    <t>U conveyor</t>
  </si>
  <si>
    <t>MEC2512003</t>
  </si>
  <si>
    <t>20260302-001546-F800-A</t>
  </si>
  <si>
    <t>TENDOU 3F</t>
  </si>
  <si>
    <t>TXL tạo mạch
回路前処理</t>
  </si>
  <si>
    <t>720x620
330x610
t0.04~3.6mm</t>
  </si>
  <si>
    <t>center</t>
  </si>
  <si>
    <t>Máy đưa bo line tiền xử lý tạo mạch có gắn đầu khắc Laser (2 V rack)
回路前処理 露光ラインの投入機 (レーザーマーカ付き）(2 V rack)</t>
  </si>
  <si>
    <t>Purchasing</t>
  </si>
  <si>
    <t xml:space="preserve">Đã gửi báo giá cho SALE Jan-20,2026
Apr-21 phát hành 1 phần TBTC cơ </t>
  </si>
  <si>
    <t>Phase #4</t>
  </si>
  <si>
    <t>MEC2512004</t>
  </si>
  <si>
    <t>●
10000</t>
  </si>
  <si>
    <t>Máy nhận bo line tiền xử lý tạo mạch (2 V rack)
回路前処理 露光ラインの受取機 (2 V rack)</t>
  </si>
  <si>
    <t>05-Jun
12-Jun</t>
  </si>
  <si>
    <t>Đã gửi báo giá cho SALE Jan-20,2026
Jun-05 đặt hàng gia công Lock, RB, CV</t>
  </si>
  <si>
    <t>MEC2512005</t>
  </si>
  <si>
    <t>20260302-001546-F800-B</t>
  </si>
  <si>
    <t>Máy đưa bo line DES (2 V rack)
DESラインの投入機  (2 V rack)</t>
  </si>
  <si>
    <t>MEC2512006</t>
  </si>
  <si>
    <t>4 Vrack
4 Hrack</t>
  </si>
  <si>
    <t>Máy nhận bo line DES (4 Vrack + 4 H rack)
DES ラインの受取機  (4 Vrack + 4 H rack)</t>
  </si>
  <si>
    <t>8 cart UL</t>
  </si>
  <si>
    <t>25-Mar
24-Apr</t>
  </si>
  <si>
    <t>Đã gửi báo giá cho SALE Jan-20,2026
Phát hành hàng tiêu chuẩn Leadtime dài: Mar-25</t>
  </si>
  <si>
    <t>MEC2512007</t>
  </si>
  <si>
    <t>20260302-001546-F800-C</t>
  </si>
  <si>
    <t>レジストライン(印刷ライン）
Phủ sơn</t>
  </si>
  <si>
    <t>2 Vrack
2 Hrack</t>
  </si>
  <si>
    <t>Máy đưa bo line phủ sơn (2 Vrack + 2 H rack)
レジストライン(印刷ライン）の投入機 (2 Vrack + 2 H rack)</t>
  </si>
  <si>
    <t>4 cart LD</t>
  </si>
  <si>
    <t>MEC2512008</t>
  </si>
  <si>
    <t>Máy nhận bo line phủ sơn (2 Vrack + 2 H rack)
レジストライン(印刷ライン）の受取機 (2 Vrack + 2 H rack)</t>
  </si>
  <si>
    <t>4 cart UL</t>
  </si>
  <si>
    <t>MEC2512021</t>
  </si>
  <si>
    <t>Rửa siêu âm #1</t>
  </si>
  <si>
    <t>Máy nhận bo cho line rửa siêu âm #1 2F Fact. 2</t>
  </si>
  <si>
    <t>MEC2512022</t>
  </si>
  <si>
    <t>Rửa siêu âm #2</t>
  </si>
  <si>
    <t>Máy nhận bo cho line rửa siêu âm #2 2F Fact. 2</t>
  </si>
  <si>
    <t>MEC2511025</t>
  </si>
  <si>
    <t>Khắc 2D Code</t>
  </si>
  <si>
    <t>2 Vrack</t>
  </si>
  <si>
    <t>Máy khắc laser 2D barcode tự động đưa và nhận bo 2F Fact2 MEC2511025</t>
  </si>
  <si>
    <t>Lấy CAM và đầu khắc Keyence từ máy cũ Fact.2 2F
Đặt Robot: Dec-16, động cơ Yaskawa: Dec-17 --&gt; LT: Feb-28</t>
  </si>
  <si>
    <t>MEC2512028</t>
  </si>
  <si>
    <t>VG146-26020006</t>
  </si>
  <si>
    <t>VCP#6</t>
  </si>
  <si>
    <t>390x390
t0.3~5.0</t>
  </si>
  <si>
    <t>724x624
t0.3~5.0</t>
  </si>
  <si>
    <t>Máy đưa bo cho VCP#6</t>
  </si>
  <si>
    <t>Tăng cường Pad hút 14pcs --&gt; 16pcs
Tay vặn dang tai dễ thay đổi và cố định
Phía dưới băng tải làm khay đỡ để đặt giấy dính bụi thu dị vật
Tủ điều khiển bên dưới cần làm kín tránh bụi và hơi hóa chất</t>
  </si>
  <si>
    <t>PR mua Robot Kawasaki: Apr-06, 2026</t>
  </si>
  <si>
    <t>MEC2512029</t>
  </si>
  <si>
    <t>Máy nhận bo cho VCP#6</t>
  </si>
  <si>
    <t>MEC2512030</t>
  </si>
  <si>
    <t>VG146-26020005</t>
  </si>
  <si>
    <t>VCP#5</t>
  </si>
  <si>
    <t>Máy đưa bo cho VCP#5</t>
  </si>
  <si>
    <t>MEC2512031</t>
  </si>
  <si>
    <t>Máy nhận bo cho VCP#5</t>
  </si>
  <si>
    <t>MEC2512034</t>
  </si>
  <si>
    <t>Fact 1. 2F</t>
  </si>
  <si>
    <t>Máy transfer bo vào máy khắc Laser Xuelong để khắc 2D code Panel / Transfer Machine Feeding Panels into Xuelong Laser Engraving Machine for 2D Code Engraving</t>
  </si>
  <si>
    <t>Đã gửi báo giá cho SALE: Dec-29,2025</t>
  </si>
  <si>
    <t>MEC2512035</t>
  </si>
  <si>
    <t>Máy lật kết hợp hệ băng tải và khắc 2D code Panel / Flipping Machine with Conveyor System and 2D Laser Code Engraving on Panel</t>
  </si>
  <si>
    <t>MEC2512047</t>
  </si>
  <si>
    <t>VG146-25120071</t>
  </si>
  <si>
    <t>724x624
t0.4~2.0</t>
  </si>
  <si>
    <t>Máy khắc laser 2D barcode tự động đưa và nhận bo #7</t>
  </si>
  <si>
    <t>Động cơ Yaskawa: 25/12 đặt từ Japan về
Đặt mua đầu khắc Laser Keyence Jan-27 --&gt; Feb-10</t>
  </si>
  <si>
    <t>MEC2512048</t>
  </si>
  <si>
    <t>VG146-25120072</t>
  </si>
  <si>
    <t>Máy khắc laser 2D barcode tự động đưa và nhận bo #8</t>
  </si>
  <si>
    <t>Đặt mua đầu khắc Laser Keyence Jan-27 --&gt; Apr-10</t>
  </si>
  <si>
    <t>MEC2510001</t>
  </si>
  <si>
    <t>VG146-251103C-MKHC</t>
  </si>
  <si>
    <t>Fact.1</t>
  </si>
  <si>
    <t>Magazine</t>
  </si>
  <si>
    <t>Dịch vụ cải tiến lắp thêm Tray NG tại phía Loading máy Laser MKHC</t>
  </si>
  <si>
    <t>MEC2601025</t>
  </si>
  <si>
    <t>KAHOKU Fact.</t>
  </si>
  <si>
    <t>LPR</t>
  </si>
  <si>
    <r>
      <t xml:space="preserve">300 x 300
</t>
    </r>
    <r>
      <rPr>
        <sz val="9"/>
        <rFont val="Meiryo UI"/>
        <family val="2"/>
      </rPr>
      <t>0.074~2.0</t>
    </r>
  </si>
  <si>
    <r>
      <t xml:space="preserve">540 x 620
</t>
    </r>
    <r>
      <rPr>
        <sz val="9"/>
        <rFont val="Meiryo UI"/>
        <family val="2"/>
      </rPr>
      <t>0.074~2.0</t>
    </r>
  </si>
  <si>
    <t>1 Palet</t>
  </si>
  <si>
    <t>Trái-Tâm -Phải</t>
  </si>
  <si>
    <t>LPR Line PCB Loading Machine /
LPRライン基板投入装置（KAHOKU工場）</t>
  </si>
  <si>
    <t>PCB Transfer LD</t>
  </si>
  <si>
    <t>Đã gửi báo giá cho SALE Jan-19,2026</t>
  </si>
  <si>
    <t>MEC2601026</t>
  </si>
  <si>
    <t xml:space="preserve">Hanger Stocker Device (MKHS-7171NR) </t>
  </si>
  <si>
    <t>MEC2601027</t>
  </si>
  <si>
    <t xml:space="preserve">Alignment Conveyor Device (MKCV-AL7171NR) </t>
  </si>
  <si>
    <t>MEC2601028</t>
  </si>
  <si>
    <t>MEC2601029</t>
  </si>
  <si>
    <t>300 x 300
0.074~2.0</t>
  </si>
  <si>
    <t>540 x 620
0.074~2.0</t>
  </si>
  <si>
    <t>2 Palet</t>
  </si>
  <si>
    <t>LPR Line PCB Unloading Machine /
LPRライン基板排出装置（KAHOKU工場）</t>
  </si>
  <si>
    <t>PCB Transfer UL</t>
  </si>
  <si>
    <t>MEC2601038</t>
  </si>
  <si>
    <t>V-bond</t>
  </si>
  <si>
    <t>PCB Loading Machine – V-bond Line（V-bondライン
基板投入装置）(KAHOKU Factory)</t>
  </si>
  <si>
    <t>MEC2601039</t>
  </si>
  <si>
    <t>Alignment Conveyor Device (MKCV-AL7171NR) 
line V-bond</t>
  </si>
  <si>
    <t>MEC2601040</t>
  </si>
  <si>
    <t>Hanger Stocker Device (MKHS-7171NR) 
line V-bond</t>
  </si>
  <si>
    <t>MEC2601041</t>
  </si>
  <si>
    <t>PCB Unloading Machine – V-bond Line（V-bondライン
基板取出装置）(KAHOKU Factory)</t>
  </si>
  <si>
    <t>MEC2601042</t>
  </si>
  <si>
    <t>20260317-001546-F800</t>
  </si>
  <si>
    <t xml:space="preserve">CCD </t>
  </si>
  <si>
    <t>CCD穴明機用 投入機
Máy đưa bo cho máy gia công lỗ CCD</t>
  </si>
  <si>
    <t>11-May
19-May</t>
  </si>
  <si>
    <t>Đã gửi báo giá cho SALE Jan-19,2026
May-11 đặt hàng GC cụm CV, LU</t>
  </si>
  <si>
    <t>MEC2601043</t>
  </si>
  <si>
    <t>CCD穴明機用 受取機
Máy nhận bo cho máy gia công lỗ CCD</t>
  </si>
  <si>
    <t>11-May
20-May</t>
  </si>
  <si>
    <t>MEC2601044</t>
  </si>
  <si>
    <t>20260209-001546-F800</t>
  </si>
  <si>
    <t>Carrier Device (Load&amp;Unload) for Laser Processing System ML706GTW6_TENDOU #4</t>
  </si>
  <si>
    <t>MEC2601045</t>
  </si>
  <si>
    <t>Carrier Device (Load&amp;Unload) for Laser Processing System ML706GTW6_TENDOU #5</t>
  </si>
  <si>
    <t>MEC2512049</t>
  </si>
  <si>
    <t>Fact. 1 1F</t>
  </si>
  <si>
    <t>Máy đưa và nhận bo #1 cho công đoạn laser ESI / Carrier device (Load &amp; Unload) #1 for ESI processing</t>
  </si>
  <si>
    <t>Laser ESI</t>
  </si>
  <si>
    <t>Phase #3</t>
  </si>
  <si>
    <t>AUTM260102</t>
  </si>
  <si>
    <t xml:space="preserve">Fact.2 1F </t>
  </si>
  <si>
    <t>Kho rác</t>
  </si>
  <si>
    <t>Máy cấp bo vào máy nghiền bo mạch</t>
  </si>
  <si>
    <t>Đã gửi báo giá cho SALE ngày 10/Feb/2026</t>
  </si>
  <si>
    <t>AUTM260103</t>
  </si>
  <si>
    <t>VG146-26030014</t>
  </si>
  <si>
    <t>FE-251029-02</t>
  </si>
  <si>
    <t>350x350
t0.4~4.0</t>
  </si>
  <si>
    <t>635x635
t0.4~4.0</t>
  </si>
  <si>
    <t>N/a</t>
  </si>
  <si>
    <t>Máy đưa bo 2 V rack line mạ vàng Fact.4</t>
  </si>
  <si>
    <t>Khử tĩnh điện: CABX Electrostatic (SSD) Japan
PLC, Biến tần: Mitsubishi, Khí: SMC</t>
  </si>
  <si>
    <t>AUTM260104</t>
  </si>
  <si>
    <t>VG146-26030013</t>
  </si>
  <si>
    <t>Máy nhận bo 2 V rack line mạ vàng Fact.4</t>
  </si>
  <si>
    <t>AUTM260201</t>
  </si>
  <si>
    <t>FICT</t>
  </si>
  <si>
    <t>Carrier Device (Load&amp;Unload) for Laser Processing System ML605GTW6_FICT #9</t>
  </si>
  <si>
    <t>Đã gửi báo giá cho SALE ngày 06/Feb/2026</t>
  </si>
  <si>
    <t>AUTM260202</t>
  </si>
  <si>
    <t>Carrier Device (Load&amp;Unload) for Laser Processing System ML605GTW6_FICT #10</t>
  </si>
  <si>
    <t>AUTM2602E7</t>
  </si>
  <si>
    <t>20260304-001546-F800</t>
  </si>
  <si>
    <t>Carrier Device (Load&amp;Unload) for Laser Processing System ML706GTW6_TENDOU #6</t>
  </si>
  <si>
    <t>AUTM2602E8</t>
  </si>
  <si>
    <t>Carrier Device (Load&amp;Unload) for Laser Processing System ML706GTW6_TENDOU #7</t>
  </si>
  <si>
    <t>AUTM2602E9</t>
  </si>
  <si>
    <t>Carrier Device (Load&amp;Unload) for Laser Processing System ML706GTW6_TENDOU #8</t>
  </si>
  <si>
    <t>AUTM260205</t>
  </si>
  <si>
    <t>VG146-26040010</t>
  </si>
  <si>
    <t>V-Bond #3</t>
  </si>
  <si>
    <t>500x400
t0.04~5.0</t>
  </si>
  <si>
    <t>724x624
t0.04~5.0</t>
  </si>
  <si>
    <t>Máy đưa bo Vrack Line V-Bond #3 ép lớp 1F</t>
  </si>
  <si>
    <t>15-May
19-May</t>
  </si>
  <si>
    <t>PUR báo Jun-30 hoàn thành máy TYPE 4</t>
  </si>
  <si>
    <t>AUTM260206</t>
  </si>
  <si>
    <t>SALE báo OK
Apr-02</t>
  </si>
  <si>
    <t xml:space="preserve">Băng tải nhận bo Line V-Bond #3 ép lớp 1F </t>
  </si>
  <si>
    <t>Đã hủy chưa lên PR hệ thống</t>
  </si>
  <si>
    <t>Đã từ chối duyệt mua hàng Apr-09</t>
  </si>
  <si>
    <t>AUTM260207</t>
  </si>
  <si>
    <t>VG146-26050061</t>
  </si>
  <si>
    <t>V-Bond #4</t>
  </si>
  <si>
    <t>Máy đưa bo Vrack Line V-Bond #4 ép lớp 1F</t>
  </si>
  <si>
    <t>AUTM260208</t>
  </si>
  <si>
    <t xml:space="preserve">Băng tải nhận bo Line V-Bond #4 ép lớp 1F </t>
  </si>
  <si>
    <t>AUTM260209</t>
  </si>
  <si>
    <t>VG146-26050060</t>
  </si>
  <si>
    <t>V-Bond #5</t>
  </si>
  <si>
    <t>Máy đưa bo Vrack Line V-Bond #5 ép lớp 1F</t>
  </si>
  <si>
    <t>AUTM260210</t>
  </si>
  <si>
    <t xml:space="preserve">Băng tải nhận bo Line V-Bond #5 ép lớp 1F </t>
  </si>
  <si>
    <t>AUTM260211</t>
  </si>
  <si>
    <t>VG146-26050059</t>
  </si>
  <si>
    <t>V-Bond #6</t>
  </si>
  <si>
    <t>Máy đưa bo Vrack Line V-Bond #6 ép lớp 1F</t>
  </si>
  <si>
    <t>AUTM260212</t>
  </si>
  <si>
    <t xml:space="preserve">Băng tải nhận bo Line V-Bond #6 ép lớp 1F </t>
  </si>
  <si>
    <t>AUTM260213</t>
  </si>
  <si>
    <t>溶着ガイド穴パンチャー(#4)
CCD #4</t>
  </si>
  <si>
    <t>500x400
t0.04~2.0</t>
  </si>
  <si>
    <t>724x624
t0.04~2.0</t>
  </si>
  <si>
    <t>Máy đưa bo Vrack Line đục lỗ #4 ép lớp 1F</t>
  </si>
  <si>
    <t>Khử tĩnh điện: CABX Electrostatic (SSD) Japan</t>
  </si>
  <si>
    <t>AUTM260214</t>
  </si>
  <si>
    <t>Từ chối không đáp ứng CT 6.5s</t>
  </si>
  <si>
    <t>950±30</t>
  </si>
  <si>
    <t>Máy nhận bo Vrack Line đục lỗ #4 ép lớp 1F</t>
  </si>
  <si>
    <t>PLC, Biến tần: Mitsubishi, Khí: SMC</t>
  </si>
  <si>
    <t>AUTM260215</t>
  </si>
  <si>
    <t>溶着ガイド穴パンチャー(#5)
CCD #5</t>
  </si>
  <si>
    <t>Máy đưa bo Vrack Line đục lỗ #5 ép lớp 1F</t>
  </si>
  <si>
    <t>AUTM260216</t>
  </si>
  <si>
    <t>Máy nhận bo Vrack Line đục lỗ #5 ép lớp 1F</t>
  </si>
  <si>
    <t>AUTM260217</t>
  </si>
  <si>
    <t>VG146-26040006</t>
  </si>
  <si>
    <t>Cắt viền #2</t>
  </si>
  <si>
    <t>500x400
t0.3~5.0</t>
  </si>
  <si>
    <t>Máy đưa bo cho máy X ray, cắt viền #2 1F</t>
  </si>
  <si>
    <t>09/04
14/5</t>
  </si>
  <si>
    <t>PR hàng Leadtime TC cơ dài: Apr-04</t>
  </si>
  <si>
    <t>AUTM260218</t>
  </si>
  <si>
    <t>VG146-26040063</t>
  </si>
  <si>
    <t>H rack
(2 sheet)</t>
  </si>
  <si>
    <t>Máy nhận bo line cắt viền #2 1F</t>
  </si>
  <si>
    <t>H rack (2 sheet)</t>
  </si>
  <si>
    <t>AUTM260219</t>
  </si>
  <si>
    <t>SALE chốt 1-Jun,2026</t>
  </si>
  <si>
    <t>HE</t>
  </si>
  <si>
    <t>Máy đưa bo Line HE mạ đồng 2F</t>
  </si>
  <si>
    <t>Khử tĩnh điện: CABX Electrostatic (SSD) Japan
PLC, Biến tần: Mitsubishi, Khí: SMC
Yêu cầu gắp 2 bo đi vào line cùng</t>
  </si>
  <si>
    <t>AUTM260220</t>
  </si>
  <si>
    <t>Máy nhận bo Line HE mạ đồng 2F</t>
  </si>
  <si>
    <t>Khử tĩnh điện: CABX Electrostatic (SSD) Japan
Yêu cầu gắp 2 bo từ line đi ra.</t>
  </si>
  <si>
    <t>AUTM260221</t>
  </si>
  <si>
    <t>FE-260204-25</t>
  </si>
  <si>
    <t>Máy đưa bo Line rửa Axit mạ đồng 2F</t>
  </si>
  <si>
    <t>Khử tĩnh điện: CABX Electrostatic (SSD) Japan
PLC, Biến tần: Mitsubishi, Khí: SMC
Yêu cầu gắp 2 bo từ line đi ra.</t>
  </si>
  <si>
    <t>AUTM260222</t>
  </si>
  <si>
    <t>Máy nhận bo Line rửa Axit mạ đồng 2F</t>
  </si>
  <si>
    <t>AUTM260223</t>
  </si>
  <si>
    <t>VG146-26040009</t>
  </si>
  <si>
    <t>Rửa nước sau khoan NC#2</t>
  </si>
  <si>
    <t>510x403
t0.3~5.0</t>
  </si>
  <si>
    <t>Trái - Phải</t>
  </si>
  <si>
    <t>Máy đưa bo line rửa nước sau khoan NC#2</t>
  </si>
  <si>
    <t>AUTM260387</t>
  </si>
  <si>
    <t>Băng tải dài L500mm</t>
  </si>
  <si>
    <t>Máy nâng bo tạm thời</t>
  </si>
  <si>
    <t>AUTM260388</t>
  </si>
  <si>
    <t>Băng tải dài L700mm</t>
  </si>
  <si>
    <t>AUTM260224</t>
  </si>
  <si>
    <t>VG146-26040014</t>
  </si>
  <si>
    <t>Máy nhận bo line rửa nước sau khoan NC#2</t>
  </si>
  <si>
    <t>AUTM260225</t>
  </si>
  <si>
    <t>通常印刷((穴埋)
Sấy in sơn lấp lỗ</t>
  </si>
  <si>
    <t>500x400
t0.4~5.0</t>
  </si>
  <si>
    <t>724x624
t0.4~5.0</t>
  </si>
  <si>
    <t>Giá nâng hạ xe line sấy in sơn lấp lỗ</t>
  </si>
  <si>
    <t>AUTM260226</t>
  </si>
  <si>
    <t>Giá hạ xe phía Unload</t>
  </si>
  <si>
    <t>AUTM260227</t>
  </si>
  <si>
    <t>Mài In sơn lấp lỗ</t>
  </si>
  <si>
    <t>Máy đưa bo line mài</t>
  </si>
  <si>
    <t>MEC2411060A</t>
  </si>
  <si>
    <t>VG146-26050064</t>
  </si>
  <si>
    <t>AUTM260228</t>
  </si>
  <si>
    <t>Máy căn bo, xoay bo trước máy số 2</t>
  </si>
  <si>
    <t>MEC2411061A</t>
  </si>
  <si>
    <t>AUTM260229</t>
  </si>
  <si>
    <t>Máy căn bo, xoay bo trước máy số 3</t>
  </si>
  <si>
    <t>AUTM260230</t>
  </si>
  <si>
    <t>Sale chốt OK Apr-23</t>
  </si>
  <si>
    <t>1200
-0 +40</t>
  </si>
  <si>
    <t>500x400
t0.04~3.2</t>
  </si>
  <si>
    <t>724x624
t0.04~3.2</t>
  </si>
  <si>
    <t>Máy đưa bo cho tiền xử lý DFR #2 (2 V rack, có gắn đầu khắc 2D code Keyence)</t>
  </si>
  <si>
    <t>PR mua Robot Kawasaki: May-04, 2026</t>
  </si>
  <si>
    <t>AUTM260231</t>
  </si>
  <si>
    <t>VG146-26040061</t>
  </si>
  <si>
    <t>1000
-0 +40</t>
  </si>
  <si>
    <t>Băng tải căn bo trước dán màng L650mm</t>
  </si>
  <si>
    <t>13-Apr
5-May</t>
  </si>
  <si>
    <t>AUTM260232</t>
  </si>
  <si>
    <t>VG146-26040080</t>
  </si>
  <si>
    <t>Máy nâng bo tạm thời FIFO (trước dán màng)</t>
  </si>
  <si>
    <t>May-04 phát hành PR gia công cụm CV leadtime: May-15</t>
  </si>
  <si>
    <t>AUTM260233</t>
  </si>
  <si>
    <t>AUTM260234</t>
  </si>
  <si>
    <t>VG146-26040062</t>
  </si>
  <si>
    <t>Máy làm mát bo mạch (sau dán màng)</t>
  </si>
  <si>
    <t>A5</t>
  </si>
  <si>
    <t>AUTM260235</t>
  </si>
  <si>
    <t>AUTM260236</t>
  </si>
  <si>
    <t>Máy nâng bo tạm thời FIFO (sau dán màng)</t>
  </si>
  <si>
    <t>AUTM260237</t>
  </si>
  <si>
    <t>Băng tải căn bo (trước chụp sáng) L650mm</t>
  </si>
  <si>
    <t>AUTM260238</t>
  </si>
  <si>
    <t>Máy nâng bo tạm thời (sau chụp sáng DI có phân biệt NG mặt A,B)</t>
  </si>
  <si>
    <t>AUTM260239</t>
  </si>
  <si>
    <t>VG146-26040015</t>
  </si>
  <si>
    <t>Máy nhận bo line tiền xử lý DFR #2</t>
  </si>
  <si>
    <t>AUTM260240</t>
  </si>
  <si>
    <t>VG146-26040007</t>
  </si>
  <si>
    <t>DES #2</t>
  </si>
  <si>
    <t xml:space="preserve">Máy đưa bo line DES #2 </t>
  </si>
  <si>
    <t>AUTM260241</t>
  </si>
  <si>
    <t>Băng tải thường (L700mm) line DES #2</t>
  </si>
  <si>
    <t>AUTM260242</t>
  </si>
  <si>
    <t>AUTM260243</t>
  </si>
  <si>
    <t>Máy nâng bo tạm thời FIFO (Trước AOI)</t>
  </si>
  <si>
    <t>AUTM260244</t>
  </si>
  <si>
    <t>Băng tải căn bo (trước AOI)</t>
  </si>
  <si>
    <t>AUTM260245</t>
  </si>
  <si>
    <t>SalE báo OK
Apr-04, Apr-08</t>
  </si>
  <si>
    <t>Máy làm mát bo mạch (sau AOI)</t>
  </si>
  <si>
    <t>AUTM260246</t>
  </si>
  <si>
    <t>VG146-26040011</t>
  </si>
  <si>
    <t>STI</t>
  </si>
  <si>
    <t>FE-260204-32</t>
  </si>
  <si>
    <t>2  V rack OK
1 V rack NG</t>
  </si>
  <si>
    <t>Máy nhận bo line DES #2 (2 xe OK, 1 xe NG)</t>
  </si>
  <si>
    <t>AUTM260247</t>
  </si>
  <si>
    <t>Sale chốt OK Apr-17</t>
  </si>
  <si>
    <t>FE-260204-33</t>
  </si>
  <si>
    <t>LPR #3</t>
  </si>
  <si>
    <t>Máy đưa bo Vrack Line LPR #3 tạo mạch trong 2F (2 V rack) có gắn đầu khắc Keyence</t>
  </si>
  <si>
    <t>AUTM260248</t>
  </si>
  <si>
    <t>SALE báo OK
Apr-02, Apr-08</t>
  </si>
  <si>
    <t>FE-260203-02</t>
  </si>
  <si>
    <t>Băng tải căn bo (trước phủ mực)</t>
  </si>
  <si>
    <t xml:space="preserve">Con lăn từ </t>
  </si>
  <si>
    <t>AUTM260249</t>
  </si>
  <si>
    <t>Máy nâng bo tạm thời FIFO (trước phủ mực)</t>
  </si>
  <si>
    <t>AUTM260250</t>
  </si>
  <si>
    <t>AUTM260251</t>
  </si>
  <si>
    <t>Băng tải thường line LPR #3</t>
  </si>
  <si>
    <t>AUTM260252</t>
  </si>
  <si>
    <t>SALE báo OK
Apr-02, Apr-08
--&gt; Cancell (Apr-20)</t>
  </si>
  <si>
    <t>Máy làm mát bo mạch (sau phủ mực)</t>
  </si>
  <si>
    <t>Hàng điện vẫn đặt hàng</t>
  </si>
  <si>
    <t>AUTM260253</t>
  </si>
  <si>
    <t>AUTM260254</t>
  </si>
  <si>
    <t>FE-260205-02</t>
  </si>
  <si>
    <t>Băng tải căn bo có cơ cấu lật (trước chụp sáng)</t>
  </si>
  <si>
    <t>Jun-15 đặt lại hàng để lắp bù vị trí 0258
Lấy 0258 bán vị trí khác Phase #3</t>
  </si>
  <si>
    <t>AUTM260255</t>
  </si>
  <si>
    <t>FE-260203-05</t>
  </si>
  <si>
    <t>Máy nâng bo tạm thời FIFO (trước chụp sáng)</t>
  </si>
  <si>
    <t>AUTM260256</t>
  </si>
  <si>
    <t>Máy nâng bo tạm thời sau chụp sáng DI line LPR#3 (có phân biệt bo NG mặt A,B)</t>
  </si>
  <si>
    <t>AUTM260257</t>
  </si>
  <si>
    <t>Máy làm mát bo mạch dạng U turn (sau chụp sáng)</t>
  </si>
  <si>
    <t>U turn 
Flip &amp; Cooling</t>
  </si>
  <si>
    <t>AUTM260258</t>
  </si>
  <si>
    <t>FE-260205-03</t>
  </si>
  <si>
    <t>Băng tải căn bo (trước ăn mòn)</t>
  </si>
  <si>
    <t>AUTM260259</t>
  </si>
  <si>
    <t>VG146-26050068</t>
  </si>
  <si>
    <t>Máy nâng bo tạm thời FIFO (trước ăn mòn)</t>
  </si>
  <si>
    <t>AUTM260260</t>
  </si>
  <si>
    <t>VG146-26050070</t>
  </si>
  <si>
    <t>DES (LPR #3)</t>
  </si>
  <si>
    <t>Máy nâng bo tạm thời FIFO (trước AOI)</t>
  </si>
  <si>
    <t>AUTM260261</t>
  </si>
  <si>
    <t>VG146-26050038</t>
  </si>
  <si>
    <t>AUTM260262</t>
  </si>
  <si>
    <t>FE-260205-04</t>
  </si>
  <si>
    <t>Máy làm mát bo mạch (Sau AOI)</t>
  </si>
  <si>
    <t>AUTM260263</t>
  </si>
  <si>
    <t>VG146-26040012</t>
  </si>
  <si>
    <t>FE-260204-34</t>
  </si>
  <si>
    <t>Máy nhận bo line DES (LPR #3) (2 xe OK, 1 xe NG)</t>
  </si>
  <si>
    <t>AUTM260264</t>
  </si>
  <si>
    <t>FE-260204-35</t>
  </si>
  <si>
    <t>LPR #4</t>
  </si>
  <si>
    <t>Máy đưa bo Vrack Line LPR #4 tạo mạch trong 2F (2 V rack) có gắn đầu khắc Keyence</t>
  </si>
  <si>
    <t>AUTM260265</t>
  </si>
  <si>
    <t>AUTM260266</t>
  </si>
  <si>
    <t>FE-260306-03</t>
  </si>
  <si>
    <t>Hàng điện đã đặt không cancell được</t>
  </si>
  <si>
    <t>AUTM260267</t>
  </si>
  <si>
    <t>SalE báo OK
Apr-04</t>
  </si>
  <si>
    <t>AUTM260268</t>
  </si>
  <si>
    <t>Băng tải thường (L700mm) line LPR #4</t>
  </si>
  <si>
    <t>AUTM260269</t>
  </si>
  <si>
    <t>AUTM260270</t>
  </si>
  <si>
    <t>AUTM260271</t>
  </si>
  <si>
    <t>VG146-26060001</t>
  </si>
  <si>
    <t>FE-260205-05</t>
  </si>
  <si>
    <t>AUTM260272</t>
  </si>
  <si>
    <t>VG146-26040079</t>
  </si>
  <si>
    <t>FE-260203-10</t>
  </si>
  <si>
    <t>AUTM260273</t>
  </si>
  <si>
    <t>FE-260203-14</t>
  </si>
  <si>
    <t>Máy nâng bo tạm thời sau chụp sáng DI line LPR#4 (có phân biệt bo NG mặt A,B)</t>
  </si>
  <si>
    <t>Lấy máy tồn kho MEC2403039 bán vào mã này (Đã cancell)
Chuyển tiếp sang mã để bán</t>
  </si>
  <si>
    <t>AUTM260274</t>
  </si>
  <si>
    <t>AUTM260275</t>
  </si>
  <si>
    <t>FE-260205-01</t>
  </si>
  <si>
    <t>AUTM260276</t>
  </si>
  <si>
    <t>AUTM260277</t>
  </si>
  <si>
    <t>DES (LPR #4)</t>
  </si>
  <si>
    <t>AUTM260278</t>
  </si>
  <si>
    <t>AUTM260279</t>
  </si>
  <si>
    <t>FE-260205-06</t>
  </si>
  <si>
    <t>AUTM260280</t>
  </si>
  <si>
    <t>FE-260204-36</t>
  </si>
  <si>
    <t>AUTM260281</t>
  </si>
  <si>
    <t>FE-260204-37</t>
  </si>
  <si>
    <t>LPR #5</t>
  </si>
  <si>
    <t>AUTM260282</t>
  </si>
  <si>
    <t>VG146-26040081</t>
  </si>
  <si>
    <t>AUTM260283</t>
  </si>
  <si>
    <t>FE-260306-04</t>
  </si>
  <si>
    <t>AUTM260284</t>
  </si>
  <si>
    <t>AUTM260285</t>
  </si>
  <si>
    <t>AUTM260286</t>
  </si>
  <si>
    <t>AUTM260287</t>
  </si>
  <si>
    <t>AUTM260288</t>
  </si>
  <si>
    <t>VG146-26050066</t>
  </si>
  <si>
    <t>AUTM260289</t>
  </si>
  <si>
    <t>VG146-26040078</t>
  </si>
  <si>
    <t>FE-260203-07</t>
  </si>
  <si>
    <t>AUTM260290</t>
  </si>
  <si>
    <t>AUTM260291</t>
  </si>
  <si>
    <t>AUTM260292</t>
  </si>
  <si>
    <t>FE-260205-08</t>
  </si>
  <si>
    <t>AUTM260293</t>
  </si>
  <si>
    <t>AUTM260294</t>
  </si>
  <si>
    <t>DES (LPR #5)</t>
  </si>
  <si>
    <t>AUTM260295</t>
  </si>
  <si>
    <t>AUTM260296</t>
  </si>
  <si>
    <t>FE-260205-07</t>
  </si>
  <si>
    <t>AUTM260297</t>
  </si>
  <si>
    <t>FE-260204-38</t>
  </si>
  <si>
    <t>AUTM260298</t>
  </si>
  <si>
    <t>SALE chốt 25/May</t>
  </si>
  <si>
    <t>Desmear + GE</t>
  </si>
  <si>
    <t xml:space="preserve">Máy đưa bo line Desmear + GE </t>
  </si>
  <si>
    <t>AUTM260299</t>
  </si>
  <si>
    <t xml:space="preserve">Máy nhận bo line Desmear + GE </t>
  </si>
  <si>
    <t>AUTM2602A1</t>
  </si>
  <si>
    <t>Máy đưa bo line mạ VCP #5 (2 V rack)</t>
  </si>
  <si>
    <t>1.Tăng núm hút bo trên tay gắp bo 12-&gt; 16 chân
2.Tay vặn cố định chân hút dạng tai để dễ điều chỉnh vị trí chân hút
3.Phía dưới băng tải làm khay đỡ, để giấy hút bụi, thu dị vật
4.Hộp bên dưới cần kín, tránh dị vật
5.Cơ chế cảm biến phát hiện sai xe
6.Có cơ cấu nâng xe lên khỏi sàn3~5cm, để cân bằng xe, tránh sai lệch độ cao do bánh xe bị mài mòn</t>
  </si>
  <si>
    <t>Trùng mã dự án phía trên No.703~706</t>
  </si>
  <si>
    <t>AUTM2602A2</t>
  </si>
  <si>
    <t>Máy nhận bo line mạ VCP #5 (2 V rack)</t>
  </si>
  <si>
    <t>AUTM2602A3</t>
  </si>
  <si>
    <t>Máy đưa bo line mạ VCP #6 (2 V rack)</t>
  </si>
  <si>
    <t>AUTM2602A4</t>
  </si>
  <si>
    <t>Máy nhận bo line mạ VCP #6 (2 V rack)</t>
  </si>
  <si>
    <t>AUTM2602A5</t>
  </si>
  <si>
    <t>VG146-26040008</t>
  </si>
  <si>
    <t>FE-260204-41</t>
  </si>
  <si>
    <t>VCP#7</t>
  </si>
  <si>
    <t>Máy đưa bo line mạ VCP #7 (2 V rack)</t>
  </si>
  <si>
    <t>AUTM2602A6</t>
  </si>
  <si>
    <t>VG146-26040013</t>
  </si>
  <si>
    <t>FE-260204-42</t>
  </si>
  <si>
    <t>Máy nhận bo line mạ VCP #7 (2 V rack)</t>
  </si>
  <si>
    <t>AUTM2602A7</t>
  </si>
  <si>
    <t>FE-260204-43</t>
  </si>
  <si>
    <t>Máy đưa bo line mạ VCP #8 (2 V rack)</t>
  </si>
  <si>
    <r>
      <t xml:space="preserve">1.Tăng </t>
    </r>
    <r>
      <rPr>
        <strike/>
        <sz val="11"/>
        <rFont val="Meiryo UI"/>
        <family val="2"/>
      </rPr>
      <t>núm hút bo trên tay gắp bo 12-&gt; 16 chân</t>
    </r>
    <r>
      <rPr>
        <sz val="11"/>
        <rFont val="Meiryo UI"/>
        <family val="2"/>
      </rPr>
      <t xml:space="preserve"> Dùng Pad Comvum
2.Tay vặn cố định chân hút dạng tai để dễ điều chỉnh vị trí chân hút
3.Phía dưới băng tải làm khay đỡ, để giấy hút bụi, thu dị vật
4.Hộp bên dưới cần kín, tránh dị vật
5.Cơ chế cảm biến phát hiện sai xe
6.Có cơ cấu nâng xe lên khỏi sàn3~5cm, để cân bằng xe, tránh sai lệch độ cao do bánh xe bị mài mòn</t>
    </r>
  </si>
  <si>
    <t>AUTM2602A8</t>
  </si>
  <si>
    <t>FE-260204-44</t>
  </si>
  <si>
    <t>Máy nhận bo line mạ VCP #8 (2 V rack)</t>
  </si>
  <si>
    <t>AUTM2602A9</t>
  </si>
  <si>
    <t>SALE chốt ngày 1/Jun/2026</t>
  </si>
  <si>
    <t>FE-260317-08</t>
  </si>
  <si>
    <t>Fact.4 4F</t>
  </si>
  <si>
    <t>Tạo mạch ngoài DFR #2</t>
  </si>
  <si>
    <t>Máy đưa bo line TXL tạo mạch ngoài DFR#2</t>
  </si>
  <si>
    <t>AUTM2602B1</t>
  </si>
  <si>
    <t>Chốt đặt Apr-22</t>
  </si>
  <si>
    <t>FE-260317-09</t>
  </si>
  <si>
    <t>Băng tải căn bo (trước dán màng)</t>
  </si>
  <si>
    <t>AUTM2602B2</t>
  </si>
  <si>
    <t>AUTM2602B3</t>
  </si>
  <si>
    <t>AUTM2602B4</t>
  </si>
  <si>
    <t>AUTM2602B5</t>
  </si>
  <si>
    <t>AUTM2602B6</t>
  </si>
  <si>
    <t>VG146-26050069</t>
  </si>
  <si>
    <t>AUTM2602B7</t>
  </si>
  <si>
    <t>Băng tải căn bo (trước chụp sáng)</t>
  </si>
  <si>
    <t>AUTM2602B8</t>
  </si>
  <si>
    <t>Máy nâng bo tạm thời sau chụp sáng DI (có phân biệt bo NG mặt A,B)</t>
  </si>
  <si>
    <t>Lấy máy tồn kho MEC2403039 bán vào mã này (May-11)</t>
  </si>
  <si>
    <t>AUTM2602B9</t>
  </si>
  <si>
    <t>Máy nhận bo line TXL tạo mạch ngoài DFR#2</t>
  </si>
  <si>
    <t>AUTM2602C1</t>
  </si>
  <si>
    <t>VG146-26050055</t>
  </si>
  <si>
    <t>Tạo mạch ngoài DES #2</t>
  </si>
  <si>
    <t>Máy đưa bo line tạo mạch ngoài DES#2</t>
  </si>
  <si>
    <t>AUTM2602C2</t>
  </si>
  <si>
    <t>Đã có PO</t>
  </si>
  <si>
    <t xml:space="preserve">Băng tải thường (L700mm) </t>
  </si>
  <si>
    <t>AUTM2602C3</t>
  </si>
  <si>
    <t>Băng tải thường (L700mm)</t>
  </si>
  <si>
    <t>AUTM2602C4</t>
  </si>
  <si>
    <t>AUTM2602C5</t>
  </si>
  <si>
    <t>AUTM2602C6</t>
  </si>
  <si>
    <t>AUTM2602C7</t>
  </si>
  <si>
    <t>VG146-26050056</t>
  </si>
  <si>
    <t>Máy nhận bo line tạo mạch ngoài DES#2</t>
  </si>
  <si>
    <t>AUTM2602C8</t>
  </si>
  <si>
    <t>TXL SR</t>
  </si>
  <si>
    <t>Máy đưa bo line TXL SR</t>
  </si>
  <si>
    <t>AUTM2602C9</t>
  </si>
  <si>
    <t>Chôt đặt Apr-22</t>
  </si>
  <si>
    <t>Máy nhận bo line TXL SR (L rack)</t>
  </si>
  <si>
    <t>Chú ý xước bo? Bo nhạy cảm. Phía PE cần đưa ra tiêu chuẩn xước.</t>
  </si>
  <si>
    <t>AUTM2602D1</t>
  </si>
  <si>
    <t>VG146-26050067</t>
  </si>
  <si>
    <t>Máy đưa bo line TXL SR (L rack) in sơn mặt A</t>
  </si>
  <si>
    <t>AUTM2602D2</t>
  </si>
  <si>
    <t>Băng tải căn bo</t>
  </si>
  <si>
    <t>Xác nhận lại băng tải căn bo hay băng tải xoay bo 90deg</t>
  </si>
  <si>
    <t>AUTM2602D3</t>
  </si>
  <si>
    <t>AUTM2602D4</t>
  </si>
  <si>
    <t>AUTM2602F1</t>
  </si>
  <si>
    <t>Máy  xoay bo 90 deg</t>
  </si>
  <si>
    <t>AUTM2602D5</t>
  </si>
  <si>
    <t>AUTM2602D6</t>
  </si>
  <si>
    <t>VG146-26050062</t>
  </si>
  <si>
    <t>Máy nhận bo line bán cố hóa mặt B</t>
  </si>
  <si>
    <t>Apr-06 thay đổi từ phòng thường --&gt; phòng sạch (Mail Ms. Thu FE)</t>
  </si>
  <si>
    <t>AUTM2602D7</t>
  </si>
  <si>
    <t>VG146-26050058</t>
  </si>
  <si>
    <t>Chụp sáng SR #3</t>
  </si>
  <si>
    <t>Máy đưa bo line chụp sáng #3 SR</t>
  </si>
  <si>
    <t>AUTM2602D8</t>
  </si>
  <si>
    <t>Máy nâng bo tạm thời (có phân biệt bo NG mặt A,B)</t>
  </si>
  <si>
    <t>AUTM2602D9</t>
  </si>
  <si>
    <t>Máy nhận bo line chụp sáng #3 SR</t>
  </si>
  <si>
    <t>AUTM2602E1</t>
  </si>
  <si>
    <t>VG146-26050057</t>
  </si>
  <si>
    <t>Chụp sáng SR #4</t>
  </si>
  <si>
    <t>Máy đưa bo line chụp sáng #4 SR</t>
  </si>
  <si>
    <t>AUTM2602E2</t>
  </si>
  <si>
    <t>AUTM2602E3</t>
  </si>
  <si>
    <t>Máy nhận bo line chụp sáng #4 SR</t>
  </si>
  <si>
    <t>AUTM2602E4</t>
  </si>
  <si>
    <t>VG146-26050063</t>
  </si>
  <si>
    <t>Hiện ảnh SR</t>
  </si>
  <si>
    <t>Máy đưa bo line hiện ảnh SR</t>
  </si>
  <si>
    <t>AUTM2602E5</t>
  </si>
  <si>
    <t>Toàn cố hóa</t>
  </si>
  <si>
    <t>Máy làm mát bo mạch</t>
  </si>
  <si>
    <t>AUTM2602E6</t>
  </si>
  <si>
    <t>Máy nhận bo line toàn cố hóa SR</t>
  </si>
  <si>
    <t>AUTM260401</t>
  </si>
  <si>
    <t>VG146-26050047</t>
  </si>
  <si>
    <t>Fact4.1F</t>
  </si>
  <si>
    <t>Loading &amp; Unloading machine for Laser ML706 GTW6  for Fact.4 #7</t>
  </si>
  <si>
    <t>Yêu cầu load ngược từ ULD gia công mặt B</t>
  </si>
  <si>
    <t>AUTM260402</t>
  </si>
  <si>
    <t>Loading &amp; Unloading machine for Laser ML706 GTW6  for Fact.4 #8</t>
  </si>
  <si>
    <t>AUTM260403</t>
  </si>
  <si>
    <t>Loading &amp; Unloading machine for Laser ML706 GTW6  for Fact.4 #9</t>
  </si>
  <si>
    <t>AUTM260404</t>
  </si>
  <si>
    <t>Loading &amp; Unloading machine for Laser ML706 GTW6  for Fact.4 #10</t>
  </si>
  <si>
    <t>AUTM260405</t>
  </si>
  <si>
    <t>Loading &amp; Unloading machine for Laser ML706 GTW6  for Fact.4 #11</t>
  </si>
  <si>
    <t>AUTM260406</t>
  </si>
  <si>
    <t>VG146-26050048</t>
  </si>
  <si>
    <t>Loading &amp; Unloading machine for Laser ML706 GTW6  for Fact.4 #12</t>
  </si>
  <si>
    <t>AUTM260407</t>
  </si>
  <si>
    <t>Loading &amp; Unloading machine for Laser ML706 GTW6  for Fact.4 #13</t>
  </si>
  <si>
    <t>AUTM260408</t>
  </si>
  <si>
    <t>Loading &amp; Unloading machine for Laser ML706 GTW6  for Fact.4 #14</t>
  </si>
  <si>
    <t>AUTM260409</t>
  </si>
  <si>
    <t>Loading &amp; Unloading machine for Laser ML706 GTW6  for Fact.4 #15</t>
  </si>
  <si>
    <t>AUTM260410</t>
  </si>
  <si>
    <t>Loading &amp; Unloading machine for Laser ML706 GTW6  for Fact.4 #16</t>
  </si>
  <si>
    <t>AUTM260411</t>
  </si>
  <si>
    <t>VG146-26050049</t>
  </si>
  <si>
    <t>Loading &amp; Unloading machine for Laser ML706 GTW6  for Fact.4 #17</t>
  </si>
  <si>
    <t>AUTM260412</t>
  </si>
  <si>
    <t>Loading &amp; Unloading machine for Laser ML706 GTW6  for Fact.4 #18</t>
  </si>
  <si>
    <t>AUTM260413</t>
  </si>
  <si>
    <t>Loading &amp; Unloading machine for Laser ML706 GTW6  for Fact.4 #19</t>
  </si>
  <si>
    <t>AUTM260414</t>
  </si>
  <si>
    <t>Loading &amp; Unloading machine for Laser ML706 GTW6  for Fact.4 #20</t>
  </si>
  <si>
    <t>AUTM260415</t>
  </si>
  <si>
    <t>Loading &amp; Unloading machine for Laser ML706 GTW6  for Fact.4 #21</t>
  </si>
  <si>
    <t>AUTM260416</t>
  </si>
  <si>
    <t>VG146-26050050</t>
  </si>
  <si>
    <t>Loading &amp; Unloading machine for Laser ML706 GTW6  for Fact.4 #22</t>
  </si>
  <si>
    <t>AUTM260417</t>
  </si>
  <si>
    <t>Loading &amp; Unloading machine for Laser ML706 GTW6  for Fact.4 #23</t>
  </si>
  <si>
    <t>AUTM260418</t>
  </si>
  <si>
    <t>Loading &amp; Unloading machine for Laser ML706 GTW6  for Fact.4 #24</t>
  </si>
  <si>
    <t>AUTM260419</t>
  </si>
  <si>
    <t>Loading &amp; Unloading machine for Laser ML706 GTW6  for Fact.4 #25</t>
  </si>
  <si>
    <t>AUTM260420</t>
  </si>
  <si>
    <t>Loading &amp; Unloading machine for Laser ML706 GTW6  for Fact.4 #26</t>
  </si>
  <si>
    <t>AUTM260421</t>
  </si>
  <si>
    <t>VG146-26050051</t>
  </si>
  <si>
    <t>Loading &amp; Unloading machine for Laser ML706 GTW6  for Fact.4 #27</t>
  </si>
  <si>
    <t>AUTM260422</t>
  </si>
  <si>
    <t>Loading &amp; Unloading machine for Laser ML706 GTW6  for Fact.4 #28</t>
  </si>
  <si>
    <t>AUTM260423</t>
  </si>
  <si>
    <t>Loading &amp; Unloading machine for Laser ML706 GTW6  for Fact.4 #29</t>
  </si>
  <si>
    <t>AUTM260424</t>
  </si>
  <si>
    <t>Loading &amp; Unloading machine for Laser ML706 GTW6  for Fact.4 #30</t>
  </si>
  <si>
    <t>AUTM260425</t>
  </si>
  <si>
    <t>Loading &amp; Unloading machine for Laser ML706 GTW6  for Fact.4 #31</t>
  </si>
  <si>
    <t>AUTM260426</t>
  </si>
  <si>
    <t>Loading &amp; Unloading machine for Laser ML706 GTW6  for Fact.4 #32</t>
  </si>
  <si>
    <t>AUTM260427</t>
  </si>
  <si>
    <t>Loading &amp; Unloading machine for Laser ML706 GTW6  for Fact.4 #33</t>
  </si>
  <si>
    <t>AUTM260428</t>
  </si>
  <si>
    <t>Loading &amp; Unloading machine for Laser ML706 GTW6  for Fact.4 #34</t>
  </si>
  <si>
    <t>AUTM260429</t>
  </si>
  <si>
    <t>Loading &amp; Unloading machine for Laser ML706 GTW6  for Fact.4 #35</t>
  </si>
  <si>
    <t>AUTM260430</t>
  </si>
  <si>
    <t>Loading &amp; Unloading machine for Laser ML706 GTW6  for Fact.4 #36</t>
  </si>
  <si>
    <t>AUTM260431</t>
  </si>
  <si>
    <t>Loading &amp; Unloading machine for Laser ML706 GTW6  for Fact.4 #37</t>
  </si>
  <si>
    <t>AUTM260432</t>
  </si>
  <si>
    <t>Loading &amp; Unloading machine for Laser ML706 GTW6  for Fact.4 #38</t>
  </si>
  <si>
    <t>AUTM260433</t>
  </si>
  <si>
    <t>Loading &amp; Unloading machine for Laser ML706 GTW6  for Fact.4 #39</t>
  </si>
  <si>
    <t>AUTM260434</t>
  </si>
  <si>
    <t>Loading &amp; Unloading machine for Laser ML706 GTW6  for Fact.4 #40</t>
  </si>
  <si>
    <t>AUTM260435</t>
  </si>
  <si>
    <t>AUTM260436</t>
  </si>
  <si>
    <t>Loading &amp; Unloading machine for Laser ML706 GTW6  for Fact.4 #41</t>
  </si>
  <si>
    <t>AUTM260437</t>
  </si>
  <si>
    <t>Loading &amp; Unloading machine for Laser ML706 GTW6  for Fact.4 #42</t>
  </si>
  <si>
    <t>AUTM260438</t>
  </si>
  <si>
    <t>Loading &amp; Unloading machine for Laser ML706 GTW6  for Fact.4 #43</t>
  </si>
  <si>
    <t>AUTM260439</t>
  </si>
  <si>
    <t>Loading &amp; Unloading machine for Laser ML706 GTW6  for Fact.4 #44</t>
  </si>
  <si>
    <t>AUTM260440</t>
  </si>
  <si>
    <t>Loading &amp; Unloading machine for Laser ML706 GTW6  for Fact.4 #45</t>
  </si>
  <si>
    <t>AUTM260441</t>
  </si>
  <si>
    <t>Loading &amp; Unloading machine for Laser ML706 GTW6  for Fact.4 #46</t>
  </si>
  <si>
    <t>AUTM260442</t>
  </si>
  <si>
    <t>Loading &amp; Unloading machine for Laser ML706 GTW6  for Fact.4 #47</t>
  </si>
  <si>
    <t>AUTM260443</t>
  </si>
  <si>
    <t>Loading &amp; Unloading machine for Laser ML706 GTW6  for Fact.4 #48</t>
  </si>
  <si>
    <t>AUTM260373</t>
  </si>
  <si>
    <t>Fact4.3F</t>
  </si>
  <si>
    <t>Băng tải chữ U line mạ vàng Fact.4</t>
  </si>
  <si>
    <t>U Conveyor</t>
  </si>
  <si>
    <t>AUTM2605B6</t>
  </si>
  <si>
    <t>FE-260522-15</t>
  </si>
  <si>
    <t>In sơn lấp lỗ #1</t>
  </si>
  <si>
    <t>Máy đưa bo V rack cho máy mài In sơn lấp lỗ #1</t>
  </si>
  <si>
    <t>AUTM260301</t>
  </si>
  <si>
    <t>Fact. 1-2 1F</t>
  </si>
  <si>
    <t>積層前処理 #3
TXL ép lớp #3</t>
  </si>
  <si>
    <t>積層前処理 トレイ式の投入機 
Máy đưa bo dạng Tray line TXL ép lớp #3</t>
  </si>
  <si>
    <t>AUTM260302</t>
  </si>
  <si>
    <t>Máy nâng hạ tự động #3 cho Tiền xử lý Ép lớp  (1400 --&gt; 1100mm)</t>
  </si>
  <si>
    <t>AUTM260303</t>
  </si>
  <si>
    <t>Máy lật bo và xoay bo #3 cho Tiền xử lý Ép lớp</t>
  </si>
  <si>
    <t>AUTM260304</t>
  </si>
  <si>
    <t>Tray 
ACUTECH</t>
  </si>
  <si>
    <t>積層前処理 トレイ式の受取機 
Máy nhận bo dạng Tray line TXL ép lớp #3</t>
  </si>
  <si>
    <t>AUTM260305</t>
  </si>
  <si>
    <t>外周加工　＃3
Cắt viền #3</t>
  </si>
  <si>
    <t xml:space="preserve">Rack
 Acutech </t>
  </si>
  <si>
    <t>外周加工投入機
Máy loading H rack line cắt viền #3</t>
  </si>
  <si>
    <t>AUTM260306</t>
  </si>
  <si>
    <t>Máy đưa bo #3 từ cắt viền - X ray</t>
  </si>
  <si>
    <t>AUTM260307</t>
  </si>
  <si>
    <t>外周加工 トレイ式受取機
Máy nhận bo dạng Tray line TXL ép lớp #3</t>
  </si>
  <si>
    <t>AUTM260308</t>
  </si>
  <si>
    <t>Fact. 1-1 1F</t>
  </si>
  <si>
    <t>Half Etch #2</t>
  </si>
  <si>
    <t>Half Etch トレイ式の投入機 #2
Máy đưa bo dạng Tray line Half Etch #2</t>
  </si>
  <si>
    <t>AUTM260309</t>
  </si>
  <si>
    <t>Half Etch トレイ式の受取機 #2
Máy nhận bo dạng Tray line Half Etch #2</t>
  </si>
  <si>
    <t>AUTM260310</t>
  </si>
  <si>
    <t>Half Etch #3</t>
  </si>
  <si>
    <t>Half Etch トレイ式の投入機 #3
Máy đưa bo dạng Tray line Half Etch #3</t>
  </si>
  <si>
    <t>AUTM260311</t>
  </si>
  <si>
    <t>Half Etch トレイ式の受取機 #3
Máy nhận bo dạng Tray line Half Etch #3</t>
  </si>
  <si>
    <t>AUTM260312</t>
  </si>
  <si>
    <t>レーザー前処理＃3
TXL Laser #3</t>
  </si>
  <si>
    <t>レーザー前処理 トレイ式の投入機 #3
Máy đưa bo dạng Tray line TXL Laser #3</t>
  </si>
  <si>
    <t>AUTM260313</t>
  </si>
  <si>
    <t>レーザー前処理 トレイ式の受取機 #3
Máy nhận bo dạng Tray line TXL Laser #3</t>
  </si>
  <si>
    <t>AUTM260314</t>
  </si>
  <si>
    <t>Fact. 1-2 2F</t>
  </si>
  <si>
    <t>レーザー後処理＃3
HXL Laser #3</t>
  </si>
  <si>
    <t>レーザー後処理 トレイ式の投入機 #3
Máy đưa bo dạng Tray line HXL Laser #3</t>
  </si>
  <si>
    <t>AUTM260315</t>
  </si>
  <si>
    <t>レーザー後処理 トレイ式の受取機 #3
Máy nhận bo dạng Tray line HXL Laser #3</t>
  </si>
  <si>
    <t>AUTM260316</t>
  </si>
  <si>
    <t>Desmear #4</t>
  </si>
  <si>
    <t>Desmear トレイ式の投入機 #4
Máy đưa bo dạng Tray line Desmear #4</t>
  </si>
  <si>
    <t>AUTM260317</t>
  </si>
  <si>
    <t>Desmear  トレイ式の受取機 #4
Máy nhận bo dạng Tray line Desmear #4</t>
  </si>
  <si>
    <t>AUTM260318</t>
  </si>
  <si>
    <t>E'less-Flash #4</t>
  </si>
  <si>
    <t>E'less-Flash トレイ式の投入機 #4
Máy đưa bo dạng Tray line E'less-Flash #4</t>
  </si>
  <si>
    <t>Có trục Y, R và CAM Keyence nhận vị trí bo</t>
  </si>
  <si>
    <t>AUTM260319</t>
  </si>
  <si>
    <t>E'less-Flash トレイ式の受取機 #4
Máy nhận bo dạng Tray line E'less-Flash #4</t>
  </si>
  <si>
    <t>AUTM260320</t>
  </si>
  <si>
    <t>Filled #6</t>
  </si>
  <si>
    <t>Filled トレイ式の投入機 #6
Máy đưa bo dạng Tray line Filled #6</t>
  </si>
  <si>
    <t>AUTM260321</t>
  </si>
  <si>
    <t>Filled 側整列コンベア #6
Băng tải căn bo line Filled #6</t>
  </si>
  <si>
    <t>AUTM260322</t>
  </si>
  <si>
    <t>Filled トレイ式の受取機 #6
Máy nhận bo dạng Tray line Filled #6</t>
  </si>
  <si>
    <t>AUTM260323</t>
  </si>
  <si>
    <t>Filled #7</t>
  </si>
  <si>
    <t>Filled トレイ式の投入機 #7
Máy đưa bo dạng Tray line Filled #7</t>
  </si>
  <si>
    <t>AUTM260324</t>
  </si>
  <si>
    <t>Filled 側整列コンベア #7
Băng tải căn bo line Filled #7</t>
  </si>
  <si>
    <t>AUTM260325</t>
  </si>
  <si>
    <t>Filled トレイ式の受取機 #7
Máy nhận bo dạng Tray line Filled #7</t>
  </si>
  <si>
    <t>AUTM260326</t>
  </si>
  <si>
    <t>Fact. 1-1 2F</t>
  </si>
  <si>
    <t>穴埋前処理
TXL lấp lỗ</t>
  </si>
  <si>
    <t>穴埋前処理 トレイ式の投入機
Máy đưa bo dạng Tray line TXL lấp lỗ</t>
  </si>
  <si>
    <t>AUTM260327</t>
  </si>
  <si>
    <t>穴埋前処理 トレイ式の受取機
Máy nhận bo dạng Tray line TXL lấp lỗ</t>
  </si>
  <si>
    <t>AUTM260328</t>
  </si>
  <si>
    <t>穴埋印刻～硬化炉
Lấp lỗ, in chữ ~ cố hóa</t>
  </si>
  <si>
    <t>穴埋印刻～硬化炉 トレイ式の投入機
Máy đưa bo dạng Tray line Lấp lỗ, in chữ ~ cố hóa</t>
  </si>
  <si>
    <t>AUTM260329</t>
  </si>
  <si>
    <t>穴埋印刻～硬化炉 トレイ式の受取機
Máy nhận bo dạng Tray line Lấp lỗ, in chữ ~ cố hóa</t>
  </si>
  <si>
    <t>AUTM260330</t>
  </si>
  <si>
    <t>穴埋研磨
Mài lấp lỗ</t>
  </si>
  <si>
    <t>穴埋研磨 トレイ式の投入機
Máy đưa bo dạng Tray line Mài lấp lỗ</t>
  </si>
  <si>
    <t>AUTM260331</t>
  </si>
  <si>
    <t>穴埋研磨 基板回転機（90°と180°）
Máy xoay bo 90deg và 180 deg line Mài lấp lỗ</t>
  </si>
  <si>
    <t>Đã báo giá SALE Mar-03</t>
  </si>
  <si>
    <t>AUTM260332</t>
  </si>
  <si>
    <t>AUTM260333</t>
  </si>
  <si>
    <t>穴埋研磨 トレイ式の受取機
Máy nhận bo dạng Tray line Mài lấp lỗ</t>
  </si>
  <si>
    <t>AUTM260334</t>
  </si>
  <si>
    <t>Fact. 1-2 3F</t>
  </si>
  <si>
    <t>DFR前処理＃４
TXL DFR ＃４</t>
  </si>
  <si>
    <t>DFR前処理 トレイ式の投入機#4
Máy đưa bo dạng Tray line TXL DFR ＃４</t>
  </si>
  <si>
    <t>AUTM260335</t>
  </si>
  <si>
    <t>ストッカー（FIFO）</t>
  </si>
  <si>
    <t>AUTM260336</t>
  </si>
  <si>
    <t>冷却コンベヤー</t>
  </si>
  <si>
    <t>AUTM260337</t>
  </si>
  <si>
    <t>DFR前処理 トレイ式の受取機　＃４
Máy nhận bo dạng Tray line TXL DFR ＃４</t>
  </si>
  <si>
    <t>AUTM260338</t>
  </si>
  <si>
    <t>DFR前処理＃5
TXL DFR ＃5</t>
  </si>
  <si>
    <t>DFR前処理 トレイ式の投入機#5
Máy đưa bo dạng Tray line TXL DFR ＃5</t>
  </si>
  <si>
    <t>AUTM260339</t>
  </si>
  <si>
    <t>DFR前処理#5 ストッカー（FIFO）</t>
  </si>
  <si>
    <t>AUTM260340</t>
  </si>
  <si>
    <t>DFR前処理#5 冷却コンベヤー</t>
  </si>
  <si>
    <t>AUTM260341</t>
  </si>
  <si>
    <t>DFR前処理 トレイ式の受取機　＃5
Máy nhận bo dạng Tray line TXL DFR ＃5</t>
  </si>
  <si>
    <t>AUTM260342</t>
  </si>
  <si>
    <t>DI露光機#5
Chụp sáng DI #5</t>
  </si>
  <si>
    <t>DI露光機 トレイ式の投入機#5
Máy đưa bo dạng Tray line chụp sáng DI ＃5</t>
  </si>
  <si>
    <t>AUTM260343</t>
  </si>
  <si>
    <t>DI露光機#5 ストッカー（FIFO）</t>
  </si>
  <si>
    <t>AUTM260344</t>
  </si>
  <si>
    <t>DI露光機 トレイ式の受取機　＃5
Máy nhận bo dạng Tray line  chụp sáng DI ＃5</t>
  </si>
  <si>
    <t>AUTM260345</t>
  </si>
  <si>
    <t>DI露光機#6
Chụp sáng DI #6</t>
  </si>
  <si>
    <t>DI露光機 トレイ式の投入機#6
Máy đưa bo dạng Tray line chụp sáng DI ＃6</t>
  </si>
  <si>
    <t>AUTM260346</t>
  </si>
  <si>
    <t>DI露光機#6 ストッカー（FIFO）</t>
  </si>
  <si>
    <t>AUTM260347</t>
  </si>
  <si>
    <t>DI露光機 トレイ式の受取機　＃6
Máy nhận bo dạng Tray line  chụp sáng DI ＃6</t>
  </si>
  <si>
    <t>AUTM260348</t>
  </si>
  <si>
    <t>Fact.1-2 1F</t>
  </si>
  <si>
    <t>Load vs Unload for Laser Mitsubishi_ML605GTW6</t>
  </si>
  <si>
    <t>AUTM260349</t>
  </si>
  <si>
    <t>AUTM260350</t>
  </si>
  <si>
    <t>AUTM260351</t>
  </si>
  <si>
    <t>AUTM260352</t>
  </si>
  <si>
    <t>AUTM260353</t>
  </si>
  <si>
    <t>AUTM260354</t>
  </si>
  <si>
    <t>AUTM260355</t>
  </si>
  <si>
    <t>AUTM260356</t>
  </si>
  <si>
    <t>AUTM260357</t>
  </si>
  <si>
    <t>AUTM260358</t>
  </si>
  <si>
    <t>AUTM260359</t>
  </si>
  <si>
    <t>AUTM260360</t>
  </si>
  <si>
    <t>AUTM260361</t>
  </si>
  <si>
    <t>AUTM260362</t>
  </si>
  <si>
    <t>AUTM260363</t>
  </si>
  <si>
    <t>AUTM260364</t>
  </si>
  <si>
    <t>AUTM260365</t>
  </si>
  <si>
    <t>AUTM260366</t>
  </si>
  <si>
    <t>AUTM260367</t>
  </si>
  <si>
    <t>AUTM260368</t>
  </si>
  <si>
    <t>AUTM260369</t>
  </si>
  <si>
    <t>AUTM260370</t>
  </si>
  <si>
    <t>AUTM260371</t>
  </si>
  <si>
    <t>AUTM260372</t>
  </si>
  <si>
    <t>AUTM260501</t>
  </si>
  <si>
    <t>ACCL</t>
  </si>
  <si>
    <t>內層
Inner Layer</t>
  </si>
  <si>
    <t>前處理
Pre-treatment</t>
  </si>
  <si>
    <t>330x330
(13x13In)</t>
  </si>
  <si>
    <t>610x712
(24x28 In)</t>
  </si>
  <si>
    <t>平托盤四軸單工位放板機(平托+平托+NG)
Flat Tray 4-Axis Single-Station Loader (Flat Tray + Flat Tray + NG)</t>
  </si>
  <si>
    <t>PCB Transfer +</t>
  </si>
  <si>
    <t>Phase 1-1</t>
  </si>
  <si>
    <t>AUTM260502</t>
  </si>
  <si>
    <t>●
CL:10000</t>
  </si>
  <si>
    <t>20片暫存機
20 pieces Temporary Storage Machine</t>
  </si>
  <si>
    <t>AUTM260503</t>
  </si>
  <si>
    <t>壓膜線
Film Lamination Line</t>
  </si>
  <si>
    <t>斜立式六軸雙工位收板機(L+L)
Vertical-Tilt 6-Axis Dual-Station Unloader(L+L)</t>
  </si>
  <si>
    <t>AUTM260504</t>
  </si>
  <si>
    <t>AUTM260505</t>
  </si>
  <si>
    <t>轉向機
Turning Conveyor</t>
  </si>
  <si>
    <t>Corrosion-resistant structure required (e.g., Teflon/316L stainless steel)</t>
  </si>
  <si>
    <t>AUTM260506</t>
  </si>
  <si>
    <t>●
690x570mm</t>
  </si>
  <si>
    <t>籃框式模組雙工位收板機(籃+平)
Twin-station Basket &amp; Flat Tray Module Board Unloader</t>
  </si>
  <si>
    <t>AUTM260507</t>
  </si>
  <si>
    <t>壓合
Lamination</t>
  </si>
  <si>
    <t>棕化1線
Brown Oxide Line 1</t>
  </si>
  <si>
    <t>籃框式模組雙工位放板機(籃+平)
Twin-station Basket &amp; Flat Tray Module Board Loader</t>
  </si>
  <si>
    <t>AUTM260508</t>
  </si>
  <si>
    <t>轉向定位一體機
Integrated Alignment and Turning Machine</t>
  </si>
  <si>
    <t>AUTM260509</t>
  </si>
  <si>
    <t>AUTM260510</t>
  </si>
  <si>
    <t>AUTM260511</t>
  </si>
  <si>
    <t>AUTM260512</t>
  </si>
  <si>
    <t>棕化2線
Brown Oxide Line 2</t>
  </si>
  <si>
    <t>AUTM260513</t>
  </si>
  <si>
    <t>AUTM260514</t>
  </si>
  <si>
    <t>AUTM260515</t>
  </si>
  <si>
    <t>AUTM260516</t>
  </si>
  <si>
    <t>Cassette收板機
Cassette Unloader</t>
  </si>
  <si>
    <t>AUTM260517</t>
  </si>
  <si>
    <t>鑽孔
Drilling</t>
  </si>
  <si>
    <t>鑽孔驗孔機
Drilling Via Inspection Machine</t>
  </si>
  <si>
    <t>斜立式四軸收板機
Vertical-Incline 4-Axis Board Unloader</t>
  </si>
  <si>
    <t>AUTM260518</t>
  </si>
  <si>
    <t>後處理DEBURR
Post-processing DEBURR</t>
  </si>
  <si>
    <t>Trái-giữa - phải</t>
  </si>
  <si>
    <t>斜立式六軸雙工位放板機(L+L)
Vertical-Tilt 6-Axis Dual-Station Loader(L+L)</t>
  </si>
  <si>
    <t>AUTM260519</t>
  </si>
  <si>
    <t>斜立式六軸雙工位收板機(L+L)
Vertical Incline 6-Axis Dual-Station Unloader(L+L)</t>
  </si>
  <si>
    <t>AUTM260520</t>
  </si>
  <si>
    <t>背鑽驗孔機
Back Drilling Via Inspection Machine</t>
  </si>
  <si>
    <t>AUTM260521</t>
  </si>
  <si>
    <t>電鍍一課
Electroplating 1</t>
  </si>
  <si>
    <t>Desmear後處理
Desmear Post-Processing</t>
  </si>
  <si>
    <t>AUTM260522</t>
  </si>
  <si>
    <t>PTH後處理
PTH Post-Processing</t>
  </si>
  <si>
    <t>AUTM260523</t>
  </si>
  <si>
    <t>一銅脈衝
Primary Copper Pulse Plating</t>
  </si>
  <si>
    <t>斜立式六軸三工位放板機(L+L+D)
Vertical-Tilt 6-Axis 3-Station Loader(L+L+D)</t>
  </si>
  <si>
    <t>AUTM260524</t>
  </si>
  <si>
    <t>輸送機
Conveyor</t>
  </si>
  <si>
    <t>AUTM260525</t>
  </si>
  <si>
    <t>斜立式六軸三工位收板機(L+L+D)
Vertical-Tilt 6-Axis 3-Station Unloader(L+L+D)</t>
  </si>
  <si>
    <t>AUTM260526</t>
  </si>
  <si>
    <t>一銅電鍍
Primary Copper Electroplating</t>
  </si>
  <si>
    <t>AUTM260527</t>
  </si>
  <si>
    <t>AUTM260528</t>
  </si>
  <si>
    <t>AUTM260529</t>
  </si>
  <si>
    <t>填孔電鍍/半填孔電鍍
Via Filling Electroplating / Partial Via Filling Electroplating</t>
  </si>
  <si>
    <t>AUTM260530</t>
  </si>
  <si>
    <t>AUTM260531</t>
  </si>
  <si>
    <t>AUTM260532</t>
  </si>
  <si>
    <t>一銅驗孔機
Primary Copper Via Inspection Machine</t>
  </si>
  <si>
    <t>AUTM260533</t>
  </si>
  <si>
    <t>水平真空塞
Horizontal Vacuum Via Plugging</t>
  </si>
  <si>
    <t>刷磨
Brushing</t>
  </si>
  <si>
    <t>斜立式六軸雙工位放板機(L+L)
Vertical Incline 6-Axis Dual-Station Loader(L+L)</t>
  </si>
  <si>
    <t>AUTM260534</t>
  </si>
  <si>
    <t>AUTM260535</t>
  </si>
  <si>
    <t>外層
Outer Layer</t>
  </si>
  <si>
    <t>超粗化前處理
Micro-Etching (Roughening) / Pre-Treatment</t>
  </si>
  <si>
    <t>AUTM260536</t>
  </si>
  <si>
    <t>●
CL 10000</t>
  </si>
  <si>
    <t>斜立式六軸雙工位收板機(L+L)
Vertical Incline 6-Axis Dual-Station Board Unloader(L+L)</t>
  </si>
  <si>
    <t>AUTM260537</t>
  </si>
  <si>
    <t>顯影線
Developing Line</t>
  </si>
  <si>
    <t>50片履帶式
50-piece track-type</t>
  </si>
  <si>
    <t>AUTM260538</t>
  </si>
  <si>
    <t>水平去膜線
Horizontal Resist Stripping Line</t>
  </si>
  <si>
    <t>斜立式四軸放板
Vertical-Incline 4-Axis Loader</t>
  </si>
  <si>
    <t>AUTM260539</t>
  </si>
  <si>
    <t>AUTM260540</t>
  </si>
  <si>
    <t>電鍍二課
Electroplating 2</t>
  </si>
  <si>
    <t>蝕刻SES
SES Etching</t>
  </si>
  <si>
    <t>斜立式六軸三工位收/放板機(或隔紙台車)
Vertical-Tilt 6-Axis 3-Station Loader / Unloader(with Interleaf Paper Cart)</t>
  </si>
  <si>
    <t>Tri cart LD</t>
  </si>
  <si>
    <t>AUTM260541</t>
  </si>
  <si>
    <t>AUTM260542</t>
  </si>
  <si>
    <t>Tri cart UL</t>
  </si>
  <si>
    <t>AUTM260543</t>
  </si>
  <si>
    <t>防焊
Solder Mask</t>
  </si>
  <si>
    <t>前處理(超粗化)
Pre-Treatment (Ultra Roughening)</t>
  </si>
  <si>
    <t>AUTM260544</t>
  </si>
  <si>
    <t>U型收板機(可以翻維持)
U-shaped Unloader (with flipping function)</t>
  </si>
  <si>
    <t>AUTM260545</t>
  </si>
  <si>
    <t>前處理(噴砂)
Pre-Treatment (Sandblasting Machine)</t>
  </si>
  <si>
    <t>斜立式六軸三工位收/放板機(或隔紙台車)
Vertical-Tilt, 6-Axis, 3-Station's Loader / Unloader(with Interleaf Paper Cart)</t>
  </si>
  <si>
    <t>AUTM260546</t>
  </si>
  <si>
    <t>AUTM260547</t>
  </si>
  <si>
    <t>AUTM260548</t>
  </si>
  <si>
    <t>U型放板機(可以翻維持)
U-shaped Loader (with flipping function)</t>
  </si>
  <si>
    <t>AUTM260601</t>
  </si>
  <si>
    <t>MKQC</t>
  </si>
  <si>
    <t>MKQC-IE-260609-01</t>
  </si>
  <si>
    <t>NBS-LA-Exposure #1</t>
  </si>
  <si>
    <t>NBS #1</t>
  </si>
  <si>
    <t>1250±100</t>
  </si>
  <si>
    <t>510x404
t0.05~1.6</t>
  </si>
  <si>
    <t>724x616
t0.05~1.6</t>
  </si>
  <si>
    <t>1.0~12.0</t>
  </si>
  <si>
    <t>4~7.0</t>
  </si>
  <si>
    <t>2 H rack</t>
  </si>
  <si>
    <t>Máy đưa bo line NBS#1</t>
  </si>
  <si>
    <t>Băng tải dùng con lăn từ</t>
  </si>
  <si>
    <t>AUTM260602</t>
  </si>
  <si>
    <t>Băng tải L660mm  line NBS#1</t>
  </si>
  <si>
    <t>AUTM260603</t>
  </si>
  <si>
    <t>Laminate #1-1</t>
  </si>
  <si>
    <t>950±100</t>
  </si>
  <si>
    <t>Băng tải L660mm  line Laminate #1-1</t>
  </si>
  <si>
    <t>AUTM260604</t>
  </si>
  <si>
    <t>AUTM260605</t>
  </si>
  <si>
    <t>Máy nâng bo tạm thời line Laminate #1-1</t>
  </si>
  <si>
    <t>AUTM260606</t>
  </si>
  <si>
    <t>AUTM260607</t>
  </si>
  <si>
    <t>Máy làm mát bo mạch line Laminate #1-1</t>
  </si>
  <si>
    <t>Flip &amp; cooling</t>
  </si>
  <si>
    <t>AUTM260608</t>
  </si>
  <si>
    <t>AUTM260609</t>
  </si>
  <si>
    <t>Laminate #1-2</t>
  </si>
  <si>
    <t>Băng tải liên kết 2 line Laminate #1-2</t>
  </si>
  <si>
    <t>Y conveyor</t>
  </si>
  <si>
    <t>AUTM260610</t>
  </si>
  <si>
    <t>Băng tải L660mm  line Laminate #1-2</t>
  </si>
  <si>
    <t>AUTM260611</t>
  </si>
  <si>
    <t>AUTM260612</t>
  </si>
  <si>
    <t>Máy nâng bo tạm thời line Laminate #1-2</t>
  </si>
  <si>
    <t>AUTM260613</t>
  </si>
  <si>
    <t>AUTM260614</t>
  </si>
  <si>
    <t>Máy làm mát bo mạch line Laminate #1-2</t>
  </si>
  <si>
    <t>AUTM260615</t>
  </si>
  <si>
    <t>AUTM260616</t>
  </si>
  <si>
    <t>Exposure #1</t>
  </si>
  <si>
    <t>Băng tải liên kết 2 line Exposure #1</t>
  </si>
  <si>
    <t>AUTM260617</t>
  </si>
  <si>
    <t>Băng tải L660mm  line Exposure #1</t>
  </si>
  <si>
    <t>AUTM260618</t>
  </si>
  <si>
    <t>AUTM260619</t>
  </si>
  <si>
    <t>Máy nâng bo tạm thời line Exposure #1</t>
  </si>
  <si>
    <t>AUTM260620</t>
  </si>
  <si>
    <t>Máy nhận bo line Exposure #1</t>
  </si>
  <si>
    <t>AUTM260621</t>
  </si>
  <si>
    <t>NBS-LA-Exposure #2</t>
  </si>
  <si>
    <t>NBS #2</t>
  </si>
  <si>
    <t>Máy đưa bo line NBS#2</t>
  </si>
  <si>
    <t>AUTM260622</t>
  </si>
  <si>
    <t>Băng tải L660mm  line NBS#2</t>
  </si>
  <si>
    <t>AUTM260623</t>
  </si>
  <si>
    <t>Laminate #2-1</t>
  </si>
  <si>
    <t>Băng tải liên kết 2 line Laminate #2-1</t>
  </si>
  <si>
    <t>AUTM260624</t>
  </si>
  <si>
    <t>Băng tải L660mm  line Laminate #2-1</t>
  </si>
  <si>
    <t>AUTM260625</t>
  </si>
  <si>
    <t>AUTM260626</t>
  </si>
  <si>
    <t>Máy nâng bo tạm thời line Laminate #2-1</t>
  </si>
  <si>
    <t>AUTM260627</t>
  </si>
  <si>
    <t>AUTM260628</t>
  </si>
  <si>
    <t>Máy làm mát bo mạch line Laminate #2-1</t>
  </si>
  <si>
    <t>AUTM260629</t>
  </si>
  <si>
    <t>AUTM260630</t>
  </si>
  <si>
    <t>Laminate #2-2</t>
  </si>
  <si>
    <t>Băng tải L660mm  line Laminate #2-2</t>
  </si>
  <si>
    <t>AUTM260631</t>
  </si>
  <si>
    <t>AUTM260632</t>
  </si>
  <si>
    <t>Máy nâng bo tạm thời line Laminate #2-2</t>
  </si>
  <si>
    <t>AUTM260633</t>
  </si>
  <si>
    <t>AUTM260634</t>
  </si>
  <si>
    <t>Máy làm mát bo mạch line Laminate #2-2</t>
  </si>
  <si>
    <t>AUTM260635</t>
  </si>
  <si>
    <t>AUTM260636</t>
  </si>
  <si>
    <t>Exposure #2</t>
  </si>
  <si>
    <t>Băng tải liên kết 2 line Exposure #2</t>
  </si>
  <si>
    <t>AUTM260637</t>
  </si>
  <si>
    <t>Băng tải L660mm  line Exposure #2</t>
  </si>
  <si>
    <t>AUTM260638</t>
  </si>
  <si>
    <t>AUTM260639</t>
  </si>
  <si>
    <t>Máy nâng bo tạm thời line Exposure #2</t>
  </si>
  <si>
    <t>AUTM260640</t>
  </si>
  <si>
    <t>Máy nhận bo line Exposure #2</t>
  </si>
  <si>
    <t>AUTM260641</t>
  </si>
  <si>
    <t>NBS-LA-Exposure #3</t>
  </si>
  <si>
    <t>NBS #3</t>
  </si>
  <si>
    <t>Máy đưa bo line NBS#3</t>
  </si>
  <si>
    <t>AUTM260642</t>
  </si>
  <si>
    <t>Băng tải L660mm  line NBS#3</t>
  </si>
  <si>
    <t>AUTM260643</t>
  </si>
  <si>
    <t>Laminate #3</t>
  </si>
  <si>
    <t>Băng tải L660mm  line Laminate #3</t>
  </si>
  <si>
    <t>AUTM260644</t>
  </si>
  <si>
    <t>Máy nâng bo tạm thời line Laminate #3</t>
  </si>
  <si>
    <t>AUTM260645</t>
  </si>
  <si>
    <t>AUTM260646</t>
  </si>
  <si>
    <t>Máy làm mát bo mạch line Laminate #3</t>
  </si>
  <si>
    <t>AUTM260647</t>
  </si>
  <si>
    <t>AUTM260648</t>
  </si>
  <si>
    <t>Exposure #3</t>
  </si>
  <si>
    <t>Băng tải L660mm  line Exposure #3</t>
  </si>
  <si>
    <t>AUTM260649</t>
  </si>
  <si>
    <t>AUTM260650</t>
  </si>
  <si>
    <t>Máy nâng bo tạm thời line Exposure #3</t>
  </si>
  <si>
    <t>AUTM260651</t>
  </si>
  <si>
    <t>AUTM260652</t>
  </si>
  <si>
    <t>MKQC-IE-260609-02</t>
  </si>
  <si>
    <t>DES #1</t>
  </si>
  <si>
    <t>Máy đưa bo line DES #1</t>
  </si>
  <si>
    <t>AUTM260653</t>
  </si>
  <si>
    <t>Băng tải L660mm  line DES #1</t>
  </si>
  <si>
    <t>AUTM260654</t>
  </si>
  <si>
    <t>AUTM260655</t>
  </si>
  <si>
    <t>AUTM260656</t>
  </si>
  <si>
    <t>Máy nâng bo tạm thời line DES #1</t>
  </si>
  <si>
    <t>AUTM260657</t>
  </si>
  <si>
    <t>Máy làm mát bo mạch line DES #1</t>
  </si>
  <si>
    <t>AUTM260658</t>
  </si>
  <si>
    <t>Máy nhận bo line DES#1</t>
  </si>
  <si>
    <t>Dùng Air blower + Pad hút to gắp PCB</t>
  </si>
  <si>
    <t>AUTM260659</t>
  </si>
  <si>
    <t>Máy đưa bo line DES #2</t>
  </si>
  <si>
    <t>AUTM260660</t>
  </si>
  <si>
    <t>Băng tải L660mm  line DES #2</t>
  </si>
  <si>
    <t>AUTM260661</t>
  </si>
  <si>
    <t>AUTM260662</t>
  </si>
  <si>
    <t>AUTM260663</t>
  </si>
  <si>
    <t>Máy nâng bo tạm thời line DES #2</t>
  </si>
  <si>
    <t>AUTM260664</t>
  </si>
  <si>
    <t>Máy làm mát bo mạch line DES #2</t>
  </si>
  <si>
    <t>AUTM260665</t>
  </si>
  <si>
    <t>Máy nhận bo line DES#2</t>
  </si>
  <si>
    <t>AUTM260666</t>
  </si>
  <si>
    <t>DES #3</t>
  </si>
  <si>
    <t>AUTM260667</t>
  </si>
  <si>
    <t>AUTM260668</t>
  </si>
  <si>
    <t>AUTM260669</t>
  </si>
  <si>
    <t>AUTM260670</t>
  </si>
  <si>
    <t>AUTM260671</t>
  </si>
  <si>
    <t>AUTM260672</t>
  </si>
  <si>
    <t>AUTM260673</t>
  </si>
  <si>
    <t>AUTM260674</t>
  </si>
  <si>
    <t>Máy đưa bo line V-bond #1</t>
  </si>
  <si>
    <t>AUTM260675</t>
  </si>
  <si>
    <t>Băng tải L1200mm line V-bond #1</t>
  </si>
  <si>
    <t>AUTM260676</t>
  </si>
  <si>
    <t>Máy nhận bo line V-bond #1</t>
  </si>
  <si>
    <t>AUTM260677</t>
  </si>
  <si>
    <t>Máy đưa bo line V-bond #2</t>
  </si>
  <si>
    <t>AUTM260678</t>
  </si>
  <si>
    <t>Băng tải L1200mm line V-bond #2</t>
  </si>
  <si>
    <t>AUTM260679</t>
  </si>
  <si>
    <t>Máy nhận bo line V-bond #2</t>
  </si>
  <si>
    <t>AUTM260680</t>
  </si>
  <si>
    <t>Bonding film</t>
  </si>
  <si>
    <t>Máy đưa bo line Bonding film</t>
  </si>
  <si>
    <t>AUTM260681</t>
  </si>
  <si>
    <t>Băng tải L660mm line Bonding film</t>
  </si>
  <si>
    <t>AUTM260682</t>
  </si>
  <si>
    <t>AUTM260683</t>
  </si>
  <si>
    <t>Máy nhận bo line Bonding film</t>
  </si>
  <si>
    <t>AUTM260684</t>
  </si>
  <si>
    <t>Layup</t>
  </si>
  <si>
    <t>Băng tải L1200mm line Layup</t>
  </si>
  <si>
    <t>AUTM260685</t>
  </si>
  <si>
    <t>AUTM260686</t>
  </si>
  <si>
    <t>X-Ray rửa nước</t>
  </si>
  <si>
    <t xml:space="preserve">Máy đưa bo line X-Ray </t>
  </si>
  <si>
    <t>AUTM260687</t>
  </si>
  <si>
    <t>X-Ray rửa nước #1</t>
  </si>
  <si>
    <t>Băng tải L660mm line X-Ray #1</t>
  </si>
  <si>
    <t>AUTM260688</t>
  </si>
  <si>
    <t>Máy nâng bo tạm thời line X-Ray #1</t>
  </si>
  <si>
    <t>AUTM260689</t>
  </si>
  <si>
    <t>Máy nhận bo line X-Ray rửa nước #1</t>
  </si>
  <si>
    <t>AUTM260690</t>
  </si>
  <si>
    <t>X-Ray rửa nước #2</t>
  </si>
  <si>
    <t>Băng tải L660mm line X-Ray #2</t>
  </si>
  <si>
    <t>AUTM260691</t>
  </si>
  <si>
    <t>Máy nâng bo tạm thời line X-Ray #2</t>
  </si>
  <si>
    <t>AUTM260692</t>
  </si>
  <si>
    <t>Máy nhận bo line X-Ray rửa nước #2</t>
  </si>
  <si>
    <t>AUTM260693</t>
  </si>
  <si>
    <t>Máy đưa bo line HE #1</t>
  </si>
  <si>
    <t>AUTM260694</t>
  </si>
  <si>
    <t>Băng tải L660mm line HE #1</t>
  </si>
  <si>
    <t>AUTM260695</t>
  </si>
  <si>
    <t>AUTM260696</t>
  </si>
  <si>
    <t>Máy nâng bo tạm thời line HE #1</t>
  </si>
  <si>
    <t>AUTM260697</t>
  </si>
  <si>
    <t>Máy nhận bo line HE #1</t>
  </si>
  <si>
    <t>AUTM260698</t>
  </si>
  <si>
    <t>HE #2</t>
  </si>
  <si>
    <t>Băng tải L660mm line HE #2</t>
  </si>
  <si>
    <t>AUTM260699</t>
  </si>
  <si>
    <t>AUTM260700</t>
  </si>
  <si>
    <t>Máy nâng bo tạm thời line HE #2</t>
  </si>
  <si>
    <t>AUTM260701</t>
  </si>
  <si>
    <t>Máy nhận bo line HE #2</t>
  </si>
  <si>
    <t>AUTM260702</t>
  </si>
  <si>
    <t>HE #3</t>
  </si>
  <si>
    <t>Băng tải L660mm line HE #3</t>
  </si>
  <si>
    <t>AUTM260703</t>
  </si>
  <si>
    <t>AUTM260704</t>
  </si>
  <si>
    <t>Máy nâng bo tạm thời line HE #3</t>
  </si>
  <si>
    <t>AUTM260705</t>
  </si>
  <si>
    <t>Máy nhận bo line HE #3</t>
  </si>
  <si>
    <t>AUTM260706</t>
  </si>
  <si>
    <t>BO</t>
  </si>
  <si>
    <t>Out put rack line</t>
  </si>
  <si>
    <t>Out put rack</t>
  </si>
  <si>
    <t>AUTM260707</t>
  </si>
  <si>
    <t>Input to rack line</t>
  </si>
  <si>
    <t>Input to rack</t>
  </si>
  <si>
    <t>AUTM260708</t>
  </si>
  <si>
    <t xml:space="preserve">Máy Load-Unload cho Laser ML706GTW6 </t>
  </si>
  <si>
    <t>AUTM260709</t>
  </si>
  <si>
    <t>AUTM260710</t>
  </si>
  <si>
    <t>AUTM260711</t>
  </si>
  <si>
    <t>AUTM260712</t>
  </si>
  <si>
    <t>AUTM260713</t>
  </si>
  <si>
    <t>AUTM260714</t>
  </si>
  <si>
    <t>AUTM260715</t>
  </si>
  <si>
    <t>AUTM260716</t>
  </si>
  <si>
    <t>AUTM260717</t>
  </si>
  <si>
    <t>AUTM260718</t>
  </si>
  <si>
    <t>AUTM260719</t>
  </si>
  <si>
    <t>AUTM260720</t>
  </si>
  <si>
    <t>AUTM260721</t>
  </si>
  <si>
    <t>AUTM260722</t>
  </si>
  <si>
    <t>AUTM260723</t>
  </si>
  <si>
    <t>AUTM260724</t>
  </si>
  <si>
    <t>AUTM260725</t>
  </si>
  <si>
    <t>AUTM260726</t>
  </si>
  <si>
    <t>AUTM260727</t>
  </si>
  <si>
    <t>AUTM260728</t>
  </si>
  <si>
    <t>AUTM260729</t>
  </si>
  <si>
    <t>AUTM260730</t>
  </si>
  <si>
    <t>AUTM260731</t>
  </si>
  <si>
    <t>AUTM260732</t>
  </si>
  <si>
    <t>AUTM260733</t>
  </si>
  <si>
    <t>AUTM260734</t>
  </si>
  <si>
    <t>AUTM260735</t>
  </si>
  <si>
    <t>AUTM260736</t>
  </si>
  <si>
    <t>AUTM260737</t>
  </si>
  <si>
    <t>AUTM260738</t>
  </si>
  <si>
    <t>AUTM260739</t>
  </si>
  <si>
    <t>AUTM260740</t>
  </si>
  <si>
    <t>AUTM260741</t>
  </si>
  <si>
    <t>AUTM260742</t>
  </si>
  <si>
    <t>AUTM260743</t>
  </si>
  <si>
    <t>AUTM260744</t>
  </si>
  <si>
    <t>AUTM260745</t>
  </si>
  <si>
    <t>AUTM260746</t>
  </si>
  <si>
    <t>AUTM260747</t>
  </si>
  <si>
    <t>AUTM260748</t>
  </si>
  <si>
    <t>AUTM260749</t>
  </si>
  <si>
    <t>AUTM260750</t>
  </si>
  <si>
    <t>AUTM260751</t>
  </si>
  <si>
    <t>AUTM260752</t>
  </si>
  <si>
    <t>AUTM260753</t>
  </si>
  <si>
    <t>AUTM260754</t>
  </si>
  <si>
    <t>AUTM260755</t>
  </si>
  <si>
    <t>AUTM260756</t>
  </si>
  <si>
    <t>AUTM260757</t>
  </si>
  <si>
    <t>AUTM260758</t>
  </si>
  <si>
    <t>NC rinse</t>
  </si>
  <si>
    <t>Máy đưa bo line rửa nước sau NC</t>
  </si>
  <si>
    <t>AUTM260759</t>
  </si>
  <si>
    <t>Băng tải L660mm line rửa nước sau NC</t>
  </si>
  <si>
    <t>AUTM260760</t>
  </si>
  <si>
    <t>AUTM260761</t>
  </si>
  <si>
    <t>AUTM260762</t>
  </si>
  <si>
    <t>Máy nâng bo tạm thời line rửa nước sau NC</t>
  </si>
  <si>
    <t>AUTM260763</t>
  </si>
  <si>
    <t>Máy nhận bo line rửa nước sau NC</t>
  </si>
  <si>
    <t>AUTM260764</t>
  </si>
  <si>
    <t>Flash Etching</t>
  </si>
  <si>
    <t>Máy đưa bo line Flash Etching</t>
  </si>
  <si>
    <t>AUTM260765</t>
  </si>
  <si>
    <t>Máy nhận bo line Flash Etching</t>
  </si>
  <si>
    <t>AUTM260766</t>
  </si>
  <si>
    <t>Desmear (Horizontal)</t>
  </si>
  <si>
    <t>Máy đưa bo line Desmear (Horizonal)</t>
  </si>
  <si>
    <t>AUTM260767</t>
  </si>
  <si>
    <t>Băng tải L660mm line Desmear (Horizonal)</t>
  </si>
  <si>
    <t>AUTM260768</t>
  </si>
  <si>
    <t>AUTM260769</t>
  </si>
  <si>
    <t>Máy nâng bo tạm thời line Desmear (Horizonal)</t>
  </si>
  <si>
    <t>AUTM260770</t>
  </si>
  <si>
    <t>Máy nhận bo line Desmear (Horizonal)</t>
  </si>
  <si>
    <t>AUTM260771</t>
  </si>
  <si>
    <t>D-PTH (Horizontal)</t>
  </si>
  <si>
    <t>Máy đưa bo line D-PTH (Horizontal)</t>
  </si>
  <si>
    <t>AUTM260772</t>
  </si>
  <si>
    <t>Băng tải L660mm line D-PTH (Horizontal)</t>
  </si>
  <si>
    <t>AUTM260773</t>
  </si>
  <si>
    <t>AUTM260774</t>
  </si>
  <si>
    <t>Máy nâng bo tạm thời line D-PTH (Horizontal)</t>
  </si>
  <si>
    <t>AUTM260775</t>
  </si>
  <si>
    <t>Máy nhận bo line D-PTH (Horizontal)</t>
  </si>
  <si>
    <t>AUTM260776</t>
  </si>
  <si>
    <t>D-PTH</t>
  </si>
  <si>
    <t>AUTM260777</t>
  </si>
  <si>
    <t>AUTM260778</t>
  </si>
  <si>
    <t>D-Black hole</t>
  </si>
  <si>
    <t>Máy đưa bo line D-Black hole</t>
  </si>
  <si>
    <t>AUTM260779</t>
  </si>
  <si>
    <t>Băng tải L660mm line D-Black hole</t>
  </si>
  <si>
    <t>AUTM260780</t>
  </si>
  <si>
    <t>Máy nâng bo tạm thời line D-Black hole</t>
  </si>
  <si>
    <t>AUTM260781</t>
  </si>
  <si>
    <t>Máy nhận bo line D-Black hole</t>
  </si>
  <si>
    <t>AUTM260782</t>
  </si>
  <si>
    <t xml:space="preserve">Dimple Plating (Pulse)   </t>
  </si>
  <si>
    <t xml:space="preserve">Máy đưa bo line Dimple Plating (Pulse)   </t>
  </si>
  <si>
    <t>AUTM260783</t>
  </si>
  <si>
    <t xml:space="preserve">Máy nhận bo line Dimple Plating (Pulse)   </t>
  </si>
  <si>
    <t>AUTM260784</t>
  </si>
  <si>
    <t>Dimple Plating #1</t>
  </si>
  <si>
    <t>Máy đưa bo line Dimple Plating #1</t>
  </si>
  <si>
    <t>AUTM260785</t>
  </si>
  <si>
    <t>Máy nhận bo line Dimple Plating #1</t>
  </si>
  <si>
    <t>AUTM260786</t>
  </si>
  <si>
    <t>Dimple Plating #2</t>
  </si>
  <si>
    <t>Máy đưa bo line Dimple Plating #2</t>
  </si>
  <si>
    <t>AUTM260787</t>
  </si>
  <si>
    <t>Máy nhận bo line Dimple Plating #2</t>
  </si>
  <si>
    <t>AUTM260788</t>
  </si>
  <si>
    <t>VF Plating #1</t>
  </si>
  <si>
    <t>Máy đưa bo line VF Plating #1</t>
  </si>
  <si>
    <t>AUTM260789</t>
  </si>
  <si>
    <t>Máy nhận bo line VF Plating #1</t>
  </si>
  <si>
    <t>AUTM260790</t>
  </si>
  <si>
    <t>VF Plating #2</t>
  </si>
  <si>
    <t>Máy đưa bo line VF Plating #2</t>
  </si>
  <si>
    <t>AUTM260791</t>
  </si>
  <si>
    <t>Máy nhận bo line VF Plating #2</t>
  </si>
  <si>
    <t>AUTM260792</t>
  </si>
  <si>
    <t>VF Plating #3</t>
  </si>
  <si>
    <t>Máy đưa bo line VF Plating #3</t>
  </si>
  <si>
    <t>AUTM260793</t>
  </si>
  <si>
    <t>Máy nhận bo line VF Plating #3</t>
  </si>
  <si>
    <t>AUTM260794</t>
  </si>
  <si>
    <t>VF Plating #4</t>
  </si>
  <si>
    <t>Máy đưa bo line VF Plating #4</t>
  </si>
  <si>
    <t>AUTM260795</t>
  </si>
  <si>
    <t>Máy nhận bo line VF Plating #4</t>
  </si>
  <si>
    <t>AUTM260796</t>
  </si>
  <si>
    <t>VF Plating #5</t>
  </si>
  <si>
    <t>Máy đưa bo line VF Plating #5</t>
  </si>
  <si>
    <t>AUTM260797</t>
  </si>
  <si>
    <t>Máy nhận bo line VF Plating #5</t>
  </si>
  <si>
    <t>AUTM260798</t>
  </si>
  <si>
    <t>Hole Plugging</t>
  </si>
  <si>
    <t>Máy đưa bo line Hole Plugging</t>
  </si>
  <si>
    <t>AUTM260799</t>
  </si>
  <si>
    <t>Máy Transfer line Hole Plugging</t>
  </si>
  <si>
    <t>Transfer Machine</t>
  </si>
  <si>
    <t>AUTM260801</t>
  </si>
  <si>
    <t>AUTM260802</t>
  </si>
  <si>
    <t>Máy nhận bo line Hole Plugging</t>
  </si>
  <si>
    <t>AUTM260803</t>
  </si>
  <si>
    <t>PSR pre treatment #1</t>
  </si>
  <si>
    <t>Máy đưa bo line PSR pre treatment #1</t>
  </si>
  <si>
    <t>AUTM260804</t>
  </si>
  <si>
    <t>Băng tải L660mm line PSR pre treatment #1</t>
  </si>
  <si>
    <t>AUTM260805</t>
  </si>
  <si>
    <t>AUTM260806</t>
  </si>
  <si>
    <t>Máy nâng bo tạm thời line PSR pre treatment #1</t>
  </si>
  <si>
    <t>AUTM260807</t>
  </si>
  <si>
    <t>Máy nhận bo line PSR pre treatment #1</t>
  </si>
  <si>
    <t>AUTM260808</t>
  </si>
  <si>
    <t>PSR pre treatment #2</t>
  </si>
  <si>
    <t>Máy đưa bo line PSR pre treatment #2</t>
  </si>
  <si>
    <t>AUTM260809</t>
  </si>
  <si>
    <t>Băng tải L660mm line PSR pre treatment #2</t>
  </si>
  <si>
    <t>AUTM260810</t>
  </si>
  <si>
    <t>AUTM260811</t>
  </si>
  <si>
    <t>Máy nâng bo tạm thời line PSR pre treatment #2</t>
  </si>
  <si>
    <t>AUTM260812</t>
  </si>
  <si>
    <t>Máy nhận bo line PSR pre treatment #2</t>
  </si>
  <si>
    <t>AUTM260813</t>
  </si>
  <si>
    <t>Printing
PSR/Silk - Precure #1</t>
  </si>
  <si>
    <t>Máy đưa bo line Printing PSR/Silk - Precure #1</t>
  </si>
  <si>
    <t>AUTM260814</t>
  </si>
  <si>
    <t>Băng tải L660mm line Printing PSR/Silk - Precure #1</t>
  </si>
  <si>
    <t>AUTM260815</t>
  </si>
  <si>
    <t>Máy Transfer line Printing PSR/Silk - Precure #1</t>
  </si>
  <si>
    <t>AUTM260816</t>
  </si>
  <si>
    <t>AUTM260817</t>
  </si>
  <si>
    <t>AUTM260818</t>
  </si>
  <si>
    <t>AUTM260819</t>
  </si>
  <si>
    <t>Máy nhận bo line Printing PSR/Silk - Precure #1</t>
  </si>
  <si>
    <t>AUTM260820</t>
  </si>
  <si>
    <t>Printing
PSR/Silk - Precure #2</t>
  </si>
  <si>
    <t>Máy đưa bo line Printing PSR/Silk - Precure #2</t>
  </si>
  <si>
    <t>AUTM260821</t>
  </si>
  <si>
    <t>Băng tải L660mm line Printing PSR/Silk - Precure #2</t>
  </si>
  <si>
    <t>AUTM260822</t>
  </si>
  <si>
    <t>Máy Transfer line Printing PSR/Silk - Precure #2</t>
  </si>
  <si>
    <t>AUTM260823</t>
  </si>
  <si>
    <t>AUTM260824</t>
  </si>
  <si>
    <t>AUTM260825</t>
  </si>
  <si>
    <t>AUTM260826</t>
  </si>
  <si>
    <t>Máy nhận bo line Printing PSR/Silk - Precure #2</t>
  </si>
  <si>
    <t>AUTM260827</t>
  </si>
  <si>
    <t>PSR_Expo DI #1</t>
  </si>
  <si>
    <t>Máy đưa bo line PSR_Expo DI #1</t>
  </si>
  <si>
    <t>AUTM260828</t>
  </si>
  <si>
    <t>Băng tải L660mm line PSR_Expo DI #1</t>
  </si>
  <si>
    <t>AUTM260829</t>
  </si>
  <si>
    <t>Máy nâng bo tạm thời line PSR_Expo DI #1</t>
  </si>
  <si>
    <t>AUTM260830</t>
  </si>
  <si>
    <t>AUTM260831</t>
  </si>
  <si>
    <t>Máy nhận bo line PSR_Expo DI #1</t>
  </si>
  <si>
    <t>AUTM260832</t>
  </si>
  <si>
    <t>PSR_Expo DI #2</t>
  </si>
  <si>
    <t>Máy đưa bo line PSR_Expo DI #2</t>
  </si>
  <si>
    <t>AUTM260833</t>
  </si>
  <si>
    <t>Băng tải L660mm line PSR_Expo DI #2</t>
  </si>
  <si>
    <t>AUTM260834</t>
  </si>
  <si>
    <t>Máy nâng bo tạm thời line PSR_Expo DI #2</t>
  </si>
  <si>
    <t>AUTM260835</t>
  </si>
  <si>
    <t>AUTM260836</t>
  </si>
  <si>
    <t>Máy nhận bo line PSR_Expo DI #2</t>
  </si>
  <si>
    <t>AUTM260837</t>
  </si>
  <si>
    <t>PSR_Dev</t>
  </si>
  <si>
    <t>Máy đưa bo line PSR_Dev</t>
  </si>
  <si>
    <t>AUTM260838</t>
  </si>
  <si>
    <t>Băng tải L660mm line PSR_Dev</t>
  </si>
  <si>
    <t>AUTM260839</t>
  </si>
  <si>
    <t>PSR_Post</t>
  </si>
  <si>
    <t>Máy Transfer Dev-&gt;Poscure</t>
  </si>
  <si>
    <t>AUTM260840</t>
  </si>
  <si>
    <t>UV - Jet scrub</t>
  </si>
  <si>
    <t>Máy Transfer Transfer Poscure -&gt;UV</t>
  </si>
  <si>
    <t>AUTM260841</t>
  </si>
  <si>
    <t>Máy nhận bo line UV - Jet scrub</t>
  </si>
  <si>
    <t>AUTM260842</t>
  </si>
  <si>
    <t>Soft etching</t>
  </si>
  <si>
    <t>Máy đưa bo line Soft etching</t>
  </si>
  <si>
    <t>AUTM260843</t>
  </si>
  <si>
    <t>Băng tải L660mm line Soft etching</t>
  </si>
  <si>
    <t>AUTM260844</t>
  </si>
  <si>
    <t>Máy nâng bo tạm thời line Soft etching</t>
  </si>
  <si>
    <t>AUTM260845</t>
  </si>
  <si>
    <t>Máy nhận bo line Soft etching</t>
  </si>
  <si>
    <t>AUTM260846</t>
  </si>
  <si>
    <t>AUTM260847</t>
  </si>
  <si>
    <t>AUTM260848</t>
  </si>
  <si>
    <t>Rinse after ENIG</t>
  </si>
  <si>
    <t>Máy làm mát bo line Rinse after ENIG</t>
  </si>
  <si>
    <t>AUTM260849</t>
  </si>
  <si>
    <t>Máy nhận bo line Rinse after ENIG</t>
  </si>
  <si>
    <t>AUTM260850</t>
  </si>
  <si>
    <t>Rinse (after Router) #1</t>
  </si>
  <si>
    <t>Máy đưa bo line Rinse (after Router) #1</t>
  </si>
  <si>
    <t>AUTM260851</t>
  </si>
  <si>
    <t>Máy nhận bo line Rinse (after Router) #1</t>
  </si>
  <si>
    <t>AUTM260852</t>
  </si>
  <si>
    <t>Rinse (after Router) #2</t>
  </si>
  <si>
    <t>Máy đưa bo line Rinse (after Router) #2</t>
  </si>
  <si>
    <t>AUTM260853</t>
  </si>
  <si>
    <t>Máy nhận bo line Rinse (after Router) #2</t>
  </si>
  <si>
    <t>AUTM260854</t>
  </si>
  <si>
    <t>Máy đưa bo line OSP</t>
  </si>
  <si>
    <t>AUTM260855</t>
  </si>
  <si>
    <t>Máy nhận bo line OSP</t>
  </si>
  <si>
    <t>AUTM260856</t>
  </si>
  <si>
    <t>Final rines (equa pass) #1</t>
  </si>
  <si>
    <t>Máy đưa bo line Final rines (equa pass) #1</t>
  </si>
  <si>
    <t>AUTM260857</t>
  </si>
  <si>
    <t>Máy nhận bo line Final rines (equa pass) #1</t>
  </si>
  <si>
    <t>AUTM260858</t>
  </si>
  <si>
    <t>Final rines (equa pass) #2</t>
  </si>
  <si>
    <t>Máy đưa bo line Final rines (equa pass) #2</t>
  </si>
  <si>
    <t>AUTM260859</t>
  </si>
  <si>
    <t>Máy nhận bo line Final rines (equa pass) #2</t>
  </si>
  <si>
    <t>AUTM2602F2</t>
  </si>
  <si>
    <t>VG146-26060009</t>
  </si>
  <si>
    <t>Máy khắc laser 2D barcode tự động đưa và nhận bo #9</t>
  </si>
  <si>
    <t>Đã đặt PR mua Robot ngày 08/Jun --&gt; Leadtime: 30/Jun
Đặt mua đầu khắc Keyence ngày 08/Jun -&gt; Leadime: 30/Jun</t>
  </si>
  <si>
    <t>AUTM2602F3</t>
  </si>
  <si>
    <t>Máy khắc laser 2D barcode tự động đưa và nhận bo #10</t>
  </si>
  <si>
    <t>AUTM2602F4</t>
  </si>
  <si>
    <t>Máy khắc laser 2D barcode tự động đưa và nhận bo #11</t>
  </si>
  <si>
    <t>AUTM2602F5</t>
  </si>
  <si>
    <t>Máy khắc laser 2D barcode tự động đưa và nhận bo #12</t>
  </si>
  <si>
    <t>AUTM2602F6</t>
  </si>
  <si>
    <t>Máy khắc laser 2D barcode tự động đưa và nhận bo #13</t>
  </si>
  <si>
    <t>AUTM2602F7</t>
  </si>
  <si>
    <t>Máy khắc laser 2D barcode tự động đưa và nhận bo #14</t>
  </si>
  <si>
    <t>AUTM260374</t>
  </si>
  <si>
    <t>Máy làm mát bo mạch (sau chụp sáng)</t>
  </si>
  <si>
    <t>AUTM260375</t>
  </si>
  <si>
    <t>AUTM260376</t>
  </si>
  <si>
    <t>AUTM260377</t>
  </si>
  <si>
    <t>AUTM260378</t>
  </si>
  <si>
    <t>AUTM260379</t>
  </si>
  <si>
    <t>AUTM260380</t>
  </si>
  <si>
    <t>AUTM260381</t>
  </si>
  <si>
    <t>AUTM260382</t>
  </si>
  <si>
    <t>AUTM260383</t>
  </si>
  <si>
    <t>QZ</t>
  </si>
  <si>
    <t>Máy Load-Unload cho Laser ML706GTW6 (Quảng Châu)</t>
  </si>
  <si>
    <t>AUTM260384</t>
  </si>
  <si>
    <t>FE (Flash Etching)</t>
  </si>
  <si>
    <t>1 H rack 
(2 vị trí)</t>
  </si>
  <si>
    <t>Máy đưa bo Line FE mạ đồng 2F</t>
  </si>
  <si>
    <t>AUTM260385</t>
  </si>
  <si>
    <t>Máy nhận bo Line FE mạ đồng 2F</t>
  </si>
  <si>
    <t>AUTM260386</t>
  </si>
  <si>
    <t>Máy Sorting và check 2D code MKHC</t>
  </si>
  <si>
    <t>AUTM260391</t>
  </si>
  <si>
    <t>Máy làm mát bo sau PCI (Chờ AI xử lý) (Dán màng 2-2F)</t>
  </si>
  <si>
    <t>AUTM260392</t>
  </si>
  <si>
    <t>Máy làm mát bo sau PCI (Chờ AI xử lý)</t>
  </si>
  <si>
    <t>AUTM260393</t>
  </si>
  <si>
    <t>Băng tải căn bo gắn với máy nâng bo trước chụp sáng ( phủ mực 4)</t>
  </si>
  <si>
    <t>AUTM260394</t>
  </si>
  <si>
    <t>Băng tải căn bo trước PCI ( phủ mực 5)</t>
  </si>
  <si>
    <t>AUTM260444</t>
  </si>
  <si>
    <t>Block 1, 3F</t>
  </si>
  <si>
    <t>金めっき前処理
Tiền xử lý mạ vàng</t>
  </si>
  <si>
    <t>1100±30㎜</t>
  </si>
  <si>
    <t>Tray
Magazine</t>
  </si>
  <si>
    <t>金めっき前処理 投入機
Máy đưa bo dạng Tray (Magazine) cho line tiền xử lý mạ vàng</t>
  </si>
  <si>
    <t>AUTM260445</t>
  </si>
  <si>
    <t>金めっき前処理 受取機
Máy nhận bo dạng Tray (Magazine) cho line tiền xử lý mạ vàng</t>
  </si>
  <si>
    <t>AUTM260446</t>
  </si>
  <si>
    <t>金めっき後水洗乾燥
Rửa nước sau mạ vàng</t>
  </si>
  <si>
    <t>金めっき後水洗乾燥 投入機
Máy đưa bo dạng Tray (Magazine) cho line rửa nước sấy khô sau mạ vàng</t>
  </si>
  <si>
    <t>AUTM260447</t>
  </si>
  <si>
    <t>金めっき後水洗乾燥 受取機
Máy nhận bo dạng Tray (Magazine) cho line rửa nước sấy khô sau mạ vàng</t>
  </si>
  <si>
    <t>AUTM260448</t>
  </si>
  <si>
    <t>MASK剥離
Bóc màng MASK</t>
  </si>
  <si>
    <t>MASK剥離 投入機
Máy đưa bo dạng Tray (Magazine) cho line bóc màng MASK</t>
  </si>
  <si>
    <t>AUTM260449</t>
  </si>
  <si>
    <t>MASK剥離 受取機
Máy nhận bo dạng Tray (Magazine) cho line  bóc màng MASK</t>
  </si>
  <si>
    <t>AUTM260450</t>
  </si>
  <si>
    <t>DPTH投入機
Máy đưa bo line DPTH</t>
  </si>
  <si>
    <t>AUTM260451</t>
  </si>
  <si>
    <t>DPTH受取機
Máy nhận bo line DPTH</t>
  </si>
  <si>
    <t>AUTM260452</t>
  </si>
  <si>
    <t xml:space="preserve">Fact.4 2F </t>
  </si>
  <si>
    <t>Băng tải cho DFR #2 TMT 2F Fact 4.</t>
  </si>
  <si>
    <t>Conveyor</t>
  </si>
  <si>
    <t>Số PR: FE-260410-01</t>
  </si>
  <si>
    <t>AUTM260453</t>
  </si>
  <si>
    <t>AUTM260550</t>
  </si>
  <si>
    <t>20260612-001546-F800</t>
  </si>
  <si>
    <t>Line Mài 12 trục
12軸研磨機</t>
  </si>
  <si>
    <t>330x610
t0.4~3.6</t>
  </si>
  <si>
    <t>724x618
t0.4~3.6</t>
  </si>
  <si>
    <t>12軸研磨機の投入機
Máy đưa bo line mài 12 trục</t>
  </si>
  <si>
    <t>Option 3: Robot 25kg, Tool robot tự động điều chỉnh và pad Convum
PR mua Robot ngày 17/6/2026</t>
  </si>
  <si>
    <t>AUTM260551</t>
  </si>
  <si>
    <t>12軸研磨機の受取機
Máy nhận bo line mài 12 trục</t>
  </si>
  <si>
    <t>AUTM260552</t>
  </si>
  <si>
    <t xml:space="preserve">水平デスミア　＃3 </t>
  </si>
  <si>
    <t>AUTM260553</t>
  </si>
  <si>
    <t>Router</t>
  </si>
  <si>
    <t>Máy phân biệt bo OK-NG sau router MKHC</t>
  </si>
  <si>
    <t>AUTM260554</t>
  </si>
  <si>
    <t>Etest</t>
  </si>
  <si>
    <t>Máy phân biệt bo OK-NG sau Etest MKHC</t>
  </si>
  <si>
    <t>AUTM260555</t>
  </si>
  <si>
    <t>FE-260508-06</t>
  </si>
  <si>
    <t>Phủ mực</t>
  </si>
  <si>
    <t>Băng tải chụp sáng sau phủ mực 4, L250mm (Con lăn từ)</t>
  </si>
  <si>
    <t>AUTM260556</t>
  </si>
  <si>
    <t>Băng tải chụp sáng sau phủ mực 5, L250mm (Con lăn từ)</t>
  </si>
  <si>
    <t>AUTM260557</t>
  </si>
  <si>
    <t>FE-260508-07</t>
  </si>
  <si>
    <t>Dán màng đôi 2F</t>
  </si>
  <si>
    <t>Máy nâng bo FIFO sau dán màng cho dây chuyển dán màng đôi 2F</t>
  </si>
  <si>
    <t>AUTM260558</t>
  </si>
  <si>
    <t>AUTM260559</t>
  </si>
  <si>
    <t>FE-260508-08</t>
  </si>
  <si>
    <t>Máy nâng bo FIFO trước dán màng cho dây chuyển dán màng đôi 2F</t>
  </si>
  <si>
    <t>AUTM260560</t>
  </si>
  <si>
    <t>AUTM260561</t>
  </si>
  <si>
    <t>FE-260508-09</t>
  </si>
  <si>
    <t>Dán màng đôi 4F</t>
  </si>
  <si>
    <t>Máy nâng bo FIFO trước dán màng cho dây chuyển dán màng đôi 4F</t>
  </si>
  <si>
    <t>AUTM260562</t>
  </si>
  <si>
    <t>AUTM260563</t>
  </si>
  <si>
    <t>FE-260508-10</t>
  </si>
  <si>
    <t>Máy nâng bo FIFO sau dán màng cho dây chuyển dán màng đôi 4F</t>
  </si>
  <si>
    <t>AUTM260564</t>
  </si>
  <si>
    <t>AUTM260565</t>
  </si>
  <si>
    <t>FE-260508-11</t>
  </si>
  <si>
    <t>Băng tải căn bo trước dán màng và trước chụp sáng TMT 2F_Line dán màng đôi</t>
  </si>
  <si>
    <t>AUTM260566</t>
  </si>
  <si>
    <t>AUTM260567</t>
  </si>
  <si>
    <t>FE-260508-12</t>
  </si>
  <si>
    <t>Băng tải căn bo trước dán màng và trước chụp sáng TMN 4F_Line dán màng đôi</t>
  </si>
  <si>
    <t>AUTM260568</t>
  </si>
  <si>
    <t>AUTM260569</t>
  </si>
  <si>
    <t>FE-260508-13</t>
  </si>
  <si>
    <t>Máy làm mát sau dán màng đôi TMN 4F</t>
  </si>
  <si>
    <t>AUTM260570</t>
  </si>
  <si>
    <t>AUTM260571</t>
  </si>
  <si>
    <t>FE-260508-14</t>
  </si>
  <si>
    <t>Máy làm mát sau dán màng đôi TMT 2F</t>
  </si>
  <si>
    <t>AUTM260572</t>
  </si>
  <si>
    <t>AUTM260573</t>
  </si>
  <si>
    <t>FE-260508-15</t>
  </si>
  <si>
    <t>Máy nâng bo phân biệt bo OK-NG TMT 2F (Line dán màng đôi)</t>
  </si>
  <si>
    <t>AUTM260574</t>
  </si>
  <si>
    <t>AUTM260575</t>
  </si>
  <si>
    <t>FE-260508-18</t>
  </si>
  <si>
    <t>Máy nâng bo phân biệt bo OK-NG TMN 4F (Line dán màng đôi)</t>
  </si>
  <si>
    <t>AUTM260576</t>
  </si>
  <si>
    <t>AUTM260577</t>
  </si>
  <si>
    <t>FE-260519-02</t>
  </si>
  <si>
    <t>In sơn lấp lỗ #2</t>
  </si>
  <si>
    <t>Máy căn bo, xoay bo line In sơn lấp lỗ #2</t>
  </si>
  <si>
    <t>AUTM260578</t>
  </si>
  <si>
    <t>FE-260519-03</t>
  </si>
  <si>
    <t>AUTM260579</t>
  </si>
  <si>
    <t>IE-260513-01</t>
  </si>
  <si>
    <t>Load vs Unload for Laser Mitsubishi_ML605GTW6 (Có chế độ Flip &amp; load ngược từ ULD)</t>
  </si>
  <si>
    <t>AUTM260580</t>
  </si>
  <si>
    <t>Load vs Unload for Laser Mitsubishi_ML605GTW6  (Có chế độ Flip &amp; load ngược từ ULD)</t>
  </si>
  <si>
    <t>AUTM260581</t>
  </si>
  <si>
    <t>AUTM260582</t>
  </si>
  <si>
    <t>FE-260519-04</t>
  </si>
  <si>
    <t>DFR #3</t>
  </si>
  <si>
    <t>Khử tĩnh điện: CABX Electrostatic (SSD) Japan
PLC, Biến tần: Mitsubishi, Khí: SMC
Sale báo cancel ngày 16/Jun/2026</t>
  </si>
  <si>
    <t>AUTM260583</t>
  </si>
  <si>
    <t>FE-260519-05</t>
  </si>
  <si>
    <t>Máy nhận bo line TXL tạo mạch ngoài DFR#3</t>
  </si>
  <si>
    <t>AUTM260584</t>
  </si>
  <si>
    <t>AUTM260585</t>
  </si>
  <si>
    <t>表加
Surface Finish</t>
  </si>
  <si>
    <t>薄銅
Thin Copper</t>
  </si>
  <si>
    <t>AUTM260586</t>
  </si>
  <si>
    <t>AUTM260587</t>
  </si>
  <si>
    <t>文字印刷
Legend Printing</t>
  </si>
  <si>
    <t>AUTM260588</t>
  </si>
  <si>
    <t>AUTM260589</t>
  </si>
  <si>
    <t>AUTM260590</t>
  </si>
  <si>
    <t xml:space="preserve">成型
Routing </t>
  </si>
  <si>
    <t>後處理
Post-Processing</t>
  </si>
  <si>
    <t>177x177
(7x7 In)</t>
  </si>
  <si>
    <t>460x660
(18x26 In)</t>
  </si>
  <si>
    <t>小板件放板機
Small Panel Loader</t>
  </si>
  <si>
    <t>AUTM260591</t>
  </si>
  <si>
    <t>蜘蛛手臂收板機
Delta Robot Unloader</t>
  </si>
  <si>
    <t>AUTM260592</t>
  </si>
  <si>
    <t>AUTM260593</t>
  </si>
  <si>
    <t>AUTM260594</t>
  </si>
  <si>
    <t>Phase 1-2</t>
  </si>
  <si>
    <t>AUTM260595</t>
  </si>
  <si>
    <t>AUTM260596</t>
  </si>
  <si>
    <t>AUTM260597</t>
  </si>
  <si>
    <t>AUTM260598</t>
  </si>
  <si>
    <t>AUTM260599</t>
  </si>
  <si>
    <t>AUTM2605A1</t>
  </si>
  <si>
    <t>AUTM2605A2</t>
  </si>
  <si>
    <t>AUTM2605A3</t>
  </si>
  <si>
    <t>AUTM2605A4</t>
  </si>
  <si>
    <t>AUTM2605A5</t>
  </si>
  <si>
    <t>AUTM2605A6</t>
  </si>
  <si>
    <t>AUTM2605A7</t>
  </si>
  <si>
    <t>AUTM2605A8</t>
  </si>
  <si>
    <t>AUTM2605A9</t>
  </si>
  <si>
    <t>Phase 1-3</t>
  </si>
  <si>
    <t>AUTM2605B1</t>
  </si>
  <si>
    <t>AUTM2605B2</t>
  </si>
  <si>
    <t>AUTM2605B3</t>
  </si>
  <si>
    <t>Tri Cart LD</t>
  </si>
  <si>
    <t>AUTM2605B4</t>
  </si>
  <si>
    <t>AUTM2605B5</t>
  </si>
  <si>
    <t>Tri Cart UL</t>
  </si>
  <si>
    <t>AUTM2605C1</t>
  </si>
  <si>
    <t>FE-260526-16</t>
  </si>
  <si>
    <t>Rửa nước NC #2</t>
  </si>
  <si>
    <t>Máy nâng bo tạm thời line rửa nước sau NC #2</t>
  </si>
  <si>
    <t>AUTM2605C2</t>
  </si>
  <si>
    <t>FE-260526-17</t>
  </si>
  <si>
    <t>Băng tải thường line rửa nước sau NC #2</t>
  </si>
  <si>
    <t>AUTM2605C3</t>
  </si>
  <si>
    <t>FE-260508-16</t>
  </si>
  <si>
    <t>510x403
t0.04~3.2</t>
  </si>
  <si>
    <t>Băng tải chữ U cho line dán màng trong 2F</t>
  </si>
  <si>
    <t>AUTM2605C4</t>
  </si>
  <si>
    <t>AUTM2605C5</t>
  </si>
  <si>
    <t>FE-260508-17</t>
  </si>
  <si>
    <t>510x403
t0.04~5.0</t>
  </si>
  <si>
    <t>Băng tải chữ U cho line dán màng đôi lớp ngoài 4F</t>
  </si>
  <si>
    <t>AUTM2605C6</t>
  </si>
  <si>
    <t>AUTM2606A1</t>
  </si>
  <si>
    <t xml:space="preserve">Fact.3 </t>
  </si>
  <si>
    <t xml:space="preserve">Fact.3 2F
Ép lớp </t>
  </si>
  <si>
    <t>Cắt viền
外周加工</t>
  </si>
  <si>
    <t>510x410
t0.03~3.0</t>
  </si>
  <si>
    <t>510x610
t0.03~3.0</t>
  </si>
  <si>
    <t>Xe PKG</t>
  </si>
  <si>
    <t>Set máy đầu vào (máy đầu vào, làm mát, máy căn chỉnh)</t>
  </si>
  <si>
    <t>Cooling system</t>
  </si>
  <si>
    <t>CABX Electrostatic ltd (SSD) Nhật Bản
(có kèm lọc bụi,nước,dầu)</t>
  </si>
  <si>
    <t>AUTM2606A2</t>
  </si>
  <si>
    <t>Máy nâng bo tạm thời PKG</t>
  </si>
  <si>
    <t>Hanger Stock PKG</t>
  </si>
  <si>
    <t>AUTM2606A3</t>
  </si>
  <si>
    <t>Máy nhận bo PKG line cắt viền</t>
  </si>
  <si>
    <t>AUTM2606A4</t>
  </si>
  <si>
    <t>Máy đưa bo line tiền xử lý CZ PKG</t>
  </si>
  <si>
    <t>AUTM2606A5</t>
  </si>
  <si>
    <t>Máy nhận bo line tiền xử lý CZ PKG</t>
  </si>
  <si>
    <t>AUTM2606A6</t>
  </si>
  <si>
    <t>Stripping
Bóc màng</t>
  </si>
  <si>
    <t>Máy đưa bo line bóc màng PKG</t>
  </si>
  <si>
    <t>AUTM2606A7</t>
  </si>
  <si>
    <t>Máy nâng bo tạm thời line bóc màng PKG</t>
  </si>
  <si>
    <t>AUTM2606A8</t>
  </si>
  <si>
    <t>Máy nhận bo line bóc màng PKG</t>
  </si>
  <si>
    <t>AUTM260901</t>
  </si>
  <si>
    <t>SALE chốt 9/Jun/2026
Họp kinh doanh</t>
  </si>
  <si>
    <t>FE-260602-05</t>
  </si>
  <si>
    <t>Ép lớp
Tiền xử lý #7</t>
  </si>
  <si>
    <t>500x400
t0.05~4.0</t>
  </si>
  <si>
    <t>724x624
t0.05~4.0</t>
  </si>
  <si>
    <t>Máy đưa bo line tiền xử lý #7 ép lớp</t>
  </si>
  <si>
    <t>AUTM260902</t>
  </si>
  <si>
    <t>Băng tải thường L700mm line tiền xử lý #7 ép lớp</t>
  </si>
  <si>
    <t>AUTM260903</t>
  </si>
  <si>
    <t>Ép lớp
Tiền xử lý độ nhám thấp</t>
  </si>
  <si>
    <t>500x400
t0.1~5.0</t>
  </si>
  <si>
    <t>724x624
t0.1~5.0</t>
  </si>
  <si>
    <t>Máy đưa bo line Tiền xử lý độ nhám thấp</t>
  </si>
  <si>
    <t>AUTM260904</t>
  </si>
  <si>
    <t>Băng tải thường L700mm line Tiền xử lý độ nhám thấp</t>
  </si>
  <si>
    <t>AUTM260905</t>
  </si>
  <si>
    <t>FE-260529-09</t>
  </si>
  <si>
    <t>390x390
t0.8~5.0</t>
  </si>
  <si>
    <t>724x624
t0.8~5.0</t>
  </si>
  <si>
    <t>Máy đưa bo line mạ xung #1 (đối ứng BW)</t>
  </si>
  <si>
    <t>PR mua Robot ngày 17/6/2026</t>
  </si>
  <si>
    <t>AUTM260906</t>
  </si>
  <si>
    <t>Máy nhận bo line mạ xung #1 (đối ứng BW)</t>
  </si>
  <si>
    <t>AUTM260907</t>
  </si>
  <si>
    <t>Mạ xung #2</t>
  </si>
  <si>
    <t>Máy đưa bo line mạ xung #2 (đối ứng BW)</t>
  </si>
  <si>
    <t>AUTM260908</t>
  </si>
  <si>
    <t>Máy nhận bo line mạ xung #2 (đối ứng BW)</t>
  </si>
  <si>
    <t>AUTM260909</t>
  </si>
  <si>
    <t>FE-260529-11</t>
  </si>
  <si>
    <t>Tạo mạch trong
DFR #3</t>
  </si>
  <si>
    <t>1200-0/+40</t>
  </si>
  <si>
    <t>Trái- phải</t>
  </si>
  <si>
    <t>AUTM260910</t>
  </si>
  <si>
    <t>1000-0/+40</t>
  </si>
  <si>
    <t>AUTM260911</t>
  </si>
  <si>
    <t>AUTM260912</t>
  </si>
  <si>
    <t>AUTM260913</t>
  </si>
  <si>
    <t>AUTM260914</t>
  </si>
  <si>
    <t>AUTM260915</t>
  </si>
  <si>
    <t>AUTM260916</t>
  </si>
  <si>
    <t>Băng tải căn bo trước chụp sáng L650mm</t>
  </si>
  <si>
    <t>AUTM260917</t>
  </si>
  <si>
    <t>Máy nâng bo phân biệt bo OK-NG TMT 2F (sau chụp sáng DI)</t>
  </si>
  <si>
    <t>AUTM260918</t>
  </si>
  <si>
    <t>1 V rack</t>
  </si>
  <si>
    <t>Máy nhận bo line TXL tạo mạch trong DFR#3</t>
  </si>
  <si>
    <t>AUTM260919</t>
  </si>
  <si>
    <t>Tạo mạch trong
DES - AOI</t>
  </si>
  <si>
    <t>Máy đưa bo line DES-AOI tạo mạch trong</t>
  </si>
  <si>
    <t>AUTM260920</t>
  </si>
  <si>
    <t>AUTM260921</t>
  </si>
  <si>
    <t>AUTM260922</t>
  </si>
  <si>
    <t>AUTM260923</t>
  </si>
  <si>
    <t>Băng tải căn bo trước AOI L650mm</t>
  </si>
  <si>
    <t>AUTM260924</t>
  </si>
  <si>
    <t>Máy làm mát bo mạch sau AOI (chờ AI xử lý)</t>
  </si>
  <si>
    <t>AUTM260925</t>
  </si>
  <si>
    <t>3 V rack</t>
  </si>
  <si>
    <t>Máy nhận bo line DES (2 xe OK, 1 xe NG)</t>
  </si>
  <si>
    <t>AUTM260926</t>
  </si>
  <si>
    <t>Tạo mạch ngoài
DFR #3</t>
  </si>
  <si>
    <t>500x400
t0.5~8.0</t>
  </si>
  <si>
    <t>724x624
t0.5~8.0</t>
  </si>
  <si>
    <t>Máy đưa bo line TXL tạo mạch ngoài DFR#3</t>
  </si>
  <si>
    <t>AUTM260927</t>
  </si>
  <si>
    <t>AUTM260928</t>
  </si>
  <si>
    <t>AUTM260929</t>
  </si>
  <si>
    <t>AUTM260930</t>
  </si>
  <si>
    <t>AUTM260931</t>
  </si>
  <si>
    <t>AUTM260932</t>
  </si>
  <si>
    <t>AUTM260933</t>
  </si>
  <si>
    <t>AUTM260934</t>
  </si>
  <si>
    <t>Máy nâng bo phân biệt bo OK-NG Tạo mạch ngoài (sau chụp sáng DI)</t>
  </si>
  <si>
    <t>AUTM260935</t>
  </si>
  <si>
    <t>AUTM260936</t>
  </si>
  <si>
    <t>Tạo mạch ngoài
DES ~AOI</t>
  </si>
  <si>
    <t xml:space="preserve">Máy đưa bo line DES tạo mạch ngoài </t>
  </si>
  <si>
    <t>AUTM260937</t>
  </si>
  <si>
    <t>AUTM260938</t>
  </si>
  <si>
    <t>AUTM260939</t>
  </si>
  <si>
    <t>AUTM260940</t>
  </si>
  <si>
    <t>AUTM260941</t>
  </si>
  <si>
    <t>AUTM260942</t>
  </si>
  <si>
    <t xml:space="preserve">Máy nhận bo line DES tạo mạch ngoài </t>
  </si>
  <si>
    <t>AUTM260943</t>
  </si>
  <si>
    <t>金メッキ後処理</t>
  </si>
  <si>
    <t>AUTM260944</t>
  </si>
  <si>
    <t>シルク印刻</t>
  </si>
  <si>
    <t>AUTM260945</t>
  </si>
  <si>
    <t>AUTM260946</t>
  </si>
  <si>
    <t>AUTM2605C7</t>
  </si>
  <si>
    <t>Băng tải thường L1083mm, line dán màng đôi TMT 2F</t>
  </si>
  <si>
    <t>AUTM2605C8</t>
  </si>
  <si>
    <t>AUTM2605C9</t>
  </si>
  <si>
    <t>Băng tải thường L1083mm, line dán màng đôi TMN 2F</t>
  </si>
  <si>
    <t>Mã dự án</t>
  </si>
  <si>
    <t>Lâm</t>
  </si>
  <si>
    <t>V.Tuấn</t>
  </si>
  <si>
    <t>Thành Ngô</t>
  </si>
  <si>
    <t>Chiến</t>
  </si>
  <si>
    <t>Thành Nghiêm</t>
  </si>
  <si>
    <t>Luyện</t>
  </si>
  <si>
    <t>Sáng</t>
  </si>
  <si>
    <t>Mạnh</t>
  </si>
  <si>
    <t>Cột</t>
  </si>
  <si>
    <t>Oanh</t>
  </si>
  <si>
    <t>M. Thành</t>
  </si>
  <si>
    <t>Hữu Huy</t>
  </si>
  <si>
    <t>Phương Nam</t>
  </si>
  <si>
    <t>V.Luyện</t>
  </si>
  <si>
    <t>V.Phú</t>
  </si>
  <si>
    <t>X.Phúc</t>
  </si>
  <si>
    <t>Hoàng Tiên</t>
  </si>
  <si>
    <t>D.Anh</t>
  </si>
  <si>
    <t>Thanh Quang</t>
  </si>
  <si>
    <t>T.Tùng</t>
  </si>
  <si>
    <t>Văn Bắc</t>
  </si>
  <si>
    <t>Q.Hữu</t>
  </si>
  <si>
    <t>積層後外周加工 マガジンラックの投入機
Máy đưa bo Magazine rack line Cắt viền sau ép lớp</t>
  </si>
  <si>
    <t>Magazine rack
Plasma</t>
  </si>
  <si>
    <t>Magazine rack
Robot</t>
  </si>
  <si>
    <t>二次コード加工 マガジンラックの投入機
Máy đưa bo Magazine rack line 2D code maker</t>
  </si>
  <si>
    <t>二次コード加工  マガジンラックの受取機
Máy nhận bo Magazine rack line 2D code maker</t>
  </si>
  <si>
    <t>Load sheet</t>
  </si>
  <si>
    <t>Unload sheet</t>
  </si>
  <si>
    <t>MEC2502034</t>
  </si>
  <si>
    <t>Tên</t>
  </si>
  <si>
    <t>M2</t>
  </si>
  <si>
    <t>Phụ trách</t>
  </si>
  <si>
    <t>Xuất máy</t>
  </si>
  <si>
    <t>Alligment Conveyor</t>
  </si>
  <si>
    <t>Bounup + Alligment CV</t>
  </si>
  <si>
    <t>TYPE 10</t>
  </si>
  <si>
    <t>TYPE 3</t>
  </si>
  <si>
    <t>TYPE 4</t>
  </si>
  <si>
    <t>HỌP PHÒNG THIẾT KẾ</t>
  </si>
  <si>
    <t xml:space="preserve">Tổng hợp các dạng máy </t>
  </si>
  <si>
    <t>Fact.</t>
  </si>
  <si>
    <t>Dạng máy</t>
  </si>
  <si>
    <t>Yêu cầu máy</t>
  </si>
  <si>
    <t xml:space="preserve"> Hoàn thành TK</t>
  </si>
  <si>
    <t>Tiến độ</t>
  </si>
  <si>
    <t>TK Cơ</t>
  </si>
  <si>
    <t>TK Điện</t>
  </si>
  <si>
    <t>Kế hoạch 
(Cơ)</t>
  </si>
  <si>
    <t>Kế hoạch (Điện)</t>
  </si>
  <si>
    <t>Thực tế 
(Cơ)</t>
  </si>
  <si>
    <t>Thực tế 
(Điện)</t>
  </si>
  <si>
    <t>Hanger FIFO</t>
  </si>
  <si>
    <t>Băng tải thường</t>
  </si>
  <si>
    <t>MKAC lắp</t>
  </si>
  <si>
    <t xml:space="preserve">Băng tải thường </t>
  </si>
  <si>
    <t>Đã phát hành mua hàng, lắp ráp xong Feb-2025</t>
  </si>
  <si>
    <t>Đã phát hành mua hàng,</t>
  </si>
  <si>
    <t xml:space="preserve">Cooling system </t>
  </si>
  <si>
    <t>Giống Fact.3</t>
  </si>
  <si>
    <t>Đã phát hành mua hàng, lắp tháng 3/2025</t>
  </si>
  <si>
    <t>Flip &amp; Cooling (2kg)</t>
  </si>
  <si>
    <t>Flip &amp; Cooling (4kg)</t>
  </si>
  <si>
    <t>Flip &amp; Cooling (2kg) _ Air conditioner</t>
  </si>
  <si>
    <t>Phát hành PR mua hàng 
Còn điều hòa chưa. Đã chọn được mã điều hòa.</t>
  </si>
  <si>
    <t>Đang lắp máy
Phần điều hòa sau này thi công sau.</t>
  </si>
  <si>
    <t>Hanger Stock (2kg)</t>
  </si>
  <si>
    <t>Hanger Stock (4kg)</t>
  </si>
  <si>
    <t>Giống MKHC</t>
  </si>
  <si>
    <t>Laser Mitsubishi ML605 GTW6</t>
  </si>
  <si>
    <t>Đã phát hành mua hàng, lắp tháng 2~3/2025</t>
  </si>
  <si>
    <t>L rack (LD) 
(trước đã làm cho bo to)</t>
  </si>
  <si>
    <t>Phòng sạch, bo 4kg</t>
  </si>
  <si>
    <t>Xác nhận lại Trọng Tuấn
MEC2309024 --&gt; đổi bo 4kg, kết nối hệ thống đọc Barcode
Vị trí Barcode và chiều Barcode?</t>
  </si>
  <si>
    <t>Tìm lại dữ liệu 3D cũ (giữ được nhiều nhất thiết kế có thể)
Bo công đoạn cuối --&gt; cứng và dày
Giữ nguyên băng tải cũ không cần thay đổi
Cần đối ứng bo 4kg
Cycletime 9.5s --&gt; dùng sensor đo double sheet dạng không tiếp xúc (Omron panasonic)
Passline 900? Or 950? --&gt; xác nhận lại với Mr. Dương PE</t>
  </si>
  <si>
    <t>L rack (ULD)</t>
  </si>
  <si>
    <t>Tìm lại dữ liệu 3D</t>
  </si>
  <si>
    <r>
      <t xml:space="preserve">Tìm lại dữ liệu 3D cũ
Bo công đoạn cuối --&gt; cứng và dày
Giữ nguyên băng tải cũ không cần thay đổi
Cần đối ứng bo 4kg
</t>
    </r>
    <r>
      <rPr>
        <sz val="12"/>
        <color rgb="FFFF0000"/>
        <rFont val="Times New Roman"/>
        <family val="1"/>
      </rPr>
      <t>Passline 900? Or 950? --&gt; xác nhận lại với Mr. Dương PE
Chú ý: dùng xi lanh lật trước đay bị lỗi bo bị văng --&gt; mật an toàn</t>
    </r>
  </si>
  <si>
    <t>Patapata (LD)</t>
  </si>
  <si>
    <t>Patapata (ULD)</t>
  </si>
  <si>
    <t>Racking LD (Tiền xử lý Laser)</t>
  </si>
  <si>
    <t>Chưa chốt làm --&gt; Đợi. Ưu tiên dự án khác trước</t>
  </si>
  <si>
    <t>Keep</t>
  </si>
  <si>
    <t>Racking ULD (Tiền xử lý Laser)</t>
  </si>
  <si>
    <t>Băng tải lật bo (A--&gt; B)</t>
  </si>
  <si>
    <t>Belt --&gt; roller</t>
  </si>
  <si>
    <t>Thiết kế hoàn thành 40%.
Kế hoạch: Mar-21 xong 3D --&gt; 2D: Mar-?
--&gt; Huy lập kế hoạch thự hiện?</t>
  </si>
  <si>
    <t>Apr-29
Đang sửa BOMLIST --&gt; trong buổi sáng (10h30) đưa Mr. Thành Nghiêm check.
(MEC2412037, 038)</t>
  </si>
  <si>
    <t>Sheet LD (máy đưa bo nhiều hàng)</t>
  </si>
  <si>
    <t>Đang keep lại --&gt; làm Sheet ULD và LD TENDOU trước</t>
  </si>
  <si>
    <t>Chưa chốt concept máy
Chờ phía MKVC xem máy TENDOU trước</t>
  </si>
  <si>
    <t>Sheet ULD (máy nhận bo nhiều hàng)</t>
  </si>
  <si>
    <t>Giống Fact.2, băng tải Belt</t>
  </si>
  <si>
    <t>Xác nhận lại Trọng Tuấn
Bo 4kg xác nhận lại đầy băng tải có nâng được không</t>
  </si>
  <si>
    <t>Đặt ngoài gia công và lắp đặt
MKAC gửi dữ liệu 3D cho PU.
Sảnh MKAC tồn 1 máy --&gt; Liên lạc SALE và GDO chuyển Fact.4 có OK không?</t>
  </si>
  <si>
    <t>Fact.2 + tool 4kg, băng tải bo mỏng</t>
  </si>
  <si>
    <t>Đã phát hành hàng điện,</t>
  </si>
  <si>
    <t>Phòng thường:
Bản vẽ cụm khung FR: Mar-12 xong
LU: Mar-12 xong
Mar-13 : Mr. Thành Nghiêm check
Phòng sạch; 
Đổi vật liệu: --&gt; bản vẽ hoàn thành Mar-14 
Thiết kế điện:
Mar-14 Bản vẽ điện
PLC &amp; HMI: Mar-30</t>
  </si>
  <si>
    <t xml:space="preserve">Phát hành PR đang thuê lắp ráp.
Lô 4set (phòng sạch) đang mua hang --&gt; Phát hành PR thuê lắp
</t>
  </si>
  <si>
    <t>Đã phát hành hàng điện</t>
  </si>
  <si>
    <t>Phú &amp; Trường gửi lại kế hoạch: Mar-14</t>
  </si>
  <si>
    <t>5 máy
Đặt hàng TBTC --&gt; OK
2D: 
Bản vẽ các cụm chuyển Trường check
Còn khung (2 set) --&gt; đang làm --&gt; Apr-29 chuyển Trường
--&gt; May-05 --&gt; Mr. Thành Nghiêm check
May-06 --&gt; phát hành PR sang PU</t>
  </si>
  <si>
    <t>TYPE 9 (LD)</t>
  </si>
  <si>
    <t>New (2 Vrack + QL)</t>
  </si>
  <si>
    <t>Mr. Tiến đang lên tổng thể máy --&gt; Mar-18 DR
Apr-24: Hoàn thiện thiết kế 3D</t>
  </si>
  <si>
    <r>
      <t xml:space="preserve">Giống line mạ xung Fact.2 2F
Bốc băng tải TYPE 4 sang dùng để đồng tốc với Line.
Dự kiến dùng Robot NACHI 15kg
</t>
    </r>
    <r>
      <rPr>
        <sz val="12"/>
        <color rgb="FFFF0000"/>
        <rFont val="Times New Roman"/>
        <family val="1"/>
      </rPr>
      <t xml:space="preserve">Dùng lại thiết kế máy Double cart Fact.3 1F (line mạ VCP#5,6) --&gt; Thành Ngô làm 
Tool kẹp: kẹp đáy xe và cạnh trên (cho điều chỉnh) --&gt; Máy Loading
Tool ULD lấy từ máy LD TYPE 3
</t>
    </r>
  </si>
  <si>
    <t>TYPE 9 (ULD)</t>
  </si>
  <si>
    <r>
      <t xml:space="preserve">Giống line mạ xung Fact.2 2F
Bốc băng tải TYPE 4 sang dùng để đồng tốc với Line.
Dự kiến dùng Robot NACHI 15kg
</t>
    </r>
    <r>
      <rPr>
        <sz val="12"/>
        <color rgb="FFFF0000"/>
        <rFont val="Times New Roman"/>
        <family val="1"/>
      </rPr>
      <t xml:space="preserve">Dùng lại thiết kế máy Double cart Fact.3 1F (line mạ VCP#5,6) --&gt; Thành Ngô làm </t>
    </r>
  </si>
  <si>
    <t>TYPE 9+</t>
  </si>
  <si>
    <t>New (2 Vrack + QL+ khắc Laser)</t>
  </si>
  <si>
    <t>Sửa từ TYPE 9 kéo dài băng tải và lắp thêm cụm khắc Laser</t>
  </si>
  <si>
    <t>New (4 Vrack + QL)</t>
  </si>
  <si>
    <t>Đang xử lý xuất bản vẽ Laser Hòa Bình
--&gt; Lùi lại phía sau.
Mar-18 gửi lại kế hoạch</t>
  </si>
  <si>
    <t>Đẩy ra ngoài thiết kế và sản xuất máy</t>
  </si>
  <si>
    <t>Máy chuyển bo Cắt viền --&gt; X ray</t>
  </si>
  <si>
    <t>Dùng Robot 6 trục</t>
  </si>
  <si>
    <t>Đang xử lý MEC2409028 Cooling system ngược  hướng
--&gt; Xử lý sau</t>
  </si>
  <si>
    <t>Khả năng dùng Robot Kawasaki cao
RS013N</t>
  </si>
  <si>
    <t>Hệ thống băng tải xếp lớp -&gt; Máy ép</t>
  </si>
  <si>
    <t>Đã gửi mail thông tin ngày 28/Feb</t>
  </si>
  <si>
    <t>Xác nhận lại kế hoạch Trọng Tuấn?</t>
  </si>
  <si>
    <t>Laser Mitsu ML605 GTW6</t>
  </si>
  <si>
    <t>Feb-25 phát hành hàng tiêu chuẩn cơ</t>
  </si>
  <si>
    <t>3D: 4 khung và 17 cụm xong 3D
2D: 8/17 cụm
Khung: chưa xuất bản vẽ
--&gt; Mar- 20 xong gửi Mr. Thành Nghiêm check</t>
  </si>
  <si>
    <r>
      <t xml:space="preserve">Chờ linh kiện về lắp.
Dự kiến có 55 máy tiếp theo.
</t>
    </r>
    <r>
      <rPr>
        <sz val="12"/>
        <color rgb="FFFF0000"/>
        <rFont val="Times New Roman"/>
        <family val="1"/>
      </rPr>
      <t>Suy nghĩ dùng lại động cơ DKM 400W từ máy Magazine</t>
    </r>
  </si>
  <si>
    <t>Sheet Loading (đưa bo nhiều hàng)</t>
  </si>
  <si>
    <t>Tham khảo MEC2005035</t>
  </si>
  <si>
    <t>Đang keep</t>
  </si>
  <si>
    <t>Đang đặt hàng bên SPD, chưa có thông tin</t>
  </si>
  <si>
    <t>Sheet Unloading (nhận bo nhiều hàng)</t>
  </si>
  <si>
    <t>Đưa bo cho AOI</t>
  </si>
  <si>
    <r>
      <t xml:space="preserve">Đang keep
</t>
    </r>
    <r>
      <rPr>
        <sz val="12"/>
        <color rgb="FFFF0000"/>
        <rFont val="Times New Roman"/>
        <family val="1"/>
      </rPr>
      <t>Xác nhận chế độ hoạt động lật mặt đặt vào cùng máy hay sang máy khách check</t>
    </r>
  </si>
  <si>
    <t>Chạy phương án check từng mặt một theo các máy khác nhau.</t>
  </si>
  <si>
    <t>Nhận bo cho AOI</t>
  </si>
  <si>
    <t>Magazine Rack LD</t>
  </si>
  <si>
    <t>Đã phát hành hàng TC 1 máy</t>
  </si>
  <si>
    <r>
      <t xml:space="preserve">Đã dặt hàng cho 1 máy
Còn tủ điện (update gờ chắn nước cửa tủ)
Điện:
</t>
    </r>
    <r>
      <rPr>
        <sz val="12"/>
        <color rgb="FFFF0000"/>
        <rFont val="Times New Roman"/>
        <family val="1"/>
      </rPr>
      <t>Check Layout nhà máy để đặt các máy Ok kích thước hiện tại
Các máy cần thay đổi --&gt; thiết kế riêng</t>
    </r>
  </si>
  <si>
    <t xml:space="preserve">Máy Loading:
Máy 800 kéo dài trục Z, tính lại Transfer và khung cần sửa --&gt; Đăng
Unloading: khung sau và băng tải nâng hạ 300mm --&gt; Tiến
1400;
Khung trước --&gt; Đăng , Transfer ULD --&gt; Trường (2D &amp; 3D)
LD: Transfer cải tiến từ ULD sang --&gt; Đăng
</t>
  </si>
  <si>
    <t>Magazine Rack ULD</t>
  </si>
  <si>
    <t>Đặt hàng cho 1 máy (còn khung sau và băng tải)
Phần CAM chưa chốt --&gt; Mar-18 chốt thông tin
Bản vẽ điện: 80%
HMI, PLC: 80%
Cam có làm trước phần chương trình</t>
  </si>
  <si>
    <t>Magazine rack Plasma (LD)</t>
  </si>
  <si>
    <t>Đang</t>
  </si>
  <si>
    <t>Magazine rack Plasma (ULD)</t>
  </si>
  <si>
    <t>Magazine rack LD (mạ từng phần)
MEC2409044</t>
  </si>
  <si>
    <t>Đưa bo vào JIG mạ kẹp trên dưới
Magazine và bo dummy</t>
  </si>
  <si>
    <t xml:space="preserve">Chọn robot NACHI 10kg.
3D: 28/May xong
AGV đi khác chiều với máy Magazine, 
Khung máy mới
Tool robot làm mới
2D: </t>
  </si>
  <si>
    <t>Magazine rack ULD (Robot) Mạ từng phần</t>
  </si>
  <si>
    <t>Robot 6 trục lấy từ JIG mạ đặt xuống CV rửa nước</t>
  </si>
  <si>
    <t>Đang kiểm tra phần Robot 
Tool: xong 3D
Phần khung và phần phụ trợ sau khi xác nhận loại Robot sẽ hoàn thiện
Mar-28 hoàn thành 3D</t>
  </si>
  <si>
    <t>Chọn robot NACHI 10kg.
3D: xong
2D; chưa bóc --&gt; Tiến hành bóc 2D và lên list đặt hàng sẵn.
Báo giá --&gt; push MKHC phát hành PO</t>
  </si>
  <si>
    <t>Loading cho mạ Filled  
MKHC</t>
  </si>
  <si>
    <t>Giống Fact.3 (LD magazine + Băng tải+ băng tải căn bo)</t>
  </si>
  <si>
    <t>Băng tải PKG 
Băng tải căn bo từ PKG  (sửa căn bo về 1 gốc)
Cần xác nhận hướng và kích thước?</t>
  </si>
  <si>
    <t>Cần làm phần băng tải và băng tải căn bo
Chú ý: phản ánh vấn đề bo PKG mỏng mép bo bị cong chúi xuống phần bi.</t>
  </si>
  <si>
    <t>Băng tải lật bo + xoay bo (A--&gt; B + xoay 90deg)</t>
  </si>
  <si>
    <t>Giống No.18, thiết kế cùng dạng lật + băng tải xoay riêng biệt</t>
  </si>
  <si>
    <r>
      <t xml:space="preserve">
</t>
    </r>
    <r>
      <rPr>
        <sz val="12"/>
        <color rgb="FFFF0000"/>
        <rFont val="Times New Roman"/>
        <family val="1"/>
      </rPr>
      <t>Máy nhà máy Hòa Bình --&gt; Dùng lại được thiết kế băng tải lật bo này.
Báo giá --&gt; chờ PO từ MKHC</t>
    </r>
  </si>
  <si>
    <t>Băng tải nâng hạ (up down 300mm)</t>
  </si>
  <si>
    <r>
      <t xml:space="preserve">Đang keep
</t>
    </r>
    <r>
      <rPr>
        <sz val="12"/>
        <color rgb="FFFF0000"/>
        <rFont val="Times New Roman"/>
        <family val="1"/>
      </rPr>
      <t xml:space="preserve">Xác nhận phương án chạy chéo </t>
    </r>
  </si>
  <si>
    <t>Bỏ 
Chuyển máy LD-ULD đảm nhiệm</t>
  </si>
  <si>
    <t>Rack đựng Magazine</t>
  </si>
  <si>
    <t>Chờ AGV chốt phần dẫn hương</t>
  </si>
  <si>
    <t>Xe chở Rack + Magazine</t>
  </si>
  <si>
    <t>Xe chở tay cho Magazine OK
Xe cho Laser chưa OK?</t>
  </si>
  <si>
    <t>Magazine rack (đúc nhựa)</t>
  </si>
  <si>
    <t>Đã fix cơ bản hình dáng Magazine rack, đang lấy báo giá khuôn và đúc sản phẩm</t>
  </si>
  <si>
    <t>Xác nhận và push về phần khuôn.</t>
  </si>
  <si>
    <t>Hàng gia công, đánh giá lò xo cứng --&gt; thay đổi lò xo về 0.8mm
Đánh giá xong hàng gia công --&gt; tiến hành đặt khuôn
Nguy cơ tạo dị vật tại vị trí kẹp --&gt; cần có phương án phòng chống</t>
  </si>
  <si>
    <t>CCD Loading</t>
  </si>
  <si>
    <t>Băng tải, tool cần làm mới.</t>
  </si>
  <si>
    <t xml:space="preserve">Hoàn thành 3D: 50%
LU: cần cover Vít me
</t>
  </si>
  <si>
    <t>CCD Unloading</t>
  </si>
  <si>
    <t>VCP Loading</t>
  </si>
  <si>
    <t>Mar-21 xong 2D có thể phát hành mua hàng
ĐỘng cơ Tssubaki đã đặt trước</t>
  </si>
  <si>
    <t>VCP Unloading</t>
  </si>
  <si>
    <t>Mar-21 xong 2D có thể phát hành mua hàng</t>
  </si>
  <si>
    <t>Sheet LD (máy đưa bo nhiều hàng robot Scara)</t>
  </si>
  <si>
    <t>Hoàn thành thiết kế 85%, chờ lên PR mua linh kiện</t>
  </si>
  <si>
    <r>
      <t xml:space="preserve">TENDOU : giao máy đầu tháng 6
Robot: May-10 về MKAC
Hàng TC: đã đặt hết 
Động cơ Yaskawa --&gt; giữa tháng 5 về
Hàng gia công: Apr-29 : còn cụm CV3 --&gt; đang chờ xác nhận kích thước lỗ qua tường để đặt hàng
Khung: May-06 lên PR sang PU
</t>
    </r>
    <r>
      <rPr>
        <sz val="12"/>
        <color rgb="FFFF0000"/>
        <rFont val="Times New Roman"/>
        <family val="1"/>
      </rPr>
      <t>Xác nhận xe không có bánh xe 
Kích thước lỗ tường</t>
    </r>
  </si>
  <si>
    <t>Sheet ULD (máy nhận bo nhiều hàng robot Scara)</t>
  </si>
  <si>
    <t>Băng tải thay đổi tốc độ Desmear</t>
  </si>
  <si>
    <t>Hanger stock Desmear</t>
  </si>
  <si>
    <t>Khắc Laser tự động LD-ULD</t>
  </si>
  <si>
    <t>Đang thay đổi bàn khắc, thêm căn bo về góc</t>
  </si>
  <si>
    <t>Mar 30 xong thiết kế 
--&gt; Đặt hàng TC (đã đặt Robot và động cơ)</t>
  </si>
  <si>
    <t xml:space="preserve">Máy khắc 2D code tạm </t>
  </si>
  <si>
    <t>Đã phát hành hàng TC cơ, hàng gia công?</t>
  </si>
  <si>
    <r>
      <t xml:space="preserve">Đang lắp ráp
</t>
    </r>
    <r>
      <rPr>
        <sz val="12"/>
        <color rgb="FFFF0000"/>
        <rFont val="Times New Roman"/>
        <family val="1"/>
      </rPr>
      <t>Cần xác nhận với Hiếu về lượng hàng về.</t>
    </r>
    <r>
      <rPr>
        <sz val="12"/>
        <color theme="1"/>
        <rFont val="Times New Roman"/>
        <family val="1"/>
      </rPr>
      <t xml:space="preserve">
SALE báo Mar-17 chuyển máy
Thiết kế điện chương trình chờ Test
Phàn IT: Anh Phi bảo OK</t>
    </r>
  </si>
  <si>
    <t>Hiện không thấy báo lỗi
Xác nhận lại Mr. Quyết về tình trạng máy.</t>
  </si>
  <si>
    <t>Check 2D code (khách hàng Z) nhiều điểm</t>
  </si>
  <si>
    <t>Giang gửi mã hàng X vị trí 2D code cho Thành Ngô</t>
  </si>
  <si>
    <t>Cuối tháng 3 xong 3D và 2D --&gt; Phát hành hàng mua</t>
  </si>
  <si>
    <t>Sau lễ bắt đầu làm
Chú ý đặt hàng Tiêu chuẩn và các hàng gia công không bị thay đổi.</t>
  </si>
  <si>
    <t>Đóng gói sản phẩm (khách hàng Z)</t>
  </si>
  <si>
    <t>Đang chờ mua hàng dự kiến Apr-
Cáp Yaskawa 5m không đủ chiều dài
--&gt; Mr. Giang xác nhận lại</t>
  </si>
  <si>
    <r>
      <t xml:space="preserve">Đang lắp ráp
</t>
    </r>
    <r>
      <rPr>
        <sz val="12"/>
        <color rgb="FFFF0000"/>
        <rFont val="Times New Roman"/>
        <family val="1"/>
      </rPr>
      <t>May-20 ~25 giao máy</t>
    </r>
  </si>
  <si>
    <t>Băng tải thường PKG</t>
  </si>
  <si>
    <t>Đã phát hành PR mua hàng -&gt; lắp xong tháng 2/2025</t>
  </si>
  <si>
    <t>Băng tải thường PKG con lăn từ</t>
  </si>
  <si>
    <t>Đã phát hành PR mua hàng</t>
  </si>
  <si>
    <t>Băng tải căn bo PKG</t>
  </si>
  <si>
    <t>Băng tải xoay bo (In sơn lấp lỗ)</t>
  </si>
  <si>
    <t>Laser Mitsu ML706 GTW6 VŨ HÁN
Có lật không IC</t>
  </si>
  <si>
    <r>
      <t xml:space="preserve">Bản vẽ Layout --&gt; Apr-29 gửi Mr. Saitou và phía VŨ Hán
Dùng lại thiết kế FICT + cụm lật bo từ TENDOU
Sửa lại cụm Transfer (dùng hàng tiêu chuẩn)
</t>
    </r>
    <r>
      <rPr>
        <sz val="12"/>
        <color rgb="FFFF0000"/>
        <rFont val="Times New Roman"/>
        <family val="1"/>
      </rPr>
      <t>Chú ý phản ánh phần va chạm máy TENDOU và FITC vào đầu gia công Laser</t>
    </r>
    <r>
      <rPr>
        <sz val="12"/>
        <color theme="1"/>
        <rFont val="Times New Roman"/>
        <family val="1"/>
      </rPr>
      <t xml:space="preserve">
Kích thước bo Vũ Hán: Max: 714 x 618mm
Xe cần sửa lại theo kích thước bo
Lập kế hoạch </t>
    </r>
    <r>
      <rPr>
        <sz val="12"/>
        <color rgb="FFFF0000"/>
        <rFont val="Times New Roman"/>
        <family val="1"/>
      </rPr>
      <t>(Mong muốn giao hàng cuối tháng 7/2025)
Dùng động cơ LU: DKM</t>
    </r>
  </si>
  <si>
    <t>Tháng 2 /2025</t>
  </si>
  <si>
    <t>Mục tiêu lắp máy</t>
  </si>
  <si>
    <t xml:space="preserve"> '--&gt; Xong thiết kế --&gt; Phát hành mua hàng</t>
  </si>
  <si>
    <t>--&gt; Xong thiết kế --&gt; Phát hành mua hàng</t>
  </si>
  <si>
    <t>Hàng gia công phát hành:  Feb-03, thuê lắp ngoài</t>
  </si>
  <si>
    <t>Hanger Stock 2kg</t>
  </si>
  <si>
    <t xml:space="preserve">--&gt; Thiết kế cũ --&gt; Phát hành mua hàng </t>
  </si>
  <si>
    <t>Hàng gia công phát hành:  Jan-17, thuê lắp ngoài, Xác nhận lại PUR về thuê lắp khung nhôm từ NCC nhôm</t>
  </si>
  <si>
    <t>Chuyển từ Fact.2 sang --&gt; cải tiến chương trình và PLC kết nối hệ thống. Cải tiên Tool, check double sheet</t>
  </si>
  <si>
    <t xml:space="preserve">Băng tải xoay bo </t>
  </si>
  <si>
    <t>--&gt; Xác nhận lại SALE về PO</t>
  </si>
  <si>
    <t>Tháng 3/2025</t>
  </si>
  <si>
    <t>--&gt; Xác nhận lại tiến độ thiết kế, phát hành hàng TC trước</t>
  </si>
  <si>
    <t>Chưa phát hành hết hàng gia công ~ Feb-18</t>
  </si>
  <si>
    <t>--&gt; Phú phát hành ~Jan-15</t>
  </si>
  <si>
    <t>--&gt; Phú phát hành ~Jan-21</t>
  </si>
  <si>
    <t>Phát hành hàng TC xong, hàng gia công ~ Feb-14</t>
  </si>
  <si>
    <t>--&gt; Mua hàng gia công và TC rồi. Leadtime Robot chưa rõ</t>
  </si>
  <si>
    <t>Đã lắp phần cơ khí xong, chờ Robot</t>
  </si>
  <si>
    <t>Con nhím 2kg</t>
  </si>
  <si>
    <t>Hàng gia công phát hành:  Feb-10, thuê lắp ngoài</t>
  </si>
  <si>
    <t>Con nhím 4kg</t>
  </si>
  <si>
    <t>Con nhím có điều hòa</t>
  </si>
  <si>
    <t>--&gt; Mr Quỳnh sau khi làm xong NC rack --&gt; Thêm điều hòa và màng lọc HEPA</t>
  </si>
  <si>
    <t>Boun-up + Allignment</t>
  </si>
  <si>
    <t>--&gt; Thiết kế xong --&gt; Phát hành mua hàng</t>
  </si>
  <si>
    <t>Feb-11 phát hành hàng tiêu chuẩn, Feb-14 phát hành hang gia công</t>
  </si>
  <si>
    <t>Cooling system (giống Fact.3)</t>
  </si>
  <si>
    <t>--&gt; Thành Ngô phát hành mua hàng</t>
  </si>
  <si>
    <t>Hanger Stock thường 4kg</t>
  </si>
  <si>
    <t>--&gt; Thiết kế giống Hanger hiện tại thay thanh nhôm</t>
  </si>
  <si>
    <t>Thuê ngoài lắp ráp</t>
  </si>
  <si>
    <t>--&gt; Thiết kế dạng Belt hoàn thành,</t>
  </si>
  <si>
    <t>Fact.4 cũng chốt loại Roller, đã phát hành PR mua hàng</t>
  </si>
  <si>
    <t>Laser Mitsu ML605</t>
  </si>
  <si>
    <t>--&gt; Đã đặt hàng điện, hàng tiêu chuẩn, hàng GC cụm LD, cụm ULD--&gt; Jan15 phát hành</t>
  </si>
  <si>
    <t xml:space="preserve"> Đang lắp ráp và xuất hàng linh kiện về theo đợt</t>
  </si>
  <si>
    <t>--&gt; Giữ nguyên thiết kế Fact.2</t>
  </si>
  <si>
    <t>Trọng Tuấn thay đổi thiết kế phản ánh lỗi quá khứ --&gt; phát hành hàng linh kiện TC</t>
  </si>
  <si>
    <t>cải tiến chương trình và PLC kết nối hệ thống. Cải tiên Tool, check double sheet</t>
  </si>
  <si>
    <t>Phú hoàn thành LU, CV, khung. --&gt; cụm DB, BF dùng lại máy Fact.2, cụm Tool --&gt; cần xử lý
Cụm QL tăng cấp hộp số lên để đảm bảo chạy bo 4kg</t>
  </si>
  <si>
    <t>↑ Cần xác nhận thêm về CT máy</t>
  </si>
  <si>
    <t>TYPE 9</t>
  </si>
  <si>
    <t>Xong Concept</t>
  </si>
  <si>
    <t>CT không vấn đề --&gt;  Bắt đầu thiết kế chi tiết</t>
  </si>
  <si>
    <t>M2 (or Quỳnh)</t>
  </si>
  <si>
    <t>Tiền xử lý Laser</t>
  </si>
  <si>
    <t>Ben TENDOU có thông tin đã bị thất bại</t>
  </si>
  <si>
    <t>Cần tổng hợp thông tin về kích thước bo và Rack dùng trong nhà máy</t>
  </si>
  <si>
    <t>Tiền xử lý DPTH</t>
  </si>
  <si>
    <t>LD Magazine Rack</t>
  </si>
  <si>
    <r>
      <t xml:space="preserve">Đã phát hành PR hàng tiêu chuẩn 1 LD và 1ULD
</t>
    </r>
    <r>
      <rPr>
        <sz val="12"/>
        <color rgb="FFFF0000"/>
        <rFont val="Times New Roman"/>
        <family val="1"/>
      </rPr>
      <t>Xác nhận Mr. Mikami về layout nhà máy Hòa Bình để làm rõ vị trí và hướng máy</t>
    </r>
  </si>
  <si>
    <t>ULD Magazine Rack</t>
  </si>
  <si>
    <t>--&gt; Cụm băng tải chuyển rack : 75%</t>
  </si>
  <si>
    <t>Cụm LU: 80%</t>
  </si>
  <si>
    <t>3D xong, đợi chốt Tray</t>
  </si>
  <si>
    <t>cụm kẹp Tray: 70%</t>
  </si>
  <si>
    <t>Cụm TF Tray: 60%</t>
  </si>
  <si>
    <t>Cụm Tool: 80% (PCB)</t>
  </si>
  <si>
    <t xml:space="preserve">Tool Tray: </t>
  </si>
  <si>
    <t>CỤm TF PCB: 60%</t>
  </si>
  <si>
    <t>LD: 65%  ULD: 95%</t>
  </si>
  <si>
    <t>CV: 60%</t>
  </si>
  <si>
    <t>Chờ kích thước đèn Back light</t>
  </si>
  <si>
    <t>Khung trước: ULD: 40%</t>
  </si>
  <si>
    <t>Chờ phần gá các cụm khác và Tray xem có bị cao hơn không</t>
  </si>
  <si>
    <t>Khung Sau: 0%</t>
  </si>
  <si>
    <t xml:space="preserve">CAM: chưa </t>
  </si>
  <si>
    <t>Chờ test CAM Keyence và Cognex</t>
  </si>
  <si>
    <t>Xe H rack: concpet</t>
  </si>
  <si>
    <t>Đang lên sơ bộ</t>
  </si>
  <si>
    <t>Xe đẩy tay</t>
  </si>
  <si>
    <t>LD ULD  cho Plasma</t>
  </si>
  <si>
    <t>--&gt; Đăng</t>
  </si>
  <si>
    <t>--&gt; Jan-17 sửa xong 3D thành 10 tầng trục Roller</t>
  </si>
  <si>
    <t>Băng tải làm mát bo (lắp nhiều quạt)</t>
  </si>
  <si>
    <t>--&gt; Luyện xử lý tiếp, mục tiêu tháng 3 lắp</t>
  </si>
  <si>
    <t>3D và bản vẽ đã check xong, đang check bomlist</t>
  </si>
  <si>
    <t>Laser HÒA BÌNH</t>
  </si>
  <si>
    <t>--&gt; LD: 70%</t>
  </si>
  <si>
    <t xml:space="preserve">3D </t>
  </si>
  <si>
    <t>Module trước LD&amp; ULD</t>
  </si>
  <si>
    <t>Transfer Tray ra phía sau LD:</t>
  </si>
  <si>
    <t>Transfer X LD</t>
  </si>
  <si>
    <t>Transfer X ULD</t>
  </si>
  <si>
    <t>Transfer Tray ra phía sau ULD (Cụm xoay)</t>
  </si>
  <si>
    <t>Cụm NG</t>
  </si>
  <si>
    <t>Hệ thống băng tải ép lớp --&gt; Máy ep</t>
  </si>
  <si>
    <t>--&gt; Mr. Trọng Tuấn</t>
  </si>
  <si>
    <t>Đưa bo từ cắt viền --&gt; khoan X ray</t>
  </si>
  <si>
    <t>Dùng Robot 6 trục (Mr. Luyện)</t>
  </si>
  <si>
    <t>LD cho line mạ VCP</t>
  </si>
  <si>
    <t>Không được dùng Robot 6 trục</t>
  </si>
  <si>
    <t>ULD cho line mạ VCP</t>
  </si>
  <si>
    <t>Dùng Robot 6 trục lấy từ Jig mạ --&gt; Đưa xuống băng tải line rửa
--&gt; Mr . Marco</t>
  </si>
  <si>
    <t>LD và ULD cho AOI</t>
  </si>
  <si>
    <t>Băng tải lật bo (dang roller)</t>
  </si>
  <si>
    <t>Mr. Huy phụ trách tiếp</t>
  </si>
  <si>
    <t>Laser 605 (AGV Lật mặt, xoay 90độ) (tháng 6 giao máy)</t>
  </si>
  <si>
    <t>Sheet LD-ULD dùng robot Scara FANUC (tháng 6 giao máy)</t>
  </si>
  <si>
    <t>Thành Ngô + Minh</t>
  </si>
  <si>
    <t>CCD (Tháng 6 giao máy)</t>
  </si>
  <si>
    <t>Mr. Đăng</t>
  </si>
  <si>
    <t>Sản xuất lại</t>
  </si>
  <si>
    <t>băng tải thay đổi tốc dộ</t>
  </si>
  <si>
    <t>Thiết kế mới</t>
  </si>
  <si>
    <t>Máy khắc Laser tự động LD-ULD (3 máy)</t>
  </si>
  <si>
    <t>Mr. Thành Nghiêm</t>
  </si>
  <si>
    <t>Đọc 2D code khách hàng X nhiều vị trí (1 máy)</t>
  </si>
  <si>
    <t>Mr. Thành Ngô</t>
  </si>
  <si>
    <t>MEC2410040,MEC2410041,MEC2501009,MEC2410057,MEC2410058,MEC2410059,MEC2410064,MEC2410073,MEC2410074,MEC2410075,MEC2410080,MEC2410106,MEC2410107,MEC2410119,MEC2411039,,</t>
  </si>
  <si>
    <t>Patapata MEC2305007</t>
  </si>
  <si>
    <t>Góc nghiêng của cụm nâng bo chưa đủ. --&gt; bo nhỏ bị rơi.
Cần cắt 1 hàng băng tải --&gt; hạ thấp góc nghiêng.</t>
  </si>
  <si>
    <t>JIG đo điện trở 20 coupon/JIG</t>
  </si>
  <si>
    <t>Apr-29 đã gửi Mr. Thành check
May-05 đặt hàng.</t>
  </si>
  <si>
    <t>CHECK SHEET HOÀN THÀNH TÀI LIỆU ISO 9001:2015 MÁY TỰ ĐỘNG HÓA</t>
  </si>
  <si>
    <t>Chưa đủ: X</t>
  </si>
  <si>
    <t>Đã đủ: O</t>
  </si>
  <si>
    <t>Dự án năm 2024</t>
  </si>
  <si>
    <t>Form tài liệu hồ sơ ISO: \\192.168.1.230\public\ISO9K1_230213</t>
  </si>
  <si>
    <t>Ngày giao máy</t>
  </si>
  <si>
    <t xml:space="preserve">①
Kế hoạch thiết kế &amp; phát triển </t>
  </si>
  <si>
    <t xml:space="preserve">②
Danh sách đầu vào </t>
  </si>
  <si>
    <t xml:space="preserve">③
Biên bản xem xét-kiểm tra xác nhận-xác nhận giá trị sử dụng </t>
  </si>
  <si>
    <t xml:space="preserve">④
Danh sách đầu ra </t>
  </si>
  <si>
    <t xml:space="preserve">⑤-1
BOM List
Cơ khí </t>
  </si>
  <si>
    <t xml:space="preserve">⑤-2
BOM List
Điện </t>
  </si>
  <si>
    <t>⑥
Bản vẽ thiết kế cơ khí</t>
  </si>
  <si>
    <t>⑦
Bản vẽ thiết kế điện</t>
  </si>
  <si>
    <t>⑧
Tiêu chuẩn-Thông số kỹ thuật</t>
  </si>
  <si>
    <t>⑨
Tài liệu hướng dẫn sử dụng</t>
  </si>
  <si>
    <t>⑩
Danh sách điểm thay đổi trong quá trình thiết kế</t>
  </si>
  <si>
    <t xml:space="preserve">⑪
Danh sách bản vẽ </t>
  </si>
  <si>
    <t xml:space="preserve">⑫
Danh sách phân phối &amp; thu hồi bản vẽ </t>
  </si>
  <si>
    <t>⑬
Đánh giá phù hợp đầu vào và đầu ra</t>
  </si>
  <si>
    <t>⑭
Biên bản bàn giao máy
(lắp ráp)</t>
  </si>
  <si>
    <t>⑮Hồ sơ lưu đường dẫn</t>
  </si>
  <si>
    <t>VD</t>
  </si>
  <si>
    <t>MEC2201001</t>
  </si>
  <si>
    <t>Dự án A</t>
  </si>
  <si>
    <t>M</t>
  </si>
  <si>
    <t>E</t>
  </si>
  <si>
    <t>A</t>
  </si>
  <si>
    <t>O</t>
  </si>
  <si>
    <t>X</t>
  </si>
  <si>
    <t xml:space="preserve">BẢNG THEO DÕI HOÀN THÀNH KẾ HOẠCH NĂM </t>
  </si>
  <si>
    <t>Bảng tổng hợp kết quả</t>
  </si>
  <si>
    <t>Tổng Proj</t>
  </si>
  <si>
    <t>&lt;100%</t>
  </si>
  <si>
    <t>NG</t>
  </si>
  <si>
    <t>NG ratio</t>
  </si>
  <si>
    <t>FY</t>
  </si>
  <si>
    <t>MKACの管理
コード</t>
  </si>
  <si>
    <t>Ngày giao máy cho SALE</t>
  </si>
  <si>
    <t>状況
(Finish, Doing, Wating)</t>
  </si>
  <si>
    <t>Đánh giá</t>
  </si>
  <si>
    <t>Đáp ứng đầu vào &amp; đầu ra</t>
  </si>
  <si>
    <t>Xuất máy
(SALE)</t>
  </si>
  <si>
    <t>AUTO -&gt; SALE</t>
  </si>
  <si>
    <t>Nguyên nhân</t>
  </si>
  <si>
    <t xml:space="preserve">Máy phát sinh va chạm với thân VIA chính --&gt; Lấy lại hàng sửa chữa và </t>
  </si>
  <si>
    <t>Thuê lắp ngoài, hoàn về chậm so với kế hoạch
-&gt; hoàn thành máy chậm</t>
  </si>
  <si>
    <t>Máy gây xước bo, không cải tiến được, xin chuyển công đoạn</t>
  </si>
  <si>
    <t>Hàng linh kiện về muộn --&gt; lắp ráp hoàn thành chậm hơn kế hoạch</t>
  </si>
  <si>
    <t>Loạt máy  xuất lần 1 khách hàng chưa lắp vào Line chạy thực tế. Sau khi xác nhận khách hàng mới cho phép xuất lô thứ 2</t>
  </si>
  <si>
    <t>Máy va chạm khung với ống khí của máy Laser, cần sửa chữa</t>
  </si>
  <si>
    <t>Người lắp ráp cần xin VISA và điều chỉnh thời gian công tác sang Nhật lắp--&gt; hoàn thành chậm hơn kế hoạch</t>
  </si>
  <si>
    <t>Điều chỉnh lịch giao hàng với phía khách hàng chậm --&gt; giao hàng chậm hơn kế hoạch</t>
  </si>
  <si>
    <t>Khách hàng check máy thực tế --&gt; Phát sinh yêu cầu cải tiến --&gt; MKAC cải tiến máy xong mới giao được. Hoàn thành chậm hơn kế hoạch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</si>
</sst>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5" formatCode="[$-409]d\-mmm\-yyyy;@"/>
    <numFmt numFmtId="166" formatCode="[$-409]d\-mmm;@"/>
    <numFmt numFmtId="169" formatCode="yyyy\-mm"/>
    <numFmt numFmtId="170" formatCode="_-[$£-809]* #,##0.00_-;\-[$£-809]* #,##0.00_-;_-[$£-809]* &quot;-&quot;??_-;_-@_-"/>
    <numFmt numFmtId="172" formatCode="[$-409]d\-mmm\-yy;@"/>
    <numFmt numFmtId="179" formatCode="0.0"/>
    <numFmt numFmtId="180" formatCode="mm/yyyy"/>
    <numFmt numFmtId="181" formatCode="dd/mm"/>
  </numFmts>
  <fonts count="53" x14ac:knownFonts="1">
    <font>
      <sz val="11"/>
      <color theme="1"/>
      <name val="Calibri"/>
      <family val="2"/>
      <scheme val="minor"/>
    </font>
    <font>
      <sz val="12"/>
      <color theme="1"/>
      <name val="Times New Roman"/>
      <family val="1"/>
    </font>
    <font>
      <sz val="8"/>
      <name val="Calibri"/>
      <family val="2"/>
      <scheme val="minor"/>
    </font>
    <font>
      <sz val="11"/>
      <color rgb="FF0000CC"/>
      <name val="Meiryo UI"/>
      <family val="2"/>
    </font>
    <font>
      <sz val="11"/>
      <name val="Meiryo UI"/>
      <family val="2"/>
    </font>
    <font>
      <sz val="10"/>
      <name val="Meiryo UI"/>
      <family val="2"/>
    </font>
    <font>
      <b/>
      <sz val="11"/>
      <color rgb="FF0000CC"/>
      <name val="Meiryo UI"/>
      <family val="2"/>
    </font>
    <font>
      <sz val="11"/>
      <color rgb="FFFF0000"/>
      <name val="Meiryo UI"/>
      <family val="2"/>
    </font>
    <font>
      <sz val="18"/>
      <color rgb="FFFF0000"/>
      <name val="Meiryo UI"/>
      <family val="2"/>
    </font>
    <font>
      <sz val="20"/>
      <color rgb="FFFF0000"/>
      <name val="Meiryo UI"/>
      <family val="2"/>
    </font>
    <font>
      <sz val="22"/>
      <color rgb="FFFF0000"/>
      <name val="Meiryo UI"/>
      <family val="2"/>
    </font>
    <font>
      <b/>
      <sz val="16"/>
      <color rgb="FFFF0000"/>
      <name val="Meiryo UI"/>
      <family val="2"/>
    </font>
    <font>
      <sz val="10"/>
      <color theme="1"/>
      <name val="Times New Roman"/>
      <family val="1"/>
    </font>
    <font>
      <sz val="11"/>
      <color theme="1"/>
      <name val="Calibri"/>
      <family val="2"/>
      <scheme val="minor"/>
    </font>
    <font>
      <b/>
      <sz val="11"/>
      <color rgb="FFFF0000"/>
      <name val="Meiryo UI"/>
      <family val="2"/>
    </font>
    <font>
      <sz val="10"/>
      <color rgb="FFFF0000"/>
      <name val="Meiryo UI"/>
      <family val="2"/>
    </font>
    <font>
      <sz val="11"/>
      <color theme="1"/>
      <name val="Times New Roman"/>
      <family val="1"/>
    </font>
    <font>
      <b/>
      <sz val="11"/>
      <name val="Meiryo UI"/>
      <family val="2"/>
    </font>
    <font>
      <sz val="14"/>
      <color theme="1"/>
      <name val="Times New Roman"/>
      <family val="1"/>
    </font>
    <font>
      <sz val="11"/>
      <color theme="1"/>
      <name val="Meiryo UI"/>
      <family val="2"/>
    </font>
    <font>
      <b/>
      <sz val="26"/>
      <color theme="1"/>
      <name val="Times New Roman"/>
      <family val="1"/>
    </font>
    <font>
      <sz val="12"/>
      <color theme="1"/>
      <name val="Meiryo UI"/>
      <family val="2"/>
    </font>
    <font>
      <b/>
      <sz val="24"/>
      <color theme="1"/>
      <name val="Times New Roman"/>
      <family val="1"/>
    </font>
    <font>
      <sz val="10"/>
      <color rgb="FF000000"/>
      <name val="Calibri"/>
      <family val="2"/>
      <scheme val="minor"/>
    </font>
    <font>
      <sz val="10"/>
      <color rgb="FF000000"/>
      <name val="Calibri"/>
      <family val="2"/>
      <scheme val="minor"/>
    </font>
    <font>
      <i/>
      <sz val="11"/>
      <name val="Meiryo UI"/>
      <family val="2"/>
    </font>
    <font>
      <b/>
      <i/>
      <sz val="11"/>
      <color rgb="FF0000CC"/>
      <name val="Meiryo UI"/>
      <family val="2"/>
    </font>
    <font>
      <i/>
      <sz val="11"/>
      <color rgb="FF0000CC"/>
      <name val="Meiryo UI"/>
      <family val="2"/>
    </font>
    <font>
      <b/>
      <sz val="11"/>
      <color theme="1"/>
      <name val="Calibri"/>
      <family val="2"/>
      <scheme val="minor"/>
    </font>
    <font>
      <b/>
      <sz val="26"/>
      <name val="Meiryo UI"/>
      <family val="2"/>
    </font>
    <font>
      <sz val="12"/>
      <name val="Meiryo UI"/>
      <family val="2"/>
    </font>
    <font>
      <sz val="16"/>
      <name val="Meiryo UI"/>
      <family val="2"/>
    </font>
    <font>
      <b/>
      <sz val="10"/>
      <color rgb="FFFF0000"/>
      <name val="Meiryo UI"/>
      <family val="2"/>
    </font>
    <font>
      <b/>
      <sz val="10"/>
      <color rgb="FF0000CC"/>
      <name val="Meiryo UI"/>
      <family val="2"/>
    </font>
    <font>
      <b/>
      <sz val="18"/>
      <color theme="1"/>
      <name val="Times New Roman"/>
      <family val="1"/>
    </font>
    <font>
      <b/>
      <sz val="20"/>
      <name val="Meiryo UI"/>
      <family val="2"/>
    </font>
    <font>
      <sz val="14"/>
      <color rgb="FF0000CC"/>
      <name val="Meiryo UI"/>
      <family val="2"/>
    </font>
    <font>
      <sz val="14"/>
      <name val="Meiryo UI"/>
      <family val="2"/>
    </font>
    <font>
      <sz val="20"/>
      <color rgb="FF0000CC"/>
      <name val="Meiryo UI"/>
      <family val="2"/>
    </font>
    <font>
      <sz val="14"/>
      <color rgb="FFFF0000"/>
      <name val="Meiryo UI"/>
      <family val="2"/>
    </font>
    <font>
      <sz val="9"/>
      <name val="Meiryo UI"/>
      <family val="2"/>
    </font>
    <font>
      <b/>
      <sz val="9"/>
      <color rgb="FF0000CC"/>
      <name val="Meiryo UI"/>
      <family val="2"/>
    </font>
    <font>
      <sz val="16"/>
      <color rgb="FF0000CC"/>
      <name val="Meiryo UI"/>
      <family val="2"/>
    </font>
    <font>
      <sz val="12"/>
      <color rgb="FFFF0000"/>
      <name val="Times New Roman"/>
      <family val="1"/>
    </font>
    <font>
      <b/>
      <sz val="11"/>
      <color rgb="FF0000CC"/>
      <name val="Calibri"/>
      <family val="2"/>
      <scheme val="minor"/>
    </font>
    <font>
      <strike/>
      <sz val="11"/>
      <name val="Meiryo UI"/>
      <family val="2"/>
    </font>
    <font>
      <strike/>
      <sz val="11"/>
      <color rgb="FFFF0000"/>
      <name val="Meiryo UI"/>
      <family val="2"/>
    </font>
    <font>
      <b/>
      <sz val="8"/>
      <name val="Meiryo UI"/>
      <family val="2"/>
    </font>
    <font>
      <sz val="8"/>
      <name val="Meiryo UI"/>
      <family val="2"/>
    </font>
    <font>
      <sz val="8"/>
      <color theme="1"/>
      <name val="Calibri"/>
      <family val="2"/>
      <scheme val="minor"/>
    </font>
    <font>
      <b/>
      <sz val="18"/>
      <name val="Meiryo UI"/>
      <family val="2"/>
    </font>
    <font>
      <b/>
      <sz val="10"/>
      <name val="Meiryo UI"/>
      <family val="2"/>
    </font>
    <font>
      <sz val="11"/>
      <color rgb="FF0000FF"/>
      <name val="Meiryo UI"/>
      <family val="2"/>
    </font>
  </fonts>
  <fills count="19">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00FF00"/>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5"/>
        <bgColor indexed="64"/>
      </patternFill>
    </fill>
    <fill>
      <patternFill patternType="solid">
        <fgColor rgb="FF66FF99"/>
        <bgColor indexed="64"/>
      </patternFill>
    </fill>
    <fill>
      <patternFill patternType="solid">
        <fgColor theme="2" tint="-0.249977111117893"/>
        <bgColor indexed="64"/>
      </patternFill>
    </fill>
    <fill>
      <patternFill patternType="solid">
        <fgColor rgb="FFFF99FF"/>
        <bgColor indexed="64"/>
      </patternFill>
    </fill>
    <fill>
      <patternFill patternType="solid">
        <fgColor rgb="FF2EC8F2"/>
        <bgColor indexed="64"/>
      </patternFill>
    </fill>
    <fill>
      <patternFill patternType="solid">
        <fgColor theme="1" tint="0.499984740745262"/>
        <bgColor indexed="64"/>
      </patternFill>
    </fill>
    <fill>
      <patternFill patternType="solid">
        <fgColor rgb="FF92D050"/>
        <bgColor indexed="64"/>
      </patternFill>
    </fill>
    <fill>
      <patternFill patternType="solid">
        <fgColor theme="5" tint="0.59999389629810485"/>
        <bgColor indexed="64"/>
      </patternFill>
    </fill>
    <fill>
      <patternFill patternType="solid">
        <fgColor theme="5" tint="0.39997558519241921"/>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top style="thin">
        <color indexed="64"/>
      </top>
      <bottom style="thin">
        <color indexed="64"/>
      </bottom>
      <diagonal/>
    </border>
    <border>
      <left style="thin">
        <color rgb="FF000000"/>
      </left>
      <right/>
      <top style="thin">
        <color rgb="FF000000"/>
      </top>
      <bottom style="thin">
        <color rgb="FF000000"/>
      </bottom>
      <diagonal/>
    </border>
  </borders>
  <cellStyleXfs count="4">
    <xf numFmtId="0" fontId="0" fillId="0" borderId="0"/>
    <xf numFmtId="0" fontId="13" fillId="0" borderId="0"/>
    <xf numFmtId="0" fontId="23" fillId="0" borderId="0"/>
    <xf numFmtId="43" fontId="24" fillId="0" borderId="0" applyFont="0" applyFill="0" applyBorder="0" applyAlignment="0" applyProtection="0"/>
  </cellStyleXfs>
  <cellXfs count="432">
    <xf numFmtId="0" fontId="0" fillId="0" borderId="0" xfId="0"/>
    <xf numFmtId="0" fontId="1" fillId="0" borderId="1" xfId="0" applyFont="1" applyBorder="1" applyAlignment="1">
      <alignment horizontal="center" vertical="center"/>
    </xf>
    <xf numFmtId="0" fontId="12" fillId="0" borderId="5" xfId="0" applyFont="1" applyBorder="1" applyAlignment="1">
      <alignment vertical="center"/>
    </xf>
    <xf numFmtId="0" fontId="12" fillId="0" borderId="5" xfId="0" applyFont="1" applyBorder="1" applyAlignment="1">
      <alignment vertical="center" wrapText="1"/>
    </xf>
    <xf numFmtId="0" fontId="4" fillId="0" borderId="0" xfId="0" applyFont="1" applyAlignment="1">
      <alignment vertical="center"/>
    </xf>
    <xf numFmtId="0" fontId="16" fillId="0" borderId="0" xfId="0" applyFont="1"/>
    <xf numFmtId="0" fontId="16" fillId="0" borderId="5" xfId="0" applyFont="1" applyBorder="1"/>
    <xf numFmtId="0" fontId="0" fillId="0" borderId="0" xfId="0" applyAlignment="1">
      <alignment vertical="center"/>
    </xf>
    <xf numFmtId="0" fontId="0" fillId="0" borderId="0" xfId="0" applyAlignment="1">
      <alignment horizontal="center" vertical="center"/>
    </xf>
    <xf numFmtId="0" fontId="16" fillId="0" borderId="5" xfId="0" applyFont="1" applyBorder="1" applyAlignment="1">
      <alignment vertical="center" wrapText="1"/>
    </xf>
    <xf numFmtId="0" fontId="16" fillId="0" borderId="0" xfId="0" applyFont="1" applyAlignment="1">
      <alignment vertical="center" wrapText="1"/>
    </xf>
    <xf numFmtId="0" fontId="16" fillId="0" borderId="0" xfId="0" applyFont="1" applyAlignment="1">
      <alignment horizontal="left" vertical="center"/>
    </xf>
    <xf numFmtId="0" fontId="16" fillId="0" borderId="0" xfId="0" applyFont="1" applyAlignment="1">
      <alignment horizontal="center" vertical="center"/>
    </xf>
    <xf numFmtId="0" fontId="16" fillId="0" borderId="5" xfId="0" applyFont="1" applyBorder="1" applyAlignment="1">
      <alignment horizontal="left" vertical="center" wrapText="1"/>
    </xf>
    <xf numFmtId="9" fontId="16" fillId="0" borderId="5" xfId="0" applyNumberFormat="1" applyFont="1" applyBorder="1" applyAlignment="1">
      <alignment horizontal="center" vertical="center" wrapText="1"/>
    </xf>
    <xf numFmtId="0" fontId="16" fillId="0" borderId="5" xfId="0" applyFont="1" applyBorder="1" applyAlignment="1">
      <alignment horizontal="left" vertical="center"/>
    </xf>
    <xf numFmtId="0" fontId="16" fillId="0" borderId="0" xfId="0" applyFont="1" applyAlignment="1">
      <alignment vertical="center"/>
    </xf>
    <xf numFmtId="0" fontId="1" fillId="0" borderId="0" xfId="0" applyFont="1" applyAlignment="1">
      <alignment vertical="center"/>
    </xf>
    <xf numFmtId="0" fontId="1" fillId="0" borderId="0" xfId="0" quotePrefix="1" applyFont="1" applyAlignment="1">
      <alignment vertical="center"/>
    </xf>
    <xf numFmtId="0" fontId="1" fillId="0" borderId="5" xfId="0" applyFont="1" applyBorder="1" applyAlignment="1">
      <alignment vertical="center"/>
    </xf>
    <xf numFmtId="0" fontId="19" fillId="0" borderId="0" xfId="0" applyFont="1"/>
    <xf numFmtId="0" fontId="16" fillId="0" borderId="5" xfId="0" applyFont="1" applyBorder="1" applyAlignment="1">
      <alignment vertical="center"/>
    </xf>
    <xf numFmtId="0" fontId="0" fillId="0" borderId="5" xfId="0" applyBorder="1" applyAlignment="1">
      <alignment vertical="center" wrapText="1"/>
    </xf>
    <xf numFmtId="0" fontId="20" fillId="0" borderId="0" xfId="0" applyFont="1" applyAlignment="1">
      <alignment horizontal="left" vertical="center"/>
    </xf>
    <xf numFmtId="0" fontId="18" fillId="0" borderId="0" xfId="0" applyFont="1" applyAlignment="1">
      <alignment horizontal="right"/>
    </xf>
    <xf numFmtId="16" fontId="16" fillId="0" borderId="5" xfId="0" applyNumberFormat="1" applyFont="1" applyBorder="1" applyAlignment="1">
      <alignment horizontal="center" vertical="center" wrapText="1"/>
    </xf>
    <xf numFmtId="0" fontId="16" fillId="2" borderId="5" xfId="0" applyFont="1" applyFill="1" applyBorder="1" applyAlignment="1">
      <alignment horizontal="center" vertical="center"/>
    </xf>
    <xf numFmtId="0" fontId="16" fillId="2" borderId="5" xfId="0" applyFont="1" applyFill="1" applyBorder="1" applyAlignment="1">
      <alignment horizontal="left" vertical="center"/>
    </xf>
    <xf numFmtId="0" fontId="12" fillId="2" borderId="5" xfId="0" applyFont="1" applyFill="1" applyBorder="1" applyAlignment="1">
      <alignment horizontal="center" vertical="center" wrapText="1"/>
    </xf>
    <xf numFmtId="0" fontId="12" fillId="5" borderId="5" xfId="0" applyFont="1" applyFill="1" applyBorder="1" applyAlignment="1">
      <alignment horizontal="center" vertical="top" wrapText="1"/>
    </xf>
    <xf numFmtId="0" fontId="16" fillId="5" borderId="5" xfId="0" applyFont="1" applyFill="1" applyBorder="1" applyAlignment="1">
      <alignment horizontal="center" vertical="top" wrapText="1"/>
    </xf>
    <xf numFmtId="0" fontId="16" fillId="5" borderId="5" xfId="0" applyFont="1" applyFill="1" applyBorder="1" applyAlignment="1">
      <alignment horizontal="center" vertical="center"/>
    </xf>
    <xf numFmtId="0" fontId="16" fillId="5" borderId="5" xfId="0" applyFont="1" applyFill="1" applyBorder="1" applyAlignment="1">
      <alignment horizontal="center" vertical="center" wrapText="1"/>
    </xf>
    <xf numFmtId="0" fontId="16" fillId="5" borderId="5" xfId="0" applyFont="1" applyFill="1" applyBorder="1" applyAlignment="1">
      <alignment vertical="center"/>
    </xf>
    <xf numFmtId="172" fontId="21" fillId="0" borderId="0" xfId="0" applyNumberFormat="1" applyFont="1" applyAlignment="1">
      <alignment vertical="center"/>
    </xf>
    <xf numFmtId="0" fontId="21" fillId="0" borderId="0" xfId="0" applyFont="1" applyAlignment="1">
      <alignment vertical="center"/>
    </xf>
    <xf numFmtId="0" fontId="0" fillId="0" borderId="0" xfId="0" applyAlignment="1">
      <alignment vertical="center" wrapText="1"/>
    </xf>
    <xf numFmtId="0" fontId="22" fillId="0" borderId="0" xfId="0" applyFont="1" applyAlignment="1">
      <alignment horizontal="left" vertical="center"/>
    </xf>
    <xf numFmtId="0" fontId="0" fillId="0" borderId="0" xfId="0" applyAlignment="1">
      <alignment wrapText="1"/>
    </xf>
    <xf numFmtId="10" fontId="0" fillId="0" borderId="0" xfId="0" applyNumberFormat="1"/>
    <xf numFmtId="170" fontId="0" fillId="0" borderId="0" xfId="0" applyNumberFormat="1"/>
    <xf numFmtId="16" fontId="0" fillId="0" borderId="0" xfId="0" applyNumberFormat="1"/>
    <xf numFmtId="0" fontId="19" fillId="0" borderId="5" xfId="0" applyFont="1" applyBorder="1"/>
    <xf numFmtId="0" fontId="1" fillId="2" borderId="5" xfId="0" applyFont="1" applyFill="1" applyBorder="1" applyAlignment="1">
      <alignment horizontal="center" vertical="center"/>
    </xf>
    <xf numFmtId="1" fontId="0" fillId="0" borderId="0" xfId="0" applyNumberFormat="1"/>
    <xf numFmtId="16" fontId="4" fillId="0" borderId="5" xfId="0" applyNumberFormat="1" applyFont="1" applyBorder="1" applyAlignment="1" applyProtection="1">
      <alignment horizontal="center" vertical="center"/>
      <protection locked="0"/>
    </xf>
    <xf numFmtId="165" fontId="6" fillId="0" borderId="5" xfId="0" applyNumberFormat="1" applyFont="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4" fillId="0" borderId="5" xfId="0" applyFont="1" applyBorder="1" applyAlignment="1" applyProtection="1">
      <alignment vertical="center" wrapText="1"/>
      <protection locked="0"/>
    </xf>
    <xf numFmtId="165" fontId="3" fillId="0" borderId="5" xfId="0" applyNumberFormat="1" applyFont="1" applyBorder="1" applyAlignment="1" applyProtection="1">
      <alignment horizontal="center" vertical="center" wrapText="1"/>
      <protection locked="0"/>
    </xf>
    <xf numFmtId="0" fontId="4" fillId="0" borderId="0" xfId="0" applyFont="1" applyAlignment="1" applyProtection="1">
      <alignment vertical="center"/>
      <protection locked="0"/>
    </xf>
    <xf numFmtId="0" fontId="4" fillId="0" borderId="11" xfId="0" applyFont="1" applyBorder="1" applyAlignment="1" applyProtection="1">
      <alignment horizontal="center" vertical="center"/>
      <protection locked="0"/>
    </xf>
    <xf numFmtId="0" fontId="4" fillId="0" borderId="10" xfId="0" applyFont="1" applyBorder="1" applyAlignment="1" applyProtection="1">
      <alignment vertical="center" wrapText="1"/>
      <protection locked="0"/>
    </xf>
    <xf numFmtId="0" fontId="4" fillId="0" borderId="9" xfId="0" applyFont="1" applyBorder="1" applyAlignment="1" applyProtection="1">
      <alignment wrapText="1"/>
      <protection locked="0"/>
    </xf>
    <xf numFmtId="0" fontId="4" fillId="0" borderId="5" xfId="0" applyFont="1" applyBorder="1" applyAlignment="1" applyProtection="1">
      <alignment vertical="center"/>
      <protection locked="0"/>
    </xf>
    <xf numFmtId="0" fontId="4" fillId="0" borderId="11" xfId="0" applyFont="1" applyBorder="1" applyAlignment="1" applyProtection="1">
      <alignment wrapText="1"/>
      <protection locked="0"/>
    </xf>
    <xf numFmtId="0" fontId="4" fillId="0" borderId="5" xfId="0" applyFont="1" applyBorder="1" applyAlignment="1" applyProtection="1">
      <alignment wrapText="1"/>
      <protection locked="0"/>
    </xf>
    <xf numFmtId="0" fontId="4" fillId="0" borderId="0" xfId="0" applyFont="1" applyAlignment="1" applyProtection="1">
      <alignment horizontal="left" vertical="center" wrapText="1"/>
      <protection locked="0"/>
    </xf>
    <xf numFmtId="0" fontId="4" fillId="0" borderId="0" xfId="0" applyFont="1" applyAlignment="1" applyProtection="1">
      <alignment horizontal="center" vertical="center"/>
      <protection locked="0"/>
    </xf>
    <xf numFmtId="0" fontId="4" fillId="0" borderId="0" xfId="0" applyFont="1" applyProtection="1">
      <protection locked="0"/>
    </xf>
    <xf numFmtId="0" fontId="4" fillId="0" borderId="0" xfId="0" applyFont="1" applyAlignment="1" applyProtection="1">
      <alignment vertical="center" wrapText="1"/>
      <protection locked="0"/>
    </xf>
    <xf numFmtId="0" fontId="4" fillId="6" borderId="5" xfId="0" applyFont="1" applyFill="1" applyBorder="1" applyAlignment="1" applyProtection="1">
      <alignment vertical="center"/>
      <protection locked="0"/>
    </xf>
    <xf numFmtId="0" fontId="4" fillId="0" borderId="8" xfId="0" applyFont="1" applyBorder="1" applyAlignment="1" applyProtection="1">
      <alignment horizontal="center" vertical="center" wrapText="1"/>
      <protection locked="0"/>
    </xf>
    <xf numFmtId="165" fontId="6" fillId="0" borderId="8" xfId="0" applyNumberFormat="1" applyFont="1" applyBorder="1" applyAlignment="1" applyProtection="1">
      <alignment horizontal="center" vertical="center" wrapText="1"/>
      <protection locked="0"/>
    </xf>
    <xf numFmtId="3" fontId="4" fillId="6" borderId="5" xfId="0" applyNumberFormat="1" applyFont="1" applyFill="1" applyBorder="1" applyAlignment="1" applyProtection="1">
      <alignment vertical="center"/>
      <protection locked="0"/>
    </xf>
    <xf numFmtId="0" fontId="4" fillId="0" borderId="8" xfId="0" applyFont="1" applyBorder="1" applyAlignment="1" applyProtection="1">
      <alignment vertical="center" wrapText="1"/>
      <protection locked="0"/>
    </xf>
    <xf numFmtId="16" fontId="10" fillId="0" borderId="5" xfId="0" applyNumberFormat="1" applyFont="1" applyBorder="1" applyAlignment="1" applyProtection="1">
      <alignment horizontal="center" vertical="center"/>
      <protection locked="0"/>
    </xf>
    <xf numFmtId="16" fontId="8" fillId="0" borderId="5" xfId="0" applyNumberFormat="1" applyFont="1" applyBorder="1" applyAlignment="1" applyProtection="1">
      <alignment horizontal="center" vertical="center"/>
      <protection locked="0"/>
    </xf>
    <xf numFmtId="0" fontId="7" fillId="0" borderId="8" xfId="0" applyFont="1" applyBorder="1" applyAlignment="1" applyProtection="1">
      <alignment vertical="center" wrapText="1"/>
      <protection locked="0"/>
    </xf>
    <xf numFmtId="0" fontId="5" fillId="0" borderId="8" xfId="0" applyFont="1" applyBorder="1" applyAlignment="1" applyProtection="1">
      <alignment horizontal="center" vertical="center" wrapText="1"/>
      <protection locked="0"/>
    </xf>
    <xf numFmtId="16" fontId="9" fillId="0" borderId="5" xfId="0" applyNumberFormat="1" applyFont="1" applyBorder="1" applyAlignment="1" applyProtection="1">
      <alignment horizontal="center" vertical="center"/>
      <protection locked="0"/>
    </xf>
    <xf numFmtId="166" fontId="11" fillId="0" borderId="5" xfId="0" applyNumberFormat="1" applyFont="1" applyBorder="1" applyAlignment="1" applyProtection="1">
      <alignment horizontal="center" vertical="center"/>
      <protection locked="0"/>
    </xf>
    <xf numFmtId="16" fontId="11" fillId="0" borderId="5" xfId="0" applyNumberFormat="1" applyFont="1" applyBorder="1" applyAlignment="1" applyProtection="1">
      <alignment horizontal="center" vertical="center"/>
      <protection locked="0"/>
    </xf>
    <xf numFmtId="0" fontId="4" fillId="0" borderId="5" xfId="0" applyFont="1" applyBorder="1" applyProtection="1">
      <protection locked="0"/>
    </xf>
    <xf numFmtId="0" fontId="4" fillId="0" borderId="10" xfId="0" applyFont="1" applyBorder="1" applyAlignment="1" applyProtection="1">
      <alignment wrapText="1"/>
      <protection locked="0"/>
    </xf>
    <xf numFmtId="0" fontId="4" fillId="0" borderId="2" xfId="0" applyFont="1" applyBorder="1" applyAlignment="1" applyProtection="1">
      <alignment vertical="center" wrapText="1"/>
      <protection locked="0"/>
    </xf>
    <xf numFmtId="165" fontId="6" fillId="0" borderId="2" xfId="0" applyNumberFormat="1" applyFont="1" applyBorder="1" applyAlignment="1" applyProtection="1">
      <alignment horizontal="center" vertical="center" wrapText="1"/>
      <protection locked="0"/>
    </xf>
    <xf numFmtId="166" fontId="11" fillId="0" borderId="11" xfId="0" applyNumberFormat="1"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0" fontId="25" fillId="0" borderId="8" xfId="0" applyFont="1" applyBorder="1" applyAlignment="1" applyProtection="1">
      <alignment vertical="center" wrapText="1"/>
      <protection locked="0"/>
    </xf>
    <xf numFmtId="165" fontId="3" fillId="0" borderId="8" xfId="0" applyNumberFormat="1" applyFont="1" applyBorder="1" applyAlignment="1" applyProtection="1">
      <alignment horizontal="center" vertical="center" wrapText="1"/>
      <protection locked="0"/>
    </xf>
    <xf numFmtId="3" fontId="4" fillId="0" borderId="0" xfId="0" applyNumberFormat="1" applyFont="1" applyAlignment="1" applyProtection="1">
      <alignment vertical="center"/>
      <protection locked="0"/>
    </xf>
    <xf numFmtId="0" fontId="4" fillId="0" borderId="0" xfId="0" applyFont="1" applyAlignment="1" applyProtection="1">
      <alignment horizontal="center" vertical="center" wrapText="1"/>
      <protection locked="0"/>
    </xf>
    <xf numFmtId="165" fontId="3" fillId="0" borderId="0" xfId="0" applyNumberFormat="1" applyFont="1" applyAlignment="1" applyProtection="1">
      <alignment horizontal="center" vertical="center" wrapText="1"/>
      <protection locked="0"/>
    </xf>
    <xf numFmtId="0" fontId="25" fillId="0" borderId="5" xfId="0" applyFont="1" applyBorder="1" applyAlignment="1">
      <alignment horizontal="center" vertical="center"/>
    </xf>
    <xf numFmtId="0" fontId="25" fillId="0" borderId="5" xfId="0" applyFont="1" applyBorder="1" applyAlignment="1">
      <alignment horizontal="center" vertical="center" wrapText="1"/>
    </xf>
    <xf numFmtId="0" fontId="4" fillId="0" borderId="9" xfId="0" applyFont="1" applyBorder="1" applyAlignment="1">
      <alignment horizontal="center" vertical="center" wrapText="1"/>
    </xf>
    <xf numFmtId="169" fontId="4" fillId="0" borderId="11" xfId="0" applyNumberFormat="1" applyFont="1" applyBorder="1" applyAlignment="1">
      <alignment horizontal="center" vertical="center" wrapText="1"/>
    </xf>
    <xf numFmtId="165" fontId="4" fillId="0" borderId="5" xfId="0" applyNumberFormat="1" applyFont="1" applyBorder="1" applyAlignment="1">
      <alignment horizontal="center" vertical="center" wrapText="1"/>
    </xf>
    <xf numFmtId="165" fontId="4" fillId="0" borderId="11" xfId="0" applyNumberFormat="1" applyFont="1" applyBorder="1" applyAlignment="1">
      <alignment horizontal="center" vertical="center" wrapText="1"/>
    </xf>
    <xf numFmtId="0" fontId="4" fillId="0" borderId="5" xfId="0" applyFont="1" applyBorder="1" applyAlignment="1">
      <alignment horizontal="left" vertical="center"/>
    </xf>
    <xf numFmtId="16" fontId="4" fillId="0" borderId="5" xfId="0" applyNumberFormat="1" applyFont="1" applyBorder="1" applyAlignment="1">
      <alignment horizontal="center" vertical="center"/>
    </xf>
    <xf numFmtId="0" fontId="4" fillId="0" borderId="5" xfId="0" applyFont="1" applyBorder="1" applyAlignment="1">
      <alignment horizontal="left" vertical="center" wrapText="1"/>
    </xf>
    <xf numFmtId="165" fontId="6" fillId="0" borderId="5" xfId="0" applyNumberFormat="1" applyFont="1" applyBorder="1" applyAlignment="1">
      <alignment horizontal="center" vertical="center" wrapText="1"/>
    </xf>
    <xf numFmtId="1" fontId="6" fillId="0" borderId="5" xfId="0" applyNumberFormat="1" applyFont="1" applyBorder="1" applyAlignment="1">
      <alignment horizontal="center" vertical="center" wrapText="1"/>
    </xf>
    <xf numFmtId="9" fontId="4" fillId="0" borderId="5" xfId="0" applyNumberFormat="1" applyFont="1" applyBorder="1" applyAlignment="1">
      <alignment horizontal="center" vertical="center" wrapText="1"/>
    </xf>
    <xf numFmtId="16" fontId="4" fillId="0" borderId="5" xfId="0" applyNumberFormat="1" applyFont="1" applyBorder="1" applyAlignment="1">
      <alignment horizontal="center" vertical="center" wrapText="1"/>
    </xf>
    <xf numFmtId="166" fontId="4" fillId="0" borderId="5" xfId="0" applyNumberFormat="1" applyFont="1" applyBorder="1" applyAlignment="1">
      <alignment horizontal="center" vertical="center"/>
    </xf>
    <xf numFmtId="166" fontId="4" fillId="0" borderId="7" xfId="0" applyNumberFormat="1" applyFont="1" applyBorder="1" applyAlignment="1">
      <alignment horizontal="center" vertical="center"/>
    </xf>
    <xf numFmtId="0" fontId="5" fillId="0" borderId="5" xfId="0" applyFont="1" applyBorder="1" applyAlignment="1">
      <alignment horizontal="center" vertical="center"/>
    </xf>
    <xf numFmtId="0" fontId="4" fillId="0" borderId="5" xfId="0" applyFont="1" applyBorder="1" applyAlignment="1">
      <alignment vertical="center" wrapText="1"/>
    </xf>
    <xf numFmtId="0" fontId="4" fillId="0" borderId="8" xfId="0" applyFont="1" applyBorder="1" applyAlignment="1">
      <alignment horizontal="left" vertical="center" wrapText="1"/>
    </xf>
    <xf numFmtId="166" fontId="4" fillId="0" borderId="5" xfId="0" applyNumberFormat="1" applyFont="1" applyBorder="1" applyAlignment="1">
      <alignment horizontal="center" vertical="center" wrapText="1"/>
    </xf>
    <xf numFmtId="166" fontId="7" fillId="0" borderId="5" xfId="0" applyNumberFormat="1" applyFont="1" applyBorder="1" applyAlignment="1">
      <alignment horizontal="center" vertical="center"/>
    </xf>
    <xf numFmtId="0" fontId="7" fillId="0" borderId="5" xfId="0" applyFont="1" applyBorder="1" applyAlignment="1">
      <alignment horizontal="center" vertical="center" wrapText="1"/>
    </xf>
    <xf numFmtId="0" fontId="5" fillId="0" borderId="5" xfId="0" applyFont="1" applyBorder="1" applyAlignment="1">
      <alignment horizontal="center" vertical="center" wrapText="1"/>
    </xf>
    <xf numFmtId="0" fontId="4" fillId="0" borderId="7" xfId="0" applyFont="1" applyBorder="1" applyAlignment="1">
      <alignment horizontal="center" vertical="center"/>
    </xf>
    <xf numFmtId="0" fontId="7" fillId="0" borderId="5" xfId="0" applyFont="1" applyBorder="1" applyAlignment="1">
      <alignment vertical="center" wrapText="1"/>
    </xf>
    <xf numFmtId="17" fontId="4" fillId="0" borderId="5" xfId="0" applyNumberFormat="1" applyFont="1" applyBorder="1" applyAlignment="1">
      <alignment horizontal="center" vertical="center"/>
    </xf>
    <xf numFmtId="166" fontId="7" fillId="0" borderId="5" xfId="0" applyNumberFormat="1" applyFont="1" applyBorder="1" applyAlignment="1">
      <alignment horizontal="center" vertical="center" wrapText="1"/>
    </xf>
    <xf numFmtId="0" fontId="7" fillId="0" borderId="5" xfId="0" applyFont="1" applyBorder="1" applyAlignment="1">
      <alignment horizontal="center" vertical="center"/>
    </xf>
    <xf numFmtId="0" fontId="15" fillId="0" borderId="5" xfId="0" applyFont="1" applyBorder="1" applyAlignment="1">
      <alignment horizontal="center" vertical="center" wrapText="1"/>
    </xf>
    <xf numFmtId="16" fontId="7" fillId="0" borderId="5" xfId="0" applyNumberFormat="1" applyFont="1" applyBorder="1" applyAlignment="1">
      <alignment horizontal="center" vertical="center" wrapText="1"/>
    </xf>
    <xf numFmtId="0" fontId="4" fillId="6" borderId="5" xfId="0" applyFont="1" applyFill="1" applyBorder="1" applyAlignment="1">
      <alignment horizontal="left" vertical="center"/>
    </xf>
    <xf numFmtId="165" fontId="17" fillId="0" borderId="5" xfId="0" applyNumberFormat="1" applyFont="1" applyBorder="1" applyAlignment="1">
      <alignment horizontal="center" vertical="center" wrapText="1"/>
    </xf>
    <xf numFmtId="165" fontId="7" fillId="0" borderId="5" xfId="0" applyNumberFormat="1" applyFont="1" applyBorder="1" applyAlignment="1">
      <alignment horizontal="center" vertical="center" wrapText="1"/>
    </xf>
    <xf numFmtId="0" fontId="7" fillId="0" borderId="5" xfId="0" applyFont="1" applyBorder="1" applyAlignment="1">
      <alignment horizontal="left" vertical="center"/>
    </xf>
    <xf numFmtId="0" fontId="7" fillId="0" borderId="5" xfId="0" applyFont="1" applyBorder="1" applyAlignment="1">
      <alignment horizontal="left" vertical="center" wrapText="1"/>
    </xf>
    <xf numFmtId="165" fontId="3" fillId="0" borderId="5" xfId="0" applyNumberFormat="1" applyFont="1" applyBorder="1" applyAlignment="1">
      <alignment horizontal="center" vertical="center" wrapText="1"/>
    </xf>
    <xf numFmtId="0" fontId="4" fillId="0" borderId="11" xfId="0" applyFont="1" applyBorder="1" applyAlignment="1">
      <alignment horizontal="center" vertical="center"/>
    </xf>
    <xf numFmtId="166" fontId="4" fillId="0" borderId="10" xfId="0" applyNumberFormat="1" applyFont="1" applyBorder="1" applyAlignment="1">
      <alignment horizontal="center" vertical="center"/>
    </xf>
    <xf numFmtId="166" fontId="4" fillId="0" borderId="6" xfId="0" applyNumberFormat="1" applyFont="1" applyBorder="1" applyAlignment="1">
      <alignment horizontal="center" vertical="center"/>
    </xf>
    <xf numFmtId="0" fontId="4" fillId="0" borderId="10" xfId="0" applyFont="1" applyBorder="1" applyAlignment="1">
      <alignment vertical="center" wrapText="1"/>
    </xf>
    <xf numFmtId="0" fontId="4" fillId="0" borderId="9" xfId="0" applyFont="1" applyBorder="1" applyAlignment="1">
      <alignment wrapText="1"/>
    </xf>
    <xf numFmtId="0" fontId="4" fillId="0" borderId="5" xfId="0" applyFont="1" applyBorder="1" applyAlignment="1">
      <alignment vertical="center"/>
    </xf>
    <xf numFmtId="0" fontId="4" fillId="0" borderId="5" xfId="0" applyFont="1" applyBorder="1" applyAlignment="1">
      <alignment wrapText="1"/>
    </xf>
    <xf numFmtId="0" fontId="4" fillId="0" borderId="11" xfId="0" applyFont="1" applyBorder="1" applyAlignment="1">
      <alignment wrapText="1"/>
    </xf>
    <xf numFmtId="0" fontId="4" fillId="0" borderId="10" xfId="0" applyFont="1" applyBorder="1" applyAlignment="1">
      <alignment wrapText="1"/>
    </xf>
    <xf numFmtId="166" fontId="4" fillId="0" borderId="11" xfId="0" applyNumberFormat="1" applyFont="1" applyBorder="1" applyAlignment="1">
      <alignment horizontal="center" vertical="center"/>
    </xf>
    <xf numFmtId="166" fontId="4" fillId="0" borderId="3" xfId="0" applyNumberFormat="1" applyFont="1" applyBorder="1" applyAlignment="1">
      <alignment horizontal="center" vertical="center"/>
    </xf>
    <xf numFmtId="0" fontId="4" fillId="0" borderId="11" xfId="0" applyFont="1" applyBorder="1" applyAlignment="1">
      <alignment vertical="center" wrapText="1"/>
    </xf>
    <xf numFmtId="0" fontId="25" fillId="0" borderId="5" xfId="0" applyFont="1" applyBorder="1" applyAlignment="1">
      <alignment horizontal="left" vertical="center"/>
    </xf>
    <xf numFmtId="0" fontId="25" fillId="0" borderId="5" xfId="0" applyFont="1" applyBorder="1" applyAlignment="1">
      <alignment horizontal="left" vertical="center" wrapText="1"/>
    </xf>
    <xf numFmtId="165" fontId="27" fillId="0" borderId="5" xfId="0" applyNumberFormat="1" applyFont="1" applyBorder="1" applyAlignment="1">
      <alignment horizontal="center" vertical="center" wrapText="1"/>
    </xf>
    <xf numFmtId="1" fontId="26" fillId="0" borderId="5" xfId="0" applyNumberFormat="1" applyFont="1" applyBorder="1" applyAlignment="1">
      <alignment horizontal="center" vertical="center" wrapText="1"/>
    </xf>
    <xf numFmtId="9" fontId="25" fillId="0" borderId="5" xfId="0" applyNumberFormat="1" applyFont="1" applyBorder="1" applyAlignment="1">
      <alignment horizontal="center" vertical="center" wrapText="1"/>
    </xf>
    <xf numFmtId="166" fontId="25" fillId="0" borderId="5" xfId="0" applyNumberFormat="1" applyFont="1" applyBorder="1" applyAlignment="1">
      <alignment horizontal="center" vertical="center" wrapText="1"/>
    </xf>
    <xf numFmtId="166" fontId="25" fillId="0" borderId="5" xfId="0" applyNumberFormat="1" applyFont="1" applyBorder="1" applyAlignment="1">
      <alignment horizontal="center" vertical="center"/>
    </xf>
    <xf numFmtId="166" fontId="25" fillId="0" borderId="7" xfId="0" applyNumberFormat="1" applyFont="1" applyBorder="1" applyAlignment="1">
      <alignment horizontal="center" vertical="center"/>
    </xf>
    <xf numFmtId="0" fontId="25" fillId="0" borderId="5" xfId="0" applyFont="1" applyBorder="1" applyAlignment="1">
      <alignment vertical="center" wrapText="1"/>
    </xf>
    <xf numFmtId="165" fontId="6" fillId="7" borderId="5" xfId="0" applyNumberFormat="1" applyFont="1" applyFill="1" applyBorder="1" applyAlignment="1">
      <alignment horizontal="center" vertical="center" wrapText="1"/>
    </xf>
    <xf numFmtId="0" fontId="17" fillId="0" borderId="5" xfId="0" applyFont="1" applyBorder="1" applyAlignment="1">
      <alignment horizontal="center" vertical="center"/>
    </xf>
    <xf numFmtId="0" fontId="4" fillId="0" borderId="0" xfId="0" applyFont="1" applyAlignment="1">
      <alignment wrapText="1"/>
    </xf>
    <xf numFmtId="0" fontId="4" fillId="4" borderId="11" xfId="0" applyFont="1" applyFill="1" applyBorder="1" applyAlignment="1">
      <alignment horizontal="center" vertical="center" wrapText="1"/>
    </xf>
    <xf numFmtId="166" fontId="4" fillId="4" borderId="11" xfId="0" applyNumberFormat="1" applyFont="1" applyFill="1" applyBorder="1" applyAlignment="1">
      <alignment horizontal="center" vertical="center" wrapText="1"/>
    </xf>
    <xf numFmtId="166" fontId="4" fillId="4" borderId="5" xfId="0" applyNumberFormat="1" applyFont="1" applyFill="1" applyBorder="1" applyAlignment="1">
      <alignment horizontal="center" vertical="center" wrapText="1"/>
    </xf>
    <xf numFmtId="166" fontId="4" fillId="4" borderId="3" xfId="0" applyNumberFormat="1" applyFont="1" applyFill="1" applyBorder="1" applyAlignment="1">
      <alignment horizontal="center" vertical="center" wrapText="1"/>
    </xf>
    <xf numFmtId="0" fontId="3" fillId="0" borderId="5" xfId="0" applyFont="1" applyBorder="1" applyAlignment="1">
      <alignment horizontal="center" vertical="center" wrapText="1"/>
    </xf>
    <xf numFmtId="0" fontId="3" fillId="0" borderId="5" xfId="0" applyFont="1" applyBorder="1" applyAlignment="1">
      <alignment horizontal="center" vertical="center"/>
    </xf>
    <xf numFmtId="0" fontId="17" fillId="0" borderId="5" xfId="0" applyFont="1" applyBorder="1" applyAlignment="1">
      <alignment horizontal="left" vertical="center" wrapText="1"/>
    </xf>
    <xf numFmtId="0" fontId="4" fillId="0" borderId="5" xfId="0" applyFont="1" applyBorder="1" applyAlignment="1" applyProtection="1">
      <alignment horizontal="center" vertical="center" wrapText="1"/>
      <protection locked="0"/>
    </xf>
    <xf numFmtId="165" fontId="14" fillId="0" borderId="5" xfId="0" applyNumberFormat="1" applyFont="1" applyBorder="1" applyAlignment="1" applyProtection="1">
      <alignment horizontal="center" vertical="center" wrapText="1"/>
      <protection locked="0"/>
    </xf>
    <xf numFmtId="0" fontId="4" fillId="0" borderId="5" xfId="0" applyFont="1" applyBorder="1" applyAlignment="1" applyProtection="1">
      <alignment horizontal="left" vertical="center" wrapText="1"/>
      <protection locked="0"/>
    </xf>
    <xf numFmtId="166" fontId="4" fillId="0" borderId="11" xfId="0" applyNumberFormat="1" applyFont="1" applyBorder="1" applyAlignment="1">
      <alignment horizontal="center" vertical="center" wrapText="1"/>
    </xf>
    <xf numFmtId="166" fontId="4" fillId="0" borderId="5" xfId="0" applyNumberFormat="1" applyFont="1" applyBorder="1" applyAlignment="1" applyProtection="1">
      <alignment horizontal="center" vertical="center"/>
      <protection locked="0"/>
    </xf>
    <xf numFmtId="0" fontId="4" fillId="3" borderId="5" xfId="0" applyFont="1" applyFill="1" applyBorder="1" applyAlignment="1">
      <alignment horizontal="left" vertical="center"/>
    </xf>
    <xf numFmtId="0" fontId="4" fillId="6" borderId="5" xfId="0" applyFont="1" applyFill="1" applyBorder="1" applyAlignment="1">
      <alignment horizontal="center" vertical="center"/>
    </xf>
    <xf numFmtId="0" fontId="4" fillId="8" borderId="5" xfId="0" applyFont="1" applyFill="1" applyBorder="1" applyAlignment="1">
      <alignment horizontal="center" vertical="center"/>
    </xf>
    <xf numFmtId="179" fontId="4" fillId="0" borderId="5" xfId="0" applyNumberFormat="1" applyFont="1" applyBorder="1" applyAlignment="1">
      <alignment horizontal="center" vertical="center"/>
    </xf>
    <xf numFmtId="0" fontId="4" fillId="2" borderId="5"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5" xfId="0" applyFont="1" applyFill="1" applyBorder="1" applyAlignment="1">
      <alignment horizontal="center" vertical="center" wrapText="1"/>
    </xf>
    <xf numFmtId="0" fontId="4" fillId="3" borderId="5" xfId="0" applyFont="1" applyFill="1" applyBorder="1" applyAlignment="1">
      <alignment horizontal="center" vertical="center"/>
    </xf>
    <xf numFmtId="0" fontId="4" fillId="3" borderId="5" xfId="0" applyFont="1" applyFill="1" applyBorder="1" applyAlignment="1">
      <alignment horizontal="center" vertical="center" wrapText="1"/>
    </xf>
    <xf numFmtId="0" fontId="4" fillId="11" borderId="5" xfId="0" applyFont="1" applyFill="1" applyBorder="1" applyAlignment="1">
      <alignment horizontal="left" vertical="center"/>
    </xf>
    <xf numFmtId="165" fontId="14" fillId="0" borderId="8" xfId="0" applyNumberFormat="1" applyFont="1" applyBorder="1" applyAlignment="1" applyProtection="1">
      <alignment horizontal="center" vertical="center" wrapText="1"/>
      <protection locked="0"/>
    </xf>
    <xf numFmtId="165" fontId="7" fillId="0" borderId="8" xfId="0" applyNumberFormat="1" applyFont="1" applyBorder="1" applyAlignment="1" applyProtection="1">
      <alignment horizontal="center" vertical="center" wrapText="1"/>
      <protection locked="0"/>
    </xf>
    <xf numFmtId="0" fontId="4" fillId="0" borderId="10" xfId="0" applyFont="1" applyBorder="1" applyAlignment="1">
      <alignment horizontal="center" vertical="center"/>
    </xf>
    <xf numFmtId="0" fontId="4" fillId="0" borderId="10" xfId="0" applyFont="1" applyBorder="1" applyAlignment="1" applyProtection="1">
      <alignment vertical="center"/>
      <protection locked="0"/>
    </xf>
    <xf numFmtId="0" fontId="4" fillId="0" borderId="10" xfId="0" applyFont="1" applyBorder="1" applyAlignment="1" applyProtection="1">
      <alignment horizontal="center" vertical="center"/>
      <protection locked="0"/>
    </xf>
    <xf numFmtId="166" fontId="4" fillId="0" borderId="10" xfId="0" applyNumberFormat="1" applyFont="1" applyBorder="1" applyAlignment="1" applyProtection="1">
      <alignment horizontal="center" vertical="center"/>
      <protection locked="0"/>
    </xf>
    <xf numFmtId="0" fontId="4" fillId="0" borderId="10" xfId="0" applyFont="1" applyBorder="1" applyAlignment="1" applyProtection="1">
      <alignment horizontal="center" vertical="center" wrapText="1"/>
      <protection locked="0"/>
    </xf>
    <xf numFmtId="165" fontId="14" fillId="0" borderId="10" xfId="0" applyNumberFormat="1" applyFont="1" applyBorder="1" applyAlignment="1" applyProtection="1">
      <alignment horizontal="center" vertical="center" wrapText="1"/>
      <protection locked="0"/>
    </xf>
    <xf numFmtId="165" fontId="3" fillId="0" borderId="10" xfId="0" applyNumberFormat="1" applyFont="1" applyBorder="1" applyAlignment="1" applyProtection="1">
      <alignment horizontal="center" vertical="center" wrapText="1"/>
      <protection locked="0"/>
    </xf>
    <xf numFmtId="0" fontId="4" fillId="0" borderId="10" xfId="0" applyFont="1" applyBorder="1" applyAlignment="1" applyProtection="1">
      <alignment horizontal="left" vertical="center" wrapText="1"/>
      <protection locked="0"/>
    </xf>
    <xf numFmtId="0" fontId="4" fillId="0" borderId="5" xfId="0" applyFont="1" applyBorder="1" applyAlignment="1" applyProtection="1">
      <alignment horizontal="left" vertical="center"/>
      <protection locked="0"/>
    </xf>
    <xf numFmtId="16" fontId="4" fillId="0" borderId="10" xfId="0" applyNumberFormat="1" applyFont="1" applyBorder="1" applyAlignment="1" applyProtection="1">
      <alignment horizontal="center" vertical="center"/>
      <protection locked="0"/>
    </xf>
    <xf numFmtId="17" fontId="4" fillId="0" borderId="5" xfId="0" applyNumberFormat="1" applyFont="1" applyBorder="1" applyAlignment="1">
      <alignment horizontal="left" vertical="center" wrapText="1"/>
    </xf>
    <xf numFmtId="0" fontId="4" fillId="0" borderId="11" xfId="0" applyFont="1" applyBorder="1" applyAlignment="1">
      <alignment horizontal="center" vertical="center" wrapText="1"/>
    </xf>
    <xf numFmtId="0" fontId="4" fillId="0" borderId="2" xfId="0" applyFont="1" applyBorder="1" applyAlignment="1">
      <alignment horizontal="center" vertical="center" wrapText="1"/>
    </xf>
    <xf numFmtId="165" fontId="14" fillId="0" borderId="5" xfId="0" applyNumberFormat="1" applyFont="1" applyBorder="1" applyAlignment="1">
      <alignment horizontal="center" vertical="center" wrapText="1"/>
    </xf>
    <xf numFmtId="0" fontId="30" fillId="0" borderId="5" xfId="0" applyFont="1" applyBorder="1" applyAlignment="1">
      <alignment horizontal="center" vertical="center" wrapText="1"/>
    </xf>
    <xf numFmtId="165" fontId="33" fillId="0" borderId="10" xfId="0" applyNumberFormat="1" applyFont="1" applyBorder="1" applyAlignment="1">
      <alignment horizontal="center" vertical="center" wrapText="1"/>
    </xf>
    <xf numFmtId="0" fontId="29" fillId="0" borderId="0" xfId="0" applyFont="1" applyAlignment="1">
      <alignment horizontal="left"/>
    </xf>
    <xf numFmtId="0" fontId="31" fillId="0" borderId="0" xfId="0" applyFont="1"/>
    <xf numFmtId="0" fontId="31" fillId="0" borderId="0" xfId="0" applyFont="1" applyAlignment="1">
      <alignment horizontal="center" vertical="center"/>
    </xf>
    <xf numFmtId="0" fontId="4" fillId="0" borderId="0" xfId="0" applyFont="1" applyAlignment="1">
      <alignment horizontal="left" vertical="center" wrapText="1"/>
    </xf>
    <xf numFmtId="0" fontId="4" fillId="0" borderId="0" xfId="0" applyFont="1" applyAlignment="1">
      <alignment horizontal="left" vertical="center"/>
    </xf>
    <xf numFmtId="3" fontId="3" fillId="0" borderId="0" xfId="0" applyNumberFormat="1" applyFont="1" applyAlignment="1">
      <alignment horizontal="center" vertical="center" wrapText="1"/>
    </xf>
    <xf numFmtId="10" fontId="3" fillId="0" borderId="0" xfId="0" applyNumberFormat="1" applyFont="1" applyAlignment="1">
      <alignment horizontal="center" vertical="center" wrapText="1"/>
    </xf>
    <xf numFmtId="0" fontId="4" fillId="0" borderId="0" xfId="0" applyFont="1" applyAlignment="1">
      <alignment vertical="center" wrapText="1"/>
    </xf>
    <xf numFmtId="0" fontId="29" fillId="0" borderId="0" xfId="0" applyFont="1"/>
    <xf numFmtId="166" fontId="4" fillId="0" borderId="7" xfId="0" applyNumberFormat="1" applyFont="1" applyBorder="1" applyAlignment="1">
      <alignment vertical="center"/>
    </xf>
    <xf numFmtId="0" fontId="4" fillId="0" borderId="14" xfId="0" applyFont="1" applyBorder="1" applyAlignment="1">
      <alignment vertical="center"/>
    </xf>
    <xf numFmtId="1" fontId="35" fillId="0" borderId="8" xfId="0" applyNumberFormat="1" applyFont="1" applyBorder="1" applyAlignment="1">
      <alignment horizontal="center" vertical="center"/>
    </xf>
    <xf numFmtId="10" fontId="4" fillId="0" borderId="0" xfId="0" applyNumberFormat="1" applyFont="1" applyAlignment="1">
      <alignment vertical="center" wrapText="1"/>
    </xf>
    <xf numFmtId="3" fontId="36" fillId="0" borderId="5" xfId="0" applyNumberFormat="1" applyFont="1" applyBorder="1" applyAlignment="1">
      <alignment horizontal="center" vertical="center" wrapText="1"/>
    </xf>
    <xf numFmtId="0" fontId="37" fillId="0" borderId="5" xfId="0" applyFont="1" applyBorder="1" applyAlignment="1">
      <alignment horizontal="center" vertical="center"/>
    </xf>
    <xf numFmtId="0" fontId="38" fillId="0" borderId="5" xfId="0" applyFont="1" applyBorder="1" applyAlignment="1">
      <alignment horizontal="center" vertical="center"/>
    </xf>
    <xf numFmtId="3" fontId="39" fillId="0" borderId="5" xfId="0" applyNumberFormat="1" applyFont="1" applyBorder="1" applyAlignment="1">
      <alignment horizontal="center" vertical="center" wrapText="1"/>
    </xf>
    <xf numFmtId="0" fontId="9" fillId="0" borderId="5" xfId="0" applyFont="1" applyBorder="1" applyAlignment="1">
      <alignment horizontal="center" vertical="center"/>
    </xf>
    <xf numFmtId="10" fontId="37" fillId="0" borderId="5" xfId="0" applyNumberFormat="1" applyFont="1" applyBorder="1" applyAlignment="1">
      <alignment horizontal="center" vertical="center" wrapText="1"/>
    </xf>
    <xf numFmtId="10" fontId="39" fillId="0" borderId="5" xfId="0" applyNumberFormat="1" applyFont="1" applyBorder="1" applyAlignment="1">
      <alignment horizontal="center" vertical="center" wrapText="1"/>
    </xf>
    <xf numFmtId="0" fontId="4" fillId="0" borderId="0" xfId="0" applyFont="1" applyAlignment="1">
      <alignment horizontal="left"/>
    </xf>
    <xf numFmtId="0" fontId="5" fillId="0" borderId="0" xfId="0" applyFont="1" applyAlignment="1">
      <alignment horizontal="left" vertical="center"/>
    </xf>
    <xf numFmtId="166" fontId="4" fillId="0" borderId="0" xfId="0" applyNumberFormat="1" applyFont="1" applyAlignment="1">
      <alignment horizontal="center" vertical="center"/>
    </xf>
    <xf numFmtId="166" fontId="4" fillId="0" borderId="5" xfId="0" applyNumberFormat="1" applyFont="1" applyBorder="1" applyAlignment="1">
      <alignment horizontal="left" vertical="center" wrapText="1"/>
    </xf>
    <xf numFmtId="3" fontId="41" fillId="0" borderId="5" xfId="0" applyNumberFormat="1" applyFont="1" applyBorder="1" applyAlignment="1">
      <alignment horizontal="center" vertical="center" wrapText="1"/>
    </xf>
    <xf numFmtId="10" fontId="41" fillId="0" borderId="5" xfId="0" applyNumberFormat="1" applyFont="1" applyBorder="1" applyAlignment="1">
      <alignment horizontal="center" vertical="center" wrapText="1"/>
    </xf>
    <xf numFmtId="166" fontId="41" fillId="0" borderId="5" xfId="0" applyNumberFormat="1" applyFont="1" applyBorder="1" applyAlignment="1">
      <alignment horizontal="center" vertical="center" wrapText="1"/>
    </xf>
    <xf numFmtId="166" fontId="41" fillId="0" borderId="11" xfId="0" applyNumberFormat="1" applyFont="1" applyBorder="1" applyAlignment="1">
      <alignment horizontal="center" vertical="center" wrapText="1"/>
    </xf>
    <xf numFmtId="3" fontId="40" fillId="0" borderId="5" xfId="0" applyNumberFormat="1" applyFont="1" applyBorder="1" applyAlignment="1">
      <alignment horizontal="center" vertical="center" wrapText="1"/>
    </xf>
    <xf numFmtId="0" fontId="42" fillId="0" borderId="0" xfId="0" applyFont="1" applyAlignment="1">
      <alignment horizontal="center" vertical="center" wrapText="1"/>
    </xf>
    <xf numFmtId="0" fontId="3" fillId="0" borderId="5" xfId="0" applyFont="1" applyBorder="1" applyAlignment="1" applyProtection="1">
      <alignment horizontal="center" vertical="center" wrapText="1"/>
      <protection locked="0"/>
    </xf>
    <xf numFmtId="0" fontId="18" fillId="0" borderId="0" xfId="0" applyFont="1" applyAlignment="1">
      <alignment horizontal="left" vertical="center"/>
    </xf>
    <xf numFmtId="0" fontId="1" fillId="0" borderId="5" xfId="0" applyFont="1" applyBorder="1" applyAlignment="1">
      <alignment vertical="center" wrapText="1"/>
    </xf>
    <xf numFmtId="0" fontId="43" fillId="0" borderId="0" xfId="0" applyFont="1" applyAlignment="1">
      <alignment vertical="center"/>
    </xf>
    <xf numFmtId="0" fontId="1" fillId="12" borderId="0" xfId="0" applyFont="1" applyFill="1" applyAlignment="1">
      <alignment horizontal="center" vertical="center"/>
    </xf>
    <xf numFmtId="0" fontId="1" fillId="0" borderId="0" xfId="0" applyFont="1" applyAlignment="1">
      <alignment horizontal="center" vertical="center" wrapText="1"/>
    </xf>
    <xf numFmtId="3" fontId="41" fillId="0" borderId="13" xfId="0" applyNumberFormat="1" applyFont="1" applyBorder="1" applyAlignment="1">
      <alignment horizontal="center" vertical="center" wrapText="1"/>
    </xf>
    <xf numFmtId="0" fontId="0" fillId="0" borderId="7" xfId="0" applyBorder="1" applyAlignment="1">
      <alignment vertical="center" wrapText="1"/>
    </xf>
    <xf numFmtId="9" fontId="0" fillId="0" borderId="5" xfId="0" applyNumberFormat="1" applyBorder="1" applyAlignment="1">
      <alignment horizontal="center" vertical="center"/>
    </xf>
    <xf numFmtId="9" fontId="0" fillId="0" borderId="0" xfId="0" applyNumberFormat="1"/>
    <xf numFmtId="9" fontId="0" fillId="0" borderId="0" xfId="0" applyNumberFormat="1" applyAlignment="1">
      <alignment horizontal="center" vertical="center"/>
    </xf>
    <xf numFmtId="0" fontId="1" fillId="12" borderId="5" xfId="0" applyFont="1" applyFill="1" applyBorder="1" applyAlignment="1">
      <alignment horizontal="center" vertical="center"/>
    </xf>
    <xf numFmtId="17" fontId="1" fillId="0" borderId="5" xfId="0" applyNumberFormat="1" applyFont="1" applyBorder="1" applyAlignment="1">
      <alignment horizontal="center" vertical="center" wrapText="1"/>
    </xf>
    <xf numFmtId="0" fontId="1" fillId="0" borderId="0" xfId="0" applyFont="1" applyAlignment="1">
      <alignment vertical="center" wrapText="1"/>
    </xf>
    <xf numFmtId="0" fontId="34" fillId="0" borderId="0" xfId="0" applyFont="1" applyAlignment="1">
      <alignment horizontal="left" vertical="center"/>
    </xf>
    <xf numFmtId="0" fontId="16" fillId="12" borderId="5" xfId="0" applyFont="1" applyFill="1" applyBorder="1" applyAlignment="1">
      <alignment vertical="center"/>
    </xf>
    <xf numFmtId="0" fontId="1" fillId="12" borderId="5" xfId="0" applyFont="1" applyFill="1" applyBorder="1" applyAlignment="1">
      <alignment vertical="center" wrapText="1"/>
    </xf>
    <xf numFmtId="0" fontId="1" fillId="12" borderId="5" xfId="0" applyFont="1" applyFill="1" applyBorder="1" applyAlignment="1">
      <alignment vertical="center"/>
    </xf>
    <xf numFmtId="0" fontId="1" fillId="0" borderId="4" xfId="0" applyFont="1" applyBorder="1" applyAlignment="1">
      <alignment vertical="center"/>
    </xf>
    <xf numFmtId="0" fontId="1" fillId="12" borderId="0" xfId="0" applyFont="1" applyFill="1" applyAlignment="1">
      <alignment vertical="center"/>
    </xf>
    <xf numFmtId="0" fontId="1" fillId="12" borderId="0" xfId="0" applyFont="1" applyFill="1" applyAlignment="1">
      <alignment vertical="center" wrapText="1"/>
    </xf>
    <xf numFmtId="0" fontId="1" fillId="12" borderId="0" xfId="0" quotePrefix="1" applyFont="1" applyFill="1" applyAlignment="1">
      <alignment vertical="center"/>
    </xf>
    <xf numFmtId="0" fontId="43" fillId="12" borderId="0" xfId="0" applyFont="1" applyFill="1" applyAlignment="1">
      <alignment vertical="center"/>
    </xf>
    <xf numFmtId="0" fontId="43" fillId="0" borderId="0" xfId="0" applyFont="1" applyAlignment="1">
      <alignment vertical="center" wrapText="1"/>
    </xf>
    <xf numFmtId="0" fontId="43" fillId="12" borderId="0" xfId="0" applyFont="1" applyFill="1" applyAlignment="1">
      <alignment vertical="center" wrapText="1"/>
    </xf>
    <xf numFmtId="0" fontId="43" fillId="0" borderId="0" xfId="0" quotePrefix="1" applyFont="1" applyAlignment="1">
      <alignment vertical="center" wrapText="1"/>
    </xf>
    <xf numFmtId="0" fontId="1" fillId="0" borderId="0" xfId="0" quotePrefix="1" applyFont="1" applyAlignment="1">
      <alignment vertical="center" wrapText="1"/>
    </xf>
    <xf numFmtId="9" fontId="1" fillId="0" borderId="0" xfId="0" applyNumberFormat="1" applyFont="1" applyAlignment="1">
      <alignment vertical="center" wrapText="1"/>
    </xf>
    <xf numFmtId="0" fontId="18" fillId="0" borderId="0" xfId="0" applyFont="1" applyAlignment="1">
      <alignment vertical="center"/>
    </xf>
    <xf numFmtId="0" fontId="16" fillId="2" borderId="5" xfId="0" applyFont="1" applyFill="1" applyBorder="1" applyAlignment="1">
      <alignment vertical="center"/>
    </xf>
    <xf numFmtId="0" fontId="1" fillId="2" borderId="5" xfId="0" applyFont="1" applyFill="1" applyBorder="1" applyAlignment="1">
      <alignment vertical="center" wrapText="1"/>
    </xf>
    <xf numFmtId="0" fontId="1" fillId="2" borderId="5" xfId="0" applyFont="1" applyFill="1" applyBorder="1" applyAlignment="1">
      <alignment vertical="center"/>
    </xf>
    <xf numFmtId="0" fontId="1" fillId="5" borderId="5" xfId="0" applyFont="1" applyFill="1" applyBorder="1" applyAlignment="1">
      <alignment vertical="center" wrapText="1"/>
    </xf>
    <xf numFmtId="0" fontId="4" fillId="13" borderId="5" xfId="0" applyFont="1" applyFill="1" applyBorder="1" applyAlignment="1">
      <alignment horizontal="center" vertical="center"/>
    </xf>
    <xf numFmtId="0" fontId="4" fillId="11" borderId="5" xfId="0" applyFont="1" applyFill="1" applyBorder="1" applyAlignment="1">
      <alignment horizontal="center" vertical="center"/>
    </xf>
    <xf numFmtId="0" fontId="4" fillId="8" borderId="5" xfId="0" applyFont="1" applyFill="1" applyBorder="1" applyAlignment="1" applyProtection="1">
      <alignment horizontal="center" vertical="center" wrapText="1"/>
      <protection locked="0"/>
    </xf>
    <xf numFmtId="0" fontId="4" fillId="9" borderId="5" xfId="0" applyFont="1" applyFill="1" applyBorder="1" applyAlignment="1">
      <alignment horizontal="center" vertical="center"/>
    </xf>
    <xf numFmtId="0" fontId="4" fillId="9" borderId="10" xfId="0" applyFont="1" applyFill="1" applyBorder="1" applyAlignment="1">
      <alignment horizontal="center" vertical="center"/>
    </xf>
    <xf numFmtId="0" fontId="43" fillId="0" borderId="5" xfId="0" applyFont="1" applyBorder="1" applyAlignment="1">
      <alignment vertical="center" wrapText="1"/>
    </xf>
    <xf numFmtId="17" fontId="1" fillId="0" borderId="5" xfId="0" applyNumberFormat="1" applyFont="1" applyBorder="1" applyAlignment="1">
      <alignment horizontal="center" vertical="center"/>
    </xf>
    <xf numFmtId="0" fontId="43" fillId="0" borderId="5" xfId="0" applyFont="1" applyBorder="1" applyAlignment="1">
      <alignment vertical="center"/>
    </xf>
    <xf numFmtId="0" fontId="19" fillId="0" borderId="0" xfId="0" applyFont="1" applyAlignment="1">
      <alignment wrapText="1"/>
    </xf>
    <xf numFmtId="0" fontId="19" fillId="0" borderId="5" xfId="0" applyFont="1" applyBorder="1" applyAlignment="1">
      <alignment wrapText="1"/>
    </xf>
    <xf numFmtId="16" fontId="4" fillId="2" borderId="5" xfId="0" applyNumberFormat="1" applyFont="1" applyFill="1" applyBorder="1" applyAlignment="1">
      <alignment horizontal="center" vertical="center" wrapText="1"/>
    </xf>
    <xf numFmtId="0" fontId="4" fillId="14" borderId="5" xfId="0" applyFont="1" applyFill="1" applyBorder="1" applyAlignment="1">
      <alignment horizontal="left" vertical="center"/>
    </xf>
    <xf numFmtId="0" fontId="4" fillId="14" borderId="5" xfId="0" applyFont="1" applyFill="1" applyBorder="1" applyAlignment="1">
      <alignment horizontal="center" vertical="center"/>
    </xf>
    <xf numFmtId="0" fontId="17" fillId="0" borderId="5" xfId="0" applyFont="1" applyBorder="1" applyAlignment="1" applyProtection="1">
      <alignment horizontal="left" vertical="center" wrapText="1"/>
      <protection locked="0"/>
    </xf>
    <xf numFmtId="3" fontId="4" fillId="0" borderId="5" xfId="0" applyNumberFormat="1" applyFont="1" applyBorder="1" applyAlignment="1" applyProtection="1">
      <alignment vertical="center"/>
      <protection locked="0"/>
    </xf>
    <xf numFmtId="0" fontId="4" fillId="0" borderId="10" xfId="0" applyFont="1" applyBorder="1" applyAlignment="1">
      <alignment horizontal="center" vertical="center" wrapText="1"/>
    </xf>
    <xf numFmtId="169" fontId="14" fillId="0" borderId="5" xfId="0" applyNumberFormat="1" applyFont="1" applyBorder="1" applyAlignment="1" applyProtection="1">
      <alignment horizontal="center" vertical="center" wrapText="1"/>
      <protection locked="0"/>
    </xf>
    <xf numFmtId="0" fontId="4" fillId="13" borderId="5" xfId="0" applyFont="1" applyFill="1" applyBorder="1" applyAlignment="1" applyProtection="1">
      <alignment vertical="center"/>
      <protection locked="0"/>
    </xf>
    <xf numFmtId="180" fontId="6" fillId="0" borderId="5" xfId="0" applyNumberFormat="1" applyFont="1" applyBorder="1" applyAlignment="1">
      <alignment horizontal="center" vertical="center" wrapText="1"/>
    </xf>
    <xf numFmtId="180" fontId="17" fillId="0" borderId="5" xfId="0" applyNumberFormat="1" applyFont="1" applyBorder="1" applyAlignment="1">
      <alignment horizontal="center" vertical="center" wrapText="1"/>
    </xf>
    <xf numFmtId="180" fontId="3" fillId="0" borderId="5" xfId="0" applyNumberFormat="1" applyFont="1" applyBorder="1" applyAlignment="1" applyProtection="1">
      <alignment horizontal="center" vertical="center" wrapText="1"/>
      <protection locked="0"/>
    </xf>
    <xf numFmtId="180" fontId="3" fillId="0" borderId="0" xfId="0" applyNumberFormat="1" applyFont="1" applyAlignment="1" applyProtection="1">
      <alignment horizontal="center" vertical="center" wrapText="1"/>
      <protection locked="0"/>
    </xf>
    <xf numFmtId="0" fontId="16" fillId="4" borderId="5" xfId="0" applyFont="1" applyFill="1" applyBorder="1" applyAlignment="1">
      <alignment vertical="center"/>
    </xf>
    <xf numFmtId="0" fontId="1" fillId="4" borderId="5" xfId="0" applyFont="1" applyFill="1" applyBorder="1" applyAlignment="1">
      <alignment vertical="center" wrapText="1"/>
    </xf>
    <xf numFmtId="0" fontId="1" fillId="4" borderId="5" xfId="0" applyFont="1" applyFill="1" applyBorder="1" applyAlignment="1">
      <alignment horizontal="center" vertical="center"/>
    </xf>
    <xf numFmtId="0" fontId="1" fillId="4" borderId="5" xfId="0" applyFont="1" applyFill="1" applyBorder="1" applyAlignment="1">
      <alignment vertical="center"/>
    </xf>
    <xf numFmtId="0" fontId="16" fillId="15" borderId="5" xfId="0" applyFont="1" applyFill="1" applyBorder="1" applyAlignment="1">
      <alignment vertical="center"/>
    </xf>
    <xf numFmtId="0" fontId="1" fillId="15" borderId="5" xfId="0" applyFont="1" applyFill="1" applyBorder="1" applyAlignment="1">
      <alignment vertical="center" wrapText="1"/>
    </xf>
    <xf numFmtId="0" fontId="1" fillId="15" borderId="5" xfId="0" applyFont="1" applyFill="1" applyBorder="1" applyAlignment="1">
      <alignment horizontal="center" vertical="center"/>
    </xf>
    <xf numFmtId="0" fontId="1" fillId="15" borderId="5" xfId="0" applyFont="1" applyFill="1" applyBorder="1" applyAlignment="1">
      <alignment vertical="center"/>
    </xf>
    <xf numFmtId="0" fontId="7" fillId="0" borderId="5" xfId="0" applyFont="1" applyBorder="1" applyAlignment="1" applyProtection="1">
      <alignment horizontal="center" vertical="center" wrapText="1"/>
      <protection locked="0"/>
    </xf>
    <xf numFmtId="169" fontId="14" fillId="0" borderId="10" xfId="0" applyNumberFormat="1" applyFont="1" applyBorder="1" applyAlignment="1" applyProtection="1">
      <alignment horizontal="center" vertical="center" wrapText="1"/>
      <protection locked="0"/>
    </xf>
    <xf numFmtId="180" fontId="3" fillId="0" borderId="10" xfId="0" applyNumberFormat="1" applyFont="1" applyBorder="1" applyAlignment="1" applyProtection="1">
      <alignment horizontal="center" vertical="center" wrapText="1"/>
      <protection locked="0"/>
    </xf>
    <xf numFmtId="3" fontId="4" fillId="6" borderId="10" xfId="0" applyNumberFormat="1" applyFont="1" applyFill="1" applyBorder="1" applyAlignment="1" applyProtection="1">
      <alignment vertical="center"/>
      <protection locked="0"/>
    </xf>
    <xf numFmtId="0" fontId="0" fillId="5" borderId="0" xfId="0" applyFill="1"/>
    <xf numFmtId="0" fontId="0" fillId="12" borderId="5" xfId="0" applyFill="1" applyBorder="1" applyAlignment="1">
      <alignment horizontal="center" vertical="center"/>
    </xf>
    <xf numFmtId="14" fontId="14" fillId="0" borderId="0" xfId="0" applyNumberFormat="1" applyFont="1" applyAlignment="1" applyProtection="1">
      <alignment horizontal="center" vertical="center" wrapText="1"/>
      <protection locked="0"/>
    </xf>
    <xf numFmtId="14" fontId="32" fillId="0" borderId="5" xfId="0" applyNumberFormat="1" applyFont="1" applyBorder="1" applyAlignment="1">
      <alignment horizontal="center" vertical="center" wrapText="1"/>
    </xf>
    <xf numFmtId="14" fontId="7" fillId="0" borderId="5" xfId="0" applyNumberFormat="1" applyFont="1" applyBorder="1" applyAlignment="1">
      <alignment horizontal="center" vertical="center" wrapText="1"/>
    </xf>
    <xf numFmtId="14" fontId="3" fillId="0" borderId="5" xfId="0" applyNumberFormat="1" applyFont="1" applyBorder="1" applyAlignment="1">
      <alignment horizontal="center" vertical="center" wrapText="1"/>
    </xf>
    <xf numFmtId="14" fontId="14" fillId="0" borderId="5" xfId="0" applyNumberFormat="1" applyFont="1" applyBorder="1" applyAlignment="1" applyProtection="1">
      <alignment horizontal="center" vertical="center" wrapText="1"/>
      <protection locked="0"/>
    </xf>
    <xf numFmtId="14" fontId="14" fillId="0" borderId="10" xfId="0" applyNumberFormat="1" applyFont="1" applyBorder="1" applyAlignment="1" applyProtection="1">
      <alignment horizontal="center" vertical="center" wrapText="1"/>
      <protection locked="0"/>
    </xf>
    <xf numFmtId="181" fontId="4" fillId="0" borderId="5" xfId="0" applyNumberFormat="1" applyFont="1" applyBorder="1" applyAlignment="1" applyProtection="1">
      <alignment horizontal="center" vertical="center"/>
      <protection locked="0"/>
    </xf>
    <xf numFmtId="16" fontId="4" fillId="0" borderId="8" xfId="0" applyNumberFormat="1" applyFont="1" applyBorder="1" applyAlignment="1">
      <alignment horizontal="center" vertical="center"/>
    </xf>
    <xf numFmtId="16" fontId="7" fillId="0" borderId="8" xfId="0" applyNumberFormat="1" applyFont="1" applyBorder="1" applyAlignment="1">
      <alignment horizontal="center" vertical="center" wrapText="1"/>
    </xf>
    <xf numFmtId="0" fontId="4" fillId="0" borderId="8" xfId="0" applyFont="1" applyBorder="1" applyAlignment="1">
      <alignment horizontal="center" vertical="center"/>
    </xf>
    <xf numFmtId="0" fontId="7" fillId="0" borderId="5" xfId="0" applyFont="1" applyBorder="1" applyAlignment="1" applyProtection="1">
      <alignment horizontal="left" vertical="center" wrapText="1"/>
      <protection locked="0"/>
    </xf>
    <xf numFmtId="16" fontId="4" fillId="0" borderId="0" xfId="0" applyNumberFormat="1" applyFont="1" applyAlignment="1" applyProtection="1">
      <alignment vertical="center" wrapText="1"/>
      <protection locked="0"/>
    </xf>
    <xf numFmtId="16" fontId="4" fillId="0" borderId="5" xfId="0" applyNumberFormat="1" applyFont="1" applyBorder="1" applyAlignment="1" applyProtection="1">
      <alignment horizontal="center" vertical="center" wrapText="1"/>
      <protection locked="0"/>
    </xf>
    <xf numFmtId="166" fontId="14" fillId="0" borderId="0" xfId="0" applyNumberFormat="1" applyFont="1" applyAlignment="1" applyProtection="1">
      <alignment horizontal="center" vertical="center" wrapText="1"/>
      <protection locked="0"/>
    </xf>
    <xf numFmtId="166" fontId="14" fillId="0" borderId="5" xfId="0" applyNumberFormat="1" applyFont="1" applyBorder="1" applyAlignment="1" applyProtection="1">
      <alignment horizontal="center" vertical="center" wrapText="1"/>
      <protection locked="0"/>
    </xf>
    <xf numFmtId="0" fontId="7" fillId="0" borderId="5" xfId="0" applyFont="1" applyBorder="1" applyAlignment="1" applyProtection="1">
      <alignment horizontal="center" vertical="center"/>
      <protection locked="0"/>
    </xf>
    <xf numFmtId="16" fontId="4" fillId="0" borderId="0" xfId="0" applyNumberFormat="1" applyFont="1" applyAlignment="1" applyProtection="1">
      <alignment horizontal="center" vertical="center"/>
      <protection locked="0"/>
    </xf>
    <xf numFmtId="16" fontId="4" fillId="0" borderId="4" xfId="0" applyNumberFormat="1" applyFont="1" applyBorder="1" applyAlignment="1">
      <alignment vertical="center" wrapText="1"/>
    </xf>
    <xf numFmtId="16" fontId="4" fillId="0" borderId="10" xfId="0" applyNumberFormat="1" applyFont="1" applyBorder="1" applyAlignment="1">
      <alignment vertical="center" wrapText="1"/>
    </xf>
    <xf numFmtId="16" fontId="4" fillId="0" borderId="11" xfId="0" applyNumberFormat="1" applyFont="1" applyBorder="1" applyAlignment="1">
      <alignment horizontal="center" vertical="center" wrapText="1"/>
    </xf>
    <xf numFmtId="16" fontId="4" fillId="0" borderId="5" xfId="0" applyNumberFormat="1" applyFont="1" applyBorder="1" applyAlignment="1" applyProtection="1">
      <alignment horizontal="left" vertical="center"/>
      <protection locked="0"/>
    </xf>
    <xf numFmtId="166" fontId="14" fillId="0" borderId="10" xfId="0" applyNumberFormat="1" applyFont="1" applyBorder="1" applyAlignment="1" applyProtection="1">
      <alignment horizontal="center" vertical="center" wrapText="1"/>
      <protection locked="0"/>
    </xf>
    <xf numFmtId="3" fontId="4" fillId="0" borderId="10" xfId="0" applyNumberFormat="1" applyFont="1" applyBorder="1" applyAlignment="1" applyProtection="1">
      <alignment vertical="center"/>
      <protection locked="0"/>
    </xf>
    <xf numFmtId="0" fontId="4" fillId="0" borderId="5" xfId="0" applyFont="1" applyBorder="1" applyAlignment="1">
      <alignment horizontal="center" vertical="center"/>
    </xf>
    <xf numFmtId="179" fontId="4" fillId="0" borderId="9" xfId="0" applyNumberFormat="1" applyFont="1" applyBorder="1" applyAlignment="1">
      <alignment horizontal="center" vertical="center" wrapText="1"/>
    </xf>
    <xf numFmtId="179" fontId="4" fillId="0" borderId="7" xfId="0" applyNumberFormat="1" applyFont="1" applyBorder="1" applyAlignment="1">
      <alignment horizontal="center" vertical="center" wrapText="1"/>
    </xf>
    <xf numFmtId="179" fontId="4" fillId="0" borderId="7" xfId="0" applyNumberFormat="1" applyFont="1" applyBorder="1" applyAlignment="1">
      <alignment horizontal="center" vertical="center"/>
    </xf>
    <xf numFmtId="179" fontId="4" fillId="0" borderId="5" xfId="0" applyNumberFormat="1" applyFont="1" applyBorder="1" applyAlignment="1">
      <alignment horizontal="center" vertical="center" wrapText="1"/>
    </xf>
    <xf numFmtId="179" fontId="7" fillId="0" borderId="5" xfId="0" applyNumberFormat="1" applyFont="1" applyBorder="1" applyAlignment="1">
      <alignment horizontal="center" vertical="center"/>
    </xf>
    <xf numFmtId="179" fontId="4" fillId="0" borderId="5" xfId="0" applyNumberFormat="1" applyFont="1" applyBorder="1" applyAlignment="1" applyProtection="1">
      <alignment horizontal="center" vertical="center"/>
      <protection locked="0"/>
    </xf>
    <xf numFmtId="179" fontId="4" fillId="0" borderId="10" xfId="0" applyNumberFormat="1" applyFont="1" applyBorder="1" applyAlignment="1" applyProtection="1">
      <alignment horizontal="center" vertical="center"/>
      <protection locked="0"/>
    </xf>
    <xf numFmtId="179" fontId="4" fillId="0" borderId="5" xfId="0" applyNumberFormat="1" applyFont="1" applyBorder="1" applyAlignment="1" applyProtection="1">
      <alignment horizontal="center" vertical="center" wrapText="1"/>
      <protection locked="0"/>
    </xf>
    <xf numFmtId="179" fontId="4" fillId="0" borderId="0" xfId="0" applyNumberFormat="1" applyFont="1" applyAlignment="1" applyProtection="1">
      <alignment horizontal="center" vertical="center"/>
      <protection locked="0"/>
    </xf>
    <xf numFmtId="179" fontId="7" fillId="0" borderId="5" xfId="0" applyNumberFormat="1" applyFont="1" applyBorder="1" applyAlignment="1" applyProtection="1">
      <alignment horizontal="center" vertical="center"/>
      <protection locked="0"/>
    </xf>
    <xf numFmtId="0" fontId="47" fillId="0" borderId="0" xfId="0" applyFont="1" applyAlignment="1">
      <alignment horizontal="left"/>
    </xf>
    <xf numFmtId="0" fontId="48" fillId="0" borderId="0" xfId="0" applyFont="1" applyAlignment="1">
      <alignment horizontal="left"/>
    </xf>
    <xf numFmtId="0" fontId="48" fillId="0" borderId="5" xfId="0" applyFont="1" applyBorder="1" applyAlignment="1">
      <alignment horizontal="center" vertical="center"/>
    </xf>
    <xf numFmtId="0" fontId="49" fillId="0" borderId="0" xfId="0" applyFont="1"/>
    <xf numFmtId="3" fontId="4" fillId="0" borderId="0" xfId="0" applyNumberFormat="1" applyFont="1" applyAlignment="1">
      <alignment horizontal="center" vertical="center" wrapText="1"/>
    </xf>
    <xf numFmtId="0" fontId="4" fillId="0" borderId="0" xfId="0" applyFont="1" applyAlignment="1">
      <alignment horizontal="center" vertical="center" wrapText="1"/>
    </xf>
    <xf numFmtId="1" fontId="35" fillId="0" borderId="0" xfId="0" applyNumberFormat="1" applyFont="1" applyAlignment="1">
      <alignment horizontal="center" vertical="center"/>
    </xf>
    <xf numFmtId="0" fontId="38" fillId="0" borderId="0" xfId="0" applyFont="1" applyAlignment="1">
      <alignment horizontal="center" vertical="center"/>
    </xf>
    <xf numFmtId="0" fontId="9" fillId="0" borderId="0" xfId="0" applyFont="1" applyAlignment="1">
      <alignment horizontal="center" vertical="center"/>
    </xf>
    <xf numFmtId="10" fontId="39" fillId="0" borderId="0" xfId="0" applyNumberFormat="1" applyFont="1" applyAlignment="1">
      <alignment horizontal="center" vertical="center" wrapText="1"/>
    </xf>
    <xf numFmtId="3" fontId="40" fillId="0" borderId="7" xfId="0" applyNumberFormat="1" applyFont="1" applyBorder="1" applyAlignment="1">
      <alignment horizontal="center" vertical="center" wrapText="1"/>
    </xf>
    <xf numFmtId="3" fontId="41" fillId="0" borderId="11" xfId="0" applyNumberFormat="1" applyFont="1" applyBorder="1" applyAlignment="1">
      <alignment horizontal="center" vertical="center" wrapText="1"/>
    </xf>
    <xf numFmtId="0" fontId="50" fillId="0" borderId="0" xfId="0" applyFont="1" applyAlignment="1">
      <alignment horizontal="left" vertical="center"/>
    </xf>
    <xf numFmtId="0" fontId="3" fillId="0" borderId="5"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4" fillId="2" borderId="5" xfId="0" applyFont="1" applyFill="1" applyBorder="1" applyAlignment="1" applyProtection="1">
      <alignment vertical="center"/>
      <protection locked="0"/>
    </xf>
    <xf numFmtId="0" fontId="4" fillId="2" borderId="5" xfId="0" applyFont="1" applyFill="1" applyBorder="1" applyAlignment="1" applyProtection="1">
      <alignment horizontal="center" vertical="center"/>
      <protection locked="0"/>
    </xf>
    <xf numFmtId="166" fontId="4" fillId="0" borderId="0" xfId="0" applyNumberFormat="1" applyFont="1" applyAlignment="1" applyProtection="1">
      <alignment horizontal="center" vertical="center"/>
      <protection locked="0"/>
    </xf>
    <xf numFmtId="166" fontId="4" fillId="4" borderId="7" xfId="0" applyNumberFormat="1" applyFont="1" applyFill="1" applyBorder="1" applyAlignment="1">
      <alignment vertical="center"/>
    </xf>
    <xf numFmtId="0" fontId="40" fillId="0" borderId="5" xfId="0" applyFont="1" applyBorder="1" applyAlignment="1" applyProtection="1">
      <alignment horizontal="center" vertical="center" wrapText="1"/>
      <protection locked="0"/>
    </xf>
    <xf numFmtId="0" fontId="4" fillId="2" borderId="10" xfId="0" applyFont="1" applyFill="1" applyBorder="1" applyAlignment="1" applyProtection="1">
      <alignment horizontal="center" vertical="center" wrapText="1"/>
      <protection locked="0"/>
    </xf>
    <xf numFmtId="0" fontId="4" fillId="2" borderId="5" xfId="0" applyFont="1" applyFill="1" applyBorder="1" applyAlignment="1" applyProtection="1">
      <alignment horizontal="center" vertical="center" wrapText="1"/>
      <protection locked="0"/>
    </xf>
    <xf numFmtId="0" fontId="4" fillId="16" borderId="5" xfId="0" applyFont="1" applyFill="1" applyBorder="1" applyAlignment="1" applyProtection="1">
      <alignment horizontal="center" vertical="center"/>
      <protection locked="0"/>
    </xf>
    <xf numFmtId="166" fontId="17" fillId="0" borderId="0" xfId="0" applyNumberFormat="1" applyFont="1" applyAlignment="1" applyProtection="1">
      <alignment horizontal="center" vertical="center" wrapText="1"/>
      <protection locked="0"/>
    </xf>
    <xf numFmtId="166" fontId="17" fillId="0" borderId="5" xfId="0" applyNumberFormat="1" applyFont="1" applyBorder="1" applyAlignment="1" applyProtection="1">
      <alignment horizontal="center" vertical="center" wrapText="1"/>
      <protection locked="0"/>
    </xf>
    <xf numFmtId="0" fontId="4" fillId="0" borderId="9" xfId="0" applyFont="1" applyBorder="1" applyAlignment="1">
      <alignment horizontal="center" vertical="center"/>
    </xf>
    <xf numFmtId="16" fontId="4" fillId="0" borderId="0" xfId="0" applyNumberFormat="1" applyFont="1" applyAlignment="1">
      <alignment horizontal="center" vertical="center"/>
    </xf>
    <xf numFmtId="0" fontId="4" fillId="0" borderId="0" xfId="0" applyFont="1" applyAlignment="1">
      <alignment horizontal="center" vertical="center"/>
    </xf>
    <xf numFmtId="14" fontId="14" fillId="11" borderId="5" xfId="0" applyNumberFormat="1" applyFont="1" applyFill="1" applyBorder="1" applyAlignment="1" applyProtection="1">
      <alignment horizontal="center" vertical="center" wrapText="1"/>
      <protection locked="0"/>
    </xf>
    <xf numFmtId="16" fontId="7" fillId="0" borderId="5" xfId="0" applyNumberFormat="1" applyFont="1" applyBorder="1" applyAlignment="1" applyProtection="1">
      <alignment horizontal="center" vertical="center"/>
      <protection locked="0"/>
    </xf>
    <xf numFmtId="0" fontId="4" fillId="11" borderId="5" xfId="0" applyFont="1" applyFill="1" applyBorder="1" applyAlignment="1" applyProtection="1">
      <alignment horizontal="center" vertical="center"/>
      <protection locked="0"/>
    </xf>
    <xf numFmtId="16" fontId="4" fillId="11" borderId="5" xfId="0" applyNumberFormat="1" applyFont="1" applyFill="1" applyBorder="1" applyAlignment="1" applyProtection="1">
      <alignment horizontal="center" vertical="center"/>
      <protection locked="0"/>
    </xf>
    <xf numFmtId="16" fontId="4" fillId="2" borderId="5" xfId="0" applyNumberFormat="1" applyFont="1" applyFill="1" applyBorder="1" applyAlignment="1" applyProtection="1">
      <alignment horizontal="center" vertical="center"/>
      <protection locked="0"/>
    </xf>
    <xf numFmtId="0" fontId="4" fillId="7" borderId="5" xfId="0" applyFont="1" applyFill="1" applyBorder="1" applyAlignment="1" applyProtection="1">
      <alignment horizontal="center" vertical="center" wrapText="1"/>
      <protection locked="0"/>
    </xf>
    <xf numFmtId="0" fontId="4" fillId="17" borderId="5" xfId="0" applyFont="1" applyFill="1" applyBorder="1" applyAlignment="1" applyProtection="1">
      <alignment horizontal="center" vertical="center" wrapText="1"/>
      <protection locked="0"/>
    </xf>
    <xf numFmtId="0" fontId="4" fillId="18" borderId="5" xfId="0" applyFont="1" applyFill="1" applyBorder="1" applyAlignment="1" applyProtection="1">
      <alignment horizontal="center" vertical="center" wrapText="1"/>
      <protection locked="0"/>
    </xf>
    <xf numFmtId="0" fontId="45" fillId="7" borderId="5" xfId="0" applyFont="1" applyFill="1" applyBorder="1" applyAlignment="1" applyProtection="1">
      <alignment horizontal="center" vertical="center" wrapText="1"/>
      <protection locked="0"/>
    </xf>
    <xf numFmtId="0" fontId="45" fillId="0" borderId="5" xfId="0" applyFont="1" applyBorder="1" applyAlignment="1" applyProtection="1">
      <alignment horizontal="center" vertical="center" wrapText="1"/>
      <protection locked="0"/>
    </xf>
    <xf numFmtId="0" fontId="4" fillId="13" borderId="5" xfId="0" applyFont="1" applyFill="1" applyBorder="1" applyAlignment="1" applyProtection="1">
      <alignment horizontal="center" vertical="center"/>
      <protection locked="0"/>
    </xf>
    <xf numFmtId="0" fontId="7" fillId="2" borderId="5" xfId="0" applyFont="1" applyFill="1" applyBorder="1" applyAlignment="1" applyProtection="1">
      <alignment horizontal="left" vertical="center" wrapText="1"/>
      <protection locked="0"/>
    </xf>
    <xf numFmtId="0" fontId="4" fillId="13" borderId="5" xfId="0" applyFont="1" applyFill="1" applyBorder="1" applyAlignment="1" applyProtection="1">
      <alignment horizontal="center" vertical="center" wrapText="1"/>
      <protection locked="0"/>
    </xf>
    <xf numFmtId="16" fontId="4" fillId="9" borderId="0" xfId="0" applyNumberFormat="1" applyFont="1" applyFill="1" applyAlignment="1" applyProtection="1">
      <alignment vertical="center"/>
      <protection locked="0"/>
    </xf>
    <xf numFmtId="16" fontId="4" fillId="0" borderId="0" xfId="0" applyNumberFormat="1" applyFont="1" applyAlignment="1" applyProtection="1">
      <alignment vertical="center"/>
      <protection locked="0"/>
    </xf>
    <xf numFmtId="166" fontId="4" fillId="0" borderId="5" xfId="0" applyNumberFormat="1" applyFont="1" applyBorder="1" applyAlignment="1" applyProtection="1">
      <alignment horizontal="center" vertical="center" wrapText="1"/>
      <protection locked="0"/>
    </xf>
    <xf numFmtId="166" fontId="51" fillId="0" borderId="15" xfId="0" applyNumberFormat="1" applyFont="1" applyBorder="1" applyAlignment="1">
      <alignment horizontal="center" vertical="center" wrapText="1"/>
    </xf>
    <xf numFmtId="166" fontId="51" fillId="0" borderId="5" xfId="0" applyNumberFormat="1" applyFont="1" applyBorder="1" applyAlignment="1">
      <alignment horizontal="center" vertical="center" wrapText="1"/>
    </xf>
    <xf numFmtId="179" fontId="52" fillId="0" borderId="5" xfId="0" applyNumberFormat="1" applyFont="1" applyBorder="1" applyAlignment="1" applyProtection="1">
      <alignment horizontal="center" vertical="center"/>
      <protection locked="0"/>
    </xf>
    <xf numFmtId="0" fontId="7" fillId="2" borderId="5" xfId="0" applyFont="1" applyFill="1" applyBorder="1" applyAlignment="1" applyProtection="1">
      <alignment horizontal="center" vertical="center"/>
      <protection locked="0"/>
    </xf>
    <xf numFmtId="166" fontId="7" fillId="0" borderId="5" xfId="0" applyNumberFormat="1" applyFont="1" applyBorder="1" applyAlignment="1" applyProtection="1">
      <alignment horizontal="center" vertical="center" wrapText="1"/>
      <protection locked="0"/>
    </xf>
    <xf numFmtId="0" fontId="4" fillId="2" borderId="5" xfId="0" applyFont="1" applyFill="1" applyBorder="1" applyAlignment="1" applyProtection="1">
      <alignment vertical="center" wrapText="1"/>
      <protection locked="0"/>
    </xf>
    <xf numFmtId="0" fontId="4" fillId="0" borderId="8"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7" xfId="0" applyFont="1" applyBorder="1" applyAlignment="1" applyProtection="1">
      <alignment horizontal="center" vertical="center"/>
      <protection locked="0"/>
    </xf>
    <xf numFmtId="0" fontId="4" fillId="0" borderId="5" xfId="0" applyFont="1" applyBorder="1" applyAlignment="1">
      <alignment horizontal="center" vertical="center" wrapText="1"/>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16" fontId="4" fillId="0" borderId="8" xfId="0" applyNumberFormat="1" applyFont="1" applyBorder="1" applyAlignment="1">
      <alignment horizontal="center" vertical="center" wrapText="1"/>
    </xf>
    <xf numFmtId="0" fontId="0" fillId="7" borderId="5" xfId="0" applyFill="1" applyBorder="1" applyAlignment="1">
      <alignment horizontal="center" vertical="center"/>
    </xf>
    <xf numFmtId="0" fontId="0" fillId="5" borderId="5" xfId="0" applyFill="1" applyBorder="1" applyAlignment="1">
      <alignment horizontal="center" vertical="center"/>
    </xf>
    <xf numFmtId="0" fontId="0" fillId="0" borderId="5" xfId="0" applyBorder="1" applyAlignment="1">
      <alignment horizontal="center" vertical="center"/>
    </xf>
    <xf numFmtId="0" fontId="1" fillId="0" borderId="5" xfId="0" applyFont="1" applyBorder="1" applyAlignment="1">
      <alignment horizontal="center" vertical="center"/>
    </xf>
    <xf numFmtId="0" fontId="16" fillId="0" borderId="5" xfId="0" applyFont="1" applyBorder="1" applyAlignment="1">
      <alignment horizontal="center" vertical="center"/>
    </xf>
    <xf numFmtId="0" fontId="16" fillId="0" borderId="5" xfId="0" applyFont="1" applyBorder="1" applyAlignment="1">
      <alignment horizontal="center" vertical="center" wrapText="1"/>
    </xf>
    <xf numFmtId="0" fontId="1" fillId="0" borderId="0" xfId="0" applyFont="1" applyAlignment="1">
      <alignment horizontal="center" vertical="center"/>
    </xf>
    <xf numFmtId="3" fontId="4" fillId="0" borderId="5" xfId="0" applyNumberFormat="1" applyFont="1" applyBorder="1" applyAlignment="1">
      <alignment horizontal="center" vertical="center" wrapText="1"/>
    </xf>
    <xf numFmtId="0" fontId="28" fillId="0" borderId="5" xfId="0" applyFont="1" applyBorder="1" applyAlignment="1">
      <alignment horizontal="center" vertical="center"/>
    </xf>
    <xf numFmtId="0" fontId="0" fillId="7" borderId="5" xfId="0" applyFill="1" applyBorder="1" applyAlignment="1">
      <alignment horizontal="center"/>
    </xf>
    <xf numFmtId="0" fontId="0" fillId="5" borderId="5" xfId="0" applyFill="1" applyBorder="1" applyAlignment="1">
      <alignment horizontal="center"/>
    </xf>
    <xf numFmtId="0" fontId="0" fillId="5" borderId="7" xfId="0" applyFill="1" applyBorder="1" applyAlignment="1">
      <alignment horizontal="center" vertical="center"/>
    </xf>
    <xf numFmtId="0" fontId="0" fillId="5" borderId="8" xfId="0" applyFill="1" applyBorder="1" applyAlignment="1">
      <alignment horizontal="center" vertical="center"/>
    </xf>
    <xf numFmtId="0" fontId="4" fillId="0" borderId="8"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7" xfId="0" applyFont="1" applyBorder="1" applyAlignment="1" applyProtection="1">
      <alignment horizontal="center" vertical="center"/>
      <protection locked="0"/>
    </xf>
    <xf numFmtId="0" fontId="4" fillId="0" borderId="5" xfId="0" applyFont="1" applyBorder="1" applyAlignment="1">
      <alignment horizontal="center" vertical="center" wrapText="1"/>
    </xf>
    <xf numFmtId="0" fontId="4" fillId="0" borderId="7"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8" xfId="0" applyFont="1" applyBorder="1" applyAlignment="1">
      <alignment horizontal="center" vertical="center" wrapText="1"/>
    </xf>
    <xf numFmtId="16" fontId="4" fillId="0" borderId="7" xfId="0" applyNumberFormat="1" applyFont="1" applyBorder="1" applyAlignment="1">
      <alignment horizontal="center" vertical="center" wrapText="1"/>
    </xf>
    <xf numFmtId="16" fontId="4" fillId="0" borderId="8" xfId="0" applyNumberFormat="1" applyFont="1" applyBorder="1" applyAlignment="1">
      <alignment horizontal="center" vertical="center" wrapText="1"/>
    </xf>
    <xf numFmtId="179" fontId="4" fillId="0" borderId="8" xfId="0" applyNumberFormat="1" applyFont="1" applyBorder="1" applyAlignment="1">
      <alignment horizontal="center" vertical="center" wrapText="1"/>
    </xf>
    <xf numFmtId="166" fontId="4" fillId="4" borderId="14" xfId="0" applyNumberFormat="1" applyFont="1" applyFill="1" applyBorder="1" applyAlignment="1">
      <alignment horizontal="center" vertical="center"/>
    </xf>
    <xf numFmtId="166" fontId="4" fillId="4" borderId="8" xfId="0" applyNumberFormat="1" applyFont="1" applyFill="1" applyBorder="1" applyAlignment="1">
      <alignment horizontal="center" vertical="center"/>
    </xf>
    <xf numFmtId="0" fontId="16" fillId="0" borderId="5" xfId="0" applyFont="1" applyBorder="1" applyAlignment="1">
      <alignment horizontal="center" vertical="center" textRotation="90"/>
    </xf>
    <xf numFmtId="0" fontId="0" fillId="0" borderId="5" xfId="0" applyBorder="1" applyAlignment="1">
      <alignment horizontal="center" vertical="center"/>
    </xf>
    <xf numFmtId="0" fontId="16" fillId="11" borderId="5" xfId="0" applyFont="1" applyFill="1" applyBorder="1" applyAlignment="1">
      <alignment horizontal="center" vertical="center" textRotation="90"/>
    </xf>
    <xf numFmtId="0" fontId="16" fillId="0" borderId="10" xfId="0" applyFont="1" applyBorder="1" applyAlignment="1">
      <alignment horizontal="center" vertical="center" textRotation="90"/>
    </xf>
    <xf numFmtId="0" fontId="16" fillId="0" borderId="9" xfId="0" applyFont="1" applyBorder="1" applyAlignment="1">
      <alignment horizontal="center" vertical="center" textRotation="90"/>
    </xf>
    <xf numFmtId="0" fontId="16" fillId="0" borderId="11" xfId="0" applyFont="1" applyBorder="1" applyAlignment="1">
      <alignment horizontal="center" vertical="center" textRotation="90"/>
    </xf>
    <xf numFmtId="0" fontId="1" fillId="0" borderId="5" xfId="0" applyFont="1" applyBorder="1" applyAlignment="1">
      <alignment horizontal="center" vertical="center"/>
    </xf>
    <xf numFmtId="0" fontId="1" fillId="0" borderId="5" xfId="0" applyFont="1" applyBorder="1" applyAlignment="1">
      <alignment horizontal="left" vertical="center" wrapText="1"/>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43" fillId="0" borderId="0" xfId="0" applyFont="1" applyAlignment="1">
      <alignment horizontal="left" vertical="center" wrapText="1"/>
    </xf>
    <xf numFmtId="0" fontId="1" fillId="0" borderId="0" xfId="0" applyFont="1" applyAlignment="1">
      <alignment horizontal="left" vertical="center" wrapText="1"/>
    </xf>
    <xf numFmtId="0" fontId="1" fillId="0" borderId="0" xfId="0" applyFont="1" applyAlignment="1">
      <alignment horizontal="left" vertical="center"/>
    </xf>
    <xf numFmtId="0" fontId="40" fillId="0" borderId="10" xfId="0" applyFont="1" applyBorder="1" applyAlignment="1">
      <alignment horizontal="center" vertical="center" wrapText="1"/>
    </xf>
    <xf numFmtId="0" fontId="40" fillId="0" borderId="11" xfId="0" applyFont="1" applyBorder="1" applyAlignment="1">
      <alignment horizontal="center" vertical="center" wrapText="1"/>
    </xf>
    <xf numFmtId="0" fontId="48" fillId="0" borderId="10" xfId="0" applyFont="1" applyBorder="1" applyAlignment="1">
      <alignment horizontal="center" vertical="center"/>
    </xf>
    <xf numFmtId="0" fontId="48" fillId="0" borderId="11" xfId="0" applyFont="1" applyBorder="1" applyAlignment="1">
      <alignment horizontal="center" vertical="center"/>
    </xf>
    <xf numFmtId="0" fontId="40" fillId="0" borderId="10" xfId="0" applyFont="1" applyBorder="1" applyAlignment="1">
      <alignment horizontal="center" vertical="center"/>
    </xf>
    <xf numFmtId="0" fontId="40" fillId="0" borderId="11" xfId="0" applyFont="1" applyBorder="1" applyAlignment="1">
      <alignment horizontal="center" vertical="center"/>
    </xf>
    <xf numFmtId="3" fontId="4" fillId="0" borderId="5" xfId="0" applyNumberFormat="1" applyFont="1" applyBorder="1" applyAlignment="1">
      <alignment horizontal="center" vertical="center" wrapText="1"/>
    </xf>
    <xf numFmtId="3" fontId="3" fillId="0" borderId="5" xfId="0" applyNumberFormat="1" applyFont="1" applyBorder="1" applyAlignment="1">
      <alignment horizontal="center" vertical="center" wrapText="1"/>
    </xf>
    <xf numFmtId="0" fontId="41" fillId="0" borderId="7" xfId="0" applyFont="1" applyBorder="1" applyAlignment="1">
      <alignment horizontal="center" vertical="center" wrapText="1"/>
    </xf>
    <xf numFmtId="0" fontId="41" fillId="0" borderId="14" xfId="0" applyFont="1" applyBorder="1" applyAlignment="1">
      <alignment horizontal="center" vertical="center" wrapText="1"/>
    </xf>
    <xf numFmtId="0" fontId="41" fillId="0" borderId="8" xfId="0" applyFont="1" applyBorder="1" applyAlignment="1">
      <alignment horizontal="center" vertical="center" wrapText="1"/>
    </xf>
    <xf numFmtId="0" fontId="41" fillId="0" borderId="6" xfId="0" applyFont="1" applyBorder="1" applyAlignment="1">
      <alignment horizontal="center" vertical="center" wrapText="1"/>
    </xf>
    <xf numFmtId="0" fontId="41" fillId="0" borderId="12" xfId="0" applyFont="1" applyBorder="1" applyAlignment="1">
      <alignment horizontal="center" vertical="center" wrapText="1"/>
    </xf>
    <xf numFmtId="0" fontId="44" fillId="0" borderId="5" xfId="0" applyFont="1" applyBorder="1" applyAlignment="1">
      <alignment horizontal="center" wrapText="1"/>
    </xf>
    <xf numFmtId="0" fontId="41" fillId="0" borderId="13" xfId="0" applyFont="1" applyBorder="1" applyAlignment="1">
      <alignment horizontal="center" vertical="center"/>
    </xf>
    <xf numFmtId="0" fontId="41" fillId="0" borderId="0" xfId="0" applyFont="1" applyAlignment="1">
      <alignment horizontal="center" vertical="center"/>
    </xf>
    <xf numFmtId="0" fontId="41" fillId="0" borderId="5" xfId="0" applyFont="1" applyBorder="1" applyAlignment="1">
      <alignment horizontal="center" vertical="center"/>
    </xf>
    <xf numFmtId="166" fontId="4" fillId="0" borderId="0" xfId="0" applyNumberFormat="1" applyFont="1" applyAlignment="1" applyProtection="1">
      <alignment horizontal="center" vertical="center" wrapText="1"/>
      <protection locked="0"/>
    </xf>
  </cellXfs>
  <cellStyles count="4">
    <cellStyle name="Comma 2" xfId="3" xr:uid="{7312DA07-9E58-4771-B1E4-CF4791D614B1}"/>
    <cellStyle name="Normal" xfId="0" builtinId="0"/>
    <cellStyle name="Normal 2" xfId="2" xr:uid="{7256540E-59E8-4E75-9DA7-C6A00A159546}"/>
    <cellStyle name="標準 4" xfId="1" xr:uid="{EFE81691-75B9-4B8F-8B2A-B6526B78294D}"/>
  </cellStyles>
  <dxfs count="52">
    <dxf>
      <font>
        <b/>
        <i val="0"/>
        <color rgb="FFFF0000"/>
      </font>
      <fill>
        <patternFill>
          <bgColor rgb="FFFFFF00"/>
        </patternFill>
      </fill>
    </dxf>
    <dxf>
      <font>
        <b/>
        <i val="0"/>
        <color rgb="FFFF0000"/>
      </font>
      <fill>
        <patternFill>
          <bgColor theme="7" tint="0.79998168889431442"/>
        </patternFill>
      </fill>
    </dxf>
    <dxf>
      <font>
        <b/>
        <i val="0"/>
        <color rgb="FFFF0000"/>
      </font>
      <fill>
        <patternFill>
          <bgColor rgb="FFFFFF00"/>
        </patternFill>
      </fill>
    </dxf>
    <dxf>
      <font>
        <strike/>
      </font>
      <fill>
        <patternFill>
          <bgColor rgb="FF7030A0"/>
        </patternFill>
      </fill>
    </dxf>
    <dxf>
      <font>
        <strike val="0"/>
      </font>
      <fill>
        <patternFill>
          <bgColor rgb="FF00B0F0"/>
        </patternFill>
      </fill>
    </dxf>
    <dxf>
      <font>
        <strike val="0"/>
      </font>
      <fill>
        <patternFill>
          <bgColor theme="0" tint="-0.499984740745262"/>
        </patternFill>
      </fill>
    </dxf>
    <dxf>
      <font>
        <strike val="0"/>
      </font>
      <fill>
        <patternFill>
          <bgColor theme="9" tint="0.59996337778862885"/>
        </patternFill>
      </fill>
    </dxf>
    <dxf>
      <font>
        <strike/>
      </font>
      <fill>
        <patternFill>
          <bgColor rgb="FFFF0000"/>
        </patternFill>
      </fill>
    </dxf>
    <dxf>
      <fill>
        <patternFill>
          <bgColor rgb="FFC0C0C0"/>
        </patternFill>
      </fill>
    </dxf>
    <dxf>
      <fill>
        <patternFill>
          <bgColor theme="0" tint="-0.24994659260841701"/>
        </patternFill>
      </fill>
    </dxf>
    <dxf>
      <fill>
        <patternFill>
          <bgColor theme="9" tint="0.39994506668294322"/>
        </patternFill>
      </fill>
    </dxf>
    <dxf>
      <fill>
        <patternFill>
          <bgColor rgb="FFFFFF00"/>
        </patternFill>
      </fill>
    </dxf>
    <dxf>
      <fill>
        <patternFill>
          <bgColor rgb="FF00FF00"/>
        </patternFill>
      </fill>
    </dxf>
    <dxf>
      <font>
        <b/>
        <i val="0"/>
        <color rgb="FFFF0000"/>
      </font>
      <fill>
        <patternFill>
          <bgColor rgb="FFFFFF00"/>
        </patternFill>
      </fill>
    </dxf>
    <dxf>
      <font>
        <b/>
        <i val="0"/>
        <color rgb="FF3333FF"/>
      </font>
      <fill>
        <patternFill>
          <bgColor theme="0" tint="-0.24994659260841701"/>
        </patternFill>
      </fill>
    </dxf>
    <dxf>
      <fill>
        <patternFill>
          <bgColor theme="0" tint="-0.34998626667073579"/>
        </patternFill>
      </fill>
    </dxf>
    <dxf>
      <fill>
        <patternFill>
          <bgColor rgb="FF00FF00"/>
        </patternFill>
      </fill>
    </dxf>
    <dxf>
      <fill>
        <patternFill>
          <bgColor theme="9" tint="0.59996337778862885"/>
        </patternFill>
      </fill>
    </dxf>
    <dxf>
      <fill>
        <patternFill>
          <bgColor rgb="FFFFFF00"/>
        </patternFill>
      </fill>
    </dxf>
    <dxf>
      <font>
        <color rgb="FFFF0000"/>
      </font>
      <fill>
        <patternFill>
          <bgColor rgb="FF00B0F0"/>
        </patternFill>
      </fill>
    </dxf>
    <dxf>
      <fill>
        <patternFill>
          <bgColor rgb="FFFF0000"/>
        </patternFill>
      </fill>
    </dxf>
    <dxf>
      <fill>
        <patternFill>
          <bgColor theme="5" tint="0.79998168889431442"/>
        </patternFill>
      </fill>
    </dxf>
    <dxf>
      <font>
        <b/>
        <i val="0"/>
        <color rgb="FFFF0000"/>
      </font>
      <fill>
        <patternFill>
          <bgColor rgb="FFFFFF00"/>
        </patternFill>
      </fill>
    </dxf>
    <dxf>
      <fill>
        <patternFill>
          <bgColor theme="0" tint="-0.34998626667073579"/>
        </patternFill>
      </fill>
    </dxf>
    <dxf>
      <fill>
        <patternFill>
          <bgColor rgb="FF00FF00"/>
        </patternFill>
      </fill>
    </dxf>
    <dxf>
      <fill>
        <patternFill>
          <bgColor theme="9" tint="0.59996337778862885"/>
        </patternFill>
      </fill>
    </dxf>
    <dxf>
      <fill>
        <patternFill>
          <bgColor rgb="FFFFFF00"/>
        </patternFill>
      </fill>
    </dxf>
    <dxf>
      <font>
        <color rgb="FFFF0000"/>
      </font>
      <fill>
        <patternFill>
          <bgColor rgb="FF00B0F0"/>
        </patternFill>
      </fill>
    </dxf>
    <dxf>
      <fill>
        <patternFill>
          <bgColor rgb="FFFF0000"/>
        </patternFill>
      </fill>
    </dxf>
    <dxf>
      <fill>
        <patternFill>
          <bgColor theme="5" tint="0.79998168889431442"/>
        </patternFill>
      </fill>
    </dxf>
    <dxf>
      <fill>
        <patternFill>
          <bgColor rgb="FF00FF00"/>
        </patternFill>
      </fill>
    </dxf>
    <dxf>
      <fill>
        <patternFill>
          <bgColor theme="9" tint="0.59996337778862885"/>
        </patternFill>
      </fill>
    </dxf>
    <dxf>
      <fill>
        <patternFill>
          <bgColor rgb="FFFFFF00"/>
        </patternFill>
      </fill>
    </dxf>
    <dxf>
      <font>
        <color rgb="FFFF0000"/>
      </font>
      <fill>
        <patternFill>
          <bgColor rgb="FF00B0F0"/>
        </patternFill>
      </fill>
    </dxf>
    <dxf>
      <fill>
        <patternFill>
          <bgColor rgb="FFFF0000"/>
        </patternFill>
      </fill>
    </dxf>
    <dxf>
      <fill>
        <patternFill>
          <bgColor theme="5" tint="0.79998168889431442"/>
        </patternFill>
      </fill>
    </dxf>
    <dxf>
      <fill>
        <patternFill>
          <bgColor theme="0" tint="-0.34998626667073579"/>
        </patternFill>
      </fill>
    </dxf>
    <dxf>
      <font>
        <b/>
        <i val="0"/>
        <color rgb="FFFF0000"/>
      </font>
      <fill>
        <patternFill>
          <bgColor rgb="FFFFFF00"/>
        </patternFill>
      </fill>
    </dxf>
    <dxf>
      <fill>
        <patternFill>
          <bgColor rgb="FF00FF00"/>
        </patternFill>
      </fill>
    </dxf>
    <dxf>
      <fill>
        <patternFill>
          <bgColor theme="9" tint="0.59996337778862885"/>
        </patternFill>
      </fill>
    </dxf>
    <dxf>
      <fill>
        <patternFill>
          <bgColor rgb="FFFFFF00"/>
        </patternFill>
      </fill>
    </dxf>
    <dxf>
      <font>
        <color rgb="FFFF0000"/>
      </font>
      <fill>
        <patternFill>
          <bgColor rgb="FF00B0F0"/>
        </patternFill>
      </fill>
    </dxf>
    <dxf>
      <fill>
        <patternFill>
          <bgColor rgb="FFFF0000"/>
        </patternFill>
      </fill>
    </dxf>
    <dxf>
      <fill>
        <patternFill>
          <bgColor theme="5" tint="0.79998168889431442"/>
        </patternFill>
      </fill>
    </dxf>
    <dxf>
      <fill>
        <patternFill>
          <bgColor theme="0" tint="-0.34998626667073579"/>
        </patternFill>
      </fill>
    </dxf>
    <dxf>
      <fill>
        <patternFill>
          <bgColor rgb="FF00FF00"/>
        </patternFill>
      </fill>
    </dxf>
    <dxf>
      <fill>
        <patternFill>
          <bgColor theme="9" tint="0.59996337778862885"/>
        </patternFill>
      </fill>
    </dxf>
    <dxf>
      <fill>
        <patternFill>
          <bgColor rgb="FFFFFF00"/>
        </patternFill>
      </fill>
    </dxf>
    <dxf>
      <font>
        <color rgb="FFFF0000"/>
      </font>
      <fill>
        <patternFill>
          <bgColor rgb="FF00B0F0"/>
        </patternFill>
      </fill>
    </dxf>
    <dxf>
      <fill>
        <patternFill>
          <bgColor rgb="FFFF0000"/>
        </patternFill>
      </fill>
    </dxf>
    <dxf>
      <fill>
        <patternFill>
          <bgColor theme="5" tint="0.79998168889431442"/>
        </patternFill>
      </fill>
    </dxf>
    <dxf>
      <fill>
        <patternFill>
          <bgColor theme="0" tint="-0.34998626667073579"/>
        </patternFill>
      </fill>
    </dxf>
  </dxfs>
  <tableStyles count="0" defaultTableStyle="TableStyleMedium2" defaultPivotStyle="PivotStyleLight16"/>
  <colors>
    <mruColors>
      <color rgb="FF66FF99"/>
      <color rgb="FF66FF66"/>
      <color rgb="FFFF99FF"/>
      <color rgb="FFFF0000"/>
      <color rgb="FF00FF00"/>
      <color rgb="FFC0C0C0"/>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'Hoàn thành KH'!$N$5:$N$6</c:f>
              <c:strCache>
                <c:ptCount val="2"/>
                <c:pt idx="0">
                  <c:v>OK</c:v>
                </c:pt>
                <c:pt idx="1">
                  <c:v>NG</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BEF-44F1-B271-9DC01EE8969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FBEF-44F1-B271-9DC01EE89691}"/>
              </c:ext>
            </c:extLst>
          </c:dPt>
          <c:dLbls>
            <c:dLbl>
              <c:idx val="0"/>
              <c:layout>
                <c:manualLayout>
                  <c:x val="-0.1568014826837453"/>
                  <c:y val="3.6197170373850354E-2"/>
                </c:manualLayout>
              </c:layout>
              <c:dLblPos val="bestFi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FBEF-44F1-B271-9DC01EE89691}"/>
                </c:ext>
              </c:extLst>
            </c:dLbl>
            <c:dLbl>
              <c:idx val="1"/>
              <c:layout>
                <c:manualLayout>
                  <c:x val="0.15933494907844037"/>
                  <c:y val="-2.2428491408127579E-2"/>
                </c:manualLayout>
              </c:layout>
              <c:dLblPos val="bestFi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2-FBEF-44F1-B271-9DC01EE89691}"/>
                </c:ext>
              </c:extLst>
            </c:dLbl>
            <c:numFmt formatCode="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'Hoàn thành KH'!$K$5:$K$6</c:f>
              <c:numCache>
                <c:formatCode>0.00%</c:formatCode>
                <c:ptCount val="2"/>
                <c:pt idx="0">
                  <c:v>0</c:v>
                </c:pt>
                <c:pt idx="1">
                  <c:v>0</c:v>
                </c:pt>
              </c:numCache>
            </c:numRef>
          </c:val>
          <c:extLst>
            <c:ext xmlns:c16="http://schemas.microsoft.com/office/drawing/2014/chart" uri="{C3380CC4-5D6E-409C-BE32-E72D297353CC}">
              <c16:uniqueId val="{00000000-FBEF-44F1-B271-9DC01EE89691}"/>
            </c:ext>
          </c:extLst>
        </c:ser>
        <c:ser>
          <c:idx val="1"/>
          <c:order val="1"/>
          <c:tx>
            <c:strRef>
              <c:f>'Hoàn thành KH'!$N$6</c:f>
              <c:strCache>
                <c:ptCount val="1"/>
                <c:pt idx="0">
                  <c:v>NG</c:v>
                </c:pt>
              </c:strCache>
            </c:strRef>
          </c:tx>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EF9-4494-96C0-825444EC7E49}"/>
              </c:ext>
            </c:extLst>
          </c:dPt>
          <c:dLbls>
            <c:dLbl>
              <c:idx val="0"/>
              <c:layout>
                <c:manualLayout>
                  <c:x val="8.5537071730076672E-2"/>
                  <c:y val="0.20099154385549892"/>
                </c:manualLayout>
              </c:layout>
              <c:dLblPos val="bestFi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5EF9-4494-96C0-825444EC7E49}"/>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'Hoàn thành KH'!$Q$6</c:f>
              <c:numCache>
                <c:formatCode>General</c:formatCode>
                <c:ptCount val="1"/>
                <c:pt idx="0">
                  <c:v>0</c:v>
                </c:pt>
              </c:numCache>
            </c:numRef>
          </c:val>
          <c:extLst>
            <c:ext xmlns:c16="http://schemas.microsoft.com/office/drawing/2014/chart" uri="{C3380CC4-5D6E-409C-BE32-E72D297353CC}">
              <c16:uniqueId val="{00000001-FBEF-44F1-B271-9DC01EE8969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'Hoàn thành KH'!$T$3:$T$4</c:f>
              <c:strCache>
                <c:ptCount val="2"/>
                <c:pt idx="0">
                  <c:v>100%</c:v>
                </c:pt>
                <c:pt idx="1">
                  <c:v>&lt;100%</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BEF-44F1-B271-9DC01EE8969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FBEF-44F1-B271-9DC01EE89691}"/>
              </c:ext>
            </c:extLst>
          </c:dPt>
          <c:dLbls>
            <c:numFmt formatCode="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'Hoàn thành KH'!$U$3:$U$4</c:f>
              <c:numCache>
                <c:formatCode>General</c:formatCode>
                <c:ptCount val="2"/>
                <c:pt idx="0">
                  <c:v>110</c:v>
                </c:pt>
                <c:pt idx="1">
                  <c:v>7</c:v>
                </c:pt>
              </c:numCache>
            </c:numRef>
          </c:val>
          <c:extLst>
            <c:ext xmlns:c16="http://schemas.microsoft.com/office/drawing/2014/chart" uri="{C3380CC4-5D6E-409C-BE32-E72D297353CC}">
              <c16:uniqueId val="{00000000-FBEF-44F1-B271-9DC01EE89691}"/>
            </c:ext>
          </c:extLst>
        </c:ser>
        <c:ser>
          <c:idx val="1"/>
          <c:order val="1"/>
          <c:tx>
            <c:strRef>
              <c:f>'Hoàn thành KH'!$N$6</c:f>
              <c:strCache>
                <c:ptCount val="1"/>
                <c:pt idx="0">
                  <c:v>NG</c:v>
                </c:pt>
              </c:strCache>
            </c:strRef>
          </c:tx>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EF9-4494-96C0-825444EC7E49}"/>
              </c:ext>
            </c:extLst>
          </c:dPt>
          <c:dLbls>
            <c:dLbl>
              <c:idx val="0"/>
              <c:layout>
                <c:manualLayout>
                  <c:x val="8.5537071730076672E-2"/>
                  <c:y val="0.20099154385549892"/>
                </c:manualLayout>
              </c:layout>
              <c:dLblPos val="bestFi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5EF9-4494-96C0-825444EC7E49}"/>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'Hoàn thành KH'!$Q$6</c:f>
              <c:numCache>
                <c:formatCode>General</c:formatCode>
                <c:ptCount val="1"/>
                <c:pt idx="0">
                  <c:v>0</c:v>
                </c:pt>
              </c:numCache>
            </c:numRef>
          </c:val>
          <c:extLst>
            <c:ext xmlns:c16="http://schemas.microsoft.com/office/drawing/2014/chart" uri="{C3380CC4-5D6E-409C-BE32-E72D297353CC}">
              <c16:uniqueId val="{00000001-FBEF-44F1-B271-9DC01EE8969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5"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1" Type="http://schemas.openxmlformats.org/officeDocument/2006/relationships/hyperlink" Target="#Main!A1"/></Relationships>
</file>

<file path=xl/drawings/_rels/drawing5.xml.rels><?xml version="1.0" encoding="UTF-8" standalone="yes"?>
<Relationships xmlns="http://schemas.openxmlformats.org/package/2006/relationships"><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645363</xdr:colOff>
      <xdr:row>3</xdr:row>
      <xdr:rowOff>518560</xdr:rowOff>
    </xdr:from>
    <xdr:to>
      <xdr:col>2</xdr:col>
      <xdr:colOff>645723</xdr:colOff>
      <xdr:row>3</xdr:row>
      <xdr:rowOff>529630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4" name="Ink 23">
              <a:extLst>
                <a:ext uri="{FF2B5EF4-FFF2-40B4-BE49-F238E27FC236}">
                  <a16:creationId xmlns:a16="http://schemas.microsoft.com/office/drawing/2014/main" id="{BECDB3BA-B695-0834-4793-E93D99778743}"/>
                </a:ext>
              </a:extLst>
            </xdr14:cNvPr>
            <xdr14:cNvContentPartPr/>
          </xdr14:nvContentPartPr>
          <xdr14:nvPr macro=""/>
          <xdr14:xfrm>
            <a:off x="2222280" y="1915560"/>
            <a:ext cx="360" cy="360"/>
          </xdr14:xfrm>
        </xdr:contentPart>
      </mc:Choice>
      <mc:Fallback xmlns="">
        <xdr:pic>
          <xdr:nvPicPr>
            <xdr:cNvPr id="24" name="Ink 23">
              <a:extLst>
                <a:ext uri="{FF2B5EF4-FFF2-40B4-BE49-F238E27FC236}">
                  <a16:creationId xmlns:a16="http://schemas.microsoft.com/office/drawing/2014/main" id="{BECDB3BA-B695-0834-4793-E93D99778743}"/>
                </a:ext>
              </a:extLst>
            </xdr:cNvPr>
            <xdr:cNvPicPr/>
          </xdr:nvPicPr>
          <xdr:blipFill>
            <a:blip xmlns:r="http://schemas.openxmlformats.org/officeDocument/2006/relationships" r:embed="rId5"/>
            <a:stretch>
              <a:fillRect/>
            </a:stretch>
          </xdr:blipFill>
          <xdr:spPr>
            <a:xfrm>
              <a:off x="2216160" y="1909440"/>
              <a:ext cx="12600" cy="126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265043</xdr:colOff>
      <xdr:row>2</xdr:row>
      <xdr:rowOff>66261</xdr:rowOff>
    </xdr:from>
    <xdr:to>
      <xdr:col>13</xdr:col>
      <xdr:colOff>483704</xdr:colOff>
      <xdr:row>6</xdr:row>
      <xdr:rowOff>119270</xdr:rowOff>
    </xdr:to>
    <xdr:sp macro="" textlink="">
      <xdr:nvSpPr>
        <xdr:cNvPr id="2" name="Freeform: Shape 1">
          <a:extLst>
            <a:ext uri="{FF2B5EF4-FFF2-40B4-BE49-F238E27FC236}">
              <a16:creationId xmlns:a16="http://schemas.microsoft.com/office/drawing/2014/main" id="{94E5269E-DA82-4432-9F86-686FD18BB358}"/>
            </a:ext>
          </a:extLst>
        </xdr:cNvPr>
        <xdr:cNvSpPr/>
      </xdr:nvSpPr>
      <xdr:spPr>
        <a:xfrm>
          <a:off x="1484243" y="437322"/>
          <a:ext cx="6665844" cy="1205948"/>
        </a:xfrm>
        <a:custGeom>
          <a:avLst/>
          <a:gdLst>
            <a:gd name="connsiteX0" fmla="*/ 6665844 w 6665844"/>
            <a:gd name="connsiteY0" fmla="*/ 0 h 1205948"/>
            <a:gd name="connsiteX1" fmla="*/ 4022035 w 6665844"/>
            <a:gd name="connsiteY1" fmla="*/ 0 h 1205948"/>
            <a:gd name="connsiteX2" fmla="*/ 4022035 w 6665844"/>
            <a:gd name="connsiteY2" fmla="*/ 569843 h 1205948"/>
            <a:gd name="connsiteX3" fmla="*/ 1524000 w 6665844"/>
            <a:gd name="connsiteY3" fmla="*/ 569843 h 1205948"/>
            <a:gd name="connsiteX4" fmla="*/ 1524000 w 6665844"/>
            <a:gd name="connsiteY4" fmla="*/ 1205948 h 1205948"/>
            <a:gd name="connsiteX5" fmla="*/ 0 w 6665844"/>
            <a:gd name="connsiteY5" fmla="*/ 1205948 h 12059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5844" h="1205948">
              <a:moveTo>
                <a:pt x="6665844" y="0"/>
              </a:moveTo>
              <a:lnTo>
                <a:pt x="4022035" y="0"/>
              </a:lnTo>
              <a:lnTo>
                <a:pt x="4022035" y="569843"/>
              </a:lnTo>
              <a:lnTo>
                <a:pt x="1524000" y="569843"/>
              </a:lnTo>
              <a:lnTo>
                <a:pt x="1524000" y="1205948"/>
              </a:lnTo>
              <a:lnTo>
                <a:pt x="0" y="1205948"/>
              </a:lnTo>
            </a:path>
          </a:pathLst>
        </a:custGeom>
        <a:noFill/>
        <a:ln>
          <a:solidFill>
            <a:srgbClr val="FF0000"/>
          </a:solidFill>
          <a:headEnd type="arrow" w="med" len="med"/>
          <a:tailEnd type="arrow"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5</xdr:col>
      <xdr:colOff>132522</xdr:colOff>
      <xdr:row>4</xdr:row>
      <xdr:rowOff>6626</xdr:rowOff>
    </xdr:from>
    <xdr:ext cx="1963871" cy="264560"/>
    <xdr:sp macro="" textlink="">
      <xdr:nvSpPr>
        <xdr:cNvPr id="3" name="TextBox 2">
          <a:extLst>
            <a:ext uri="{FF2B5EF4-FFF2-40B4-BE49-F238E27FC236}">
              <a16:creationId xmlns:a16="http://schemas.microsoft.com/office/drawing/2014/main" id="{7CD447DB-DFA1-6757-E535-E715D0EAF7E5}"/>
            </a:ext>
          </a:extLst>
        </xdr:cNvPr>
        <xdr:cNvSpPr txBox="1"/>
      </xdr:nvSpPr>
      <xdr:spPr>
        <a:xfrm>
          <a:off x="3180522" y="748748"/>
          <a:ext cx="196387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Đường</a:t>
          </a:r>
          <a:r>
            <a:rPr lang="en-GB" sz="1100" baseline="0"/>
            <a:t> đi vào phòng AGV, R&amp;D</a:t>
          </a:r>
          <a:endParaRPr lang="en-GB"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3</xdr:col>
      <xdr:colOff>0</xdr:colOff>
      <xdr:row>1</xdr:row>
      <xdr:rowOff>44823</xdr:rowOff>
    </xdr:from>
    <xdr:to>
      <xdr:col>4</xdr:col>
      <xdr:colOff>304800</xdr:colOff>
      <xdr:row>1</xdr:row>
      <xdr:rowOff>295834</xdr:rowOff>
    </xdr:to>
    <xdr:sp macro="" textlink="">
      <xdr:nvSpPr>
        <xdr:cNvPr id="4" name="Rectangle: Beveled 3">
          <a:hlinkClick xmlns:r="http://schemas.openxmlformats.org/officeDocument/2006/relationships" r:id="rId1"/>
          <a:extLst>
            <a:ext uri="{FF2B5EF4-FFF2-40B4-BE49-F238E27FC236}">
              <a16:creationId xmlns:a16="http://schemas.microsoft.com/office/drawing/2014/main" id="{33FC7AC9-A3D9-4906-ADC6-82607B81A82D}"/>
            </a:ext>
          </a:extLst>
        </xdr:cNvPr>
        <xdr:cNvSpPr/>
      </xdr:nvSpPr>
      <xdr:spPr>
        <a:xfrm>
          <a:off x="4589929" y="430305"/>
          <a:ext cx="1013012" cy="251011"/>
        </a:xfrm>
        <a:prstGeom prst="bevel">
          <a:avLst/>
        </a:prstGeom>
        <a:solidFill>
          <a:srgbClr val="FF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ysClr val="windowText" lastClr="000000"/>
              </a:solidFill>
            </a:rPr>
            <a:t>BACK MAIN</a:t>
          </a:r>
        </a:p>
      </xdr:txBody>
    </xdr:sp>
    <xdr:clientData/>
  </xdr:twoCellAnchor>
  <xdr:twoCellAnchor>
    <xdr:from>
      <xdr:col>4</xdr:col>
      <xdr:colOff>430306</xdr:colOff>
      <xdr:row>1</xdr:row>
      <xdr:rowOff>44823</xdr:rowOff>
    </xdr:from>
    <xdr:to>
      <xdr:col>5</xdr:col>
      <xdr:colOff>618564</xdr:colOff>
      <xdr:row>1</xdr:row>
      <xdr:rowOff>286870</xdr:rowOff>
    </xdr:to>
    <xdr:sp macro="[0]!Ex_Iso" textlink="">
      <xdr:nvSpPr>
        <xdr:cNvPr id="5" name="Rectangle: Beveled 4">
          <a:extLst>
            <a:ext uri="{FF2B5EF4-FFF2-40B4-BE49-F238E27FC236}">
              <a16:creationId xmlns:a16="http://schemas.microsoft.com/office/drawing/2014/main" id="{84BAD569-F734-09E6-EF28-EAA8AF28D183}"/>
            </a:ext>
          </a:extLst>
        </xdr:cNvPr>
        <xdr:cNvSpPr/>
      </xdr:nvSpPr>
      <xdr:spPr>
        <a:xfrm>
          <a:off x="5728447" y="430305"/>
          <a:ext cx="896470" cy="242047"/>
        </a:xfrm>
        <a:prstGeom prst="bevel">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ysClr val="windowText" lastClr="000000"/>
              </a:solidFill>
            </a:rPr>
            <a:t>Xuất</a:t>
          </a:r>
          <a:r>
            <a:rPr lang="en-GB" sz="1100" baseline="0">
              <a:solidFill>
                <a:sysClr val="windowText" lastClr="000000"/>
              </a:solidFill>
            </a:rPr>
            <a:t> file</a:t>
          </a:r>
          <a:endParaRPr lang="en-GB" sz="11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0</xdr:colOff>
      <xdr:row>0</xdr:row>
      <xdr:rowOff>0</xdr:rowOff>
    </xdr:from>
    <xdr:to>
      <xdr:col>8</xdr:col>
      <xdr:colOff>528917</xdr:colOff>
      <xdr:row>1</xdr:row>
      <xdr:rowOff>130884</xdr:rowOff>
    </xdr:to>
    <xdr:sp macro="" textlink="">
      <xdr:nvSpPr>
        <xdr:cNvPr id="2" name="Rectangle: Beveled 1">
          <a:hlinkClick xmlns:r="http://schemas.openxmlformats.org/officeDocument/2006/relationships" r:id="rId1"/>
          <a:extLst>
            <a:ext uri="{FF2B5EF4-FFF2-40B4-BE49-F238E27FC236}">
              <a16:creationId xmlns:a16="http://schemas.microsoft.com/office/drawing/2014/main" id="{13B8D9E3-27D5-4DA5-861A-F09CE8567AA4}"/>
            </a:ext>
          </a:extLst>
        </xdr:cNvPr>
        <xdr:cNvSpPr/>
      </xdr:nvSpPr>
      <xdr:spPr>
        <a:xfrm>
          <a:off x="4267200" y="0"/>
          <a:ext cx="1138517" cy="313764"/>
        </a:xfrm>
        <a:prstGeom prst="bevel">
          <a:avLst/>
        </a:prstGeom>
        <a:solidFill>
          <a:srgbClr val="FF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ysClr val="windowText" lastClr="000000"/>
              </a:solidFill>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528917</xdr:colOff>
      <xdr:row>1</xdr:row>
      <xdr:rowOff>130884</xdr:rowOff>
    </xdr:to>
    <xdr:sp macro="" textlink="">
      <xdr:nvSpPr>
        <xdr:cNvPr id="2" name="Rectangle: Beveled 1">
          <a:hlinkClick xmlns:r="http://schemas.openxmlformats.org/officeDocument/2006/relationships" r:id="rId1"/>
          <a:extLst>
            <a:ext uri="{FF2B5EF4-FFF2-40B4-BE49-F238E27FC236}">
              <a16:creationId xmlns:a16="http://schemas.microsoft.com/office/drawing/2014/main" id="{FB642AF9-2520-4289-9E15-A3708FA6A3C9}"/>
            </a:ext>
          </a:extLst>
        </xdr:cNvPr>
        <xdr:cNvSpPr/>
      </xdr:nvSpPr>
      <xdr:spPr>
        <a:xfrm>
          <a:off x="4876800" y="0"/>
          <a:ext cx="1138517" cy="313764"/>
        </a:xfrm>
        <a:prstGeom prst="bevel">
          <a:avLst/>
        </a:prstGeom>
        <a:solidFill>
          <a:srgbClr val="FF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ysClr val="windowText" lastClr="000000"/>
              </a:solidFill>
            </a:rPr>
            <a:t>BACK</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528917</xdr:colOff>
      <xdr:row>1</xdr:row>
      <xdr:rowOff>130884</xdr:rowOff>
    </xdr:to>
    <xdr:sp macro="" textlink="">
      <xdr:nvSpPr>
        <xdr:cNvPr id="2" name="Rectangle: Beveled 1">
          <a:hlinkClick xmlns:r="http://schemas.openxmlformats.org/officeDocument/2006/relationships" r:id="rId1"/>
          <a:extLst>
            <a:ext uri="{FF2B5EF4-FFF2-40B4-BE49-F238E27FC236}">
              <a16:creationId xmlns:a16="http://schemas.microsoft.com/office/drawing/2014/main" id="{10F9BC2D-79D4-4DA6-BAC1-A884331486D5}"/>
            </a:ext>
          </a:extLst>
        </xdr:cNvPr>
        <xdr:cNvSpPr/>
      </xdr:nvSpPr>
      <xdr:spPr>
        <a:xfrm>
          <a:off x="4876800" y="0"/>
          <a:ext cx="1138517" cy="313764"/>
        </a:xfrm>
        <a:prstGeom prst="bevel">
          <a:avLst/>
        </a:prstGeom>
        <a:solidFill>
          <a:srgbClr val="FF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ysClr val="windowText" lastClr="000000"/>
              </a:solidFill>
            </a:rPr>
            <a:t>BACK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135367</xdr:colOff>
      <xdr:row>0</xdr:row>
      <xdr:rowOff>392460</xdr:rowOff>
    </xdr:from>
    <xdr:to>
      <xdr:col>5</xdr:col>
      <xdr:colOff>672353</xdr:colOff>
      <xdr:row>7</xdr:row>
      <xdr:rowOff>172570</xdr:rowOff>
    </xdr:to>
    <xdr:graphicFrame macro="">
      <xdr:nvGraphicFramePr>
        <xdr:cNvPr id="2" name="Chart 1">
          <a:extLst>
            <a:ext uri="{FF2B5EF4-FFF2-40B4-BE49-F238E27FC236}">
              <a16:creationId xmlns:a16="http://schemas.microsoft.com/office/drawing/2014/main" id="{E209ABB0-681A-42AD-A697-CACBA333A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228600</xdr:colOff>
      <xdr:row>4</xdr:row>
      <xdr:rowOff>105590</xdr:rowOff>
    </xdr:from>
    <xdr:to>
      <xdr:col>21</xdr:col>
      <xdr:colOff>121920</xdr:colOff>
      <xdr:row>11</xdr:row>
      <xdr:rowOff>76200</xdr:rowOff>
    </xdr:to>
    <xdr:graphicFrame macro="">
      <xdr:nvGraphicFramePr>
        <xdr:cNvPr id="3" name="Chart 2">
          <a:extLst>
            <a:ext uri="{FF2B5EF4-FFF2-40B4-BE49-F238E27FC236}">
              <a16:creationId xmlns:a16="http://schemas.microsoft.com/office/drawing/2014/main" id="{041C56EF-E348-56E1-7DFB-9C513F9547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19T11:32:41.070"/>
    </inkml:context>
    <inkml:brush xml:id="br0">
      <inkml:brushProperty name="width" value="0.035" units="cm"/>
      <inkml:brushProperty name="height" value="0.035" units="cm"/>
    </inkml:brush>
  </inkml:definitions>
  <inkml:trace contextRef="#ctx0" brushRef="#br0">0 0 24575,'0'0'-8191</inkml:trace>
</inkml:ink>
</file>

<file path=xl/persons/person.xml><?xml version="1.0" encoding="utf-8"?>
<personList xmlns="http://schemas.microsoft.com/office/spreadsheetml/2018/threadedcomments" xmlns:x="http://schemas.openxmlformats.org/spreadsheetml/2006/main">
  <person displayName="VanTuan Nguyen" id="{35A3BD70-4CB6-4DE0-BBF5-41D7EC7A8F91}" userId="581898fab21ffc36"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46" dT="2025-04-03T01:24:49.72" personId="{35A3BD70-4CB6-4DE0-BBF5-41D7EC7A8F91}" id="{19BBCA8B-BC7B-44BD-8EEB-DA0361F4802C}">
    <text>Chuyển bán sang mã MEC2503014</text>
  </threadedComment>
  <threadedComment ref="B63" dT="2025-04-11T03:29:24.23" personId="{35A3BD70-4CB6-4DE0-BBF5-41D7EC7A8F91}" id="{7172C4F1-FA90-4142-8E6B-91A3233517B7}">
    <text>Chuyển sang mã MEC2503011</text>
  </threadedComment>
  <threadedComment ref="B65" dT="2025-04-29T06:38:07.62" personId="{35A3BD70-4CB6-4DE0-BBF5-41D7EC7A8F91}" id="{BB71C8CB-D3AE-4EC6-A9D5-490048D7635A}">
    <text>Chuyển sang lắp vào máy MEC2502051</text>
  </threadedComment>
  <threadedComment ref="B69" dT="2025-05-12T05:03:24.42" personId="{35A3BD70-4CB6-4DE0-BBF5-41D7EC7A8F91}" id="{3A8769E6-8EC1-4112-AD44-F8DD427A67EB}">
    <text>Cải tiến từ ULD --&gt; LD bán vào mã MEC2502020</text>
  </threadedComment>
  <threadedComment ref="B77" dT="2025-07-30T11:20:49.60" personId="{35A3BD70-4CB6-4DE0-BBF5-41D7EC7A8F91}" id="{D4492F5A-2224-4714-8B71-AA82C88DA39F}">
    <text>Cải tiến, chuyển sang bán cho máy MEC2503041</text>
  </threadedComment>
  <threadedComment ref="A87" dT="2025-03-03T03:17:58.16" personId="{35A3BD70-4CB6-4DE0-BBF5-41D7EC7A8F91}" id="{9ADE8475-F2A6-4208-BF00-93A3102F0DC4}">
    <text>PO đặt cho line DES</text>
  </threadedComment>
  <threadedComment ref="M88" dT="2025-03-03T04:01:59.92" personId="{35A3BD70-4CB6-4DE0-BBF5-41D7EC7A8F91}" id="{E43A9C5B-B5FD-4B08-9B06-1B14F9C012BA}">
    <text>Mar-03-2025 Yêu cầu phải --&gt; Trái</text>
  </threadedComment>
  <threadedComment ref="B179" dT="2025-08-06T11:31:08.07" personId="{35A3BD70-4CB6-4DE0-BBF5-41D7EC7A8F91}" id="{FC41638C-40D5-438A-8E69-7570F354F77A}">
    <text>Cải tiến từ ULD --&gt; LD bán bù mã MEC2502047</text>
  </threadedComment>
  <threadedComment ref="B192" dT="2025-03-31T01:13:33.39" personId="{35A3BD70-4CB6-4DE0-BBF5-41D7EC7A8F91}" id="{8E394B99-B541-43B7-9BC2-4CDC9C2BF103}">
    <text>Chuyển bán sang mã MEC2502047
(Mar-31)
--&gt; Lắp sang mã MEC2501022</text>
  </threadedComment>
  <threadedComment ref="K271" dT="2024-11-26T05:13:01.19" personId="{35A3BD70-4CB6-4DE0-BBF5-41D7EC7A8F91}" id="{E2101F14-F6C0-4E74-9736-D7AB7B8DB692}">
    <text>1/ Lấy máy MEC2403043 chuyển sang xuất vị trí này</text>
  </threadedComment>
  <threadedComment ref="B292" dT="2025-03-20T09:14:16.62" personId="{35A3BD70-4CB6-4DE0-BBF5-41D7EC7A8F91}" id="{5B76A7A1-903B-48CE-B565-91C9B1D9C9AE}">
    <text>Có chiều dày vách 50mm --&gt; Cần có trục băng tải nối.</text>
  </threadedComment>
  <threadedComment ref="B375" dT="2024-11-26T02:53:57.41" personId="{35A3BD70-4CB6-4DE0-BBF5-41D7EC7A8F91}" id="{B1BC5FB0-3954-4A98-97D4-0F32939A1CD1}">
    <text>Chưa có trong list PE</text>
  </threadedComment>
  <threadedComment ref="B425" dT="2025-03-18T09:47:11.66" personId="{35A3BD70-4CB6-4DE0-BBF5-41D7EC7A8F91}" id="{5AA45893-9AB0-4874-A7C1-614EC8485F48}">
    <text>Lấy mã MEC2407012 để bán
Do máy lắp vào MEC2501022
--&gt; Lấy MEC2407014 cải tiến từ ULD --&gt; LD để bán.
Jan-28, 2026
 Nhầm dạng máy  cần làm máy TYPE 3 (khung Inox)</text>
  </threadedComment>
  <threadedComment ref="M425" dT="2025-08-06T11:09:51.73" personId="{35A3BD70-4CB6-4DE0-BBF5-41D7EC7A8F91}" id="{AEC6DCC3-49CC-4E02-8948-1DC5BE896F0C}">
    <text>Máy hướng Phải -&gt; trái đã lắp cho MEC2501022 (làm sai hướng Trái -&gt; Phải)
Vậy còn tồn máy Load hướng trái -&gt; phải
Máy MEC2502047 cần Phải -&gt; Trái</text>
  </threadedComment>
  <threadedComment ref="B428" dT="2025-04-29T06:40:32.12" personId="{35A3BD70-4CB6-4DE0-BBF5-41D7EC7A8F91}" id="{53388376-28E0-4625-9C0C-B5D4BDA9FD30}">
    <text>Lấy máy MEC2403055 để bán</text>
  </threadedComment>
  <threadedComment ref="M453" dT="2025-05-21T05:20:47.64" personId="{35A3BD70-4CB6-4DE0-BBF5-41D7EC7A8F91}" id="{F60B2E1D-7310-4451-BE69-62AC832C18F9}">
    <text>May-21, 2025 Sai hương máy
Yêu cầu: Phải -&gt; Trái,
Máy làm Trái -&gt; phải
Đã lấy MEC2502047 lắp trước.
--&gt; còn tồn máy Trái -&gt; Phải</text>
  </threadedComment>
  <threadedComment ref="B454" dT="2025-05-08T02:39:54.66" personId="{35A3BD70-4CB6-4DE0-BBF5-41D7EC7A8F91}" id="{E53C91CD-BF69-4079-B0AE-64D8782830E8}">
    <text>Xác nhận lại mua hàng máy TYPE 3 --&gt; L rack</text>
  </threadedComment>
  <threadedComment ref="AD454" dT="2025-05-08T02:38:17.52" personId="{35A3BD70-4CB6-4DE0-BBF5-41D7EC7A8F91}" id="{4FC0E56A-D2EE-4E9E-8223-1E1AA4EAB223}">
    <text>2025/03/08 --&gt; Chuyển L rack (họp cùng Ms. Hiền)</text>
  </threadedComment>
  <threadedComment ref="B473" dT="2025-08-18T02:20:24.63" personId="{35A3BD70-4CB6-4DE0-BBF5-41D7EC7A8F91}" id="{2315E5D9-2668-49ED-BC72-62A5998A8652}">
    <text>Chuyển bán sang mã MEC2507018</text>
  </threadedComment>
  <threadedComment ref="B482" dT="2025-08-11T01:59:45.61" personId="{35A3BD70-4CB6-4DE0-BBF5-41D7EC7A8F91}" id="{F050E720-B071-4358-9882-2F11D3C66C98}">
    <text>NVL mua: MEC2502034
Bán sang mã MEC2505004</text>
  </threadedComment>
  <threadedComment ref="O483" dT="2025-08-18T02:28:36.23" personId="{35A3BD70-4CB6-4DE0-BBF5-41D7EC7A8F91}" id="{B3CD90F7-773A-41E7-9E54-B0C74A5D11AA}">
    <text>(Chiều ngang bo 724mm)</text>
  </threadedComment>
  <threadedComment ref="O484" dT="2025-08-18T02:28:45.15" personId="{35A3BD70-4CB6-4DE0-BBF5-41D7EC7A8F91}" id="{239E6611-D7B7-47AF-ABD3-28DB16294888}">
    <text>(Chiều ngang bo 724mm)</text>
  </threadedComment>
  <threadedComment ref="B485" dT="2025-04-01T05:32:07.77" personId="{35A3BD70-4CB6-4DE0-BBF5-41D7EC7A8F91}" id="{C410F7BF-6D74-44B6-AA0A-7B61FB6D1999}">
    <text>Lấy MEC2403053 chuyển sang lắp
Chuyển sang lắp cho MEC2502047
--&gt; Làm mới khung sơn bù vị trí này</text>
  </threadedComment>
  <threadedComment ref="O485" dT="2025-08-18T02:28:58.72" personId="{35A3BD70-4CB6-4DE0-BBF5-41D7EC7A8F91}" id="{02EC1A6A-A681-43D8-ACC0-72A4DD30E680}">
    <text>(Chiều ngang bo 724mm)</text>
  </threadedComment>
  <threadedComment ref="B488" dT="2025-04-01T05:32:44.16" personId="{35A3BD70-4CB6-4DE0-BBF5-41D7EC7A8F91}" id="{19171E19-A981-4FA9-B17A-8590B9630BCF}">
    <text>Lấy MEC2403036 để bán</text>
  </threadedComment>
  <threadedComment ref="B492" dT="2025-03-18T09:46:03.22" personId="{35A3BD70-4CB6-4DE0-BBF5-41D7EC7A8F91}" id="{DD27C18F-F8A7-405E-B7B3-4F9A709A4202}">
    <text>Cải tiến từ máy MEC2403059 ULD --&gt; LD sang để bán.</text>
  </threadedComment>
  <threadedComment ref="B494" dT="2025-04-21T10:12:47.68" personId="{35A3BD70-4CB6-4DE0-BBF5-41D7EC7A8F91}" id="{17876225-6838-42C7-A2E2-CCE89CB9585C}">
    <text>Apr-21 --&gt; Sale xác nhận Spec máy</text>
  </threadedComment>
  <threadedComment ref="B497" dT="2025-07-31T07:11:19.61" personId="{35A3BD70-4CB6-4DE0-BBF5-41D7EC7A8F91}" id="{0EA641D1-3C40-4CC0-94A4-822EC2E20460}">
    <text>Bán sang máy MEC2505032</text>
  </threadedComment>
  <threadedComment ref="B498" dT="2025-07-31T07:11:25.38" personId="{35A3BD70-4CB6-4DE0-BBF5-41D7EC7A8F91}" id="{47C1FBA2-5C74-45CC-8731-F969E30DFE2A}">
    <text>Bán sang máy MEC2505033</text>
  </threadedComment>
  <threadedComment ref="B545" dT="2025-07-31T07:10:52.68" personId="{35A3BD70-4CB6-4DE0-BBF5-41D7EC7A8F91}" id="{80161BD7-F498-45C0-9060-746BFD67F8C9}">
    <text>Lấy máy MEC2504016 để bán</text>
  </threadedComment>
  <threadedComment ref="B546" dT="2025-07-31T07:11:02.47" personId="{35A3BD70-4CB6-4DE0-BBF5-41D7EC7A8F91}" id="{F68926AF-08A6-4D38-BD1F-CF682CE528F2}">
    <text>Lấy máy MEC2504017 để bán</text>
  </threadedComment>
  <threadedComment ref="B640" dT="2025-08-18T02:20:42.79" personId="{35A3BD70-4CB6-4DE0-BBF5-41D7EC7A8F91}" id="{8A582D91-131E-4881-A180-B59514CBAFA7}">
    <text>Lấy mã MEC2502025 bán vào mã này</text>
  </threadedComment>
  <threadedComment ref="K689" dT="2026-01-30T08:00:14.76" personId="{35A3BD70-4CB6-4DE0-BBF5-41D7EC7A8F91}" id="{BA78BC3C-680A-4446-A7F2-B472D25C5B88}">
    <text>Thêm cảm biến màu và cảm biến kim loại phi kim.</text>
  </threadedComment>
  <threadedComment ref="B752" dT="2026-03-18T02:30:08.37" personId="{35A3BD70-4CB6-4DE0-BBF5-41D7EC7A8F91}" id="{EC593842-0133-46BC-8162-341FD87CA7D3}">
    <text>Mar-16 chuyển dạng máy TYPE 3 --&gt;  PCB Transfer (H rack 2 vị trí)</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C4681-44E1-4826-AED9-CD592AF580BC}">
  <sheetPr codeName="Sheet4">
    <pageSetUpPr fitToPage="1"/>
  </sheetPr>
  <dimension ref="A1:BX7823"/>
  <sheetViews>
    <sheetView tabSelected="1" zoomScale="70" zoomScaleNormal="70" zoomScaleSheetLayoutView="70" workbookViewId="0">
      <pane xSplit="11" ySplit="5" topLeftCell="L1444" activePane="bottomRight" state="frozen"/>
      <selection pane="topRight" activeCell="L1" sqref="L1"/>
      <selection pane="bottomLeft" activeCell="A6" sqref="A6"/>
      <selection pane="bottomRight" activeCell="K1446" sqref="K1446"/>
    </sheetView>
  </sheetViews>
  <sheetFormatPr defaultColWidth="8.88671875" defaultRowHeight="15" outlineLevelCol="1" x14ac:dyDescent="0.3"/>
  <cols>
    <col min="1" max="1" width="7.5546875" style="58" customWidth="1"/>
    <col min="2" max="2" width="18.88671875" style="50" customWidth="1"/>
    <col min="3" max="3" width="11.5546875" style="58" customWidth="1"/>
    <col min="4" max="4" width="29.44140625" style="58" customWidth="1"/>
    <col min="5" max="5" width="12.33203125" style="298" customWidth="1"/>
    <col min="6" max="6" width="10.44140625" style="298" customWidth="1"/>
    <col min="7" max="7" width="8.6640625" style="298" customWidth="1"/>
    <col min="8" max="8" width="10.33203125" style="298" customWidth="1"/>
    <col min="9" max="9" width="16.6640625" style="82" customWidth="1"/>
    <col min="10" max="10" width="19" style="60" customWidth="1"/>
    <col min="11" max="11" width="28.109375" style="60" customWidth="1"/>
    <col min="12" max="12" width="13.44140625" style="58" customWidth="1" outlineLevel="1"/>
    <col min="13" max="13" width="13.33203125" style="82" customWidth="1" outlineLevel="1"/>
    <col min="14" max="14" width="12.33203125" style="58" customWidth="1" outlineLevel="1"/>
    <col min="15" max="15" width="11.6640625" style="58" customWidth="1" outlineLevel="1"/>
    <col min="16" max="16" width="8" style="314" customWidth="1" outlineLevel="1"/>
    <col min="17" max="19" width="9.6640625" style="58" customWidth="1" outlineLevel="1"/>
    <col min="20" max="20" width="11.33203125" style="58" customWidth="1" outlineLevel="1"/>
    <col min="21" max="23" width="9.5546875" style="58" customWidth="1" outlineLevel="1"/>
    <col min="24" max="24" width="11.33203125" style="58" customWidth="1" outlineLevel="1"/>
    <col min="25" max="25" width="10.33203125" style="58" customWidth="1" outlineLevel="1"/>
    <col min="26" max="26" width="11.33203125" style="58" customWidth="1" outlineLevel="1"/>
    <col min="27" max="27" width="11" style="58" customWidth="1" outlineLevel="1"/>
    <col min="28" max="28" width="10.33203125" style="82" customWidth="1" outlineLevel="1"/>
    <col min="29" max="29" width="76.33203125" style="60" customWidth="1"/>
    <col min="30" max="30" width="26.6640625" style="82" customWidth="1"/>
    <col min="31" max="31" width="16.44140625" style="339" customWidth="1" outlineLevel="1"/>
    <col min="32" max="32" width="12.33203125" style="339" customWidth="1" outlineLevel="1"/>
    <col min="33" max="33" width="17.33203125" style="282" customWidth="1" outlineLevel="1"/>
    <col min="34" max="34" width="20" style="83" customWidth="1" outlineLevel="1"/>
    <col min="35" max="35" width="15.33203125" style="83" customWidth="1" outlineLevel="1"/>
    <col min="36" max="36" width="13.109375" style="82" customWidth="1" outlineLevel="1"/>
    <col min="37" max="37" width="11.44140625" style="82" customWidth="1" outlineLevel="1"/>
    <col min="38" max="38" width="11.6640625" style="82" customWidth="1" outlineLevel="1"/>
    <col min="39" max="39" width="9.88671875" style="82" customWidth="1"/>
    <col min="40" max="45" width="12.6640625" style="58" hidden="1" customWidth="1" outlineLevel="1"/>
    <col min="46" max="46" width="12.6640625" style="333" customWidth="1" collapsed="1"/>
    <col min="47" max="53" width="12.6640625" style="333" customWidth="1"/>
    <col min="54" max="54" width="67.6640625" style="57" customWidth="1"/>
    <col min="55" max="55" width="25.88671875" style="57" customWidth="1"/>
    <col min="56" max="59" width="17.33203125" style="58" customWidth="1"/>
    <col min="60" max="60" width="17" style="81" customWidth="1"/>
    <col min="61" max="61" width="13.5546875" style="50" hidden="1" customWidth="1"/>
    <col min="62" max="63" width="0" style="50" hidden="1" customWidth="1"/>
    <col min="64" max="64" width="42.5546875" style="50" customWidth="1"/>
    <col min="65" max="68" width="8.88671875" style="50"/>
    <col min="69" max="69" width="28.33203125" style="50" customWidth="1"/>
    <col min="70" max="70" width="8.88671875" style="50"/>
    <col min="71" max="71" width="14.6640625" style="50" customWidth="1"/>
    <col min="72" max="76" width="12.6640625" style="50" customWidth="1"/>
    <col min="77" max="16384" width="8.88671875" style="50"/>
  </cols>
  <sheetData>
    <row r="1" spans="1:64" s="431" customFormat="1" ht="67.2" customHeight="1" x14ac:dyDescent="0.3">
      <c r="A1" s="431" t="s">
        <v>59</v>
      </c>
    </row>
    <row r="2" spans="1:64" s="431" customFormat="1" ht="21" customHeight="1" x14ac:dyDescent="0.3"/>
    <row r="3" spans="1:64" ht="21.6" customHeight="1" x14ac:dyDescent="0.3">
      <c r="G3" s="393"/>
      <c r="H3" s="394"/>
      <c r="N3" s="390"/>
      <c r="O3" s="391"/>
      <c r="P3" s="395"/>
      <c r="Q3" s="371"/>
      <c r="R3" s="371"/>
      <c r="S3" s="371"/>
      <c r="T3" s="389" t="s">
        <v>61</v>
      </c>
      <c r="U3" s="389"/>
      <c r="V3" s="389"/>
      <c r="W3" s="389"/>
      <c r="X3" s="389"/>
      <c r="Y3" s="389"/>
      <c r="Z3" s="389"/>
      <c r="AA3" s="389"/>
      <c r="AB3" s="389"/>
      <c r="AK3" s="390"/>
      <c r="AL3" s="391"/>
      <c r="AM3" s="392"/>
      <c r="AN3" s="389" t="s">
        <v>54</v>
      </c>
      <c r="AO3" s="389"/>
      <c r="AP3" s="389"/>
      <c r="AQ3" s="389" t="s">
        <v>62</v>
      </c>
      <c r="AR3" s="389"/>
      <c r="AS3" s="389"/>
      <c r="AT3" s="334"/>
      <c r="AU3" s="396"/>
      <c r="AV3" s="396"/>
      <c r="AW3" s="396"/>
      <c r="AX3" s="396"/>
      <c r="AY3" s="396"/>
      <c r="AZ3" s="396"/>
      <c r="BA3" s="397"/>
      <c r="BB3" s="389" t="s">
        <v>63</v>
      </c>
      <c r="BC3" s="62"/>
      <c r="BD3" s="386" t="s">
        <v>64</v>
      </c>
      <c r="BE3" s="387"/>
      <c r="BF3" s="387"/>
      <c r="BG3" s="388"/>
      <c r="BH3" s="54"/>
      <c r="BI3" s="60" t="s">
        <v>65</v>
      </c>
      <c r="BJ3" s="50" t="s">
        <v>66</v>
      </c>
    </row>
    <row r="4" spans="1:64" ht="49.95" customHeight="1" x14ac:dyDescent="0.3">
      <c r="A4" s="124" t="s">
        <v>50</v>
      </c>
      <c r="B4" s="100" t="s">
        <v>67</v>
      </c>
      <c r="C4" s="122" t="s">
        <v>52</v>
      </c>
      <c r="D4" s="261" t="s">
        <v>68</v>
      </c>
      <c r="E4" s="299" t="s">
        <v>69</v>
      </c>
      <c r="F4" s="300" t="s">
        <v>70</v>
      </c>
      <c r="G4" s="301" t="s">
        <v>71</v>
      </c>
      <c r="H4" s="301" t="s">
        <v>72</v>
      </c>
      <c r="I4" s="122" t="s">
        <v>73</v>
      </c>
      <c r="J4" s="122" t="s">
        <v>74</v>
      </c>
      <c r="K4" s="122" t="s">
        <v>75</v>
      </c>
      <c r="L4" s="122" t="s">
        <v>76</v>
      </c>
      <c r="M4" s="122" t="s">
        <v>77</v>
      </c>
      <c r="N4" s="178" t="s">
        <v>78</v>
      </c>
      <c r="O4" s="178" t="s">
        <v>79</v>
      </c>
      <c r="P4" s="306" t="s">
        <v>80</v>
      </c>
      <c r="Q4" s="86" t="s">
        <v>81</v>
      </c>
      <c r="R4" s="86" t="s">
        <v>82</v>
      </c>
      <c r="S4" s="86" t="s">
        <v>83</v>
      </c>
      <c r="T4" s="86" t="s">
        <v>84</v>
      </c>
      <c r="U4" s="86" t="s">
        <v>85</v>
      </c>
      <c r="V4" s="86" t="s">
        <v>86</v>
      </c>
      <c r="W4" s="86" t="s">
        <v>87</v>
      </c>
      <c r="X4" s="86" t="s">
        <v>88</v>
      </c>
      <c r="Y4" s="86" t="s">
        <v>89</v>
      </c>
      <c r="Z4" s="86" t="s">
        <v>90</v>
      </c>
      <c r="AA4" s="86" t="s">
        <v>91</v>
      </c>
      <c r="AB4" s="86" t="s">
        <v>92</v>
      </c>
      <c r="AC4" s="181" t="s">
        <v>93</v>
      </c>
      <c r="AD4" s="369" t="s">
        <v>94</v>
      </c>
      <c r="AE4" s="360" t="s">
        <v>95</v>
      </c>
      <c r="AF4" s="361" t="s">
        <v>96</v>
      </c>
      <c r="AG4" s="283" t="s">
        <v>97</v>
      </c>
      <c r="AH4" s="182" t="s">
        <v>98</v>
      </c>
      <c r="AI4" s="182" t="s">
        <v>99</v>
      </c>
      <c r="AJ4" s="122" t="s">
        <v>100</v>
      </c>
      <c r="AK4" s="369" t="s">
        <v>101</v>
      </c>
      <c r="AL4" s="369" t="s">
        <v>102</v>
      </c>
      <c r="AM4" s="178" t="s">
        <v>103</v>
      </c>
      <c r="AN4" s="305" t="s">
        <v>104</v>
      </c>
      <c r="AO4" s="305" t="s">
        <v>105</v>
      </c>
      <c r="AP4" s="305" t="s">
        <v>7</v>
      </c>
      <c r="AQ4" s="305" t="s">
        <v>104</v>
      </c>
      <c r="AR4" s="305" t="s">
        <v>105</v>
      </c>
      <c r="AS4" s="305" t="s">
        <v>7</v>
      </c>
      <c r="AT4" s="144" t="s">
        <v>106</v>
      </c>
      <c r="AU4" s="144" t="s">
        <v>107</v>
      </c>
      <c r="AV4" s="145" t="s">
        <v>108</v>
      </c>
      <c r="AW4" s="144" t="s">
        <v>109</v>
      </c>
      <c r="AX4" s="144" t="s">
        <v>110</v>
      </c>
      <c r="AY4" s="146" t="s">
        <v>111</v>
      </c>
      <c r="AZ4" s="146" t="s">
        <v>112</v>
      </c>
      <c r="BA4" s="146" t="s">
        <v>113</v>
      </c>
      <c r="BB4" s="389"/>
      <c r="BC4" s="62" t="s">
        <v>114</v>
      </c>
      <c r="BD4" s="366" t="s">
        <v>115</v>
      </c>
      <c r="BE4" s="367" t="s">
        <v>116</v>
      </c>
      <c r="BF4" s="367" t="s">
        <v>117</v>
      </c>
      <c r="BG4" s="368" t="s">
        <v>118</v>
      </c>
      <c r="BH4" s="61" t="s">
        <v>119</v>
      </c>
      <c r="BI4" s="60" t="s">
        <v>120</v>
      </c>
      <c r="BJ4" s="50" t="s">
        <v>121</v>
      </c>
      <c r="BL4" s="367" t="s">
        <v>122</v>
      </c>
    </row>
    <row r="5" spans="1:64" s="59" customFormat="1" ht="6" customHeight="1" x14ac:dyDescent="0.3">
      <c r="A5" s="305" t="s">
        <v>42</v>
      </c>
      <c r="B5" s="369" t="s">
        <v>42</v>
      </c>
      <c r="C5" s="178" t="s">
        <v>42</v>
      </c>
      <c r="D5" s="178" t="s">
        <v>42</v>
      </c>
      <c r="E5" s="179" t="s">
        <v>42</v>
      </c>
      <c r="F5" s="153" t="s">
        <v>42</v>
      </c>
      <c r="G5" s="178" t="s">
        <v>42</v>
      </c>
      <c r="H5" s="178" t="s">
        <v>42</v>
      </c>
      <c r="I5" s="178" t="s">
        <v>42</v>
      </c>
      <c r="J5" s="178" t="s">
        <v>42</v>
      </c>
      <c r="K5" s="178" t="s">
        <v>42</v>
      </c>
      <c r="L5" s="178" t="s">
        <v>42</v>
      </c>
      <c r="M5" s="178" t="s">
        <v>42</v>
      </c>
      <c r="N5" s="178" t="s">
        <v>42</v>
      </c>
      <c r="O5" s="178" t="s">
        <v>42</v>
      </c>
      <c r="P5" s="86"/>
      <c r="Q5" s="86"/>
      <c r="R5" s="86"/>
      <c r="S5" s="86"/>
      <c r="T5" s="86" t="s">
        <v>42</v>
      </c>
      <c r="U5" s="86"/>
      <c r="V5" s="86"/>
      <c r="W5" s="86"/>
      <c r="X5" s="86" t="s">
        <v>42</v>
      </c>
      <c r="Y5" s="86" t="s">
        <v>42</v>
      </c>
      <c r="Z5" s="86" t="s">
        <v>42</v>
      </c>
      <c r="AA5" s="86"/>
      <c r="AB5" s="86" t="s">
        <v>42</v>
      </c>
      <c r="AC5" s="369" t="s">
        <v>42</v>
      </c>
      <c r="AD5" s="369" t="s">
        <v>42</v>
      </c>
      <c r="AE5" s="87" t="s">
        <v>42</v>
      </c>
      <c r="AF5" s="87"/>
      <c r="AG5" s="88" t="s">
        <v>42</v>
      </c>
      <c r="AH5" s="89" t="s">
        <v>42</v>
      </c>
      <c r="AI5" s="89" t="s">
        <v>42</v>
      </c>
      <c r="AJ5" s="178" t="s">
        <v>42</v>
      </c>
      <c r="AK5" s="369" t="s">
        <v>42</v>
      </c>
      <c r="AL5" s="369" t="s">
        <v>42</v>
      </c>
      <c r="AM5" s="178" t="s">
        <v>42</v>
      </c>
      <c r="AN5" s="305" t="s">
        <v>42</v>
      </c>
      <c r="AO5" s="305" t="s">
        <v>42</v>
      </c>
      <c r="AP5" s="305" t="s">
        <v>42</v>
      </c>
      <c r="AQ5" s="305" t="s">
        <v>42</v>
      </c>
      <c r="AR5" s="305" t="s">
        <v>42</v>
      </c>
      <c r="AS5" s="305" t="s">
        <v>42</v>
      </c>
      <c r="AT5" s="143" t="s">
        <v>42</v>
      </c>
      <c r="AU5" s="144" t="s">
        <v>42</v>
      </c>
      <c r="AV5" s="145" t="s">
        <v>42</v>
      </c>
      <c r="AW5" s="144" t="s">
        <v>42</v>
      </c>
      <c r="AX5" s="144" t="s">
        <v>42</v>
      </c>
      <c r="AY5" s="146" t="s">
        <v>42</v>
      </c>
      <c r="AZ5" s="146"/>
      <c r="BA5" s="146"/>
      <c r="BB5" s="369" t="s">
        <v>42</v>
      </c>
      <c r="BC5" s="62"/>
      <c r="BD5" s="366"/>
      <c r="BE5" s="367"/>
      <c r="BF5" s="367"/>
      <c r="BG5" s="368"/>
      <c r="BH5" s="61"/>
      <c r="BI5" s="60"/>
      <c r="BL5" s="73"/>
    </row>
    <row r="6" spans="1:64" s="59" customFormat="1" ht="30.6" customHeight="1" x14ac:dyDescent="0.3">
      <c r="A6" s="305">
        <f>ROW(B6)-ROW($B$5)</f>
        <v>1</v>
      </c>
      <c r="B6" s="90" t="s">
        <v>123</v>
      </c>
      <c r="C6" s="305" t="s">
        <v>3</v>
      </c>
      <c r="D6" s="305" t="s">
        <v>124</v>
      </c>
      <c r="E6" s="91">
        <v>45590</v>
      </c>
      <c r="F6" s="97">
        <v>45595</v>
      </c>
      <c r="G6" s="305"/>
      <c r="H6" s="305"/>
      <c r="I6" s="369" t="s">
        <v>3</v>
      </c>
      <c r="J6" s="90" t="s">
        <v>125</v>
      </c>
      <c r="K6" s="92" t="s">
        <v>126</v>
      </c>
      <c r="L6" s="305"/>
      <c r="M6" s="369" t="s">
        <v>120</v>
      </c>
      <c r="N6" s="369" t="s">
        <v>127</v>
      </c>
      <c r="O6" s="305"/>
      <c r="P6" s="158"/>
      <c r="Q6" s="305"/>
      <c r="R6" s="305"/>
      <c r="S6" s="305"/>
      <c r="T6" s="305"/>
      <c r="U6" s="305"/>
      <c r="V6" s="305"/>
      <c r="W6" s="305"/>
      <c r="X6" s="305" t="s">
        <v>128</v>
      </c>
      <c r="Y6" s="305" t="s">
        <v>127</v>
      </c>
      <c r="Z6" s="305" t="s">
        <v>127</v>
      </c>
      <c r="AA6" s="305"/>
      <c r="AB6" s="305"/>
      <c r="AC6" s="92" t="s">
        <v>129</v>
      </c>
      <c r="AD6" s="369" t="s">
        <v>130</v>
      </c>
      <c r="AE6" s="180">
        <v>45590</v>
      </c>
      <c r="AF6" s="180"/>
      <c r="AG6" s="180">
        <v>45407</v>
      </c>
      <c r="AH6" s="93">
        <v>45534</v>
      </c>
      <c r="AI6" s="264">
        <v>45505</v>
      </c>
      <c r="AJ6" s="95" t="s">
        <v>131</v>
      </c>
      <c r="AK6" s="369" t="s">
        <v>132</v>
      </c>
      <c r="AL6" s="369" t="s">
        <v>133</v>
      </c>
      <c r="AM6" s="369" t="s">
        <v>134</v>
      </c>
      <c r="AN6" s="91"/>
      <c r="AO6" s="305"/>
      <c r="AP6" s="305"/>
      <c r="AQ6" s="289"/>
      <c r="AR6" s="305"/>
      <c r="AS6" s="305"/>
      <c r="AT6" s="96">
        <v>45488</v>
      </c>
      <c r="AU6" s="97">
        <v>45447</v>
      </c>
      <c r="AV6" s="97">
        <v>45474</v>
      </c>
      <c r="AW6" s="97">
        <v>45439</v>
      </c>
      <c r="AX6" s="97"/>
      <c r="AY6" s="98"/>
      <c r="AZ6" s="98"/>
      <c r="BA6" s="98"/>
      <c r="BB6" s="92" t="s">
        <v>135</v>
      </c>
      <c r="BC6" s="47"/>
      <c r="BD6" s="63"/>
      <c r="BE6" s="367"/>
      <c r="BF6" s="367"/>
      <c r="BG6" s="368"/>
      <c r="BH6" s="64" t="e">
        <f>#REF!</f>
        <v>#REF!</v>
      </c>
      <c r="BL6" s="73"/>
    </row>
    <row r="7" spans="1:64" s="59" customFormat="1" ht="34.200000000000003" customHeight="1" x14ac:dyDescent="0.3">
      <c r="A7" s="305">
        <f t="shared" ref="A7:A70" si="0">ROW(B7)-ROW($B$5)</f>
        <v>2</v>
      </c>
      <c r="B7" s="90" t="s">
        <v>136</v>
      </c>
      <c r="C7" s="305" t="s">
        <v>3</v>
      </c>
      <c r="D7" s="305" t="s">
        <v>124</v>
      </c>
      <c r="E7" s="91">
        <v>45590</v>
      </c>
      <c r="F7" s="97">
        <v>45595</v>
      </c>
      <c r="G7" s="305"/>
      <c r="H7" s="305"/>
      <c r="I7" s="369" t="s">
        <v>3</v>
      </c>
      <c r="J7" s="90" t="s">
        <v>125</v>
      </c>
      <c r="K7" s="92" t="s">
        <v>126</v>
      </c>
      <c r="L7" s="305"/>
      <c r="M7" s="369" t="s">
        <v>120</v>
      </c>
      <c r="N7" s="369" t="s">
        <v>127</v>
      </c>
      <c r="O7" s="305"/>
      <c r="P7" s="158"/>
      <c r="Q7" s="305"/>
      <c r="R7" s="305"/>
      <c r="S7" s="305"/>
      <c r="T7" s="99"/>
      <c r="U7" s="99"/>
      <c r="V7" s="99"/>
      <c r="W7" s="99"/>
      <c r="X7" s="305" t="s">
        <v>128</v>
      </c>
      <c r="Y7" s="305" t="s">
        <v>127</v>
      </c>
      <c r="Z7" s="305" t="s">
        <v>127</v>
      </c>
      <c r="AA7" s="305"/>
      <c r="AB7" s="305"/>
      <c r="AC7" s="92" t="s">
        <v>137</v>
      </c>
      <c r="AD7" s="369" t="s">
        <v>130</v>
      </c>
      <c r="AE7" s="180">
        <v>45590</v>
      </c>
      <c r="AF7" s="180"/>
      <c r="AG7" s="180">
        <v>45407</v>
      </c>
      <c r="AH7" s="93">
        <v>45534</v>
      </c>
      <c r="AI7" s="264">
        <v>45505</v>
      </c>
      <c r="AJ7" s="95" t="s">
        <v>131</v>
      </c>
      <c r="AK7" s="369" t="s">
        <v>132</v>
      </c>
      <c r="AL7" s="369" t="s">
        <v>133</v>
      </c>
      <c r="AM7" s="369" t="s">
        <v>134</v>
      </c>
      <c r="AN7" s="96"/>
      <c r="AO7" s="369"/>
      <c r="AP7" s="305"/>
      <c r="AQ7" s="372"/>
      <c r="AR7" s="369"/>
      <c r="AS7" s="305"/>
      <c r="AT7" s="96">
        <v>45488</v>
      </c>
      <c r="AU7" s="97">
        <v>45447</v>
      </c>
      <c r="AV7" s="97">
        <v>45474</v>
      </c>
      <c r="AW7" s="97">
        <v>45439</v>
      </c>
      <c r="AX7" s="97"/>
      <c r="AY7" s="98"/>
      <c r="AZ7" s="98"/>
      <c r="BA7" s="98"/>
      <c r="BB7" s="100" t="s">
        <v>135</v>
      </c>
      <c r="BC7" s="65"/>
      <c r="BD7" s="63"/>
      <c r="BE7" s="66"/>
      <c r="BF7" s="367"/>
      <c r="BG7" s="368"/>
      <c r="BH7" s="64" t="e">
        <f>#REF!</f>
        <v>#REF!</v>
      </c>
      <c r="BL7" s="73"/>
    </row>
    <row r="8" spans="1:64" ht="37.950000000000003" customHeight="1" x14ac:dyDescent="0.3">
      <c r="A8" s="305">
        <f t="shared" si="0"/>
        <v>3</v>
      </c>
      <c r="B8" s="90" t="s">
        <v>138</v>
      </c>
      <c r="C8" s="305" t="s">
        <v>0</v>
      </c>
      <c r="D8" s="305" t="s">
        <v>139</v>
      </c>
      <c r="E8" s="91">
        <v>45471</v>
      </c>
      <c r="F8" s="97">
        <v>45597</v>
      </c>
      <c r="G8" s="91">
        <v>45604</v>
      </c>
      <c r="H8" s="91"/>
      <c r="I8" s="369" t="s">
        <v>26</v>
      </c>
      <c r="J8" s="90" t="s">
        <v>140</v>
      </c>
      <c r="K8" s="92" t="s">
        <v>141</v>
      </c>
      <c r="L8" s="305">
        <v>1000</v>
      </c>
      <c r="M8" s="369" t="s">
        <v>65</v>
      </c>
      <c r="N8" s="369"/>
      <c r="O8" s="370" t="s">
        <v>127</v>
      </c>
      <c r="P8" s="307"/>
      <c r="Q8" s="370"/>
      <c r="R8" s="370"/>
      <c r="S8" s="370"/>
      <c r="T8" s="99"/>
      <c r="U8" s="99"/>
      <c r="V8" s="99"/>
      <c r="W8" s="99"/>
      <c r="X8" s="99" t="s">
        <v>142</v>
      </c>
      <c r="Y8" s="99"/>
      <c r="Z8" s="99" t="s">
        <v>127</v>
      </c>
      <c r="AA8" s="99"/>
      <c r="AB8" s="99" t="s">
        <v>143</v>
      </c>
      <c r="AC8" s="101" t="s">
        <v>144</v>
      </c>
      <c r="AD8" s="369" t="s">
        <v>145</v>
      </c>
      <c r="AE8" s="180"/>
      <c r="AF8" s="180"/>
      <c r="AG8" s="180">
        <v>45437</v>
      </c>
      <c r="AH8" s="93">
        <v>45468</v>
      </c>
      <c r="AI8" s="264">
        <v>45444</v>
      </c>
      <c r="AJ8" s="95" t="s">
        <v>131</v>
      </c>
      <c r="AK8" s="369" t="s">
        <v>146</v>
      </c>
      <c r="AL8" s="369" t="s">
        <v>147</v>
      </c>
      <c r="AM8" s="369" t="s">
        <v>134</v>
      </c>
      <c r="AN8" s="91"/>
      <c r="AO8" s="305"/>
      <c r="AP8" s="305"/>
      <c r="AQ8" s="289"/>
      <c r="AR8" s="305"/>
      <c r="AS8" s="305"/>
      <c r="AT8" s="102">
        <v>45448</v>
      </c>
      <c r="AU8" s="97">
        <v>45404</v>
      </c>
      <c r="AV8" s="97">
        <v>45428</v>
      </c>
      <c r="AW8" s="97">
        <v>45380</v>
      </c>
      <c r="AX8" s="97"/>
      <c r="AY8" s="97"/>
      <c r="AZ8" s="97"/>
      <c r="BA8" s="97"/>
      <c r="BB8" s="100"/>
      <c r="BC8" s="65"/>
      <c r="BD8" s="63"/>
      <c r="BE8" s="67"/>
      <c r="BF8" s="367"/>
      <c r="BG8" s="368"/>
      <c r="BH8" s="64" t="e">
        <f>#REF!</f>
        <v>#REF!</v>
      </c>
      <c r="BL8" s="54"/>
    </row>
    <row r="9" spans="1:64" ht="36" customHeight="1" x14ac:dyDescent="0.3">
      <c r="A9" s="305">
        <f t="shared" si="0"/>
        <v>4</v>
      </c>
      <c r="B9" s="90" t="s">
        <v>148</v>
      </c>
      <c r="C9" s="305" t="s">
        <v>0</v>
      </c>
      <c r="D9" s="305" t="s">
        <v>139</v>
      </c>
      <c r="E9" s="91">
        <v>45408</v>
      </c>
      <c r="F9" s="97"/>
      <c r="G9" s="91">
        <v>45719</v>
      </c>
      <c r="H9" s="91"/>
      <c r="I9" s="369" t="s">
        <v>26</v>
      </c>
      <c r="J9" s="90"/>
      <c r="K9" s="92" t="s">
        <v>149</v>
      </c>
      <c r="L9" s="305">
        <v>1100</v>
      </c>
      <c r="M9" s="369" t="s">
        <v>65</v>
      </c>
      <c r="N9" s="369"/>
      <c r="O9" s="370" t="s">
        <v>127</v>
      </c>
      <c r="P9" s="307"/>
      <c r="Q9" s="370"/>
      <c r="R9" s="370"/>
      <c r="S9" s="370"/>
      <c r="T9" s="99"/>
      <c r="U9" s="99"/>
      <c r="V9" s="99"/>
      <c r="W9" s="99"/>
      <c r="X9" s="369" t="s">
        <v>150</v>
      </c>
      <c r="Y9" s="369" t="s">
        <v>127</v>
      </c>
      <c r="Z9" s="369"/>
      <c r="AA9" s="369"/>
      <c r="AB9" s="99" t="s">
        <v>143</v>
      </c>
      <c r="AC9" s="101" t="s">
        <v>151</v>
      </c>
      <c r="AD9" s="369" t="s">
        <v>152</v>
      </c>
      <c r="AE9" s="180"/>
      <c r="AF9" s="180"/>
      <c r="AG9" s="180">
        <v>45407</v>
      </c>
      <c r="AH9" s="93">
        <v>45408</v>
      </c>
      <c r="AI9" s="264">
        <v>45383</v>
      </c>
      <c r="AJ9" s="95" t="s">
        <v>131</v>
      </c>
      <c r="AK9" s="369" t="s">
        <v>153</v>
      </c>
      <c r="AL9" s="369" t="s">
        <v>154</v>
      </c>
      <c r="AM9" s="369" t="s">
        <v>134</v>
      </c>
      <c r="AN9" s="91"/>
      <c r="AO9" s="305"/>
      <c r="AP9" s="305"/>
      <c r="AQ9" s="289"/>
      <c r="AR9" s="305"/>
      <c r="AS9" s="305"/>
      <c r="AT9" s="102">
        <v>45371</v>
      </c>
      <c r="AU9" s="97">
        <v>45315</v>
      </c>
      <c r="AV9" s="97">
        <v>45320</v>
      </c>
      <c r="AW9" s="97">
        <v>45321</v>
      </c>
      <c r="AX9" s="97"/>
      <c r="AY9" s="97"/>
      <c r="AZ9" s="97"/>
      <c r="BA9" s="97"/>
      <c r="BB9" s="100"/>
      <c r="BC9" s="65"/>
      <c r="BD9" s="63"/>
      <c r="BE9" s="367"/>
      <c r="BF9" s="367"/>
      <c r="BG9" s="368"/>
      <c r="BH9" s="64" t="e">
        <f>#REF!</f>
        <v>#REF!</v>
      </c>
      <c r="BL9" s="54"/>
    </row>
    <row r="10" spans="1:64" ht="36" customHeight="1" x14ac:dyDescent="0.3">
      <c r="A10" s="305">
        <f t="shared" si="0"/>
        <v>5</v>
      </c>
      <c r="B10" s="90" t="s">
        <v>155</v>
      </c>
      <c r="C10" s="305" t="s">
        <v>0</v>
      </c>
      <c r="D10" s="305" t="s">
        <v>139</v>
      </c>
      <c r="E10" s="91">
        <v>45408</v>
      </c>
      <c r="F10" s="97">
        <v>45737</v>
      </c>
      <c r="G10" s="91">
        <v>45744</v>
      </c>
      <c r="H10" s="91"/>
      <c r="I10" s="369" t="s">
        <v>30</v>
      </c>
      <c r="J10" s="90" t="s">
        <v>156</v>
      </c>
      <c r="K10" s="92" t="s">
        <v>157</v>
      </c>
      <c r="L10" s="305">
        <v>1100</v>
      </c>
      <c r="M10" s="369" t="s">
        <v>120</v>
      </c>
      <c r="N10" s="369" t="s">
        <v>127</v>
      </c>
      <c r="O10" s="370"/>
      <c r="P10" s="307"/>
      <c r="Q10" s="370"/>
      <c r="R10" s="370"/>
      <c r="S10" s="370"/>
      <c r="T10" s="99"/>
      <c r="U10" s="99"/>
      <c r="V10" s="99"/>
      <c r="W10" s="99"/>
      <c r="X10" s="369" t="s">
        <v>158</v>
      </c>
      <c r="Y10" s="369"/>
      <c r="Z10" s="369" t="s">
        <v>127</v>
      </c>
      <c r="AA10" s="369"/>
      <c r="AB10" s="369" t="s">
        <v>143</v>
      </c>
      <c r="AC10" s="101" t="s">
        <v>159</v>
      </c>
      <c r="AD10" s="369" t="s">
        <v>160</v>
      </c>
      <c r="AE10" s="180"/>
      <c r="AF10" s="180"/>
      <c r="AG10" s="180">
        <v>45407</v>
      </c>
      <c r="AH10" s="93">
        <v>45407</v>
      </c>
      <c r="AI10" s="264">
        <v>45383</v>
      </c>
      <c r="AJ10" s="95" t="s">
        <v>131</v>
      </c>
      <c r="AK10" s="369" t="s">
        <v>161</v>
      </c>
      <c r="AL10" s="369" t="s">
        <v>162</v>
      </c>
      <c r="AM10" s="369" t="s">
        <v>134</v>
      </c>
      <c r="AN10" s="91"/>
      <c r="AO10" s="305"/>
      <c r="AP10" s="305"/>
      <c r="AQ10" s="289"/>
      <c r="AR10" s="305"/>
      <c r="AS10" s="305"/>
      <c r="AT10" s="102">
        <v>45361</v>
      </c>
      <c r="AU10" s="103">
        <v>45316</v>
      </c>
      <c r="AV10" s="97">
        <v>45327</v>
      </c>
      <c r="AW10" s="97">
        <v>45287</v>
      </c>
      <c r="AX10" s="97"/>
      <c r="AY10" s="98"/>
      <c r="AZ10" s="98"/>
      <c r="BA10" s="98"/>
      <c r="BB10" s="100"/>
      <c r="BC10" s="65"/>
      <c r="BD10" s="63"/>
      <c r="BE10" s="367"/>
      <c r="BF10" s="367"/>
      <c r="BG10" s="368"/>
      <c r="BH10" s="64" t="e">
        <f>#REF!</f>
        <v>#REF!</v>
      </c>
      <c r="BL10" s="54"/>
    </row>
    <row r="11" spans="1:64" ht="36" customHeight="1" x14ac:dyDescent="0.3">
      <c r="A11" s="305">
        <f t="shared" si="0"/>
        <v>6</v>
      </c>
      <c r="B11" s="90" t="s">
        <v>163</v>
      </c>
      <c r="C11" s="305" t="s">
        <v>0</v>
      </c>
      <c r="D11" s="305" t="s">
        <v>139</v>
      </c>
      <c r="E11" s="91">
        <v>45442</v>
      </c>
      <c r="F11" s="97">
        <v>45737</v>
      </c>
      <c r="G11" s="91">
        <v>45744</v>
      </c>
      <c r="H11" s="91"/>
      <c r="I11" s="369" t="s">
        <v>30</v>
      </c>
      <c r="J11" s="90" t="s">
        <v>156</v>
      </c>
      <c r="K11" s="92" t="s">
        <v>157</v>
      </c>
      <c r="L11" s="305">
        <v>1100</v>
      </c>
      <c r="M11" s="369" t="s">
        <v>120</v>
      </c>
      <c r="N11" s="369" t="s">
        <v>127</v>
      </c>
      <c r="O11" s="370"/>
      <c r="P11" s="307"/>
      <c r="Q11" s="370"/>
      <c r="R11" s="370"/>
      <c r="S11" s="370"/>
      <c r="T11" s="99"/>
      <c r="U11" s="99"/>
      <c r="V11" s="99"/>
      <c r="W11" s="99"/>
      <c r="X11" s="369"/>
      <c r="Y11" s="369"/>
      <c r="Z11" s="369" t="s">
        <v>127</v>
      </c>
      <c r="AA11" s="369"/>
      <c r="AB11" s="369"/>
      <c r="AC11" s="101" t="s">
        <v>164</v>
      </c>
      <c r="AD11" s="369" t="s">
        <v>165</v>
      </c>
      <c r="AE11" s="180"/>
      <c r="AF11" s="180"/>
      <c r="AG11" s="180">
        <v>45473</v>
      </c>
      <c r="AH11" s="93">
        <v>45442</v>
      </c>
      <c r="AI11" s="264">
        <v>45413</v>
      </c>
      <c r="AJ11" s="95" t="s">
        <v>131</v>
      </c>
      <c r="AK11" s="369" t="s">
        <v>166</v>
      </c>
      <c r="AL11" s="369" t="s">
        <v>162</v>
      </c>
      <c r="AM11" s="369" t="s">
        <v>134</v>
      </c>
      <c r="AN11" s="91">
        <v>45408</v>
      </c>
      <c r="AO11" s="305"/>
      <c r="AP11" s="305"/>
      <c r="AQ11" s="289"/>
      <c r="AR11" s="305"/>
      <c r="AS11" s="305"/>
      <c r="AT11" s="102">
        <v>45427</v>
      </c>
      <c r="AU11" s="103">
        <v>45392</v>
      </c>
      <c r="AV11" s="97"/>
      <c r="AW11" s="97">
        <v>45287</v>
      </c>
      <c r="AX11" s="97"/>
      <c r="AY11" s="98"/>
      <c r="AZ11" s="98"/>
      <c r="BA11" s="98"/>
      <c r="BB11" s="100"/>
      <c r="BC11" s="65"/>
      <c r="BD11" s="63"/>
      <c r="BE11" s="367"/>
      <c r="BF11" s="367"/>
      <c r="BG11" s="368"/>
      <c r="BH11" s="64" t="e">
        <f>#REF!</f>
        <v>#REF!</v>
      </c>
      <c r="BL11" s="54"/>
    </row>
    <row r="12" spans="1:64" ht="36" customHeight="1" x14ac:dyDescent="0.3">
      <c r="A12" s="305">
        <f t="shared" si="0"/>
        <v>7</v>
      </c>
      <c r="B12" s="90" t="s">
        <v>167</v>
      </c>
      <c r="C12" s="305" t="s">
        <v>0</v>
      </c>
      <c r="D12" s="305" t="s">
        <v>139</v>
      </c>
      <c r="E12" s="91">
        <v>45442</v>
      </c>
      <c r="F12" s="97">
        <v>45737</v>
      </c>
      <c r="G12" s="91">
        <v>45744</v>
      </c>
      <c r="H12" s="91"/>
      <c r="I12" s="369" t="s">
        <v>30</v>
      </c>
      <c r="J12" s="90" t="s">
        <v>156</v>
      </c>
      <c r="K12" s="92" t="s">
        <v>157</v>
      </c>
      <c r="L12" s="305">
        <v>1100</v>
      </c>
      <c r="M12" s="369" t="s">
        <v>120</v>
      </c>
      <c r="N12" s="369" t="s">
        <v>127</v>
      </c>
      <c r="O12" s="370"/>
      <c r="P12" s="307"/>
      <c r="Q12" s="370"/>
      <c r="R12" s="370"/>
      <c r="S12" s="370"/>
      <c r="T12" s="99"/>
      <c r="U12" s="99"/>
      <c r="V12" s="99"/>
      <c r="W12" s="99"/>
      <c r="X12" s="99"/>
      <c r="Y12" s="99"/>
      <c r="Z12" s="99" t="s">
        <v>127</v>
      </c>
      <c r="AA12" s="99"/>
      <c r="AB12" s="99"/>
      <c r="AC12" s="101" t="s">
        <v>168</v>
      </c>
      <c r="AD12" s="369" t="s">
        <v>169</v>
      </c>
      <c r="AE12" s="180"/>
      <c r="AF12" s="180"/>
      <c r="AG12" s="180">
        <v>45473</v>
      </c>
      <c r="AH12" s="93">
        <v>45442</v>
      </c>
      <c r="AI12" s="264">
        <v>45413</v>
      </c>
      <c r="AJ12" s="95" t="s">
        <v>131</v>
      </c>
      <c r="AK12" s="369" t="s">
        <v>166</v>
      </c>
      <c r="AL12" s="369" t="s">
        <v>147</v>
      </c>
      <c r="AM12" s="369" t="s">
        <v>134</v>
      </c>
      <c r="AN12" s="91">
        <v>45408</v>
      </c>
      <c r="AO12" s="305"/>
      <c r="AP12" s="305"/>
      <c r="AQ12" s="289"/>
      <c r="AR12" s="305"/>
      <c r="AS12" s="305"/>
      <c r="AT12" s="102">
        <v>45427</v>
      </c>
      <c r="AU12" s="97">
        <v>45392</v>
      </c>
      <c r="AV12" s="97"/>
      <c r="AW12" s="97"/>
      <c r="AX12" s="97"/>
      <c r="AY12" s="98"/>
      <c r="AZ12" s="98"/>
      <c r="BA12" s="98"/>
      <c r="BB12" s="100"/>
      <c r="BC12" s="65"/>
      <c r="BD12" s="63"/>
      <c r="BE12" s="67"/>
      <c r="BF12" s="367"/>
      <c r="BG12" s="368"/>
      <c r="BH12" s="64" t="e">
        <f>#REF!</f>
        <v>#REF!</v>
      </c>
      <c r="BL12" s="54"/>
    </row>
    <row r="13" spans="1:64" ht="36" customHeight="1" x14ac:dyDescent="0.3">
      <c r="A13" s="305">
        <f t="shared" si="0"/>
        <v>8</v>
      </c>
      <c r="B13" s="90" t="s">
        <v>170</v>
      </c>
      <c r="C13" s="305" t="s">
        <v>0</v>
      </c>
      <c r="D13" s="305" t="s">
        <v>139</v>
      </c>
      <c r="E13" s="91">
        <v>45442</v>
      </c>
      <c r="F13" s="97">
        <v>45737</v>
      </c>
      <c r="G13" s="91">
        <v>45744</v>
      </c>
      <c r="H13" s="305"/>
      <c r="I13" s="369" t="s">
        <v>30</v>
      </c>
      <c r="J13" s="90" t="s">
        <v>156</v>
      </c>
      <c r="K13" s="92" t="s">
        <v>157</v>
      </c>
      <c r="L13" s="305">
        <v>1100</v>
      </c>
      <c r="M13" s="369" t="s">
        <v>120</v>
      </c>
      <c r="N13" s="369" t="s">
        <v>127</v>
      </c>
      <c r="O13" s="370"/>
      <c r="P13" s="307"/>
      <c r="Q13" s="370"/>
      <c r="R13" s="370"/>
      <c r="S13" s="370"/>
      <c r="T13" s="99"/>
      <c r="U13" s="99"/>
      <c r="V13" s="99"/>
      <c r="W13" s="99"/>
      <c r="X13" s="99"/>
      <c r="Y13" s="99"/>
      <c r="Z13" s="99" t="s">
        <v>127</v>
      </c>
      <c r="AA13" s="99"/>
      <c r="AB13" s="99"/>
      <c r="AC13" s="101" t="s">
        <v>171</v>
      </c>
      <c r="AD13" s="369" t="s">
        <v>165</v>
      </c>
      <c r="AE13" s="180"/>
      <c r="AF13" s="180"/>
      <c r="AG13" s="180">
        <v>45473</v>
      </c>
      <c r="AH13" s="93">
        <v>45442</v>
      </c>
      <c r="AI13" s="264">
        <v>45413</v>
      </c>
      <c r="AJ13" s="95" t="s">
        <v>131</v>
      </c>
      <c r="AK13" s="369" t="s">
        <v>166</v>
      </c>
      <c r="AL13" s="369" t="s">
        <v>147</v>
      </c>
      <c r="AM13" s="369" t="s">
        <v>134</v>
      </c>
      <c r="AN13" s="91">
        <v>45408</v>
      </c>
      <c r="AO13" s="305"/>
      <c r="AP13" s="305"/>
      <c r="AQ13" s="289"/>
      <c r="AR13" s="305"/>
      <c r="AS13" s="305"/>
      <c r="AT13" s="102">
        <v>45427</v>
      </c>
      <c r="AU13" s="97">
        <v>45392</v>
      </c>
      <c r="AV13" s="97"/>
      <c r="AW13" s="97">
        <v>45287</v>
      </c>
      <c r="AX13" s="97"/>
      <c r="AY13" s="98"/>
      <c r="AZ13" s="98"/>
      <c r="BA13" s="98"/>
      <c r="BB13" s="100"/>
      <c r="BC13" s="65"/>
      <c r="BD13" s="63"/>
      <c r="BE13" s="367"/>
      <c r="BF13" s="367"/>
      <c r="BG13" s="368"/>
      <c r="BH13" s="64" t="e">
        <f>#REF!</f>
        <v>#REF!</v>
      </c>
      <c r="BL13" s="54"/>
    </row>
    <row r="14" spans="1:64" ht="36" customHeight="1" x14ac:dyDescent="0.3">
      <c r="A14" s="305">
        <f t="shared" si="0"/>
        <v>9</v>
      </c>
      <c r="B14" s="90" t="s">
        <v>172</v>
      </c>
      <c r="C14" s="305" t="s">
        <v>0</v>
      </c>
      <c r="D14" s="305" t="s">
        <v>139</v>
      </c>
      <c r="E14" s="91">
        <v>45408</v>
      </c>
      <c r="F14" s="97">
        <v>45737</v>
      </c>
      <c r="G14" s="91">
        <v>45744</v>
      </c>
      <c r="H14" s="91"/>
      <c r="I14" s="369" t="s">
        <v>30</v>
      </c>
      <c r="J14" s="90" t="s">
        <v>156</v>
      </c>
      <c r="K14" s="92" t="s">
        <v>157</v>
      </c>
      <c r="L14" s="305">
        <v>1100</v>
      </c>
      <c r="M14" s="369" t="s">
        <v>120</v>
      </c>
      <c r="N14" s="369" t="s">
        <v>127</v>
      </c>
      <c r="O14" s="370"/>
      <c r="P14" s="307"/>
      <c r="Q14" s="370"/>
      <c r="R14" s="370"/>
      <c r="S14" s="370"/>
      <c r="T14" s="369"/>
      <c r="U14" s="369"/>
      <c r="V14" s="369"/>
      <c r="W14" s="369"/>
      <c r="X14" s="369" t="s">
        <v>158</v>
      </c>
      <c r="Y14" s="369"/>
      <c r="Z14" s="369" t="s">
        <v>127</v>
      </c>
      <c r="AA14" s="369"/>
      <c r="AB14" s="99" t="s">
        <v>143</v>
      </c>
      <c r="AC14" s="101" t="s">
        <v>173</v>
      </c>
      <c r="AD14" s="369" t="s">
        <v>174</v>
      </c>
      <c r="AE14" s="180"/>
      <c r="AF14" s="180"/>
      <c r="AG14" s="180">
        <v>45407</v>
      </c>
      <c r="AH14" s="93">
        <v>45407</v>
      </c>
      <c r="AI14" s="264">
        <v>45383</v>
      </c>
      <c r="AJ14" s="95" t="s">
        <v>131</v>
      </c>
      <c r="AK14" s="369" t="s">
        <v>161</v>
      </c>
      <c r="AL14" s="369" t="s">
        <v>175</v>
      </c>
      <c r="AM14" s="369" t="s">
        <v>134</v>
      </c>
      <c r="AN14" s="91"/>
      <c r="AO14" s="305"/>
      <c r="AP14" s="305"/>
      <c r="AQ14" s="289"/>
      <c r="AR14" s="305"/>
      <c r="AS14" s="305"/>
      <c r="AT14" s="102">
        <v>45361</v>
      </c>
      <c r="AU14" s="97">
        <v>45316</v>
      </c>
      <c r="AV14" s="97">
        <v>45327</v>
      </c>
      <c r="AW14" s="97">
        <v>45351</v>
      </c>
      <c r="AX14" s="97"/>
      <c r="AY14" s="98"/>
      <c r="AZ14" s="98"/>
      <c r="BA14" s="98"/>
      <c r="BB14" s="100" t="s">
        <v>176</v>
      </c>
      <c r="BC14" s="65"/>
      <c r="BD14" s="63"/>
      <c r="BE14" s="367"/>
      <c r="BF14" s="367"/>
      <c r="BG14" s="368"/>
      <c r="BH14" s="64" t="e">
        <f>#REF!</f>
        <v>#REF!</v>
      </c>
      <c r="BL14" s="54"/>
    </row>
    <row r="15" spans="1:64" ht="38.4" customHeight="1" x14ac:dyDescent="0.3">
      <c r="A15" s="305">
        <f t="shared" si="0"/>
        <v>10</v>
      </c>
      <c r="B15" s="90" t="s">
        <v>177</v>
      </c>
      <c r="C15" s="305" t="s">
        <v>0</v>
      </c>
      <c r="D15" s="305" t="s">
        <v>178</v>
      </c>
      <c r="E15" s="91">
        <v>45442</v>
      </c>
      <c r="F15" s="97">
        <v>45447</v>
      </c>
      <c r="G15" s="91">
        <v>45456</v>
      </c>
      <c r="H15" s="91"/>
      <c r="I15" s="369" t="s">
        <v>26</v>
      </c>
      <c r="J15" s="90"/>
      <c r="K15" s="92" t="s">
        <v>179</v>
      </c>
      <c r="L15" s="305"/>
      <c r="M15" s="104"/>
      <c r="N15" s="369"/>
      <c r="O15" s="370"/>
      <c r="P15" s="307"/>
      <c r="Q15" s="370"/>
      <c r="R15" s="370"/>
      <c r="S15" s="370"/>
      <c r="T15" s="99"/>
      <c r="U15" s="99"/>
      <c r="V15" s="99"/>
      <c r="W15" s="99"/>
      <c r="X15" s="105" t="s">
        <v>180</v>
      </c>
      <c r="Y15" s="99"/>
      <c r="Z15" s="99"/>
      <c r="AA15" s="99"/>
      <c r="AB15" s="105"/>
      <c r="AC15" s="101" t="s">
        <v>181</v>
      </c>
      <c r="AD15" s="369" t="s">
        <v>182</v>
      </c>
      <c r="AE15" s="180"/>
      <c r="AF15" s="180"/>
      <c r="AG15" s="180">
        <v>45442</v>
      </c>
      <c r="AH15" s="93">
        <v>45442</v>
      </c>
      <c r="AI15" s="264">
        <v>45413</v>
      </c>
      <c r="AJ15" s="95" t="s">
        <v>131</v>
      </c>
      <c r="AK15" s="369" t="s">
        <v>161</v>
      </c>
      <c r="AL15" s="369" t="s">
        <v>183</v>
      </c>
      <c r="AM15" s="369" t="s">
        <v>134</v>
      </c>
      <c r="AN15" s="96"/>
      <c r="AO15" s="369"/>
      <c r="AP15" s="305"/>
      <c r="AQ15" s="372"/>
      <c r="AR15" s="369"/>
      <c r="AS15" s="305"/>
      <c r="AT15" s="102">
        <v>45407</v>
      </c>
      <c r="AU15" s="97"/>
      <c r="AV15" s="97"/>
      <c r="AW15" s="97">
        <v>45394</v>
      </c>
      <c r="AX15" s="97"/>
      <c r="AY15" s="98"/>
      <c r="AZ15" s="98"/>
      <c r="BA15" s="98"/>
      <c r="BB15" s="100"/>
      <c r="BC15" s="65"/>
      <c r="BD15" s="63"/>
      <c r="BE15" s="367"/>
      <c r="BF15" s="367"/>
      <c r="BG15" s="368"/>
      <c r="BH15" s="64" t="e">
        <f>#REF!</f>
        <v>#REF!</v>
      </c>
      <c r="BL15" s="54"/>
    </row>
    <row r="16" spans="1:64" ht="39.6" customHeight="1" x14ac:dyDescent="0.3">
      <c r="A16" s="305">
        <f t="shared" si="0"/>
        <v>11</v>
      </c>
      <c r="B16" s="90" t="s">
        <v>184</v>
      </c>
      <c r="C16" s="305" t="s">
        <v>0</v>
      </c>
      <c r="D16" s="305" t="s">
        <v>185</v>
      </c>
      <c r="E16" s="91">
        <v>45471</v>
      </c>
      <c r="F16" s="97">
        <v>45483</v>
      </c>
      <c r="G16" s="305"/>
      <c r="H16" s="305"/>
      <c r="I16" s="369" t="s">
        <v>20</v>
      </c>
      <c r="J16" s="90" t="s">
        <v>186</v>
      </c>
      <c r="K16" s="92" t="s">
        <v>187</v>
      </c>
      <c r="L16" s="305"/>
      <c r="M16" s="369"/>
      <c r="N16" s="369"/>
      <c r="O16" s="305"/>
      <c r="P16" s="158"/>
      <c r="Q16" s="305"/>
      <c r="R16" s="305"/>
      <c r="S16" s="305"/>
      <c r="T16" s="305"/>
      <c r="U16" s="305"/>
      <c r="V16" s="305"/>
      <c r="W16" s="305"/>
      <c r="X16" s="305" t="s">
        <v>150</v>
      </c>
      <c r="Y16" s="305"/>
      <c r="Z16" s="305"/>
      <c r="AA16" s="305"/>
      <c r="AB16" s="369"/>
      <c r="AC16" s="92" t="s">
        <v>188</v>
      </c>
      <c r="AD16" s="369" t="s">
        <v>189</v>
      </c>
      <c r="AE16" s="180"/>
      <c r="AF16" s="180"/>
      <c r="AG16" s="180">
        <v>45442</v>
      </c>
      <c r="AH16" s="93">
        <v>45473</v>
      </c>
      <c r="AI16" s="264">
        <v>45413</v>
      </c>
      <c r="AJ16" s="95" t="s">
        <v>131</v>
      </c>
      <c r="AK16" s="369" t="s">
        <v>190</v>
      </c>
      <c r="AL16" s="369" t="s">
        <v>191</v>
      </c>
      <c r="AM16" s="369" t="s">
        <v>134</v>
      </c>
      <c r="AN16" s="91"/>
      <c r="AO16" s="305"/>
      <c r="AP16" s="305"/>
      <c r="AQ16" s="289"/>
      <c r="AR16" s="305"/>
      <c r="AS16" s="305"/>
      <c r="AT16" s="96">
        <v>45427</v>
      </c>
      <c r="AU16" s="97">
        <v>45404</v>
      </c>
      <c r="AV16" s="97"/>
      <c r="AW16" s="97">
        <v>45358</v>
      </c>
      <c r="AX16" s="97"/>
      <c r="AY16" s="98"/>
      <c r="AZ16" s="98"/>
      <c r="BA16" s="98"/>
      <c r="BB16" s="92" t="s">
        <v>192</v>
      </c>
      <c r="BC16" s="47"/>
      <c r="BD16" s="63"/>
      <c r="BE16" s="367"/>
      <c r="BF16" s="367"/>
      <c r="BG16" s="368"/>
      <c r="BH16" s="64" t="e">
        <f>#REF!</f>
        <v>#REF!</v>
      </c>
      <c r="BL16" s="54"/>
    </row>
    <row r="17" spans="1:64" ht="37.200000000000003" customHeight="1" x14ac:dyDescent="0.3">
      <c r="A17" s="305">
        <f t="shared" si="0"/>
        <v>12</v>
      </c>
      <c r="B17" s="90" t="s">
        <v>193</v>
      </c>
      <c r="C17" s="305" t="s">
        <v>0</v>
      </c>
      <c r="D17" s="305" t="s">
        <v>194</v>
      </c>
      <c r="E17" s="91">
        <v>45563</v>
      </c>
      <c r="F17" s="97">
        <v>45602</v>
      </c>
      <c r="G17" s="305"/>
      <c r="H17" s="305"/>
      <c r="I17" s="369" t="s">
        <v>20</v>
      </c>
      <c r="J17" s="90" t="s">
        <v>195</v>
      </c>
      <c r="K17" s="92" t="s">
        <v>196</v>
      </c>
      <c r="L17" s="305">
        <v>1000</v>
      </c>
      <c r="M17" s="369" t="s">
        <v>120</v>
      </c>
      <c r="N17" s="105"/>
      <c r="O17" s="106" t="s">
        <v>127</v>
      </c>
      <c r="P17" s="308"/>
      <c r="Q17" s="106"/>
      <c r="R17" s="106"/>
      <c r="S17" s="106"/>
      <c r="T17" s="99"/>
      <c r="U17" s="99"/>
      <c r="V17" s="99"/>
      <c r="W17" s="99"/>
      <c r="X17" s="105" t="s">
        <v>150</v>
      </c>
      <c r="Y17" s="99"/>
      <c r="Z17" s="99" t="s">
        <v>127</v>
      </c>
      <c r="AA17" s="99"/>
      <c r="AB17" s="105" t="s">
        <v>197</v>
      </c>
      <c r="AC17" s="101" t="s">
        <v>198</v>
      </c>
      <c r="AD17" s="369" t="s">
        <v>199</v>
      </c>
      <c r="AE17" s="180"/>
      <c r="AF17" s="180"/>
      <c r="AG17" s="180">
        <v>45473</v>
      </c>
      <c r="AH17" s="93">
        <v>45529</v>
      </c>
      <c r="AI17" s="264">
        <v>45505</v>
      </c>
      <c r="AJ17" s="95" t="s">
        <v>131</v>
      </c>
      <c r="AK17" s="369" t="s">
        <v>200</v>
      </c>
      <c r="AL17" s="369" t="s">
        <v>154</v>
      </c>
      <c r="AM17" s="369" t="s">
        <v>134</v>
      </c>
      <c r="AN17" s="96"/>
      <c r="AO17" s="369"/>
      <c r="AP17" s="305"/>
      <c r="AQ17" s="372"/>
      <c r="AR17" s="369"/>
      <c r="AS17" s="305"/>
      <c r="AT17" s="102">
        <v>45461</v>
      </c>
      <c r="AU17" s="97"/>
      <c r="AV17" s="97"/>
      <c r="AW17" s="97">
        <v>45428</v>
      </c>
      <c r="AX17" s="97"/>
      <c r="AY17" s="98"/>
      <c r="AZ17" s="98"/>
      <c r="BA17" s="98"/>
      <c r="BB17" s="107" t="s">
        <v>201</v>
      </c>
      <c r="BC17" s="68"/>
      <c r="BD17" s="63"/>
      <c r="BE17" s="367"/>
      <c r="BF17" s="367"/>
      <c r="BG17" s="368"/>
      <c r="BH17" s="64" t="e">
        <f>#REF!</f>
        <v>#REF!</v>
      </c>
      <c r="BL17" s="54"/>
    </row>
    <row r="18" spans="1:64" ht="36" customHeight="1" x14ac:dyDescent="0.3">
      <c r="A18" s="305">
        <f t="shared" si="0"/>
        <v>13</v>
      </c>
      <c r="B18" s="90" t="s">
        <v>202</v>
      </c>
      <c r="C18" s="305" t="s">
        <v>0</v>
      </c>
      <c r="D18" s="305" t="s">
        <v>194</v>
      </c>
      <c r="E18" s="91">
        <v>45595</v>
      </c>
      <c r="F18" s="97">
        <v>45601</v>
      </c>
      <c r="G18" s="108"/>
      <c r="H18" s="108"/>
      <c r="I18" s="369" t="s">
        <v>20</v>
      </c>
      <c r="J18" s="90" t="s">
        <v>195</v>
      </c>
      <c r="K18" s="92" t="s">
        <v>196</v>
      </c>
      <c r="L18" s="305">
        <v>1000</v>
      </c>
      <c r="M18" s="369" t="s">
        <v>120</v>
      </c>
      <c r="N18" s="105"/>
      <c r="O18" s="369" t="s">
        <v>127</v>
      </c>
      <c r="P18" s="309"/>
      <c r="Q18" s="369"/>
      <c r="R18" s="369"/>
      <c r="S18" s="369"/>
      <c r="T18" s="99"/>
      <c r="U18" s="99"/>
      <c r="V18" s="99"/>
      <c r="W18" s="99"/>
      <c r="X18" s="105"/>
      <c r="Y18" s="99"/>
      <c r="Z18" s="99"/>
      <c r="AA18" s="99"/>
      <c r="AB18" s="99"/>
      <c r="AC18" s="101" t="s">
        <v>203</v>
      </c>
      <c r="AD18" s="369" t="s">
        <v>165</v>
      </c>
      <c r="AE18" s="180">
        <v>45590</v>
      </c>
      <c r="AF18" s="180"/>
      <c r="AG18" s="180">
        <v>45473</v>
      </c>
      <c r="AH18" s="93">
        <v>45595</v>
      </c>
      <c r="AI18" s="264">
        <v>45536</v>
      </c>
      <c r="AJ18" s="95" t="s">
        <v>131</v>
      </c>
      <c r="AK18" s="369" t="s">
        <v>153</v>
      </c>
      <c r="AL18" s="369" t="s">
        <v>147</v>
      </c>
      <c r="AM18" s="369" t="s">
        <v>134</v>
      </c>
      <c r="AN18" s="91"/>
      <c r="AO18" s="305"/>
      <c r="AP18" s="305"/>
      <c r="AQ18" s="289"/>
      <c r="AR18" s="305"/>
      <c r="AS18" s="305"/>
      <c r="AT18" s="109">
        <v>45493</v>
      </c>
      <c r="AU18" s="97"/>
      <c r="AV18" s="97"/>
      <c r="AW18" s="97">
        <v>45485</v>
      </c>
      <c r="AX18" s="97"/>
      <c r="AY18" s="98">
        <v>45541</v>
      </c>
      <c r="AZ18" s="98"/>
      <c r="BA18" s="98"/>
      <c r="BB18" s="107" t="s">
        <v>201</v>
      </c>
      <c r="BC18" s="68"/>
      <c r="BD18" s="63"/>
      <c r="BE18" s="367"/>
      <c r="BF18" s="367"/>
      <c r="BG18" s="368"/>
      <c r="BH18" s="64" t="e">
        <f>#REF!</f>
        <v>#REF!</v>
      </c>
      <c r="BI18" s="69" t="s">
        <v>204</v>
      </c>
      <c r="BL18" s="54"/>
    </row>
    <row r="19" spans="1:64" ht="37.950000000000003" customHeight="1" x14ac:dyDescent="0.3">
      <c r="A19" s="305">
        <f t="shared" si="0"/>
        <v>14</v>
      </c>
      <c r="B19" s="90" t="s">
        <v>205</v>
      </c>
      <c r="C19" s="305" t="s">
        <v>0</v>
      </c>
      <c r="D19" s="305" t="s">
        <v>194</v>
      </c>
      <c r="E19" s="91"/>
      <c r="F19" s="97"/>
      <c r="G19" s="91"/>
      <c r="H19" s="91"/>
      <c r="I19" s="369" t="s">
        <v>20</v>
      </c>
      <c r="J19" s="90" t="s">
        <v>195</v>
      </c>
      <c r="K19" s="92" t="s">
        <v>196</v>
      </c>
      <c r="L19" s="305">
        <v>1000</v>
      </c>
      <c r="M19" s="369" t="s">
        <v>120</v>
      </c>
      <c r="N19" s="369"/>
      <c r="O19" s="370" t="s">
        <v>127</v>
      </c>
      <c r="P19" s="307"/>
      <c r="Q19" s="370"/>
      <c r="R19" s="370"/>
      <c r="S19" s="370"/>
      <c r="T19" s="99"/>
      <c r="U19" s="99"/>
      <c r="V19" s="99"/>
      <c r="W19" s="99"/>
      <c r="X19" s="105" t="s">
        <v>150</v>
      </c>
      <c r="Y19" s="99"/>
      <c r="Z19" s="99"/>
      <c r="AA19" s="99"/>
      <c r="AB19" s="99"/>
      <c r="AC19" s="101" t="s">
        <v>206</v>
      </c>
      <c r="AD19" s="369" t="s">
        <v>207</v>
      </c>
      <c r="AE19" s="180"/>
      <c r="AF19" s="180"/>
      <c r="AG19" s="180"/>
      <c r="AH19" s="93">
        <v>45930</v>
      </c>
      <c r="AI19" s="264">
        <v>45901</v>
      </c>
      <c r="AJ19" s="95" t="s">
        <v>208</v>
      </c>
      <c r="AK19" s="369" t="s">
        <v>200</v>
      </c>
      <c r="AL19" s="369"/>
      <c r="AM19" s="369" t="s">
        <v>134</v>
      </c>
      <c r="AN19" s="91"/>
      <c r="AO19" s="305"/>
      <c r="AP19" s="305"/>
      <c r="AQ19" s="289"/>
      <c r="AR19" s="305"/>
      <c r="AS19" s="305"/>
      <c r="AT19" s="102">
        <v>45461</v>
      </c>
      <c r="AU19" s="97"/>
      <c r="AV19" s="97"/>
      <c r="AW19" s="97">
        <v>45428</v>
      </c>
      <c r="AX19" s="97"/>
      <c r="AY19" s="98" t="s">
        <v>209</v>
      </c>
      <c r="AZ19" s="98"/>
      <c r="BA19" s="98"/>
      <c r="BB19" s="107" t="s">
        <v>201</v>
      </c>
      <c r="BC19" s="68"/>
      <c r="BD19" s="63"/>
      <c r="BE19" s="67"/>
      <c r="BF19" s="367"/>
      <c r="BG19" s="368"/>
      <c r="BH19" s="64" t="e">
        <f>#REF!</f>
        <v>#REF!</v>
      </c>
      <c r="BL19" s="54"/>
    </row>
    <row r="20" spans="1:64" ht="37.950000000000003" customHeight="1" x14ac:dyDescent="0.3">
      <c r="A20" s="305">
        <f t="shared" si="0"/>
        <v>15</v>
      </c>
      <c r="B20" s="90" t="s">
        <v>210</v>
      </c>
      <c r="C20" s="305" t="s">
        <v>0</v>
      </c>
      <c r="D20" s="305" t="s">
        <v>211</v>
      </c>
      <c r="E20" s="91">
        <v>45677</v>
      </c>
      <c r="F20" s="97">
        <v>45680</v>
      </c>
      <c r="G20" s="91"/>
      <c r="H20" s="91"/>
      <c r="I20" s="369" t="s">
        <v>20</v>
      </c>
      <c r="J20" s="90" t="s">
        <v>212</v>
      </c>
      <c r="K20" s="92" t="s">
        <v>213</v>
      </c>
      <c r="L20" s="305">
        <v>1000</v>
      </c>
      <c r="M20" s="369" t="s">
        <v>120</v>
      </c>
      <c r="N20" s="105"/>
      <c r="O20" s="370" t="s">
        <v>127</v>
      </c>
      <c r="P20" s="307"/>
      <c r="Q20" s="370"/>
      <c r="R20" s="370"/>
      <c r="S20" s="370"/>
      <c r="T20" s="99"/>
      <c r="U20" s="99"/>
      <c r="V20" s="99"/>
      <c r="W20" s="99"/>
      <c r="X20" s="105" t="s">
        <v>150</v>
      </c>
      <c r="Y20" s="99"/>
      <c r="Z20" s="369"/>
      <c r="AA20" s="369" t="s">
        <v>214</v>
      </c>
      <c r="AB20" s="369" t="s">
        <v>215</v>
      </c>
      <c r="AC20" s="101" t="s">
        <v>216</v>
      </c>
      <c r="AD20" s="369" t="s">
        <v>199</v>
      </c>
      <c r="AE20" s="180">
        <v>45677</v>
      </c>
      <c r="AF20" s="180"/>
      <c r="AG20" s="180"/>
      <c r="AH20" s="93">
        <v>45680</v>
      </c>
      <c r="AI20" s="264">
        <v>45566</v>
      </c>
      <c r="AJ20" s="95" t="s">
        <v>131</v>
      </c>
      <c r="AK20" s="369" t="s">
        <v>200</v>
      </c>
      <c r="AL20" s="369" t="s">
        <v>154</v>
      </c>
      <c r="AM20" s="369" t="s">
        <v>134</v>
      </c>
      <c r="AN20" s="91"/>
      <c r="AO20" s="305"/>
      <c r="AP20" s="305"/>
      <c r="AQ20" s="289"/>
      <c r="AR20" s="305"/>
      <c r="AS20" s="305"/>
      <c r="AT20" s="102">
        <v>45565</v>
      </c>
      <c r="AU20" s="97">
        <v>45546</v>
      </c>
      <c r="AV20" s="102">
        <v>45546</v>
      </c>
      <c r="AW20" s="97">
        <v>45530</v>
      </c>
      <c r="AX20" s="97"/>
      <c r="AY20" s="98"/>
      <c r="AZ20" s="98"/>
      <c r="BA20" s="98"/>
      <c r="BB20" s="100" t="s">
        <v>217</v>
      </c>
      <c r="BC20" s="65"/>
      <c r="BD20" s="63"/>
      <c r="BE20" s="367"/>
      <c r="BF20" s="367"/>
      <c r="BG20" s="368"/>
      <c r="BH20" s="64" t="e">
        <f>#REF!</f>
        <v>#REF!</v>
      </c>
      <c r="BI20" s="69" t="s">
        <v>218</v>
      </c>
      <c r="BL20" s="54"/>
    </row>
    <row r="21" spans="1:64" ht="36" customHeight="1" x14ac:dyDescent="0.3">
      <c r="A21" s="305">
        <f t="shared" si="0"/>
        <v>16</v>
      </c>
      <c r="B21" s="90" t="s">
        <v>219</v>
      </c>
      <c r="C21" s="305" t="s">
        <v>0</v>
      </c>
      <c r="D21" s="305" t="s">
        <v>220</v>
      </c>
      <c r="E21" s="91">
        <v>45677</v>
      </c>
      <c r="F21" s="97">
        <v>45680</v>
      </c>
      <c r="G21" s="305"/>
      <c r="H21" s="305"/>
      <c r="I21" s="369" t="s">
        <v>20</v>
      </c>
      <c r="J21" s="90" t="s">
        <v>212</v>
      </c>
      <c r="K21" s="92" t="s">
        <v>213</v>
      </c>
      <c r="L21" s="305">
        <v>1000</v>
      </c>
      <c r="M21" s="369" t="s">
        <v>120</v>
      </c>
      <c r="N21" s="105"/>
      <c r="O21" s="370" t="s">
        <v>127</v>
      </c>
      <c r="P21" s="307"/>
      <c r="Q21" s="370"/>
      <c r="R21" s="370"/>
      <c r="S21" s="370"/>
      <c r="T21" s="369"/>
      <c r="U21" s="369"/>
      <c r="V21" s="369"/>
      <c r="W21" s="369"/>
      <c r="X21" s="369" t="s">
        <v>150</v>
      </c>
      <c r="Y21" s="369"/>
      <c r="Z21" s="369"/>
      <c r="AA21" s="369"/>
      <c r="AB21" s="369" t="s">
        <v>215</v>
      </c>
      <c r="AC21" s="101" t="s">
        <v>221</v>
      </c>
      <c r="AD21" s="369" t="s">
        <v>207</v>
      </c>
      <c r="AE21" s="180">
        <v>45677</v>
      </c>
      <c r="AF21" s="180"/>
      <c r="AG21" s="180"/>
      <c r="AH21" s="93">
        <v>45680</v>
      </c>
      <c r="AI21" s="264">
        <v>45566</v>
      </c>
      <c r="AJ21" s="95" t="s">
        <v>131</v>
      </c>
      <c r="AK21" s="369" t="s">
        <v>200</v>
      </c>
      <c r="AL21" s="369" t="s">
        <v>154</v>
      </c>
      <c r="AM21" s="369" t="s">
        <v>134</v>
      </c>
      <c r="AN21" s="96"/>
      <c r="AO21" s="369"/>
      <c r="AP21" s="305"/>
      <c r="AQ21" s="372"/>
      <c r="AR21" s="369"/>
      <c r="AS21" s="305"/>
      <c r="AT21" s="102">
        <v>45565</v>
      </c>
      <c r="AU21" s="97">
        <v>45546</v>
      </c>
      <c r="AV21" s="102">
        <v>45546</v>
      </c>
      <c r="AW21" s="97">
        <v>45530</v>
      </c>
      <c r="AX21" s="97"/>
      <c r="AY21" s="98"/>
      <c r="AZ21" s="98"/>
      <c r="BA21" s="98"/>
      <c r="BB21" s="100" t="s">
        <v>217</v>
      </c>
      <c r="BC21" s="65"/>
      <c r="BD21" s="63"/>
      <c r="BE21" s="66"/>
      <c r="BF21" s="367"/>
      <c r="BG21" s="368"/>
      <c r="BH21" s="64" t="e">
        <f>#REF!</f>
        <v>#REF!</v>
      </c>
      <c r="BL21" s="54"/>
    </row>
    <row r="22" spans="1:64" ht="36" customHeight="1" x14ac:dyDescent="0.3">
      <c r="A22" s="305">
        <f t="shared" si="0"/>
        <v>17</v>
      </c>
      <c r="B22" s="90" t="s">
        <v>222</v>
      </c>
      <c r="C22" s="305" t="s">
        <v>0</v>
      </c>
      <c r="D22" s="305" t="s">
        <v>194</v>
      </c>
      <c r="E22" s="91">
        <v>45499</v>
      </c>
      <c r="F22" s="97">
        <v>45579</v>
      </c>
      <c r="G22" s="91"/>
      <c r="H22" s="91"/>
      <c r="I22" s="369" t="s">
        <v>20</v>
      </c>
      <c r="J22" s="90" t="s">
        <v>223</v>
      </c>
      <c r="K22" s="92" t="s">
        <v>224</v>
      </c>
      <c r="L22" s="305">
        <v>1100</v>
      </c>
      <c r="M22" s="369" t="s">
        <v>65</v>
      </c>
      <c r="N22" s="105"/>
      <c r="O22" s="370" t="s">
        <v>127</v>
      </c>
      <c r="P22" s="307"/>
      <c r="Q22" s="370"/>
      <c r="R22" s="370"/>
      <c r="S22" s="370"/>
      <c r="T22" s="369" t="s">
        <v>225</v>
      </c>
      <c r="U22" s="369"/>
      <c r="V22" s="369"/>
      <c r="W22" s="369"/>
      <c r="X22" s="369" t="s">
        <v>150</v>
      </c>
      <c r="Y22" s="369"/>
      <c r="Z22" s="99" t="s">
        <v>127</v>
      </c>
      <c r="AA22" s="99"/>
      <c r="AB22" s="369"/>
      <c r="AC22" s="101" t="s">
        <v>226</v>
      </c>
      <c r="AD22" s="369" t="s">
        <v>207</v>
      </c>
      <c r="AE22" s="180"/>
      <c r="AF22" s="180"/>
      <c r="AG22" s="180">
        <v>45473</v>
      </c>
      <c r="AH22" s="93">
        <v>45503</v>
      </c>
      <c r="AI22" s="264">
        <v>45474</v>
      </c>
      <c r="AJ22" s="95" t="s">
        <v>131</v>
      </c>
      <c r="AK22" s="369" t="s">
        <v>200</v>
      </c>
      <c r="AL22" s="369" t="s">
        <v>154</v>
      </c>
      <c r="AM22" s="369" t="s">
        <v>134</v>
      </c>
      <c r="AN22" s="91"/>
      <c r="AO22" s="305"/>
      <c r="AP22" s="305"/>
      <c r="AQ22" s="289"/>
      <c r="AR22" s="305"/>
      <c r="AS22" s="305"/>
      <c r="AT22" s="102">
        <v>45478</v>
      </c>
      <c r="AU22" s="97">
        <v>45455</v>
      </c>
      <c r="AV22" s="97"/>
      <c r="AW22" s="97">
        <v>45428</v>
      </c>
      <c r="AX22" s="97"/>
      <c r="AY22" s="98"/>
      <c r="AZ22" s="98"/>
      <c r="BA22" s="98"/>
      <c r="BB22" s="100"/>
      <c r="BC22" s="65"/>
      <c r="BD22" s="63"/>
      <c r="BE22" s="367"/>
      <c r="BF22" s="367"/>
      <c r="BG22" s="368"/>
      <c r="BH22" s="64" t="e">
        <f>#REF!</f>
        <v>#REF!</v>
      </c>
      <c r="BL22" s="54"/>
    </row>
    <row r="23" spans="1:64" ht="36" customHeight="1" x14ac:dyDescent="0.3">
      <c r="A23" s="305">
        <f t="shared" si="0"/>
        <v>18</v>
      </c>
      <c r="B23" s="90" t="s">
        <v>227</v>
      </c>
      <c r="C23" s="305" t="s">
        <v>0</v>
      </c>
      <c r="D23" s="305" t="s">
        <v>228</v>
      </c>
      <c r="E23" s="91">
        <v>45499</v>
      </c>
      <c r="F23" s="97">
        <v>45580</v>
      </c>
      <c r="G23" s="108"/>
      <c r="H23" s="108"/>
      <c r="I23" s="369" t="s">
        <v>20</v>
      </c>
      <c r="J23" s="90" t="s">
        <v>223</v>
      </c>
      <c r="K23" s="92" t="s">
        <v>229</v>
      </c>
      <c r="L23" s="305">
        <v>1100</v>
      </c>
      <c r="M23" s="369" t="s">
        <v>120</v>
      </c>
      <c r="N23" s="105"/>
      <c r="O23" s="369" t="s">
        <v>127</v>
      </c>
      <c r="P23" s="309"/>
      <c r="Q23" s="369"/>
      <c r="R23" s="369"/>
      <c r="S23" s="369"/>
      <c r="T23" s="369" t="s">
        <v>225</v>
      </c>
      <c r="U23" s="369"/>
      <c r="V23" s="369"/>
      <c r="W23" s="369"/>
      <c r="X23" s="369" t="s">
        <v>150</v>
      </c>
      <c r="Y23" s="369"/>
      <c r="Z23" s="369" t="s">
        <v>127</v>
      </c>
      <c r="AA23" s="369"/>
      <c r="AB23" s="369"/>
      <c r="AC23" s="101" t="s">
        <v>230</v>
      </c>
      <c r="AD23" s="369" t="s">
        <v>207</v>
      </c>
      <c r="AE23" s="180"/>
      <c r="AF23" s="180"/>
      <c r="AG23" s="180">
        <v>45473</v>
      </c>
      <c r="AH23" s="93">
        <v>45503</v>
      </c>
      <c r="AI23" s="264">
        <v>45474</v>
      </c>
      <c r="AJ23" s="95" t="s">
        <v>131</v>
      </c>
      <c r="AK23" s="369" t="s">
        <v>200</v>
      </c>
      <c r="AL23" s="369" t="s">
        <v>154</v>
      </c>
      <c r="AM23" s="369" t="s">
        <v>134</v>
      </c>
      <c r="AN23" s="96"/>
      <c r="AO23" s="369"/>
      <c r="AP23" s="305"/>
      <c r="AQ23" s="372"/>
      <c r="AR23" s="369"/>
      <c r="AS23" s="305"/>
      <c r="AT23" s="102">
        <v>45478</v>
      </c>
      <c r="AU23" s="97">
        <v>45455</v>
      </c>
      <c r="AV23" s="97"/>
      <c r="AW23" s="97">
        <v>45428</v>
      </c>
      <c r="AX23" s="97"/>
      <c r="AY23" s="98"/>
      <c r="AZ23" s="98"/>
      <c r="BA23" s="98"/>
      <c r="BB23" s="92"/>
      <c r="BC23" s="47"/>
      <c r="BD23" s="63"/>
      <c r="BE23" s="367"/>
      <c r="BF23" s="367"/>
      <c r="BG23" s="368"/>
      <c r="BH23" s="64" t="e">
        <f>#REF!</f>
        <v>#REF!</v>
      </c>
      <c r="BL23" s="54"/>
    </row>
    <row r="24" spans="1:64" ht="36" customHeight="1" x14ac:dyDescent="0.3">
      <c r="A24" s="305">
        <f t="shared" si="0"/>
        <v>19</v>
      </c>
      <c r="B24" s="90" t="s">
        <v>231</v>
      </c>
      <c r="C24" s="305" t="s">
        <v>0</v>
      </c>
      <c r="D24" s="305" t="s">
        <v>228</v>
      </c>
      <c r="E24" s="91">
        <v>45520</v>
      </c>
      <c r="F24" s="97"/>
      <c r="G24" s="91"/>
      <c r="H24" s="91"/>
      <c r="I24" s="369" t="s">
        <v>20</v>
      </c>
      <c r="J24" s="90" t="s">
        <v>223</v>
      </c>
      <c r="K24" s="92" t="s">
        <v>232</v>
      </c>
      <c r="L24" s="305">
        <v>1100</v>
      </c>
      <c r="M24" s="369" t="s">
        <v>65</v>
      </c>
      <c r="N24" s="105"/>
      <c r="O24" s="369" t="s">
        <v>127</v>
      </c>
      <c r="P24" s="309"/>
      <c r="Q24" s="369"/>
      <c r="R24" s="369"/>
      <c r="S24" s="369"/>
      <c r="T24" s="369" t="s">
        <v>233</v>
      </c>
      <c r="U24" s="369"/>
      <c r="V24" s="369"/>
      <c r="W24" s="369"/>
      <c r="X24" s="369" t="s">
        <v>150</v>
      </c>
      <c r="Y24" s="369"/>
      <c r="Z24" s="369" t="s">
        <v>127</v>
      </c>
      <c r="AA24" s="369"/>
      <c r="AB24" s="369"/>
      <c r="AC24" s="101" t="s">
        <v>234</v>
      </c>
      <c r="AD24" s="369" t="s">
        <v>199</v>
      </c>
      <c r="AE24" s="180"/>
      <c r="AF24" s="180"/>
      <c r="AG24" s="180">
        <v>45473</v>
      </c>
      <c r="AH24" s="93">
        <v>45524</v>
      </c>
      <c r="AI24" s="264">
        <v>45474</v>
      </c>
      <c r="AJ24" s="95" t="s">
        <v>131</v>
      </c>
      <c r="AK24" s="369" t="s">
        <v>200</v>
      </c>
      <c r="AL24" s="369" t="s">
        <v>154</v>
      </c>
      <c r="AM24" s="369" t="s">
        <v>134</v>
      </c>
      <c r="AN24" s="96"/>
      <c r="AO24" s="369"/>
      <c r="AP24" s="305"/>
      <c r="AQ24" s="372"/>
      <c r="AR24" s="369"/>
      <c r="AS24" s="305"/>
      <c r="AT24" s="102">
        <v>45461</v>
      </c>
      <c r="AU24" s="97">
        <v>45450</v>
      </c>
      <c r="AV24" s="97">
        <v>45450</v>
      </c>
      <c r="AW24" s="97">
        <v>45428</v>
      </c>
      <c r="AX24" s="97"/>
      <c r="AY24" s="98"/>
      <c r="AZ24" s="98"/>
      <c r="BA24" s="98"/>
      <c r="BB24" s="92" t="s">
        <v>235</v>
      </c>
      <c r="BC24" s="47"/>
      <c r="BD24" s="63"/>
      <c r="BE24" s="367"/>
      <c r="BF24" s="367"/>
      <c r="BG24" s="368"/>
      <c r="BH24" s="64" t="e">
        <f>#REF!</f>
        <v>#REF!</v>
      </c>
      <c r="BL24" s="54"/>
    </row>
    <row r="25" spans="1:64" ht="40.200000000000003" customHeight="1" x14ac:dyDescent="0.3">
      <c r="A25" s="305">
        <f t="shared" si="0"/>
        <v>20</v>
      </c>
      <c r="B25" s="90" t="s">
        <v>236</v>
      </c>
      <c r="C25" s="305" t="s">
        <v>0</v>
      </c>
      <c r="D25" s="305" t="s">
        <v>228</v>
      </c>
      <c r="E25" s="91">
        <v>45471</v>
      </c>
      <c r="F25" s="97">
        <v>45472</v>
      </c>
      <c r="G25" s="91"/>
      <c r="H25" s="91"/>
      <c r="I25" s="369" t="s">
        <v>20</v>
      </c>
      <c r="J25" s="90" t="s">
        <v>223</v>
      </c>
      <c r="K25" s="92" t="s">
        <v>232</v>
      </c>
      <c r="L25" s="305">
        <v>1100</v>
      </c>
      <c r="M25" s="369" t="s">
        <v>65</v>
      </c>
      <c r="N25" s="105"/>
      <c r="O25" s="369" t="s">
        <v>127</v>
      </c>
      <c r="P25" s="309"/>
      <c r="Q25" s="369"/>
      <c r="R25" s="369"/>
      <c r="S25" s="369"/>
      <c r="T25" s="369" t="s">
        <v>233</v>
      </c>
      <c r="U25" s="369"/>
      <c r="V25" s="369"/>
      <c r="W25" s="369"/>
      <c r="X25" s="369"/>
      <c r="Y25" s="369"/>
      <c r="Z25" s="369" t="s">
        <v>127</v>
      </c>
      <c r="AA25" s="369"/>
      <c r="AB25" s="369"/>
      <c r="AC25" s="101" t="s">
        <v>237</v>
      </c>
      <c r="AD25" s="369" t="s">
        <v>238</v>
      </c>
      <c r="AE25" s="180"/>
      <c r="AF25" s="180"/>
      <c r="AG25" s="180">
        <v>45473</v>
      </c>
      <c r="AH25" s="93">
        <v>45473</v>
      </c>
      <c r="AI25" s="264">
        <v>45444</v>
      </c>
      <c r="AJ25" s="95" t="s">
        <v>131</v>
      </c>
      <c r="AK25" s="369" t="s">
        <v>146</v>
      </c>
      <c r="AL25" s="369" t="s">
        <v>239</v>
      </c>
      <c r="AM25" s="369" t="s">
        <v>134</v>
      </c>
      <c r="AN25" s="96"/>
      <c r="AO25" s="369"/>
      <c r="AP25" s="305"/>
      <c r="AQ25" s="372"/>
      <c r="AR25" s="369"/>
      <c r="AS25" s="305"/>
      <c r="AT25" s="102">
        <v>45461</v>
      </c>
      <c r="AU25" s="97"/>
      <c r="AV25" s="97"/>
      <c r="AW25" s="97">
        <v>45432</v>
      </c>
      <c r="AX25" s="97"/>
      <c r="AY25" s="98"/>
      <c r="AZ25" s="98"/>
      <c r="BA25" s="98"/>
      <c r="BB25" s="100"/>
      <c r="BC25" s="65"/>
      <c r="BD25" s="63"/>
      <c r="BE25" s="367"/>
      <c r="BF25" s="367"/>
      <c r="BG25" s="368"/>
      <c r="BH25" s="64" t="e">
        <f>#REF!</f>
        <v>#REF!</v>
      </c>
      <c r="BL25" s="54"/>
    </row>
    <row r="26" spans="1:64" ht="36" customHeight="1" x14ac:dyDescent="0.3">
      <c r="A26" s="305">
        <f t="shared" si="0"/>
        <v>21</v>
      </c>
      <c r="B26" s="90" t="s">
        <v>240</v>
      </c>
      <c r="C26" s="305" t="s">
        <v>0</v>
      </c>
      <c r="D26" s="305" t="s">
        <v>228</v>
      </c>
      <c r="E26" s="91">
        <v>45520</v>
      </c>
      <c r="F26" s="97"/>
      <c r="G26" s="91"/>
      <c r="H26" s="91"/>
      <c r="I26" s="369" t="s">
        <v>20</v>
      </c>
      <c r="J26" s="90" t="s">
        <v>223</v>
      </c>
      <c r="K26" s="92" t="s">
        <v>232</v>
      </c>
      <c r="L26" s="305">
        <v>1100</v>
      </c>
      <c r="M26" s="369" t="s">
        <v>65</v>
      </c>
      <c r="N26" s="105"/>
      <c r="O26" s="369" t="s">
        <v>127</v>
      </c>
      <c r="P26" s="309"/>
      <c r="Q26" s="369"/>
      <c r="R26" s="369"/>
      <c r="S26" s="369"/>
      <c r="T26" s="369" t="s">
        <v>233</v>
      </c>
      <c r="U26" s="369"/>
      <c r="V26" s="369"/>
      <c r="W26" s="369"/>
      <c r="X26" s="369" t="s">
        <v>150</v>
      </c>
      <c r="Y26" s="369"/>
      <c r="Z26" s="369" t="s">
        <v>127</v>
      </c>
      <c r="AA26" s="369"/>
      <c r="AB26" s="369"/>
      <c r="AC26" s="101" t="s">
        <v>241</v>
      </c>
      <c r="AD26" s="369" t="s">
        <v>207</v>
      </c>
      <c r="AE26" s="180"/>
      <c r="AF26" s="180"/>
      <c r="AG26" s="180">
        <v>45473</v>
      </c>
      <c r="AH26" s="93">
        <v>45524</v>
      </c>
      <c r="AI26" s="264">
        <v>45474</v>
      </c>
      <c r="AJ26" s="95" t="s">
        <v>131</v>
      </c>
      <c r="AK26" s="369" t="s">
        <v>200</v>
      </c>
      <c r="AL26" s="369" t="s">
        <v>154</v>
      </c>
      <c r="AM26" s="369" t="s">
        <v>134</v>
      </c>
      <c r="AN26" s="91"/>
      <c r="AO26" s="305"/>
      <c r="AP26" s="305"/>
      <c r="AQ26" s="289"/>
      <c r="AR26" s="305"/>
      <c r="AS26" s="305"/>
      <c r="AT26" s="102">
        <v>45461</v>
      </c>
      <c r="AU26" s="97">
        <v>45450</v>
      </c>
      <c r="AV26" s="97">
        <v>45450</v>
      </c>
      <c r="AW26" s="97">
        <v>45428</v>
      </c>
      <c r="AX26" s="97"/>
      <c r="AY26" s="98"/>
      <c r="AZ26" s="98"/>
      <c r="BA26" s="98"/>
      <c r="BB26" s="100" t="s">
        <v>235</v>
      </c>
      <c r="BC26" s="65"/>
      <c r="BD26" s="63"/>
      <c r="BE26" s="45"/>
      <c r="BF26" s="367"/>
      <c r="BG26" s="368"/>
      <c r="BH26" s="64" t="e">
        <f>#REF!</f>
        <v>#REF!</v>
      </c>
      <c r="BL26" s="54"/>
    </row>
    <row r="27" spans="1:64" ht="36" customHeight="1" x14ac:dyDescent="0.3">
      <c r="A27" s="305">
        <f t="shared" si="0"/>
        <v>22</v>
      </c>
      <c r="B27" s="90" t="s">
        <v>242</v>
      </c>
      <c r="C27" s="305" t="s">
        <v>0</v>
      </c>
      <c r="D27" s="305" t="s">
        <v>243</v>
      </c>
      <c r="E27" s="91">
        <v>45520</v>
      </c>
      <c r="F27" s="97"/>
      <c r="G27" s="91"/>
      <c r="H27" s="91"/>
      <c r="I27" s="369" t="s">
        <v>20</v>
      </c>
      <c r="J27" s="90" t="s">
        <v>223</v>
      </c>
      <c r="K27" s="92" t="s">
        <v>244</v>
      </c>
      <c r="L27" s="305">
        <v>1100</v>
      </c>
      <c r="M27" s="369" t="s">
        <v>120</v>
      </c>
      <c r="N27" s="369"/>
      <c r="O27" s="369" t="s">
        <v>127</v>
      </c>
      <c r="P27" s="309"/>
      <c r="Q27" s="369"/>
      <c r="R27" s="369"/>
      <c r="S27" s="369"/>
      <c r="T27" s="369" t="s">
        <v>233</v>
      </c>
      <c r="U27" s="369"/>
      <c r="V27" s="369"/>
      <c r="W27" s="369"/>
      <c r="X27" s="369" t="s">
        <v>150</v>
      </c>
      <c r="Y27" s="369"/>
      <c r="Z27" s="369" t="s">
        <v>127</v>
      </c>
      <c r="AA27" s="369"/>
      <c r="AB27" s="369"/>
      <c r="AC27" s="101" t="s">
        <v>245</v>
      </c>
      <c r="AD27" s="369" t="s">
        <v>199</v>
      </c>
      <c r="AE27" s="180"/>
      <c r="AF27" s="180"/>
      <c r="AG27" s="180">
        <v>45473</v>
      </c>
      <c r="AH27" s="93">
        <v>45524</v>
      </c>
      <c r="AI27" s="264">
        <v>45474</v>
      </c>
      <c r="AJ27" s="95" t="s">
        <v>131</v>
      </c>
      <c r="AK27" s="369" t="s">
        <v>200</v>
      </c>
      <c r="AL27" s="369" t="s">
        <v>154</v>
      </c>
      <c r="AM27" s="369" t="s">
        <v>134</v>
      </c>
      <c r="AN27" s="91"/>
      <c r="AO27" s="305"/>
      <c r="AP27" s="305"/>
      <c r="AQ27" s="289"/>
      <c r="AR27" s="305"/>
      <c r="AS27" s="305"/>
      <c r="AT27" s="112">
        <v>45461</v>
      </c>
      <c r="AU27" s="97">
        <v>45450</v>
      </c>
      <c r="AV27" s="97">
        <v>45450</v>
      </c>
      <c r="AW27" s="97">
        <v>45428</v>
      </c>
      <c r="AX27" s="97"/>
      <c r="AY27" s="98"/>
      <c r="AZ27" s="98"/>
      <c r="BA27" s="98"/>
      <c r="BB27" s="100" t="s">
        <v>235</v>
      </c>
      <c r="BC27" s="65"/>
      <c r="BD27" s="63"/>
      <c r="BE27" s="45"/>
      <c r="BF27" s="367"/>
      <c r="BG27" s="368"/>
      <c r="BH27" s="64" t="e">
        <f>#REF!</f>
        <v>#REF!</v>
      </c>
      <c r="BL27" s="54"/>
    </row>
    <row r="28" spans="1:64" ht="36" customHeight="1" x14ac:dyDescent="0.3">
      <c r="A28" s="305">
        <f t="shared" si="0"/>
        <v>23</v>
      </c>
      <c r="B28" s="90" t="s">
        <v>246</v>
      </c>
      <c r="C28" s="305" t="s">
        <v>0</v>
      </c>
      <c r="D28" s="305" t="s">
        <v>243</v>
      </c>
      <c r="E28" s="91">
        <v>45471</v>
      </c>
      <c r="F28" s="97">
        <v>45472</v>
      </c>
      <c r="G28" s="91"/>
      <c r="H28" s="91"/>
      <c r="I28" s="369" t="s">
        <v>20</v>
      </c>
      <c r="J28" s="90" t="s">
        <v>223</v>
      </c>
      <c r="K28" s="92" t="s">
        <v>244</v>
      </c>
      <c r="L28" s="305">
        <v>1100</v>
      </c>
      <c r="M28" s="369" t="s">
        <v>120</v>
      </c>
      <c r="N28" s="369"/>
      <c r="O28" s="369" t="s">
        <v>127</v>
      </c>
      <c r="P28" s="309"/>
      <c r="Q28" s="369"/>
      <c r="R28" s="369"/>
      <c r="S28" s="369"/>
      <c r="T28" s="369" t="s">
        <v>233</v>
      </c>
      <c r="U28" s="369"/>
      <c r="V28" s="369"/>
      <c r="W28" s="369"/>
      <c r="X28" s="369"/>
      <c r="Y28" s="369"/>
      <c r="Z28" s="369" t="s">
        <v>127</v>
      </c>
      <c r="AA28" s="369"/>
      <c r="AB28" s="369"/>
      <c r="AC28" s="101" t="s">
        <v>247</v>
      </c>
      <c r="AD28" s="369" t="s">
        <v>238</v>
      </c>
      <c r="AE28" s="180"/>
      <c r="AF28" s="180"/>
      <c r="AG28" s="180">
        <v>45473</v>
      </c>
      <c r="AH28" s="93">
        <v>45473</v>
      </c>
      <c r="AI28" s="264">
        <v>45444</v>
      </c>
      <c r="AJ28" s="95" t="s">
        <v>131</v>
      </c>
      <c r="AK28" s="369" t="s">
        <v>146</v>
      </c>
      <c r="AL28" s="369" t="s">
        <v>239</v>
      </c>
      <c r="AM28" s="369" t="s">
        <v>134</v>
      </c>
      <c r="AN28" s="91"/>
      <c r="AO28" s="305"/>
      <c r="AP28" s="305"/>
      <c r="AQ28" s="289"/>
      <c r="AR28" s="305"/>
      <c r="AS28" s="305"/>
      <c r="AT28" s="112">
        <v>45461</v>
      </c>
      <c r="AU28" s="97"/>
      <c r="AV28" s="97"/>
      <c r="AW28" s="97">
        <v>45432</v>
      </c>
      <c r="AX28" s="97"/>
      <c r="AY28" s="98"/>
      <c r="AZ28" s="98"/>
      <c r="BA28" s="98"/>
      <c r="BB28" s="100"/>
      <c r="BC28" s="65"/>
      <c r="BD28" s="63"/>
      <c r="BE28" s="45"/>
      <c r="BF28" s="367"/>
      <c r="BG28" s="368"/>
      <c r="BH28" s="64" t="e">
        <f>#REF!</f>
        <v>#REF!</v>
      </c>
      <c r="BL28" s="54"/>
    </row>
    <row r="29" spans="1:64" ht="36" customHeight="1" x14ac:dyDescent="0.3">
      <c r="A29" s="305">
        <f t="shared" si="0"/>
        <v>24</v>
      </c>
      <c r="B29" s="90" t="s">
        <v>248</v>
      </c>
      <c r="C29" s="305" t="s">
        <v>0</v>
      </c>
      <c r="D29" s="305" t="s">
        <v>243</v>
      </c>
      <c r="E29" s="91">
        <v>45520</v>
      </c>
      <c r="F29" s="97"/>
      <c r="G29" s="91"/>
      <c r="H29" s="91"/>
      <c r="I29" s="369" t="s">
        <v>20</v>
      </c>
      <c r="J29" s="90" t="s">
        <v>223</v>
      </c>
      <c r="K29" s="92" t="s">
        <v>244</v>
      </c>
      <c r="L29" s="305">
        <v>1100</v>
      </c>
      <c r="M29" s="369" t="s">
        <v>120</v>
      </c>
      <c r="N29" s="105"/>
      <c r="O29" s="369" t="s">
        <v>127</v>
      </c>
      <c r="P29" s="309"/>
      <c r="Q29" s="369"/>
      <c r="R29" s="369"/>
      <c r="S29" s="369"/>
      <c r="T29" s="369" t="s">
        <v>233</v>
      </c>
      <c r="U29" s="369"/>
      <c r="V29" s="369"/>
      <c r="W29" s="369"/>
      <c r="X29" s="369" t="s">
        <v>150</v>
      </c>
      <c r="Y29" s="369"/>
      <c r="Z29" s="369" t="s">
        <v>127</v>
      </c>
      <c r="AA29" s="369"/>
      <c r="AB29" s="369"/>
      <c r="AC29" s="92" t="s">
        <v>249</v>
      </c>
      <c r="AD29" s="369" t="s">
        <v>207</v>
      </c>
      <c r="AE29" s="180"/>
      <c r="AF29" s="180"/>
      <c r="AG29" s="180">
        <v>45473</v>
      </c>
      <c r="AH29" s="93">
        <v>45524</v>
      </c>
      <c r="AI29" s="264">
        <v>45474</v>
      </c>
      <c r="AJ29" s="95" t="s">
        <v>131</v>
      </c>
      <c r="AK29" s="369" t="s">
        <v>200</v>
      </c>
      <c r="AL29" s="369" t="s">
        <v>154</v>
      </c>
      <c r="AM29" s="369" t="s">
        <v>134</v>
      </c>
      <c r="AN29" s="91"/>
      <c r="AO29" s="305"/>
      <c r="AP29" s="305"/>
      <c r="AQ29" s="289"/>
      <c r="AR29" s="305"/>
      <c r="AS29" s="305"/>
      <c r="AT29" s="96">
        <v>45461</v>
      </c>
      <c r="AU29" s="97">
        <v>45450</v>
      </c>
      <c r="AV29" s="97">
        <v>45450</v>
      </c>
      <c r="AW29" s="97">
        <v>45428</v>
      </c>
      <c r="AX29" s="97"/>
      <c r="AY29" s="98"/>
      <c r="AZ29" s="98"/>
      <c r="BA29" s="98"/>
      <c r="BB29" s="100" t="s">
        <v>235</v>
      </c>
      <c r="BC29" s="65"/>
      <c r="BD29" s="63"/>
      <c r="BE29" s="45"/>
      <c r="BF29" s="367"/>
      <c r="BG29" s="368"/>
      <c r="BH29" s="64" t="e">
        <f>#REF!</f>
        <v>#REF!</v>
      </c>
      <c r="BL29" s="54"/>
    </row>
    <row r="30" spans="1:64" ht="36" customHeight="1" x14ac:dyDescent="0.3">
      <c r="A30" s="305">
        <f t="shared" si="0"/>
        <v>25</v>
      </c>
      <c r="B30" s="90" t="s">
        <v>250</v>
      </c>
      <c r="C30" s="305" t="s">
        <v>0</v>
      </c>
      <c r="D30" s="305" t="s">
        <v>243</v>
      </c>
      <c r="E30" s="91">
        <v>45520</v>
      </c>
      <c r="F30" s="97">
        <v>45562</v>
      </c>
      <c r="G30" s="91">
        <v>45572</v>
      </c>
      <c r="H30" s="91"/>
      <c r="I30" s="369" t="s">
        <v>20</v>
      </c>
      <c r="J30" s="90" t="s">
        <v>223</v>
      </c>
      <c r="K30" s="92" t="s">
        <v>251</v>
      </c>
      <c r="L30" s="305">
        <v>1100</v>
      </c>
      <c r="M30" s="369" t="s">
        <v>65</v>
      </c>
      <c r="N30" s="369"/>
      <c r="O30" s="369" t="s">
        <v>127</v>
      </c>
      <c r="P30" s="309"/>
      <c r="Q30" s="369"/>
      <c r="R30" s="369"/>
      <c r="S30" s="369"/>
      <c r="T30" s="369" t="s">
        <v>233</v>
      </c>
      <c r="U30" s="369"/>
      <c r="V30" s="369"/>
      <c r="W30" s="369"/>
      <c r="X30" s="369" t="s">
        <v>150</v>
      </c>
      <c r="Y30" s="369"/>
      <c r="Z30" s="369" t="s">
        <v>127</v>
      </c>
      <c r="AA30" s="369"/>
      <c r="AB30" s="369"/>
      <c r="AC30" s="101" t="s">
        <v>252</v>
      </c>
      <c r="AD30" s="369" t="s">
        <v>199</v>
      </c>
      <c r="AE30" s="180"/>
      <c r="AF30" s="180"/>
      <c r="AG30" s="180">
        <v>45473</v>
      </c>
      <c r="AH30" s="93">
        <v>45524</v>
      </c>
      <c r="AI30" s="264">
        <v>45474</v>
      </c>
      <c r="AJ30" s="95" t="s">
        <v>131</v>
      </c>
      <c r="AK30" s="369" t="s">
        <v>200</v>
      </c>
      <c r="AL30" s="369" t="s">
        <v>154</v>
      </c>
      <c r="AM30" s="369" t="s">
        <v>134</v>
      </c>
      <c r="AN30" s="91"/>
      <c r="AO30" s="305"/>
      <c r="AP30" s="305"/>
      <c r="AQ30" s="289"/>
      <c r="AR30" s="305"/>
      <c r="AS30" s="305"/>
      <c r="AT30" s="102">
        <v>45461</v>
      </c>
      <c r="AU30" s="97">
        <v>45450</v>
      </c>
      <c r="AV30" s="97">
        <v>45450</v>
      </c>
      <c r="AW30" s="97">
        <v>45428</v>
      </c>
      <c r="AX30" s="97"/>
      <c r="AY30" s="98"/>
      <c r="AZ30" s="98"/>
      <c r="BA30" s="98"/>
      <c r="BB30" s="100" t="s">
        <v>235</v>
      </c>
      <c r="BC30" s="65"/>
      <c r="BD30" s="63"/>
      <c r="BE30" s="45"/>
      <c r="BF30" s="367"/>
      <c r="BG30" s="368"/>
      <c r="BH30" s="64" t="e">
        <f>#REF!</f>
        <v>#REF!</v>
      </c>
      <c r="BL30" s="54"/>
    </row>
    <row r="31" spans="1:64" ht="30" customHeight="1" x14ac:dyDescent="0.3">
      <c r="A31" s="305">
        <f t="shared" si="0"/>
        <v>26</v>
      </c>
      <c r="B31" s="90" t="s">
        <v>253</v>
      </c>
      <c r="C31" s="305" t="s">
        <v>0</v>
      </c>
      <c r="D31" s="305" t="s">
        <v>254</v>
      </c>
      <c r="E31" s="91">
        <v>45471</v>
      </c>
      <c r="F31" s="97">
        <v>45472</v>
      </c>
      <c r="G31" s="91"/>
      <c r="H31" s="108"/>
      <c r="I31" s="369" t="s">
        <v>20</v>
      </c>
      <c r="J31" s="90" t="s">
        <v>223</v>
      </c>
      <c r="K31" s="92" t="s">
        <v>251</v>
      </c>
      <c r="L31" s="305">
        <v>1100</v>
      </c>
      <c r="M31" s="369" t="s">
        <v>65</v>
      </c>
      <c r="N31" s="305"/>
      <c r="O31" s="305" t="s">
        <v>127</v>
      </c>
      <c r="P31" s="158"/>
      <c r="Q31" s="305"/>
      <c r="R31" s="305"/>
      <c r="S31" s="305"/>
      <c r="T31" s="305" t="s">
        <v>233</v>
      </c>
      <c r="U31" s="305"/>
      <c r="V31" s="305"/>
      <c r="W31" s="305"/>
      <c r="X31" s="305"/>
      <c r="Y31" s="305"/>
      <c r="Z31" s="369" t="s">
        <v>127</v>
      </c>
      <c r="AA31" s="369"/>
      <c r="AB31" s="369"/>
      <c r="AC31" s="101" t="s">
        <v>255</v>
      </c>
      <c r="AD31" s="369" t="s">
        <v>238</v>
      </c>
      <c r="AE31" s="180"/>
      <c r="AF31" s="180"/>
      <c r="AG31" s="180">
        <v>45473</v>
      </c>
      <c r="AH31" s="93">
        <v>45473</v>
      </c>
      <c r="AI31" s="264">
        <v>45444</v>
      </c>
      <c r="AJ31" s="95" t="s">
        <v>131</v>
      </c>
      <c r="AK31" s="369" t="s">
        <v>146</v>
      </c>
      <c r="AL31" s="369" t="s">
        <v>239</v>
      </c>
      <c r="AM31" s="369" t="s">
        <v>134</v>
      </c>
      <c r="AN31" s="91"/>
      <c r="AO31" s="305"/>
      <c r="AP31" s="305"/>
      <c r="AQ31" s="289"/>
      <c r="AR31" s="305"/>
      <c r="AS31" s="305"/>
      <c r="AT31" s="102">
        <v>45461</v>
      </c>
      <c r="AU31" s="97"/>
      <c r="AV31" s="97"/>
      <c r="AW31" s="97">
        <v>45432</v>
      </c>
      <c r="AX31" s="97"/>
      <c r="AY31" s="98"/>
      <c r="AZ31" s="98"/>
      <c r="BA31" s="98"/>
      <c r="BB31" s="100"/>
      <c r="BC31" s="65"/>
      <c r="BD31" s="63"/>
      <c r="BE31" s="367"/>
      <c r="BF31" s="367"/>
      <c r="BG31" s="368"/>
      <c r="BH31" s="64" t="e">
        <f>#REF!</f>
        <v>#REF!</v>
      </c>
      <c r="BL31" s="54"/>
    </row>
    <row r="32" spans="1:64" ht="36" customHeight="1" x14ac:dyDescent="0.3">
      <c r="A32" s="305">
        <f t="shared" si="0"/>
        <v>27</v>
      </c>
      <c r="B32" s="90" t="s">
        <v>256</v>
      </c>
      <c r="C32" s="305" t="s">
        <v>0</v>
      </c>
      <c r="D32" s="305" t="s">
        <v>254</v>
      </c>
      <c r="E32" s="91">
        <v>45520</v>
      </c>
      <c r="F32" s="97">
        <v>45472</v>
      </c>
      <c r="G32" s="108"/>
      <c r="H32" s="108"/>
      <c r="I32" s="369" t="s">
        <v>20</v>
      </c>
      <c r="J32" s="90" t="s">
        <v>223</v>
      </c>
      <c r="K32" s="92" t="s">
        <v>251</v>
      </c>
      <c r="L32" s="305">
        <v>1100</v>
      </c>
      <c r="M32" s="369" t="s">
        <v>65</v>
      </c>
      <c r="N32" s="369"/>
      <c r="O32" s="369" t="s">
        <v>127</v>
      </c>
      <c r="P32" s="309"/>
      <c r="Q32" s="369"/>
      <c r="R32" s="369"/>
      <c r="S32" s="369"/>
      <c r="T32" s="369" t="s">
        <v>233</v>
      </c>
      <c r="U32" s="369"/>
      <c r="V32" s="369"/>
      <c r="W32" s="369"/>
      <c r="X32" s="369" t="s">
        <v>150</v>
      </c>
      <c r="Y32" s="369"/>
      <c r="Z32" s="369" t="s">
        <v>127</v>
      </c>
      <c r="AA32" s="369"/>
      <c r="AB32" s="369"/>
      <c r="AC32" s="92" t="s">
        <v>257</v>
      </c>
      <c r="AD32" s="369" t="s">
        <v>207</v>
      </c>
      <c r="AE32" s="180"/>
      <c r="AF32" s="180"/>
      <c r="AG32" s="180">
        <v>45473</v>
      </c>
      <c r="AH32" s="93">
        <v>45524</v>
      </c>
      <c r="AI32" s="264">
        <v>45474</v>
      </c>
      <c r="AJ32" s="95" t="s">
        <v>131</v>
      </c>
      <c r="AK32" s="369" t="s">
        <v>200</v>
      </c>
      <c r="AL32" s="369" t="s">
        <v>154</v>
      </c>
      <c r="AM32" s="369" t="s">
        <v>134</v>
      </c>
      <c r="AN32" s="96"/>
      <c r="AO32" s="369"/>
      <c r="AP32" s="305"/>
      <c r="AQ32" s="372"/>
      <c r="AR32" s="369"/>
      <c r="AS32" s="305"/>
      <c r="AT32" s="102">
        <v>45461</v>
      </c>
      <c r="AU32" s="97"/>
      <c r="AV32" s="97">
        <v>45450</v>
      </c>
      <c r="AW32" s="97">
        <v>45428</v>
      </c>
      <c r="AX32" s="97"/>
      <c r="AY32" s="98"/>
      <c r="AZ32" s="98"/>
      <c r="BA32" s="98"/>
      <c r="BB32" s="100" t="s">
        <v>235</v>
      </c>
      <c r="BC32" s="65"/>
      <c r="BD32" s="63"/>
      <c r="BE32" s="367"/>
      <c r="BF32" s="367"/>
      <c r="BG32" s="368"/>
      <c r="BH32" s="64" t="e">
        <f>#REF!</f>
        <v>#REF!</v>
      </c>
      <c r="BL32" s="54"/>
    </row>
    <row r="33" spans="1:64" ht="30" customHeight="1" x14ac:dyDescent="0.3">
      <c r="A33" s="305">
        <f t="shared" si="0"/>
        <v>28</v>
      </c>
      <c r="B33" s="90" t="s">
        <v>258</v>
      </c>
      <c r="C33" s="305" t="s">
        <v>0</v>
      </c>
      <c r="D33" s="305" t="s">
        <v>254</v>
      </c>
      <c r="E33" s="91">
        <v>45499</v>
      </c>
      <c r="F33" s="97"/>
      <c r="G33" s="108"/>
      <c r="H33" s="108"/>
      <c r="I33" s="369" t="s">
        <v>20</v>
      </c>
      <c r="J33" s="90" t="s">
        <v>223</v>
      </c>
      <c r="K33" s="92" t="s">
        <v>259</v>
      </c>
      <c r="L33" s="305">
        <v>1100</v>
      </c>
      <c r="M33" s="369" t="s">
        <v>120</v>
      </c>
      <c r="N33" s="305"/>
      <c r="O33" s="369" t="s">
        <v>127</v>
      </c>
      <c r="P33" s="309"/>
      <c r="Q33" s="369"/>
      <c r="R33" s="369"/>
      <c r="S33" s="369"/>
      <c r="T33" s="305" t="s">
        <v>225</v>
      </c>
      <c r="U33" s="305"/>
      <c r="V33" s="305"/>
      <c r="W33" s="305"/>
      <c r="X33" s="369" t="s">
        <v>150</v>
      </c>
      <c r="Y33" s="305"/>
      <c r="Z33" s="369" t="s">
        <v>127</v>
      </c>
      <c r="AA33" s="369"/>
      <c r="AB33" s="369"/>
      <c r="AC33" s="92" t="s">
        <v>260</v>
      </c>
      <c r="AD33" s="369" t="s">
        <v>199</v>
      </c>
      <c r="AE33" s="180"/>
      <c r="AF33" s="180"/>
      <c r="AG33" s="180">
        <v>45473</v>
      </c>
      <c r="AH33" s="93">
        <v>45519</v>
      </c>
      <c r="AI33" s="264">
        <v>45474</v>
      </c>
      <c r="AJ33" s="95" t="s">
        <v>131</v>
      </c>
      <c r="AK33" s="369" t="s">
        <v>200</v>
      </c>
      <c r="AL33" s="369" t="s">
        <v>154</v>
      </c>
      <c r="AM33" s="369" t="s">
        <v>134</v>
      </c>
      <c r="AN33" s="91"/>
      <c r="AO33" s="305"/>
      <c r="AP33" s="305"/>
      <c r="AQ33" s="289"/>
      <c r="AR33" s="305"/>
      <c r="AS33" s="305"/>
      <c r="AT33" s="102">
        <v>45483</v>
      </c>
      <c r="AU33" s="97">
        <v>45455</v>
      </c>
      <c r="AV33" s="97">
        <v>45455</v>
      </c>
      <c r="AW33" s="97">
        <v>45428</v>
      </c>
      <c r="AX33" s="97"/>
      <c r="AY33" s="98"/>
      <c r="AZ33" s="98"/>
      <c r="BA33" s="98"/>
      <c r="BB33" s="100"/>
      <c r="BC33" s="65"/>
      <c r="BD33" s="63"/>
      <c r="BE33" s="367"/>
      <c r="BF33" s="367"/>
      <c r="BG33" s="368"/>
      <c r="BH33" s="64" t="e">
        <f>#REF!</f>
        <v>#REF!</v>
      </c>
      <c r="BL33" s="54"/>
    </row>
    <row r="34" spans="1:64" ht="36" customHeight="1" x14ac:dyDescent="0.3">
      <c r="A34" s="305">
        <f t="shared" si="0"/>
        <v>29</v>
      </c>
      <c r="B34" s="90" t="s">
        <v>261</v>
      </c>
      <c r="C34" s="305" t="s">
        <v>0</v>
      </c>
      <c r="D34" s="305" t="s">
        <v>262</v>
      </c>
      <c r="E34" s="91"/>
      <c r="F34" s="91"/>
      <c r="G34" s="108"/>
      <c r="H34" s="108"/>
      <c r="I34" s="369" t="s">
        <v>20</v>
      </c>
      <c r="J34" s="90"/>
      <c r="K34" s="92" t="s">
        <v>259</v>
      </c>
      <c r="L34" s="305">
        <v>1100</v>
      </c>
      <c r="M34" s="369"/>
      <c r="N34" s="369"/>
      <c r="O34" s="369" t="s">
        <v>127</v>
      </c>
      <c r="P34" s="369"/>
      <c r="Q34" s="369"/>
      <c r="R34" s="369"/>
      <c r="S34" s="369"/>
      <c r="T34" s="369" t="s">
        <v>225</v>
      </c>
      <c r="U34" s="369"/>
      <c r="V34" s="369"/>
      <c r="W34" s="369"/>
      <c r="X34" s="369"/>
      <c r="Y34" s="369"/>
      <c r="Z34" s="369"/>
      <c r="AA34" s="369"/>
      <c r="AB34" s="369"/>
      <c r="AC34" s="92" t="s">
        <v>263</v>
      </c>
      <c r="AD34" s="369" t="s">
        <v>169</v>
      </c>
      <c r="AE34" s="180"/>
      <c r="AF34" s="180"/>
      <c r="AG34" s="180"/>
      <c r="AH34" s="93"/>
      <c r="AI34" s="94">
        <v>0</v>
      </c>
      <c r="AJ34" s="95" t="s">
        <v>264</v>
      </c>
      <c r="AK34" s="369" t="s">
        <v>265</v>
      </c>
      <c r="AL34" s="369" t="s">
        <v>162</v>
      </c>
      <c r="AM34" s="369"/>
      <c r="AN34" s="96"/>
      <c r="AO34" s="369"/>
      <c r="AP34" s="305"/>
      <c r="AQ34" s="372"/>
      <c r="AR34" s="369"/>
      <c r="AS34" s="305"/>
      <c r="AT34" s="102"/>
      <c r="AU34" s="97"/>
      <c r="AV34" s="97"/>
      <c r="AW34" s="97"/>
      <c r="AX34" s="97"/>
      <c r="AY34" s="98"/>
      <c r="AZ34" s="98"/>
      <c r="BA34" s="98"/>
      <c r="BB34" s="100"/>
      <c r="BC34" s="65"/>
      <c r="BD34" s="63"/>
      <c r="BE34" s="367"/>
      <c r="BF34" s="367"/>
      <c r="BG34" s="368"/>
      <c r="BH34" s="64" t="e">
        <f>#REF!</f>
        <v>#REF!</v>
      </c>
      <c r="BL34" s="54"/>
    </row>
    <row r="35" spans="1:64" ht="36" customHeight="1" x14ac:dyDescent="0.3">
      <c r="A35" s="247">
        <f t="shared" si="0"/>
        <v>30</v>
      </c>
      <c r="B35" s="90" t="s">
        <v>266</v>
      </c>
      <c r="C35" s="305" t="s">
        <v>0</v>
      </c>
      <c r="D35" s="305" t="s">
        <v>267</v>
      </c>
      <c r="E35" s="91">
        <v>45625</v>
      </c>
      <c r="F35" s="97">
        <v>45722</v>
      </c>
      <c r="G35" s="91"/>
      <c r="H35" s="91"/>
      <c r="I35" s="369" t="s">
        <v>20</v>
      </c>
      <c r="J35" s="90" t="s">
        <v>212</v>
      </c>
      <c r="K35" s="92" t="s">
        <v>268</v>
      </c>
      <c r="L35" s="305">
        <v>1100</v>
      </c>
      <c r="M35" s="369" t="s">
        <v>65</v>
      </c>
      <c r="N35" s="369"/>
      <c r="O35" s="369"/>
      <c r="P35" s="309"/>
      <c r="Q35" s="369"/>
      <c r="R35" s="369"/>
      <c r="S35" s="369"/>
      <c r="T35" s="369">
        <v>8.6999999999999993</v>
      </c>
      <c r="U35" s="369"/>
      <c r="V35" s="369"/>
      <c r="W35" s="369"/>
      <c r="X35" s="369" t="s">
        <v>269</v>
      </c>
      <c r="Y35" s="369" t="s">
        <v>127</v>
      </c>
      <c r="Z35" s="369"/>
      <c r="AA35" s="369"/>
      <c r="AB35" s="369" t="s">
        <v>270</v>
      </c>
      <c r="AC35" s="92" t="s">
        <v>271</v>
      </c>
      <c r="AD35" s="369" t="s">
        <v>272</v>
      </c>
      <c r="AE35" s="180"/>
      <c r="AF35" s="180"/>
      <c r="AG35" s="180"/>
      <c r="AH35" s="93">
        <v>45626</v>
      </c>
      <c r="AI35" s="264">
        <v>45566</v>
      </c>
      <c r="AJ35" s="95" t="s">
        <v>131</v>
      </c>
      <c r="AK35" s="369" t="s">
        <v>273</v>
      </c>
      <c r="AL35" s="369" t="s">
        <v>239</v>
      </c>
      <c r="AM35" s="369" t="s">
        <v>134</v>
      </c>
      <c r="AN35" s="91"/>
      <c r="AO35" s="305"/>
      <c r="AP35" s="305"/>
      <c r="AQ35" s="289"/>
      <c r="AR35" s="305"/>
      <c r="AS35" s="305"/>
      <c r="AT35" s="102">
        <v>45575</v>
      </c>
      <c r="AU35" s="97">
        <v>45553</v>
      </c>
      <c r="AV35" s="97"/>
      <c r="AW35" s="97">
        <v>45534</v>
      </c>
      <c r="AX35" s="97"/>
      <c r="AY35" s="98"/>
      <c r="AZ35" s="98"/>
      <c r="BA35" s="98"/>
      <c r="BB35" s="100" t="s">
        <v>274</v>
      </c>
      <c r="BC35" s="65"/>
      <c r="BD35" s="63"/>
      <c r="BE35" s="45"/>
      <c r="BF35" s="367"/>
      <c r="BG35" s="368"/>
      <c r="BH35" s="64" t="e">
        <f>#REF!</f>
        <v>#REF!</v>
      </c>
      <c r="BL35" s="54"/>
    </row>
    <row r="36" spans="1:64" ht="36" customHeight="1" x14ac:dyDescent="0.3">
      <c r="A36" s="305">
        <f t="shared" si="0"/>
        <v>31</v>
      </c>
      <c r="B36" s="90" t="s">
        <v>275</v>
      </c>
      <c r="C36" s="305" t="s">
        <v>0</v>
      </c>
      <c r="D36" s="305" t="s">
        <v>262</v>
      </c>
      <c r="E36" s="91"/>
      <c r="F36" s="97"/>
      <c r="G36" s="108"/>
      <c r="H36" s="108"/>
      <c r="I36" s="369" t="s">
        <v>20</v>
      </c>
      <c r="J36" s="90"/>
      <c r="K36" s="92" t="s">
        <v>276</v>
      </c>
      <c r="L36" s="305">
        <v>1100</v>
      </c>
      <c r="M36" s="369" t="s">
        <v>120</v>
      </c>
      <c r="N36" s="305"/>
      <c r="O36" s="305"/>
      <c r="P36" s="305"/>
      <c r="Q36" s="305"/>
      <c r="R36" s="305"/>
      <c r="S36" s="305"/>
      <c r="T36" s="305" t="s">
        <v>277</v>
      </c>
      <c r="U36" s="305"/>
      <c r="V36" s="305"/>
      <c r="W36" s="305"/>
      <c r="X36" s="369" t="s">
        <v>269</v>
      </c>
      <c r="Y36" s="305" t="s">
        <v>127</v>
      </c>
      <c r="Z36" s="305"/>
      <c r="AA36" s="305"/>
      <c r="AB36" s="305" t="s">
        <v>270</v>
      </c>
      <c r="AC36" s="92" t="s">
        <v>278</v>
      </c>
      <c r="AD36" s="369" t="s">
        <v>272</v>
      </c>
      <c r="AE36" s="180"/>
      <c r="AF36" s="180"/>
      <c r="AG36" s="180"/>
      <c r="AH36" s="93"/>
      <c r="AI36" s="94">
        <v>0</v>
      </c>
      <c r="AJ36" s="95" t="s">
        <v>264</v>
      </c>
      <c r="AK36" s="369" t="s">
        <v>273</v>
      </c>
      <c r="AL36" s="369" t="s">
        <v>239</v>
      </c>
      <c r="AM36" s="369"/>
      <c r="AN36" s="91"/>
      <c r="AO36" s="305"/>
      <c r="AP36" s="305"/>
      <c r="AQ36" s="289"/>
      <c r="AR36" s="305"/>
      <c r="AS36" s="305"/>
      <c r="AT36" s="102">
        <v>45575</v>
      </c>
      <c r="AU36" s="97">
        <v>45553</v>
      </c>
      <c r="AV36" s="97"/>
      <c r="AW36" s="97">
        <v>45534</v>
      </c>
      <c r="AX36" s="97"/>
      <c r="AY36" s="98"/>
      <c r="AZ36" s="98"/>
      <c r="BA36" s="98"/>
      <c r="BB36" s="100" t="s">
        <v>279</v>
      </c>
      <c r="BC36" s="65"/>
      <c r="BD36" s="63"/>
      <c r="BE36" s="367"/>
      <c r="BF36" s="367"/>
      <c r="BG36" s="368"/>
      <c r="BH36" s="64" t="e">
        <f>#REF!</f>
        <v>#REF!</v>
      </c>
      <c r="BL36" s="54"/>
    </row>
    <row r="37" spans="1:64" ht="36.6" customHeight="1" x14ac:dyDescent="0.3">
      <c r="A37" s="305">
        <f t="shared" si="0"/>
        <v>32</v>
      </c>
      <c r="B37" s="90" t="s">
        <v>280</v>
      </c>
      <c r="C37" s="305" t="s">
        <v>0</v>
      </c>
      <c r="D37" s="305" t="s">
        <v>254</v>
      </c>
      <c r="E37" s="91">
        <v>45498</v>
      </c>
      <c r="F37" s="97">
        <v>45552</v>
      </c>
      <c r="G37" s="108"/>
      <c r="H37" s="108"/>
      <c r="I37" s="369" t="s">
        <v>26</v>
      </c>
      <c r="J37" s="90" t="s">
        <v>281</v>
      </c>
      <c r="K37" s="92" t="s">
        <v>282</v>
      </c>
      <c r="L37" s="305">
        <v>1100</v>
      </c>
      <c r="M37" s="369" t="s">
        <v>120</v>
      </c>
      <c r="N37" s="369"/>
      <c r="O37" s="305" t="s">
        <v>127</v>
      </c>
      <c r="P37" s="158"/>
      <c r="Q37" s="305"/>
      <c r="R37" s="305"/>
      <c r="S37" s="305"/>
      <c r="T37" s="369" t="s">
        <v>225</v>
      </c>
      <c r="U37" s="369"/>
      <c r="V37" s="369"/>
      <c r="W37" s="369"/>
      <c r="X37" s="369" t="s">
        <v>150</v>
      </c>
      <c r="Y37" s="305" t="s">
        <v>127</v>
      </c>
      <c r="Z37" s="369"/>
      <c r="AA37" s="369"/>
      <c r="AB37" s="369"/>
      <c r="AC37" s="92" t="s">
        <v>283</v>
      </c>
      <c r="AD37" s="369" t="s">
        <v>284</v>
      </c>
      <c r="AE37" s="180"/>
      <c r="AF37" s="180"/>
      <c r="AG37" s="180">
        <v>45473</v>
      </c>
      <c r="AH37" s="93">
        <v>45503</v>
      </c>
      <c r="AI37" s="264">
        <v>45444</v>
      </c>
      <c r="AJ37" s="95" t="s">
        <v>131</v>
      </c>
      <c r="AK37" s="369" t="s">
        <v>200</v>
      </c>
      <c r="AL37" s="369" t="s">
        <v>183</v>
      </c>
      <c r="AM37" s="369" t="s">
        <v>134</v>
      </c>
      <c r="AN37" s="96"/>
      <c r="AO37" s="369"/>
      <c r="AP37" s="305"/>
      <c r="AQ37" s="372"/>
      <c r="AR37" s="369"/>
      <c r="AS37" s="305"/>
      <c r="AT37" s="102">
        <v>45458</v>
      </c>
      <c r="AU37" s="97">
        <v>45442</v>
      </c>
      <c r="AV37" s="97">
        <v>45442</v>
      </c>
      <c r="AW37" s="97">
        <v>45428</v>
      </c>
      <c r="AX37" s="97"/>
      <c r="AY37" s="98"/>
      <c r="AZ37" s="98"/>
      <c r="BA37" s="98"/>
      <c r="BB37" s="100" t="s">
        <v>285</v>
      </c>
      <c r="BC37" s="65"/>
      <c r="BD37" s="63"/>
      <c r="BE37" s="367"/>
      <c r="BF37" s="367"/>
      <c r="BG37" s="368"/>
      <c r="BH37" s="64" t="e">
        <f>#REF!</f>
        <v>#REF!</v>
      </c>
      <c r="BL37" s="54"/>
    </row>
    <row r="38" spans="1:64" ht="40.950000000000003" customHeight="1" x14ac:dyDescent="0.3">
      <c r="A38" s="305">
        <f t="shared" si="0"/>
        <v>33</v>
      </c>
      <c r="B38" s="90" t="s">
        <v>286</v>
      </c>
      <c r="C38" s="305" t="s">
        <v>0</v>
      </c>
      <c r="D38" s="305" t="s">
        <v>287</v>
      </c>
      <c r="E38" s="91">
        <v>45498</v>
      </c>
      <c r="F38" s="97"/>
      <c r="G38" s="305"/>
      <c r="H38" s="305"/>
      <c r="I38" s="369" t="s">
        <v>26</v>
      </c>
      <c r="J38" s="90" t="s">
        <v>281</v>
      </c>
      <c r="K38" s="92" t="s">
        <v>282</v>
      </c>
      <c r="L38" s="305">
        <v>1100</v>
      </c>
      <c r="M38" s="369" t="s">
        <v>120</v>
      </c>
      <c r="N38" s="369"/>
      <c r="O38" s="369" t="s">
        <v>127</v>
      </c>
      <c r="P38" s="309"/>
      <c r="Q38" s="369"/>
      <c r="R38" s="369"/>
      <c r="S38" s="369"/>
      <c r="T38" s="369" t="s">
        <v>225</v>
      </c>
      <c r="U38" s="369"/>
      <c r="V38" s="369"/>
      <c r="W38" s="369"/>
      <c r="X38" s="369" t="s">
        <v>150</v>
      </c>
      <c r="Y38" s="305" t="s">
        <v>127</v>
      </c>
      <c r="Z38" s="369"/>
      <c r="AA38" s="369"/>
      <c r="AB38" s="369"/>
      <c r="AC38" s="92" t="s">
        <v>288</v>
      </c>
      <c r="AD38" s="369" t="s">
        <v>152</v>
      </c>
      <c r="AE38" s="180"/>
      <c r="AF38" s="180"/>
      <c r="AG38" s="180">
        <v>45473</v>
      </c>
      <c r="AH38" s="93">
        <v>45503</v>
      </c>
      <c r="AI38" s="264">
        <v>45444</v>
      </c>
      <c r="AJ38" s="95" t="s">
        <v>131</v>
      </c>
      <c r="AK38" s="369" t="s">
        <v>200</v>
      </c>
      <c r="AL38" s="369" t="s">
        <v>183</v>
      </c>
      <c r="AM38" s="369" t="s">
        <v>134</v>
      </c>
      <c r="AN38" s="96"/>
      <c r="AO38" s="369"/>
      <c r="AP38" s="305"/>
      <c r="AQ38" s="372"/>
      <c r="AR38" s="369"/>
      <c r="AS38" s="305"/>
      <c r="AT38" s="102">
        <v>45463</v>
      </c>
      <c r="AU38" s="97">
        <v>45442</v>
      </c>
      <c r="AV38" s="97">
        <v>45442</v>
      </c>
      <c r="AW38" s="97">
        <v>45428</v>
      </c>
      <c r="AX38" s="97"/>
      <c r="AY38" s="98"/>
      <c r="AZ38" s="98"/>
      <c r="BA38" s="98"/>
      <c r="BB38" s="100" t="s">
        <v>289</v>
      </c>
      <c r="BC38" s="65"/>
      <c r="BD38" s="63"/>
      <c r="BE38" s="67"/>
      <c r="BF38" s="367"/>
      <c r="BG38" s="368"/>
      <c r="BH38" s="64" t="e">
        <f>#REF!</f>
        <v>#REF!</v>
      </c>
      <c r="BL38" s="54"/>
    </row>
    <row r="39" spans="1:64" ht="36" customHeight="1" x14ac:dyDescent="0.3">
      <c r="A39" s="305">
        <f t="shared" si="0"/>
        <v>34</v>
      </c>
      <c r="B39" s="90" t="s">
        <v>290</v>
      </c>
      <c r="C39" s="305" t="s">
        <v>0</v>
      </c>
      <c r="D39" s="305" t="s">
        <v>262</v>
      </c>
      <c r="E39" s="91"/>
      <c r="F39" s="91"/>
      <c r="G39" s="305"/>
      <c r="H39" s="305"/>
      <c r="I39" s="369" t="s">
        <v>20</v>
      </c>
      <c r="J39" s="90"/>
      <c r="K39" s="92" t="s">
        <v>291</v>
      </c>
      <c r="L39" s="305"/>
      <c r="M39" s="369"/>
      <c r="N39" s="369"/>
      <c r="O39" s="369"/>
      <c r="P39" s="369"/>
      <c r="Q39" s="369"/>
      <c r="R39" s="369"/>
      <c r="S39" s="369"/>
      <c r="T39" s="369"/>
      <c r="U39" s="369"/>
      <c r="V39" s="369"/>
      <c r="W39" s="369"/>
      <c r="X39" s="369"/>
      <c r="Y39" s="369"/>
      <c r="Z39" s="369"/>
      <c r="AA39" s="369"/>
      <c r="AB39" s="369"/>
      <c r="AC39" s="92" t="s">
        <v>292</v>
      </c>
      <c r="AD39" s="369" t="s">
        <v>293</v>
      </c>
      <c r="AE39" s="180"/>
      <c r="AF39" s="180"/>
      <c r="AG39" s="180"/>
      <c r="AH39" s="93"/>
      <c r="AI39" s="94">
        <v>0</v>
      </c>
      <c r="AJ39" s="95" t="s">
        <v>264</v>
      </c>
      <c r="AK39" s="369" t="s">
        <v>294</v>
      </c>
      <c r="AL39" s="369" t="s">
        <v>295</v>
      </c>
      <c r="AM39" s="369"/>
      <c r="AN39" s="96"/>
      <c r="AO39" s="369"/>
      <c r="AP39" s="305"/>
      <c r="AQ39" s="372"/>
      <c r="AR39" s="369"/>
      <c r="AS39" s="305"/>
      <c r="AT39" s="102"/>
      <c r="AU39" s="97"/>
      <c r="AV39" s="102"/>
      <c r="AW39" s="97"/>
      <c r="AX39" s="97"/>
      <c r="AY39" s="98"/>
      <c r="AZ39" s="98"/>
      <c r="BA39" s="98"/>
      <c r="BB39" s="100"/>
      <c r="BC39" s="65"/>
      <c r="BD39" s="63"/>
      <c r="BE39" s="67"/>
      <c r="BF39" s="367"/>
      <c r="BG39" s="368"/>
      <c r="BH39" s="64" t="e">
        <f>#REF!</f>
        <v>#REF!</v>
      </c>
      <c r="BL39" s="54"/>
    </row>
    <row r="40" spans="1:64" ht="39.6" customHeight="1" x14ac:dyDescent="0.3">
      <c r="A40" s="305">
        <f t="shared" si="0"/>
        <v>35</v>
      </c>
      <c r="B40" s="113" t="s">
        <v>296</v>
      </c>
      <c r="C40" s="305" t="s">
        <v>0</v>
      </c>
      <c r="D40" s="305" t="s">
        <v>297</v>
      </c>
      <c r="E40" s="91">
        <v>45677</v>
      </c>
      <c r="F40" s="97">
        <v>45680</v>
      </c>
      <c r="G40" s="97">
        <v>45694</v>
      </c>
      <c r="H40" s="108"/>
      <c r="I40" s="369" t="s">
        <v>26</v>
      </c>
      <c r="J40" s="90"/>
      <c r="K40" s="92" t="s">
        <v>298</v>
      </c>
      <c r="L40" s="305">
        <v>1100</v>
      </c>
      <c r="M40" s="369" t="s">
        <v>65</v>
      </c>
      <c r="N40" s="305"/>
      <c r="O40" s="305" t="s">
        <v>127</v>
      </c>
      <c r="P40" s="158"/>
      <c r="Q40" s="305"/>
      <c r="R40" s="305"/>
      <c r="S40" s="305"/>
      <c r="T40" s="305" t="s">
        <v>225</v>
      </c>
      <c r="U40" s="305"/>
      <c r="V40" s="305"/>
      <c r="W40" s="305"/>
      <c r="X40" s="369" t="s">
        <v>150</v>
      </c>
      <c r="Y40" s="305"/>
      <c r="Z40" s="369"/>
      <c r="AA40" s="369" t="s">
        <v>299</v>
      </c>
      <c r="AB40" s="305" t="s">
        <v>215</v>
      </c>
      <c r="AC40" s="92" t="s">
        <v>300</v>
      </c>
      <c r="AD40" s="369" t="s">
        <v>199</v>
      </c>
      <c r="AE40" s="180">
        <v>45677</v>
      </c>
      <c r="AF40" s="180"/>
      <c r="AG40" s="180"/>
      <c r="AH40" s="93">
        <v>45680</v>
      </c>
      <c r="AI40" s="264">
        <v>45566</v>
      </c>
      <c r="AJ40" s="95" t="s">
        <v>131</v>
      </c>
      <c r="AK40" s="369" t="s">
        <v>200</v>
      </c>
      <c r="AL40" s="369" t="s">
        <v>154</v>
      </c>
      <c r="AM40" s="369" t="s">
        <v>134</v>
      </c>
      <c r="AN40" s="96"/>
      <c r="AO40" s="369"/>
      <c r="AP40" s="305"/>
      <c r="AQ40" s="372"/>
      <c r="AR40" s="369"/>
      <c r="AS40" s="305"/>
      <c r="AT40" s="102">
        <v>45565</v>
      </c>
      <c r="AU40" s="97">
        <v>45546</v>
      </c>
      <c r="AV40" s="102">
        <v>45546</v>
      </c>
      <c r="AW40" s="97">
        <v>45530</v>
      </c>
      <c r="AX40" s="97"/>
      <c r="AY40" s="98"/>
      <c r="AZ40" s="98"/>
      <c r="BA40" s="98"/>
      <c r="BB40" s="100"/>
      <c r="BC40" s="65"/>
      <c r="BD40" s="63"/>
      <c r="BE40" s="367"/>
      <c r="BF40" s="367"/>
      <c r="BG40" s="368"/>
      <c r="BH40" s="64" t="e">
        <f>#REF!</f>
        <v>#REF!</v>
      </c>
      <c r="BL40" s="54"/>
    </row>
    <row r="41" spans="1:64" ht="43.95" customHeight="1" x14ac:dyDescent="0.3">
      <c r="A41" s="305">
        <f t="shared" si="0"/>
        <v>36</v>
      </c>
      <c r="B41" s="90" t="s">
        <v>301</v>
      </c>
      <c r="C41" s="305" t="s">
        <v>0</v>
      </c>
      <c r="D41" s="305" t="s">
        <v>287</v>
      </c>
      <c r="E41" s="91">
        <v>45498</v>
      </c>
      <c r="F41" s="97"/>
      <c r="G41" s="108"/>
      <c r="H41" s="108"/>
      <c r="I41" s="369" t="s">
        <v>26</v>
      </c>
      <c r="J41" s="90" t="s">
        <v>302</v>
      </c>
      <c r="K41" s="92" t="s">
        <v>298</v>
      </c>
      <c r="L41" s="305">
        <v>1100</v>
      </c>
      <c r="M41" s="369" t="s">
        <v>65</v>
      </c>
      <c r="N41" s="305"/>
      <c r="O41" s="305" t="s">
        <v>127</v>
      </c>
      <c r="P41" s="158"/>
      <c r="Q41" s="305"/>
      <c r="R41" s="305"/>
      <c r="S41" s="305"/>
      <c r="T41" s="305" t="s">
        <v>225</v>
      </c>
      <c r="U41" s="305"/>
      <c r="V41" s="305"/>
      <c r="W41" s="305"/>
      <c r="X41" s="305" t="s">
        <v>150</v>
      </c>
      <c r="Y41" s="305" t="s">
        <v>127</v>
      </c>
      <c r="Z41" s="369"/>
      <c r="AA41" s="369"/>
      <c r="AB41" s="305"/>
      <c r="AC41" s="92" t="s">
        <v>303</v>
      </c>
      <c r="AD41" s="369" t="s">
        <v>152</v>
      </c>
      <c r="AE41" s="180"/>
      <c r="AF41" s="180"/>
      <c r="AG41" s="180">
        <v>45473</v>
      </c>
      <c r="AH41" s="93">
        <v>45503</v>
      </c>
      <c r="AI41" s="264">
        <v>45474</v>
      </c>
      <c r="AJ41" s="95" t="s">
        <v>131</v>
      </c>
      <c r="AK41" s="369" t="s">
        <v>200</v>
      </c>
      <c r="AL41" s="369" t="s">
        <v>183</v>
      </c>
      <c r="AM41" s="369" t="s">
        <v>134</v>
      </c>
      <c r="AN41" s="96"/>
      <c r="AO41" s="369"/>
      <c r="AP41" s="305"/>
      <c r="AQ41" s="372"/>
      <c r="AR41" s="369"/>
      <c r="AS41" s="305"/>
      <c r="AT41" s="102">
        <v>45458</v>
      </c>
      <c r="AU41" s="97">
        <v>45442</v>
      </c>
      <c r="AV41" s="97">
        <v>45442</v>
      </c>
      <c r="AW41" s="97">
        <v>45428</v>
      </c>
      <c r="AX41" s="97"/>
      <c r="AY41" s="98"/>
      <c r="AZ41" s="98"/>
      <c r="BA41" s="98"/>
      <c r="BB41" s="100"/>
      <c r="BC41" s="65"/>
      <c r="BD41" s="63"/>
      <c r="BE41" s="367"/>
      <c r="BF41" s="367"/>
      <c r="BG41" s="368"/>
      <c r="BH41" s="64" t="e">
        <f>#REF!</f>
        <v>#REF!</v>
      </c>
      <c r="BL41" s="54"/>
    </row>
    <row r="42" spans="1:64" ht="36" customHeight="1" x14ac:dyDescent="0.3">
      <c r="A42" s="305">
        <f t="shared" si="0"/>
        <v>37</v>
      </c>
      <c r="B42" s="90" t="s">
        <v>304</v>
      </c>
      <c r="C42" s="305" t="s">
        <v>0</v>
      </c>
      <c r="D42" s="305" t="s">
        <v>287</v>
      </c>
      <c r="E42" s="91">
        <v>45498</v>
      </c>
      <c r="F42" s="97"/>
      <c r="G42" s="91"/>
      <c r="H42" s="91"/>
      <c r="I42" s="369" t="s">
        <v>26</v>
      </c>
      <c r="J42" s="90" t="s">
        <v>302</v>
      </c>
      <c r="K42" s="92" t="s">
        <v>305</v>
      </c>
      <c r="L42" s="305">
        <v>1100</v>
      </c>
      <c r="M42" s="369" t="s">
        <v>120</v>
      </c>
      <c r="N42" s="369"/>
      <c r="O42" s="369" t="s">
        <v>127</v>
      </c>
      <c r="P42" s="309"/>
      <c r="Q42" s="369"/>
      <c r="R42" s="369"/>
      <c r="S42" s="369"/>
      <c r="T42" s="369" t="s">
        <v>225</v>
      </c>
      <c r="U42" s="369"/>
      <c r="V42" s="369"/>
      <c r="W42" s="369"/>
      <c r="X42" s="369" t="s">
        <v>150</v>
      </c>
      <c r="Y42" s="369"/>
      <c r="Z42" s="369"/>
      <c r="AA42" s="369"/>
      <c r="AB42" s="369"/>
      <c r="AC42" s="92" t="s">
        <v>306</v>
      </c>
      <c r="AD42" s="369" t="s">
        <v>199</v>
      </c>
      <c r="AE42" s="180"/>
      <c r="AF42" s="180"/>
      <c r="AG42" s="180">
        <v>45534</v>
      </c>
      <c r="AH42" s="93">
        <v>45468</v>
      </c>
      <c r="AI42" s="264">
        <v>45474</v>
      </c>
      <c r="AJ42" s="95" t="s">
        <v>131</v>
      </c>
      <c r="AK42" s="369" t="s">
        <v>200</v>
      </c>
      <c r="AL42" s="369" t="s">
        <v>154</v>
      </c>
      <c r="AM42" s="369" t="s">
        <v>134</v>
      </c>
      <c r="AN42" s="91"/>
      <c r="AO42" s="305"/>
      <c r="AP42" s="305"/>
      <c r="AQ42" s="289"/>
      <c r="AR42" s="305"/>
      <c r="AS42" s="305"/>
      <c r="AT42" s="102">
        <v>45461</v>
      </c>
      <c r="AU42" s="97">
        <v>45443</v>
      </c>
      <c r="AV42" s="97">
        <v>45443</v>
      </c>
      <c r="AW42" s="97">
        <v>45428</v>
      </c>
      <c r="AX42" s="97"/>
      <c r="AY42" s="98"/>
      <c r="AZ42" s="98"/>
      <c r="BA42" s="98"/>
      <c r="BB42" s="100"/>
      <c r="BC42" s="65"/>
      <c r="BD42" s="63"/>
      <c r="BE42" s="367"/>
      <c r="BF42" s="367"/>
      <c r="BG42" s="368"/>
      <c r="BH42" s="64" t="e">
        <f>#REF!</f>
        <v>#REF!</v>
      </c>
      <c r="BL42" s="54"/>
    </row>
    <row r="43" spans="1:64" ht="36" customHeight="1" x14ac:dyDescent="0.3">
      <c r="A43" s="305">
        <f t="shared" si="0"/>
        <v>38</v>
      </c>
      <c r="B43" s="90" t="s">
        <v>307</v>
      </c>
      <c r="C43" s="305" t="s">
        <v>0</v>
      </c>
      <c r="D43" s="305" t="s">
        <v>287</v>
      </c>
      <c r="E43" s="91">
        <v>45498</v>
      </c>
      <c r="F43" s="97"/>
      <c r="G43" s="91"/>
      <c r="H43" s="91"/>
      <c r="I43" s="369" t="s">
        <v>26</v>
      </c>
      <c r="J43" s="90" t="s">
        <v>302</v>
      </c>
      <c r="K43" s="92" t="s">
        <v>305</v>
      </c>
      <c r="L43" s="305">
        <v>1100</v>
      </c>
      <c r="M43" s="369" t="s">
        <v>120</v>
      </c>
      <c r="N43" s="369"/>
      <c r="O43" s="369" t="s">
        <v>127</v>
      </c>
      <c r="P43" s="309"/>
      <c r="Q43" s="369"/>
      <c r="R43" s="369"/>
      <c r="S43" s="369"/>
      <c r="T43" s="369" t="s">
        <v>225</v>
      </c>
      <c r="U43" s="369"/>
      <c r="V43" s="369"/>
      <c r="W43" s="369"/>
      <c r="X43" s="369" t="s">
        <v>150</v>
      </c>
      <c r="Y43" s="369" t="s">
        <v>127</v>
      </c>
      <c r="Z43" s="369"/>
      <c r="AA43" s="369"/>
      <c r="AB43" s="369"/>
      <c r="AC43" s="92" t="s">
        <v>308</v>
      </c>
      <c r="AD43" s="369" t="s">
        <v>152</v>
      </c>
      <c r="AE43" s="180"/>
      <c r="AF43" s="180"/>
      <c r="AG43" s="180">
        <v>45534</v>
      </c>
      <c r="AH43" s="93">
        <v>45498</v>
      </c>
      <c r="AI43" s="264">
        <v>45505</v>
      </c>
      <c r="AJ43" s="95" t="s">
        <v>131</v>
      </c>
      <c r="AK43" s="369" t="s">
        <v>200</v>
      </c>
      <c r="AL43" s="369" t="s">
        <v>183</v>
      </c>
      <c r="AM43" s="369" t="s">
        <v>134</v>
      </c>
      <c r="AN43" s="91"/>
      <c r="AO43" s="305"/>
      <c r="AP43" s="305"/>
      <c r="AQ43" s="289"/>
      <c r="AR43" s="305"/>
      <c r="AS43" s="305"/>
      <c r="AT43" s="102">
        <v>45463</v>
      </c>
      <c r="AU43" s="97">
        <v>45442</v>
      </c>
      <c r="AV43" s="97">
        <v>45442</v>
      </c>
      <c r="AW43" s="97">
        <v>45428</v>
      </c>
      <c r="AX43" s="97"/>
      <c r="AY43" s="98"/>
      <c r="AZ43" s="98"/>
      <c r="BA43" s="98"/>
      <c r="BB43" s="100"/>
      <c r="BC43" s="65"/>
      <c r="BD43" s="63"/>
      <c r="BE43" s="45"/>
      <c r="BF43" s="367"/>
      <c r="BG43" s="368"/>
      <c r="BH43" s="64" t="e">
        <f>#REF!</f>
        <v>#REF!</v>
      </c>
      <c r="BL43" s="54"/>
    </row>
    <row r="44" spans="1:64" ht="30" customHeight="1" x14ac:dyDescent="0.3">
      <c r="A44" s="305">
        <f t="shared" si="0"/>
        <v>39</v>
      </c>
      <c r="B44" s="90" t="s">
        <v>309</v>
      </c>
      <c r="C44" s="305" t="s">
        <v>0</v>
      </c>
      <c r="D44" s="305" t="s">
        <v>310</v>
      </c>
      <c r="E44" s="91">
        <v>45499</v>
      </c>
      <c r="F44" s="97"/>
      <c r="G44" s="108"/>
      <c r="H44" s="108"/>
      <c r="I44" s="369" t="s">
        <v>20</v>
      </c>
      <c r="J44" s="90" t="s">
        <v>311</v>
      </c>
      <c r="K44" s="92" t="s">
        <v>312</v>
      </c>
      <c r="L44" s="305">
        <v>1100</v>
      </c>
      <c r="M44" s="369" t="s">
        <v>120</v>
      </c>
      <c r="N44" s="305"/>
      <c r="O44" s="369" t="s">
        <v>127</v>
      </c>
      <c r="P44" s="309"/>
      <c r="Q44" s="369"/>
      <c r="R44" s="369"/>
      <c r="S44" s="369"/>
      <c r="T44" s="305" t="s">
        <v>225</v>
      </c>
      <c r="U44" s="305"/>
      <c r="V44" s="305"/>
      <c r="W44" s="305"/>
      <c r="X44" s="305" t="s">
        <v>150</v>
      </c>
      <c r="Y44" s="305"/>
      <c r="Z44" s="305"/>
      <c r="AA44" s="305"/>
      <c r="AB44" s="305"/>
      <c r="AC44" s="92" t="s">
        <v>313</v>
      </c>
      <c r="AD44" s="369" t="s">
        <v>199</v>
      </c>
      <c r="AE44" s="114"/>
      <c r="AF44" s="114"/>
      <c r="AG44" s="114">
        <v>45473</v>
      </c>
      <c r="AH44" s="93">
        <v>45498</v>
      </c>
      <c r="AI44" s="264">
        <v>45505</v>
      </c>
      <c r="AJ44" s="95" t="s">
        <v>131</v>
      </c>
      <c r="AK44" s="369" t="s">
        <v>200</v>
      </c>
      <c r="AL44" s="369" t="s">
        <v>154</v>
      </c>
      <c r="AM44" s="369" t="s">
        <v>134</v>
      </c>
      <c r="AN44" s="91"/>
      <c r="AO44" s="305"/>
      <c r="AP44" s="305"/>
      <c r="AQ44" s="289"/>
      <c r="AR44" s="305"/>
      <c r="AS44" s="305"/>
      <c r="AT44" s="96">
        <v>45461</v>
      </c>
      <c r="AU44" s="97">
        <v>45443</v>
      </c>
      <c r="AV44" s="97">
        <v>45443</v>
      </c>
      <c r="AW44" s="97">
        <v>45428</v>
      </c>
      <c r="AX44" s="97"/>
      <c r="AY44" s="98"/>
      <c r="AZ44" s="98"/>
      <c r="BA44" s="98"/>
      <c r="BB44" s="100"/>
      <c r="BC44" s="65"/>
      <c r="BD44" s="63"/>
      <c r="BE44" s="367"/>
      <c r="BF44" s="367"/>
      <c r="BG44" s="368"/>
      <c r="BH44" s="64" t="e">
        <f>#REF!</f>
        <v>#REF!</v>
      </c>
      <c r="BL44" s="54"/>
    </row>
    <row r="45" spans="1:64" ht="36" customHeight="1" x14ac:dyDescent="0.3">
      <c r="A45" s="305">
        <f t="shared" si="0"/>
        <v>40</v>
      </c>
      <c r="B45" s="113" t="s">
        <v>314</v>
      </c>
      <c r="C45" s="305" t="s">
        <v>0</v>
      </c>
      <c r="D45" s="305" t="s">
        <v>315</v>
      </c>
      <c r="E45" s="91">
        <v>45595</v>
      </c>
      <c r="F45" s="97">
        <v>45601</v>
      </c>
      <c r="G45" s="91">
        <v>45618</v>
      </c>
      <c r="H45" s="108"/>
      <c r="I45" s="369" t="s">
        <v>20</v>
      </c>
      <c r="J45" s="90" t="s">
        <v>316</v>
      </c>
      <c r="K45" s="92" t="s">
        <v>317</v>
      </c>
      <c r="L45" s="305">
        <v>1100</v>
      </c>
      <c r="M45" s="369" t="s">
        <v>65</v>
      </c>
      <c r="N45" s="369"/>
      <c r="O45" s="369" t="s">
        <v>127</v>
      </c>
      <c r="P45" s="309"/>
      <c r="Q45" s="369"/>
      <c r="R45" s="369"/>
      <c r="S45" s="369"/>
      <c r="T45" s="369" t="s">
        <v>233</v>
      </c>
      <c r="U45" s="369"/>
      <c r="V45" s="369"/>
      <c r="W45" s="369"/>
      <c r="X45" s="369" t="s">
        <v>150</v>
      </c>
      <c r="Y45" s="369"/>
      <c r="Z45" s="369" t="s">
        <v>127</v>
      </c>
      <c r="AA45" s="369" t="s">
        <v>214</v>
      </c>
      <c r="AB45" s="369" t="s">
        <v>215</v>
      </c>
      <c r="AC45" s="92" t="s">
        <v>318</v>
      </c>
      <c r="AD45" s="369" t="s">
        <v>199</v>
      </c>
      <c r="AE45" s="114">
        <v>45590</v>
      </c>
      <c r="AF45" s="114"/>
      <c r="AG45" s="114">
        <v>1</v>
      </c>
      <c r="AH45" s="93">
        <v>45595</v>
      </c>
      <c r="AI45" s="264">
        <v>45536</v>
      </c>
      <c r="AJ45" s="95" t="s">
        <v>131</v>
      </c>
      <c r="AK45" s="369" t="s">
        <v>200</v>
      </c>
      <c r="AL45" s="369" t="s">
        <v>154</v>
      </c>
      <c r="AM45" s="369" t="s">
        <v>134</v>
      </c>
      <c r="AN45" s="96"/>
      <c r="AO45" s="369"/>
      <c r="AP45" s="305"/>
      <c r="AQ45" s="372"/>
      <c r="AR45" s="369"/>
      <c r="AS45" s="305"/>
      <c r="AT45" s="102">
        <v>45550</v>
      </c>
      <c r="AU45" s="97">
        <v>45532</v>
      </c>
      <c r="AV45" s="102">
        <v>45532</v>
      </c>
      <c r="AW45" s="97">
        <v>45530</v>
      </c>
      <c r="AX45" s="97"/>
      <c r="AY45" s="98"/>
      <c r="AZ45" s="98"/>
      <c r="BA45" s="98"/>
      <c r="BB45" s="100"/>
      <c r="BC45" s="65"/>
      <c r="BD45" s="63"/>
      <c r="BE45" s="367"/>
      <c r="BF45" s="367"/>
      <c r="BG45" s="368"/>
      <c r="BH45" s="64" t="e">
        <f>#REF!</f>
        <v>#REF!</v>
      </c>
      <c r="BL45" s="54"/>
    </row>
    <row r="46" spans="1:64" ht="36" customHeight="1" x14ac:dyDescent="0.3">
      <c r="A46" s="305">
        <f t="shared" si="0"/>
        <v>41</v>
      </c>
      <c r="B46" s="113" t="s">
        <v>319</v>
      </c>
      <c r="C46" s="305" t="s">
        <v>0</v>
      </c>
      <c r="D46" s="305" t="s">
        <v>262</v>
      </c>
      <c r="E46" s="91">
        <v>45595</v>
      </c>
      <c r="F46" s="97"/>
      <c r="G46" s="305"/>
      <c r="H46" s="305"/>
      <c r="I46" s="369" t="s">
        <v>20</v>
      </c>
      <c r="J46" s="90" t="s">
        <v>316</v>
      </c>
      <c r="K46" s="92" t="s">
        <v>317</v>
      </c>
      <c r="L46" s="305">
        <v>1100</v>
      </c>
      <c r="M46" s="369" t="s">
        <v>65</v>
      </c>
      <c r="N46" s="369"/>
      <c r="O46" s="369" t="s">
        <v>127</v>
      </c>
      <c r="P46" s="369"/>
      <c r="Q46" s="369"/>
      <c r="R46" s="369"/>
      <c r="S46" s="369"/>
      <c r="T46" s="369" t="s">
        <v>233</v>
      </c>
      <c r="U46" s="369"/>
      <c r="V46" s="369"/>
      <c r="W46" s="369"/>
      <c r="X46" s="369"/>
      <c r="Y46" s="369"/>
      <c r="Z46" s="369" t="s">
        <v>127</v>
      </c>
      <c r="AA46" s="369"/>
      <c r="AB46" s="369"/>
      <c r="AC46" s="92" t="s">
        <v>320</v>
      </c>
      <c r="AD46" s="369" t="s">
        <v>238</v>
      </c>
      <c r="AE46" s="114">
        <v>45590</v>
      </c>
      <c r="AF46" s="114"/>
      <c r="AG46" s="114">
        <v>1</v>
      </c>
      <c r="AH46" s="93"/>
      <c r="AI46" s="94">
        <v>9</v>
      </c>
      <c r="AJ46" s="95" t="s">
        <v>264</v>
      </c>
      <c r="AK46" s="369" t="s">
        <v>146</v>
      </c>
      <c r="AL46" s="369" t="s">
        <v>239</v>
      </c>
      <c r="AM46" s="369"/>
      <c r="AN46" s="96"/>
      <c r="AO46" s="369"/>
      <c r="AP46" s="305"/>
      <c r="AQ46" s="372"/>
      <c r="AR46" s="369"/>
      <c r="AS46" s="305"/>
      <c r="AT46" s="102">
        <v>45550</v>
      </c>
      <c r="AU46" s="97">
        <v>45531</v>
      </c>
      <c r="AV46" s="102">
        <v>45541</v>
      </c>
      <c r="AW46" s="97">
        <v>45534</v>
      </c>
      <c r="AX46" s="97"/>
      <c r="AY46" s="98"/>
      <c r="AZ46" s="98"/>
      <c r="BA46" s="98"/>
      <c r="BB46" s="100"/>
      <c r="BC46" s="65"/>
      <c r="BD46" s="63"/>
      <c r="BE46" s="67"/>
      <c r="BF46" s="367"/>
      <c r="BG46" s="368"/>
      <c r="BH46" s="64" t="e">
        <f>#REF!</f>
        <v>#REF!</v>
      </c>
      <c r="BL46" s="54"/>
    </row>
    <row r="47" spans="1:64" ht="36" customHeight="1" x14ac:dyDescent="0.3">
      <c r="A47" s="305">
        <f t="shared" si="0"/>
        <v>42</v>
      </c>
      <c r="B47" s="113" t="s">
        <v>321</v>
      </c>
      <c r="C47" s="305" t="s">
        <v>0</v>
      </c>
      <c r="D47" s="305" t="s">
        <v>322</v>
      </c>
      <c r="E47" s="91">
        <v>45595</v>
      </c>
      <c r="F47" s="97">
        <v>45601</v>
      </c>
      <c r="G47" s="91">
        <v>45618</v>
      </c>
      <c r="H47" s="305"/>
      <c r="I47" s="369" t="s">
        <v>20</v>
      </c>
      <c r="J47" s="90" t="s">
        <v>316</v>
      </c>
      <c r="K47" s="92" t="s">
        <v>317</v>
      </c>
      <c r="L47" s="305">
        <v>1100</v>
      </c>
      <c r="M47" s="369" t="s">
        <v>65</v>
      </c>
      <c r="N47" s="369"/>
      <c r="O47" s="369" t="s">
        <v>127</v>
      </c>
      <c r="P47" s="309"/>
      <c r="Q47" s="369"/>
      <c r="R47" s="369"/>
      <c r="S47" s="369"/>
      <c r="T47" s="369" t="s">
        <v>233</v>
      </c>
      <c r="U47" s="369"/>
      <c r="V47" s="369"/>
      <c r="W47" s="369"/>
      <c r="X47" s="369" t="s">
        <v>150</v>
      </c>
      <c r="Y47" s="369"/>
      <c r="Z47" s="369" t="s">
        <v>127</v>
      </c>
      <c r="AA47" s="369"/>
      <c r="AB47" s="369"/>
      <c r="AC47" s="92" t="s">
        <v>323</v>
      </c>
      <c r="AD47" s="369" t="s">
        <v>207</v>
      </c>
      <c r="AE47" s="114">
        <v>45590</v>
      </c>
      <c r="AF47" s="114"/>
      <c r="AG47" s="114">
        <v>1</v>
      </c>
      <c r="AH47" s="93">
        <v>45595</v>
      </c>
      <c r="AI47" s="264">
        <v>45536</v>
      </c>
      <c r="AJ47" s="95" t="s">
        <v>131</v>
      </c>
      <c r="AK47" s="369" t="s">
        <v>200</v>
      </c>
      <c r="AL47" s="369" t="s">
        <v>154</v>
      </c>
      <c r="AM47" s="369" t="s">
        <v>134</v>
      </c>
      <c r="AN47" s="96"/>
      <c r="AO47" s="369"/>
      <c r="AP47" s="305"/>
      <c r="AQ47" s="372"/>
      <c r="AR47" s="369"/>
      <c r="AS47" s="305"/>
      <c r="AT47" s="102">
        <v>45550</v>
      </c>
      <c r="AU47" s="97">
        <v>45532</v>
      </c>
      <c r="AV47" s="102">
        <v>45532</v>
      </c>
      <c r="AW47" s="97">
        <v>45530</v>
      </c>
      <c r="AX47" s="97"/>
      <c r="AY47" s="98"/>
      <c r="AZ47" s="98"/>
      <c r="BA47" s="98"/>
      <c r="BB47" s="100"/>
      <c r="BC47" s="65"/>
      <c r="BD47" s="63"/>
      <c r="BE47" s="67"/>
      <c r="BF47" s="367"/>
      <c r="BG47" s="368"/>
      <c r="BH47" s="64" t="e">
        <f>#REF!</f>
        <v>#REF!</v>
      </c>
      <c r="BL47" s="54"/>
    </row>
    <row r="48" spans="1:64" ht="36" customHeight="1" x14ac:dyDescent="0.3">
      <c r="A48" s="305">
        <f t="shared" si="0"/>
        <v>43</v>
      </c>
      <c r="B48" s="113" t="s">
        <v>324</v>
      </c>
      <c r="C48" s="305" t="s">
        <v>0</v>
      </c>
      <c r="D48" s="305" t="s">
        <v>325</v>
      </c>
      <c r="E48" s="108">
        <v>45595</v>
      </c>
      <c r="F48" s="97">
        <v>45601</v>
      </c>
      <c r="G48" s="108"/>
      <c r="H48" s="108"/>
      <c r="I48" s="369" t="s">
        <v>20</v>
      </c>
      <c r="J48" s="90" t="s">
        <v>316</v>
      </c>
      <c r="K48" s="92" t="s">
        <v>326</v>
      </c>
      <c r="L48" s="305">
        <v>1100</v>
      </c>
      <c r="M48" s="369" t="s">
        <v>120</v>
      </c>
      <c r="N48" s="305"/>
      <c r="O48" s="369" t="s">
        <v>127</v>
      </c>
      <c r="P48" s="309"/>
      <c r="Q48" s="369"/>
      <c r="R48" s="369"/>
      <c r="S48" s="369"/>
      <c r="T48" s="305" t="s">
        <v>233</v>
      </c>
      <c r="U48" s="305"/>
      <c r="V48" s="305"/>
      <c r="W48" s="305"/>
      <c r="X48" s="305" t="s">
        <v>150</v>
      </c>
      <c r="Y48" s="305"/>
      <c r="Z48" s="369" t="s">
        <v>127</v>
      </c>
      <c r="AA48" s="369" t="s">
        <v>214</v>
      </c>
      <c r="AB48" s="305" t="s">
        <v>215</v>
      </c>
      <c r="AC48" s="92" t="s">
        <v>327</v>
      </c>
      <c r="AD48" s="369" t="s">
        <v>199</v>
      </c>
      <c r="AE48" s="114">
        <v>45590</v>
      </c>
      <c r="AF48" s="114"/>
      <c r="AG48" s="114">
        <v>1</v>
      </c>
      <c r="AH48" s="93">
        <v>45595</v>
      </c>
      <c r="AI48" s="264">
        <v>45536</v>
      </c>
      <c r="AJ48" s="95" t="s">
        <v>131</v>
      </c>
      <c r="AK48" s="369" t="s">
        <v>200</v>
      </c>
      <c r="AL48" s="369" t="s">
        <v>154</v>
      </c>
      <c r="AM48" s="369" t="s">
        <v>134</v>
      </c>
      <c r="AN48" s="96"/>
      <c r="AO48" s="369"/>
      <c r="AP48" s="305"/>
      <c r="AQ48" s="372"/>
      <c r="AR48" s="369"/>
      <c r="AS48" s="305"/>
      <c r="AT48" s="102">
        <v>45550</v>
      </c>
      <c r="AU48" s="97">
        <v>45532</v>
      </c>
      <c r="AV48" s="102">
        <v>45532</v>
      </c>
      <c r="AW48" s="97">
        <v>45530</v>
      </c>
      <c r="AX48" s="97"/>
      <c r="AY48" s="98"/>
      <c r="AZ48" s="98"/>
      <c r="BA48" s="98"/>
      <c r="BB48" s="100"/>
      <c r="BC48" s="65"/>
      <c r="BD48" s="63"/>
      <c r="BE48" s="367"/>
      <c r="BF48" s="367"/>
      <c r="BG48" s="368"/>
      <c r="BH48" s="64" t="e">
        <f>#REF!</f>
        <v>#REF!</v>
      </c>
      <c r="BL48" s="54"/>
    </row>
    <row r="49" spans="1:64" ht="36" customHeight="1" x14ac:dyDescent="0.3">
      <c r="A49" s="305">
        <f t="shared" si="0"/>
        <v>44</v>
      </c>
      <c r="B49" s="113" t="s">
        <v>328</v>
      </c>
      <c r="C49" s="305" t="s">
        <v>0</v>
      </c>
      <c r="D49" s="305" t="s">
        <v>262</v>
      </c>
      <c r="E49" s="91">
        <v>45595</v>
      </c>
      <c r="F49" s="97">
        <v>1</v>
      </c>
      <c r="G49" s="305"/>
      <c r="H49" s="305"/>
      <c r="I49" s="369" t="s">
        <v>20</v>
      </c>
      <c r="J49" s="90" t="s">
        <v>316</v>
      </c>
      <c r="K49" s="92" t="s">
        <v>326</v>
      </c>
      <c r="L49" s="305">
        <v>1100</v>
      </c>
      <c r="M49" s="369" t="s">
        <v>120</v>
      </c>
      <c r="N49" s="369"/>
      <c r="O49" s="369" t="s">
        <v>127</v>
      </c>
      <c r="P49" s="309"/>
      <c r="Q49" s="369"/>
      <c r="R49" s="369"/>
      <c r="S49" s="369"/>
      <c r="T49" s="369" t="s">
        <v>233</v>
      </c>
      <c r="U49" s="369"/>
      <c r="V49" s="369"/>
      <c r="W49" s="369"/>
      <c r="X49" s="369"/>
      <c r="Y49" s="369"/>
      <c r="Z49" s="369" t="s">
        <v>127</v>
      </c>
      <c r="AA49" s="369"/>
      <c r="AB49" s="369"/>
      <c r="AC49" s="92" t="s">
        <v>329</v>
      </c>
      <c r="AD49" s="369" t="s">
        <v>238</v>
      </c>
      <c r="AE49" s="114">
        <v>45590</v>
      </c>
      <c r="AF49" s="114"/>
      <c r="AG49" s="114">
        <v>1</v>
      </c>
      <c r="AH49" s="93">
        <v>45595</v>
      </c>
      <c r="AI49" s="264">
        <v>45536</v>
      </c>
      <c r="AJ49" s="95" t="s">
        <v>330</v>
      </c>
      <c r="AK49" s="369" t="s">
        <v>146</v>
      </c>
      <c r="AL49" s="369" t="s">
        <v>239</v>
      </c>
      <c r="AM49" s="369" t="s">
        <v>134</v>
      </c>
      <c r="AN49" s="96"/>
      <c r="AO49" s="369"/>
      <c r="AP49" s="305"/>
      <c r="AQ49" s="372"/>
      <c r="AR49" s="369"/>
      <c r="AS49" s="305"/>
      <c r="AT49" s="102">
        <v>45550</v>
      </c>
      <c r="AU49" s="97">
        <v>45531</v>
      </c>
      <c r="AV49" s="102">
        <v>45541</v>
      </c>
      <c r="AW49" s="97">
        <v>45534</v>
      </c>
      <c r="AX49" s="97"/>
      <c r="AY49" s="98"/>
      <c r="AZ49" s="98"/>
      <c r="BA49" s="98"/>
      <c r="BB49" s="100"/>
      <c r="BC49" s="65"/>
      <c r="BD49" s="63"/>
      <c r="BE49" s="67"/>
      <c r="BF49" s="367"/>
      <c r="BG49" s="368"/>
      <c r="BH49" s="64" t="e">
        <f>#REF!</f>
        <v>#REF!</v>
      </c>
      <c r="BL49" s="54"/>
    </row>
    <row r="50" spans="1:64" ht="36" customHeight="1" x14ac:dyDescent="0.3">
      <c r="A50" s="305">
        <f t="shared" si="0"/>
        <v>45</v>
      </c>
      <c r="B50" s="113" t="s">
        <v>331</v>
      </c>
      <c r="C50" s="305" t="s">
        <v>0</v>
      </c>
      <c r="D50" s="305" t="s">
        <v>332</v>
      </c>
      <c r="E50" s="108">
        <v>45595</v>
      </c>
      <c r="F50" s="97">
        <v>45601</v>
      </c>
      <c r="G50" s="108"/>
      <c r="H50" s="108"/>
      <c r="I50" s="369" t="s">
        <v>20</v>
      </c>
      <c r="J50" s="90" t="s">
        <v>316</v>
      </c>
      <c r="K50" s="92" t="s">
        <v>326</v>
      </c>
      <c r="L50" s="305">
        <v>1100</v>
      </c>
      <c r="M50" s="369" t="s">
        <v>120</v>
      </c>
      <c r="N50" s="305"/>
      <c r="O50" s="369" t="s">
        <v>127</v>
      </c>
      <c r="P50" s="309"/>
      <c r="Q50" s="369"/>
      <c r="R50" s="369"/>
      <c r="S50" s="369"/>
      <c r="T50" s="305" t="s">
        <v>233</v>
      </c>
      <c r="U50" s="305"/>
      <c r="V50" s="305"/>
      <c r="W50" s="305"/>
      <c r="X50" s="305" t="s">
        <v>150</v>
      </c>
      <c r="Y50" s="305"/>
      <c r="Z50" s="369" t="s">
        <v>127</v>
      </c>
      <c r="AA50" s="369"/>
      <c r="AB50" s="305"/>
      <c r="AC50" s="92" t="s">
        <v>333</v>
      </c>
      <c r="AD50" s="369" t="s">
        <v>207</v>
      </c>
      <c r="AE50" s="114">
        <v>45590</v>
      </c>
      <c r="AF50" s="114"/>
      <c r="AG50" s="114">
        <v>1</v>
      </c>
      <c r="AH50" s="93">
        <v>45595</v>
      </c>
      <c r="AI50" s="264">
        <v>45536</v>
      </c>
      <c r="AJ50" s="95" t="s">
        <v>131</v>
      </c>
      <c r="AK50" s="369" t="s">
        <v>200</v>
      </c>
      <c r="AL50" s="369" t="s">
        <v>154</v>
      </c>
      <c r="AM50" s="369" t="s">
        <v>134</v>
      </c>
      <c r="AN50" s="96"/>
      <c r="AO50" s="369"/>
      <c r="AP50" s="305"/>
      <c r="AQ50" s="372"/>
      <c r="AR50" s="369"/>
      <c r="AS50" s="305"/>
      <c r="AT50" s="96">
        <v>45550</v>
      </c>
      <c r="AU50" s="97">
        <v>45532</v>
      </c>
      <c r="AV50" s="102">
        <v>45532</v>
      </c>
      <c r="AW50" s="97">
        <v>45530</v>
      </c>
      <c r="AX50" s="97"/>
      <c r="AY50" s="98"/>
      <c r="AZ50" s="98"/>
      <c r="BA50" s="98"/>
      <c r="BB50" s="100"/>
      <c r="BC50" s="65"/>
      <c r="BD50" s="63"/>
      <c r="BE50" s="367"/>
      <c r="BF50" s="367"/>
      <c r="BG50" s="368"/>
      <c r="BH50" s="64" t="e">
        <f>#REF!</f>
        <v>#REF!</v>
      </c>
      <c r="BL50" s="54"/>
    </row>
    <row r="51" spans="1:64" ht="36" customHeight="1" x14ac:dyDescent="0.3">
      <c r="A51" s="305">
        <f t="shared" si="0"/>
        <v>46</v>
      </c>
      <c r="B51" s="90" t="s">
        <v>334</v>
      </c>
      <c r="C51" s="305" t="s">
        <v>0</v>
      </c>
      <c r="D51" s="305" t="s">
        <v>310</v>
      </c>
      <c r="E51" s="91">
        <v>45499</v>
      </c>
      <c r="F51" s="97"/>
      <c r="G51" s="91"/>
      <c r="H51" s="91"/>
      <c r="I51" s="369" t="s">
        <v>20</v>
      </c>
      <c r="J51" s="90" t="s">
        <v>311</v>
      </c>
      <c r="K51" s="92" t="s">
        <v>335</v>
      </c>
      <c r="L51" s="305">
        <v>1100</v>
      </c>
      <c r="M51" s="369" t="s">
        <v>120</v>
      </c>
      <c r="N51" s="369"/>
      <c r="O51" s="369" t="s">
        <v>127</v>
      </c>
      <c r="P51" s="309"/>
      <c r="Q51" s="369"/>
      <c r="R51" s="369"/>
      <c r="S51" s="369"/>
      <c r="T51" s="369" t="s">
        <v>225</v>
      </c>
      <c r="U51" s="369"/>
      <c r="V51" s="369"/>
      <c r="W51" s="369"/>
      <c r="X51" s="305" t="s">
        <v>150</v>
      </c>
      <c r="Y51" s="369"/>
      <c r="Z51" s="369" t="s">
        <v>127</v>
      </c>
      <c r="AA51" s="369"/>
      <c r="AB51" s="369"/>
      <c r="AC51" s="92" t="s">
        <v>336</v>
      </c>
      <c r="AD51" s="369" t="s">
        <v>199</v>
      </c>
      <c r="AE51" s="114"/>
      <c r="AF51" s="114"/>
      <c r="AG51" s="114">
        <v>45473</v>
      </c>
      <c r="AH51" s="93">
        <v>45519</v>
      </c>
      <c r="AI51" s="264">
        <v>45505</v>
      </c>
      <c r="AJ51" s="95" t="s">
        <v>131</v>
      </c>
      <c r="AK51" s="369" t="s">
        <v>200</v>
      </c>
      <c r="AL51" s="369" t="s">
        <v>154</v>
      </c>
      <c r="AM51" s="369" t="s">
        <v>134</v>
      </c>
      <c r="AN51" s="91"/>
      <c r="AO51" s="305"/>
      <c r="AP51" s="305"/>
      <c r="AQ51" s="289"/>
      <c r="AR51" s="305"/>
      <c r="AS51" s="305"/>
      <c r="AT51" s="96">
        <v>45483</v>
      </c>
      <c r="AU51" s="97">
        <v>45455</v>
      </c>
      <c r="AV51" s="97">
        <v>45455</v>
      </c>
      <c r="AW51" s="97">
        <v>45428</v>
      </c>
      <c r="AX51" s="97"/>
      <c r="AY51" s="98"/>
      <c r="AZ51" s="98"/>
      <c r="BA51" s="98"/>
      <c r="BB51" s="100"/>
      <c r="BC51" s="65"/>
      <c r="BD51" s="63"/>
      <c r="BE51" s="367"/>
      <c r="BF51" s="367"/>
      <c r="BG51" s="368"/>
      <c r="BH51" s="64" t="e">
        <f>#REF!</f>
        <v>#REF!</v>
      </c>
      <c r="BL51" s="54"/>
    </row>
    <row r="52" spans="1:64" ht="45" customHeight="1" x14ac:dyDescent="0.3">
      <c r="A52" s="305">
        <f t="shared" si="0"/>
        <v>47</v>
      </c>
      <c r="B52" s="90" t="s">
        <v>337</v>
      </c>
      <c r="C52" s="305" t="s">
        <v>0</v>
      </c>
      <c r="D52" s="305" t="s">
        <v>310</v>
      </c>
      <c r="E52" s="91">
        <v>45498</v>
      </c>
      <c r="F52" s="97"/>
      <c r="G52" s="91"/>
      <c r="H52" s="91"/>
      <c r="I52" s="369" t="s">
        <v>20</v>
      </c>
      <c r="J52" s="90" t="s">
        <v>311</v>
      </c>
      <c r="K52" s="92" t="s">
        <v>335</v>
      </c>
      <c r="L52" s="305">
        <v>1100</v>
      </c>
      <c r="M52" s="369" t="s">
        <v>120</v>
      </c>
      <c r="N52" s="369"/>
      <c r="O52" s="369" t="s">
        <v>127</v>
      </c>
      <c r="P52" s="309"/>
      <c r="Q52" s="369"/>
      <c r="R52" s="369"/>
      <c r="S52" s="369"/>
      <c r="T52" s="369" t="s">
        <v>225</v>
      </c>
      <c r="U52" s="369"/>
      <c r="V52" s="369"/>
      <c r="W52" s="369"/>
      <c r="X52" s="305" t="s">
        <v>150</v>
      </c>
      <c r="Y52" s="369" t="s">
        <v>127</v>
      </c>
      <c r="Z52" s="369"/>
      <c r="AA52" s="369"/>
      <c r="AB52" s="369"/>
      <c r="AC52" s="92" t="s">
        <v>338</v>
      </c>
      <c r="AD52" s="369" t="s">
        <v>152</v>
      </c>
      <c r="AE52" s="180"/>
      <c r="AF52" s="180"/>
      <c r="AG52" s="180">
        <v>45473</v>
      </c>
      <c r="AH52" s="93">
        <v>45498</v>
      </c>
      <c r="AI52" s="264">
        <v>45505</v>
      </c>
      <c r="AJ52" s="95" t="s">
        <v>131</v>
      </c>
      <c r="AK52" s="369" t="s">
        <v>200</v>
      </c>
      <c r="AL52" s="369" t="s">
        <v>183</v>
      </c>
      <c r="AM52" s="369" t="s">
        <v>134</v>
      </c>
      <c r="AN52" s="96"/>
      <c r="AO52" s="369"/>
      <c r="AP52" s="305"/>
      <c r="AQ52" s="372"/>
      <c r="AR52" s="369"/>
      <c r="AS52" s="305"/>
      <c r="AT52" s="96">
        <v>45463</v>
      </c>
      <c r="AU52" s="97">
        <v>45442</v>
      </c>
      <c r="AV52" s="97">
        <v>45442</v>
      </c>
      <c r="AW52" s="97">
        <v>45428</v>
      </c>
      <c r="AX52" s="97"/>
      <c r="AY52" s="98"/>
      <c r="AZ52" s="98"/>
      <c r="BA52" s="98"/>
      <c r="BB52" s="92"/>
      <c r="BC52" s="47"/>
      <c r="BD52" s="63"/>
      <c r="BE52" s="367"/>
      <c r="BF52" s="367"/>
      <c r="BG52" s="368"/>
      <c r="BH52" s="64" t="e">
        <f>#REF!</f>
        <v>#REF!</v>
      </c>
      <c r="BL52" s="54"/>
    </row>
    <row r="53" spans="1:64" ht="36.6" customHeight="1" x14ac:dyDescent="0.3">
      <c r="A53" s="305">
        <f t="shared" si="0"/>
        <v>48</v>
      </c>
      <c r="B53" s="90" t="s">
        <v>339</v>
      </c>
      <c r="C53" s="305" t="s">
        <v>0</v>
      </c>
      <c r="D53" s="305" t="s">
        <v>262</v>
      </c>
      <c r="E53" s="91"/>
      <c r="F53" s="97"/>
      <c r="G53" s="91"/>
      <c r="H53" s="91"/>
      <c r="I53" s="369" t="s">
        <v>20</v>
      </c>
      <c r="J53" s="90"/>
      <c r="K53" s="92" t="s">
        <v>340</v>
      </c>
      <c r="L53" s="305">
        <v>1100</v>
      </c>
      <c r="M53" s="369" t="s">
        <v>120</v>
      </c>
      <c r="N53" s="369"/>
      <c r="O53" s="369" t="s">
        <v>127</v>
      </c>
      <c r="P53" s="369"/>
      <c r="Q53" s="369"/>
      <c r="R53" s="369"/>
      <c r="S53" s="369"/>
      <c r="T53" s="369" t="s">
        <v>225</v>
      </c>
      <c r="U53" s="369"/>
      <c r="V53" s="369"/>
      <c r="W53" s="369"/>
      <c r="X53" s="305" t="s">
        <v>150</v>
      </c>
      <c r="Y53" s="369" t="s">
        <v>127</v>
      </c>
      <c r="Z53" s="369"/>
      <c r="AA53" s="369" t="s">
        <v>214</v>
      </c>
      <c r="AB53" s="369" t="s">
        <v>215</v>
      </c>
      <c r="AC53" s="92" t="s">
        <v>341</v>
      </c>
      <c r="AD53" s="369" t="s">
        <v>284</v>
      </c>
      <c r="AE53" s="180"/>
      <c r="AF53" s="180"/>
      <c r="AG53" s="180"/>
      <c r="AH53" s="180"/>
      <c r="AI53" s="94">
        <v>0</v>
      </c>
      <c r="AJ53" s="95" t="s">
        <v>264</v>
      </c>
      <c r="AK53" s="369" t="s">
        <v>200</v>
      </c>
      <c r="AL53" s="369" t="s">
        <v>183</v>
      </c>
      <c r="AM53" s="369"/>
      <c r="AN53" s="96"/>
      <c r="AO53" s="369"/>
      <c r="AP53" s="305"/>
      <c r="AQ53" s="372"/>
      <c r="AR53" s="369"/>
      <c r="AS53" s="305"/>
      <c r="AT53" s="96">
        <v>45580</v>
      </c>
      <c r="AU53" s="103">
        <v>45558</v>
      </c>
      <c r="AV53" s="97">
        <v>45558</v>
      </c>
      <c r="AW53" s="97">
        <v>45530</v>
      </c>
      <c r="AX53" s="97"/>
      <c r="AY53" s="98"/>
      <c r="AZ53" s="98"/>
      <c r="BA53" s="98"/>
      <c r="BB53" s="92" t="s">
        <v>342</v>
      </c>
      <c r="BC53" s="47"/>
      <c r="BD53" s="63"/>
      <c r="BE53" s="367"/>
      <c r="BF53" s="367"/>
      <c r="BG53" s="368"/>
      <c r="BH53" s="64" t="e">
        <f>#REF!</f>
        <v>#REF!</v>
      </c>
      <c r="BL53" s="54"/>
    </row>
    <row r="54" spans="1:64" ht="36" customHeight="1" x14ac:dyDescent="0.3">
      <c r="A54" s="305">
        <f t="shared" si="0"/>
        <v>49</v>
      </c>
      <c r="B54" s="90" t="s">
        <v>343</v>
      </c>
      <c r="C54" s="305" t="s">
        <v>0</v>
      </c>
      <c r="D54" s="305" t="s">
        <v>344</v>
      </c>
      <c r="E54" s="91">
        <v>45625</v>
      </c>
      <c r="F54" s="97">
        <v>45643</v>
      </c>
      <c r="G54" s="91">
        <v>45644</v>
      </c>
      <c r="H54" s="91"/>
      <c r="I54" s="369" t="s">
        <v>20</v>
      </c>
      <c r="J54" s="90"/>
      <c r="K54" s="92" t="s">
        <v>340</v>
      </c>
      <c r="L54" s="305">
        <v>1100</v>
      </c>
      <c r="M54" s="369" t="s">
        <v>65</v>
      </c>
      <c r="N54" s="369"/>
      <c r="O54" s="369" t="s">
        <v>127</v>
      </c>
      <c r="P54" s="309"/>
      <c r="Q54" s="369"/>
      <c r="R54" s="369"/>
      <c r="S54" s="369"/>
      <c r="T54" s="369" t="s">
        <v>225</v>
      </c>
      <c r="U54" s="369"/>
      <c r="V54" s="369"/>
      <c r="W54" s="369"/>
      <c r="X54" s="369" t="s">
        <v>269</v>
      </c>
      <c r="Y54" s="369" t="s">
        <v>127</v>
      </c>
      <c r="Z54" s="369"/>
      <c r="AA54" s="369"/>
      <c r="AB54" s="369"/>
      <c r="AC54" s="92" t="s">
        <v>345</v>
      </c>
      <c r="AD54" s="369" t="s">
        <v>272</v>
      </c>
      <c r="AE54" s="180">
        <v>45621</v>
      </c>
      <c r="AF54" s="180"/>
      <c r="AG54" s="180"/>
      <c r="AH54" s="180">
        <v>45626</v>
      </c>
      <c r="AI54" s="264">
        <v>45597</v>
      </c>
      <c r="AJ54" s="95" t="s">
        <v>131</v>
      </c>
      <c r="AK54" s="369" t="s">
        <v>273</v>
      </c>
      <c r="AL54" s="369" t="s">
        <v>239</v>
      </c>
      <c r="AM54" s="369" t="s">
        <v>134</v>
      </c>
      <c r="AN54" s="96"/>
      <c r="AO54" s="369"/>
      <c r="AP54" s="305"/>
      <c r="AQ54" s="372"/>
      <c r="AR54" s="369"/>
      <c r="AS54" s="305"/>
      <c r="AT54" s="102">
        <v>45555</v>
      </c>
      <c r="AU54" s="97"/>
      <c r="AV54" s="97"/>
      <c r="AW54" s="97">
        <v>45534</v>
      </c>
      <c r="AX54" s="97"/>
      <c r="AY54" s="98"/>
      <c r="AZ54" s="98"/>
      <c r="BA54" s="98"/>
      <c r="BB54" s="92" t="s">
        <v>346</v>
      </c>
      <c r="BC54" s="47"/>
      <c r="BD54" s="63"/>
      <c r="BE54" s="367"/>
      <c r="BF54" s="367"/>
      <c r="BG54" s="368"/>
      <c r="BH54" s="64" t="e">
        <f>#REF!</f>
        <v>#REF!</v>
      </c>
      <c r="BL54" s="54"/>
    </row>
    <row r="55" spans="1:64" ht="36" customHeight="1" x14ac:dyDescent="0.3">
      <c r="A55" s="305">
        <f t="shared" si="0"/>
        <v>50</v>
      </c>
      <c r="B55" s="113" t="s">
        <v>347</v>
      </c>
      <c r="C55" s="305" t="s">
        <v>0</v>
      </c>
      <c r="D55" s="305" t="s">
        <v>348</v>
      </c>
      <c r="E55" s="91">
        <v>45625</v>
      </c>
      <c r="F55" s="97">
        <v>45630</v>
      </c>
      <c r="G55" s="91"/>
      <c r="H55" s="91"/>
      <c r="I55" s="369" t="s">
        <v>20</v>
      </c>
      <c r="J55" s="90"/>
      <c r="K55" s="92" t="s">
        <v>349</v>
      </c>
      <c r="L55" s="305">
        <v>1100</v>
      </c>
      <c r="M55" s="369" t="s">
        <v>120</v>
      </c>
      <c r="N55" s="369"/>
      <c r="O55" s="369" t="s">
        <v>127</v>
      </c>
      <c r="P55" s="309"/>
      <c r="Q55" s="369"/>
      <c r="R55" s="369"/>
      <c r="S55" s="369"/>
      <c r="T55" s="369" t="s">
        <v>233</v>
      </c>
      <c r="U55" s="369"/>
      <c r="V55" s="369"/>
      <c r="W55" s="369"/>
      <c r="X55" s="369" t="s">
        <v>350</v>
      </c>
      <c r="Y55" s="369"/>
      <c r="Z55" s="369" t="s">
        <v>127</v>
      </c>
      <c r="AA55" s="369"/>
      <c r="AB55" s="369"/>
      <c r="AC55" s="92" t="s">
        <v>351</v>
      </c>
      <c r="AD55" s="369" t="s">
        <v>352</v>
      </c>
      <c r="AE55" s="180">
        <v>45621</v>
      </c>
      <c r="AF55" s="180"/>
      <c r="AG55" s="180">
        <v>45590</v>
      </c>
      <c r="AH55" s="180">
        <v>45626</v>
      </c>
      <c r="AI55" s="264">
        <v>45566</v>
      </c>
      <c r="AJ55" s="95" t="s">
        <v>131</v>
      </c>
      <c r="AK55" s="369" t="s">
        <v>273</v>
      </c>
      <c r="AL55" s="369" t="s">
        <v>162</v>
      </c>
      <c r="AM55" s="369" t="s">
        <v>134</v>
      </c>
      <c r="AN55" s="96"/>
      <c r="AO55" s="369"/>
      <c r="AP55" s="305"/>
      <c r="AQ55" s="372"/>
      <c r="AR55" s="369"/>
      <c r="AS55" s="305"/>
      <c r="AT55" s="102">
        <v>45580</v>
      </c>
      <c r="AU55" s="97">
        <v>45551</v>
      </c>
      <c r="AV55" s="97">
        <v>45554</v>
      </c>
      <c r="AW55" s="97">
        <v>45534</v>
      </c>
      <c r="AX55" s="97"/>
      <c r="AY55" s="98"/>
      <c r="AZ55" s="98"/>
      <c r="BA55" s="98"/>
      <c r="BB55" s="92"/>
      <c r="BC55" s="47"/>
      <c r="BD55" s="63"/>
      <c r="BE55" s="367"/>
      <c r="BF55" s="367"/>
      <c r="BG55" s="368"/>
      <c r="BH55" s="64" t="e">
        <f>#REF!</f>
        <v>#REF!</v>
      </c>
      <c r="BL55" s="54"/>
    </row>
    <row r="56" spans="1:64" ht="36" customHeight="1" x14ac:dyDescent="0.3">
      <c r="A56" s="305">
        <f t="shared" si="0"/>
        <v>51</v>
      </c>
      <c r="B56" s="113" t="s">
        <v>353</v>
      </c>
      <c r="C56" s="305" t="s">
        <v>0</v>
      </c>
      <c r="D56" s="305" t="s">
        <v>348</v>
      </c>
      <c r="E56" s="91">
        <v>45595</v>
      </c>
      <c r="F56" s="97"/>
      <c r="G56" s="91"/>
      <c r="H56" s="91"/>
      <c r="I56" s="369" t="s">
        <v>20</v>
      </c>
      <c r="J56" s="90"/>
      <c r="K56" s="92" t="s">
        <v>349</v>
      </c>
      <c r="L56" s="305">
        <v>1100</v>
      </c>
      <c r="M56" s="369" t="s">
        <v>120</v>
      </c>
      <c r="N56" s="369"/>
      <c r="O56" s="369" t="s">
        <v>127</v>
      </c>
      <c r="P56" s="309"/>
      <c r="Q56" s="369"/>
      <c r="R56" s="369"/>
      <c r="S56" s="369"/>
      <c r="T56" s="369" t="s">
        <v>233</v>
      </c>
      <c r="U56" s="369"/>
      <c r="V56" s="369"/>
      <c r="W56" s="369"/>
      <c r="X56" s="369"/>
      <c r="Y56" s="369"/>
      <c r="Z56" s="369" t="s">
        <v>127</v>
      </c>
      <c r="AA56" s="369"/>
      <c r="AB56" s="369"/>
      <c r="AC56" s="92" t="s">
        <v>354</v>
      </c>
      <c r="AD56" s="369" t="s">
        <v>238</v>
      </c>
      <c r="AE56" s="180">
        <v>45590</v>
      </c>
      <c r="AF56" s="180"/>
      <c r="AG56" s="180"/>
      <c r="AH56" s="180">
        <v>45595</v>
      </c>
      <c r="AI56" s="264">
        <v>45536</v>
      </c>
      <c r="AJ56" s="95" t="s">
        <v>131</v>
      </c>
      <c r="AK56" s="369" t="s">
        <v>146</v>
      </c>
      <c r="AL56" s="369" t="s">
        <v>239</v>
      </c>
      <c r="AM56" s="369" t="s">
        <v>134</v>
      </c>
      <c r="AN56" s="96"/>
      <c r="AO56" s="369"/>
      <c r="AP56" s="305"/>
      <c r="AQ56" s="372"/>
      <c r="AR56" s="369"/>
      <c r="AS56" s="305"/>
      <c r="AT56" s="102">
        <v>45550</v>
      </c>
      <c r="AU56" s="97">
        <v>45531</v>
      </c>
      <c r="AV56" s="97">
        <v>45541</v>
      </c>
      <c r="AW56" s="97">
        <v>45534</v>
      </c>
      <c r="AX56" s="97"/>
      <c r="AY56" s="98"/>
      <c r="AZ56" s="98"/>
      <c r="BA56" s="98"/>
      <c r="BB56" s="92"/>
      <c r="BC56" s="47"/>
      <c r="BD56" s="63"/>
      <c r="BE56" s="367"/>
      <c r="BF56" s="367"/>
      <c r="BG56" s="368"/>
      <c r="BH56" s="64" t="e">
        <f>#REF!</f>
        <v>#REF!</v>
      </c>
      <c r="BL56" s="54"/>
    </row>
    <row r="57" spans="1:64" ht="36" customHeight="1" x14ac:dyDescent="0.3">
      <c r="A57" s="305">
        <f t="shared" si="0"/>
        <v>52</v>
      </c>
      <c r="B57" s="113" t="s">
        <v>355</v>
      </c>
      <c r="C57" s="305" t="s">
        <v>0</v>
      </c>
      <c r="D57" s="305" t="s">
        <v>348</v>
      </c>
      <c r="E57" s="91">
        <v>45625</v>
      </c>
      <c r="F57" s="97">
        <v>45630</v>
      </c>
      <c r="G57" s="91"/>
      <c r="H57" s="91"/>
      <c r="I57" s="369" t="s">
        <v>20</v>
      </c>
      <c r="J57" s="90"/>
      <c r="K57" s="92" t="s">
        <v>349</v>
      </c>
      <c r="L57" s="305">
        <v>1100</v>
      </c>
      <c r="M57" s="369" t="s">
        <v>120</v>
      </c>
      <c r="N57" s="369"/>
      <c r="O57" s="369" t="s">
        <v>127</v>
      </c>
      <c r="P57" s="309"/>
      <c r="Q57" s="369"/>
      <c r="R57" s="369"/>
      <c r="S57" s="369"/>
      <c r="T57" s="369" t="s">
        <v>233</v>
      </c>
      <c r="U57" s="369"/>
      <c r="V57" s="369"/>
      <c r="W57" s="369"/>
      <c r="X57" s="369" t="s">
        <v>350</v>
      </c>
      <c r="Y57" s="369"/>
      <c r="Z57" s="369" t="s">
        <v>127</v>
      </c>
      <c r="AA57" s="369"/>
      <c r="AB57" s="369"/>
      <c r="AC57" s="92" t="s">
        <v>356</v>
      </c>
      <c r="AD57" s="369" t="s">
        <v>357</v>
      </c>
      <c r="AE57" s="114">
        <v>45621</v>
      </c>
      <c r="AF57" s="114"/>
      <c r="AG57" s="114">
        <v>45590</v>
      </c>
      <c r="AH57" s="114">
        <v>45626</v>
      </c>
      <c r="AI57" s="264">
        <v>45566</v>
      </c>
      <c r="AJ57" s="95" t="s">
        <v>131</v>
      </c>
      <c r="AK57" s="369" t="s">
        <v>273</v>
      </c>
      <c r="AL57" s="369" t="s">
        <v>162</v>
      </c>
      <c r="AM57" s="369" t="s">
        <v>134</v>
      </c>
      <c r="AN57" s="96"/>
      <c r="AO57" s="369"/>
      <c r="AP57" s="305"/>
      <c r="AQ57" s="372"/>
      <c r="AR57" s="369"/>
      <c r="AS57" s="305"/>
      <c r="AT57" s="102">
        <v>45580</v>
      </c>
      <c r="AU57" s="97">
        <v>45551</v>
      </c>
      <c r="AV57" s="97">
        <v>45554</v>
      </c>
      <c r="AW57" s="97">
        <v>45534</v>
      </c>
      <c r="AX57" s="97"/>
      <c r="AY57" s="98"/>
      <c r="AZ57" s="98"/>
      <c r="BA57" s="98"/>
      <c r="BB57" s="92"/>
      <c r="BC57" s="47"/>
      <c r="BD57" s="63"/>
      <c r="BE57" s="367"/>
      <c r="BF57" s="367"/>
      <c r="BG57" s="368"/>
      <c r="BH57" s="64" t="e">
        <f>#REF!</f>
        <v>#REF!</v>
      </c>
      <c r="BL57" s="54"/>
    </row>
    <row r="58" spans="1:64" ht="45" customHeight="1" x14ac:dyDescent="0.3">
      <c r="A58" s="305">
        <f t="shared" si="0"/>
        <v>53</v>
      </c>
      <c r="B58" s="90" t="s">
        <v>358</v>
      </c>
      <c r="C58" s="305" t="s">
        <v>0</v>
      </c>
      <c r="D58" s="305" t="s">
        <v>262</v>
      </c>
      <c r="E58" s="91"/>
      <c r="F58" s="97"/>
      <c r="G58" s="91"/>
      <c r="H58" s="91"/>
      <c r="I58" s="369" t="s">
        <v>20</v>
      </c>
      <c r="J58" s="92" t="s">
        <v>359</v>
      </c>
      <c r="K58" s="92" t="s">
        <v>360</v>
      </c>
      <c r="L58" s="305">
        <v>1100</v>
      </c>
      <c r="M58" s="369" t="s">
        <v>120</v>
      </c>
      <c r="N58" s="111"/>
      <c r="O58" s="369"/>
      <c r="P58" s="369"/>
      <c r="Q58" s="369"/>
      <c r="R58" s="369"/>
      <c r="S58" s="369"/>
      <c r="T58" s="369"/>
      <c r="U58" s="369"/>
      <c r="V58" s="369"/>
      <c r="W58" s="369"/>
      <c r="X58" s="369" t="s">
        <v>361</v>
      </c>
      <c r="Y58" s="369"/>
      <c r="Z58" s="369"/>
      <c r="AA58" s="369"/>
      <c r="AB58" s="369"/>
      <c r="AC58" s="92" t="s">
        <v>362</v>
      </c>
      <c r="AD58" s="369" t="s">
        <v>363</v>
      </c>
      <c r="AE58" s="114"/>
      <c r="AF58" s="114"/>
      <c r="AG58" s="114"/>
      <c r="AH58" s="93"/>
      <c r="AI58" s="94">
        <v>0</v>
      </c>
      <c r="AJ58" s="95" t="s">
        <v>264</v>
      </c>
      <c r="AK58" s="369" t="s">
        <v>161</v>
      </c>
      <c r="AL58" s="369" t="s">
        <v>147</v>
      </c>
      <c r="AM58" s="369"/>
      <c r="AN58" s="96"/>
      <c r="AO58" s="369"/>
      <c r="AP58" s="305"/>
      <c r="AQ58" s="372"/>
      <c r="AR58" s="369"/>
      <c r="AS58" s="305"/>
      <c r="AT58" s="96"/>
      <c r="AU58" s="97"/>
      <c r="AV58" s="97"/>
      <c r="AW58" s="97"/>
      <c r="AX58" s="97"/>
      <c r="AY58" s="98"/>
      <c r="AZ58" s="98"/>
      <c r="BA58" s="98"/>
      <c r="BB58" s="92"/>
      <c r="BC58" s="47"/>
      <c r="BD58" s="63"/>
      <c r="BE58" s="367"/>
      <c r="BF58" s="367"/>
      <c r="BG58" s="368"/>
      <c r="BH58" s="64" t="e">
        <f>#REF!</f>
        <v>#REF!</v>
      </c>
      <c r="BL58" s="54"/>
    </row>
    <row r="59" spans="1:64" ht="45" customHeight="1" x14ac:dyDescent="0.3">
      <c r="A59" s="305">
        <f t="shared" si="0"/>
        <v>54</v>
      </c>
      <c r="B59" s="90" t="s">
        <v>364</v>
      </c>
      <c r="C59" s="305" t="s">
        <v>0</v>
      </c>
      <c r="D59" s="305" t="s">
        <v>262</v>
      </c>
      <c r="E59" s="91"/>
      <c r="F59" s="97"/>
      <c r="G59" s="91"/>
      <c r="H59" s="91"/>
      <c r="I59" s="369" t="s">
        <v>20</v>
      </c>
      <c r="J59" s="92" t="s">
        <v>365</v>
      </c>
      <c r="K59" s="92" t="s">
        <v>360</v>
      </c>
      <c r="L59" s="305">
        <v>1100</v>
      </c>
      <c r="M59" s="369" t="s">
        <v>120</v>
      </c>
      <c r="N59" s="111"/>
      <c r="O59" s="369"/>
      <c r="P59" s="369"/>
      <c r="Q59" s="369"/>
      <c r="R59" s="369"/>
      <c r="S59" s="369"/>
      <c r="T59" s="369"/>
      <c r="U59" s="369"/>
      <c r="V59" s="369"/>
      <c r="W59" s="369"/>
      <c r="X59" s="369" t="s">
        <v>361</v>
      </c>
      <c r="Y59" s="369"/>
      <c r="Z59" s="369"/>
      <c r="AA59" s="369"/>
      <c r="AB59" s="369"/>
      <c r="AC59" s="92" t="s">
        <v>362</v>
      </c>
      <c r="AD59" s="369" t="s">
        <v>363</v>
      </c>
      <c r="AE59" s="114"/>
      <c r="AF59" s="114"/>
      <c r="AG59" s="114"/>
      <c r="AH59" s="93"/>
      <c r="AI59" s="94">
        <v>0</v>
      </c>
      <c r="AJ59" s="95" t="s">
        <v>264</v>
      </c>
      <c r="AK59" s="369" t="s">
        <v>366</v>
      </c>
      <c r="AL59" s="369" t="s">
        <v>147</v>
      </c>
      <c r="AM59" s="369"/>
      <c r="AN59" s="96"/>
      <c r="AO59" s="369"/>
      <c r="AP59" s="305"/>
      <c r="AQ59" s="372"/>
      <c r="AR59" s="369"/>
      <c r="AS59" s="305"/>
      <c r="AT59" s="96"/>
      <c r="AU59" s="97"/>
      <c r="AV59" s="97"/>
      <c r="AW59" s="97"/>
      <c r="AX59" s="97"/>
      <c r="AY59" s="98"/>
      <c r="AZ59" s="98"/>
      <c r="BA59" s="98"/>
      <c r="BB59" s="92"/>
      <c r="BC59" s="47"/>
      <c r="BD59" s="63"/>
      <c r="BE59" s="367"/>
      <c r="BF59" s="367"/>
      <c r="BG59" s="368"/>
      <c r="BH59" s="64" t="e">
        <f>#REF!</f>
        <v>#REF!</v>
      </c>
      <c r="BL59" s="54"/>
    </row>
    <row r="60" spans="1:64" ht="36" customHeight="1" x14ac:dyDescent="0.3">
      <c r="A60" s="249">
        <f t="shared" si="0"/>
        <v>55</v>
      </c>
      <c r="B60" s="90" t="s">
        <v>367</v>
      </c>
      <c r="C60" s="305" t="s">
        <v>0</v>
      </c>
      <c r="D60" s="305" t="s">
        <v>368</v>
      </c>
      <c r="E60" s="91">
        <v>45681</v>
      </c>
      <c r="F60" s="97">
        <v>45748</v>
      </c>
      <c r="G60" s="91"/>
      <c r="H60" s="91"/>
      <c r="I60" s="369" t="s">
        <v>20</v>
      </c>
      <c r="J60" s="90" t="s">
        <v>369</v>
      </c>
      <c r="K60" s="92" t="s">
        <v>370</v>
      </c>
      <c r="L60" s="305">
        <v>1100</v>
      </c>
      <c r="M60" s="369" t="s">
        <v>120</v>
      </c>
      <c r="N60" s="104"/>
      <c r="O60" s="369" t="s">
        <v>127</v>
      </c>
      <c r="P60" s="309"/>
      <c r="Q60" s="369"/>
      <c r="R60" s="369"/>
      <c r="S60" s="369"/>
      <c r="T60" s="369">
        <v>8.6999999999999993</v>
      </c>
      <c r="U60" s="369"/>
      <c r="V60" s="369"/>
      <c r="W60" s="369"/>
      <c r="X60" s="369" t="s">
        <v>150</v>
      </c>
      <c r="Y60" s="104"/>
      <c r="Z60" s="369" t="s">
        <v>127</v>
      </c>
      <c r="AA60" s="369" t="s">
        <v>214</v>
      </c>
      <c r="AB60" s="369" t="s">
        <v>215</v>
      </c>
      <c r="AC60" s="92" t="s">
        <v>371</v>
      </c>
      <c r="AD60" s="369" t="s">
        <v>199</v>
      </c>
      <c r="AE60" s="114">
        <v>45677</v>
      </c>
      <c r="AF60" s="114"/>
      <c r="AG60" s="114"/>
      <c r="AH60" s="93">
        <v>45681</v>
      </c>
      <c r="AI60" s="264">
        <v>45566</v>
      </c>
      <c r="AJ60" s="95" t="s">
        <v>131</v>
      </c>
      <c r="AK60" s="369" t="s">
        <v>200</v>
      </c>
      <c r="AL60" s="369" t="s">
        <v>154</v>
      </c>
      <c r="AM60" s="369" t="s">
        <v>134</v>
      </c>
      <c r="AN60" s="96"/>
      <c r="AO60" s="369"/>
      <c r="AP60" s="305"/>
      <c r="AQ60" s="372"/>
      <c r="AR60" s="369"/>
      <c r="AS60" s="305"/>
      <c r="AT60" s="96">
        <v>45585</v>
      </c>
      <c r="AU60" s="97">
        <v>45561</v>
      </c>
      <c r="AV60" s="97">
        <v>45561</v>
      </c>
      <c r="AW60" s="97">
        <v>45572</v>
      </c>
      <c r="AX60" s="97"/>
      <c r="AY60" s="98"/>
      <c r="AZ60" s="98"/>
      <c r="BA60" s="98"/>
      <c r="BB60" s="92" t="s">
        <v>372</v>
      </c>
      <c r="BC60" s="47" t="s">
        <v>373</v>
      </c>
      <c r="BD60" s="63" t="s">
        <v>374</v>
      </c>
      <c r="BE60" s="367"/>
      <c r="BF60" s="367"/>
      <c r="BG60" s="368"/>
      <c r="BH60" s="64" t="e">
        <f>#REF!</f>
        <v>#REF!</v>
      </c>
      <c r="BL60" s="54"/>
    </row>
    <row r="61" spans="1:64" ht="36" customHeight="1" x14ac:dyDescent="0.3">
      <c r="A61" s="249">
        <f t="shared" si="0"/>
        <v>56</v>
      </c>
      <c r="B61" s="90" t="s">
        <v>375</v>
      </c>
      <c r="C61" s="305" t="s">
        <v>0</v>
      </c>
      <c r="D61" s="305" t="s">
        <v>376</v>
      </c>
      <c r="E61" s="91">
        <v>45681</v>
      </c>
      <c r="F61" s="97">
        <v>45748</v>
      </c>
      <c r="G61" s="91"/>
      <c r="H61" s="91"/>
      <c r="I61" s="369" t="s">
        <v>20</v>
      </c>
      <c r="J61" s="90" t="s">
        <v>369</v>
      </c>
      <c r="K61" s="92" t="s">
        <v>377</v>
      </c>
      <c r="L61" s="305">
        <v>1100</v>
      </c>
      <c r="M61" s="369" t="s">
        <v>65</v>
      </c>
      <c r="N61" s="104"/>
      <c r="O61" s="369" t="s">
        <v>127</v>
      </c>
      <c r="P61" s="309"/>
      <c r="Q61" s="369"/>
      <c r="R61" s="369"/>
      <c r="S61" s="369"/>
      <c r="T61" s="369">
        <v>8.6999999999999993</v>
      </c>
      <c r="U61" s="369"/>
      <c r="V61" s="369"/>
      <c r="W61" s="369"/>
      <c r="X61" s="369" t="s">
        <v>150</v>
      </c>
      <c r="Y61" s="104"/>
      <c r="Z61" s="369" t="s">
        <v>127</v>
      </c>
      <c r="AA61" s="369" t="s">
        <v>214</v>
      </c>
      <c r="AB61" s="369" t="s">
        <v>215</v>
      </c>
      <c r="AC61" s="92" t="s">
        <v>378</v>
      </c>
      <c r="AD61" s="369" t="s">
        <v>199</v>
      </c>
      <c r="AE61" s="88">
        <v>45677</v>
      </c>
      <c r="AF61" s="88"/>
      <c r="AG61" s="88"/>
      <c r="AH61" s="93">
        <v>45681</v>
      </c>
      <c r="AI61" s="264">
        <v>45566</v>
      </c>
      <c r="AJ61" s="95" t="s">
        <v>131</v>
      </c>
      <c r="AK61" s="369" t="s">
        <v>200</v>
      </c>
      <c r="AL61" s="369" t="s">
        <v>154</v>
      </c>
      <c r="AM61" s="369" t="s">
        <v>134</v>
      </c>
      <c r="AN61" s="112"/>
      <c r="AO61" s="104"/>
      <c r="AP61" s="305"/>
      <c r="AQ61" s="290"/>
      <c r="AR61" s="104"/>
      <c r="AS61" s="305"/>
      <c r="AT61" s="96">
        <v>45585</v>
      </c>
      <c r="AU61" s="97">
        <v>45561</v>
      </c>
      <c r="AV61" s="97">
        <v>45561</v>
      </c>
      <c r="AW61" s="97">
        <v>45572</v>
      </c>
      <c r="AX61" s="97"/>
      <c r="AY61" s="98"/>
      <c r="AZ61" s="98"/>
      <c r="BA61" s="98"/>
      <c r="BB61" s="107" t="s">
        <v>379</v>
      </c>
      <c r="BC61" s="68" t="s">
        <v>380</v>
      </c>
      <c r="BD61" s="63" t="s">
        <v>374</v>
      </c>
      <c r="BE61" s="67"/>
      <c r="BF61" s="367"/>
      <c r="BG61" s="368"/>
      <c r="BH61" s="64" t="e">
        <f>#REF!</f>
        <v>#REF!</v>
      </c>
      <c r="BL61" s="54"/>
    </row>
    <row r="62" spans="1:64" ht="36" customHeight="1" x14ac:dyDescent="0.3">
      <c r="A62" s="247">
        <f t="shared" si="0"/>
        <v>57</v>
      </c>
      <c r="B62" s="90" t="s">
        <v>381</v>
      </c>
      <c r="C62" s="305" t="s">
        <v>0</v>
      </c>
      <c r="D62" s="305" t="s">
        <v>262</v>
      </c>
      <c r="E62" s="91">
        <v>45681</v>
      </c>
      <c r="F62" s="97"/>
      <c r="G62" s="91"/>
      <c r="H62" s="91"/>
      <c r="I62" s="369" t="s">
        <v>20</v>
      </c>
      <c r="J62" s="92" t="s">
        <v>212</v>
      </c>
      <c r="K62" s="92" t="s">
        <v>382</v>
      </c>
      <c r="L62" s="110">
        <v>1100</v>
      </c>
      <c r="M62" s="369" t="s">
        <v>65</v>
      </c>
      <c r="N62" s="104"/>
      <c r="O62" s="369" t="s">
        <v>127</v>
      </c>
      <c r="P62" s="309"/>
      <c r="Q62" s="369"/>
      <c r="R62" s="369"/>
      <c r="S62" s="369"/>
      <c r="T62" s="369">
        <v>13.6</v>
      </c>
      <c r="U62" s="369"/>
      <c r="V62" s="369"/>
      <c r="W62" s="369"/>
      <c r="X62" s="369" t="s">
        <v>150</v>
      </c>
      <c r="Y62" s="369" t="s">
        <v>127</v>
      </c>
      <c r="Z62" s="104"/>
      <c r="AA62" s="369" t="s">
        <v>214</v>
      </c>
      <c r="AB62" s="147" t="s">
        <v>383</v>
      </c>
      <c r="AC62" s="92" t="s">
        <v>384</v>
      </c>
      <c r="AD62" s="369" t="s">
        <v>284</v>
      </c>
      <c r="AE62" s="88">
        <v>45677</v>
      </c>
      <c r="AF62" s="88"/>
      <c r="AG62" s="88"/>
      <c r="AH62" s="93">
        <v>45681</v>
      </c>
      <c r="AI62" s="264">
        <v>45597</v>
      </c>
      <c r="AJ62" s="95" t="s">
        <v>330</v>
      </c>
      <c r="AK62" s="369" t="s">
        <v>200</v>
      </c>
      <c r="AL62" s="369" t="s">
        <v>183</v>
      </c>
      <c r="AM62" s="369" t="s">
        <v>134</v>
      </c>
      <c r="AN62" s="112"/>
      <c r="AO62" s="104"/>
      <c r="AP62" s="305"/>
      <c r="AQ62" s="290"/>
      <c r="AR62" s="104"/>
      <c r="AS62" s="305"/>
      <c r="AT62" s="96">
        <v>45606</v>
      </c>
      <c r="AU62" s="97">
        <v>45572</v>
      </c>
      <c r="AV62" s="97">
        <v>45572</v>
      </c>
      <c r="AW62" s="97">
        <v>45576</v>
      </c>
      <c r="AX62" s="97"/>
      <c r="AY62" s="98"/>
      <c r="AZ62" s="98"/>
      <c r="BA62" s="98"/>
      <c r="BB62" s="107" t="s">
        <v>385</v>
      </c>
      <c r="BC62" s="68" t="s">
        <v>386</v>
      </c>
      <c r="BD62" s="165" t="s">
        <v>387</v>
      </c>
      <c r="BE62" s="67"/>
      <c r="BF62" s="367"/>
      <c r="BG62" s="368"/>
      <c r="BH62" s="64" t="e">
        <f>#REF!</f>
        <v>#REF!</v>
      </c>
      <c r="BL62" s="54"/>
    </row>
    <row r="63" spans="1:64" ht="36" customHeight="1" x14ac:dyDescent="0.3">
      <c r="A63" s="305">
        <f t="shared" si="0"/>
        <v>58</v>
      </c>
      <c r="B63" s="90" t="s">
        <v>388</v>
      </c>
      <c r="C63" s="305" t="s">
        <v>0</v>
      </c>
      <c r="D63" s="305" t="s">
        <v>262</v>
      </c>
      <c r="E63" s="91">
        <v>45681</v>
      </c>
      <c r="F63" s="97"/>
      <c r="G63" s="91"/>
      <c r="H63" s="91"/>
      <c r="I63" s="369" t="s">
        <v>20</v>
      </c>
      <c r="J63" s="92" t="s">
        <v>212</v>
      </c>
      <c r="K63" s="92" t="s">
        <v>382</v>
      </c>
      <c r="L63" s="110">
        <v>1100</v>
      </c>
      <c r="M63" s="104" t="s">
        <v>65</v>
      </c>
      <c r="N63" s="104"/>
      <c r="O63" s="104" t="s">
        <v>127</v>
      </c>
      <c r="P63" s="104"/>
      <c r="Q63" s="104"/>
      <c r="R63" s="104"/>
      <c r="S63" s="104"/>
      <c r="T63" s="104"/>
      <c r="U63" s="104"/>
      <c r="V63" s="104"/>
      <c r="W63" s="104"/>
      <c r="X63" s="104" t="s">
        <v>150</v>
      </c>
      <c r="Y63" s="104"/>
      <c r="Z63" s="104" t="s">
        <v>127</v>
      </c>
      <c r="AA63" s="104"/>
      <c r="AB63" s="104" t="s">
        <v>215</v>
      </c>
      <c r="AC63" s="92" t="s">
        <v>389</v>
      </c>
      <c r="AD63" s="369" t="s">
        <v>207</v>
      </c>
      <c r="AE63" s="88">
        <v>45677</v>
      </c>
      <c r="AF63" s="88"/>
      <c r="AG63" s="88"/>
      <c r="AH63" s="93"/>
      <c r="AI63" s="94">
        <v>10</v>
      </c>
      <c r="AJ63" s="95" t="s">
        <v>264</v>
      </c>
      <c r="AK63" s="369" t="s">
        <v>200</v>
      </c>
      <c r="AL63" s="369" t="s">
        <v>154</v>
      </c>
      <c r="AM63" s="369"/>
      <c r="AN63" s="96"/>
      <c r="AO63" s="369"/>
      <c r="AP63" s="305"/>
      <c r="AQ63" s="372"/>
      <c r="AR63" s="369"/>
      <c r="AS63" s="305"/>
      <c r="AT63" s="96">
        <v>45585</v>
      </c>
      <c r="AU63" s="97">
        <v>45561</v>
      </c>
      <c r="AV63" s="97">
        <v>45561</v>
      </c>
      <c r="AW63" s="97">
        <v>45572</v>
      </c>
      <c r="AX63" s="97"/>
      <c r="AY63" s="98"/>
      <c r="AZ63" s="98"/>
      <c r="BA63" s="98"/>
      <c r="BB63" s="92" t="s">
        <v>390</v>
      </c>
      <c r="BC63" s="68" t="s">
        <v>391</v>
      </c>
      <c r="BD63" s="63"/>
      <c r="BE63" s="367"/>
      <c r="BF63" s="367"/>
      <c r="BG63" s="368"/>
      <c r="BH63" s="64" t="e">
        <f>#REF!</f>
        <v>#REF!</v>
      </c>
      <c r="BL63" s="54"/>
    </row>
    <row r="64" spans="1:64" ht="36" customHeight="1" x14ac:dyDescent="0.3">
      <c r="A64" s="247">
        <f>ROW(B64)-ROW($B$5)</f>
        <v>59</v>
      </c>
      <c r="B64" s="90" t="s">
        <v>392</v>
      </c>
      <c r="C64" s="305" t="s">
        <v>0</v>
      </c>
      <c r="D64" s="305" t="s">
        <v>393</v>
      </c>
      <c r="E64" s="91">
        <v>45681</v>
      </c>
      <c r="F64" s="97">
        <v>45719</v>
      </c>
      <c r="G64" s="91">
        <v>45719</v>
      </c>
      <c r="H64" s="91"/>
      <c r="I64" s="369" t="s">
        <v>20</v>
      </c>
      <c r="J64" s="90" t="s">
        <v>369</v>
      </c>
      <c r="K64" s="92" t="s">
        <v>394</v>
      </c>
      <c r="L64" s="305">
        <v>1000</v>
      </c>
      <c r="M64" s="369" t="s">
        <v>65</v>
      </c>
      <c r="N64" s="104"/>
      <c r="O64" s="369" t="s">
        <v>127</v>
      </c>
      <c r="P64" s="309"/>
      <c r="Q64" s="369"/>
      <c r="R64" s="369"/>
      <c r="S64" s="369"/>
      <c r="T64" s="369">
        <v>9.1999999999999993</v>
      </c>
      <c r="U64" s="369"/>
      <c r="V64" s="369"/>
      <c r="W64" s="369"/>
      <c r="X64" s="369" t="s">
        <v>150</v>
      </c>
      <c r="Y64" s="369" t="s">
        <v>127</v>
      </c>
      <c r="Z64" s="104"/>
      <c r="AA64" s="104"/>
      <c r="AB64" s="369" t="s">
        <v>215</v>
      </c>
      <c r="AC64" s="92" t="s">
        <v>395</v>
      </c>
      <c r="AD64" s="369" t="s">
        <v>152</v>
      </c>
      <c r="AE64" s="88">
        <v>45677</v>
      </c>
      <c r="AF64" s="88"/>
      <c r="AG64" s="88"/>
      <c r="AH64" s="93">
        <v>45681</v>
      </c>
      <c r="AI64" s="264">
        <v>45566</v>
      </c>
      <c r="AJ64" s="95" t="s">
        <v>131</v>
      </c>
      <c r="AK64" s="369" t="s">
        <v>200</v>
      </c>
      <c r="AL64" s="369" t="s">
        <v>183</v>
      </c>
      <c r="AM64" s="369" t="s">
        <v>134</v>
      </c>
      <c r="AN64" s="96"/>
      <c r="AO64" s="369"/>
      <c r="AP64" s="305"/>
      <c r="AQ64" s="372"/>
      <c r="AR64" s="369"/>
      <c r="AS64" s="305"/>
      <c r="AT64" s="96">
        <v>45585</v>
      </c>
      <c r="AU64" s="103">
        <v>45562</v>
      </c>
      <c r="AV64" s="97">
        <v>45562</v>
      </c>
      <c r="AW64" s="97">
        <v>45565</v>
      </c>
      <c r="AX64" s="97"/>
      <c r="AY64" s="98"/>
      <c r="AZ64" s="98"/>
      <c r="BA64" s="98"/>
      <c r="BB64" s="92" t="s">
        <v>385</v>
      </c>
      <c r="BC64" s="47" t="s">
        <v>396</v>
      </c>
      <c r="BD64" s="63" t="s">
        <v>374</v>
      </c>
      <c r="BE64" s="367"/>
      <c r="BF64" s="367"/>
      <c r="BG64" s="368"/>
      <c r="BH64" s="64" t="e">
        <f>#REF!</f>
        <v>#REF!</v>
      </c>
      <c r="BL64" s="54"/>
    </row>
    <row r="65" spans="1:64" ht="36" customHeight="1" x14ac:dyDescent="0.3">
      <c r="A65" s="249">
        <f t="shared" si="0"/>
        <v>60</v>
      </c>
      <c r="B65" s="90" t="s">
        <v>397</v>
      </c>
      <c r="C65" s="305" t="s">
        <v>0</v>
      </c>
      <c r="D65" s="305" t="s">
        <v>262</v>
      </c>
      <c r="E65" s="91"/>
      <c r="F65" s="97"/>
      <c r="G65" s="91"/>
      <c r="H65" s="91"/>
      <c r="I65" s="369" t="s">
        <v>20</v>
      </c>
      <c r="J65" s="90" t="s">
        <v>369</v>
      </c>
      <c r="K65" s="92" t="s">
        <v>398</v>
      </c>
      <c r="L65" s="305">
        <v>1020</v>
      </c>
      <c r="M65" s="369" t="s">
        <v>120</v>
      </c>
      <c r="N65" s="104"/>
      <c r="O65" s="369" t="s">
        <v>127</v>
      </c>
      <c r="P65" s="369"/>
      <c r="Q65" s="369"/>
      <c r="R65" s="369"/>
      <c r="S65" s="369"/>
      <c r="T65" s="369">
        <v>9.1999999999999993</v>
      </c>
      <c r="U65" s="369"/>
      <c r="V65" s="369"/>
      <c r="W65" s="369"/>
      <c r="X65" s="369" t="s">
        <v>150</v>
      </c>
      <c r="Y65" s="369" t="s">
        <v>127</v>
      </c>
      <c r="Z65" s="369"/>
      <c r="AA65" s="369"/>
      <c r="AB65" s="369" t="s">
        <v>215</v>
      </c>
      <c r="AC65" s="92" t="s">
        <v>399</v>
      </c>
      <c r="AD65" s="369" t="s">
        <v>152</v>
      </c>
      <c r="AE65" s="88">
        <v>45677</v>
      </c>
      <c r="AF65" s="88"/>
      <c r="AG65" s="88"/>
      <c r="AH65" s="93"/>
      <c r="AI65" s="264">
        <v>45566</v>
      </c>
      <c r="AJ65" s="95" t="s">
        <v>264</v>
      </c>
      <c r="AK65" s="369" t="s">
        <v>200</v>
      </c>
      <c r="AL65" s="369" t="s">
        <v>183</v>
      </c>
      <c r="AM65" s="369" t="s">
        <v>134</v>
      </c>
      <c r="AN65" s="96"/>
      <c r="AO65" s="369"/>
      <c r="AP65" s="305"/>
      <c r="AQ65" s="372"/>
      <c r="AR65" s="369"/>
      <c r="AS65" s="305"/>
      <c r="AT65" s="96">
        <v>45585</v>
      </c>
      <c r="AU65" s="97">
        <v>45562</v>
      </c>
      <c r="AV65" s="97">
        <v>45562</v>
      </c>
      <c r="AW65" s="97">
        <v>45565</v>
      </c>
      <c r="AX65" s="97"/>
      <c r="AY65" s="98"/>
      <c r="AZ65" s="98"/>
      <c r="BA65" s="98"/>
      <c r="BB65" s="92" t="s">
        <v>385</v>
      </c>
      <c r="BC65" s="47" t="s">
        <v>396</v>
      </c>
      <c r="BD65" s="165" t="s">
        <v>400</v>
      </c>
      <c r="BE65" s="367"/>
      <c r="BF65" s="367"/>
      <c r="BG65" s="368"/>
      <c r="BH65" s="64" t="e">
        <f>#REF!</f>
        <v>#REF!</v>
      </c>
      <c r="BL65" s="54"/>
    </row>
    <row r="66" spans="1:64" ht="33" customHeight="1" x14ac:dyDescent="0.3">
      <c r="A66" s="249">
        <f t="shared" si="0"/>
        <v>61</v>
      </c>
      <c r="B66" s="90" t="s">
        <v>401</v>
      </c>
      <c r="C66" s="305" t="s">
        <v>0</v>
      </c>
      <c r="D66" s="305" t="s">
        <v>402</v>
      </c>
      <c r="E66" s="91">
        <v>45681</v>
      </c>
      <c r="F66" s="97">
        <v>45734</v>
      </c>
      <c r="G66" s="91">
        <v>45735</v>
      </c>
      <c r="H66" s="305"/>
      <c r="I66" s="369" t="s">
        <v>20</v>
      </c>
      <c r="J66" s="90" t="s">
        <v>369</v>
      </c>
      <c r="K66" s="92" t="s">
        <v>403</v>
      </c>
      <c r="L66" s="305">
        <v>1000</v>
      </c>
      <c r="M66" s="369" t="s">
        <v>120</v>
      </c>
      <c r="N66" s="104"/>
      <c r="O66" s="369" t="s">
        <v>127</v>
      </c>
      <c r="P66" s="309"/>
      <c r="Q66" s="369"/>
      <c r="R66" s="369"/>
      <c r="S66" s="369"/>
      <c r="T66" s="369">
        <v>9.1999999999999993</v>
      </c>
      <c r="U66" s="369"/>
      <c r="V66" s="369"/>
      <c r="W66" s="369"/>
      <c r="X66" s="369" t="s">
        <v>150</v>
      </c>
      <c r="Y66" s="369" t="s">
        <v>127</v>
      </c>
      <c r="Z66" s="369"/>
      <c r="AA66" s="369"/>
      <c r="AB66" s="369" t="s">
        <v>215</v>
      </c>
      <c r="AC66" s="92" t="s">
        <v>395</v>
      </c>
      <c r="AD66" s="369" t="s">
        <v>152</v>
      </c>
      <c r="AE66" s="88">
        <v>45677</v>
      </c>
      <c r="AF66" s="88"/>
      <c r="AG66" s="88"/>
      <c r="AH66" s="93">
        <v>45681</v>
      </c>
      <c r="AI66" s="264">
        <v>45566</v>
      </c>
      <c r="AJ66" s="95" t="s">
        <v>131</v>
      </c>
      <c r="AK66" s="369" t="s">
        <v>200</v>
      </c>
      <c r="AL66" s="369" t="s">
        <v>183</v>
      </c>
      <c r="AM66" s="369" t="s">
        <v>134</v>
      </c>
      <c r="AN66" s="96"/>
      <c r="AO66" s="369"/>
      <c r="AP66" s="305"/>
      <c r="AQ66" s="372"/>
      <c r="AR66" s="369"/>
      <c r="AS66" s="305"/>
      <c r="AT66" s="96">
        <v>45585</v>
      </c>
      <c r="AU66" s="97">
        <v>45562</v>
      </c>
      <c r="AV66" s="97">
        <v>45562</v>
      </c>
      <c r="AW66" s="97">
        <v>45565</v>
      </c>
      <c r="AX66" s="97"/>
      <c r="AY66" s="98"/>
      <c r="AZ66" s="98"/>
      <c r="BA66" s="98"/>
      <c r="BB66" s="100" t="s">
        <v>385</v>
      </c>
      <c r="BC66" s="47" t="s">
        <v>396</v>
      </c>
      <c r="BD66" s="63" t="s">
        <v>374</v>
      </c>
      <c r="BE66" s="367"/>
      <c r="BF66" s="367"/>
      <c r="BG66" s="368"/>
      <c r="BH66" s="64" t="e">
        <f>#REF!</f>
        <v>#REF!</v>
      </c>
      <c r="BL66" s="54"/>
    </row>
    <row r="67" spans="1:64" ht="36" customHeight="1" x14ac:dyDescent="0.3">
      <c r="A67" s="249">
        <f t="shared" si="0"/>
        <v>62</v>
      </c>
      <c r="B67" s="90"/>
      <c r="C67" s="305" t="s">
        <v>0</v>
      </c>
      <c r="D67" s="369" t="s">
        <v>404</v>
      </c>
      <c r="E67" s="108"/>
      <c r="F67" s="97"/>
      <c r="G67" s="108"/>
      <c r="H67" s="108"/>
      <c r="I67" s="369" t="s">
        <v>20</v>
      </c>
      <c r="J67" s="90" t="s">
        <v>369</v>
      </c>
      <c r="K67" s="92" t="s">
        <v>405</v>
      </c>
      <c r="L67" s="305">
        <v>1000</v>
      </c>
      <c r="M67" s="369" t="s">
        <v>120</v>
      </c>
      <c r="N67" s="110"/>
      <c r="O67" s="305" t="s">
        <v>127</v>
      </c>
      <c r="P67" s="305"/>
      <c r="Q67" s="305"/>
      <c r="R67" s="305"/>
      <c r="S67" s="305"/>
      <c r="T67" s="305">
        <v>9.1999999999999993</v>
      </c>
      <c r="U67" s="305"/>
      <c r="V67" s="305"/>
      <c r="W67" s="305"/>
      <c r="X67" s="369" t="s">
        <v>150</v>
      </c>
      <c r="Y67" s="305" t="s">
        <v>127</v>
      </c>
      <c r="Z67" s="305"/>
      <c r="AA67" s="305"/>
      <c r="AB67" s="369" t="s">
        <v>215</v>
      </c>
      <c r="AC67" s="92" t="s">
        <v>395</v>
      </c>
      <c r="AD67" s="369" t="s">
        <v>152</v>
      </c>
      <c r="AE67" s="88">
        <v>45677</v>
      </c>
      <c r="AF67" s="88"/>
      <c r="AG67" s="88"/>
      <c r="AH67" s="93">
        <v>45681</v>
      </c>
      <c r="AI67" s="264">
        <v>45566</v>
      </c>
      <c r="AJ67" s="95" t="s">
        <v>264</v>
      </c>
      <c r="AK67" s="369" t="s">
        <v>200</v>
      </c>
      <c r="AL67" s="369" t="s">
        <v>183</v>
      </c>
      <c r="AM67" s="369" t="s">
        <v>134</v>
      </c>
      <c r="AN67" s="96"/>
      <c r="AO67" s="369"/>
      <c r="AP67" s="305"/>
      <c r="AQ67" s="372"/>
      <c r="AR67" s="369"/>
      <c r="AS67" s="305"/>
      <c r="AT67" s="102">
        <v>45585</v>
      </c>
      <c r="AU67" s="97">
        <v>45562</v>
      </c>
      <c r="AV67" s="97">
        <v>45562</v>
      </c>
      <c r="AW67" s="97">
        <v>45565</v>
      </c>
      <c r="AX67" s="97"/>
      <c r="AY67" s="98"/>
      <c r="AZ67" s="98"/>
      <c r="BA67" s="98"/>
      <c r="BB67" s="92" t="s">
        <v>385</v>
      </c>
      <c r="BC67" s="47" t="s">
        <v>396</v>
      </c>
      <c r="BD67" s="63" t="s">
        <v>374</v>
      </c>
      <c r="BE67" s="67"/>
      <c r="BF67" s="367"/>
      <c r="BG67" s="368"/>
      <c r="BH67" s="64" t="e">
        <f>#REF!</f>
        <v>#REF!</v>
      </c>
      <c r="BL67" s="54"/>
    </row>
    <row r="68" spans="1:64" ht="33.6" customHeight="1" x14ac:dyDescent="0.3">
      <c r="A68" s="249">
        <f t="shared" si="0"/>
        <v>63</v>
      </c>
      <c r="B68" s="90" t="s">
        <v>406</v>
      </c>
      <c r="C68" s="305" t="s">
        <v>0</v>
      </c>
      <c r="D68" s="305" t="s">
        <v>262</v>
      </c>
      <c r="E68" s="96">
        <v>45681</v>
      </c>
      <c r="F68" s="102"/>
      <c r="G68" s="96"/>
      <c r="H68" s="96"/>
      <c r="I68" s="369" t="s">
        <v>20</v>
      </c>
      <c r="J68" s="90" t="s">
        <v>407</v>
      </c>
      <c r="K68" s="92" t="s">
        <v>408</v>
      </c>
      <c r="L68" s="305">
        <v>1100</v>
      </c>
      <c r="M68" s="369" t="s">
        <v>65</v>
      </c>
      <c r="N68" s="110"/>
      <c r="O68" s="305" t="s">
        <v>127</v>
      </c>
      <c r="P68" s="158"/>
      <c r="Q68" s="305"/>
      <c r="R68" s="305"/>
      <c r="S68" s="305"/>
      <c r="T68" s="305">
        <v>9.1999999999999993</v>
      </c>
      <c r="U68" s="305"/>
      <c r="V68" s="305"/>
      <c r="W68" s="305"/>
      <c r="X68" s="369" t="s">
        <v>150</v>
      </c>
      <c r="Y68" s="305" t="s">
        <v>127</v>
      </c>
      <c r="Z68" s="110"/>
      <c r="AA68" s="110"/>
      <c r="AB68" s="369" t="s">
        <v>215</v>
      </c>
      <c r="AC68" s="92" t="s">
        <v>395</v>
      </c>
      <c r="AD68" s="369" t="s">
        <v>152</v>
      </c>
      <c r="AE68" s="88">
        <v>45677</v>
      </c>
      <c r="AF68" s="88"/>
      <c r="AG68" s="88"/>
      <c r="AH68" s="93">
        <v>45681</v>
      </c>
      <c r="AI68" s="264">
        <v>45566</v>
      </c>
      <c r="AJ68" s="95" t="s">
        <v>330</v>
      </c>
      <c r="AK68" s="369" t="s">
        <v>200</v>
      </c>
      <c r="AL68" s="369" t="s">
        <v>183</v>
      </c>
      <c r="AM68" s="369" t="s">
        <v>134</v>
      </c>
      <c r="AN68" s="96"/>
      <c r="AO68" s="369"/>
      <c r="AP68" s="305"/>
      <c r="AQ68" s="372"/>
      <c r="AR68" s="369"/>
      <c r="AS68" s="305"/>
      <c r="AT68" s="96">
        <v>45585</v>
      </c>
      <c r="AU68" s="103">
        <v>45562</v>
      </c>
      <c r="AV68" s="97">
        <v>45562</v>
      </c>
      <c r="AW68" s="97">
        <v>45565</v>
      </c>
      <c r="AX68" s="97"/>
      <c r="AY68" s="98"/>
      <c r="AZ68" s="98"/>
      <c r="BA68" s="98"/>
      <c r="BB68" s="100" t="s">
        <v>385</v>
      </c>
      <c r="BC68" s="65" t="s">
        <v>409</v>
      </c>
      <c r="BD68" s="63" t="s">
        <v>374</v>
      </c>
      <c r="BE68" s="70"/>
      <c r="BF68" s="367"/>
      <c r="BG68" s="368"/>
      <c r="BH68" s="64" t="e">
        <f>#REF!</f>
        <v>#REF!</v>
      </c>
      <c r="BL68" s="54"/>
    </row>
    <row r="69" spans="1:64" ht="35.4" customHeight="1" x14ac:dyDescent="0.3">
      <c r="A69" s="157">
        <f t="shared" si="0"/>
        <v>64</v>
      </c>
      <c r="B69" s="90" t="s">
        <v>410</v>
      </c>
      <c r="C69" s="305" t="s">
        <v>0</v>
      </c>
      <c r="D69" s="305" t="s">
        <v>262</v>
      </c>
      <c r="E69" s="91"/>
      <c r="F69" s="97"/>
      <c r="G69" s="91"/>
      <c r="H69" s="91"/>
      <c r="I69" s="369" t="s">
        <v>20</v>
      </c>
      <c r="J69" s="90" t="s">
        <v>407</v>
      </c>
      <c r="K69" s="92" t="s">
        <v>411</v>
      </c>
      <c r="L69" s="305">
        <v>1000</v>
      </c>
      <c r="M69" s="369" t="s">
        <v>120</v>
      </c>
      <c r="N69" s="305"/>
      <c r="O69" s="305" t="s">
        <v>127</v>
      </c>
      <c r="P69" s="305"/>
      <c r="Q69" s="305"/>
      <c r="R69" s="305"/>
      <c r="S69" s="305"/>
      <c r="T69" s="305">
        <v>9.1999999999999993</v>
      </c>
      <c r="U69" s="305"/>
      <c r="V69" s="305"/>
      <c r="W69" s="305"/>
      <c r="X69" s="305" t="s">
        <v>150</v>
      </c>
      <c r="Y69" s="305" t="s">
        <v>127</v>
      </c>
      <c r="Z69" s="305"/>
      <c r="AA69" s="305"/>
      <c r="AB69" s="369" t="s">
        <v>215</v>
      </c>
      <c r="AC69" s="92" t="s">
        <v>395</v>
      </c>
      <c r="AD69" s="369" t="s">
        <v>152</v>
      </c>
      <c r="AE69" s="88">
        <v>45677</v>
      </c>
      <c r="AF69" s="88"/>
      <c r="AG69" s="88"/>
      <c r="AH69" s="93"/>
      <c r="AI69" s="264">
        <v>45597</v>
      </c>
      <c r="AJ69" s="95" t="s">
        <v>264</v>
      </c>
      <c r="AK69" s="369" t="s">
        <v>200</v>
      </c>
      <c r="AL69" s="369" t="s">
        <v>183</v>
      </c>
      <c r="AM69" s="369"/>
      <c r="AN69" s="96"/>
      <c r="AO69" s="369"/>
      <c r="AP69" s="305"/>
      <c r="AQ69" s="372"/>
      <c r="AR69" s="369"/>
      <c r="AS69" s="305"/>
      <c r="AT69" s="102">
        <v>45585</v>
      </c>
      <c r="AU69" s="97">
        <v>45562</v>
      </c>
      <c r="AV69" s="97">
        <v>45562</v>
      </c>
      <c r="AW69" s="97">
        <v>45565</v>
      </c>
      <c r="AX69" s="97"/>
      <c r="AY69" s="98"/>
      <c r="AZ69" s="98"/>
      <c r="BA69" s="98"/>
      <c r="BB69" s="100" t="s">
        <v>385</v>
      </c>
      <c r="BC69" s="65" t="s">
        <v>409</v>
      </c>
      <c r="BD69" s="63" t="s">
        <v>412</v>
      </c>
      <c r="BE69" s="367"/>
      <c r="BF69" s="367"/>
      <c r="BG69" s="368"/>
      <c r="BH69" s="64" t="e">
        <f>#REF!</f>
        <v>#REF!</v>
      </c>
      <c r="BL69" s="54"/>
    </row>
    <row r="70" spans="1:64" ht="36" customHeight="1" x14ac:dyDescent="0.3">
      <c r="A70" s="249">
        <f t="shared" si="0"/>
        <v>65</v>
      </c>
      <c r="B70" s="90" t="s">
        <v>413</v>
      </c>
      <c r="C70" s="305" t="s">
        <v>0</v>
      </c>
      <c r="D70" s="305" t="s">
        <v>414</v>
      </c>
      <c r="E70" s="91">
        <v>45681</v>
      </c>
      <c r="F70" s="97"/>
      <c r="G70" s="91"/>
      <c r="H70" s="91"/>
      <c r="I70" s="369" t="s">
        <v>20</v>
      </c>
      <c r="J70" s="90" t="s">
        <v>369</v>
      </c>
      <c r="K70" s="92" t="s">
        <v>415</v>
      </c>
      <c r="L70" s="110">
        <v>1090</v>
      </c>
      <c r="M70" s="369" t="s">
        <v>65</v>
      </c>
      <c r="N70" s="110"/>
      <c r="O70" s="305" t="s">
        <v>127</v>
      </c>
      <c r="P70" s="158"/>
      <c r="Q70" s="305"/>
      <c r="R70" s="305"/>
      <c r="S70" s="305"/>
      <c r="T70" s="305">
        <v>9.1999999999999993</v>
      </c>
      <c r="U70" s="305"/>
      <c r="V70" s="305"/>
      <c r="W70" s="305"/>
      <c r="X70" s="305" t="s">
        <v>150</v>
      </c>
      <c r="Y70" s="305" t="s">
        <v>127</v>
      </c>
      <c r="Z70" s="305"/>
      <c r="AA70" s="305"/>
      <c r="AB70" s="369" t="s">
        <v>215</v>
      </c>
      <c r="AC70" s="92" t="s">
        <v>416</v>
      </c>
      <c r="AD70" s="369" t="s">
        <v>152</v>
      </c>
      <c r="AE70" s="88">
        <v>45677</v>
      </c>
      <c r="AF70" s="88"/>
      <c r="AG70" s="88"/>
      <c r="AH70" s="93">
        <v>45681</v>
      </c>
      <c r="AI70" s="264">
        <v>45597</v>
      </c>
      <c r="AJ70" s="95" t="s">
        <v>131</v>
      </c>
      <c r="AK70" s="369" t="s">
        <v>200</v>
      </c>
      <c r="AL70" s="369" t="s">
        <v>183</v>
      </c>
      <c r="AM70" s="369" t="s">
        <v>134</v>
      </c>
      <c r="AN70" s="96"/>
      <c r="AO70" s="369"/>
      <c r="AP70" s="305"/>
      <c r="AQ70" s="372"/>
      <c r="AR70" s="369"/>
      <c r="AS70" s="305"/>
      <c r="AT70" s="102">
        <v>45585</v>
      </c>
      <c r="AU70" s="97">
        <v>45562</v>
      </c>
      <c r="AV70" s="97">
        <v>45562</v>
      </c>
      <c r="AW70" s="97">
        <v>45565</v>
      </c>
      <c r="AX70" s="97"/>
      <c r="AY70" s="98"/>
      <c r="AZ70" s="98"/>
      <c r="BA70" s="98"/>
      <c r="BB70" s="100" t="s">
        <v>385</v>
      </c>
      <c r="BC70" s="65" t="s">
        <v>396</v>
      </c>
      <c r="BD70" s="63" t="s">
        <v>374</v>
      </c>
      <c r="BE70" s="67"/>
      <c r="BF70" s="367"/>
      <c r="BG70" s="368"/>
      <c r="BH70" s="64" t="e">
        <f>#REF!</f>
        <v>#REF!</v>
      </c>
      <c r="BL70" s="54"/>
    </row>
    <row r="71" spans="1:64" ht="36" customHeight="1" x14ac:dyDescent="0.3">
      <c r="A71" s="249">
        <f t="shared" ref="A71:A136" si="1">ROW(B71)-ROW($B$5)</f>
        <v>66</v>
      </c>
      <c r="B71" s="90" t="s">
        <v>417</v>
      </c>
      <c r="C71" s="305" t="s">
        <v>0</v>
      </c>
      <c r="D71" s="305" t="s">
        <v>418</v>
      </c>
      <c r="E71" s="91">
        <v>45656</v>
      </c>
      <c r="F71" s="97"/>
      <c r="G71" s="91"/>
      <c r="H71" s="91"/>
      <c r="I71" s="369" t="s">
        <v>20</v>
      </c>
      <c r="J71" s="90" t="s">
        <v>407</v>
      </c>
      <c r="K71" s="92" t="s">
        <v>419</v>
      </c>
      <c r="L71" s="305">
        <v>1100</v>
      </c>
      <c r="M71" s="369" t="s">
        <v>120</v>
      </c>
      <c r="N71" s="305"/>
      <c r="O71" s="305" t="s">
        <v>127</v>
      </c>
      <c r="P71" s="158"/>
      <c r="Q71" s="305"/>
      <c r="R71" s="305"/>
      <c r="S71" s="305"/>
      <c r="T71" s="305">
        <v>9.1999999999999993</v>
      </c>
      <c r="U71" s="305"/>
      <c r="V71" s="305"/>
      <c r="W71" s="305"/>
      <c r="X71" s="305" t="s">
        <v>150</v>
      </c>
      <c r="Y71" s="305" t="s">
        <v>127</v>
      </c>
      <c r="Z71" s="305"/>
      <c r="AA71" s="305"/>
      <c r="AB71" s="369" t="s">
        <v>215</v>
      </c>
      <c r="AC71" s="92" t="s">
        <v>395</v>
      </c>
      <c r="AD71" s="369" t="s">
        <v>152</v>
      </c>
      <c r="AE71" s="88">
        <v>45656</v>
      </c>
      <c r="AF71" s="88"/>
      <c r="AG71" s="88"/>
      <c r="AH71" s="93">
        <v>45656</v>
      </c>
      <c r="AI71" s="264">
        <v>45597</v>
      </c>
      <c r="AJ71" s="95" t="s">
        <v>131</v>
      </c>
      <c r="AK71" s="369" t="s">
        <v>200</v>
      </c>
      <c r="AL71" s="369" t="s">
        <v>183</v>
      </c>
      <c r="AM71" s="369" t="s">
        <v>134</v>
      </c>
      <c r="AN71" s="96"/>
      <c r="AO71" s="369"/>
      <c r="AP71" s="305"/>
      <c r="AQ71" s="372"/>
      <c r="AR71" s="369"/>
      <c r="AS71" s="305"/>
      <c r="AT71" s="102">
        <v>45585</v>
      </c>
      <c r="AU71" s="97">
        <v>45562</v>
      </c>
      <c r="AV71" s="97">
        <v>45562</v>
      </c>
      <c r="AW71" s="97">
        <v>45565</v>
      </c>
      <c r="AX71" s="97"/>
      <c r="AY71" s="98"/>
      <c r="AZ71" s="98"/>
      <c r="BA71" s="98"/>
      <c r="BB71" s="100" t="s">
        <v>385</v>
      </c>
      <c r="BC71" s="65" t="s">
        <v>409</v>
      </c>
      <c r="BD71" s="63" t="s">
        <v>374</v>
      </c>
      <c r="BE71" s="367"/>
      <c r="BF71" s="367"/>
      <c r="BG71" s="368"/>
      <c r="BH71" s="64" t="e">
        <f>#REF!</f>
        <v>#REF!</v>
      </c>
      <c r="BL71" s="54"/>
    </row>
    <row r="72" spans="1:64" ht="36" customHeight="1" x14ac:dyDescent="0.3">
      <c r="A72" s="249">
        <f t="shared" si="1"/>
        <v>67</v>
      </c>
      <c r="B72" s="90" t="s">
        <v>420</v>
      </c>
      <c r="C72" s="305" t="s">
        <v>0</v>
      </c>
      <c r="D72" s="305" t="s">
        <v>421</v>
      </c>
      <c r="E72" s="91">
        <v>45656</v>
      </c>
      <c r="F72" s="97"/>
      <c r="G72" s="91"/>
      <c r="H72" s="91"/>
      <c r="I72" s="369" t="s">
        <v>26</v>
      </c>
      <c r="J72" s="90" t="s">
        <v>407</v>
      </c>
      <c r="K72" s="92" t="s">
        <v>422</v>
      </c>
      <c r="L72" s="305">
        <v>1100</v>
      </c>
      <c r="M72" s="369" t="s">
        <v>120</v>
      </c>
      <c r="N72" s="110"/>
      <c r="O72" s="305" t="s">
        <v>127</v>
      </c>
      <c r="P72" s="158"/>
      <c r="Q72" s="305"/>
      <c r="R72" s="305"/>
      <c r="S72" s="305"/>
      <c r="T72" s="305">
        <v>9.1999999999999993</v>
      </c>
      <c r="U72" s="305"/>
      <c r="V72" s="305"/>
      <c r="W72" s="305"/>
      <c r="X72" s="305" t="s">
        <v>150</v>
      </c>
      <c r="Y72" s="110"/>
      <c r="Z72" s="110"/>
      <c r="AA72" s="305" t="s">
        <v>299</v>
      </c>
      <c r="AB72" s="369" t="s">
        <v>215</v>
      </c>
      <c r="AC72" s="92" t="s">
        <v>423</v>
      </c>
      <c r="AD72" s="369" t="s">
        <v>199</v>
      </c>
      <c r="AE72" s="88">
        <v>45656</v>
      </c>
      <c r="AF72" s="88"/>
      <c r="AG72" s="88"/>
      <c r="AH72" s="93">
        <v>45656</v>
      </c>
      <c r="AI72" s="264">
        <v>45597</v>
      </c>
      <c r="AJ72" s="95" t="s">
        <v>131</v>
      </c>
      <c r="AK72" s="369" t="s">
        <v>200</v>
      </c>
      <c r="AL72" s="369" t="s">
        <v>154</v>
      </c>
      <c r="AM72" s="369" t="s">
        <v>134</v>
      </c>
      <c r="AN72" s="96"/>
      <c r="AO72" s="369"/>
      <c r="AP72" s="305"/>
      <c r="AQ72" s="372"/>
      <c r="AR72" s="369"/>
      <c r="AS72" s="305"/>
      <c r="AT72" s="102">
        <v>45585</v>
      </c>
      <c r="AU72" s="97">
        <v>45561</v>
      </c>
      <c r="AV72" s="97">
        <v>45561</v>
      </c>
      <c r="AW72" s="97">
        <v>45572</v>
      </c>
      <c r="AX72" s="97"/>
      <c r="AY72" s="98"/>
      <c r="AZ72" s="98"/>
      <c r="BA72" s="98"/>
      <c r="BB72" s="100" t="s">
        <v>424</v>
      </c>
      <c r="BC72" s="65" t="s">
        <v>425</v>
      </c>
      <c r="BD72" s="63" t="s">
        <v>374</v>
      </c>
      <c r="BE72" s="67"/>
      <c r="BF72" s="367"/>
      <c r="BG72" s="368"/>
      <c r="BH72" s="64" t="e">
        <f>#REF!</f>
        <v>#REF!</v>
      </c>
      <c r="BL72" s="54"/>
    </row>
    <row r="73" spans="1:64" ht="36" customHeight="1" x14ac:dyDescent="0.3">
      <c r="A73" s="305">
        <f t="shared" si="1"/>
        <v>68</v>
      </c>
      <c r="B73" s="90" t="s">
        <v>426</v>
      </c>
      <c r="C73" s="305" t="s">
        <v>0</v>
      </c>
      <c r="D73" s="305" t="s">
        <v>262</v>
      </c>
      <c r="E73" s="91"/>
      <c r="F73" s="97"/>
      <c r="G73" s="91"/>
      <c r="H73" s="91"/>
      <c r="I73" s="369" t="s">
        <v>26</v>
      </c>
      <c r="J73" s="90" t="s">
        <v>407</v>
      </c>
      <c r="K73" s="92"/>
      <c r="L73" s="305"/>
      <c r="M73" s="369"/>
      <c r="N73" s="105"/>
      <c r="O73" s="305"/>
      <c r="P73" s="305"/>
      <c r="Q73" s="305"/>
      <c r="R73" s="305"/>
      <c r="S73" s="305"/>
      <c r="T73" s="305"/>
      <c r="U73" s="305"/>
      <c r="V73" s="305"/>
      <c r="W73" s="305"/>
      <c r="X73" s="305"/>
      <c r="Y73" s="305"/>
      <c r="Z73" s="305"/>
      <c r="AA73" s="305"/>
      <c r="AB73" s="305"/>
      <c r="AC73" s="92" t="s">
        <v>427</v>
      </c>
      <c r="AD73" s="369" t="s">
        <v>293</v>
      </c>
      <c r="AE73" s="88"/>
      <c r="AF73" s="88"/>
      <c r="AG73" s="88"/>
      <c r="AH73" s="93"/>
      <c r="AI73" s="94">
        <v>0</v>
      </c>
      <c r="AJ73" s="95" t="s">
        <v>264</v>
      </c>
      <c r="AK73" s="369" t="s">
        <v>190</v>
      </c>
      <c r="AL73" s="369" t="s">
        <v>191</v>
      </c>
      <c r="AM73" s="369"/>
      <c r="AN73" s="96"/>
      <c r="AO73" s="369"/>
      <c r="AP73" s="305"/>
      <c r="AQ73" s="372"/>
      <c r="AR73" s="369"/>
      <c r="AS73" s="305"/>
      <c r="AT73" s="102"/>
      <c r="AU73" s="97"/>
      <c r="AV73" s="97"/>
      <c r="AW73" s="97"/>
      <c r="AX73" s="97"/>
      <c r="AY73" s="98"/>
      <c r="AZ73" s="98"/>
      <c r="BA73" s="98"/>
      <c r="BB73" s="100"/>
      <c r="BC73" s="65"/>
      <c r="BD73" s="63"/>
      <c r="BE73" s="367"/>
      <c r="BF73" s="367"/>
      <c r="BG73" s="368"/>
      <c r="BH73" s="64" t="e">
        <f>#REF!</f>
        <v>#REF!</v>
      </c>
      <c r="BL73" s="54"/>
    </row>
    <row r="74" spans="1:64" ht="36" customHeight="1" x14ac:dyDescent="0.3">
      <c r="A74" s="249">
        <f t="shared" si="1"/>
        <v>69</v>
      </c>
      <c r="B74" s="90" t="s">
        <v>428</v>
      </c>
      <c r="C74" s="305" t="s">
        <v>0</v>
      </c>
      <c r="D74" s="305" t="s">
        <v>429</v>
      </c>
      <c r="E74" s="91">
        <v>45681</v>
      </c>
      <c r="F74" s="97">
        <v>45758</v>
      </c>
      <c r="G74" s="91">
        <v>45807</v>
      </c>
      <c r="H74" s="91"/>
      <c r="I74" s="369" t="s">
        <v>26</v>
      </c>
      <c r="J74" s="90" t="s">
        <v>369</v>
      </c>
      <c r="K74" s="92" t="s">
        <v>430</v>
      </c>
      <c r="L74" s="305">
        <v>1000</v>
      </c>
      <c r="M74" s="369" t="s">
        <v>120</v>
      </c>
      <c r="N74" s="111"/>
      <c r="O74" s="305" t="s">
        <v>127</v>
      </c>
      <c r="P74" s="158"/>
      <c r="Q74" s="305"/>
      <c r="R74" s="305"/>
      <c r="S74" s="305"/>
      <c r="T74" s="110">
        <v>9</v>
      </c>
      <c r="U74" s="110"/>
      <c r="V74" s="110"/>
      <c r="W74" s="110"/>
      <c r="X74" s="369" t="s">
        <v>150</v>
      </c>
      <c r="Y74" s="305" t="s">
        <v>127</v>
      </c>
      <c r="Z74" s="110"/>
      <c r="AA74" s="110"/>
      <c r="AB74" s="369" t="s">
        <v>215</v>
      </c>
      <c r="AC74" s="92" t="s">
        <v>431</v>
      </c>
      <c r="AD74" s="369" t="s">
        <v>152</v>
      </c>
      <c r="AE74" s="88">
        <v>45677</v>
      </c>
      <c r="AF74" s="88"/>
      <c r="AG74" s="88"/>
      <c r="AH74" s="93">
        <v>45681</v>
      </c>
      <c r="AI74" s="264">
        <v>45597</v>
      </c>
      <c r="AJ74" s="95" t="s">
        <v>432</v>
      </c>
      <c r="AK74" s="369" t="s">
        <v>200</v>
      </c>
      <c r="AL74" s="369" t="s">
        <v>183</v>
      </c>
      <c r="AM74" s="369" t="s">
        <v>134</v>
      </c>
      <c r="AN74" s="96"/>
      <c r="AO74" s="369"/>
      <c r="AP74" s="305"/>
      <c r="AQ74" s="372"/>
      <c r="AR74" s="369"/>
      <c r="AS74" s="305"/>
      <c r="AT74" s="102">
        <v>45585</v>
      </c>
      <c r="AU74" s="97">
        <v>45562</v>
      </c>
      <c r="AV74" s="97">
        <v>45562</v>
      </c>
      <c r="AW74" s="97">
        <v>45565</v>
      </c>
      <c r="AX74" s="97"/>
      <c r="AY74" s="98"/>
      <c r="AZ74" s="98"/>
      <c r="BA74" s="98"/>
      <c r="BB74" s="100" t="s">
        <v>385</v>
      </c>
      <c r="BC74" s="65" t="s">
        <v>433</v>
      </c>
      <c r="BD74" s="63"/>
      <c r="BE74" s="367"/>
      <c r="BF74" s="367"/>
      <c r="BG74" s="368"/>
      <c r="BH74" s="64" t="e">
        <f>#REF!</f>
        <v>#REF!</v>
      </c>
      <c r="BL74" s="54"/>
    </row>
    <row r="75" spans="1:64" ht="33.6" customHeight="1" x14ac:dyDescent="0.3">
      <c r="A75" s="247">
        <f t="shared" si="1"/>
        <v>70</v>
      </c>
      <c r="B75" s="90" t="s">
        <v>434</v>
      </c>
      <c r="C75" s="305" t="s">
        <v>0</v>
      </c>
      <c r="D75" s="305" t="s">
        <v>262</v>
      </c>
      <c r="E75" s="91">
        <v>45681</v>
      </c>
      <c r="F75" s="97"/>
      <c r="G75" s="91"/>
      <c r="H75" s="91"/>
      <c r="I75" s="369" t="s">
        <v>26</v>
      </c>
      <c r="J75" s="90" t="s">
        <v>369</v>
      </c>
      <c r="K75" s="92" t="s">
        <v>435</v>
      </c>
      <c r="L75" s="305">
        <v>1000</v>
      </c>
      <c r="M75" s="369" t="s">
        <v>120</v>
      </c>
      <c r="N75" s="110"/>
      <c r="O75" s="305" t="s">
        <v>127</v>
      </c>
      <c r="P75" s="158"/>
      <c r="Q75" s="305"/>
      <c r="R75" s="305"/>
      <c r="S75" s="305"/>
      <c r="T75" s="110">
        <v>8.9</v>
      </c>
      <c r="U75" s="110"/>
      <c r="V75" s="110"/>
      <c r="W75" s="110"/>
      <c r="X75" s="305" t="s">
        <v>150</v>
      </c>
      <c r="Y75" s="305" t="s">
        <v>127</v>
      </c>
      <c r="Z75" s="110"/>
      <c r="AA75" s="110"/>
      <c r="AB75" s="369" t="s">
        <v>215</v>
      </c>
      <c r="AC75" s="92" t="s">
        <v>431</v>
      </c>
      <c r="AD75" s="369" t="s">
        <v>152</v>
      </c>
      <c r="AE75" s="88">
        <v>45677</v>
      </c>
      <c r="AF75" s="88"/>
      <c r="AG75" s="88"/>
      <c r="AH75" s="93">
        <v>45681</v>
      </c>
      <c r="AI75" s="264">
        <v>45597</v>
      </c>
      <c r="AJ75" s="95" t="s">
        <v>330</v>
      </c>
      <c r="AK75" s="369" t="s">
        <v>200</v>
      </c>
      <c r="AL75" s="369" t="s">
        <v>183</v>
      </c>
      <c r="AM75" s="369" t="s">
        <v>134</v>
      </c>
      <c r="AN75" s="96"/>
      <c r="AO75" s="369"/>
      <c r="AP75" s="305"/>
      <c r="AQ75" s="372"/>
      <c r="AR75" s="369"/>
      <c r="AS75" s="305"/>
      <c r="AT75" s="102">
        <v>45585</v>
      </c>
      <c r="AU75" s="97">
        <v>45562</v>
      </c>
      <c r="AV75" s="97">
        <v>45562</v>
      </c>
      <c r="AW75" s="97">
        <v>45565</v>
      </c>
      <c r="AX75" s="97"/>
      <c r="AY75" s="98"/>
      <c r="AZ75" s="98"/>
      <c r="BA75" s="98"/>
      <c r="BB75" s="100" t="s">
        <v>385</v>
      </c>
      <c r="BC75" s="65" t="s">
        <v>433</v>
      </c>
      <c r="BD75" s="63"/>
      <c r="BE75" s="367"/>
      <c r="BF75" s="367"/>
      <c r="BG75" s="368"/>
      <c r="BH75" s="64" t="e">
        <f>#REF!</f>
        <v>#REF!</v>
      </c>
      <c r="BL75" s="54"/>
    </row>
    <row r="76" spans="1:64" ht="36" customHeight="1" x14ac:dyDescent="0.3">
      <c r="A76" s="247">
        <f t="shared" si="1"/>
        <v>71</v>
      </c>
      <c r="B76" s="90"/>
      <c r="C76" s="305" t="s">
        <v>0</v>
      </c>
      <c r="D76" s="369" t="s">
        <v>436</v>
      </c>
      <c r="E76" s="91"/>
      <c r="F76" s="97"/>
      <c r="G76" s="91"/>
      <c r="H76" s="91"/>
      <c r="I76" s="369" t="s">
        <v>20</v>
      </c>
      <c r="J76" s="90" t="s">
        <v>407</v>
      </c>
      <c r="K76" s="92" t="s">
        <v>437</v>
      </c>
      <c r="L76" s="305">
        <v>1000</v>
      </c>
      <c r="M76" s="369" t="s">
        <v>65</v>
      </c>
      <c r="N76" s="111"/>
      <c r="O76" s="305" t="s">
        <v>127</v>
      </c>
      <c r="P76" s="305"/>
      <c r="Q76" s="305"/>
      <c r="R76" s="305"/>
      <c r="S76" s="305"/>
      <c r="T76" s="305">
        <v>8.9</v>
      </c>
      <c r="U76" s="305"/>
      <c r="V76" s="305"/>
      <c r="W76" s="305"/>
      <c r="X76" s="369" t="s">
        <v>150</v>
      </c>
      <c r="Y76" s="305" t="s">
        <v>127</v>
      </c>
      <c r="Z76" s="110"/>
      <c r="AA76" s="110"/>
      <c r="AB76" s="369" t="s">
        <v>215</v>
      </c>
      <c r="AC76" s="92" t="s">
        <v>431</v>
      </c>
      <c r="AD76" s="369" t="s">
        <v>152</v>
      </c>
      <c r="AE76" s="88">
        <v>45677</v>
      </c>
      <c r="AF76" s="88"/>
      <c r="AG76" s="88"/>
      <c r="AH76" s="93">
        <v>45681</v>
      </c>
      <c r="AI76" s="264">
        <v>45597</v>
      </c>
      <c r="AJ76" s="95" t="s">
        <v>264</v>
      </c>
      <c r="AK76" s="369" t="s">
        <v>200</v>
      </c>
      <c r="AL76" s="369" t="s">
        <v>183</v>
      </c>
      <c r="AM76" s="369" t="s">
        <v>134</v>
      </c>
      <c r="AN76" s="96"/>
      <c r="AO76" s="369"/>
      <c r="AP76" s="305"/>
      <c r="AQ76" s="372"/>
      <c r="AR76" s="369"/>
      <c r="AS76" s="305"/>
      <c r="AT76" s="102">
        <v>45611</v>
      </c>
      <c r="AU76" s="97">
        <v>45562</v>
      </c>
      <c r="AV76" s="97">
        <v>45562</v>
      </c>
      <c r="AW76" s="97">
        <v>45565</v>
      </c>
      <c r="AX76" s="97"/>
      <c r="AY76" s="98"/>
      <c r="AZ76" s="98"/>
      <c r="BA76" s="98"/>
      <c r="BB76" s="100" t="s">
        <v>385</v>
      </c>
      <c r="BC76" s="65" t="s">
        <v>438</v>
      </c>
      <c r="BD76" s="63"/>
      <c r="BE76" s="367"/>
      <c r="BF76" s="367"/>
      <c r="BG76" s="368"/>
      <c r="BH76" s="64" t="e">
        <f>#REF!</f>
        <v>#REF!</v>
      </c>
      <c r="BL76" s="54"/>
    </row>
    <row r="77" spans="1:64" ht="36" customHeight="1" x14ac:dyDescent="0.3">
      <c r="A77" s="247">
        <f t="shared" si="1"/>
        <v>72</v>
      </c>
      <c r="B77" s="90" t="s">
        <v>439</v>
      </c>
      <c r="C77" s="305" t="s">
        <v>0</v>
      </c>
      <c r="D77" s="305" t="s">
        <v>262</v>
      </c>
      <c r="E77" s="91">
        <v>45681</v>
      </c>
      <c r="F77" s="97">
        <v>1</v>
      </c>
      <c r="G77" s="91"/>
      <c r="H77" s="91"/>
      <c r="I77" s="369" t="s">
        <v>20</v>
      </c>
      <c r="J77" s="90" t="s">
        <v>407</v>
      </c>
      <c r="K77" s="92" t="s">
        <v>440</v>
      </c>
      <c r="L77" s="305">
        <v>1000</v>
      </c>
      <c r="M77" s="369" t="s">
        <v>120</v>
      </c>
      <c r="N77" s="111"/>
      <c r="O77" s="305" t="s">
        <v>127</v>
      </c>
      <c r="P77" s="305"/>
      <c r="Q77" s="305"/>
      <c r="R77" s="305"/>
      <c r="S77" s="305"/>
      <c r="T77" s="305">
        <v>8.9</v>
      </c>
      <c r="U77" s="305"/>
      <c r="V77" s="305"/>
      <c r="W77" s="305"/>
      <c r="X77" s="369" t="s">
        <v>150</v>
      </c>
      <c r="Y77" s="305" t="s">
        <v>127</v>
      </c>
      <c r="Z77" s="110"/>
      <c r="AA77" s="110"/>
      <c r="AB77" s="369" t="s">
        <v>215</v>
      </c>
      <c r="AC77" s="92" t="s">
        <v>431</v>
      </c>
      <c r="AD77" s="369" t="s">
        <v>152</v>
      </c>
      <c r="AE77" s="88">
        <v>45677</v>
      </c>
      <c r="AF77" s="88"/>
      <c r="AG77" s="88"/>
      <c r="AH77" s="93">
        <v>45681</v>
      </c>
      <c r="AI77" s="264">
        <v>45597</v>
      </c>
      <c r="AJ77" s="95" t="s">
        <v>264</v>
      </c>
      <c r="AK77" s="369" t="s">
        <v>200</v>
      </c>
      <c r="AL77" s="369" t="s">
        <v>183</v>
      </c>
      <c r="AM77" s="369" t="s">
        <v>134</v>
      </c>
      <c r="AN77" s="96"/>
      <c r="AO77" s="369"/>
      <c r="AP77" s="305"/>
      <c r="AQ77" s="372"/>
      <c r="AR77" s="369"/>
      <c r="AS77" s="305"/>
      <c r="AT77" s="102">
        <v>45585</v>
      </c>
      <c r="AU77" s="97">
        <v>45562</v>
      </c>
      <c r="AV77" s="97">
        <v>45562</v>
      </c>
      <c r="AW77" s="97">
        <v>45565</v>
      </c>
      <c r="AX77" s="97"/>
      <c r="AY77" s="98"/>
      <c r="AZ77" s="98"/>
      <c r="BA77" s="98"/>
      <c r="BB77" s="100" t="s">
        <v>385</v>
      </c>
      <c r="BC77" s="65" t="s">
        <v>438</v>
      </c>
      <c r="BD77" s="63"/>
      <c r="BE77" s="367"/>
      <c r="BF77" s="367"/>
      <c r="BG77" s="368"/>
      <c r="BH77" s="64" t="e">
        <f>#REF!</f>
        <v>#REF!</v>
      </c>
      <c r="BL77" s="54"/>
    </row>
    <row r="78" spans="1:64" ht="36" customHeight="1" x14ac:dyDescent="0.3">
      <c r="A78" s="305">
        <f t="shared" si="1"/>
        <v>73</v>
      </c>
      <c r="B78" s="90" t="s">
        <v>441</v>
      </c>
      <c r="C78" s="305" t="s">
        <v>0</v>
      </c>
      <c r="D78" s="305" t="s">
        <v>262</v>
      </c>
      <c r="E78" s="91"/>
      <c r="F78" s="97"/>
      <c r="G78" s="91"/>
      <c r="H78" s="91"/>
      <c r="I78" s="369" t="s">
        <v>20</v>
      </c>
      <c r="J78" s="90" t="s">
        <v>407</v>
      </c>
      <c r="K78" s="92" t="s">
        <v>442</v>
      </c>
      <c r="L78" s="110"/>
      <c r="M78" s="104"/>
      <c r="N78" s="110"/>
      <c r="O78" s="110"/>
      <c r="P78" s="310"/>
      <c r="Q78" s="110"/>
      <c r="R78" s="110"/>
      <c r="S78" s="110"/>
      <c r="T78" s="110"/>
      <c r="U78" s="110"/>
      <c r="V78" s="110"/>
      <c r="W78" s="110"/>
      <c r="X78" s="110"/>
      <c r="Y78" s="110"/>
      <c r="Z78" s="110"/>
      <c r="AA78" s="110"/>
      <c r="AB78" s="110"/>
      <c r="AC78" s="92" t="s">
        <v>431</v>
      </c>
      <c r="AD78" s="369" t="s">
        <v>152</v>
      </c>
      <c r="AE78" s="88"/>
      <c r="AF78" s="88"/>
      <c r="AG78" s="88"/>
      <c r="AH78" s="93"/>
      <c r="AI78" s="264">
        <v>0</v>
      </c>
      <c r="AJ78" s="95" t="s">
        <v>264</v>
      </c>
      <c r="AK78" s="369" t="s">
        <v>200</v>
      </c>
      <c r="AL78" s="369" t="s">
        <v>183</v>
      </c>
      <c r="AM78" s="369" t="s">
        <v>134</v>
      </c>
      <c r="AN78" s="96"/>
      <c r="AO78" s="369"/>
      <c r="AP78" s="305"/>
      <c r="AQ78" s="372"/>
      <c r="AR78" s="369"/>
      <c r="AS78" s="305"/>
      <c r="AT78" s="102">
        <v>45611</v>
      </c>
      <c r="AU78" s="97"/>
      <c r="AV78" s="97"/>
      <c r="AW78" s="97">
        <v>45576</v>
      </c>
      <c r="AX78" s="97"/>
      <c r="AY78" s="98"/>
      <c r="AZ78" s="98"/>
      <c r="BA78" s="98"/>
      <c r="BB78" s="100" t="s">
        <v>443</v>
      </c>
      <c r="BC78" s="65" t="s">
        <v>438</v>
      </c>
      <c r="BD78" s="63"/>
      <c r="BE78" s="67"/>
      <c r="BF78" s="367"/>
      <c r="BG78" s="368"/>
      <c r="BH78" s="64" t="e">
        <f>#REF!</f>
        <v>#REF!</v>
      </c>
      <c r="BL78" s="54"/>
    </row>
    <row r="79" spans="1:64" ht="37.200000000000003" customHeight="1" x14ac:dyDescent="0.3">
      <c r="A79" s="249">
        <f t="shared" si="1"/>
        <v>74</v>
      </c>
      <c r="B79" s="90" t="s">
        <v>444</v>
      </c>
      <c r="C79" s="305" t="s">
        <v>0</v>
      </c>
      <c r="D79" s="305" t="s">
        <v>445</v>
      </c>
      <c r="E79" s="96">
        <v>45681</v>
      </c>
      <c r="F79" s="102">
        <v>45722</v>
      </c>
      <c r="G79" s="256">
        <v>45730</v>
      </c>
      <c r="H79" s="369"/>
      <c r="I79" s="369" t="s">
        <v>26</v>
      </c>
      <c r="J79" s="90" t="s">
        <v>369</v>
      </c>
      <c r="K79" s="92" t="s">
        <v>446</v>
      </c>
      <c r="L79" s="305">
        <v>1112</v>
      </c>
      <c r="M79" s="369" t="s">
        <v>65</v>
      </c>
      <c r="N79" s="111"/>
      <c r="O79" s="305" t="s">
        <v>127</v>
      </c>
      <c r="P79" s="158"/>
      <c r="Q79" s="305"/>
      <c r="R79" s="305"/>
      <c r="S79" s="305"/>
      <c r="T79" s="104">
        <v>9.1999999999999993</v>
      </c>
      <c r="U79" s="104"/>
      <c r="V79" s="104"/>
      <c r="W79" s="104"/>
      <c r="X79" s="369" t="s">
        <v>150</v>
      </c>
      <c r="Y79" s="369" t="s">
        <v>127</v>
      </c>
      <c r="Z79" s="104"/>
      <c r="AA79" s="104"/>
      <c r="AB79" s="369" t="s">
        <v>215</v>
      </c>
      <c r="AC79" s="92" t="s">
        <v>447</v>
      </c>
      <c r="AD79" s="369" t="s">
        <v>152</v>
      </c>
      <c r="AE79" s="115"/>
      <c r="AF79" s="115"/>
      <c r="AG79" s="115"/>
      <c r="AH79" s="93">
        <v>45681</v>
      </c>
      <c r="AI79" s="264">
        <v>45627</v>
      </c>
      <c r="AJ79" s="95" t="s">
        <v>131</v>
      </c>
      <c r="AK79" s="369" t="s">
        <v>200</v>
      </c>
      <c r="AL79" s="369" t="s">
        <v>183</v>
      </c>
      <c r="AM79" s="369" t="s">
        <v>134</v>
      </c>
      <c r="AN79" s="96"/>
      <c r="AO79" s="369"/>
      <c r="AP79" s="305"/>
      <c r="AQ79" s="372"/>
      <c r="AR79" s="369"/>
      <c r="AS79" s="305"/>
      <c r="AT79" s="96">
        <v>45611</v>
      </c>
      <c r="AU79" s="103">
        <v>45572</v>
      </c>
      <c r="AV79" s="97">
        <v>45572</v>
      </c>
      <c r="AW79" s="97">
        <v>45576</v>
      </c>
      <c r="AX79" s="97"/>
      <c r="AY79" s="98"/>
      <c r="AZ79" s="98"/>
      <c r="BA79" s="98"/>
      <c r="BB79" s="100" t="s">
        <v>448</v>
      </c>
      <c r="BC79" s="65" t="s">
        <v>449</v>
      </c>
      <c r="BD79" s="63"/>
      <c r="BE79" s="71"/>
      <c r="BF79" s="367"/>
      <c r="BG79" s="368"/>
      <c r="BH79" s="64" t="e">
        <f>#REF!</f>
        <v>#REF!</v>
      </c>
      <c r="BL79" s="54"/>
    </row>
    <row r="80" spans="1:64" ht="36" customHeight="1" x14ac:dyDescent="0.3">
      <c r="A80" s="249">
        <f t="shared" si="1"/>
        <v>75</v>
      </c>
      <c r="B80" s="90" t="s">
        <v>450</v>
      </c>
      <c r="C80" s="305" t="s">
        <v>0</v>
      </c>
      <c r="D80" s="305" t="s">
        <v>262</v>
      </c>
      <c r="E80" s="96">
        <v>45681</v>
      </c>
      <c r="F80" s="102"/>
      <c r="G80" s="369"/>
      <c r="H80" s="369"/>
      <c r="I80" s="369" t="s">
        <v>26</v>
      </c>
      <c r="J80" s="90" t="s">
        <v>369</v>
      </c>
      <c r="K80" s="92" t="s">
        <v>451</v>
      </c>
      <c r="L80" s="305">
        <v>1000</v>
      </c>
      <c r="M80" s="369" t="s">
        <v>65</v>
      </c>
      <c r="N80" s="305"/>
      <c r="O80" s="305" t="s">
        <v>127</v>
      </c>
      <c r="P80" s="158"/>
      <c r="Q80" s="305"/>
      <c r="R80" s="305"/>
      <c r="S80" s="305"/>
      <c r="T80" s="305">
        <v>12</v>
      </c>
      <c r="U80" s="305"/>
      <c r="V80" s="305"/>
      <c r="W80" s="305"/>
      <c r="X80" s="369" t="s">
        <v>150</v>
      </c>
      <c r="Y80" s="369" t="s">
        <v>127</v>
      </c>
      <c r="Z80" s="305"/>
      <c r="AA80" s="305" t="s">
        <v>299</v>
      </c>
      <c r="AB80" s="305" t="s">
        <v>215</v>
      </c>
      <c r="AC80" s="92" t="s">
        <v>452</v>
      </c>
      <c r="AD80" s="369" t="s">
        <v>284</v>
      </c>
      <c r="AE80" s="88">
        <v>45677</v>
      </c>
      <c r="AF80" s="88"/>
      <c r="AG80" s="88"/>
      <c r="AH80" s="114">
        <v>45681</v>
      </c>
      <c r="AI80" s="265">
        <v>45597</v>
      </c>
      <c r="AJ80" s="95" t="s">
        <v>330</v>
      </c>
      <c r="AK80" s="369" t="s">
        <v>200</v>
      </c>
      <c r="AL80" s="369" t="s">
        <v>183</v>
      </c>
      <c r="AM80" s="369" t="s">
        <v>134</v>
      </c>
      <c r="AN80" s="369"/>
      <c r="AO80" s="369"/>
      <c r="AP80" s="305"/>
      <c r="AQ80" s="371"/>
      <c r="AR80" s="369"/>
      <c r="AS80" s="305"/>
      <c r="AT80" s="96">
        <v>45606</v>
      </c>
      <c r="AU80" s="97">
        <v>45572</v>
      </c>
      <c r="AV80" s="97">
        <v>45572</v>
      </c>
      <c r="AW80" s="97">
        <v>45576</v>
      </c>
      <c r="AX80" s="97"/>
      <c r="AY80" s="98"/>
      <c r="AZ80" s="98"/>
      <c r="BA80" s="98"/>
      <c r="BB80" s="100" t="s">
        <v>453</v>
      </c>
      <c r="BC80" s="65" t="s">
        <v>454</v>
      </c>
      <c r="BD80" s="63" t="s">
        <v>374</v>
      </c>
      <c r="BE80" s="71"/>
      <c r="BF80" s="367"/>
      <c r="BG80" s="368"/>
      <c r="BH80" s="64" t="e">
        <f>#REF!</f>
        <v>#REF!</v>
      </c>
      <c r="BL80" s="54"/>
    </row>
    <row r="81" spans="1:64" ht="36" customHeight="1" x14ac:dyDescent="0.3">
      <c r="A81" s="246">
        <f t="shared" si="1"/>
        <v>76</v>
      </c>
      <c r="B81" s="90" t="s">
        <v>455</v>
      </c>
      <c r="C81" s="305" t="s">
        <v>0</v>
      </c>
      <c r="D81" s="305" t="s">
        <v>456</v>
      </c>
      <c r="E81" s="91">
        <v>45656</v>
      </c>
      <c r="F81" s="97">
        <v>45677</v>
      </c>
      <c r="G81" s="305"/>
      <c r="H81" s="305"/>
      <c r="I81" s="369" t="s">
        <v>26</v>
      </c>
      <c r="J81" s="92" t="s">
        <v>369</v>
      </c>
      <c r="K81" s="92" t="s">
        <v>451</v>
      </c>
      <c r="L81" s="305">
        <v>1000</v>
      </c>
      <c r="M81" s="369" t="s">
        <v>65</v>
      </c>
      <c r="N81" s="305"/>
      <c r="O81" s="305" t="s">
        <v>127</v>
      </c>
      <c r="P81" s="158"/>
      <c r="Q81" s="305"/>
      <c r="R81" s="305"/>
      <c r="S81" s="305"/>
      <c r="T81" s="305">
        <v>12</v>
      </c>
      <c r="U81" s="305"/>
      <c r="V81" s="305"/>
      <c r="W81" s="305"/>
      <c r="X81" s="369" t="s">
        <v>150</v>
      </c>
      <c r="Y81" s="369" t="s">
        <v>127</v>
      </c>
      <c r="Z81" s="305"/>
      <c r="AA81" s="305"/>
      <c r="AB81" s="305" t="s">
        <v>215</v>
      </c>
      <c r="AC81" s="92" t="s">
        <v>457</v>
      </c>
      <c r="AD81" s="369" t="s">
        <v>152</v>
      </c>
      <c r="AE81" s="88">
        <v>45656</v>
      </c>
      <c r="AF81" s="88"/>
      <c r="AG81" s="88"/>
      <c r="AH81" s="114">
        <v>45656</v>
      </c>
      <c r="AI81" s="265">
        <v>45566</v>
      </c>
      <c r="AJ81" s="95" t="s">
        <v>131</v>
      </c>
      <c r="AK81" s="369" t="s">
        <v>200</v>
      </c>
      <c r="AL81" s="369" t="s">
        <v>183</v>
      </c>
      <c r="AM81" s="369" t="s">
        <v>134</v>
      </c>
      <c r="AN81" s="369"/>
      <c r="AO81" s="369"/>
      <c r="AP81" s="305"/>
      <c r="AQ81" s="371"/>
      <c r="AR81" s="369"/>
      <c r="AS81" s="305"/>
      <c r="AT81" s="96">
        <v>45585</v>
      </c>
      <c r="AU81" s="97">
        <v>45562</v>
      </c>
      <c r="AV81" s="97">
        <v>45562</v>
      </c>
      <c r="AW81" s="97">
        <v>45530</v>
      </c>
      <c r="AX81" s="97"/>
      <c r="AY81" s="98"/>
      <c r="AZ81" s="98"/>
      <c r="BA81" s="98"/>
      <c r="BB81" s="100" t="s">
        <v>453</v>
      </c>
      <c r="BC81" s="65" t="s">
        <v>454</v>
      </c>
      <c r="BD81" s="63" t="s">
        <v>374</v>
      </c>
      <c r="BE81" s="71"/>
      <c r="BF81" s="367"/>
      <c r="BG81" s="368"/>
      <c r="BH81" s="64" t="e">
        <f>#REF!</f>
        <v>#REF!</v>
      </c>
      <c r="BL81" s="54"/>
    </row>
    <row r="82" spans="1:64" ht="39" customHeight="1" x14ac:dyDescent="0.3">
      <c r="A82" s="249">
        <f t="shared" si="1"/>
        <v>77</v>
      </c>
      <c r="B82" s="90"/>
      <c r="C82" s="305" t="s">
        <v>0</v>
      </c>
      <c r="D82" s="369" t="s">
        <v>458</v>
      </c>
      <c r="E82" s="91">
        <v>45681</v>
      </c>
      <c r="F82" s="97">
        <v>1</v>
      </c>
      <c r="G82" s="305"/>
      <c r="H82" s="305"/>
      <c r="I82" s="305" t="s">
        <v>26</v>
      </c>
      <c r="J82" s="92" t="s">
        <v>369</v>
      </c>
      <c r="K82" s="92" t="s">
        <v>459</v>
      </c>
      <c r="L82" s="305">
        <v>1000</v>
      </c>
      <c r="M82" s="369" t="s">
        <v>65</v>
      </c>
      <c r="N82" s="305"/>
      <c r="O82" s="305" t="s">
        <v>127</v>
      </c>
      <c r="P82" s="305"/>
      <c r="Q82" s="305"/>
      <c r="R82" s="305"/>
      <c r="S82" s="305"/>
      <c r="T82" s="305">
        <v>12</v>
      </c>
      <c r="U82" s="305"/>
      <c r="V82" s="305"/>
      <c r="W82" s="305"/>
      <c r="X82" s="369" t="s">
        <v>150</v>
      </c>
      <c r="Y82" s="369" t="s">
        <v>127</v>
      </c>
      <c r="Z82" s="305"/>
      <c r="AA82" s="305" t="s">
        <v>299</v>
      </c>
      <c r="AB82" s="305" t="s">
        <v>215</v>
      </c>
      <c r="AC82" s="92" t="s">
        <v>452</v>
      </c>
      <c r="AD82" s="369" t="s">
        <v>284</v>
      </c>
      <c r="AE82" s="88">
        <v>45677</v>
      </c>
      <c r="AF82" s="88"/>
      <c r="AG82" s="88"/>
      <c r="AH82" s="114">
        <v>45681</v>
      </c>
      <c r="AI82" s="265">
        <v>45597</v>
      </c>
      <c r="AJ82" s="95" t="s">
        <v>264</v>
      </c>
      <c r="AK82" s="369" t="s">
        <v>200</v>
      </c>
      <c r="AL82" s="369" t="s">
        <v>183</v>
      </c>
      <c r="AM82" s="369" t="s">
        <v>134</v>
      </c>
      <c r="AN82" s="96"/>
      <c r="AO82" s="369"/>
      <c r="AP82" s="305"/>
      <c r="AQ82" s="371"/>
      <c r="AR82" s="369"/>
      <c r="AS82" s="305"/>
      <c r="AT82" s="96">
        <v>45606</v>
      </c>
      <c r="AU82" s="97">
        <v>45572</v>
      </c>
      <c r="AV82" s="97">
        <v>45572</v>
      </c>
      <c r="AW82" s="97">
        <v>45576</v>
      </c>
      <c r="AX82" s="97"/>
      <c r="AY82" s="98"/>
      <c r="AZ82" s="98"/>
      <c r="BA82" s="98"/>
      <c r="BB82" s="100" t="s">
        <v>453</v>
      </c>
      <c r="BC82" s="65" t="s">
        <v>460</v>
      </c>
      <c r="BD82" s="63" t="s">
        <v>374</v>
      </c>
      <c r="BE82" s="71"/>
      <c r="BF82" s="367"/>
      <c r="BG82" s="368"/>
      <c r="BH82" s="64" t="e">
        <f>#REF!</f>
        <v>#REF!</v>
      </c>
      <c r="BL82" s="54"/>
    </row>
    <row r="83" spans="1:64" ht="36" customHeight="1" x14ac:dyDescent="0.3">
      <c r="A83" s="246">
        <f t="shared" si="1"/>
        <v>78</v>
      </c>
      <c r="B83" s="90" t="s">
        <v>461</v>
      </c>
      <c r="C83" s="305" t="s">
        <v>0</v>
      </c>
      <c r="D83" s="305" t="s">
        <v>462</v>
      </c>
      <c r="E83" s="91">
        <v>45656</v>
      </c>
      <c r="F83" s="97">
        <v>45677</v>
      </c>
      <c r="G83" s="305"/>
      <c r="H83" s="305"/>
      <c r="I83" s="305" t="s">
        <v>26</v>
      </c>
      <c r="J83" s="92" t="s">
        <v>369</v>
      </c>
      <c r="K83" s="92" t="s">
        <v>459</v>
      </c>
      <c r="L83" s="305">
        <v>1100</v>
      </c>
      <c r="M83" s="369" t="s">
        <v>65</v>
      </c>
      <c r="N83" s="305"/>
      <c r="O83" s="305" t="s">
        <v>127</v>
      </c>
      <c r="P83" s="158"/>
      <c r="Q83" s="305"/>
      <c r="R83" s="305"/>
      <c r="S83" s="305"/>
      <c r="T83" s="305">
        <v>12</v>
      </c>
      <c r="U83" s="305"/>
      <c r="V83" s="305"/>
      <c r="W83" s="305"/>
      <c r="X83" s="369" t="s">
        <v>150</v>
      </c>
      <c r="Y83" s="369" t="s">
        <v>127</v>
      </c>
      <c r="Z83" s="305"/>
      <c r="AA83" s="305"/>
      <c r="AB83" s="305" t="s">
        <v>215</v>
      </c>
      <c r="AC83" s="92" t="s">
        <v>457</v>
      </c>
      <c r="AD83" s="369" t="s">
        <v>152</v>
      </c>
      <c r="AE83" s="88">
        <v>45656</v>
      </c>
      <c r="AF83" s="88"/>
      <c r="AG83" s="88"/>
      <c r="AH83" s="114">
        <v>45656</v>
      </c>
      <c r="AI83" s="265">
        <v>45597</v>
      </c>
      <c r="AJ83" s="95" t="s">
        <v>131</v>
      </c>
      <c r="AK83" s="369" t="s">
        <v>200</v>
      </c>
      <c r="AL83" s="369" t="s">
        <v>183</v>
      </c>
      <c r="AM83" s="369" t="s">
        <v>134</v>
      </c>
      <c r="AN83" s="369"/>
      <c r="AO83" s="369"/>
      <c r="AP83" s="305"/>
      <c r="AQ83" s="371"/>
      <c r="AR83" s="369"/>
      <c r="AS83" s="305"/>
      <c r="AT83" s="96">
        <v>45611</v>
      </c>
      <c r="AU83" s="97">
        <v>45562</v>
      </c>
      <c r="AV83" s="97">
        <v>45562</v>
      </c>
      <c r="AW83" s="97">
        <v>45565</v>
      </c>
      <c r="AX83" s="97"/>
      <c r="AY83" s="98"/>
      <c r="AZ83" s="98"/>
      <c r="BA83" s="98"/>
      <c r="BB83" s="100" t="s">
        <v>453</v>
      </c>
      <c r="BC83" s="65" t="s">
        <v>460</v>
      </c>
      <c r="BD83" s="63" t="s">
        <v>374</v>
      </c>
      <c r="BE83" s="71"/>
      <c r="BF83" s="367"/>
      <c r="BG83" s="368"/>
      <c r="BH83" s="64" t="e">
        <f>#REF!</f>
        <v>#REF!</v>
      </c>
      <c r="BL83" s="54"/>
    </row>
    <row r="84" spans="1:64" ht="36" customHeight="1" x14ac:dyDescent="0.3">
      <c r="A84" s="249">
        <f t="shared" si="1"/>
        <v>79</v>
      </c>
      <c r="B84" s="90" t="s">
        <v>463</v>
      </c>
      <c r="C84" s="305" t="s">
        <v>0</v>
      </c>
      <c r="D84" s="305" t="s">
        <v>464</v>
      </c>
      <c r="E84" s="91">
        <v>45681</v>
      </c>
      <c r="F84" s="97">
        <v>45734</v>
      </c>
      <c r="G84" s="91">
        <v>45735</v>
      </c>
      <c r="H84" s="305"/>
      <c r="I84" s="305" t="s">
        <v>26</v>
      </c>
      <c r="J84" s="92" t="s">
        <v>369</v>
      </c>
      <c r="K84" s="92" t="s">
        <v>465</v>
      </c>
      <c r="L84" s="305">
        <v>1100</v>
      </c>
      <c r="M84" s="369" t="s">
        <v>120</v>
      </c>
      <c r="N84" s="110"/>
      <c r="O84" s="305" t="s">
        <v>127</v>
      </c>
      <c r="P84" s="158"/>
      <c r="Q84" s="305"/>
      <c r="R84" s="305"/>
      <c r="S84" s="305"/>
      <c r="T84" s="305">
        <v>6.7</v>
      </c>
      <c r="U84" s="305"/>
      <c r="V84" s="305"/>
      <c r="W84" s="305"/>
      <c r="X84" s="369" t="s">
        <v>150</v>
      </c>
      <c r="Y84" s="369" t="s">
        <v>127</v>
      </c>
      <c r="Z84" s="305"/>
      <c r="AA84" s="305" t="s">
        <v>299</v>
      </c>
      <c r="AB84" s="305" t="s">
        <v>215</v>
      </c>
      <c r="AC84" s="92" t="s">
        <v>466</v>
      </c>
      <c r="AD84" s="369" t="s">
        <v>284</v>
      </c>
      <c r="AE84" s="115">
        <v>45677</v>
      </c>
      <c r="AF84" s="115"/>
      <c r="AG84" s="115"/>
      <c r="AH84" s="93">
        <v>45681</v>
      </c>
      <c r="AI84" s="264"/>
      <c r="AJ84" s="95" t="s">
        <v>131</v>
      </c>
      <c r="AK84" s="369" t="s">
        <v>200</v>
      </c>
      <c r="AL84" s="369" t="s">
        <v>183</v>
      </c>
      <c r="AM84" s="369" t="s">
        <v>134</v>
      </c>
      <c r="AN84" s="369"/>
      <c r="AO84" s="369"/>
      <c r="AP84" s="305"/>
      <c r="AQ84" s="371"/>
      <c r="AR84" s="369"/>
      <c r="AS84" s="305"/>
      <c r="AT84" s="96">
        <v>45606</v>
      </c>
      <c r="AU84" s="103">
        <v>45572</v>
      </c>
      <c r="AV84" s="97">
        <v>45572</v>
      </c>
      <c r="AW84" s="97">
        <v>45530</v>
      </c>
      <c r="AX84" s="97"/>
      <c r="AY84" s="98"/>
      <c r="AZ84" s="98"/>
      <c r="BA84" s="98"/>
      <c r="BB84" s="100" t="s">
        <v>385</v>
      </c>
      <c r="BC84" s="48" t="s">
        <v>467</v>
      </c>
      <c r="BD84" s="46"/>
      <c r="BE84" s="71"/>
      <c r="BF84" s="367"/>
      <c r="BG84" s="367"/>
      <c r="BH84" s="64" t="e">
        <f>#REF!</f>
        <v>#REF!</v>
      </c>
      <c r="BL84" s="54"/>
    </row>
    <row r="85" spans="1:64" ht="36" customHeight="1" x14ac:dyDescent="0.3">
      <c r="A85" s="249">
        <f t="shared" si="1"/>
        <v>80</v>
      </c>
      <c r="B85" s="90" t="s">
        <v>468</v>
      </c>
      <c r="C85" s="305" t="s">
        <v>0</v>
      </c>
      <c r="D85" s="305" t="s">
        <v>469</v>
      </c>
      <c r="E85" s="91">
        <v>45681</v>
      </c>
      <c r="F85" s="97">
        <v>45734</v>
      </c>
      <c r="G85" s="91">
        <v>45735</v>
      </c>
      <c r="H85" s="305"/>
      <c r="I85" s="305" t="s">
        <v>26</v>
      </c>
      <c r="J85" s="92" t="s">
        <v>369</v>
      </c>
      <c r="K85" s="92" t="s">
        <v>465</v>
      </c>
      <c r="L85" s="305">
        <v>1100</v>
      </c>
      <c r="M85" s="369" t="s">
        <v>120</v>
      </c>
      <c r="N85" s="110"/>
      <c r="O85" s="305" t="s">
        <v>127</v>
      </c>
      <c r="P85" s="158"/>
      <c r="Q85" s="305"/>
      <c r="R85" s="305"/>
      <c r="S85" s="305"/>
      <c r="T85" s="305">
        <v>6.7</v>
      </c>
      <c r="U85" s="305"/>
      <c r="V85" s="305"/>
      <c r="W85" s="305"/>
      <c r="X85" s="369" t="s">
        <v>150</v>
      </c>
      <c r="Y85" s="369" t="s">
        <v>127</v>
      </c>
      <c r="Z85" s="305"/>
      <c r="AA85" s="305"/>
      <c r="AB85" s="305" t="s">
        <v>215</v>
      </c>
      <c r="AC85" s="92" t="s">
        <v>470</v>
      </c>
      <c r="AD85" s="369" t="s">
        <v>152</v>
      </c>
      <c r="AE85" s="115">
        <v>45677</v>
      </c>
      <c r="AF85" s="115"/>
      <c r="AG85" s="115"/>
      <c r="AH85" s="93">
        <v>45681</v>
      </c>
      <c r="AI85" s="264">
        <v>45597</v>
      </c>
      <c r="AJ85" s="95" t="s">
        <v>131</v>
      </c>
      <c r="AK85" s="369" t="s">
        <v>200</v>
      </c>
      <c r="AL85" s="369" t="s">
        <v>183</v>
      </c>
      <c r="AM85" s="369" t="s">
        <v>134</v>
      </c>
      <c r="AN85" s="369"/>
      <c r="AO85" s="369"/>
      <c r="AP85" s="305"/>
      <c r="AQ85" s="371"/>
      <c r="AR85" s="369"/>
      <c r="AS85" s="305"/>
      <c r="AT85" s="96">
        <v>45585</v>
      </c>
      <c r="AU85" s="103">
        <v>45562</v>
      </c>
      <c r="AV85" s="97">
        <v>45562</v>
      </c>
      <c r="AW85" s="97">
        <v>45530</v>
      </c>
      <c r="AX85" s="97"/>
      <c r="AY85" s="98"/>
      <c r="AZ85" s="98"/>
      <c r="BA85" s="98"/>
      <c r="BB85" s="100" t="s">
        <v>385</v>
      </c>
      <c r="BC85" s="48" t="s">
        <v>471</v>
      </c>
      <c r="BD85" s="46"/>
      <c r="BE85" s="71"/>
      <c r="BF85" s="367"/>
      <c r="BG85" s="367"/>
      <c r="BH85" s="64" t="e">
        <f>#REF!</f>
        <v>#REF!</v>
      </c>
      <c r="BL85" s="54"/>
    </row>
    <row r="86" spans="1:64" ht="36" customHeight="1" x14ac:dyDescent="0.3">
      <c r="A86" s="247">
        <f t="shared" si="1"/>
        <v>81</v>
      </c>
      <c r="B86" s="90" t="s">
        <v>472</v>
      </c>
      <c r="C86" s="305" t="s">
        <v>0</v>
      </c>
      <c r="D86" s="305" t="s">
        <v>473</v>
      </c>
      <c r="E86" s="91">
        <v>45681</v>
      </c>
      <c r="F86" s="97"/>
      <c r="G86" s="305"/>
      <c r="H86" s="305"/>
      <c r="I86" s="305" t="s">
        <v>26</v>
      </c>
      <c r="J86" s="92" t="s">
        <v>369</v>
      </c>
      <c r="K86" s="92" t="s">
        <v>474</v>
      </c>
      <c r="L86" s="305">
        <v>1110</v>
      </c>
      <c r="M86" s="369" t="s">
        <v>65</v>
      </c>
      <c r="N86" s="110"/>
      <c r="O86" s="305" t="s">
        <v>127</v>
      </c>
      <c r="P86" s="158"/>
      <c r="Q86" s="305"/>
      <c r="R86" s="305"/>
      <c r="S86" s="305"/>
      <c r="T86" s="305">
        <v>6.7</v>
      </c>
      <c r="U86" s="305"/>
      <c r="V86" s="305"/>
      <c r="W86" s="305"/>
      <c r="X86" s="369" t="s">
        <v>150</v>
      </c>
      <c r="Y86" s="369" t="s">
        <v>127</v>
      </c>
      <c r="Z86" s="110"/>
      <c r="AA86" s="305" t="s">
        <v>299</v>
      </c>
      <c r="AB86" s="305" t="s">
        <v>215</v>
      </c>
      <c r="AC86" s="92" t="s">
        <v>475</v>
      </c>
      <c r="AD86" s="369" t="s">
        <v>284</v>
      </c>
      <c r="AE86" s="115">
        <v>45677</v>
      </c>
      <c r="AF86" s="115"/>
      <c r="AG86" s="115"/>
      <c r="AH86" s="93">
        <v>45681</v>
      </c>
      <c r="AI86" s="264">
        <v>45627</v>
      </c>
      <c r="AJ86" s="95" t="s">
        <v>131</v>
      </c>
      <c r="AK86" s="369" t="s">
        <v>200</v>
      </c>
      <c r="AL86" s="369" t="s">
        <v>183</v>
      </c>
      <c r="AM86" s="369" t="s">
        <v>134</v>
      </c>
      <c r="AN86" s="369"/>
      <c r="AO86" s="369"/>
      <c r="AP86" s="305"/>
      <c r="AQ86" s="371"/>
      <c r="AR86" s="369"/>
      <c r="AS86" s="305"/>
      <c r="AT86" s="96">
        <v>45611</v>
      </c>
      <c r="AU86" s="103">
        <v>45572</v>
      </c>
      <c r="AV86" s="97">
        <v>45572</v>
      </c>
      <c r="AW86" s="97">
        <v>45530</v>
      </c>
      <c r="AX86" s="97"/>
      <c r="AY86" s="98"/>
      <c r="AZ86" s="98"/>
      <c r="BA86" s="98"/>
      <c r="BB86" s="100" t="s">
        <v>385</v>
      </c>
      <c r="BC86" s="48" t="s">
        <v>476</v>
      </c>
      <c r="BD86" s="46"/>
      <c r="BE86" s="71"/>
      <c r="BF86" s="367"/>
      <c r="BG86" s="367"/>
      <c r="BH86" s="64" t="e">
        <f>#REF!</f>
        <v>#REF!</v>
      </c>
      <c r="BL86" s="54"/>
    </row>
    <row r="87" spans="1:64" ht="36" customHeight="1" x14ac:dyDescent="0.3">
      <c r="A87" s="249">
        <f t="shared" si="1"/>
        <v>82</v>
      </c>
      <c r="B87" s="90" t="s">
        <v>477</v>
      </c>
      <c r="C87" s="305" t="s">
        <v>0</v>
      </c>
      <c r="D87" s="305" t="s">
        <v>478</v>
      </c>
      <c r="E87" s="91">
        <v>45681</v>
      </c>
      <c r="F87" s="97">
        <v>45726</v>
      </c>
      <c r="G87" s="305"/>
      <c r="H87" s="305"/>
      <c r="I87" s="305" t="s">
        <v>26</v>
      </c>
      <c r="J87" s="92" t="s">
        <v>369</v>
      </c>
      <c r="K87" s="92" t="s">
        <v>479</v>
      </c>
      <c r="L87" s="305">
        <v>1130</v>
      </c>
      <c r="M87" s="369" t="s">
        <v>65</v>
      </c>
      <c r="N87" s="110"/>
      <c r="O87" s="305" t="s">
        <v>127</v>
      </c>
      <c r="P87" s="158"/>
      <c r="Q87" s="305"/>
      <c r="R87" s="305"/>
      <c r="S87" s="305"/>
      <c r="T87" s="305">
        <v>8.6999999999999993</v>
      </c>
      <c r="U87" s="305"/>
      <c r="V87" s="305"/>
      <c r="W87" s="305"/>
      <c r="X87" s="369" t="s">
        <v>150</v>
      </c>
      <c r="Y87" s="369" t="s">
        <v>127</v>
      </c>
      <c r="Z87" s="110"/>
      <c r="AA87" s="305"/>
      <c r="AB87" s="305" t="s">
        <v>215</v>
      </c>
      <c r="AC87" s="92" t="s">
        <v>480</v>
      </c>
      <c r="AD87" s="369" t="s">
        <v>152</v>
      </c>
      <c r="AE87" s="115">
        <v>45677</v>
      </c>
      <c r="AF87" s="115"/>
      <c r="AG87" s="115"/>
      <c r="AH87" s="93">
        <v>45681</v>
      </c>
      <c r="AI87" s="264">
        <v>45597</v>
      </c>
      <c r="AJ87" s="95" t="s">
        <v>131</v>
      </c>
      <c r="AK87" s="369" t="s">
        <v>200</v>
      </c>
      <c r="AL87" s="369" t="s">
        <v>183</v>
      </c>
      <c r="AM87" s="369" t="s">
        <v>134</v>
      </c>
      <c r="AN87" s="369"/>
      <c r="AO87" s="369"/>
      <c r="AP87" s="305"/>
      <c r="AQ87" s="371"/>
      <c r="AR87" s="369"/>
      <c r="AS87" s="305"/>
      <c r="AT87" s="96">
        <v>45585</v>
      </c>
      <c r="AU87" s="103">
        <v>45562</v>
      </c>
      <c r="AV87" s="97">
        <v>45562</v>
      </c>
      <c r="AW87" s="97">
        <v>45530</v>
      </c>
      <c r="AX87" s="97"/>
      <c r="AY87" s="98"/>
      <c r="AZ87" s="98"/>
      <c r="BA87" s="98"/>
      <c r="BB87" s="100" t="s">
        <v>385</v>
      </c>
      <c r="BC87" s="48" t="s">
        <v>481</v>
      </c>
      <c r="BD87" s="46"/>
      <c r="BE87" s="71"/>
      <c r="BF87" s="367"/>
      <c r="BG87" s="367"/>
      <c r="BH87" s="64" t="e">
        <f>#REF!</f>
        <v>#REF!</v>
      </c>
      <c r="BL87" s="54"/>
    </row>
    <row r="88" spans="1:64" ht="36" customHeight="1" x14ac:dyDescent="0.3">
      <c r="A88" s="249">
        <f t="shared" si="1"/>
        <v>83</v>
      </c>
      <c r="B88" s="90" t="s">
        <v>482</v>
      </c>
      <c r="C88" s="305" t="s">
        <v>0</v>
      </c>
      <c r="D88" s="305" t="s">
        <v>483</v>
      </c>
      <c r="E88" s="91">
        <v>45681</v>
      </c>
      <c r="F88" s="97">
        <v>45726</v>
      </c>
      <c r="G88" s="91">
        <v>45735</v>
      </c>
      <c r="H88" s="305"/>
      <c r="I88" s="305" t="s">
        <v>26</v>
      </c>
      <c r="J88" s="92" t="s">
        <v>369</v>
      </c>
      <c r="K88" s="92" t="s">
        <v>484</v>
      </c>
      <c r="L88" s="305">
        <v>1000</v>
      </c>
      <c r="M88" s="369" t="s">
        <v>65</v>
      </c>
      <c r="N88" s="110"/>
      <c r="O88" s="305" t="s">
        <v>127</v>
      </c>
      <c r="P88" s="158"/>
      <c r="Q88" s="305"/>
      <c r="R88" s="305"/>
      <c r="S88" s="305"/>
      <c r="T88" s="305">
        <v>6.7</v>
      </c>
      <c r="U88" s="305"/>
      <c r="V88" s="305"/>
      <c r="W88" s="305"/>
      <c r="X88" s="369" t="s">
        <v>150</v>
      </c>
      <c r="Y88" s="369" t="s">
        <v>127</v>
      </c>
      <c r="Z88" s="110"/>
      <c r="AA88" s="305" t="s">
        <v>299</v>
      </c>
      <c r="AB88" s="305" t="s">
        <v>215</v>
      </c>
      <c r="AC88" s="92" t="s">
        <v>475</v>
      </c>
      <c r="AD88" s="369" t="s">
        <v>284</v>
      </c>
      <c r="AE88" s="115">
        <v>45677</v>
      </c>
      <c r="AF88" s="115"/>
      <c r="AG88" s="115"/>
      <c r="AH88" s="93">
        <v>45681</v>
      </c>
      <c r="AI88" s="264">
        <v>45627</v>
      </c>
      <c r="AJ88" s="95" t="s">
        <v>131</v>
      </c>
      <c r="AK88" s="369" t="s">
        <v>200</v>
      </c>
      <c r="AL88" s="369" t="s">
        <v>183</v>
      </c>
      <c r="AM88" s="369" t="s">
        <v>134</v>
      </c>
      <c r="AN88" s="369"/>
      <c r="AO88" s="369"/>
      <c r="AP88" s="305"/>
      <c r="AQ88" s="371"/>
      <c r="AR88" s="369"/>
      <c r="AS88" s="305"/>
      <c r="AT88" s="96">
        <v>45606</v>
      </c>
      <c r="AU88" s="103">
        <v>45572</v>
      </c>
      <c r="AV88" s="97">
        <v>45572</v>
      </c>
      <c r="AW88" s="97">
        <v>45530</v>
      </c>
      <c r="AX88" s="97"/>
      <c r="AY88" s="98"/>
      <c r="AZ88" s="98"/>
      <c r="BA88" s="98"/>
      <c r="BB88" s="100" t="s">
        <v>385</v>
      </c>
      <c r="BC88" s="48" t="s">
        <v>476</v>
      </c>
      <c r="BD88" s="46"/>
      <c r="BE88" s="71"/>
      <c r="BF88" s="367"/>
      <c r="BG88" s="367"/>
      <c r="BH88" s="64" t="e">
        <f>#REF!</f>
        <v>#REF!</v>
      </c>
      <c r="BL88" s="54"/>
    </row>
    <row r="89" spans="1:64" ht="36" customHeight="1" x14ac:dyDescent="0.3">
      <c r="A89" s="249">
        <f t="shared" si="1"/>
        <v>84</v>
      </c>
      <c r="B89" s="90"/>
      <c r="C89" s="305" t="s">
        <v>0</v>
      </c>
      <c r="D89" s="305" t="s">
        <v>262</v>
      </c>
      <c r="E89" s="96">
        <v>45701</v>
      </c>
      <c r="F89" s="102"/>
      <c r="G89" s="369"/>
      <c r="H89" s="369"/>
      <c r="I89" s="305" t="s">
        <v>26</v>
      </c>
      <c r="J89" s="117" t="s">
        <v>369</v>
      </c>
      <c r="K89" s="92" t="s">
        <v>484</v>
      </c>
      <c r="L89" s="305">
        <v>1110</v>
      </c>
      <c r="M89" s="369" t="s">
        <v>65</v>
      </c>
      <c r="N89" s="110"/>
      <c r="O89" s="305" t="s">
        <v>127</v>
      </c>
      <c r="P89" s="305"/>
      <c r="Q89" s="305"/>
      <c r="R89" s="305"/>
      <c r="S89" s="305"/>
      <c r="T89" s="110">
        <v>6.7</v>
      </c>
      <c r="U89" s="110"/>
      <c r="V89" s="110"/>
      <c r="W89" s="110"/>
      <c r="X89" s="369" t="s">
        <v>150</v>
      </c>
      <c r="Y89" s="369" t="s">
        <v>127</v>
      </c>
      <c r="Z89" s="110"/>
      <c r="AA89" s="305"/>
      <c r="AB89" s="305" t="s">
        <v>215</v>
      </c>
      <c r="AC89" s="92" t="s">
        <v>485</v>
      </c>
      <c r="AD89" s="369" t="s">
        <v>152</v>
      </c>
      <c r="AE89" s="115">
        <v>45677</v>
      </c>
      <c r="AF89" s="115"/>
      <c r="AG89" s="115"/>
      <c r="AH89" s="93">
        <v>45701</v>
      </c>
      <c r="AI89" s="264">
        <v>45658</v>
      </c>
      <c r="AJ89" s="95" t="s">
        <v>264</v>
      </c>
      <c r="AK89" s="369" t="s">
        <v>200</v>
      </c>
      <c r="AL89" s="369" t="s">
        <v>183</v>
      </c>
      <c r="AM89" s="369" t="s">
        <v>134</v>
      </c>
      <c r="AN89" s="96"/>
      <c r="AO89" s="369"/>
      <c r="AP89" s="305"/>
      <c r="AQ89" s="371"/>
      <c r="AR89" s="369"/>
      <c r="AS89" s="305"/>
      <c r="AT89" s="96">
        <v>45611</v>
      </c>
      <c r="AU89" s="103">
        <v>45562</v>
      </c>
      <c r="AV89" s="97">
        <v>45562</v>
      </c>
      <c r="AW89" s="97">
        <v>45565</v>
      </c>
      <c r="AX89" s="97"/>
      <c r="AY89" s="98"/>
      <c r="AZ89" s="98"/>
      <c r="BA89" s="98"/>
      <c r="BB89" s="100" t="s">
        <v>486</v>
      </c>
      <c r="BC89" s="48" t="s">
        <v>481</v>
      </c>
      <c r="BD89" s="46"/>
      <c r="BE89" s="72"/>
      <c r="BF89" s="367"/>
      <c r="BG89" s="367"/>
      <c r="BH89" s="64" t="e">
        <f>#REF!</f>
        <v>#REF!</v>
      </c>
      <c r="BL89" s="54"/>
    </row>
    <row r="90" spans="1:64" ht="44.4" customHeight="1" x14ac:dyDescent="0.3">
      <c r="A90" s="305">
        <f t="shared" si="1"/>
        <v>85</v>
      </c>
      <c r="B90" s="90" t="s">
        <v>487</v>
      </c>
      <c r="C90" s="305" t="s">
        <v>0</v>
      </c>
      <c r="D90" s="305" t="s">
        <v>262</v>
      </c>
      <c r="E90" s="91"/>
      <c r="F90" s="97"/>
      <c r="G90" s="305"/>
      <c r="H90" s="305"/>
      <c r="I90" s="305" t="s">
        <v>20</v>
      </c>
      <c r="J90" s="117"/>
      <c r="K90" s="92" t="s">
        <v>488</v>
      </c>
      <c r="L90" s="305"/>
      <c r="M90" s="369"/>
      <c r="N90" s="305"/>
      <c r="O90" s="305"/>
      <c r="P90" s="305"/>
      <c r="Q90" s="305"/>
      <c r="R90" s="305"/>
      <c r="S90" s="305"/>
      <c r="T90" s="305"/>
      <c r="U90" s="305"/>
      <c r="V90" s="305"/>
      <c r="W90" s="305"/>
      <c r="X90" s="305"/>
      <c r="Y90" s="305"/>
      <c r="Z90" s="305"/>
      <c r="AA90" s="305"/>
      <c r="AB90" s="305"/>
      <c r="AC90" s="92" t="s">
        <v>489</v>
      </c>
      <c r="AD90" s="369" t="s">
        <v>490</v>
      </c>
      <c r="AE90" s="115"/>
      <c r="AF90" s="115"/>
      <c r="AG90" s="115"/>
      <c r="AH90" s="93"/>
      <c r="AI90" s="94">
        <v>0</v>
      </c>
      <c r="AJ90" s="95" t="s">
        <v>264</v>
      </c>
      <c r="AK90" s="369"/>
      <c r="AL90" s="369"/>
      <c r="AM90" s="369"/>
      <c r="AN90" s="96"/>
      <c r="AO90" s="369"/>
      <c r="AP90" s="305"/>
      <c r="AQ90" s="371"/>
      <c r="AR90" s="369"/>
      <c r="AS90" s="305"/>
      <c r="AT90" s="96"/>
      <c r="AU90" s="103"/>
      <c r="AV90" s="97"/>
      <c r="AW90" s="97"/>
      <c r="AX90" s="97"/>
      <c r="AY90" s="98"/>
      <c r="AZ90" s="98"/>
      <c r="BA90" s="98"/>
      <c r="BB90" s="100"/>
      <c r="BC90" s="48" t="s">
        <v>491</v>
      </c>
      <c r="BD90" s="49"/>
      <c r="BE90" s="72"/>
      <c r="BF90" s="367"/>
      <c r="BG90" s="367"/>
      <c r="BH90" s="64" t="e">
        <f>#REF!</f>
        <v>#REF!</v>
      </c>
      <c r="BL90" s="54"/>
    </row>
    <row r="91" spans="1:64" ht="37.950000000000003" customHeight="1" x14ac:dyDescent="0.3">
      <c r="A91" s="305">
        <f t="shared" si="1"/>
        <v>86</v>
      </c>
      <c r="B91" s="90" t="s">
        <v>492</v>
      </c>
      <c r="C91" s="305" t="s">
        <v>0</v>
      </c>
      <c r="D91" s="305" t="s">
        <v>262</v>
      </c>
      <c r="E91" s="91"/>
      <c r="F91" s="97"/>
      <c r="G91" s="305"/>
      <c r="H91" s="305"/>
      <c r="I91" s="305" t="s">
        <v>20</v>
      </c>
      <c r="J91" s="90"/>
      <c r="K91" s="92" t="s">
        <v>488</v>
      </c>
      <c r="L91" s="305"/>
      <c r="M91" s="369"/>
      <c r="N91" s="305"/>
      <c r="O91" s="305"/>
      <c r="P91" s="305"/>
      <c r="Q91" s="305"/>
      <c r="R91" s="305"/>
      <c r="S91" s="305"/>
      <c r="T91" s="305"/>
      <c r="U91" s="305"/>
      <c r="V91" s="305"/>
      <c r="W91" s="305"/>
      <c r="X91" s="305"/>
      <c r="Y91" s="305"/>
      <c r="Z91" s="305"/>
      <c r="AA91" s="305"/>
      <c r="AB91" s="305"/>
      <c r="AC91" s="92" t="s">
        <v>493</v>
      </c>
      <c r="AD91" s="369" t="s">
        <v>494</v>
      </c>
      <c r="AE91" s="118"/>
      <c r="AF91" s="118"/>
      <c r="AG91" s="118"/>
      <c r="AH91" s="93"/>
      <c r="AI91" s="94">
        <v>0</v>
      </c>
      <c r="AJ91" s="95" t="s">
        <v>264</v>
      </c>
      <c r="AK91" s="369"/>
      <c r="AL91" s="369"/>
      <c r="AM91" s="369"/>
      <c r="AN91" s="369"/>
      <c r="AO91" s="369"/>
      <c r="AP91" s="305"/>
      <c r="AQ91" s="371"/>
      <c r="AR91" s="369"/>
      <c r="AS91" s="305"/>
      <c r="AT91" s="102"/>
      <c r="AU91" s="103"/>
      <c r="AV91" s="97"/>
      <c r="AW91" s="97"/>
      <c r="AX91" s="97"/>
      <c r="AY91" s="98"/>
      <c r="AZ91" s="98"/>
      <c r="BA91" s="98"/>
      <c r="BB91" s="100"/>
      <c r="BC91" s="48" t="s">
        <v>491</v>
      </c>
      <c r="BD91" s="49"/>
      <c r="BE91" s="72"/>
      <c r="BF91" s="367"/>
      <c r="BG91" s="367"/>
      <c r="BH91" s="64" t="e">
        <f>#REF!</f>
        <v>#REF!</v>
      </c>
      <c r="BL91" s="54"/>
    </row>
    <row r="92" spans="1:64" ht="44.4" customHeight="1" x14ac:dyDescent="0.3">
      <c r="A92" s="305">
        <f t="shared" si="1"/>
        <v>87</v>
      </c>
      <c r="B92" s="90" t="s">
        <v>495</v>
      </c>
      <c r="C92" s="305" t="s">
        <v>0</v>
      </c>
      <c r="D92" s="305" t="s">
        <v>262</v>
      </c>
      <c r="E92" s="91"/>
      <c r="F92" s="91"/>
      <c r="G92" s="305"/>
      <c r="H92" s="305"/>
      <c r="I92" s="305" t="s">
        <v>26</v>
      </c>
      <c r="J92" s="90"/>
      <c r="K92" s="92" t="s">
        <v>496</v>
      </c>
      <c r="L92" s="305"/>
      <c r="M92" s="369"/>
      <c r="N92" s="305"/>
      <c r="O92" s="305"/>
      <c r="P92" s="305"/>
      <c r="Q92" s="305"/>
      <c r="R92" s="305"/>
      <c r="S92" s="305"/>
      <c r="T92" s="305"/>
      <c r="U92" s="305"/>
      <c r="V92" s="305"/>
      <c r="W92" s="305"/>
      <c r="X92" s="305"/>
      <c r="Y92" s="305"/>
      <c r="Z92" s="305"/>
      <c r="AA92" s="305"/>
      <c r="AB92" s="305"/>
      <c r="AC92" s="92" t="s">
        <v>497</v>
      </c>
      <c r="AD92" s="369" t="s">
        <v>165</v>
      </c>
      <c r="AE92" s="118"/>
      <c r="AF92" s="118"/>
      <c r="AG92" s="118"/>
      <c r="AH92" s="93"/>
      <c r="AI92" s="94">
        <v>0</v>
      </c>
      <c r="AJ92" s="95" t="s">
        <v>264</v>
      </c>
      <c r="AK92" s="369" t="s">
        <v>153</v>
      </c>
      <c r="AL92" s="369" t="s">
        <v>147</v>
      </c>
      <c r="AM92" s="369"/>
      <c r="AN92" s="369"/>
      <c r="AO92" s="369"/>
      <c r="AP92" s="305"/>
      <c r="AQ92" s="371"/>
      <c r="AR92" s="369"/>
      <c r="AS92" s="305"/>
      <c r="AT92" s="102"/>
      <c r="AU92" s="103"/>
      <c r="AV92" s="97"/>
      <c r="AW92" s="97"/>
      <c r="AX92" s="97"/>
      <c r="AY92" s="98"/>
      <c r="AZ92" s="98"/>
      <c r="BA92" s="98"/>
      <c r="BB92" s="100" t="s">
        <v>498</v>
      </c>
      <c r="BC92" s="48"/>
      <c r="BD92" s="49"/>
      <c r="BE92" s="72"/>
      <c r="BF92" s="367"/>
      <c r="BG92" s="367"/>
      <c r="BH92" s="64" t="e">
        <f>#REF!</f>
        <v>#REF!</v>
      </c>
      <c r="BL92" s="54"/>
    </row>
    <row r="93" spans="1:64" ht="36" customHeight="1" x14ac:dyDescent="0.3">
      <c r="A93" s="249">
        <f t="shared" si="1"/>
        <v>88</v>
      </c>
      <c r="B93" s="155" t="s">
        <v>499</v>
      </c>
      <c r="C93" s="305" t="s">
        <v>0</v>
      </c>
      <c r="D93" s="305" t="s">
        <v>262</v>
      </c>
      <c r="E93" s="305"/>
      <c r="F93" s="97"/>
      <c r="G93" s="305"/>
      <c r="H93" s="305"/>
      <c r="I93" s="305" t="s">
        <v>20</v>
      </c>
      <c r="J93" s="90" t="s">
        <v>212</v>
      </c>
      <c r="K93" s="92" t="s">
        <v>500</v>
      </c>
      <c r="L93" s="305">
        <v>1100</v>
      </c>
      <c r="M93" s="369" t="s">
        <v>120</v>
      </c>
      <c r="N93" s="110"/>
      <c r="O93" s="305" t="s">
        <v>127</v>
      </c>
      <c r="P93" s="305"/>
      <c r="Q93" s="305"/>
      <c r="R93" s="305"/>
      <c r="S93" s="305"/>
      <c r="T93" s="110">
        <v>8.6999999999999993</v>
      </c>
      <c r="U93" s="110"/>
      <c r="V93" s="110"/>
      <c r="W93" s="110"/>
      <c r="X93" s="305" t="s">
        <v>150</v>
      </c>
      <c r="Y93" s="305" t="s">
        <v>127</v>
      </c>
      <c r="Z93" s="110"/>
      <c r="AA93" s="110"/>
      <c r="AB93" s="305" t="s">
        <v>215</v>
      </c>
      <c r="AC93" s="92" t="s">
        <v>501</v>
      </c>
      <c r="AD93" s="369" t="s">
        <v>272</v>
      </c>
      <c r="AE93" s="118"/>
      <c r="AF93" s="118"/>
      <c r="AG93" s="118"/>
      <c r="AH93" s="118"/>
      <c r="AI93" s="94">
        <v>0</v>
      </c>
      <c r="AJ93" s="95" t="s">
        <v>264</v>
      </c>
      <c r="AK93" s="369" t="s">
        <v>273</v>
      </c>
      <c r="AL93" s="369" t="s">
        <v>239</v>
      </c>
      <c r="AM93" s="369" t="s">
        <v>134</v>
      </c>
      <c r="AN93" s="305"/>
      <c r="AO93" s="305"/>
      <c r="AP93" s="305"/>
      <c r="AQ93" s="291"/>
      <c r="AR93" s="305"/>
      <c r="AS93" s="305"/>
      <c r="AT93" s="102"/>
      <c r="AU93" s="97"/>
      <c r="AV93" s="97"/>
      <c r="AW93" s="97"/>
      <c r="AX93" s="97"/>
      <c r="AY93" s="98"/>
      <c r="AZ93" s="98"/>
      <c r="BA93" s="98"/>
      <c r="BB93" s="100"/>
      <c r="BC93" s="48"/>
      <c r="BD93" s="49"/>
      <c r="BE93" s="367"/>
      <c r="BF93" s="367"/>
      <c r="BG93" s="367"/>
      <c r="BH93" s="64" t="e">
        <f>#REF!</f>
        <v>#REF!</v>
      </c>
      <c r="BL93" s="54"/>
    </row>
    <row r="94" spans="1:64" ht="36" customHeight="1" x14ac:dyDescent="0.3">
      <c r="A94" s="305">
        <f t="shared" si="1"/>
        <v>89</v>
      </c>
      <c r="B94" s="155" t="s">
        <v>502</v>
      </c>
      <c r="C94" s="305" t="s">
        <v>0</v>
      </c>
      <c r="D94" s="305" t="s">
        <v>262</v>
      </c>
      <c r="E94" s="91"/>
      <c r="F94" s="97"/>
      <c r="G94" s="91"/>
      <c r="H94" s="305"/>
      <c r="I94" s="305" t="s">
        <v>20</v>
      </c>
      <c r="J94" s="90"/>
      <c r="K94" s="92" t="s">
        <v>503</v>
      </c>
      <c r="L94" s="305">
        <v>1100</v>
      </c>
      <c r="M94" s="369" t="s">
        <v>120</v>
      </c>
      <c r="N94" s="110"/>
      <c r="O94" s="305" t="s">
        <v>127</v>
      </c>
      <c r="P94" s="305"/>
      <c r="Q94" s="305"/>
      <c r="R94" s="305"/>
      <c r="S94" s="305"/>
      <c r="T94" s="110"/>
      <c r="U94" s="110"/>
      <c r="V94" s="110"/>
      <c r="W94" s="110"/>
      <c r="X94" s="305" t="s">
        <v>150</v>
      </c>
      <c r="Y94" s="305" t="s">
        <v>127</v>
      </c>
      <c r="Z94" s="110"/>
      <c r="AA94" s="110"/>
      <c r="AB94" s="305" t="s">
        <v>215</v>
      </c>
      <c r="AC94" s="92" t="s">
        <v>504</v>
      </c>
      <c r="AD94" s="369" t="s">
        <v>284</v>
      </c>
      <c r="AE94" s="118"/>
      <c r="AF94" s="118"/>
      <c r="AG94" s="118"/>
      <c r="AH94" s="118"/>
      <c r="AI94" s="94">
        <v>0</v>
      </c>
      <c r="AJ94" s="95" t="s">
        <v>264</v>
      </c>
      <c r="AK94" s="369" t="s">
        <v>273</v>
      </c>
      <c r="AL94" s="369" t="s">
        <v>239</v>
      </c>
      <c r="AM94" s="369" t="s">
        <v>134</v>
      </c>
      <c r="AN94" s="305"/>
      <c r="AO94" s="305"/>
      <c r="AP94" s="305"/>
      <c r="AQ94" s="291"/>
      <c r="AR94" s="305"/>
      <c r="AS94" s="305"/>
      <c r="AT94" s="102">
        <v>45600</v>
      </c>
      <c r="AU94" s="97"/>
      <c r="AV94" s="97"/>
      <c r="AW94" s="97">
        <v>45568</v>
      </c>
      <c r="AX94" s="97"/>
      <c r="AY94" s="98"/>
      <c r="AZ94" s="98"/>
      <c r="BA94" s="98"/>
      <c r="BB94" s="100"/>
      <c r="BC94" s="48"/>
      <c r="BD94" s="49"/>
      <c r="BE94" s="367"/>
      <c r="BF94" s="367"/>
      <c r="BG94" s="367"/>
      <c r="BH94" s="64" t="e">
        <f>#REF!</f>
        <v>#REF!</v>
      </c>
      <c r="BL94" s="54"/>
    </row>
    <row r="95" spans="1:64" ht="31.95" customHeight="1" x14ac:dyDescent="0.3">
      <c r="A95" s="305">
        <f t="shared" si="1"/>
        <v>90</v>
      </c>
      <c r="B95" s="90" t="s">
        <v>505</v>
      </c>
      <c r="C95" s="305" t="s">
        <v>0</v>
      </c>
      <c r="D95" s="305" t="s">
        <v>262</v>
      </c>
      <c r="E95" s="91"/>
      <c r="F95" s="91"/>
      <c r="G95" s="305"/>
      <c r="H95" s="305"/>
      <c r="I95" s="305" t="s">
        <v>30</v>
      </c>
      <c r="J95" s="90" t="s">
        <v>506</v>
      </c>
      <c r="K95" s="92" t="s">
        <v>507</v>
      </c>
      <c r="L95" s="305"/>
      <c r="M95" s="369"/>
      <c r="N95" s="90"/>
      <c r="O95" s="305"/>
      <c r="P95" s="305"/>
      <c r="Q95" s="305"/>
      <c r="R95" s="305"/>
      <c r="S95" s="305"/>
      <c r="T95" s="305"/>
      <c r="U95" s="305"/>
      <c r="V95" s="305"/>
      <c r="W95" s="305"/>
      <c r="X95" s="305"/>
      <c r="Y95" s="305"/>
      <c r="Z95" s="305"/>
      <c r="AA95" s="305" t="s">
        <v>214</v>
      </c>
      <c r="AB95" s="305"/>
      <c r="AC95" s="92" t="s">
        <v>508</v>
      </c>
      <c r="AD95" s="369" t="s">
        <v>160</v>
      </c>
      <c r="AE95" s="118"/>
      <c r="AF95" s="118"/>
      <c r="AG95" s="118"/>
      <c r="AH95" s="118"/>
      <c r="AI95" s="94">
        <v>0</v>
      </c>
      <c r="AJ95" s="95" t="s">
        <v>264</v>
      </c>
      <c r="AK95" s="369" t="s">
        <v>161</v>
      </c>
      <c r="AL95" s="369" t="s">
        <v>162</v>
      </c>
      <c r="AM95" s="369"/>
      <c r="AN95" s="305"/>
      <c r="AO95" s="305"/>
      <c r="AP95" s="305"/>
      <c r="AQ95" s="291"/>
      <c r="AR95" s="305"/>
      <c r="AS95" s="305"/>
      <c r="AT95" s="102"/>
      <c r="AU95" s="97"/>
      <c r="AV95" s="97"/>
      <c r="AW95" s="97"/>
      <c r="AX95" s="97"/>
      <c r="AY95" s="98"/>
      <c r="AZ95" s="98"/>
      <c r="BA95" s="98"/>
      <c r="BB95" s="100"/>
      <c r="BC95" s="48"/>
      <c r="BD95" s="367"/>
      <c r="BE95" s="367"/>
      <c r="BF95" s="367"/>
      <c r="BG95" s="367"/>
      <c r="BH95" s="64" t="e">
        <f>#REF!</f>
        <v>#REF!</v>
      </c>
      <c r="BL95" s="54"/>
    </row>
    <row r="96" spans="1:64" ht="36" customHeight="1" x14ac:dyDescent="0.3">
      <c r="A96" s="305">
        <f t="shared" si="1"/>
        <v>91</v>
      </c>
      <c r="B96" s="90" t="s">
        <v>509</v>
      </c>
      <c r="C96" s="305" t="s">
        <v>0</v>
      </c>
      <c r="D96" s="305" t="s">
        <v>262</v>
      </c>
      <c r="E96" s="305"/>
      <c r="F96" s="305"/>
      <c r="G96" s="305"/>
      <c r="H96" s="305"/>
      <c r="I96" s="305" t="s">
        <v>30</v>
      </c>
      <c r="J96" s="90" t="s">
        <v>506</v>
      </c>
      <c r="K96" s="92" t="s">
        <v>507</v>
      </c>
      <c r="L96" s="305"/>
      <c r="M96" s="369"/>
      <c r="N96" s="305"/>
      <c r="O96" s="305"/>
      <c r="P96" s="305"/>
      <c r="Q96" s="305"/>
      <c r="R96" s="305"/>
      <c r="S96" s="305"/>
      <c r="T96" s="305"/>
      <c r="U96" s="305"/>
      <c r="V96" s="305"/>
      <c r="W96" s="305"/>
      <c r="X96" s="305"/>
      <c r="Y96" s="305"/>
      <c r="Z96" s="305"/>
      <c r="AA96" s="305"/>
      <c r="AB96" s="305"/>
      <c r="AC96" s="92" t="s">
        <v>510</v>
      </c>
      <c r="AD96" s="369" t="s">
        <v>511</v>
      </c>
      <c r="AE96" s="118"/>
      <c r="AF96" s="118"/>
      <c r="AG96" s="118"/>
      <c r="AH96" s="118"/>
      <c r="AI96" s="94">
        <v>0</v>
      </c>
      <c r="AJ96" s="95" t="s">
        <v>264</v>
      </c>
      <c r="AK96" s="369" t="s">
        <v>146</v>
      </c>
      <c r="AL96" s="369" t="s">
        <v>239</v>
      </c>
      <c r="AM96" s="369"/>
      <c r="AN96" s="305"/>
      <c r="AO96" s="305"/>
      <c r="AP96" s="305"/>
      <c r="AQ96" s="291"/>
      <c r="AR96" s="305"/>
      <c r="AS96" s="305"/>
      <c r="AT96" s="102"/>
      <c r="AU96" s="97"/>
      <c r="AV96" s="97"/>
      <c r="AW96" s="97"/>
      <c r="AX96" s="97"/>
      <c r="AY96" s="98"/>
      <c r="AZ96" s="98"/>
      <c r="BA96" s="98"/>
      <c r="BB96" s="100"/>
      <c r="BC96" s="48"/>
      <c r="BD96" s="49"/>
      <c r="BE96" s="367"/>
      <c r="BF96" s="367"/>
      <c r="BG96" s="367"/>
      <c r="BH96" s="64" t="e">
        <f>#REF!</f>
        <v>#REF!</v>
      </c>
      <c r="BL96" s="54"/>
    </row>
    <row r="97" spans="1:64" ht="36" customHeight="1" x14ac:dyDescent="0.3">
      <c r="A97" s="305">
        <f t="shared" si="1"/>
        <v>92</v>
      </c>
      <c r="B97" s="90" t="s">
        <v>512</v>
      </c>
      <c r="C97" s="305" t="s">
        <v>0</v>
      </c>
      <c r="D97" s="305" t="s">
        <v>262</v>
      </c>
      <c r="E97" s="305"/>
      <c r="F97" s="305"/>
      <c r="G97" s="305"/>
      <c r="H97" s="305"/>
      <c r="I97" s="305" t="s">
        <v>30</v>
      </c>
      <c r="J97" s="90" t="s">
        <v>506</v>
      </c>
      <c r="K97" s="92" t="s">
        <v>507</v>
      </c>
      <c r="L97" s="305"/>
      <c r="M97" s="369"/>
      <c r="N97" s="305"/>
      <c r="O97" s="305"/>
      <c r="P97" s="305"/>
      <c r="Q97" s="305"/>
      <c r="R97" s="305"/>
      <c r="S97" s="305"/>
      <c r="T97" s="305"/>
      <c r="U97" s="305"/>
      <c r="V97" s="305"/>
      <c r="W97" s="305"/>
      <c r="X97" s="305"/>
      <c r="Y97" s="305"/>
      <c r="Z97" s="305"/>
      <c r="AA97" s="305"/>
      <c r="AB97" s="305"/>
      <c r="AC97" s="92" t="s">
        <v>513</v>
      </c>
      <c r="AD97" s="369" t="s">
        <v>174</v>
      </c>
      <c r="AE97" s="118"/>
      <c r="AF97" s="118"/>
      <c r="AG97" s="118"/>
      <c r="AH97" s="118"/>
      <c r="AI97" s="94">
        <v>0</v>
      </c>
      <c r="AJ97" s="95" t="s">
        <v>264</v>
      </c>
      <c r="AK97" s="369" t="s">
        <v>161</v>
      </c>
      <c r="AL97" s="369" t="s">
        <v>175</v>
      </c>
      <c r="AM97" s="369"/>
      <c r="AN97" s="305"/>
      <c r="AO97" s="305"/>
      <c r="AP97" s="305"/>
      <c r="AQ97" s="291"/>
      <c r="AR97" s="305"/>
      <c r="AS97" s="305"/>
      <c r="AT97" s="102"/>
      <c r="AU97" s="97"/>
      <c r="AV97" s="97"/>
      <c r="AW97" s="97"/>
      <c r="AX97" s="97"/>
      <c r="AY97" s="98"/>
      <c r="AZ97" s="98"/>
      <c r="BA97" s="98"/>
      <c r="BB97" s="100"/>
      <c r="BC97" s="48"/>
      <c r="BD97" s="49"/>
      <c r="BE97" s="367"/>
      <c r="BF97" s="367"/>
      <c r="BG97" s="367"/>
      <c r="BH97" s="64" t="e">
        <f>#REF!</f>
        <v>#REF!</v>
      </c>
      <c r="BL97" s="54"/>
    </row>
    <row r="98" spans="1:64" ht="36" customHeight="1" x14ac:dyDescent="0.3">
      <c r="A98" s="305">
        <f t="shared" si="1"/>
        <v>93</v>
      </c>
      <c r="B98" s="90" t="s">
        <v>514</v>
      </c>
      <c r="C98" s="305" t="s">
        <v>0</v>
      </c>
      <c r="D98" s="305" t="s">
        <v>262</v>
      </c>
      <c r="E98" s="305"/>
      <c r="F98" s="305"/>
      <c r="G98" s="305"/>
      <c r="H98" s="305"/>
      <c r="I98" s="305" t="s">
        <v>30</v>
      </c>
      <c r="J98" s="90" t="s">
        <v>506</v>
      </c>
      <c r="K98" s="92" t="s">
        <v>507</v>
      </c>
      <c r="L98" s="305"/>
      <c r="M98" s="369"/>
      <c r="N98" s="305"/>
      <c r="O98" s="305"/>
      <c r="P98" s="305"/>
      <c r="Q98" s="305"/>
      <c r="R98" s="305"/>
      <c r="S98" s="305"/>
      <c r="T98" s="305"/>
      <c r="U98" s="305"/>
      <c r="V98" s="305"/>
      <c r="W98" s="305"/>
      <c r="X98" s="305"/>
      <c r="Y98" s="305"/>
      <c r="Z98" s="305"/>
      <c r="AA98" s="305" t="s">
        <v>214</v>
      </c>
      <c r="AB98" s="305"/>
      <c r="AC98" s="92" t="s">
        <v>508</v>
      </c>
      <c r="AD98" s="369" t="s">
        <v>160</v>
      </c>
      <c r="AE98" s="118"/>
      <c r="AF98" s="118"/>
      <c r="AG98" s="118"/>
      <c r="AH98" s="118"/>
      <c r="AI98" s="94">
        <v>0</v>
      </c>
      <c r="AJ98" s="95" t="s">
        <v>264</v>
      </c>
      <c r="AK98" s="369" t="s">
        <v>161</v>
      </c>
      <c r="AL98" s="369" t="s">
        <v>162</v>
      </c>
      <c r="AM98" s="369"/>
      <c r="AN98" s="305"/>
      <c r="AO98" s="305"/>
      <c r="AP98" s="305"/>
      <c r="AQ98" s="291"/>
      <c r="AR98" s="305"/>
      <c r="AS98" s="305"/>
      <c r="AT98" s="102"/>
      <c r="AU98" s="97"/>
      <c r="AV98" s="97"/>
      <c r="AW98" s="97"/>
      <c r="AX98" s="97"/>
      <c r="AY98" s="98"/>
      <c r="AZ98" s="98"/>
      <c r="BA98" s="98"/>
      <c r="BB98" s="100"/>
      <c r="BC98" s="48"/>
      <c r="BD98" s="49"/>
      <c r="BE98" s="367"/>
      <c r="BF98" s="367"/>
      <c r="BG98" s="367"/>
      <c r="BH98" s="64" t="e">
        <f>#REF!</f>
        <v>#REF!</v>
      </c>
      <c r="BL98" s="54"/>
    </row>
    <row r="99" spans="1:64" ht="36" customHeight="1" x14ac:dyDescent="0.3">
      <c r="A99" s="305">
        <f t="shared" si="1"/>
        <v>94</v>
      </c>
      <c r="B99" s="90" t="s">
        <v>515</v>
      </c>
      <c r="C99" s="305" t="s">
        <v>0</v>
      </c>
      <c r="D99" s="305" t="s">
        <v>262</v>
      </c>
      <c r="E99" s="91"/>
      <c r="F99" s="91"/>
      <c r="G99" s="305"/>
      <c r="H99" s="305"/>
      <c r="I99" s="305" t="s">
        <v>30</v>
      </c>
      <c r="J99" s="90" t="s">
        <v>506</v>
      </c>
      <c r="K99" s="92" t="s">
        <v>507</v>
      </c>
      <c r="L99" s="305"/>
      <c r="M99" s="369"/>
      <c r="N99" s="90"/>
      <c r="O99" s="305"/>
      <c r="P99" s="305"/>
      <c r="Q99" s="305"/>
      <c r="R99" s="305"/>
      <c r="S99" s="305"/>
      <c r="T99" s="305"/>
      <c r="U99" s="305"/>
      <c r="V99" s="305"/>
      <c r="W99" s="305"/>
      <c r="X99" s="305"/>
      <c r="Y99" s="305"/>
      <c r="Z99" s="305"/>
      <c r="AA99" s="305" t="s">
        <v>214</v>
      </c>
      <c r="AB99" s="305"/>
      <c r="AC99" s="92" t="s">
        <v>508</v>
      </c>
      <c r="AD99" s="369" t="s">
        <v>160</v>
      </c>
      <c r="AE99" s="118"/>
      <c r="AF99" s="118"/>
      <c r="AG99" s="118"/>
      <c r="AH99" s="118"/>
      <c r="AI99" s="94">
        <v>0</v>
      </c>
      <c r="AJ99" s="95" t="s">
        <v>264</v>
      </c>
      <c r="AK99" s="369" t="s">
        <v>161</v>
      </c>
      <c r="AL99" s="369" t="s">
        <v>162</v>
      </c>
      <c r="AM99" s="369"/>
      <c r="AN99" s="305"/>
      <c r="AO99" s="305"/>
      <c r="AP99" s="305"/>
      <c r="AQ99" s="291"/>
      <c r="AR99" s="305"/>
      <c r="AS99" s="305"/>
      <c r="AT99" s="102"/>
      <c r="AU99" s="97"/>
      <c r="AV99" s="97"/>
      <c r="AW99" s="97"/>
      <c r="AX99" s="97"/>
      <c r="AY99" s="98"/>
      <c r="AZ99" s="98"/>
      <c r="BA99" s="98"/>
      <c r="BB99" s="100"/>
      <c r="BC99" s="48"/>
      <c r="BD99" s="367"/>
      <c r="BE99" s="367"/>
      <c r="BF99" s="367"/>
      <c r="BG99" s="367"/>
      <c r="BH99" s="64" t="e">
        <f>#REF!</f>
        <v>#REF!</v>
      </c>
      <c r="BL99" s="54"/>
    </row>
    <row r="100" spans="1:64" ht="36" customHeight="1" x14ac:dyDescent="0.3">
      <c r="A100" s="305">
        <f t="shared" si="1"/>
        <v>95</v>
      </c>
      <c r="B100" s="90" t="s">
        <v>516</v>
      </c>
      <c r="C100" s="305" t="s">
        <v>0</v>
      </c>
      <c r="D100" s="305" t="s">
        <v>262</v>
      </c>
      <c r="E100" s="91"/>
      <c r="F100" s="91"/>
      <c r="G100" s="305"/>
      <c r="H100" s="305"/>
      <c r="I100" s="305" t="s">
        <v>30</v>
      </c>
      <c r="J100" s="90" t="s">
        <v>506</v>
      </c>
      <c r="K100" s="92" t="s">
        <v>507</v>
      </c>
      <c r="L100" s="305"/>
      <c r="M100" s="369"/>
      <c r="N100" s="305"/>
      <c r="O100" s="305"/>
      <c r="P100" s="305"/>
      <c r="Q100" s="305"/>
      <c r="R100" s="305"/>
      <c r="S100" s="305"/>
      <c r="T100" s="305"/>
      <c r="U100" s="305"/>
      <c r="V100" s="305"/>
      <c r="W100" s="305"/>
      <c r="X100" s="305"/>
      <c r="Y100" s="305"/>
      <c r="Z100" s="305"/>
      <c r="AA100" s="305" t="s">
        <v>214</v>
      </c>
      <c r="AB100" s="305"/>
      <c r="AC100" s="92" t="s">
        <v>508</v>
      </c>
      <c r="AD100" s="369" t="s">
        <v>160</v>
      </c>
      <c r="AE100" s="118"/>
      <c r="AF100" s="118"/>
      <c r="AG100" s="118"/>
      <c r="AH100" s="118"/>
      <c r="AI100" s="94">
        <v>0</v>
      </c>
      <c r="AJ100" s="95" t="s">
        <v>264</v>
      </c>
      <c r="AK100" s="369" t="s">
        <v>161</v>
      </c>
      <c r="AL100" s="369" t="s">
        <v>162</v>
      </c>
      <c r="AM100" s="369"/>
      <c r="AN100" s="305"/>
      <c r="AO100" s="305"/>
      <c r="AP100" s="305"/>
      <c r="AQ100" s="291"/>
      <c r="AR100" s="305"/>
      <c r="AS100" s="305"/>
      <c r="AT100" s="102"/>
      <c r="AU100" s="97"/>
      <c r="AV100" s="97"/>
      <c r="AW100" s="97"/>
      <c r="AX100" s="97"/>
      <c r="AY100" s="98"/>
      <c r="AZ100" s="98"/>
      <c r="BA100" s="98"/>
      <c r="BB100" s="100"/>
      <c r="BC100" s="48"/>
      <c r="BD100" s="49"/>
      <c r="BE100" s="367"/>
      <c r="BF100" s="367"/>
      <c r="BG100" s="367"/>
      <c r="BH100" s="64" t="e">
        <f>#REF!</f>
        <v>#REF!</v>
      </c>
      <c r="BL100" s="54"/>
    </row>
    <row r="101" spans="1:64" ht="36" customHeight="1" x14ac:dyDescent="0.3">
      <c r="A101" s="305">
        <f t="shared" si="1"/>
        <v>96</v>
      </c>
      <c r="B101" s="90" t="s">
        <v>517</v>
      </c>
      <c r="C101" s="305" t="s">
        <v>0</v>
      </c>
      <c r="D101" s="305" t="s">
        <v>262</v>
      </c>
      <c r="E101" s="91"/>
      <c r="F101" s="91"/>
      <c r="G101" s="305"/>
      <c r="H101" s="305"/>
      <c r="I101" s="305" t="s">
        <v>30</v>
      </c>
      <c r="J101" s="90" t="s">
        <v>506</v>
      </c>
      <c r="K101" s="92" t="s">
        <v>507</v>
      </c>
      <c r="L101" s="305"/>
      <c r="M101" s="369"/>
      <c r="N101" s="305"/>
      <c r="O101" s="305"/>
      <c r="P101" s="305"/>
      <c r="Q101" s="305"/>
      <c r="R101" s="305"/>
      <c r="S101" s="305"/>
      <c r="T101" s="305"/>
      <c r="U101" s="305"/>
      <c r="V101" s="305"/>
      <c r="W101" s="305"/>
      <c r="X101" s="305"/>
      <c r="Y101" s="305"/>
      <c r="Z101" s="305"/>
      <c r="AA101" s="305"/>
      <c r="AB101" s="305"/>
      <c r="AC101" s="92" t="s">
        <v>513</v>
      </c>
      <c r="AD101" s="369" t="s">
        <v>174</v>
      </c>
      <c r="AE101" s="118"/>
      <c r="AF101" s="118"/>
      <c r="AG101" s="118"/>
      <c r="AH101" s="118"/>
      <c r="AI101" s="94">
        <v>0</v>
      </c>
      <c r="AJ101" s="95" t="s">
        <v>264</v>
      </c>
      <c r="AK101" s="369" t="s">
        <v>161</v>
      </c>
      <c r="AL101" s="369" t="s">
        <v>175</v>
      </c>
      <c r="AM101" s="369"/>
      <c r="AN101" s="369"/>
      <c r="AO101" s="369"/>
      <c r="AP101" s="305"/>
      <c r="AQ101" s="371"/>
      <c r="AR101" s="369"/>
      <c r="AS101" s="305"/>
      <c r="AT101" s="102"/>
      <c r="AU101" s="97"/>
      <c r="AV101" s="97"/>
      <c r="AW101" s="97"/>
      <c r="AX101" s="97"/>
      <c r="AY101" s="98"/>
      <c r="AZ101" s="98"/>
      <c r="BA101" s="98"/>
      <c r="BB101" s="100"/>
      <c r="BC101" s="48"/>
      <c r="BD101" s="49"/>
      <c r="BE101" s="367"/>
      <c r="BF101" s="367"/>
      <c r="BG101" s="367"/>
      <c r="BH101" s="64" t="e">
        <f>#REF!</f>
        <v>#REF!</v>
      </c>
      <c r="BL101" s="54"/>
    </row>
    <row r="102" spans="1:64" ht="36" customHeight="1" x14ac:dyDescent="0.3">
      <c r="A102" s="305">
        <f t="shared" si="1"/>
        <v>97</v>
      </c>
      <c r="B102" s="92" t="s">
        <v>518</v>
      </c>
      <c r="C102" s="305" t="s">
        <v>0</v>
      </c>
      <c r="D102" s="305" t="s">
        <v>262</v>
      </c>
      <c r="E102" s="305"/>
      <c r="F102" s="305"/>
      <c r="G102" s="305"/>
      <c r="H102" s="305"/>
      <c r="I102" s="305" t="s">
        <v>30</v>
      </c>
      <c r="J102" s="90" t="s">
        <v>506</v>
      </c>
      <c r="K102" s="92" t="s">
        <v>507</v>
      </c>
      <c r="L102" s="305"/>
      <c r="M102" s="369"/>
      <c r="N102" s="305"/>
      <c r="O102" s="305"/>
      <c r="P102" s="305"/>
      <c r="Q102" s="305"/>
      <c r="R102" s="305"/>
      <c r="S102" s="305"/>
      <c r="T102" s="305"/>
      <c r="U102" s="305"/>
      <c r="V102" s="305"/>
      <c r="W102" s="305"/>
      <c r="X102" s="305"/>
      <c r="Y102" s="305"/>
      <c r="Z102" s="305"/>
      <c r="AA102" s="305"/>
      <c r="AB102" s="305"/>
      <c r="AC102" s="92" t="s">
        <v>513</v>
      </c>
      <c r="AD102" s="369" t="s">
        <v>174</v>
      </c>
      <c r="AE102" s="118"/>
      <c r="AF102" s="118"/>
      <c r="AG102" s="118"/>
      <c r="AH102" s="118"/>
      <c r="AI102" s="94">
        <v>0</v>
      </c>
      <c r="AJ102" s="95" t="s">
        <v>264</v>
      </c>
      <c r="AK102" s="369" t="s">
        <v>161</v>
      </c>
      <c r="AL102" s="369" t="s">
        <v>175</v>
      </c>
      <c r="AM102" s="369"/>
      <c r="AN102" s="305"/>
      <c r="AO102" s="305"/>
      <c r="AP102" s="305"/>
      <c r="AQ102" s="291"/>
      <c r="AR102" s="305"/>
      <c r="AS102" s="305"/>
      <c r="AT102" s="102"/>
      <c r="AU102" s="97"/>
      <c r="AV102" s="97"/>
      <c r="AW102" s="97"/>
      <c r="AX102" s="97"/>
      <c r="AY102" s="98"/>
      <c r="AZ102" s="98"/>
      <c r="BA102" s="98"/>
      <c r="BB102" s="100"/>
      <c r="BC102" s="48"/>
      <c r="BD102" s="49"/>
      <c r="BE102" s="367"/>
      <c r="BF102" s="367"/>
      <c r="BG102" s="367"/>
      <c r="BH102" s="64" t="e">
        <f>#REF!</f>
        <v>#REF!</v>
      </c>
      <c r="BL102" s="54"/>
    </row>
    <row r="103" spans="1:64" ht="36" customHeight="1" x14ac:dyDescent="0.3">
      <c r="A103" s="305">
        <f t="shared" si="1"/>
        <v>98</v>
      </c>
      <c r="B103" s="90" t="s">
        <v>519</v>
      </c>
      <c r="C103" s="305" t="s">
        <v>0</v>
      </c>
      <c r="D103" s="305" t="s">
        <v>262</v>
      </c>
      <c r="E103" s="305"/>
      <c r="F103" s="305"/>
      <c r="G103" s="305"/>
      <c r="H103" s="305"/>
      <c r="I103" s="305" t="s">
        <v>26</v>
      </c>
      <c r="J103" s="90" t="s">
        <v>520</v>
      </c>
      <c r="K103" s="92" t="s">
        <v>521</v>
      </c>
      <c r="L103" s="305"/>
      <c r="M103" s="369"/>
      <c r="N103" s="305"/>
      <c r="O103" s="305"/>
      <c r="P103" s="305"/>
      <c r="Q103" s="305"/>
      <c r="R103" s="305"/>
      <c r="S103" s="305"/>
      <c r="T103" s="305"/>
      <c r="U103" s="305"/>
      <c r="V103" s="305"/>
      <c r="W103" s="305"/>
      <c r="X103" s="305"/>
      <c r="Y103" s="305"/>
      <c r="Z103" s="305"/>
      <c r="AA103" s="305"/>
      <c r="AB103" s="305"/>
      <c r="AC103" s="92" t="s">
        <v>522</v>
      </c>
      <c r="AD103" s="369" t="s">
        <v>361</v>
      </c>
      <c r="AE103" s="118"/>
      <c r="AF103" s="118"/>
      <c r="AG103" s="118"/>
      <c r="AH103" s="118"/>
      <c r="AI103" s="94">
        <v>0</v>
      </c>
      <c r="AJ103" s="95" t="s">
        <v>264</v>
      </c>
      <c r="AK103" s="369" t="s">
        <v>166</v>
      </c>
      <c r="AL103" s="369" t="s">
        <v>295</v>
      </c>
      <c r="AM103" s="369"/>
      <c r="AN103" s="305"/>
      <c r="AO103" s="305"/>
      <c r="AP103" s="305"/>
      <c r="AQ103" s="291"/>
      <c r="AR103" s="305"/>
      <c r="AS103" s="305"/>
      <c r="AT103" s="102"/>
      <c r="AU103" s="97"/>
      <c r="AV103" s="97"/>
      <c r="AW103" s="97"/>
      <c r="AX103" s="97"/>
      <c r="AY103" s="98"/>
      <c r="AZ103" s="98"/>
      <c r="BA103" s="98"/>
      <c r="BB103" s="100"/>
      <c r="BC103" s="48"/>
      <c r="BD103" s="367"/>
      <c r="BE103" s="367"/>
      <c r="BF103" s="367"/>
      <c r="BG103" s="367"/>
      <c r="BH103" s="64" t="e">
        <f>#REF!</f>
        <v>#REF!</v>
      </c>
      <c r="BL103" s="54"/>
    </row>
    <row r="104" spans="1:64" ht="36" customHeight="1" x14ac:dyDescent="0.3">
      <c r="A104" s="305">
        <f t="shared" si="1"/>
        <v>99</v>
      </c>
      <c r="B104" s="90" t="s">
        <v>523</v>
      </c>
      <c r="C104" s="305" t="s">
        <v>0</v>
      </c>
      <c r="D104" s="305" t="s">
        <v>262</v>
      </c>
      <c r="E104" s="305"/>
      <c r="F104" s="97"/>
      <c r="G104" s="305"/>
      <c r="H104" s="305"/>
      <c r="I104" s="305" t="s">
        <v>20</v>
      </c>
      <c r="J104" s="90" t="s">
        <v>520</v>
      </c>
      <c r="K104" s="92" t="s">
        <v>524</v>
      </c>
      <c r="L104" s="305"/>
      <c r="M104" s="369"/>
      <c r="N104" s="305"/>
      <c r="O104" s="305"/>
      <c r="P104" s="305"/>
      <c r="Q104" s="305"/>
      <c r="R104" s="305"/>
      <c r="S104" s="305"/>
      <c r="T104" s="305"/>
      <c r="U104" s="305"/>
      <c r="V104" s="305"/>
      <c r="W104" s="305"/>
      <c r="X104" s="305"/>
      <c r="Y104" s="305"/>
      <c r="Z104" s="305"/>
      <c r="AA104" s="305"/>
      <c r="AB104" s="305"/>
      <c r="AC104" s="92" t="s">
        <v>525</v>
      </c>
      <c r="AD104" s="369" t="s">
        <v>238</v>
      </c>
      <c r="AE104" s="118"/>
      <c r="AF104" s="118"/>
      <c r="AG104" s="118"/>
      <c r="AH104" s="118"/>
      <c r="AI104" s="94">
        <v>0</v>
      </c>
      <c r="AJ104" s="95" t="s">
        <v>264</v>
      </c>
      <c r="AK104" s="369" t="s">
        <v>146</v>
      </c>
      <c r="AL104" s="369" t="s">
        <v>239</v>
      </c>
      <c r="AM104" s="369"/>
      <c r="AN104" s="305"/>
      <c r="AO104" s="305"/>
      <c r="AP104" s="305"/>
      <c r="AQ104" s="291"/>
      <c r="AR104" s="305"/>
      <c r="AS104" s="305"/>
      <c r="AT104" s="102"/>
      <c r="AU104" s="97"/>
      <c r="AV104" s="97"/>
      <c r="AW104" s="97"/>
      <c r="AX104" s="97"/>
      <c r="AY104" s="98"/>
      <c r="AZ104" s="98"/>
      <c r="BA104" s="98"/>
      <c r="BB104" s="100"/>
      <c r="BC104" s="48"/>
      <c r="BD104" s="49"/>
      <c r="BE104" s="367"/>
      <c r="BF104" s="367"/>
      <c r="BG104" s="367"/>
      <c r="BH104" s="64" t="e">
        <f>#REF!</f>
        <v>#REF!</v>
      </c>
      <c r="BL104" s="54"/>
    </row>
    <row r="105" spans="1:64" ht="36" customHeight="1" x14ac:dyDescent="0.3">
      <c r="A105" s="305">
        <f t="shared" si="1"/>
        <v>100</v>
      </c>
      <c r="B105" s="90" t="s">
        <v>526</v>
      </c>
      <c r="C105" s="305" t="s">
        <v>0</v>
      </c>
      <c r="D105" s="305" t="s">
        <v>262</v>
      </c>
      <c r="E105" s="305"/>
      <c r="F105" s="97"/>
      <c r="G105" s="305"/>
      <c r="H105" s="305"/>
      <c r="I105" s="305" t="s">
        <v>20</v>
      </c>
      <c r="J105" s="4" t="s">
        <v>527</v>
      </c>
      <c r="K105" s="92" t="s">
        <v>528</v>
      </c>
      <c r="L105" s="305"/>
      <c r="M105" s="369"/>
      <c r="N105" s="305"/>
      <c r="O105" s="305"/>
      <c r="P105" s="305"/>
      <c r="Q105" s="305"/>
      <c r="R105" s="305"/>
      <c r="S105" s="305"/>
      <c r="T105" s="305"/>
      <c r="U105" s="305"/>
      <c r="V105" s="305"/>
      <c r="W105" s="305"/>
      <c r="X105" s="305"/>
      <c r="Y105" s="305"/>
      <c r="Z105" s="305"/>
      <c r="AA105" s="305"/>
      <c r="AB105" s="305"/>
      <c r="AC105" s="92" t="s">
        <v>529</v>
      </c>
      <c r="AD105" s="369" t="s">
        <v>165</v>
      </c>
      <c r="AE105" s="118"/>
      <c r="AF105" s="118"/>
      <c r="AG105" s="118"/>
      <c r="AH105" s="118"/>
      <c r="AI105" s="94">
        <v>0</v>
      </c>
      <c r="AJ105" s="95" t="s">
        <v>264</v>
      </c>
      <c r="AK105" s="369" t="s">
        <v>273</v>
      </c>
      <c r="AL105" s="369" t="s">
        <v>191</v>
      </c>
      <c r="AM105" s="369"/>
      <c r="AN105" s="305"/>
      <c r="AO105" s="305"/>
      <c r="AP105" s="305"/>
      <c r="AQ105" s="291"/>
      <c r="AR105" s="305"/>
      <c r="AS105" s="305"/>
      <c r="AT105" s="102"/>
      <c r="AU105" s="97"/>
      <c r="AV105" s="97"/>
      <c r="AW105" s="97"/>
      <c r="AX105" s="97"/>
      <c r="AY105" s="98"/>
      <c r="AZ105" s="98"/>
      <c r="BA105" s="98"/>
      <c r="BB105" s="100"/>
      <c r="BC105" s="48"/>
      <c r="BD105" s="49"/>
      <c r="BE105" s="367"/>
      <c r="BF105" s="367"/>
      <c r="BG105" s="367"/>
      <c r="BH105" s="64" t="e">
        <f>#REF!</f>
        <v>#REF!</v>
      </c>
      <c r="BL105" s="54"/>
    </row>
    <row r="106" spans="1:64" ht="36" customHeight="1" x14ac:dyDescent="0.3">
      <c r="A106" s="305">
        <f t="shared" si="1"/>
        <v>101</v>
      </c>
      <c r="B106" s="90" t="s">
        <v>530</v>
      </c>
      <c r="C106" s="305" t="s">
        <v>0</v>
      </c>
      <c r="D106" s="305" t="s">
        <v>262</v>
      </c>
      <c r="E106" s="91"/>
      <c r="F106" s="97"/>
      <c r="G106" s="91"/>
      <c r="H106" s="91"/>
      <c r="I106" s="305" t="s">
        <v>20</v>
      </c>
      <c r="J106" s="90" t="s">
        <v>531</v>
      </c>
      <c r="K106" s="92" t="s">
        <v>531</v>
      </c>
      <c r="L106" s="305"/>
      <c r="M106" s="369"/>
      <c r="N106" s="305"/>
      <c r="O106" s="305"/>
      <c r="P106" s="305"/>
      <c r="Q106" s="305"/>
      <c r="R106" s="305"/>
      <c r="S106" s="305"/>
      <c r="T106" s="305"/>
      <c r="U106" s="305"/>
      <c r="V106" s="305"/>
      <c r="W106" s="305"/>
      <c r="X106" s="305"/>
      <c r="Y106" s="305"/>
      <c r="Z106" s="305"/>
      <c r="AA106" s="305"/>
      <c r="AB106" s="305"/>
      <c r="AC106" s="92" t="s">
        <v>532</v>
      </c>
      <c r="AD106" s="369" t="s">
        <v>165</v>
      </c>
      <c r="AE106" s="115"/>
      <c r="AF106" s="115"/>
      <c r="AG106" s="115"/>
      <c r="AH106" s="118"/>
      <c r="AI106" s="94">
        <v>0</v>
      </c>
      <c r="AJ106" s="95" t="s">
        <v>264</v>
      </c>
      <c r="AK106" s="369" t="s">
        <v>273</v>
      </c>
      <c r="AL106" s="369" t="s">
        <v>191</v>
      </c>
      <c r="AM106" s="369"/>
      <c r="AN106" s="305"/>
      <c r="AO106" s="305"/>
      <c r="AP106" s="305"/>
      <c r="AQ106" s="291"/>
      <c r="AR106" s="305"/>
      <c r="AS106" s="305"/>
      <c r="AT106" s="102"/>
      <c r="AU106" s="97"/>
      <c r="AV106" s="97"/>
      <c r="AW106" s="97"/>
      <c r="AX106" s="97"/>
      <c r="AY106" s="98"/>
      <c r="AZ106" s="98"/>
      <c r="BA106" s="98"/>
      <c r="BB106" s="100"/>
      <c r="BC106" s="48"/>
      <c r="BD106" s="367"/>
      <c r="BE106" s="367"/>
      <c r="BF106" s="367"/>
      <c r="BG106" s="367"/>
      <c r="BH106" s="64" t="e">
        <f>#REF!</f>
        <v>#REF!</v>
      </c>
      <c r="BL106" s="54"/>
    </row>
    <row r="107" spans="1:64" ht="36" customHeight="1" x14ac:dyDescent="0.3">
      <c r="A107" s="305">
        <f t="shared" si="1"/>
        <v>102</v>
      </c>
      <c r="B107" s="90" t="s">
        <v>533</v>
      </c>
      <c r="C107" s="305" t="s">
        <v>0</v>
      </c>
      <c r="D107" s="305" t="s">
        <v>262</v>
      </c>
      <c r="E107" s="305"/>
      <c r="F107" s="97"/>
      <c r="G107" s="305"/>
      <c r="H107" s="305"/>
      <c r="I107" s="305" t="s">
        <v>26</v>
      </c>
      <c r="J107" s="90" t="s">
        <v>534</v>
      </c>
      <c r="K107" s="92" t="s">
        <v>535</v>
      </c>
      <c r="L107" s="305"/>
      <c r="M107" s="369"/>
      <c r="N107" s="305"/>
      <c r="O107" s="305"/>
      <c r="P107" s="305"/>
      <c r="Q107" s="305"/>
      <c r="R107" s="305"/>
      <c r="S107" s="305"/>
      <c r="T107" s="305"/>
      <c r="U107" s="305"/>
      <c r="V107" s="305"/>
      <c r="W107" s="305"/>
      <c r="X107" s="305"/>
      <c r="Y107" s="305"/>
      <c r="Z107" s="305"/>
      <c r="AA107" s="305"/>
      <c r="AB107" s="305"/>
      <c r="AC107" s="92" t="s">
        <v>536</v>
      </c>
      <c r="AD107" s="369" t="s">
        <v>361</v>
      </c>
      <c r="AE107" s="118"/>
      <c r="AF107" s="118"/>
      <c r="AG107" s="118"/>
      <c r="AH107" s="118"/>
      <c r="AI107" s="94">
        <v>0</v>
      </c>
      <c r="AJ107" s="95" t="s">
        <v>264</v>
      </c>
      <c r="AK107" s="369" t="s">
        <v>294</v>
      </c>
      <c r="AL107" s="369" t="s">
        <v>191</v>
      </c>
      <c r="AM107" s="369"/>
      <c r="AN107" s="305"/>
      <c r="AO107" s="305"/>
      <c r="AP107" s="305"/>
      <c r="AQ107" s="291"/>
      <c r="AR107" s="305"/>
      <c r="AS107" s="305"/>
      <c r="AT107" s="102"/>
      <c r="AU107" s="97"/>
      <c r="AV107" s="97"/>
      <c r="AW107" s="97"/>
      <c r="AX107" s="97"/>
      <c r="AY107" s="98"/>
      <c r="AZ107" s="98"/>
      <c r="BA107" s="98"/>
      <c r="BB107" s="100"/>
      <c r="BC107" s="48"/>
      <c r="BD107" s="49"/>
      <c r="BE107" s="367"/>
      <c r="BF107" s="367"/>
      <c r="BG107" s="367"/>
      <c r="BH107" s="64" t="e">
        <f>#REF!</f>
        <v>#REF!</v>
      </c>
      <c r="BL107" s="54"/>
    </row>
    <row r="108" spans="1:64" ht="36" customHeight="1" x14ac:dyDescent="0.3">
      <c r="A108" s="305">
        <f t="shared" si="1"/>
        <v>103</v>
      </c>
      <c r="B108" s="90" t="s">
        <v>537</v>
      </c>
      <c r="C108" s="305" t="s">
        <v>0</v>
      </c>
      <c r="D108" s="305" t="s">
        <v>538</v>
      </c>
      <c r="E108" s="91">
        <v>45800</v>
      </c>
      <c r="F108" s="97">
        <v>45801</v>
      </c>
      <c r="G108" s="305"/>
      <c r="H108" s="305"/>
      <c r="I108" s="305" t="s">
        <v>20</v>
      </c>
      <c r="J108" s="90" t="s">
        <v>539</v>
      </c>
      <c r="K108" s="92" t="s">
        <v>540</v>
      </c>
      <c r="L108" s="305"/>
      <c r="M108" s="369"/>
      <c r="N108" s="305"/>
      <c r="O108" s="305"/>
      <c r="P108" s="158"/>
      <c r="Q108" s="305"/>
      <c r="R108" s="305"/>
      <c r="S108" s="305"/>
      <c r="T108" s="305"/>
      <c r="U108" s="305"/>
      <c r="V108" s="305"/>
      <c r="W108" s="305"/>
      <c r="X108" s="305"/>
      <c r="Y108" s="305"/>
      <c r="Z108" s="305"/>
      <c r="AA108" s="305"/>
      <c r="AB108" s="305"/>
      <c r="AC108" s="92" t="s">
        <v>541</v>
      </c>
      <c r="AD108" s="369" t="s">
        <v>361</v>
      </c>
      <c r="AE108" s="118"/>
      <c r="AF108" s="118"/>
      <c r="AG108" s="118"/>
      <c r="AH108" s="118">
        <v>45777</v>
      </c>
      <c r="AI108" s="264">
        <v>45748</v>
      </c>
      <c r="AJ108" s="95" t="s">
        <v>131</v>
      </c>
      <c r="AK108" s="369" t="s">
        <v>190</v>
      </c>
      <c r="AL108" s="369" t="s">
        <v>191</v>
      </c>
      <c r="AM108" s="369" t="s">
        <v>134</v>
      </c>
      <c r="AN108" s="305"/>
      <c r="AO108" s="305"/>
      <c r="AP108" s="305"/>
      <c r="AQ108" s="291"/>
      <c r="AR108" s="305"/>
      <c r="AS108" s="305"/>
      <c r="AT108" s="102">
        <v>45713</v>
      </c>
      <c r="AU108" s="97">
        <v>45674</v>
      </c>
      <c r="AV108" s="97">
        <v>45698</v>
      </c>
      <c r="AW108" s="97">
        <v>45660</v>
      </c>
      <c r="AX108" s="97"/>
      <c r="AY108" s="98"/>
      <c r="AZ108" s="98"/>
      <c r="BA108" s="98"/>
      <c r="BB108" s="100" t="s">
        <v>542</v>
      </c>
      <c r="BC108" s="48"/>
      <c r="BD108" s="49"/>
      <c r="BE108" s="367"/>
      <c r="BF108" s="367"/>
      <c r="BG108" s="367"/>
      <c r="BH108" s="64" t="e">
        <f>#REF!</f>
        <v>#REF!</v>
      </c>
      <c r="BL108" s="54"/>
    </row>
    <row r="109" spans="1:64" ht="36" customHeight="1" x14ac:dyDescent="0.3">
      <c r="A109" s="305">
        <f t="shared" ref="A109" si="2">ROW(B109)-ROW($B$5)</f>
        <v>104</v>
      </c>
      <c r="B109" s="90" t="s">
        <v>543</v>
      </c>
      <c r="C109" s="305" t="s">
        <v>0</v>
      </c>
      <c r="D109" s="305" t="s">
        <v>262</v>
      </c>
      <c r="E109" s="305"/>
      <c r="F109" s="97"/>
      <c r="G109" s="305"/>
      <c r="H109" s="305"/>
      <c r="I109" s="305" t="s">
        <v>20</v>
      </c>
      <c r="J109" s="90" t="s">
        <v>539</v>
      </c>
      <c r="K109" s="92" t="s">
        <v>540</v>
      </c>
      <c r="L109" s="305"/>
      <c r="M109" s="369"/>
      <c r="N109" s="305"/>
      <c r="O109" s="305"/>
      <c r="P109" s="305"/>
      <c r="Q109" s="305"/>
      <c r="R109" s="305"/>
      <c r="S109" s="305"/>
      <c r="T109" s="305"/>
      <c r="U109" s="305"/>
      <c r="V109" s="305"/>
      <c r="W109" s="305"/>
      <c r="X109" s="305"/>
      <c r="Y109" s="305"/>
      <c r="Z109" s="305"/>
      <c r="AA109" s="305"/>
      <c r="AB109" s="305"/>
      <c r="AC109" s="92" t="s">
        <v>544</v>
      </c>
      <c r="AD109" s="369" t="s">
        <v>361</v>
      </c>
      <c r="AE109" s="118"/>
      <c r="AF109" s="118"/>
      <c r="AG109" s="118"/>
      <c r="AH109" s="118"/>
      <c r="AI109" s="94">
        <v>0</v>
      </c>
      <c r="AJ109" s="95" t="s">
        <v>264</v>
      </c>
      <c r="AK109" s="369" t="s">
        <v>190</v>
      </c>
      <c r="AL109" s="369" t="s">
        <v>191</v>
      </c>
      <c r="AM109" s="369"/>
      <c r="AN109" s="305"/>
      <c r="AO109" s="305"/>
      <c r="AP109" s="305"/>
      <c r="AQ109" s="291"/>
      <c r="AR109" s="305"/>
      <c r="AS109" s="305"/>
      <c r="AT109" s="102"/>
      <c r="AU109" s="97"/>
      <c r="AV109" s="97"/>
      <c r="AW109" s="97"/>
      <c r="AX109" s="97"/>
      <c r="AY109" s="98"/>
      <c r="AZ109" s="98"/>
      <c r="BA109" s="98"/>
      <c r="BB109" s="100" t="s">
        <v>545</v>
      </c>
      <c r="BC109" s="48"/>
      <c r="BD109" s="49"/>
      <c r="BE109" s="367"/>
      <c r="BF109" s="367"/>
      <c r="BG109" s="367"/>
      <c r="BH109" s="64" t="e">
        <f>#REF!</f>
        <v>#REF!</v>
      </c>
      <c r="BL109" s="54"/>
    </row>
    <row r="110" spans="1:64" s="59" customFormat="1" ht="36" customHeight="1" x14ac:dyDescent="0.3">
      <c r="A110" s="305">
        <f t="shared" si="1"/>
        <v>105</v>
      </c>
      <c r="B110" s="90" t="s">
        <v>546</v>
      </c>
      <c r="C110" s="305" t="s">
        <v>2</v>
      </c>
      <c r="D110" s="305" t="s">
        <v>262</v>
      </c>
      <c r="E110" s="305"/>
      <c r="F110" s="97"/>
      <c r="G110" s="305"/>
      <c r="H110" s="305"/>
      <c r="I110" s="305" t="s">
        <v>2</v>
      </c>
      <c r="J110" s="90" t="s">
        <v>29</v>
      </c>
      <c r="K110" s="92" t="s">
        <v>29</v>
      </c>
      <c r="L110" s="305"/>
      <c r="M110" s="369"/>
      <c r="N110" s="305"/>
      <c r="O110" s="305"/>
      <c r="P110" s="305"/>
      <c r="Q110" s="305"/>
      <c r="R110" s="305"/>
      <c r="S110" s="305"/>
      <c r="T110" s="305"/>
      <c r="U110" s="305"/>
      <c r="V110" s="305"/>
      <c r="W110" s="305"/>
      <c r="X110" s="305"/>
      <c r="Y110" s="305"/>
      <c r="Z110" s="305"/>
      <c r="AA110" s="305"/>
      <c r="AB110" s="305"/>
      <c r="AC110" s="92" t="s">
        <v>547</v>
      </c>
      <c r="AD110" s="369" t="s">
        <v>361</v>
      </c>
      <c r="AE110" s="118"/>
      <c r="AF110" s="118"/>
      <c r="AG110" s="118"/>
      <c r="AH110" s="118"/>
      <c r="AI110" s="264">
        <v>45566</v>
      </c>
      <c r="AJ110" s="95" t="s">
        <v>548</v>
      </c>
      <c r="AK110" s="369" t="s">
        <v>200</v>
      </c>
      <c r="AL110" s="369" t="s">
        <v>191</v>
      </c>
      <c r="AM110" s="369" t="s">
        <v>134</v>
      </c>
      <c r="AN110" s="305"/>
      <c r="AO110" s="305"/>
      <c r="AP110" s="305"/>
      <c r="AQ110" s="291"/>
      <c r="AR110" s="305"/>
      <c r="AS110" s="305"/>
      <c r="AT110" s="102"/>
      <c r="AU110" s="97"/>
      <c r="AV110" s="97"/>
      <c r="AW110" s="97"/>
      <c r="AX110" s="97"/>
      <c r="AY110" s="98"/>
      <c r="AZ110" s="98"/>
      <c r="BA110" s="98"/>
      <c r="BB110" s="100" t="s">
        <v>545</v>
      </c>
      <c r="BC110" s="48"/>
      <c r="BD110" s="49"/>
      <c r="BE110" s="367"/>
      <c r="BF110" s="367"/>
      <c r="BG110" s="367"/>
      <c r="BH110" s="64" t="e">
        <f>#REF!</f>
        <v>#REF!</v>
      </c>
      <c r="BL110" s="73"/>
    </row>
    <row r="111" spans="1:64" s="59" customFormat="1" ht="36" customHeight="1" x14ac:dyDescent="0.3">
      <c r="A111" s="305">
        <f t="shared" si="1"/>
        <v>106</v>
      </c>
      <c r="B111" s="90" t="s">
        <v>549</v>
      </c>
      <c r="C111" s="305" t="s">
        <v>2</v>
      </c>
      <c r="D111" s="305" t="s">
        <v>262</v>
      </c>
      <c r="E111" s="91"/>
      <c r="F111" s="97"/>
      <c r="G111" s="91"/>
      <c r="H111" s="91"/>
      <c r="I111" s="305" t="s">
        <v>2</v>
      </c>
      <c r="J111" s="90" t="s">
        <v>550</v>
      </c>
      <c r="K111" s="92" t="s">
        <v>550</v>
      </c>
      <c r="L111" s="305"/>
      <c r="M111" s="369"/>
      <c r="N111" s="305"/>
      <c r="O111" s="305"/>
      <c r="P111" s="305"/>
      <c r="Q111" s="305"/>
      <c r="R111" s="305"/>
      <c r="S111" s="305"/>
      <c r="T111" s="305"/>
      <c r="U111" s="305"/>
      <c r="V111" s="305"/>
      <c r="W111" s="305"/>
      <c r="X111" s="305"/>
      <c r="Y111" s="305"/>
      <c r="Z111" s="305"/>
      <c r="AA111" s="305"/>
      <c r="AB111" s="305"/>
      <c r="AC111" s="92" t="s">
        <v>551</v>
      </c>
      <c r="AD111" s="369" t="s">
        <v>552</v>
      </c>
      <c r="AE111" s="115"/>
      <c r="AF111" s="115"/>
      <c r="AG111" s="115"/>
      <c r="AH111" s="118"/>
      <c r="AI111" s="94">
        <v>0</v>
      </c>
      <c r="AJ111" s="95" t="s">
        <v>264</v>
      </c>
      <c r="AK111" s="369" t="s">
        <v>166</v>
      </c>
      <c r="AL111" s="369" t="s">
        <v>295</v>
      </c>
      <c r="AM111" s="369"/>
      <c r="AN111" s="305"/>
      <c r="AO111" s="305"/>
      <c r="AP111" s="305"/>
      <c r="AQ111" s="291"/>
      <c r="AR111" s="305"/>
      <c r="AS111" s="305"/>
      <c r="AT111" s="102"/>
      <c r="AU111" s="97"/>
      <c r="AV111" s="97"/>
      <c r="AW111" s="97"/>
      <c r="AX111" s="97"/>
      <c r="AY111" s="98"/>
      <c r="AZ111" s="98"/>
      <c r="BA111" s="98"/>
      <c r="BB111" s="100"/>
      <c r="BC111" s="48"/>
      <c r="BD111" s="49"/>
      <c r="BE111" s="367"/>
      <c r="BF111" s="367"/>
      <c r="BG111" s="367"/>
      <c r="BH111" s="64" t="e">
        <f>#REF!</f>
        <v>#REF!</v>
      </c>
      <c r="BL111" s="73"/>
    </row>
    <row r="112" spans="1:64" s="59" customFormat="1" ht="36" customHeight="1" x14ac:dyDescent="0.3">
      <c r="A112" s="305">
        <f t="shared" si="1"/>
        <v>107</v>
      </c>
      <c r="B112" s="90" t="s">
        <v>553</v>
      </c>
      <c r="C112" s="305" t="s">
        <v>2</v>
      </c>
      <c r="D112" s="305" t="s">
        <v>262</v>
      </c>
      <c r="E112" s="305"/>
      <c r="F112" s="97"/>
      <c r="G112" s="305"/>
      <c r="H112" s="305"/>
      <c r="I112" s="305" t="s">
        <v>2</v>
      </c>
      <c r="J112" s="90" t="s">
        <v>550</v>
      </c>
      <c r="K112" s="92" t="s">
        <v>550</v>
      </c>
      <c r="L112" s="305"/>
      <c r="M112" s="369"/>
      <c r="N112" s="305"/>
      <c r="O112" s="305"/>
      <c r="P112" s="305"/>
      <c r="Q112" s="305"/>
      <c r="R112" s="305"/>
      <c r="S112" s="305"/>
      <c r="T112" s="305"/>
      <c r="U112" s="305"/>
      <c r="V112" s="305"/>
      <c r="W112" s="305"/>
      <c r="X112" s="305"/>
      <c r="Y112" s="305"/>
      <c r="Z112" s="305"/>
      <c r="AA112" s="305"/>
      <c r="AB112" s="305"/>
      <c r="AC112" s="92" t="s">
        <v>554</v>
      </c>
      <c r="AD112" s="369" t="s">
        <v>555</v>
      </c>
      <c r="AE112" s="118"/>
      <c r="AF112" s="118"/>
      <c r="AG112" s="118"/>
      <c r="AH112" s="118"/>
      <c r="AI112" s="94">
        <v>0</v>
      </c>
      <c r="AJ112" s="95" t="s">
        <v>264</v>
      </c>
      <c r="AK112" s="369" t="s">
        <v>166</v>
      </c>
      <c r="AL112" s="369" t="s">
        <v>295</v>
      </c>
      <c r="AM112" s="369"/>
      <c r="AN112" s="305"/>
      <c r="AO112" s="305"/>
      <c r="AP112" s="305"/>
      <c r="AQ112" s="291"/>
      <c r="AR112" s="305"/>
      <c r="AS112" s="305"/>
      <c r="AT112" s="102"/>
      <c r="AU112" s="97"/>
      <c r="AV112" s="97"/>
      <c r="AW112" s="97"/>
      <c r="AX112" s="97"/>
      <c r="AY112" s="98"/>
      <c r="AZ112" s="98"/>
      <c r="BA112" s="98"/>
      <c r="BB112" s="100"/>
      <c r="BC112" s="48"/>
      <c r="BD112" s="49"/>
      <c r="BE112" s="367"/>
      <c r="BF112" s="367"/>
      <c r="BG112" s="367"/>
      <c r="BH112" s="64" t="e">
        <f>#REF!</f>
        <v>#REF!</v>
      </c>
      <c r="BL112" s="73"/>
    </row>
    <row r="113" spans="1:64" s="59" customFormat="1" ht="36" customHeight="1" x14ac:dyDescent="0.3">
      <c r="A113" s="305">
        <f t="shared" si="1"/>
        <v>108</v>
      </c>
      <c r="B113" s="90" t="s">
        <v>556</v>
      </c>
      <c r="C113" s="305" t="s">
        <v>2</v>
      </c>
      <c r="D113" s="305" t="s">
        <v>262</v>
      </c>
      <c r="E113" s="305"/>
      <c r="F113" s="305"/>
      <c r="G113" s="305"/>
      <c r="H113" s="305"/>
      <c r="I113" s="305" t="s">
        <v>2</v>
      </c>
      <c r="J113" s="90" t="s">
        <v>29</v>
      </c>
      <c r="K113" s="92" t="s">
        <v>29</v>
      </c>
      <c r="L113" s="305"/>
      <c r="M113" s="369"/>
      <c r="N113" s="305"/>
      <c r="O113" s="305"/>
      <c r="P113" s="305"/>
      <c r="Q113" s="305"/>
      <c r="R113" s="305"/>
      <c r="S113" s="305"/>
      <c r="T113" s="305"/>
      <c r="U113" s="305"/>
      <c r="V113" s="305"/>
      <c r="W113" s="305"/>
      <c r="X113" s="305"/>
      <c r="Y113" s="305"/>
      <c r="Z113" s="305"/>
      <c r="AA113" s="305"/>
      <c r="AB113" s="305"/>
      <c r="AC113" s="92" t="s">
        <v>557</v>
      </c>
      <c r="AD113" s="369" t="s">
        <v>150</v>
      </c>
      <c r="AE113" s="118"/>
      <c r="AF113" s="118"/>
      <c r="AG113" s="118"/>
      <c r="AH113" s="118"/>
      <c r="AI113" s="94">
        <v>0</v>
      </c>
      <c r="AJ113" s="95" t="s">
        <v>264</v>
      </c>
      <c r="AK113" s="369"/>
      <c r="AL113" s="369"/>
      <c r="AM113" s="369"/>
      <c r="AN113" s="305"/>
      <c r="AO113" s="305"/>
      <c r="AP113" s="305"/>
      <c r="AQ113" s="291"/>
      <c r="AR113" s="305"/>
      <c r="AS113" s="305"/>
      <c r="AT113" s="102"/>
      <c r="AU113" s="97"/>
      <c r="AV113" s="97"/>
      <c r="AW113" s="97"/>
      <c r="AX113" s="97"/>
      <c r="AY113" s="98"/>
      <c r="AZ113" s="98"/>
      <c r="BA113" s="98"/>
      <c r="BB113" s="100"/>
      <c r="BC113" s="48"/>
      <c r="BD113" s="367"/>
      <c r="BE113" s="367"/>
      <c r="BF113" s="367"/>
      <c r="BG113" s="367"/>
      <c r="BH113" s="64" t="e">
        <f>#REF!</f>
        <v>#REF!</v>
      </c>
      <c r="BL113" s="73"/>
    </row>
    <row r="114" spans="1:64" s="59" customFormat="1" ht="36" customHeight="1" x14ac:dyDescent="0.3">
      <c r="A114" s="305">
        <f t="shared" si="1"/>
        <v>109</v>
      </c>
      <c r="B114" s="90" t="s">
        <v>558</v>
      </c>
      <c r="C114" s="305" t="s">
        <v>3</v>
      </c>
      <c r="D114" s="305" t="s">
        <v>559</v>
      </c>
      <c r="E114" s="91">
        <v>45442</v>
      </c>
      <c r="F114" s="97">
        <v>45442</v>
      </c>
      <c r="G114" s="305"/>
      <c r="H114" s="305"/>
      <c r="I114" s="305" t="s">
        <v>3</v>
      </c>
      <c r="J114" s="90" t="s">
        <v>560</v>
      </c>
      <c r="K114" s="92" t="s">
        <v>561</v>
      </c>
      <c r="L114" s="305"/>
      <c r="M114" s="369"/>
      <c r="N114" s="305"/>
      <c r="O114" s="305"/>
      <c r="P114" s="158"/>
      <c r="Q114" s="305"/>
      <c r="R114" s="305"/>
      <c r="S114" s="305"/>
      <c r="T114" s="305"/>
      <c r="U114" s="305"/>
      <c r="V114" s="305"/>
      <c r="W114" s="305"/>
      <c r="X114" s="305"/>
      <c r="Y114" s="305"/>
      <c r="Z114" s="305"/>
      <c r="AA114" s="305"/>
      <c r="AB114" s="305"/>
      <c r="AC114" s="92" t="s">
        <v>562</v>
      </c>
      <c r="AD114" s="369" t="s">
        <v>272</v>
      </c>
      <c r="AE114" s="118"/>
      <c r="AF114" s="118"/>
      <c r="AG114" s="118">
        <v>45437</v>
      </c>
      <c r="AH114" s="118">
        <v>45442</v>
      </c>
      <c r="AI114" s="264">
        <v>45383</v>
      </c>
      <c r="AJ114" s="95" t="s">
        <v>131</v>
      </c>
      <c r="AK114" s="369" t="s">
        <v>273</v>
      </c>
      <c r="AL114" s="369" t="s">
        <v>191</v>
      </c>
      <c r="AM114" s="369" t="s">
        <v>134</v>
      </c>
      <c r="AN114" s="305">
        <v>45342</v>
      </c>
      <c r="AO114" s="305"/>
      <c r="AP114" s="305"/>
      <c r="AQ114" s="291">
        <v>45280</v>
      </c>
      <c r="AR114" s="305"/>
      <c r="AS114" s="305"/>
      <c r="AT114" s="102">
        <v>45402</v>
      </c>
      <c r="AU114" s="97">
        <v>45371</v>
      </c>
      <c r="AV114" s="97">
        <v>45380</v>
      </c>
      <c r="AW114" s="97">
        <v>45371</v>
      </c>
      <c r="AX114" s="97"/>
      <c r="AY114" s="98"/>
      <c r="AZ114" s="98"/>
      <c r="BA114" s="98"/>
      <c r="BB114" s="100"/>
      <c r="BC114" s="48"/>
      <c r="BD114" s="367"/>
      <c r="BE114" s="367"/>
      <c r="BF114" s="367"/>
      <c r="BG114" s="367"/>
      <c r="BH114" s="64" t="e">
        <f>#REF!</f>
        <v>#REF!</v>
      </c>
      <c r="BL114" s="73"/>
    </row>
    <row r="115" spans="1:64" s="59" customFormat="1" ht="36" customHeight="1" x14ac:dyDescent="0.3">
      <c r="A115" s="305">
        <f t="shared" si="1"/>
        <v>110</v>
      </c>
      <c r="B115" s="90" t="s">
        <v>563</v>
      </c>
      <c r="C115" s="305" t="s">
        <v>3</v>
      </c>
      <c r="D115" s="305" t="s">
        <v>564</v>
      </c>
      <c r="E115" s="91">
        <v>45656</v>
      </c>
      <c r="F115" s="97"/>
      <c r="G115" s="305"/>
      <c r="H115" s="305"/>
      <c r="I115" s="305" t="s">
        <v>3</v>
      </c>
      <c r="J115" s="90" t="s">
        <v>565</v>
      </c>
      <c r="K115" s="92"/>
      <c r="L115" s="305"/>
      <c r="M115" s="369" t="s">
        <v>120</v>
      </c>
      <c r="N115" s="305"/>
      <c r="O115" s="305"/>
      <c r="P115" s="158"/>
      <c r="Q115" s="305"/>
      <c r="R115" s="305"/>
      <c r="S115" s="305"/>
      <c r="T115" s="305"/>
      <c r="U115" s="305"/>
      <c r="V115" s="305"/>
      <c r="W115" s="305"/>
      <c r="X115" s="305"/>
      <c r="Y115" s="305"/>
      <c r="Z115" s="305"/>
      <c r="AA115" s="305"/>
      <c r="AB115" s="305"/>
      <c r="AC115" s="92" t="s">
        <v>566</v>
      </c>
      <c r="AD115" s="369" t="s">
        <v>567</v>
      </c>
      <c r="AE115" s="118"/>
      <c r="AF115" s="118"/>
      <c r="AG115" s="118">
        <v>45626</v>
      </c>
      <c r="AH115" s="118">
        <v>45656</v>
      </c>
      <c r="AI115" s="264">
        <v>45597</v>
      </c>
      <c r="AJ115" s="95" t="s">
        <v>131</v>
      </c>
      <c r="AK115" s="369" t="s">
        <v>366</v>
      </c>
      <c r="AL115" s="369" t="s">
        <v>183</v>
      </c>
      <c r="AM115" s="369" t="s">
        <v>134</v>
      </c>
      <c r="AN115" s="369" t="s">
        <v>568</v>
      </c>
      <c r="AO115" s="305"/>
      <c r="AP115" s="305"/>
      <c r="AQ115" s="291"/>
      <c r="AR115" s="305"/>
      <c r="AS115" s="305"/>
      <c r="AT115" s="102">
        <v>45606</v>
      </c>
      <c r="AU115" s="97">
        <v>45568</v>
      </c>
      <c r="AV115" s="97">
        <v>45583</v>
      </c>
      <c r="AW115" s="97">
        <v>45562</v>
      </c>
      <c r="AX115" s="97"/>
      <c r="AY115" s="98"/>
      <c r="AZ115" s="98"/>
      <c r="BA115" s="98"/>
      <c r="BB115" s="100"/>
      <c r="BC115" s="48"/>
      <c r="BD115" s="49"/>
      <c r="BE115" s="367"/>
      <c r="BF115" s="367"/>
      <c r="BG115" s="367"/>
      <c r="BH115" s="64" t="e">
        <f>#REF!</f>
        <v>#REF!</v>
      </c>
      <c r="BL115" s="73"/>
    </row>
    <row r="116" spans="1:64" ht="36" customHeight="1" x14ac:dyDescent="0.3">
      <c r="A116" s="305">
        <f t="shared" si="1"/>
        <v>111</v>
      </c>
      <c r="B116" s="90" t="s">
        <v>569</v>
      </c>
      <c r="C116" s="305" t="s">
        <v>0</v>
      </c>
      <c r="D116" s="305" t="s">
        <v>570</v>
      </c>
      <c r="E116" s="91">
        <v>45503</v>
      </c>
      <c r="F116" s="97"/>
      <c r="G116" s="305"/>
      <c r="H116" s="305"/>
      <c r="I116" s="305" t="s">
        <v>20</v>
      </c>
      <c r="J116" s="90" t="s">
        <v>29</v>
      </c>
      <c r="K116" s="92" t="s">
        <v>29</v>
      </c>
      <c r="L116" s="305"/>
      <c r="M116" s="369"/>
      <c r="N116" s="305"/>
      <c r="O116" s="305"/>
      <c r="P116" s="158"/>
      <c r="Q116" s="305"/>
      <c r="R116" s="305"/>
      <c r="S116" s="305"/>
      <c r="T116" s="305"/>
      <c r="U116" s="305"/>
      <c r="V116" s="305"/>
      <c r="W116" s="305"/>
      <c r="X116" s="305"/>
      <c r="Y116" s="305"/>
      <c r="Z116" s="305"/>
      <c r="AA116" s="305"/>
      <c r="AB116" s="305"/>
      <c r="AC116" s="92" t="s">
        <v>571</v>
      </c>
      <c r="AD116" s="369" t="s">
        <v>361</v>
      </c>
      <c r="AE116" s="118"/>
      <c r="AF116" s="118"/>
      <c r="AG116" s="118"/>
      <c r="AH116" s="118">
        <v>45503</v>
      </c>
      <c r="AI116" s="264">
        <v>45474</v>
      </c>
      <c r="AJ116" s="95" t="s">
        <v>131</v>
      </c>
      <c r="AK116" s="369" t="s">
        <v>265</v>
      </c>
      <c r="AL116" s="369" t="s">
        <v>133</v>
      </c>
      <c r="AM116" s="369" t="s">
        <v>134</v>
      </c>
      <c r="AN116" s="305"/>
      <c r="AO116" s="305"/>
      <c r="AP116" s="305"/>
      <c r="AQ116" s="291"/>
      <c r="AR116" s="305"/>
      <c r="AS116" s="305"/>
      <c r="AT116" s="102">
        <v>45483</v>
      </c>
      <c r="AU116" s="97">
        <v>45453</v>
      </c>
      <c r="AV116" s="97">
        <v>45462</v>
      </c>
      <c r="AW116" s="97">
        <v>45454</v>
      </c>
      <c r="AX116" s="97"/>
      <c r="AY116" s="98"/>
      <c r="AZ116" s="98"/>
      <c r="BA116" s="98"/>
      <c r="BB116" s="100"/>
      <c r="BC116" s="48"/>
      <c r="BD116" s="49"/>
      <c r="BE116" s="367"/>
      <c r="BF116" s="367"/>
      <c r="BG116" s="367"/>
      <c r="BH116" s="64" t="e">
        <f>#REF!</f>
        <v>#REF!</v>
      </c>
      <c r="BL116" s="54"/>
    </row>
    <row r="117" spans="1:64" ht="36" customHeight="1" x14ac:dyDescent="0.3">
      <c r="A117" s="305">
        <f t="shared" si="1"/>
        <v>112</v>
      </c>
      <c r="B117" s="90" t="s">
        <v>572</v>
      </c>
      <c r="C117" s="305" t="s">
        <v>0</v>
      </c>
      <c r="D117" s="305" t="s">
        <v>262</v>
      </c>
      <c r="E117" s="91"/>
      <c r="F117" s="91"/>
      <c r="G117" s="91"/>
      <c r="H117" s="91"/>
      <c r="I117" s="305" t="s">
        <v>20</v>
      </c>
      <c r="J117" s="90" t="s">
        <v>539</v>
      </c>
      <c r="K117" s="92" t="s">
        <v>573</v>
      </c>
      <c r="L117" s="305"/>
      <c r="M117" s="369"/>
      <c r="N117" s="305"/>
      <c r="O117" s="305"/>
      <c r="P117" s="305"/>
      <c r="Q117" s="305"/>
      <c r="R117" s="305"/>
      <c r="S117" s="305"/>
      <c r="T117" s="305"/>
      <c r="U117" s="305"/>
      <c r="V117" s="305"/>
      <c r="W117" s="305"/>
      <c r="X117" s="305"/>
      <c r="Y117" s="305"/>
      <c r="Z117" s="305"/>
      <c r="AA117" s="305"/>
      <c r="AB117" s="305"/>
      <c r="AC117" s="92" t="s">
        <v>574</v>
      </c>
      <c r="AD117" s="369" t="s">
        <v>361</v>
      </c>
      <c r="AE117" s="115"/>
      <c r="AF117" s="115"/>
      <c r="AG117" s="115"/>
      <c r="AH117" s="118"/>
      <c r="AI117" s="94">
        <v>0</v>
      </c>
      <c r="AJ117" s="95" t="s">
        <v>264</v>
      </c>
      <c r="AK117" s="369" t="s">
        <v>265</v>
      </c>
      <c r="AL117" s="369" t="s">
        <v>239</v>
      </c>
      <c r="AM117" s="369"/>
      <c r="AN117" s="96"/>
      <c r="AO117" s="369"/>
      <c r="AP117" s="305"/>
      <c r="AQ117" s="371"/>
      <c r="AR117" s="369"/>
      <c r="AS117" s="305"/>
      <c r="AT117" s="102"/>
      <c r="AU117" s="97"/>
      <c r="AV117" s="97"/>
      <c r="AW117" s="97"/>
      <c r="AX117" s="97"/>
      <c r="AY117" s="98"/>
      <c r="AZ117" s="98"/>
      <c r="BA117" s="98"/>
      <c r="BB117" s="100"/>
      <c r="BC117" s="48"/>
      <c r="BD117" s="49"/>
      <c r="BE117" s="367"/>
      <c r="BF117" s="367"/>
      <c r="BG117" s="367"/>
      <c r="BH117" s="64" t="e">
        <f>#REF!</f>
        <v>#REF!</v>
      </c>
      <c r="BL117" s="54"/>
    </row>
    <row r="118" spans="1:64" ht="36" customHeight="1" x14ac:dyDescent="0.3">
      <c r="A118" s="305">
        <f t="shared" si="1"/>
        <v>113</v>
      </c>
      <c r="B118" s="90" t="s">
        <v>575</v>
      </c>
      <c r="C118" s="305" t="s">
        <v>0</v>
      </c>
      <c r="D118" s="305" t="s">
        <v>576</v>
      </c>
      <c r="E118" s="91">
        <v>45471</v>
      </c>
      <c r="F118" s="97">
        <v>45492</v>
      </c>
      <c r="G118" s="91"/>
      <c r="H118" s="91"/>
      <c r="I118" s="305" t="s">
        <v>20</v>
      </c>
      <c r="J118" s="90" t="s">
        <v>577</v>
      </c>
      <c r="K118" s="92" t="s">
        <v>578</v>
      </c>
      <c r="L118" s="305"/>
      <c r="M118" s="369"/>
      <c r="N118" s="305"/>
      <c r="O118" s="305"/>
      <c r="P118" s="158"/>
      <c r="Q118" s="305"/>
      <c r="R118" s="305"/>
      <c r="S118" s="305"/>
      <c r="T118" s="305"/>
      <c r="U118" s="305"/>
      <c r="V118" s="305"/>
      <c r="W118" s="305"/>
      <c r="X118" s="305"/>
      <c r="Y118" s="305"/>
      <c r="Z118" s="305"/>
      <c r="AA118" s="305"/>
      <c r="AB118" s="305"/>
      <c r="AC118" s="92" t="s">
        <v>579</v>
      </c>
      <c r="AD118" s="369" t="s">
        <v>580</v>
      </c>
      <c r="AE118" s="115"/>
      <c r="AF118" s="115"/>
      <c r="AG118" s="115">
        <v>45473</v>
      </c>
      <c r="AH118" s="118">
        <v>45473</v>
      </c>
      <c r="AI118" s="264">
        <v>45444</v>
      </c>
      <c r="AJ118" s="95" t="s">
        <v>131</v>
      </c>
      <c r="AK118" s="369" t="s">
        <v>366</v>
      </c>
      <c r="AL118" s="369" t="s">
        <v>147</v>
      </c>
      <c r="AM118" s="369" t="s">
        <v>134</v>
      </c>
      <c r="AN118" s="96">
        <v>44803</v>
      </c>
      <c r="AO118" s="369"/>
      <c r="AP118" s="305"/>
      <c r="AQ118" s="371"/>
      <c r="AR118" s="369"/>
      <c r="AS118" s="305"/>
      <c r="AT118" s="102">
        <v>45442</v>
      </c>
      <c r="AU118" s="97">
        <v>45420</v>
      </c>
      <c r="AV118" s="97">
        <v>45427</v>
      </c>
      <c r="AW118" s="97">
        <v>45420</v>
      </c>
      <c r="AX118" s="97"/>
      <c r="AY118" s="98"/>
      <c r="AZ118" s="98"/>
      <c r="BA118" s="98"/>
      <c r="BB118" s="100"/>
      <c r="BC118" s="48"/>
      <c r="BD118" s="367"/>
      <c r="BE118" s="367"/>
      <c r="BF118" s="367"/>
      <c r="BG118" s="367"/>
      <c r="BH118" s="64" t="e">
        <f>#REF!</f>
        <v>#REF!</v>
      </c>
      <c r="BL118" s="54"/>
    </row>
    <row r="119" spans="1:64" ht="36" customHeight="1" x14ac:dyDescent="0.3">
      <c r="A119" s="305">
        <f t="shared" si="1"/>
        <v>114</v>
      </c>
      <c r="B119" s="90" t="s">
        <v>581</v>
      </c>
      <c r="C119" s="305" t="s">
        <v>0</v>
      </c>
      <c r="D119" s="305" t="s">
        <v>582</v>
      </c>
      <c r="E119" s="91"/>
      <c r="F119" s="97"/>
      <c r="G119" s="91"/>
      <c r="H119" s="91"/>
      <c r="I119" s="305" t="s">
        <v>30</v>
      </c>
      <c r="J119" s="90" t="s">
        <v>156</v>
      </c>
      <c r="K119" s="92"/>
      <c r="L119" s="305"/>
      <c r="M119" s="369"/>
      <c r="N119" s="305"/>
      <c r="O119" s="305"/>
      <c r="P119" s="305"/>
      <c r="Q119" s="305"/>
      <c r="R119" s="305"/>
      <c r="S119" s="305"/>
      <c r="T119" s="305"/>
      <c r="U119" s="305"/>
      <c r="V119" s="305"/>
      <c r="W119" s="305"/>
      <c r="X119" s="305"/>
      <c r="Y119" s="305"/>
      <c r="Z119" s="305"/>
      <c r="AA119" s="305"/>
      <c r="AB119" s="305"/>
      <c r="AC119" s="92" t="s">
        <v>583</v>
      </c>
      <c r="AD119" s="369" t="s">
        <v>584</v>
      </c>
      <c r="AE119" s="118"/>
      <c r="AF119" s="118"/>
      <c r="AG119" s="118"/>
      <c r="AH119" s="118"/>
      <c r="AI119" s="94">
        <v>0</v>
      </c>
      <c r="AJ119" s="95" t="s">
        <v>264</v>
      </c>
      <c r="AK119" s="369"/>
      <c r="AL119" s="369" t="s">
        <v>162</v>
      </c>
      <c r="AM119" s="369"/>
      <c r="AN119" s="96">
        <v>44803</v>
      </c>
      <c r="AO119" s="369"/>
      <c r="AP119" s="305"/>
      <c r="AQ119" s="371"/>
      <c r="AR119" s="369"/>
      <c r="AS119" s="305"/>
      <c r="AT119" s="102"/>
      <c r="AU119" s="97"/>
      <c r="AV119" s="97"/>
      <c r="AW119" s="97"/>
      <c r="AX119" s="97"/>
      <c r="AY119" s="98"/>
      <c r="AZ119" s="98"/>
      <c r="BA119" s="98"/>
      <c r="BB119" s="100"/>
      <c r="BC119" s="48"/>
      <c r="BD119" s="367"/>
      <c r="BE119" s="367"/>
      <c r="BF119" s="367"/>
      <c r="BG119" s="367"/>
      <c r="BH119" s="64" t="e">
        <f>#REF!</f>
        <v>#REF!</v>
      </c>
      <c r="BL119" s="54"/>
    </row>
    <row r="120" spans="1:64" ht="36" customHeight="1" x14ac:dyDescent="0.3">
      <c r="A120" s="305">
        <f t="shared" si="1"/>
        <v>115</v>
      </c>
      <c r="B120" s="90" t="s">
        <v>585</v>
      </c>
      <c r="C120" s="119" t="s">
        <v>0</v>
      </c>
      <c r="D120" s="119" t="s">
        <v>582</v>
      </c>
      <c r="E120" s="91"/>
      <c r="F120" s="97"/>
      <c r="G120" s="305"/>
      <c r="H120" s="305"/>
      <c r="I120" s="305" t="s">
        <v>30</v>
      </c>
      <c r="J120" s="90" t="s">
        <v>156</v>
      </c>
      <c r="K120" s="92"/>
      <c r="L120" s="305"/>
      <c r="M120" s="369"/>
      <c r="N120" s="305"/>
      <c r="O120" s="305"/>
      <c r="P120" s="305"/>
      <c r="Q120" s="305"/>
      <c r="R120" s="305"/>
      <c r="S120" s="305"/>
      <c r="T120" s="305"/>
      <c r="U120" s="305"/>
      <c r="V120" s="305"/>
      <c r="W120" s="305"/>
      <c r="X120" s="305"/>
      <c r="Y120" s="305"/>
      <c r="Z120" s="305"/>
      <c r="AA120" s="305"/>
      <c r="AB120" s="305"/>
      <c r="AC120" s="92" t="s">
        <v>586</v>
      </c>
      <c r="AD120" s="369" t="s">
        <v>584</v>
      </c>
      <c r="AE120" s="118"/>
      <c r="AF120" s="118"/>
      <c r="AG120" s="118"/>
      <c r="AH120" s="118"/>
      <c r="AI120" s="94">
        <v>0</v>
      </c>
      <c r="AJ120" s="95" t="s">
        <v>264</v>
      </c>
      <c r="AK120" s="369"/>
      <c r="AL120" s="369" t="s">
        <v>162</v>
      </c>
      <c r="AM120" s="369"/>
      <c r="AN120" s="369"/>
      <c r="AO120" s="369"/>
      <c r="AP120" s="305"/>
      <c r="AQ120" s="371"/>
      <c r="AR120" s="369"/>
      <c r="AS120" s="305"/>
      <c r="AT120" s="102"/>
      <c r="AU120" s="97"/>
      <c r="AV120" s="97"/>
      <c r="AW120" s="97"/>
      <c r="AX120" s="97"/>
      <c r="AY120" s="98"/>
      <c r="AZ120" s="98"/>
      <c r="BA120" s="98"/>
      <c r="BB120" s="100"/>
      <c r="BC120" s="48"/>
      <c r="BD120" s="367"/>
      <c r="BE120" s="367"/>
      <c r="BF120" s="367"/>
      <c r="BG120" s="367"/>
      <c r="BH120" s="64" t="e">
        <f>#REF!</f>
        <v>#REF!</v>
      </c>
      <c r="BL120" s="54"/>
    </row>
    <row r="121" spans="1:64" ht="36" customHeight="1" x14ac:dyDescent="0.3">
      <c r="A121" s="305">
        <f t="shared" si="1"/>
        <v>116</v>
      </c>
      <c r="B121" s="90" t="s">
        <v>587</v>
      </c>
      <c r="C121" s="119" t="s">
        <v>0</v>
      </c>
      <c r="D121" s="119" t="s">
        <v>582</v>
      </c>
      <c r="E121" s="91"/>
      <c r="F121" s="97"/>
      <c r="G121" s="305"/>
      <c r="H121" s="305"/>
      <c r="I121" s="305" t="s">
        <v>30</v>
      </c>
      <c r="J121" s="90" t="s">
        <v>156</v>
      </c>
      <c r="K121" s="92"/>
      <c r="L121" s="305"/>
      <c r="M121" s="369"/>
      <c r="N121" s="305"/>
      <c r="O121" s="305"/>
      <c r="P121" s="305"/>
      <c r="Q121" s="305"/>
      <c r="R121" s="305"/>
      <c r="S121" s="305"/>
      <c r="T121" s="305"/>
      <c r="U121" s="305"/>
      <c r="V121" s="305"/>
      <c r="W121" s="305"/>
      <c r="X121" s="305"/>
      <c r="Y121" s="305"/>
      <c r="Z121" s="305"/>
      <c r="AA121" s="305"/>
      <c r="AB121" s="305"/>
      <c r="AC121" s="92" t="s">
        <v>588</v>
      </c>
      <c r="AD121" s="369" t="s">
        <v>584</v>
      </c>
      <c r="AE121" s="118"/>
      <c r="AF121" s="118"/>
      <c r="AG121" s="118"/>
      <c r="AH121" s="118"/>
      <c r="AI121" s="94">
        <v>0</v>
      </c>
      <c r="AJ121" s="95" t="s">
        <v>264</v>
      </c>
      <c r="AK121" s="369"/>
      <c r="AL121" s="369" t="s">
        <v>162</v>
      </c>
      <c r="AM121" s="369"/>
      <c r="AN121" s="305"/>
      <c r="AO121" s="305"/>
      <c r="AP121" s="305"/>
      <c r="AQ121" s="291"/>
      <c r="AR121" s="305"/>
      <c r="AS121" s="305"/>
      <c r="AT121" s="102"/>
      <c r="AU121" s="97"/>
      <c r="AV121" s="97"/>
      <c r="AW121" s="97"/>
      <c r="AX121" s="97"/>
      <c r="AY121" s="98"/>
      <c r="AZ121" s="98"/>
      <c r="BA121" s="98"/>
      <c r="BB121" s="100"/>
      <c r="BC121" s="48"/>
      <c r="BD121" s="367"/>
      <c r="BE121" s="367"/>
      <c r="BF121" s="367"/>
      <c r="BG121" s="367"/>
      <c r="BH121" s="64" t="e">
        <f>#REF!</f>
        <v>#REF!</v>
      </c>
      <c r="BL121" s="54"/>
    </row>
    <row r="122" spans="1:64" ht="36" customHeight="1" x14ac:dyDescent="0.3">
      <c r="A122" s="305">
        <f t="shared" si="1"/>
        <v>117</v>
      </c>
      <c r="B122" s="90" t="s">
        <v>589</v>
      </c>
      <c r="C122" s="119" t="s">
        <v>0</v>
      </c>
      <c r="D122" s="119" t="s">
        <v>582</v>
      </c>
      <c r="E122" s="91"/>
      <c r="F122" s="97"/>
      <c r="G122" s="305"/>
      <c r="H122" s="305"/>
      <c r="I122" s="305" t="s">
        <v>30</v>
      </c>
      <c r="J122" s="90" t="s">
        <v>590</v>
      </c>
      <c r="K122" s="92"/>
      <c r="L122" s="305"/>
      <c r="M122" s="369"/>
      <c r="N122" s="305"/>
      <c r="O122" s="305"/>
      <c r="P122" s="305"/>
      <c r="Q122" s="305"/>
      <c r="R122" s="305"/>
      <c r="S122" s="305"/>
      <c r="T122" s="305"/>
      <c r="U122" s="305"/>
      <c r="V122" s="305"/>
      <c r="W122" s="305"/>
      <c r="X122" s="305"/>
      <c r="Y122" s="305"/>
      <c r="Z122" s="305"/>
      <c r="AA122" s="305"/>
      <c r="AB122" s="305"/>
      <c r="AC122" s="92" t="s">
        <v>591</v>
      </c>
      <c r="AD122" s="369" t="s">
        <v>584</v>
      </c>
      <c r="AE122" s="118"/>
      <c r="AF122" s="118"/>
      <c r="AG122" s="118"/>
      <c r="AH122" s="118"/>
      <c r="AI122" s="94">
        <v>0</v>
      </c>
      <c r="AJ122" s="95" t="s">
        <v>264</v>
      </c>
      <c r="AK122" s="369"/>
      <c r="AL122" s="369" t="s">
        <v>162</v>
      </c>
      <c r="AM122" s="369"/>
      <c r="AN122" s="305"/>
      <c r="AO122" s="305"/>
      <c r="AP122" s="305"/>
      <c r="AQ122" s="291"/>
      <c r="AR122" s="305"/>
      <c r="AS122" s="305"/>
      <c r="AT122" s="102"/>
      <c r="AU122" s="97"/>
      <c r="AV122" s="97"/>
      <c r="AW122" s="97"/>
      <c r="AX122" s="97"/>
      <c r="AY122" s="98"/>
      <c r="AZ122" s="98"/>
      <c r="BA122" s="98"/>
      <c r="BB122" s="100"/>
      <c r="BC122" s="48"/>
      <c r="BD122" s="367"/>
      <c r="BE122" s="367"/>
      <c r="BF122" s="367"/>
      <c r="BG122" s="367"/>
      <c r="BH122" s="64" t="e">
        <f>#REF!</f>
        <v>#REF!</v>
      </c>
      <c r="BL122" s="54"/>
    </row>
    <row r="123" spans="1:64" ht="36" customHeight="1" x14ac:dyDescent="0.3">
      <c r="A123" s="305">
        <f t="shared" si="1"/>
        <v>118</v>
      </c>
      <c r="B123" s="90" t="s">
        <v>592</v>
      </c>
      <c r="C123" s="119" t="s">
        <v>0</v>
      </c>
      <c r="D123" s="119" t="s">
        <v>582</v>
      </c>
      <c r="E123" s="91"/>
      <c r="F123" s="97"/>
      <c r="G123" s="91"/>
      <c r="H123" s="91"/>
      <c r="I123" s="305" t="s">
        <v>30</v>
      </c>
      <c r="J123" s="90" t="s">
        <v>590</v>
      </c>
      <c r="K123" s="92"/>
      <c r="L123" s="305"/>
      <c r="M123" s="369"/>
      <c r="N123" s="305"/>
      <c r="O123" s="305"/>
      <c r="P123" s="305"/>
      <c r="Q123" s="305"/>
      <c r="R123" s="305"/>
      <c r="S123" s="305"/>
      <c r="T123" s="305"/>
      <c r="U123" s="305"/>
      <c r="V123" s="305"/>
      <c r="W123" s="305"/>
      <c r="X123" s="305"/>
      <c r="Y123" s="305"/>
      <c r="Z123" s="305"/>
      <c r="AA123" s="305"/>
      <c r="AB123" s="305"/>
      <c r="AC123" s="92" t="s">
        <v>593</v>
      </c>
      <c r="AD123" s="369" t="s">
        <v>584</v>
      </c>
      <c r="AE123" s="115"/>
      <c r="AF123" s="115"/>
      <c r="AG123" s="115"/>
      <c r="AH123" s="118"/>
      <c r="AI123" s="94">
        <v>0</v>
      </c>
      <c r="AJ123" s="95" t="s">
        <v>264</v>
      </c>
      <c r="AK123" s="369"/>
      <c r="AL123" s="369" t="s">
        <v>162</v>
      </c>
      <c r="AM123" s="369"/>
      <c r="AN123" s="305" t="s">
        <v>42</v>
      </c>
      <c r="AO123" s="305" t="s">
        <v>42</v>
      </c>
      <c r="AP123" s="305" t="s">
        <v>42</v>
      </c>
      <c r="AQ123" s="291" t="s">
        <v>42</v>
      </c>
      <c r="AR123" s="305" t="s">
        <v>42</v>
      </c>
      <c r="AS123" s="305" t="s">
        <v>42</v>
      </c>
      <c r="AT123" s="102"/>
      <c r="AU123" s="97"/>
      <c r="AV123" s="97"/>
      <c r="AW123" s="97"/>
      <c r="AX123" s="97"/>
      <c r="AY123" s="98"/>
      <c r="AZ123" s="98"/>
      <c r="BA123" s="98"/>
      <c r="BB123" s="100"/>
      <c r="BC123" s="48"/>
      <c r="BD123" s="367"/>
      <c r="BE123" s="367"/>
      <c r="BF123" s="367"/>
      <c r="BG123" s="367"/>
      <c r="BH123" s="64" t="e">
        <f>#REF!</f>
        <v>#REF!</v>
      </c>
      <c r="BL123" s="54"/>
    </row>
    <row r="124" spans="1:64" s="59" customFormat="1" ht="36" customHeight="1" x14ac:dyDescent="0.3">
      <c r="A124" s="305">
        <f t="shared" si="1"/>
        <v>119</v>
      </c>
      <c r="B124" s="90" t="s">
        <v>594</v>
      </c>
      <c r="C124" s="119" t="s">
        <v>12</v>
      </c>
      <c r="D124" s="119" t="s">
        <v>595</v>
      </c>
      <c r="E124" s="91">
        <v>45488</v>
      </c>
      <c r="F124" s="97">
        <v>45488</v>
      </c>
      <c r="G124" s="91"/>
      <c r="H124" s="91">
        <v>45562</v>
      </c>
      <c r="I124" s="305" t="s">
        <v>596</v>
      </c>
      <c r="J124" s="90" t="s">
        <v>596</v>
      </c>
      <c r="K124" s="92"/>
      <c r="L124" s="305"/>
      <c r="M124" s="369"/>
      <c r="N124" s="305"/>
      <c r="O124" s="305"/>
      <c r="P124" s="158"/>
      <c r="Q124" s="305"/>
      <c r="R124" s="305"/>
      <c r="S124" s="305"/>
      <c r="T124" s="305"/>
      <c r="U124" s="305"/>
      <c r="V124" s="305"/>
      <c r="W124" s="305"/>
      <c r="X124" s="369" t="s">
        <v>597</v>
      </c>
      <c r="Y124" s="305"/>
      <c r="Z124" s="305"/>
      <c r="AA124" s="305"/>
      <c r="AB124" s="305"/>
      <c r="AC124" s="92" t="s">
        <v>598</v>
      </c>
      <c r="AD124" s="369" t="s">
        <v>55</v>
      </c>
      <c r="AE124" s="115"/>
      <c r="AF124" s="115"/>
      <c r="AG124" s="115">
        <v>45432</v>
      </c>
      <c r="AH124" s="118">
        <v>45432</v>
      </c>
      <c r="AI124" s="264">
        <v>45413</v>
      </c>
      <c r="AJ124" s="95" t="s">
        <v>131</v>
      </c>
      <c r="AK124" s="369" t="s">
        <v>132</v>
      </c>
      <c r="AL124" s="369" t="s">
        <v>133</v>
      </c>
      <c r="AM124" s="369" t="s">
        <v>134</v>
      </c>
      <c r="AN124" s="369" t="s">
        <v>42</v>
      </c>
      <c r="AO124" s="369" t="s">
        <v>42</v>
      </c>
      <c r="AP124" s="305" t="s">
        <v>42</v>
      </c>
      <c r="AQ124" s="371" t="s">
        <v>42</v>
      </c>
      <c r="AR124" s="369" t="s">
        <v>42</v>
      </c>
      <c r="AS124" s="305" t="s">
        <v>42</v>
      </c>
      <c r="AT124" s="102"/>
      <c r="AU124" s="97"/>
      <c r="AV124" s="97"/>
      <c r="AW124" s="97"/>
      <c r="AX124" s="97"/>
      <c r="AY124" s="98"/>
      <c r="AZ124" s="98"/>
      <c r="BA124" s="98"/>
      <c r="BB124" s="100"/>
      <c r="BC124" s="48"/>
      <c r="BD124" s="367"/>
      <c r="BE124" s="367"/>
      <c r="BF124" s="367"/>
      <c r="BG124" s="367"/>
      <c r="BH124" s="64" t="e">
        <f>#REF!</f>
        <v>#REF!</v>
      </c>
      <c r="BL124" s="73"/>
    </row>
    <row r="125" spans="1:64" s="59" customFormat="1" ht="36" customHeight="1" x14ac:dyDescent="0.3">
      <c r="A125" s="305">
        <f t="shared" si="1"/>
        <v>120</v>
      </c>
      <c r="B125" s="90" t="s">
        <v>599</v>
      </c>
      <c r="C125" s="119" t="s">
        <v>12</v>
      </c>
      <c r="D125" s="119" t="s">
        <v>595</v>
      </c>
      <c r="E125" s="91">
        <v>45488</v>
      </c>
      <c r="F125" s="97">
        <v>45488</v>
      </c>
      <c r="G125" s="91"/>
      <c r="H125" s="91">
        <v>45562</v>
      </c>
      <c r="I125" s="305" t="s">
        <v>596</v>
      </c>
      <c r="J125" s="90" t="s">
        <v>596</v>
      </c>
      <c r="K125" s="92"/>
      <c r="L125" s="305"/>
      <c r="M125" s="369"/>
      <c r="N125" s="305"/>
      <c r="O125" s="305"/>
      <c r="P125" s="158"/>
      <c r="Q125" s="305"/>
      <c r="R125" s="305"/>
      <c r="S125" s="305"/>
      <c r="T125" s="305"/>
      <c r="U125" s="305"/>
      <c r="V125" s="305"/>
      <c r="W125" s="305"/>
      <c r="X125" s="369" t="s">
        <v>597</v>
      </c>
      <c r="Y125" s="305"/>
      <c r="Z125" s="305"/>
      <c r="AA125" s="305"/>
      <c r="AB125" s="305"/>
      <c r="AC125" s="92" t="s">
        <v>600</v>
      </c>
      <c r="AD125" s="369" t="s">
        <v>55</v>
      </c>
      <c r="AE125" s="115"/>
      <c r="AF125" s="115"/>
      <c r="AG125" s="115">
        <v>45432</v>
      </c>
      <c r="AH125" s="118">
        <v>45432</v>
      </c>
      <c r="AI125" s="264">
        <v>45413</v>
      </c>
      <c r="AJ125" s="95" t="s">
        <v>131</v>
      </c>
      <c r="AK125" s="369" t="s">
        <v>132</v>
      </c>
      <c r="AL125" s="369" t="s">
        <v>133</v>
      </c>
      <c r="AM125" s="369" t="s">
        <v>134</v>
      </c>
      <c r="AN125" s="369" t="s">
        <v>42</v>
      </c>
      <c r="AO125" s="369" t="s">
        <v>42</v>
      </c>
      <c r="AP125" s="305" t="s">
        <v>42</v>
      </c>
      <c r="AQ125" s="371" t="s">
        <v>42</v>
      </c>
      <c r="AR125" s="369" t="s">
        <v>42</v>
      </c>
      <c r="AS125" s="305" t="s">
        <v>42</v>
      </c>
      <c r="AT125" s="102"/>
      <c r="AU125" s="97"/>
      <c r="AV125" s="97"/>
      <c r="AW125" s="97"/>
      <c r="AX125" s="97"/>
      <c r="AY125" s="98"/>
      <c r="AZ125" s="98"/>
      <c r="BA125" s="98"/>
      <c r="BB125" s="100"/>
      <c r="BC125" s="48"/>
      <c r="BD125" s="367"/>
      <c r="BE125" s="367"/>
      <c r="BF125" s="367"/>
      <c r="BG125" s="367"/>
      <c r="BH125" s="64" t="e">
        <f>#REF!</f>
        <v>#REF!</v>
      </c>
      <c r="BL125" s="73"/>
    </row>
    <row r="126" spans="1:64" s="59" customFormat="1" ht="40.950000000000003" customHeight="1" x14ac:dyDescent="0.3">
      <c r="A126" s="305">
        <f t="shared" si="1"/>
        <v>121</v>
      </c>
      <c r="B126" s="90" t="s">
        <v>601</v>
      </c>
      <c r="C126" s="119" t="s">
        <v>12</v>
      </c>
      <c r="D126" s="119" t="s">
        <v>595</v>
      </c>
      <c r="E126" s="91">
        <v>45488</v>
      </c>
      <c r="F126" s="97">
        <v>45488</v>
      </c>
      <c r="G126" s="91"/>
      <c r="H126" s="91">
        <v>45562</v>
      </c>
      <c r="I126" s="305" t="s">
        <v>596</v>
      </c>
      <c r="J126" s="90" t="s">
        <v>596</v>
      </c>
      <c r="K126" s="92"/>
      <c r="L126" s="305"/>
      <c r="M126" s="369"/>
      <c r="N126" s="305"/>
      <c r="O126" s="305"/>
      <c r="P126" s="158"/>
      <c r="Q126" s="305"/>
      <c r="R126" s="305"/>
      <c r="S126" s="305"/>
      <c r="T126" s="305"/>
      <c r="U126" s="305"/>
      <c r="V126" s="305"/>
      <c r="W126" s="305"/>
      <c r="X126" s="369" t="s">
        <v>597</v>
      </c>
      <c r="Y126" s="305"/>
      <c r="Z126" s="305"/>
      <c r="AA126" s="305"/>
      <c r="AB126" s="305"/>
      <c r="AC126" s="92" t="s">
        <v>602</v>
      </c>
      <c r="AD126" s="369" t="s">
        <v>55</v>
      </c>
      <c r="AE126" s="115"/>
      <c r="AF126" s="115"/>
      <c r="AG126" s="115">
        <v>45432</v>
      </c>
      <c r="AH126" s="118">
        <v>45432</v>
      </c>
      <c r="AI126" s="264">
        <v>45413</v>
      </c>
      <c r="AJ126" s="95" t="s">
        <v>131</v>
      </c>
      <c r="AK126" s="369" t="s">
        <v>132</v>
      </c>
      <c r="AL126" s="369" t="s">
        <v>133</v>
      </c>
      <c r="AM126" s="369" t="s">
        <v>134</v>
      </c>
      <c r="AN126" s="369" t="s">
        <v>42</v>
      </c>
      <c r="AO126" s="369" t="s">
        <v>42</v>
      </c>
      <c r="AP126" s="305" t="s">
        <v>42</v>
      </c>
      <c r="AQ126" s="371" t="s">
        <v>42</v>
      </c>
      <c r="AR126" s="369" t="s">
        <v>42</v>
      </c>
      <c r="AS126" s="305" t="s">
        <v>42</v>
      </c>
      <c r="AT126" s="102"/>
      <c r="AU126" s="97"/>
      <c r="AV126" s="97"/>
      <c r="AW126" s="97"/>
      <c r="AX126" s="97"/>
      <c r="AY126" s="98"/>
      <c r="AZ126" s="98"/>
      <c r="BA126" s="98"/>
      <c r="BB126" s="100"/>
      <c r="BC126" s="48"/>
      <c r="BD126" s="367"/>
      <c r="BE126" s="367"/>
      <c r="BF126" s="367"/>
      <c r="BG126" s="367"/>
      <c r="BH126" s="64" t="e">
        <f>#REF!</f>
        <v>#REF!</v>
      </c>
      <c r="BL126" s="73"/>
    </row>
    <row r="127" spans="1:64" s="59" customFormat="1" ht="36" customHeight="1" x14ac:dyDescent="0.3">
      <c r="A127" s="305">
        <f t="shared" si="1"/>
        <v>122</v>
      </c>
      <c r="B127" s="90" t="s">
        <v>603</v>
      </c>
      <c r="C127" s="119" t="s">
        <v>12</v>
      </c>
      <c r="D127" s="119" t="s">
        <v>595</v>
      </c>
      <c r="E127" s="91">
        <v>45488</v>
      </c>
      <c r="F127" s="97">
        <v>45488</v>
      </c>
      <c r="G127" s="305"/>
      <c r="H127" s="91">
        <v>45562</v>
      </c>
      <c r="I127" s="305" t="s">
        <v>596</v>
      </c>
      <c r="J127" s="90" t="s">
        <v>596</v>
      </c>
      <c r="K127" s="92"/>
      <c r="L127" s="305"/>
      <c r="M127" s="369"/>
      <c r="N127" s="305"/>
      <c r="O127" s="305"/>
      <c r="P127" s="158"/>
      <c r="Q127" s="305"/>
      <c r="R127" s="305"/>
      <c r="S127" s="305"/>
      <c r="T127" s="305"/>
      <c r="U127" s="305"/>
      <c r="V127" s="305"/>
      <c r="W127" s="305"/>
      <c r="X127" s="369" t="s">
        <v>597</v>
      </c>
      <c r="Y127" s="305"/>
      <c r="Z127" s="305"/>
      <c r="AA127" s="305"/>
      <c r="AB127" s="305"/>
      <c r="AC127" s="92" t="s">
        <v>604</v>
      </c>
      <c r="AD127" s="369" t="s">
        <v>55</v>
      </c>
      <c r="AE127" s="115"/>
      <c r="AF127" s="115"/>
      <c r="AG127" s="115">
        <v>45427</v>
      </c>
      <c r="AH127" s="118">
        <v>45432</v>
      </c>
      <c r="AI127" s="264">
        <v>45383</v>
      </c>
      <c r="AJ127" s="95" t="s">
        <v>131</v>
      </c>
      <c r="AK127" s="369" t="s">
        <v>132</v>
      </c>
      <c r="AL127" s="369" t="s">
        <v>133</v>
      </c>
      <c r="AM127" s="369" t="s">
        <v>134</v>
      </c>
      <c r="AN127" s="369"/>
      <c r="AO127" s="369"/>
      <c r="AP127" s="305"/>
      <c r="AQ127" s="371"/>
      <c r="AR127" s="369"/>
      <c r="AS127" s="305"/>
      <c r="AT127" s="102"/>
      <c r="AU127" s="97"/>
      <c r="AV127" s="97"/>
      <c r="AW127" s="97"/>
      <c r="AX127" s="97"/>
      <c r="AY127" s="98"/>
      <c r="AZ127" s="98"/>
      <c r="BA127" s="98"/>
      <c r="BB127" s="100"/>
      <c r="BC127" s="48"/>
      <c r="BD127" s="367"/>
      <c r="BE127" s="367"/>
      <c r="BF127" s="367"/>
      <c r="BG127" s="367"/>
      <c r="BH127" s="64" t="e">
        <f>#REF!</f>
        <v>#REF!</v>
      </c>
      <c r="BL127" s="73"/>
    </row>
    <row r="128" spans="1:64" ht="36" customHeight="1" x14ac:dyDescent="0.3">
      <c r="A128" s="305">
        <f t="shared" si="1"/>
        <v>123</v>
      </c>
      <c r="B128" s="90" t="s">
        <v>605</v>
      </c>
      <c r="C128" s="119" t="s">
        <v>0</v>
      </c>
      <c r="D128" s="119" t="s">
        <v>139</v>
      </c>
      <c r="E128" s="91">
        <v>45401</v>
      </c>
      <c r="F128" s="97">
        <v>45447</v>
      </c>
      <c r="G128" s="305"/>
      <c r="H128" s="305"/>
      <c r="I128" s="305" t="s">
        <v>20</v>
      </c>
      <c r="J128" s="90"/>
      <c r="K128" s="92" t="s">
        <v>606</v>
      </c>
      <c r="L128" s="305">
        <v>1100</v>
      </c>
      <c r="M128" s="369" t="s">
        <v>65</v>
      </c>
      <c r="N128" s="305"/>
      <c r="O128" s="305" t="s">
        <v>127</v>
      </c>
      <c r="P128" s="158"/>
      <c r="Q128" s="305"/>
      <c r="R128" s="305"/>
      <c r="S128" s="305"/>
      <c r="T128" s="305" t="s">
        <v>42</v>
      </c>
      <c r="U128" s="305"/>
      <c r="V128" s="305"/>
      <c r="W128" s="305"/>
      <c r="X128" s="369" t="s">
        <v>42</v>
      </c>
      <c r="Y128" s="305"/>
      <c r="Z128" s="305" t="s">
        <v>127</v>
      </c>
      <c r="AA128" s="305"/>
      <c r="AB128" s="305" t="s">
        <v>143</v>
      </c>
      <c r="AC128" s="92" t="s">
        <v>607</v>
      </c>
      <c r="AD128" s="369" t="s">
        <v>169</v>
      </c>
      <c r="AE128" s="118"/>
      <c r="AF128" s="118"/>
      <c r="AG128" s="118">
        <v>45409</v>
      </c>
      <c r="AH128" s="118">
        <v>45410</v>
      </c>
      <c r="AI128" s="264">
        <v>45383</v>
      </c>
      <c r="AJ128" s="95" t="s">
        <v>131</v>
      </c>
      <c r="AK128" s="369" t="s">
        <v>153</v>
      </c>
      <c r="AL128" s="369"/>
      <c r="AM128" s="369" t="s">
        <v>134</v>
      </c>
      <c r="AN128" s="369"/>
      <c r="AO128" s="369"/>
      <c r="AP128" s="305"/>
      <c r="AQ128" s="371"/>
      <c r="AR128" s="369"/>
      <c r="AS128" s="305"/>
      <c r="AT128" s="102"/>
      <c r="AU128" s="97"/>
      <c r="AV128" s="97"/>
      <c r="AW128" s="97"/>
      <c r="AX128" s="97"/>
      <c r="AY128" s="98"/>
      <c r="AZ128" s="98"/>
      <c r="BA128" s="98"/>
      <c r="BB128" s="100"/>
      <c r="BC128" s="48"/>
      <c r="BD128" s="367"/>
      <c r="BE128" s="367"/>
      <c r="BF128" s="367"/>
      <c r="BG128" s="367"/>
      <c r="BH128" s="64" t="e">
        <f>#REF!</f>
        <v>#REF!</v>
      </c>
      <c r="BL128" s="54"/>
    </row>
    <row r="129" spans="1:64" ht="36" customHeight="1" x14ac:dyDescent="0.3">
      <c r="A129" s="305">
        <f t="shared" si="1"/>
        <v>124</v>
      </c>
      <c r="B129" s="90" t="s">
        <v>608</v>
      </c>
      <c r="C129" s="119" t="s">
        <v>0</v>
      </c>
      <c r="D129" s="119" t="s">
        <v>139</v>
      </c>
      <c r="E129" s="91">
        <v>45408</v>
      </c>
      <c r="F129" s="97"/>
      <c r="G129" s="305"/>
      <c r="H129" s="305"/>
      <c r="I129" s="305" t="s">
        <v>20</v>
      </c>
      <c r="J129" s="90" t="s">
        <v>140</v>
      </c>
      <c r="K129" s="92" t="s">
        <v>609</v>
      </c>
      <c r="L129" s="305">
        <v>950</v>
      </c>
      <c r="M129" s="369" t="s">
        <v>65</v>
      </c>
      <c r="N129" s="305"/>
      <c r="O129" s="305" t="s">
        <v>127</v>
      </c>
      <c r="P129" s="158"/>
      <c r="Q129" s="305"/>
      <c r="R129" s="305"/>
      <c r="S129" s="305"/>
      <c r="T129" s="305"/>
      <c r="U129" s="305"/>
      <c r="V129" s="305"/>
      <c r="W129" s="305"/>
      <c r="X129" s="369" t="s">
        <v>350</v>
      </c>
      <c r="Y129" s="305"/>
      <c r="Z129" s="305" t="s">
        <v>127</v>
      </c>
      <c r="AA129" s="305"/>
      <c r="AB129" s="305" t="s">
        <v>143</v>
      </c>
      <c r="AC129" s="92" t="s">
        <v>610</v>
      </c>
      <c r="AD129" s="369" t="s">
        <v>352</v>
      </c>
      <c r="AE129" s="88"/>
      <c r="AF129" s="88"/>
      <c r="AG129" s="88">
        <v>45409</v>
      </c>
      <c r="AH129" s="88">
        <v>45410</v>
      </c>
      <c r="AI129" s="265">
        <v>45383</v>
      </c>
      <c r="AJ129" s="95" t="s">
        <v>131</v>
      </c>
      <c r="AK129" s="369" t="s">
        <v>273</v>
      </c>
      <c r="AL129" s="369" t="s">
        <v>162</v>
      </c>
      <c r="AM129" s="369" t="s">
        <v>134</v>
      </c>
      <c r="AN129" s="305"/>
      <c r="AO129" s="305"/>
      <c r="AP129" s="305"/>
      <c r="AQ129" s="291"/>
      <c r="AR129" s="305"/>
      <c r="AS129" s="305"/>
      <c r="AT129" s="102"/>
      <c r="AU129" s="97"/>
      <c r="AV129" s="97"/>
      <c r="AW129" s="97"/>
      <c r="AX129" s="97"/>
      <c r="AY129" s="98"/>
      <c r="AZ129" s="98"/>
      <c r="BA129" s="98"/>
      <c r="BB129" s="100"/>
      <c r="BC129" s="48"/>
      <c r="BD129" s="367"/>
      <c r="BE129" s="367"/>
      <c r="BF129" s="367"/>
      <c r="BG129" s="367"/>
      <c r="BH129" s="64" t="e">
        <f>#REF!</f>
        <v>#REF!</v>
      </c>
      <c r="BL129" s="54"/>
    </row>
    <row r="130" spans="1:64" ht="36" customHeight="1" x14ac:dyDescent="0.3">
      <c r="A130" s="305">
        <f t="shared" si="1"/>
        <v>125</v>
      </c>
      <c r="B130" s="90" t="s">
        <v>611</v>
      </c>
      <c r="C130" s="119" t="s">
        <v>0</v>
      </c>
      <c r="D130" s="119" t="s">
        <v>139</v>
      </c>
      <c r="E130" s="91">
        <v>45408</v>
      </c>
      <c r="F130" s="97"/>
      <c r="G130" s="305"/>
      <c r="H130" s="305"/>
      <c r="I130" s="305" t="s">
        <v>20</v>
      </c>
      <c r="J130" s="90" t="s">
        <v>140</v>
      </c>
      <c r="K130" s="92" t="s">
        <v>609</v>
      </c>
      <c r="L130" s="305">
        <v>950</v>
      </c>
      <c r="M130" s="369" t="s">
        <v>65</v>
      </c>
      <c r="N130" s="305"/>
      <c r="O130" s="305" t="s">
        <v>127</v>
      </c>
      <c r="P130" s="158"/>
      <c r="Q130" s="305"/>
      <c r="R130" s="305"/>
      <c r="S130" s="305"/>
      <c r="T130" s="305"/>
      <c r="U130" s="305"/>
      <c r="V130" s="305"/>
      <c r="W130" s="305"/>
      <c r="X130" s="305" t="s">
        <v>350</v>
      </c>
      <c r="Y130" s="305"/>
      <c r="Z130" s="305" t="s">
        <v>127</v>
      </c>
      <c r="AA130" s="305"/>
      <c r="AB130" s="305" t="s">
        <v>143</v>
      </c>
      <c r="AC130" s="92" t="s">
        <v>612</v>
      </c>
      <c r="AD130" s="369" t="s">
        <v>357</v>
      </c>
      <c r="AE130" s="88"/>
      <c r="AF130" s="88"/>
      <c r="AG130" s="88">
        <v>45409</v>
      </c>
      <c r="AH130" s="88">
        <v>45410</v>
      </c>
      <c r="AI130" s="265">
        <v>45383</v>
      </c>
      <c r="AJ130" s="95" t="s">
        <v>131</v>
      </c>
      <c r="AK130" s="369" t="s">
        <v>273</v>
      </c>
      <c r="AL130" s="369" t="s">
        <v>162</v>
      </c>
      <c r="AM130" s="369" t="s">
        <v>134</v>
      </c>
      <c r="AN130" s="305"/>
      <c r="AO130" s="305"/>
      <c r="AP130" s="305"/>
      <c r="AQ130" s="291"/>
      <c r="AR130" s="305"/>
      <c r="AS130" s="305"/>
      <c r="AT130" s="102"/>
      <c r="AU130" s="97"/>
      <c r="AV130" s="97"/>
      <c r="AW130" s="97"/>
      <c r="AX130" s="97"/>
      <c r="AY130" s="98"/>
      <c r="AZ130" s="98"/>
      <c r="BA130" s="98"/>
      <c r="BB130" s="100"/>
      <c r="BC130" s="48"/>
      <c r="BD130" s="367"/>
      <c r="BE130" s="367"/>
      <c r="BF130" s="367"/>
      <c r="BG130" s="367"/>
      <c r="BH130" s="64" t="e">
        <f>#REF!</f>
        <v>#REF!</v>
      </c>
      <c r="BL130" s="54"/>
    </row>
    <row r="131" spans="1:64" s="59" customFormat="1" ht="38.4" customHeight="1" x14ac:dyDescent="0.3">
      <c r="A131" s="305">
        <f t="shared" si="1"/>
        <v>126</v>
      </c>
      <c r="B131" s="90" t="s">
        <v>613</v>
      </c>
      <c r="C131" s="305" t="s">
        <v>3</v>
      </c>
      <c r="D131" s="305" t="s">
        <v>262</v>
      </c>
      <c r="E131" s="91"/>
      <c r="F131" s="97"/>
      <c r="G131" s="91"/>
      <c r="H131" s="91"/>
      <c r="I131" s="305" t="s">
        <v>3</v>
      </c>
      <c r="J131" s="117" t="s">
        <v>125</v>
      </c>
      <c r="K131" s="92" t="s">
        <v>614</v>
      </c>
      <c r="L131" s="305"/>
      <c r="M131" s="305"/>
      <c r="N131" s="305" t="s">
        <v>127</v>
      </c>
      <c r="O131" s="305"/>
      <c r="P131" s="158"/>
      <c r="Q131" s="305"/>
      <c r="R131" s="305"/>
      <c r="S131" s="305"/>
      <c r="T131" s="305"/>
      <c r="U131" s="305"/>
      <c r="V131" s="305"/>
      <c r="W131" s="305"/>
      <c r="X131" s="305" t="s">
        <v>615</v>
      </c>
      <c r="Y131" s="305" t="s">
        <v>127</v>
      </c>
      <c r="Z131" s="305" t="s">
        <v>127</v>
      </c>
      <c r="AA131" s="305"/>
      <c r="AB131" s="305"/>
      <c r="AC131" s="92" t="s">
        <v>616</v>
      </c>
      <c r="AD131" s="369" t="s">
        <v>130</v>
      </c>
      <c r="AE131" s="115"/>
      <c r="AF131" s="115"/>
      <c r="AG131" s="115"/>
      <c r="AH131" s="93"/>
      <c r="AI131" s="264">
        <v>0</v>
      </c>
      <c r="AJ131" s="95" t="s">
        <v>617</v>
      </c>
      <c r="AK131" s="369" t="s">
        <v>132</v>
      </c>
      <c r="AL131" s="369" t="s">
        <v>133</v>
      </c>
      <c r="AM131" s="369" t="s">
        <v>134</v>
      </c>
      <c r="AN131" s="91"/>
      <c r="AO131" s="305"/>
      <c r="AP131" s="305"/>
      <c r="AQ131" s="291"/>
      <c r="AR131" s="305"/>
      <c r="AS131" s="305"/>
      <c r="AT131" s="96"/>
      <c r="AU131" s="97"/>
      <c r="AV131" s="97"/>
      <c r="AW131" s="97"/>
      <c r="AX131" s="97"/>
      <c r="AY131" s="98"/>
      <c r="AZ131" s="98"/>
      <c r="BA131" s="98"/>
      <c r="BB131" s="100" t="s">
        <v>618</v>
      </c>
      <c r="BC131" s="48"/>
      <c r="BD131" s="49"/>
      <c r="BE131" s="70"/>
      <c r="BF131" s="367"/>
      <c r="BG131" s="367"/>
      <c r="BH131" s="64" t="e">
        <f>#REF!</f>
        <v>#REF!</v>
      </c>
      <c r="BI131" s="50"/>
      <c r="BL131" s="73"/>
    </row>
    <row r="132" spans="1:64" s="59" customFormat="1" ht="36" customHeight="1" x14ac:dyDescent="0.3">
      <c r="A132" s="305">
        <f t="shared" si="1"/>
        <v>127</v>
      </c>
      <c r="B132" s="90" t="s">
        <v>619</v>
      </c>
      <c r="C132" s="305" t="s">
        <v>3</v>
      </c>
      <c r="D132" s="305" t="s">
        <v>262</v>
      </c>
      <c r="E132" s="91"/>
      <c r="F132" s="91"/>
      <c r="G132" s="91"/>
      <c r="H132" s="91"/>
      <c r="I132" s="305" t="s">
        <v>3</v>
      </c>
      <c r="J132" s="117" t="s">
        <v>125</v>
      </c>
      <c r="K132" s="92" t="s">
        <v>614</v>
      </c>
      <c r="L132" s="305"/>
      <c r="M132" s="305"/>
      <c r="N132" s="305" t="s">
        <v>127</v>
      </c>
      <c r="O132" s="305"/>
      <c r="P132" s="305"/>
      <c r="Q132" s="305"/>
      <c r="R132" s="305"/>
      <c r="S132" s="305"/>
      <c r="T132" s="305"/>
      <c r="U132" s="305"/>
      <c r="V132" s="305"/>
      <c r="W132" s="305"/>
      <c r="X132" s="305" t="s">
        <v>615</v>
      </c>
      <c r="Y132" s="305" t="s">
        <v>127</v>
      </c>
      <c r="Z132" s="305" t="s">
        <v>127</v>
      </c>
      <c r="AA132" s="305"/>
      <c r="AB132" s="305"/>
      <c r="AC132" s="92" t="s">
        <v>620</v>
      </c>
      <c r="AD132" s="369" t="s">
        <v>130</v>
      </c>
      <c r="AE132" s="115"/>
      <c r="AF132" s="115"/>
      <c r="AG132" s="115"/>
      <c r="AH132" s="93"/>
      <c r="AI132" s="94">
        <v>0</v>
      </c>
      <c r="AJ132" s="95" t="s">
        <v>264</v>
      </c>
      <c r="AK132" s="369" t="s">
        <v>132</v>
      </c>
      <c r="AL132" s="369" t="s">
        <v>133</v>
      </c>
      <c r="AM132" s="369"/>
      <c r="AN132" s="91"/>
      <c r="AO132" s="305"/>
      <c r="AP132" s="305"/>
      <c r="AQ132" s="291"/>
      <c r="AR132" s="305"/>
      <c r="AS132" s="305"/>
      <c r="AT132" s="96"/>
      <c r="AU132" s="97"/>
      <c r="AV132" s="97"/>
      <c r="AW132" s="97"/>
      <c r="AX132" s="97"/>
      <c r="AY132" s="98"/>
      <c r="AZ132" s="98"/>
      <c r="BA132" s="98"/>
      <c r="BB132" s="100"/>
      <c r="BC132" s="48"/>
      <c r="BD132" s="49"/>
      <c r="BE132" s="367"/>
      <c r="BF132" s="367"/>
      <c r="BG132" s="367"/>
      <c r="BH132" s="64" t="e">
        <f>#REF!</f>
        <v>#REF!</v>
      </c>
      <c r="BI132" s="50"/>
      <c r="BL132" s="73"/>
    </row>
    <row r="133" spans="1:64" s="59" customFormat="1" ht="38.4" customHeight="1" x14ac:dyDescent="0.3">
      <c r="A133" s="305">
        <f t="shared" si="1"/>
        <v>128</v>
      </c>
      <c r="B133" s="90" t="s">
        <v>621</v>
      </c>
      <c r="C133" s="305" t="s">
        <v>3</v>
      </c>
      <c r="D133" s="305" t="s">
        <v>262</v>
      </c>
      <c r="E133" s="305"/>
      <c r="F133" s="97"/>
      <c r="G133" s="305"/>
      <c r="H133" s="305"/>
      <c r="I133" s="305" t="s">
        <v>3</v>
      </c>
      <c r="J133" s="117" t="s">
        <v>622</v>
      </c>
      <c r="K133" s="92" t="s">
        <v>623</v>
      </c>
      <c r="L133" s="305"/>
      <c r="M133" s="305"/>
      <c r="N133" s="305" t="s">
        <v>127</v>
      </c>
      <c r="O133" s="305"/>
      <c r="P133" s="305"/>
      <c r="Q133" s="305"/>
      <c r="R133" s="305"/>
      <c r="S133" s="305"/>
      <c r="T133" s="305"/>
      <c r="U133" s="305"/>
      <c r="V133" s="305"/>
      <c r="W133" s="305"/>
      <c r="X133" s="305" t="s">
        <v>128</v>
      </c>
      <c r="Y133" s="305"/>
      <c r="Z133" s="305"/>
      <c r="AA133" s="305"/>
      <c r="AB133" s="305" t="s">
        <v>143</v>
      </c>
      <c r="AC133" s="92" t="s">
        <v>624</v>
      </c>
      <c r="AD133" s="369" t="s">
        <v>625</v>
      </c>
      <c r="AE133" s="115"/>
      <c r="AF133" s="115"/>
      <c r="AG133" s="115"/>
      <c r="AH133" s="93"/>
      <c r="AI133" s="94">
        <v>0</v>
      </c>
      <c r="AJ133" s="95" t="s">
        <v>264</v>
      </c>
      <c r="AK133" s="369" t="s">
        <v>273</v>
      </c>
      <c r="AL133" s="369" t="s">
        <v>295</v>
      </c>
      <c r="AM133" s="369"/>
      <c r="AN133" s="96"/>
      <c r="AO133" s="369"/>
      <c r="AP133" s="305"/>
      <c r="AQ133" s="371"/>
      <c r="AR133" s="369"/>
      <c r="AS133" s="305"/>
      <c r="AT133" s="96"/>
      <c r="AU133" s="103"/>
      <c r="AV133" s="103"/>
      <c r="AW133" s="97"/>
      <c r="AX133" s="97"/>
      <c r="AY133" s="98"/>
      <c r="AZ133" s="98"/>
      <c r="BA133" s="98"/>
      <c r="BB133" s="100"/>
      <c r="BC133" s="48"/>
      <c r="BD133" s="49"/>
      <c r="BE133" s="367"/>
      <c r="BF133" s="367"/>
      <c r="BG133" s="367"/>
      <c r="BH133" s="64" t="e">
        <f>#REF!</f>
        <v>#REF!</v>
      </c>
      <c r="BI133" s="50"/>
      <c r="BL133" s="73"/>
    </row>
    <row r="134" spans="1:64" s="59" customFormat="1" ht="36" customHeight="1" x14ac:dyDescent="0.3">
      <c r="A134" s="305">
        <f t="shared" si="1"/>
        <v>129</v>
      </c>
      <c r="B134" s="90" t="s">
        <v>626</v>
      </c>
      <c r="C134" s="305" t="s">
        <v>3</v>
      </c>
      <c r="D134" s="305" t="s">
        <v>262</v>
      </c>
      <c r="E134" s="305"/>
      <c r="F134" s="97"/>
      <c r="G134" s="305"/>
      <c r="H134" s="305"/>
      <c r="I134" s="305" t="s">
        <v>3</v>
      </c>
      <c r="J134" s="117" t="s">
        <v>622</v>
      </c>
      <c r="K134" s="92" t="s">
        <v>623</v>
      </c>
      <c r="L134" s="305"/>
      <c r="M134" s="305"/>
      <c r="N134" s="305" t="s">
        <v>127</v>
      </c>
      <c r="O134" s="305"/>
      <c r="P134" s="305"/>
      <c r="Q134" s="305"/>
      <c r="R134" s="305"/>
      <c r="S134" s="305"/>
      <c r="T134" s="305"/>
      <c r="U134" s="305"/>
      <c r="V134" s="305"/>
      <c r="W134" s="305"/>
      <c r="X134" s="305" t="s">
        <v>128</v>
      </c>
      <c r="Y134" s="305"/>
      <c r="Z134" s="305"/>
      <c r="AA134" s="305"/>
      <c r="AB134" s="305" t="s">
        <v>143</v>
      </c>
      <c r="AC134" s="92" t="s">
        <v>627</v>
      </c>
      <c r="AD134" s="369" t="s">
        <v>272</v>
      </c>
      <c r="AE134" s="118"/>
      <c r="AF134" s="118"/>
      <c r="AG134" s="118"/>
      <c r="AH134" s="93"/>
      <c r="AI134" s="94">
        <v>0</v>
      </c>
      <c r="AJ134" s="95" t="s">
        <v>264</v>
      </c>
      <c r="AK134" s="369" t="s">
        <v>273</v>
      </c>
      <c r="AL134" s="369" t="s">
        <v>295</v>
      </c>
      <c r="AM134" s="369"/>
      <c r="AN134" s="305"/>
      <c r="AO134" s="305"/>
      <c r="AP134" s="305"/>
      <c r="AQ134" s="291"/>
      <c r="AR134" s="305"/>
      <c r="AS134" s="305"/>
      <c r="AT134" s="96"/>
      <c r="AU134" s="97"/>
      <c r="AV134" s="97"/>
      <c r="AW134" s="97"/>
      <c r="AX134" s="97"/>
      <c r="AY134" s="98"/>
      <c r="AZ134" s="98"/>
      <c r="BA134" s="98"/>
      <c r="BB134" s="100"/>
      <c r="BC134" s="48"/>
      <c r="BD134" s="49"/>
      <c r="BE134" s="367"/>
      <c r="BF134" s="367"/>
      <c r="BG134" s="367"/>
      <c r="BH134" s="64" t="e">
        <f>#REF!</f>
        <v>#REF!</v>
      </c>
      <c r="BI134" s="50"/>
      <c r="BL134" s="73"/>
    </row>
    <row r="135" spans="1:64" ht="36" customHeight="1" x14ac:dyDescent="0.3">
      <c r="A135" s="305">
        <f t="shared" si="1"/>
        <v>130</v>
      </c>
      <c r="B135" s="90" t="s">
        <v>628</v>
      </c>
      <c r="C135" s="305" t="s">
        <v>0</v>
      </c>
      <c r="D135" s="305" t="s">
        <v>629</v>
      </c>
      <c r="E135" s="91"/>
      <c r="F135" s="97"/>
      <c r="G135" s="305"/>
      <c r="H135" s="305"/>
      <c r="I135" s="305" t="s">
        <v>26</v>
      </c>
      <c r="J135" s="116" t="s">
        <v>407</v>
      </c>
      <c r="K135" s="92" t="s">
        <v>630</v>
      </c>
      <c r="L135" s="305"/>
      <c r="M135" s="305"/>
      <c r="N135" s="305"/>
      <c r="O135" s="305"/>
      <c r="P135" s="158"/>
      <c r="Q135" s="305"/>
      <c r="R135" s="305"/>
      <c r="S135" s="305"/>
      <c r="T135" s="305"/>
      <c r="U135" s="305"/>
      <c r="V135" s="305"/>
      <c r="W135" s="305"/>
      <c r="X135" s="305"/>
      <c r="Y135" s="305"/>
      <c r="Z135" s="305"/>
      <c r="AA135" s="305"/>
      <c r="AB135" s="305"/>
      <c r="AC135" s="92" t="s">
        <v>631</v>
      </c>
      <c r="AD135" s="369" t="s">
        <v>361</v>
      </c>
      <c r="AE135" s="118"/>
      <c r="AF135" s="118"/>
      <c r="AG135" s="118">
        <v>45409</v>
      </c>
      <c r="AH135" s="93">
        <v>45410</v>
      </c>
      <c r="AI135" s="264">
        <v>45383</v>
      </c>
      <c r="AJ135" s="95" t="s">
        <v>330</v>
      </c>
      <c r="AK135" s="369" t="s">
        <v>273</v>
      </c>
      <c r="AL135" s="369" t="s">
        <v>183</v>
      </c>
      <c r="AM135" s="369" t="s">
        <v>134</v>
      </c>
      <c r="AN135" s="305"/>
      <c r="AO135" s="305"/>
      <c r="AP135" s="305"/>
      <c r="AQ135" s="291"/>
      <c r="AR135" s="305"/>
      <c r="AS135" s="305"/>
      <c r="AT135" s="369"/>
      <c r="AU135" s="97"/>
      <c r="AV135" s="120"/>
      <c r="AW135" s="120"/>
      <c r="AX135" s="120"/>
      <c r="AY135" s="121"/>
      <c r="AZ135" s="121"/>
      <c r="BA135" s="121"/>
      <c r="BB135" s="122"/>
      <c r="BC135" s="52"/>
      <c r="BD135" s="49"/>
      <c r="BE135" s="367"/>
      <c r="BF135" s="367"/>
      <c r="BG135" s="367"/>
      <c r="BH135" s="64" t="e">
        <f>#REF!</f>
        <v>#REF!</v>
      </c>
      <c r="BL135" s="54"/>
    </row>
    <row r="136" spans="1:64" ht="36" customHeight="1" x14ac:dyDescent="0.3">
      <c r="A136" s="305">
        <f t="shared" si="1"/>
        <v>131</v>
      </c>
      <c r="B136" s="90" t="s">
        <v>632</v>
      </c>
      <c r="C136" s="305" t="s">
        <v>0</v>
      </c>
      <c r="D136" s="305" t="s">
        <v>633</v>
      </c>
      <c r="E136" s="91">
        <v>45496</v>
      </c>
      <c r="F136" s="97"/>
      <c r="G136" s="305"/>
      <c r="H136" s="305"/>
      <c r="I136" s="305" t="s">
        <v>20</v>
      </c>
      <c r="J136" s="90" t="s">
        <v>577</v>
      </c>
      <c r="K136" s="92" t="s">
        <v>634</v>
      </c>
      <c r="L136" s="305">
        <v>1100</v>
      </c>
      <c r="M136" s="305"/>
      <c r="N136" s="305"/>
      <c r="O136" s="305"/>
      <c r="P136" s="158"/>
      <c r="Q136" s="305"/>
      <c r="R136" s="305"/>
      <c r="S136" s="305"/>
      <c r="T136" s="305"/>
      <c r="U136" s="305"/>
      <c r="V136" s="305"/>
      <c r="W136" s="305"/>
      <c r="X136" s="305"/>
      <c r="Y136" s="305"/>
      <c r="Z136" s="305"/>
      <c r="AA136" s="305"/>
      <c r="AB136" s="305"/>
      <c r="AC136" s="92" t="s">
        <v>635</v>
      </c>
      <c r="AD136" s="369" t="s">
        <v>169</v>
      </c>
      <c r="AE136" s="118"/>
      <c r="AF136" s="118"/>
      <c r="AG136" s="118"/>
      <c r="AH136" s="93">
        <v>45498</v>
      </c>
      <c r="AI136" s="264">
        <v>45474</v>
      </c>
      <c r="AJ136" s="95" t="s">
        <v>131</v>
      </c>
      <c r="AK136" s="369" t="s">
        <v>366</v>
      </c>
      <c r="AL136" s="369"/>
      <c r="AM136" s="369" t="s">
        <v>134</v>
      </c>
      <c r="AN136" s="305"/>
      <c r="AO136" s="305"/>
      <c r="AP136" s="305"/>
      <c r="AQ136" s="291"/>
      <c r="AR136" s="305"/>
      <c r="AS136" s="305"/>
      <c r="AT136" s="96">
        <v>45489</v>
      </c>
      <c r="AU136" s="97">
        <v>45483</v>
      </c>
      <c r="AV136" s="97">
        <v>45483</v>
      </c>
      <c r="AW136" s="97"/>
      <c r="AX136" s="97"/>
      <c r="AY136" s="97"/>
      <c r="AZ136" s="97"/>
      <c r="BA136" s="97"/>
      <c r="BB136" s="100"/>
      <c r="BC136" s="48"/>
      <c r="BD136" s="49"/>
      <c r="BE136" s="367"/>
      <c r="BF136" s="367"/>
      <c r="BG136" s="367"/>
      <c r="BH136" s="64" t="e">
        <f>#REF!</f>
        <v>#REF!</v>
      </c>
      <c r="BL136" s="54"/>
    </row>
    <row r="137" spans="1:64" ht="36" customHeight="1" x14ac:dyDescent="0.3">
      <c r="A137" s="305">
        <f t="shared" ref="A137:A200" si="3">ROW(B137)-ROW($B$5)</f>
        <v>132</v>
      </c>
      <c r="B137" s="90" t="s">
        <v>636</v>
      </c>
      <c r="C137" s="305" t="s">
        <v>0</v>
      </c>
      <c r="D137" s="305" t="s">
        <v>633</v>
      </c>
      <c r="E137" s="91">
        <v>45496</v>
      </c>
      <c r="F137" s="97"/>
      <c r="G137" s="305"/>
      <c r="H137" s="305"/>
      <c r="I137" s="305" t="s">
        <v>20</v>
      </c>
      <c r="J137" s="90" t="s">
        <v>577</v>
      </c>
      <c r="K137" s="92" t="s">
        <v>637</v>
      </c>
      <c r="L137" s="305">
        <v>1000</v>
      </c>
      <c r="M137" s="305"/>
      <c r="N137" s="305"/>
      <c r="O137" s="305"/>
      <c r="P137" s="158"/>
      <c r="Q137" s="305"/>
      <c r="R137" s="305"/>
      <c r="S137" s="305"/>
      <c r="T137" s="305"/>
      <c r="U137" s="305"/>
      <c r="V137" s="305"/>
      <c r="W137" s="305"/>
      <c r="X137" s="305"/>
      <c r="Y137" s="305"/>
      <c r="Z137" s="305"/>
      <c r="AA137" s="305"/>
      <c r="AB137" s="305"/>
      <c r="AC137" s="92" t="s">
        <v>638</v>
      </c>
      <c r="AD137" s="369" t="s">
        <v>169</v>
      </c>
      <c r="AE137" s="118"/>
      <c r="AF137" s="118"/>
      <c r="AG137" s="118"/>
      <c r="AH137" s="93">
        <v>45498</v>
      </c>
      <c r="AI137" s="264">
        <v>45474</v>
      </c>
      <c r="AJ137" s="95" t="s">
        <v>131</v>
      </c>
      <c r="AK137" s="369" t="s">
        <v>366</v>
      </c>
      <c r="AL137" s="369"/>
      <c r="AM137" s="369" t="s">
        <v>134</v>
      </c>
      <c r="AN137" s="305"/>
      <c r="AO137" s="305"/>
      <c r="AP137" s="305"/>
      <c r="AQ137" s="291"/>
      <c r="AR137" s="305"/>
      <c r="AS137" s="305"/>
      <c r="AT137" s="96">
        <v>45489</v>
      </c>
      <c r="AU137" s="97">
        <v>45483</v>
      </c>
      <c r="AV137" s="97">
        <v>45483</v>
      </c>
      <c r="AW137" s="97"/>
      <c r="AX137" s="97"/>
      <c r="AY137" s="97"/>
      <c r="AZ137" s="97"/>
      <c r="BA137" s="97"/>
      <c r="BB137" s="100"/>
      <c r="BC137" s="48"/>
      <c r="BD137" s="49"/>
      <c r="BE137" s="367"/>
      <c r="BF137" s="367"/>
      <c r="BG137" s="367"/>
      <c r="BH137" s="64" t="e">
        <f>#REF!</f>
        <v>#REF!</v>
      </c>
      <c r="BL137" s="54"/>
    </row>
    <row r="138" spans="1:64" s="59" customFormat="1" ht="36" customHeight="1" x14ac:dyDescent="0.3">
      <c r="A138" s="305">
        <f t="shared" si="3"/>
        <v>133</v>
      </c>
      <c r="B138" s="90" t="s">
        <v>639</v>
      </c>
      <c r="C138" s="305" t="s">
        <v>640</v>
      </c>
      <c r="D138" s="305" t="s">
        <v>262</v>
      </c>
      <c r="E138" s="91"/>
      <c r="F138" s="91"/>
      <c r="G138" s="91"/>
      <c r="H138" s="91"/>
      <c r="I138" s="305"/>
      <c r="J138" s="116"/>
      <c r="K138" s="92"/>
      <c r="L138" s="305"/>
      <c r="M138" s="369"/>
      <c r="N138" s="305"/>
      <c r="O138" s="305"/>
      <c r="P138" s="305"/>
      <c r="Q138" s="305"/>
      <c r="R138" s="305"/>
      <c r="S138" s="305"/>
      <c r="T138" s="305"/>
      <c r="U138" s="305"/>
      <c r="V138" s="305"/>
      <c r="W138" s="305"/>
      <c r="X138" s="305"/>
      <c r="Y138" s="305"/>
      <c r="Z138" s="305"/>
      <c r="AA138" s="305"/>
      <c r="AB138" s="305"/>
      <c r="AC138" s="92" t="s">
        <v>641</v>
      </c>
      <c r="AD138" s="369" t="s">
        <v>361</v>
      </c>
      <c r="AE138" s="115"/>
      <c r="AF138" s="115"/>
      <c r="AG138" s="115"/>
      <c r="AH138" s="93"/>
      <c r="AI138" s="94">
        <v>0</v>
      </c>
      <c r="AJ138" s="95" t="s">
        <v>264</v>
      </c>
      <c r="AK138" s="369" t="s">
        <v>166</v>
      </c>
      <c r="AL138" s="369" t="s">
        <v>133</v>
      </c>
      <c r="AM138" s="369"/>
      <c r="AN138" s="305"/>
      <c r="AO138" s="305"/>
      <c r="AP138" s="305"/>
      <c r="AQ138" s="291"/>
      <c r="AR138" s="305"/>
      <c r="AS138" s="305"/>
      <c r="AT138" s="96"/>
      <c r="AU138" s="97"/>
      <c r="AV138" s="97"/>
      <c r="AW138" s="97"/>
      <c r="AX138" s="97"/>
      <c r="AY138" s="97"/>
      <c r="AZ138" s="97"/>
      <c r="BA138" s="97"/>
      <c r="BB138" s="100"/>
      <c r="BC138" s="48"/>
      <c r="BD138" s="49"/>
      <c r="BE138" s="367"/>
      <c r="BF138" s="367"/>
      <c r="BG138" s="367"/>
      <c r="BH138" s="64" t="e">
        <f>#REF!</f>
        <v>#REF!</v>
      </c>
      <c r="BI138" s="50"/>
      <c r="BL138" s="73"/>
    </row>
    <row r="139" spans="1:64" s="59" customFormat="1" ht="36" customHeight="1" x14ac:dyDescent="0.3">
      <c r="A139" s="305">
        <f t="shared" si="3"/>
        <v>134</v>
      </c>
      <c r="B139" s="90" t="s">
        <v>642</v>
      </c>
      <c r="C139" s="305" t="s">
        <v>2</v>
      </c>
      <c r="D139" s="305" t="s">
        <v>643</v>
      </c>
      <c r="E139" s="91">
        <v>45886</v>
      </c>
      <c r="F139" s="97"/>
      <c r="G139" s="91"/>
      <c r="H139" s="91"/>
      <c r="I139" s="305" t="s">
        <v>2</v>
      </c>
      <c r="J139" s="116" t="s">
        <v>644</v>
      </c>
      <c r="K139" s="92" t="s">
        <v>645</v>
      </c>
      <c r="L139" s="305"/>
      <c r="M139" s="369"/>
      <c r="N139" s="305"/>
      <c r="O139" s="305"/>
      <c r="P139" s="158"/>
      <c r="Q139" s="305"/>
      <c r="R139" s="305"/>
      <c r="S139" s="305"/>
      <c r="T139" s="305"/>
      <c r="U139" s="305"/>
      <c r="V139" s="305"/>
      <c r="W139" s="305"/>
      <c r="X139" s="305"/>
      <c r="Y139" s="305"/>
      <c r="Z139" s="305"/>
      <c r="AA139" s="305"/>
      <c r="AB139" s="305"/>
      <c r="AC139" s="92" t="s">
        <v>646</v>
      </c>
      <c r="AD139" s="369" t="s">
        <v>647</v>
      </c>
      <c r="AE139" s="115"/>
      <c r="AF139" s="115"/>
      <c r="AG139" s="115"/>
      <c r="AH139" s="93">
        <v>45777</v>
      </c>
      <c r="AI139" s="264">
        <v>45839</v>
      </c>
      <c r="AJ139" s="95" t="s">
        <v>648</v>
      </c>
      <c r="AK139" s="369" t="s">
        <v>265</v>
      </c>
      <c r="AL139" s="369" t="s">
        <v>175</v>
      </c>
      <c r="AM139" s="369" t="s">
        <v>134</v>
      </c>
      <c r="AN139" s="305"/>
      <c r="AO139" s="305"/>
      <c r="AP139" s="305"/>
      <c r="AQ139" s="291"/>
      <c r="AR139" s="305"/>
      <c r="AS139" s="305"/>
      <c r="AT139" s="102">
        <v>45777</v>
      </c>
      <c r="AU139" s="97">
        <v>45736</v>
      </c>
      <c r="AV139" s="97">
        <v>45767</v>
      </c>
      <c r="AW139" s="97">
        <v>45757</v>
      </c>
      <c r="AX139" s="97"/>
      <c r="AY139" s="97"/>
      <c r="AZ139" s="97"/>
      <c r="BA139" s="97"/>
      <c r="BB139" s="100"/>
      <c r="BC139" s="48"/>
      <c r="BD139" s="367"/>
      <c r="BE139" s="367"/>
      <c r="BF139" s="367"/>
      <c r="BG139" s="367"/>
      <c r="BH139" s="64" t="e">
        <f>#REF!</f>
        <v>#REF!</v>
      </c>
      <c r="BI139" s="50"/>
      <c r="BL139" s="73"/>
    </row>
    <row r="140" spans="1:64" s="59" customFormat="1" ht="36" customHeight="1" x14ac:dyDescent="0.3">
      <c r="A140" s="305">
        <f t="shared" si="3"/>
        <v>135</v>
      </c>
      <c r="B140" s="90" t="s">
        <v>649</v>
      </c>
      <c r="C140" s="305" t="s">
        <v>2</v>
      </c>
      <c r="D140" s="305" t="s">
        <v>643</v>
      </c>
      <c r="E140" s="91">
        <v>45886</v>
      </c>
      <c r="F140" s="97"/>
      <c r="G140" s="91"/>
      <c r="H140" s="91"/>
      <c r="I140" s="305" t="s">
        <v>2</v>
      </c>
      <c r="J140" s="116" t="s">
        <v>644</v>
      </c>
      <c r="K140" s="92" t="s">
        <v>645</v>
      </c>
      <c r="L140" s="305"/>
      <c r="M140" s="369"/>
      <c r="N140" s="305"/>
      <c r="O140" s="305"/>
      <c r="P140" s="158"/>
      <c r="Q140" s="305"/>
      <c r="R140" s="305"/>
      <c r="S140" s="305"/>
      <c r="T140" s="305"/>
      <c r="U140" s="305"/>
      <c r="V140" s="305"/>
      <c r="W140" s="305"/>
      <c r="X140" s="305"/>
      <c r="Y140" s="305"/>
      <c r="Z140" s="305"/>
      <c r="AA140" s="305"/>
      <c r="AB140" s="305"/>
      <c r="AC140" s="92" t="s">
        <v>650</v>
      </c>
      <c r="AD140" s="369" t="s">
        <v>651</v>
      </c>
      <c r="AE140" s="115"/>
      <c r="AF140" s="115"/>
      <c r="AG140" s="115"/>
      <c r="AH140" s="93">
        <v>45777</v>
      </c>
      <c r="AI140" s="264">
        <v>45839</v>
      </c>
      <c r="AJ140" s="95" t="s">
        <v>648</v>
      </c>
      <c r="AK140" s="369" t="s">
        <v>265</v>
      </c>
      <c r="AL140" s="369" t="s">
        <v>175</v>
      </c>
      <c r="AM140" s="369" t="s">
        <v>134</v>
      </c>
      <c r="AN140" s="369"/>
      <c r="AO140" s="369"/>
      <c r="AP140" s="305"/>
      <c r="AQ140" s="371"/>
      <c r="AR140" s="369"/>
      <c r="AS140" s="305"/>
      <c r="AT140" s="102">
        <v>45777</v>
      </c>
      <c r="AU140" s="97">
        <v>45736</v>
      </c>
      <c r="AV140" s="97">
        <v>45767</v>
      </c>
      <c r="AW140" s="97">
        <v>45757</v>
      </c>
      <c r="AX140" s="97"/>
      <c r="AY140" s="97"/>
      <c r="AZ140" s="97"/>
      <c r="BA140" s="97"/>
      <c r="BB140" s="100"/>
      <c r="BC140" s="48"/>
      <c r="BD140" s="46"/>
      <c r="BE140" s="71"/>
      <c r="BF140" s="367"/>
      <c r="BG140" s="367"/>
      <c r="BH140" s="64" t="e">
        <f>#REF!</f>
        <v>#REF!</v>
      </c>
      <c r="BI140" s="50"/>
      <c r="BL140" s="73"/>
    </row>
    <row r="141" spans="1:64" s="59" customFormat="1" ht="36" customHeight="1" x14ac:dyDescent="0.3">
      <c r="A141" s="305">
        <f t="shared" si="3"/>
        <v>136</v>
      </c>
      <c r="B141" s="90" t="s">
        <v>652</v>
      </c>
      <c r="C141" s="305" t="s">
        <v>2</v>
      </c>
      <c r="D141" s="305" t="s">
        <v>262</v>
      </c>
      <c r="E141" s="91"/>
      <c r="F141" s="97"/>
      <c r="G141" s="305"/>
      <c r="H141" s="305"/>
      <c r="I141" s="305" t="s">
        <v>2</v>
      </c>
      <c r="J141" s="116" t="s">
        <v>644</v>
      </c>
      <c r="K141" s="92" t="s">
        <v>653</v>
      </c>
      <c r="L141" s="305"/>
      <c r="M141" s="369"/>
      <c r="N141" s="305"/>
      <c r="O141" s="305"/>
      <c r="P141" s="305"/>
      <c r="Q141" s="305"/>
      <c r="R141" s="305"/>
      <c r="S141" s="305"/>
      <c r="T141" s="305"/>
      <c r="U141" s="305"/>
      <c r="V141" s="305"/>
      <c r="W141" s="305"/>
      <c r="X141" s="305"/>
      <c r="Y141" s="305"/>
      <c r="Z141" s="305"/>
      <c r="AA141" s="305"/>
      <c r="AB141" s="305"/>
      <c r="AC141" s="92" t="s">
        <v>654</v>
      </c>
      <c r="AD141" s="369" t="s">
        <v>647</v>
      </c>
      <c r="AE141" s="118"/>
      <c r="AF141" s="118"/>
      <c r="AG141" s="118"/>
      <c r="AH141" s="93"/>
      <c r="AI141" s="94">
        <v>0</v>
      </c>
      <c r="AJ141" s="95" t="s">
        <v>264</v>
      </c>
      <c r="AK141" s="369" t="s">
        <v>265</v>
      </c>
      <c r="AL141" s="369" t="s">
        <v>175</v>
      </c>
      <c r="AM141" s="369"/>
      <c r="AN141" s="369"/>
      <c r="AO141" s="369"/>
      <c r="AP141" s="305"/>
      <c r="AQ141" s="371"/>
      <c r="AR141" s="369"/>
      <c r="AS141" s="305"/>
      <c r="AT141" s="96"/>
      <c r="AU141" s="103"/>
      <c r="AV141" s="97"/>
      <c r="AW141" s="97"/>
      <c r="AX141" s="97"/>
      <c r="AY141" s="97"/>
      <c r="AZ141" s="97"/>
      <c r="BA141" s="97"/>
      <c r="BB141" s="100"/>
      <c r="BC141" s="48"/>
      <c r="BD141" s="46"/>
      <c r="BE141" s="71"/>
      <c r="BF141" s="367"/>
      <c r="BG141" s="367"/>
      <c r="BH141" s="64" t="e">
        <f>#REF!</f>
        <v>#REF!</v>
      </c>
      <c r="BI141" s="50"/>
      <c r="BL141" s="73"/>
    </row>
    <row r="142" spans="1:64" s="59" customFormat="1" ht="36" customHeight="1" x14ac:dyDescent="0.3">
      <c r="A142" s="305">
        <f t="shared" si="3"/>
        <v>137</v>
      </c>
      <c r="B142" s="90" t="s">
        <v>655</v>
      </c>
      <c r="C142" s="305" t="s">
        <v>2</v>
      </c>
      <c r="D142" s="305" t="s">
        <v>262</v>
      </c>
      <c r="E142" s="91"/>
      <c r="F142" s="97"/>
      <c r="G142" s="305"/>
      <c r="H142" s="305"/>
      <c r="I142" s="305" t="s">
        <v>2</v>
      </c>
      <c r="J142" s="116" t="s">
        <v>644</v>
      </c>
      <c r="K142" s="92" t="s">
        <v>653</v>
      </c>
      <c r="L142" s="305"/>
      <c r="M142" s="369"/>
      <c r="N142" s="305"/>
      <c r="O142" s="305"/>
      <c r="P142" s="305"/>
      <c r="Q142" s="305"/>
      <c r="R142" s="305"/>
      <c r="S142" s="305"/>
      <c r="T142" s="305"/>
      <c r="U142" s="305"/>
      <c r="V142" s="305"/>
      <c r="W142" s="305"/>
      <c r="X142" s="305"/>
      <c r="Y142" s="305"/>
      <c r="Z142" s="305"/>
      <c r="AA142" s="305"/>
      <c r="AB142" s="305"/>
      <c r="AC142" s="92" t="s">
        <v>656</v>
      </c>
      <c r="AD142" s="369" t="s">
        <v>651</v>
      </c>
      <c r="AE142" s="118"/>
      <c r="AF142" s="118"/>
      <c r="AG142" s="118"/>
      <c r="AH142" s="93"/>
      <c r="AI142" s="94">
        <v>0</v>
      </c>
      <c r="AJ142" s="95" t="s">
        <v>264</v>
      </c>
      <c r="AK142" s="369" t="s">
        <v>265</v>
      </c>
      <c r="AL142" s="369" t="s">
        <v>175</v>
      </c>
      <c r="AM142" s="369"/>
      <c r="AN142" s="369"/>
      <c r="AO142" s="369"/>
      <c r="AP142" s="305"/>
      <c r="AQ142" s="371"/>
      <c r="AR142" s="369"/>
      <c r="AS142" s="305"/>
      <c r="AT142" s="96"/>
      <c r="AU142" s="103"/>
      <c r="AV142" s="97"/>
      <c r="AW142" s="97"/>
      <c r="AX142" s="97"/>
      <c r="AY142" s="97"/>
      <c r="AZ142" s="97"/>
      <c r="BA142" s="97"/>
      <c r="BB142" s="100"/>
      <c r="BC142" s="48"/>
      <c r="BD142" s="46"/>
      <c r="BE142" s="71"/>
      <c r="BF142" s="367"/>
      <c r="BG142" s="367"/>
      <c r="BH142" s="64" t="e">
        <f>#REF!</f>
        <v>#REF!</v>
      </c>
      <c r="BI142" s="50"/>
      <c r="BL142" s="73"/>
    </row>
    <row r="143" spans="1:64" s="59" customFormat="1" ht="36" customHeight="1" x14ac:dyDescent="0.3">
      <c r="A143" s="305">
        <f t="shared" si="3"/>
        <v>138</v>
      </c>
      <c r="B143" s="90" t="s">
        <v>657</v>
      </c>
      <c r="C143" s="305" t="s">
        <v>2</v>
      </c>
      <c r="D143" s="305" t="s">
        <v>658</v>
      </c>
      <c r="E143" s="91">
        <v>45841</v>
      </c>
      <c r="F143" s="102"/>
      <c r="G143" s="369"/>
      <c r="H143" s="369"/>
      <c r="I143" s="305" t="s">
        <v>2</v>
      </c>
      <c r="J143" s="116" t="s">
        <v>644</v>
      </c>
      <c r="K143" s="92" t="s">
        <v>659</v>
      </c>
      <c r="L143" s="305" t="s">
        <v>660</v>
      </c>
      <c r="M143" s="305"/>
      <c r="N143" s="305"/>
      <c r="O143" s="305"/>
      <c r="P143" s="158"/>
      <c r="Q143" s="305"/>
      <c r="R143" s="305"/>
      <c r="S143" s="305"/>
      <c r="T143" s="305"/>
      <c r="U143" s="305"/>
      <c r="V143" s="305"/>
      <c r="W143" s="305"/>
      <c r="X143" s="305"/>
      <c r="Y143" s="305"/>
      <c r="Z143" s="305"/>
      <c r="AA143" s="305"/>
      <c r="AB143" s="305"/>
      <c r="AC143" s="92" t="s">
        <v>661</v>
      </c>
      <c r="AD143" s="369" t="s">
        <v>647</v>
      </c>
      <c r="AE143" s="118"/>
      <c r="AF143" s="118"/>
      <c r="AG143" s="118"/>
      <c r="AH143" s="93">
        <v>45777</v>
      </c>
      <c r="AI143" s="264">
        <v>45778</v>
      </c>
      <c r="AJ143" s="95" t="s">
        <v>648</v>
      </c>
      <c r="AK143" s="369" t="s">
        <v>265</v>
      </c>
      <c r="AL143" s="369" t="s">
        <v>175</v>
      </c>
      <c r="AM143" s="369" t="s">
        <v>134</v>
      </c>
      <c r="AN143" s="369"/>
      <c r="AO143" s="369"/>
      <c r="AP143" s="305"/>
      <c r="AQ143" s="371"/>
      <c r="AR143" s="369"/>
      <c r="AS143" s="305"/>
      <c r="AT143" s="96">
        <v>45787</v>
      </c>
      <c r="AU143" s="103">
        <v>45749</v>
      </c>
      <c r="AV143" s="97"/>
      <c r="AW143" s="97">
        <v>45757</v>
      </c>
      <c r="AX143" s="97"/>
      <c r="AY143" s="97"/>
      <c r="AZ143" s="97"/>
      <c r="BA143" s="97"/>
      <c r="BB143" s="100"/>
      <c r="BC143" s="48"/>
      <c r="BD143" s="46"/>
      <c r="BE143" s="72"/>
      <c r="BF143" s="367"/>
      <c r="BG143" s="367"/>
      <c r="BH143" s="64" t="e">
        <f>#REF!</f>
        <v>#REF!</v>
      </c>
      <c r="BI143" s="50"/>
      <c r="BL143" s="73"/>
    </row>
    <row r="144" spans="1:64" s="59" customFormat="1" ht="44.4" customHeight="1" x14ac:dyDescent="0.3">
      <c r="A144" s="305">
        <f t="shared" si="3"/>
        <v>139</v>
      </c>
      <c r="B144" s="90" t="s">
        <v>662</v>
      </c>
      <c r="C144" s="305" t="s">
        <v>2</v>
      </c>
      <c r="D144" s="305" t="s">
        <v>658</v>
      </c>
      <c r="E144" s="91">
        <v>45841</v>
      </c>
      <c r="F144" s="97"/>
      <c r="G144" s="108"/>
      <c r="H144" s="108"/>
      <c r="I144" s="305" t="s">
        <v>2</v>
      </c>
      <c r="J144" s="116" t="s">
        <v>644</v>
      </c>
      <c r="K144" s="92" t="s">
        <v>659</v>
      </c>
      <c r="L144" s="305" t="s">
        <v>660</v>
      </c>
      <c r="M144" s="305"/>
      <c r="N144" s="305"/>
      <c r="O144" s="305"/>
      <c r="P144" s="158"/>
      <c r="Q144" s="305"/>
      <c r="R144" s="305"/>
      <c r="S144" s="305"/>
      <c r="T144" s="305"/>
      <c r="U144" s="305"/>
      <c r="V144" s="305"/>
      <c r="W144" s="305"/>
      <c r="X144" s="305"/>
      <c r="Y144" s="305"/>
      <c r="Z144" s="305"/>
      <c r="AA144" s="305"/>
      <c r="AB144" s="305"/>
      <c r="AC144" s="92" t="s">
        <v>663</v>
      </c>
      <c r="AD144" s="369" t="s">
        <v>651</v>
      </c>
      <c r="AE144" s="118"/>
      <c r="AF144" s="118"/>
      <c r="AG144" s="118"/>
      <c r="AH144" s="93">
        <v>45777</v>
      </c>
      <c r="AI144" s="264">
        <v>45778</v>
      </c>
      <c r="AJ144" s="95" t="s">
        <v>648</v>
      </c>
      <c r="AK144" s="369" t="s">
        <v>265</v>
      </c>
      <c r="AL144" s="369" t="s">
        <v>175</v>
      </c>
      <c r="AM144" s="369" t="s">
        <v>134</v>
      </c>
      <c r="AN144" s="305"/>
      <c r="AO144" s="305"/>
      <c r="AP144" s="305"/>
      <c r="AQ144" s="291"/>
      <c r="AR144" s="305"/>
      <c r="AS144" s="305"/>
      <c r="AT144" s="96">
        <v>45787</v>
      </c>
      <c r="AU144" s="97">
        <v>45749</v>
      </c>
      <c r="AV144" s="305"/>
      <c r="AW144" s="91">
        <v>45757</v>
      </c>
      <c r="AX144" s="305"/>
      <c r="AY144" s="305"/>
      <c r="AZ144" s="341"/>
      <c r="BA144" s="341"/>
      <c r="BB144" s="123"/>
      <c r="BC144" s="53"/>
      <c r="BD144" s="73"/>
      <c r="BE144" s="73"/>
      <c r="BF144" s="73"/>
      <c r="BG144" s="73"/>
      <c r="BH144" s="64" t="e">
        <f>#REF!</f>
        <v>#REF!</v>
      </c>
      <c r="BI144" s="50"/>
      <c r="BL144" s="73"/>
    </row>
    <row r="145" spans="1:64" s="59" customFormat="1" ht="44.4" customHeight="1" x14ac:dyDescent="0.3">
      <c r="A145" s="305">
        <f t="shared" si="3"/>
        <v>140</v>
      </c>
      <c r="B145" s="90" t="s">
        <v>664</v>
      </c>
      <c r="C145" s="305" t="s">
        <v>2</v>
      </c>
      <c r="D145" s="305" t="s">
        <v>262</v>
      </c>
      <c r="E145" s="108"/>
      <c r="F145" s="108"/>
      <c r="G145" s="108"/>
      <c r="H145" s="108"/>
      <c r="I145" s="305" t="s">
        <v>2</v>
      </c>
      <c r="J145" s="116" t="s">
        <v>644</v>
      </c>
      <c r="K145" s="92" t="s">
        <v>665</v>
      </c>
      <c r="L145" s="305"/>
      <c r="M145" s="369"/>
      <c r="N145" s="305"/>
      <c r="O145" s="305"/>
      <c r="P145" s="305"/>
      <c r="Q145" s="305"/>
      <c r="R145" s="305"/>
      <c r="S145" s="305"/>
      <c r="T145" s="305"/>
      <c r="U145" s="305"/>
      <c r="V145" s="305"/>
      <c r="W145" s="305"/>
      <c r="X145" s="305"/>
      <c r="Y145" s="305"/>
      <c r="Z145" s="305"/>
      <c r="AA145" s="305"/>
      <c r="AB145" s="305"/>
      <c r="AC145" s="92" t="s">
        <v>666</v>
      </c>
      <c r="AD145" s="369" t="s">
        <v>651</v>
      </c>
      <c r="AE145" s="118"/>
      <c r="AF145" s="118"/>
      <c r="AG145" s="118"/>
      <c r="AH145" s="93"/>
      <c r="AI145" s="94">
        <v>0</v>
      </c>
      <c r="AJ145" s="95" t="s">
        <v>264</v>
      </c>
      <c r="AK145" s="369" t="s">
        <v>265</v>
      </c>
      <c r="AL145" s="369" t="s">
        <v>175</v>
      </c>
      <c r="AM145" s="369"/>
      <c r="AN145" s="305"/>
      <c r="AO145" s="305"/>
      <c r="AP145" s="305"/>
      <c r="AQ145" s="291"/>
      <c r="AR145" s="305"/>
      <c r="AS145" s="305"/>
      <c r="AT145" s="96"/>
      <c r="AU145" s="97"/>
      <c r="AV145" s="305"/>
      <c r="AW145" s="305"/>
      <c r="AX145" s="305"/>
      <c r="AY145" s="305"/>
      <c r="AZ145" s="305"/>
      <c r="BA145" s="305"/>
      <c r="BB145" s="125"/>
      <c r="BC145" s="56"/>
      <c r="BD145" s="73"/>
      <c r="BE145" s="73"/>
      <c r="BF145" s="73"/>
      <c r="BG145" s="73"/>
      <c r="BH145" s="64" t="e">
        <f>#REF!</f>
        <v>#REF!</v>
      </c>
      <c r="BI145" s="50"/>
      <c r="BL145" s="73"/>
    </row>
    <row r="146" spans="1:64" s="59" customFormat="1" ht="44.4" customHeight="1" x14ac:dyDescent="0.3">
      <c r="A146" s="305">
        <f t="shared" si="3"/>
        <v>141</v>
      </c>
      <c r="B146" s="90" t="s">
        <v>667</v>
      </c>
      <c r="C146" s="305" t="s">
        <v>2</v>
      </c>
      <c r="D146" s="305" t="s">
        <v>262</v>
      </c>
      <c r="E146" s="108"/>
      <c r="F146" s="108"/>
      <c r="G146" s="108"/>
      <c r="H146" s="108"/>
      <c r="I146" s="305" t="s">
        <v>2</v>
      </c>
      <c r="J146" s="116"/>
      <c r="K146" s="92" t="s">
        <v>668</v>
      </c>
      <c r="L146" s="305"/>
      <c r="M146" s="369"/>
      <c r="N146" s="305"/>
      <c r="O146" s="305"/>
      <c r="P146" s="305"/>
      <c r="Q146" s="305"/>
      <c r="R146" s="305"/>
      <c r="S146" s="305"/>
      <c r="T146" s="305"/>
      <c r="U146" s="305"/>
      <c r="V146" s="305"/>
      <c r="W146" s="305"/>
      <c r="X146" s="305"/>
      <c r="Y146" s="305"/>
      <c r="Z146" s="305"/>
      <c r="AA146" s="305"/>
      <c r="AB146" s="305"/>
      <c r="AC146" s="92" t="s">
        <v>669</v>
      </c>
      <c r="AD146" s="369" t="s">
        <v>670</v>
      </c>
      <c r="AE146" s="118"/>
      <c r="AF146" s="118"/>
      <c r="AG146" s="118"/>
      <c r="AH146" s="93"/>
      <c r="AI146" s="94">
        <v>0</v>
      </c>
      <c r="AJ146" s="95" t="s">
        <v>671</v>
      </c>
      <c r="AK146" s="369" t="s">
        <v>161</v>
      </c>
      <c r="AL146" s="369" t="s">
        <v>133</v>
      </c>
      <c r="AM146" s="369"/>
      <c r="AN146" s="305"/>
      <c r="AO146" s="305"/>
      <c r="AP146" s="305"/>
      <c r="AQ146" s="291"/>
      <c r="AR146" s="305"/>
      <c r="AS146" s="305"/>
      <c r="AT146" s="96"/>
      <c r="AU146" s="97"/>
      <c r="AV146" s="305"/>
      <c r="AW146" s="305"/>
      <c r="AX146" s="305"/>
      <c r="AY146" s="305"/>
      <c r="AZ146" s="305"/>
      <c r="BA146" s="305"/>
      <c r="BB146" s="125"/>
      <c r="BC146" s="56"/>
      <c r="BD146" s="73"/>
      <c r="BE146" s="73"/>
      <c r="BF146" s="73"/>
      <c r="BG146" s="73"/>
      <c r="BH146" s="64" t="e">
        <f>#REF!</f>
        <v>#REF!</v>
      </c>
      <c r="BI146" s="50"/>
      <c r="BL146" s="73"/>
    </row>
    <row r="147" spans="1:64" s="59" customFormat="1" ht="44.4" customHeight="1" x14ac:dyDescent="0.3">
      <c r="A147" s="305">
        <f t="shared" si="3"/>
        <v>142</v>
      </c>
      <c r="B147" s="90" t="s">
        <v>672</v>
      </c>
      <c r="C147" s="305" t="s">
        <v>10</v>
      </c>
      <c r="D147" s="305" t="s">
        <v>673</v>
      </c>
      <c r="E147" s="108">
        <v>45473</v>
      </c>
      <c r="F147" s="97"/>
      <c r="G147" s="108"/>
      <c r="H147" s="108"/>
      <c r="I147" s="305" t="s">
        <v>10</v>
      </c>
      <c r="J147" s="116" t="s">
        <v>674</v>
      </c>
      <c r="K147" s="92" t="s">
        <v>675</v>
      </c>
      <c r="L147" s="305"/>
      <c r="M147" s="369"/>
      <c r="N147" s="305"/>
      <c r="O147" s="305"/>
      <c r="P147" s="158"/>
      <c r="Q147" s="305"/>
      <c r="R147" s="305"/>
      <c r="S147" s="305"/>
      <c r="T147" s="305"/>
      <c r="U147" s="305"/>
      <c r="V147" s="305"/>
      <c r="W147" s="305"/>
      <c r="X147" s="305"/>
      <c r="Y147" s="305"/>
      <c r="Z147" s="305"/>
      <c r="AA147" s="305"/>
      <c r="AB147" s="305"/>
      <c r="AC147" s="92" t="s">
        <v>676</v>
      </c>
      <c r="AD147" s="369" t="s">
        <v>361</v>
      </c>
      <c r="AE147" s="118"/>
      <c r="AF147" s="118"/>
      <c r="AG147" s="118"/>
      <c r="AH147" s="93">
        <v>45473</v>
      </c>
      <c r="AI147" s="264">
        <v>45444</v>
      </c>
      <c r="AJ147" s="95" t="s">
        <v>131</v>
      </c>
      <c r="AK147" s="369" t="s">
        <v>161</v>
      </c>
      <c r="AL147" s="369" t="s">
        <v>295</v>
      </c>
      <c r="AM147" s="369" t="s">
        <v>134</v>
      </c>
      <c r="AN147" s="305"/>
      <c r="AO147" s="305"/>
      <c r="AP147" s="305"/>
      <c r="AQ147" s="291"/>
      <c r="AR147" s="305"/>
      <c r="AS147" s="305"/>
      <c r="AT147" s="96">
        <v>45469</v>
      </c>
      <c r="AU147" s="97">
        <v>45462</v>
      </c>
      <c r="AV147" s="91">
        <v>45462</v>
      </c>
      <c r="AW147" s="91">
        <v>45462</v>
      </c>
      <c r="AX147" s="305"/>
      <c r="AY147" s="305"/>
      <c r="AZ147" s="119"/>
      <c r="BA147" s="119"/>
      <c r="BB147" s="126"/>
      <c r="BC147" s="55"/>
      <c r="BD147" s="73"/>
      <c r="BE147" s="73"/>
      <c r="BF147" s="73"/>
      <c r="BG147" s="73"/>
      <c r="BH147" s="64" t="e">
        <f>#REF!</f>
        <v>#REF!</v>
      </c>
      <c r="BI147" s="50"/>
      <c r="BL147" s="73"/>
    </row>
    <row r="148" spans="1:64" s="59" customFormat="1" ht="44.4" customHeight="1" x14ac:dyDescent="0.3">
      <c r="A148" s="305">
        <f t="shared" si="3"/>
        <v>143</v>
      </c>
      <c r="B148" s="90" t="s">
        <v>677</v>
      </c>
      <c r="C148" s="305" t="s">
        <v>2</v>
      </c>
      <c r="D148" s="305" t="s">
        <v>262</v>
      </c>
      <c r="E148" s="108"/>
      <c r="F148" s="108"/>
      <c r="G148" s="108"/>
      <c r="H148" s="108"/>
      <c r="I148" s="305" t="s">
        <v>2</v>
      </c>
      <c r="J148" s="116" t="s">
        <v>644</v>
      </c>
      <c r="K148" s="92" t="s">
        <v>678</v>
      </c>
      <c r="L148" s="305" t="s">
        <v>660</v>
      </c>
      <c r="M148" s="369" t="s">
        <v>65</v>
      </c>
      <c r="N148" s="305" t="s">
        <v>127</v>
      </c>
      <c r="O148" s="305" t="s">
        <v>127</v>
      </c>
      <c r="P148" s="305"/>
      <c r="Q148" s="305"/>
      <c r="R148" s="305"/>
      <c r="S148" s="305"/>
      <c r="T148" s="305"/>
      <c r="U148" s="305"/>
      <c r="V148" s="305"/>
      <c r="W148" s="305"/>
      <c r="X148" s="305" t="s">
        <v>350</v>
      </c>
      <c r="Y148" s="305"/>
      <c r="Z148" s="305" t="s">
        <v>127</v>
      </c>
      <c r="AA148" s="305"/>
      <c r="AB148" s="305" t="s">
        <v>215</v>
      </c>
      <c r="AC148" s="92" t="s">
        <v>679</v>
      </c>
      <c r="AD148" s="369" t="s">
        <v>357</v>
      </c>
      <c r="AE148" s="118"/>
      <c r="AF148" s="118"/>
      <c r="AG148" s="118"/>
      <c r="AH148" s="93"/>
      <c r="AI148" s="94">
        <v>0</v>
      </c>
      <c r="AJ148" s="95" t="s">
        <v>264</v>
      </c>
      <c r="AK148" s="369" t="s">
        <v>273</v>
      </c>
      <c r="AL148" s="369" t="s">
        <v>162</v>
      </c>
      <c r="AM148" s="369"/>
      <c r="AN148" s="305"/>
      <c r="AO148" s="305"/>
      <c r="AP148" s="305"/>
      <c r="AQ148" s="291"/>
      <c r="AR148" s="305"/>
      <c r="AS148" s="305"/>
      <c r="AT148" s="96"/>
      <c r="AU148" s="97"/>
      <c r="AV148" s="342"/>
      <c r="AW148" s="343"/>
      <c r="AX148" s="343"/>
      <c r="AY148" s="343"/>
      <c r="AZ148" s="343"/>
      <c r="BA148" s="343"/>
      <c r="BB148" s="125"/>
      <c r="BC148" s="56"/>
      <c r="BD148" s="73"/>
      <c r="BE148" s="73"/>
      <c r="BF148" s="73"/>
      <c r="BG148" s="73"/>
      <c r="BH148" s="64" t="e">
        <f>#REF!</f>
        <v>#REF!</v>
      </c>
      <c r="BI148" s="50"/>
      <c r="BL148" s="73"/>
    </row>
    <row r="149" spans="1:64" s="59" customFormat="1" ht="44.4" customHeight="1" x14ac:dyDescent="0.3">
      <c r="A149" s="305">
        <f t="shared" si="3"/>
        <v>144</v>
      </c>
      <c r="B149" s="90" t="s">
        <v>680</v>
      </c>
      <c r="C149" s="305" t="s">
        <v>2</v>
      </c>
      <c r="D149" s="305" t="s">
        <v>262</v>
      </c>
      <c r="E149" s="108"/>
      <c r="F149" s="108"/>
      <c r="G149" s="108"/>
      <c r="H149" s="108"/>
      <c r="I149" s="305" t="s">
        <v>2</v>
      </c>
      <c r="J149" s="116" t="s">
        <v>644</v>
      </c>
      <c r="K149" s="92" t="s">
        <v>681</v>
      </c>
      <c r="L149" s="305" t="s">
        <v>660</v>
      </c>
      <c r="M149" s="369" t="s">
        <v>120</v>
      </c>
      <c r="N149" s="305" t="s">
        <v>127</v>
      </c>
      <c r="O149" s="305" t="s">
        <v>127</v>
      </c>
      <c r="P149" s="305"/>
      <c r="Q149" s="305"/>
      <c r="R149" s="305"/>
      <c r="S149" s="305"/>
      <c r="T149" s="305"/>
      <c r="U149" s="305"/>
      <c r="V149" s="305"/>
      <c r="W149" s="305"/>
      <c r="X149" s="305" t="s">
        <v>350</v>
      </c>
      <c r="Y149" s="305"/>
      <c r="Z149" s="305" t="s">
        <v>127</v>
      </c>
      <c r="AA149" s="305"/>
      <c r="AB149" s="305" t="s">
        <v>215</v>
      </c>
      <c r="AC149" s="92" t="s">
        <v>682</v>
      </c>
      <c r="AD149" s="369" t="s">
        <v>352</v>
      </c>
      <c r="AE149" s="118"/>
      <c r="AF149" s="118"/>
      <c r="AG149" s="118"/>
      <c r="AH149" s="93"/>
      <c r="AI149" s="94">
        <v>0</v>
      </c>
      <c r="AJ149" s="95" t="s">
        <v>264</v>
      </c>
      <c r="AK149" s="369" t="s">
        <v>273</v>
      </c>
      <c r="AL149" s="369" t="s">
        <v>162</v>
      </c>
      <c r="AM149" s="369"/>
      <c r="AN149" s="305"/>
      <c r="AO149" s="305"/>
      <c r="AP149" s="305"/>
      <c r="AQ149" s="291"/>
      <c r="AR149" s="305"/>
      <c r="AS149" s="305"/>
      <c r="AT149" s="96"/>
      <c r="AU149" s="97"/>
      <c r="AV149" s="342"/>
      <c r="AW149" s="342"/>
      <c r="AX149" s="343"/>
      <c r="AY149" s="343"/>
      <c r="AZ149" s="343"/>
      <c r="BA149" s="343"/>
      <c r="BB149" s="125"/>
      <c r="BC149" s="56"/>
      <c r="BD149" s="73"/>
      <c r="BE149" s="73"/>
      <c r="BF149" s="73"/>
      <c r="BG149" s="73"/>
      <c r="BH149" s="64" t="e">
        <f>#REF!</f>
        <v>#REF!</v>
      </c>
      <c r="BI149" s="50"/>
      <c r="BL149" s="73"/>
    </row>
    <row r="150" spans="1:64" s="59" customFormat="1" ht="44.4" customHeight="1" x14ac:dyDescent="0.3">
      <c r="A150" s="305">
        <f t="shared" si="3"/>
        <v>145</v>
      </c>
      <c r="B150" s="90" t="s">
        <v>683</v>
      </c>
      <c r="C150" s="305" t="s">
        <v>2</v>
      </c>
      <c r="D150" s="305" t="s">
        <v>262</v>
      </c>
      <c r="E150" s="108"/>
      <c r="F150" s="108"/>
      <c r="G150" s="108"/>
      <c r="H150" s="108"/>
      <c r="I150" s="305" t="s">
        <v>2</v>
      </c>
      <c r="J150" s="116" t="s">
        <v>644</v>
      </c>
      <c r="K150" s="92" t="s">
        <v>681</v>
      </c>
      <c r="L150" s="305" t="s">
        <v>660</v>
      </c>
      <c r="M150" s="369" t="s">
        <v>65</v>
      </c>
      <c r="N150" s="305" t="s">
        <v>127</v>
      </c>
      <c r="O150" s="305" t="s">
        <v>127</v>
      </c>
      <c r="P150" s="305"/>
      <c r="Q150" s="305"/>
      <c r="R150" s="305"/>
      <c r="S150" s="305"/>
      <c r="T150" s="305"/>
      <c r="U150" s="305"/>
      <c r="V150" s="305"/>
      <c r="W150" s="305"/>
      <c r="X150" s="305" t="s">
        <v>350</v>
      </c>
      <c r="Y150" s="305"/>
      <c r="Z150" s="305" t="s">
        <v>127</v>
      </c>
      <c r="AA150" s="305"/>
      <c r="AB150" s="305" t="s">
        <v>215</v>
      </c>
      <c r="AC150" s="92" t="s">
        <v>684</v>
      </c>
      <c r="AD150" s="369" t="s">
        <v>357</v>
      </c>
      <c r="AE150" s="118"/>
      <c r="AF150" s="118"/>
      <c r="AG150" s="118"/>
      <c r="AH150" s="93"/>
      <c r="AI150" s="94">
        <v>0</v>
      </c>
      <c r="AJ150" s="95" t="s">
        <v>264</v>
      </c>
      <c r="AK150" s="369" t="s">
        <v>273</v>
      </c>
      <c r="AL150" s="369" t="s">
        <v>162</v>
      </c>
      <c r="AM150" s="369"/>
      <c r="AN150" s="305"/>
      <c r="AO150" s="305"/>
      <c r="AP150" s="305"/>
      <c r="AQ150" s="291"/>
      <c r="AR150" s="305"/>
      <c r="AS150" s="305"/>
      <c r="AT150" s="96"/>
      <c r="AU150" s="97"/>
      <c r="AV150" s="342"/>
      <c r="AW150" s="343"/>
      <c r="AX150" s="343"/>
      <c r="AY150" s="343"/>
      <c r="AZ150" s="343"/>
      <c r="BA150" s="343"/>
      <c r="BB150" s="125"/>
      <c r="BC150" s="56"/>
      <c r="BD150" s="73"/>
      <c r="BE150" s="73"/>
      <c r="BF150" s="73"/>
      <c r="BG150" s="73"/>
      <c r="BH150" s="64" t="e">
        <f>#REF!</f>
        <v>#REF!</v>
      </c>
      <c r="BI150" s="50"/>
      <c r="BL150" s="73"/>
    </row>
    <row r="151" spans="1:64" s="59" customFormat="1" ht="44.4" customHeight="1" x14ac:dyDescent="0.3">
      <c r="A151" s="305">
        <f t="shared" si="3"/>
        <v>146</v>
      </c>
      <c r="B151" s="90" t="s">
        <v>685</v>
      </c>
      <c r="C151" s="305" t="s">
        <v>2</v>
      </c>
      <c r="D151" s="305" t="s">
        <v>262</v>
      </c>
      <c r="E151" s="108"/>
      <c r="F151" s="108"/>
      <c r="G151" s="108"/>
      <c r="H151" s="108"/>
      <c r="I151" s="305" t="s">
        <v>2</v>
      </c>
      <c r="J151" s="116" t="s">
        <v>644</v>
      </c>
      <c r="K151" s="92" t="s">
        <v>686</v>
      </c>
      <c r="L151" s="305" t="s">
        <v>660</v>
      </c>
      <c r="M151" s="369" t="s">
        <v>65</v>
      </c>
      <c r="N151" s="305" t="s">
        <v>127</v>
      </c>
      <c r="O151" s="305" t="s">
        <v>127</v>
      </c>
      <c r="P151" s="305"/>
      <c r="Q151" s="305"/>
      <c r="R151" s="305"/>
      <c r="S151" s="305"/>
      <c r="T151" s="305"/>
      <c r="U151" s="305"/>
      <c r="V151" s="305"/>
      <c r="W151" s="305"/>
      <c r="X151" s="305" t="s">
        <v>350</v>
      </c>
      <c r="Y151" s="305"/>
      <c r="Z151" s="305" t="s">
        <v>127</v>
      </c>
      <c r="AA151" s="305"/>
      <c r="AB151" s="305" t="s">
        <v>215</v>
      </c>
      <c r="AC151" s="92" t="s">
        <v>687</v>
      </c>
      <c r="AD151" s="369" t="s">
        <v>352</v>
      </c>
      <c r="AE151" s="118"/>
      <c r="AF151" s="118"/>
      <c r="AG151" s="118"/>
      <c r="AH151" s="93"/>
      <c r="AI151" s="94">
        <v>0</v>
      </c>
      <c r="AJ151" s="95" t="s">
        <v>264</v>
      </c>
      <c r="AK151" s="369" t="s">
        <v>273</v>
      </c>
      <c r="AL151" s="369" t="s">
        <v>162</v>
      </c>
      <c r="AM151" s="369"/>
      <c r="AN151" s="305"/>
      <c r="AO151" s="305"/>
      <c r="AP151" s="305"/>
      <c r="AQ151" s="291"/>
      <c r="AR151" s="305"/>
      <c r="AS151" s="305"/>
      <c r="AT151" s="96"/>
      <c r="AU151" s="97"/>
      <c r="AV151" s="343"/>
      <c r="AW151" s="343"/>
      <c r="AX151" s="343"/>
      <c r="AY151" s="343"/>
      <c r="AZ151" s="343"/>
      <c r="BA151" s="343"/>
      <c r="BB151" s="125"/>
      <c r="BC151" s="56"/>
      <c r="BD151" s="73"/>
      <c r="BE151" s="73"/>
      <c r="BF151" s="73"/>
      <c r="BG151" s="73"/>
      <c r="BH151" s="64" t="e">
        <f>#REF!</f>
        <v>#REF!</v>
      </c>
      <c r="BI151" s="50"/>
      <c r="BL151" s="73"/>
    </row>
    <row r="152" spans="1:64" s="59" customFormat="1" ht="44.4" customHeight="1" x14ac:dyDescent="0.3">
      <c r="A152" s="305">
        <f t="shared" si="3"/>
        <v>147</v>
      </c>
      <c r="B152" s="90" t="s">
        <v>688</v>
      </c>
      <c r="C152" s="305" t="s">
        <v>2</v>
      </c>
      <c r="D152" s="305" t="s">
        <v>262</v>
      </c>
      <c r="E152" s="108"/>
      <c r="F152" s="108"/>
      <c r="G152" s="108"/>
      <c r="H152" s="108"/>
      <c r="I152" s="305" t="s">
        <v>2</v>
      </c>
      <c r="J152" s="116" t="s">
        <v>644</v>
      </c>
      <c r="K152" s="92" t="s">
        <v>686</v>
      </c>
      <c r="L152" s="305" t="s">
        <v>660</v>
      </c>
      <c r="M152" s="369" t="s">
        <v>65</v>
      </c>
      <c r="N152" s="305" t="s">
        <v>127</v>
      </c>
      <c r="O152" s="305" t="s">
        <v>127</v>
      </c>
      <c r="P152" s="305"/>
      <c r="Q152" s="305"/>
      <c r="R152" s="305"/>
      <c r="S152" s="305"/>
      <c r="T152" s="305"/>
      <c r="U152" s="305"/>
      <c r="V152" s="305"/>
      <c r="W152" s="305"/>
      <c r="X152" s="305" t="s">
        <v>350</v>
      </c>
      <c r="Y152" s="305"/>
      <c r="Z152" s="305" t="s">
        <v>127</v>
      </c>
      <c r="AA152" s="305"/>
      <c r="AB152" s="305" t="s">
        <v>215</v>
      </c>
      <c r="AC152" s="92" t="s">
        <v>689</v>
      </c>
      <c r="AD152" s="369" t="s">
        <v>357</v>
      </c>
      <c r="AE152" s="118"/>
      <c r="AF152" s="118"/>
      <c r="AG152" s="118"/>
      <c r="AH152" s="93"/>
      <c r="AI152" s="94">
        <v>0</v>
      </c>
      <c r="AJ152" s="95" t="s">
        <v>264</v>
      </c>
      <c r="AK152" s="369" t="s">
        <v>273</v>
      </c>
      <c r="AL152" s="369" t="s">
        <v>162</v>
      </c>
      <c r="AM152" s="369"/>
      <c r="AN152" s="305"/>
      <c r="AO152" s="305"/>
      <c r="AP152" s="305"/>
      <c r="AQ152" s="291"/>
      <c r="AR152" s="305"/>
      <c r="AS152" s="305"/>
      <c r="AT152" s="96"/>
      <c r="AU152" s="97"/>
      <c r="AV152" s="343"/>
      <c r="AW152" s="343"/>
      <c r="AX152" s="343"/>
      <c r="AY152" s="343"/>
      <c r="AZ152" s="343"/>
      <c r="BA152" s="343"/>
      <c r="BB152" s="127"/>
      <c r="BC152" s="74"/>
      <c r="BD152" s="73"/>
      <c r="BE152" s="73"/>
      <c r="BF152" s="73"/>
      <c r="BG152" s="73"/>
      <c r="BH152" s="64" t="e">
        <f>#REF!</f>
        <v>#REF!</v>
      </c>
      <c r="BI152" s="50"/>
      <c r="BL152" s="73"/>
    </row>
    <row r="153" spans="1:64" s="59" customFormat="1" ht="44.4" customHeight="1" x14ac:dyDescent="0.3">
      <c r="A153" s="305">
        <f t="shared" si="3"/>
        <v>148</v>
      </c>
      <c r="B153" s="90" t="s">
        <v>690</v>
      </c>
      <c r="C153" s="305" t="s">
        <v>2</v>
      </c>
      <c r="D153" s="305" t="s">
        <v>262</v>
      </c>
      <c r="E153" s="108"/>
      <c r="F153" s="108"/>
      <c r="G153" s="108"/>
      <c r="H153" s="108"/>
      <c r="I153" s="305" t="s">
        <v>2</v>
      </c>
      <c r="J153" s="116" t="s">
        <v>644</v>
      </c>
      <c r="K153" s="92" t="s">
        <v>691</v>
      </c>
      <c r="L153" s="305" t="s">
        <v>660</v>
      </c>
      <c r="M153" s="369" t="s">
        <v>120</v>
      </c>
      <c r="N153" s="305" t="s">
        <v>127</v>
      </c>
      <c r="O153" s="305" t="s">
        <v>127</v>
      </c>
      <c r="P153" s="305"/>
      <c r="Q153" s="305"/>
      <c r="R153" s="305"/>
      <c r="S153" s="305"/>
      <c r="T153" s="305"/>
      <c r="U153" s="305"/>
      <c r="V153" s="305"/>
      <c r="W153" s="305"/>
      <c r="X153" s="305" t="s">
        <v>350</v>
      </c>
      <c r="Y153" s="305"/>
      <c r="Z153" s="305" t="s">
        <v>127</v>
      </c>
      <c r="AA153" s="305"/>
      <c r="AB153" s="305" t="s">
        <v>215</v>
      </c>
      <c r="AC153" s="92" t="s">
        <v>692</v>
      </c>
      <c r="AD153" s="369" t="s">
        <v>352</v>
      </c>
      <c r="AE153" s="118"/>
      <c r="AF153" s="118"/>
      <c r="AG153" s="118"/>
      <c r="AH153" s="93"/>
      <c r="AI153" s="94">
        <v>0</v>
      </c>
      <c r="AJ153" s="95" t="s">
        <v>264</v>
      </c>
      <c r="AK153" s="369" t="s">
        <v>273</v>
      </c>
      <c r="AL153" s="369" t="s">
        <v>162</v>
      </c>
      <c r="AM153" s="369"/>
      <c r="AN153" s="305"/>
      <c r="AO153" s="305"/>
      <c r="AP153" s="305"/>
      <c r="AQ153" s="291"/>
      <c r="AR153" s="305"/>
      <c r="AS153" s="305"/>
      <c r="AT153" s="96"/>
      <c r="AU153" s="97"/>
      <c r="AV153" s="305"/>
      <c r="AW153" s="305"/>
      <c r="AX153" s="305"/>
      <c r="AY153" s="305"/>
      <c r="AZ153" s="305"/>
      <c r="BA153" s="305"/>
      <c r="BB153" s="125"/>
      <c r="BC153" s="56"/>
      <c r="BD153" s="73"/>
      <c r="BE153" s="73"/>
      <c r="BF153" s="73"/>
      <c r="BG153" s="73"/>
      <c r="BH153" s="64" t="e">
        <f>#REF!</f>
        <v>#REF!</v>
      </c>
      <c r="BI153" s="50"/>
      <c r="BL153" s="73"/>
    </row>
    <row r="154" spans="1:64" s="59" customFormat="1" ht="44.4" customHeight="1" x14ac:dyDescent="0.3">
      <c r="A154" s="305">
        <f t="shared" si="3"/>
        <v>149</v>
      </c>
      <c r="B154" s="90" t="s">
        <v>693</v>
      </c>
      <c r="C154" s="305" t="s">
        <v>2</v>
      </c>
      <c r="D154" s="305" t="s">
        <v>262</v>
      </c>
      <c r="E154" s="108"/>
      <c r="F154" s="108"/>
      <c r="G154" s="108"/>
      <c r="H154" s="108"/>
      <c r="I154" s="305" t="s">
        <v>2</v>
      </c>
      <c r="J154" s="116" t="s">
        <v>644</v>
      </c>
      <c r="K154" s="92" t="s">
        <v>691</v>
      </c>
      <c r="L154" s="305" t="s">
        <v>660</v>
      </c>
      <c r="M154" s="369" t="s">
        <v>120</v>
      </c>
      <c r="N154" s="305" t="s">
        <v>127</v>
      </c>
      <c r="O154" s="305" t="s">
        <v>127</v>
      </c>
      <c r="P154" s="305"/>
      <c r="Q154" s="305"/>
      <c r="R154" s="305"/>
      <c r="S154" s="305"/>
      <c r="T154" s="305"/>
      <c r="U154" s="305"/>
      <c r="V154" s="305"/>
      <c r="W154" s="305"/>
      <c r="X154" s="305" t="s">
        <v>350</v>
      </c>
      <c r="Y154" s="305"/>
      <c r="Z154" s="305" t="s">
        <v>127</v>
      </c>
      <c r="AA154" s="305"/>
      <c r="AB154" s="305" t="s">
        <v>215</v>
      </c>
      <c r="AC154" s="92" t="s">
        <v>694</v>
      </c>
      <c r="AD154" s="369" t="s">
        <v>357</v>
      </c>
      <c r="AE154" s="118"/>
      <c r="AF154" s="118"/>
      <c r="AG154" s="118"/>
      <c r="AH154" s="93"/>
      <c r="AI154" s="94">
        <v>0</v>
      </c>
      <c r="AJ154" s="95" t="s">
        <v>264</v>
      </c>
      <c r="AK154" s="369" t="s">
        <v>273</v>
      </c>
      <c r="AL154" s="369" t="s">
        <v>162</v>
      </c>
      <c r="AM154" s="369"/>
      <c r="AN154" s="305"/>
      <c r="AO154" s="305"/>
      <c r="AP154" s="305"/>
      <c r="AQ154" s="291"/>
      <c r="AR154" s="305"/>
      <c r="AS154" s="305"/>
      <c r="AT154" s="96"/>
      <c r="AU154" s="97"/>
      <c r="AV154" s="305"/>
      <c r="AW154" s="305"/>
      <c r="AX154" s="305"/>
      <c r="AY154" s="305"/>
      <c r="AZ154" s="305"/>
      <c r="BA154" s="305"/>
      <c r="BB154" s="125"/>
      <c r="BC154" s="56"/>
      <c r="BD154" s="73"/>
      <c r="BE154" s="73"/>
      <c r="BF154" s="73"/>
      <c r="BG154" s="73"/>
      <c r="BH154" s="64" t="e">
        <f>#REF!</f>
        <v>#REF!</v>
      </c>
      <c r="BI154" s="50"/>
      <c r="BL154" s="73"/>
    </row>
    <row r="155" spans="1:64" s="59" customFormat="1" ht="44.4" customHeight="1" x14ac:dyDescent="0.3">
      <c r="A155" s="305">
        <f t="shared" si="3"/>
        <v>150</v>
      </c>
      <c r="B155" s="90" t="s">
        <v>695</v>
      </c>
      <c r="C155" s="305" t="s">
        <v>2</v>
      </c>
      <c r="D155" s="305" t="s">
        <v>262</v>
      </c>
      <c r="E155" s="108"/>
      <c r="F155" s="108"/>
      <c r="G155" s="108"/>
      <c r="H155" s="108"/>
      <c r="I155" s="305" t="s">
        <v>2</v>
      </c>
      <c r="J155" s="116" t="s">
        <v>644</v>
      </c>
      <c r="K155" s="92" t="s">
        <v>696</v>
      </c>
      <c r="L155" s="305" t="s">
        <v>660</v>
      </c>
      <c r="M155" s="369" t="s">
        <v>65</v>
      </c>
      <c r="N155" s="305" t="s">
        <v>127</v>
      </c>
      <c r="O155" s="305" t="s">
        <v>127</v>
      </c>
      <c r="P155" s="305"/>
      <c r="Q155" s="305"/>
      <c r="R155" s="305"/>
      <c r="S155" s="305"/>
      <c r="T155" s="305"/>
      <c r="U155" s="305"/>
      <c r="V155" s="305"/>
      <c r="W155" s="305"/>
      <c r="X155" s="305" t="s">
        <v>350</v>
      </c>
      <c r="Y155" s="305"/>
      <c r="Z155" s="305" t="s">
        <v>127</v>
      </c>
      <c r="AA155" s="305"/>
      <c r="AB155" s="305" t="s">
        <v>697</v>
      </c>
      <c r="AC155" s="92" t="s">
        <v>698</v>
      </c>
      <c r="AD155" s="369" t="s">
        <v>352</v>
      </c>
      <c r="AE155" s="118"/>
      <c r="AF155" s="118"/>
      <c r="AG155" s="118"/>
      <c r="AH155" s="93"/>
      <c r="AI155" s="94">
        <v>0</v>
      </c>
      <c r="AJ155" s="95" t="s">
        <v>264</v>
      </c>
      <c r="AK155" s="369" t="s">
        <v>273</v>
      </c>
      <c r="AL155" s="369" t="s">
        <v>162</v>
      </c>
      <c r="AM155" s="369"/>
      <c r="AN155" s="305"/>
      <c r="AO155" s="305"/>
      <c r="AP155" s="305"/>
      <c r="AQ155" s="291"/>
      <c r="AR155" s="305"/>
      <c r="AS155" s="305"/>
      <c r="AT155" s="96"/>
      <c r="AU155" s="97"/>
      <c r="AV155" s="305"/>
      <c r="AW155" s="305"/>
      <c r="AX155" s="305"/>
      <c r="AY155" s="305"/>
      <c r="AZ155" s="305"/>
      <c r="BA155" s="305"/>
      <c r="BB155" s="125"/>
      <c r="BC155" s="56"/>
      <c r="BD155" s="73"/>
      <c r="BE155" s="73"/>
      <c r="BF155" s="73"/>
      <c r="BG155" s="73"/>
      <c r="BH155" s="64" t="e">
        <f>#REF!</f>
        <v>#REF!</v>
      </c>
      <c r="BI155" s="50"/>
      <c r="BL155" s="73"/>
    </row>
    <row r="156" spans="1:64" s="59" customFormat="1" ht="44.4" customHeight="1" x14ac:dyDescent="0.3">
      <c r="A156" s="305">
        <f t="shared" si="3"/>
        <v>151</v>
      </c>
      <c r="B156" s="90" t="s">
        <v>699</v>
      </c>
      <c r="C156" s="305" t="s">
        <v>2</v>
      </c>
      <c r="D156" s="305" t="s">
        <v>700</v>
      </c>
      <c r="E156" s="91">
        <v>45886</v>
      </c>
      <c r="F156" s="97"/>
      <c r="G156" s="108"/>
      <c r="H156" s="108"/>
      <c r="I156" s="305" t="s">
        <v>2</v>
      </c>
      <c r="J156" s="116" t="s">
        <v>644</v>
      </c>
      <c r="K156" s="92" t="s">
        <v>701</v>
      </c>
      <c r="L156" s="305" t="s">
        <v>660</v>
      </c>
      <c r="M156" s="369"/>
      <c r="N156" s="305" t="s">
        <v>127</v>
      </c>
      <c r="O156" s="305" t="s">
        <v>127</v>
      </c>
      <c r="P156" s="158"/>
      <c r="Q156" s="305"/>
      <c r="R156" s="305"/>
      <c r="S156" s="305"/>
      <c r="T156" s="305"/>
      <c r="U156" s="305" t="s">
        <v>127</v>
      </c>
      <c r="V156" s="305" t="s">
        <v>127</v>
      </c>
      <c r="W156" s="305"/>
      <c r="X156" s="369" t="s">
        <v>702</v>
      </c>
      <c r="Y156" s="305"/>
      <c r="Z156" s="305"/>
      <c r="AA156" s="305"/>
      <c r="AB156" s="305"/>
      <c r="AC156" s="92" t="s">
        <v>703</v>
      </c>
      <c r="AD156" s="369" t="s">
        <v>552</v>
      </c>
      <c r="AE156" s="118"/>
      <c r="AF156" s="118"/>
      <c r="AG156" s="118"/>
      <c r="AH156" s="93">
        <v>45858</v>
      </c>
      <c r="AI156" s="264">
        <v>45839</v>
      </c>
      <c r="AJ156" s="95" t="s">
        <v>131</v>
      </c>
      <c r="AK156" s="369" t="s">
        <v>200</v>
      </c>
      <c r="AL156" s="369" t="s">
        <v>191</v>
      </c>
      <c r="AM156" s="369" t="s">
        <v>134</v>
      </c>
      <c r="AN156" s="305"/>
      <c r="AO156" s="305"/>
      <c r="AP156" s="305"/>
      <c r="AQ156" s="291"/>
      <c r="AR156" s="305"/>
      <c r="AS156" s="305"/>
      <c r="AT156" s="96">
        <v>45853</v>
      </c>
      <c r="AU156" s="97">
        <v>45826</v>
      </c>
      <c r="AV156" s="97">
        <v>45832</v>
      </c>
      <c r="AW156" s="91">
        <v>45701</v>
      </c>
      <c r="AX156" s="305"/>
      <c r="AY156" s="305"/>
      <c r="AZ156" s="305" t="s">
        <v>42</v>
      </c>
      <c r="BA156" s="305"/>
      <c r="BB156" s="100" t="s">
        <v>704</v>
      </c>
      <c r="BC156" s="56"/>
      <c r="BD156" s="73"/>
      <c r="BE156" s="73"/>
      <c r="BF156" s="73"/>
      <c r="BG156" s="73"/>
      <c r="BH156" s="64" t="e">
        <f>#REF!</f>
        <v>#REF!</v>
      </c>
      <c r="BI156" s="50"/>
      <c r="BL156" s="73"/>
    </row>
    <row r="157" spans="1:64" s="59" customFormat="1" ht="44.4" customHeight="1" x14ac:dyDescent="0.3">
      <c r="A157" s="305">
        <f t="shared" si="3"/>
        <v>152</v>
      </c>
      <c r="B157" s="90" t="s">
        <v>705</v>
      </c>
      <c r="C157" s="305" t="s">
        <v>2</v>
      </c>
      <c r="D157" s="305" t="s">
        <v>700</v>
      </c>
      <c r="E157" s="91">
        <v>45886</v>
      </c>
      <c r="F157" s="97"/>
      <c r="G157" s="108"/>
      <c r="H157" s="108"/>
      <c r="I157" s="305" t="s">
        <v>2</v>
      </c>
      <c r="J157" s="116" t="s">
        <v>644</v>
      </c>
      <c r="K157" s="92" t="s">
        <v>701</v>
      </c>
      <c r="L157" s="305" t="s">
        <v>660</v>
      </c>
      <c r="M157" s="369"/>
      <c r="N157" s="305" t="s">
        <v>127</v>
      </c>
      <c r="O157" s="305" t="s">
        <v>127</v>
      </c>
      <c r="P157" s="158"/>
      <c r="Q157" s="305"/>
      <c r="R157" s="305"/>
      <c r="S157" s="305"/>
      <c r="T157" s="305"/>
      <c r="U157" s="305" t="s">
        <v>127</v>
      </c>
      <c r="V157" s="305" t="s">
        <v>127</v>
      </c>
      <c r="W157" s="305"/>
      <c r="X157" s="369" t="s">
        <v>702</v>
      </c>
      <c r="Y157" s="305"/>
      <c r="Z157" s="305"/>
      <c r="AA157" s="305"/>
      <c r="AB157" s="305"/>
      <c r="AC157" s="92" t="s">
        <v>706</v>
      </c>
      <c r="AD157" s="369" t="s">
        <v>555</v>
      </c>
      <c r="AE157" s="118"/>
      <c r="AF157" s="118"/>
      <c r="AG157" s="118"/>
      <c r="AH157" s="93">
        <v>45858</v>
      </c>
      <c r="AI157" s="264">
        <v>45839</v>
      </c>
      <c r="AJ157" s="95" t="s">
        <v>131</v>
      </c>
      <c r="AK157" s="369" t="s">
        <v>200</v>
      </c>
      <c r="AL157" s="369" t="s">
        <v>191</v>
      </c>
      <c r="AM157" s="369" t="s">
        <v>134</v>
      </c>
      <c r="AN157" s="305"/>
      <c r="AO157" s="305"/>
      <c r="AP157" s="305"/>
      <c r="AQ157" s="291"/>
      <c r="AR157" s="305"/>
      <c r="AS157" s="305"/>
      <c r="AT157" s="96">
        <v>45853</v>
      </c>
      <c r="AU157" s="97">
        <v>45826</v>
      </c>
      <c r="AV157" s="97">
        <v>45832</v>
      </c>
      <c r="AW157" s="91">
        <v>45701</v>
      </c>
      <c r="AX157" s="305"/>
      <c r="AY157" s="305"/>
      <c r="AZ157" s="305" t="s">
        <v>42</v>
      </c>
      <c r="BA157" s="305"/>
      <c r="BB157" s="100" t="s">
        <v>704</v>
      </c>
      <c r="BC157" s="56"/>
      <c r="BD157" s="73"/>
      <c r="BE157" s="73"/>
      <c r="BF157" s="73"/>
      <c r="BG157" s="73"/>
      <c r="BH157" s="64" t="e">
        <f>#REF!</f>
        <v>#REF!</v>
      </c>
      <c r="BI157" s="50"/>
      <c r="BL157" s="73"/>
    </row>
    <row r="158" spans="1:64" s="59" customFormat="1" ht="36" customHeight="1" x14ac:dyDescent="0.3">
      <c r="A158" s="305">
        <f t="shared" si="3"/>
        <v>153</v>
      </c>
      <c r="B158" s="90" t="s">
        <v>707</v>
      </c>
      <c r="C158" s="305" t="s">
        <v>2</v>
      </c>
      <c r="D158" s="305" t="s">
        <v>708</v>
      </c>
      <c r="E158" s="96">
        <v>45868</v>
      </c>
      <c r="F158" s="369"/>
      <c r="G158" s="369"/>
      <c r="H158" s="369"/>
      <c r="I158" s="305" t="s">
        <v>2</v>
      </c>
      <c r="J158" s="116" t="s">
        <v>674</v>
      </c>
      <c r="K158" s="92" t="s">
        <v>709</v>
      </c>
      <c r="L158" s="305" t="s">
        <v>660</v>
      </c>
      <c r="M158" s="369"/>
      <c r="N158" s="305" t="s">
        <v>127</v>
      </c>
      <c r="O158" s="305" t="s">
        <v>127</v>
      </c>
      <c r="P158" s="158"/>
      <c r="Q158" s="305"/>
      <c r="R158" s="305"/>
      <c r="S158" s="305"/>
      <c r="T158" s="305"/>
      <c r="U158" s="305" t="s">
        <v>127</v>
      </c>
      <c r="V158" s="305" t="s">
        <v>127</v>
      </c>
      <c r="W158" s="305"/>
      <c r="X158" s="369" t="s">
        <v>702</v>
      </c>
      <c r="Y158" s="305"/>
      <c r="Z158" s="305"/>
      <c r="AA158" s="305"/>
      <c r="AB158" s="305" t="s">
        <v>215</v>
      </c>
      <c r="AC158" s="92" t="s">
        <v>710</v>
      </c>
      <c r="AD158" s="369" t="s">
        <v>552</v>
      </c>
      <c r="AE158" s="118"/>
      <c r="AF158" s="118"/>
      <c r="AG158" s="118"/>
      <c r="AH158" s="93">
        <v>45838</v>
      </c>
      <c r="AI158" s="264">
        <v>45809</v>
      </c>
      <c r="AJ158" s="95" t="s">
        <v>131</v>
      </c>
      <c r="AK158" s="369" t="s">
        <v>200</v>
      </c>
      <c r="AL158" s="369" t="s">
        <v>239</v>
      </c>
      <c r="AM158" s="369" t="s">
        <v>209</v>
      </c>
      <c r="AN158" s="369"/>
      <c r="AO158" s="369"/>
      <c r="AP158" s="305"/>
      <c r="AQ158" s="371"/>
      <c r="AR158" s="369"/>
      <c r="AS158" s="305"/>
      <c r="AT158" s="102">
        <v>45807</v>
      </c>
      <c r="AU158" s="103">
        <v>45782</v>
      </c>
      <c r="AV158" s="128">
        <v>45784</v>
      </c>
      <c r="AW158" s="128">
        <v>45701</v>
      </c>
      <c r="AX158" s="128"/>
      <c r="AY158" s="129"/>
      <c r="AZ158" s="129">
        <v>45808</v>
      </c>
      <c r="BA158" s="129"/>
      <c r="BB158" s="130" t="s">
        <v>711</v>
      </c>
      <c r="BC158" s="75"/>
      <c r="BD158" s="76"/>
      <c r="BE158" s="77"/>
      <c r="BF158" s="51"/>
      <c r="BG158" s="78"/>
      <c r="BH158" s="64" t="e">
        <f>#REF!</f>
        <v>#REF!</v>
      </c>
      <c r="BI158" s="50">
        <v>3484</v>
      </c>
      <c r="BJ158" s="59" t="s">
        <v>57</v>
      </c>
      <c r="BL158" s="73"/>
    </row>
    <row r="159" spans="1:64" s="59" customFormat="1" ht="36" customHeight="1" x14ac:dyDescent="0.3">
      <c r="A159" s="305">
        <f t="shared" si="3"/>
        <v>154</v>
      </c>
      <c r="B159" s="90" t="s">
        <v>712</v>
      </c>
      <c r="C159" s="305" t="s">
        <v>2</v>
      </c>
      <c r="D159" s="305" t="s">
        <v>708</v>
      </c>
      <c r="E159" s="96">
        <v>45868</v>
      </c>
      <c r="F159" s="369"/>
      <c r="G159" s="369"/>
      <c r="H159" s="369"/>
      <c r="I159" s="305" t="s">
        <v>2</v>
      </c>
      <c r="J159" s="116" t="s">
        <v>674</v>
      </c>
      <c r="K159" s="92" t="s">
        <v>709</v>
      </c>
      <c r="L159" s="305" t="s">
        <v>660</v>
      </c>
      <c r="M159" s="369"/>
      <c r="N159" s="305" t="s">
        <v>127</v>
      </c>
      <c r="O159" s="305" t="s">
        <v>127</v>
      </c>
      <c r="P159" s="158"/>
      <c r="Q159" s="305"/>
      <c r="R159" s="305"/>
      <c r="S159" s="305"/>
      <c r="T159" s="305"/>
      <c r="U159" s="305" t="s">
        <v>127</v>
      </c>
      <c r="V159" s="305" t="s">
        <v>127</v>
      </c>
      <c r="W159" s="305"/>
      <c r="X159" s="369" t="s">
        <v>702</v>
      </c>
      <c r="Y159" s="305"/>
      <c r="Z159" s="305"/>
      <c r="AA159" s="305"/>
      <c r="AB159" s="305" t="s">
        <v>215</v>
      </c>
      <c r="AC159" s="92" t="s">
        <v>713</v>
      </c>
      <c r="AD159" s="369" t="s">
        <v>555</v>
      </c>
      <c r="AE159" s="118"/>
      <c r="AF159" s="118"/>
      <c r="AG159" s="118"/>
      <c r="AH159" s="93">
        <v>45838</v>
      </c>
      <c r="AI159" s="264">
        <v>45809</v>
      </c>
      <c r="AJ159" s="95" t="s">
        <v>131</v>
      </c>
      <c r="AK159" s="369" t="s">
        <v>200</v>
      </c>
      <c r="AL159" s="369" t="s">
        <v>239</v>
      </c>
      <c r="AM159" s="369" t="s">
        <v>209</v>
      </c>
      <c r="AN159" s="369"/>
      <c r="AO159" s="369"/>
      <c r="AP159" s="305"/>
      <c r="AQ159" s="371"/>
      <c r="AR159" s="369"/>
      <c r="AS159" s="305"/>
      <c r="AT159" s="102">
        <v>45807</v>
      </c>
      <c r="AU159" s="103">
        <v>45782</v>
      </c>
      <c r="AV159" s="97">
        <v>45784</v>
      </c>
      <c r="AW159" s="97">
        <v>45701</v>
      </c>
      <c r="AX159" s="97"/>
      <c r="AY159" s="98"/>
      <c r="AZ159" s="98">
        <v>45808</v>
      </c>
      <c r="BA159" s="98"/>
      <c r="BB159" s="100" t="s">
        <v>711</v>
      </c>
      <c r="BC159" s="65"/>
      <c r="BD159" s="63"/>
      <c r="BE159" s="71"/>
      <c r="BF159" s="367"/>
      <c r="BG159" s="368"/>
      <c r="BH159" s="64" t="e">
        <f>#REF!</f>
        <v>#REF!</v>
      </c>
      <c r="BI159" s="50">
        <v>3484</v>
      </c>
      <c r="BJ159" s="59" t="s">
        <v>57</v>
      </c>
      <c r="BL159" s="73"/>
    </row>
    <row r="160" spans="1:64" s="59" customFormat="1" ht="36" customHeight="1" x14ac:dyDescent="0.3">
      <c r="A160" s="305">
        <f t="shared" si="3"/>
        <v>155</v>
      </c>
      <c r="B160" s="90" t="s">
        <v>714</v>
      </c>
      <c r="C160" s="305" t="s">
        <v>2</v>
      </c>
      <c r="D160" s="305" t="s">
        <v>715</v>
      </c>
      <c r="E160" s="91">
        <v>45446</v>
      </c>
      <c r="F160" s="97">
        <v>45446</v>
      </c>
      <c r="G160" s="91">
        <v>45455</v>
      </c>
      <c r="H160" s="91"/>
      <c r="I160" s="305" t="s">
        <v>2</v>
      </c>
      <c r="J160" s="116" t="s">
        <v>644</v>
      </c>
      <c r="K160" s="92" t="s">
        <v>716</v>
      </c>
      <c r="L160" s="305" t="s">
        <v>717</v>
      </c>
      <c r="M160" s="369"/>
      <c r="N160" s="305"/>
      <c r="O160" s="369"/>
      <c r="P160" s="309"/>
      <c r="Q160" s="369"/>
      <c r="R160" s="369"/>
      <c r="S160" s="369"/>
      <c r="T160" s="369"/>
      <c r="U160" s="369" t="s">
        <v>127</v>
      </c>
      <c r="V160" s="369" t="s">
        <v>127</v>
      </c>
      <c r="W160" s="369"/>
      <c r="X160" s="305"/>
      <c r="Y160" s="305"/>
      <c r="Z160" s="369"/>
      <c r="AA160" s="369"/>
      <c r="AB160" s="369"/>
      <c r="AC160" s="92" t="s">
        <v>718</v>
      </c>
      <c r="AD160" s="369" t="s">
        <v>361</v>
      </c>
      <c r="AE160" s="118"/>
      <c r="AF160" s="118"/>
      <c r="AG160" s="118"/>
      <c r="AH160" s="93">
        <v>45443</v>
      </c>
      <c r="AI160" s="264">
        <v>45778</v>
      </c>
      <c r="AJ160" s="95" t="s">
        <v>131</v>
      </c>
      <c r="AK160" s="369" t="s">
        <v>366</v>
      </c>
      <c r="AL160" s="369" t="s">
        <v>295</v>
      </c>
      <c r="AM160" s="369" t="s">
        <v>134</v>
      </c>
      <c r="AN160" s="96"/>
      <c r="AO160" s="369"/>
      <c r="AP160" s="305"/>
      <c r="AQ160" s="372"/>
      <c r="AR160" s="369"/>
      <c r="AS160" s="305"/>
      <c r="AT160" s="96"/>
      <c r="AU160" s="97"/>
      <c r="AV160" s="97"/>
      <c r="AW160" s="97"/>
      <c r="AX160" s="97"/>
      <c r="AY160" s="98"/>
      <c r="AZ160" s="98"/>
      <c r="BA160" s="98"/>
      <c r="BB160" s="92"/>
      <c r="BC160" s="47"/>
      <c r="BD160" s="63"/>
      <c r="BE160" s="367"/>
      <c r="BF160" s="367"/>
      <c r="BG160" s="368"/>
      <c r="BH160" s="64" t="e">
        <f>#REF!</f>
        <v>#REF!</v>
      </c>
      <c r="BI160" s="50"/>
      <c r="BL160" s="73"/>
    </row>
    <row r="161" spans="1:64" ht="36" customHeight="1" x14ac:dyDescent="0.3">
      <c r="A161" s="305">
        <f t="shared" si="3"/>
        <v>156</v>
      </c>
      <c r="B161" s="90" t="s">
        <v>719</v>
      </c>
      <c r="C161" s="305" t="s">
        <v>0</v>
      </c>
      <c r="D161" s="305" t="s">
        <v>576</v>
      </c>
      <c r="E161" s="91">
        <v>45471</v>
      </c>
      <c r="F161" s="97">
        <v>45492</v>
      </c>
      <c r="G161" s="305"/>
      <c r="H161" s="305"/>
      <c r="I161" s="305" t="s">
        <v>20</v>
      </c>
      <c r="J161" s="117" t="s">
        <v>577</v>
      </c>
      <c r="K161" s="92" t="s">
        <v>578</v>
      </c>
      <c r="L161" s="305"/>
      <c r="M161" s="369"/>
      <c r="N161" s="305"/>
      <c r="O161" s="305"/>
      <c r="P161" s="158"/>
      <c r="Q161" s="305"/>
      <c r="R161" s="305"/>
      <c r="S161" s="305"/>
      <c r="T161" s="305"/>
      <c r="U161" s="305"/>
      <c r="V161" s="305"/>
      <c r="W161" s="305"/>
      <c r="X161" s="305"/>
      <c r="Y161" s="305"/>
      <c r="Z161" s="305"/>
      <c r="AA161" s="305"/>
      <c r="AB161" s="305"/>
      <c r="AC161" s="92" t="s">
        <v>579</v>
      </c>
      <c r="AD161" s="369" t="s">
        <v>580</v>
      </c>
      <c r="AE161" s="115"/>
      <c r="AF161" s="115"/>
      <c r="AG161" s="115">
        <v>45473</v>
      </c>
      <c r="AH161" s="93">
        <v>45473</v>
      </c>
      <c r="AI161" s="264">
        <v>45809</v>
      </c>
      <c r="AJ161" s="95" t="s">
        <v>131</v>
      </c>
      <c r="AK161" s="369" t="s">
        <v>366</v>
      </c>
      <c r="AL161" s="369" t="s">
        <v>147</v>
      </c>
      <c r="AM161" s="369" t="s">
        <v>134</v>
      </c>
      <c r="AN161" s="369"/>
      <c r="AO161" s="369"/>
      <c r="AP161" s="305"/>
      <c r="AQ161" s="371"/>
      <c r="AR161" s="369"/>
      <c r="AS161" s="305"/>
      <c r="AT161" s="96">
        <v>45442</v>
      </c>
      <c r="AU161" s="103">
        <v>45420</v>
      </c>
      <c r="AV161" s="97">
        <v>45427</v>
      </c>
      <c r="AW161" s="97">
        <v>45420</v>
      </c>
      <c r="AX161" s="97"/>
      <c r="AY161" s="98"/>
      <c r="AZ161" s="98"/>
      <c r="BA161" s="98"/>
      <c r="BB161" s="100"/>
      <c r="BC161" s="65"/>
      <c r="BD161" s="63"/>
      <c r="BE161" s="71"/>
      <c r="BF161" s="367"/>
      <c r="BG161" s="368"/>
      <c r="BH161" s="64" t="e">
        <f>#REF!</f>
        <v>#REF!</v>
      </c>
      <c r="BL161" s="54"/>
    </row>
    <row r="162" spans="1:64" ht="36" customHeight="1" x14ac:dyDescent="0.3">
      <c r="A162" s="305">
        <f t="shared" si="3"/>
        <v>157</v>
      </c>
      <c r="B162" s="90" t="s">
        <v>720</v>
      </c>
      <c r="C162" s="305" t="s">
        <v>0</v>
      </c>
      <c r="D162" s="305" t="s">
        <v>721</v>
      </c>
      <c r="E162" s="91">
        <v>45503</v>
      </c>
      <c r="F162" s="97"/>
      <c r="G162" s="305"/>
      <c r="H162" s="305"/>
      <c r="I162" s="305" t="s">
        <v>20</v>
      </c>
      <c r="J162" s="92" t="s">
        <v>212</v>
      </c>
      <c r="K162" s="92" t="s">
        <v>573</v>
      </c>
      <c r="L162" s="305" t="s">
        <v>42</v>
      </c>
      <c r="M162" s="369"/>
      <c r="N162" s="305"/>
      <c r="O162" s="305"/>
      <c r="P162" s="158"/>
      <c r="Q162" s="305"/>
      <c r="R162" s="305"/>
      <c r="S162" s="305"/>
      <c r="T162" s="305"/>
      <c r="U162" s="305"/>
      <c r="V162" s="305"/>
      <c r="W162" s="305"/>
      <c r="X162" s="305"/>
      <c r="Y162" s="305"/>
      <c r="Z162" s="305"/>
      <c r="AA162" s="305"/>
      <c r="AB162" s="305"/>
      <c r="AC162" s="92" t="s">
        <v>722</v>
      </c>
      <c r="AD162" s="369" t="s">
        <v>723</v>
      </c>
      <c r="AE162" s="118"/>
      <c r="AF162" s="118"/>
      <c r="AG162" s="118"/>
      <c r="AH162" s="93">
        <v>45503</v>
      </c>
      <c r="AI162" s="264">
        <v>45474</v>
      </c>
      <c r="AJ162" s="95" t="s">
        <v>131</v>
      </c>
      <c r="AK162" s="369" t="s">
        <v>265</v>
      </c>
      <c r="AL162" s="369" t="s">
        <v>191</v>
      </c>
      <c r="AM162" s="369" t="s">
        <v>134</v>
      </c>
      <c r="AN162" s="369"/>
      <c r="AO162" s="369"/>
      <c r="AP162" s="305"/>
      <c r="AQ162" s="371"/>
      <c r="AR162" s="369"/>
      <c r="AS162" s="305"/>
      <c r="AT162" s="96">
        <v>45471</v>
      </c>
      <c r="AU162" s="103">
        <v>45449</v>
      </c>
      <c r="AV162" s="97">
        <v>45449</v>
      </c>
      <c r="AW162" s="97">
        <v>45429</v>
      </c>
      <c r="AX162" s="97"/>
      <c r="AY162" s="98"/>
      <c r="AZ162" s="98"/>
      <c r="BA162" s="98"/>
      <c r="BB162" s="100"/>
      <c r="BC162" s="65"/>
      <c r="BD162" s="63"/>
      <c r="BE162" s="71"/>
      <c r="BF162" s="367"/>
      <c r="BG162" s="368"/>
      <c r="BH162" s="64" t="e">
        <f>#REF!</f>
        <v>#REF!</v>
      </c>
      <c r="BL162" s="54"/>
    </row>
    <row r="163" spans="1:64" ht="36" customHeight="1" x14ac:dyDescent="0.3">
      <c r="A163" s="305">
        <f t="shared" si="3"/>
        <v>158</v>
      </c>
      <c r="B163" s="90" t="s">
        <v>724</v>
      </c>
      <c r="C163" s="305" t="s">
        <v>0</v>
      </c>
      <c r="D163" s="305" t="s">
        <v>725</v>
      </c>
      <c r="E163" s="91">
        <v>45533</v>
      </c>
      <c r="F163" s="97">
        <v>45555</v>
      </c>
      <c r="G163" s="91">
        <v>45561</v>
      </c>
      <c r="H163" s="305"/>
      <c r="I163" s="305" t="s">
        <v>20</v>
      </c>
      <c r="J163" s="92" t="s">
        <v>186</v>
      </c>
      <c r="K163" s="92" t="s">
        <v>187</v>
      </c>
      <c r="L163" s="305"/>
      <c r="M163" s="369"/>
      <c r="N163" s="305"/>
      <c r="O163" s="305"/>
      <c r="P163" s="158"/>
      <c r="Q163" s="305"/>
      <c r="R163" s="305"/>
      <c r="S163" s="305"/>
      <c r="T163" s="305"/>
      <c r="U163" s="305"/>
      <c r="V163" s="305"/>
      <c r="W163" s="305"/>
      <c r="X163" s="305" t="s">
        <v>150</v>
      </c>
      <c r="Y163" s="305"/>
      <c r="Z163" s="305"/>
      <c r="AA163" s="305"/>
      <c r="AB163" s="305"/>
      <c r="AC163" s="92" t="s">
        <v>726</v>
      </c>
      <c r="AD163" s="369" t="s">
        <v>189</v>
      </c>
      <c r="AE163" s="115"/>
      <c r="AF163" s="115"/>
      <c r="AG163" s="115">
        <v>45503</v>
      </c>
      <c r="AH163" s="93">
        <v>45524</v>
      </c>
      <c r="AI163" s="264">
        <v>45474</v>
      </c>
      <c r="AJ163" s="95" t="s">
        <v>131</v>
      </c>
      <c r="AK163" s="369" t="s">
        <v>190</v>
      </c>
      <c r="AL163" s="369" t="s">
        <v>191</v>
      </c>
      <c r="AM163" s="369" t="s">
        <v>134</v>
      </c>
      <c r="AN163" s="369"/>
      <c r="AO163" s="369"/>
      <c r="AP163" s="305"/>
      <c r="AQ163" s="371"/>
      <c r="AR163" s="369"/>
      <c r="AS163" s="305"/>
      <c r="AT163" s="96">
        <v>45483</v>
      </c>
      <c r="AU163" s="103">
        <v>45450</v>
      </c>
      <c r="AV163" s="97">
        <v>45460</v>
      </c>
      <c r="AW163" s="97">
        <v>45441</v>
      </c>
      <c r="AX163" s="97"/>
      <c r="AY163" s="98"/>
      <c r="AZ163" s="98"/>
      <c r="BA163" s="98"/>
      <c r="BB163" s="100" t="s">
        <v>727</v>
      </c>
      <c r="BC163" s="65"/>
      <c r="BD163" s="63"/>
      <c r="BE163" s="71"/>
      <c r="BF163" s="367"/>
      <c r="BG163" s="368"/>
      <c r="BH163" s="64" t="e">
        <f>#REF!</f>
        <v>#REF!</v>
      </c>
      <c r="BI163" s="50">
        <v>3484</v>
      </c>
      <c r="BJ163" s="50" t="s">
        <v>57</v>
      </c>
      <c r="BL163" s="54"/>
    </row>
    <row r="164" spans="1:64" s="59" customFormat="1" ht="36" customHeight="1" x14ac:dyDescent="0.3">
      <c r="A164" s="305">
        <f t="shared" si="3"/>
        <v>159</v>
      </c>
      <c r="B164" s="90" t="s">
        <v>728</v>
      </c>
      <c r="C164" s="305" t="s">
        <v>1</v>
      </c>
      <c r="D164" s="305" t="s">
        <v>729</v>
      </c>
      <c r="E164" s="91">
        <v>45532</v>
      </c>
      <c r="F164" s="97">
        <v>45532</v>
      </c>
      <c r="G164" s="305"/>
      <c r="H164" s="305"/>
      <c r="I164" s="305"/>
      <c r="J164" s="117"/>
      <c r="K164" s="92" t="s">
        <v>573</v>
      </c>
      <c r="L164" s="305"/>
      <c r="M164" s="369"/>
      <c r="N164" s="305"/>
      <c r="O164" s="305"/>
      <c r="P164" s="158"/>
      <c r="Q164" s="305"/>
      <c r="R164" s="305"/>
      <c r="S164" s="305"/>
      <c r="T164" s="305"/>
      <c r="U164" s="305"/>
      <c r="V164" s="305"/>
      <c r="W164" s="305"/>
      <c r="X164" s="305"/>
      <c r="Y164" s="305"/>
      <c r="Z164" s="305"/>
      <c r="AA164" s="305"/>
      <c r="AB164" s="305"/>
      <c r="AC164" s="92" t="s">
        <v>730</v>
      </c>
      <c r="AD164" s="369" t="s">
        <v>723</v>
      </c>
      <c r="AE164" s="115"/>
      <c r="AF164" s="115"/>
      <c r="AG164" s="115"/>
      <c r="AH164" s="93">
        <v>45524</v>
      </c>
      <c r="AI164" s="264">
        <v>45474</v>
      </c>
      <c r="AJ164" s="95" t="s">
        <v>131</v>
      </c>
      <c r="AK164" s="369" t="s">
        <v>294</v>
      </c>
      <c r="AL164" s="369" t="s">
        <v>191</v>
      </c>
      <c r="AM164" s="369" t="s">
        <v>134</v>
      </c>
      <c r="AN164" s="369"/>
      <c r="AO164" s="369"/>
      <c r="AP164" s="305"/>
      <c r="AQ164" s="371"/>
      <c r="AR164" s="369"/>
      <c r="AS164" s="305"/>
      <c r="AT164" s="96">
        <v>45485</v>
      </c>
      <c r="AU164" s="103">
        <v>45455</v>
      </c>
      <c r="AV164" s="97">
        <v>45462</v>
      </c>
      <c r="AW164" s="97">
        <v>45454</v>
      </c>
      <c r="AX164" s="97"/>
      <c r="AY164" s="98"/>
      <c r="AZ164" s="98"/>
      <c r="BA164" s="98"/>
      <c r="BB164" s="100"/>
      <c r="BC164" s="65"/>
      <c r="BD164" s="63"/>
      <c r="BE164" s="71"/>
      <c r="BF164" s="367"/>
      <c r="BG164" s="368"/>
      <c r="BH164" s="64" t="e">
        <f>#REF!</f>
        <v>#REF!</v>
      </c>
      <c r="BI164" s="50">
        <v>3484</v>
      </c>
      <c r="BJ164" s="59" t="s">
        <v>57</v>
      </c>
      <c r="BL164" s="73"/>
    </row>
    <row r="165" spans="1:64" s="59" customFormat="1" ht="36" customHeight="1" x14ac:dyDescent="0.3">
      <c r="A165" s="305">
        <f t="shared" si="3"/>
        <v>160</v>
      </c>
      <c r="B165" s="131"/>
      <c r="C165" s="84" t="s">
        <v>11</v>
      </c>
      <c r="D165" s="84" t="s">
        <v>262</v>
      </c>
      <c r="E165" s="84"/>
      <c r="F165" s="84"/>
      <c r="G165" s="84"/>
      <c r="H165" s="84"/>
      <c r="I165" s="84" t="s">
        <v>20</v>
      </c>
      <c r="J165" s="132" t="s">
        <v>731</v>
      </c>
      <c r="K165" s="132" t="s">
        <v>732</v>
      </c>
      <c r="L165" s="84"/>
      <c r="M165" s="85"/>
      <c r="N165" s="84" t="s">
        <v>127</v>
      </c>
      <c r="O165" s="84"/>
      <c r="P165" s="84"/>
      <c r="Q165" s="84"/>
      <c r="R165" s="84"/>
      <c r="S165" s="84"/>
      <c r="T165" s="84" t="s">
        <v>733</v>
      </c>
      <c r="U165" s="84"/>
      <c r="V165" s="84"/>
      <c r="W165" s="84"/>
      <c r="X165" s="84" t="s">
        <v>734</v>
      </c>
      <c r="Y165" s="84"/>
      <c r="Z165" s="84"/>
      <c r="AA165" s="84"/>
      <c r="AB165" s="84"/>
      <c r="AC165" s="132" t="s">
        <v>735</v>
      </c>
      <c r="AD165" s="85" t="s">
        <v>736</v>
      </c>
      <c r="AE165" s="133"/>
      <c r="AF165" s="133"/>
      <c r="AG165" s="133"/>
      <c r="AH165" s="133"/>
      <c r="AI165" s="134">
        <v>0</v>
      </c>
      <c r="AJ165" s="135" t="s">
        <v>264</v>
      </c>
      <c r="AK165" s="369"/>
      <c r="AL165" s="85"/>
      <c r="AM165" s="85"/>
      <c r="AN165" s="305"/>
      <c r="AO165" s="305"/>
      <c r="AP165" s="305"/>
      <c r="AQ165" s="291"/>
      <c r="AR165" s="305"/>
      <c r="AS165" s="305"/>
      <c r="AT165" s="136"/>
      <c r="AU165" s="137"/>
      <c r="AV165" s="137"/>
      <c r="AW165" s="137"/>
      <c r="AX165" s="137"/>
      <c r="AY165" s="138"/>
      <c r="AZ165" s="138"/>
      <c r="BA165" s="138"/>
      <c r="BB165" s="139" t="s">
        <v>737</v>
      </c>
      <c r="BC165" s="79"/>
      <c r="BD165" s="366"/>
      <c r="BE165" s="367"/>
      <c r="BF165" s="367"/>
      <c r="BG165" s="368"/>
      <c r="BH165" s="64" t="e">
        <f>#REF!</f>
        <v>#REF!</v>
      </c>
      <c r="BL165" s="73"/>
    </row>
    <row r="166" spans="1:64" s="59" customFormat="1" ht="36" customHeight="1" x14ac:dyDescent="0.3">
      <c r="A166" s="305">
        <f t="shared" si="3"/>
        <v>161</v>
      </c>
      <c r="B166" s="131"/>
      <c r="C166" s="84" t="s">
        <v>11</v>
      </c>
      <c r="D166" s="84" t="s">
        <v>262</v>
      </c>
      <c r="E166" s="84"/>
      <c r="F166" s="84"/>
      <c r="G166" s="84"/>
      <c r="H166" s="84"/>
      <c r="I166" s="84" t="s">
        <v>20</v>
      </c>
      <c r="J166" s="132" t="s">
        <v>731</v>
      </c>
      <c r="K166" s="132" t="s">
        <v>732</v>
      </c>
      <c r="L166" s="84"/>
      <c r="M166" s="85"/>
      <c r="N166" s="84" t="s">
        <v>127</v>
      </c>
      <c r="O166" s="84"/>
      <c r="P166" s="84"/>
      <c r="Q166" s="84"/>
      <c r="R166" s="84"/>
      <c r="S166" s="84"/>
      <c r="T166" s="84" t="s">
        <v>733</v>
      </c>
      <c r="U166" s="84"/>
      <c r="V166" s="84"/>
      <c r="W166" s="84"/>
      <c r="X166" s="84" t="s">
        <v>734</v>
      </c>
      <c r="Y166" s="84"/>
      <c r="Z166" s="84"/>
      <c r="AA166" s="84"/>
      <c r="AB166" s="84"/>
      <c r="AC166" s="132" t="s">
        <v>738</v>
      </c>
      <c r="AD166" s="85" t="s">
        <v>736</v>
      </c>
      <c r="AE166" s="133"/>
      <c r="AF166" s="133"/>
      <c r="AG166" s="133"/>
      <c r="AH166" s="133"/>
      <c r="AI166" s="134">
        <v>0</v>
      </c>
      <c r="AJ166" s="135" t="s">
        <v>264</v>
      </c>
      <c r="AK166" s="369"/>
      <c r="AL166" s="85"/>
      <c r="AM166" s="85"/>
      <c r="AN166" s="369"/>
      <c r="AO166" s="369"/>
      <c r="AP166" s="305"/>
      <c r="AQ166" s="371"/>
      <c r="AR166" s="369"/>
      <c r="AS166" s="305"/>
      <c r="AT166" s="136"/>
      <c r="AU166" s="137"/>
      <c r="AV166" s="137"/>
      <c r="AW166" s="137"/>
      <c r="AX166" s="137"/>
      <c r="AY166" s="138"/>
      <c r="AZ166" s="138"/>
      <c r="BA166" s="138"/>
      <c r="BB166" s="139" t="s">
        <v>737</v>
      </c>
      <c r="BC166" s="79"/>
      <c r="BD166" s="366"/>
      <c r="BE166" s="367"/>
      <c r="BF166" s="367"/>
      <c r="BG166" s="368"/>
      <c r="BH166" s="64" t="e">
        <f>#REF!</f>
        <v>#REF!</v>
      </c>
      <c r="BL166" s="73"/>
    </row>
    <row r="167" spans="1:64" s="59" customFormat="1" ht="36" customHeight="1" x14ac:dyDescent="0.3">
      <c r="A167" s="305">
        <f t="shared" si="3"/>
        <v>162</v>
      </c>
      <c r="B167" s="131"/>
      <c r="C167" s="84" t="s">
        <v>11</v>
      </c>
      <c r="D167" s="84" t="s">
        <v>262</v>
      </c>
      <c r="E167" s="84"/>
      <c r="F167" s="84"/>
      <c r="G167" s="84"/>
      <c r="H167" s="84"/>
      <c r="I167" s="84" t="s">
        <v>20</v>
      </c>
      <c r="J167" s="132" t="s">
        <v>731</v>
      </c>
      <c r="K167" s="132" t="s">
        <v>732</v>
      </c>
      <c r="L167" s="84"/>
      <c r="M167" s="85"/>
      <c r="N167" s="84" t="s">
        <v>127</v>
      </c>
      <c r="O167" s="84"/>
      <c r="P167" s="84"/>
      <c r="Q167" s="84"/>
      <c r="R167" s="84"/>
      <c r="S167" s="84"/>
      <c r="T167" s="84" t="s">
        <v>733</v>
      </c>
      <c r="U167" s="84"/>
      <c r="V167" s="84"/>
      <c r="W167" s="84"/>
      <c r="X167" s="84" t="s">
        <v>734</v>
      </c>
      <c r="Y167" s="84"/>
      <c r="Z167" s="84"/>
      <c r="AA167" s="84"/>
      <c r="AB167" s="84"/>
      <c r="AC167" s="132" t="s">
        <v>739</v>
      </c>
      <c r="AD167" s="85" t="s">
        <v>736</v>
      </c>
      <c r="AE167" s="133"/>
      <c r="AF167" s="133"/>
      <c r="AG167" s="133"/>
      <c r="AH167" s="133"/>
      <c r="AI167" s="134">
        <v>0</v>
      </c>
      <c r="AJ167" s="135" t="s">
        <v>264</v>
      </c>
      <c r="AK167" s="369"/>
      <c r="AL167" s="85"/>
      <c r="AM167" s="85"/>
      <c r="AN167" s="369"/>
      <c r="AO167" s="369"/>
      <c r="AP167" s="305"/>
      <c r="AQ167" s="371"/>
      <c r="AR167" s="369"/>
      <c r="AS167" s="305"/>
      <c r="AT167" s="136"/>
      <c r="AU167" s="137"/>
      <c r="AV167" s="137"/>
      <c r="AW167" s="137"/>
      <c r="AX167" s="137"/>
      <c r="AY167" s="138"/>
      <c r="AZ167" s="138"/>
      <c r="BA167" s="138"/>
      <c r="BB167" s="139" t="s">
        <v>737</v>
      </c>
      <c r="BC167" s="79"/>
      <c r="BD167" s="366"/>
      <c r="BE167" s="367"/>
      <c r="BF167" s="367"/>
      <c r="BG167" s="368"/>
      <c r="BH167" s="64" t="e">
        <f>#REF!</f>
        <v>#REF!</v>
      </c>
      <c r="BL167" s="73"/>
    </row>
    <row r="168" spans="1:64" s="59" customFormat="1" ht="36" customHeight="1" x14ac:dyDescent="0.3">
      <c r="A168" s="305">
        <f t="shared" si="3"/>
        <v>163</v>
      </c>
      <c r="B168" s="131"/>
      <c r="C168" s="84" t="s">
        <v>11</v>
      </c>
      <c r="D168" s="84" t="s">
        <v>262</v>
      </c>
      <c r="E168" s="84"/>
      <c r="F168" s="84"/>
      <c r="G168" s="84"/>
      <c r="H168" s="84"/>
      <c r="I168" s="84" t="s">
        <v>20</v>
      </c>
      <c r="J168" s="132" t="s">
        <v>731</v>
      </c>
      <c r="K168" s="132" t="s">
        <v>732</v>
      </c>
      <c r="L168" s="84"/>
      <c r="M168" s="85"/>
      <c r="N168" s="84" t="s">
        <v>127</v>
      </c>
      <c r="O168" s="84"/>
      <c r="P168" s="84"/>
      <c r="Q168" s="84"/>
      <c r="R168" s="84"/>
      <c r="S168" s="84"/>
      <c r="T168" s="84" t="s">
        <v>733</v>
      </c>
      <c r="U168" s="84"/>
      <c r="V168" s="84"/>
      <c r="W168" s="84"/>
      <c r="X168" s="84" t="s">
        <v>734</v>
      </c>
      <c r="Y168" s="84"/>
      <c r="Z168" s="84"/>
      <c r="AA168" s="84"/>
      <c r="AB168" s="84"/>
      <c r="AC168" s="132" t="s">
        <v>740</v>
      </c>
      <c r="AD168" s="85" t="s">
        <v>736</v>
      </c>
      <c r="AE168" s="133"/>
      <c r="AF168" s="133"/>
      <c r="AG168" s="133"/>
      <c r="AH168" s="133"/>
      <c r="AI168" s="134">
        <v>0</v>
      </c>
      <c r="AJ168" s="135" t="s">
        <v>264</v>
      </c>
      <c r="AK168" s="369"/>
      <c r="AL168" s="85"/>
      <c r="AM168" s="85"/>
      <c r="AN168" s="305"/>
      <c r="AO168" s="305"/>
      <c r="AP168" s="305"/>
      <c r="AQ168" s="291"/>
      <c r="AR168" s="305"/>
      <c r="AS168" s="305"/>
      <c r="AT168" s="136"/>
      <c r="AU168" s="137"/>
      <c r="AV168" s="137"/>
      <c r="AW168" s="137"/>
      <c r="AX168" s="137"/>
      <c r="AY168" s="138"/>
      <c r="AZ168" s="138"/>
      <c r="BA168" s="138"/>
      <c r="BB168" s="139" t="s">
        <v>737</v>
      </c>
      <c r="BC168" s="79"/>
      <c r="BD168" s="366"/>
      <c r="BE168" s="367"/>
      <c r="BF168" s="367"/>
      <c r="BG168" s="368"/>
      <c r="BH168" s="64" t="e">
        <f>#REF!</f>
        <v>#REF!</v>
      </c>
      <c r="BL168" s="73"/>
    </row>
    <row r="169" spans="1:64" s="59" customFormat="1" ht="36" customHeight="1" x14ac:dyDescent="0.3">
      <c r="A169" s="305">
        <f t="shared" si="3"/>
        <v>164</v>
      </c>
      <c r="B169" s="131"/>
      <c r="C169" s="84" t="s">
        <v>11</v>
      </c>
      <c r="D169" s="84" t="s">
        <v>262</v>
      </c>
      <c r="E169" s="84"/>
      <c r="F169" s="84"/>
      <c r="G169" s="84"/>
      <c r="H169" s="84"/>
      <c r="I169" s="84" t="s">
        <v>20</v>
      </c>
      <c r="J169" s="132" t="s">
        <v>741</v>
      </c>
      <c r="K169" s="132" t="s">
        <v>742</v>
      </c>
      <c r="L169" s="84"/>
      <c r="M169" s="85"/>
      <c r="N169" s="84" t="s">
        <v>127</v>
      </c>
      <c r="O169" s="84"/>
      <c r="P169" s="84"/>
      <c r="Q169" s="84"/>
      <c r="R169" s="84"/>
      <c r="S169" s="84"/>
      <c r="T169" s="84">
        <v>15</v>
      </c>
      <c r="U169" s="84"/>
      <c r="V169" s="84"/>
      <c r="W169" s="84"/>
      <c r="X169" s="84" t="s">
        <v>734</v>
      </c>
      <c r="Y169" s="84" t="s">
        <v>127</v>
      </c>
      <c r="Z169" s="84"/>
      <c r="AA169" s="84"/>
      <c r="AB169" s="84" t="s">
        <v>215</v>
      </c>
      <c r="AC169" s="132" t="s">
        <v>743</v>
      </c>
      <c r="AD169" s="85" t="s">
        <v>736</v>
      </c>
      <c r="AE169" s="133"/>
      <c r="AF169" s="133"/>
      <c r="AG169" s="133"/>
      <c r="AH169" s="133"/>
      <c r="AI169" s="134">
        <v>0</v>
      </c>
      <c r="AJ169" s="135" t="s">
        <v>264</v>
      </c>
      <c r="AK169" s="369"/>
      <c r="AL169" s="85"/>
      <c r="AM169" s="85"/>
      <c r="AN169" s="305"/>
      <c r="AO169" s="305"/>
      <c r="AP169" s="305"/>
      <c r="AQ169" s="291"/>
      <c r="AR169" s="305"/>
      <c r="AS169" s="305"/>
      <c r="AT169" s="136"/>
      <c r="AU169" s="137"/>
      <c r="AV169" s="137"/>
      <c r="AW169" s="137"/>
      <c r="AX169" s="137"/>
      <c r="AY169" s="138"/>
      <c r="AZ169" s="138"/>
      <c r="BA169" s="138"/>
      <c r="BB169" s="139"/>
      <c r="BC169" s="79"/>
      <c r="BD169" s="366"/>
      <c r="BE169" s="367"/>
      <c r="BF169" s="367"/>
      <c r="BG169" s="368"/>
      <c r="BH169" s="64" t="e">
        <f>#REF!</f>
        <v>#REF!</v>
      </c>
      <c r="BL169" s="73"/>
    </row>
    <row r="170" spans="1:64" s="59" customFormat="1" ht="36" customHeight="1" x14ac:dyDescent="0.3">
      <c r="A170" s="305">
        <f t="shared" si="3"/>
        <v>165</v>
      </c>
      <c r="B170" s="131"/>
      <c r="C170" s="84" t="s">
        <v>11</v>
      </c>
      <c r="D170" s="84" t="s">
        <v>262</v>
      </c>
      <c r="E170" s="84"/>
      <c r="F170" s="84"/>
      <c r="G170" s="84"/>
      <c r="H170" s="84"/>
      <c r="I170" s="84" t="s">
        <v>20</v>
      </c>
      <c r="J170" s="131" t="s">
        <v>744</v>
      </c>
      <c r="K170" s="132" t="s">
        <v>745</v>
      </c>
      <c r="L170" s="84"/>
      <c r="M170" s="85"/>
      <c r="N170" s="84" t="s">
        <v>127</v>
      </c>
      <c r="O170" s="84"/>
      <c r="P170" s="84"/>
      <c r="Q170" s="84"/>
      <c r="R170" s="84"/>
      <c r="S170" s="84"/>
      <c r="T170" s="84">
        <v>15</v>
      </c>
      <c r="U170" s="84"/>
      <c r="V170" s="84"/>
      <c r="W170" s="84"/>
      <c r="X170" s="84" t="s">
        <v>734</v>
      </c>
      <c r="Y170" s="84" t="s">
        <v>127</v>
      </c>
      <c r="Z170" s="84"/>
      <c r="AA170" s="84"/>
      <c r="AB170" s="84" t="s">
        <v>215</v>
      </c>
      <c r="AC170" s="132" t="s">
        <v>746</v>
      </c>
      <c r="AD170" s="85" t="s">
        <v>736</v>
      </c>
      <c r="AE170" s="133"/>
      <c r="AF170" s="133"/>
      <c r="AG170" s="133"/>
      <c r="AH170" s="133"/>
      <c r="AI170" s="134">
        <v>0</v>
      </c>
      <c r="AJ170" s="135" t="s">
        <v>264</v>
      </c>
      <c r="AK170" s="369"/>
      <c r="AL170" s="85"/>
      <c r="AM170" s="85"/>
      <c r="AN170" s="369"/>
      <c r="AO170" s="369"/>
      <c r="AP170" s="305"/>
      <c r="AQ170" s="371"/>
      <c r="AR170" s="369"/>
      <c r="AS170" s="305"/>
      <c r="AT170" s="136"/>
      <c r="AU170" s="137"/>
      <c r="AV170" s="137"/>
      <c r="AW170" s="137"/>
      <c r="AX170" s="137"/>
      <c r="AY170" s="138"/>
      <c r="AZ170" s="138"/>
      <c r="BA170" s="138"/>
      <c r="BB170" s="139"/>
      <c r="BC170" s="79"/>
      <c r="BD170" s="366"/>
      <c r="BE170" s="367"/>
      <c r="BF170" s="367"/>
      <c r="BG170" s="368"/>
      <c r="BH170" s="64" t="e">
        <f>#REF!</f>
        <v>#REF!</v>
      </c>
      <c r="BL170" s="73"/>
    </row>
    <row r="171" spans="1:64" s="59" customFormat="1" ht="36" customHeight="1" x14ac:dyDescent="0.3">
      <c r="A171" s="305">
        <f t="shared" si="3"/>
        <v>166</v>
      </c>
      <c r="B171" s="131"/>
      <c r="C171" s="84" t="s">
        <v>11</v>
      </c>
      <c r="D171" s="84" t="s">
        <v>262</v>
      </c>
      <c r="E171" s="84"/>
      <c r="F171" s="84"/>
      <c r="G171" s="84"/>
      <c r="H171" s="84"/>
      <c r="I171" s="84" t="s">
        <v>26</v>
      </c>
      <c r="J171" s="131" t="s">
        <v>744</v>
      </c>
      <c r="K171" s="132" t="s">
        <v>747</v>
      </c>
      <c r="L171" s="84"/>
      <c r="M171" s="85"/>
      <c r="N171" s="84" t="s">
        <v>127</v>
      </c>
      <c r="O171" s="84"/>
      <c r="P171" s="84"/>
      <c r="Q171" s="84"/>
      <c r="R171" s="84"/>
      <c r="S171" s="84"/>
      <c r="T171" s="84"/>
      <c r="U171" s="84"/>
      <c r="V171" s="84"/>
      <c r="W171" s="84"/>
      <c r="X171" s="84" t="s">
        <v>150</v>
      </c>
      <c r="Y171" s="84"/>
      <c r="Z171" s="84"/>
      <c r="AA171" s="84"/>
      <c r="AB171" s="84"/>
      <c r="AC171" s="132" t="s">
        <v>748</v>
      </c>
      <c r="AD171" s="85" t="s">
        <v>736</v>
      </c>
      <c r="AE171" s="133"/>
      <c r="AF171" s="133"/>
      <c r="AG171" s="133"/>
      <c r="AH171" s="133"/>
      <c r="AI171" s="134">
        <v>0</v>
      </c>
      <c r="AJ171" s="135" t="s">
        <v>264</v>
      </c>
      <c r="AK171" s="369"/>
      <c r="AL171" s="85"/>
      <c r="AM171" s="85"/>
      <c r="AN171" s="369"/>
      <c r="AO171" s="369"/>
      <c r="AP171" s="305"/>
      <c r="AQ171" s="371"/>
      <c r="AR171" s="369"/>
      <c r="AS171" s="305"/>
      <c r="AT171" s="136"/>
      <c r="AU171" s="137"/>
      <c r="AV171" s="137"/>
      <c r="AW171" s="137"/>
      <c r="AX171" s="137"/>
      <c r="AY171" s="138"/>
      <c r="AZ171" s="138"/>
      <c r="BA171" s="138"/>
      <c r="BB171" s="139"/>
      <c r="BC171" s="79"/>
      <c r="BD171" s="366"/>
      <c r="BE171" s="367"/>
      <c r="BF171" s="367"/>
      <c r="BG171" s="368"/>
      <c r="BH171" s="64" t="e">
        <f>#REF!</f>
        <v>#REF!</v>
      </c>
      <c r="BL171" s="73"/>
    </row>
    <row r="172" spans="1:64" s="59" customFormat="1" ht="36" customHeight="1" x14ac:dyDescent="0.3">
      <c r="A172" s="305">
        <f t="shared" si="3"/>
        <v>167</v>
      </c>
      <c r="B172" s="131"/>
      <c r="C172" s="84" t="s">
        <v>11</v>
      </c>
      <c r="D172" s="84" t="s">
        <v>262</v>
      </c>
      <c r="E172" s="84"/>
      <c r="F172" s="84"/>
      <c r="G172" s="84"/>
      <c r="H172" s="84"/>
      <c r="I172" s="84" t="s">
        <v>26</v>
      </c>
      <c r="J172" s="131" t="s">
        <v>744</v>
      </c>
      <c r="K172" s="132" t="s">
        <v>747</v>
      </c>
      <c r="L172" s="84"/>
      <c r="M172" s="85"/>
      <c r="N172" s="84" t="s">
        <v>127</v>
      </c>
      <c r="O172" s="84"/>
      <c r="P172" s="84"/>
      <c r="Q172" s="84"/>
      <c r="R172" s="84"/>
      <c r="S172" s="84"/>
      <c r="T172" s="84"/>
      <c r="U172" s="84"/>
      <c r="V172" s="84"/>
      <c r="W172" s="84"/>
      <c r="X172" s="84" t="s">
        <v>150</v>
      </c>
      <c r="Y172" s="84"/>
      <c r="Z172" s="84"/>
      <c r="AA172" s="84"/>
      <c r="AB172" s="84"/>
      <c r="AC172" s="132" t="s">
        <v>749</v>
      </c>
      <c r="AD172" s="85" t="s">
        <v>736</v>
      </c>
      <c r="AE172" s="133"/>
      <c r="AF172" s="133"/>
      <c r="AG172" s="133"/>
      <c r="AH172" s="133"/>
      <c r="AI172" s="134">
        <v>0</v>
      </c>
      <c r="AJ172" s="135" t="s">
        <v>264</v>
      </c>
      <c r="AK172" s="369"/>
      <c r="AL172" s="85"/>
      <c r="AM172" s="85"/>
      <c r="AN172" s="305"/>
      <c r="AO172" s="305"/>
      <c r="AP172" s="305"/>
      <c r="AQ172" s="291"/>
      <c r="AR172" s="305"/>
      <c r="AS172" s="305"/>
      <c r="AT172" s="136"/>
      <c r="AU172" s="137"/>
      <c r="AV172" s="137"/>
      <c r="AW172" s="137"/>
      <c r="AX172" s="137"/>
      <c r="AY172" s="138"/>
      <c r="AZ172" s="138"/>
      <c r="BA172" s="138"/>
      <c r="BB172" s="139"/>
      <c r="BC172" s="79"/>
      <c r="BD172" s="366"/>
      <c r="BE172" s="367"/>
      <c r="BF172" s="367"/>
      <c r="BG172" s="368"/>
      <c r="BH172" s="64" t="e">
        <f>#REF!</f>
        <v>#REF!</v>
      </c>
      <c r="BL172" s="73"/>
    </row>
    <row r="173" spans="1:64" s="59" customFormat="1" ht="36" customHeight="1" x14ac:dyDescent="0.3">
      <c r="A173" s="305">
        <f t="shared" si="3"/>
        <v>168</v>
      </c>
      <c r="B173" s="131"/>
      <c r="C173" s="84" t="s">
        <v>11</v>
      </c>
      <c r="D173" s="84" t="s">
        <v>262</v>
      </c>
      <c r="E173" s="84"/>
      <c r="F173" s="84"/>
      <c r="G173" s="84"/>
      <c r="H173" s="84"/>
      <c r="I173" s="84" t="s">
        <v>26</v>
      </c>
      <c r="J173" s="131" t="s">
        <v>744</v>
      </c>
      <c r="K173" s="132" t="s">
        <v>747</v>
      </c>
      <c r="L173" s="84"/>
      <c r="M173" s="85"/>
      <c r="N173" s="84" t="s">
        <v>127</v>
      </c>
      <c r="O173" s="84"/>
      <c r="P173" s="84"/>
      <c r="Q173" s="84"/>
      <c r="R173" s="84"/>
      <c r="S173" s="84"/>
      <c r="T173" s="84"/>
      <c r="U173" s="84"/>
      <c r="V173" s="84"/>
      <c r="W173" s="84"/>
      <c r="X173" s="84" t="s">
        <v>150</v>
      </c>
      <c r="Y173" s="84"/>
      <c r="Z173" s="84"/>
      <c r="AA173" s="84"/>
      <c r="AB173" s="84"/>
      <c r="AC173" s="132" t="s">
        <v>750</v>
      </c>
      <c r="AD173" s="85" t="s">
        <v>736</v>
      </c>
      <c r="AE173" s="133"/>
      <c r="AF173" s="133"/>
      <c r="AG173" s="133"/>
      <c r="AH173" s="133"/>
      <c r="AI173" s="134">
        <v>0</v>
      </c>
      <c r="AJ173" s="135" t="s">
        <v>264</v>
      </c>
      <c r="AK173" s="369"/>
      <c r="AL173" s="85"/>
      <c r="AM173" s="85"/>
      <c r="AN173" s="305"/>
      <c r="AO173" s="305"/>
      <c r="AP173" s="305"/>
      <c r="AQ173" s="291"/>
      <c r="AR173" s="305"/>
      <c r="AS173" s="305"/>
      <c r="AT173" s="136"/>
      <c r="AU173" s="137"/>
      <c r="AV173" s="137"/>
      <c r="AW173" s="137"/>
      <c r="AX173" s="137"/>
      <c r="AY173" s="138"/>
      <c r="AZ173" s="138"/>
      <c r="BA173" s="138"/>
      <c r="BB173" s="139"/>
      <c r="BC173" s="79"/>
      <c r="BD173" s="366"/>
      <c r="BE173" s="367"/>
      <c r="BF173" s="367"/>
      <c r="BG173" s="368"/>
      <c r="BH173" s="64" t="e">
        <f>#REF!</f>
        <v>#REF!</v>
      </c>
      <c r="BL173" s="73"/>
    </row>
    <row r="174" spans="1:64" s="59" customFormat="1" ht="36" customHeight="1" x14ac:dyDescent="0.3">
      <c r="A174" s="305">
        <f t="shared" si="3"/>
        <v>169</v>
      </c>
      <c r="B174" s="131"/>
      <c r="C174" s="84" t="s">
        <v>11</v>
      </c>
      <c r="D174" s="84" t="s">
        <v>262</v>
      </c>
      <c r="E174" s="84"/>
      <c r="F174" s="84"/>
      <c r="G174" s="84"/>
      <c r="H174" s="84"/>
      <c r="I174" s="84" t="s">
        <v>26</v>
      </c>
      <c r="J174" s="131" t="s">
        <v>751</v>
      </c>
      <c r="K174" s="132" t="s">
        <v>752</v>
      </c>
      <c r="L174" s="84"/>
      <c r="M174" s="85"/>
      <c r="N174" s="84" t="s">
        <v>127</v>
      </c>
      <c r="O174" s="84"/>
      <c r="P174" s="84"/>
      <c r="Q174" s="84"/>
      <c r="R174" s="84"/>
      <c r="S174" s="84"/>
      <c r="T174" s="84"/>
      <c r="U174" s="84"/>
      <c r="V174" s="84"/>
      <c r="W174" s="84"/>
      <c r="X174" s="84" t="s">
        <v>150</v>
      </c>
      <c r="Y174" s="84"/>
      <c r="Z174" s="84"/>
      <c r="AA174" s="84"/>
      <c r="AB174" s="84"/>
      <c r="AC174" s="132" t="s">
        <v>753</v>
      </c>
      <c r="AD174" s="85" t="s">
        <v>736</v>
      </c>
      <c r="AE174" s="133"/>
      <c r="AF174" s="133"/>
      <c r="AG174" s="133"/>
      <c r="AH174" s="133"/>
      <c r="AI174" s="134">
        <v>0</v>
      </c>
      <c r="AJ174" s="135" t="s">
        <v>264</v>
      </c>
      <c r="AK174" s="369"/>
      <c r="AL174" s="85"/>
      <c r="AM174" s="85"/>
      <c r="AN174" s="305"/>
      <c r="AO174" s="305"/>
      <c r="AP174" s="305"/>
      <c r="AQ174" s="291"/>
      <c r="AR174" s="305"/>
      <c r="AS174" s="305"/>
      <c r="AT174" s="136"/>
      <c r="AU174" s="137"/>
      <c r="AV174" s="137"/>
      <c r="AW174" s="137"/>
      <c r="AX174" s="137"/>
      <c r="AY174" s="138"/>
      <c r="AZ174" s="138"/>
      <c r="BA174" s="138"/>
      <c r="BB174" s="139"/>
      <c r="BC174" s="79"/>
      <c r="BD174" s="366"/>
      <c r="BE174" s="367"/>
      <c r="BF174" s="367"/>
      <c r="BG174" s="368"/>
      <c r="BH174" s="64" t="e">
        <f>#REF!</f>
        <v>#REF!</v>
      </c>
      <c r="BL174" s="73"/>
    </row>
    <row r="175" spans="1:64" s="59" customFormat="1" ht="36" customHeight="1" x14ac:dyDescent="0.3">
      <c r="A175" s="305">
        <f t="shared" si="3"/>
        <v>170</v>
      </c>
      <c r="B175" s="131"/>
      <c r="C175" s="84" t="s">
        <v>11</v>
      </c>
      <c r="D175" s="84" t="s">
        <v>262</v>
      </c>
      <c r="E175" s="84"/>
      <c r="F175" s="84"/>
      <c r="G175" s="84"/>
      <c r="H175" s="84"/>
      <c r="I175" s="84" t="s">
        <v>26</v>
      </c>
      <c r="J175" s="131" t="s">
        <v>751</v>
      </c>
      <c r="K175" s="132" t="s">
        <v>752</v>
      </c>
      <c r="L175" s="84"/>
      <c r="M175" s="85"/>
      <c r="N175" s="84" t="s">
        <v>127</v>
      </c>
      <c r="O175" s="84"/>
      <c r="P175" s="84"/>
      <c r="Q175" s="84"/>
      <c r="R175" s="84"/>
      <c r="S175" s="84"/>
      <c r="T175" s="84"/>
      <c r="U175" s="84"/>
      <c r="V175" s="84"/>
      <c r="W175" s="84"/>
      <c r="X175" s="84" t="s">
        <v>150</v>
      </c>
      <c r="Y175" s="84"/>
      <c r="Z175" s="84"/>
      <c r="AA175" s="84"/>
      <c r="AB175" s="84"/>
      <c r="AC175" s="132" t="s">
        <v>754</v>
      </c>
      <c r="AD175" s="85" t="s">
        <v>736</v>
      </c>
      <c r="AE175" s="133"/>
      <c r="AF175" s="133"/>
      <c r="AG175" s="133"/>
      <c r="AH175" s="133"/>
      <c r="AI175" s="134">
        <v>0</v>
      </c>
      <c r="AJ175" s="135" t="s">
        <v>264</v>
      </c>
      <c r="AK175" s="369"/>
      <c r="AL175" s="85"/>
      <c r="AM175" s="85"/>
      <c r="AN175" s="305"/>
      <c r="AO175" s="305"/>
      <c r="AP175" s="305"/>
      <c r="AQ175" s="291"/>
      <c r="AR175" s="305"/>
      <c r="AS175" s="305"/>
      <c r="AT175" s="136"/>
      <c r="AU175" s="137"/>
      <c r="AV175" s="137"/>
      <c r="AW175" s="137"/>
      <c r="AX175" s="137"/>
      <c r="AY175" s="138"/>
      <c r="AZ175" s="138"/>
      <c r="BA175" s="138"/>
      <c r="BB175" s="139"/>
      <c r="BC175" s="79"/>
      <c r="BD175" s="366"/>
      <c r="BE175" s="367"/>
      <c r="BF175" s="367"/>
      <c r="BG175" s="368"/>
      <c r="BH175" s="64" t="e">
        <f>#REF!</f>
        <v>#REF!</v>
      </c>
      <c r="BL175" s="73"/>
    </row>
    <row r="176" spans="1:64" s="59" customFormat="1" ht="36" customHeight="1" x14ac:dyDescent="0.3">
      <c r="A176" s="305">
        <f t="shared" si="3"/>
        <v>171</v>
      </c>
      <c r="B176" s="131"/>
      <c r="C176" s="84" t="s">
        <v>11</v>
      </c>
      <c r="D176" s="84" t="s">
        <v>262</v>
      </c>
      <c r="E176" s="84"/>
      <c r="F176" s="84"/>
      <c r="G176" s="84"/>
      <c r="H176" s="84"/>
      <c r="I176" s="84" t="s">
        <v>26</v>
      </c>
      <c r="J176" s="131" t="s">
        <v>751</v>
      </c>
      <c r="K176" s="132" t="s">
        <v>752</v>
      </c>
      <c r="L176" s="84"/>
      <c r="M176" s="85"/>
      <c r="N176" s="84" t="s">
        <v>127</v>
      </c>
      <c r="O176" s="84"/>
      <c r="P176" s="84"/>
      <c r="Q176" s="84"/>
      <c r="R176" s="84"/>
      <c r="S176" s="84"/>
      <c r="T176" s="84"/>
      <c r="U176" s="84"/>
      <c r="V176" s="84"/>
      <c r="W176" s="84"/>
      <c r="X176" s="84" t="s">
        <v>150</v>
      </c>
      <c r="Y176" s="84"/>
      <c r="Z176" s="84"/>
      <c r="AA176" s="84"/>
      <c r="AB176" s="84"/>
      <c r="AC176" s="132" t="s">
        <v>755</v>
      </c>
      <c r="AD176" s="85" t="s">
        <v>736</v>
      </c>
      <c r="AE176" s="133"/>
      <c r="AF176" s="133"/>
      <c r="AG176" s="133"/>
      <c r="AH176" s="133"/>
      <c r="AI176" s="134">
        <v>0</v>
      </c>
      <c r="AJ176" s="135" t="s">
        <v>264</v>
      </c>
      <c r="AK176" s="369"/>
      <c r="AL176" s="85"/>
      <c r="AM176" s="85"/>
      <c r="AN176" s="305"/>
      <c r="AO176" s="305"/>
      <c r="AP176" s="305"/>
      <c r="AQ176" s="291"/>
      <c r="AR176" s="305"/>
      <c r="AS176" s="305"/>
      <c r="AT176" s="136"/>
      <c r="AU176" s="137"/>
      <c r="AV176" s="137"/>
      <c r="AW176" s="137"/>
      <c r="AX176" s="137"/>
      <c r="AY176" s="138"/>
      <c r="AZ176" s="138"/>
      <c r="BA176" s="138"/>
      <c r="BB176" s="139"/>
      <c r="BC176" s="79"/>
      <c r="BD176" s="366"/>
      <c r="BE176" s="367"/>
      <c r="BF176" s="367"/>
      <c r="BG176" s="368"/>
      <c r="BH176" s="64" t="e">
        <f>#REF!</f>
        <v>#REF!</v>
      </c>
      <c r="BL176" s="73"/>
    </row>
    <row r="177" spans="1:64" ht="36" customHeight="1" x14ac:dyDescent="0.3">
      <c r="A177" s="305">
        <f t="shared" si="3"/>
        <v>172</v>
      </c>
      <c r="B177" s="90" t="s">
        <v>756</v>
      </c>
      <c r="C177" s="119" t="s">
        <v>0</v>
      </c>
      <c r="D177" s="305" t="s">
        <v>633</v>
      </c>
      <c r="E177" s="91">
        <v>45496</v>
      </c>
      <c r="F177" s="97"/>
      <c r="G177" s="305"/>
      <c r="H177" s="305"/>
      <c r="I177" s="305" t="s">
        <v>20</v>
      </c>
      <c r="J177" s="90"/>
      <c r="K177" s="92"/>
      <c r="L177" s="305"/>
      <c r="M177" s="369"/>
      <c r="N177" s="305"/>
      <c r="O177" s="305"/>
      <c r="P177" s="158"/>
      <c r="Q177" s="305"/>
      <c r="R177" s="305"/>
      <c r="S177" s="305"/>
      <c r="T177" s="305"/>
      <c r="U177" s="305"/>
      <c r="V177" s="305"/>
      <c r="W177" s="305"/>
      <c r="X177" s="305"/>
      <c r="Y177" s="305"/>
      <c r="Z177" s="305"/>
      <c r="AA177" s="305"/>
      <c r="AB177" s="305"/>
      <c r="AC177" s="92" t="s">
        <v>757</v>
      </c>
      <c r="AD177" s="369" t="s">
        <v>169</v>
      </c>
      <c r="AE177" s="118"/>
      <c r="AF177" s="118"/>
      <c r="AG177" s="118"/>
      <c r="AH177" s="118">
        <v>45503</v>
      </c>
      <c r="AI177" s="264">
        <v>45474</v>
      </c>
      <c r="AJ177" s="95" t="s">
        <v>131</v>
      </c>
      <c r="AK177" s="369" t="s">
        <v>166</v>
      </c>
      <c r="AL177" s="85"/>
      <c r="AM177" s="369" t="s">
        <v>134</v>
      </c>
      <c r="AN177" s="305"/>
      <c r="AO177" s="305"/>
      <c r="AP177" s="305"/>
      <c r="AQ177" s="291"/>
      <c r="AR177" s="305"/>
      <c r="AS177" s="305"/>
      <c r="AT177" s="102">
        <v>45485</v>
      </c>
      <c r="AU177" s="97">
        <v>45477</v>
      </c>
      <c r="AV177" s="97">
        <v>45477</v>
      </c>
      <c r="AW177" s="97"/>
      <c r="AX177" s="97"/>
      <c r="AY177" s="98"/>
      <c r="AZ177" s="98"/>
      <c r="BA177" s="98"/>
      <c r="BB177" s="100"/>
      <c r="BC177" s="65"/>
      <c r="BD177" s="366"/>
      <c r="BE177" s="367"/>
      <c r="BF177" s="367"/>
      <c r="BG177" s="368"/>
      <c r="BH177" s="64" t="e">
        <f>#REF!</f>
        <v>#REF!</v>
      </c>
      <c r="BL177" s="54"/>
    </row>
    <row r="178" spans="1:64" ht="36" customHeight="1" x14ac:dyDescent="0.3">
      <c r="A178" s="249">
        <f t="shared" si="3"/>
        <v>173</v>
      </c>
      <c r="B178" s="90" t="s">
        <v>758</v>
      </c>
      <c r="C178" s="119" t="s">
        <v>0</v>
      </c>
      <c r="D178" s="305" t="s">
        <v>759</v>
      </c>
      <c r="E178" s="91">
        <v>45701</v>
      </c>
      <c r="F178" s="97"/>
      <c r="G178" s="305"/>
      <c r="H178" s="305"/>
      <c r="I178" s="305" t="s">
        <v>26</v>
      </c>
      <c r="J178" s="90" t="s">
        <v>369</v>
      </c>
      <c r="K178" s="92" t="s">
        <v>760</v>
      </c>
      <c r="L178" s="305">
        <v>1110</v>
      </c>
      <c r="M178" s="369" t="s">
        <v>65</v>
      </c>
      <c r="N178" s="110"/>
      <c r="O178" s="305" t="s">
        <v>127</v>
      </c>
      <c r="P178" s="158"/>
      <c r="Q178" s="305"/>
      <c r="R178" s="305"/>
      <c r="S178" s="305"/>
      <c r="T178" s="305">
        <v>6.7</v>
      </c>
      <c r="U178" s="305"/>
      <c r="V178" s="305"/>
      <c r="W178" s="305"/>
      <c r="X178" s="305" t="s">
        <v>150</v>
      </c>
      <c r="Y178" s="305" t="s">
        <v>127</v>
      </c>
      <c r="Z178" s="110"/>
      <c r="AA178" s="305" t="s">
        <v>299</v>
      </c>
      <c r="AB178" s="305" t="s">
        <v>215</v>
      </c>
      <c r="AC178" s="92" t="s">
        <v>761</v>
      </c>
      <c r="AD178" s="369" t="s">
        <v>284</v>
      </c>
      <c r="AE178" s="118"/>
      <c r="AF178" s="118"/>
      <c r="AG178" s="118">
        <v>45677</v>
      </c>
      <c r="AH178" s="118">
        <v>45701</v>
      </c>
      <c r="AI178" s="264">
        <v>45597</v>
      </c>
      <c r="AJ178" s="95" t="s">
        <v>131</v>
      </c>
      <c r="AK178" s="369" t="s">
        <v>200</v>
      </c>
      <c r="AL178" s="85" t="s">
        <v>154</v>
      </c>
      <c r="AM178" s="369" t="s">
        <v>134</v>
      </c>
      <c r="AN178" s="305"/>
      <c r="AO178" s="305"/>
      <c r="AP178" s="305"/>
      <c r="AQ178" s="291"/>
      <c r="AR178" s="305"/>
      <c r="AS178" s="305"/>
      <c r="AT178" s="102">
        <v>45606</v>
      </c>
      <c r="AU178" s="97">
        <v>45572</v>
      </c>
      <c r="AV178" s="97">
        <v>45572</v>
      </c>
      <c r="AW178" s="97">
        <v>45576</v>
      </c>
      <c r="AX178" s="97"/>
      <c r="AY178" s="98"/>
      <c r="AZ178" s="98"/>
      <c r="BA178" s="98"/>
      <c r="BB178" s="100" t="s">
        <v>762</v>
      </c>
      <c r="BC178" s="65" t="s">
        <v>476</v>
      </c>
      <c r="BD178" s="366"/>
      <c r="BE178" s="367"/>
      <c r="BF178" s="367"/>
      <c r="BG178" s="368"/>
      <c r="BH178" s="64" t="e">
        <f>#REF!</f>
        <v>#REF!</v>
      </c>
      <c r="BL178" s="54"/>
    </row>
    <row r="179" spans="1:64" ht="36" customHeight="1" x14ac:dyDescent="0.3">
      <c r="A179" s="249">
        <f t="shared" si="3"/>
        <v>174</v>
      </c>
      <c r="B179" s="90" t="s">
        <v>763</v>
      </c>
      <c r="C179" s="119" t="s">
        <v>0</v>
      </c>
      <c r="D179" s="305" t="s">
        <v>262</v>
      </c>
      <c r="E179" s="91">
        <v>45770</v>
      </c>
      <c r="F179" s="97">
        <v>1</v>
      </c>
      <c r="G179" s="305"/>
      <c r="H179" s="305"/>
      <c r="I179" s="305" t="s">
        <v>26</v>
      </c>
      <c r="J179" s="90" t="s">
        <v>369</v>
      </c>
      <c r="K179" s="92" t="s">
        <v>760</v>
      </c>
      <c r="L179" s="305">
        <v>1000</v>
      </c>
      <c r="M179" s="369" t="s">
        <v>65</v>
      </c>
      <c r="N179" s="110"/>
      <c r="O179" s="305" t="s">
        <v>127</v>
      </c>
      <c r="P179" s="305"/>
      <c r="Q179" s="305"/>
      <c r="R179" s="305"/>
      <c r="S179" s="305"/>
      <c r="T179" s="305">
        <v>6.7</v>
      </c>
      <c r="U179" s="305"/>
      <c r="V179" s="305"/>
      <c r="W179" s="305"/>
      <c r="X179" s="305" t="s">
        <v>150</v>
      </c>
      <c r="Y179" s="305" t="s">
        <v>127</v>
      </c>
      <c r="Z179" s="110"/>
      <c r="AA179" s="305"/>
      <c r="AB179" s="305" t="s">
        <v>215</v>
      </c>
      <c r="AC179" s="92" t="s">
        <v>764</v>
      </c>
      <c r="AD179" s="369" t="s">
        <v>152</v>
      </c>
      <c r="AE179" s="118"/>
      <c r="AF179" s="118"/>
      <c r="AG179" s="118">
        <v>45677</v>
      </c>
      <c r="AH179" s="118">
        <v>45701</v>
      </c>
      <c r="AI179" s="264">
        <v>45597</v>
      </c>
      <c r="AJ179" s="95" t="s">
        <v>264</v>
      </c>
      <c r="AK179" s="369" t="s">
        <v>200</v>
      </c>
      <c r="AL179" s="369" t="s">
        <v>154</v>
      </c>
      <c r="AM179" s="369" t="s">
        <v>134</v>
      </c>
      <c r="AN179" s="305"/>
      <c r="AO179" s="305"/>
      <c r="AP179" s="305"/>
      <c r="AQ179" s="291"/>
      <c r="AR179" s="305"/>
      <c r="AS179" s="305"/>
      <c r="AT179" s="102">
        <v>45585</v>
      </c>
      <c r="AU179" s="97">
        <v>45562</v>
      </c>
      <c r="AV179" s="97">
        <v>45562</v>
      </c>
      <c r="AW179" s="97">
        <v>45565</v>
      </c>
      <c r="AX179" s="97"/>
      <c r="AY179" s="98"/>
      <c r="AZ179" s="98"/>
      <c r="BA179" s="98"/>
      <c r="BB179" s="100" t="s">
        <v>385</v>
      </c>
      <c r="BC179" s="65" t="s">
        <v>481</v>
      </c>
      <c r="BD179" s="366"/>
      <c r="BE179" s="367"/>
      <c r="BF179" s="367"/>
      <c r="BG179" s="368"/>
      <c r="BH179" s="64" t="e">
        <f>#REF!</f>
        <v>#REF!</v>
      </c>
      <c r="BL179" s="54"/>
    </row>
    <row r="180" spans="1:64" s="59" customFormat="1" ht="36" customHeight="1" x14ac:dyDescent="0.3">
      <c r="A180" s="305">
        <f t="shared" si="3"/>
        <v>175</v>
      </c>
      <c r="B180" s="90" t="s">
        <v>765</v>
      </c>
      <c r="C180" s="119" t="s">
        <v>10</v>
      </c>
      <c r="D180" s="305" t="s">
        <v>766</v>
      </c>
      <c r="E180" s="91">
        <v>45793</v>
      </c>
      <c r="F180" s="97">
        <v>45796</v>
      </c>
      <c r="G180" s="305"/>
      <c r="H180" s="305"/>
      <c r="I180" s="305" t="s">
        <v>10</v>
      </c>
      <c r="J180" s="90"/>
      <c r="K180" s="92" t="s">
        <v>767</v>
      </c>
      <c r="L180" s="305"/>
      <c r="M180" s="369"/>
      <c r="N180" s="305"/>
      <c r="O180" s="305"/>
      <c r="P180" s="158"/>
      <c r="Q180" s="305"/>
      <c r="R180" s="305"/>
      <c r="S180" s="305"/>
      <c r="T180" s="305"/>
      <c r="U180" s="305"/>
      <c r="V180" s="305"/>
      <c r="W180" s="305"/>
      <c r="X180" s="305"/>
      <c r="Y180" s="305"/>
      <c r="Z180" s="305"/>
      <c r="AA180" s="305"/>
      <c r="AB180" s="305"/>
      <c r="AC180" s="92" t="s">
        <v>768</v>
      </c>
      <c r="AD180" s="369" t="s">
        <v>361</v>
      </c>
      <c r="AE180" s="118"/>
      <c r="AF180" s="118"/>
      <c r="AG180" s="118"/>
      <c r="AH180" s="118">
        <v>45777</v>
      </c>
      <c r="AI180" s="264">
        <v>45717</v>
      </c>
      <c r="AJ180" s="95" t="s">
        <v>131</v>
      </c>
      <c r="AK180" s="369" t="s">
        <v>161</v>
      </c>
      <c r="AL180" s="369" t="s">
        <v>295</v>
      </c>
      <c r="AM180" s="369" t="s">
        <v>134</v>
      </c>
      <c r="AN180" s="305"/>
      <c r="AO180" s="305"/>
      <c r="AP180" s="305"/>
      <c r="AQ180" s="291"/>
      <c r="AR180" s="305"/>
      <c r="AS180" s="305"/>
      <c r="AT180" s="102">
        <v>45641</v>
      </c>
      <c r="AU180" s="97">
        <v>45590</v>
      </c>
      <c r="AV180" s="97">
        <v>45590</v>
      </c>
      <c r="AW180" s="97">
        <v>45594</v>
      </c>
      <c r="AX180" s="97"/>
      <c r="AY180" s="98"/>
      <c r="AZ180" s="98"/>
      <c r="BA180" s="98"/>
      <c r="BB180" s="100"/>
      <c r="BC180" s="65"/>
      <c r="BD180" s="366"/>
      <c r="BE180" s="367"/>
      <c r="BF180" s="367"/>
      <c r="BG180" s="368"/>
      <c r="BH180" s="64" t="e">
        <f>#REF!</f>
        <v>#REF!</v>
      </c>
      <c r="BL180" s="73"/>
    </row>
    <row r="181" spans="1:64" s="59" customFormat="1" ht="36" customHeight="1" x14ac:dyDescent="0.3">
      <c r="A181" s="305">
        <f t="shared" si="3"/>
        <v>176</v>
      </c>
      <c r="B181" s="90" t="s">
        <v>769</v>
      </c>
      <c r="C181" s="119" t="s">
        <v>10</v>
      </c>
      <c r="D181" s="305" t="s">
        <v>770</v>
      </c>
      <c r="E181" s="91">
        <v>45793</v>
      </c>
      <c r="F181" s="97"/>
      <c r="G181" s="305"/>
      <c r="H181" s="305"/>
      <c r="I181" s="305" t="s">
        <v>10</v>
      </c>
      <c r="J181" s="90"/>
      <c r="K181" s="92" t="s">
        <v>771</v>
      </c>
      <c r="L181" s="305"/>
      <c r="M181" s="369"/>
      <c r="N181" s="305"/>
      <c r="O181" s="305"/>
      <c r="P181" s="158"/>
      <c r="Q181" s="305"/>
      <c r="R181" s="305"/>
      <c r="S181" s="305"/>
      <c r="T181" s="305"/>
      <c r="U181" s="305"/>
      <c r="V181" s="305"/>
      <c r="W181" s="305"/>
      <c r="X181" s="305"/>
      <c r="Y181" s="305"/>
      <c r="Z181" s="305"/>
      <c r="AA181" s="305"/>
      <c r="AB181" s="305"/>
      <c r="AC181" s="92" t="s">
        <v>772</v>
      </c>
      <c r="AD181" s="369" t="s">
        <v>361</v>
      </c>
      <c r="AE181" s="118"/>
      <c r="AF181" s="118"/>
      <c r="AG181" s="118"/>
      <c r="AH181" s="118">
        <v>45777</v>
      </c>
      <c r="AI181" s="264">
        <v>45717</v>
      </c>
      <c r="AJ181" s="95" t="s">
        <v>131</v>
      </c>
      <c r="AK181" s="369" t="s">
        <v>161</v>
      </c>
      <c r="AL181" s="369" t="s">
        <v>295</v>
      </c>
      <c r="AM181" s="369" t="s">
        <v>134</v>
      </c>
      <c r="AN181" s="305"/>
      <c r="AO181" s="305"/>
      <c r="AP181" s="305"/>
      <c r="AQ181" s="291"/>
      <c r="AR181" s="305"/>
      <c r="AS181" s="305"/>
      <c r="AT181" s="97">
        <v>45641</v>
      </c>
      <c r="AU181" s="97">
        <v>45621</v>
      </c>
      <c r="AV181" s="97">
        <v>45621</v>
      </c>
      <c r="AW181" s="97">
        <v>45581</v>
      </c>
      <c r="AX181" s="98"/>
      <c r="AY181" s="305"/>
      <c r="AZ181" s="305"/>
      <c r="BA181" s="305"/>
      <c r="BB181" s="100"/>
      <c r="BC181" s="65"/>
      <c r="BD181" s="366"/>
      <c r="BE181" s="367"/>
      <c r="BF181" s="367"/>
      <c r="BG181" s="368"/>
      <c r="BH181" s="64" t="e">
        <f>#REF!</f>
        <v>#REF!</v>
      </c>
      <c r="BL181" s="73"/>
    </row>
    <row r="182" spans="1:64" s="59" customFormat="1" ht="36" customHeight="1" x14ac:dyDescent="0.3">
      <c r="A182" s="305">
        <f t="shared" si="3"/>
        <v>177</v>
      </c>
      <c r="B182" s="90"/>
      <c r="C182" s="119" t="s">
        <v>3</v>
      </c>
      <c r="D182" s="305" t="s">
        <v>262</v>
      </c>
      <c r="E182" s="305"/>
      <c r="F182" s="97"/>
      <c r="G182" s="305"/>
      <c r="H182" s="305"/>
      <c r="I182" s="305" t="s">
        <v>3</v>
      </c>
      <c r="J182" s="90"/>
      <c r="K182" s="92" t="s">
        <v>773</v>
      </c>
      <c r="L182" s="305"/>
      <c r="M182" s="369"/>
      <c r="N182" s="305"/>
      <c r="O182" s="305"/>
      <c r="P182" s="305"/>
      <c r="Q182" s="305"/>
      <c r="R182" s="305"/>
      <c r="S182" s="305"/>
      <c r="T182" s="305"/>
      <c r="U182" s="305"/>
      <c r="V182" s="305"/>
      <c r="W182" s="305"/>
      <c r="X182" s="305"/>
      <c r="Y182" s="305"/>
      <c r="Z182" s="305"/>
      <c r="AA182" s="305"/>
      <c r="AB182" s="305"/>
      <c r="AC182" s="92" t="s">
        <v>774</v>
      </c>
      <c r="AD182" s="369" t="s">
        <v>625</v>
      </c>
      <c r="AE182" s="118"/>
      <c r="AF182" s="118"/>
      <c r="AG182" s="118"/>
      <c r="AH182" s="118"/>
      <c r="AI182" s="94">
        <v>0</v>
      </c>
      <c r="AJ182" s="95" t="s">
        <v>264</v>
      </c>
      <c r="AK182" s="369" t="s">
        <v>190</v>
      </c>
      <c r="AL182" s="369" t="s">
        <v>162</v>
      </c>
      <c r="AM182" s="369"/>
      <c r="AN182" s="305"/>
      <c r="AO182" s="305"/>
      <c r="AP182" s="305"/>
      <c r="AQ182" s="291"/>
      <c r="AR182" s="305"/>
      <c r="AS182" s="305"/>
      <c r="AT182" s="97"/>
      <c r="AU182" s="97"/>
      <c r="AV182" s="97"/>
      <c r="AW182" s="97"/>
      <c r="AX182" s="98"/>
      <c r="AY182" s="305"/>
      <c r="AZ182" s="305"/>
      <c r="BA182" s="305"/>
      <c r="BB182" s="100"/>
      <c r="BC182" s="65"/>
      <c r="BD182" s="366"/>
      <c r="BE182" s="367"/>
      <c r="BF182" s="367"/>
      <c r="BG182" s="368"/>
      <c r="BH182" s="64" t="e">
        <f>#REF!</f>
        <v>#REF!</v>
      </c>
      <c r="BL182" s="73"/>
    </row>
    <row r="183" spans="1:64" s="59" customFormat="1" ht="36" customHeight="1" x14ac:dyDescent="0.3">
      <c r="A183" s="305">
        <f t="shared" si="3"/>
        <v>178</v>
      </c>
      <c r="B183" s="90"/>
      <c r="C183" s="119" t="s">
        <v>3</v>
      </c>
      <c r="D183" s="305" t="s">
        <v>262</v>
      </c>
      <c r="E183" s="305"/>
      <c r="F183" s="97"/>
      <c r="G183" s="305"/>
      <c r="H183" s="305"/>
      <c r="I183" s="305" t="s">
        <v>3</v>
      </c>
      <c r="J183" s="90"/>
      <c r="K183" s="92" t="s">
        <v>773</v>
      </c>
      <c r="L183" s="305"/>
      <c r="M183" s="369"/>
      <c r="N183" s="305"/>
      <c r="O183" s="305"/>
      <c r="P183" s="305"/>
      <c r="Q183" s="305"/>
      <c r="R183" s="305"/>
      <c r="S183" s="305"/>
      <c r="T183" s="305"/>
      <c r="U183" s="305"/>
      <c r="V183" s="305"/>
      <c r="W183" s="305"/>
      <c r="X183" s="305"/>
      <c r="Y183" s="305"/>
      <c r="Z183" s="305"/>
      <c r="AA183" s="305"/>
      <c r="AB183" s="305"/>
      <c r="AC183" s="92" t="s">
        <v>775</v>
      </c>
      <c r="AD183" s="369" t="s">
        <v>272</v>
      </c>
      <c r="AE183" s="118"/>
      <c r="AF183" s="118"/>
      <c r="AG183" s="118"/>
      <c r="AH183" s="118"/>
      <c r="AI183" s="94">
        <v>0</v>
      </c>
      <c r="AJ183" s="95" t="s">
        <v>264</v>
      </c>
      <c r="AK183" s="369" t="s">
        <v>190</v>
      </c>
      <c r="AL183" s="369" t="s">
        <v>162</v>
      </c>
      <c r="AM183" s="369"/>
      <c r="AN183" s="305"/>
      <c r="AO183" s="305"/>
      <c r="AP183" s="305"/>
      <c r="AQ183" s="291"/>
      <c r="AR183" s="305"/>
      <c r="AS183" s="305"/>
      <c r="AT183" s="97"/>
      <c r="AU183" s="97"/>
      <c r="AV183" s="97"/>
      <c r="AW183" s="97"/>
      <c r="AX183" s="98"/>
      <c r="AY183" s="305"/>
      <c r="AZ183" s="305"/>
      <c r="BA183" s="305"/>
      <c r="BB183" s="100"/>
      <c r="BC183" s="65"/>
      <c r="BD183" s="366"/>
      <c r="BE183" s="367"/>
      <c r="BF183" s="367"/>
      <c r="BG183" s="368"/>
      <c r="BH183" s="64" t="e">
        <f>#REF!</f>
        <v>#REF!</v>
      </c>
      <c r="BL183" s="73"/>
    </row>
    <row r="184" spans="1:64" s="59" customFormat="1" ht="36" customHeight="1" x14ac:dyDescent="0.3">
      <c r="A184" s="305">
        <f t="shared" si="3"/>
        <v>179</v>
      </c>
      <c r="B184" s="90" t="s">
        <v>776</v>
      </c>
      <c r="C184" s="119" t="s">
        <v>10</v>
      </c>
      <c r="D184" s="305" t="s">
        <v>262</v>
      </c>
      <c r="E184" s="305"/>
      <c r="F184" s="97"/>
      <c r="G184" s="305"/>
      <c r="H184" s="305"/>
      <c r="I184" s="305" t="s">
        <v>10</v>
      </c>
      <c r="J184" s="90"/>
      <c r="K184" s="92"/>
      <c r="L184" s="305"/>
      <c r="M184" s="369"/>
      <c r="N184" s="305"/>
      <c r="O184" s="305"/>
      <c r="P184" s="158"/>
      <c r="Q184" s="305"/>
      <c r="R184" s="305"/>
      <c r="S184" s="305"/>
      <c r="T184" s="305"/>
      <c r="U184" s="305"/>
      <c r="V184" s="305"/>
      <c r="W184" s="305"/>
      <c r="X184" s="305"/>
      <c r="Y184" s="305"/>
      <c r="Z184" s="305"/>
      <c r="AA184" s="305"/>
      <c r="AB184" s="305"/>
      <c r="AC184" s="92" t="s">
        <v>777</v>
      </c>
      <c r="AD184" s="369" t="s">
        <v>511</v>
      </c>
      <c r="AE184" s="118"/>
      <c r="AF184" s="118"/>
      <c r="AG184" s="118"/>
      <c r="AH184" s="118"/>
      <c r="AI184" s="264">
        <v>0</v>
      </c>
      <c r="AJ184" s="95" t="s">
        <v>264</v>
      </c>
      <c r="AK184" s="369" t="s">
        <v>190</v>
      </c>
      <c r="AL184" s="369" t="s">
        <v>778</v>
      </c>
      <c r="AM184" s="369"/>
      <c r="AN184" s="305"/>
      <c r="AO184" s="305"/>
      <c r="AP184" s="305"/>
      <c r="AQ184" s="291"/>
      <c r="AR184" s="305"/>
      <c r="AS184" s="305"/>
      <c r="AT184" s="97"/>
      <c r="AU184" s="97"/>
      <c r="AV184" s="97"/>
      <c r="AW184" s="97"/>
      <c r="AX184" s="98"/>
      <c r="AY184" s="305"/>
      <c r="AZ184" s="305"/>
      <c r="BA184" s="305"/>
      <c r="BB184" s="100"/>
      <c r="BC184" s="65"/>
      <c r="BD184" s="366"/>
      <c r="BE184" s="367"/>
      <c r="BF184" s="367"/>
      <c r="BG184" s="368"/>
      <c r="BH184" s="64" t="e">
        <f>#REF!</f>
        <v>#REF!</v>
      </c>
      <c r="BL184" s="73"/>
    </row>
    <row r="185" spans="1:64" s="59" customFormat="1" ht="36" customHeight="1" x14ac:dyDescent="0.3">
      <c r="A185" s="305">
        <f t="shared" si="3"/>
        <v>180</v>
      </c>
      <c r="B185" s="90" t="s">
        <v>779</v>
      </c>
      <c r="C185" s="119" t="s">
        <v>10</v>
      </c>
      <c r="D185" s="305" t="s">
        <v>262</v>
      </c>
      <c r="E185" s="91"/>
      <c r="F185" s="97"/>
      <c r="G185" s="305"/>
      <c r="H185" s="305"/>
      <c r="I185" s="305" t="s">
        <v>10</v>
      </c>
      <c r="J185" s="90"/>
      <c r="K185" s="92"/>
      <c r="L185" s="305"/>
      <c r="M185" s="369"/>
      <c r="N185" s="305"/>
      <c r="O185" s="305"/>
      <c r="P185" s="158"/>
      <c r="Q185" s="305"/>
      <c r="R185" s="305"/>
      <c r="S185" s="305"/>
      <c r="T185" s="305"/>
      <c r="U185" s="305"/>
      <c r="V185" s="305"/>
      <c r="W185" s="305"/>
      <c r="X185" s="305"/>
      <c r="Y185" s="305"/>
      <c r="Z185" s="305"/>
      <c r="AA185" s="305"/>
      <c r="AB185" s="305"/>
      <c r="AC185" s="92" t="s">
        <v>780</v>
      </c>
      <c r="AD185" s="369" t="s">
        <v>511</v>
      </c>
      <c r="AE185" s="118"/>
      <c r="AF185" s="118"/>
      <c r="AG185" s="118"/>
      <c r="AH185" s="118"/>
      <c r="AI185" s="264">
        <v>0</v>
      </c>
      <c r="AJ185" s="95" t="s">
        <v>264</v>
      </c>
      <c r="AK185" s="369" t="s">
        <v>190</v>
      </c>
      <c r="AL185" s="369" t="s">
        <v>778</v>
      </c>
      <c r="AM185" s="369"/>
      <c r="AN185" s="305"/>
      <c r="AO185" s="305"/>
      <c r="AP185" s="305"/>
      <c r="AQ185" s="291"/>
      <c r="AR185" s="305"/>
      <c r="AS185" s="305"/>
      <c r="AT185" s="97"/>
      <c r="AU185" s="97"/>
      <c r="AV185" s="97"/>
      <c r="AW185" s="97"/>
      <c r="AX185" s="98"/>
      <c r="AY185" s="305"/>
      <c r="AZ185" s="305"/>
      <c r="BA185" s="305"/>
      <c r="BB185" s="100"/>
      <c r="BC185" s="65"/>
      <c r="BD185" s="366"/>
      <c r="BE185" s="367"/>
      <c r="BF185" s="367"/>
      <c r="BG185" s="368"/>
      <c r="BH185" s="64" t="e">
        <f>#REF!</f>
        <v>#REF!</v>
      </c>
      <c r="BL185" s="73"/>
    </row>
    <row r="186" spans="1:64" s="59" customFormat="1" ht="36" customHeight="1" x14ac:dyDescent="0.3">
      <c r="A186" s="305">
        <f t="shared" si="3"/>
        <v>181</v>
      </c>
      <c r="B186" s="90" t="s">
        <v>781</v>
      </c>
      <c r="C186" s="119" t="s">
        <v>10</v>
      </c>
      <c r="D186" s="305" t="s">
        <v>262</v>
      </c>
      <c r="E186" s="305"/>
      <c r="F186" s="97"/>
      <c r="G186" s="305"/>
      <c r="H186" s="305"/>
      <c r="I186" s="305" t="s">
        <v>10</v>
      </c>
      <c r="J186" s="90"/>
      <c r="K186" s="92"/>
      <c r="L186" s="305"/>
      <c r="M186" s="369"/>
      <c r="N186" s="305"/>
      <c r="O186" s="305"/>
      <c r="P186" s="158"/>
      <c r="Q186" s="305"/>
      <c r="R186" s="305"/>
      <c r="S186" s="305"/>
      <c r="T186" s="305"/>
      <c r="U186" s="305"/>
      <c r="V186" s="305"/>
      <c r="W186" s="305"/>
      <c r="X186" s="305"/>
      <c r="Y186" s="305"/>
      <c r="Z186" s="305"/>
      <c r="AA186" s="305"/>
      <c r="AB186" s="305"/>
      <c r="AC186" s="92" t="s">
        <v>782</v>
      </c>
      <c r="AD186" s="369" t="s">
        <v>361</v>
      </c>
      <c r="AE186" s="118"/>
      <c r="AF186" s="118"/>
      <c r="AG186" s="118"/>
      <c r="AH186" s="118"/>
      <c r="AI186" s="264">
        <v>0</v>
      </c>
      <c r="AJ186" s="95" t="s">
        <v>264</v>
      </c>
      <c r="AK186" s="369" t="s">
        <v>294</v>
      </c>
      <c r="AL186" s="369" t="s">
        <v>191</v>
      </c>
      <c r="AM186" s="369"/>
      <c r="AN186" s="305"/>
      <c r="AO186" s="305"/>
      <c r="AP186" s="305"/>
      <c r="AQ186" s="291"/>
      <c r="AR186" s="305"/>
      <c r="AS186" s="305"/>
      <c r="AT186" s="97"/>
      <c r="AU186" s="97"/>
      <c r="AV186" s="97"/>
      <c r="AW186" s="97"/>
      <c r="AX186" s="98"/>
      <c r="AY186" s="305"/>
      <c r="AZ186" s="305"/>
      <c r="BA186" s="305"/>
      <c r="BB186" s="100"/>
      <c r="BC186" s="65"/>
      <c r="BD186" s="366"/>
      <c r="BE186" s="367"/>
      <c r="BF186" s="367"/>
      <c r="BG186" s="368"/>
      <c r="BH186" s="64" t="e">
        <f>#REF!</f>
        <v>#REF!</v>
      </c>
      <c r="BL186" s="73"/>
    </row>
    <row r="187" spans="1:64" s="59" customFormat="1" ht="44.4" customHeight="1" x14ac:dyDescent="0.3">
      <c r="A187" s="305">
        <f t="shared" si="3"/>
        <v>182</v>
      </c>
      <c r="B187" s="90" t="s">
        <v>783</v>
      </c>
      <c r="C187" s="119" t="s">
        <v>1</v>
      </c>
      <c r="D187" s="305" t="s">
        <v>262</v>
      </c>
      <c r="E187" s="305"/>
      <c r="F187" s="97"/>
      <c r="G187" s="305"/>
      <c r="H187" s="305"/>
      <c r="I187" s="305" t="s">
        <v>26</v>
      </c>
      <c r="J187" s="90"/>
      <c r="K187" s="92" t="s">
        <v>573</v>
      </c>
      <c r="L187" s="305"/>
      <c r="M187" s="369"/>
      <c r="N187" s="305"/>
      <c r="O187" s="305"/>
      <c r="P187" s="305"/>
      <c r="Q187" s="305"/>
      <c r="R187" s="305"/>
      <c r="S187" s="305"/>
      <c r="T187" s="305"/>
      <c r="U187" s="305"/>
      <c r="V187" s="305"/>
      <c r="W187" s="305"/>
      <c r="X187" s="305"/>
      <c r="Y187" s="305"/>
      <c r="Z187" s="305"/>
      <c r="AA187" s="305"/>
      <c r="AB187" s="305"/>
      <c r="AC187" s="92" t="s">
        <v>784</v>
      </c>
      <c r="AD187" s="369" t="s">
        <v>723</v>
      </c>
      <c r="AE187" s="118"/>
      <c r="AF187" s="118"/>
      <c r="AG187" s="118"/>
      <c r="AH187" s="93"/>
      <c r="AI187" s="94">
        <v>0</v>
      </c>
      <c r="AJ187" s="95" t="s">
        <v>264</v>
      </c>
      <c r="AK187" s="369" t="s">
        <v>294</v>
      </c>
      <c r="AL187" s="369" t="s">
        <v>154</v>
      </c>
      <c r="AM187" s="369"/>
      <c r="AN187" s="369"/>
      <c r="AO187" s="369"/>
      <c r="AP187" s="305"/>
      <c r="AQ187" s="371"/>
      <c r="AR187" s="369"/>
      <c r="AS187" s="305"/>
      <c r="AT187" s="97"/>
      <c r="AU187" s="97"/>
      <c r="AV187" s="97"/>
      <c r="AW187" s="97"/>
      <c r="AX187" s="98"/>
      <c r="AY187" s="305"/>
      <c r="AZ187" s="305"/>
      <c r="BA187" s="305"/>
      <c r="BB187" s="100" t="s">
        <v>785</v>
      </c>
      <c r="BC187" s="65"/>
      <c r="BD187" s="80"/>
      <c r="BE187" s="72"/>
      <c r="BF187" s="367"/>
      <c r="BG187" s="368"/>
      <c r="BH187" s="64" t="e">
        <f>#REF!</f>
        <v>#REF!</v>
      </c>
      <c r="BL187" s="73"/>
    </row>
    <row r="188" spans="1:64" s="59" customFormat="1" ht="36" customHeight="1" x14ac:dyDescent="0.3">
      <c r="A188" s="305">
        <f t="shared" si="3"/>
        <v>183</v>
      </c>
      <c r="B188" s="90" t="s">
        <v>786</v>
      </c>
      <c r="C188" s="119" t="s">
        <v>3</v>
      </c>
      <c r="D188" s="305" t="s">
        <v>564</v>
      </c>
      <c r="E188" s="91">
        <v>45656</v>
      </c>
      <c r="F188" s="97"/>
      <c r="G188" s="91"/>
      <c r="H188" s="91"/>
      <c r="I188" s="305" t="s">
        <v>3</v>
      </c>
      <c r="J188" s="90" t="s">
        <v>565</v>
      </c>
      <c r="K188" s="92"/>
      <c r="L188" s="305"/>
      <c r="M188" s="369" t="s">
        <v>65</v>
      </c>
      <c r="N188" s="305"/>
      <c r="O188" s="305"/>
      <c r="P188" s="158"/>
      <c r="Q188" s="305"/>
      <c r="R188" s="305"/>
      <c r="S188" s="305"/>
      <c r="T188" s="305"/>
      <c r="U188" s="305"/>
      <c r="V188" s="305"/>
      <c r="W188" s="305"/>
      <c r="X188" s="305"/>
      <c r="Y188" s="305"/>
      <c r="Z188" s="305"/>
      <c r="AA188" s="305"/>
      <c r="AB188" s="305"/>
      <c r="AC188" s="92" t="s">
        <v>787</v>
      </c>
      <c r="AD188" s="369" t="s">
        <v>580</v>
      </c>
      <c r="AE188" s="118"/>
      <c r="AF188" s="118"/>
      <c r="AG188" s="118"/>
      <c r="AH188" s="93">
        <v>45656</v>
      </c>
      <c r="AI188" s="264">
        <v>45597</v>
      </c>
      <c r="AJ188" s="95" t="s">
        <v>131</v>
      </c>
      <c r="AK188" s="369" t="s">
        <v>366</v>
      </c>
      <c r="AL188" s="369" t="s">
        <v>183</v>
      </c>
      <c r="AM188" s="369" t="s">
        <v>134</v>
      </c>
      <c r="AN188" s="369" t="s">
        <v>568</v>
      </c>
      <c r="AO188" s="305"/>
      <c r="AP188" s="305"/>
      <c r="AQ188" s="291"/>
      <c r="AR188" s="305"/>
      <c r="AS188" s="305"/>
      <c r="AT188" s="102">
        <v>45606</v>
      </c>
      <c r="AU188" s="97">
        <v>45568</v>
      </c>
      <c r="AV188" s="97">
        <v>45583</v>
      </c>
      <c r="AW188" s="97">
        <v>45562</v>
      </c>
      <c r="AX188" s="97"/>
      <c r="AY188" s="98"/>
      <c r="AZ188" s="98"/>
      <c r="BA188" s="98"/>
      <c r="BB188" s="92"/>
      <c r="BC188" s="47"/>
      <c r="BD188" s="80"/>
      <c r="BE188" s="70"/>
      <c r="BF188" s="367"/>
      <c r="BG188" s="368"/>
      <c r="BH188" s="64" t="e">
        <f>#REF!</f>
        <v>#REF!</v>
      </c>
      <c r="BL188" s="73"/>
    </row>
    <row r="189" spans="1:64" ht="36" customHeight="1" x14ac:dyDescent="0.3">
      <c r="A189" s="305">
        <f t="shared" si="3"/>
        <v>184</v>
      </c>
      <c r="B189" s="90" t="s">
        <v>788</v>
      </c>
      <c r="C189" s="119" t="s">
        <v>0</v>
      </c>
      <c r="D189" s="305" t="s">
        <v>789</v>
      </c>
      <c r="E189" s="91">
        <v>45573</v>
      </c>
      <c r="F189" s="97">
        <v>45576</v>
      </c>
      <c r="G189" s="91">
        <v>45577</v>
      </c>
      <c r="H189" s="305"/>
      <c r="I189" s="305" t="s">
        <v>20</v>
      </c>
      <c r="J189" s="90"/>
      <c r="K189" s="149"/>
      <c r="L189" s="305"/>
      <c r="M189" s="369"/>
      <c r="N189" s="305"/>
      <c r="O189" s="305"/>
      <c r="P189" s="158"/>
      <c r="Q189" s="305"/>
      <c r="R189" s="305"/>
      <c r="S189" s="305"/>
      <c r="T189" s="305"/>
      <c r="U189" s="305"/>
      <c r="V189" s="305"/>
      <c r="W189" s="305"/>
      <c r="X189" s="305"/>
      <c r="Y189" s="305"/>
      <c r="Z189" s="305"/>
      <c r="AA189" s="305"/>
      <c r="AB189" s="305"/>
      <c r="AC189" s="92" t="s">
        <v>790</v>
      </c>
      <c r="AD189" s="369" t="s">
        <v>169</v>
      </c>
      <c r="AE189" s="118">
        <v>45575</v>
      </c>
      <c r="AF189" s="118"/>
      <c r="AG189" s="118">
        <v>45562</v>
      </c>
      <c r="AH189" s="93">
        <v>45575</v>
      </c>
      <c r="AI189" s="264">
        <v>45536</v>
      </c>
      <c r="AJ189" s="95" t="s">
        <v>131</v>
      </c>
      <c r="AK189" s="369" t="s">
        <v>166</v>
      </c>
      <c r="AL189" s="369"/>
      <c r="AM189" s="369" t="s">
        <v>134</v>
      </c>
      <c r="AN189" s="305"/>
      <c r="AO189" s="305"/>
      <c r="AP189" s="305"/>
      <c r="AQ189" s="291"/>
      <c r="AR189" s="305"/>
      <c r="AS189" s="305"/>
      <c r="AT189" s="102">
        <v>45561</v>
      </c>
      <c r="AU189" s="97">
        <v>45548</v>
      </c>
      <c r="AV189" s="97">
        <v>45548</v>
      </c>
      <c r="AW189" s="97"/>
      <c r="AX189" s="97"/>
      <c r="AY189" s="98"/>
      <c r="AZ189" s="98"/>
      <c r="BA189" s="98"/>
      <c r="BB189" s="100" t="s">
        <v>791</v>
      </c>
      <c r="BC189" s="65"/>
      <c r="BD189" s="80"/>
      <c r="BE189" s="367"/>
      <c r="BF189" s="367"/>
      <c r="BG189" s="368"/>
      <c r="BH189" s="64" t="e">
        <f>#REF!</f>
        <v>#REF!</v>
      </c>
      <c r="BL189" s="54"/>
    </row>
    <row r="190" spans="1:64" ht="36" customHeight="1" x14ac:dyDescent="0.3">
      <c r="A190" s="305">
        <f t="shared" si="3"/>
        <v>185</v>
      </c>
      <c r="B190" s="90" t="s">
        <v>792</v>
      </c>
      <c r="C190" s="119" t="s">
        <v>0</v>
      </c>
      <c r="D190" s="305" t="s">
        <v>789</v>
      </c>
      <c r="E190" s="91">
        <v>45573</v>
      </c>
      <c r="F190" s="97">
        <v>45576</v>
      </c>
      <c r="G190" s="91">
        <v>45577</v>
      </c>
      <c r="H190" s="305"/>
      <c r="I190" s="305" t="s">
        <v>20</v>
      </c>
      <c r="J190" s="90"/>
      <c r="K190" s="92"/>
      <c r="L190" s="305"/>
      <c r="M190" s="369"/>
      <c r="N190" s="305"/>
      <c r="O190" s="305"/>
      <c r="P190" s="158"/>
      <c r="Q190" s="305"/>
      <c r="R190" s="305"/>
      <c r="S190" s="305"/>
      <c r="T190" s="305"/>
      <c r="U190" s="305"/>
      <c r="V190" s="305"/>
      <c r="W190" s="305"/>
      <c r="X190" s="305"/>
      <c r="Y190" s="305"/>
      <c r="Z190" s="305"/>
      <c r="AA190" s="305"/>
      <c r="AB190" s="305"/>
      <c r="AC190" s="92" t="s">
        <v>793</v>
      </c>
      <c r="AD190" s="369" t="s">
        <v>169</v>
      </c>
      <c r="AE190" s="118">
        <v>45575</v>
      </c>
      <c r="AF190" s="118"/>
      <c r="AG190" s="118">
        <v>45562</v>
      </c>
      <c r="AH190" s="93">
        <v>45575</v>
      </c>
      <c r="AI190" s="264">
        <v>45536</v>
      </c>
      <c r="AJ190" s="95" t="s">
        <v>131</v>
      </c>
      <c r="AK190" s="369" t="s">
        <v>166</v>
      </c>
      <c r="AL190" s="369"/>
      <c r="AM190" s="369" t="s">
        <v>134</v>
      </c>
      <c r="AN190" s="369"/>
      <c r="AO190" s="369"/>
      <c r="AP190" s="305"/>
      <c r="AQ190" s="371"/>
      <c r="AR190" s="369"/>
      <c r="AS190" s="305"/>
      <c r="AT190" s="102">
        <v>45561</v>
      </c>
      <c r="AU190" s="97">
        <v>45548</v>
      </c>
      <c r="AV190" s="97">
        <v>45548</v>
      </c>
      <c r="AW190" s="97"/>
      <c r="AX190" s="97"/>
      <c r="AY190" s="98"/>
      <c r="AZ190" s="98"/>
      <c r="BA190" s="98"/>
      <c r="BB190" s="100" t="s">
        <v>794</v>
      </c>
      <c r="BC190" s="65"/>
      <c r="BD190" s="80"/>
      <c r="BE190" s="367"/>
      <c r="BF190" s="367"/>
      <c r="BG190" s="368"/>
      <c r="BH190" s="64" t="e">
        <f>#REF!</f>
        <v>#REF!</v>
      </c>
      <c r="BL190" s="54"/>
    </row>
    <row r="191" spans="1:64" ht="36" customHeight="1" x14ac:dyDescent="0.3">
      <c r="A191" s="305">
        <f t="shared" si="3"/>
        <v>186</v>
      </c>
      <c r="B191" s="90" t="s">
        <v>795</v>
      </c>
      <c r="C191" s="119" t="s">
        <v>0</v>
      </c>
      <c r="D191" s="305" t="s">
        <v>262</v>
      </c>
      <c r="E191" s="91"/>
      <c r="F191" s="97"/>
      <c r="G191" s="305"/>
      <c r="H191" s="305"/>
      <c r="I191" s="305" t="s">
        <v>20</v>
      </c>
      <c r="J191" s="90"/>
      <c r="K191" s="92"/>
      <c r="L191" s="305">
        <v>1100</v>
      </c>
      <c r="M191" s="369" t="s">
        <v>120</v>
      </c>
      <c r="N191" s="305"/>
      <c r="O191" s="305" t="s">
        <v>127</v>
      </c>
      <c r="P191" s="305"/>
      <c r="Q191" s="305"/>
      <c r="R191" s="305"/>
      <c r="S191" s="305"/>
      <c r="T191" s="305" t="s">
        <v>225</v>
      </c>
      <c r="U191" s="305"/>
      <c r="V191" s="305"/>
      <c r="W191" s="305"/>
      <c r="X191" s="305" t="s">
        <v>269</v>
      </c>
      <c r="Y191" s="305" t="s">
        <v>127</v>
      </c>
      <c r="Z191" s="305"/>
      <c r="AA191" s="305"/>
      <c r="AB191" s="305" t="s">
        <v>215</v>
      </c>
      <c r="AC191" s="92" t="s">
        <v>345</v>
      </c>
      <c r="AD191" s="369" t="s">
        <v>272</v>
      </c>
      <c r="AE191" s="118"/>
      <c r="AF191" s="118"/>
      <c r="AG191" s="118"/>
      <c r="AH191" s="93"/>
      <c r="AI191" s="94">
        <v>0</v>
      </c>
      <c r="AJ191" s="95" t="s">
        <v>264</v>
      </c>
      <c r="AK191" s="369"/>
      <c r="AL191" s="369"/>
      <c r="AM191" s="369"/>
      <c r="AN191" s="305"/>
      <c r="AO191" s="305"/>
      <c r="AP191" s="305"/>
      <c r="AQ191" s="291"/>
      <c r="AR191" s="305"/>
      <c r="AS191" s="305"/>
      <c r="AT191" s="305"/>
      <c r="AU191" s="305"/>
      <c r="AV191" s="305"/>
      <c r="AW191" s="305"/>
      <c r="AX191" s="305"/>
      <c r="AY191" s="305"/>
      <c r="AZ191" s="305"/>
      <c r="BA191" s="305"/>
      <c r="BB191" s="100"/>
      <c r="BC191" s="65"/>
      <c r="BD191" s="80"/>
      <c r="BE191" s="367"/>
      <c r="BF191" s="367"/>
      <c r="BG191" s="368"/>
      <c r="BH191" s="64" t="e">
        <f>#REF!</f>
        <v>#REF!</v>
      </c>
      <c r="BL191" s="54"/>
    </row>
    <row r="192" spans="1:64" ht="36" customHeight="1" x14ac:dyDescent="0.3">
      <c r="A192" s="247">
        <f t="shared" si="3"/>
        <v>187</v>
      </c>
      <c r="B192" s="90" t="s">
        <v>796</v>
      </c>
      <c r="C192" s="119" t="s">
        <v>0</v>
      </c>
      <c r="D192" s="305" t="s">
        <v>262</v>
      </c>
      <c r="E192" s="91"/>
      <c r="F192" s="97"/>
      <c r="G192" s="305"/>
      <c r="H192" s="305"/>
      <c r="I192" s="305" t="s">
        <v>26</v>
      </c>
      <c r="J192" s="90" t="s">
        <v>212</v>
      </c>
      <c r="K192" s="92" t="s">
        <v>797</v>
      </c>
      <c r="L192" s="305">
        <v>1115</v>
      </c>
      <c r="M192" s="369" t="s">
        <v>120</v>
      </c>
      <c r="N192" s="305"/>
      <c r="O192" s="305" t="s">
        <v>127</v>
      </c>
      <c r="P192" s="305"/>
      <c r="Q192" s="305"/>
      <c r="R192" s="305"/>
      <c r="S192" s="305"/>
      <c r="T192" s="305">
        <v>13.6</v>
      </c>
      <c r="U192" s="305"/>
      <c r="V192" s="305"/>
      <c r="W192" s="305"/>
      <c r="X192" s="305" t="s">
        <v>150</v>
      </c>
      <c r="Y192" s="305" t="s">
        <v>127</v>
      </c>
      <c r="Z192" s="110"/>
      <c r="AA192" s="305" t="s">
        <v>214</v>
      </c>
      <c r="AB192" s="148" t="s">
        <v>383</v>
      </c>
      <c r="AC192" s="92" t="s">
        <v>384</v>
      </c>
      <c r="AD192" s="369" t="s">
        <v>284</v>
      </c>
      <c r="AE192" s="118"/>
      <c r="AF192" s="118"/>
      <c r="AG192" s="118"/>
      <c r="AH192" s="93"/>
      <c r="AI192" s="94">
        <v>0</v>
      </c>
      <c r="AJ192" s="95" t="s">
        <v>264</v>
      </c>
      <c r="AK192" s="369"/>
      <c r="AL192" s="369"/>
      <c r="AM192" s="369"/>
      <c r="AN192" s="305"/>
      <c r="AO192" s="305"/>
      <c r="AP192" s="305"/>
      <c r="AQ192" s="291"/>
      <c r="AR192" s="305"/>
      <c r="AS192" s="305"/>
      <c r="AT192" s="91">
        <v>45606</v>
      </c>
      <c r="AU192" s="91">
        <v>45572</v>
      </c>
      <c r="AV192" s="91">
        <v>45572</v>
      </c>
      <c r="AW192" s="91">
        <v>45576</v>
      </c>
      <c r="AX192" s="305"/>
      <c r="AY192" s="305"/>
      <c r="AZ192" s="305"/>
      <c r="BA192" s="305"/>
      <c r="BB192" s="100" t="s">
        <v>385</v>
      </c>
      <c r="BC192" s="65"/>
      <c r="BD192" s="166" t="s">
        <v>387</v>
      </c>
      <c r="BE192" s="367"/>
      <c r="BF192" s="367"/>
      <c r="BG192" s="368"/>
      <c r="BH192" s="64" t="e">
        <f>#REF!</f>
        <v>#REF!</v>
      </c>
      <c r="BL192" s="54"/>
    </row>
    <row r="193" spans="1:64" ht="36" customHeight="1" x14ac:dyDescent="0.3">
      <c r="A193" s="305">
        <f t="shared" si="3"/>
        <v>188</v>
      </c>
      <c r="B193" s="90" t="s">
        <v>798</v>
      </c>
      <c r="C193" s="119" t="s">
        <v>0</v>
      </c>
      <c r="D193" s="305" t="s">
        <v>262</v>
      </c>
      <c r="E193" s="305"/>
      <c r="F193" s="97"/>
      <c r="G193" s="305"/>
      <c r="H193" s="305"/>
      <c r="I193" s="305" t="s">
        <v>26</v>
      </c>
      <c r="J193" s="90"/>
      <c r="K193" s="92"/>
      <c r="L193" s="305"/>
      <c r="M193" s="369"/>
      <c r="N193" s="305"/>
      <c r="O193" s="305"/>
      <c r="P193" s="305"/>
      <c r="Q193" s="305"/>
      <c r="R193" s="305"/>
      <c r="S193" s="305"/>
      <c r="T193" s="305"/>
      <c r="U193" s="305"/>
      <c r="V193" s="305"/>
      <c r="W193" s="305"/>
      <c r="X193" s="305" t="s">
        <v>142</v>
      </c>
      <c r="Y193" s="305"/>
      <c r="Z193" s="305"/>
      <c r="AA193" s="305" t="s">
        <v>214</v>
      </c>
      <c r="AB193" s="305" t="s">
        <v>799</v>
      </c>
      <c r="AC193" s="92" t="s">
        <v>800</v>
      </c>
      <c r="AD193" s="369" t="s">
        <v>145</v>
      </c>
      <c r="AE193" s="118"/>
      <c r="AF193" s="118"/>
      <c r="AG193" s="118"/>
      <c r="AH193" s="93"/>
      <c r="AI193" s="94">
        <v>0</v>
      </c>
      <c r="AJ193" s="95" t="s">
        <v>264</v>
      </c>
      <c r="AK193" s="369"/>
      <c r="AL193" s="369"/>
      <c r="AM193" s="369"/>
      <c r="AN193" s="305"/>
      <c r="AO193" s="305"/>
      <c r="AP193" s="305"/>
      <c r="AQ193" s="291"/>
      <c r="AR193" s="305"/>
      <c r="AS193" s="305"/>
      <c r="AT193" s="305"/>
      <c r="AU193" s="305"/>
      <c r="AV193" s="305"/>
      <c r="AW193" s="305"/>
      <c r="AX193" s="305"/>
      <c r="AY193" s="305"/>
      <c r="AZ193" s="305"/>
      <c r="BA193" s="305"/>
      <c r="BB193" s="100"/>
      <c r="BC193" s="65"/>
      <c r="BD193" s="80"/>
      <c r="BE193" s="367"/>
      <c r="BF193" s="367"/>
      <c r="BG193" s="368"/>
      <c r="BH193" s="64" t="e">
        <f>#REF!</f>
        <v>#REF!</v>
      </c>
      <c r="BL193" s="54"/>
    </row>
    <row r="194" spans="1:64" ht="36" customHeight="1" x14ac:dyDescent="0.3">
      <c r="A194" s="305">
        <f t="shared" si="3"/>
        <v>189</v>
      </c>
      <c r="B194" s="90" t="s">
        <v>801</v>
      </c>
      <c r="C194" s="119" t="s">
        <v>0</v>
      </c>
      <c r="D194" s="305" t="s">
        <v>262</v>
      </c>
      <c r="E194" s="305"/>
      <c r="F194" s="97"/>
      <c r="G194" s="305"/>
      <c r="H194" s="305"/>
      <c r="I194" s="305" t="s">
        <v>30</v>
      </c>
      <c r="J194" s="90" t="s">
        <v>156</v>
      </c>
      <c r="K194" s="92" t="s">
        <v>802</v>
      </c>
      <c r="L194" s="305"/>
      <c r="M194" s="369" t="s">
        <v>65</v>
      </c>
      <c r="N194" s="305"/>
      <c r="O194" s="305"/>
      <c r="P194" s="305"/>
      <c r="Q194" s="305"/>
      <c r="R194" s="305"/>
      <c r="S194" s="305"/>
      <c r="T194" s="305"/>
      <c r="U194" s="305"/>
      <c r="V194" s="305"/>
      <c r="W194" s="305"/>
      <c r="X194" s="305"/>
      <c r="Y194" s="305"/>
      <c r="Z194" s="305"/>
      <c r="AA194" s="305"/>
      <c r="AB194" s="305"/>
      <c r="AC194" s="92" t="s">
        <v>803</v>
      </c>
      <c r="AD194" s="369" t="s">
        <v>169</v>
      </c>
      <c r="AE194" s="118"/>
      <c r="AF194" s="118"/>
      <c r="AG194" s="118"/>
      <c r="AH194" s="93"/>
      <c r="AI194" s="94">
        <v>0</v>
      </c>
      <c r="AJ194" s="95" t="s">
        <v>264</v>
      </c>
      <c r="AK194" s="369"/>
      <c r="AL194" s="369"/>
      <c r="AM194" s="369"/>
      <c r="AN194" s="305"/>
      <c r="AO194" s="305"/>
      <c r="AP194" s="305"/>
      <c r="AQ194" s="291"/>
      <c r="AR194" s="305"/>
      <c r="AS194" s="305"/>
      <c r="AT194" s="305"/>
      <c r="AU194" s="305"/>
      <c r="AV194" s="305"/>
      <c r="AW194" s="305"/>
      <c r="AX194" s="305"/>
      <c r="AY194" s="305"/>
      <c r="AZ194" s="305"/>
      <c r="BA194" s="305"/>
      <c r="BB194" s="100" t="s">
        <v>804</v>
      </c>
      <c r="BC194" s="65"/>
      <c r="BD194" s="80"/>
      <c r="BE194" s="367"/>
      <c r="BF194" s="367"/>
      <c r="BG194" s="368"/>
      <c r="BH194" s="64" t="e">
        <f>#REF!</f>
        <v>#REF!</v>
      </c>
      <c r="BL194" s="54"/>
    </row>
    <row r="195" spans="1:64" ht="36" customHeight="1" x14ac:dyDescent="0.3">
      <c r="A195" s="305">
        <f t="shared" si="3"/>
        <v>190</v>
      </c>
      <c r="B195" s="90" t="s">
        <v>805</v>
      </c>
      <c r="C195" s="119" t="s">
        <v>0</v>
      </c>
      <c r="D195" s="305" t="s">
        <v>262</v>
      </c>
      <c r="E195" s="305"/>
      <c r="F195" s="97"/>
      <c r="G195" s="305"/>
      <c r="H195" s="305"/>
      <c r="I195" s="305" t="s">
        <v>30</v>
      </c>
      <c r="J195" s="90" t="s">
        <v>156</v>
      </c>
      <c r="K195" s="92" t="s">
        <v>802</v>
      </c>
      <c r="L195" s="305"/>
      <c r="M195" s="369" t="s">
        <v>65</v>
      </c>
      <c r="N195" s="305"/>
      <c r="O195" s="305"/>
      <c r="P195" s="305"/>
      <c r="Q195" s="305"/>
      <c r="R195" s="305"/>
      <c r="S195" s="305"/>
      <c r="T195" s="305"/>
      <c r="U195" s="305"/>
      <c r="V195" s="305"/>
      <c r="W195" s="305"/>
      <c r="X195" s="305" t="s">
        <v>42</v>
      </c>
      <c r="Y195" s="305" t="s">
        <v>42</v>
      </c>
      <c r="Z195" s="305" t="s">
        <v>42</v>
      </c>
      <c r="AA195" s="305" t="s">
        <v>42</v>
      </c>
      <c r="AB195" s="305" t="s">
        <v>42</v>
      </c>
      <c r="AC195" s="92" t="s">
        <v>806</v>
      </c>
      <c r="AD195" s="369" t="s">
        <v>361</v>
      </c>
      <c r="AE195" s="118"/>
      <c r="AF195" s="118"/>
      <c r="AG195" s="118"/>
      <c r="AH195" s="93"/>
      <c r="AI195" s="94">
        <v>0</v>
      </c>
      <c r="AJ195" s="95" t="s">
        <v>264</v>
      </c>
      <c r="AK195" s="369"/>
      <c r="AL195" s="369"/>
      <c r="AM195" s="369"/>
      <c r="AN195" s="305"/>
      <c r="AO195" s="305"/>
      <c r="AP195" s="305"/>
      <c r="AQ195" s="291"/>
      <c r="AR195" s="305"/>
      <c r="AS195" s="305"/>
      <c r="AT195" s="305"/>
      <c r="AU195" s="305"/>
      <c r="AV195" s="305"/>
      <c r="AW195" s="305"/>
      <c r="AX195" s="305"/>
      <c r="AY195" s="305"/>
      <c r="AZ195" s="305"/>
      <c r="BA195" s="305"/>
      <c r="BB195" s="100"/>
      <c r="BC195" s="65"/>
      <c r="BD195" s="80"/>
      <c r="BE195" s="367"/>
      <c r="BF195" s="367"/>
      <c r="BG195" s="368"/>
      <c r="BH195" s="64" t="e">
        <f>#REF!</f>
        <v>#REF!</v>
      </c>
      <c r="BL195" s="54"/>
    </row>
    <row r="196" spans="1:64" s="59" customFormat="1" ht="36" customHeight="1" x14ac:dyDescent="0.3">
      <c r="A196" s="305">
        <f t="shared" si="3"/>
        <v>191</v>
      </c>
      <c r="B196" s="90"/>
      <c r="C196" s="119"/>
      <c r="D196" s="305"/>
      <c r="E196" s="305"/>
      <c r="F196" s="97"/>
      <c r="G196" s="305"/>
      <c r="H196" s="305"/>
      <c r="I196" s="305"/>
      <c r="J196" s="90"/>
      <c r="K196" s="92"/>
      <c r="L196" s="305"/>
      <c r="M196" s="369"/>
      <c r="N196" s="305"/>
      <c r="O196" s="305"/>
      <c r="P196" s="305"/>
      <c r="Q196" s="305"/>
      <c r="R196" s="305"/>
      <c r="S196" s="305"/>
      <c r="T196" s="305"/>
      <c r="U196" s="305"/>
      <c r="V196" s="305"/>
      <c r="W196" s="305"/>
      <c r="X196" s="305"/>
      <c r="Y196" s="305"/>
      <c r="Z196" s="305"/>
      <c r="AA196" s="305"/>
      <c r="AB196" s="305"/>
      <c r="AC196" s="92"/>
      <c r="AD196" s="369" t="s">
        <v>361</v>
      </c>
      <c r="AE196" s="118"/>
      <c r="AF196" s="118"/>
      <c r="AG196" s="118"/>
      <c r="AH196" s="93"/>
      <c r="AI196" s="264"/>
      <c r="AJ196" s="95" t="s">
        <v>264</v>
      </c>
      <c r="AK196" s="369"/>
      <c r="AL196" s="369"/>
      <c r="AM196" s="369"/>
      <c r="AN196" s="305"/>
      <c r="AO196" s="305"/>
      <c r="AP196" s="305"/>
      <c r="AQ196" s="291"/>
      <c r="AR196" s="305"/>
      <c r="AS196" s="305"/>
      <c r="AT196" s="305"/>
      <c r="AU196" s="305"/>
      <c r="AV196" s="305"/>
      <c r="AW196" s="305"/>
      <c r="AX196" s="305"/>
      <c r="AY196" s="305"/>
      <c r="AZ196" s="305"/>
      <c r="BA196" s="305"/>
      <c r="BB196" s="100"/>
      <c r="BC196" s="65"/>
      <c r="BD196" s="80"/>
      <c r="BE196" s="367"/>
      <c r="BF196" s="367"/>
      <c r="BG196" s="368"/>
      <c r="BH196" s="64" t="e">
        <f>#REF!</f>
        <v>#REF!</v>
      </c>
      <c r="BL196" s="73"/>
    </row>
    <row r="197" spans="1:64" s="59" customFormat="1" ht="36" customHeight="1" x14ac:dyDescent="0.3">
      <c r="A197" s="258">
        <f t="shared" si="3"/>
        <v>192</v>
      </c>
      <c r="B197" s="257" t="s">
        <v>807</v>
      </c>
      <c r="C197" s="305" t="s">
        <v>5</v>
      </c>
      <c r="D197" s="305" t="s">
        <v>808</v>
      </c>
      <c r="E197" s="91">
        <v>45813</v>
      </c>
      <c r="F197" s="91">
        <v>45813</v>
      </c>
      <c r="G197" s="91"/>
      <c r="H197" s="91"/>
      <c r="I197" s="305" t="s">
        <v>809</v>
      </c>
      <c r="J197" s="90" t="s">
        <v>810</v>
      </c>
      <c r="K197" s="92" t="s">
        <v>811</v>
      </c>
      <c r="L197" s="305">
        <v>1100</v>
      </c>
      <c r="M197" s="369" t="s">
        <v>65</v>
      </c>
      <c r="N197" s="305" t="s">
        <v>127</v>
      </c>
      <c r="O197" s="305"/>
      <c r="P197" s="158"/>
      <c r="Q197" s="305"/>
      <c r="R197" s="305"/>
      <c r="S197" s="305"/>
      <c r="T197" s="305">
        <v>15</v>
      </c>
      <c r="U197" s="305"/>
      <c r="V197" s="305"/>
      <c r="W197" s="305"/>
      <c r="X197" s="369" t="s">
        <v>812</v>
      </c>
      <c r="Y197" s="305"/>
      <c r="Z197" s="305"/>
      <c r="AA197" s="305"/>
      <c r="AB197" s="305"/>
      <c r="AC197" s="92" t="s">
        <v>813</v>
      </c>
      <c r="AD197" s="369" t="s">
        <v>814</v>
      </c>
      <c r="AE197" s="115"/>
      <c r="AF197" s="115"/>
      <c r="AG197" s="284">
        <v>45792</v>
      </c>
      <c r="AH197" s="140">
        <v>45777</v>
      </c>
      <c r="AI197" s="264">
        <v>45748</v>
      </c>
      <c r="AJ197" s="95" t="s">
        <v>131</v>
      </c>
      <c r="AK197" s="369" t="s">
        <v>166</v>
      </c>
      <c r="AL197" s="369" t="s">
        <v>191</v>
      </c>
      <c r="AM197" s="369" t="s">
        <v>134</v>
      </c>
      <c r="AN197" s="91"/>
      <c r="AO197" s="305"/>
      <c r="AP197" s="305"/>
      <c r="AQ197" s="291"/>
      <c r="AR197" s="305"/>
      <c r="AS197" s="305"/>
      <c r="AT197" s="91">
        <v>45714</v>
      </c>
      <c r="AU197" s="91">
        <v>45680</v>
      </c>
      <c r="AV197" s="91">
        <v>45757</v>
      </c>
      <c r="AW197" s="305"/>
      <c r="AX197" s="305"/>
      <c r="AY197" s="305"/>
      <c r="AZ197" s="305"/>
      <c r="BA197" s="305"/>
      <c r="BB197" s="100" t="s">
        <v>815</v>
      </c>
      <c r="BC197" s="65"/>
      <c r="BD197" s="80" t="s">
        <v>816</v>
      </c>
      <c r="BE197" s="367"/>
      <c r="BF197" s="367"/>
      <c r="BG197" s="368"/>
      <c r="BH197" s="64" t="e">
        <f>#REF!</f>
        <v>#REF!</v>
      </c>
      <c r="BL197" s="73"/>
    </row>
    <row r="198" spans="1:64" s="59" customFormat="1" ht="36" customHeight="1" x14ac:dyDescent="0.3">
      <c r="A198" s="258">
        <f t="shared" si="3"/>
        <v>193</v>
      </c>
      <c r="B198" s="257" t="s">
        <v>817</v>
      </c>
      <c r="C198" s="305" t="s">
        <v>5</v>
      </c>
      <c r="D198" s="305" t="s">
        <v>808</v>
      </c>
      <c r="E198" s="91">
        <v>45813</v>
      </c>
      <c r="F198" s="91">
        <v>45813</v>
      </c>
      <c r="G198" s="91"/>
      <c r="H198" s="91"/>
      <c r="I198" s="305" t="s">
        <v>809</v>
      </c>
      <c r="J198" s="90" t="s">
        <v>810</v>
      </c>
      <c r="K198" s="92" t="s">
        <v>811</v>
      </c>
      <c r="L198" s="305">
        <v>1100</v>
      </c>
      <c r="M198" s="369" t="s">
        <v>65</v>
      </c>
      <c r="N198" s="305" t="s">
        <v>127</v>
      </c>
      <c r="O198" s="305"/>
      <c r="P198" s="158"/>
      <c r="Q198" s="305"/>
      <c r="R198" s="305"/>
      <c r="S198" s="305"/>
      <c r="T198" s="305">
        <v>15</v>
      </c>
      <c r="U198" s="305"/>
      <c r="V198" s="305"/>
      <c r="W198" s="305"/>
      <c r="X198" s="369" t="s">
        <v>812</v>
      </c>
      <c r="Y198" s="305"/>
      <c r="Z198" s="305"/>
      <c r="AA198" s="305"/>
      <c r="AB198" s="305"/>
      <c r="AC198" s="92" t="s">
        <v>818</v>
      </c>
      <c r="AD198" s="369" t="s">
        <v>819</v>
      </c>
      <c r="AE198" s="115"/>
      <c r="AF198" s="115"/>
      <c r="AG198" s="284">
        <v>45792</v>
      </c>
      <c r="AH198" s="140">
        <v>45777</v>
      </c>
      <c r="AI198" s="264">
        <v>45748</v>
      </c>
      <c r="AJ198" s="95" t="s">
        <v>131</v>
      </c>
      <c r="AK198" s="369" t="s">
        <v>166</v>
      </c>
      <c r="AL198" s="369" t="s">
        <v>191</v>
      </c>
      <c r="AM198" s="369" t="s">
        <v>134</v>
      </c>
      <c r="AN198" s="305"/>
      <c r="AO198" s="305"/>
      <c r="AP198" s="305"/>
      <c r="AQ198" s="291"/>
      <c r="AR198" s="305"/>
      <c r="AS198" s="305"/>
      <c r="AT198" s="91">
        <v>45714</v>
      </c>
      <c r="AU198" s="91">
        <v>45680</v>
      </c>
      <c r="AV198" s="91">
        <v>45757</v>
      </c>
      <c r="AW198" s="305"/>
      <c r="AX198" s="305"/>
      <c r="AY198" s="305"/>
      <c r="AZ198" s="305"/>
      <c r="BA198" s="305"/>
      <c r="BB198" s="100" t="s">
        <v>820</v>
      </c>
      <c r="BC198" s="65"/>
      <c r="BD198" s="80" t="s">
        <v>816</v>
      </c>
      <c r="BE198" s="367"/>
      <c r="BF198" s="367"/>
      <c r="BG198" s="368"/>
      <c r="BH198" s="64" t="e">
        <f>#REF!</f>
        <v>#REF!</v>
      </c>
      <c r="BL198" s="73"/>
    </row>
    <row r="199" spans="1:64" s="59" customFormat="1" ht="36" customHeight="1" x14ac:dyDescent="0.3">
      <c r="A199" s="258">
        <f t="shared" si="3"/>
        <v>194</v>
      </c>
      <c r="B199" s="90" t="s">
        <v>821</v>
      </c>
      <c r="C199" s="305" t="s">
        <v>5</v>
      </c>
      <c r="D199" s="305" t="s">
        <v>808</v>
      </c>
      <c r="E199" s="91">
        <v>45864</v>
      </c>
      <c r="F199" s="91"/>
      <c r="G199" s="91"/>
      <c r="H199" s="91"/>
      <c r="I199" s="305" t="s">
        <v>809</v>
      </c>
      <c r="J199" s="90" t="s">
        <v>810</v>
      </c>
      <c r="K199" s="92" t="s">
        <v>606</v>
      </c>
      <c r="L199" s="110">
        <v>1400</v>
      </c>
      <c r="M199" s="369" t="s">
        <v>120</v>
      </c>
      <c r="N199" s="305" t="s">
        <v>127</v>
      </c>
      <c r="O199" s="305"/>
      <c r="P199" s="158"/>
      <c r="Q199" s="305"/>
      <c r="R199" s="305"/>
      <c r="S199" s="305"/>
      <c r="T199" s="305">
        <v>13</v>
      </c>
      <c r="U199" s="305"/>
      <c r="V199" s="305"/>
      <c r="W199" s="305"/>
      <c r="X199" s="369" t="s">
        <v>812</v>
      </c>
      <c r="Y199" s="305"/>
      <c r="Z199" s="305"/>
      <c r="AA199" s="305"/>
      <c r="AB199" s="305"/>
      <c r="AC199" s="92" t="s">
        <v>822</v>
      </c>
      <c r="AD199" s="369" t="s">
        <v>814</v>
      </c>
      <c r="AE199" s="115"/>
      <c r="AF199" s="115"/>
      <c r="AG199" s="284">
        <v>45792</v>
      </c>
      <c r="AH199" s="140">
        <v>45858</v>
      </c>
      <c r="AI199" s="264">
        <v>45809</v>
      </c>
      <c r="AJ199" s="95" t="s">
        <v>131</v>
      </c>
      <c r="AK199" s="369" t="s">
        <v>166</v>
      </c>
      <c r="AL199" s="369"/>
      <c r="AM199" s="369" t="s">
        <v>209</v>
      </c>
      <c r="AN199" s="305"/>
      <c r="AO199" s="305"/>
      <c r="AP199" s="305"/>
      <c r="AQ199" s="291"/>
      <c r="AR199" s="305"/>
      <c r="AS199" s="305"/>
      <c r="AT199" s="305"/>
      <c r="AU199" s="305"/>
      <c r="AV199" s="305"/>
      <c r="AW199" s="305"/>
      <c r="AX199" s="305"/>
      <c r="AY199" s="305"/>
      <c r="AZ199" s="305"/>
      <c r="BA199" s="305"/>
      <c r="BB199" s="100" t="s">
        <v>823</v>
      </c>
      <c r="BC199" s="65"/>
      <c r="BD199" s="330" t="s">
        <v>816</v>
      </c>
      <c r="BE199" s="367"/>
      <c r="BF199" s="367"/>
      <c r="BG199" s="368"/>
      <c r="BH199" s="64" t="e">
        <f>#REF!</f>
        <v>#REF!</v>
      </c>
      <c r="BL199" s="73"/>
    </row>
    <row r="200" spans="1:64" s="59" customFormat="1" ht="36" customHeight="1" x14ac:dyDescent="0.3">
      <c r="A200" s="258">
        <f t="shared" si="3"/>
        <v>195</v>
      </c>
      <c r="B200" s="90" t="s">
        <v>824</v>
      </c>
      <c r="C200" s="305" t="s">
        <v>5</v>
      </c>
      <c r="D200" s="305" t="s">
        <v>808</v>
      </c>
      <c r="E200" s="91">
        <v>45818</v>
      </c>
      <c r="F200" s="91"/>
      <c r="G200" s="91"/>
      <c r="H200" s="91"/>
      <c r="I200" s="305" t="s">
        <v>809</v>
      </c>
      <c r="J200" s="90" t="s">
        <v>810</v>
      </c>
      <c r="K200" s="92" t="s">
        <v>606</v>
      </c>
      <c r="L200" s="305">
        <v>1100</v>
      </c>
      <c r="M200" s="369" t="s">
        <v>120</v>
      </c>
      <c r="N200" s="305" t="s">
        <v>127</v>
      </c>
      <c r="O200" s="305"/>
      <c r="P200" s="158"/>
      <c r="Q200" s="305"/>
      <c r="R200" s="305"/>
      <c r="S200" s="305"/>
      <c r="T200" s="305">
        <v>13</v>
      </c>
      <c r="U200" s="305"/>
      <c r="V200" s="305"/>
      <c r="W200" s="305"/>
      <c r="X200" s="369" t="s">
        <v>812</v>
      </c>
      <c r="Y200" s="305"/>
      <c r="Z200" s="305" t="s">
        <v>127</v>
      </c>
      <c r="AA200" s="305"/>
      <c r="AB200" s="305"/>
      <c r="AC200" s="92" t="s">
        <v>825</v>
      </c>
      <c r="AD200" s="369" t="s">
        <v>819</v>
      </c>
      <c r="AE200" s="115"/>
      <c r="AF200" s="115"/>
      <c r="AG200" s="284">
        <v>45792</v>
      </c>
      <c r="AH200" s="140">
        <v>45807</v>
      </c>
      <c r="AI200" s="264">
        <v>45778</v>
      </c>
      <c r="AJ200" s="369" t="s">
        <v>131</v>
      </c>
      <c r="AK200" s="369" t="s">
        <v>166</v>
      </c>
      <c r="AL200" s="369" t="s">
        <v>191</v>
      </c>
      <c r="AM200" s="369" t="s">
        <v>209</v>
      </c>
      <c r="AN200" s="305"/>
      <c r="AO200" s="305"/>
      <c r="AP200" s="305"/>
      <c r="AQ200" s="291"/>
      <c r="AR200" s="305"/>
      <c r="AS200" s="305"/>
      <c r="AT200" s="305"/>
      <c r="AU200" s="305"/>
      <c r="AV200" s="305"/>
      <c r="AW200" s="305"/>
      <c r="AX200" s="305"/>
      <c r="AY200" s="305"/>
      <c r="AZ200" s="305"/>
      <c r="BA200" s="305"/>
      <c r="BB200" s="100"/>
      <c r="BC200" s="65"/>
      <c r="BD200" s="330" t="s">
        <v>816</v>
      </c>
      <c r="BE200" s="367"/>
      <c r="BF200" s="367"/>
      <c r="BG200" s="368"/>
      <c r="BH200" s="64" t="e">
        <f>#REF!</f>
        <v>#REF!</v>
      </c>
      <c r="BL200" s="73"/>
    </row>
    <row r="201" spans="1:64" s="59" customFormat="1" ht="38.4" customHeight="1" x14ac:dyDescent="0.3">
      <c r="A201" s="305">
        <f t="shared" ref="A201:A264" si="4">ROW(B201)-ROW($B$5)</f>
        <v>196</v>
      </c>
      <c r="B201" s="90" t="s">
        <v>826</v>
      </c>
      <c r="C201" s="305" t="s">
        <v>5</v>
      </c>
      <c r="D201" s="305" t="s">
        <v>808</v>
      </c>
      <c r="E201" s="91">
        <v>45897</v>
      </c>
      <c r="F201" s="91">
        <v>45897</v>
      </c>
      <c r="G201" s="91"/>
      <c r="H201" s="91"/>
      <c r="I201" s="305" t="s">
        <v>809</v>
      </c>
      <c r="J201" s="90" t="s">
        <v>810</v>
      </c>
      <c r="K201" s="92" t="s">
        <v>827</v>
      </c>
      <c r="L201" s="305">
        <v>1100</v>
      </c>
      <c r="M201" s="369" t="s">
        <v>120</v>
      </c>
      <c r="N201" s="305" t="s">
        <v>127</v>
      </c>
      <c r="O201" s="305"/>
      <c r="P201" s="158"/>
      <c r="Q201" s="305"/>
      <c r="R201" s="305"/>
      <c r="S201" s="305"/>
      <c r="T201" s="305">
        <v>12</v>
      </c>
      <c r="U201" s="305"/>
      <c r="V201" s="305"/>
      <c r="W201" s="305"/>
      <c r="X201" s="305" t="s">
        <v>269</v>
      </c>
      <c r="Y201" s="305" t="s">
        <v>127</v>
      </c>
      <c r="Z201" s="305"/>
      <c r="AA201" s="305"/>
      <c r="AB201" s="305"/>
      <c r="AC201" s="92" t="s">
        <v>828</v>
      </c>
      <c r="AD201" s="369" t="s">
        <v>625</v>
      </c>
      <c r="AE201" s="115"/>
      <c r="AF201" s="115"/>
      <c r="AG201" s="284">
        <v>45930</v>
      </c>
      <c r="AH201" s="140">
        <v>45899</v>
      </c>
      <c r="AI201" s="264">
        <v>45870</v>
      </c>
      <c r="AJ201" s="95" t="s">
        <v>131</v>
      </c>
      <c r="AK201" s="369" t="s">
        <v>829</v>
      </c>
      <c r="AL201" s="369" t="s">
        <v>830</v>
      </c>
      <c r="AM201" s="369" t="s">
        <v>134</v>
      </c>
      <c r="AN201" s="369"/>
      <c r="AO201" s="369"/>
      <c r="AP201" s="305"/>
      <c r="AQ201" s="371"/>
      <c r="AR201" s="369"/>
      <c r="AS201" s="305"/>
      <c r="AT201" s="293" t="s">
        <v>831</v>
      </c>
      <c r="AU201" s="91">
        <v>45838</v>
      </c>
      <c r="AV201" s="91">
        <v>45866</v>
      </c>
      <c r="AW201" s="91">
        <v>45855</v>
      </c>
      <c r="AX201" s="305"/>
      <c r="AY201" s="305"/>
      <c r="AZ201" s="305"/>
      <c r="BA201" s="305"/>
      <c r="BB201" s="100"/>
      <c r="BC201" s="65"/>
      <c r="BD201" s="80" t="s">
        <v>816</v>
      </c>
      <c r="BE201" s="72"/>
      <c r="BF201" s="367"/>
      <c r="BG201" s="368"/>
      <c r="BH201" s="64" t="e">
        <f>#REF!</f>
        <v>#REF!</v>
      </c>
      <c r="BL201" s="73"/>
    </row>
    <row r="202" spans="1:64" s="59" customFormat="1" ht="36" customHeight="1" x14ac:dyDescent="0.3">
      <c r="A202" s="258">
        <f t="shared" si="4"/>
        <v>197</v>
      </c>
      <c r="B202" s="90" t="s">
        <v>832</v>
      </c>
      <c r="C202" s="305" t="s">
        <v>5</v>
      </c>
      <c r="D202" s="305" t="s">
        <v>808</v>
      </c>
      <c r="E202" s="91">
        <v>45817</v>
      </c>
      <c r="F202" s="91">
        <v>45817</v>
      </c>
      <c r="G202" s="91"/>
      <c r="H202" s="91"/>
      <c r="I202" s="305" t="s">
        <v>809</v>
      </c>
      <c r="J202" s="90" t="s">
        <v>810</v>
      </c>
      <c r="K202" s="92" t="s">
        <v>827</v>
      </c>
      <c r="L202" s="305">
        <v>1100</v>
      </c>
      <c r="M202" s="369" t="s">
        <v>120</v>
      </c>
      <c r="N202" s="305" t="s">
        <v>127</v>
      </c>
      <c r="O202" s="305"/>
      <c r="P202" s="158"/>
      <c r="Q202" s="305"/>
      <c r="R202" s="305"/>
      <c r="S202" s="305"/>
      <c r="T202" s="305">
        <v>12</v>
      </c>
      <c r="U202" s="305"/>
      <c r="V202" s="305"/>
      <c r="W202" s="305"/>
      <c r="X202" s="369" t="s">
        <v>812</v>
      </c>
      <c r="Y202" s="305"/>
      <c r="Z202" s="305"/>
      <c r="AA202" s="305"/>
      <c r="AB202" s="305"/>
      <c r="AC202" s="92" t="s">
        <v>833</v>
      </c>
      <c r="AD202" s="369" t="s">
        <v>819</v>
      </c>
      <c r="AE202" s="115"/>
      <c r="AF202" s="115"/>
      <c r="AG202" s="284">
        <v>45930</v>
      </c>
      <c r="AH202" s="140">
        <v>45807</v>
      </c>
      <c r="AI202" s="264">
        <v>45778</v>
      </c>
      <c r="AJ202" s="95" t="s">
        <v>131</v>
      </c>
      <c r="AK202" s="369" t="s">
        <v>166</v>
      </c>
      <c r="AL202" s="369" t="s">
        <v>191</v>
      </c>
      <c r="AM202" s="369" t="s">
        <v>209</v>
      </c>
      <c r="AN202" s="305"/>
      <c r="AO202" s="305"/>
      <c r="AP202" s="305"/>
      <c r="AQ202" s="291"/>
      <c r="AR202" s="305"/>
      <c r="AS202" s="305"/>
      <c r="AT202" s="305"/>
      <c r="AU202" s="305"/>
      <c r="AV202" s="305"/>
      <c r="AW202" s="305"/>
      <c r="AX202" s="305"/>
      <c r="AY202" s="305"/>
      <c r="AZ202" s="305"/>
      <c r="BA202" s="305"/>
      <c r="BB202" s="92"/>
      <c r="BC202" s="47"/>
      <c r="BD202" s="80" t="s">
        <v>816</v>
      </c>
      <c r="BE202" s="70"/>
      <c r="BF202" s="367"/>
      <c r="BG202" s="368"/>
      <c r="BH202" s="64" t="e">
        <f>#REF!</f>
        <v>#REF!</v>
      </c>
      <c r="BL202" s="73"/>
    </row>
    <row r="203" spans="1:64" s="59" customFormat="1" ht="36" customHeight="1" x14ac:dyDescent="0.3">
      <c r="A203" s="258">
        <f t="shared" si="4"/>
        <v>198</v>
      </c>
      <c r="B203" s="90" t="s">
        <v>834</v>
      </c>
      <c r="C203" s="305" t="s">
        <v>5</v>
      </c>
      <c r="D203" s="305" t="s">
        <v>835</v>
      </c>
      <c r="E203" s="91">
        <v>45813</v>
      </c>
      <c r="F203" s="91">
        <v>45813</v>
      </c>
      <c r="G203" s="91"/>
      <c r="H203" s="91"/>
      <c r="I203" s="305" t="s">
        <v>809</v>
      </c>
      <c r="J203" s="90" t="s">
        <v>810</v>
      </c>
      <c r="K203" s="92" t="s">
        <v>836</v>
      </c>
      <c r="L203" s="305">
        <v>1100</v>
      </c>
      <c r="M203" s="369" t="s">
        <v>65</v>
      </c>
      <c r="N203" s="305" t="s">
        <v>127</v>
      </c>
      <c r="O203" s="305"/>
      <c r="P203" s="158"/>
      <c r="Q203" s="305"/>
      <c r="R203" s="305"/>
      <c r="S203" s="305"/>
      <c r="T203" s="305">
        <v>13</v>
      </c>
      <c r="U203" s="305"/>
      <c r="V203" s="305"/>
      <c r="W203" s="305"/>
      <c r="X203" s="369" t="s">
        <v>812</v>
      </c>
      <c r="Y203" s="305"/>
      <c r="Z203" s="305"/>
      <c r="AA203" s="305"/>
      <c r="AB203" s="305"/>
      <c r="AC203" s="117" t="s">
        <v>837</v>
      </c>
      <c r="AD203" s="369" t="s">
        <v>814</v>
      </c>
      <c r="AE203" s="115"/>
      <c r="AF203" s="115"/>
      <c r="AG203" s="284">
        <v>45838</v>
      </c>
      <c r="AH203" s="140">
        <v>45807</v>
      </c>
      <c r="AI203" s="264">
        <v>45778</v>
      </c>
      <c r="AJ203" s="95" t="s">
        <v>131</v>
      </c>
      <c r="AK203" s="369" t="s">
        <v>166</v>
      </c>
      <c r="AL203" s="369" t="s">
        <v>191</v>
      </c>
      <c r="AM203" s="369" t="s">
        <v>209</v>
      </c>
      <c r="AN203" s="305"/>
      <c r="AO203" s="305"/>
      <c r="AP203" s="305"/>
      <c r="AQ203" s="291"/>
      <c r="AR203" s="305"/>
      <c r="AS203" s="305"/>
      <c r="AT203" s="305"/>
      <c r="AU203" s="305"/>
      <c r="AV203" s="305"/>
      <c r="AW203" s="305"/>
      <c r="AX203" s="305"/>
      <c r="AY203" s="305"/>
      <c r="AZ203" s="305"/>
      <c r="BA203" s="305"/>
      <c r="BB203" s="100"/>
      <c r="BC203" s="65"/>
      <c r="BD203" s="80" t="s">
        <v>816</v>
      </c>
      <c r="BE203" s="367"/>
      <c r="BF203" s="367"/>
      <c r="BG203" s="368"/>
      <c r="BH203" s="64" t="e">
        <f>#REF!</f>
        <v>#REF!</v>
      </c>
      <c r="BL203" s="73"/>
    </row>
    <row r="204" spans="1:64" s="59" customFormat="1" ht="36" customHeight="1" x14ac:dyDescent="0.3">
      <c r="A204" s="258">
        <f t="shared" si="4"/>
        <v>199</v>
      </c>
      <c r="B204" s="90" t="s">
        <v>838</v>
      </c>
      <c r="C204" s="305" t="s">
        <v>5</v>
      </c>
      <c r="D204" s="305" t="s">
        <v>835</v>
      </c>
      <c r="E204" s="91">
        <v>45817</v>
      </c>
      <c r="F204" s="91">
        <v>45817</v>
      </c>
      <c r="G204" s="91"/>
      <c r="H204" s="91"/>
      <c r="I204" s="305" t="s">
        <v>809</v>
      </c>
      <c r="J204" s="90" t="s">
        <v>810</v>
      </c>
      <c r="K204" s="92" t="s">
        <v>836</v>
      </c>
      <c r="L204" s="305">
        <v>1100</v>
      </c>
      <c r="M204" s="369" t="s">
        <v>65</v>
      </c>
      <c r="N204" s="305" t="s">
        <v>127</v>
      </c>
      <c r="O204" s="305"/>
      <c r="P204" s="158"/>
      <c r="Q204" s="305"/>
      <c r="R204" s="305"/>
      <c r="S204" s="305"/>
      <c r="T204" s="305">
        <v>13</v>
      </c>
      <c r="U204" s="305"/>
      <c r="V204" s="305"/>
      <c r="W204" s="305"/>
      <c r="X204" s="369" t="s">
        <v>812</v>
      </c>
      <c r="Y204" s="305"/>
      <c r="Z204" s="305"/>
      <c r="AA204" s="305"/>
      <c r="AB204" s="305"/>
      <c r="AC204" s="117" t="s">
        <v>839</v>
      </c>
      <c r="AD204" s="369" t="s">
        <v>819</v>
      </c>
      <c r="AE204" s="115"/>
      <c r="AF204" s="115"/>
      <c r="AG204" s="284">
        <v>45838</v>
      </c>
      <c r="AH204" s="140">
        <v>45807</v>
      </c>
      <c r="AI204" s="264">
        <v>45778</v>
      </c>
      <c r="AJ204" s="95" t="s">
        <v>131</v>
      </c>
      <c r="AK204" s="369" t="s">
        <v>166</v>
      </c>
      <c r="AL204" s="369" t="s">
        <v>191</v>
      </c>
      <c r="AM204" s="369" t="s">
        <v>209</v>
      </c>
      <c r="AN204" s="369"/>
      <c r="AO204" s="369"/>
      <c r="AP204" s="305"/>
      <c r="AQ204" s="371"/>
      <c r="AR204" s="369"/>
      <c r="AS204" s="305"/>
      <c r="AT204" s="305"/>
      <c r="AU204" s="305"/>
      <c r="AV204" s="305"/>
      <c r="AW204" s="305"/>
      <c r="AX204" s="305"/>
      <c r="AY204" s="305"/>
      <c r="AZ204" s="305"/>
      <c r="BA204" s="305"/>
      <c r="BB204" s="100"/>
      <c r="BC204" s="65"/>
      <c r="BD204" s="80" t="s">
        <v>816</v>
      </c>
      <c r="BE204" s="367"/>
      <c r="BF204" s="367"/>
      <c r="BG204" s="368"/>
      <c r="BH204" s="64" t="e">
        <f>#REF!</f>
        <v>#REF!</v>
      </c>
      <c r="BL204" s="73"/>
    </row>
    <row r="205" spans="1:64" s="59" customFormat="1" ht="36" customHeight="1" x14ac:dyDescent="0.3">
      <c r="A205" s="305">
        <f t="shared" si="4"/>
        <v>200</v>
      </c>
      <c r="B205" s="90" t="s">
        <v>840</v>
      </c>
      <c r="C205" s="305" t="s">
        <v>5</v>
      </c>
      <c r="D205" s="369" t="s">
        <v>835</v>
      </c>
      <c r="E205" s="91">
        <v>45821</v>
      </c>
      <c r="F205" s="91">
        <v>45821</v>
      </c>
      <c r="G205" s="91"/>
      <c r="H205" s="91"/>
      <c r="I205" s="305" t="s">
        <v>809</v>
      </c>
      <c r="J205" s="90" t="s">
        <v>810</v>
      </c>
      <c r="K205" s="92" t="s">
        <v>841</v>
      </c>
      <c r="L205" s="305"/>
      <c r="M205" s="369"/>
      <c r="N205" s="305" t="s">
        <v>127</v>
      </c>
      <c r="O205" s="305"/>
      <c r="P205" s="158"/>
      <c r="Q205" s="305"/>
      <c r="R205" s="305"/>
      <c r="S205" s="305"/>
      <c r="T205" s="305"/>
      <c r="U205" s="305"/>
      <c r="V205" s="305"/>
      <c r="W205" s="305"/>
      <c r="X205" s="369" t="s">
        <v>812</v>
      </c>
      <c r="Y205" s="305"/>
      <c r="Z205" s="305"/>
      <c r="AA205" s="305"/>
      <c r="AB205" s="305"/>
      <c r="AC205" s="92" t="s">
        <v>842</v>
      </c>
      <c r="AD205" s="369" t="s">
        <v>55</v>
      </c>
      <c r="AE205" s="115"/>
      <c r="AF205" s="115"/>
      <c r="AG205" s="284">
        <v>45838</v>
      </c>
      <c r="AH205" s="140">
        <v>45823</v>
      </c>
      <c r="AI205" s="264">
        <v>45748</v>
      </c>
      <c r="AJ205" s="95" t="s">
        <v>131</v>
      </c>
      <c r="AK205" s="369" t="s">
        <v>161</v>
      </c>
      <c r="AL205" s="369" t="s">
        <v>175</v>
      </c>
      <c r="AM205" s="369" t="s">
        <v>134</v>
      </c>
      <c r="AN205" s="305"/>
      <c r="AO205" s="305"/>
      <c r="AP205" s="305"/>
      <c r="AQ205" s="291"/>
      <c r="AR205" s="305"/>
      <c r="AS205" s="305"/>
      <c r="AT205" s="91">
        <v>45767</v>
      </c>
      <c r="AU205" s="91">
        <v>45713</v>
      </c>
      <c r="AV205" s="91">
        <v>45748</v>
      </c>
      <c r="AW205" s="91">
        <v>45734</v>
      </c>
      <c r="AX205" s="305"/>
      <c r="AY205" s="305"/>
      <c r="AZ205" s="305"/>
      <c r="BA205" s="305"/>
      <c r="BB205" s="100"/>
      <c r="BC205" s="65"/>
      <c r="BD205" s="80" t="s">
        <v>816</v>
      </c>
      <c r="BE205" s="367"/>
      <c r="BF205" s="367"/>
      <c r="BG205" s="368"/>
      <c r="BH205" s="64" t="e">
        <f>#REF!</f>
        <v>#REF!</v>
      </c>
      <c r="BL205" s="73"/>
    </row>
    <row r="206" spans="1:64" s="59" customFormat="1" ht="36" customHeight="1" x14ac:dyDescent="0.3">
      <c r="A206" s="258">
        <f t="shared" si="4"/>
        <v>201</v>
      </c>
      <c r="B206" s="90" t="s">
        <v>843</v>
      </c>
      <c r="C206" s="305" t="s">
        <v>5</v>
      </c>
      <c r="D206" s="305" t="s">
        <v>835</v>
      </c>
      <c r="E206" s="91">
        <v>45813</v>
      </c>
      <c r="F206" s="91">
        <v>45813</v>
      </c>
      <c r="G206" s="91"/>
      <c r="H206" s="91"/>
      <c r="I206" s="305" t="s">
        <v>809</v>
      </c>
      <c r="J206" s="90" t="s">
        <v>810</v>
      </c>
      <c r="K206" s="92" t="s">
        <v>844</v>
      </c>
      <c r="L206" s="305">
        <v>1100</v>
      </c>
      <c r="M206" s="369" t="s">
        <v>65</v>
      </c>
      <c r="N206" s="305" t="s">
        <v>127</v>
      </c>
      <c r="O206" s="305"/>
      <c r="P206" s="158"/>
      <c r="Q206" s="305"/>
      <c r="R206" s="305"/>
      <c r="S206" s="305"/>
      <c r="T206" s="305">
        <v>13</v>
      </c>
      <c r="U206" s="305"/>
      <c r="V206" s="305"/>
      <c r="W206" s="305"/>
      <c r="X206" s="369" t="s">
        <v>812</v>
      </c>
      <c r="Y206" s="305"/>
      <c r="Z206" s="305"/>
      <c r="AA206" s="305"/>
      <c r="AB206" s="305"/>
      <c r="AC206" s="92" t="s">
        <v>845</v>
      </c>
      <c r="AD206" s="369" t="s">
        <v>814</v>
      </c>
      <c r="AE206" s="115"/>
      <c r="AF206" s="115"/>
      <c r="AG206" s="284">
        <v>45838</v>
      </c>
      <c r="AH206" s="140">
        <v>45802</v>
      </c>
      <c r="AI206" s="264">
        <v>45778</v>
      </c>
      <c r="AJ206" s="95" t="s">
        <v>131</v>
      </c>
      <c r="AK206" s="369" t="s">
        <v>166</v>
      </c>
      <c r="AL206" s="369" t="s">
        <v>191</v>
      </c>
      <c r="AM206" s="369" t="s">
        <v>209</v>
      </c>
      <c r="AN206" s="305"/>
      <c r="AO206" s="305"/>
      <c r="AP206" s="305"/>
      <c r="AQ206" s="291"/>
      <c r="AR206" s="305"/>
      <c r="AS206" s="305"/>
      <c r="AT206" s="305"/>
      <c r="AU206" s="305"/>
      <c r="AV206" s="305"/>
      <c r="AW206" s="305"/>
      <c r="AX206" s="305"/>
      <c r="AY206" s="305"/>
      <c r="AZ206" s="305"/>
      <c r="BA206" s="305"/>
      <c r="BB206" s="100"/>
      <c r="BC206" s="65"/>
      <c r="BD206" s="80" t="s">
        <v>816</v>
      </c>
      <c r="BE206" s="367"/>
      <c r="BF206" s="367"/>
      <c r="BG206" s="368"/>
      <c r="BH206" s="64" t="e">
        <f>#REF!</f>
        <v>#REF!</v>
      </c>
      <c r="BL206" s="73"/>
    </row>
    <row r="207" spans="1:64" s="59" customFormat="1" ht="36" customHeight="1" x14ac:dyDescent="0.3">
      <c r="A207" s="258">
        <f t="shared" si="4"/>
        <v>202</v>
      </c>
      <c r="B207" s="90" t="s">
        <v>846</v>
      </c>
      <c r="C207" s="305" t="s">
        <v>5</v>
      </c>
      <c r="D207" s="305" t="s">
        <v>835</v>
      </c>
      <c r="E207" s="91">
        <v>45817</v>
      </c>
      <c r="F207" s="91">
        <v>45817</v>
      </c>
      <c r="G207" s="91"/>
      <c r="H207" s="91"/>
      <c r="I207" s="305" t="s">
        <v>809</v>
      </c>
      <c r="J207" s="90" t="s">
        <v>810</v>
      </c>
      <c r="K207" s="92" t="s">
        <v>844</v>
      </c>
      <c r="L207" s="305">
        <v>1100</v>
      </c>
      <c r="M207" s="369" t="s">
        <v>65</v>
      </c>
      <c r="N207" s="305" t="s">
        <v>127</v>
      </c>
      <c r="O207" s="305"/>
      <c r="P207" s="158"/>
      <c r="Q207" s="305"/>
      <c r="R207" s="305"/>
      <c r="S207" s="305"/>
      <c r="T207" s="305">
        <v>13</v>
      </c>
      <c r="U207" s="305"/>
      <c r="V207" s="305"/>
      <c r="W207" s="305"/>
      <c r="X207" s="369" t="s">
        <v>812</v>
      </c>
      <c r="Y207" s="305"/>
      <c r="Z207" s="305"/>
      <c r="AA207" s="305"/>
      <c r="AB207" s="305"/>
      <c r="AC207" s="92" t="s">
        <v>847</v>
      </c>
      <c r="AD207" s="369" t="s">
        <v>819</v>
      </c>
      <c r="AE207" s="115"/>
      <c r="AF207" s="115"/>
      <c r="AG207" s="284">
        <v>45838</v>
      </c>
      <c r="AH207" s="140">
        <v>45802</v>
      </c>
      <c r="AI207" s="264">
        <v>45778</v>
      </c>
      <c r="AJ207" s="95" t="s">
        <v>131</v>
      </c>
      <c r="AK207" s="369" t="s">
        <v>166</v>
      </c>
      <c r="AL207" s="369" t="s">
        <v>191</v>
      </c>
      <c r="AM207" s="369" t="s">
        <v>209</v>
      </c>
      <c r="AN207" s="305"/>
      <c r="AO207" s="305"/>
      <c r="AP207" s="305"/>
      <c r="AQ207" s="291"/>
      <c r="AR207" s="305"/>
      <c r="AS207" s="305"/>
      <c r="AT207" s="305"/>
      <c r="AU207" s="305"/>
      <c r="AV207" s="305"/>
      <c r="AW207" s="305"/>
      <c r="AX207" s="305"/>
      <c r="AY207" s="305"/>
      <c r="AZ207" s="305"/>
      <c r="BA207" s="305"/>
      <c r="BB207" s="100"/>
      <c r="BC207" s="65"/>
      <c r="BD207" s="80" t="s">
        <v>816</v>
      </c>
      <c r="BE207" s="367"/>
      <c r="BF207" s="367"/>
      <c r="BG207" s="368"/>
      <c r="BH207" s="64" t="e">
        <f>#REF!</f>
        <v>#REF!</v>
      </c>
      <c r="BL207" s="73"/>
    </row>
    <row r="208" spans="1:64" s="59" customFormat="1" ht="36" customHeight="1" x14ac:dyDescent="0.3">
      <c r="A208" s="258">
        <f t="shared" si="4"/>
        <v>203</v>
      </c>
      <c r="B208" s="90" t="s">
        <v>848</v>
      </c>
      <c r="C208" s="305" t="s">
        <v>5</v>
      </c>
      <c r="D208" s="305" t="s">
        <v>835</v>
      </c>
      <c r="E208" s="91">
        <v>45813</v>
      </c>
      <c r="F208" s="91">
        <v>45813</v>
      </c>
      <c r="G208" s="91"/>
      <c r="H208" s="91"/>
      <c r="I208" s="305" t="s">
        <v>809</v>
      </c>
      <c r="J208" s="90" t="s">
        <v>810</v>
      </c>
      <c r="K208" s="92" t="s">
        <v>849</v>
      </c>
      <c r="L208" s="305">
        <v>1100</v>
      </c>
      <c r="M208" s="369" t="s">
        <v>65</v>
      </c>
      <c r="N208" s="305" t="s">
        <v>127</v>
      </c>
      <c r="O208" s="305"/>
      <c r="P208" s="158"/>
      <c r="Q208" s="305"/>
      <c r="R208" s="305"/>
      <c r="S208" s="305"/>
      <c r="T208" s="305">
        <v>19</v>
      </c>
      <c r="U208" s="305"/>
      <c r="V208" s="305"/>
      <c r="W208" s="305"/>
      <c r="X208" s="369" t="s">
        <v>812</v>
      </c>
      <c r="Y208" s="305"/>
      <c r="Z208" s="305"/>
      <c r="AA208" s="305"/>
      <c r="AB208" s="305"/>
      <c r="AC208" s="92" t="s">
        <v>850</v>
      </c>
      <c r="AD208" s="369" t="s">
        <v>814</v>
      </c>
      <c r="AE208" s="115"/>
      <c r="AF208" s="115"/>
      <c r="AG208" s="284">
        <v>45950</v>
      </c>
      <c r="AH208" s="140">
        <v>45802</v>
      </c>
      <c r="AI208" s="264">
        <v>45778</v>
      </c>
      <c r="AJ208" s="95" t="s">
        <v>131</v>
      </c>
      <c r="AK208" s="369" t="s">
        <v>166</v>
      </c>
      <c r="AL208" s="369" t="s">
        <v>191</v>
      </c>
      <c r="AM208" s="369" t="s">
        <v>209</v>
      </c>
      <c r="AN208" s="305"/>
      <c r="AO208" s="305"/>
      <c r="AP208" s="305"/>
      <c r="AQ208" s="291"/>
      <c r="AR208" s="305"/>
      <c r="AS208" s="305"/>
      <c r="AT208" s="305"/>
      <c r="AU208" s="305"/>
      <c r="AV208" s="305"/>
      <c r="AW208" s="305"/>
      <c r="AX208" s="305"/>
      <c r="AY208" s="305"/>
      <c r="AZ208" s="305"/>
      <c r="BA208" s="305"/>
      <c r="BB208" s="100"/>
      <c r="BC208" s="65"/>
      <c r="BD208" s="80" t="s">
        <v>816</v>
      </c>
      <c r="BE208" s="367"/>
      <c r="BF208" s="367"/>
      <c r="BG208" s="368"/>
      <c r="BH208" s="64" t="e">
        <f>#REF!</f>
        <v>#REF!</v>
      </c>
      <c r="BL208" s="73"/>
    </row>
    <row r="209" spans="1:64" s="59" customFormat="1" ht="36" customHeight="1" x14ac:dyDescent="0.3">
      <c r="A209" s="258">
        <f t="shared" si="4"/>
        <v>204</v>
      </c>
      <c r="B209" s="90" t="s">
        <v>851</v>
      </c>
      <c r="C209" s="305" t="s">
        <v>5</v>
      </c>
      <c r="D209" s="305" t="s">
        <v>852</v>
      </c>
      <c r="E209" s="91">
        <v>45819</v>
      </c>
      <c r="F209" s="91">
        <v>45819</v>
      </c>
      <c r="G209" s="91"/>
      <c r="H209" s="91"/>
      <c r="I209" s="305" t="s">
        <v>809</v>
      </c>
      <c r="J209" s="90" t="s">
        <v>810</v>
      </c>
      <c r="K209" s="92" t="s">
        <v>849</v>
      </c>
      <c r="L209" s="305">
        <v>1100</v>
      </c>
      <c r="M209" s="369" t="s">
        <v>65</v>
      </c>
      <c r="N209" s="305" t="s">
        <v>127</v>
      </c>
      <c r="O209" s="305"/>
      <c r="P209" s="158"/>
      <c r="Q209" s="305"/>
      <c r="R209" s="305"/>
      <c r="S209" s="305"/>
      <c r="T209" s="305">
        <v>19</v>
      </c>
      <c r="U209" s="305"/>
      <c r="V209" s="305"/>
      <c r="W209" s="305"/>
      <c r="X209" s="369" t="s">
        <v>812</v>
      </c>
      <c r="Y209" s="305"/>
      <c r="Z209" s="305"/>
      <c r="AA209" s="305"/>
      <c r="AB209" s="305"/>
      <c r="AC209" s="92" t="s">
        <v>853</v>
      </c>
      <c r="AD209" s="369" t="s">
        <v>819</v>
      </c>
      <c r="AE209" s="115"/>
      <c r="AF209" s="115"/>
      <c r="AG209" s="284">
        <v>45950</v>
      </c>
      <c r="AH209" s="140">
        <v>45802</v>
      </c>
      <c r="AI209" s="264">
        <v>45778</v>
      </c>
      <c r="AJ209" s="95" t="s">
        <v>131</v>
      </c>
      <c r="AK209" s="369" t="s">
        <v>166</v>
      </c>
      <c r="AL209" s="369" t="s">
        <v>191</v>
      </c>
      <c r="AM209" s="369" t="s">
        <v>209</v>
      </c>
      <c r="AN209" s="305"/>
      <c r="AO209" s="305"/>
      <c r="AP209" s="305"/>
      <c r="AQ209" s="291"/>
      <c r="AR209" s="305"/>
      <c r="AS209" s="305"/>
      <c r="AT209" s="305"/>
      <c r="AU209" s="305"/>
      <c r="AV209" s="305"/>
      <c r="AW209" s="305"/>
      <c r="AX209" s="305"/>
      <c r="AY209" s="305"/>
      <c r="AZ209" s="305"/>
      <c r="BA209" s="305"/>
      <c r="BB209" s="100"/>
      <c r="BC209" s="65"/>
      <c r="BD209" s="80" t="s">
        <v>816</v>
      </c>
      <c r="BE209" s="367"/>
      <c r="BF209" s="367"/>
      <c r="BG209" s="368"/>
      <c r="BH209" s="64" t="e">
        <f>#REF!</f>
        <v>#REF!</v>
      </c>
      <c r="BL209" s="73"/>
    </row>
    <row r="210" spans="1:64" s="59" customFormat="1" ht="36" customHeight="1" x14ac:dyDescent="0.3">
      <c r="A210" s="258">
        <f t="shared" si="4"/>
        <v>205</v>
      </c>
      <c r="B210" s="90" t="s">
        <v>854</v>
      </c>
      <c r="C210" s="305" t="s">
        <v>5</v>
      </c>
      <c r="D210" s="305" t="s">
        <v>852</v>
      </c>
      <c r="E210" s="91">
        <v>45817</v>
      </c>
      <c r="F210" s="91">
        <v>45817</v>
      </c>
      <c r="G210" s="91"/>
      <c r="H210" s="91"/>
      <c r="I210" s="305" t="s">
        <v>809</v>
      </c>
      <c r="J210" s="90" t="s">
        <v>674</v>
      </c>
      <c r="K210" s="92" t="s">
        <v>855</v>
      </c>
      <c r="L210" s="305">
        <v>1100</v>
      </c>
      <c r="M210" s="369" t="s">
        <v>65</v>
      </c>
      <c r="N210" s="305" t="s">
        <v>127</v>
      </c>
      <c r="O210" s="305"/>
      <c r="P210" s="158"/>
      <c r="Q210" s="305"/>
      <c r="R210" s="305"/>
      <c r="S210" s="305"/>
      <c r="T210" s="305">
        <v>19</v>
      </c>
      <c r="U210" s="305"/>
      <c r="V210" s="305"/>
      <c r="W210" s="305"/>
      <c r="X210" s="369" t="s">
        <v>812</v>
      </c>
      <c r="Y210" s="305"/>
      <c r="Z210" s="305"/>
      <c r="AA210" s="305"/>
      <c r="AB210" s="305"/>
      <c r="AC210" s="92" t="s">
        <v>856</v>
      </c>
      <c r="AD210" s="369" t="s">
        <v>814</v>
      </c>
      <c r="AE210" s="115"/>
      <c r="AF210" s="115"/>
      <c r="AG210" s="284">
        <v>45838</v>
      </c>
      <c r="AH210" s="140">
        <v>45802</v>
      </c>
      <c r="AI210" s="264">
        <v>45778</v>
      </c>
      <c r="AJ210" s="95" t="s">
        <v>131</v>
      </c>
      <c r="AK210" s="369" t="s">
        <v>166</v>
      </c>
      <c r="AL210" s="369" t="s">
        <v>191</v>
      </c>
      <c r="AM210" s="369" t="s">
        <v>209</v>
      </c>
      <c r="AN210" s="305"/>
      <c r="AO210" s="305"/>
      <c r="AP210" s="305"/>
      <c r="AQ210" s="291"/>
      <c r="AR210" s="305"/>
      <c r="AS210" s="305"/>
      <c r="AT210" s="305"/>
      <c r="AU210" s="305"/>
      <c r="AV210" s="305"/>
      <c r="AW210" s="305"/>
      <c r="AX210" s="305"/>
      <c r="AY210" s="305"/>
      <c r="AZ210" s="305"/>
      <c r="BA210" s="305"/>
      <c r="BB210" s="100"/>
      <c r="BC210" s="65"/>
      <c r="BD210" s="330" t="s">
        <v>816</v>
      </c>
      <c r="BE210" s="367"/>
      <c r="BF210" s="367"/>
      <c r="BG210" s="368"/>
      <c r="BH210" s="64" t="e">
        <f>#REF!</f>
        <v>#REF!</v>
      </c>
      <c r="BL210" s="73"/>
    </row>
    <row r="211" spans="1:64" s="59" customFormat="1" ht="36" customHeight="1" x14ac:dyDescent="0.3">
      <c r="A211" s="258">
        <f t="shared" si="4"/>
        <v>206</v>
      </c>
      <c r="B211" s="90" t="s">
        <v>857</v>
      </c>
      <c r="C211" s="305" t="s">
        <v>5</v>
      </c>
      <c r="D211" s="305" t="s">
        <v>852</v>
      </c>
      <c r="E211" s="91">
        <v>45819</v>
      </c>
      <c r="F211" s="91">
        <v>45819</v>
      </c>
      <c r="G211" s="91"/>
      <c r="H211" s="91"/>
      <c r="I211" s="305" t="s">
        <v>809</v>
      </c>
      <c r="J211" s="90" t="s">
        <v>674</v>
      </c>
      <c r="K211" s="92" t="s">
        <v>855</v>
      </c>
      <c r="L211" s="305">
        <v>1100</v>
      </c>
      <c r="M211" s="369" t="s">
        <v>65</v>
      </c>
      <c r="N211" s="305" t="s">
        <v>127</v>
      </c>
      <c r="O211" s="305"/>
      <c r="P211" s="158"/>
      <c r="Q211" s="305"/>
      <c r="R211" s="305"/>
      <c r="S211" s="305"/>
      <c r="T211" s="305">
        <v>19</v>
      </c>
      <c r="U211" s="305"/>
      <c r="V211" s="305"/>
      <c r="W211" s="305"/>
      <c r="X211" s="369" t="s">
        <v>812</v>
      </c>
      <c r="Y211" s="305"/>
      <c r="Z211" s="305"/>
      <c r="AA211" s="305"/>
      <c r="AB211" s="305"/>
      <c r="AC211" s="92" t="s">
        <v>858</v>
      </c>
      <c r="AD211" s="369" t="s">
        <v>819</v>
      </c>
      <c r="AE211" s="115"/>
      <c r="AF211" s="115"/>
      <c r="AG211" s="284">
        <v>45838</v>
      </c>
      <c r="AH211" s="140">
        <v>45802</v>
      </c>
      <c r="AI211" s="264">
        <v>45778</v>
      </c>
      <c r="AJ211" s="369" t="s">
        <v>131</v>
      </c>
      <c r="AK211" s="369" t="s">
        <v>166</v>
      </c>
      <c r="AL211" s="369" t="s">
        <v>191</v>
      </c>
      <c r="AM211" s="369" t="s">
        <v>209</v>
      </c>
      <c r="AN211" s="305"/>
      <c r="AO211" s="305"/>
      <c r="AP211" s="305"/>
      <c r="AQ211" s="291"/>
      <c r="AR211" s="305"/>
      <c r="AS211" s="305"/>
      <c r="AT211" s="305"/>
      <c r="AU211" s="305"/>
      <c r="AV211" s="305"/>
      <c r="AW211" s="305"/>
      <c r="AX211" s="305"/>
      <c r="AY211" s="305"/>
      <c r="AZ211" s="305"/>
      <c r="BA211" s="305"/>
      <c r="BB211" s="100"/>
      <c r="BC211" s="65"/>
      <c r="BD211" s="330" t="s">
        <v>816</v>
      </c>
      <c r="BE211" s="367"/>
      <c r="BF211" s="367"/>
      <c r="BG211" s="368"/>
      <c r="BH211" s="64" t="e">
        <f>#REF!</f>
        <v>#REF!</v>
      </c>
      <c r="BL211" s="73"/>
    </row>
    <row r="212" spans="1:64" s="59" customFormat="1" ht="44.4" customHeight="1" x14ac:dyDescent="0.3">
      <c r="A212" s="258">
        <f t="shared" si="4"/>
        <v>207</v>
      </c>
      <c r="B212" s="90" t="s">
        <v>859</v>
      </c>
      <c r="C212" s="305" t="s">
        <v>5</v>
      </c>
      <c r="D212" s="305" t="s">
        <v>852</v>
      </c>
      <c r="E212" s="91">
        <v>45813</v>
      </c>
      <c r="F212" s="91">
        <v>45813</v>
      </c>
      <c r="G212" s="91"/>
      <c r="H212" s="91"/>
      <c r="I212" s="305" t="s">
        <v>809</v>
      </c>
      <c r="J212" s="90" t="s">
        <v>674</v>
      </c>
      <c r="K212" s="92" t="s">
        <v>860</v>
      </c>
      <c r="L212" s="305">
        <v>1100</v>
      </c>
      <c r="M212" s="369" t="s">
        <v>65</v>
      </c>
      <c r="N212" s="305" t="s">
        <v>127</v>
      </c>
      <c r="O212" s="110"/>
      <c r="P212" s="310"/>
      <c r="Q212" s="110"/>
      <c r="R212" s="110"/>
      <c r="S212" s="110"/>
      <c r="T212" s="110">
        <v>19</v>
      </c>
      <c r="U212" s="110"/>
      <c r="V212" s="110"/>
      <c r="W212" s="110"/>
      <c r="X212" s="369" t="s">
        <v>812</v>
      </c>
      <c r="Y212" s="110"/>
      <c r="Z212" s="110"/>
      <c r="AA212" s="110"/>
      <c r="AB212" s="110"/>
      <c r="AC212" s="92" t="s">
        <v>861</v>
      </c>
      <c r="AD212" s="369" t="s">
        <v>814</v>
      </c>
      <c r="AE212" s="115"/>
      <c r="AF212" s="115"/>
      <c r="AG212" s="284">
        <v>45838</v>
      </c>
      <c r="AH212" s="140">
        <v>45802</v>
      </c>
      <c r="AI212" s="264">
        <v>45778</v>
      </c>
      <c r="AJ212" s="95" t="s">
        <v>131</v>
      </c>
      <c r="AK212" s="369" t="s">
        <v>166</v>
      </c>
      <c r="AL212" s="369" t="s">
        <v>191</v>
      </c>
      <c r="AM212" s="369" t="s">
        <v>209</v>
      </c>
      <c r="AN212" s="369"/>
      <c r="AO212" s="369"/>
      <c r="AP212" s="305"/>
      <c r="AQ212" s="371"/>
      <c r="AR212" s="369"/>
      <c r="AS212" s="305"/>
      <c r="AT212" s="305"/>
      <c r="AU212" s="305"/>
      <c r="AV212" s="305"/>
      <c r="AW212" s="305"/>
      <c r="AX212" s="305"/>
      <c r="AY212" s="305"/>
      <c r="AZ212" s="305"/>
      <c r="BA212" s="305"/>
      <c r="BB212" s="100"/>
      <c r="BC212" s="65"/>
      <c r="BD212" s="80" t="s">
        <v>816</v>
      </c>
      <c r="BE212" s="72"/>
      <c r="BF212" s="367"/>
      <c r="BG212" s="368"/>
      <c r="BH212" s="64" t="e">
        <f>#REF!</f>
        <v>#REF!</v>
      </c>
      <c r="BL212" s="73"/>
    </row>
    <row r="213" spans="1:64" s="59" customFormat="1" ht="36" customHeight="1" x14ac:dyDescent="0.3">
      <c r="A213" s="258">
        <f t="shared" si="4"/>
        <v>208</v>
      </c>
      <c r="B213" s="90" t="s">
        <v>862</v>
      </c>
      <c r="C213" s="305" t="s">
        <v>5</v>
      </c>
      <c r="D213" s="305" t="s">
        <v>852</v>
      </c>
      <c r="E213" s="91">
        <v>45819</v>
      </c>
      <c r="F213" s="91">
        <v>45819</v>
      </c>
      <c r="G213" s="91"/>
      <c r="H213" s="91"/>
      <c r="I213" s="305" t="s">
        <v>809</v>
      </c>
      <c r="J213" s="90" t="s">
        <v>674</v>
      </c>
      <c r="K213" s="92" t="s">
        <v>860</v>
      </c>
      <c r="L213" s="305">
        <v>1100</v>
      </c>
      <c r="M213" s="369" t="s">
        <v>65</v>
      </c>
      <c r="N213" s="305" t="s">
        <v>127</v>
      </c>
      <c r="O213" s="305"/>
      <c r="P213" s="158"/>
      <c r="Q213" s="305"/>
      <c r="R213" s="305"/>
      <c r="S213" s="305"/>
      <c r="T213" s="305">
        <v>19</v>
      </c>
      <c r="U213" s="305"/>
      <c r="V213" s="305"/>
      <c r="W213" s="305"/>
      <c r="X213" s="369" t="s">
        <v>812</v>
      </c>
      <c r="Y213" s="305"/>
      <c r="Z213" s="305"/>
      <c r="AA213" s="305"/>
      <c r="AB213" s="305"/>
      <c r="AC213" s="92" t="s">
        <v>863</v>
      </c>
      <c r="AD213" s="369" t="s">
        <v>819</v>
      </c>
      <c r="AE213" s="118"/>
      <c r="AF213" s="118"/>
      <c r="AG213" s="285">
        <v>45838</v>
      </c>
      <c r="AH213" s="140">
        <v>45802</v>
      </c>
      <c r="AI213" s="264">
        <v>45778</v>
      </c>
      <c r="AJ213" s="95" t="s">
        <v>131</v>
      </c>
      <c r="AK213" s="369" t="s">
        <v>166</v>
      </c>
      <c r="AL213" s="369" t="s">
        <v>191</v>
      </c>
      <c r="AM213" s="369" t="s">
        <v>209</v>
      </c>
      <c r="AN213" s="305"/>
      <c r="AO213" s="305"/>
      <c r="AP213" s="305"/>
      <c r="AQ213" s="291"/>
      <c r="AR213" s="305"/>
      <c r="AS213" s="305"/>
      <c r="AT213" s="305"/>
      <c r="AU213" s="305"/>
      <c r="AV213" s="305"/>
      <c r="AW213" s="305"/>
      <c r="AX213" s="305"/>
      <c r="AY213" s="305"/>
      <c r="AZ213" s="305"/>
      <c r="BA213" s="305"/>
      <c r="BB213" s="92"/>
      <c r="BC213" s="47"/>
      <c r="BD213" s="80" t="s">
        <v>816</v>
      </c>
      <c r="BE213" s="70"/>
      <c r="BF213" s="367"/>
      <c r="BG213" s="368"/>
      <c r="BH213" s="64" t="e">
        <f>#REF!</f>
        <v>#REF!</v>
      </c>
      <c r="BL213" s="73"/>
    </row>
    <row r="214" spans="1:64" s="59" customFormat="1" ht="36" customHeight="1" x14ac:dyDescent="0.3">
      <c r="A214" s="258">
        <f t="shared" si="4"/>
        <v>209</v>
      </c>
      <c r="B214" s="90" t="s">
        <v>864</v>
      </c>
      <c r="C214" s="305" t="s">
        <v>5</v>
      </c>
      <c r="D214" s="305" t="s">
        <v>852</v>
      </c>
      <c r="E214" s="91">
        <v>45817</v>
      </c>
      <c r="F214" s="91">
        <v>45817</v>
      </c>
      <c r="G214" s="91"/>
      <c r="H214" s="91"/>
      <c r="I214" s="305" t="s">
        <v>809</v>
      </c>
      <c r="J214" s="90" t="s">
        <v>674</v>
      </c>
      <c r="K214" s="92" t="s">
        <v>865</v>
      </c>
      <c r="L214" s="305">
        <v>1100</v>
      </c>
      <c r="M214" s="369" t="s">
        <v>120</v>
      </c>
      <c r="N214" s="305" t="s">
        <v>127</v>
      </c>
      <c r="O214" s="305"/>
      <c r="P214" s="158"/>
      <c r="Q214" s="305"/>
      <c r="R214" s="305"/>
      <c r="S214" s="305"/>
      <c r="T214" s="159">
        <v>54</v>
      </c>
      <c r="U214" s="159"/>
      <c r="V214" s="159"/>
      <c r="W214" s="159"/>
      <c r="X214" s="369" t="s">
        <v>812</v>
      </c>
      <c r="Y214" s="305"/>
      <c r="Z214" s="141"/>
      <c r="AA214" s="141"/>
      <c r="AB214" s="305" t="s">
        <v>866</v>
      </c>
      <c r="AC214" s="92" t="s">
        <v>867</v>
      </c>
      <c r="AD214" s="369" t="s">
        <v>814</v>
      </c>
      <c r="AE214" s="118"/>
      <c r="AF214" s="118"/>
      <c r="AG214" s="285">
        <v>45868</v>
      </c>
      <c r="AH214" s="140">
        <v>45802</v>
      </c>
      <c r="AI214" s="264">
        <v>45778</v>
      </c>
      <c r="AJ214" s="95" t="s">
        <v>131</v>
      </c>
      <c r="AK214" s="369" t="s">
        <v>166</v>
      </c>
      <c r="AL214" s="369" t="s">
        <v>191</v>
      </c>
      <c r="AM214" s="369" t="s">
        <v>209</v>
      </c>
      <c r="AN214" s="91"/>
      <c r="AO214" s="305"/>
      <c r="AP214" s="305"/>
      <c r="AQ214" s="291"/>
      <c r="AR214" s="305"/>
      <c r="AS214" s="305"/>
      <c r="AT214" s="305"/>
      <c r="AU214" s="305"/>
      <c r="AV214" s="305"/>
      <c r="AW214" s="305"/>
      <c r="AX214" s="305"/>
      <c r="AY214" s="305"/>
      <c r="AZ214" s="305"/>
      <c r="BA214" s="305"/>
      <c r="BB214" s="100" t="s">
        <v>868</v>
      </c>
      <c r="BC214" s="65"/>
      <c r="BD214" s="80" t="s">
        <v>816</v>
      </c>
      <c r="BE214" s="367"/>
      <c r="BF214" s="367"/>
      <c r="BG214" s="368"/>
      <c r="BH214" s="64" t="e">
        <f>#REF!</f>
        <v>#REF!</v>
      </c>
      <c r="BL214" s="73"/>
    </row>
    <row r="215" spans="1:64" s="59" customFormat="1" ht="36" customHeight="1" x14ac:dyDescent="0.3">
      <c r="A215" s="258">
        <f t="shared" si="4"/>
        <v>210</v>
      </c>
      <c r="B215" s="90" t="s">
        <v>869</v>
      </c>
      <c r="C215" s="305" t="s">
        <v>5</v>
      </c>
      <c r="D215" s="305" t="s">
        <v>870</v>
      </c>
      <c r="E215" s="91">
        <v>45818</v>
      </c>
      <c r="F215" s="91">
        <v>45818</v>
      </c>
      <c r="G215" s="91"/>
      <c r="H215" s="91"/>
      <c r="I215" s="305" t="s">
        <v>809</v>
      </c>
      <c r="J215" s="90" t="s">
        <v>674</v>
      </c>
      <c r="K215" s="92" t="s">
        <v>865</v>
      </c>
      <c r="L215" s="305">
        <v>1100</v>
      </c>
      <c r="M215" s="369" t="s">
        <v>120</v>
      </c>
      <c r="N215" s="305" t="s">
        <v>127</v>
      </c>
      <c r="O215" s="305"/>
      <c r="P215" s="158"/>
      <c r="Q215" s="305"/>
      <c r="R215" s="305"/>
      <c r="S215" s="305"/>
      <c r="T215" s="159">
        <v>54</v>
      </c>
      <c r="U215" s="159"/>
      <c r="V215" s="159"/>
      <c r="W215" s="159"/>
      <c r="X215" s="369" t="s">
        <v>812</v>
      </c>
      <c r="Y215" s="305" t="s">
        <v>127</v>
      </c>
      <c r="Z215" s="305"/>
      <c r="AA215" s="305"/>
      <c r="AB215" s="305"/>
      <c r="AC215" s="92" t="s">
        <v>871</v>
      </c>
      <c r="AD215" s="369" t="s">
        <v>819</v>
      </c>
      <c r="AE215" s="115"/>
      <c r="AF215" s="115"/>
      <c r="AG215" s="284">
        <v>45868</v>
      </c>
      <c r="AH215" s="140">
        <v>45802</v>
      </c>
      <c r="AI215" s="264">
        <v>45778</v>
      </c>
      <c r="AJ215" s="95" t="s">
        <v>131</v>
      </c>
      <c r="AK215" s="369" t="s">
        <v>166</v>
      </c>
      <c r="AL215" s="369" t="s">
        <v>191</v>
      </c>
      <c r="AM215" s="369" t="s">
        <v>209</v>
      </c>
      <c r="AN215" s="305"/>
      <c r="AO215" s="305"/>
      <c r="AP215" s="305"/>
      <c r="AQ215" s="291"/>
      <c r="AR215" s="305"/>
      <c r="AS215" s="305"/>
      <c r="AT215" s="305"/>
      <c r="AU215" s="305"/>
      <c r="AV215" s="305"/>
      <c r="AW215" s="305"/>
      <c r="AX215" s="305"/>
      <c r="AY215" s="305"/>
      <c r="AZ215" s="305"/>
      <c r="BA215" s="305"/>
      <c r="BB215" s="100" t="s">
        <v>868</v>
      </c>
      <c r="BC215" s="65"/>
      <c r="BD215" s="80" t="s">
        <v>816</v>
      </c>
      <c r="BE215" s="367"/>
      <c r="BF215" s="367"/>
      <c r="BG215" s="368"/>
      <c r="BH215" s="64" t="e">
        <f>#REF!</f>
        <v>#REF!</v>
      </c>
      <c r="BL215" s="73"/>
    </row>
    <row r="216" spans="1:64" s="59" customFormat="1" ht="36" customHeight="1" x14ac:dyDescent="0.3">
      <c r="A216" s="305">
        <f t="shared" si="4"/>
        <v>211</v>
      </c>
      <c r="B216" s="90" t="s">
        <v>872</v>
      </c>
      <c r="C216" s="305" t="s">
        <v>5</v>
      </c>
      <c r="D216" s="305" t="s">
        <v>262</v>
      </c>
      <c r="E216" s="91"/>
      <c r="F216" s="91">
        <v>45819</v>
      </c>
      <c r="G216" s="91"/>
      <c r="H216" s="91"/>
      <c r="I216" s="305" t="s">
        <v>809</v>
      </c>
      <c r="J216" s="90" t="s">
        <v>674</v>
      </c>
      <c r="K216" s="92" t="s">
        <v>873</v>
      </c>
      <c r="L216" s="305">
        <v>1100</v>
      </c>
      <c r="M216" s="369" t="s">
        <v>120</v>
      </c>
      <c r="N216" s="305" t="s">
        <v>127</v>
      </c>
      <c r="O216" s="305"/>
      <c r="P216" s="305"/>
      <c r="Q216" s="305"/>
      <c r="R216" s="305"/>
      <c r="S216" s="305"/>
      <c r="T216" s="305">
        <v>37</v>
      </c>
      <c r="U216" s="305"/>
      <c r="V216" s="305"/>
      <c r="W216" s="305"/>
      <c r="X216" s="369" t="s">
        <v>812</v>
      </c>
      <c r="Y216" s="305"/>
      <c r="Z216" s="141"/>
      <c r="AA216" s="141"/>
      <c r="AB216" s="305" t="s">
        <v>866</v>
      </c>
      <c r="AC216" s="92" t="s">
        <v>874</v>
      </c>
      <c r="AD216" s="369" t="s">
        <v>814</v>
      </c>
      <c r="AE216" s="115"/>
      <c r="AF216" s="115"/>
      <c r="AG216" s="115"/>
      <c r="AH216" s="140"/>
      <c r="AI216" s="94">
        <v>0</v>
      </c>
      <c r="AJ216" s="95" t="s">
        <v>264</v>
      </c>
      <c r="AK216" s="369"/>
      <c r="AL216" s="369"/>
      <c r="AM216" s="369"/>
      <c r="AN216" s="305"/>
      <c r="AO216" s="305"/>
      <c r="AP216" s="305"/>
      <c r="AQ216" s="291"/>
      <c r="AR216" s="305"/>
      <c r="AS216" s="305"/>
      <c r="AT216" s="305"/>
      <c r="AU216" s="305"/>
      <c r="AV216" s="305"/>
      <c r="AW216" s="305"/>
      <c r="AX216" s="305"/>
      <c r="AY216" s="305"/>
      <c r="AZ216" s="305"/>
      <c r="BA216" s="305"/>
      <c r="BB216" s="100" t="s">
        <v>868</v>
      </c>
      <c r="BC216" s="65"/>
      <c r="BD216" s="80" t="s">
        <v>816</v>
      </c>
      <c r="BE216" s="367"/>
      <c r="BF216" s="367"/>
      <c r="BG216" s="368"/>
      <c r="BH216" s="64" t="e">
        <f>#REF!</f>
        <v>#REF!</v>
      </c>
      <c r="BL216" s="73"/>
    </row>
    <row r="217" spans="1:64" s="59" customFormat="1" ht="36" customHeight="1" x14ac:dyDescent="0.3">
      <c r="A217" s="305">
        <f t="shared" si="4"/>
        <v>212</v>
      </c>
      <c r="B217" s="90" t="s">
        <v>875</v>
      </c>
      <c r="C217" s="305" t="s">
        <v>5</v>
      </c>
      <c r="D217" s="305" t="s">
        <v>262</v>
      </c>
      <c r="E217" s="91"/>
      <c r="F217" s="91">
        <v>45819</v>
      </c>
      <c r="G217" s="91"/>
      <c r="H217" s="91"/>
      <c r="I217" s="305" t="s">
        <v>809</v>
      </c>
      <c r="J217" s="90" t="s">
        <v>674</v>
      </c>
      <c r="K217" s="92" t="s">
        <v>873</v>
      </c>
      <c r="L217" s="305">
        <v>1100</v>
      </c>
      <c r="M217" s="369" t="s">
        <v>120</v>
      </c>
      <c r="N217" s="305" t="s">
        <v>127</v>
      </c>
      <c r="O217" s="305"/>
      <c r="P217" s="305"/>
      <c r="Q217" s="305"/>
      <c r="R217" s="305"/>
      <c r="S217" s="305"/>
      <c r="T217" s="305">
        <v>37</v>
      </c>
      <c r="U217" s="305"/>
      <c r="V217" s="305"/>
      <c r="W217" s="305"/>
      <c r="X217" s="369" t="s">
        <v>812</v>
      </c>
      <c r="Y217" s="305" t="s">
        <v>127</v>
      </c>
      <c r="Z217" s="305"/>
      <c r="AA217" s="305"/>
      <c r="AB217" s="305"/>
      <c r="AC217" s="92" t="s">
        <v>876</v>
      </c>
      <c r="AD217" s="369" t="s">
        <v>819</v>
      </c>
      <c r="AE217" s="115"/>
      <c r="AF217" s="115"/>
      <c r="AG217" s="115"/>
      <c r="AH217" s="140"/>
      <c r="AI217" s="94">
        <v>0</v>
      </c>
      <c r="AJ217" s="95" t="s">
        <v>264</v>
      </c>
      <c r="AK217" s="369"/>
      <c r="AL217" s="369"/>
      <c r="AM217" s="369"/>
      <c r="AN217" s="305"/>
      <c r="AO217" s="305"/>
      <c r="AP217" s="305"/>
      <c r="AQ217" s="291"/>
      <c r="AR217" s="305"/>
      <c r="AS217" s="305"/>
      <c r="AT217" s="305"/>
      <c r="AU217" s="305"/>
      <c r="AV217" s="305"/>
      <c r="AW217" s="305"/>
      <c r="AX217" s="305"/>
      <c r="AY217" s="305"/>
      <c r="AZ217" s="305"/>
      <c r="BA217" s="305"/>
      <c r="BB217" s="100" t="s">
        <v>868</v>
      </c>
      <c r="BC217" s="65"/>
      <c r="BD217" s="80" t="s">
        <v>816</v>
      </c>
      <c r="BE217" s="367"/>
      <c r="BF217" s="367"/>
      <c r="BG217" s="368"/>
      <c r="BH217" s="64" t="e">
        <f>#REF!</f>
        <v>#REF!</v>
      </c>
      <c r="BL217" s="73"/>
    </row>
    <row r="218" spans="1:64" s="59" customFormat="1" ht="36" customHeight="1" x14ac:dyDescent="0.3">
      <c r="A218" s="258">
        <f t="shared" si="4"/>
        <v>213</v>
      </c>
      <c r="B218" s="90" t="s">
        <v>877</v>
      </c>
      <c r="C218" s="305" t="s">
        <v>5</v>
      </c>
      <c r="D218" s="305" t="s">
        <v>870</v>
      </c>
      <c r="E218" s="91">
        <v>45817</v>
      </c>
      <c r="F218" s="91">
        <v>45817</v>
      </c>
      <c r="G218" s="91"/>
      <c r="H218" s="91"/>
      <c r="I218" s="305" t="s">
        <v>809</v>
      </c>
      <c r="J218" s="90" t="s">
        <v>644</v>
      </c>
      <c r="K218" s="92" t="s">
        <v>716</v>
      </c>
      <c r="L218" s="305">
        <v>1100</v>
      </c>
      <c r="M218" s="369" t="s">
        <v>120</v>
      </c>
      <c r="N218" s="305" t="s">
        <v>127</v>
      </c>
      <c r="O218" s="305"/>
      <c r="P218" s="158"/>
      <c r="Q218" s="305"/>
      <c r="R218" s="305"/>
      <c r="S218" s="305"/>
      <c r="T218" s="305">
        <v>11</v>
      </c>
      <c r="U218" s="305"/>
      <c r="V218" s="305"/>
      <c r="W218" s="305"/>
      <c r="X218" s="369" t="s">
        <v>812</v>
      </c>
      <c r="Y218" s="305"/>
      <c r="Z218" s="305" t="s">
        <v>127</v>
      </c>
      <c r="AA218" s="305"/>
      <c r="AB218" s="305"/>
      <c r="AC218" s="92" t="s">
        <v>878</v>
      </c>
      <c r="AD218" s="369" t="s">
        <v>814</v>
      </c>
      <c r="AE218" s="115"/>
      <c r="AF218" s="115"/>
      <c r="AG218" s="284">
        <v>45777</v>
      </c>
      <c r="AH218" s="140">
        <v>45838</v>
      </c>
      <c r="AI218" s="264">
        <v>45778</v>
      </c>
      <c r="AJ218" s="95" t="s">
        <v>131</v>
      </c>
      <c r="AK218" s="369" t="s">
        <v>166</v>
      </c>
      <c r="AL218" s="369" t="s">
        <v>191</v>
      </c>
      <c r="AM218" s="369" t="s">
        <v>209</v>
      </c>
      <c r="AN218" s="305"/>
      <c r="AO218" s="305"/>
      <c r="AP218" s="305"/>
      <c r="AQ218" s="291"/>
      <c r="AR218" s="305"/>
      <c r="AS218" s="305"/>
      <c r="AT218" s="305"/>
      <c r="AU218" s="305"/>
      <c r="AV218" s="305"/>
      <c r="AW218" s="305"/>
      <c r="AX218" s="305"/>
      <c r="AY218" s="305"/>
      <c r="AZ218" s="305"/>
      <c r="BA218" s="305"/>
      <c r="BB218" s="100"/>
      <c r="BC218" s="65"/>
      <c r="BD218" s="80" t="s">
        <v>816</v>
      </c>
      <c r="BE218" s="367"/>
      <c r="BF218" s="367"/>
      <c r="BG218" s="368"/>
      <c r="BH218" s="64" t="e">
        <f>#REF!</f>
        <v>#REF!</v>
      </c>
      <c r="BL218" s="73"/>
    </row>
    <row r="219" spans="1:64" s="59" customFormat="1" ht="36" customHeight="1" x14ac:dyDescent="0.3">
      <c r="A219" s="258">
        <f t="shared" si="4"/>
        <v>214</v>
      </c>
      <c r="B219" s="90" t="s">
        <v>879</v>
      </c>
      <c r="C219" s="305" t="s">
        <v>5</v>
      </c>
      <c r="D219" s="305" t="s">
        <v>870</v>
      </c>
      <c r="E219" s="91">
        <v>45864</v>
      </c>
      <c r="F219" s="91"/>
      <c r="G219" s="91"/>
      <c r="H219" s="91"/>
      <c r="I219" s="305" t="s">
        <v>809</v>
      </c>
      <c r="J219" s="90" t="s">
        <v>644</v>
      </c>
      <c r="K219" s="92" t="s">
        <v>716</v>
      </c>
      <c r="L219" s="110">
        <v>1400</v>
      </c>
      <c r="M219" s="369" t="s">
        <v>120</v>
      </c>
      <c r="N219" s="305" t="s">
        <v>127</v>
      </c>
      <c r="O219" s="305"/>
      <c r="P219" s="158"/>
      <c r="Q219" s="305"/>
      <c r="R219" s="305"/>
      <c r="S219" s="305"/>
      <c r="T219" s="305">
        <v>11</v>
      </c>
      <c r="U219" s="305"/>
      <c r="V219" s="305"/>
      <c r="W219" s="305"/>
      <c r="X219" s="369" t="s">
        <v>812</v>
      </c>
      <c r="Y219" s="305"/>
      <c r="Z219" s="305"/>
      <c r="AA219" s="305"/>
      <c r="AB219" s="305"/>
      <c r="AC219" s="92" t="s">
        <v>880</v>
      </c>
      <c r="AD219" s="369" t="s">
        <v>819</v>
      </c>
      <c r="AE219" s="115"/>
      <c r="AF219" s="115"/>
      <c r="AG219" s="284">
        <v>45792</v>
      </c>
      <c r="AH219" s="140">
        <v>45858</v>
      </c>
      <c r="AI219" s="264">
        <v>45809</v>
      </c>
      <c r="AJ219" s="95" t="s">
        <v>131</v>
      </c>
      <c r="AK219" s="369" t="s">
        <v>166</v>
      </c>
      <c r="AL219" s="369" t="s">
        <v>191</v>
      </c>
      <c r="AM219" s="369" t="s">
        <v>209</v>
      </c>
      <c r="AN219" s="305"/>
      <c r="AO219" s="305"/>
      <c r="AP219" s="305"/>
      <c r="AQ219" s="291"/>
      <c r="AR219" s="305"/>
      <c r="AS219" s="305"/>
      <c r="AT219" s="305"/>
      <c r="AU219" s="305"/>
      <c r="AV219" s="305"/>
      <c r="AW219" s="305"/>
      <c r="AX219" s="305"/>
      <c r="AY219" s="305"/>
      <c r="AZ219" s="91">
        <v>45811</v>
      </c>
      <c r="BA219" s="91"/>
      <c r="BB219" s="100" t="s">
        <v>823</v>
      </c>
      <c r="BC219" s="65"/>
      <c r="BD219" s="330" t="s">
        <v>816</v>
      </c>
      <c r="BE219" s="367"/>
      <c r="BF219" s="367"/>
      <c r="BG219" s="368"/>
      <c r="BH219" s="64" t="e">
        <f>#REF!</f>
        <v>#REF!</v>
      </c>
      <c r="BL219" s="73"/>
    </row>
    <row r="220" spans="1:64" s="59" customFormat="1" ht="36" customHeight="1" x14ac:dyDescent="0.3">
      <c r="A220" s="258">
        <f t="shared" si="4"/>
        <v>215</v>
      </c>
      <c r="B220" s="90" t="s">
        <v>881</v>
      </c>
      <c r="C220" s="305" t="s">
        <v>5</v>
      </c>
      <c r="D220" s="305" t="s">
        <v>870</v>
      </c>
      <c r="E220" s="91">
        <v>45864</v>
      </c>
      <c r="F220" s="91"/>
      <c r="G220" s="91"/>
      <c r="H220" s="91"/>
      <c r="I220" s="305" t="s">
        <v>809</v>
      </c>
      <c r="J220" s="90" t="s">
        <v>644</v>
      </c>
      <c r="K220" s="92" t="s">
        <v>882</v>
      </c>
      <c r="L220" s="110">
        <v>1400</v>
      </c>
      <c r="M220" s="369" t="s">
        <v>120</v>
      </c>
      <c r="N220" s="305" t="s">
        <v>127</v>
      </c>
      <c r="O220" s="305"/>
      <c r="P220" s="158"/>
      <c r="Q220" s="305"/>
      <c r="R220" s="305"/>
      <c r="S220" s="305"/>
      <c r="T220" s="305">
        <v>19</v>
      </c>
      <c r="U220" s="305"/>
      <c r="V220" s="305"/>
      <c r="W220" s="305"/>
      <c r="X220" s="369" t="s">
        <v>812</v>
      </c>
      <c r="Y220" s="305"/>
      <c r="Z220" s="305"/>
      <c r="AA220" s="305"/>
      <c r="AB220" s="305"/>
      <c r="AC220" s="92" t="s">
        <v>883</v>
      </c>
      <c r="AD220" s="369" t="s">
        <v>814</v>
      </c>
      <c r="AE220" s="115"/>
      <c r="AF220" s="115"/>
      <c r="AG220" s="284">
        <v>45792</v>
      </c>
      <c r="AH220" s="140">
        <v>45858</v>
      </c>
      <c r="AI220" s="264">
        <v>45809</v>
      </c>
      <c r="AJ220" s="369" t="s">
        <v>131</v>
      </c>
      <c r="AK220" s="369" t="s">
        <v>166</v>
      </c>
      <c r="AL220" s="369" t="s">
        <v>191</v>
      </c>
      <c r="AM220" s="369" t="s">
        <v>209</v>
      </c>
      <c r="AN220" s="305"/>
      <c r="AO220" s="305"/>
      <c r="AP220" s="305"/>
      <c r="AQ220" s="291"/>
      <c r="AR220" s="305"/>
      <c r="AS220" s="305"/>
      <c r="AT220" s="305"/>
      <c r="AU220" s="305"/>
      <c r="AV220" s="305"/>
      <c r="AW220" s="305"/>
      <c r="AX220" s="305"/>
      <c r="AY220" s="305"/>
      <c r="AZ220" s="91">
        <v>45811</v>
      </c>
      <c r="BA220" s="91"/>
      <c r="BB220" s="100" t="s">
        <v>823</v>
      </c>
      <c r="BC220" s="65"/>
      <c r="BD220" s="330" t="s">
        <v>816</v>
      </c>
      <c r="BE220" s="367"/>
      <c r="BF220" s="367"/>
      <c r="BG220" s="368"/>
      <c r="BH220" s="64" t="e">
        <f>#REF!</f>
        <v>#REF!</v>
      </c>
      <c r="BL220" s="73"/>
    </row>
    <row r="221" spans="1:64" s="59" customFormat="1" ht="44.4" customHeight="1" x14ac:dyDescent="0.3">
      <c r="A221" s="305">
        <f t="shared" si="4"/>
        <v>216</v>
      </c>
      <c r="B221" s="90" t="s">
        <v>884</v>
      </c>
      <c r="C221" s="305" t="s">
        <v>5</v>
      </c>
      <c r="D221" s="305" t="s">
        <v>870</v>
      </c>
      <c r="E221" s="91">
        <v>45770</v>
      </c>
      <c r="F221" s="91">
        <v>45818</v>
      </c>
      <c r="G221" s="91"/>
      <c r="H221" s="91"/>
      <c r="I221" s="305" t="s">
        <v>809</v>
      </c>
      <c r="J221" s="90" t="s">
        <v>644</v>
      </c>
      <c r="K221" s="92" t="s">
        <v>882</v>
      </c>
      <c r="L221" s="305">
        <v>1100</v>
      </c>
      <c r="M221" s="369" t="s">
        <v>120</v>
      </c>
      <c r="N221" s="305" t="s">
        <v>127</v>
      </c>
      <c r="O221" s="110"/>
      <c r="P221" s="310"/>
      <c r="Q221" s="110"/>
      <c r="R221" s="110"/>
      <c r="S221" s="110"/>
      <c r="T221" s="110">
        <v>19</v>
      </c>
      <c r="U221" s="110"/>
      <c r="V221" s="110"/>
      <c r="W221" s="110"/>
      <c r="X221" s="305"/>
      <c r="Y221" s="110"/>
      <c r="Z221" s="110" t="s">
        <v>127</v>
      </c>
      <c r="AA221" s="110"/>
      <c r="AB221" s="110"/>
      <c r="AC221" s="92" t="s">
        <v>885</v>
      </c>
      <c r="AD221" s="369" t="s">
        <v>886</v>
      </c>
      <c r="AE221" s="115">
        <v>45746</v>
      </c>
      <c r="AF221" s="115"/>
      <c r="AG221" s="284">
        <v>45777</v>
      </c>
      <c r="AH221" s="140">
        <v>45762</v>
      </c>
      <c r="AI221" s="264">
        <v>45717</v>
      </c>
      <c r="AJ221" s="95" t="s">
        <v>131</v>
      </c>
      <c r="AK221" s="369" t="s">
        <v>366</v>
      </c>
      <c r="AL221" s="369" t="s">
        <v>778</v>
      </c>
      <c r="AM221" s="369" t="s">
        <v>209</v>
      </c>
      <c r="AN221" s="369"/>
      <c r="AO221" s="369"/>
      <c r="AP221" s="305"/>
      <c r="AQ221" s="371"/>
      <c r="AR221" s="369"/>
      <c r="AS221" s="305"/>
      <c r="AT221" s="91">
        <v>45713</v>
      </c>
      <c r="AU221" s="91">
        <v>45680</v>
      </c>
      <c r="AV221" s="91">
        <v>45699</v>
      </c>
      <c r="AW221" s="91">
        <v>45679</v>
      </c>
      <c r="AX221" s="305"/>
      <c r="AY221" s="305"/>
      <c r="AZ221" s="305"/>
      <c r="BA221" s="305"/>
      <c r="BB221" s="100"/>
      <c r="BC221" s="65"/>
      <c r="BD221" s="80" t="s">
        <v>816</v>
      </c>
      <c r="BE221" s="72"/>
      <c r="BF221" s="367"/>
      <c r="BG221" s="368"/>
      <c r="BH221" s="64" t="e">
        <f>#REF!</f>
        <v>#REF!</v>
      </c>
      <c r="BL221" s="73"/>
    </row>
    <row r="222" spans="1:64" s="59" customFormat="1" ht="36" customHeight="1" x14ac:dyDescent="0.3">
      <c r="A222" s="305">
        <f t="shared" si="4"/>
        <v>217</v>
      </c>
      <c r="B222" s="90" t="s">
        <v>887</v>
      </c>
      <c r="C222" s="305" t="s">
        <v>5</v>
      </c>
      <c r="D222" s="305" t="s">
        <v>870</v>
      </c>
      <c r="E222" s="91">
        <v>45782</v>
      </c>
      <c r="F222" s="91">
        <v>45819</v>
      </c>
      <c r="G222" s="91"/>
      <c r="H222" s="91"/>
      <c r="I222" s="305" t="s">
        <v>809</v>
      </c>
      <c r="J222" s="90" t="s">
        <v>644</v>
      </c>
      <c r="K222" s="92" t="s">
        <v>882</v>
      </c>
      <c r="L222" s="305">
        <v>1100</v>
      </c>
      <c r="M222" s="369" t="s">
        <v>120</v>
      </c>
      <c r="N222" s="305" t="s">
        <v>127</v>
      </c>
      <c r="O222" s="305"/>
      <c r="P222" s="158"/>
      <c r="Q222" s="305"/>
      <c r="R222" s="305"/>
      <c r="S222" s="305"/>
      <c r="T222" s="110">
        <v>19</v>
      </c>
      <c r="U222" s="110"/>
      <c r="V222" s="110"/>
      <c r="W222" s="110"/>
      <c r="X222" s="305"/>
      <c r="Y222" s="305"/>
      <c r="Z222" s="305" t="s">
        <v>127</v>
      </c>
      <c r="AA222" s="305"/>
      <c r="AB222" s="305"/>
      <c r="AC222" s="92" t="s">
        <v>888</v>
      </c>
      <c r="AD222" s="369" t="s">
        <v>889</v>
      </c>
      <c r="AE222" s="118">
        <v>45772</v>
      </c>
      <c r="AF222" s="118"/>
      <c r="AG222" s="285">
        <v>45802</v>
      </c>
      <c r="AH222" s="140">
        <v>45767</v>
      </c>
      <c r="AI222" s="264">
        <v>45748</v>
      </c>
      <c r="AJ222" s="95" t="s">
        <v>131</v>
      </c>
      <c r="AK222" s="369" t="s">
        <v>161</v>
      </c>
      <c r="AL222" s="369" t="s">
        <v>162</v>
      </c>
      <c r="AM222" s="369" t="s">
        <v>134</v>
      </c>
      <c r="AN222" s="305"/>
      <c r="AO222" s="305"/>
      <c r="AP222" s="305"/>
      <c r="AQ222" s="291"/>
      <c r="AR222" s="305"/>
      <c r="AS222" s="305"/>
      <c r="AT222" s="91">
        <v>45726</v>
      </c>
      <c r="AU222" s="91">
        <v>45701</v>
      </c>
      <c r="AV222" s="91">
        <v>45701</v>
      </c>
      <c r="AW222" s="91">
        <v>45680</v>
      </c>
      <c r="AX222" s="305"/>
      <c r="AY222" s="305"/>
      <c r="AZ222" s="305"/>
      <c r="BA222" s="305"/>
      <c r="BB222" s="92"/>
      <c r="BC222" s="47"/>
      <c r="BD222" s="80" t="s">
        <v>816</v>
      </c>
      <c r="BE222" s="70"/>
      <c r="BF222" s="367"/>
      <c r="BG222" s="368"/>
      <c r="BH222" s="64" t="e">
        <f>#REF!</f>
        <v>#REF!</v>
      </c>
      <c r="BL222" s="73"/>
    </row>
    <row r="223" spans="1:64" s="59" customFormat="1" ht="36" customHeight="1" x14ac:dyDescent="0.3">
      <c r="A223" s="258">
        <f t="shared" si="4"/>
        <v>218</v>
      </c>
      <c r="B223" s="90" t="s">
        <v>890</v>
      </c>
      <c r="C223" s="305" t="s">
        <v>5</v>
      </c>
      <c r="D223" s="305" t="s">
        <v>891</v>
      </c>
      <c r="E223" s="91">
        <v>45818</v>
      </c>
      <c r="F223" s="91">
        <v>45818</v>
      </c>
      <c r="G223" s="91"/>
      <c r="H223" s="91"/>
      <c r="I223" s="305" t="s">
        <v>809</v>
      </c>
      <c r="J223" s="90" t="s">
        <v>644</v>
      </c>
      <c r="K223" s="92" t="s">
        <v>882</v>
      </c>
      <c r="L223" s="305">
        <v>1100</v>
      </c>
      <c r="M223" s="369" t="s">
        <v>120</v>
      </c>
      <c r="N223" s="305" t="s">
        <v>127</v>
      </c>
      <c r="O223" s="305"/>
      <c r="P223" s="158"/>
      <c r="Q223" s="305"/>
      <c r="R223" s="305"/>
      <c r="S223" s="305"/>
      <c r="T223" s="110">
        <v>19</v>
      </c>
      <c r="U223" s="110"/>
      <c r="V223" s="110"/>
      <c r="W223" s="110"/>
      <c r="X223" s="369" t="s">
        <v>812</v>
      </c>
      <c r="Y223" s="305"/>
      <c r="Z223" s="141" t="s">
        <v>127</v>
      </c>
      <c r="AA223" s="141"/>
      <c r="AB223" s="305"/>
      <c r="AC223" s="92" t="s">
        <v>892</v>
      </c>
      <c r="AD223" s="369" t="s">
        <v>819</v>
      </c>
      <c r="AE223" s="118"/>
      <c r="AF223" s="118"/>
      <c r="AG223" s="285">
        <v>45802</v>
      </c>
      <c r="AH223" s="140">
        <v>45838</v>
      </c>
      <c r="AI223" s="264">
        <v>45778</v>
      </c>
      <c r="AJ223" s="95" t="s">
        <v>131</v>
      </c>
      <c r="AK223" s="369" t="s">
        <v>166</v>
      </c>
      <c r="AL223" s="369" t="s">
        <v>191</v>
      </c>
      <c r="AM223" s="369" t="s">
        <v>209</v>
      </c>
      <c r="AN223" s="91"/>
      <c r="AO223" s="305"/>
      <c r="AP223" s="305"/>
      <c r="AQ223" s="291"/>
      <c r="AR223" s="305"/>
      <c r="AS223" s="305"/>
      <c r="AT223" s="305"/>
      <c r="AU223" s="305"/>
      <c r="AV223" s="305"/>
      <c r="AW223" s="305"/>
      <c r="AX223" s="305"/>
      <c r="AY223" s="305"/>
      <c r="AZ223" s="305"/>
      <c r="BA223" s="305"/>
      <c r="BB223" s="100"/>
      <c r="BC223" s="65"/>
      <c r="BD223" s="80" t="s">
        <v>816</v>
      </c>
      <c r="BE223" s="367"/>
      <c r="BF223" s="367"/>
      <c r="BG223" s="368"/>
      <c r="BH223" s="64" t="e">
        <f>#REF!</f>
        <v>#REF!</v>
      </c>
      <c r="BL223" s="73"/>
    </row>
    <row r="224" spans="1:64" s="59" customFormat="1" ht="36" customHeight="1" x14ac:dyDescent="0.3">
      <c r="A224" s="258">
        <f t="shared" si="4"/>
        <v>219</v>
      </c>
      <c r="B224" s="90" t="s">
        <v>893</v>
      </c>
      <c r="C224" s="305" t="s">
        <v>5</v>
      </c>
      <c r="D224" s="305" t="s">
        <v>891</v>
      </c>
      <c r="E224" s="91">
        <v>45818</v>
      </c>
      <c r="F224" s="91">
        <v>45818</v>
      </c>
      <c r="G224" s="91"/>
      <c r="H224" s="91"/>
      <c r="I224" s="305" t="s">
        <v>809</v>
      </c>
      <c r="J224" s="90" t="s">
        <v>644</v>
      </c>
      <c r="K224" s="92" t="s">
        <v>894</v>
      </c>
      <c r="L224" s="305">
        <v>1100</v>
      </c>
      <c r="M224" s="369" t="s">
        <v>120</v>
      </c>
      <c r="N224" s="305" t="s">
        <v>127</v>
      </c>
      <c r="O224" s="305"/>
      <c r="P224" s="158"/>
      <c r="Q224" s="305"/>
      <c r="R224" s="305"/>
      <c r="S224" s="305"/>
      <c r="T224" s="305">
        <v>40</v>
      </c>
      <c r="U224" s="305"/>
      <c r="V224" s="305"/>
      <c r="W224" s="305"/>
      <c r="X224" s="369" t="s">
        <v>812</v>
      </c>
      <c r="Y224" s="305"/>
      <c r="Z224" s="141" t="s">
        <v>127</v>
      </c>
      <c r="AA224" s="141"/>
      <c r="AB224" s="305"/>
      <c r="AC224" s="92" t="s">
        <v>895</v>
      </c>
      <c r="AD224" s="369" t="s">
        <v>814</v>
      </c>
      <c r="AE224" s="115"/>
      <c r="AF224" s="115"/>
      <c r="AG224" s="284">
        <v>45930</v>
      </c>
      <c r="AH224" s="140">
        <v>45838</v>
      </c>
      <c r="AI224" s="264">
        <v>45778</v>
      </c>
      <c r="AJ224" s="95" t="s">
        <v>131</v>
      </c>
      <c r="AK224" s="369" t="s">
        <v>166</v>
      </c>
      <c r="AL224" s="369" t="s">
        <v>191</v>
      </c>
      <c r="AM224" s="369" t="s">
        <v>209</v>
      </c>
      <c r="AN224" s="305"/>
      <c r="AO224" s="305"/>
      <c r="AP224" s="305"/>
      <c r="AQ224" s="291"/>
      <c r="AR224" s="305"/>
      <c r="AS224" s="305"/>
      <c r="AT224" s="305"/>
      <c r="AU224" s="305"/>
      <c r="AV224" s="305"/>
      <c r="AW224" s="305"/>
      <c r="AX224" s="305"/>
      <c r="AY224" s="305"/>
      <c r="AZ224" s="305"/>
      <c r="BA224" s="305"/>
      <c r="BB224" s="100"/>
      <c r="BC224" s="65"/>
      <c r="BD224" s="80" t="s">
        <v>816</v>
      </c>
      <c r="BE224" s="367"/>
      <c r="BF224" s="367"/>
      <c r="BG224" s="368"/>
      <c r="BH224" s="64" t="e">
        <f>#REF!</f>
        <v>#REF!</v>
      </c>
      <c r="BL224" s="73"/>
    </row>
    <row r="225" spans="1:64" s="59" customFormat="1" ht="36" customHeight="1" x14ac:dyDescent="0.3">
      <c r="A225" s="305">
        <f t="shared" si="4"/>
        <v>220</v>
      </c>
      <c r="B225" s="90" t="s">
        <v>896</v>
      </c>
      <c r="C225" s="305" t="s">
        <v>5</v>
      </c>
      <c r="D225" s="305" t="s">
        <v>891</v>
      </c>
      <c r="E225" s="91">
        <v>45770</v>
      </c>
      <c r="F225" s="91">
        <v>45819</v>
      </c>
      <c r="G225" s="91"/>
      <c r="H225" s="91"/>
      <c r="I225" s="305" t="s">
        <v>809</v>
      </c>
      <c r="J225" s="90" t="s">
        <v>644</v>
      </c>
      <c r="K225" s="92" t="s">
        <v>894</v>
      </c>
      <c r="L225" s="305">
        <v>1100</v>
      </c>
      <c r="M225" s="369" t="s">
        <v>120</v>
      </c>
      <c r="N225" s="305" t="s">
        <v>127</v>
      </c>
      <c r="O225" s="305"/>
      <c r="P225" s="158"/>
      <c r="Q225" s="305"/>
      <c r="R225" s="305"/>
      <c r="S225" s="305"/>
      <c r="T225" s="305">
        <v>40</v>
      </c>
      <c r="U225" s="305"/>
      <c r="V225" s="305"/>
      <c r="W225" s="305"/>
      <c r="X225" s="305"/>
      <c r="Y225" s="305"/>
      <c r="Z225" s="141" t="s">
        <v>127</v>
      </c>
      <c r="AA225" s="141"/>
      <c r="AB225" s="305"/>
      <c r="AC225" s="92" t="s">
        <v>897</v>
      </c>
      <c r="AD225" s="369" t="s">
        <v>886</v>
      </c>
      <c r="AE225" s="115">
        <v>45746</v>
      </c>
      <c r="AF225" s="115"/>
      <c r="AG225" s="284">
        <v>45777</v>
      </c>
      <c r="AH225" s="140">
        <v>45762</v>
      </c>
      <c r="AI225" s="264">
        <v>45717</v>
      </c>
      <c r="AJ225" s="95" t="s">
        <v>131</v>
      </c>
      <c r="AK225" s="369" t="s">
        <v>366</v>
      </c>
      <c r="AL225" s="369" t="s">
        <v>778</v>
      </c>
      <c r="AM225" s="369" t="s">
        <v>209</v>
      </c>
      <c r="AN225" s="305"/>
      <c r="AO225" s="305"/>
      <c r="AP225" s="305"/>
      <c r="AQ225" s="291"/>
      <c r="AR225" s="305"/>
      <c r="AS225" s="305"/>
      <c r="AT225" s="91">
        <v>45713</v>
      </c>
      <c r="AU225" s="91">
        <v>45680</v>
      </c>
      <c r="AV225" s="91">
        <v>45699</v>
      </c>
      <c r="AW225" s="91">
        <v>45679</v>
      </c>
      <c r="AX225" s="305"/>
      <c r="AY225" s="305"/>
      <c r="AZ225" s="305"/>
      <c r="BA225" s="305"/>
      <c r="BB225" s="100"/>
      <c r="BC225" s="65"/>
      <c r="BD225" s="80" t="s">
        <v>816</v>
      </c>
      <c r="BE225" s="367"/>
      <c r="BF225" s="367"/>
      <c r="BG225" s="368"/>
      <c r="BH225" s="64" t="e">
        <f>#REF!</f>
        <v>#REF!</v>
      </c>
      <c r="BL225" s="73"/>
    </row>
    <row r="226" spans="1:64" s="59" customFormat="1" ht="36" customHeight="1" x14ac:dyDescent="0.3">
      <c r="A226" s="258">
        <f t="shared" si="4"/>
        <v>221</v>
      </c>
      <c r="B226" s="90" t="s">
        <v>898</v>
      </c>
      <c r="C226" s="305" t="s">
        <v>5</v>
      </c>
      <c r="D226" s="305" t="s">
        <v>891</v>
      </c>
      <c r="E226" s="91">
        <v>45817</v>
      </c>
      <c r="F226" s="91">
        <v>45817</v>
      </c>
      <c r="G226" s="91"/>
      <c r="H226" s="91"/>
      <c r="I226" s="305" t="s">
        <v>809</v>
      </c>
      <c r="J226" s="90" t="s">
        <v>644</v>
      </c>
      <c r="K226" s="92" t="s">
        <v>894</v>
      </c>
      <c r="L226" s="305">
        <v>1100</v>
      </c>
      <c r="M226" s="369" t="s">
        <v>120</v>
      </c>
      <c r="N226" s="305" t="s">
        <v>127</v>
      </c>
      <c r="O226" s="305"/>
      <c r="P226" s="158"/>
      <c r="Q226" s="305"/>
      <c r="R226" s="305"/>
      <c r="S226" s="305"/>
      <c r="T226" s="305">
        <v>40</v>
      </c>
      <c r="U226" s="305"/>
      <c r="V226" s="305"/>
      <c r="W226" s="305"/>
      <c r="X226" s="369" t="s">
        <v>812</v>
      </c>
      <c r="Y226" s="305"/>
      <c r="Z226" s="141" t="s">
        <v>127</v>
      </c>
      <c r="AA226" s="141"/>
      <c r="AB226" s="305"/>
      <c r="AC226" s="92" t="s">
        <v>899</v>
      </c>
      <c r="AD226" s="369" t="s">
        <v>819</v>
      </c>
      <c r="AE226" s="115"/>
      <c r="AF226" s="115"/>
      <c r="AG226" s="284">
        <v>45930</v>
      </c>
      <c r="AH226" s="140">
        <v>45838</v>
      </c>
      <c r="AI226" s="264">
        <v>45778</v>
      </c>
      <c r="AJ226" s="95" t="s">
        <v>131</v>
      </c>
      <c r="AK226" s="369" t="s">
        <v>166</v>
      </c>
      <c r="AL226" s="369" t="s">
        <v>191</v>
      </c>
      <c r="AM226" s="369" t="s">
        <v>209</v>
      </c>
      <c r="AN226" s="305"/>
      <c r="AO226" s="305"/>
      <c r="AP226" s="305"/>
      <c r="AQ226" s="291"/>
      <c r="AR226" s="305"/>
      <c r="AS226" s="305"/>
      <c r="AT226" s="305"/>
      <c r="AU226" s="305"/>
      <c r="AV226" s="305"/>
      <c r="AW226" s="305"/>
      <c r="AX226" s="305"/>
      <c r="AY226" s="305"/>
      <c r="AZ226" s="305"/>
      <c r="BA226" s="305"/>
      <c r="BB226" s="100" t="s">
        <v>900</v>
      </c>
      <c r="BC226" s="65"/>
      <c r="BD226" s="80" t="s">
        <v>816</v>
      </c>
      <c r="BE226" s="367"/>
      <c r="BF226" s="367"/>
      <c r="BG226" s="368"/>
      <c r="BH226" s="64" t="e">
        <f>#REF!</f>
        <v>#REF!</v>
      </c>
      <c r="BL226" s="73"/>
    </row>
    <row r="227" spans="1:64" s="59" customFormat="1" ht="36" customHeight="1" x14ac:dyDescent="0.3">
      <c r="A227" s="258">
        <f t="shared" si="4"/>
        <v>222</v>
      </c>
      <c r="B227" s="90" t="s">
        <v>901</v>
      </c>
      <c r="C227" s="305" t="s">
        <v>5</v>
      </c>
      <c r="D227" s="305" t="s">
        <v>891</v>
      </c>
      <c r="E227" s="91">
        <v>45864</v>
      </c>
      <c r="F227" s="91"/>
      <c r="G227" s="91"/>
      <c r="H227" s="91"/>
      <c r="I227" s="305" t="s">
        <v>809</v>
      </c>
      <c r="J227" s="90" t="s">
        <v>644</v>
      </c>
      <c r="K227" s="92" t="s">
        <v>902</v>
      </c>
      <c r="L227" s="110">
        <v>800</v>
      </c>
      <c r="M227" s="369" t="s">
        <v>65</v>
      </c>
      <c r="N227" s="305" t="s">
        <v>127</v>
      </c>
      <c r="O227" s="305"/>
      <c r="P227" s="158"/>
      <c r="Q227" s="305"/>
      <c r="R227" s="305"/>
      <c r="S227" s="305"/>
      <c r="T227" s="305">
        <v>20</v>
      </c>
      <c r="U227" s="305"/>
      <c r="V227" s="305"/>
      <c r="W227" s="305"/>
      <c r="X227" s="369" t="s">
        <v>812</v>
      </c>
      <c r="Y227" s="305"/>
      <c r="Z227" s="141" t="s">
        <v>127</v>
      </c>
      <c r="AA227" s="141"/>
      <c r="AB227" s="305"/>
      <c r="AC227" s="92" t="s">
        <v>903</v>
      </c>
      <c r="AD227" s="369" t="s">
        <v>814</v>
      </c>
      <c r="AE227" s="115"/>
      <c r="AF227" s="115"/>
      <c r="AG227" s="284">
        <v>45868</v>
      </c>
      <c r="AH227" s="140">
        <v>45858</v>
      </c>
      <c r="AI227" s="264">
        <v>45809</v>
      </c>
      <c r="AJ227" s="95" t="s">
        <v>131</v>
      </c>
      <c r="AK227" s="369" t="s">
        <v>166</v>
      </c>
      <c r="AL227" s="369" t="s">
        <v>191</v>
      </c>
      <c r="AM227" s="369" t="s">
        <v>209</v>
      </c>
      <c r="AN227" s="305"/>
      <c r="AO227" s="305"/>
      <c r="AP227" s="305"/>
      <c r="AQ227" s="291"/>
      <c r="AR227" s="305"/>
      <c r="AS227" s="305"/>
      <c r="AT227" s="305"/>
      <c r="AU227" s="305"/>
      <c r="AV227" s="305"/>
      <c r="AW227" s="305"/>
      <c r="AX227" s="305"/>
      <c r="AY227" s="305"/>
      <c r="AZ227" s="91">
        <v>45811</v>
      </c>
      <c r="BA227" s="91"/>
      <c r="BB227" s="100"/>
      <c r="BC227" s="65"/>
      <c r="BD227" s="80" t="s">
        <v>816</v>
      </c>
      <c r="BE227" s="367"/>
      <c r="BF227" s="367"/>
      <c r="BG227" s="368"/>
      <c r="BH227" s="64" t="e">
        <f>#REF!</f>
        <v>#REF!</v>
      </c>
      <c r="BL227" s="73"/>
    </row>
    <row r="228" spans="1:64" s="59" customFormat="1" ht="36" customHeight="1" x14ac:dyDescent="0.3">
      <c r="A228" s="258">
        <f t="shared" si="4"/>
        <v>223</v>
      </c>
      <c r="B228" s="90" t="s">
        <v>904</v>
      </c>
      <c r="C228" s="305" t="s">
        <v>5</v>
      </c>
      <c r="D228" s="305" t="s">
        <v>891</v>
      </c>
      <c r="E228" s="91">
        <v>45819</v>
      </c>
      <c r="F228" s="91">
        <v>45819</v>
      </c>
      <c r="G228" s="91"/>
      <c r="H228" s="91"/>
      <c r="I228" s="305" t="s">
        <v>809</v>
      </c>
      <c r="J228" s="90" t="s">
        <v>644</v>
      </c>
      <c r="K228" s="92" t="s">
        <v>902</v>
      </c>
      <c r="L228" s="305">
        <v>1100</v>
      </c>
      <c r="M228" s="369" t="s">
        <v>65</v>
      </c>
      <c r="N228" s="305" t="s">
        <v>127</v>
      </c>
      <c r="O228" s="305"/>
      <c r="P228" s="158"/>
      <c r="Q228" s="305"/>
      <c r="R228" s="305"/>
      <c r="S228" s="305"/>
      <c r="T228" s="305">
        <v>20</v>
      </c>
      <c r="U228" s="305"/>
      <c r="V228" s="305"/>
      <c r="W228" s="305"/>
      <c r="X228" s="369" t="s">
        <v>812</v>
      </c>
      <c r="Y228" s="305"/>
      <c r="Z228" s="305"/>
      <c r="AA228" s="305"/>
      <c r="AB228" s="305"/>
      <c r="AC228" s="92" t="s">
        <v>905</v>
      </c>
      <c r="AD228" s="369" t="s">
        <v>819</v>
      </c>
      <c r="AE228" s="115"/>
      <c r="AF228" s="115"/>
      <c r="AG228" s="284">
        <v>45868</v>
      </c>
      <c r="AH228" s="140">
        <v>45838</v>
      </c>
      <c r="AI228" s="264">
        <v>45778</v>
      </c>
      <c r="AJ228" s="95" t="s">
        <v>131</v>
      </c>
      <c r="AK228" s="369" t="s">
        <v>166</v>
      </c>
      <c r="AL228" s="369" t="s">
        <v>191</v>
      </c>
      <c r="AM228" s="369" t="s">
        <v>209</v>
      </c>
      <c r="AN228" s="305"/>
      <c r="AO228" s="305"/>
      <c r="AP228" s="305"/>
      <c r="AQ228" s="291"/>
      <c r="AR228" s="305"/>
      <c r="AS228" s="305"/>
      <c r="AT228" s="305"/>
      <c r="AU228" s="305"/>
      <c r="AV228" s="305"/>
      <c r="AW228" s="305"/>
      <c r="AX228" s="305"/>
      <c r="AY228" s="305"/>
      <c r="AZ228" s="305"/>
      <c r="BA228" s="305"/>
      <c r="BB228" s="100"/>
      <c r="BC228" s="65"/>
      <c r="BD228" s="80" t="s">
        <v>816</v>
      </c>
      <c r="BE228" s="367"/>
      <c r="BF228" s="367"/>
      <c r="BG228" s="368"/>
      <c r="BH228" s="64" t="e">
        <f>#REF!</f>
        <v>#REF!</v>
      </c>
      <c r="BL228" s="73"/>
    </row>
    <row r="229" spans="1:64" s="59" customFormat="1" ht="36" customHeight="1" x14ac:dyDescent="0.3">
      <c r="A229" s="156">
        <f t="shared" si="4"/>
        <v>224</v>
      </c>
      <c r="B229" s="90" t="s">
        <v>906</v>
      </c>
      <c r="C229" s="305" t="s">
        <v>5</v>
      </c>
      <c r="D229" s="305" t="s">
        <v>907</v>
      </c>
      <c r="E229" s="91">
        <v>45891</v>
      </c>
      <c r="F229" s="91">
        <v>45891</v>
      </c>
      <c r="G229" s="91"/>
      <c r="H229" s="91"/>
      <c r="I229" s="305" t="s">
        <v>809</v>
      </c>
      <c r="J229" s="90" t="s">
        <v>674</v>
      </c>
      <c r="K229" s="125" t="s">
        <v>908</v>
      </c>
      <c r="L229" s="305">
        <v>1100</v>
      </c>
      <c r="M229" s="369" t="s">
        <v>120</v>
      </c>
      <c r="N229" s="305" t="s">
        <v>127</v>
      </c>
      <c r="O229" s="305"/>
      <c r="P229" s="158"/>
      <c r="Q229" s="305"/>
      <c r="R229" s="305"/>
      <c r="S229" s="305"/>
      <c r="T229" s="305">
        <v>40</v>
      </c>
      <c r="U229" s="305"/>
      <c r="V229" s="305"/>
      <c r="W229" s="305"/>
      <c r="X229" s="369" t="s">
        <v>812</v>
      </c>
      <c r="Y229" s="305"/>
      <c r="Z229" s="305"/>
      <c r="AA229" s="305"/>
      <c r="AB229" s="305"/>
      <c r="AC229" s="92" t="s">
        <v>909</v>
      </c>
      <c r="AD229" s="369" t="s">
        <v>910</v>
      </c>
      <c r="AE229" s="115"/>
      <c r="AF229" s="115"/>
      <c r="AG229" s="284">
        <v>45868</v>
      </c>
      <c r="AH229" s="140">
        <v>45889</v>
      </c>
      <c r="AI229" s="264">
        <v>45839</v>
      </c>
      <c r="AJ229" s="95" t="s">
        <v>131</v>
      </c>
      <c r="AK229" s="369" t="s">
        <v>294</v>
      </c>
      <c r="AL229" s="369" t="s">
        <v>191</v>
      </c>
      <c r="AM229" s="369" t="s">
        <v>209</v>
      </c>
      <c r="AN229" s="305"/>
      <c r="AO229" s="305"/>
      <c r="AP229" s="305"/>
      <c r="AQ229" s="291"/>
      <c r="AR229" s="305"/>
      <c r="AS229" s="305"/>
      <c r="AT229" s="91">
        <v>45853</v>
      </c>
      <c r="AU229" s="91">
        <v>45832</v>
      </c>
      <c r="AV229" s="91">
        <v>45839</v>
      </c>
      <c r="AW229" s="91">
        <v>45737</v>
      </c>
      <c r="AX229" s="305"/>
      <c r="AY229" s="305"/>
      <c r="AZ229" s="91">
        <v>45862</v>
      </c>
      <c r="BA229" s="91"/>
      <c r="BB229" s="107" t="s">
        <v>911</v>
      </c>
      <c r="BC229" s="65"/>
      <c r="BD229" s="330" t="s">
        <v>816</v>
      </c>
      <c r="BE229" s="367"/>
      <c r="BF229" s="367"/>
      <c r="BG229" s="368"/>
      <c r="BH229" s="64" t="e">
        <f>#REF!</f>
        <v>#REF!</v>
      </c>
      <c r="BL229" s="73"/>
    </row>
    <row r="230" spans="1:64" s="59" customFormat="1" ht="36" customHeight="1" x14ac:dyDescent="0.3">
      <c r="A230" s="305">
        <f t="shared" si="4"/>
        <v>225</v>
      </c>
      <c r="B230" s="90" t="s">
        <v>912</v>
      </c>
      <c r="C230" s="305" t="s">
        <v>5</v>
      </c>
      <c r="D230" s="305" t="s">
        <v>907</v>
      </c>
      <c r="E230" s="91">
        <v>45891</v>
      </c>
      <c r="F230" s="91">
        <v>45891</v>
      </c>
      <c r="G230" s="91"/>
      <c r="H230" s="91"/>
      <c r="I230" s="305" t="s">
        <v>809</v>
      </c>
      <c r="J230" s="90" t="s">
        <v>674</v>
      </c>
      <c r="K230" s="142" t="s">
        <v>908</v>
      </c>
      <c r="L230" s="305">
        <v>1100</v>
      </c>
      <c r="M230" s="369" t="s">
        <v>120</v>
      </c>
      <c r="N230" s="305" t="s">
        <v>127</v>
      </c>
      <c r="O230" s="305"/>
      <c r="P230" s="158"/>
      <c r="Q230" s="305"/>
      <c r="R230" s="305"/>
      <c r="S230" s="305"/>
      <c r="T230" s="305">
        <v>40</v>
      </c>
      <c r="U230" s="305"/>
      <c r="V230" s="305"/>
      <c r="W230" s="305"/>
      <c r="X230" s="369" t="s">
        <v>812</v>
      </c>
      <c r="Y230" s="305"/>
      <c r="Z230" s="305"/>
      <c r="AA230" s="305"/>
      <c r="AB230" s="305"/>
      <c r="AC230" s="92" t="s">
        <v>913</v>
      </c>
      <c r="AD230" s="369" t="s">
        <v>914</v>
      </c>
      <c r="AE230" s="115"/>
      <c r="AF230" s="115"/>
      <c r="AG230" s="284">
        <v>45868</v>
      </c>
      <c r="AH230" s="140">
        <v>45889</v>
      </c>
      <c r="AI230" s="264">
        <v>45839</v>
      </c>
      <c r="AJ230" s="369" t="s">
        <v>131</v>
      </c>
      <c r="AK230" s="369" t="s">
        <v>294</v>
      </c>
      <c r="AL230" s="369" t="s">
        <v>191</v>
      </c>
      <c r="AM230" s="369" t="s">
        <v>209</v>
      </c>
      <c r="AN230" s="305"/>
      <c r="AO230" s="305"/>
      <c r="AP230" s="305"/>
      <c r="AQ230" s="291"/>
      <c r="AR230" s="305"/>
      <c r="AS230" s="305"/>
      <c r="AT230" s="91">
        <v>45853</v>
      </c>
      <c r="AU230" s="91">
        <v>45832</v>
      </c>
      <c r="AV230" s="91">
        <v>45852</v>
      </c>
      <c r="AW230" s="305"/>
      <c r="AX230" s="305"/>
      <c r="AY230" s="305"/>
      <c r="AZ230" s="91">
        <v>45862</v>
      </c>
      <c r="BA230" s="91"/>
      <c r="BB230" s="100" t="s">
        <v>915</v>
      </c>
      <c r="BC230" s="65"/>
      <c r="BD230" s="330" t="s">
        <v>816</v>
      </c>
      <c r="BE230" s="367"/>
      <c r="BF230" s="367"/>
      <c r="BG230" s="368"/>
      <c r="BH230" s="64" t="e">
        <f>#REF!</f>
        <v>#REF!</v>
      </c>
      <c r="BL230" s="73"/>
    </row>
    <row r="231" spans="1:64" s="59" customFormat="1" ht="44.4" customHeight="1" x14ac:dyDescent="0.3">
      <c r="A231" s="156">
        <f t="shared" si="4"/>
        <v>226</v>
      </c>
      <c r="B231" s="90" t="s">
        <v>916</v>
      </c>
      <c r="C231" s="305" t="s">
        <v>5</v>
      </c>
      <c r="D231" s="305" t="s">
        <v>907</v>
      </c>
      <c r="E231" s="91">
        <v>45887</v>
      </c>
      <c r="F231" s="91">
        <v>45887</v>
      </c>
      <c r="G231" s="91"/>
      <c r="H231" s="91"/>
      <c r="I231" s="305" t="s">
        <v>809</v>
      </c>
      <c r="J231" s="90" t="s">
        <v>674</v>
      </c>
      <c r="K231" s="92" t="s">
        <v>917</v>
      </c>
      <c r="L231" s="305">
        <v>1100</v>
      </c>
      <c r="M231" s="369" t="s">
        <v>120</v>
      </c>
      <c r="N231" s="305" t="s">
        <v>127</v>
      </c>
      <c r="O231" s="110"/>
      <c r="P231" s="310"/>
      <c r="Q231" s="110"/>
      <c r="R231" s="110"/>
      <c r="S231" s="110"/>
      <c r="T231" s="305">
        <v>40</v>
      </c>
      <c r="U231" s="305"/>
      <c r="V231" s="305"/>
      <c r="W231" s="305"/>
      <c r="X231" s="369" t="s">
        <v>812</v>
      </c>
      <c r="Y231" s="110"/>
      <c r="Z231" s="110"/>
      <c r="AA231" s="110"/>
      <c r="AB231" s="110"/>
      <c r="AC231" s="92" t="s">
        <v>918</v>
      </c>
      <c r="AD231" s="369" t="s">
        <v>919</v>
      </c>
      <c r="AE231" s="115"/>
      <c r="AF231" s="115"/>
      <c r="AG231" s="284">
        <v>45868</v>
      </c>
      <c r="AH231" s="140">
        <v>45884</v>
      </c>
      <c r="AI231" s="264">
        <v>45839</v>
      </c>
      <c r="AJ231" s="95" t="s">
        <v>131</v>
      </c>
      <c r="AK231" s="369" t="s">
        <v>294</v>
      </c>
      <c r="AL231" s="369" t="s">
        <v>191</v>
      </c>
      <c r="AM231" s="369" t="s">
        <v>209</v>
      </c>
      <c r="AN231" s="369"/>
      <c r="AO231" s="369"/>
      <c r="AP231" s="305"/>
      <c r="AQ231" s="371"/>
      <c r="AR231" s="369"/>
      <c r="AS231" s="305"/>
      <c r="AT231" s="91">
        <v>45853</v>
      </c>
      <c r="AU231" s="91">
        <v>45820</v>
      </c>
      <c r="AV231" s="91">
        <v>45833</v>
      </c>
      <c r="AW231" s="91">
        <v>45800</v>
      </c>
      <c r="AX231" s="305"/>
      <c r="AY231" s="305"/>
      <c r="AZ231" s="305"/>
      <c r="BA231" s="305"/>
      <c r="BB231" s="100" t="s">
        <v>920</v>
      </c>
      <c r="BC231" s="65"/>
      <c r="BD231" s="80" t="s">
        <v>816</v>
      </c>
      <c r="BE231" s="72"/>
      <c r="BF231" s="367"/>
      <c r="BG231" s="368"/>
      <c r="BH231" s="64" t="e">
        <f>#REF!</f>
        <v>#REF!</v>
      </c>
      <c r="BL231" s="73"/>
    </row>
    <row r="232" spans="1:64" s="59" customFormat="1" ht="36" customHeight="1" x14ac:dyDescent="0.3">
      <c r="A232" s="258">
        <f t="shared" si="4"/>
        <v>227</v>
      </c>
      <c r="B232" s="90" t="s">
        <v>921</v>
      </c>
      <c r="C232" s="305" t="s">
        <v>5</v>
      </c>
      <c r="D232" s="305" t="s">
        <v>907</v>
      </c>
      <c r="E232" s="91">
        <v>45819</v>
      </c>
      <c r="F232" s="91">
        <v>45819</v>
      </c>
      <c r="G232" s="91"/>
      <c r="H232" s="91"/>
      <c r="I232" s="305" t="s">
        <v>809</v>
      </c>
      <c r="J232" s="90" t="s">
        <v>674</v>
      </c>
      <c r="K232" s="92" t="s">
        <v>917</v>
      </c>
      <c r="L232" s="305">
        <v>1100</v>
      </c>
      <c r="M232" s="369" t="s">
        <v>120</v>
      </c>
      <c r="N232" s="305" t="s">
        <v>127</v>
      </c>
      <c r="O232" s="305"/>
      <c r="P232" s="158"/>
      <c r="Q232" s="305"/>
      <c r="R232" s="305"/>
      <c r="S232" s="305"/>
      <c r="T232" s="305">
        <v>40</v>
      </c>
      <c r="U232" s="305"/>
      <c r="V232" s="305"/>
      <c r="W232" s="305"/>
      <c r="X232" s="369" t="s">
        <v>812</v>
      </c>
      <c r="Y232" s="305"/>
      <c r="Z232" s="305"/>
      <c r="AA232" s="305"/>
      <c r="AB232" s="305"/>
      <c r="AC232" s="92" t="s">
        <v>922</v>
      </c>
      <c r="AD232" s="369" t="s">
        <v>819</v>
      </c>
      <c r="AE232" s="115"/>
      <c r="AF232" s="115"/>
      <c r="AG232" s="284">
        <v>45868</v>
      </c>
      <c r="AH232" s="140">
        <v>45838</v>
      </c>
      <c r="AI232" s="264">
        <v>45778</v>
      </c>
      <c r="AJ232" s="95" t="s">
        <v>131</v>
      </c>
      <c r="AK232" s="369" t="s">
        <v>166</v>
      </c>
      <c r="AL232" s="369" t="s">
        <v>191</v>
      </c>
      <c r="AM232" s="369" t="s">
        <v>209</v>
      </c>
      <c r="AN232" s="305"/>
      <c r="AO232" s="305"/>
      <c r="AP232" s="305"/>
      <c r="AQ232" s="291"/>
      <c r="AR232" s="305"/>
      <c r="AS232" s="305"/>
      <c r="AT232" s="305"/>
      <c r="AU232" s="305"/>
      <c r="AV232" s="305"/>
      <c r="AW232" s="305"/>
      <c r="AX232" s="305"/>
      <c r="AY232" s="305"/>
      <c r="AZ232" s="305"/>
      <c r="BA232" s="305"/>
      <c r="BB232" s="100"/>
      <c r="BC232" s="65"/>
      <c r="BD232" s="80" t="s">
        <v>816</v>
      </c>
      <c r="BE232" s="367"/>
      <c r="BF232" s="367"/>
      <c r="BG232" s="368"/>
      <c r="BH232" s="64" t="e">
        <f>#REF!</f>
        <v>#REF!</v>
      </c>
      <c r="BL232" s="73"/>
    </row>
    <row r="233" spans="1:64" s="59" customFormat="1" ht="36" customHeight="1" x14ac:dyDescent="0.3">
      <c r="A233" s="258">
        <f t="shared" si="4"/>
        <v>228</v>
      </c>
      <c r="B233" s="90" t="s">
        <v>923</v>
      </c>
      <c r="C233" s="305" t="s">
        <v>5</v>
      </c>
      <c r="D233" s="305" t="s">
        <v>907</v>
      </c>
      <c r="E233" s="91">
        <v>45817</v>
      </c>
      <c r="F233" s="91">
        <v>45817</v>
      </c>
      <c r="G233" s="91"/>
      <c r="H233" s="91"/>
      <c r="I233" s="305" t="s">
        <v>809</v>
      </c>
      <c r="J233" s="90" t="s">
        <v>644</v>
      </c>
      <c r="K233" s="92" t="s">
        <v>924</v>
      </c>
      <c r="L233" s="305">
        <v>1100</v>
      </c>
      <c r="M233" s="369" t="s">
        <v>120</v>
      </c>
      <c r="N233" s="305" t="s">
        <v>127</v>
      </c>
      <c r="O233" s="305"/>
      <c r="P233" s="158"/>
      <c r="Q233" s="305"/>
      <c r="R233" s="305"/>
      <c r="S233" s="305"/>
      <c r="T233" s="305">
        <v>20</v>
      </c>
      <c r="U233" s="305"/>
      <c r="V233" s="305"/>
      <c r="W233" s="305"/>
      <c r="X233" s="369" t="s">
        <v>812</v>
      </c>
      <c r="Y233" s="305"/>
      <c r="Z233" s="305"/>
      <c r="AA233" s="305"/>
      <c r="AB233" s="305"/>
      <c r="AC233" s="92" t="s">
        <v>925</v>
      </c>
      <c r="AD233" s="369" t="s">
        <v>814</v>
      </c>
      <c r="AE233" s="115"/>
      <c r="AF233" s="115"/>
      <c r="AG233" s="284">
        <v>45899</v>
      </c>
      <c r="AH233" s="140">
        <v>45838</v>
      </c>
      <c r="AI233" s="264">
        <v>45778</v>
      </c>
      <c r="AJ233" s="95" t="s">
        <v>131</v>
      </c>
      <c r="AK233" s="369" t="s">
        <v>166</v>
      </c>
      <c r="AL233" s="369" t="s">
        <v>191</v>
      </c>
      <c r="AM233" s="369" t="s">
        <v>209</v>
      </c>
      <c r="AN233" s="305"/>
      <c r="AO233" s="305"/>
      <c r="AP233" s="305"/>
      <c r="AQ233" s="291"/>
      <c r="AR233" s="305"/>
      <c r="AS233" s="305"/>
      <c r="AT233" s="305"/>
      <c r="AU233" s="305"/>
      <c r="AV233" s="305"/>
      <c r="AW233" s="305"/>
      <c r="AX233" s="305"/>
      <c r="AY233" s="305"/>
      <c r="AZ233" s="305"/>
      <c r="BA233" s="305"/>
      <c r="BB233" s="100"/>
      <c r="BC233" s="65"/>
      <c r="BD233" s="80" t="s">
        <v>816</v>
      </c>
      <c r="BE233" s="367"/>
      <c r="BF233" s="367"/>
      <c r="BG233" s="368"/>
      <c r="BH233" s="64" t="e">
        <f>#REF!</f>
        <v>#REF!</v>
      </c>
      <c r="BL233" s="73"/>
    </row>
    <row r="234" spans="1:64" s="59" customFormat="1" ht="36" customHeight="1" x14ac:dyDescent="0.3">
      <c r="A234" s="258">
        <f t="shared" si="4"/>
        <v>229</v>
      </c>
      <c r="B234" s="90" t="s">
        <v>926</v>
      </c>
      <c r="C234" s="305" t="s">
        <v>5</v>
      </c>
      <c r="D234" s="305" t="s">
        <v>907</v>
      </c>
      <c r="E234" s="91">
        <v>45818</v>
      </c>
      <c r="F234" s="91">
        <v>45818</v>
      </c>
      <c r="G234" s="91"/>
      <c r="H234" s="91"/>
      <c r="I234" s="305" t="s">
        <v>809</v>
      </c>
      <c r="J234" s="90" t="s">
        <v>644</v>
      </c>
      <c r="K234" s="92" t="s">
        <v>924</v>
      </c>
      <c r="L234" s="305">
        <v>1100</v>
      </c>
      <c r="M234" s="369" t="s">
        <v>120</v>
      </c>
      <c r="N234" s="305" t="s">
        <v>127</v>
      </c>
      <c r="O234" s="305"/>
      <c r="P234" s="158"/>
      <c r="Q234" s="305"/>
      <c r="R234" s="305"/>
      <c r="S234" s="305"/>
      <c r="T234" s="305">
        <v>20</v>
      </c>
      <c r="U234" s="305"/>
      <c r="V234" s="305"/>
      <c r="W234" s="305"/>
      <c r="X234" s="369" t="s">
        <v>812</v>
      </c>
      <c r="Y234" s="305"/>
      <c r="Z234" s="305"/>
      <c r="AA234" s="305"/>
      <c r="AB234" s="305"/>
      <c r="AC234" s="92" t="s">
        <v>927</v>
      </c>
      <c r="AD234" s="369" t="s">
        <v>819</v>
      </c>
      <c r="AE234" s="115"/>
      <c r="AF234" s="115"/>
      <c r="AG234" s="284">
        <v>45899</v>
      </c>
      <c r="AH234" s="140">
        <v>45838</v>
      </c>
      <c r="AI234" s="264">
        <v>45778</v>
      </c>
      <c r="AJ234" s="95" t="s">
        <v>131</v>
      </c>
      <c r="AK234" s="369" t="s">
        <v>166</v>
      </c>
      <c r="AL234" s="369" t="s">
        <v>191</v>
      </c>
      <c r="AM234" s="369" t="s">
        <v>209</v>
      </c>
      <c r="AN234" s="305"/>
      <c r="AO234" s="305"/>
      <c r="AP234" s="305"/>
      <c r="AQ234" s="291"/>
      <c r="AR234" s="305"/>
      <c r="AS234" s="305"/>
      <c r="AT234" s="305"/>
      <c r="AU234" s="305"/>
      <c r="AV234" s="305"/>
      <c r="AW234" s="305"/>
      <c r="AX234" s="305"/>
      <c r="AY234" s="305"/>
      <c r="AZ234" s="305"/>
      <c r="BA234" s="305"/>
      <c r="BB234" s="100"/>
      <c r="BC234" s="65"/>
      <c r="BD234" s="80" t="s">
        <v>816</v>
      </c>
      <c r="BE234" s="367"/>
      <c r="BF234" s="367"/>
      <c r="BG234" s="368"/>
      <c r="BH234" s="64" t="e">
        <f>#REF!</f>
        <v>#REF!</v>
      </c>
      <c r="BL234" s="73"/>
    </row>
    <row r="235" spans="1:64" s="59" customFormat="1" ht="36" customHeight="1" x14ac:dyDescent="0.3">
      <c r="A235" s="258">
        <f t="shared" si="4"/>
        <v>230</v>
      </c>
      <c r="B235" s="90" t="s">
        <v>928</v>
      </c>
      <c r="C235" s="305" t="s">
        <v>5</v>
      </c>
      <c r="D235" s="305" t="s">
        <v>929</v>
      </c>
      <c r="E235" s="91">
        <v>45818</v>
      </c>
      <c r="F235" s="91">
        <v>45818</v>
      </c>
      <c r="G235" s="91"/>
      <c r="H235" s="91"/>
      <c r="I235" s="305" t="s">
        <v>809</v>
      </c>
      <c r="J235" s="90" t="s">
        <v>644</v>
      </c>
      <c r="K235" s="92" t="s">
        <v>930</v>
      </c>
      <c r="L235" s="305">
        <v>1100</v>
      </c>
      <c r="M235" s="369" t="s">
        <v>120</v>
      </c>
      <c r="N235" s="305" t="s">
        <v>127</v>
      </c>
      <c r="O235" s="305"/>
      <c r="P235" s="158"/>
      <c r="Q235" s="305"/>
      <c r="R235" s="305"/>
      <c r="S235" s="305"/>
      <c r="T235" s="305">
        <v>20</v>
      </c>
      <c r="U235" s="305"/>
      <c r="V235" s="305"/>
      <c r="W235" s="305"/>
      <c r="X235" s="369" t="s">
        <v>812</v>
      </c>
      <c r="Y235" s="305"/>
      <c r="Z235" s="305"/>
      <c r="AA235" s="305"/>
      <c r="AB235" s="305"/>
      <c r="AC235" s="92" t="s">
        <v>931</v>
      </c>
      <c r="AD235" s="369" t="s">
        <v>814</v>
      </c>
      <c r="AE235" s="115"/>
      <c r="AF235" s="115"/>
      <c r="AG235" s="284">
        <v>45899</v>
      </c>
      <c r="AH235" s="140">
        <v>45838</v>
      </c>
      <c r="AI235" s="264">
        <v>45778</v>
      </c>
      <c r="AJ235" s="95" t="s">
        <v>131</v>
      </c>
      <c r="AK235" s="369" t="s">
        <v>166</v>
      </c>
      <c r="AL235" s="369" t="s">
        <v>191</v>
      </c>
      <c r="AM235" s="369" t="s">
        <v>209</v>
      </c>
      <c r="AN235" s="305"/>
      <c r="AO235" s="305"/>
      <c r="AP235" s="305"/>
      <c r="AQ235" s="291"/>
      <c r="AR235" s="305"/>
      <c r="AS235" s="305"/>
      <c r="AT235" s="305"/>
      <c r="AU235" s="305"/>
      <c r="AV235" s="305"/>
      <c r="AW235" s="305"/>
      <c r="AX235" s="305"/>
      <c r="AY235" s="305"/>
      <c r="AZ235" s="305"/>
      <c r="BA235" s="305"/>
      <c r="BB235" s="100"/>
      <c r="BC235" s="65"/>
      <c r="BD235" s="80" t="s">
        <v>816</v>
      </c>
      <c r="BE235" s="367"/>
      <c r="BF235" s="367"/>
      <c r="BG235" s="368"/>
      <c r="BH235" s="64" t="e">
        <f>#REF!</f>
        <v>#REF!</v>
      </c>
      <c r="BL235" s="73"/>
    </row>
    <row r="236" spans="1:64" s="59" customFormat="1" ht="36" customHeight="1" x14ac:dyDescent="0.3">
      <c r="A236" s="258">
        <f t="shared" si="4"/>
        <v>231</v>
      </c>
      <c r="B236" s="90" t="s">
        <v>932</v>
      </c>
      <c r="C236" s="305" t="s">
        <v>5</v>
      </c>
      <c r="D236" s="305" t="s">
        <v>929</v>
      </c>
      <c r="E236" s="91">
        <v>45818</v>
      </c>
      <c r="F236" s="91">
        <v>45818</v>
      </c>
      <c r="G236" s="91"/>
      <c r="H236" s="91"/>
      <c r="I236" s="305" t="s">
        <v>809</v>
      </c>
      <c r="J236" s="90" t="s">
        <v>644</v>
      </c>
      <c r="K236" s="92" t="s">
        <v>930</v>
      </c>
      <c r="L236" s="305">
        <v>1100</v>
      </c>
      <c r="M236" s="369" t="s">
        <v>120</v>
      </c>
      <c r="N236" s="305" t="s">
        <v>127</v>
      </c>
      <c r="O236" s="305"/>
      <c r="P236" s="158"/>
      <c r="Q236" s="305"/>
      <c r="R236" s="305"/>
      <c r="S236" s="305"/>
      <c r="T236" s="305">
        <v>20</v>
      </c>
      <c r="U236" s="305"/>
      <c r="V236" s="305"/>
      <c r="W236" s="305"/>
      <c r="X236" s="369" t="s">
        <v>812</v>
      </c>
      <c r="Y236" s="305"/>
      <c r="Z236" s="305"/>
      <c r="AA236" s="305"/>
      <c r="AB236" s="305"/>
      <c r="AC236" s="92" t="s">
        <v>933</v>
      </c>
      <c r="AD236" s="369" t="s">
        <v>819</v>
      </c>
      <c r="AE236" s="115"/>
      <c r="AF236" s="115"/>
      <c r="AG236" s="284">
        <v>45899</v>
      </c>
      <c r="AH236" s="140">
        <v>45838</v>
      </c>
      <c r="AI236" s="264">
        <v>45778</v>
      </c>
      <c r="AJ236" s="95" t="s">
        <v>131</v>
      </c>
      <c r="AK236" s="369" t="s">
        <v>166</v>
      </c>
      <c r="AL236" s="369" t="s">
        <v>191</v>
      </c>
      <c r="AM236" s="369" t="s">
        <v>209</v>
      </c>
      <c r="AN236" s="305"/>
      <c r="AO236" s="305"/>
      <c r="AP236" s="305"/>
      <c r="AQ236" s="291"/>
      <c r="AR236" s="305"/>
      <c r="AS236" s="305"/>
      <c r="AT236" s="305"/>
      <c r="AU236" s="305"/>
      <c r="AV236" s="305"/>
      <c r="AW236" s="305"/>
      <c r="AX236" s="305"/>
      <c r="AY236" s="305"/>
      <c r="AZ236" s="305"/>
      <c r="BA236" s="305"/>
      <c r="BB236" s="100"/>
      <c r="BC236" s="65"/>
      <c r="BD236" s="330" t="s">
        <v>816</v>
      </c>
      <c r="BE236" s="367"/>
      <c r="BF236" s="367"/>
      <c r="BG236" s="368"/>
      <c r="BH236" s="64" t="e">
        <f>#REF!</f>
        <v>#REF!</v>
      </c>
      <c r="BL236" s="73"/>
    </row>
    <row r="237" spans="1:64" s="59" customFormat="1" ht="36" customHeight="1" x14ac:dyDescent="0.3">
      <c r="A237" s="258">
        <f t="shared" si="4"/>
        <v>232</v>
      </c>
      <c r="B237" s="90" t="s">
        <v>934</v>
      </c>
      <c r="C237" s="305" t="s">
        <v>5</v>
      </c>
      <c r="D237" s="305" t="s">
        <v>929</v>
      </c>
      <c r="E237" s="91">
        <v>45819</v>
      </c>
      <c r="F237" s="91">
        <v>45819</v>
      </c>
      <c r="G237" s="91"/>
      <c r="H237" s="91"/>
      <c r="I237" s="305" t="s">
        <v>809</v>
      </c>
      <c r="J237" s="90" t="s">
        <v>644</v>
      </c>
      <c r="K237" s="92" t="s">
        <v>935</v>
      </c>
      <c r="L237" s="305">
        <v>1100</v>
      </c>
      <c r="M237" s="369" t="s">
        <v>120</v>
      </c>
      <c r="N237" s="305" t="s">
        <v>127</v>
      </c>
      <c r="O237" s="305"/>
      <c r="P237" s="158"/>
      <c r="Q237" s="305"/>
      <c r="R237" s="305"/>
      <c r="S237" s="305"/>
      <c r="T237" s="305">
        <v>20</v>
      </c>
      <c r="U237" s="305"/>
      <c r="V237" s="305"/>
      <c r="W237" s="305"/>
      <c r="X237" s="369" t="s">
        <v>812</v>
      </c>
      <c r="Y237" s="305"/>
      <c r="Z237" s="305"/>
      <c r="AA237" s="305"/>
      <c r="AB237" s="305"/>
      <c r="AC237" s="92" t="s">
        <v>936</v>
      </c>
      <c r="AD237" s="369" t="s">
        <v>814</v>
      </c>
      <c r="AE237" s="115"/>
      <c r="AF237" s="115"/>
      <c r="AG237" s="284">
        <v>45899</v>
      </c>
      <c r="AH237" s="140">
        <v>45838</v>
      </c>
      <c r="AI237" s="264">
        <v>45778</v>
      </c>
      <c r="AJ237" s="369" t="s">
        <v>131</v>
      </c>
      <c r="AK237" s="369" t="s">
        <v>166</v>
      </c>
      <c r="AL237" s="369" t="s">
        <v>191</v>
      </c>
      <c r="AM237" s="369" t="s">
        <v>209</v>
      </c>
      <c r="AN237" s="305"/>
      <c r="AO237" s="305"/>
      <c r="AP237" s="305"/>
      <c r="AQ237" s="291"/>
      <c r="AR237" s="305"/>
      <c r="AS237" s="305"/>
      <c r="AT237" s="305"/>
      <c r="AU237" s="305"/>
      <c r="AV237" s="305"/>
      <c r="AW237" s="305"/>
      <c r="AX237" s="305"/>
      <c r="AY237" s="305"/>
      <c r="AZ237" s="305"/>
      <c r="BA237" s="305"/>
      <c r="BB237" s="100"/>
      <c r="BC237" s="65"/>
      <c r="BD237" s="330" t="s">
        <v>816</v>
      </c>
      <c r="BE237" s="367"/>
      <c r="BF237" s="367"/>
      <c r="BG237" s="368"/>
      <c r="BH237" s="64" t="e">
        <f>#REF!</f>
        <v>#REF!</v>
      </c>
      <c r="BL237" s="73"/>
    </row>
    <row r="238" spans="1:64" s="59" customFormat="1" ht="44.4" customHeight="1" x14ac:dyDescent="0.3">
      <c r="A238" s="258">
        <f t="shared" si="4"/>
        <v>233</v>
      </c>
      <c r="B238" s="90" t="s">
        <v>937</v>
      </c>
      <c r="C238" s="305" t="s">
        <v>5</v>
      </c>
      <c r="D238" s="305" t="s">
        <v>929</v>
      </c>
      <c r="E238" s="91">
        <v>45866</v>
      </c>
      <c r="F238" s="91"/>
      <c r="G238" s="91"/>
      <c r="H238" s="91"/>
      <c r="I238" s="305" t="s">
        <v>809</v>
      </c>
      <c r="J238" s="90" t="s">
        <v>644</v>
      </c>
      <c r="K238" s="92" t="s">
        <v>935</v>
      </c>
      <c r="L238" s="110">
        <v>800</v>
      </c>
      <c r="M238" s="369" t="s">
        <v>120</v>
      </c>
      <c r="N238" s="305" t="s">
        <v>127</v>
      </c>
      <c r="O238" s="110"/>
      <c r="P238" s="310"/>
      <c r="Q238" s="110"/>
      <c r="R238" s="110"/>
      <c r="S238" s="110"/>
      <c r="T238" s="305">
        <v>20</v>
      </c>
      <c r="U238" s="305"/>
      <c r="V238" s="305"/>
      <c r="W238" s="305"/>
      <c r="X238" s="369" t="s">
        <v>812</v>
      </c>
      <c r="Y238" s="110"/>
      <c r="Z238" s="305" t="s">
        <v>127</v>
      </c>
      <c r="AA238" s="110"/>
      <c r="AB238" s="110"/>
      <c r="AC238" s="92" t="s">
        <v>938</v>
      </c>
      <c r="AD238" s="369" t="s">
        <v>819</v>
      </c>
      <c r="AE238" s="115"/>
      <c r="AF238" s="115"/>
      <c r="AG238" s="284">
        <v>45899</v>
      </c>
      <c r="AH238" s="140">
        <v>45858</v>
      </c>
      <c r="AI238" s="264">
        <v>45809</v>
      </c>
      <c r="AJ238" s="95" t="s">
        <v>131</v>
      </c>
      <c r="AK238" s="369" t="s">
        <v>166</v>
      </c>
      <c r="AL238" s="369" t="s">
        <v>191</v>
      </c>
      <c r="AM238" s="369" t="s">
        <v>209</v>
      </c>
      <c r="AN238" s="369"/>
      <c r="AO238" s="369"/>
      <c r="AP238" s="305"/>
      <c r="AQ238" s="371"/>
      <c r="AR238" s="369"/>
      <c r="AS238" s="305"/>
      <c r="AT238" s="305"/>
      <c r="AU238" s="305"/>
      <c r="AV238" s="305"/>
      <c r="AW238" s="305"/>
      <c r="AX238" s="305"/>
      <c r="AY238" s="305"/>
      <c r="AZ238" s="91">
        <v>45811</v>
      </c>
      <c r="BA238" s="91"/>
      <c r="BB238" s="100" t="s">
        <v>900</v>
      </c>
      <c r="BC238" s="65"/>
      <c r="BD238" s="80" t="s">
        <v>816</v>
      </c>
      <c r="BE238" s="72"/>
      <c r="BF238" s="367"/>
      <c r="BG238" s="368"/>
      <c r="BH238" s="64" t="e">
        <f>#REF!</f>
        <v>#REF!</v>
      </c>
      <c r="BL238" s="73"/>
    </row>
    <row r="239" spans="1:64" s="59" customFormat="1" ht="36" customHeight="1" x14ac:dyDescent="0.3">
      <c r="A239" s="156">
        <f t="shared" si="4"/>
        <v>234</v>
      </c>
      <c r="B239" s="90" t="s">
        <v>939</v>
      </c>
      <c r="C239" s="305" t="s">
        <v>5</v>
      </c>
      <c r="D239" s="305" t="s">
        <v>929</v>
      </c>
      <c r="E239" s="91">
        <v>45913</v>
      </c>
      <c r="F239" s="91"/>
      <c r="G239" s="91"/>
      <c r="H239" s="91"/>
      <c r="I239" s="305" t="s">
        <v>809</v>
      </c>
      <c r="J239" s="90" t="s">
        <v>644</v>
      </c>
      <c r="K239" s="92" t="s">
        <v>940</v>
      </c>
      <c r="L239" s="305">
        <v>1100</v>
      </c>
      <c r="M239" s="369"/>
      <c r="N239" s="305" t="s">
        <v>127</v>
      </c>
      <c r="O239" s="305"/>
      <c r="P239" s="158"/>
      <c r="Q239" s="305"/>
      <c r="R239" s="305"/>
      <c r="S239" s="305"/>
      <c r="T239" s="305"/>
      <c r="U239" s="305"/>
      <c r="V239" s="305"/>
      <c r="W239" s="305"/>
      <c r="X239" s="369" t="s">
        <v>812</v>
      </c>
      <c r="Y239" s="305"/>
      <c r="Z239" s="305" t="s">
        <v>127</v>
      </c>
      <c r="AA239" s="305"/>
      <c r="AB239" s="305"/>
      <c r="AC239" s="92" t="s">
        <v>941</v>
      </c>
      <c r="AD239" s="369" t="s">
        <v>942</v>
      </c>
      <c r="AE239" s="118"/>
      <c r="AF239" s="118"/>
      <c r="AG239" s="285">
        <v>45930</v>
      </c>
      <c r="AH239" s="140">
        <v>45905</v>
      </c>
      <c r="AI239" s="264">
        <v>45870</v>
      </c>
      <c r="AJ239" s="95" t="s">
        <v>131</v>
      </c>
      <c r="AK239" s="369" t="s">
        <v>190</v>
      </c>
      <c r="AL239" s="369" t="s">
        <v>191</v>
      </c>
      <c r="AM239" s="369" t="s">
        <v>209</v>
      </c>
      <c r="AN239" s="305"/>
      <c r="AO239" s="305"/>
      <c r="AP239" s="305"/>
      <c r="AQ239" s="291"/>
      <c r="AR239" s="305"/>
      <c r="AS239" s="305"/>
      <c r="AT239" s="91">
        <v>45884</v>
      </c>
      <c r="AU239" s="91">
        <v>45866</v>
      </c>
      <c r="AV239" s="305"/>
      <c r="AW239" s="305"/>
      <c r="AX239" s="305"/>
      <c r="AY239" s="305"/>
      <c r="AZ239" s="305"/>
      <c r="BA239" s="305"/>
      <c r="BB239" s="92" t="s">
        <v>943</v>
      </c>
      <c r="BC239" s="47"/>
      <c r="BD239" s="80" t="s">
        <v>816</v>
      </c>
      <c r="BE239" s="70"/>
      <c r="BF239" s="367"/>
      <c r="BG239" s="368"/>
      <c r="BH239" s="64" t="e">
        <f>#REF!</f>
        <v>#REF!</v>
      </c>
      <c r="BL239" s="73"/>
    </row>
    <row r="240" spans="1:64" s="59" customFormat="1" ht="36" customHeight="1" x14ac:dyDescent="0.3">
      <c r="A240" s="156">
        <f t="shared" si="4"/>
        <v>235</v>
      </c>
      <c r="B240" s="90" t="s">
        <v>944</v>
      </c>
      <c r="C240" s="305" t="s">
        <v>5</v>
      </c>
      <c r="D240" s="305" t="s">
        <v>929</v>
      </c>
      <c r="E240" s="91"/>
      <c r="F240" s="91"/>
      <c r="G240" s="91"/>
      <c r="H240" s="91"/>
      <c r="I240" s="305" t="s">
        <v>809</v>
      </c>
      <c r="J240" s="90" t="s">
        <v>644</v>
      </c>
      <c r="K240" s="92" t="s">
        <v>940</v>
      </c>
      <c r="L240" s="305">
        <v>1100</v>
      </c>
      <c r="M240" s="369"/>
      <c r="N240" s="305" t="s">
        <v>127</v>
      </c>
      <c r="O240" s="305"/>
      <c r="P240" s="158"/>
      <c r="Q240" s="305"/>
      <c r="R240" s="305"/>
      <c r="S240" s="305"/>
      <c r="T240" s="305"/>
      <c r="U240" s="305"/>
      <c r="V240" s="305"/>
      <c r="W240" s="305"/>
      <c r="X240" s="369" t="s">
        <v>812</v>
      </c>
      <c r="Y240" s="305"/>
      <c r="Z240" s="305" t="s">
        <v>127</v>
      </c>
      <c r="AA240" s="305"/>
      <c r="AB240" s="305"/>
      <c r="AC240" s="92" t="s">
        <v>945</v>
      </c>
      <c r="AD240" s="369" t="s">
        <v>942</v>
      </c>
      <c r="AE240" s="118"/>
      <c r="AF240" s="118"/>
      <c r="AG240" s="285">
        <v>45930</v>
      </c>
      <c r="AH240" s="140">
        <v>45905</v>
      </c>
      <c r="AI240" s="264">
        <v>45870</v>
      </c>
      <c r="AJ240" s="95" t="s">
        <v>264</v>
      </c>
      <c r="AK240" s="369" t="s">
        <v>294</v>
      </c>
      <c r="AL240" s="369" t="s">
        <v>191</v>
      </c>
      <c r="AM240" s="369" t="s">
        <v>209</v>
      </c>
      <c r="AN240" s="91"/>
      <c r="AO240" s="305"/>
      <c r="AP240" s="305"/>
      <c r="AQ240" s="291"/>
      <c r="AR240" s="305"/>
      <c r="AS240" s="305"/>
      <c r="AT240" s="305"/>
      <c r="AU240" s="305"/>
      <c r="AV240" s="305"/>
      <c r="AW240" s="305"/>
      <c r="AX240" s="305"/>
      <c r="AY240" s="305"/>
      <c r="AZ240" s="305"/>
      <c r="BA240" s="305"/>
      <c r="BB240" s="92" t="s">
        <v>943</v>
      </c>
      <c r="BC240" s="47"/>
      <c r="BD240" s="80" t="s">
        <v>816</v>
      </c>
      <c r="BE240" s="367"/>
      <c r="BF240" s="367"/>
      <c r="BG240" s="368"/>
      <c r="BH240" s="64" t="e">
        <f>#REF!</f>
        <v>#REF!</v>
      </c>
      <c r="BL240" s="73"/>
    </row>
    <row r="241" spans="1:64" s="59" customFormat="1" ht="36" customHeight="1" x14ac:dyDescent="0.3">
      <c r="A241" s="258">
        <f t="shared" si="4"/>
        <v>236</v>
      </c>
      <c r="B241" s="90" t="s">
        <v>946</v>
      </c>
      <c r="C241" s="305" t="s">
        <v>5</v>
      </c>
      <c r="D241" s="305" t="s">
        <v>947</v>
      </c>
      <c r="E241" s="91">
        <v>45819</v>
      </c>
      <c r="F241" s="91">
        <v>45819</v>
      </c>
      <c r="G241" s="91"/>
      <c r="H241" s="91"/>
      <c r="I241" s="305" t="s">
        <v>809</v>
      </c>
      <c r="J241" s="90" t="s">
        <v>810</v>
      </c>
      <c r="K241" s="92" t="s">
        <v>948</v>
      </c>
      <c r="L241" s="305">
        <v>1100</v>
      </c>
      <c r="M241" s="369" t="s">
        <v>120</v>
      </c>
      <c r="N241" s="305" t="s">
        <v>127</v>
      </c>
      <c r="O241" s="305"/>
      <c r="P241" s="158"/>
      <c r="Q241" s="305"/>
      <c r="R241" s="305"/>
      <c r="S241" s="305"/>
      <c r="T241" s="305"/>
      <c r="U241" s="305"/>
      <c r="V241" s="305"/>
      <c r="W241" s="305"/>
      <c r="X241" s="369" t="s">
        <v>812</v>
      </c>
      <c r="Y241" s="305"/>
      <c r="Z241" s="305"/>
      <c r="AA241" s="305"/>
      <c r="AB241" s="305"/>
      <c r="AC241" s="92" t="s">
        <v>949</v>
      </c>
      <c r="AD241" s="369" t="s">
        <v>814</v>
      </c>
      <c r="AE241" s="115"/>
      <c r="AF241" s="115"/>
      <c r="AG241" s="284">
        <v>45960</v>
      </c>
      <c r="AH241" s="140">
        <v>45807</v>
      </c>
      <c r="AI241" s="264">
        <v>45778</v>
      </c>
      <c r="AJ241" s="95" t="s">
        <v>131</v>
      </c>
      <c r="AK241" s="369" t="s">
        <v>166</v>
      </c>
      <c r="AL241" s="369" t="s">
        <v>191</v>
      </c>
      <c r="AM241" s="369" t="s">
        <v>209</v>
      </c>
      <c r="AN241" s="305"/>
      <c r="AO241" s="305"/>
      <c r="AP241" s="305"/>
      <c r="AQ241" s="291"/>
      <c r="AR241" s="305"/>
      <c r="AS241" s="305"/>
      <c r="AT241" s="91">
        <v>45767</v>
      </c>
      <c r="AU241" s="305"/>
      <c r="AV241" s="305"/>
      <c r="AW241" s="91">
        <v>45737</v>
      </c>
      <c r="AX241" s="305"/>
      <c r="AY241" s="305"/>
      <c r="AZ241" s="305"/>
      <c r="BA241" s="305"/>
      <c r="BB241" s="92" t="s">
        <v>950</v>
      </c>
      <c r="BC241" s="65"/>
      <c r="BD241" s="80" t="s">
        <v>816</v>
      </c>
      <c r="BE241" s="367"/>
      <c r="BF241" s="367"/>
      <c r="BG241" s="368"/>
      <c r="BH241" s="64" t="e">
        <f>#REF!</f>
        <v>#REF!</v>
      </c>
      <c r="BL241" s="73"/>
    </row>
    <row r="242" spans="1:64" s="59" customFormat="1" ht="36" customHeight="1" x14ac:dyDescent="0.3">
      <c r="A242" s="258">
        <f t="shared" si="4"/>
        <v>237</v>
      </c>
      <c r="B242" s="90" t="s">
        <v>951</v>
      </c>
      <c r="C242" s="305" t="s">
        <v>5</v>
      </c>
      <c r="D242" s="305" t="s">
        <v>947</v>
      </c>
      <c r="E242" s="91">
        <v>45833</v>
      </c>
      <c r="F242" s="91">
        <v>45833</v>
      </c>
      <c r="G242" s="91"/>
      <c r="H242" s="91"/>
      <c r="I242" s="305" t="s">
        <v>809</v>
      </c>
      <c r="J242" s="90" t="s">
        <v>810</v>
      </c>
      <c r="K242" s="92" t="s">
        <v>948</v>
      </c>
      <c r="L242" s="305">
        <v>1100</v>
      </c>
      <c r="M242" s="369" t="s">
        <v>120</v>
      </c>
      <c r="N242" s="305" t="s">
        <v>127</v>
      </c>
      <c r="O242" s="305"/>
      <c r="P242" s="158"/>
      <c r="Q242" s="305"/>
      <c r="R242" s="305"/>
      <c r="S242" s="305"/>
      <c r="T242" s="305"/>
      <c r="U242" s="305"/>
      <c r="V242" s="305"/>
      <c r="W242" s="305"/>
      <c r="X242" s="369" t="s">
        <v>812</v>
      </c>
      <c r="Y242" s="305"/>
      <c r="Z242" s="305"/>
      <c r="AA242" s="305"/>
      <c r="AB242" s="305"/>
      <c r="AC242" s="92" t="s">
        <v>952</v>
      </c>
      <c r="AD242" s="369" t="s">
        <v>819</v>
      </c>
      <c r="AE242" s="115"/>
      <c r="AF242" s="115"/>
      <c r="AG242" s="284">
        <v>45960</v>
      </c>
      <c r="AH242" s="140">
        <v>45807</v>
      </c>
      <c r="AI242" s="264">
        <v>45778</v>
      </c>
      <c r="AJ242" s="95" t="s">
        <v>131</v>
      </c>
      <c r="AK242" s="369" t="s">
        <v>166</v>
      </c>
      <c r="AL242" s="369" t="s">
        <v>191</v>
      </c>
      <c r="AM242" s="369" t="s">
        <v>209</v>
      </c>
      <c r="AN242" s="305"/>
      <c r="AO242" s="305"/>
      <c r="AP242" s="305"/>
      <c r="AQ242" s="291"/>
      <c r="AR242" s="305"/>
      <c r="AS242" s="305"/>
      <c r="AT242" s="91">
        <v>45767</v>
      </c>
      <c r="AU242" s="305"/>
      <c r="AV242" s="305"/>
      <c r="AW242" s="91">
        <v>45737</v>
      </c>
      <c r="AX242" s="305"/>
      <c r="AY242" s="305"/>
      <c r="AZ242" s="305"/>
      <c r="BA242" s="305"/>
      <c r="BB242" s="92" t="s">
        <v>950</v>
      </c>
      <c r="BC242" s="65"/>
      <c r="BD242" s="80" t="s">
        <v>816</v>
      </c>
      <c r="BE242" s="367"/>
      <c r="BF242" s="367"/>
      <c r="BG242" s="368"/>
      <c r="BH242" s="64" t="e">
        <f>#REF!</f>
        <v>#REF!</v>
      </c>
      <c r="BL242" s="73"/>
    </row>
    <row r="243" spans="1:64" s="59" customFormat="1" ht="36" customHeight="1" x14ac:dyDescent="0.3">
      <c r="A243" s="159">
        <f t="shared" si="4"/>
        <v>238</v>
      </c>
      <c r="B243" s="90" t="s">
        <v>953</v>
      </c>
      <c r="C243" s="305" t="s">
        <v>5</v>
      </c>
      <c r="D243" s="305" t="s">
        <v>947</v>
      </c>
      <c r="E243" s="91">
        <v>45866</v>
      </c>
      <c r="F243" s="91"/>
      <c r="G243" s="91"/>
      <c r="H243" s="91"/>
      <c r="I243" s="305" t="s">
        <v>809</v>
      </c>
      <c r="J243" s="90" t="s">
        <v>644</v>
      </c>
      <c r="K243" s="92" t="s">
        <v>954</v>
      </c>
      <c r="L243" s="110">
        <v>1400</v>
      </c>
      <c r="M243" s="369" t="s">
        <v>65</v>
      </c>
      <c r="N243" s="305" t="s">
        <v>127</v>
      </c>
      <c r="O243" s="305"/>
      <c r="P243" s="158"/>
      <c r="Q243" s="305"/>
      <c r="R243" s="305"/>
      <c r="S243" s="305"/>
      <c r="T243" s="305">
        <v>15</v>
      </c>
      <c r="U243" s="305"/>
      <c r="V243" s="305"/>
      <c r="W243" s="305"/>
      <c r="X243" s="369" t="s">
        <v>812</v>
      </c>
      <c r="Y243" s="305"/>
      <c r="Z243" s="305"/>
      <c r="AA243" s="305"/>
      <c r="AB243" s="305"/>
      <c r="AC243" s="92" t="s">
        <v>955</v>
      </c>
      <c r="AD243" s="369" t="s">
        <v>814</v>
      </c>
      <c r="AE243" s="115"/>
      <c r="AF243" s="115"/>
      <c r="AG243" s="284">
        <v>45868</v>
      </c>
      <c r="AH243" s="140">
        <v>45858</v>
      </c>
      <c r="AI243" s="264">
        <v>45809</v>
      </c>
      <c r="AJ243" s="95" t="s">
        <v>131</v>
      </c>
      <c r="AK243" s="369" t="s">
        <v>166</v>
      </c>
      <c r="AL243" s="369" t="s">
        <v>191</v>
      </c>
      <c r="AM243" s="369" t="s">
        <v>209</v>
      </c>
      <c r="AN243" s="305"/>
      <c r="AO243" s="305"/>
      <c r="AP243" s="305"/>
      <c r="AQ243" s="291"/>
      <c r="AR243" s="305"/>
      <c r="AS243" s="305"/>
      <c r="AT243" s="305"/>
      <c r="AU243" s="305"/>
      <c r="AV243" s="305"/>
      <c r="AW243" s="305"/>
      <c r="AX243" s="305"/>
      <c r="AY243" s="305"/>
      <c r="AZ243" s="91">
        <v>45811</v>
      </c>
      <c r="BA243" s="91"/>
      <c r="BB243" s="100" t="s">
        <v>823</v>
      </c>
      <c r="BC243" s="65"/>
      <c r="BD243" s="80" t="s">
        <v>816</v>
      </c>
      <c r="BE243" s="367"/>
      <c r="BF243" s="367"/>
      <c r="BG243" s="368"/>
      <c r="BH243" s="64" t="e">
        <f>#REF!</f>
        <v>#REF!</v>
      </c>
      <c r="BL243" s="73"/>
    </row>
    <row r="244" spans="1:64" s="59" customFormat="1" ht="36" customHeight="1" x14ac:dyDescent="0.3">
      <c r="A244" s="305">
        <f t="shared" si="4"/>
        <v>239</v>
      </c>
      <c r="B244" s="90" t="s">
        <v>956</v>
      </c>
      <c r="C244" s="305" t="s">
        <v>5</v>
      </c>
      <c r="D244" s="305" t="s">
        <v>947</v>
      </c>
      <c r="E244" s="91">
        <v>45782</v>
      </c>
      <c r="F244" s="91">
        <v>45819</v>
      </c>
      <c r="G244" s="91"/>
      <c r="H244" s="91"/>
      <c r="I244" s="305" t="s">
        <v>809</v>
      </c>
      <c r="J244" s="90" t="s">
        <v>644</v>
      </c>
      <c r="K244" s="92" t="s">
        <v>954</v>
      </c>
      <c r="L244" s="305">
        <v>1100</v>
      </c>
      <c r="M244" s="369" t="s">
        <v>65</v>
      </c>
      <c r="N244" s="305" t="s">
        <v>127</v>
      </c>
      <c r="O244" s="305"/>
      <c r="P244" s="158"/>
      <c r="Q244" s="305"/>
      <c r="R244" s="305"/>
      <c r="S244" s="305"/>
      <c r="T244" s="305">
        <v>15</v>
      </c>
      <c r="U244" s="305"/>
      <c r="V244" s="305"/>
      <c r="W244" s="305"/>
      <c r="X244" s="305"/>
      <c r="Y244" s="305"/>
      <c r="Z244" s="305" t="s">
        <v>127</v>
      </c>
      <c r="AA244" s="305"/>
      <c r="AB244" s="305"/>
      <c r="AC244" s="92" t="s">
        <v>957</v>
      </c>
      <c r="AD244" s="369" t="s">
        <v>889</v>
      </c>
      <c r="AE244" s="115">
        <v>45772</v>
      </c>
      <c r="AF244" s="115"/>
      <c r="AG244" s="284">
        <v>45777</v>
      </c>
      <c r="AH244" s="140">
        <v>45767</v>
      </c>
      <c r="AI244" s="264">
        <v>45748</v>
      </c>
      <c r="AJ244" s="95" t="s">
        <v>131</v>
      </c>
      <c r="AK244" s="369" t="s">
        <v>161</v>
      </c>
      <c r="AL244" s="369" t="s">
        <v>239</v>
      </c>
      <c r="AM244" s="369" t="s">
        <v>134</v>
      </c>
      <c r="AN244" s="305"/>
      <c r="AO244" s="305"/>
      <c r="AP244" s="305"/>
      <c r="AQ244" s="291"/>
      <c r="AR244" s="305"/>
      <c r="AS244" s="305"/>
      <c r="AT244" s="91">
        <v>45726</v>
      </c>
      <c r="AU244" s="91">
        <v>45701</v>
      </c>
      <c r="AV244" s="91">
        <v>45701</v>
      </c>
      <c r="AW244" s="91">
        <v>45680</v>
      </c>
      <c r="AX244" s="305"/>
      <c r="AY244" s="305"/>
      <c r="AZ244" s="305"/>
      <c r="BA244" s="305"/>
      <c r="BB244" s="100"/>
      <c r="BC244" s="65"/>
      <c r="BD244" s="80" t="s">
        <v>816</v>
      </c>
      <c r="BE244" s="367"/>
      <c r="BF244" s="367"/>
      <c r="BG244" s="368"/>
      <c r="BH244" s="64" t="e">
        <f>#REF!</f>
        <v>#REF!</v>
      </c>
      <c r="BL244" s="73"/>
    </row>
    <row r="245" spans="1:64" s="59" customFormat="1" ht="36" customHeight="1" x14ac:dyDescent="0.3">
      <c r="A245" s="258">
        <f t="shared" si="4"/>
        <v>240</v>
      </c>
      <c r="B245" s="90" t="s">
        <v>958</v>
      </c>
      <c r="C245" s="305" t="s">
        <v>5</v>
      </c>
      <c r="D245" s="305" t="s">
        <v>947</v>
      </c>
      <c r="E245" s="91">
        <v>45818</v>
      </c>
      <c r="F245" s="91">
        <v>45818</v>
      </c>
      <c r="G245" s="91"/>
      <c r="H245" s="91"/>
      <c r="I245" s="305" t="s">
        <v>809</v>
      </c>
      <c r="J245" s="90" t="s">
        <v>644</v>
      </c>
      <c r="K245" s="92" t="s">
        <v>954</v>
      </c>
      <c r="L245" s="305">
        <v>1100</v>
      </c>
      <c r="M245" s="369" t="s">
        <v>65</v>
      </c>
      <c r="N245" s="305" t="s">
        <v>127</v>
      </c>
      <c r="O245" s="305"/>
      <c r="P245" s="158"/>
      <c r="Q245" s="305"/>
      <c r="R245" s="305"/>
      <c r="S245" s="305"/>
      <c r="T245" s="305">
        <v>15</v>
      </c>
      <c r="U245" s="305"/>
      <c r="V245" s="305"/>
      <c r="W245" s="305"/>
      <c r="X245" s="369" t="s">
        <v>812</v>
      </c>
      <c r="Y245" s="305"/>
      <c r="Z245" s="305" t="s">
        <v>127</v>
      </c>
      <c r="AA245" s="305"/>
      <c r="AB245" s="305"/>
      <c r="AC245" s="92" t="s">
        <v>959</v>
      </c>
      <c r="AD245" s="369" t="s">
        <v>819</v>
      </c>
      <c r="AE245" s="115"/>
      <c r="AF245" s="115"/>
      <c r="AG245" s="284">
        <v>45868</v>
      </c>
      <c r="AH245" s="140">
        <v>45807</v>
      </c>
      <c r="AI245" s="264">
        <v>45778</v>
      </c>
      <c r="AJ245" s="95" t="s">
        <v>131</v>
      </c>
      <c r="AK245" s="369" t="s">
        <v>166</v>
      </c>
      <c r="AL245" s="369" t="s">
        <v>191</v>
      </c>
      <c r="AM245" s="369" t="s">
        <v>209</v>
      </c>
      <c r="AN245" s="305"/>
      <c r="AO245" s="305"/>
      <c r="AP245" s="305"/>
      <c r="AQ245" s="291"/>
      <c r="AR245" s="305"/>
      <c r="AS245" s="305"/>
      <c r="AT245" s="305"/>
      <c r="AU245" s="305"/>
      <c r="AV245" s="305"/>
      <c r="AW245" s="305"/>
      <c r="AX245" s="305"/>
      <c r="AY245" s="305"/>
      <c r="AZ245" s="305"/>
      <c r="BA245" s="305"/>
      <c r="BB245" s="100"/>
      <c r="BC245" s="65"/>
      <c r="BD245" s="330" t="s">
        <v>816</v>
      </c>
      <c r="BE245" s="367"/>
      <c r="BF245" s="367"/>
      <c r="BG245" s="368"/>
      <c r="BH245" s="64" t="e">
        <f>#REF!</f>
        <v>#REF!</v>
      </c>
      <c r="BL245" s="73"/>
    </row>
    <row r="246" spans="1:64" s="59" customFormat="1" ht="36" customHeight="1" x14ac:dyDescent="0.3">
      <c r="A246" s="258">
        <f t="shared" si="4"/>
        <v>241</v>
      </c>
      <c r="B246" s="90" t="s">
        <v>960</v>
      </c>
      <c r="C246" s="305" t="s">
        <v>5</v>
      </c>
      <c r="D246" s="305" t="s">
        <v>947</v>
      </c>
      <c r="E246" s="91">
        <v>45819</v>
      </c>
      <c r="F246" s="91">
        <v>45819</v>
      </c>
      <c r="G246" s="91"/>
      <c r="H246" s="91"/>
      <c r="I246" s="305" t="s">
        <v>809</v>
      </c>
      <c r="J246" s="90" t="s">
        <v>644</v>
      </c>
      <c r="K246" s="92" t="s">
        <v>961</v>
      </c>
      <c r="L246" s="305">
        <v>1100</v>
      </c>
      <c r="M246" s="369" t="s">
        <v>65</v>
      </c>
      <c r="N246" s="305" t="s">
        <v>127</v>
      </c>
      <c r="O246" s="305"/>
      <c r="P246" s="158"/>
      <c r="Q246" s="305"/>
      <c r="R246" s="305"/>
      <c r="S246" s="305"/>
      <c r="T246" s="305">
        <v>17</v>
      </c>
      <c r="U246" s="305"/>
      <c r="V246" s="305"/>
      <c r="W246" s="305"/>
      <c r="X246" s="369" t="s">
        <v>812</v>
      </c>
      <c r="Y246" s="305"/>
      <c r="Z246" s="305" t="s">
        <v>127</v>
      </c>
      <c r="AA246" s="305"/>
      <c r="AB246" s="305"/>
      <c r="AC246" s="92" t="s">
        <v>962</v>
      </c>
      <c r="AD246" s="369" t="s">
        <v>814</v>
      </c>
      <c r="AE246" s="115"/>
      <c r="AF246" s="115"/>
      <c r="AG246" s="284">
        <v>45960</v>
      </c>
      <c r="AH246" s="140">
        <v>45807</v>
      </c>
      <c r="AI246" s="264">
        <v>45778</v>
      </c>
      <c r="AJ246" s="369" t="s">
        <v>131</v>
      </c>
      <c r="AK246" s="369" t="s">
        <v>166</v>
      </c>
      <c r="AL246" s="369" t="s">
        <v>191</v>
      </c>
      <c r="AM246" s="369" t="s">
        <v>209</v>
      </c>
      <c r="AN246" s="305"/>
      <c r="AO246" s="305"/>
      <c r="AP246" s="305"/>
      <c r="AQ246" s="291"/>
      <c r="AR246" s="305"/>
      <c r="AS246" s="305"/>
      <c r="AT246" s="305"/>
      <c r="AU246" s="305"/>
      <c r="AV246" s="305"/>
      <c r="AW246" s="305"/>
      <c r="AX246" s="305"/>
      <c r="AY246" s="305"/>
      <c r="AZ246" s="305"/>
      <c r="BA246" s="305"/>
      <c r="BB246" s="100"/>
      <c r="BC246" s="65"/>
      <c r="BD246" s="330" t="s">
        <v>816</v>
      </c>
      <c r="BE246" s="367"/>
      <c r="BF246" s="367"/>
      <c r="BG246" s="368"/>
      <c r="BH246" s="64" t="e">
        <f>#REF!</f>
        <v>#REF!</v>
      </c>
      <c r="BL246" s="73"/>
    </row>
    <row r="247" spans="1:64" s="59" customFormat="1" ht="44.4" customHeight="1" x14ac:dyDescent="0.3">
      <c r="A247" s="258">
        <f t="shared" si="4"/>
        <v>242</v>
      </c>
      <c r="B247" s="90" t="s">
        <v>963</v>
      </c>
      <c r="C247" s="305" t="s">
        <v>5</v>
      </c>
      <c r="D247" s="305" t="s">
        <v>964</v>
      </c>
      <c r="E247" s="91">
        <v>45818</v>
      </c>
      <c r="F247" s="91">
        <v>45818</v>
      </c>
      <c r="G247" s="91"/>
      <c r="H247" s="91"/>
      <c r="I247" s="305" t="s">
        <v>809</v>
      </c>
      <c r="J247" s="90" t="s">
        <v>644</v>
      </c>
      <c r="K247" s="92" t="s">
        <v>961</v>
      </c>
      <c r="L247" s="305">
        <v>1100</v>
      </c>
      <c r="M247" s="369" t="s">
        <v>65</v>
      </c>
      <c r="N247" s="305" t="s">
        <v>127</v>
      </c>
      <c r="O247" s="110"/>
      <c r="P247" s="310"/>
      <c r="Q247" s="110"/>
      <c r="R247" s="110"/>
      <c r="S247" s="110"/>
      <c r="T247" s="110">
        <v>17</v>
      </c>
      <c r="U247" s="110"/>
      <c r="V247" s="110"/>
      <c r="W247" s="110"/>
      <c r="X247" s="369" t="s">
        <v>812</v>
      </c>
      <c r="Y247" s="110"/>
      <c r="Z247" s="305" t="s">
        <v>127</v>
      </c>
      <c r="AA247" s="305"/>
      <c r="AB247" s="110"/>
      <c r="AC247" s="92" t="s">
        <v>965</v>
      </c>
      <c r="AD247" s="369" t="s">
        <v>819</v>
      </c>
      <c r="AE247" s="115"/>
      <c r="AF247" s="115"/>
      <c r="AG247" s="284">
        <v>45960</v>
      </c>
      <c r="AH247" s="140">
        <v>45807</v>
      </c>
      <c r="AI247" s="264">
        <v>45778</v>
      </c>
      <c r="AJ247" s="95" t="s">
        <v>131</v>
      </c>
      <c r="AK247" s="369" t="s">
        <v>166</v>
      </c>
      <c r="AL247" s="369" t="s">
        <v>191</v>
      </c>
      <c r="AM247" s="369" t="s">
        <v>209</v>
      </c>
      <c r="AN247" s="369"/>
      <c r="AO247" s="369"/>
      <c r="AP247" s="305"/>
      <c r="AQ247" s="371"/>
      <c r="AR247" s="369"/>
      <c r="AS247" s="305"/>
      <c r="AT247" s="305"/>
      <c r="AU247" s="305"/>
      <c r="AV247" s="305"/>
      <c r="AW247" s="305"/>
      <c r="AX247" s="305"/>
      <c r="AY247" s="305"/>
      <c r="AZ247" s="305"/>
      <c r="BA247" s="305"/>
      <c r="BB247" s="100"/>
      <c r="BC247" s="65"/>
      <c r="BD247" s="80" t="s">
        <v>816</v>
      </c>
      <c r="BE247" s="72"/>
      <c r="BF247" s="367"/>
      <c r="BG247" s="368"/>
      <c r="BH247" s="64" t="e">
        <f>#REF!</f>
        <v>#REF!</v>
      </c>
      <c r="BL247" s="73"/>
    </row>
    <row r="248" spans="1:64" s="59" customFormat="1" ht="36" customHeight="1" x14ac:dyDescent="0.3">
      <c r="A248" s="258">
        <f t="shared" si="4"/>
        <v>243</v>
      </c>
      <c r="B248" s="90" t="s">
        <v>966</v>
      </c>
      <c r="C248" s="305" t="s">
        <v>5</v>
      </c>
      <c r="D248" s="305" t="s">
        <v>964</v>
      </c>
      <c r="E248" s="91">
        <v>45819</v>
      </c>
      <c r="F248" s="91">
        <v>45819</v>
      </c>
      <c r="G248" s="91"/>
      <c r="H248" s="91"/>
      <c r="I248" s="305" t="s">
        <v>809</v>
      </c>
      <c r="J248" s="90" t="s">
        <v>644</v>
      </c>
      <c r="K248" s="92" t="s">
        <v>967</v>
      </c>
      <c r="L248" s="305">
        <v>1100</v>
      </c>
      <c r="M248" s="369" t="s">
        <v>65</v>
      </c>
      <c r="N248" s="305" t="s">
        <v>127</v>
      </c>
      <c r="O248" s="305"/>
      <c r="P248" s="158"/>
      <c r="Q248" s="305"/>
      <c r="R248" s="305"/>
      <c r="S248" s="305"/>
      <c r="T248" s="305">
        <v>20</v>
      </c>
      <c r="U248" s="305"/>
      <c r="V248" s="305"/>
      <c r="W248" s="305"/>
      <c r="X248" s="369" t="s">
        <v>812</v>
      </c>
      <c r="Y248" s="305"/>
      <c r="Z248" s="305" t="s">
        <v>127</v>
      </c>
      <c r="AA248" s="305"/>
      <c r="AB248" s="305"/>
      <c r="AC248" s="92" t="s">
        <v>968</v>
      </c>
      <c r="AD248" s="369" t="s">
        <v>814</v>
      </c>
      <c r="AE248" s="118"/>
      <c r="AF248" s="118"/>
      <c r="AG248" s="284">
        <v>45930</v>
      </c>
      <c r="AH248" s="140">
        <v>45807</v>
      </c>
      <c r="AI248" s="264">
        <v>45778</v>
      </c>
      <c r="AJ248" s="95" t="s">
        <v>131</v>
      </c>
      <c r="AK248" s="369" t="s">
        <v>166</v>
      </c>
      <c r="AL248" s="369" t="s">
        <v>191</v>
      </c>
      <c r="AM248" s="369" t="s">
        <v>209</v>
      </c>
      <c r="AN248" s="305"/>
      <c r="AO248" s="305"/>
      <c r="AP248" s="305"/>
      <c r="AQ248" s="291"/>
      <c r="AR248" s="305"/>
      <c r="AS248" s="305"/>
      <c r="AT248" s="305"/>
      <c r="AU248" s="305"/>
      <c r="AV248" s="305"/>
      <c r="AW248" s="305"/>
      <c r="AX248" s="305"/>
      <c r="AY248" s="305"/>
      <c r="AZ248" s="305"/>
      <c r="BA248" s="305"/>
      <c r="BB248" s="92"/>
      <c r="BC248" s="47"/>
      <c r="BD248" s="80" t="s">
        <v>816</v>
      </c>
      <c r="BE248" s="70"/>
      <c r="BF248" s="367"/>
      <c r="BG248" s="368"/>
      <c r="BH248" s="64" t="e">
        <f>#REF!</f>
        <v>#REF!</v>
      </c>
      <c r="BL248" s="73"/>
    </row>
    <row r="249" spans="1:64" s="59" customFormat="1" ht="36" customHeight="1" x14ac:dyDescent="0.3">
      <c r="A249" s="258">
        <f t="shared" si="4"/>
        <v>244</v>
      </c>
      <c r="B249" s="90" t="s">
        <v>969</v>
      </c>
      <c r="C249" s="305" t="s">
        <v>5</v>
      </c>
      <c r="D249" s="305" t="s">
        <v>964</v>
      </c>
      <c r="E249" s="91">
        <v>45833</v>
      </c>
      <c r="F249" s="91">
        <v>45833</v>
      </c>
      <c r="G249" s="91"/>
      <c r="H249" s="91"/>
      <c r="I249" s="305" t="s">
        <v>809</v>
      </c>
      <c r="J249" s="90" t="s">
        <v>644</v>
      </c>
      <c r="K249" s="92" t="s">
        <v>967</v>
      </c>
      <c r="L249" s="305">
        <v>1100</v>
      </c>
      <c r="M249" s="369" t="s">
        <v>65</v>
      </c>
      <c r="N249" s="305" t="s">
        <v>127</v>
      </c>
      <c r="O249" s="305"/>
      <c r="P249" s="158"/>
      <c r="Q249" s="305"/>
      <c r="R249" s="305"/>
      <c r="S249" s="305"/>
      <c r="T249" s="305">
        <v>20</v>
      </c>
      <c r="U249" s="305"/>
      <c r="V249" s="305"/>
      <c r="W249" s="305"/>
      <c r="X249" s="369" t="s">
        <v>812</v>
      </c>
      <c r="Y249" s="305"/>
      <c r="Z249" s="305" t="s">
        <v>127</v>
      </c>
      <c r="AA249" s="305"/>
      <c r="AB249" s="305"/>
      <c r="AC249" s="92" t="s">
        <v>970</v>
      </c>
      <c r="AD249" s="369" t="s">
        <v>819</v>
      </c>
      <c r="AE249" s="118"/>
      <c r="AF249" s="118"/>
      <c r="AG249" s="284">
        <v>45930</v>
      </c>
      <c r="AH249" s="140">
        <v>45807</v>
      </c>
      <c r="AI249" s="264">
        <v>45778</v>
      </c>
      <c r="AJ249" s="95" t="s">
        <v>131</v>
      </c>
      <c r="AK249" s="369" t="s">
        <v>166</v>
      </c>
      <c r="AL249" s="369" t="s">
        <v>191</v>
      </c>
      <c r="AM249" s="369" t="s">
        <v>209</v>
      </c>
      <c r="AN249" s="91"/>
      <c r="AO249" s="305"/>
      <c r="AP249" s="305"/>
      <c r="AQ249" s="291"/>
      <c r="AR249" s="305"/>
      <c r="AS249" s="305"/>
      <c r="AT249" s="305"/>
      <c r="AU249" s="305"/>
      <c r="AV249" s="305"/>
      <c r="AW249" s="305"/>
      <c r="AX249" s="305"/>
      <c r="AY249" s="305"/>
      <c r="AZ249" s="305"/>
      <c r="BA249" s="305"/>
      <c r="BB249" s="100"/>
      <c r="BC249" s="65"/>
      <c r="BD249" s="80" t="s">
        <v>816</v>
      </c>
      <c r="BE249" s="367"/>
      <c r="BF249" s="367"/>
      <c r="BG249" s="368"/>
      <c r="BH249" s="64" t="e">
        <f>#REF!</f>
        <v>#REF!</v>
      </c>
      <c r="BL249" s="73"/>
    </row>
    <row r="250" spans="1:64" s="59" customFormat="1" ht="36" customHeight="1" x14ac:dyDescent="0.3">
      <c r="A250" s="258">
        <f t="shared" si="4"/>
        <v>245</v>
      </c>
      <c r="B250" s="90" t="s">
        <v>971</v>
      </c>
      <c r="C250" s="305" t="s">
        <v>5</v>
      </c>
      <c r="D250" s="305" t="s">
        <v>964</v>
      </c>
      <c r="E250" s="91">
        <v>45866</v>
      </c>
      <c r="F250" s="91"/>
      <c r="G250" s="91"/>
      <c r="H250" s="91"/>
      <c r="I250" s="305" t="s">
        <v>809</v>
      </c>
      <c r="J250" s="90" t="s">
        <v>644</v>
      </c>
      <c r="K250" s="92" t="s">
        <v>972</v>
      </c>
      <c r="L250" s="110">
        <v>800</v>
      </c>
      <c r="M250" s="369" t="s">
        <v>120</v>
      </c>
      <c r="N250" s="305" t="s">
        <v>127</v>
      </c>
      <c r="O250" s="305"/>
      <c r="P250" s="158"/>
      <c r="Q250" s="305"/>
      <c r="R250" s="305"/>
      <c r="S250" s="305"/>
      <c r="T250" s="305">
        <v>15</v>
      </c>
      <c r="U250" s="305"/>
      <c r="V250" s="305"/>
      <c r="W250" s="305"/>
      <c r="X250" s="369" t="s">
        <v>812</v>
      </c>
      <c r="Y250" s="305"/>
      <c r="Z250" s="305" t="s">
        <v>127</v>
      </c>
      <c r="AA250" s="305"/>
      <c r="AB250" s="305"/>
      <c r="AC250" s="92" t="s">
        <v>973</v>
      </c>
      <c r="AD250" s="369" t="s">
        <v>814</v>
      </c>
      <c r="AE250" s="115"/>
      <c r="AF250" s="115"/>
      <c r="AG250" s="284">
        <v>45899</v>
      </c>
      <c r="AH250" s="140">
        <v>45853</v>
      </c>
      <c r="AI250" s="264">
        <v>45809</v>
      </c>
      <c r="AJ250" s="95" t="s">
        <v>131</v>
      </c>
      <c r="AK250" s="369" t="s">
        <v>166</v>
      </c>
      <c r="AL250" s="369" t="s">
        <v>191</v>
      </c>
      <c r="AM250" s="369" t="s">
        <v>209</v>
      </c>
      <c r="AN250" s="305"/>
      <c r="AO250" s="305"/>
      <c r="AP250" s="305"/>
      <c r="AQ250" s="291"/>
      <c r="AR250" s="305"/>
      <c r="AS250" s="305"/>
      <c r="AT250" s="305"/>
      <c r="AU250" s="305"/>
      <c r="AV250" s="305"/>
      <c r="AW250" s="305"/>
      <c r="AX250" s="305"/>
      <c r="AY250" s="305"/>
      <c r="AZ250" s="91">
        <v>45811</v>
      </c>
      <c r="BA250" s="91"/>
      <c r="BB250" s="100" t="s">
        <v>900</v>
      </c>
      <c r="BC250" s="65"/>
      <c r="BD250" s="80" t="s">
        <v>816</v>
      </c>
      <c r="BE250" s="367"/>
      <c r="BF250" s="367"/>
      <c r="BG250" s="368"/>
      <c r="BH250" s="64" t="e">
        <f>#REF!</f>
        <v>#REF!</v>
      </c>
      <c r="BL250" s="73"/>
    </row>
    <row r="251" spans="1:64" s="59" customFormat="1" ht="36" customHeight="1" x14ac:dyDescent="0.3">
      <c r="A251" s="258">
        <f t="shared" si="4"/>
        <v>246</v>
      </c>
      <c r="B251" s="90" t="s">
        <v>974</v>
      </c>
      <c r="C251" s="305" t="s">
        <v>5</v>
      </c>
      <c r="D251" s="305" t="s">
        <v>964</v>
      </c>
      <c r="E251" s="91">
        <v>45833</v>
      </c>
      <c r="F251" s="91">
        <v>45833</v>
      </c>
      <c r="G251" s="91"/>
      <c r="H251" s="91"/>
      <c r="I251" s="305" t="s">
        <v>809</v>
      </c>
      <c r="J251" s="90" t="s">
        <v>644</v>
      </c>
      <c r="K251" s="92" t="s">
        <v>972</v>
      </c>
      <c r="L251" s="305">
        <v>1100</v>
      </c>
      <c r="M251" s="369" t="s">
        <v>120</v>
      </c>
      <c r="N251" s="305" t="s">
        <v>127</v>
      </c>
      <c r="O251" s="305"/>
      <c r="P251" s="158"/>
      <c r="Q251" s="305"/>
      <c r="R251" s="305"/>
      <c r="S251" s="305"/>
      <c r="T251" s="305">
        <v>15</v>
      </c>
      <c r="U251" s="305"/>
      <c r="V251" s="305"/>
      <c r="W251" s="305"/>
      <c r="X251" s="369" t="s">
        <v>812</v>
      </c>
      <c r="Y251" s="305"/>
      <c r="Z251" s="305"/>
      <c r="AA251" s="305"/>
      <c r="AB251" s="305"/>
      <c r="AC251" s="92" t="s">
        <v>975</v>
      </c>
      <c r="AD251" s="369" t="s">
        <v>819</v>
      </c>
      <c r="AE251" s="115"/>
      <c r="AF251" s="115"/>
      <c r="AG251" s="284">
        <v>45899</v>
      </c>
      <c r="AH251" s="140">
        <v>45807</v>
      </c>
      <c r="AI251" s="264">
        <v>45778</v>
      </c>
      <c r="AJ251" s="95" t="s">
        <v>131</v>
      </c>
      <c r="AK251" s="369" t="s">
        <v>166</v>
      </c>
      <c r="AL251" s="369" t="s">
        <v>191</v>
      </c>
      <c r="AM251" s="369" t="s">
        <v>209</v>
      </c>
      <c r="AN251" s="305"/>
      <c r="AO251" s="305"/>
      <c r="AP251" s="305"/>
      <c r="AQ251" s="291"/>
      <c r="AR251" s="305"/>
      <c r="AS251" s="305"/>
      <c r="AT251" s="305"/>
      <c r="AU251" s="305"/>
      <c r="AV251" s="305"/>
      <c r="AW251" s="305"/>
      <c r="AX251" s="305"/>
      <c r="AY251" s="305"/>
      <c r="AZ251" s="305"/>
      <c r="BA251" s="305"/>
      <c r="BB251" s="100"/>
      <c r="BC251" s="65"/>
      <c r="BD251" s="80" t="s">
        <v>816</v>
      </c>
      <c r="BE251" s="367"/>
      <c r="BF251" s="367"/>
      <c r="BG251" s="368"/>
      <c r="BH251" s="64" t="e">
        <f>#REF!</f>
        <v>#REF!</v>
      </c>
      <c r="BL251" s="73"/>
    </row>
    <row r="252" spans="1:64" s="59" customFormat="1" ht="36" customHeight="1" x14ac:dyDescent="0.3">
      <c r="A252" s="258">
        <f t="shared" si="4"/>
        <v>247</v>
      </c>
      <c r="B252" s="90" t="s">
        <v>976</v>
      </c>
      <c r="C252" s="305" t="s">
        <v>5</v>
      </c>
      <c r="D252" s="305" t="s">
        <v>964</v>
      </c>
      <c r="E252" s="91">
        <v>45866</v>
      </c>
      <c r="F252" s="91"/>
      <c r="G252" s="91"/>
      <c r="H252" s="91"/>
      <c r="I252" s="305" t="s">
        <v>809</v>
      </c>
      <c r="J252" s="90" t="s">
        <v>644</v>
      </c>
      <c r="K252" s="92" t="s">
        <v>977</v>
      </c>
      <c r="L252" s="110">
        <v>1400</v>
      </c>
      <c r="M252" s="369" t="s">
        <v>120</v>
      </c>
      <c r="N252" s="305" t="s">
        <v>127</v>
      </c>
      <c r="O252" s="305"/>
      <c r="P252" s="158"/>
      <c r="Q252" s="305"/>
      <c r="R252" s="305"/>
      <c r="S252" s="305"/>
      <c r="T252" s="305">
        <v>15</v>
      </c>
      <c r="U252" s="305"/>
      <c r="V252" s="305"/>
      <c r="W252" s="305"/>
      <c r="X252" s="369" t="s">
        <v>812</v>
      </c>
      <c r="Y252" s="305"/>
      <c r="Z252" s="305"/>
      <c r="AA252" s="305"/>
      <c r="AB252" s="305"/>
      <c r="AC252" s="92" t="s">
        <v>978</v>
      </c>
      <c r="AD252" s="369" t="s">
        <v>814</v>
      </c>
      <c r="AE252" s="115"/>
      <c r="AF252" s="115"/>
      <c r="AG252" s="284">
        <v>45899</v>
      </c>
      <c r="AH252" s="140">
        <v>45853</v>
      </c>
      <c r="AI252" s="264">
        <v>45809</v>
      </c>
      <c r="AJ252" s="95" t="s">
        <v>131</v>
      </c>
      <c r="AK252" s="369" t="s">
        <v>166</v>
      </c>
      <c r="AL252" s="369" t="s">
        <v>191</v>
      </c>
      <c r="AM252" s="369" t="s">
        <v>209</v>
      </c>
      <c r="AN252" s="305"/>
      <c r="AO252" s="305"/>
      <c r="AP252" s="305"/>
      <c r="AQ252" s="291"/>
      <c r="AR252" s="305"/>
      <c r="AS252" s="305"/>
      <c r="AT252" s="305"/>
      <c r="AU252" s="305"/>
      <c r="AV252" s="305"/>
      <c r="AW252" s="305"/>
      <c r="AX252" s="305"/>
      <c r="AY252" s="305"/>
      <c r="AZ252" s="91">
        <v>45811</v>
      </c>
      <c r="BA252" s="91"/>
      <c r="BB252" s="100" t="s">
        <v>823</v>
      </c>
      <c r="BC252" s="65"/>
      <c r="BD252" s="80" t="s">
        <v>816</v>
      </c>
      <c r="BE252" s="367"/>
      <c r="BF252" s="367"/>
      <c r="BG252" s="368"/>
      <c r="BH252" s="64" t="e">
        <f>#REF!</f>
        <v>#REF!</v>
      </c>
      <c r="BL252" s="73"/>
    </row>
    <row r="253" spans="1:64" s="59" customFormat="1" ht="36" customHeight="1" x14ac:dyDescent="0.3">
      <c r="A253" s="305">
        <f t="shared" si="4"/>
        <v>248</v>
      </c>
      <c r="B253" s="90" t="s">
        <v>979</v>
      </c>
      <c r="C253" s="305" t="s">
        <v>5</v>
      </c>
      <c r="D253" s="305" t="s">
        <v>980</v>
      </c>
      <c r="E253" s="91">
        <v>45770</v>
      </c>
      <c r="F253" s="91">
        <v>45770</v>
      </c>
      <c r="G253" s="91"/>
      <c r="H253" s="91"/>
      <c r="I253" s="305" t="s">
        <v>809</v>
      </c>
      <c r="J253" s="90" t="s">
        <v>644</v>
      </c>
      <c r="K253" s="92" t="s">
        <v>977</v>
      </c>
      <c r="L253" s="305">
        <v>1100</v>
      </c>
      <c r="M253" s="369" t="s">
        <v>120</v>
      </c>
      <c r="N253" s="305" t="s">
        <v>127</v>
      </c>
      <c r="O253" s="305"/>
      <c r="P253" s="158"/>
      <c r="Q253" s="305"/>
      <c r="R253" s="305"/>
      <c r="S253" s="305"/>
      <c r="T253" s="305">
        <v>15</v>
      </c>
      <c r="U253" s="305"/>
      <c r="V253" s="305"/>
      <c r="W253" s="305"/>
      <c r="X253" s="305"/>
      <c r="Y253" s="305"/>
      <c r="Z253" s="305"/>
      <c r="AA253" s="305"/>
      <c r="AB253" s="305"/>
      <c r="AC253" s="92" t="s">
        <v>981</v>
      </c>
      <c r="AD253" s="369" t="s">
        <v>886</v>
      </c>
      <c r="AE253" s="115">
        <v>45746</v>
      </c>
      <c r="AF253" s="115"/>
      <c r="AG253" s="284">
        <v>45777</v>
      </c>
      <c r="AH253" s="140">
        <v>45762</v>
      </c>
      <c r="AI253" s="264">
        <v>45717</v>
      </c>
      <c r="AJ253" s="95" t="s">
        <v>131</v>
      </c>
      <c r="AK253" s="369" t="s">
        <v>366</v>
      </c>
      <c r="AL253" s="369" t="s">
        <v>778</v>
      </c>
      <c r="AM253" s="369" t="s">
        <v>209</v>
      </c>
      <c r="AN253" s="305"/>
      <c r="AO253" s="305"/>
      <c r="AP253" s="305"/>
      <c r="AQ253" s="291"/>
      <c r="AR253" s="305"/>
      <c r="AS253" s="305"/>
      <c r="AT253" s="91">
        <v>45713</v>
      </c>
      <c r="AU253" s="91">
        <v>45680</v>
      </c>
      <c r="AV253" s="91">
        <v>45699</v>
      </c>
      <c r="AW253" s="91">
        <v>45679</v>
      </c>
      <c r="AX253" s="305"/>
      <c r="AY253" s="305"/>
      <c r="AZ253" s="305"/>
      <c r="BA253" s="305"/>
      <c r="BB253" s="100"/>
      <c r="BC253" s="65"/>
      <c r="BD253" s="80" t="s">
        <v>816</v>
      </c>
      <c r="BE253" s="367"/>
      <c r="BF253" s="367"/>
      <c r="BG253" s="368"/>
      <c r="BH253" s="64" t="e">
        <f>#REF!</f>
        <v>#REF!</v>
      </c>
      <c r="BL253" s="73"/>
    </row>
    <row r="254" spans="1:64" s="59" customFormat="1" ht="36" customHeight="1" x14ac:dyDescent="0.3">
      <c r="A254" s="305">
        <f t="shared" si="4"/>
        <v>249</v>
      </c>
      <c r="B254" s="90" t="s">
        <v>982</v>
      </c>
      <c r="C254" s="305" t="s">
        <v>5</v>
      </c>
      <c r="D254" s="305" t="s">
        <v>980</v>
      </c>
      <c r="E254" s="91">
        <v>45782</v>
      </c>
      <c r="F254" s="91"/>
      <c r="G254" s="91"/>
      <c r="H254" s="91"/>
      <c r="I254" s="305" t="s">
        <v>809</v>
      </c>
      <c r="J254" s="90" t="s">
        <v>644</v>
      </c>
      <c r="K254" s="92" t="s">
        <v>977</v>
      </c>
      <c r="L254" s="305">
        <v>1100</v>
      </c>
      <c r="M254" s="369" t="s">
        <v>120</v>
      </c>
      <c r="N254" s="305" t="s">
        <v>127</v>
      </c>
      <c r="O254" s="305"/>
      <c r="P254" s="158"/>
      <c r="Q254" s="305"/>
      <c r="R254" s="305"/>
      <c r="S254" s="305"/>
      <c r="T254" s="305">
        <v>15</v>
      </c>
      <c r="U254" s="305"/>
      <c r="V254" s="305"/>
      <c r="W254" s="305"/>
      <c r="X254" s="305"/>
      <c r="Y254" s="305"/>
      <c r="Z254" s="305" t="s">
        <v>127</v>
      </c>
      <c r="AA254" s="305"/>
      <c r="AB254" s="305"/>
      <c r="AC254" s="92" t="s">
        <v>983</v>
      </c>
      <c r="AD254" s="369" t="s">
        <v>889</v>
      </c>
      <c r="AE254" s="115">
        <v>45772</v>
      </c>
      <c r="AF254" s="115"/>
      <c r="AG254" s="284">
        <v>45777</v>
      </c>
      <c r="AH254" s="140">
        <v>45767</v>
      </c>
      <c r="AI254" s="264">
        <v>45748</v>
      </c>
      <c r="AJ254" s="95" t="s">
        <v>131</v>
      </c>
      <c r="AK254" s="369" t="s">
        <v>161</v>
      </c>
      <c r="AL254" s="369" t="s">
        <v>147</v>
      </c>
      <c r="AM254" s="369" t="s">
        <v>134</v>
      </c>
      <c r="AN254" s="305"/>
      <c r="AO254" s="305"/>
      <c r="AP254" s="305"/>
      <c r="AQ254" s="291"/>
      <c r="AR254" s="305"/>
      <c r="AS254" s="305"/>
      <c r="AT254" s="91">
        <v>45726</v>
      </c>
      <c r="AU254" s="91">
        <v>45701</v>
      </c>
      <c r="AV254" s="91">
        <v>45701</v>
      </c>
      <c r="AW254" s="91">
        <v>45680</v>
      </c>
      <c r="AX254" s="305"/>
      <c r="AY254" s="305"/>
      <c r="AZ254" s="305"/>
      <c r="BA254" s="305"/>
      <c r="BB254" s="100"/>
      <c r="BC254" s="65"/>
      <c r="BD254" s="330" t="s">
        <v>816</v>
      </c>
      <c r="BE254" s="367"/>
      <c r="BF254" s="367"/>
      <c r="BG254" s="368"/>
      <c r="BH254" s="64" t="e">
        <f>#REF!</f>
        <v>#REF!</v>
      </c>
      <c r="BL254" s="73"/>
    </row>
    <row r="255" spans="1:64" s="59" customFormat="1" ht="36" customHeight="1" x14ac:dyDescent="0.3">
      <c r="A255" s="305">
        <f t="shared" si="4"/>
        <v>250</v>
      </c>
      <c r="B255" s="90" t="s">
        <v>984</v>
      </c>
      <c r="C255" s="305" t="s">
        <v>5</v>
      </c>
      <c r="D255" s="305" t="s">
        <v>980</v>
      </c>
      <c r="E255" s="91">
        <v>45770</v>
      </c>
      <c r="F255" s="91">
        <v>45770</v>
      </c>
      <c r="G255" s="91"/>
      <c r="H255" s="91"/>
      <c r="I255" s="305" t="s">
        <v>809</v>
      </c>
      <c r="J255" s="90" t="s">
        <v>644</v>
      </c>
      <c r="K255" s="92" t="s">
        <v>977</v>
      </c>
      <c r="L255" s="305">
        <v>1100</v>
      </c>
      <c r="M255" s="369" t="s">
        <v>65</v>
      </c>
      <c r="N255" s="305" t="s">
        <v>127</v>
      </c>
      <c r="O255" s="305"/>
      <c r="P255" s="158"/>
      <c r="Q255" s="305"/>
      <c r="R255" s="305"/>
      <c r="S255" s="305"/>
      <c r="T255" s="305">
        <v>15</v>
      </c>
      <c r="U255" s="305"/>
      <c r="V255" s="305"/>
      <c r="W255" s="305"/>
      <c r="X255" s="305"/>
      <c r="Y255" s="305"/>
      <c r="Z255" s="305" t="s">
        <v>127</v>
      </c>
      <c r="AA255" s="305"/>
      <c r="AB255" s="305"/>
      <c r="AC255" s="92" t="s">
        <v>981</v>
      </c>
      <c r="AD255" s="369" t="s">
        <v>886</v>
      </c>
      <c r="AE255" s="115">
        <v>45746</v>
      </c>
      <c r="AF255" s="115"/>
      <c r="AG255" s="284">
        <v>45777</v>
      </c>
      <c r="AH255" s="140">
        <v>45762</v>
      </c>
      <c r="AI255" s="264">
        <v>45717</v>
      </c>
      <c r="AJ255" s="369" t="s">
        <v>131</v>
      </c>
      <c r="AK255" s="369" t="s">
        <v>366</v>
      </c>
      <c r="AL255" s="369" t="s">
        <v>778</v>
      </c>
      <c r="AM255" s="369" t="s">
        <v>209</v>
      </c>
      <c r="AN255" s="305"/>
      <c r="AO255" s="305"/>
      <c r="AP255" s="305"/>
      <c r="AQ255" s="291"/>
      <c r="AR255" s="305"/>
      <c r="AS255" s="305"/>
      <c r="AT255" s="91">
        <v>45713</v>
      </c>
      <c r="AU255" s="91">
        <v>45680</v>
      </c>
      <c r="AV255" s="91">
        <v>45699</v>
      </c>
      <c r="AW255" s="91">
        <v>45679</v>
      </c>
      <c r="AX255" s="305"/>
      <c r="AY255" s="305"/>
      <c r="AZ255" s="305"/>
      <c r="BA255" s="305"/>
      <c r="BB255" s="100"/>
      <c r="BC255" s="65"/>
      <c r="BD255" s="330" t="s">
        <v>816</v>
      </c>
      <c r="BE255" s="367"/>
      <c r="BF255" s="367"/>
      <c r="BG255" s="368"/>
      <c r="BH255" s="64" t="e">
        <f>#REF!</f>
        <v>#REF!</v>
      </c>
      <c r="BL255" s="73"/>
    </row>
    <row r="256" spans="1:64" s="59" customFormat="1" ht="44.4" customHeight="1" x14ac:dyDescent="0.3">
      <c r="A256" s="258">
        <f t="shared" si="4"/>
        <v>251</v>
      </c>
      <c r="B256" s="90" t="s">
        <v>985</v>
      </c>
      <c r="C256" s="305" t="s">
        <v>5</v>
      </c>
      <c r="D256" s="305" t="s">
        <v>980</v>
      </c>
      <c r="E256" s="91">
        <v>45833</v>
      </c>
      <c r="F256" s="91">
        <v>45833</v>
      </c>
      <c r="G256" s="91"/>
      <c r="H256" s="91"/>
      <c r="I256" s="305" t="s">
        <v>809</v>
      </c>
      <c r="J256" s="90" t="s">
        <v>644</v>
      </c>
      <c r="K256" s="92" t="s">
        <v>977</v>
      </c>
      <c r="L256" s="305">
        <v>1100</v>
      </c>
      <c r="M256" s="369" t="s">
        <v>65</v>
      </c>
      <c r="N256" s="305" t="s">
        <v>127</v>
      </c>
      <c r="O256" s="110"/>
      <c r="P256" s="310"/>
      <c r="Q256" s="110"/>
      <c r="R256" s="110"/>
      <c r="S256" s="110"/>
      <c r="T256" s="110">
        <v>15</v>
      </c>
      <c r="U256" s="110"/>
      <c r="V256" s="110"/>
      <c r="W256" s="110"/>
      <c r="X256" s="369" t="s">
        <v>812</v>
      </c>
      <c r="Y256" s="110"/>
      <c r="Z256" s="305" t="s">
        <v>127</v>
      </c>
      <c r="AA256" s="305"/>
      <c r="AB256" s="110"/>
      <c r="AC256" s="92" t="s">
        <v>986</v>
      </c>
      <c r="AD256" s="369" t="s">
        <v>819</v>
      </c>
      <c r="AE256" s="115"/>
      <c r="AF256" s="115"/>
      <c r="AG256" s="284">
        <v>45899</v>
      </c>
      <c r="AH256" s="140">
        <v>45807</v>
      </c>
      <c r="AI256" s="264">
        <v>45778</v>
      </c>
      <c r="AJ256" s="95" t="s">
        <v>131</v>
      </c>
      <c r="AK256" s="369" t="s">
        <v>166</v>
      </c>
      <c r="AL256" s="369" t="s">
        <v>191</v>
      </c>
      <c r="AM256" s="369" t="s">
        <v>209</v>
      </c>
      <c r="AN256" s="369"/>
      <c r="AO256" s="369"/>
      <c r="AP256" s="305"/>
      <c r="AQ256" s="371"/>
      <c r="AR256" s="369"/>
      <c r="AS256" s="305"/>
      <c r="AT256" s="305"/>
      <c r="AU256" s="305"/>
      <c r="AV256" s="305"/>
      <c r="AW256" s="305"/>
      <c r="AX256" s="305"/>
      <c r="AY256" s="305"/>
      <c r="AZ256" s="305"/>
      <c r="BA256" s="305"/>
      <c r="BB256" s="100"/>
      <c r="BC256" s="65"/>
      <c r="BD256" s="80" t="s">
        <v>816</v>
      </c>
      <c r="BE256" s="72"/>
      <c r="BF256" s="367"/>
      <c r="BG256" s="368"/>
      <c r="BH256" s="64" t="e">
        <f>#REF!</f>
        <v>#REF!</v>
      </c>
      <c r="BL256" s="73"/>
    </row>
    <row r="257" spans="1:64" s="59" customFormat="1" ht="36" customHeight="1" x14ac:dyDescent="0.3">
      <c r="A257" s="258">
        <f t="shared" si="4"/>
        <v>252</v>
      </c>
      <c r="B257" s="90" t="s">
        <v>987</v>
      </c>
      <c r="C257" s="305" t="s">
        <v>5</v>
      </c>
      <c r="D257" s="305" t="s">
        <v>980</v>
      </c>
      <c r="E257" s="91">
        <v>45866</v>
      </c>
      <c r="F257" s="91"/>
      <c r="G257" s="91"/>
      <c r="H257" s="91"/>
      <c r="I257" s="305" t="s">
        <v>809</v>
      </c>
      <c r="J257" s="90" t="s">
        <v>644</v>
      </c>
      <c r="K257" s="92" t="s">
        <v>988</v>
      </c>
      <c r="L257" s="305">
        <v>800</v>
      </c>
      <c r="M257" s="369" t="s">
        <v>65</v>
      </c>
      <c r="N257" s="305" t="s">
        <v>127</v>
      </c>
      <c r="O257" s="305"/>
      <c r="P257" s="158"/>
      <c r="Q257" s="305"/>
      <c r="R257" s="305"/>
      <c r="S257" s="305"/>
      <c r="T257" s="305">
        <v>15</v>
      </c>
      <c r="U257" s="305"/>
      <c r="V257" s="305"/>
      <c r="W257" s="305"/>
      <c r="X257" s="369" t="s">
        <v>812</v>
      </c>
      <c r="Y257" s="305"/>
      <c r="Z257" s="305" t="s">
        <v>127</v>
      </c>
      <c r="AA257" s="305"/>
      <c r="AB257" s="305"/>
      <c r="AC257" s="92" t="s">
        <v>989</v>
      </c>
      <c r="AD257" s="369" t="s">
        <v>814</v>
      </c>
      <c r="AE257" s="118"/>
      <c r="AF257" s="118"/>
      <c r="AG257" s="284">
        <v>45899</v>
      </c>
      <c r="AH257" s="140">
        <v>45868</v>
      </c>
      <c r="AI257" s="264">
        <v>45809</v>
      </c>
      <c r="AJ257" s="95" t="s">
        <v>131</v>
      </c>
      <c r="AK257" s="369" t="s">
        <v>166</v>
      </c>
      <c r="AL257" s="369" t="s">
        <v>191</v>
      </c>
      <c r="AM257" s="369" t="s">
        <v>209</v>
      </c>
      <c r="AN257" s="305"/>
      <c r="AO257" s="305"/>
      <c r="AP257" s="305"/>
      <c r="AQ257" s="291"/>
      <c r="AR257" s="305"/>
      <c r="AS257" s="305"/>
      <c r="AT257" s="305"/>
      <c r="AU257" s="305"/>
      <c r="AV257" s="305"/>
      <c r="AW257" s="305"/>
      <c r="AX257" s="305"/>
      <c r="AY257" s="305"/>
      <c r="AZ257" s="91">
        <v>45811</v>
      </c>
      <c r="BA257" s="91"/>
      <c r="BB257" s="92" t="s">
        <v>900</v>
      </c>
      <c r="BC257" s="47"/>
      <c r="BD257" s="80" t="s">
        <v>816</v>
      </c>
      <c r="BE257" s="70"/>
      <c r="BF257" s="367"/>
      <c r="BG257" s="368"/>
      <c r="BH257" s="64" t="e">
        <f>#REF!</f>
        <v>#REF!</v>
      </c>
      <c r="BL257" s="73"/>
    </row>
    <row r="258" spans="1:64" s="59" customFormat="1" ht="36" customHeight="1" x14ac:dyDescent="0.3">
      <c r="A258" s="258">
        <f t="shared" si="4"/>
        <v>253</v>
      </c>
      <c r="B258" s="90" t="s">
        <v>990</v>
      </c>
      <c r="C258" s="305" t="s">
        <v>5</v>
      </c>
      <c r="D258" s="305" t="s">
        <v>980</v>
      </c>
      <c r="E258" s="91">
        <v>45847</v>
      </c>
      <c r="F258" s="91"/>
      <c r="G258" s="91"/>
      <c r="H258" s="91"/>
      <c r="I258" s="305" t="s">
        <v>809</v>
      </c>
      <c r="J258" s="90" t="s">
        <v>644</v>
      </c>
      <c r="K258" s="92" t="s">
        <v>988</v>
      </c>
      <c r="L258" s="305">
        <v>1100</v>
      </c>
      <c r="M258" s="369" t="s">
        <v>65</v>
      </c>
      <c r="N258" s="305" t="s">
        <v>127</v>
      </c>
      <c r="O258" s="305"/>
      <c r="P258" s="158"/>
      <c r="Q258" s="305"/>
      <c r="R258" s="305"/>
      <c r="S258" s="305"/>
      <c r="T258" s="305">
        <v>15</v>
      </c>
      <c r="U258" s="305"/>
      <c r="V258" s="305"/>
      <c r="W258" s="305"/>
      <c r="X258" s="369" t="s">
        <v>812</v>
      </c>
      <c r="Y258" s="305"/>
      <c r="Z258" s="141"/>
      <c r="AA258" s="141"/>
      <c r="AB258" s="305"/>
      <c r="AC258" s="92" t="s">
        <v>991</v>
      </c>
      <c r="AD258" s="369" t="s">
        <v>819</v>
      </c>
      <c r="AE258" s="118"/>
      <c r="AF258" s="118"/>
      <c r="AG258" s="284">
        <v>45899</v>
      </c>
      <c r="AH258" s="140">
        <v>45868</v>
      </c>
      <c r="AI258" s="264">
        <v>45778</v>
      </c>
      <c r="AJ258" s="95" t="s">
        <v>131</v>
      </c>
      <c r="AK258" s="369" t="s">
        <v>166</v>
      </c>
      <c r="AL258" s="369" t="s">
        <v>191</v>
      </c>
      <c r="AM258" s="369" t="s">
        <v>209</v>
      </c>
      <c r="AN258" s="91"/>
      <c r="AO258" s="305"/>
      <c r="AP258" s="305"/>
      <c r="AQ258" s="291"/>
      <c r="AR258" s="305"/>
      <c r="AS258" s="305"/>
      <c r="AT258" s="305"/>
      <c r="AU258" s="305"/>
      <c r="AV258" s="305"/>
      <c r="AW258" s="305"/>
      <c r="AX258" s="305"/>
      <c r="AY258" s="305"/>
      <c r="AZ258" s="305"/>
      <c r="BA258" s="305"/>
      <c r="BB258" s="100"/>
      <c r="BC258" s="65"/>
      <c r="BD258" s="80" t="s">
        <v>816</v>
      </c>
      <c r="BE258" s="367"/>
      <c r="BF258" s="367"/>
      <c r="BG258" s="368"/>
      <c r="BH258" s="64" t="e">
        <f>#REF!</f>
        <v>#REF!</v>
      </c>
      <c r="BL258" s="73"/>
    </row>
    <row r="259" spans="1:64" s="59" customFormat="1" ht="36" customHeight="1" x14ac:dyDescent="0.3">
      <c r="A259" s="258">
        <f t="shared" si="4"/>
        <v>254</v>
      </c>
      <c r="B259" s="90" t="s">
        <v>992</v>
      </c>
      <c r="C259" s="305" t="s">
        <v>5</v>
      </c>
      <c r="D259" s="305" t="s">
        <v>993</v>
      </c>
      <c r="E259" s="91">
        <v>45819</v>
      </c>
      <c r="F259" s="91">
        <v>45819</v>
      </c>
      <c r="G259" s="91"/>
      <c r="H259" s="91"/>
      <c r="I259" s="305" t="s">
        <v>809</v>
      </c>
      <c r="J259" s="90" t="s">
        <v>674</v>
      </c>
      <c r="K259" s="92" t="s">
        <v>994</v>
      </c>
      <c r="L259" s="305">
        <v>1100</v>
      </c>
      <c r="M259" s="369" t="s">
        <v>120</v>
      </c>
      <c r="N259" s="305" t="s">
        <v>127</v>
      </c>
      <c r="O259" s="305"/>
      <c r="P259" s="158"/>
      <c r="Q259" s="305"/>
      <c r="R259" s="305"/>
      <c r="S259" s="305"/>
      <c r="T259" s="305">
        <v>15</v>
      </c>
      <c r="U259" s="305"/>
      <c r="V259" s="305"/>
      <c r="W259" s="305"/>
      <c r="X259" s="369" t="s">
        <v>812</v>
      </c>
      <c r="Y259" s="305"/>
      <c r="Z259" s="305"/>
      <c r="AA259" s="305"/>
      <c r="AB259" s="305"/>
      <c r="AC259" s="92" t="s">
        <v>995</v>
      </c>
      <c r="AD259" s="369" t="s">
        <v>814</v>
      </c>
      <c r="AE259" s="115"/>
      <c r="AF259" s="115"/>
      <c r="AG259" s="284">
        <v>45792</v>
      </c>
      <c r="AH259" s="140">
        <v>45868</v>
      </c>
      <c r="AI259" s="264">
        <v>45778</v>
      </c>
      <c r="AJ259" s="95" t="s">
        <v>131</v>
      </c>
      <c r="AK259" s="369" t="s">
        <v>166</v>
      </c>
      <c r="AL259" s="369" t="s">
        <v>191</v>
      </c>
      <c r="AM259" s="369" t="s">
        <v>209</v>
      </c>
      <c r="AN259" s="305"/>
      <c r="AO259" s="305"/>
      <c r="AP259" s="305"/>
      <c r="AQ259" s="291"/>
      <c r="AR259" s="305"/>
      <c r="AS259" s="305"/>
      <c r="AT259" s="305"/>
      <c r="AU259" s="305"/>
      <c r="AV259" s="305"/>
      <c r="AW259" s="305"/>
      <c r="AX259" s="305"/>
      <c r="AY259" s="305"/>
      <c r="AZ259" s="305"/>
      <c r="BA259" s="305"/>
      <c r="BB259" s="100"/>
      <c r="BC259" s="65"/>
      <c r="BD259" s="80" t="s">
        <v>816</v>
      </c>
      <c r="BE259" s="367"/>
      <c r="BF259" s="367"/>
      <c r="BG259" s="368"/>
      <c r="BH259" s="64" t="e">
        <f>#REF!</f>
        <v>#REF!</v>
      </c>
      <c r="BL259" s="73"/>
    </row>
    <row r="260" spans="1:64" s="59" customFormat="1" ht="36" customHeight="1" x14ac:dyDescent="0.3">
      <c r="A260" s="305">
        <f t="shared" si="4"/>
        <v>255</v>
      </c>
      <c r="B260" s="90" t="s">
        <v>996</v>
      </c>
      <c r="C260" s="305" t="s">
        <v>5</v>
      </c>
      <c r="D260" s="305" t="s">
        <v>993</v>
      </c>
      <c r="E260" s="91">
        <v>45782</v>
      </c>
      <c r="F260" s="91"/>
      <c r="G260" s="91"/>
      <c r="H260" s="91"/>
      <c r="I260" s="305" t="s">
        <v>809</v>
      </c>
      <c r="J260" s="90" t="s">
        <v>674</v>
      </c>
      <c r="K260" s="92" t="s">
        <v>994</v>
      </c>
      <c r="L260" s="305">
        <v>1100</v>
      </c>
      <c r="M260" s="369" t="s">
        <v>120</v>
      </c>
      <c r="N260" s="305" t="s">
        <v>127</v>
      </c>
      <c r="O260" s="305"/>
      <c r="P260" s="158"/>
      <c r="Q260" s="305"/>
      <c r="R260" s="305"/>
      <c r="S260" s="305"/>
      <c r="T260" s="305">
        <v>15</v>
      </c>
      <c r="U260" s="305"/>
      <c r="V260" s="305"/>
      <c r="W260" s="305"/>
      <c r="X260" s="305"/>
      <c r="Y260" s="305"/>
      <c r="Z260" s="305"/>
      <c r="AA260" s="305"/>
      <c r="AB260" s="305"/>
      <c r="AC260" s="92" t="s">
        <v>997</v>
      </c>
      <c r="AD260" s="369" t="s">
        <v>889</v>
      </c>
      <c r="AE260" s="115">
        <v>45772</v>
      </c>
      <c r="AF260" s="115"/>
      <c r="AG260" s="284">
        <v>45777</v>
      </c>
      <c r="AH260" s="140">
        <v>45767</v>
      </c>
      <c r="AI260" s="264">
        <v>45748</v>
      </c>
      <c r="AJ260" s="95" t="s">
        <v>131</v>
      </c>
      <c r="AK260" s="369" t="s">
        <v>161</v>
      </c>
      <c r="AL260" s="369" t="s">
        <v>239</v>
      </c>
      <c r="AM260" s="369" t="s">
        <v>134</v>
      </c>
      <c r="AN260" s="305"/>
      <c r="AO260" s="305"/>
      <c r="AP260" s="305"/>
      <c r="AQ260" s="291"/>
      <c r="AR260" s="305"/>
      <c r="AS260" s="305"/>
      <c r="AT260" s="91">
        <v>45726</v>
      </c>
      <c r="AU260" s="91">
        <v>45701</v>
      </c>
      <c r="AV260" s="91">
        <v>45701</v>
      </c>
      <c r="AW260" s="91">
        <v>45680</v>
      </c>
      <c r="AX260" s="305"/>
      <c r="AY260" s="305"/>
      <c r="AZ260" s="305"/>
      <c r="BA260" s="305"/>
      <c r="BB260" s="100"/>
      <c r="BC260" s="65"/>
      <c r="BD260" s="80" t="s">
        <v>816</v>
      </c>
      <c r="BE260" s="367"/>
      <c r="BF260" s="367"/>
      <c r="BG260" s="368"/>
      <c r="BH260" s="64" t="e">
        <f>#REF!</f>
        <v>#REF!</v>
      </c>
      <c r="BL260" s="73"/>
    </row>
    <row r="261" spans="1:64" s="59" customFormat="1" ht="36" customHeight="1" x14ac:dyDescent="0.3">
      <c r="A261" s="258">
        <f t="shared" si="4"/>
        <v>256</v>
      </c>
      <c r="B261" s="90" t="s">
        <v>998</v>
      </c>
      <c r="C261" s="305" t="s">
        <v>5</v>
      </c>
      <c r="D261" s="305" t="s">
        <v>993</v>
      </c>
      <c r="E261" s="91">
        <v>45847</v>
      </c>
      <c r="F261" s="91"/>
      <c r="G261" s="91"/>
      <c r="H261" s="91"/>
      <c r="I261" s="305" t="s">
        <v>809</v>
      </c>
      <c r="J261" s="90" t="s">
        <v>674</v>
      </c>
      <c r="K261" s="92" t="s">
        <v>994</v>
      </c>
      <c r="L261" s="305">
        <v>1100</v>
      </c>
      <c r="M261" s="369" t="s">
        <v>120</v>
      </c>
      <c r="N261" s="305" t="s">
        <v>127</v>
      </c>
      <c r="O261" s="305"/>
      <c r="P261" s="158"/>
      <c r="Q261" s="305"/>
      <c r="R261" s="305"/>
      <c r="S261" s="305"/>
      <c r="T261" s="305">
        <v>15</v>
      </c>
      <c r="U261" s="305"/>
      <c r="V261" s="305"/>
      <c r="W261" s="305"/>
      <c r="X261" s="369" t="s">
        <v>812</v>
      </c>
      <c r="Y261" s="305"/>
      <c r="Z261" s="305"/>
      <c r="AA261" s="305"/>
      <c r="AB261" s="305"/>
      <c r="AC261" s="92" t="s">
        <v>999</v>
      </c>
      <c r="AD261" s="369" t="s">
        <v>819</v>
      </c>
      <c r="AE261" s="115"/>
      <c r="AF261" s="115"/>
      <c r="AG261" s="284">
        <v>45792</v>
      </c>
      <c r="AH261" s="140">
        <v>45847</v>
      </c>
      <c r="AI261" s="264">
        <v>45778</v>
      </c>
      <c r="AJ261" s="95" t="s">
        <v>131</v>
      </c>
      <c r="AK261" s="369" t="s">
        <v>166</v>
      </c>
      <c r="AL261" s="369" t="s">
        <v>191</v>
      </c>
      <c r="AM261" s="369" t="s">
        <v>209</v>
      </c>
      <c r="AN261" s="305"/>
      <c r="AO261" s="305"/>
      <c r="AP261" s="305"/>
      <c r="AQ261" s="291"/>
      <c r="AR261" s="305"/>
      <c r="AS261" s="305"/>
      <c r="AT261" s="305"/>
      <c r="AU261" s="305"/>
      <c r="AV261" s="305"/>
      <c r="AW261" s="305"/>
      <c r="AX261" s="305"/>
      <c r="AY261" s="305"/>
      <c r="AZ261" s="305"/>
      <c r="BA261" s="305"/>
      <c r="BB261" s="100"/>
      <c r="BC261" s="65"/>
      <c r="BD261" s="80" t="s">
        <v>816</v>
      </c>
      <c r="BE261" s="367"/>
      <c r="BF261" s="367"/>
      <c r="BG261" s="368"/>
      <c r="BH261" s="64" t="e">
        <f>#REF!</f>
        <v>#REF!</v>
      </c>
      <c r="BL261" s="73"/>
    </row>
    <row r="262" spans="1:64" s="59" customFormat="1" ht="36" customHeight="1" x14ac:dyDescent="0.3">
      <c r="A262" s="258">
        <f t="shared" si="4"/>
        <v>257</v>
      </c>
      <c r="B262" s="90" t="s">
        <v>1000</v>
      </c>
      <c r="C262" s="305" t="s">
        <v>5</v>
      </c>
      <c r="D262" s="305" t="s">
        <v>993</v>
      </c>
      <c r="E262" s="91">
        <v>45819</v>
      </c>
      <c r="F262" s="91">
        <v>45819</v>
      </c>
      <c r="G262" s="91">
        <v>46114</v>
      </c>
      <c r="H262" s="91"/>
      <c r="I262" s="305" t="s">
        <v>809</v>
      </c>
      <c r="J262" s="90" t="s">
        <v>674</v>
      </c>
      <c r="K262" s="92" t="s">
        <v>1001</v>
      </c>
      <c r="L262" s="305">
        <v>1100</v>
      </c>
      <c r="M262" s="369" t="s">
        <v>120</v>
      </c>
      <c r="N262" s="305" t="s">
        <v>127</v>
      </c>
      <c r="O262" s="305"/>
      <c r="P262" s="158"/>
      <c r="Q262" s="305"/>
      <c r="R262" s="305"/>
      <c r="S262" s="305"/>
      <c r="T262" s="305">
        <v>15</v>
      </c>
      <c r="U262" s="305"/>
      <c r="V262" s="305"/>
      <c r="W262" s="305"/>
      <c r="X262" s="369" t="s">
        <v>812</v>
      </c>
      <c r="Y262" s="305"/>
      <c r="Z262" s="305"/>
      <c r="AA262" s="305"/>
      <c r="AB262" s="305"/>
      <c r="AC262" s="92" t="s">
        <v>1002</v>
      </c>
      <c r="AD262" s="369" t="s">
        <v>814</v>
      </c>
      <c r="AE262" s="115"/>
      <c r="AF262" s="115"/>
      <c r="AG262" s="284">
        <v>45930</v>
      </c>
      <c r="AH262" s="140">
        <v>45868</v>
      </c>
      <c r="AI262" s="264">
        <v>45778</v>
      </c>
      <c r="AJ262" s="95" t="s">
        <v>131</v>
      </c>
      <c r="AK262" s="369" t="s">
        <v>166</v>
      </c>
      <c r="AL262" s="369" t="s">
        <v>191</v>
      </c>
      <c r="AM262" s="369" t="s">
        <v>209</v>
      </c>
      <c r="AN262" s="305"/>
      <c r="AO262" s="305"/>
      <c r="AP262" s="305"/>
      <c r="AQ262" s="291"/>
      <c r="AR262" s="305"/>
      <c r="AS262" s="305"/>
      <c r="AT262" s="305"/>
      <c r="AU262" s="305"/>
      <c r="AV262" s="305"/>
      <c r="AW262" s="305"/>
      <c r="AX262" s="305"/>
      <c r="AY262" s="305"/>
      <c r="AZ262" s="305"/>
      <c r="BA262" s="305"/>
      <c r="BB262" s="100"/>
      <c r="BC262" s="65"/>
      <c r="BD262" s="80" t="s">
        <v>816</v>
      </c>
      <c r="BE262" s="367"/>
      <c r="BF262" s="367"/>
      <c r="BG262" s="368"/>
      <c r="BH262" s="64" t="e">
        <f>#REF!</f>
        <v>#REF!</v>
      </c>
      <c r="BL262" s="73"/>
    </row>
    <row r="263" spans="1:64" s="59" customFormat="1" ht="36" customHeight="1" x14ac:dyDescent="0.3">
      <c r="A263" s="258">
        <f t="shared" si="4"/>
        <v>258</v>
      </c>
      <c r="B263" s="90" t="s">
        <v>1003</v>
      </c>
      <c r="C263" s="305" t="s">
        <v>5</v>
      </c>
      <c r="D263" s="305" t="s">
        <v>993</v>
      </c>
      <c r="E263" s="91">
        <v>45819</v>
      </c>
      <c r="F263" s="91"/>
      <c r="G263" s="91"/>
      <c r="H263" s="91"/>
      <c r="I263" s="305" t="s">
        <v>809</v>
      </c>
      <c r="J263" s="90" t="s">
        <v>674</v>
      </c>
      <c r="K263" s="92" t="s">
        <v>1001</v>
      </c>
      <c r="L263" s="305">
        <v>1100</v>
      </c>
      <c r="M263" s="369" t="s">
        <v>120</v>
      </c>
      <c r="N263" s="305" t="s">
        <v>127</v>
      </c>
      <c r="O263" s="305"/>
      <c r="P263" s="158"/>
      <c r="Q263" s="305"/>
      <c r="R263" s="305"/>
      <c r="S263" s="305"/>
      <c r="T263" s="305">
        <v>15</v>
      </c>
      <c r="U263" s="305"/>
      <c r="V263" s="305"/>
      <c r="W263" s="305"/>
      <c r="X263" s="369" t="s">
        <v>812</v>
      </c>
      <c r="Y263" s="305"/>
      <c r="Z263" s="305"/>
      <c r="AA263" s="305"/>
      <c r="AB263" s="305"/>
      <c r="AC263" s="92" t="s">
        <v>1004</v>
      </c>
      <c r="AD263" s="369" t="s">
        <v>819</v>
      </c>
      <c r="AE263" s="115"/>
      <c r="AF263" s="115"/>
      <c r="AG263" s="284">
        <v>45930</v>
      </c>
      <c r="AH263" s="140">
        <v>45838</v>
      </c>
      <c r="AI263" s="264">
        <v>45778</v>
      </c>
      <c r="AJ263" s="95" t="s">
        <v>131</v>
      </c>
      <c r="AK263" s="369" t="s">
        <v>166</v>
      </c>
      <c r="AL263" s="369" t="s">
        <v>191</v>
      </c>
      <c r="AM263" s="369" t="s">
        <v>209</v>
      </c>
      <c r="AN263" s="305"/>
      <c r="AO263" s="305"/>
      <c r="AP263" s="305"/>
      <c r="AQ263" s="291"/>
      <c r="AR263" s="305"/>
      <c r="AS263" s="305"/>
      <c r="AT263" s="305"/>
      <c r="AU263" s="305"/>
      <c r="AV263" s="305"/>
      <c r="AW263" s="305"/>
      <c r="AX263" s="305"/>
      <c r="AY263" s="305"/>
      <c r="AZ263" s="305"/>
      <c r="BA263" s="305"/>
      <c r="BB263" s="100"/>
      <c r="BC263" s="65"/>
      <c r="BD263" s="330" t="s">
        <v>816</v>
      </c>
      <c r="BE263" s="367"/>
      <c r="BF263" s="367"/>
      <c r="BG263" s="368"/>
      <c r="BH263" s="64" t="e">
        <f>#REF!</f>
        <v>#REF!</v>
      </c>
      <c r="BL263" s="73"/>
    </row>
    <row r="264" spans="1:64" s="59" customFormat="1" ht="36" customHeight="1" x14ac:dyDescent="0.3">
      <c r="A264" s="258">
        <f t="shared" si="4"/>
        <v>259</v>
      </c>
      <c r="B264" s="90" t="s">
        <v>1005</v>
      </c>
      <c r="C264" s="305" t="s">
        <v>5</v>
      </c>
      <c r="D264" s="305" t="s">
        <v>993</v>
      </c>
      <c r="E264" s="91">
        <v>45847</v>
      </c>
      <c r="F264" s="91"/>
      <c r="G264" s="91"/>
      <c r="H264" s="91"/>
      <c r="I264" s="305" t="s">
        <v>809</v>
      </c>
      <c r="J264" s="90" t="s">
        <v>674</v>
      </c>
      <c r="K264" s="92" t="s">
        <v>1006</v>
      </c>
      <c r="L264" s="305">
        <v>1100</v>
      </c>
      <c r="M264" s="369" t="s">
        <v>120</v>
      </c>
      <c r="N264" s="305" t="s">
        <v>127</v>
      </c>
      <c r="O264" s="305"/>
      <c r="P264" s="158"/>
      <c r="Q264" s="305"/>
      <c r="R264" s="305"/>
      <c r="S264" s="305"/>
      <c r="T264" s="305">
        <v>15</v>
      </c>
      <c r="U264" s="305"/>
      <c r="V264" s="305"/>
      <c r="W264" s="305"/>
      <c r="X264" s="369" t="s">
        <v>812</v>
      </c>
      <c r="Y264" s="305"/>
      <c r="Z264" s="305"/>
      <c r="AA264" s="305"/>
      <c r="AB264" s="305"/>
      <c r="AC264" s="92" t="s">
        <v>1007</v>
      </c>
      <c r="AD264" s="369" t="s">
        <v>819</v>
      </c>
      <c r="AE264" s="115"/>
      <c r="AF264" s="115"/>
      <c r="AG264" s="284">
        <v>45930</v>
      </c>
      <c r="AH264" s="140">
        <v>45847</v>
      </c>
      <c r="AI264" s="264">
        <v>45778</v>
      </c>
      <c r="AJ264" s="369" t="s">
        <v>131</v>
      </c>
      <c r="AK264" s="369" t="s">
        <v>166</v>
      </c>
      <c r="AL264" s="369" t="s">
        <v>191</v>
      </c>
      <c r="AM264" s="369" t="s">
        <v>209</v>
      </c>
      <c r="AN264" s="305"/>
      <c r="AO264" s="305"/>
      <c r="AP264" s="305"/>
      <c r="AQ264" s="291"/>
      <c r="AR264" s="305"/>
      <c r="AS264" s="305"/>
      <c r="AT264" s="305"/>
      <c r="AU264" s="305"/>
      <c r="AV264" s="305"/>
      <c r="AW264" s="305"/>
      <c r="AX264" s="305"/>
      <c r="AY264" s="305"/>
      <c r="AZ264" s="305"/>
      <c r="BA264" s="305"/>
      <c r="BB264" s="100"/>
      <c r="BC264" s="65"/>
      <c r="BD264" s="330" t="s">
        <v>816</v>
      </c>
      <c r="BE264" s="367"/>
      <c r="BF264" s="367"/>
      <c r="BG264" s="368"/>
      <c r="BH264" s="64" t="e">
        <f>#REF!</f>
        <v>#REF!</v>
      </c>
      <c r="BL264" s="73"/>
    </row>
    <row r="265" spans="1:64" s="59" customFormat="1" ht="44.4" customHeight="1" x14ac:dyDescent="0.3">
      <c r="A265" s="305">
        <f t="shared" ref="A265:A328" si="5">ROW(B265)-ROW($B$5)</f>
        <v>260</v>
      </c>
      <c r="B265" s="90" t="s">
        <v>1008</v>
      </c>
      <c r="C265" s="305" t="s">
        <v>5</v>
      </c>
      <c r="D265" s="305" t="s">
        <v>1009</v>
      </c>
      <c r="E265" s="91">
        <v>45898</v>
      </c>
      <c r="F265" s="91">
        <v>45898</v>
      </c>
      <c r="G265" s="91"/>
      <c r="H265" s="91"/>
      <c r="I265" s="305" t="s">
        <v>809</v>
      </c>
      <c r="J265" s="90" t="s">
        <v>674</v>
      </c>
      <c r="K265" s="92" t="s">
        <v>550</v>
      </c>
      <c r="L265" s="305">
        <v>1100</v>
      </c>
      <c r="M265" s="369" t="s">
        <v>120</v>
      </c>
      <c r="N265" s="305" t="s">
        <v>127</v>
      </c>
      <c r="O265" s="110"/>
      <c r="P265" s="310"/>
      <c r="Q265" s="110"/>
      <c r="R265" s="110"/>
      <c r="S265" s="110"/>
      <c r="T265" s="110">
        <v>15</v>
      </c>
      <c r="U265" s="110"/>
      <c r="V265" s="110"/>
      <c r="W265" s="110"/>
      <c r="X265" s="305"/>
      <c r="Y265" s="110"/>
      <c r="Z265" s="110"/>
      <c r="AA265" s="110"/>
      <c r="AB265" s="110"/>
      <c r="AC265" s="92" t="s">
        <v>1010</v>
      </c>
      <c r="AD265" s="369" t="s">
        <v>1011</v>
      </c>
      <c r="AE265" s="115"/>
      <c r="AF265" s="115"/>
      <c r="AG265" s="284">
        <v>45960</v>
      </c>
      <c r="AH265" s="140">
        <v>45894</v>
      </c>
      <c r="AI265" s="264">
        <v>45870</v>
      </c>
      <c r="AJ265" s="95" t="s">
        <v>131</v>
      </c>
      <c r="AK265" s="369"/>
      <c r="AL265" s="369"/>
      <c r="AM265" s="369" t="s">
        <v>209</v>
      </c>
      <c r="AN265" s="369"/>
      <c r="AO265" s="369"/>
      <c r="AP265" s="305"/>
      <c r="AQ265" s="371"/>
      <c r="AR265" s="369"/>
      <c r="AS265" s="305"/>
      <c r="AT265" s="305"/>
      <c r="AU265" s="305"/>
      <c r="AV265" s="305"/>
      <c r="AW265" s="305"/>
      <c r="AX265" s="305"/>
      <c r="AY265" s="305"/>
      <c r="AZ265" s="305"/>
      <c r="BA265" s="305"/>
      <c r="BB265" s="100"/>
      <c r="BC265" s="65"/>
      <c r="BD265" s="80" t="s">
        <v>816</v>
      </c>
      <c r="BE265" s="72"/>
      <c r="BF265" s="367"/>
      <c r="BG265" s="368"/>
      <c r="BH265" s="64" t="e">
        <f>#REF!</f>
        <v>#REF!</v>
      </c>
      <c r="BL265" s="73"/>
    </row>
    <row r="266" spans="1:64" s="59" customFormat="1" ht="36" customHeight="1" x14ac:dyDescent="0.3">
      <c r="A266" s="305">
        <f t="shared" si="5"/>
        <v>261</v>
      </c>
      <c r="B266" s="90" t="s">
        <v>1012</v>
      </c>
      <c r="C266" s="305" t="s">
        <v>5</v>
      </c>
      <c r="D266" s="305" t="s">
        <v>1009</v>
      </c>
      <c r="E266" s="91">
        <v>46013</v>
      </c>
      <c r="F266" s="91">
        <v>46013</v>
      </c>
      <c r="G266" s="91"/>
      <c r="H266" s="91"/>
      <c r="I266" s="305" t="s">
        <v>809</v>
      </c>
      <c r="J266" s="90" t="s">
        <v>674</v>
      </c>
      <c r="K266" s="92" t="s">
        <v>550</v>
      </c>
      <c r="L266" s="305">
        <v>1100</v>
      </c>
      <c r="M266" s="369" t="s">
        <v>120</v>
      </c>
      <c r="N266" s="305" t="s">
        <v>127</v>
      </c>
      <c r="O266" s="305"/>
      <c r="P266" s="158"/>
      <c r="Q266" s="305"/>
      <c r="R266" s="305"/>
      <c r="S266" s="305"/>
      <c r="T266" s="305">
        <v>15</v>
      </c>
      <c r="U266" s="305"/>
      <c r="V266" s="305"/>
      <c r="W266" s="305"/>
      <c r="X266" s="305"/>
      <c r="Y266" s="305"/>
      <c r="Z266" s="305"/>
      <c r="AA266" s="305"/>
      <c r="AB266" s="305"/>
      <c r="AC266" s="92" t="s">
        <v>1013</v>
      </c>
      <c r="AD266" s="369" t="s">
        <v>1014</v>
      </c>
      <c r="AE266" s="118"/>
      <c r="AF266" s="118"/>
      <c r="AG266" s="285">
        <v>45960</v>
      </c>
      <c r="AH266" s="140">
        <v>45894</v>
      </c>
      <c r="AI266" s="264">
        <v>45870</v>
      </c>
      <c r="AJ266" s="95" t="s">
        <v>648</v>
      </c>
      <c r="AK266" s="369"/>
      <c r="AL266" s="369"/>
      <c r="AM266" s="369" t="s">
        <v>209</v>
      </c>
      <c r="AN266" s="305"/>
      <c r="AO266" s="305"/>
      <c r="AP266" s="305"/>
      <c r="AQ266" s="291"/>
      <c r="AR266" s="305"/>
      <c r="AS266" s="305"/>
      <c r="AT266" s="305"/>
      <c r="AU266" s="305"/>
      <c r="AV266" s="305"/>
      <c r="AW266" s="305"/>
      <c r="AX266" s="305"/>
      <c r="AY266" s="305"/>
      <c r="AZ266" s="305"/>
      <c r="BA266" s="305"/>
      <c r="BB266" s="92"/>
      <c r="BC266" s="47"/>
      <c r="BD266" s="80" t="s">
        <v>816</v>
      </c>
      <c r="BE266" s="70"/>
      <c r="BF266" s="367"/>
      <c r="BG266" s="368"/>
      <c r="BH266" s="64" t="e">
        <f>#REF!</f>
        <v>#REF!</v>
      </c>
      <c r="BL266" s="73"/>
    </row>
    <row r="267" spans="1:64" s="59" customFormat="1" ht="36" customHeight="1" x14ac:dyDescent="0.3">
      <c r="A267" s="305">
        <f t="shared" si="5"/>
        <v>262</v>
      </c>
      <c r="B267" s="90" t="s">
        <v>1015</v>
      </c>
      <c r="C267" s="305" t="s">
        <v>5</v>
      </c>
      <c r="D267" s="305" t="s">
        <v>1009</v>
      </c>
      <c r="E267" s="91"/>
      <c r="F267" s="91"/>
      <c r="G267" s="91"/>
      <c r="H267" s="91"/>
      <c r="I267" s="305" t="s">
        <v>809</v>
      </c>
      <c r="J267" s="90"/>
      <c r="K267" s="92" t="s">
        <v>1016</v>
      </c>
      <c r="L267" s="305">
        <v>1100</v>
      </c>
      <c r="M267" s="369"/>
      <c r="N267" s="305" t="s">
        <v>127</v>
      </c>
      <c r="O267" s="305"/>
      <c r="P267" s="158"/>
      <c r="Q267" s="305"/>
      <c r="R267" s="305"/>
      <c r="S267" s="305"/>
      <c r="T267" s="305">
        <v>26</v>
      </c>
      <c r="U267" s="305"/>
      <c r="V267" s="305"/>
      <c r="W267" s="305"/>
      <c r="X267" s="305"/>
      <c r="Y267" s="305"/>
      <c r="Z267" s="141"/>
      <c r="AA267" s="141"/>
      <c r="AB267" s="305"/>
      <c r="AC267" s="92" t="s">
        <v>1017</v>
      </c>
      <c r="AD267" s="369" t="s">
        <v>1011</v>
      </c>
      <c r="AE267" s="118"/>
      <c r="AF267" s="118"/>
      <c r="AG267" s="285">
        <v>45960</v>
      </c>
      <c r="AH267" s="140">
        <v>45894</v>
      </c>
      <c r="AI267" s="264">
        <v>45870</v>
      </c>
      <c r="AJ267" s="95" t="s">
        <v>208</v>
      </c>
      <c r="AK267" s="369"/>
      <c r="AL267" s="369"/>
      <c r="AM267" s="369" t="s">
        <v>209</v>
      </c>
      <c r="AN267" s="91"/>
      <c r="AO267" s="305"/>
      <c r="AP267" s="305"/>
      <c r="AQ267" s="291"/>
      <c r="AR267" s="305"/>
      <c r="AS267" s="305"/>
      <c r="AT267" s="305"/>
      <c r="AU267" s="305"/>
      <c r="AV267" s="305"/>
      <c r="AW267" s="305"/>
      <c r="AX267" s="305"/>
      <c r="AY267" s="305"/>
      <c r="AZ267" s="305"/>
      <c r="BA267" s="305"/>
      <c r="BB267" s="100"/>
      <c r="BC267" s="65"/>
      <c r="BD267" s="80" t="s">
        <v>816</v>
      </c>
      <c r="BE267" s="367"/>
      <c r="BF267" s="367"/>
      <c r="BG267" s="368"/>
      <c r="BH267" s="64" t="e">
        <f>#REF!</f>
        <v>#REF!</v>
      </c>
      <c r="BL267" s="73"/>
    </row>
    <row r="268" spans="1:64" s="59" customFormat="1" ht="36" customHeight="1" x14ac:dyDescent="0.3">
      <c r="A268" s="305">
        <f t="shared" si="5"/>
        <v>263</v>
      </c>
      <c r="B268" s="90" t="s">
        <v>1018</v>
      </c>
      <c r="C268" s="305" t="s">
        <v>5</v>
      </c>
      <c r="D268" s="305" t="s">
        <v>1009</v>
      </c>
      <c r="E268" s="91"/>
      <c r="F268" s="91"/>
      <c r="G268" s="91"/>
      <c r="H268" s="91"/>
      <c r="I268" s="305" t="s">
        <v>809</v>
      </c>
      <c r="J268" s="90"/>
      <c r="K268" s="92" t="s">
        <v>1016</v>
      </c>
      <c r="L268" s="305">
        <v>1100</v>
      </c>
      <c r="M268" s="369"/>
      <c r="N268" s="305" t="s">
        <v>127</v>
      </c>
      <c r="O268" s="305"/>
      <c r="P268" s="158"/>
      <c r="Q268" s="305"/>
      <c r="R268" s="305"/>
      <c r="S268" s="305"/>
      <c r="T268" s="305">
        <v>26</v>
      </c>
      <c r="U268" s="305"/>
      <c r="V268" s="305"/>
      <c r="W268" s="305"/>
      <c r="X268" s="305"/>
      <c r="Y268" s="305"/>
      <c r="Z268" s="305"/>
      <c r="AA268" s="305"/>
      <c r="AB268" s="305"/>
      <c r="AC268" s="92" t="s">
        <v>1019</v>
      </c>
      <c r="AD268" s="369" t="s">
        <v>1014</v>
      </c>
      <c r="AE268" s="115"/>
      <c r="AF268" s="115"/>
      <c r="AG268" s="284">
        <v>45960</v>
      </c>
      <c r="AH268" s="140">
        <v>45894</v>
      </c>
      <c r="AI268" s="264">
        <v>45870</v>
      </c>
      <c r="AJ268" s="95" t="s">
        <v>208</v>
      </c>
      <c r="AK268" s="369"/>
      <c r="AL268" s="369"/>
      <c r="AM268" s="369" t="s">
        <v>209</v>
      </c>
      <c r="AN268" s="305"/>
      <c r="AO268" s="305"/>
      <c r="AP268" s="305"/>
      <c r="AQ268" s="291"/>
      <c r="AR268" s="305"/>
      <c r="AS268" s="305"/>
      <c r="AT268" s="305"/>
      <c r="AU268" s="305"/>
      <c r="AV268" s="305"/>
      <c r="AW268" s="305"/>
      <c r="AX268" s="305"/>
      <c r="AY268" s="305"/>
      <c r="AZ268" s="305"/>
      <c r="BA268" s="305"/>
      <c r="BB268" s="100"/>
      <c r="BC268" s="65"/>
      <c r="BD268" s="80" t="s">
        <v>816</v>
      </c>
      <c r="BE268" s="367"/>
      <c r="BF268" s="367"/>
      <c r="BG268" s="368"/>
      <c r="BH268" s="64" t="e">
        <f>#REF!</f>
        <v>#REF!</v>
      </c>
      <c r="BL268" s="73"/>
    </row>
    <row r="269" spans="1:64" s="59" customFormat="1" ht="36" customHeight="1" x14ac:dyDescent="0.3">
      <c r="A269" s="305">
        <f t="shared" si="5"/>
        <v>264</v>
      </c>
      <c r="B269" s="90" t="s">
        <v>1020</v>
      </c>
      <c r="C269" s="305" t="s">
        <v>5</v>
      </c>
      <c r="D269" s="305" t="s">
        <v>1009</v>
      </c>
      <c r="E269" s="91">
        <v>45898</v>
      </c>
      <c r="F269" s="91">
        <v>45898</v>
      </c>
      <c r="G269" s="91"/>
      <c r="H269" s="91"/>
      <c r="I269" s="305" t="s">
        <v>809</v>
      </c>
      <c r="J269" s="90"/>
      <c r="K269" s="92" t="s">
        <v>1021</v>
      </c>
      <c r="L269" s="305">
        <v>1100</v>
      </c>
      <c r="M269" s="369" t="s">
        <v>120</v>
      </c>
      <c r="N269" s="305" t="s">
        <v>127</v>
      </c>
      <c r="O269" s="305"/>
      <c r="P269" s="158"/>
      <c r="Q269" s="305"/>
      <c r="R269" s="305"/>
      <c r="S269" s="305"/>
      <c r="T269" s="305">
        <v>15</v>
      </c>
      <c r="U269" s="305"/>
      <c r="V269" s="305"/>
      <c r="W269" s="305"/>
      <c r="X269" s="305"/>
      <c r="Y269" s="305"/>
      <c r="Z269" s="305"/>
      <c r="AA269" s="305"/>
      <c r="AB269" s="305"/>
      <c r="AC269" s="92" t="s">
        <v>1022</v>
      </c>
      <c r="AD269" s="369" t="s">
        <v>1011</v>
      </c>
      <c r="AE269" s="115"/>
      <c r="AF269" s="115"/>
      <c r="AG269" s="284">
        <v>45960</v>
      </c>
      <c r="AH269" s="140">
        <v>45894</v>
      </c>
      <c r="AI269" s="264">
        <v>45870</v>
      </c>
      <c r="AJ269" s="95" t="s">
        <v>131</v>
      </c>
      <c r="AK269" s="369"/>
      <c r="AL269" s="369"/>
      <c r="AM269" s="369" t="s">
        <v>209</v>
      </c>
      <c r="AN269" s="305"/>
      <c r="AO269" s="305"/>
      <c r="AP269" s="305"/>
      <c r="AQ269" s="291"/>
      <c r="AR269" s="305"/>
      <c r="AS269" s="305"/>
      <c r="AT269" s="305"/>
      <c r="AU269" s="305"/>
      <c r="AV269" s="305"/>
      <c r="AW269" s="305"/>
      <c r="AX269" s="305"/>
      <c r="AY269" s="305"/>
      <c r="AZ269" s="305"/>
      <c r="BA269" s="305"/>
      <c r="BB269" s="100"/>
      <c r="BC269" s="65"/>
      <c r="BD269" s="80" t="s">
        <v>816</v>
      </c>
      <c r="BE269" s="367"/>
      <c r="BF269" s="367"/>
      <c r="BG269" s="368"/>
      <c r="BH269" s="64" t="e">
        <f>#REF!</f>
        <v>#REF!</v>
      </c>
      <c r="BL269" s="73"/>
    </row>
    <row r="270" spans="1:64" s="59" customFormat="1" ht="36" customHeight="1" x14ac:dyDescent="0.3">
      <c r="A270" s="305">
        <f t="shared" si="5"/>
        <v>265</v>
      </c>
      <c r="B270" s="90" t="s">
        <v>1023</v>
      </c>
      <c r="C270" s="305" t="s">
        <v>5</v>
      </c>
      <c r="D270" s="305" t="s">
        <v>1009</v>
      </c>
      <c r="E270" s="91"/>
      <c r="F270" s="91"/>
      <c r="G270" s="91"/>
      <c r="H270" s="91"/>
      <c r="I270" s="305" t="s">
        <v>809</v>
      </c>
      <c r="J270" s="90"/>
      <c r="K270" s="92" t="s">
        <v>1021</v>
      </c>
      <c r="L270" s="305">
        <v>1100</v>
      </c>
      <c r="M270" s="369" t="s">
        <v>120</v>
      </c>
      <c r="N270" s="305" t="s">
        <v>127</v>
      </c>
      <c r="O270" s="305"/>
      <c r="P270" s="158"/>
      <c r="Q270" s="305"/>
      <c r="R270" s="305"/>
      <c r="S270" s="305"/>
      <c r="T270" s="305">
        <v>15</v>
      </c>
      <c r="U270" s="305"/>
      <c r="V270" s="305"/>
      <c r="W270" s="305"/>
      <c r="X270" s="305"/>
      <c r="Y270" s="305"/>
      <c r="Z270" s="305"/>
      <c r="AA270" s="305"/>
      <c r="AB270" s="305"/>
      <c r="AC270" s="92" t="s">
        <v>1024</v>
      </c>
      <c r="AD270" s="369" t="s">
        <v>1014</v>
      </c>
      <c r="AE270" s="115"/>
      <c r="AF270" s="115"/>
      <c r="AG270" s="284">
        <v>45960</v>
      </c>
      <c r="AH270" s="140">
        <v>45894</v>
      </c>
      <c r="AI270" s="264">
        <v>45870</v>
      </c>
      <c r="AJ270" s="95" t="s">
        <v>208</v>
      </c>
      <c r="AK270" s="369"/>
      <c r="AL270" s="369"/>
      <c r="AM270" s="369" t="s">
        <v>209</v>
      </c>
      <c r="AN270" s="305"/>
      <c r="AO270" s="305"/>
      <c r="AP270" s="305"/>
      <c r="AQ270" s="291"/>
      <c r="AR270" s="305"/>
      <c r="AS270" s="305"/>
      <c r="AT270" s="305"/>
      <c r="AU270" s="305"/>
      <c r="AV270" s="305"/>
      <c r="AW270" s="305"/>
      <c r="AX270" s="305"/>
      <c r="AY270" s="305"/>
      <c r="AZ270" s="305"/>
      <c r="BA270" s="305"/>
      <c r="BB270" s="100"/>
      <c r="BC270" s="65"/>
      <c r="BD270" s="330" t="s">
        <v>816</v>
      </c>
      <c r="BE270" s="367"/>
      <c r="BF270" s="367"/>
      <c r="BG270" s="368"/>
      <c r="BH270" s="64" t="e">
        <f>#REF!</f>
        <v>#REF!</v>
      </c>
      <c r="BL270" s="73"/>
    </row>
    <row r="271" spans="1:64" ht="36" customHeight="1" x14ac:dyDescent="0.3">
      <c r="A271" s="305">
        <f t="shared" si="5"/>
        <v>266</v>
      </c>
      <c r="B271" s="90" t="s">
        <v>1025</v>
      </c>
      <c r="C271" s="305" t="s">
        <v>0</v>
      </c>
      <c r="D271" s="305" t="s">
        <v>1026</v>
      </c>
      <c r="E271" s="91">
        <v>45621</v>
      </c>
      <c r="F271" s="97">
        <v>45642</v>
      </c>
      <c r="G271" s="91"/>
      <c r="H271" s="91"/>
      <c r="I271" s="305" t="s">
        <v>20</v>
      </c>
      <c r="J271" s="90"/>
      <c r="K271" s="92" t="s">
        <v>1027</v>
      </c>
      <c r="L271" s="305">
        <v>1100</v>
      </c>
      <c r="M271" s="369" t="s">
        <v>65</v>
      </c>
      <c r="N271" s="305"/>
      <c r="O271" s="305" t="s">
        <v>127</v>
      </c>
      <c r="P271" s="158"/>
      <c r="Q271" s="305"/>
      <c r="R271" s="305"/>
      <c r="S271" s="305"/>
      <c r="T271" s="305" t="s">
        <v>225</v>
      </c>
      <c r="U271" s="305"/>
      <c r="V271" s="305"/>
      <c r="W271" s="305"/>
      <c r="X271" s="305" t="s">
        <v>150</v>
      </c>
      <c r="Y271" s="305" t="s">
        <v>127</v>
      </c>
      <c r="Z271" s="305"/>
      <c r="AA271" s="305" t="s">
        <v>214</v>
      </c>
      <c r="AB271" s="305" t="s">
        <v>215</v>
      </c>
      <c r="AC271" s="92" t="s">
        <v>1028</v>
      </c>
      <c r="AD271" s="369" t="s">
        <v>284</v>
      </c>
      <c r="AE271" s="115"/>
      <c r="AF271" s="115"/>
      <c r="AG271" s="115"/>
      <c r="AH271" s="93">
        <v>45651</v>
      </c>
      <c r="AI271" s="264">
        <v>45627</v>
      </c>
      <c r="AJ271" s="369" t="s">
        <v>131</v>
      </c>
      <c r="AK271" s="369" t="s">
        <v>200</v>
      </c>
      <c r="AL271" s="369" t="s">
        <v>183</v>
      </c>
      <c r="AM271" s="369" t="s">
        <v>134</v>
      </c>
      <c r="AN271" s="305"/>
      <c r="AO271" s="305"/>
      <c r="AP271" s="305"/>
      <c r="AQ271" s="291"/>
      <c r="AR271" s="305"/>
      <c r="AS271" s="305"/>
      <c r="AT271" s="305"/>
      <c r="AU271" s="305"/>
      <c r="AV271" s="305"/>
      <c r="AW271" s="305"/>
      <c r="AX271" s="305"/>
      <c r="AY271" s="305"/>
      <c r="AZ271" s="305"/>
      <c r="BA271" s="305"/>
      <c r="BB271" s="100"/>
      <c r="BC271" s="65"/>
      <c r="BD271" s="366"/>
      <c r="BE271" s="367"/>
      <c r="BF271" s="367"/>
      <c r="BG271" s="368"/>
      <c r="BH271" s="64" t="e">
        <f>#REF!</f>
        <v>#REF!</v>
      </c>
      <c r="BL271" s="54"/>
    </row>
    <row r="272" spans="1:64" ht="44.4" customHeight="1" x14ac:dyDescent="0.3">
      <c r="A272" s="305">
        <f t="shared" si="5"/>
        <v>267</v>
      </c>
      <c r="B272" s="90" t="s">
        <v>1029</v>
      </c>
      <c r="C272" s="305" t="s">
        <v>0</v>
      </c>
      <c r="D272" s="305" t="s">
        <v>262</v>
      </c>
      <c r="E272" s="91"/>
      <c r="F272" s="97"/>
      <c r="G272" s="91"/>
      <c r="H272" s="91"/>
      <c r="I272" s="305" t="s">
        <v>20</v>
      </c>
      <c r="J272" s="90"/>
      <c r="K272" s="92" t="s">
        <v>1027</v>
      </c>
      <c r="L272" s="305">
        <v>1100</v>
      </c>
      <c r="M272" s="369"/>
      <c r="N272" s="305"/>
      <c r="O272" s="110" t="s">
        <v>127</v>
      </c>
      <c r="P272" s="110"/>
      <c r="Q272" s="110"/>
      <c r="R272" s="110"/>
      <c r="S272" s="110"/>
      <c r="T272" s="110" t="s">
        <v>225</v>
      </c>
      <c r="U272" s="110"/>
      <c r="V272" s="110"/>
      <c r="W272" s="110"/>
      <c r="X272" s="305" t="s">
        <v>150</v>
      </c>
      <c r="Y272" s="110" t="s">
        <v>127</v>
      </c>
      <c r="Z272" s="110"/>
      <c r="AA272" s="110" t="s">
        <v>214</v>
      </c>
      <c r="AB272" s="110" t="s">
        <v>215</v>
      </c>
      <c r="AC272" s="92" t="s">
        <v>1030</v>
      </c>
      <c r="AD272" s="369" t="s">
        <v>284</v>
      </c>
      <c r="AE272" s="115"/>
      <c r="AF272" s="115"/>
      <c r="AG272" s="115"/>
      <c r="AH272" s="93"/>
      <c r="AI272" s="94">
        <v>0</v>
      </c>
      <c r="AJ272" s="95" t="s">
        <v>264</v>
      </c>
      <c r="AK272" s="369"/>
      <c r="AL272" s="369"/>
      <c r="AM272" s="369"/>
      <c r="AN272" s="369"/>
      <c r="AO272" s="369"/>
      <c r="AP272" s="305"/>
      <c r="AQ272" s="371"/>
      <c r="AR272" s="369"/>
      <c r="AS272" s="305"/>
      <c r="AT272" s="91">
        <v>45611</v>
      </c>
      <c r="AU272" s="305"/>
      <c r="AV272" s="305"/>
      <c r="AW272" s="91">
        <v>45576</v>
      </c>
      <c r="AX272" s="305"/>
      <c r="AY272" s="305"/>
      <c r="AZ272" s="305"/>
      <c r="BA272" s="305"/>
      <c r="BB272" s="100"/>
      <c r="BC272" s="65"/>
      <c r="BD272" s="80"/>
      <c r="BE272" s="72"/>
      <c r="BF272" s="367"/>
      <c r="BG272" s="368"/>
      <c r="BH272" s="64" t="e">
        <f>#REF!</f>
        <v>#REF!</v>
      </c>
      <c r="BL272" s="54"/>
    </row>
    <row r="273" spans="1:76" s="59" customFormat="1" ht="36" customHeight="1" x14ac:dyDescent="0.3">
      <c r="A273" s="305">
        <f t="shared" si="5"/>
        <v>268</v>
      </c>
      <c r="B273" s="90" t="s">
        <v>1031</v>
      </c>
      <c r="C273" s="305" t="s">
        <v>11</v>
      </c>
      <c r="D273" s="369" t="s">
        <v>1032</v>
      </c>
      <c r="E273" s="91">
        <v>45674</v>
      </c>
      <c r="F273" s="97">
        <v>45674</v>
      </c>
      <c r="G273" s="91"/>
      <c r="H273" s="91"/>
      <c r="I273" s="305"/>
      <c r="J273" s="92"/>
      <c r="K273" s="92" t="s">
        <v>521</v>
      </c>
      <c r="L273" s="305"/>
      <c r="M273" s="150" t="s">
        <v>120</v>
      </c>
      <c r="N273" s="305"/>
      <c r="O273" s="305"/>
      <c r="P273" s="158"/>
      <c r="Q273" s="305"/>
      <c r="R273" s="305"/>
      <c r="S273" s="305"/>
      <c r="T273" s="305"/>
      <c r="U273" s="305"/>
      <c r="V273" s="305"/>
      <c r="W273" s="305"/>
      <c r="X273" s="367" t="s">
        <v>361</v>
      </c>
      <c r="Y273" s="305"/>
      <c r="Z273" s="305"/>
      <c r="AA273" s="305"/>
      <c r="AB273" s="305"/>
      <c r="AC273" s="92" t="s">
        <v>1033</v>
      </c>
      <c r="AD273" s="369" t="s">
        <v>55</v>
      </c>
      <c r="AE273" s="118"/>
      <c r="AF273" s="118"/>
      <c r="AG273" s="118">
        <v>45672</v>
      </c>
      <c r="AH273" s="93">
        <v>45677</v>
      </c>
      <c r="AI273" s="264">
        <v>45627</v>
      </c>
      <c r="AJ273" s="95" t="s">
        <v>131</v>
      </c>
      <c r="AK273" s="369" t="s">
        <v>132</v>
      </c>
      <c r="AL273" s="369" t="s">
        <v>175</v>
      </c>
      <c r="AM273" s="369" t="s">
        <v>134</v>
      </c>
      <c r="AN273" s="305"/>
      <c r="AO273" s="305"/>
      <c r="AP273" s="305"/>
      <c r="AQ273" s="291"/>
      <c r="AR273" s="305"/>
      <c r="AS273" s="305"/>
      <c r="AT273" s="91">
        <v>45626</v>
      </c>
      <c r="AU273" s="91">
        <v>45607</v>
      </c>
      <c r="AV273" s="91">
        <v>45622</v>
      </c>
      <c r="AW273" s="91">
        <v>45600</v>
      </c>
      <c r="AX273" s="305"/>
      <c r="AY273" s="305"/>
      <c r="AZ273" s="305"/>
      <c r="BA273" s="305"/>
      <c r="BB273" s="92" t="s">
        <v>1034</v>
      </c>
      <c r="BC273" s="47"/>
      <c r="BD273" s="80"/>
      <c r="BE273" s="70"/>
      <c r="BF273" s="367"/>
      <c r="BG273" s="368"/>
      <c r="BH273" s="64" t="e">
        <f>#REF!</f>
        <v>#REF!</v>
      </c>
      <c r="BL273" s="73"/>
    </row>
    <row r="274" spans="1:76" s="59" customFormat="1" ht="36" customHeight="1" x14ac:dyDescent="0.3">
      <c r="A274" s="305">
        <f t="shared" si="5"/>
        <v>269</v>
      </c>
      <c r="B274" s="90" t="s">
        <v>1035</v>
      </c>
      <c r="C274" s="305" t="s">
        <v>11</v>
      </c>
      <c r="D274" s="369" t="s">
        <v>1032</v>
      </c>
      <c r="E274" s="91">
        <v>45674</v>
      </c>
      <c r="F274" s="97">
        <v>45674</v>
      </c>
      <c r="G274" s="91"/>
      <c r="H274" s="91"/>
      <c r="I274" s="305"/>
      <c r="J274" s="92"/>
      <c r="K274" s="92" t="s">
        <v>521</v>
      </c>
      <c r="L274" s="305"/>
      <c r="M274" s="150" t="s">
        <v>120</v>
      </c>
      <c r="N274" s="305"/>
      <c r="O274" s="305"/>
      <c r="P274" s="158"/>
      <c r="Q274" s="305"/>
      <c r="R274" s="305"/>
      <c r="S274" s="305"/>
      <c r="T274" s="305"/>
      <c r="U274" s="305"/>
      <c r="V274" s="305"/>
      <c r="W274" s="305"/>
      <c r="X274" s="367" t="s">
        <v>361</v>
      </c>
      <c r="Y274" s="305"/>
      <c r="Z274" s="305"/>
      <c r="AA274" s="305"/>
      <c r="AB274" s="305"/>
      <c r="AC274" s="92" t="s">
        <v>1036</v>
      </c>
      <c r="AD274" s="369" t="s">
        <v>55</v>
      </c>
      <c r="AE274" s="118"/>
      <c r="AF274" s="118"/>
      <c r="AG274" s="118">
        <v>45672</v>
      </c>
      <c r="AH274" s="93">
        <v>45677</v>
      </c>
      <c r="AI274" s="264">
        <v>45627</v>
      </c>
      <c r="AJ274" s="95" t="s">
        <v>131</v>
      </c>
      <c r="AK274" s="369" t="s">
        <v>132</v>
      </c>
      <c r="AL274" s="369" t="s">
        <v>175</v>
      </c>
      <c r="AM274" s="369" t="s">
        <v>134</v>
      </c>
      <c r="AN274" s="305"/>
      <c r="AO274" s="305"/>
      <c r="AP274" s="305"/>
      <c r="AQ274" s="291"/>
      <c r="AR274" s="305"/>
      <c r="AS274" s="305"/>
      <c r="AT274" s="91">
        <v>45626</v>
      </c>
      <c r="AU274" s="91">
        <v>45607</v>
      </c>
      <c r="AV274" s="91">
        <v>45622</v>
      </c>
      <c r="AW274" s="91">
        <v>45600</v>
      </c>
      <c r="AX274" s="305"/>
      <c r="AY274" s="305"/>
      <c r="AZ274" s="305"/>
      <c r="BA274" s="305"/>
      <c r="BB274" s="92"/>
      <c r="BC274" s="47"/>
      <c r="BD274" s="80"/>
      <c r="BE274" s="70"/>
      <c r="BF274" s="367"/>
      <c r="BG274" s="368"/>
      <c r="BH274" s="64" t="e">
        <f>#REF!</f>
        <v>#REF!</v>
      </c>
      <c r="BL274" s="73"/>
    </row>
    <row r="275" spans="1:76" s="59" customFormat="1" ht="36" customHeight="1" x14ac:dyDescent="0.3">
      <c r="A275" s="305">
        <f t="shared" si="5"/>
        <v>270</v>
      </c>
      <c r="B275" s="90" t="s">
        <v>1037</v>
      </c>
      <c r="C275" s="305" t="s">
        <v>11</v>
      </c>
      <c r="D275" s="369" t="s">
        <v>1032</v>
      </c>
      <c r="E275" s="91">
        <v>45674</v>
      </c>
      <c r="F275" s="97">
        <v>45674</v>
      </c>
      <c r="G275" s="91"/>
      <c r="H275" s="91"/>
      <c r="I275" s="305"/>
      <c r="J275" s="92"/>
      <c r="K275" s="92" t="s">
        <v>521</v>
      </c>
      <c r="L275" s="305"/>
      <c r="M275" s="150" t="s">
        <v>120</v>
      </c>
      <c r="N275" s="305"/>
      <c r="O275" s="305"/>
      <c r="P275" s="158"/>
      <c r="Q275" s="305"/>
      <c r="R275" s="305"/>
      <c r="S275" s="305"/>
      <c r="T275" s="305"/>
      <c r="U275" s="305"/>
      <c r="V275" s="305"/>
      <c r="W275" s="305"/>
      <c r="X275" s="367" t="s">
        <v>361</v>
      </c>
      <c r="Y275" s="305"/>
      <c r="Z275" s="305"/>
      <c r="AA275" s="305"/>
      <c r="AB275" s="305"/>
      <c r="AC275" s="92" t="s">
        <v>1038</v>
      </c>
      <c r="AD275" s="369" t="s">
        <v>55</v>
      </c>
      <c r="AE275" s="118"/>
      <c r="AF275" s="118"/>
      <c r="AG275" s="118">
        <v>45672</v>
      </c>
      <c r="AH275" s="93">
        <v>45677</v>
      </c>
      <c r="AI275" s="264">
        <v>45627</v>
      </c>
      <c r="AJ275" s="95" t="s">
        <v>131</v>
      </c>
      <c r="AK275" s="369" t="s">
        <v>132</v>
      </c>
      <c r="AL275" s="369" t="s">
        <v>175</v>
      </c>
      <c r="AM275" s="369" t="s">
        <v>134</v>
      </c>
      <c r="AN275" s="305"/>
      <c r="AO275" s="305"/>
      <c r="AP275" s="305"/>
      <c r="AQ275" s="291"/>
      <c r="AR275" s="305"/>
      <c r="AS275" s="305"/>
      <c r="AT275" s="91">
        <v>45626</v>
      </c>
      <c r="AU275" s="91">
        <v>45607</v>
      </c>
      <c r="AV275" s="91">
        <v>45622</v>
      </c>
      <c r="AW275" s="91">
        <v>45600</v>
      </c>
      <c r="AX275" s="305"/>
      <c r="AY275" s="305"/>
      <c r="AZ275" s="305"/>
      <c r="BA275" s="305"/>
      <c r="BB275" s="92"/>
      <c r="BC275" s="47"/>
      <c r="BD275" s="80"/>
      <c r="BE275" s="70"/>
      <c r="BF275" s="367"/>
      <c r="BG275" s="368"/>
      <c r="BH275" s="64" t="e">
        <f>#REF!</f>
        <v>#REF!</v>
      </c>
      <c r="BL275" s="73"/>
    </row>
    <row r="276" spans="1:76" s="59" customFormat="1" ht="36" customHeight="1" x14ac:dyDescent="0.3">
      <c r="A276" s="305">
        <f t="shared" si="5"/>
        <v>271</v>
      </c>
      <c r="B276" s="90" t="s">
        <v>1039</v>
      </c>
      <c r="C276" s="305" t="s">
        <v>11</v>
      </c>
      <c r="D276" s="369" t="s">
        <v>1032</v>
      </c>
      <c r="E276" s="91">
        <v>45674</v>
      </c>
      <c r="F276" s="97">
        <v>45674</v>
      </c>
      <c r="G276" s="91"/>
      <c r="H276" s="91"/>
      <c r="I276" s="305"/>
      <c r="J276" s="92"/>
      <c r="K276" s="92" t="s">
        <v>521</v>
      </c>
      <c r="L276" s="305"/>
      <c r="M276" s="150" t="s">
        <v>120</v>
      </c>
      <c r="N276" s="305"/>
      <c r="O276" s="305"/>
      <c r="P276" s="158"/>
      <c r="Q276" s="305"/>
      <c r="R276" s="305"/>
      <c r="S276" s="305"/>
      <c r="T276" s="305"/>
      <c r="U276" s="305"/>
      <c r="V276" s="305"/>
      <c r="W276" s="305"/>
      <c r="X276" s="367" t="s">
        <v>361</v>
      </c>
      <c r="Y276" s="305"/>
      <c r="Z276" s="305"/>
      <c r="AA276" s="305"/>
      <c r="AB276" s="305"/>
      <c r="AC276" s="92" t="s">
        <v>1040</v>
      </c>
      <c r="AD276" s="369" t="s">
        <v>55</v>
      </c>
      <c r="AE276" s="118"/>
      <c r="AF276" s="118"/>
      <c r="AG276" s="118">
        <v>45672</v>
      </c>
      <c r="AH276" s="93">
        <v>45677</v>
      </c>
      <c r="AI276" s="264">
        <v>45627</v>
      </c>
      <c r="AJ276" s="95" t="s">
        <v>131</v>
      </c>
      <c r="AK276" s="369" t="s">
        <v>132</v>
      </c>
      <c r="AL276" s="369" t="s">
        <v>175</v>
      </c>
      <c r="AM276" s="369" t="s">
        <v>134</v>
      </c>
      <c r="AN276" s="305"/>
      <c r="AO276" s="305"/>
      <c r="AP276" s="305"/>
      <c r="AQ276" s="291"/>
      <c r="AR276" s="305"/>
      <c r="AS276" s="305"/>
      <c r="AT276" s="91">
        <v>45626</v>
      </c>
      <c r="AU276" s="91">
        <v>45607</v>
      </c>
      <c r="AV276" s="91">
        <v>45622</v>
      </c>
      <c r="AW276" s="91">
        <v>45600</v>
      </c>
      <c r="AX276" s="305"/>
      <c r="AY276" s="305"/>
      <c r="AZ276" s="305"/>
      <c r="BA276" s="305"/>
      <c r="BB276" s="92"/>
      <c r="BC276" s="47"/>
      <c r="BD276" s="80"/>
      <c r="BE276" s="70"/>
      <c r="BF276" s="367"/>
      <c r="BG276" s="368"/>
      <c r="BH276" s="64" t="e">
        <f>#REF!</f>
        <v>#REF!</v>
      </c>
      <c r="BL276" s="73"/>
    </row>
    <row r="277" spans="1:76" s="59" customFormat="1" ht="36" customHeight="1" x14ac:dyDescent="0.3">
      <c r="A277" s="305">
        <f t="shared" si="5"/>
        <v>272</v>
      </c>
      <c r="B277" s="90" t="s">
        <v>1041</v>
      </c>
      <c r="C277" s="305" t="s">
        <v>11</v>
      </c>
      <c r="D277" s="369" t="s">
        <v>1032</v>
      </c>
      <c r="E277" s="91">
        <v>45674</v>
      </c>
      <c r="F277" s="97">
        <v>45674</v>
      </c>
      <c r="G277" s="91"/>
      <c r="H277" s="91"/>
      <c r="I277" s="305"/>
      <c r="J277" s="92"/>
      <c r="K277" s="92" t="s">
        <v>521</v>
      </c>
      <c r="L277" s="305"/>
      <c r="M277" s="150" t="s">
        <v>120</v>
      </c>
      <c r="N277" s="305"/>
      <c r="O277" s="305"/>
      <c r="P277" s="158"/>
      <c r="Q277" s="305"/>
      <c r="R277" s="305"/>
      <c r="S277" s="305"/>
      <c r="T277" s="305"/>
      <c r="U277" s="305"/>
      <c r="V277" s="305"/>
      <c r="W277" s="305"/>
      <c r="X277" s="367" t="s">
        <v>361</v>
      </c>
      <c r="Y277" s="305"/>
      <c r="Z277" s="305"/>
      <c r="AA277" s="305"/>
      <c r="AB277" s="305"/>
      <c r="AC277" s="92" t="s">
        <v>1042</v>
      </c>
      <c r="AD277" s="369" t="s">
        <v>55</v>
      </c>
      <c r="AE277" s="118"/>
      <c r="AF277" s="118"/>
      <c r="AG277" s="118">
        <v>45672</v>
      </c>
      <c r="AH277" s="93">
        <v>45677</v>
      </c>
      <c r="AI277" s="264">
        <v>45627</v>
      </c>
      <c r="AJ277" s="95" t="s">
        <v>131</v>
      </c>
      <c r="AK277" s="369" t="s">
        <v>132</v>
      </c>
      <c r="AL277" s="369" t="s">
        <v>175</v>
      </c>
      <c r="AM277" s="369" t="s">
        <v>134</v>
      </c>
      <c r="AN277" s="305"/>
      <c r="AO277" s="305"/>
      <c r="AP277" s="305"/>
      <c r="AQ277" s="291"/>
      <c r="AR277" s="305"/>
      <c r="AS277" s="305"/>
      <c r="AT277" s="91">
        <v>45626</v>
      </c>
      <c r="AU277" s="91">
        <v>45607</v>
      </c>
      <c r="AV277" s="91">
        <v>45622</v>
      </c>
      <c r="AW277" s="91">
        <v>45600</v>
      </c>
      <c r="AX277" s="305"/>
      <c r="AY277" s="305"/>
      <c r="AZ277" s="305"/>
      <c r="BA277" s="305"/>
      <c r="BB277" s="92"/>
      <c r="BC277" s="47"/>
      <c r="BD277" s="80"/>
      <c r="BE277" s="70"/>
      <c r="BF277" s="367"/>
      <c r="BG277" s="368"/>
      <c r="BH277" s="64" t="e">
        <f>#REF!</f>
        <v>#REF!</v>
      </c>
      <c r="BL277" s="73"/>
    </row>
    <row r="278" spans="1:76" s="59" customFormat="1" ht="36" customHeight="1" x14ac:dyDescent="0.3">
      <c r="A278" s="305">
        <f t="shared" si="5"/>
        <v>273</v>
      </c>
      <c r="B278" s="90" t="s">
        <v>1043</v>
      </c>
      <c r="C278" s="305" t="s">
        <v>5</v>
      </c>
      <c r="D278" s="305" t="s">
        <v>1044</v>
      </c>
      <c r="E278" s="91">
        <v>45833</v>
      </c>
      <c r="F278" s="91">
        <v>45833</v>
      </c>
      <c r="G278" s="91"/>
      <c r="H278" s="91"/>
      <c r="I278" s="305"/>
      <c r="J278" s="92"/>
      <c r="K278" s="92"/>
      <c r="L278" s="305"/>
      <c r="M278" s="369"/>
      <c r="N278" s="305"/>
      <c r="O278" s="305"/>
      <c r="P278" s="158"/>
      <c r="Q278" s="305"/>
      <c r="R278" s="305"/>
      <c r="S278" s="305"/>
      <c r="T278" s="305"/>
      <c r="U278" s="305"/>
      <c r="V278" s="305"/>
      <c r="W278" s="305"/>
      <c r="X278" s="369" t="s">
        <v>812</v>
      </c>
      <c r="Y278" s="305"/>
      <c r="Z278" s="305"/>
      <c r="AA278" s="305"/>
      <c r="AB278" s="305"/>
      <c r="AC278" s="92" t="s">
        <v>1045</v>
      </c>
      <c r="AD278" s="369" t="s">
        <v>55</v>
      </c>
      <c r="AE278" s="118"/>
      <c r="AF278" s="118"/>
      <c r="AG278" s="285">
        <v>45772</v>
      </c>
      <c r="AH278" s="93">
        <v>45792</v>
      </c>
      <c r="AI278" s="264">
        <v>45748</v>
      </c>
      <c r="AJ278" s="95" t="s">
        <v>131</v>
      </c>
      <c r="AK278" s="369" t="s">
        <v>161</v>
      </c>
      <c r="AL278" s="369" t="s">
        <v>175</v>
      </c>
      <c r="AM278" s="369" t="s">
        <v>134</v>
      </c>
      <c r="AN278" s="305"/>
      <c r="AO278" s="305"/>
      <c r="AP278" s="305"/>
      <c r="AQ278" s="291"/>
      <c r="AR278" s="305"/>
      <c r="AS278" s="305"/>
      <c r="AT278" s="91">
        <v>45767</v>
      </c>
      <c r="AU278" s="91">
        <v>45741</v>
      </c>
      <c r="AV278" s="91">
        <v>45748</v>
      </c>
      <c r="AW278" s="91">
        <v>45734</v>
      </c>
      <c r="AX278" s="305"/>
      <c r="AY278" s="305"/>
      <c r="AZ278" s="305"/>
      <c r="BA278" s="305"/>
      <c r="BB278" s="92"/>
      <c r="BC278" s="47"/>
      <c r="BD278" s="80" t="s">
        <v>816</v>
      </c>
      <c r="BE278" s="70"/>
      <c r="BF278" s="367"/>
      <c r="BG278" s="368"/>
      <c r="BH278" s="64" t="e">
        <f>#REF!</f>
        <v>#REF!</v>
      </c>
      <c r="BL278" s="73"/>
    </row>
    <row r="279" spans="1:76" s="59" customFormat="1" ht="36" customHeight="1" x14ac:dyDescent="0.3">
      <c r="A279" s="305">
        <f t="shared" si="5"/>
        <v>274</v>
      </c>
      <c r="B279" s="90" t="s">
        <v>1046</v>
      </c>
      <c r="C279" s="305" t="s">
        <v>2</v>
      </c>
      <c r="D279" s="305" t="s">
        <v>1047</v>
      </c>
      <c r="E279" s="91">
        <v>46122</v>
      </c>
      <c r="F279" s="97">
        <v>46134</v>
      </c>
      <c r="G279" s="91"/>
      <c r="H279" s="91"/>
      <c r="I279" s="305" t="s">
        <v>26</v>
      </c>
      <c r="J279" s="92" t="s">
        <v>1048</v>
      </c>
      <c r="K279" s="92" t="s">
        <v>521</v>
      </c>
      <c r="L279" s="305"/>
      <c r="M279" s="369"/>
      <c r="N279" s="305"/>
      <c r="O279" s="305"/>
      <c r="P279" s="158"/>
      <c r="Q279" s="305"/>
      <c r="R279" s="305"/>
      <c r="S279" s="305"/>
      <c r="T279" s="305"/>
      <c r="U279" s="305"/>
      <c r="V279" s="305"/>
      <c r="W279" s="305"/>
      <c r="X279" s="305"/>
      <c r="Y279" s="305"/>
      <c r="Z279" s="305"/>
      <c r="AA279" s="305"/>
      <c r="AB279" s="305"/>
      <c r="AC279" s="92" t="s">
        <v>1049</v>
      </c>
      <c r="AD279" s="369" t="s">
        <v>55</v>
      </c>
      <c r="AE279" s="118"/>
      <c r="AF279" s="118"/>
      <c r="AG279" s="118">
        <v>46132</v>
      </c>
      <c r="AH279" s="93">
        <v>46132</v>
      </c>
      <c r="AI279" s="264">
        <v>46101</v>
      </c>
      <c r="AJ279" s="95" t="s">
        <v>648</v>
      </c>
      <c r="AK279" s="369" t="s">
        <v>1050</v>
      </c>
      <c r="AL279" s="369" t="s">
        <v>133</v>
      </c>
      <c r="AM279" s="369" t="s">
        <v>134</v>
      </c>
      <c r="AN279" s="305"/>
      <c r="AO279" s="305"/>
      <c r="AP279" s="305"/>
      <c r="AQ279" s="291"/>
      <c r="AR279" s="305"/>
      <c r="AS279" s="305"/>
      <c r="AT279" s="102">
        <v>46091</v>
      </c>
      <c r="AU279" s="91">
        <v>46016</v>
      </c>
      <c r="AV279" s="91">
        <v>46042</v>
      </c>
      <c r="AW279" s="91">
        <v>46017</v>
      </c>
      <c r="AX279" s="305"/>
      <c r="AY279" s="305"/>
      <c r="AZ279" s="305"/>
      <c r="BA279" s="305"/>
      <c r="BB279" s="92"/>
      <c r="BC279" s="47"/>
      <c r="BD279" s="80"/>
      <c r="BE279" s="70"/>
      <c r="BF279" s="367"/>
      <c r="BG279" s="368"/>
      <c r="BH279" s="64" t="e">
        <f>#REF!</f>
        <v>#REF!</v>
      </c>
      <c r="BL279" s="73"/>
      <c r="BS279" s="381" t="s">
        <v>14</v>
      </c>
      <c r="BT279" s="382" t="s">
        <v>15</v>
      </c>
      <c r="BU279" s="382"/>
      <c r="BV279" s="382"/>
      <c r="BW279" s="383" t="s">
        <v>16</v>
      </c>
      <c r="BX279" s="383"/>
    </row>
    <row r="280" spans="1:76" ht="36" customHeight="1" x14ac:dyDescent="0.3">
      <c r="A280" s="305">
        <f t="shared" si="5"/>
        <v>275</v>
      </c>
      <c r="B280" s="90" t="s">
        <v>1051</v>
      </c>
      <c r="C280" s="305" t="s">
        <v>0</v>
      </c>
      <c r="D280" s="305" t="s">
        <v>262</v>
      </c>
      <c r="E280" s="91"/>
      <c r="F280" s="97"/>
      <c r="G280" s="91"/>
      <c r="H280" s="91"/>
      <c r="I280" s="305" t="s">
        <v>20</v>
      </c>
      <c r="J280" s="92" t="s">
        <v>577</v>
      </c>
      <c r="K280" s="92" t="s">
        <v>573</v>
      </c>
      <c r="L280" s="305"/>
      <c r="M280" s="369"/>
      <c r="N280" s="305"/>
      <c r="O280" s="305"/>
      <c r="P280" s="305"/>
      <c r="Q280" s="305"/>
      <c r="R280" s="305"/>
      <c r="S280" s="305"/>
      <c r="T280" s="305"/>
      <c r="U280" s="305"/>
      <c r="V280" s="305"/>
      <c r="W280" s="305"/>
      <c r="X280" s="305"/>
      <c r="Y280" s="305"/>
      <c r="Z280" s="305"/>
      <c r="AA280" s="305"/>
      <c r="AB280" s="305"/>
      <c r="AC280" s="92" t="s">
        <v>1052</v>
      </c>
      <c r="AD280" s="369" t="s">
        <v>361</v>
      </c>
      <c r="AE280" s="118"/>
      <c r="AF280" s="118"/>
      <c r="AG280" s="118"/>
      <c r="AH280" s="93"/>
      <c r="AI280" s="94">
        <v>0</v>
      </c>
      <c r="AJ280" s="95" t="s">
        <v>264</v>
      </c>
      <c r="AK280" s="369"/>
      <c r="AL280" s="369"/>
      <c r="AM280" s="369"/>
      <c r="AN280" s="305"/>
      <c r="AO280" s="305"/>
      <c r="AP280" s="305"/>
      <c r="AQ280" s="291"/>
      <c r="AR280" s="305"/>
      <c r="AS280" s="305"/>
      <c r="AT280" s="305"/>
      <c r="AU280" s="305"/>
      <c r="AV280" s="305"/>
      <c r="AW280" s="305"/>
      <c r="AX280" s="305"/>
      <c r="AY280" s="305"/>
      <c r="AZ280" s="305"/>
      <c r="BA280" s="305"/>
      <c r="BB280" s="92"/>
      <c r="BC280" s="47"/>
      <c r="BD280" s="80"/>
      <c r="BE280" s="70"/>
      <c r="BF280" s="367"/>
      <c r="BG280" s="368"/>
      <c r="BH280" s="64" t="e">
        <f>#REF!</f>
        <v>#REF!</v>
      </c>
      <c r="BL280" s="54"/>
      <c r="BS280" s="381"/>
      <c r="BT280" s="373" t="s">
        <v>17</v>
      </c>
      <c r="BU280" s="373" t="s">
        <v>18</v>
      </c>
      <c r="BV280" s="373" t="s">
        <v>19</v>
      </c>
      <c r="BW280" s="374" t="s">
        <v>17</v>
      </c>
      <c r="BX280" s="374" t="s">
        <v>18</v>
      </c>
    </row>
    <row r="281" spans="1:76" s="59" customFormat="1" ht="36" customHeight="1" x14ac:dyDescent="0.3">
      <c r="A281" s="156">
        <f t="shared" si="5"/>
        <v>276</v>
      </c>
      <c r="B281" s="90" t="s">
        <v>1053</v>
      </c>
      <c r="C281" s="305" t="s">
        <v>6</v>
      </c>
      <c r="D281" s="305" t="s">
        <v>1054</v>
      </c>
      <c r="E281" s="91">
        <v>45857</v>
      </c>
      <c r="F281" s="97">
        <v>45857</v>
      </c>
      <c r="G281" s="91"/>
      <c r="H281" s="91"/>
      <c r="I281" s="305" t="s">
        <v>26</v>
      </c>
      <c r="J281" s="92" t="s">
        <v>1055</v>
      </c>
      <c r="K281" s="92" t="s">
        <v>1056</v>
      </c>
      <c r="L281" s="305" t="s">
        <v>1057</v>
      </c>
      <c r="M281" s="369" t="s">
        <v>120</v>
      </c>
      <c r="N281" s="305" t="s">
        <v>127</v>
      </c>
      <c r="O281" s="305" t="s">
        <v>1058</v>
      </c>
      <c r="P281" s="158"/>
      <c r="Q281" s="305">
        <v>3.2</v>
      </c>
      <c r="R281" s="305"/>
      <c r="S281" s="305">
        <v>100</v>
      </c>
      <c r="T281" s="305">
        <v>9.5</v>
      </c>
      <c r="U281" s="305"/>
      <c r="V281" s="305" t="s">
        <v>127</v>
      </c>
      <c r="W281" s="305"/>
      <c r="X281" s="305" t="s">
        <v>150</v>
      </c>
      <c r="Y281" s="305" t="s">
        <v>127</v>
      </c>
      <c r="Z281" s="305"/>
      <c r="AA281" s="305" t="s">
        <v>214</v>
      </c>
      <c r="AB281" s="369" t="s">
        <v>215</v>
      </c>
      <c r="AC281" s="92" t="s">
        <v>1059</v>
      </c>
      <c r="AD281" s="369" t="s">
        <v>284</v>
      </c>
      <c r="AE281" s="118"/>
      <c r="AF281" s="118"/>
      <c r="AG281" s="118">
        <v>45350</v>
      </c>
      <c r="AH281" s="93">
        <v>45838</v>
      </c>
      <c r="AI281" s="264">
        <v>45809</v>
      </c>
      <c r="AJ281" s="95" t="s">
        <v>131</v>
      </c>
      <c r="AK281" s="369" t="s">
        <v>1060</v>
      </c>
      <c r="AL281" s="369" t="s">
        <v>183</v>
      </c>
      <c r="AM281" s="369" t="s">
        <v>209</v>
      </c>
      <c r="AN281" s="305"/>
      <c r="AO281" s="305"/>
      <c r="AP281" s="305"/>
      <c r="AQ281" s="291"/>
      <c r="AR281" s="305"/>
      <c r="AS281" s="305"/>
      <c r="AT281" s="91">
        <v>45818</v>
      </c>
      <c r="AU281" s="91">
        <v>45770</v>
      </c>
      <c r="AV281" s="91">
        <v>45793</v>
      </c>
      <c r="AW281" s="91">
        <v>45706</v>
      </c>
      <c r="AX281" s="305"/>
      <c r="AY281" s="305"/>
      <c r="AZ281" s="91">
        <v>45808</v>
      </c>
      <c r="BA281" s="91"/>
      <c r="BB281" s="92"/>
      <c r="BC281" s="47" t="s">
        <v>1061</v>
      </c>
      <c r="BD281" s="80" t="s">
        <v>816</v>
      </c>
      <c r="BE281" s="70"/>
      <c r="BF281" s="367"/>
      <c r="BG281" s="368"/>
      <c r="BH281" s="64" t="e">
        <f>#REF!</f>
        <v>#REF!</v>
      </c>
      <c r="BL281" s="73"/>
      <c r="BS281" s="375" t="s">
        <v>20</v>
      </c>
      <c r="BT281" s="373" t="s">
        <v>21</v>
      </c>
      <c r="BU281" s="373" t="s">
        <v>22</v>
      </c>
      <c r="BV281" s="373" t="s">
        <v>23</v>
      </c>
      <c r="BW281" s="374" t="s">
        <v>24</v>
      </c>
      <c r="BX281" s="374" t="s">
        <v>25</v>
      </c>
    </row>
    <row r="282" spans="1:76" s="59" customFormat="1" ht="36" customHeight="1" x14ac:dyDescent="0.3">
      <c r="A282" s="156">
        <f t="shared" si="5"/>
        <v>277</v>
      </c>
      <c r="B282" s="90" t="s">
        <v>1062</v>
      </c>
      <c r="C282" s="305" t="s">
        <v>6</v>
      </c>
      <c r="D282" s="305" t="s">
        <v>1054</v>
      </c>
      <c r="E282" s="91">
        <v>45708</v>
      </c>
      <c r="F282" s="97"/>
      <c r="G282" s="91"/>
      <c r="H282" s="91"/>
      <c r="I282" s="305" t="s">
        <v>26</v>
      </c>
      <c r="J282" s="92" t="s">
        <v>1055</v>
      </c>
      <c r="K282" s="92" t="s">
        <v>1056</v>
      </c>
      <c r="L282" s="305" t="s">
        <v>1057</v>
      </c>
      <c r="M282" s="369" t="s">
        <v>120</v>
      </c>
      <c r="N282" s="305" t="s">
        <v>127</v>
      </c>
      <c r="O282" s="305" t="s">
        <v>1058</v>
      </c>
      <c r="P282" s="158"/>
      <c r="Q282" s="305">
        <v>3.2</v>
      </c>
      <c r="R282" s="305"/>
      <c r="S282" s="305">
        <v>100</v>
      </c>
      <c r="T282" s="305"/>
      <c r="U282" s="305"/>
      <c r="V282" s="305"/>
      <c r="W282" s="305"/>
      <c r="X282" s="305"/>
      <c r="Y282" s="305"/>
      <c r="Z282" s="305" t="s">
        <v>127</v>
      </c>
      <c r="AA282" s="305"/>
      <c r="AB282" s="369"/>
      <c r="AC282" s="92" t="s">
        <v>1063</v>
      </c>
      <c r="AD282" s="369" t="s">
        <v>169</v>
      </c>
      <c r="AE282" s="118">
        <v>45708</v>
      </c>
      <c r="AF282" s="118"/>
      <c r="AG282" s="118">
        <v>45716</v>
      </c>
      <c r="AH282" s="93">
        <v>45716</v>
      </c>
      <c r="AI282" s="264">
        <v>45689</v>
      </c>
      <c r="AJ282" s="95" t="s">
        <v>131</v>
      </c>
      <c r="AK282" s="369" t="s">
        <v>1064</v>
      </c>
      <c r="AL282" s="369"/>
      <c r="AM282" s="369" t="s">
        <v>134</v>
      </c>
      <c r="AN282" s="305"/>
      <c r="AO282" s="305"/>
      <c r="AP282" s="305"/>
      <c r="AQ282" s="291"/>
      <c r="AR282" s="305"/>
      <c r="AS282" s="305"/>
      <c r="AT282" s="91">
        <v>45702</v>
      </c>
      <c r="AU282" s="91">
        <v>45672</v>
      </c>
      <c r="AV282" s="91">
        <v>45673</v>
      </c>
      <c r="AW282" s="305"/>
      <c r="AX282" s="305"/>
      <c r="AY282" s="305"/>
      <c r="AZ282" s="305"/>
      <c r="BA282" s="305"/>
      <c r="BB282" s="92"/>
      <c r="BC282" s="47" t="s">
        <v>1065</v>
      </c>
      <c r="BD282" s="80" t="s">
        <v>816</v>
      </c>
      <c r="BE282" s="70"/>
      <c r="BF282" s="367"/>
      <c r="BG282" s="368"/>
      <c r="BH282" s="64" t="e">
        <f>#REF!</f>
        <v>#REF!</v>
      </c>
      <c r="BL282" s="73"/>
      <c r="BS282" s="375" t="s">
        <v>26</v>
      </c>
      <c r="BT282" s="373" t="s">
        <v>27</v>
      </c>
      <c r="BU282" s="373" t="s">
        <v>22</v>
      </c>
      <c r="BV282" s="373" t="s">
        <v>23</v>
      </c>
      <c r="BW282" s="374" t="s">
        <v>28</v>
      </c>
      <c r="BX282" s="374" t="s">
        <v>25</v>
      </c>
    </row>
    <row r="283" spans="1:76" s="59" customFormat="1" ht="36" customHeight="1" x14ac:dyDescent="0.3">
      <c r="A283" s="156">
        <f t="shared" si="5"/>
        <v>278</v>
      </c>
      <c r="B283" s="90" t="s">
        <v>1066</v>
      </c>
      <c r="C283" s="305" t="s">
        <v>6</v>
      </c>
      <c r="D283" s="305" t="s">
        <v>1054</v>
      </c>
      <c r="E283" s="91">
        <v>45857</v>
      </c>
      <c r="F283" s="97">
        <v>45857</v>
      </c>
      <c r="G283" s="91"/>
      <c r="H283" s="91"/>
      <c r="I283" s="305" t="s">
        <v>26</v>
      </c>
      <c r="J283" s="92" t="s">
        <v>1055</v>
      </c>
      <c r="K283" s="92" t="s">
        <v>1067</v>
      </c>
      <c r="L283" s="305" t="s">
        <v>1057</v>
      </c>
      <c r="M283" s="369" t="s">
        <v>65</v>
      </c>
      <c r="N283" s="305" t="s">
        <v>127</v>
      </c>
      <c r="O283" s="305" t="s">
        <v>1058</v>
      </c>
      <c r="P283" s="158"/>
      <c r="Q283" s="305">
        <v>3.2</v>
      </c>
      <c r="R283" s="305"/>
      <c r="S283" s="305">
        <v>100</v>
      </c>
      <c r="T283" s="305">
        <v>9.5</v>
      </c>
      <c r="U283" s="305"/>
      <c r="V283" s="305" t="s">
        <v>127</v>
      </c>
      <c r="W283" s="305"/>
      <c r="X283" s="305" t="s">
        <v>150</v>
      </c>
      <c r="Y283" s="305" t="s">
        <v>127</v>
      </c>
      <c r="Z283" s="305"/>
      <c r="AA283" s="305" t="s">
        <v>214</v>
      </c>
      <c r="AB283" s="369" t="s">
        <v>215</v>
      </c>
      <c r="AC283" s="92" t="s">
        <v>1068</v>
      </c>
      <c r="AD283" s="369" t="s">
        <v>284</v>
      </c>
      <c r="AE283" s="118"/>
      <c r="AF283" s="118"/>
      <c r="AG283" s="118">
        <v>45716</v>
      </c>
      <c r="AH283" s="93">
        <v>45838</v>
      </c>
      <c r="AI283" s="264">
        <v>45809</v>
      </c>
      <c r="AJ283" s="95" t="s">
        <v>131</v>
      </c>
      <c r="AK283" s="369" t="s">
        <v>1060</v>
      </c>
      <c r="AL283" s="369" t="s">
        <v>183</v>
      </c>
      <c r="AM283" s="369" t="s">
        <v>209</v>
      </c>
      <c r="AN283" s="305"/>
      <c r="AO283" s="305"/>
      <c r="AP283" s="305"/>
      <c r="AQ283" s="291"/>
      <c r="AR283" s="305"/>
      <c r="AS283" s="305"/>
      <c r="AT283" s="91">
        <v>45818</v>
      </c>
      <c r="AU283" s="91">
        <v>45770</v>
      </c>
      <c r="AV283" s="91">
        <v>45793</v>
      </c>
      <c r="AW283" s="91">
        <v>45706</v>
      </c>
      <c r="AX283" s="305"/>
      <c r="AY283" s="305"/>
      <c r="AZ283" s="91">
        <v>45808</v>
      </c>
      <c r="BA283" s="91"/>
      <c r="BB283" s="92"/>
      <c r="BC283" s="47"/>
      <c r="BD283" s="80" t="s">
        <v>816</v>
      </c>
      <c r="BE283" s="70"/>
      <c r="BF283" s="367"/>
      <c r="BG283" s="368"/>
      <c r="BH283" s="64" t="e">
        <f>#REF!</f>
        <v>#REF!</v>
      </c>
      <c r="BL283" s="73"/>
      <c r="BS283" s="375" t="s">
        <v>30</v>
      </c>
      <c r="BT283" s="373" t="s">
        <v>31</v>
      </c>
      <c r="BU283" s="373" t="s">
        <v>32</v>
      </c>
      <c r="BV283" s="373" t="s">
        <v>33</v>
      </c>
      <c r="BW283" s="374" t="s">
        <v>34</v>
      </c>
      <c r="BX283" s="374" t="s">
        <v>35</v>
      </c>
    </row>
    <row r="284" spans="1:76" s="59" customFormat="1" ht="36" customHeight="1" x14ac:dyDescent="0.3">
      <c r="A284" s="156">
        <f t="shared" si="5"/>
        <v>279</v>
      </c>
      <c r="B284" s="90" t="s">
        <v>1069</v>
      </c>
      <c r="C284" s="305" t="s">
        <v>6</v>
      </c>
      <c r="D284" s="305" t="s">
        <v>1054</v>
      </c>
      <c r="E284" s="91">
        <v>45708</v>
      </c>
      <c r="F284" s="97"/>
      <c r="G284" s="91"/>
      <c r="H284" s="91"/>
      <c r="I284" s="305" t="s">
        <v>26</v>
      </c>
      <c r="J284" s="92" t="s">
        <v>1055</v>
      </c>
      <c r="K284" s="92" t="s">
        <v>1067</v>
      </c>
      <c r="L284" s="305" t="s">
        <v>1057</v>
      </c>
      <c r="M284" s="369" t="s">
        <v>65</v>
      </c>
      <c r="N284" s="305" t="s">
        <v>127</v>
      </c>
      <c r="O284" s="305" t="s">
        <v>1058</v>
      </c>
      <c r="P284" s="158"/>
      <c r="Q284" s="305">
        <v>3.2</v>
      </c>
      <c r="R284" s="305"/>
      <c r="S284" s="305">
        <v>100</v>
      </c>
      <c r="T284" s="305"/>
      <c r="U284" s="305"/>
      <c r="V284" s="305"/>
      <c r="W284" s="305"/>
      <c r="X284" s="305"/>
      <c r="Y284" s="305"/>
      <c r="Z284" s="305" t="s">
        <v>127</v>
      </c>
      <c r="AA284" s="305"/>
      <c r="AB284" s="369"/>
      <c r="AC284" s="92" t="s">
        <v>1070</v>
      </c>
      <c r="AD284" s="369" t="s">
        <v>169</v>
      </c>
      <c r="AE284" s="118">
        <v>45708</v>
      </c>
      <c r="AF284" s="118"/>
      <c r="AG284" s="118">
        <v>45716</v>
      </c>
      <c r="AH284" s="93">
        <v>45716</v>
      </c>
      <c r="AI284" s="264">
        <v>45689</v>
      </c>
      <c r="AJ284" s="95" t="s">
        <v>131</v>
      </c>
      <c r="AK284" s="369" t="s">
        <v>1064</v>
      </c>
      <c r="AL284" s="369"/>
      <c r="AM284" s="369" t="s">
        <v>134</v>
      </c>
      <c r="AN284" s="305"/>
      <c r="AO284" s="305"/>
      <c r="AP284" s="305"/>
      <c r="AQ284" s="291"/>
      <c r="AR284" s="305"/>
      <c r="AS284" s="305"/>
      <c r="AT284" s="91">
        <v>45702</v>
      </c>
      <c r="AU284" s="91">
        <v>45672</v>
      </c>
      <c r="AV284" s="91">
        <v>45673</v>
      </c>
      <c r="AW284" s="305"/>
      <c r="AX284" s="305"/>
      <c r="AY284" s="305"/>
      <c r="AZ284" s="305"/>
      <c r="BA284" s="305"/>
      <c r="BB284" s="92"/>
      <c r="BC284" s="47"/>
      <c r="BD284" s="80" t="s">
        <v>816</v>
      </c>
      <c r="BE284" s="70"/>
      <c r="BF284" s="367"/>
      <c r="BG284" s="368"/>
      <c r="BH284" s="64" t="e">
        <f>#REF!</f>
        <v>#REF!</v>
      </c>
      <c r="BL284" s="73"/>
      <c r="BS284" s="375" t="s">
        <v>36</v>
      </c>
      <c r="BT284" s="373" t="s">
        <v>21</v>
      </c>
      <c r="BU284" s="373" t="s">
        <v>32</v>
      </c>
      <c r="BV284" s="373" t="s">
        <v>37</v>
      </c>
      <c r="BW284" s="374" t="s">
        <v>38</v>
      </c>
      <c r="BX284" s="374" t="s">
        <v>39</v>
      </c>
    </row>
    <row r="285" spans="1:76" s="59" customFormat="1" ht="36" customHeight="1" x14ac:dyDescent="0.3">
      <c r="A285" s="156">
        <f t="shared" si="5"/>
        <v>280</v>
      </c>
      <c r="B285" s="90" t="s">
        <v>1071</v>
      </c>
      <c r="C285" s="305" t="s">
        <v>6</v>
      </c>
      <c r="D285" s="305" t="s">
        <v>1054</v>
      </c>
      <c r="E285" s="91">
        <v>45765</v>
      </c>
      <c r="F285" s="97">
        <v>45765</v>
      </c>
      <c r="G285" s="91"/>
      <c r="H285" s="91"/>
      <c r="I285" s="305" t="s">
        <v>26</v>
      </c>
      <c r="J285" s="92" t="s">
        <v>1055</v>
      </c>
      <c r="K285" s="92" t="s">
        <v>1072</v>
      </c>
      <c r="L285" s="305" t="s">
        <v>1057</v>
      </c>
      <c r="M285" s="369" t="s">
        <v>120</v>
      </c>
      <c r="N285" s="305" t="s">
        <v>127</v>
      </c>
      <c r="O285" s="305" t="s">
        <v>1073</v>
      </c>
      <c r="P285" s="158"/>
      <c r="Q285" s="305">
        <v>3.2</v>
      </c>
      <c r="R285" s="305"/>
      <c r="S285" s="305">
        <v>100</v>
      </c>
      <c r="T285" s="305">
        <v>9.5</v>
      </c>
      <c r="U285" s="305"/>
      <c r="V285" s="305"/>
      <c r="W285" s="305"/>
      <c r="X285" s="305"/>
      <c r="Y285" s="305" t="s">
        <v>127</v>
      </c>
      <c r="Z285" s="305"/>
      <c r="AA285" s="305"/>
      <c r="AB285" s="369" t="s">
        <v>215</v>
      </c>
      <c r="AC285" s="92" t="s">
        <v>1074</v>
      </c>
      <c r="AD285" s="369" t="s">
        <v>1075</v>
      </c>
      <c r="AE285" s="118"/>
      <c r="AF285" s="118"/>
      <c r="AG285" s="118">
        <v>45726</v>
      </c>
      <c r="AH285" s="93">
        <v>45746</v>
      </c>
      <c r="AI285" s="264">
        <v>45717</v>
      </c>
      <c r="AJ285" s="95" t="s">
        <v>131</v>
      </c>
      <c r="AK285" s="369" t="s">
        <v>161</v>
      </c>
      <c r="AL285" s="369" t="s">
        <v>239</v>
      </c>
      <c r="AM285" s="369" t="s">
        <v>134</v>
      </c>
      <c r="AN285" s="305"/>
      <c r="AO285" s="305"/>
      <c r="AP285" s="305"/>
      <c r="AQ285" s="291"/>
      <c r="AR285" s="305"/>
      <c r="AS285" s="305"/>
      <c r="AT285" s="91">
        <v>45713</v>
      </c>
      <c r="AU285" s="91">
        <v>45679</v>
      </c>
      <c r="AV285" s="91">
        <v>45679</v>
      </c>
      <c r="AW285" s="91">
        <v>45674</v>
      </c>
      <c r="AX285" s="305"/>
      <c r="AY285" s="305"/>
      <c r="AZ285" s="305"/>
      <c r="BA285" s="305"/>
      <c r="BB285" s="92"/>
      <c r="BC285" s="47"/>
      <c r="BD285" s="80" t="s">
        <v>816</v>
      </c>
      <c r="BE285" s="70"/>
      <c r="BF285" s="367"/>
      <c r="BG285" s="368"/>
      <c r="BH285" s="64" t="e">
        <f>#REF!</f>
        <v>#REF!</v>
      </c>
      <c r="BL285" s="73"/>
      <c r="BS285" s="375" t="s">
        <v>40</v>
      </c>
      <c r="BT285" s="373" t="s">
        <v>41</v>
      </c>
      <c r="BU285" s="373" t="s">
        <v>42</v>
      </c>
      <c r="BV285" s="373" t="s">
        <v>43</v>
      </c>
      <c r="BW285" s="384" t="s">
        <v>1076</v>
      </c>
      <c r="BX285" s="385"/>
    </row>
    <row r="286" spans="1:76" s="59" customFormat="1" ht="36" customHeight="1" x14ac:dyDescent="0.3">
      <c r="A286" s="305">
        <f t="shared" si="5"/>
        <v>281</v>
      </c>
      <c r="B286" s="90" t="s">
        <v>1077</v>
      </c>
      <c r="C286" s="305" t="s">
        <v>6</v>
      </c>
      <c r="D286" s="305" t="s">
        <v>262</v>
      </c>
      <c r="E286" s="91"/>
      <c r="F286" s="97"/>
      <c r="G286" s="91"/>
      <c r="H286" s="91"/>
      <c r="I286" s="305" t="s">
        <v>26</v>
      </c>
      <c r="J286" s="92" t="s">
        <v>1055</v>
      </c>
      <c r="K286" s="92" t="s">
        <v>1072</v>
      </c>
      <c r="L286" s="305" t="s">
        <v>1057</v>
      </c>
      <c r="M286" s="369" t="s">
        <v>120</v>
      </c>
      <c r="N286" s="305" t="s">
        <v>127</v>
      </c>
      <c r="O286" s="305"/>
      <c r="P286" s="305"/>
      <c r="Q286" s="305"/>
      <c r="R286" s="305"/>
      <c r="S286" s="305"/>
      <c r="T286" s="305"/>
      <c r="U286" s="305"/>
      <c r="V286" s="305"/>
      <c r="W286" s="305"/>
      <c r="X286" s="305"/>
      <c r="Y286" s="305"/>
      <c r="Z286" s="305"/>
      <c r="AA286" s="305"/>
      <c r="AB286" s="369"/>
      <c r="AC286" s="92" t="s">
        <v>1078</v>
      </c>
      <c r="AD286" s="369" t="s">
        <v>1079</v>
      </c>
      <c r="AE286" s="118"/>
      <c r="AF286" s="118"/>
      <c r="AG286" s="118"/>
      <c r="AH286" s="93"/>
      <c r="AI286" s="94">
        <v>0</v>
      </c>
      <c r="AJ286" s="95" t="s">
        <v>264</v>
      </c>
      <c r="AK286" s="369"/>
      <c r="AL286" s="369"/>
      <c r="AM286" s="369"/>
      <c r="AN286" s="305"/>
      <c r="AO286" s="305"/>
      <c r="AP286" s="305"/>
      <c r="AQ286" s="291"/>
      <c r="AR286" s="305"/>
      <c r="AS286" s="305"/>
      <c r="AT286" s="305"/>
      <c r="AU286" s="305"/>
      <c r="AV286" s="305"/>
      <c r="AW286" s="305"/>
      <c r="AX286" s="305"/>
      <c r="AY286" s="305"/>
      <c r="AZ286" s="305"/>
      <c r="BA286" s="305"/>
      <c r="BB286" s="92"/>
      <c r="BC286" s="47"/>
      <c r="BD286" s="80" t="s">
        <v>816</v>
      </c>
      <c r="BE286" s="70"/>
      <c r="BF286" s="367"/>
      <c r="BG286" s="368"/>
      <c r="BH286" s="64" t="e">
        <f>#REF!</f>
        <v>#REF!</v>
      </c>
      <c r="BL286" s="73"/>
      <c r="BS286" s="375" t="s">
        <v>6</v>
      </c>
      <c r="BT286" s="373" t="s">
        <v>44</v>
      </c>
      <c r="BU286" s="373" t="s">
        <v>45</v>
      </c>
      <c r="BV286" s="373" t="s">
        <v>46</v>
      </c>
      <c r="BW286" s="374"/>
      <c r="BX286" s="374"/>
    </row>
    <row r="287" spans="1:76" s="59" customFormat="1" ht="36" customHeight="1" x14ac:dyDescent="0.3">
      <c r="A287" s="156">
        <f t="shared" si="5"/>
        <v>282</v>
      </c>
      <c r="B287" s="90" t="s">
        <v>1080</v>
      </c>
      <c r="C287" s="305" t="s">
        <v>6</v>
      </c>
      <c r="D287" s="305" t="s">
        <v>1081</v>
      </c>
      <c r="E287" s="91">
        <v>45807</v>
      </c>
      <c r="F287" s="97">
        <v>45821</v>
      </c>
      <c r="G287" s="91"/>
      <c r="H287" s="91"/>
      <c r="I287" s="305" t="s">
        <v>26</v>
      </c>
      <c r="J287" s="92" t="s">
        <v>1055</v>
      </c>
      <c r="K287" s="92" t="s">
        <v>1072</v>
      </c>
      <c r="L287" s="305" t="s">
        <v>1057</v>
      </c>
      <c r="M287" s="369" t="s">
        <v>120</v>
      </c>
      <c r="N287" s="305" t="s">
        <v>127</v>
      </c>
      <c r="O287" s="305" t="s">
        <v>1073</v>
      </c>
      <c r="P287" s="158"/>
      <c r="Q287" s="305">
        <v>3.2</v>
      </c>
      <c r="R287" s="305"/>
      <c r="S287" s="305">
        <v>100</v>
      </c>
      <c r="T287" s="305">
        <v>9.5</v>
      </c>
      <c r="U287" s="305"/>
      <c r="V287" s="305" t="s">
        <v>127</v>
      </c>
      <c r="W287" s="305"/>
      <c r="X287" s="305" t="s">
        <v>150</v>
      </c>
      <c r="Y287" s="305"/>
      <c r="Z287" s="305"/>
      <c r="AA287" s="305"/>
      <c r="AB287" s="369" t="s">
        <v>215</v>
      </c>
      <c r="AC287" s="92" t="s">
        <v>1082</v>
      </c>
      <c r="AD287" s="369" t="s">
        <v>207</v>
      </c>
      <c r="AE287" s="118"/>
      <c r="AF287" s="118"/>
      <c r="AG287" s="118">
        <v>45726</v>
      </c>
      <c r="AH287" s="93">
        <v>45805</v>
      </c>
      <c r="AI287" s="264">
        <v>45748</v>
      </c>
      <c r="AJ287" s="95" t="s">
        <v>131</v>
      </c>
      <c r="AK287" s="369" t="s">
        <v>1060</v>
      </c>
      <c r="AL287" s="369" t="s">
        <v>183</v>
      </c>
      <c r="AM287" s="369" t="s">
        <v>209</v>
      </c>
      <c r="AN287" s="305"/>
      <c r="AO287" s="305"/>
      <c r="AP287" s="305"/>
      <c r="AQ287" s="291"/>
      <c r="AR287" s="305"/>
      <c r="AS287" s="305"/>
      <c r="AT287" s="91">
        <v>45744</v>
      </c>
      <c r="AU287" s="91">
        <v>45719</v>
      </c>
      <c r="AV287" s="91">
        <v>45736</v>
      </c>
      <c r="AW287" s="91">
        <v>45702</v>
      </c>
      <c r="AX287" s="305"/>
      <c r="AY287" s="305"/>
      <c r="AZ287" s="305"/>
      <c r="BA287" s="305"/>
      <c r="BB287" s="92"/>
      <c r="BC287" s="47"/>
      <c r="BD287" s="80" t="s">
        <v>816</v>
      </c>
      <c r="BE287" s="70"/>
      <c r="BF287" s="367"/>
      <c r="BG287" s="368"/>
      <c r="BH287" s="64" t="e">
        <f>#REF!</f>
        <v>#REF!</v>
      </c>
      <c r="BL287" s="73"/>
      <c r="BS287" s="375" t="s">
        <v>47</v>
      </c>
      <c r="BT287" s="373" t="s">
        <v>48</v>
      </c>
      <c r="BU287" s="373" t="s">
        <v>49</v>
      </c>
      <c r="BV287" s="373" t="s">
        <v>33</v>
      </c>
      <c r="BW287" s="384" t="s">
        <v>1083</v>
      </c>
      <c r="BX287" s="385"/>
    </row>
    <row r="288" spans="1:76" s="59" customFormat="1" ht="36" customHeight="1" x14ac:dyDescent="0.3">
      <c r="A288" s="156">
        <f t="shared" si="5"/>
        <v>283</v>
      </c>
      <c r="B288" s="90" t="s">
        <v>1084</v>
      </c>
      <c r="C288" s="305" t="s">
        <v>6</v>
      </c>
      <c r="D288" s="305" t="s">
        <v>262</v>
      </c>
      <c r="E288" s="91"/>
      <c r="F288" s="97"/>
      <c r="G288" s="91"/>
      <c r="H288" s="91"/>
      <c r="I288" s="305" t="s">
        <v>26</v>
      </c>
      <c r="J288" s="92" t="s">
        <v>1085</v>
      </c>
      <c r="K288" s="92" t="s">
        <v>1086</v>
      </c>
      <c r="L288" s="305" t="s">
        <v>1057</v>
      </c>
      <c r="M288" s="369"/>
      <c r="N288" s="305" t="s">
        <v>127</v>
      </c>
      <c r="O288" s="305" t="s">
        <v>1073</v>
      </c>
      <c r="P288" s="305"/>
      <c r="Q288" s="305"/>
      <c r="R288" s="305"/>
      <c r="S288" s="305"/>
      <c r="T288" s="305"/>
      <c r="U288" s="305"/>
      <c r="V288" s="305"/>
      <c r="W288" s="305"/>
      <c r="X288" s="305" t="s">
        <v>150</v>
      </c>
      <c r="Y288" s="305"/>
      <c r="Z288" s="305"/>
      <c r="AA288" s="305"/>
      <c r="AB288" s="369" t="s">
        <v>215</v>
      </c>
      <c r="AC288" s="92" t="s">
        <v>1087</v>
      </c>
      <c r="AD288" s="369" t="s">
        <v>1088</v>
      </c>
      <c r="AE288" s="118"/>
      <c r="AF288" s="118"/>
      <c r="AG288" s="118"/>
      <c r="AH288" s="93"/>
      <c r="AI288" s="264">
        <v>0</v>
      </c>
      <c r="AJ288" s="95" t="s">
        <v>264</v>
      </c>
      <c r="AK288" s="369" t="s">
        <v>294</v>
      </c>
      <c r="AL288" s="369" t="s">
        <v>175</v>
      </c>
      <c r="AM288" s="369"/>
      <c r="AN288" s="305"/>
      <c r="AO288" s="305"/>
      <c r="AP288" s="305"/>
      <c r="AQ288" s="291"/>
      <c r="AR288" s="305"/>
      <c r="AS288" s="305"/>
      <c r="AT288" s="305"/>
      <c r="AU288" s="305"/>
      <c r="AV288" s="305"/>
      <c r="AW288" s="305"/>
      <c r="AX288" s="305"/>
      <c r="AY288" s="305"/>
      <c r="AZ288" s="305"/>
      <c r="BA288" s="305"/>
      <c r="BB288" s="92"/>
      <c r="BC288" s="47"/>
      <c r="BD288" s="80" t="s">
        <v>816</v>
      </c>
      <c r="BE288" s="70"/>
      <c r="BF288" s="367"/>
      <c r="BG288" s="368"/>
      <c r="BH288" s="64" t="e">
        <f>#REF!</f>
        <v>#REF!</v>
      </c>
      <c r="BL288" s="73"/>
    </row>
    <row r="289" spans="1:64" s="59" customFormat="1" ht="36" customHeight="1" x14ac:dyDescent="0.3">
      <c r="A289" s="156">
        <f t="shared" si="5"/>
        <v>284</v>
      </c>
      <c r="B289" s="90" t="s">
        <v>1089</v>
      </c>
      <c r="C289" s="305" t="s">
        <v>6</v>
      </c>
      <c r="D289" s="305" t="s">
        <v>262</v>
      </c>
      <c r="E289" s="91"/>
      <c r="F289" s="97"/>
      <c r="G289" s="91"/>
      <c r="H289" s="91"/>
      <c r="I289" s="305" t="s">
        <v>26</v>
      </c>
      <c r="J289" s="92" t="s">
        <v>1085</v>
      </c>
      <c r="K289" s="92" t="s">
        <v>1086</v>
      </c>
      <c r="L289" s="305" t="s">
        <v>1057</v>
      </c>
      <c r="M289" s="369"/>
      <c r="N289" s="305" t="s">
        <v>127</v>
      </c>
      <c r="O289" s="305" t="s">
        <v>1073</v>
      </c>
      <c r="P289" s="305"/>
      <c r="Q289" s="305"/>
      <c r="R289" s="305"/>
      <c r="S289" s="305"/>
      <c r="T289" s="305"/>
      <c r="U289" s="305"/>
      <c r="V289" s="305"/>
      <c r="W289" s="305"/>
      <c r="X289" s="369" t="s">
        <v>1090</v>
      </c>
      <c r="Y289" s="305"/>
      <c r="Z289" s="305"/>
      <c r="AA289" s="305"/>
      <c r="AB289" s="369" t="s">
        <v>866</v>
      </c>
      <c r="AC289" s="92" t="s">
        <v>1091</v>
      </c>
      <c r="AD289" s="369" t="s">
        <v>1092</v>
      </c>
      <c r="AE289" s="118"/>
      <c r="AF289" s="118"/>
      <c r="AG289" s="118"/>
      <c r="AH289" s="93"/>
      <c r="AI289" s="264">
        <v>0</v>
      </c>
      <c r="AJ289" s="95" t="s">
        <v>264</v>
      </c>
      <c r="AK289" s="369" t="s">
        <v>294</v>
      </c>
      <c r="AL289" s="369" t="s">
        <v>175</v>
      </c>
      <c r="AM289" s="369"/>
      <c r="AN289" s="305"/>
      <c r="AO289" s="305"/>
      <c r="AP289" s="305"/>
      <c r="AQ289" s="291"/>
      <c r="AR289" s="305"/>
      <c r="AS289" s="305"/>
      <c r="AT289" s="305"/>
      <c r="AU289" s="305"/>
      <c r="AV289" s="305"/>
      <c r="AW289" s="305"/>
      <c r="AX289" s="305"/>
      <c r="AY289" s="305"/>
      <c r="AZ289" s="305"/>
      <c r="BA289" s="305"/>
      <c r="BB289" s="92"/>
      <c r="BC289" s="47"/>
      <c r="BD289" s="80" t="s">
        <v>816</v>
      </c>
      <c r="BE289" s="70"/>
      <c r="BF289" s="367"/>
      <c r="BG289" s="368"/>
      <c r="BH289" s="64" t="e">
        <f>#REF!</f>
        <v>#REF!</v>
      </c>
      <c r="BL289" s="73"/>
    </row>
    <row r="290" spans="1:64" s="59" customFormat="1" ht="36" customHeight="1" x14ac:dyDescent="0.3">
      <c r="A290" s="156">
        <f t="shared" si="5"/>
        <v>285</v>
      </c>
      <c r="B290" s="90" t="s">
        <v>1093</v>
      </c>
      <c r="C290" s="305" t="s">
        <v>6</v>
      </c>
      <c r="D290" s="305" t="s">
        <v>1081</v>
      </c>
      <c r="E290" s="91">
        <v>45807</v>
      </c>
      <c r="F290" s="97">
        <v>45821</v>
      </c>
      <c r="G290" s="91"/>
      <c r="H290" s="91"/>
      <c r="I290" s="305" t="s">
        <v>26</v>
      </c>
      <c r="J290" s="92" t="s">
        <v>1094</v>
      </c>
      <c r="K290" s="92" t="s">
        <v>1095</v>
      </c>
      <c r="L290" s="305" t="s">
        <v>1057</v>
      </c>
      <c r="M290" s="369" t="s">
        <v>120</v>
      </c>
      <c r="N290" s="305" t="s">
        <v>127</v>
      </c>
      <c r="O290" s="305" t="s">
        <v>1073</v>
      </c>
      <c r="P290" s="158"/>
      <c r="Q290" s="305">
        <v>4.0999999999999996</v>
      </c>
      <c r="R290" s="305"/>
      <c r="S290" s="305">
        <v>100</v>
      </c>
      <c r="T290" s="305">
        <v>7.5</v>
      </c>
      <c r="U290" s="305"/>
      <c r="V290" s="305" t="s">
        <v>127</v>
      </c>
      <c r="W290" s="305"/>
      <c r="X290" s="305" t="s">
        <v>150</v>
      </c>
      <c r="Y290" s="305"/>
      <c r="Z290" s="305"/>
      <c r="AA290" s="305"/>
      <c r="AB290" s="369" t="s">
        <v>1096</v>
      </c>
      <c r="AC290" s="92" t="s">
        <v>1097</v>
      </c>
      <c r="AD290" s="369" t="s">
        <v>199</v>
      </c>
      <c r="AE290" s="118"/>
      <c r="AF290" s="118"/>
      <c r="AG290" s="118">
        <v>45736</v>
      </c>
      <c r="AH290" s="93">
        <v>45805</v>
      </c>
      <c r="AI290" s="264">
        <v>45748</v>
      </c>
      <c r="AJ290" s="95" t="s">
        <v>131</v>
      </c>
      <c r="AK290" s="369" t="s">
        <v>1060</v>
      </c>
      <c r="AL290" s="369" t="s">
        <v>183</v>
      </c>
      <c r="AM290" s="369" t="s">
        <v>209</v>
      </c>
      <c r="AN290" s="305"/>
      <c r="AO290" s="305"/>
      <c r="AP290" s="305"/>
      <c r="AQ290" s="291"/>
      <c r="AR290" s="305"/>
      <c r="AS290" s="305"/>
      <c r="AT290" s="91">
        <v>45744</v>
      </c>
      <c r="AU290" s="91">
        <v>45719</v>
      </c>
      <c r="AV290" s="91">
        <v>45736</v>
      </c>
      <c r="AW290" s="91">
        <v>45706</v>
      </c>
      <c r="AX290" s="305"/>
      <c r="AY290" s="305"/>
      <c r="AZ290" s="305"/>
      <c r="BA290" s="305"/>
      <c r="BB290" s="92" t="s">
        <v>1098</v>
      </c>
      <c r="BC290" s="47"/>
      <c r="BD290" s="80" t="s">
        <v>816</v>
      </c>
      <c r="BE290" s="70"/>
      <c r="BF290" s="367"/>
      <c r="BG290" s="368"/>
      <c r="BH290" s="64" t="e">
        <f>#REF!</f>
        <v>#REF!</v>
      </c>
      <c r="BL290" s="73"/>
    </row>
    <row r="291" spans="1:64" s="59" customFormat="1" ht="36" customHeight="1" x14ac:dyDescent="0.3">
      <c r="A291" s="156">
        <f t="shared" si="5"/>
        <v>286</v>
      </c>
      <c r="B291" s="90" t="s">
        <v>1099</v>
      </c>
      <c r="C291" s="305" t="s">
        <v>6</v>
      </c>
      <c r="D291" s="305" t="s">
        <v>1081</v>
      </c>
      <c r="E291" s="91">
        <v>45736</v>
      </c>
      <c r="F291" s="97">
        <v>45752</v>
      </c>
      <c r="G291" s="91"/>
      <c r="H291" s="91"/>
      <c r="I291" s="305" t="s">
        <v>26</v>
      </c>
      <c r="J291" s="92" t="s">
        <v>1094</v>
      </c>
      <c r="K291" s="92" t="s">
        <v>1095</v>
      </c>
      <c r="L291" s="305" t="s">
        <v>1057</v>
      </c>
      <c r="M291" s="369" t="s">
        <v>120</v>
      </c>
      <c r="N291" s="305" t="s">
        <v>127</v>
      </c>
      <c r="O291" s="305" t="s">
        <v>1073</v>
      </c>
      <c r="P291" s="158"/>
      <c r="Q291" s="305">
        <v>4.0999999999999996</v>
      </c>
      <c r="R291" s="305"/>
      <c r="S291" s="305">
        <v>100</v>
      </c>
      <c r="T291" s="305"/>
      <c r="U291" s="305"/>
      <c r="V291" s="305"/>
      <c r="W291" s="305"/>
      <c r="X291" s="305"/>
      <c r="Y291" s="305"/>
      <c r="Z291" s="305"/>
      <c r="AA291" s="305"/>
      <c r="AB291" s="369"/>
      <c r="AC291" s="92" t="s">
        <v>1100</v>
      </c>
      <c r="AD291" s="369" t="s">
        <v>1079</v>
      </c>
      <c r="AE291" s="118">
        <v>45726</v>
      </c>
      <c r="AF291" s="118"/>
      <c r="AG291" s="118">
        <v>45736</v>
      </c>
      <c r="AH291" s="93">
        <v>45716</v>
      </c>
      <c r="AI291" s="264">
        <v>45689</v>
      </c>
      <c r="AJ291" s="95" t="s">
        <v>131</v>
      </c>
      <c r="AK291" s="369" t="s">
        <v>1064</v>
      </c>
      <c r="AL291" s="369"/>
      <c r="AM291" s="369" t="s">
        <v>209</v>
      </c>
      <c r="AN291" s="305"/>
      <c r="AO291" s="305"/>
      <c r="AP291" s="305"/>
      <c r="AQ291" s="291"/>
      <c r="AR291" s="305"/>
      <c r="AS291" s="305"/>
      <c r="AT291" s="91">
        <v>45706</v>
      </c>
      <c r="AU291" s="91">
        <v>45673</v>
      </c>
      <c r="AV291" s="91">
        <v>45691</v>
      </c>
      <c r="AW291" s="91">
        <v>45674</v>
      </c>
      <c r="AX291" s="305"/>
      <c r="AY291" s="305"/>
      <c r="AZ291" s="305"/>
      <c r="BA291" s="305"/>
      <c r="BB291" s="92" t="s">
        <v>1101</v>
      </c>
      <c r="BC291" s="47"/>
      <c r="BD291" s="80" t="s">
        <v>816</v>
      </c>
      <c r="BE291" s="70"/>
      <c r="BF291" s="367"/>
      <c r="BG291" s="368"/>
      <c r="BH291" s="64" t="e">
        <f>#REF!</f>
        <v>#REF!</v>
      </c>
      <c r="BL291" s="73"/>
    </row>
    <row r="292" spans="1:64" s="59" customFormat="1" ht="36" customHeight="1" x14ac:dyDescent="0.3">
      <c r="A292" s="156">
        <f t="shared" si="5"/>
        <v>287</v>
      </c>
      <c r="B292" s="90" t="s">
        <v>1102</v>
      </c>
      <c r="C292" s="305" t="s">
        <v>6</v>
      </c>
      <c r="D292" s="305" t="s">
        <v>1081</v>
      </c>
      <c r="E292" s="91">
        <v>45745</v>
      </c>
      <c r="F292" s="97"/>
      <c r="G292" s="91"/>
      <c r="H292" s="91"/>
      <c r="I292" s="305" t="s">
        <v>26</v>
      </c>
      <c r="J292" s="92" t="s">
        <v>1094</v>
      </c>
      <c r="K292" s="92" t="s">
        <v>1095</v>
      </c>
      <c r="L292" s="305" t="s">
        <v>1057</v>
      </c>
      <c r="M292" s="369" t="s">
        <v>120</v>
      </c>
      <c r="N292" s="305" t="s">
        <v>127</v>
      </c>
      <c r="O292" s="305" t="s">
        <v>1073</v>
      </c>
      <c r="P292" s="158"/>
      <c r="Q292" s="305">
        <v>4.0999999999999996</v>
      </c>
      <c r="R292" s="305"/>
      <c r="S292" s="305">
        <v>100</v>
      </c>
      <c r="T292" s="305"/>
      <c r="U292" s="305"/>
      <c r="V292" s="305"/>
      <c r="W292" s="305"/>
      <c r="X292" s="305"/>
      <c r="Y292" s="305"/>
      <c r="Z292" s="305"/>
      <c r="AA292" s="305"/>
      <c r="AB292" s="369"/>
      <c r="AC292" s="92" t="s">
        <v>1103</v>
      </c>
      <c r="AD292" s="369" t="s">
        <v>238</v>
      </c>
      <c r="AE292" s="118">
        <v>45741</v>
      </c>
      <c r="AF292" s="118"/>
      <c r="AG292" s="118">
        <v>45736</v>
      </c>
      <c r="AH292" s="93">
        <v>45741</v>
      </c>
      <c r="AI292" s="264">
        <v>45717</v>
      </c>
      <c r="AJ292" s="95" t="s">
        <v>131</v>
      </c>
      <c r="AK292" s="369" t="s">
        <v>366</v>
      </c>
      <c r="AL292" s="369" t="s">
        <v>778</v>
      </c>
      <c r="AM292" s="369" t="s">
        <v>209</v>
      </c>
      <c r="AN292" s="305"/>
      <c r="AO292" s="305"/>
      <c r="AP292" s="305"/>
      <c r="AQ292" s="291"/>
      <c r="AR292" s="305"/>
      <c r="AS292" s="305"/>
      <c r="AT292" s="91">
        <v>45705</v>
      </c>
      <c r="AU292" s="91">
        <v>45677</v>
      </c>
      <c r="AV292" s="91">
        <v>45677</v>
      </c>
      <c r="AW292" s="91">
        <v>45672</v>
      </c>
      <c r="AX292" s="305"/>
      <c r="AY292" s="305"/>
      <c r="AZ292" s="305"/>
      <c r="BA292" s="305"/>
      <c r="BB292" s="92" t="s">
        <v>1104</v>
      </c>
      <c r="BC292" s="47"/>
      <c r="BD292" s="80" t="s">
        <v>816</v>
      </c>
      <c r="BE292" s="70"/>
      <c r="BF292" s="367"/>
      <c r="BG292" s="368"/>
      <c r="BH292" s="64" t="e">
        <f>#REF!</f>
        <v>#REF!</v>
      </c>
      <c r="BL292" s="73"/>
    </row>
    <row r="293" spans="1:64" s="59" customFormat="1" ht="36" customHeight="1" x14ac:dyDescent="0.3">
      <c r="A293" s="156">
        <f t="shared" si="5"/>
        <v>288</v>
      </c>
      <c r="B293" s="90" t="s">
        <v>1105</v>
      </c>
      <c r="C293" s="305" t="s">
        <v>6</v>
      </c>
      <c r="D293" s="305" t="s">
        <v>1081</v>
      </c>
      <c r="E293" s="91">
        <v>45807</v>
      </c>
      <c r="F293" s="97">
        <v>45821</v>
      </c>
      <c r="G293" s="91"/>
      <c r="H293" s="91"/>
      <c r="I293" s="305" t="s">
        <v>26</v>
      </c>
      <c r="J293" s="92" t="s">
        <v>1094</v>
      </c>
      <c r="K293" s="92" t="s">
        <v>1095</v>
      </c>
      <c r="L293" s="305" t="s">
        <v>1057</v>
      </c>
      <c r="M293" s="369" t="s">
        <v>120</v>
      </c>
      <c r="N293" s="305" t="s">
        <v>127</v>
      </c>
      <c r="O293" s="305" t="s">
        <v>1073</v>
      </c>
      <c r="P293" s="158"/>
      <c r="Q293" s="305">
        <v>4.0999999999999996</v>
      </c>
      <c r="R293" s="305"/>
      <c r="S293" s="305">
        <v>100</v>
      </c>
      <c r="T293" s="305">
        <v>7.5</v>
      </c>
      <c r="U293" s="305"/>
      <c r="V293" s="305" t="s">
        <v>127</v>
      </c>
      <c r="W293" s="305"/>
      <c r="X293" s="305" t="s">
        <v>150</v>
      </c>
      <c r="Y293" s="305"/>
      <c r="Z293" s="305"/>
      <c r="AA293" s="305"/>
      <c r="AB293" s="369" t="s">
        <v>215</v>
      </c>
      <c r="AC293" s="92" t="s">
        <v>1106</v>
      </c>
      <c r="AD293" s="369" t="s">
        <v>207</v>
      </c>
      <c r="AE293" s="118"/>
      <c r="AF293" s="118"/>
      <c r="AG293" s="118">
        <v>45736</v>
      </c>
      <c r="AH293" s="93">
        <v>45805</v>
      </c>
      <c r="AI293" s="264">
        <v>45748</v>
      </c>
      <c r="AJ293" s="95" t="s">
        <v>131</v>
      </c>
      <c r="AK293" s="369" t="s">
        <v>1060</v>
      </c>
      <c r="AL293" s="369" t="s">
        <v>183</v>
      </c>
      <c r="AM293" s="369" t="s">
        <v>209</v>
      </c>
      <c r="AN293" s="305"/>
      <c r="AO293" s="305"/>
      <c r="AP293" s="305"/>
      <c r="AQ293" s="291"/>
      <c r="AR293" s="305"/>
      <c r="AS293" s="305"/>
      <c r="AT293" s="91">
        <v>45744</v>
      </c>
      <c r="AU293" s="91">
        <v>45719</v>
      </c>
      <c r="AV293" s="91">
        <v>45677</v>
      </c>
      <c r="AW293" s="91">
        <v>45702</v>
      </c>
      <c r="AX293" s="305"/>
      <c r="AY293" s="305"/>
      <c r="AZ293" s="305"/>
      <c r="BA293" s="305"/>
      <c r="BB293" s="92"/>
      <c r="BC293" s="47"/>
      <c r="BD293" s="80" t="s">
        <v>816</v>
      </c>
      <c r="BE293" s="70"/>
      <c r="BF293" s="367"/>
      <c r="BG293" s="368"/>
      <c r="BH293" s="64" t="e">
        <f>#REF!</f>
        <v>#REF!</v>
      </c>
      <c r="BL293" s="73"/>
    </row>
    <row r="294" spans="1:64" s="59" customFormat="1" ht="36" customHeight="1" x14ac:dyDescent="0.3">
      <c r="A294" s="156">
        <f t="shared" si="5"/>
        <v>289</v>
      </c>
      <c r="B294" s="90" t="s">
        <v>1107</v>
      </c>
      <c r="C294" s="305" t="s">
        <v>6</v>
      </c>
      <c r="D294" s="305" t="s">
        <v>1108</v>
      </c>
      <c r="E294" s="91">
        <v>45954</v>
      </c>
      <c r="F294" s="97">
        <v>45965</v>
      </c>
      <c r="G294" s="91"/>
      <c r="H294" s="91"/>
      <c r="I294" s="305" t="s">
        <v>26</v>
      </c>
      <c r="J294" s="92" t="s">
        <v>1109</v>
      </c>
      <c r="K294" s="92" t="s">
        <v>1110</v>
      </c>
      <c r="L294" s="305" t="s">
        <v>1057</v>
      </c>
      <c r="M294" s="369" t="s">
        <v>120</v>
      </c>
      <c r="N294" s="305" t="s">
        <v>127</v>
      </c>
      <c r="O294" s="305" t="s">
        <v>1058</v>
      </c>
      <c r="P294" s="158"/>
      <c r="Q294" s="305">
        <v>4.2</v>
      </c>
      <c r="R294" s="305"/>
      <c r="S294" s="305">
        <v>100</v>
      </c>
      <c r="T294" s="305">
        <v>10.1</v>
      </c>
      <c r="U294" s="305"/>
      <c r="V294" s="305"/>
      <c r="W294" s="305"/>
      <c r="X294" s="305" t="s">
        <v>1111</v>
      </c>
      <c r="Y294" s="305"/>
      <c r="Z294" s="305"/>
      <c r="AA294" s="305"/>
      <c r="AB294" s="369" t="s">
        <v>1096</v>
      </c>
      <c r="AC294" s="92" t="s">
        <v>1112</v>
      </c>
      <c r="AD294" s="369" t="s">
        <v>1113</v>
      </c>
      <c r="AE294" s="118"/>
      <c r="AF294" s="118"/>
      <c r="AG294" s="118">
        <v>45748</v>
      </c>
      <c r="AH294" s="93">
        <v>45894</v>
      </c>
      <c r="AI294" s="264">
        <v>45839</v>
      </c>
      <c r="AJ294" s="95" t="s">
        <v>648</v>
      </c>
      <c r="AK294" s="369" t="s">
        <v>200</v>
      </c>
      <c r="AL294" s="369" t="s">
        <v>154</v>
      </c>
      <c r="AM294" s="369" t="s">
        <v>134</v>
      </c>
      <c r="AN294" s="305"/>
      <c r="AO294" s="305"/>
      <c r="AP294" s="305"/>
      <c r="AQ294" s="291"/>
      <c r="AR294" s="305"/>
      <c r="AS294" s="305"/>
      <c r="AT294" s="91">
        <v>45915</v>
      </c>
      <c r="AU294" s="91">
        <v>45894</v>
      </c>
      <c r="AV294" s="91">
        <v>45894</v>
      </c>
      <c r="AW294" s="91">
        <v>45896</v>
      </c>
      <c r="AX294" s="305"/>
      <c r="AY294" s="305"/>
      <c r="AZ294" s="305"/>
      <c r="BA294" s="305"/>
      <c r="BB294" s="92" t="s">
        <v>1114</v>
      </c>
      <c r="BC294" s="47"/>
      <c r="BD294" s="80" t="s">
        <v>816</v>
      </c>
      <c r="BE294" s="70"/>
      <c r="BF294" s="367"/>
      <c r="BG294" s="368"/>
      <c r="BH294" s="64" t="e">
        <f>#REF!</f>
        <v>#REF!</v>
      </c>
      <c r="BL294" s="73"/>
    </row>
    <row r="295" spans="1:64" s="59" customFormat="1" ht="36" customHeight="1" x14ac:dyDescent="0.3">
      <c r="A295" s="156">
        <f t="shared" si="5"/>
        <v>290</v>
      </c>
      <c r="B295" s="90" t="s">
        <v>1115</v>
      </c>
      <c r="C295" s="305" t="s">
        <v>6</v>
      </c>
      <c r="D295" s="305" t="s">
        <v>1108</v>
      </c>
      <c r="E295" s="91">
        <v>45770</v>
      </c>
      <c r="F295" s="97">
        <v>45770</v>
      </c>
      <c r="G295" s="91"/>
      <c r="H295" s="91"/>
      <c r="I295" s="305" t="s">
        <v>26</v>
      </c>
      <c r="J295" s="92" t="s">
        <v>1109</v>
      </c>
      <c r="K295" s="92" t="s">
        <v>1110</v>
      </c>
      <c r="L295" s="305" t="s">
        <v>1057</v>
      </c>
      <c r="M295" s="369" t="s">
        <v>120</v>
      </c>
      <c r="N295" s="305" t="s">
        <v>127</v>
      </c>
      <c r="O295" s="305" t="s">
        <v>1058</v>
      </c>
      <c r="P295" s="158"/>
      <c r="Q295" s="305">
        <v>4.2</v>
      </c>
      <c r="R295" s="305"/>
      <c r="S295" s="305">
        <v>100</v>
      </c>
      <c r="T295" s="305"/>
      <c r="U295" s="305"/>
      <c r="V295" s="305"/>
      <c r="W295" s="305"/>
      <c r="X295" s="305"/>
      <c r="Y295" s="305"/>
      <c r="Z295" s="305" t="s">
        <v>127</v>
      </c>
      <c r="AA295" s="305"/>
      <c r="AB295" s="369"/>
      <c r="AC295" s="92" t="s">
        <v>1116</v>
      </c>
      <c r="AD295" s="369" t="s">
        <v>886</v>
      </c>
      <c r="AE295" s="118">
        <v>45746</v>
      </c>
      <c r="AF295" s="118"/>
      <c r="AG295" s="118">
        <v>45748</v>
      </c>
      <c r="AH295" s="93">
        <v>45746</v>
      </c>
      <c r="AI295" s="264">
        <v>45717</v>
      </c>
      <c r="AJ295" s="95" t="s">
        <v>131</v>
      </c>
      <c r="AK295" s="369" t="s">
        <v>366</v>
      </c>
      <c r="AL295" s="369" t="s">
        <v>778</v>
      </c>
      <c r="AM295" s="369" t="s">
        <v>209</v>
      </c>
      <c r="AN295" s="305"/>
      <c r="AO295" s="305"/>
      <c r="AP295" s="305"/>
      <c r="AQ295" s="291"/>
      <c r="AR295" s="305"/>
      <c r="AS295" s="305"/>
      <c r="AT295" s="91">
        <v>45715</v>
      </c>
      <c r="AU295" s="91">
        <v>45692</v>
      </c>
      <c r="AV295" s="91">
        <v>45699</v>
      </c>
      <c r="AW295" s="91">
        <v>45692</v>
      </c>
      <c r="AX295" s="305"/>
      <c r="AY295" s="305"/>
      <c r="AZ295" s="305"/>
      <c r="BA295" s="305"/>
      <c r="BB295" s="92"/>
      <c r="BC295" s="47"/>
      <c r="BD295" s="80" t="s">
        <v>816</v>
      </c>
      <c r="BE295" s="70"/>
      <c r="BF295" s="367"/>
      <c r="BG295" s="368"/>
      <c r="BH295" s="64" t="e">
        <f>#REF!</f>
        <v>#REF!</v>
      </c>
      <c r="BL295" s="73"/>
    </row>
    <row r="296" spans="1:64" s="59" customFormat="1" ht="36" customHeight="1" x14ac:dyDescent="0.3">
      <c r="A296" s="156">
        <f t="shared" si="5"/>
        <v>291</v>
      </c>
      <c r="B296" s="90" t="s">
        <v>1117</v>
      </c>
      <c r="C296" s="305" t="s">
        <v>6</v>
      </c>
      <c r="D296" s="305" t="s">
        <v>1108</v>
      </c>
      <c r="E296" s="91">
        <v>45736</v>
      </c>
      <c r="F296" s="97"/>
      <c r="G296" s="91"/>
      <c r="H296" s="91"/>
      <c r="I296" s="305" t="s">
        <v>26</v>
      </c>
      <c r="J296" s="92" t="s">
        <v>1109</v>
      </c>
      <c r="K296" s="92" t="s">
        <v>1110</v>
      </c>
      <c r="L296" s="305" t="s">
        <v>1057</v>
      </c>
      <c r="M296" s="369" t="s">
        <v>120</v>
      </c>
      <c r="N296" s="305" t="s">
        <v>127</v>
      </c>
      <c r="O296" s="305" t="s">
        <v>1058</v>
      </c>
      <c r="P296" s="158"/>
      <c r="Q296" s="305">
        <v>4.2</v>
      </c>
      <c r="R296" s="305"/>
      <c r="S296" s="305">
        <v>100</v>
      </c>
      <c r="T296" s="305"/>
      <c r="U296" s="305"/>
      <c r="V296" s="305"/>
      <c r="W296" s="305"/>
      <c r="X296" s="305"/>
      <c r="Y296" s="305"/>
      <c r="Z296" s="305" t="s">
        <v>127</v>
      </c>
      <c r="AA296" s="305"/>
      <c r="AB296" s="369"/>
      <c r="AC296" s="92" t="s">
        <v>1118</v>
      </c>
      <c r="AD296" s="369" t="s">
        <v>1079</v>
      </c>
      <c r="AE296" s="118">
        <v>45726</v>
      </c>
      <c r="AF296" s="118"/>
      <c r="AG296" s="118">
        <v>45748</v>
      </c>
      <c r="AH296" s="93">
        <v>45716</v>
      </c>
      <c r="AI296" s="264">
        <v>45689</v>
      </c>
      <c r="AJ296" s="95" t="s">
        <v>131</v>
      </c>
      <c r="AK296" s="369" t="s">
        <v>1064</v>
      </c>
      <c r="AL296" s="369" t="s">
        <v>778</v>
      </c>
      <c r="AM296" s="369" t="s">
        <v>209</v>
      </c>
      <c r="AN296" s="305"/>
      <c r="AO296" s="305"/>
      <c r="AP296" s="305"/>
      <c r="AQ296" s="291"/>
      <c r="AR296" s="305"/>
      <c r="AS296" s="305"/>
      <c r="AT296" s="91">
        <v>45706</v>
      </c>
      <c r="AU296" s="91">
        <v>45673</v>
      </c>
      <c r="AV296" s="91">
        <v>45691</v>
      </c>
      <c r="AW296" s="91">
        <v>45674</v>
      </c>
      <c r="AX296" s="305"/>
      <c r="AY296" s="305"/>
      <c r="AZ296" s="305"/>
      <c r="BA296" s="305"/>
      <c r="BB296" s="92"/>
      <c r="BC296" s="47"/>
      <c r="BD296" s="80" t="s">
        <v>816</v>
      </c>
      <c r="BE296" s="70"/>
      <c r="BF296" s="367"/>
      <c r="BG296" s="368"/>
      <c r="BH296" s="64" t="e">
        <f>#REF!</f>
        <v>#REF!</v>
      </c>
      <c r="BL296" s="73"/>
    </row>
    <row r="297" spans="1:64" s="59" customFormat="1" ht="36" customHeight="1" x14ac:dyDescent="0.3">
      <c r="A297" s="156">
        <f t="shared" si="5"/>
        <v>292</v>
      </c>
      <c r="B297" s="90" t="s">
        <v>1119</v>
      </c>
      <c r="C297" s="305" t="s">
        <v>6</v>
      </c>
      <c r="D297" s="305" t="s">
        <v>1108</v>
      </c>
      <c r="E297" s="91">
        <v>45770</v>
      </c>
      <c r="F297" s="97"/>
      <c r="G297" s="91"/>
      <c r="H297" s="91"/>
      <c r="I297" s="305" t="s">
        <v>26</v>
      </c>
      <c r="J297" s="92" t="s">
        <v>1109</v>
      </c>
      <c r="K297" s="92" t="s">
        <v>1110</v>
      </c>
      <c r="L297" s="305" t="s">
        <v>1057</v>
      </c>
      <c r="M297" s="369" t="s">
        <v>120</v>
      </c>
      <c r="N297" s="305" t="s">
        <v>127</v>
      </c>
      <c r="O297" s="305" t="s">
        <v>1058</v>
      </c>
      <c r="P297" s="158"/>
      <c r="Q297" s="305">
        <v>4.2</v>
      </c>
      <c r="R297" s="305"/>
      <c r="S297" s="305">
        <v>100</v>
      </c>
      <c r="T297" s="305"/>
      <c r="U297" s="305"/>
      <c r="V297" s="305"/>
      <c r="W297" s="305"/>
      <c r="X297" s="305"/>
      <c r="Y297" s="305"/>
      <c r="Z297" s="305" t="s">
        <v>127</v>
      </c>
      <c r="AA297" s="305"/>
      <c r="AB297" s="369"/>
      <c r="AC297" s="92" t="s">
        <v>1120</v>
      </c>
      <c r="AD297" s="369" t="s">
        <v>1121</v>
      </c>
      <c r="AE297" s="118">
        <v>45746</v>
      </c>
      <c r="AF297" s="118"/>
      <c r="AG297" s="118">
        <v>45748</v>
      </c>
      <c r="AH297" s="93">
        <v>45746</v>
      </c>
      <c r="AI297" s="264">
        <v>45717</v>
      </c>
      <c r="AJ297" s="95" t="s">
        <v>131</v>
      </c>
      <c r="AK297" s="369" t="s">
        <v>1122</v>
      </c>
      <c r="AL297" s="369" t="s">
        <v>830</v>
      </c>
      <c r="AM297" s="369" t="s">
        <v>209</v>
      </c>
      <c r="AN297" s="305"/>
      <c r="AO297" s="305"/>
      <c r="AP297" s="305"/>
      <c r="AQ297" s="291"/>
      <c r="AR297" s="305"/>
      <c r="AS297" s="305"/>
      <c r="AT297" s="91">
        <v>45716</v>
      </c>
      <c r="AU297" s="91">
        <v>45693</v>
      </c>
      <c r="AV297" s="91">
        <v>45698</v>
      </c>
      <c r="AW297" s="91">
        <v>45694</v>
      </c>
      <c r="AX297" s="305"/>
      <c r="AY297" s="305"/>
      <c r="AZ297" s="305"/>
      <c r="BA297" s="305"/>
      <c r="BB297" s="92"/>
      <c r="BC297" s="47"/>
      <c r="BD297" s="80" t="s">
        <v>816</v>
      </c>
      <c r="BE297" s="70"/>
      <c r="BF297" s="367"/>
      <c r="BG297" s="368"/>
      <c r="BH297" s="64" t="e">
        <f>#REF!</f>
        <v>#REF!</v>
      </c>
      <c r="BL297" s="73"/>
    </row>
    <row r="298" spans="1:64" s="59" customFormat="1" ht="36" customHeight="1" x14ac:dyDescent="0.3">
      <c r="A298" s="156">
        <f t="shared" si="5"/>
        <v>293</v>
      </c>
      <c r="B298" s="90" t="s">
        <v>1123</v>
      </c>
      <c r="C298" s="305" t="s">
        <v>6</v>
      </c>
      <c r="D298" s="305" t="s">
        <v>1108</v>
      </c>
      <c r="E298" s="91">
        <v>45770</v>
      </c>
      <c r="F298" s="97"/>
      <c r="G298" s="91"/>
      <c r="H298" s="91"/>
      <c r="I298" s="305" t="s">
        <v>26</v>
      </c>
      <c r="J298" s="92" t="s">
        <v>1109</v>
      </c>
      <c r="K298" s="92" t="s">
        <v>1110</v>
      </c>
      <c r="L298" s="305" t="s">
        <v>1057</v>
      </c>
      <c r="M298" s="369" t="s">
        <v>120</v>
      </c>
      <c r="N298" s="305" t="s">
        <v>127</v>
      </c>
      <c r="O298" s="305" t="s">
        <v>1058</v>
      </c>
      <c r="P298" s="158"/>
      <c r="Q298" s="305">
        <v>4.2</v>
      </c>
      <c r="R298" s="305"/>
      <c r="S298" s="305">
        <v>100</v>
      </c>
      <c r="T298" s="305"/>
      <c r="U298" s="305"/>
      <c r="V298" s="305"/>
      <c r="W298" s="305"/>
      <c r="X298" s="305"/>
      <c r="Y298" s="305"/>
      <c r="Z298" s="305" t="s">
        <v>127</v>
      </c>
      <c r="AA298" s="305"/>
      <c r="AB298" s="369"/>
      <c r="AC298" s="92" t="s">
        <v>1124</v>
      </c>
      <c r="AD298" s="369" t="s">
        <v>1121</v>
      </c>
      <c r="AE298" s="118">
        <v>45746</v>
      </c>
      <c r="AF298" s="118"/>
      <c r="AG298" s="118">
        <v>45748</v>
      </c>
      <c r="AH298" s="93">
        <v>45746</v>
      </c>
      <c r="AI298" s="264">
        <v>45717</v>
      </c>
      <c r="AJ298" s="95" t="s">
        <v>131</v>
      </c>
      <c r="AK298" s="369" t="s">
        <v>1122</v>
      </c>
      <c r="AL298" s="369" t="s">
        <v>830</v>
      </c>
      <c r="AM298" s="369" t="s">
        <v>209</v>
      </c>
      <c r="AN298" s="305"/>
      <c r="AO298" s="305"/>
      <c r="AP298" s="305"/>
      <c r="AQ298" s="291"/>
      <c r="AR298" s="305"/>
      <c r="AS298" s="305"/>
      <c r="AT298" s="91">
        <v>45716</v>
      </c>
      <c r="AU298" s="91">
        <v>45693</v>
      </c>
      <c r="AV298" s="91">
        <v>45698</v>
      </c>
      <c r="AW298" s="91">
        <v>45694</v>
      </c>
      <c r="AX298" s="305"/>
      <c r="AY298" s="305"/>
      <c r="AZ298" s="305"/>
      <c r="BA298" s="305"/>
      <c r="BB298" s="92"/>
      <c r="BC298" s="47"/>
      <c r="BD298" s="80" t="s">
        <v>816</v>
      </c>
      <c r="BE298" s="70"/>
      <c r="BF298" s="367"/>
      <c r="BG298" s="368"/>
      <c r="BH298" s="64" t="e">
        <f>#REF!</f>
        <v>#REF!</v>
      </c>
      <c r="BL298" s="73"/>
    </row>
    <row r="299" spans="1:64" s="59" customFormat="1" ht="36" customHeight="1" x14ac:dyDescent="0.3">
      <c r="A299" s="156">
        <f t="shared" si="5"/>
        <v>294</v>
      </c>
      <c r="B299" s="90" t="s">
        <v>1125</v>
      </c>
      <c r="C299" s="305" t="s">
        <v>6</v>
      </c>
      <c r="D299" s="305" t="s">
        <v>1126</v>
      </c>
      <c r="E299" s="91">
        <v>45770</v>
      </c>
      <c r="F299" s="97">
        <v>45770</v>
      </c>
      <c r="G299" s="91"/>
      <c r="H299" s="91"/>
      <c r="I299" s="305" t="s">
        <v>26</v>
      </c>
      <c r="J299" s="92" t="s">
        <v>1109</v>
      </c>
      <c r="K299" s="92" t="s">
        <v>1110</v>
      </c>
      <c r="L299" s="305" t="s">
        <v>1057</v>
      </c>
      <c r="M299" s="369" t="s">
        <v>120</v>
      </c>
      <c r="N299" s="305" t="s">
        <v>127</v>
      </c>
      <c r="O299" s="305" t="s">
        <v>1058</v>
      </c>
      <c r="P299" s="158"/>
      <c r="Q299" s="305">
        <v>4.2</v>
      </c>
      <c r="R299" s="305"/>
      <c r="S299" s="305">
        <v>100</v>
      </c>
      <c r="T299" s="305"/>
      <c r="U299" s="305"/>
      <c r="V299" s="305"/>
      <c r="W299" s="305"/>
      <c r="X299" s="305"/>
      <c r="Y299" s="305"/>
      <c r="Z299" s="305" t="s">
        <v>127</v>
      </c>
      <c r="AA299" s="305"/>
      <c r="AB299" s="369"/>
      <c r="AC299" s="92" t="s">
        <v>1116</v>
      </c>
      <c r="AD299" s="369" t="s">
        <v>886</v>
      </c>
      <c r="AE299" s="118">
        <v>45746</v>
      </c>
      <c r="AF299" s="118"/>
      <c r="AG299" s="118">
        <v>45748</v>
      </c>
      <c r="AH299" s="93">
        <v>45746</v>
      </c>
      <c r="AI299" s="264">
        <v>45717</v>
      </c>
      <c r="AJ299" s="95" t="s">
        <v>131</v>
      </c>
      <c r="AK299" s="369" t="s">
        <v>366</v>
      </c>
      <c r="AL299" s="369" t="s">
        <v>778</v>
      </c>
      <c r="AM299" s="369" t="s">
        <v>209</v>
      </c>
      <c r="AN299" s="305"/>
      <c r="AO299" s="305"/>
      <c r="AP299" s="305"/>
      <c r="AQ299" s="291"/>
      <c r="AR299" s="305"/>
      <c r="AS299" s="305"/>
      <c r="AT299" s="91">
        <v>45715</v>
      </c>
      <c r="AU299" s="91">
        <v>45692</v>
      </c>
      <c r="AV299" s="91">
        <v>45699</v>
      </c>
      <c r="AW299" s="91">
        <v>45692</v>
      </c>
      <c r="AX299" s="305"/>
      <c r="AY299" s="305"/>
      <c r="AZ299" s="305"/>
      <c r="BA299" s="305"/>
      <c r="BB299" s="92"/>
      <c r="BC299" s="47"/>
      <c r="BD299" s="80" t="s">
        <v>816</v>
      </c>
      <c r="BE299" s="70"/>
      <c r="BF299" s="367"/>
      <c r="BG299" s="368"/>
      <c r="BH299" s="64" t="e">
        <f>#REF!</f>
        <v>#REF!</v>
      </c>
      <c r="BL299" s="73"/>
    </row>
    <row r="300" spans="1:64" s="59" customFormat="1" ht="36" customHeight="1" x14ac:dyDescent="0.3">
      <c r="A300" s="156">
        <f t="shared" si="5"/>
        <v>295</v>
      </c>
      <c r="B300" s="90" t="s">
        <v>1127</v>
      </c>
      <c r="C300" s="305" t="s">
        <v>6</v>
      </c>
      <c r="D300" s="305" t="s">
        <v>1126</v>
      </c>
      <c r="E300" s="91">
        <v>45736</v>
      </c>
      <c r="F300" s="97"/>
      <c r="G300" s="91"/>
      <c r="H300" s="91"/>
      <c r="I300" s="305" t="s">
        <v>26</v>
      </c>
      <c r="J300" s="92" t="s">
        <v>1109</v>
      </c>
      <c r="K300" s="92" t="s">
        <v>1110</v>
      </c>
      <c r="L300" s="305" t="s">
        <v>1057</v>
      </c>
      <c r="M300" s="369" t="s">
        <v>120</v>
      </c>
      <c r="N300" s="305" t="s">
        <v>127</v>
      </c>
      <c r="O300" s="305" t="s">
        <v>1058</v>
      </c>
      <c r="P300" s="158"/>
      <c r="Q300" s="305">
        <v>4.2</v>
      </c>
      <c r="R300" s="305"/>
      <c r="S300" s="305">
        <v>100</v>
      </c>
      <c r="T300" s="305"/>
      <c r="U300" s="305"/>
      <c r="V300" s="305"/>
      <c r="W300" s="305"/>
      <c r="X300" s="305"/>
      <c r="Y300" s="305"/>
      <c r="Z300" s="305" t="s">
        <v>127</v>
      </c>
      <c r="AA300" s="305"/>
      <c r="AB300" s="369" t="s">
        <v>215</v>
      </c>
      <c r="AC300" s="92" t="s">
        <v>1128</v>
      </c>
      <c r="AD300" s="369" t="s">
        <v>1079</v>
      </c>
      <c r="AE300" s="118">
        <v>45726</v>
      </c>
      <c r="AF300" s="118"/>
      <c r="AG300" s="118">
        <v>45748</v>
      </c>
      <c r="AH300" s="93">
        <v>45716</v>
      </c>
      <c r="AI300" s="264">
        <v>45689</v>
      </c>
      <c r="AJ300" s="95" t="s">
        <v>131</v>
      </c>
      <c r="AK300" s="369" t="s">
        <v>1064</v>
      </c>
      <c r="AL300" s="369" t="s">
        <v>778</v>
      </c>
      <c r="AM300" s="369" t="s">
        <v>209</v>
      </c>
      <c r="AN300" s="305"/>
      <c r="AO300" s="305"/>
      <c r="AP300" s="305"/>
      <c r="AQ300" s="291"/>
      <c r="AR300" s="305"/>
      <c r="AS300" s="305"/>
      <c r="AT300" s="91">
        <v>45706</v>
      </c>
      <c r="AU300" s="91">
        <v>45673</v>
      </c>
      <c r="AV300" s="91">
        <v>45691</v>
      </c>
      <c r="AW300" s="91">
        <v>45674</v>
      </c>
      <c r="AX300" s="305"/>
      <c r="AY300" s="305"/>
      <c r="AZ300" s="305"/>
      <c r="BA300" s="305"/>
      <c r="BB300" s="92" t="s">
        <v>1129</v>
      </c>
      <c r="BC300" s="47"/>
      <c r="BD300" s="80" t="s">
        <v>816</v>
      </c>
      <c r="BE300" s="70"/>
      <c r="BF300" s="367"/>
      <c r="BG300" s="368"/>
      <c r="BH300" s="64" t="e">
        <f>#REF!</f>
        <v>#REF!</v>
      </c>
      <c r="BL300" s="73"/>
    </row>
    <row r="301" spans="1:64" s="59" customFormat="1" ht="36" customHeight="1" x14ac:dyDescent="0.3">
      <c r="A301" s="156">
        <f t="shared" si="5"/>
        <v>296</v>
      </c>
      <c r="B301" s="90" t="s">
        <v>1130</v>
      </c>
      <c r="C301" s="305" t="s">
        <v>6</v>
      </c>
      <c r="D301" s="305" t="s">
        <v>1126</v>
      </c>
      <c r="E301" s="91">
        <v>45745</v>
      </c>
      <c r="F301" s="97"/>
      <c r="G301" s="91"/>
      <c r="H301" s="91"/>
      <c r="I301" s="305" t="s">
        <v>26</v>
      </c>
      <c r="J301" s="92" t="s">
        <v>1109</v>
      </c>
      <c r="K301" s="92" t="s">
        <v>1131</v>
      </c>
      <c r="L301" s="305" t="s">
        <v>1057</v>
      </c>
      <c r="M301" s="369" t="s">
        <v>120</v>
      </c>
      <c r="N301" s="305" t="s">
        <v>127</v>
      </c>
      <c r="O301" s="305" t="s">
        <v>1058</v>
      </c>
      <c r="P301" s="158"/>
      <c r="Q301" s="305">
        <v>2.4</v>
      </c>
      <c r="R301" s="305"/>
      <c r="S301" s="305">
        <v>100</v>
      </c>
      <c r="T301" s="305"/>
      <c r="U301" s="305"/>
      <c r="V301" s="305"/>
      <c r="W301" s="305"/>
      <c r="X301" s="305"/>
      <c r="Y301" s="305"/>
      <c r="Z301" s="305" t="s">
        <v>127</v>
      </c>
      <c r="AA301" s="305"/>
      <c r="AB301" s="369"/>
      <c r="AC301" s="92" t="s">
        <v>1132</v>
      </c>
      <c r="AD301" s="369" t="s">
        <v>238</v>
      </c>
      <c r="AE301" s="118">
        <v>45741</v>
      </c>
      <c r="AF301" s="118"/>
      <c r="AG301" s="118">
        <v>45748</v>
      </c>
      <c r="AH301" s="93">
        <v>45716</v>
      </c>
      <c r="AI301" s="264">
        <v>45689</v>
      </c>
      <c r="AJ301" s="95" t="s">
        <v>131</v>
      </c>
      <c r="AK301" s="369" t="s">
        <v>366</v>
      </c>
      <c r="AL301" s="369" t="s">
        <v>778</v>
      </c>
      <c r="AM301" s="369" t="s">
        <v>209</v>
      </c>
      <c r="AN301" s="305"/>
      <c r="AO301" s="305"/>
      <c r="AP301" s="305"/>
      <c r="AQ301" s="291"/>
      <c r="AR301" s="305"/>
      <c r="AS301" s="305"/>
      <c r="AT301" s="91">
        <v>45695</v>
      </c>
      <c r="AU301" s="91">
        <v>45677</v>
      </c>
      <c r="AV301" s="91">
        <v>45677</v>
      </c>
      <c r="AW301" s="91">
        <v>45671</v>
      </c>
      <c r="AX301" s="305"/>
      <c r="AY301" s="305"/>
      <c r="AZ301" s="305"/>
      <c r="BA301" s="305"/>
      <c r="BB301" s="92"/>
      <c r="BC301" s="47"/>
      <c r="BD301" s="80" t="s">
        <v>816</v>
      </c>
      <c r="BE301" s="70"/>
      <c r="BF301" s="367"/>
      <c r="BG301" s="368"/>
      <c r="BH301" s="64" t="e">
        <f>#REF!</f>
        <v>#REF!</v>
      </c>
      <c r="BL301" s="73"/>
    </row>
    <row r="302" spans="1:64" s="59" customFormat="1" ht="36" customHeight="1" x14ac:dyDescent="0.3">
      <c r="A302" s="156">
        <f t="shared" si="5"/>
        <v>297</v>
      </c>
      <c r="B302" s="90" t="s">
        <v>1133</v>
      </c>
      <c r="C302" s="305" t="s">
        <v>6</v>
      </c>
      <c r="D302" s="305" t="s">
        <v>1126</v>
      </c>
      <c r="E302" s="91">
        <v>45852</v>
      </c>
      <c r="F302" s="97">
        <v>45852</v>
      </c>
      <c r="G302" s="91"/>
      <c r="H302" s="91"/>
      <c r="I302" s="305" t="s">
        <v>26</v>
      </c>
      <c r="J302" s="92" t="s">
        <v>1109</v>
      </c>
      <c r="K302" s="92" t="s">
        <v>1131</v>
      </c>
      <c r="L302" s="305" t="s">
        <v>1057</v>
      </c>
      <c r="M302" s="369" t="s">
        <v>120</v>
      </c>
      <c r="N302" s="305" t="s">
        <v>127</v>
      </c>
      <c r="O302" s="305" t="s">
        <v>1058</v>
      </c>
      <c r="P302" s="158"/>
      <c r="Q302" s="305">
        <v>2.4</v>
      </c>
      <c r="R302" s="305"/>
      <c r="S302" s="305">
        <v>100</v>
      </c>
      <c r="T302" s="305">
        <v>10.1</v>
      </c>
      <c r="U302" s="305"/>
      <c r="V302" s="305" t="s">
        <v>127</v>
      </c>
      <c r="W302" s="305"/>
      <c r="X302" s="305"/>
      <c r="Y302" s="305"/>
      <c r="Z302" s="305" t="s">
        <v>127</v>
      </c>
      <c r="AA302" s="305"/>
      <c r="AB302" s="369" t="s">
        <v>215</v>
      </c>
      <c r="AC302" s="92" t="s">
        <v>1134</v>
      </c>
      <c r="AD302" s="369" t="s">
        <v>207</v>
      </c>
      <c r="AE302" s="118"/>
      <c r="AF302" s="118"/>
      <c r="AG302" s="118">
        <v>45748</v>
      </c>
      <c r="AH302" s="93">
        <v>45836</v>
      </c>
      <c r="AI302" s="264">
        <v>45809</v>
      </c>
      <c r="AJ302" s="95" t="s">
        <v>131</v>
      </c>
      <c r="AK302" s="369" t="s">
        <v>1060</v>
      </c>
      <c r="AL302" s="369" t="s">
        <v>183</v>
      </c>
      <c r="AM302" s="369" t="s">
        <v>209</v>
      </c>
      <c r="AN302" s="305"/>
      <c r="AO302" s="305"/>
      <c r="AP302" s="305"/>
      <c r="AQ302" s="291"/>
      <c r="AR302" s="305"/>
      <c r="AS302" s="305"/>
      <c r="AT302" s="91">
        <v>45767</v>
      </c>
      <c r="AU302" s="91">
        <v>45719</v>
      </c>
      <c r="AV302" s="91">
        <v>45757</v>
      </c>
      <c r="AW302" s="91">
        <v>45702</v>
      </c>
      <c r="AX302" s="305"/>
      <c r="AY302" s="305"/>
      <c r="AZ302" s="305"/>
      <c r="BA302" s="305"/>
      <c r="BB302" s="92"/>
      <c r="BC302" s="47"/>
      <c r="BD302" s="80" t="s">
        <v>816</v>
      </c>
      <c r="BE302" s="70"/>
      <c r="BF302" s="367"/>
      <c r="BG302" s="368"/>
      <c r="BH302" s="64" t="e">
        <f>#REF!</f>
        <v>#REF!</v>
      </c>
      <c r="BL302" s="73"/>
    </row>
    <row r="303" spans="1:64" s="59" customFormat="1" ht="36" customHeight="1" x14ac:dyDescent="0.3">
      <c r="A303" s="156">
        <f t="shared" si="5"/>
        <v>298</v>
      </c>
      <c r="B303" s="90" t="s">
        <v>1135</v>
      </c>
      <c r="C303" s="305" t="s">
        <v>6</v>
      </c>
      <c r="D303" s="305" t="s">
        <v>1126</v>
      </c>
      <c r="E303" s="91">
        <v>45852</v>
      </c>
      <c r="F303" s="97">
        <v>45852</v>
      </c>
      <c r="G303" s="91"/>
      <c r="H303" s="91"/>
      <c r="I303" s="305" t="s">
        <v>26</v>
      </c>
      <c r="J303" s="92" t="s">
        <v>1109</v>
      </c>
      <c r="K303" s="92" t="s">
        <v>1136</v>
      </c>
      <c r="L303" s="305" t="s">
        <v>1057</v>
      </c>
      <c r="M303" s="369" t="s">
        <v>65</v>
      </c>
      <c r="N303" s="305" t="s">
        <v>127</v>
      </c>
      <c r="O303" s="305" t="s">
        <v>1058</v>
      </c>
      <c r="P303" s="158"/>
      <c r="Q303" s="305">
        <v>3.7</v>
      </c>
      <c r="R303" s="305"/>
      <c r="S303" s="305">
        <v>100</v>
      </c>
      <c r="T303" s="305">
        <v>9.5</v>
      </c>
      <c r="U303" s="305"/>
      <c r="V303" s="305" t="s">
        <v>127</v>
      </c>
      <c r="W303" s="305"/>
      <c r="X303" s="305"/>
      <c r="Y303" s="305"/>
      <c r="Z303" s="305" t="s">
        <v>127</v>
      </c>
      <c r="AA303" s="305" t="s">
        <v>214</v>
      </c>
      <c r="AB303" s="369" t="s">
        <v>215</v>
      </c>
      <c r="AC303" s="92" t="s">
        <v>1137</v>
      </c>
      <c r="AD303" s="369" t="s">
        <v>199</v>
      </c>
      <c r="AE303" s="118"/>
      <c r="AF303" s="118"/>
      <c r="AG303" s="118">
        <v>45757</v>
      </c>
      <c r="AH303" s="93">
        <v>45836</v>
      </c>
      <c r="AI303" s="264">
        <v>45809</v>
      </c>
      <c r="AJ303" s="95" t="s">
        <v>131</v>
      </c>
      <c r="AK303" s="369" t="s">
        <v>1060</v>
      </c>
      <c r="AL303" s="369" t="s">
        <v>183</v>
      </c>
      <c r="AM303" s="369" t="s">
        <v>209</v>
      </c>
      <c r="AN303" s="305"/>
      <c r="AO303" s="305"/>
      <c r="AP303" s="305"/>
      <c r="AQ303" s="291"/>
      <c r="AR303" s="305"/>
      <c r="AS303" s="305"/>
      <c r="AT303" s="91">
        <v>45767</v>
      </c>
      <c r="AU303" s="91">
        <v>45719</v>
      </c>
      <c r="AV303" s="91">
        <v>45757</v>
      </c>
      <c r="AW303" s="91">
        <v>45706</v>
      </c>
      <c r="AX303" s="305"/>
      <c r="AY303" s="305"/>
      <c r="AZ303" s="305"/>
      <c r="BA303" s="305"/>
      <c r="BB303" s="177" t="s">
        <v>1138</v>
      </c>
      <c r="BC303" s="47"/>
      <c r="BD303" s="80" t="s">
        <v>816</v>
      </c>
      <c r="BE303" s="70"/>
      <c r="BF303" s="367"/>
      <c r="BG303" s="368"/>
      <c r="BH303" s="64" t="e">
        <f>#REF!</f>
        <v>#REF!</v>
      </c>
      <c r="BL303" s="73"/>
    </row>
    <row r="304" spans="1:64" s="59" customFormat="1" ht="36" customHeight="1" x14ac:dyDescent="0.3">
      <c r="A304" s="156">
        <f t="shared" si="5"/>
        <v>299</v>
      </c>
      <c r="B304" s="90" t="s">
        <v>1139</v>
      </c>
      <c r="C304" s="305" t="s">
        <v>6</v>
      </c>
      <c r="D304" s="305" t="s">
        <v>1140</v>
      </c>
      <c r="E304" s="91">
        <v>45770</v>
      </c>
      <c r="F304" s="97">
        <v>45770</v>
      </c>
      <c r="G304" s="91"/>
      <c r="H304" s="91"/>
      <c r="I304" s="305" t="s">
        <v>26</v>
      </c>
      <c r="J304" s="92" t="s">
        <v>1109</v>
      </c>
      <c r="K304" s="92" t="s">
        <v>1136</v>
      </c>
      <c r="L304" s="305" t="s">
        <v>1057</v>
      </c>
      <c r="M304" s="369" t="s">
        <v>65</v>
      </c>
      <c r="N304" s="305" t="s">
        <v>127</v>
      </c>
      <c r="O304" s="305" t="s">
        <v>1058</v>
      </c>
      <c r="P304" s="158"/>
      <c r="Q304" s="305">
        <v>3.7</v>
      </c>
      <c r="R304" s="305"/>
      <c r="S304" s="305">
        <v>100</v>
      </c>
      <c r="T304" s="305"/>
      <c r="U304" s="305"/>
      <c r="V304" s="305"/>
      <c r="W304" s="305"/>
      <c r="X304" s="305"/>
      <c r="Y304" s="305"/>
      <c r="Z304" s="305"/>
      <c r="AA304" s="305"/>
      <c r="AB304" s="369"/>
      <c r="AC304" s="92" t="s">
        <v>1141</v>
      </c>
      <c r="AD304" s="369" t="s">
        <v>886</v>
      </c>
      <c r="AE304" s="118">
        <v>45746</v>
      </c>
      <c r="AF304" s="118"/>
      <c r="AG304" s="118">
        <v>45757</v>
      </c>
      <c r="AH304" s="93">
        <v>45746</v>
      </c>
      <c r="AI304" s="264">
        <v>45717</v>
      </c>
      <c r="AJ304" s="95" t="s">
        <v>131</v>
      </c>
      <c r="AK304" s="369" t="s">
        <v>366</v>
      </c>
      <c r="AL304" s="369" t="s">
        <v>778</v>
      </c>
      <c r="AM304" s="369" t="s">
        <v>209</v>
      </c>
      <c r="AN304" s="305"/>
      <c r="AO304" s="305"/>
      <c r="AP304" s="305"/>
      <c r="AQ304" s="291"/>
      <c r="AR304" s="305"/>
      <c r="AS304" s="305"/>
      <c r="AT304" s="91">
        <v>45715</v>
      </c>
      <c r="AU304" s="91">
        <v>45692</v>
      </c>
      <c r="AV304" s="91">
        <v>45699</v>
      </c>
      <c r="AW304" s="91">
        <v>45692</v>
      </c>
      <c r="AX304" s="305"/>
      <c r="AY304" s="305"/>
      <c r="AZ304" s="305"/>
      <c r="BA304" s="305"/>
      <c r="BB304" s="92"/>
      <c r="BC304" s="47"/>
      <c r="BD304" s="80" t="s">
        <v>816</v>
      </c>
      <c r="BE304" s="70"/>
      <c r="BF304" s="367"/>
      <c r="BG304" s="368"/>
      <c r="BH304" s="64" t="e">
        <f>#REF!</f>
        <v>#REF!</v>
      </c>
      <c r="BL304" s="73"/>
    </row>
    <row r="305" spans="1:64" s="59" customFormat="1" ht="36" customHeight="1" x14ac:dyDescent="0.3">
      <c r="A305" s="156">
        <f t="shared" si="5"/>
        <v>300</v>
      </c>
      <c r="B305" s="90" t="s">
        <v>1142</v>
      </c>
      <c r="C305" s="305" t="s">
        <v>6</v>
      </c>
      <c r="D305" s="305" t="s">
        <v>1140</v>
      </c>
      <c r="E305" s="91">
        <v>45736</v>
      </c>
      <c r="F305" s="97"/>
      <c r="G305" s="91"/>
      <c r="H305" s="91"/>
      <c r="I305" s="305" t="s">
        <v>26</v>
      </c>
      <c r="J305" s="92" t="s">
        <v>1109</v>
      </c>
      <c r="K305" s="92" t="s">
        <v>1136</v>
      </c>
      <c r="L305" s="305" t="s">
        <v>1057</v>
      </c>
      <c r="M305" s="369" t="s">
        <v>65</v>
      </c>
      <c r="N305" s="305" t="s">
        <v>127</v>
      </c>
      <c r="O305" s="305" t="s">
        <v>1058</v>
      </c>
      <c r="P305" s="158"/>
      <c r="Q305" s="305">
        <v>3.7</v>
      </c>
      <c r="R305" s="305"/>
      <c r="S305" s="305">
        <v>100</v>
      </c>
      <c r="T305" s="305"/>
      <c r="U305" s="305"/>
      <c r="V305" s="305"/>
      <c r="W305" s="305"/>
      <c r="X305" s="305"/>
      <c r="Y305" s="305"/>
      <c r="Z305" s="305"/>
      <c r="AA305" s="305"/>
      <c r="AB305" s="369"/>
      <c r="AC305" s="92" t="s">
        <v>1143</v>
      </c>
      <c r="AD305" s="369" t="s">
        <v>1079</v>
      </c>
      <c r="AE305" s="118">
        <v>45726</v>
      </c>
      <c r="AF305" s="118"/>
      <c r="AG305" s="118">
        <v>45757</v>
      </c>
      <c r="AH305" s="93">
        <v>45716</v>
      </c>
      <c r="AI305" s="264">
        <v>45689</v>
      </c>
      <c r="AJ305" s="95" t="s">
        <v>131</v>
      </c>
      <c r="AK305" s="369" t="s">
        <v>1064</v>
      </c>
      <c r="AL305" s="369" t="s">
        <v>778</v>
      </c>
      <c r="AM305" s="369" t="s">
        <v>209</v>
      </c>
      <c r="AN305" s="305"/>
      <c r="AO305" s="305"/>
      <c r="AP305" s="305"/>
      <c r="AQ305" s="291"/>
      <c r="AR305" s="305"/>
      <c r="AS305" s="305"/>
      <c r="AT305" s="91">
        <v>45706</v>
      </c>
      <c r="AU305" s="91">
        <v>45673</v>
      </c>
      <c r="AV305" s="91">
        <v>45691</v>
      </c>
      <c r="AW305" s="91">
        <v>45674</v>
      </c>
      <c r="AX305" s="305"/>
      <c r="AY305" s="305"/>
      <c r="AZ305" s="305"/>
      <c r="BA305" s="305"/>
      <c r="BB305" s="92"/>
      <c r="BC305" s="47"/>
      <c r="BD305" s="80" t="s">
        <v>816</v>
      </c>
      <c r="BE305" s="70"/>
      <c r="BF305" s="367"/>
      <c r="BG305" s="368"/>
      <c r="BH305" s="64" t="e">
        <f>#REF!</f>
        <v>#REF!</v>
      </c>
      <c r="BL305" s="73"/>
    </row>
    <row r="306" spans="1:64" s="59" customFormat="1" ht="36" customHeight="1" x14ac:dyDescent="0.3">
      <c r="A306" s="156">
        <f t="shared" si="5"/>
        <v>301</v>
      </c>
      <c r="B306" s="90" t="s">
        <v>1144</v>
      </c>
      <c r="C306" s="305" t="s">
        <v>6</v>
      </c>
      <c r="D306" s="305" t="s">
        <v>1145</v>
      </c>
      <c r="E306" s="91">
        <v>45770</v>
      </c>
      <c r="F306" s="97"/>
      <c r="G306" s="91"/>
      <c r="H306" s="91"/>
      <c r="I306" s="305" t="s">
        <v>26</v>
      </c>
      <c r="J306" s="92" t="s">
        <v>1109</v>
      </c>
      <c r="K306" s="92" t="s">
        <v>1136</v>
      </c>
      <c r="L306" s="305" t="s">
        <v>1057</v>
      </c>
      <c r="M306" s="369" t="s">
        <v>65</v>
      </c>
      <c r="N306" s="305" t="s">
        <v>127</v>
      </c>
      <c r="O306" s="305" t="s">
        <v>1058</v>
      </c>
      <c r="P306" s="158"/>
      <c r="Q306" s="305">
        <v>3.7</v>
      </c>
      <c r="R306" s="305"/>
      <c r="S306" s="305">
        <v>100</v>
      </c>
      <c r="T306" s="305"/>
      <c r="U306" s="305"/>
      <c r="V306" s="305"/>
      <c r="W306" s="305"/>
      <c r="X306" s="305"/>
      <c r="Y306" s="305"/>
      <c r="Z306" s="305"/>
      <c r="AA306" s="305"/>
      <c r="AB306" s="369"/>
      <c r="AC306" s="92" t="s">
        <v>1146</v>
      </c>
      <c r="AD306" s="369" t="s">
        <v>1121</v>
      </c>
      <c r="AE306" s="118">
        <v>45746</v>
      </c>
      <c r="AF306" s="118"/>
      <c r="AG306" s="118">
        <v>45757</v>
      </c>
      <c r="AH306" s="93">
        <v>45746</v>
      </c>
      <c r="AI306" s="264">
        <v>45717</v>
      </c>
      <c r="AJ306" s="95" t="s">
        <v>131</v>
      </c>
      <c r="AK306" s="369" t="s">
        <v>1122</v>
      </c>
      <c r="AL306" s="369" t="s">
        <v>830</v>
      </c>
      <c r="AM306" s="369" t="s">
        <v>209</v>
      </c>
      <c r="AN306" s="305"/>
      <c r="AO306" s="305"/>
      <c r="AP306" s="305"/>
      <c r="AQ306" s="291"/>
      <c r="AR306" s="305"/>
      <c r="AS306" s="305"/>
      <c r="AT306" s="91">
        <v>45716</v>
      </c>
      <c r="AU306" s="91">
        <v>45693</v>
      </c>
      <c r="AV306" s="91">
        <v>45698</v>
      </c>
      <c r="AW306" s="91">
        <v>45694</v>
      </c>
      <c r="AX306" s="305"/>
      <c r="AY306" s="305"/>
      <c r="AZ306" s="305"/>
      <c r="BA306" s="305"/>
      <c r="BB306" s="92"/>
      <c r="BC306" s="47"/>
      <c r="BD306" s="80" t="s">
        <v>816</v>
      </c>
      <c r="BE306" s="70"/>
      <c r="BF306" s="367"/>
      <c r="BG306" s="368"/>
      <c r="BH306" s="64" t="e">
        <f>#REF!</f>
        <v>#REF!</v>
      </c>
      <c r="BL306" s="73"/>
    </row>
    <row r="307" spans="1:64" s="59" customFormat="1" ht="36" customHeight="1" x14ac:dyDescent="0.3">
      <c r="A307" s="156">
        <f t="shared" si="5"/>
        <v>302</v>
      </c>
      <c r="B307" s="90" t="s">
        <v>1147</v>
      </c>
      <c r="C307" s="305" t="s">
        <v>6</v>
      </c>
      <c r="D307" s="305" t="s">
        <v>1140</v>
      </c>
      <c r="E307" s="91"/>
      <c r="F307" s="97">
        <v>45898</v>
      </c>
      <c r="G307" s="91"/>
      <c r="H307" s="91"/>
      <c r="I307" s="305" t="s">
        <v>26</v>
      </c>
      <c r="J307" s="92" t="s">
        <v>1109</v>
      </c>
      <c r="K307" s="92" t="s">
        <v>1136</v>
      </c>
      <c r="L307" s="305" t="s">
        <v>1057</v>
      </c>
      <c r="M307" s="369" t="s">
        <v>120</v>
      </c>
      <c r="N307" s="305" t="s">
        <v>127</v>
      </c>
      <c r="O307" s="305" t="s">
        <v>1058</v>
      </c>
      <c r="P307" s="158"/>
      <c r="Q307" s="305">
        <v>3.4</v>
      </c>
      <c r="R307" s="305"/>
      <c r="S307" s="305">
        <v>100</v>
      </c>
      <c r="T307" s="158">
        <v>9.5</v>
      </c>
      <c r="U307" s="158"/>
      <c r="V307" s="158"/>
      <c r="W307" s="158"/>
      <c r="X307" s="159" t="s">
        <v>1148</v>
      </c>
      <c r="Y307" s="305" t="s">
        <v>127</v>
      </c>
      <c r="Z307" s="305"/>
      <c r="AA307" s="305"/>
      <c r="AB307" s="369" t="s">
        <v>215</v>
      </c>
      <c r="AC307" s="92" t="s">
        <v>1149</v>
      </c>
      <c r="AD307" s="369" t="s">
        <v>1150</v>
      </c>
      <c r="AE307" s="118"/>
      <c r="AF307" s="118"/>
      <c r="AG307" s="118"/>
      <c r="AH307" s="93">
        <v>45899</v>
      </c>
      <c r="AI307" s="264"/>
      <c r="AJ307" s="95" t="s">
        <v>131</v>
      </c>
      <c r="AK307" s="369"/>
      <c r="AL307" s="369"/>
      <c r="AM307" s="369" t="s">
        <v>209</v>
      </c>
      <c r="AN307" s="305"/>
      <c r="AO307" s="305"/>
      <c r="AP307" s="305"/>
      <c r="AQ307" s="291"/>
      <c r="AR307" s="305"/>
      <c r="AS307" s="305"/>
      <c r="AT307" s="305"/>
      <c r="AU307" s="305"/>
      <c r="AV307" s="305"/>
      <c r="AW307" s="305"/>
      <c r="AX307" s="305"/>
      <c r="AY307" s="305"/>
      <c r="AZ307" s="305"/>
      <c r="BA307" s="305"/>
      <c r="BB307" s="92" t="s">
        <v>1138</v>
      </c>
      <c r="BC307" s="47"/>
      <c r="BD307" s="80" t="s">
        <v>816</v>
      </c>
      <c r="BE307" s="70"/>
      <c r="BF307" s="367"/>
      <c r="BG307" s="368"/>
      <c r="BH307" s="64" t="e">
        <f>#REF!</f>
        <v>#REF!</v>
      </c>
      <c r="BL307" s="73"/>
    </row>
    <row r="308" spans="1:64" s="59" customFormat="1" ht="36" customHeight="1" x14ac:dyDescent="0.3">
      <c r="A308" s="156">
        <f t="shared" si="5"/>
        <v>303</v>
      </c>
      <c r="B308" s="90" t="s">
        <v>1151</v>
      </c>
      <c r="C308" s="305" t="s">
        <v>6</v>
      </c>
      <c r="D308" s="305" t="s">
        <v>1140</v>
      </c>
      <c r="E308" s="91">
        <v>45927</v>
      </c>
      <c r="F308" s="97">
        <v>45933</v>
      </c>
      <c r="G308" s="91"/>
      <c r="H308" s="91"/>
      <c r="I308" s="305" t="s">
        <v>26</v>
      </c>
      <c r="J308" s="92" t="s">
        <v>1109</v>
      </c>
      <c r="K308" s="92" t="s">
        <v>1152</v>
      </c>
      <c r="L308" s="305" t="s">
        <v>1057</v>
      </c>
      <c r="M308" s="369" t="s">
        <v>65</v>
      </c>
      <c r="N308" s="305" t="s">
        <v>127</v>
      </c>
      <c r="O308" s="305" t="s">
        <v>1058</v>
      </c>
      <c r="P308" s="158"/>
      <c r="Q308" s="305">
        <v>3.7</v>
      </c>
      <c r="R308" s="305"/>
      <c r="S308" s="305">
        <v>100</v>
      </c>
      <c r="T308" s="305">
        <v>12.1</v>
      </c>
      <c r="U308" s="305"/>
      <c r="V308" s="305"/>
      <c r="W308" s="305"/>
      <c r="X308" s="305" t="s">
        <v>1111</v>
      </c>
      <c r="Y308" s="305"/>
      <c r="Z308" s="305"/>
      <c r="AA308" s="305" t="s">
        <v>214</v>
      </c>
      <c r="AB308" s="369" t="s">
        <v>1096</v>
      </c>
      <c r="AC308" s="92" t="s">
        <v>1153</v>
      </c>
      <c r="AD308" s="369" t="s">
        <v>1154</v>
      </c>
      <c r="AE308" s="118"/>
      <c r="AF308" s="118"/>
      <c r="AG308" s="118">
        <v>45726</v>
      </c>
      <c r="AH308" s="93">
        <v>45894</v>
      </c>
      <c r="AI308" s="264">
        <v>45839</v>
      </c>
      <c r="AJ308" s="95" t="s">
        <v>131</v>
      </c>
      <c r="AK308" s="369" t="s">
        <v>200</v>
      </c>
      <c r="AL308" s="369" t="s">
        <v>154</v>
      </c>
      <c r="AM308" s="369" t="s">
        <v>134</v>
      </c>
      <c r="AN308" s="305"/>
      <c r="AO308" s="305"/>
      <c r="AP308" s="305"/>
      <c r="AQ308" s="291"/>
      <c r="AR308" s="305"/>
      <c r="AS308" s="305"/>
      <c r="AT308" s="91">
        <v>45899</v>
      </c>
      <c r="AU308" s="91">
        <v>45861</v>
      </c>
      <c r="AV308" s="91">
        <v>45880</v>
      </c>
      <c r="AW308" s="91">
        <v>45883</v>
      </c>
      <c r="AX308" s="305"/>
      <c r="AY308" s="305"/>
      <c r="AZ308" s="305"/>
      <c r="BA308" s="305"/>
      <c r="BB308" s="92" t="s">
        <v>1114</v>
      </c>
      <c r="BC308" s="47"/>
      <c r="BD308" s="80" t="s">
        <v>816</v>
      </c>
      <c r="BE308" s="70"/>
      <c r="BF308" s="367"/>
      <c r="BG308" s="368"/>
      <c r="BH308" s="64" t="e">
        <f>#REF!</f>
        <v>#REF!</v>
      </c>
      <c r="BL308" s="73"/>
    </row>
    <row r="309" spans="1:64" s="59" customFormat="1" ht="36" customHeight="1" x14ac:dyDescent="0.3">
      <c r="A309" s="156">
        <f t="shared" si="5"/>
        <v>304</v>
      </c>
      <c r="B309" s="90" t="s">
        <v>1155</v>
      </c>
      <c r="C309" s="305" t="s">
        <v>6</v>
      </c>
      <c r="D309" s="305" t="s">
        <v>1140</v>
      </c>
      <c r="E309" s="91">
        <v>45789</v>
      </c>
      <c r="F309" s="97">
        <v>45789</v>
      </c>
      <c r="G309" s="91"/>
      <c r="H309" s="91"/>
      <c r="I309" s="305" t="s">
        <v>26</v>
      </c>
      <c r="J309" s="92" t="s">
        <v>1109</v>
      </c>
      <c r="K309" s="92" t="s">
        <v>1152</v>
      </c>
      <c r="L309" s="305" t="s">
        <v>1057</v>
      </c>
      <c r="M309" s="369" t="s">
        <v>65</v>
      </c>
      <c r="N309" s="305" t="s">
        <v>127</v>
      </c>
      <c r="O309" s="305" t="s">
        <v>1058</v>
      </c>
      <c r="P309" s="158"/>
      <c r="Q309" s="305">
        <v>3.7</v>
      </c>
      <c r="R309" s="305"/>
      <c r="S309" s="305">
        <v>100</v>
      </c>
      <c r="T309" s="305"/>
      <c r="U309" s="305"/>
      <c r="V309" s="305"/>
      <c r="W309" s="305"/>
      <c r="X309" s="305"/>
      <c r="Y309" s="305"/>
      <c r="Z309" s="305" t="s">
        <v>127</v>
      </c>
      <c r="AA309" s="305"/>
      <c r="AB309" s="369"/>
      <c r="AC309" s="92" t="s">
        <v>1156</v>
      </c>
      <c r="AD309" s="369" t="s">
        <v>1121</v>
      </c>
      <c r="AE309" s="118"/>
      <c r="AF309" s="118"/>
      <c r="AG309" s="118">
        <v>45726</v>
      </c>
      <c r="AH309" s="93">
        <v>45777</v>
      </c>
      <c r="AI309" s="264">
        <v>45748</v>
      </c>
      <c r="AJ309" s="95" t="s">
        <v>131</v>
      </c>
      <c r="AK309" s="369" t="s">
        <v>1122</v>
      </c>
      <c r="AL309" s="369" t="s">
        <v>830</v>
      </c>
      <c r="AM309" s="369" t="s">
        <v>209</v>
      </c>
      <c r="AN309" s="305"/>
      <c r="AO309" s="305"/>
      <c r="AP309" s="305"/>
      <c r="AQ309" s="291"/>
      <c r="AR309" s="305"/>
      <c r="AS309" s="305"/>
      <c r="AT309" s="91">
        <v>45757</v>
      </c>
      <c r="AU309" s="91">
        <v>45722</v>
      </c>
      <c r="AV309" s="91">
        <v>45722</v>
      </c>
      <c r="AW309" s="91">
        <v>45722</v>
      </c>
      <c r="AX309" s="305"/>
      <c r="AY309" s="305"/>
      <c r="AZ309" s="305"/>
      <c r="BA309" s="305"/>
      <c r="BB309" s="92"/>
      <c r="BC309" s="47"/>
      <c r="BD309" s="80" t="s">
        <v>816</v>
      </c>
      <c r="BE309" s="70"/>
      <c r="BF309" s="367"/>
      <c r="BG309" s="368"/>
      <c r="BH309" s="64" t="e">
        <f>#REF!</f>
        <v>#REF!</v>
      </c>
      <c r="BL309" s="73"/>
    </row>
    <row r="310" spans="1:64" s="59" customFormat="1" ht="36" customHeight="1" x14ac:dyDescent="0.3">
      <c r="A310" s="156">
        <f t="shared" si="5"/>
        <v>305</v>
      </c>
      <c r="B310" s="90" t="s">
        <v>1157</v>
      </c>
      <c r="C310" s="305" t="s">
        <v>6</v>
      </c>
      <c r="D310" s="305" t="s">
        <v>1158</v>
      </c>
      <c r="E310" s="91">
        <v>45789</v>
      </c>
      <c r="F310" s="97">
        <v>45789</v>
      </c>
      <c r="G310" s="91"/>
      <c r="H310" s="91"/>
      <c r="I310" s="305" t="s">
        <v>26</v>
      </c>
      <c r="J310" s="92" t="s">
        <v>1109</v>
      </c>
      <c r="K310" s="92" t="s">
        <v>1152</v>
      </c>
      <c r="L310" s="305" t="s">
        <v>1057</v>
      </c>
      <c r="M310" s="369" t="s">
        <v>65</v>
      </c>
      <c r="N310" s="305" t="s">
        <v>127</v>
      </c>
      <c r="O310" s="305" t="s">
        <v>1058</v>
      </c>
      <c r="P310" s="158"/>
      <c r="Q310" s="305">
        <v>3.7</v>
      </c>
      <c r="R310" s="305"/>
      <c r="S310" s="305">
        <v>100</v>
      </c>
      <c r="T310" s="305"/>
      <c r="U310" s="305"/>
      <c r="V310" s="305"/>
      <c r="W310" s="305"/>
      <c r="X310" s="305"/>
      <c r="Y310" s="305"/>
      <c r="Z310" s="305" t="s">
        <v>127</v>
      </c>
      <c r="AA310" s="305"/>
      <c r="AB310" s="369"/>
      <c r="AC310" s="92" t="s">
        <v>1156</v>
      </c>
      <c r="AD310" s="369" t="s">
        <v>1121</v>
      </c>
      <c r="AE310" s="118"/>
      <c r="AF310" s="118"/>
      <c r="AG310" s="118">
        <v>45726</v>
      </c>
      <c r="AH310" s="93">
        <v>45777</v>
      </c>
      <c r="AI310" s="264">
        <v>45748</v>
      </c>
      <c r="AJ310" s="95" t="s">
        <v>131</v>
      </c>
      <c r="AK310" s="369" t="s">
        <v>1122</v>
      </c>
      <c r="AL310" s="369" t="s">
        <v>830</v>
      </c>
      <c r="AM310" s="369" t="s">
        <v>209</v>
      </c>
      <c r="AN310" s="305"/>
      <c r="AO310" s="305"/>
      <c r="AP310" s="305"/>
      <c r="AQ310" s="291"/>
      <c r="AR310" s="305"/>
      <c r="AS310" s="305"/>
      <c r="AT310" s="91">
        <v>45757</v>
      </c>
      <c r="AU310" s="91">
        <v>45722</v>
      </c>
      <c r="AV310" s="91">
        <v>45722</v>
      </c>
      <c r="AW310" s="91">
        <v>45722</v>
      </c>
      <c r="AX310" s="305"/>
      <c r="AY310" s="305"/>
      <c r="AZ310" s="305"/>
      <c r="BA310" s="305"/>
      <c r="BB310" s="92"/>
      <c r="BC310" s="47"/>
      <c r="BD310" s="80" t="s">
        <v>816</v>
      </c>
      <c r="BE310" s="70"/>
      <c r="BF310" s="367"/>
      <c r="BG310" s="368"/>
      <c r="BH310" s="64" t="e">
        <f>#REF!</f>
        <v>#REF!</v>
      </c>
      <c r="BL310" s="73"/>
    </row>
    <row r="311" spans="1:64" s="59" customFormat="1" ht="36" customHeight="1" x14ac:dyDescent="0.3">
      <c r="A311" s="156">
        <f t="shared" si="5"/>
        <v>306</v>
      </c>
      <c r="B311" s="90" t="s">
        <v>1159</v>
      </c>
      <c r="C311" s="305" t="s">
        <v>6</v>
      </c>
      <c r="D311" s="305" t="s">
        <v>1158</v>
      </c>
      <c r="E311" s="91">
        <v>45773</v>
      </c>
      <c r="F311" s="97">
        <v>45789</v>
      </c>
      <c r="G311" s="91"/>
      <c r="H311" s="91"/>
      <c r="I311" s="305" t="s">
        <v>26</v>
      </c>
      <c r="J311" s="92" t="s">
        <v>1109</v>
      </c>
      <c r="K311" s="92" t="s">
        <v>1152</v>
      </c>
      <c r="L311" s="305" t="s">
        <v>1057</v>
      </c>
      <c r="M311" s="369" t="s">
        <v>65</v>
      </c>
      <c r="N311" s="305" t="s">
        <v>127</v>
      </c>
      <c r="O311" s="305" t="s">
        <v>1058</v>
      </c>
      <c r="P311" s="158"/>
      <c r="Q311" s="305">
        <v>3.7</v>
      </c>
      <c r="R311" s="305"/>
      <c r="S311" s="305">
        <v>100</v>
      </c>
      <c r="T311" s="305"/>
      <c r="U311" s="305"/>
      <c r="V311" s="305"/>
      <c r="W311" s="305"/>
      <c r="X311" s="305"/>
      <c r="Y311" s="305"/>
      <c r="Z311" s="305" t="s">
        <v>127</v>
      </c>
      <c r="AA311" s="305"/>
      <c r="AB311" s="369"/>
      <c r="AC311" s="92" t="s">
        <v>1160</v>
      </c>
      <c r="AD311" s="369" t="s">
        <v>886</v>
      </c>
      <c r="AE311" s="118">
        <v>45746</v>
      </c>
      <c r="AF311" s="118"/>
      <c r="AG311" s="118">
        <v>45726</v>
      </c>
      <c r="AH311" s="93">
        <v>45746</v>
      </c>
      <c r="AI311" s="264">
        <v>45717</v>
      </c>
      <c r="AJ311" s="95" t="s">
        <v>131</v>
      </c>
      <c r="AK311" s="369" t="s">
        <v>366</v>
      </c>
      <c r="AL311" s="369" t="s">
        <v>778</v>
      </c>
      <c r="AM311" s="369" t="s">
        <v>209</v>
      </c>
      <c r="AN311" s="305"/>
      <c r="AO311" s="305"/>
      <c r="AP311" s="305"/>
      <c r="AQ311" s="291"/>
      <c r="AR311" s="305"/>
      <c r="AS311" s="305"/>
      <c r="AT311" s="91">
        <v>45715</v>
      </c>
      <c r="AU311" s="91">
        <v>45692</v>
      </c>
      <c r="AV311" s="91">
        <v>45699</v>
      </c>
      <c r="AW311" s="91">
        <v>45692</v>
      </c>
      <c r="AX311" s="305"/>
      <c r="AY311" s="305"/>
      <c r="AZ311" s="305"/>
      <c r="BA311" s="305"/>
      <c r="BB311" s="92"/>
      <c r="BC311" s="47"/>
      <c r="BD311" s="80" t="s">
        <v>816</v>
      </c>
      <c r="BE311" s="70"/>
      <c r="BF311" s="367"/>
      <c r="BG311" s="368"/>
      <c r="BH311" s="64" t="e">
        <f>#REF!</f>
        <v>#REF!</v>
      </c>
      <c r="BL311" s="73"/>
    </row>
    <row r="312" spans="1:64" s="59" customFormat="1" ht="36" customHeight="1" x14ac:dyDescent="0.3">
      <c r="A312" s="156">
        <f t="shared" si="5"/>
        <v>307</v>
      </c>
      <c r="B312" s="90" t="s">
        <v>1161</v>
      </c>
      <c r="C312" s="305" t="s">
        <v>6</v>
      </c>
      <c r="D312" s="305" t="s">
        <v>1158</v>
      </c>
      <c r="E312" s="91">
        <v>45773</v>
      </c>
      <c r="F312" s="97">
        <v>45789</v>
      </c>
      <c r="G312" s="91"/>
      <c r="H312" s="91"/>
      <c r="I312" s="305" t="s">
        <v>26</v>
      </c>
      <c r="J312" s="92" t="s">
        <v>1109</v>
      </c>
      <c r="K312" s="92" t="s">
        <v>1152</v>
      </c>
      <c r="L312" s="305" t="s">
        <v>1057</v>
      </c>
      <c r="M312" s="369" t="s">
        <v>65</v>
      </c>
      <c r="N312" s="305" t="s">
        <v>127</v>
      </c>
      <c r="O312" s="305" t="s">
        <v>1058</v>
      </c>
      <c r="P312" s="158"/>
      <c r="Q312" s="305">
        <v>3.7</v>
      </c>
      <c r="R312" s="305"/>
      <c r="S312" s="305">
        <v>100</v>
      </c>
      <c r="T312" s="305"/>
      <c r="U312" s="305"/>
      <c r="V312" s="305"/>
      <c r="W312" s="305"/>
      <c r="X312" s="305"/>
      <c r="Y312" s="305"/>
      <c r="Z312" s="305" t="s">
        <v>127</v>
      </c>
      <c r="AA312" s="305"/>
      <c r="AB312" s="369"/>
      <c r="AC312" s="92" t="s">
        <v>1162</v>
      </c>
      <c r="AD312" s="369" t="s">
        <v>1163</v>
      </c>
      <c r="AE312" s="118">
        <v>45746</v>
      </c>
      <c r="AF312" s="118"/>
      <c r="AG312" s="118">
        <v>45726</v>
      </c>
      <c r="AH312" s="93">
        <v>45736</v>
      </c>
      <c r="AI312" s="264">
        <v>45717</v>
      </c>
      <c r="AJ312" s="95" t="s">
        <v>131</v>
      </c>
      <c r="AK312" s="369" t="s">
        <v>1064</v>
      </c>
      <c r="AL312" s="369" t="s">
        <v>778</v>
      </c>
      <c r="AM312" s="369" t="s">
        <v>209</v>
      </c>
      <c r="AN312" s="305"/>
      <c r="AO312" s="305"/>
      <c r="AP312" s="305"/>
      <c r="AQ312" s="291"/>
      <c r="AR312" s="305"/>
      <c r="AS312" s="305"/>
      <c r="AT312" s="91">
        <v>45716</v>
      </c>
      <c r="AU312" s="91">
        <v>45699</v>
      </c>
      <c r="AV312" s="91">
        <v>45707</v>
      </c>
      <c r="AW312" s="91">
        <v>45698</v>
      </c>
      <c r="AX312" s="305"/>
      <c r="AY312" s="305"/>
      <c r="AZ312" s="305"/>
      <c r="BA312" s="305"/>
      <c r="BB312" s="92"/>
      <c r="BC312" s="47"/>
      <c r="BD312" s="80" t="s">
        <v>816</v>
      </c>
      <c r="BE312" s="70"/>
      <c r="BF312" s="367"/>
      <c r="BG312" s="368"/>
      <c r="BH312" s="64" t="e">
        <f>#REF!</f>
        <v>#REF!</v>
      </c>
      <c r="BL312" s="73"/>
    </row>
    <row r="313" spans="1:64" s="59" customFormat="1" ht="36" customHeight="1" x14ac:dyDescent="0.3">
      <c r="A313" s="156">
        <f t="shared" si="5"/>
        <v>308</v>
      </c>
      <c r="B313" s="90" t="s">
        <v>1164</v>
      </c>
      <c r="C313" s="305" t="s">
        <v>6</v>
      </c>
      <c r="D313" s="305" t="s">
        <v>1158</v>
      </c>
      <c r="E313" s="91">
        <v>45745</v>
      </c>
      <c r="F313" s="97"/>
      <c r="G313" s="91"/>
      <c r="H313" s="91"/>
      <c r="I313" s="305" t="s">
        <v>26</v>
      </c>
      <c r="J313" s="92" t="s">
        <v>1109</v>
      </c>
      <c r="K313" s="92" t="s">
        <v>1165</v>
      </c>
      <c r="L313" s="305" t="s">
        <v>1057</v>
      </c>
      <c r="M313" s="369" t="s">
        <v>65</v>
      </c>
      <c r="N313" s="305" t="s">
        <v>127</v>
      </c>
      <c r="O313" s="305" t="s">
        <v>1058</v>
      </c>
      <c r="P313" s="158"/>
      <c r="Q313" s="305">
        <v>2.4</v>
      </c>
      <c r="R313" s="305"/>
      <c r="S313" s="305">
        <v>100</v>
      </c>
      <c r="T313" s="305"/>
      <c r="U313" s="305"/>
      <c r="V313" s="305"/>
      <c r="W313" s="305"/>
      <c r="X313" s="305"/>
      <c r="Y313" s="305"/>
      <c r="Z313" s="305" t="s">
        <v>127</v>
      </c>
      <c r="AA313" s="305"/>
      <c r="AB313" s="369"/>
      <c r="AC313" s="92" t="s">
        <v>1166</v>
      </c>
      <c r="AD313" s="369" t="s">
        <v>238</v>
      </c>
      <c r="AE313" s="118">
        <v>45741</v>
      </c>
      <c r="AF313" s="118"/>
      <c r="AG313" s="118">
        <v>45726</v>
      </c>
      <c r="AH313" s="93">
        <v>45716</v>
      </c>
      <c r="AI313" s="264">
        <v>45689</v>
      </c>
      <c r="AJ313" s="95" t="s">
        <v>131</v>
      </c>
      <c r="AK313" s="369" t="s">
        <v>366</v>
      </c>
      <c r="AL313" s="369" t="s">
        <v>778</v>
      </c>
      <c r="AM313" s="369" t="s">
        <v>209</v>
      </c>
      <c r="AN313" s="305"/>
      <c r="AO313" s="305"/>
      <c r="AP313" s="305"/>
      <c r="AQ313" s="291"/>
      <c r="AR313" s="305"/>
      <c r="AS313" s="305"/>
      <c r="AT313" s="91">
        <v>45695</v>
      </c>
      <c r="AU313" s="91">
        <v>45677</v>
      </c>
      <c r="AV313" s="91">
        <v>45677</v>
      </c>
      <c r="AW313" s="91">
        <v>45671</v>
      </c>
      <c r="AX313" s="305"/>
      <c r="AY313" s="305"/>
      <c r="AZ313" s="305"/>
      <c r="BA313" s="305"/>
      <c r="BB313" s="92"/>
      <c r="BC313" s="47"/>
      <c r="BD313" s="80" t="s">
        <v>816</v>
      </c>
      <c r="BE313" s="70"/>
      <c r="BF313" s="367"/>
      <c r="BG313" s="368"/>
      <c r="BH313" s="64" t="e">
        <f>#REF!</f>
        <v>#REF!</v>
      </c>
      <c r="BL313" s="73"/>
    </row>
    <row r="314" spans="1:64" s="59" customFormat="1" ht="36" customHeight="1" x14ac:dyDescent="0.3">
      <c r="A314" s="156">
        <f t="shared" si="5"/>
        <v>309</v>
      </c>
      <c r="B314" s="90" t="s">
        <v>1167</v>
      </c>
      <c r="C314" s="305" t="s">
        <v>6</v>
      </c>
      <c r="D314" s="305" t="s">
        <v>1158</v>
      </c>
      <c r="E314" s="91">
        <v>45770</v>
      </c>
      <c r="F314" s="97"/>
      <c r="G314" s="91"/>
      <c r="H314" s="91"/>
      <c r="I314" s="305" t="s">
        <v>26</v>
      </c>
      <c r="J314" s="92" t="s">
        <v>1109</v>
      </c>
      <c r="K314" s="92" t="s">
        <v>1165</v>
      </c>
      <c r="L314" s="305" t="s">
        <v>1057</v>
      </c>
      <c r="M314" s="369" t="s">
        <v>65</v>
      </c>
      <c r="N314" s="305" t="s">
        <v>127</v>
      </c>
      <c r="O314" s="305" t="s">
        <v>1058</v>
      </c>
      <c r="P314" s="158"/>
      <c r="Q314" s="305">
        <v>2.4</v>
      </c>
      <c r="R314" s="305"/>
      <c r="S314" s="305">
        <v>100</v>
      </c>
      <c r="T314" s="305"/>
      <c r="U314" s="305"/>
      <c r="V314" s="305"/>
      <c r="W314" s="305"/>
      <c r="X314" s="305"/>
      <c r="Y314" s="305"/>
      <c r="Z314" s="305" t="s">
        <v>127</v>
      </c>
      <c r="AA314" s="305"/>
      <c r="AB314" s="369"/>
      <c r="AC314" s="92" t="s">
        <v>1168</v>
      </c>
      <c r="AD314" s="369" t="s">
        <v>1121</v>
      </c>
      <c r="AE314" s="118">
        <v>45746</v>
      </c>
      <c r="AF314" s="118"/>
      <c r="AG314" s="118">
        <v>45726</v>
      </c>
      <c r="AH314" s="93">
        <v>45746</v>
      </c>
      <c r="AI314" s="264">
        <v>45717</v>
      </c>
      <c r="AJ314" s="95" t="s">
        <v>131</v>
      </c>
      <c r="AK314" s="369" t="s">
        <v>1122</v>
      </c>
      <c r="AL314" s="369" t="s">
        <v>830</v>
      </c>
      <c r="AM314" s="369" t="s">
        <v>209</v>
      </c>
      <c r="AN314" s="305"/>
      <c r="AO314" s="305"/>
      <c r="AP314" s="305"/>
      <c r="AQ314" s="291"/>
      <c r="AR314" s="305"/>
      <c r="AS314" s="305"/>
      <c r="AT314" s="91">
        <v>45716</v>
      </c>
      <c r="AU314" s="91">
        <v>45693</v>
      </c>
      <c r="AV314" s="91">
        <v>45698</v>
      </c>
      <c r="AW314" s="91">
        <v>45694</v>
      </c>
      <c r="AX314" s="305"/>
      <c r="AY314" s="305"/>
      <c r="AZ314" s="305"/>
      <c r="BA314" s="305"/>
      <c r="BB314" s="92" t="s">
        <v>1169</v>
      </c>
      <c r="BC314" s="47"/>
      <c r="BD314" s="80" t="s">
        <v>816</v>
      </c>
      <c r="BE314" s="70"/>
      <c r="BF314" s="367"/>
      <c r="BG314" s="368"/>
      <c r="BH314" s="64" t="e">
        <f>#REF!</f>
        <v>#REF!</v>
      </c>
      <c r="BL314" s="73"/>
    </row>
    <row r="315" spans="1:64" s="59" customFormat="1" ht="36" customHeight="1" x14ac:dyDescent="0.3">
      <c r="A315" s="156">
        <f t="shared" si="5"/>
        <v>310</v>
      </c>
      <c r="B315" s="90" t="s">
        <v>1170</v>
      </c>
      <c r="C315" s="305" t="s">
        <v>6</v>
      </c>
      <c r="D315" s="305" t="s">
        <v>1171</v>
      </c>
      <c r="E315" s="91">
        <v>45770</v>
      </c>
      <c r="F315" s="97"/>
      <c r="G315" s="91"/>
      <c r="H315" s="91"/>
      <c r="I315" s="305" t="s">
        <v>26</v>
      </c>
      <c r="J315" s="92" t="s">
        <v>1109</v>
      </c>
      <c r="K315" s="92" t="s">
        <v>1165</v>
      </c>
      <c r="L315" s="305" t="s">
        <v>1057</v>
      </c>
      <c r="M315" s="369" t="s">
        <v>65</v>
      </c>
      <c r="N315" s="305" t="s">
        <v>127</v>
      </c>
      <c r="O315" s="305" t="s">
        <v>1058</v>
      </c>
      <c r="P315" s="158"/>
      <c r="Q315" s="305">
        <v>2.4</v>
      </c>
      <c r="R315" s="305"/>
      <c r="S315" s="305">
        <v>100</v>
      </c>
      <c r="T315" s="305"/>
      <c r="U315" s="305"/>
      <c r="V315" s="305"/>
      <c r="W315" s="305"/>
      <c r="X315" s="305"/>
      <c r="Y315" s="305"/>
      <c r="Z315" s="305" t="s">
        <v>127</v>
      </c>
      <c r="AA315" s="305"/>
      <c r="AB315" s="369"/>
      <c r="AC315" s="92" t="s">
        <v>1168</v>
      </c>
      <c r="AD315" s="369" t="s">
        <v>1121</v>
      </c>
      <c r="AE315" s="118">
        <v>45746</v>
      </c>
      <c r="AF315" s="118"/>
      <c r="AG315" s="118">
        <v>45726</v>
      </c>
      <c r="AH315" s="93">
        <v>45746</v>
      </c>
      <c r="AI315" s="264">
        <v>45717</v>
      </c>
      <c r="AJ315" s="95" t="s">
        <v>131</v>
      </c>
      <c r="AK315" s="369" t="s">
        <v>1122</v>
      </c>
      <c r="AL315" s="369" t="s">
        <v>830</v>
      </c>
      <c r="AM315" s="369" t="s">
        <v>209</v>
      </c>
      <c r="AN315" s="305"/>
      <c r="AO315" s="305"/>
      <c r="AP315" s="305"/>
      <c r="AQ315" s="291"/>
      <c r="AR315" s="305"/>
      <c r="AS315" s="305"/>
      <c r="AT315" s="91">
        <v>45716</v>
      </c>
      <c r="AU315" s="91">
        <v>45693</v>
      </c>
      <c r="AV315" s="91">
        <v>45698</v>
      </c>
      <c r="AW315" s="91">
        <v>45694</v>
      </c>
      <c r="AX315" s="305"/>
      <c r="AY315" s="305"/>
      <c r="AZ315" s="305"/>
      <c r="BA315" s="305"/>
      <c r="BB315" s="92" t="s">
        <v>1172</v>
      </c>
      <c r="BC315" s="47"/>
      <c r="BD315" s="80" t="s">
        <v>816</v>
      </c>
      <c r="BE315" s="70"/>
      <c r="BF315" s="367"/>
      <c r="BG315" s="368"/>
      <c r="BH315" s="64" t="e">
        <f>#REF!</f>
        <v>#REF!</v>
      </c>
      <c r="BL315" s="73"/>
    </row>
    <row r="316" spans="1:64" s="59" customFormat="1" ht="36" customHeight="1" x14ac:dyDescent="0.3">
      <c r="A316" s="156">
        <f t="shared" si="5"/>
        <v>311</v>
      </c>
      <c r="B316" s="90" t="s">
        <v>1173</v>
      </c>
      <c r="C316" s="305" t="s">
        <v>6</v>
      </c>
      <c r="D316" s="305" t="s">
        <v>1171</v>
      </c>
      <c r="E316" s="91">
        <v>45770</v>
      </c>
      <c r="F316" s="97"/>
      <c r="G316" s="91"/>
      <c r="H316" s="91"/>
      <c r="I316" s="305" t="s">
        <v>26</v>
      </c>
      <c r="J316" s="92" t="s">
        <v>1109</v>
      </c>
      <c r="K316" s="92" t="s">
        <v>1165</v>
      </c>
      <c r="L316" s="305" t="s">
        <v>1057</v>
      </c>
      <c r="M316" s="369" t="s">
        <v>65</v>
      </c>
      <c r="N316" s="305" t="s">
        <v>127</v>
      </c>
      <c r="O316" s="305" t="s">
        <v>1058</v>
      </c>
      <c r="P316" s="158"/>
      <c r="Q316" s="305">
        <v>2.4</v>
      </c>
      <c r="R316" s="305"/>
      <c r="S316" s="305">
        <v>100</v>
      </c>
      <c r="T316" s="305"/>
      <c r="U316" s="305"/>
      <c r="V316" s="305"/>
      <c r="W316" s="305"/>
      <c r="X316" s="305"/>
      <c r="Y316" s="305"/>
      <c r="Z316" s="305" t="s">
        <v>127</v>
      </c>
      <c r="AA316" s="305"/>
      <c r="AB316" s="369"/>
      <c r="AC316" s="92" t="s">
        <v>1168</v>
      </c>
      <c r="AD316" s="369" t="s">
        <v>1121</v>
      </c>
      <c r="AE316" s="118">
        <v>45746</v>
      </c>
      <c r="AF316" s="118"/>
      <c r="AG316" s="118">
        <v>45726</v>
      </c>
      <c r="AH316" s="93">
        <v>45746</v>
      </c>
      <c r="AI316" s="264">
        <v>45717</v>
      </c>
      <c r="AJ316" s="95" t="s">
        <v>131</v>
      </c>
      <c r="AK316" s="369" t="s">
        <v>1122</v>
      </c>
      <c r="AL316" s="369" t="s">
        <v>830</v>
      </c>
      <c r="AM316" s="369" t="s">
        <v>209</v>
      </c>
      <c r="AN316" s="305"/>
      <c r="AO316" s="305"/>
      <c r="AP316" s="305"/>
      <c r="AQ316" s="291"/>
      <c r="AR316" s="305"/>
      <c r="AS316" s="305"/>
      <c r="AT316" s="91">
        <v>45716</v>
      </c>
      <c r="AU316" s="91">
        <v>45693</v>
      </c>
      <c r="AV316" s="91">
        <v>45698</v>
      </c>
      <c r="AW316" s="91">
        <v>45694</v>
      </c>
      <c r="AX316" s="305"/>
      <c r="AY316" s="305"/>
      <c r="AZ316" s="305"/>
      <c r="BA316" s="305"/>
      <c r="BB316" s="92"/>
      <c r="BC316" s="47"/>
      <c r="BD316" s="80" t="s">
        <v>816</v>
      </c>
      <c r="BE316" s="70"/>
      <c r="BF316" s="367"/>
      <c r="BG316" s="368"/>
      <c r="BH316" s="64" t="e">
        <f>#REF!</f>
        <v>#REF!</v>
      </c>
      <c r="BL316" s="73"/>
    </row>
    <row r="317" spans="1:64" s="59" customFormat="1" ht="36" customHeight="1" x14ac:dyDescent="0.3">
      <c r="A317" s="156">
        <f t="shared" si="5"/>
        <v>312</v>
      </c>
      <c r="B317" s="90" t="s">
        <v>1174</v>
      </c>
      <c r="C317" s="305" t="s">
        <v>6</v>
      </c>
      <c r="D317" s="305" t="s">
        <v>1171</v>
      </c>
      <c r="E317" s="91">
        <v>45773</v>
      </c>
      <c r="F317" s="97"/>
      <c r="G317" s="91"/>
      <c r="H317" s="91"/>
      <c r="I317" s="305" t="s">
        <v>26</v>
      </c>
      <c r="J317" s="92" t="s">
        <v>1109</v>
      </c>
      <c r="K317" s="92" t="s">
        <v>1165</v>
      </c>
      <c r="L317" s="305" t="s">
        <v>1057</v>
      </c>
      <c r="M317" s="369" t="s">
        <v>65</v>
      </c>
      <c r="N317" s="305" t="s">
        <v>127</v>
      </c>
      <c r="O317" s="305" t="s">
        <v>1058</v>
      </c>
      <c r="P317" s="158"/>
      <c r="Q317" s="305">
        <v>2.4</v>
      </c>
      <c r="R317" s="305"/>
      <c r="S317" s="305">
        <v>100</v>
      </c>
      <c r="T317" s="305"/>
      <c r="U317" s="305"/>
      <c r="V317" s="305"/>
      <c r="W317" s="305"/>
      <c r="X317" s="305"/>
      <c r="Y317" s="305"/>
      <c r="Z317" s="305" t="s">
        <v>127</v>
      </c>
      <c r="AA317" s="305"/>
      <c r="AB317" s="369"/>
      <c r="AC317" s="92" t="s">
        <v>1175</v>
      </c>
      <c r="AD317" s="369" t="s">
        <v>886</v>
      </c>
      <c r="AE317" s="118">
        <v>45746</v>
      </c>
      <c r="AF317" s="118"/>
      <c r="AG317" s="118">
        <v>45726</v>
      </c>
      <c r="AH317" s="93">
        <v>45746</v>
      </c>
      <c r="AI317" s="264">
        <v>45717</v>
      </c>
      <c r="AJ317" s="95" t="s">
        <v>131</v>
      </c>
      <c r="AK317" s="369" t="s">
        <v>366</v>
      </c>
      <c r="AL317" s="369" t="s">
        <v>778</v>
      </c>
      <c r="AM317" s="369" t="s">
        <v>209</v>
      </c>
      <c r="AN317" s="305"/>
      <c r="AO317" s="305"/>
      <c r="AP317" s="305"/>
      <c r="AQ317" s="291"/>
      <c r="AR317" s="305"/>
      <c r="AS317" s="305"/>
      <c r="AT317" s="91">
        <v>45715</v>
      </c>
      <c r="AU317" s="91">
        <v>45692</v>
      </c>
      <c r="AV317" s="91">
        <v>45699</v>
      </c>
      <c r="AW317" s="91">
        <v>45692</v>
      </c>
      <c r="AX317" s="305"/>
      <c r="AY317" s="305"/>
      <c r="AZ317" s="305"/>
      <c r="BA317" s="305"/>
      <c r="BB317" s="92"/>
      <c r="BC317" s="47"/>
      <c r="BD317" s="80" t="s">
        <v>816</v>
      </c>
      <c r="BE317" s="70"/>
      <c r="BF317" s="367"/>
      <c r="BG317" s="368"/>
      <c r="BH317" s="64" t="e">
        <f>#REF!</f>
        <v>#REF!</v>
      </c>
      <c r="BL317" s="73"/>
    </row>
    <row r="318" spans="1:64" s="59" customFormat="1" ht="36" customHeight="1" x14ac:dyDescent="0.3">
      <c r="A318" s="156">
        <f t="shared" si="5"/>
        <v>313</v>
      </c>
      <c r="B318" s="90" t="s">
        <v>1176</v>
      </c>
      <c r="C318" s="305" t="s">
        <v>6</v>
      </c>
      <c r="D318" s="305" t="s">
        <v>1171</v>
      </c>
      <c r="E318" s="91">
        <v>45773</v>
      </c>
      <c r="F318" s="97"/>
      <c r="G318" s="91"/>
      <c r="H318" s="91"/>
      <c r="I318" s="305" t="s">
        <v>26</v>
      </c>
      <c r="J318" s="92" t="s">
        <v>1109</v>
      </c>
      <c r="K318" s="92" t="s">
        <v>1165</v>
      </c>
      <c r="L318" s="305" t="s">
        <v>1057</v>
      </c>
      <c r="M318" s="369" t="s">
        <v>65</v>
      </c>
      <c r="N318" s="305" t="s">
        <v>127</v>
      </c>
      <c r="O318" s="305" t="s">
        <v>1058</v>
      </c>
      <c r="P318" s="158"/>
      <c r="Q318" s="305">
        <v>2.4</v>
      </c>
      <c r="R318" s="305"/>
      <c r="S318" s="305">
        <v>100</v>
      </c>
      <c r="T318" s="305"/>
      <c r="U318" s="305"/>
      <c r="V318" s="305"/>
      <c r="W318" s="305"/>
      <c r="X318" s="305"/>
      <c r="Y318" s="305"/>
      <c r="Z318" s="305" t="s">
        <v>127</v>
      </c>
      <c r="AA318" s="305"/>
      <c r="AB318" s="369"/>
      <c r="AC318" s="92" t="s">
        <v>1177</v>
      </c>
      <c r="AD318" s="369" t="s">
        <v>1163</v>
      </c>
      <c r="AE318" s="118">
        <v>45746</v>
      </c>
      <c r="AF318" s="118"/>
      <c r="AG318" s="118">
        <v>45726</v>
      </c>
      <c r="AH318" s="93">
        <v>45736</v>
      </c>
      <c r="AI318" s="264">
        <v>45717</v>
      </c>
      <c r="AJ318" s="95" t="s">
        <v>131</v>
      </c>
      <c r="AK318" s="369" t="s">
        <v>1064</v>
      </c>
      <c r="AL318" s="369" t="s">
        <v>778</v>
      </c>
      <c r="AM318" s="369" t="s">
        <v>209</v>
      </c>
      <c r="AN318" s="305"/>
      <c r="AO318" s="305"/>
      <c r="AP318" s="305"/>
      <c r="AQ318" s="291"/>
      <c r="AR318" s="305"/>
      <c r="AS318" s="305"/>
      <c r="AT318" s="91">
        <v>45716</v>
      </c>
      <c r="AU318" s="91">
        <v>45699</v>
      </c>
      <c r="AV318" s="91">
        <v>45707</v>
      </c>
      <c r="AW318" s="91">
        <v>45698</v>
      </c>
      <c r="AX318" s="305"/>
      <c r="AY318" s="305"/>
      <c r="AZ318" s="305"/>
      <c r="BA318" s="305"/>
      <c r="BB318" s="92"/>
      <c r="BC318" s="47"/>
      <c r="BD318" s="80" t="s">
        <v>816</v>
      </c>
      <c r="BE318" s="70"/>
      <c r="BF318" s="367"/>
      <c r="BG318" s="368"/>
      <c r="BH318" s="64" t="e">
        <f>#REF!</f>
        <v>#REF!</v>
      </c>
      <c r="BL318" s="73"/>
    </row>
    <row r="319" spans="1:64" s="59" customFormat="1" ht="36" customHeight="1" x14ac:dyDescent="0.3">
      <c r="A319" s="156">
        <f t="shared" si="5"/>
        <v>314</v>
      </c>
      <c r="B319" s="90" t="s">
        <v>1178</v>
      </c>
      <c r="C319" s="305" t="s">
        <v>6</v>
      </c>
      <c r="D319" s="305" t="s">
        <v>1171</v>
      </c>
      <c r="E319" s="91">
        <v>45770</v>
      </c>
      <c r="F319" s="97"/>
      <c r="G319" s="91"/>
      <c r="H319" s="91"/>
      <c r="I319" s="305" t="s">
        <v>26</v>
      </c>
      <c r="J319" s="92" t="s">
        <v>1109</v>
      </c>
      <c r="K319" s="92" t="s">
        <v>1179</v>
      </c>
      <c r="L319" s="305" t="s">
        <v>1057</v>
      </c>
      <c r="M319" s="369" t="s">
        <v>65</v>
      </c>
      <c r="N319" s="305" t="s">
        <v>127</v>
      </c>
      <c r="O319" s="305" t="s">
        <v>1058</v>
      </c>
      <c r="P319" s="158"/>
      <c r="Q319" s="305">
        <v>3.7</v>
      </c>
      <c r="R319" s="305"/>
      <c r="S319" s="305">
        <v>100</v>
      </c>
      <c r="T319" s="305"/>
      <c r="U319" s="305"/>
      <c r="V319" s="305"/>
      <c r="W319" s="305"/>
      <c r="X319" s="305"/>
      <c r="Y319" s="305"/>
      <c r="Z319" s="305"/>
      <c r="AA319" s="305"/>
      <c r="AB319" s="369"/>
      <c r="AC319" s="92" t="s">
        <v>1180</v>
      </c>
      <c r="AD319" s="369" t="s">
        <v>886</v>
      </c>
      <c r="AE319" s="118">
        <v>45746</v>
      </c>
      <c r="AF319" s="118"/>
      <c r="AG319" s="118">
        <v>45726</v>
      </c>
      <c r="AH319" s="93">
        <v>45746</v>
      </c>
      <c r="AI319" s="264">
        <v>45717</v>
      </c>
      <c r="AJ319" s="95" t="s">
        <v>131</v>
      </c>
      <c r="AK319" s="369" t="s">
        <v>366</v>
      </c>
      <c r="AL319" s="369" t="s">
        <v>778</v>
      </c>
      <c r="AM319" s="369" t="s">
        <v>209</v>
      </c>
      <c r="AN319" s="305"/>
      <c r="AO319" s="305"/>
      <c r="AP319" s="305"/>
      <c r="AQ319" s="291"/>
      <c r="AR319" s="305"/>
      <c r="AS319" s="305"/>
      <c r="AT319" s="91">
        <v>45715</v>
      </c>
      <c r="AU319" s="91">
        <v>45692</v>
      </c>
      <c r="AV319" s="91">
        <v>45699</v>
      </c>
      <c r="AW319" s="91">
        <v>45692</v>
      </c>
      <c r="AX319" s="305"/>
      <c r="AY319" s="305"/>
      <c r="AZ319" s="305"/>
      <c r="BA319" s="305"/>
      <c r="BB319" s="92"/>
      <c r="BC319" s="47"/>
      <c r="BD319" s="80" t="s">
        <v>816</v>
      </c>
      <c r="BE319" s="70"/>
      <c r="BF319" s="367"/>
      <c r="BG319" s="368"/>
      <c r="BH319" s="64" t="e">
        <f>#REF!</f>
        <v>#REF!</v>
      </c>
      <c r="BL319" s="73"/>
    </row>
    <row r="320" spans="1:64" s="59" customFormat="1" ht="36" customHeight="1" x14ac:dyDescent="0.3">
      <c r="A320" s="156">
        <f t="shared" si="5"/>
        <v>315</v>
      </c>
      <c r="B320" s="90" t="s">
        <v>1181</v>
      </c>
      <c r="C320" s="305" t="s">
        <v>6</v>
      </c>
      <c r="D320" s="305" t="s">
        <v>1182</v>
      </c>
      <c r="E320" s="91">
        <v>45736</v>
      </c>
      <c r="F320" s="97"/>
      <c r="G320" s="91"/>
      <c r="H320" s="91"/>
      <c r="I320" s="305" t="s">
        <v>26</v>
      </c>
      <c r="J320" s="92" t="s">
        <v>1109</v>
      </c>
      <c r="K320" s="92" t="s">
        <v>1179</v>
      </c>
      <c r="L320" s="305" t="s">
        <v>1057</v>
      </c>
      <c r="M320" s="369" t="s">
        <v>65</v>
      </c>
      <c r="N320" s="305" t="s">
        <v>127</v>
      </c>
      <c r="O320" s="305" t="s">
        <v>1058</v>
      </c>
      <c r="P320" s="158"/>
      <c r="Q320" s="305">
        <v>3.7</v>
      </c>
      <c r="R320" s="305"/>
      <c r="S320" s="305">
        <v>100</v>
      </c>
      <c r="T320" s="305"/>
      <c r="U320" s="305"/>
      <c r="V320" s="305"/>
      <c r="W320" s="305"/>
      <c r="X320" s="305"/>
      <c r="Y320" s="305"/>
      <c r="Z320" s="305"/>
      <c r="AA320" s="305"/>
      <c r="AB320" s="369"/>
      <c r="AC320" s="92" t="s">
        <v>1183</v>
      </c>
      <c r="AD320" s="369" t="s">
        <v>1079</v>
      </c>
      <c r="AE320" s="118">
        <v>45726</v>
      </c>
      <c r="AF320" s="118"/>
      <c r="AG320" s="118">
        <v>45726</v>
      </c>
      <c r="AH320" s="93">
        <v>45716</v>
      </c>
      <c r="AI320" s="264">
        <v>45689</v>
      </c>
      <c r="AJ320" s="95" t="s">
        <v>131</v>
      </c>
      <c r="AK320" s="369" t="s">
        <v>1064</v>
      </c>
      <c r="AL320" s="369"/>
      <c r="AM320" s="369" t="s">
        <v>209</v>
      </c>
      <c r="AN320" s="305"/>
      <c r="AO320" s="305"/>
      <c r="AP320" s="305"/>
      <c r="AQ320" s="291"/>
      <c r="AR320" s="305"/>
      <c r="AS320" s="305"/>
      <c r="AT320" s="91">
        <v>45706</v>
      </c>
      <c r="AU320" s="91">
        <v>45673</v>
      </c>
      <c r="AV320" s="91">
        <v>45691</v>
      </c>
      <c r="AW320" s="91">
        <v>45674</v>
      </c>
      <c r="AX320" s="305"/>
      <c r="AY320" s="305"/>
      <c r="AZ320" s="305"/>
      <c r="BA320" s="305"/>
      <c r="BB320" s="92"/>
      <c r="BC320" s="47"/>
      <c r="BD320" s="80" t="s">
        <v>816</v>
      </c>
      <c r="BE320" s="70"/>
      <c r="BF320" s="367"/>
      <c r="BG320" s="368"/>
      <c r="BH320" s="64" t="e">
        <f>#REF!</f>
        <v>#REF!</v>
      </c>
      <c r="BL320" s="73"/>
    </row>
    <row r="321" spans="1:64" s="59" customFormat="1" ht="36" customHeight="1" x14ac:dyDescent="0.3">
      <c r="A321" s="156">
        <f t="shared" si="5"/>
        <v>316</v>
      </c>
      <c r="B321" s="90" t="s">
        <v>1184</v>
      </c>
      <c r="C321" s="305" t="s">
        <v>6</v>
      </c>
      <c r="D321" s="305" t="s">
        <v>1182</v>
      </c>
      <c r="E321" s="91">
        <v>45770</v>
      </c>
      <c r="F321" s="97"/>
      <c r="G321" s="91"/>
      <c r="H321" s="91"/>
      <c r="I321" s="305" t="s">
        <v>26</v>
      </c>
      <c r="J321" s="92" t="s">
        <v>1109</v>
      </c>
      <c r="K321" s="92" t="s">
        <v>1179</v>
      </c>
      <c r="L321" s="305" t="s">
        <v>1057</v>
      </c>
      <c r="M321" s="369" t="s">
        <v>65</v>
      </c>
      <c r="N321" s="305" t="s">
        <v>127</v>
      </c>
      <c r="O321" s="305" t="s">
        <v>1058</v>
      </c>
      <c r="P321" s="158"/>
      <c r="Q321" s="305">
        <v>3.7</v>
      </c>
      <c r="R321" s="305"/>
      <c r="S321" s="305">
        <v>100</v>
      </c>
      <c r="T321" s="305"/>
      <c r="U321" s="305"/>
      <c r="V321" s="305"/>
      <c r="W321" s="305"/>
      <c r="X321" s="305"/>
      <c r="Y321" s="305"/>
      <c r="Z321" s="305"/>
      <c r="AA321" s="305"/>
      <c r="AB321" s="369"/>
      <c r="AC321" s="92" t="s">
        <v>1185</v>
      </c>
      <c r="AD321" s="369" t="s">
        <v>1121</v>
      </c>
      <c r="AE321" s="118">
        <v>45746</v>
      </c>
      <c r="AF321" s="118"/>
      <c r="AG321" s="118">
        <v>45726</v>
      </c>
      <c r="AH321" s="93">
        <v>45746</v>
      </c>
      <c r="AI321" s="264">
        <v>45717</v>
      </c>
      <c r="AJ321" s="95" t="s">
        <v>131</v>
      </c>
      <c r="AK321" s="369" t="s">
        <v>1122</v>
      </c>
      <c r="AL321" s="369" t="s">
        <v>830</v>
      </c>
      <c r="AM321" s="369" t="s">
        <v>209</v>
      </c>
      <c r="AN321" s="305"/>
      <c r="AO321" s="305"/>
      <c r="AP321" s="305"/>
      <c r="AQ321" s="291"/>
      <c r="AR321" s="305"/>
      <c r="AS321" s="305"/>
      <c r="AT321" s="91">
        <v>45716</v>
      </c>
      <c r="AU321" s="91">
        <v>45693</v>
      </c>
      <c r="AV321" s="91">
        <v>45698</v>
      </c>
      <c r="AW321" s="91">
        <v>45694</v>
      </c>
      <c r="AX321" s="305"/>
      <c r="AY321" s="305"/>
      <c r="AZ321" s="305"/>
      <c r="BA321" s="305"/>
      <c r="BB321" s="92"/>
      <c r="BC321" s="47"/>
      <c r="BD321" s="80" t="s">
        <v>816</v>
      </c>
      <c r="BE321" s="70"/>
      <c r="BF321" s="367"/>
      <c r="BG321" s="368"/>
      <c r="BH321" s="64" t="e">
        <f>#REF!</f>
        <v>#REF!</v>
      </c>
      <c r="BL321" s="73"/>
    </row>
    <row r="322" spans="1:64" s="59" customFormat="1" ht="36" customHeight="1" x14ac:dyDescent="0.3">
      <c r="A322" s="305">
        <f t="shared" si="5"/>
        <v>317</v>
      </c>
      <c r="B322" s="90" t="s">
        <v>1186</v>
      </c>
      <c r="C322" s="305" t="s">
        <v>6</v>
      </c>
      <c r="D322" s="305" t="s">
        <v>262</v>
      </c>
      <c r="E322" s="91"/>
      <c r="F322" s="97"/>
      <c r="G322" s="91"/>
      <c r="H322" s="91"/>
      <c r="I322" s="305" t="s">
        <v>26</v>
      </c>
      <c r="J322" s="92" t="s">
        <v>1109</v>
      </c>
      <c r="K322" s="92" t="s">
        <v>1179</v>
      </c>
      <c r="L322" s="305" t="s">
        <v>1057</v>
      </c>
      <c r="M322" s="369" t="s">
        <v>65</v>
      </c>
      <c r="N322" s="305" t="s">
        <v>127</v>
      </c>
      <c r="O322" s="305"/>
      <c r="P322" s="305"/>
      <c r="Q322" s="305"/>
      <c r="R322" s="305"/>
      <c r="S322" s="305"/>
      <c r="T322" s="305"/>
      <c r="U322" s="305"/>
      <c r="V322" s="305"/>
      <c r="W322" s="305"/>
      <c r="X322" s="305"/>
      <c r="Y322" s="305"/>
      <c r="Z322" s="305"/>
      <c r="AA322" s="305"/>
      <c r="AB322" s="369"/>
      <c r="AC322" s="92" t="s">
        <v>1180</v>
      </c>
      <c r="AD322" s="369" t="s">
        <v>886</v>
      </c>
      <c r="AE322" s="118"/>
      <c r="AF322" s="118"/>
      <c r="AG322" s="118"/>
      <c r="AH322" s="93"/>
      <c r="AI322" s="94">
        <v>0</v>
      </c>
      <c r="AJ322" s="95" t="s">
        <v>264</v>
      </c>
      <c r="AK322" s="369"/>
      <c r="AL322" s="369"/>
      <c r="AM322" s="369"/>
      <c r="AN322" s="305"/>
      <c r="AO322" s="305"/>
      <c r="AP322" s="305"/>
      <c r="AQ322" s="291"/>
      <c r="AR322" s="305"/>
      <c r="AS322" s="305"/>
      <c r="AT322" s="305"/>
      <c r="AU322" s="305"/>
      <c r="AV322" s="305"/>
      <c r="AW322" s="305"/>
      <c r="AX322" s="305"/>
      <c r="AY322" s="305"/>
      <c r="AZ322" s="305"/>
      <c r="BA322" s="305"/>
      <c r="BB322" s="92"/>
      <c r="BC322" s="47"/>
      <c r="BD322" s="80" t="s">
        <v>816</v>
      </c>
      <c r="BE322" s="70"/>
      <c r="BF322" s="367"/>
      <c r="BG322" s="368"/>
      <c r="BH322" s="64" t="e">
        <f>#REF!</f>
        <v>#REF!</v>
      </c>
      <c r="BL322" s="73"/>
    </row>
    <row r="323" spans="1:64" s="59" customFormat="1" ht="36" customHeight="1" x14ac:dyDescent="0.3">
      <c r="A323" s="156">
        <f t="shared" si="5"/>
        <v>318</v>
      </c>
      <c r="B323" s="90" t="s">
        <v>1187</v>
      </c>
      <c r="C323" s="305" t="s">
        <v>6</v>
      </c>
      <c r="D323" s="305" t="s">
        <v>1182</v>
      </c>
      <c r="E323" s="91">
        <v>45968</v>
      </c>
      <c r="F323" s="97">
        <v>45968</v>
      </c>
      <c r="G323" s="91"/>
      <c r="H323" s="91"/>
      <c r="I323" s="305" t="s">
        <v>26</v>
      </c>
      <c r="J323" s="92" t="s">
        <v>1109</v>
      </c>
      <c r="K323" s="92" t="s">
        <v>1179</v>
      </c>
      <c r="L323" s="305" t="s">
        <v>1057</v>
      </c>
      <c r="M323" s="369" t="s">
        <v>65</v>
      </c>
      <c r="N323" s="305" t="s">
        <v>127</v>
      </c>
      <c r="O323" s="305" t="s">
        <v>1058</v>
      </c>
      <c r="P323" s="158"/>
      <c r="Q323" s="305">
        <v>3.7</v>
      </c>
      <c r="R323" s="305"/>
      <c r="S323" s="305">
        <v>100</v>
      </c>
      <c r="T323" s="305">
        <v>12.1</v>
      </c>
      <c r="U323" s="305"/>
      <c r="V323" s="305"/>
      <c r="W323" s="305"/>
      <c r="X323" s="305" t="s">
        <v>1148</v>
      </c>
      <c r="Y323" s="305" t="s">
        <v>127</v>
      </c>
      <c r="Z323" s="305"/>
      <c r="AA323" s="305"/>
      <c r="AB323" s="369" t="s">
        <v>215</v>
      </c>
      <c r="AC323" s="92" t="s">
        <v>1188</v>
      </c>
      <c r="AD323" s="369" t="s">
        <v>1150</v>
      </c>
      <c r="AE323" s="118"/>
      <c r="AF323" s="118"/>
      <c r="AG323" s="118"/>
      <c r="AH323" s="93">
        <v>45899</v>
      </c>
      <c r="AI323" s="264" t="s">
        <v>1189</v>
      </c>
      <c r="AJ323" s="95" t="s">
        <v>131</v>
      </c>
      <c r="AK323" s="369" t="s">
        <v>265</v>
      </c>
      <c r="AL323" s="369"/>
      <c r="AM323" s="369" t="s">
        <v>209</v>
      </c>
      <c r="AN323" s="305"/>
      <c r="AO323" s="305"/>
      <c r="AP323" s="305"/>
      <c r="AQ323" s="291"/>
      <c r="AR323" s="305"/>
      <c r="AS323" s="305"/>
      <c r="AT323" s="305"/>
      <c r="AU323" s="305"/>
      <c r="AV323" s="305"/>
      <c r="AW323" s="305"/>
      <c r="AX323" s="305"/>
      <c r="AY323" s="305"/>
      <c r="AZ323" s="305"/>
      <c r="BA323" s="305"/>
      <c r="BB323" s="92"/>
      <c r="BC323" s="47"/>
      <c r="BD323" s="80" t="s">
        <v>816</v>
      </c>
      <c r="BE323" s="70"/>
      <c r="BF323" s="367"/>
      <c r="BG323" s="368"/>
      <c r="BH323" s="64" t="e">
        <f>#REF!</f>
        <v>#REF!</v>
      </c>
      <c r="BL323" s="73"/>
    </row>
    <row r="324" spans="1:64" s="59" customFormat="1" ht="36" customHeight="1" x14ac:dyDescent="0.3">
      <c r="A324" s="156">
        <f t="shared" si="5"/>
        <v>319</v>
      </c>
      <c r="B324" s="90" t="s">
        <v>1190</v>
      </c>
      <c r="C324" s="305" t="s">
        <v>6</v>
      </c>
      <c r="D324" s="305" t="s">
        <v>1182</v>
      </c>
      <c r="E324" s="91">
        <v>45927</v>
      </c>
      <c r="F324" s="97">
        <v>45933</v>
      </c>
      <c r="G324" s="91"/>
      <c r="H324" s="91"/>
      <c r="I324" s="305" t="s">
        <v>26</v>
      </c>
      <c r="J324" s="92" t="s">
        <v>1109</v>
      </c>
      <c r="K324" s="92" t="s">
        <v>1191</v>
      </c>
      <c r="L324" s="305" t="s">
        <v>1057</v>
      </c>
      <c r="M324" s="369" t="s">
        <v>120</v>
      </c>
      <c r="N324" s="305" t="s">
        <v>127</v>
      </c>
      <c r="O324" s="305" t="s">
        <v>1058</v>
      </c>
      <c r="P324" s="158"/>
      <c r="Q324" s="305">
        <v>3.7</v>
      </c>
      <c r="R324" s="305"/>
      <c r="S324" s="305">
        <v>100</v>
      </c>
      <c r="T324" s="305">
        <v>12.1</v>
      </c>
      <c r="U324" s="305"/>
      <c r="V324" s="305"/>
      <c r="W324" s="305"/>
      <c r="X324" s="305" t="s">
        <v>150</v>
      </c>
      <c r="Y324" s="305"/>
      <c r="Z324" s="305"/>
      <c r="AA324" s="305" t="s">
        <v>214</v>
      </c>
      <c r="AB324" s="369" t="s">
        <v>1096</v>
      </c>
      <c r="AC324" s="92" t="s">
        <v>1192</v>
      </c>
      <c r="AD324" s="369" t="s">
        <v>1154</v>
      </c>
      <c r="AE324" s="118"/>
      <c r="AF324" s="118"/>
      <c r="AG324" s="118">
        <v>45757</v>
      </c>
      <c r="AH324" s="93">
        <v>45894</v>
      </c>
      <c r="AI324" s="264">
        <v>45839</v>
      </c>
      <c r="AJ324" s="95" t="s">
        <v>131</v>
      </c>
      <c r="AK324" s="369" t="s">
        <v>200</v>
      </c>
      <c r="AL324" s="369" t="s">
        <v>154</v>
      </c>
      <c r="AM324" s="369" t="s">
        <v>134</v>
      </c>
      <c r="AN324" s="305"/>
      <c r="AO324" s="305"/>
      <c r="AP324" s="305"/>
      <c r="AQ324" s="291"/>
      <c r="AR324" s="305"/>
      <c r="AS324" s="305"/>
      <c r="AT324" s="91">
        <v>45899</v>
      </c>
      <c r="AU324" s="91">
        <v>45861</v>
      </c>
      <c r="AV324" s="91">
        <v>45880</v>
      </c>
      <c r="AW324" s="91">
        <v>45883</v>
      </c>
      <c r="AX324" s="305"/>
      <c r="AY324" s="305"/>
      <c r="AZ324" s="305"/>
      <c r="BA324" s="305"/>
      <c r="BB324" s="92" t="s">
        <v>1114</v>
      </c>
      <c r="BC324" s="47"/>
      <c r="BD324" s="80" t="s">
        <v>816</v>
      </c>
      <c r="BE324" s="70"/>
      <c r="BF324" s="367"/>
      <c r="BG324" s="368"/>
      <c r="BH324" s="64" t="e">
        <f>#REF!</f>
        <v>#REF!</v>
      </c>
      <c r="BL324" s="73"/>
    </row>
    <row r="325" spans="1:64" s="59" customFormat="1" ht="36" customHeight="1" x14ac:dyDescent="0.3">
      <c r="A325" s="156">
        <f t="shared" si="5"/>
        <v>320</v>
      </c>
      <c r="B325" s="90" t="s">
        <v>1193</v>
      </c>
      <c r="C325" s="305" t="s">
        <v>6</v>
      </c>
      <c r="D325" s="305" t="s">
        <v>1182</v>
      </c>
      <c r="E325" s="91">
        <v>45789</v>
      </c>
      <c r="F325" s="97">
        <v>45789</v>
      </c>
      <c r="G325" s="91"/>
      <c r="H325" s="91"/>
      <c r="I325" s="305" t="s">
        <v>26</v>
      </c>
      <c r="J325" s="92" t="s">
        <v>1109</v>
      </c>
      <c r="K325" s="92" t="s">
        <v>1191</v>
      </c>
      <c r="L325" s="305" t="s">
        <v>1057</v>
      </c>
      <c r="M325" s="369" t="s">
        <v>120</v>
      </c>
      <c r="N325" s="305" t="s">
        <v>127</v>
      </c>
      <c r="O325" s="305" t="s">
        <v>1058</v>
      </c>
      <c r="P325" s="158"/>
      <c r="Q325" s="305">
        <v>3.7</v>
      </c>
      <c r="R325" s="305"/>
      <c r="S325" s="305">
        <v>100</v>
      </c>
      <c r="T325" s="305"/>
      <c r="U325" s="305"/>
      <c r="V325" s="305"/>
      <c r="W325" s="305"/>
      <c r="X325" s="305"/>
      <c r="Y325" s="305"/>
      <c r="Z325" s="305" t="s">
        <v>127</v>
      </c>
      <c r="AA325" s="305"/>
      <c r="AB325" s="369"/>
      <c r="AC325" s="92" t="s">
        <v>1194</v>
      </c>
      <c r="AD325" s="369" t="s">
        <v>1121</v>
      </c>
      <c r="AE325" s="118"/>
      <c r="AF325" s="118"/>
      <c r="AG325" s="118">
        <v>45757</v>
      </c>
      <c r="AH325" s="93">
        <v>45777</v>
      </c>
      <c r="AI325" s="264">
        <v>45748</v>
      </c>
      <c r="AJ325" s="95" t="s">
        <v>131</v>
      </c>
      <c r="AK325" s="369" t="s">
        <v>1122</v>
      </c>
      <c r="AL325" s="369" t="s">
        <v>830</v>
      </c>
      <c r="AM325" s="369" t="s">
        <v>209</v>
      </c>
      <c r="AN325" s="305"/>
      <c r="AO325" s="305"/>
      <c r="AP325" s="305"/>
      <c r="AQ325" s="291"/>
      <c r="AR325" s="305"/>
      <c r="AS325" s="305"/>
      <c r="AT325" s="91">
        <v>45757</v>
      </c>
      <c r="AU325" s="91">
        <v>45722</v>
      </c>
      <c r="AV325" s="91">
        <v>45722</v>
      </c>
      <c r="AW325" s="91">
        <v>45722</v>
      </c>
      <c r="AX325" s="305"/>
      <c r="AY325" s="305"/>
      <c r="AZ325" s="305"/>
      <c r="BA325" s="305"/>
      <c r="BB325" s="92"/>
      <c r="BC325" s="47"/>
      <c r="BD325" s="80" t="s">
        <v>816</v>
      </c>
      <c r="BE325" s="70"/>
      <c r="BF325" s="367"/>
      <c r="BG325" s="368"/>
      <c r="BH325" s="64" t="e">
        <f>#REF!</f>
        <v>#REF!</v>
      </c>
      <c r="BL325" s="73"/>
    </row>
    <row r="326" spans="1:64" s="59" customFormat="1" ht="36" customHeight="1" x14ac:dyDescent="0.3">
      <c r="A326" s="156">
        <f t="shared" si="5"/>
        <v>321</v>
      </c>
      <c r="B326" s="90" t="s">
        <v>1195</v>
      </c>
      <c r="C326" s="305" t="s">
        <v>6</v>
      </c>
      <c r="D326" s="305" t="s">
        <v>1196</v>
      </c>
      <c r="E326" s="91">
        <v>45789</v>
      </c>
      <c r="F326" s="97">
        <v>45789</v>
      </c>
      <c r="G326" s="91"/>
      <c r="H326" s="91"/>
      <c r="I326" s="305" t="s">
        <v>26</v>
      </c>
      <c r="J326" s="92" t="s">
        <v>1109</v>
      </c>
      <c r="K326" s="92" t="s">
        <v>1191</v>
      </c>
      <c r="L326" s="305" t="s">
        <v>1057</v>
      </c>
      <c r="M326" s="369" t="s">
        <v>120</v>
      </c>
      <c r="N326" s="305" t="s">
        <v>127</v>
      </c>
      <c r="O326" s="305" t="s">
        <v>1058</v>
      </c>
      <c r="P326" s="158"/>
      <c r="Q326" s="305">
        <v>3.7</v>
      </c>
      <c r="R326" s="305"/>
      <c r="S326" s="305">
        <v>100</v>
      </c>
      <c r="T326" s="305"/>
      <c r="U326" s="305"/>
      <c r="V326" s="305"/>
      <c r="W326" s="305"/>
      <c r="X326" s="305"/>
      <c r="Y326" s="305"/>
      <c r="Z326" s="305" t="s">
        <v>127</v>
      </c>
      <c r="AA326" s="305"/>
      <c r="AB326" s="369"/>
      <c r="AC326" s="92" t="s">
        <v>1194</v>
      </c>
      <c r="AD326" s="369" t="s">
        <v>1121</v>
      </c>
      <c r="AE326" s="118"/>
      <c r="AF326" s="118"/>
      <c r="AG326" s="118">
        <v>45757</v>
      </c>
      <c r="AH326" s="93">
        <v>45777</v>
      </c>
      <c r="AI326" s="264">
        <v>45748</v>
      </c>
      <c r="AJ326" s="95" t="s">
        <v>131</v>
      </c>
      <c r="AK326" s="369" t="s">
        <v>1122</v>
      </c>
      <c r="AL326" s="369" t="s">
        <v>830</v>
      </c>
      <c r="AM326" s="369" t="s">
        <v>209</v>
      </c>
      <c r="AN326" s="305"/>
      <c r="AO326" s="305"/>
      <c r="AP326" s="305"/>
      <c r="AQ326" s="291"/>
      <c r="AR326" s="305"/>
      <c r="AS326" s="305"/>
      <c r="AT326" s="91">
        <v>45757</v>
      </c>
      <c r="AU326" s="91">
        <v>45722</v>
      </c>
      <c r="AV326" s="91">
        <v>45722</v>
      </c>
      <c r="AW326" s="91">
        <v>45722</v>
      </c>
      <c r="AX326" s="305"/>
      <c r="AY326" s="305"/>
      <c r="AZ326" s="305"/>
      <c r="BA326" s="305"/>
      <c r="BB326" s="92"/>
      <c r="BC326" s="47"/>
      <c r="BD326" s="80" t="s">
        <v>816</v>
      </c>
      <c r="BE326" s="70"/>
      <c r="BF326" s="367"/>
      <c r="BG326" s="368"/>
      <c r="BH326" s="64" t="e">
        <f>#REF!</f>
        <v>#REF!</v>
      </c>
      <c r="BL326" s="73"/>
    </row>
    <row r="327" spans="1:64" s="59" customFormat="1" ht="36" customHeight="1" x14ac:dyDescent="0.3">
      <c r="A327" s="156">
        <f t="shared" si="5"/>
        <v>322</v>
      </c>
      <c r="B327" s="90" t="s">
        <v>1197</v>
      </c>
      <c r="C327" s="305" t="s">
        <v>6</v>
      </c>
      <c r="D327" s="305" t="s">
        <v>1196</v>
      </c>
      <c r="E327" s="91">
        <v>45773</v>
      </c>
      <c r="F327" s="97">
        <v>45789</v>
      </c>
      <c r="G327" s="91"/>
      <c r="H327" s="91"/>
      <c r="I327" s="305" t="s">
        <v>26</v>
      </c>
      <c r="J327" s="92" t="s">
        <v>1109</v>
      </c>
      <c r="K327" s="92" t="s">
        <v>1191</v>
      </c>
      <c r="L327" s="305" t="s">
        <v>1057</v>
      </c>
      <c r="M327" s="369" t="s">
        <v>120</v>
      </c>
      <c r="N327" s="305" t="s">
        <v>127</v>
      </c>
      <c r="O327" s="305" t="s">
        <v>1058</v>
      </c>
      <c r="P327" s="158"/>
      <c r="Q327" s="305">
        <v>3.7</v>
      </c>
      <c r="R327" s="305"/>
      <c r="S327" s="305">
        <v>100</v>
      </c>
      <c r="T327" s="305"/>
      <c r="U327" s="305"/>
      <c r="V327" s="305"/>
      <c r="W327" s="305"/>
      <c r="X327" s="305"/>
      <c r="Y327" s="305"/>
      <c r="Z327" s="305" t="s">
        <v>127</v>
      </c>
      <c r="AA327" s="305"/>
      <c r="AB327" s="369"/>
      <c r="AC327" s="92" t="s">
        <v>1198</v>
      </c>
      <c r="AD327" s="369" t="s">
        <v>886</v>
      </c>
      <c r="AE327" s="118"/>
      <c r="AF327" s="118"/>
      <c r="AG327" s="118">
        <v>45757</v>
      </c>
      <c r="AH327" s="93">
        <v>45746</v>
      </c>
      <c r="AI327" s="264">
        <v>45717</v>
      </c>
      <c r="AJ327" s="95" t="s">
        <v>131</v>
      </c>
      <c r="AK327" s="369" t="s">
        <v>366</v>
      </c>
      <c r="AL327" s="369" t="s">
        <v>778</v>
      </c>
      <c r="AM327" s="369" t="s">
        <v>209</v>
      </c>
      <c r="AN327" s="305"/>
      <c r="AO327" s="305"/>
      <c r="AP327" s="305"/>
      <c r="AQ327" s="291"/>
      <c r="AR327" s="305"/>
      <c r="AS327" s="305"/>
      <c r="AT327" s="91">
        <v>45715</v>
      </c>
      <c r="AU327" s="91">
        <v>45692</v>
      </c>
      <c r="AV327" s="91">
        <v>45699</v>
      </c>
      <c r="AW327" s="91">
        <v>45692</v>
      </c>
      <c r="AX327" s="305"/>
      <c r="AY327" s="305"/>
      <c r="AZ327" s="305"/>
      <c r="BA327" s="305"/>
      <c r="BB327" s="92"/>
      <c r="BC327" s="47"/>
      <c r="BD327" s="80" t="s">
        <v>816</v>
      </c>
      <c r="BE327" s="70"/>
      <c r="BF327" s="367"/>
      <c r="BG327" s="368"/>
      <c r="BH327" s="64" t="e">
        <f>#REF!</f>
        <v>#REF!</v>
      </c>
      <c r="BL327" s="73"/>
    </row>
    <row r="328" spans="1:64" s="59" customFormat="1" ht="36" customHeight="1" x14ac:dyDescent="0.3">
      <c r="A328" s="156">
        <f t="shared" si="5"/>
        <v>323</v>
      </c>
      <c r="B328" s="90" t="s">
        <v>1199</v>
      </c>
      <c r="C328" s="305" t="s">
        <v>6</v>
      </c>
      <c r="D328" s="305" t="s">
        <v>1196</v>
      </c>
      <c r="E328" s="91">
        <v>45773</v>
      </c>
      <c r="F328" s="97">
        <v>45789</v>
      </c>
      <c r="G328" s="91"/>
      <c r="H328" s="91"/>
      <c r="I328" s="305" t="s">
        <v>26</v>
      </c>
      <c r="J328" s="92" t="s">
        <v>1109</v>
      </c>
      <c r="K328" s="92" t="s">
        <v>1191</v>
      </c>
      <c r="L328" s="305" t="s">
        <v>1057</v>
      </c>
      <c r="M328" s="369" t="s">
        <v>120</v>
      </c>
      <c r="N328" s="305" t="s">
        <v>127</v>
      </c>
      <c r="O328" s="305" t="s">
        <v>1058</v>
      </c>
      <c r="P328" s="158"/>
      <c r="Q328" s="305">
        <v>3.7</v>
      </c>
      <c r="R328" s="305"/>
      <c r="S328" s="305">
        <v>100</v>
      </c>
      <c r="T328" s="305"/>
      <c r="U328" s="305"/>
      <c r="V328" s="305"/>
      <c r="W328" s="305"/>
      <c r="X328" s="305"/>
      <c r="Y328" s="305"/>
      <c r="Z328" s="305" t="s">
        <v>127</v>
      </c>
      <c r="AA328" s="305"/>
      <c r="AB328" s="369"/>
      <c r="AC328" s="92" t="s">
        <v>1200</v>
      </c>
      <c r="AD328" s="369" t="s">
        <v>1163</v>
      </c>
      <c r="AE328" s="118">
        <v>45746</v>
      </c>
      <c r="AF328" s="118"/>
      <c r="AG328" s="118">
        <v>45757</v>
      </c>
      <c r="AH328" s="93">
        <v>45736</v>
      </c>
      <c r="AI328" s="264">
        <v>45717</v>
      </c>
      <c r="AJ328" s="95" t="s">
        <v>131</v>
      </c>
      <c r="AK328" s="369" t="s">
        <v>1064</v>
      </c>
      <c r="AL328" s="369" t="s">
        <v>778</v>
      </c>
      <c r="AM328" s="369" t="s">
        <v>209</v>
      </c>
      <c r="AN328" s="305"/>
      <c r="AO328" s="305"/>
      <c r="AP328" s="305"/>
      <c r="AQ328" s="291"/>
      <c r="AR328" s="305"/>
      <c r="AS328" s="305"/>
      <c r="AT328" s="91">
        <v>45716</v>
      </c>
      <c r="AU328" s="91">
        <v>45699</v>
      </c>
      <c r="AV328" s="91">
        <v>45707</v>
      </c>
      <c r="AW328" s="91">
        <v>45698</v>
      </c>
      <c r="AX328" s="305"/>
      <c r="AY328" s="305"/>
      <c r="AZ328" s="305"/>
      <c r="BA328" s="305"/>
      <c r="BB328" s="92"/>
      <c r="BC328" s="47"/>
      <c r="BD328" s="80" t="s">
        <v>816</v>
      </c>
      <c r="BE328" s="70"/>
      <c r="BF328" s="367"/>
      <c r="BG328" s="368"/>
      <c r="BH328" s="64" t="e">
        <f>#REF!</f>
        <v>#REF!</v>
      </c>
      <c r="BL328" s="73"/>
    </row>
    <row r="329" spans="1:64" s="59" customFormat="1" ht="36" customHeight="1" x14ac:dyDescent="0.3">
      <c r="A329" s="156">
        <f t="shared" ref="A329:A392" si="6">ROW(B329)-ROW($B$5)</f>
        <v>324</v>
      </c>
      <c r="B329" s="90" t="s">
        <v>1201</v>
      </c>
      <c r="C329" s="305" t="s">
        <v>6</v>
      </c>
      <c r="D329" s="305" t="s">
        <v>1196</v>
      </c>
      <c r="E329" s="91">
        <v>45745</v>
      </c>
      <c r="F329" s="97">
        <v>45815</v>
      </c>
      <c r="G329" s="91"/>
      <c r="H329" s="91"/>
      <c r="I329" s="305" t="s">
        <v>26</v>
      </c>
      <c r="J329" s="92" t="s">
        <v>1109</v>
      </c>
      <c r="K329" s="92" t="s">
        <v>1202</v>
      </c>
      <c r="L329" s="305" t="s">
        <v>1057</v>
      </c>
      <c r="M329" s="369" t="s">
        <v>120</v>
      </c>
      <c r="N329" s="305" t="s">
        <v>127</v>
      </c>
      <c r="O329" s="305" t="s">
        <v>1058</v>
      </c>
      <c r="P329" s="158"/>
      <c r="Q329" s="305">
        <v>2.4</v>
      </c>
      <c r="R329" s="305"/>
      <c r="S329" s="305">
        <v>100</v>
      </c>
      <c r="T329" s="305"/>
      <c r="U329" s="305"/>
      <c r="V329" s="305"/>
      <c r="W329" s="305"/>
      <c r="X329" s="305"/>
      <c r="Y329" s="305"/>
      <c r="Z329" s="305" t="s">
        <v>127</v>
      </c>
      <c r="AA329" s="305"/>
      <c r="AB329" s="104"/>
      <c r="AC329" s="92" t="s">
        <v>1203</v>
      </c>
      <c r="AD329" s="369" t="s">
        <v>238</v>
      </c>
      <c r="AE329" s="118">
        <v>45741</v>
      </c>
      <c r="AF329" s="118"/>
      <c r="AG329" s="118">
        <v>45757</v>
      </c>
      <c r="AH329" s="93">
        <v>45716</v>
      </c>
      <c r="AI329" s="264">
        <v>45689</v>
      </c>
      <c r="AJ329" s="95" t="s">
        <v>131</v>
      </c>
      <c r="AK329" s="369" t="s">
        <v>366</v>
      </c>
      <c r="AL329" s="369" t="s">
        <v>778</v>
      </c>
      <c r="AM329" s="369" t="s">
        <v>209</v>
      </c>
      <c r="AN329" s="305"/>
      <c r="AO329" s="305"/>
      <c r="AP329" s="305"/>
      <c r="AQ329" s="291"/>
      <c r="AR329" s="305"/>
      <c r="AS329" s="305"/>
      <c r="AT329" s="91">
        <v>45695</v>
      </c>
      <c r="AU329" s="91">
        <v>45677</v>
      </c>
      <c r="AV329" s="91">
        <v>45677</v>
      </c>
      <c r="AW329" s="91">
        <v>45671</v>
      </c>
      <c r="AX329" s="305"/>
      <c r="AY329" s="305"/>
      <c r="AZ329" s="305"/>
      <c r="BA329" s="305"/>
      <c r="BB329" s="92"/>
      <c r="BC329" s="47"/>
      <c r="BD329" s="80" t="s">
        <v>816</v>
      </c>
      <c r="BE329" s="70"/>
      <c r="BF329" s="367"/>
      <c r="BG329" s="368"/>
      <c r="BH329" s="64" t="e">
        <f>#REF!</f>
        <v>#REF!</v>
      </c>
      <c r="BL329" s="73"/>
    </row>
    <row r="330" spans="1:64" s="59" customFormat="1" ht="36" customHeight="1" x14ac:dyDescent="0.3">
      <c r="A330" s="156">
        <f t="shared" si="6"/>
        <v>325</v>
      </c>
      <c r="B330" s="90" t="s">
        <v>1204</v>
      </c>
      <c r="C330" s="305" t="s">
        <v>6</v>
      </c>
      <c r="D330" s="305" t="s">
        <v>1196</v>
      </c>
      <c r="E330" s="91">
        <v>45770</v>
      </c>
      <c r="F330" s="97">
        <v>45815</v>
      </c>
      <c r="G330" s="91"/>
      <c r="H330" s="91"/>
      <c r="I330" s="305" t="s">
        <v>26</v>
      </c>
      <c r="J330" s="92" t="s">
        <v>1109</v>
      </c>
      <c r="K330" s="92" t="s">
        <v>1202</v>
      </c>
      <c r="L330" s="305" t="s">
        <v>1057</v>
      </c>
      <c r="M330" s="369" t="s">
        <v>120</v>
      </c>
      <c r="N330" s="305" t="s">
        <v>127</v>
      </c>
      <c r="O330" s="305" t="s">
        <v>1058</v>
      </c>
      <c r="P330" s="158"/>
      <c r="Q330" s="305">
        <v>2.4</v>
      </c>
      <c r="R330" s="305"/>
      <c r="S330" s="305">
        <v>100</v>
      </c>
      <c r="T330" s="110"/>
      <c r="U330" s="110"/>
      <c r="V330" s="110"/>
      <c r="W330" s="110"/>
      <c r="X330" s="305"/>
      <c r="Y330" s="305"/>
      <c r="Z330" s="305" t="s">
        <v>127</v>
      </c>
      <c r="AA330" s="305"/>
      <c r="AB330" s="369"/>
      <c r="AC330" s="92" t="s">
        <v>1205</v>
      </c>
      <c r="AD330" s="369" t="s">
        <v>1121</v>
      </c>
      <c r="AE330" s="118">
        <v>45746</v>
      </c>
      <c r="AF330" s="118"/>
      <c r="AG330" s="118">
        <v>45757</v>
      </c>
      <c r="AH330" s="93">
        <v>45746</v>
      </c>
      <c r="AI330" s="264">
        <v>45717</v>
      </c>
      <c r="AJ330" s="95" t="s">
        <v>131</v>
      </c>
      <c r="AK330" s="369" t="s">
        <v>1122</v>
      </c>
      <c r="AL330" s="369" t="s">
        <v>830</v>
      </c>
      <c r="AM330" s="369" t="s">
        <v>209</v>
      </c>
      <c r="AN330" s="305"/>
      <c r="AO330" s="305"/>
      <c r="AP330" s="305"/>
      <c r="AQ330" s="291"/>
      <c r="AR330" s="305"/>
      <c r="AS330" s="305"/>
      <c r="AT330" s="91">
        <v>45716</v>
      </c>
      <c r="AU330" s="91">
        <v>45693</v>
      </c>
      <c r="AV330" s="91">
        <v>45698</v>
      </c>
      <c r="AW330" s="91">
        <v>45694</v>
      </c>
      <c r="AX330" s="305"/>
      <c r="AY330" s="305"/>
      <c r="AZ330" s="305"/>
      <c r="BA330" s="305"/>
      <c r="BB330" s="92"/>
      <c r="BC330" s="47"/>
      <c r="BD330" s="80" t="s">
        <v>816</v>
      </c>
      <c r="BE330" s="70"/>
      <c r="BF330" s="367"/>
      <c r="BG330" s="368"/>
      <c r="BH330" s="64" t="e">
        <f>#REF!</f>
        <v>#REF!</v>
      </c>
      <c r="BL330" s="73"/>
    </row>
    <row r="331" spans="1:64" s="59" customFormat="1" ht="36" customHeight="1" x14ac:dyDescent="0.3">
      <c r="A331" s="156">
        <f t="shared" si="6"/>
        <v>326</v>
      </c>
      <c r="B331" s="90" t="s">
        <v>1206</v>
      </c>
      <c r="C331" s="305" t="s">
        <v>6</v>
      </c>
      <c r="D331" s="305" t="s">
        <v>1207</v>
      </c>
      <c r="E331" s="91">
        <v>45770</v>
      </c>
      <c r="F331" s="91">
        <v>45815</v>
      </c>
      <c r="G331" s="91"/>
      <c r="H331" s="91"/>
      <c r="I331" s="305" t="s">
        <v>26</v>
      </c>
      <c r="J331" s="92" t="s">
        <v>1109</v>
      </c>
      <c r="K331" s="92" t="s">
        <v>1202</v>
      </c>
      <c r="L331" s="305" t="s">
        <v>1057</v>
      </c>
      <c r="M331" s="369" t="s">
        <v>120</v>
      </c>
      <c r="N331" s="305" t="s">
        <v>127</v>
      </c>
      <c r="O331" s="305" t="s">
        <v>1058</v>
      </c>
      <c r="P331" s="158"/>
      <c r="Q331" s="305">
        <v>2.4</v>
      </c>
      <c r="R331" s="305"/>
      <c r="S331" s="305">
        <v>100</v>
      </c>
      <c r="T331" s="305"/>
      <c r="U331" s="305"/>
      <c r="V331" s="305"/>
      <c r="W331" s="305"/>
      <c r="X331" s="305"/>
      <c r="Y331" s="305"/>
      <c r="Z331" s="305" t="s">
        <v>127</v>
      </c>
      <c r="AA331" s="305"/>
      <c r="AB331" s="369"/>
      <c r="AC331" s="92" t="s">
        <v>1205</v>
      </c>
      <c r="AD331" s="369" t="s">
        <v>1121</v>
      </c>
      <c r="AE331" s="118">
        <v>45746</v>
      </c>
      <c r="AF331" s="118"/>
      <c r="AG331" s="118">
        <v>45757</v>
      </c>
      <c r="AH331" s="93">
        <v>45746</v>
      </c>
      <c r="AI331" s="264">
        <v>45717</v>
      </c>
      <c r="AJ331" s="95" t="s">
        <v>131</v>
      </c>
      <c r="AK331" s="369" t="s">
        <v>1122</v>
      </c>
      <c r="AL331" s="369" t="s">
        <v>830</v>
      </c>
      <c r="AM331" s="369" t="s">
        <v>209</v>
      </c>
      <c r="AN331" s="305"/>
      <c r="AO331" s="305"/>
      <c r="AP331" s="305"/>
      <c r="AQ331" s="291"/>
      <c r="AR331" s="305"/>
      <c r="AS331" s="305"/>
      <c r="AT331" s="91">
        <v>45716</v>
      </c>
      <c r="AU331" s="91">
        <v>45693</v>
      </c>
      <c r="AV331" s="91">
        <v>45698</v>
      </c>
      <c r="AW331" s="91">
        <v>45694</v>
      </c>
      <c r="AX331" s="305"/>
      <c r="AY331" s="305"/>
      <c r="AZ331" s="305"/>
      <c r="BA331" s="305"/>
      <c r="BB331" s="92"/>
      <c r="BC331" s="47"/>
      <c r="BD331" s="80" t="s">
        <v>816</v>
      </c>
      <c r="BE331" s="70"/>
      <c r="BF331" s="367"/>
      <c r="BG331" s="368"/>
      <c r="BH331" s="64" t="e">
        <f>#REF!</f>
        <v>#REF!</v>
      </c>
      <c r="BL331" s="73"/>
    </row>
    <row r="332" spans="1:64" s="59" customFormat="1" ht="36" customHeight="1" x14ac:dyDescent="0.3">
      <c r="A332" s="156">
        <f t="shared" si="6"/>
        <v>327</v>
      </c>
      <c r="B332" s="90" t="s">
        <v>1208</v>
      </c>
      <c r="C332" s="305" t="s">
        <v>6</v>
      </c>
      <c r="D332" s="305" t="s">
        <v>1207</v>
      </c>
      <c r="E332" s="91">
        <v>45770</v>
      </c>
      <c r="F332" s="91">
        <v>45815</v>
      </c>
      <c r="G332" s="91"/>
      <c r="H332" s="91"/>
      <c r="I332" s="305" t="s">
        <v>26</v>
      </c>
      <c r="J332" s="92" t="s">
        <v>1109</v>
      </c>
      <c r="K332" s="92" t="s">
        <v>1202</v>
      </c>
      <c r="L332" s="305" t="s">
        <v>1057</v>
      </c>
      <c r="M332" s="369" t="s">
        <v>120</v>
      </c>
      <c r="N332" s="305" t="s">
        <v>127</v>
      </c>
      <c r="O332" s="305" t="s">
        <v>1058</v>
      </c>
      <c r="P332" s="158"/>
      <c r="Q332" s="305">
        <v>2.4</v>
      </c>
      <c r="R332" s="305"/>
      <c r="S332" s="305">
        <v>100</v>
      </c>
      <c r="T332" s="305"/>
      <c r="U332" s="305"/>
      <c r="V332" s="305"/>
      <c r="W332" s="305"/>
      <c r="X332" s="305"/>
      <c r="Y332" s="305"/>
      <c r="Z332" s="305" t="s">
        <v>127</v>
      </c>
      <c r="AA332" s="305"/>
      <c r="AB332" s="369"/>
      <c r="AC332" s="92" t="s">
        <v>1205</v>
      </c>
      <c r="AD332" s="369" t="s">
        <v>1121</v>
      </c>
      <c r="AE332" s="118">
        <v>45746</v>
      </c>
      <c r="AF332" s="118"/>
      <c r="AG332" s="118">
        <v>45757</v>
      </c>
      <c r="AH332" s="93">
        <v>45746</v>
      </c>
      <c r="AI332" s="264">
        <v>45717</v>
      </c>
      <c r="AJ332" s="95" t="s">
        <v>131</v>
      </c>
      <c r="AK332" s="369" t="s">
        <v>1122</v>
      </c>
      <c r="AL332" s="369" t="s">
        <v>830</v>
      </c>
      <c r="AM332" s="369" t="s">
        <v>209</v>
      </c>
      <c r="AN332" s="305"/>
      <c r="AO332" s="305"/>
      <c r="AP332" s="305"/>
      <c r="AQ332" s="291"/>
      <c r="AR332" s="305"/>
      <c r="AS332" s="305"/>
      <c r="AT332" s="91">
        <v>45716</v>
      </c>
      <c r="AU332" s="91">
        <v>45693</v>
      </c>
      <c r="AV332" s="91">
        <v>45698</v>
      </c>
      <c r="AW332" s="91">
        <v>45694</v>
      </c>
      <c r="AX332" s="305"/>
      <c r="AY332" s="305"/>
      <c r="AZ332" s="305"/>
      <c r="BA332" s="305"/>
      <c r="BB332" s="92"/>
      <c r="BC332" s="47"/>
      <c r="BD332" s="80" t="s">
        <v>816</v>
      </c>
      <c r="BE332" s="70"/>
      <c r="BF332" s="367"/>
      <c r="BG332" s="368"/>
      <c r="BH332" s="64" t="e">
        <f>#REF!</f>
        <v>#REF!</v>
      </c>
      <c r="BL332" s="73"/>
    </row>
    <row r="333" spans="1:64" s="59" customFormat="1" ht="36" customHeight="1" x14ac:dyDescent="0.3">
      <c r="A333" s="156">
        <f t="shared" si="6"/>
        <v>328</v>
      </c>
      <c r="B333" s="90" t="s">
        <v>1209</v>
      </c>
      <c r="C333" s="305" t="s">
        <v>6</v>
      </c>
      <c r="D333" s="305" t="s">
        <v>1207</v>
      </c>
      <c r="E333" s="91">
        <v>45773</v>
      </c>
      <c r="F333" s="97">
        <v>45789</v>
      </c>
      <c r="G333" s="91"/>
      <c r="H333" s="91"/>
      <c r="I333" s="305" t="s">
        <v>26</v>
      </c>
      <c r="J333" s="92" t="s">
        <v>1109</v>
      </c>
      <c r="K333" s="92" t="s">
        <v>1202</v>
      </c>
      <c r="L333" s="305" t="s">
        <v>1057</v>
      </c>
      <c r="M333" s="369" t="s">
        <v>120</v>
      </c>
      <c r="N333" s="305" t="s">
        <v>127</v>
      </c>
      <c r="O333" s="305" t="s">
        <v>1058</v>
      </c>
      <c r="P333" s="158"/>
      <c r="Q333" s="305">
        <v>2.4</v>
      </c>
      <c r="R333" s="305"/>
      <c r="S333" s="305">
        <v>100</v>
      </c>
      <c r="T333" s="305"/>
      <c r="U333" s="305"/>
      <c r="V333" s="305"/>
      <c r="W333" s="305"/>
      <c r="X333" s="305"/>
      <c r="Y333" s="305"/>
      <c r="Z333" s="305" t="s">
        <v>127</v>
      </c>
      <c r="AA333" s="305"/>
      <c r="AB333" s="369"/>
      <c r="AC333" s="92" t="s">
        <v>1210</v>
      </c>
      <c r="AD333" s="369" t="s">
        <v>886</v>
      </c>
      <c r="AE333" s="118"/>
      <c r="AF333" s="118"/>
      <c r="AG333" s="118">
        <v>45757</v>
      </c>
      <c r="AH333" s="93">
        <v>45746</v>
      </c>
      <c r="AI333" s="264">
        <v>45717</v>
      </c>
      <c r="AJ333" s="95" t="s">
        <v>131</v>
      </c>
      <c r="AK333" s="369" t="s">
        <v>366</v>
      </c>
      <c r="AL333" s="369" t="s">
        <v>778</v>
      </c>
      <c r="AM333" s="369" t="s">
        <v>209</v>
      </c>
      <c r="AN333" s="305"/>
      <c r="AO333" s="305"/>
      <c r="AP333" s="305"/>
      <c r="AQ333" s="291"/>
      <c r="AR333" s="305"/>
      <c r="AS333" s="305"/>
      <c r="AT333" s="91">
        <v>45715</v>
      </c>
      <c r="AU333" s="91">
        <v>45692</v>
      </c>
      <c r="AV333" s="91">
        <v>45699</v>
      </c>
      <c r="AW333" s="91">
        <v>45692</v>
      </c>
      <c r="AX333" s="305"/>
      <c r="AY333" s="305"/>
      <c r="AZ333" s="305"/>
      <c r="BA333" s="305"/>
      <c r="BB333" s="92"/>
      <c r="BC333" s="47"/>
      <c r="BD333" s="80" t="s">
        <v>816</v>
      </c>
      <c r="BE333" s="70"/>
      <c r="BF333" s="367"/>
      <c r="BG333" s="368"/>
      <c r="BH333" s="64" t="e">
        <f>#REF!</f>
        <v>#REF!</v>
      </c>
      <c r="BL333" s="73"/>
    </row>
    <row r="334" spans="1:64" s="59" customFormat="1" ht="36" customHeight="1" x14ac:dyDescent="0.3">
      <c r="A334" s="156">
        <f t="shared" si="6"/>
        <v>329</v>
      </c>
      <c r="B334" s="90" t="s">
        <v>1211</v>
      </c>
      <c r="C334" s="305" t="s">
        <v>6</v>
      </c>
      <c r="D334" s="305" t="s">
        <v>1207</v>
      </c>
      <c r="E334" s="91">
        <v>45773</v>
      </c>
      <c r="F334" s="97">
        <v>45789</v>
      </c>
      <c r="G334" s="91"/>
      <c r="H334" s="91"/>
      <c r="I334" s="305" t="s">
        <v>26</v>
      </c>
      <c r="J334" s="92" t="s">
        <v>1109</v>
      </c>
      <c r="K334" s="92" t="s">
        <v>1202</v>
      </c>
      <c r="L334" s="305" t="s">
        <v>1057</v>
      </c>
      <c r="M334" s="369" t="s">
        <v>120</v>
      </c>
      <c r="N334" s="305" t="s">
        <v>127</v>
      </c>
      <c r="O334" s="305" t="s">
        <v>1058</v>
      </c>
      <c r="P334" s="158"/>
      <c r="Q334" s="305">
        <v>2.4</v>
      </c>
      <c r="R334" s="305"/>
      <c r="S334" s="305">
        <v>100</v>
      </c>
      <c r="T334" s="305"/>
      <c r="U334" s="305"/>
      <c r="V334" s="305"/>
      <c r="W334" s="305"/>
      <c r="X334" s="305"/>
      <c r="Y334" s="305"/>
      <c r="Z334" s="305" t="s">
        <v>127</v>
      </c>
      <c r="AA334" s="305"/>
      <c r="AB334" s="369"/>
      <c r="AC334" s="92" t="s">
        <v>1212</v>
      </c>
      <c r="AD334" s="369" t="s">
        <v>1163</v>
      </c>
      <c r="AE334" s="118">
        <v>45746</v>
      </c>
      <c r="AF334" s="118"/>
      <c r="AG334" s="118">
        <v>45757</v>
      </c>
      <c r="AH334" s="93">
        <v>45736</v>
      </c>
      <c r="AI334" s="264">
        <v>45717</v>
      </c>
      <c r="AJ334" s="95" t="s">
        <v>131</v>
      </c>
      <c r="AK334" s="369" t="s">
        <v>1064</v>
      </c>
      <c r="AL334" s="369" t="s">
        <v>778</v>
      </c>
      <c r="AM334" s="369" t="s">
        <v>209</v>
      </c>
      <c r="AN334" s="305"/>
      <c r="AO334" s="305"/>
      <c r="AP334" s="305"/>
      <c r="AQ334" s="291"/>
      <c r="AR334" s="305"/>
      <c r="AS334" s="305"/>
      <c r="AT334" s="91">
        <v>45716</v>
      </c>
      <c r="AU334" s="91">
        <v>45699</v>
      </c>
      <c r="AV334" s="91">
        <v>45707</v>
      </c>
      <c r="AW334" s="91">
        <v>45698</v>
      </c>
      <c r="AX334" s="305"/>
      <c r="AY334" s="305"/>
      <c r="AZ334" s="305"/>
      <c r="BA334" s="305"/>
      <c r="BB334" s="92"/>
      <c r="BC334" s="47"/>
      <c r="BD334" s="80" t="s">
        <v>816</v>
      </c>
      <c r="BE334" s="70"/>
      <c r="BF334" s="367"/>
      <c r="BG334" s="368"/>
      <c r="BH334" s="64" t="e">
        <f>#REF!</f>
        <v>#REF!</v>
      </c>
      <c r="BL334" s="73"/>
    </row>
    <row r="335" spans="1:64" s="59" customFormat="1" ht="36" customHeight="1" x14ac:dyDescent="0.3">
      <c r="A335" s="156">
        <f t="shared" si="6"/>
        <v>330</v>
      </c>
      <c r="B335" s="90" t="s">
        <v>1213</v>
      </c>
      <c r="C335" s="305" t="s">
        <v>6</v>
      </c>
      <c r="D335" s="305" t="s">
        <v>1207</v>
      </c>
      <c r="E335" s="91">
        <v>45770</v>
      </c>
      <c r="F335" s="97">
        <v>45770</v>
      </c>
      <c r="G335" s="91"/>
      <c r="H335" s="91"/>
      <c r="I335" s="305" t="s">
        <v>26</v>
      </c>
      <c r="J335" s="92" t="s">
        <v>1109</v>
      </c>
      <c r="K335" s="92" t="s">
        <v>1214</v>
      </c>
      <c r="L335" s="305" t="s">
        <v>1057</v>
      </c>
      <c r="M335" s="369" t="s">
        <v>120</v>
      </c>
      <c r="N335" s="305" t="s">
        <v>127</v>
      </c>
      <c r="O335" s="305" t="s">
        <v>1058</v>
      </c>
      <c r="P335" s="158"/>
      <c r="Q335" s="305">
        <v>3.7</v>
      </c>
      <c r="R335" s="305"/>
      <c r="S335" s="305">
        <v>100</v>
      </c>
      <c r="T335" s="305"/>
      <c r="U335" s="305"/>
      <c r="V335" s="305"/>
      <c r="W335" s="305"/>
      <c r="X335" s="305"/>
      <c r="Y335" s="305"/>
      <c r="Z335" s="305"/>
      <c r="AA335" s="305"/>
      <c r="AB335" s="369"/>
      <c r="AC335" s="92" t="s">
        <v>1215</v>
      </c>
      <c r="AD335" s="369" t="s">
        <v>886</v>
      </c>
      <c r="AE335" s="118"/>
      <c r="AF335" s="118"/>
      <c r="AG335" s="118">
        <v>45757</v>
      </c>
      <c r="AH335" s="93">
        <v>45746</v>
      </c>
      <c r="AI335" s="264">
        <v>45717</v>
      </c>
      <c r="AJ335" s="95" t="s">
        <v>131</v>
      </c>
      <c r="AK335" s="369" t="s">
        <v>366</v>
      </c>
      <c r="AL335" s="369" t="s">
        <v>778</v>
      </c>
      <c r="AM335" s="369" t="s">
        <v>209</v>
      </c>
      <c r="AN335" s="305"/>
      <c r="AO335" s="305"/>
      <c r="AP335" s="305"/>
      <c r="AQ335" s="291"/>
      <c r="AR335" s="305"/>
      <c r="AS335" s="305"/>
      <c r="AT335" s="91">
        <v>45715</v>
      </c>
      <c r="AU335" s="91">
        <v>45692</v>
      </c>
      <c r="AV335" s="91">
        <v>45699</v>
      </c>
      <c r="AW335" s="91">
        <v>45692</v>
      </c>
      <c r="AX335" s="305"/>
      <c r="AY335" s="305"/>
      <c r="AZ335" s="305"/>
      <c r="BA335" s="305"/>
      <c r="BB335" s="92"/>
      <c r="BC335" s="47"/>
      <c r="BD335" s="80" t="s">
        <v>816</v>
      </c>
      <c r="BE335" s="70"/>
      <c r="BF335" s="367"/>
      <c r="BG335" s="368"/>
      <c r="BH335" s="64" t="e">
        <f>#REF!</f>
        <v>#REF!</v>
      </c>
      <c r="BL335" s="73"/>
    </row>
    <row r="336" spans="1:64" s="59" customFormat="1" ht="36" customHeight="1" x14ac:dyDescent="0.3">
      <c r="A336" s="156">
        <f t="shared" si="6"/>
        <v>331</v>
      </c>
      <c r="B336" s="90" t="s">
        <v>1216</v>
      </c>
      <c r="C336" s="305" t="s">
        <v>6</v>
      </c>
      <c r="D336" s="305" t="s">
        <v>1217</v>
      </c>
      <c r="E336" s="91">
        <v>45736</v>
      </c>
      <c r="F336" s="97"/>
      <c r="G336" s="91"/>
      <c r="H336" s="91"/>
      <c r="I336" s="305" t="s">
        <v>26</v>
      </c>
      <c r="J336" s="92" t="s">
        <v>1109</v>
      </c>
      <c r="K336" s="92" t="s">
        <v>1214</v>
      </c>
      <c r="L336" s="305" t="s">
        <v>1057</v>
      </c>
      <c r="M336" s="369" t="s">
        <v>120</v>
      </c>
      <c r="N336" s="305" t="s">
        <v>127</v>
      </c>
      <c r="O336" s="305" t="s">
        <v>1058</v>
      </c>
      <c r="P336" s="158"/>
      <c r="Q336" s="305">
        <v>3.7</v>
      </c>
      <c r="R336" s="305"/>
      <c r="S336" s="305">
        <v>100</v>
      </c>
      <c r="T336" s="305"/>
      <c r="U336" s="305"/>
      <c r="V336" s="305"/>
      <c r="W336" s="305"/>
      <c r="X336" s="305"/>
      <c r="Y336" s="305"/>
      <c r="Z336" s="305"/>
      <c r="AA336" s="305"/>
      <c r="AB336" s="369"/>
      <c r="AC336" s="92" t="s">
        <v>1218</v>
      </c>
      <c r="AD336" s="369" t="s">
        <v>1079</v>
      </c>
      <c r="AE336" s="118">
        <v>45726</v>
      </c>
      <c r="AF336" s="118"/>
      <c r="AG336" s="118">
        <v>45757</v>
      </c>
      <c r="AH336" s="93">
        <v>45716</v>
      </c>
      <c r="AI336" s="264">
        <v>45689</v>
      </c>
      <c r="AJ336" s="95" t="s">
        <v>131</v>
      </c>
      <c r="AK336" s="369" t="s">
        <v>1064</v>
      </c>
      <c r="AL336" s="369"/>
      <c r="AM336" s="369" t="s">
        <v>209</v>
      </c>
      <c r="AN336" s="305"/>
      <c r="AO336" s="305"/>
      <c r="AP336" s="305"/>
      <c r="AQ336" s="291"/>
      <c r="AR336" s="305"/>
      <c r="AS336" s="305"/>
      <c r="AT336" s="91">
        <v>45706</v>
      </c>
      <c r="AU336" s="91">
        <v>45673</v>
      </c>
      <c r="AV336" s="91">
        <v>45691</v>
      </c>
      <c r="AW336" s="91">
        <v>45674</v>
      </c>
      <c r="AX336" s="305"/>
      <c r="AY336" s="305"/>
      <c r="AZ336" s="305"/>
      <c r="BA336" s="305"/>
      <c r="BB336" s="92"/>
      <c r="BC336" s="47"/>
      <c r="BD336" s="80" t="s">
        <v>816</v>
      </c>
      <c r="BE336" s="70"/>
      <c r="BF336" s="367"/>
      <c r="BG336" s="368"/>
      <c r="BH336" s="64" t="e">
        <f>#REF!</f>
        <v>#REF!</v>
      </c>
      <c r="BL336" s="73"/>
    </row>
    <row r="337" spans="1:64" s="59" customFormat="1" ht="36" customHeight="1" x14ac:dyDescent="0.3">
      <c r="A337" s="156">
        <f t="shared" si="6"/>
        <v>332</v>
      </c>
      <c r="B337" s="90" t="s">
        <v>1219</v>
      </c>
      <c r="C337" s="305" t="s">
        <v>6</v>
      </c>
      <c r="D337" s="305" t="s">
        <v>1217</v>
      </c>
      <c r="E337" s="91">
        <v>45770</v>
      </c>
      <c r="F337" s="97"/>
      <c r="G337" s="91"/>
      <c r="H337" s="91"/>
      <c r="I337" s="305" t="s">
        <v>26</v>
      </c>
      <c r="J337" s="92" t="s">
        <v>1109</v>
      </c>
      <c r="K337" s="92" t="s">
        <v>1214</v>
      </c>
      <c r="L337" s="305" t="s">
        <v>1057</v>
      </c>
      <c r="M337" s="369" t="s">
        <v>120</v>
      </c>
      <c r="N337" s="305" t="s">
        <v>127</v>
      </c>
      <c r="O337" s="305" t="s">
        <v>1058</v>
      </c>
      <c r="P337" s="158"/>
      <c r="Q337" s="305">
        <v>3.7</v>
      </c>
      <c r="R337" s="305"/>
      <c r="S337" s="305">
        <v>100</v>
      </c>
      <c r="T337" s="305"/>
      <c r="U337" s="305"/>
      <c r="V337" s="305"/>
      <c r="W337" s="305"/>
      <c r="X337" s="305"/>
      <c r="Y337" s="305"/>
      <c r="Z337" s="305"/>
      <c r="AA337" s="305"/>
      <c r="AB337" s="369"/>
      <c r="AC337" s="92" t="s">
        <v>1220</v>
      </c>
      <c r="AD337" s="369" t="s">
        <v>1121</v>
      </c>
      <c r="AE337" s="118">
        <v>45746</v>
      </c>
      <c r="AF337" s="118"/>
      <c r="AG337" s="118">
        <v>45757</v>
      </c>
      <c r="AH337" s="93">
        <v>45746</v>
      </c>
      <c r="AI337" s="264">
        <v>45717</v>
      </c>
      <c r="AJ337" s="95" t="s">
        <v>131</v>
      </c>
      <c r="AK337" s="369" t="s">
        <v>1122</v>
      </c>
      <c r="AL337" s="369" t="s">
        <v>830</v>
      </c>
      <c r="AM337" s="369" t="s">
        <v>209</v>
      </c>
      <c r="AN337" s="305"/>
      <c r="AO337" s="305"/>
      <c r="AP337" s="305"/>
      <c r="AQ337" s="291"/>
      <c r="AR337" s="305"/>
      <c r="AS337" s="305"/>
      <c r="AT337" s="91">
        <v>45716</v>
      </c>
      <c r="AU337" s="91">
        <v>45693</v>
      </c>
      <c r="AV337" s="91">
        <v>45698</v>
      </c>
      <c r="AW337" s="91">
        <v>45694</v>
      </c>
      <c r="AX337" s="305"/>
      <c r="AY337" s="305"/>
      <c r="AZ337" s="305"/>
      <c r="BA337" s="305"/>
      <c r="BB337" s="92"/>
      <c r="BC337" s="47"/>
      <c r="BD337" s="80" t="s">
        <v>816</v>
      </c>
      <c r="BE337" s="70"/>
      <c r="BF337" s="367"/>
      <c r="BG337" s="368"/>
      <c r="BH337" s="64" t="e">
        <f>#REF!</f>
        <v>#REF!</v>
      </c>
      <c r="BL337" s="73"/>
    </row>
    <row r="338" spans="1:64" s="59" customFormat="1" ht="36" customHeight="1" x14ac:dyDescent="0.3">
      <c r="A338" s="305">
        <f t="shared" si="6"/>
        <v>333</v>
      </c>
      <c r="B338" s="90" t="s">
        <v>1221</v>
      </c>
      <c r="C338" s="305" t="s">
        <v>6</v>
      </c>
      <c r="D338" s="305" t="s">
        <v>262</v>
      </c>
      <c r="E338" s="91"/>
      <c r="F338" s="97"/>
      <c r="G338" s="91"/>
      <c r="H338" s="91"/>
      <c r="I338" s="305" t="s">
        <v>26</v>
      </c>
      <c r="J338" s="92" t="s">
        <v>1109</v>
      </c>
      <c r="K338" s="92" t="s">
        <v>1214</v>
      </c>
      <c r="L338" s="305" t="s">
        <v>1057</v>
      </c>
      <c r="M338" s="369" t="s">
        <v>120</v>
      </c>
      <c r="N338" s="305" t="s">
        <v>127</v>
      </c>
      <c r="O338" s="305"/>
      <c r="P338" s="305"/>
      <c r="Q338" s="305"/>
      <c r="R338" s="305"/>
      <c r="S338" s="305"/>
      <c r="T338" s="305"/>
      <c r="U338" s="305"/>
      <c r="V338" s="305"/>
      <c r="W338" s="305"/>
      <c r="X338" s="305"/>
      <c r="Y338" s="305"/>
      <c r="Z338" s="305"/>
      <c r="AA338" s="305"/>
      <c r="AB338" s="369"/>
      <c r="AC338" s="92" t="s">
        <v>1215</v>
      </c>
      <c r="AD338" s="369" t="s">
        <v>886</v>
      </c>
      <c r="AE338" s="118"/>
      <c r="AF338" s="118"/>
      <c r="AG338" s="118"/>
      <c r="AH338" s="93"/>
      <c r="AI338" s="94">
        <v>0</v>
      </c>
      <c r="AJ338" s="95" t="s">
        <v>264</v>
      </c>
      <c r="AK338" s="369"/>
      <c r="AL338" s="369"/>
      <c r="AM338" s="369"/>
      <c r="AN338" s="305"/>
      <c r="AO338" s="305"/>
      <c r="AP338" s="305"/>
      <c r="AQ338" s="291"/>
      <c r="AR338" s="305"/>
      <c r="AS338" s="305"/>
      <c r="AT338" s="305"/>
      <c r="AU338" s="305"/>
      <c r="AV338" s="305"/>
      <c r="AW338" s="305"/>
      <c r="AX338" s="305"/>
      <c r="AY338" s="305"/>
      <c r="AZ338" s="305"/>
      <c r="BA338" s="305"/>
      <c r="BB338" s="92"/>
      <c r="BC338" s="47"/>
      <c r="BD338" s="80" t="s">
        <v>816</v>
      </c>
      <c r="BE338" s="70"/>
      <c r="BF338" s="367"/>
      <c r="BG338" s="368"/>
      <c r="BH338" s="64" t="e">
        <f>#REF!</f>
        <v>#REF!</v>
      </c>
      <c r="BL338" s="73"/>
    </row>
    <row r="339" spans="1:64" s="59" customFormat="1" ht="36" customHeight="1" x14ac:dyDescent="0.3">
      <c r="A339" s="156">
        <f t="shared" si="6"/>
        <v>334</v>
      </c>
      <c r="B339" s="90" t="s">
        <v>1222</v>
      </c>
      <c r="C339" s="305" t="s">
        <v>6</v>
      </c>
      <c r="D339" s="305" t="s">
        <v>1217</v>
      </c>
      <c r="E339" s="91">
        <v>45968</v>
      </c>
      <c r="F339" s="97">
        <v>45968</v>
      </c>
      <c r="G339" s="91"/>
      <c r="H339" s="91"/>
      <c r="I339" s="305" t="s">
        <v>26</v>
      </c>
      <c r="J339" s="92" t="s">
        <v>1109</v>
      </c>
      <c r="K339" s="92" t="s">
        <v>1214</v>
      </c>
      <c r="L339" s="305" t="s">
        <v>1057</v>
      </c>
      <c r="M339" s="369" t="s">
        <v>120</v>
      </c>
      <c r="N339" s="305" t="s">
        <v>127</v>
      </c>
      <c r="O339" s="305" t="s">
        <v>1058</v>
      </c>
      <c r="P339" s="158"/>
      <c r="Q339" s="305">
        <v>3.7</v>
      </c>
      <c r="R339" s="305"/>
      <c r="S339" s="305">
        <v>100</v>
      </c>
      <c r="T339" s="305">
        <v>12.1</v>
      </c>
      <c r="U339" s="305"/>
      <c r="V339" s="305"/>
      <c r="W339" s="305"/>
      <c r="X339" s="305" t="s">
        <v>1148</v>
      </c>
      <c r="Y339" s="305" t="s">
        <v>127</v>
      </c>
      <c r="Z339" s="305"/>
      <c r="AA339" s="305"/>
      <c r="AB339" s="369" t="s">
        <v>215</v>
      </c>
      <c r="AC339" s="92" t="s">
        <v>1223</v>
      </c>
      <c r="AD339" s="369" t="s">
        <v>1150</v>
      </c>
      <c r="AE339" s="118"/>
      <c r="AF339" s="118"/>
      <c r="AG339" s="118"/>
      <c r="AH339" s="93">
        <v>45899</v>
      </c>
      <c r="AI339" s="264" t="s">
        <v>1224</v>
      </c>
      <c r="AJ339" s="95" t="s">
        <v>131</v>
      </c>
      <c r="AK339" s="369" t="s">
        <v>265</v>
      </c>
      <c r="AL339" s="369"/>
      <c r="AM339" s="369" t="s">
        <v>209</v>
      </c>
      <c r="AN339" s="305"/>
      <c r="AO339" s="305"/>
      <c r="AP339" s="305"/>
      <c r="AQ339" s="291"/>
      <c r="AR339" s="305"/>
      <c r="AS339" s="305"/>
      <c r="AT339" s="305"/>
      <c r="AU339" s="305"/>
      <c r="AV339" s="305"/>
      <c r="AW339" s="305"/>
      <c r="AX339" s="305"/>
      <c r="AY339" s="305"/>
      <c r="AZ339" s="305"/>
      <c r="BA339" s="305"/>
      <c r="BB339" s="92"/>
      <c r="BC339" s="47"/>
      <c r="BD339" s="80" t="s">
        <v>816</v>
      </c>
      <c r="BE339" s="70"/>
      <c r="BF339" s="367"/>
      <c r="BG339" s="368"/>
      <c r="BH339" s="64" t="e">
        <f>#REF!</f>
        <v>#REF!</v>
      </c>
      <c r="BL339" s="73"/>
    </row>
    <row r="340" spans="1:64" s="59" customFormat="1" ht="36" customHeight="1" x14ac:dyDescent="0.3">
      <c r="A340" s="156">
        <f t="shared" si="6"/>
        <v>335</v>
      </c>
      <c r="B340" s="90" t="s">
        <v>1225</v>
      </c>
      <c r="C340" s="305" t="s">
        <v>6</v>
      </c>
      <c r="D340" s="305" t="s">
        <v>1217</v>
      </c>
      <c r="E340" s="91">
        <v>45813</v>
      </c>
      <c r="F340" s="97">
        <v>45821</v>
      </c>
      <c r="G340" s="91"/>
      <c r="H340" s="91"/>
      <c r="I340" s="305" t="s">
        <v>26</v>
      </c>
      <c r="J340" s="92" t="s">
        <v>1226</v>
      </c>
      <c r="K340" s="92" t="s">
        <v>1227</v>
      </c>
      <c r="L340" s="305" t="s">
        <v>1057</v>
      </c>
      <c r="M340" s="369" t="s">
        <v>120</v>
      </c>
      <c r="N340" s="305" t="s">
        <v>127</v>
      </c>
      <c r="O340" s="305" t="s">
        <v>1073</v>
      </c>
      <c r="P340" s="158"/>
      <c r="Q340" s="305">
        <v>3.2</v>
      </c>
      <c r="R340" s="305"/>
      <c r="S340" s="305">
        <v>50</v>
      </c>
      <c r="T340" s="305">
        <v>8.5</v>
      </c>
      <c r="U340" s="305"/>
      <c r="V340" s="305" t="s">
        <v>127</v>
      </c>
      <c r="W340" s="305"/>
      <c r="X340" s="305" t="s">
        <v>150</v>
      </c>
      <c r="Y340" s="305"/>
      <c r="Z340" s="305"/>
      <c r="AA340" s="305" t="s">
        <v>214</v>
      </c>
      <c r="AB340" s="369" t="s">
        <v>215</v>
      </c>
      <c r="AC340" s="92" t="s">
        <v>1228</v>
      </c>
      <c r="AD340" s="369" t="s">
        <v>199</v>
      </c>
      <c r="AE340" s="118"/>
      <c r="AF340" s="118"/>
      <c r="AG340" s="118">
        <v>45748</v>
      </c>
      <c r="AH340" s="93">
        <v>45805</v>
      </c>
      <c r="AI340" s="264">
        <v>45748</v>
      </c>
      <c r="AJ340" s="95" t="s">
        <v>131</v>
      </c>
      <c r="AK340" s="369" t="s">
        <v>1060</v>
      </c>
      <c r="AL340" s="369" t="s">
        <v>183</v>
      </c>
      <c r="AM340" s="369" t="s">
        <v>209</v>
      </c>
      <c r="AN340" s="305"/>
      <c r="AO340" s="305"/>
      <c r="AP340" s="305"/>
      <c r="AQ340" s="291"/>
      <c r="AR340" s="305"/>
      <c r="AS340" s="305"/>
      <c r="AT340" s="91">
        <v>45744</v>
      </c>
      <c r="AU340" s="91">
        <v>45719</v>
      </c>
      <c r="AV340" s="91">
        <v>45736</v>
      </c>
      <c r="AW340" s="91">
        <v>45706</v>
      </c>
      <c r="AX340" s="305"/>
      <c r="AY340" s="305"/>
      <c r="AZ340" s="305"/>
      <c r="BA340" s="305"/>
      <c r="BB340" s="92" t="s">
        <v>1229</v>
      </c>
      <c r="BC340" s="47"/>
      <c r="BD340" s="80" t="s">
        <v>816</v>
      </c>
      <c r="BE340" s="70"/>
      <c r="BF340" s="367"/>
      <c r="BG340" s="368"/>
      <c r="BH340" s="64" t="e">
        <f>#REF!</f>
        <v>#REF!</v>
      </c>
      <c r="BL340" s="73"/>
    </row>
    <row r="341" spans="1:64" s="59" customFormat="1" ht="36" customHeight="1" x14ac:dyDescent="0.3">
      <c r="A341" s="156">
        <f t="shared" si="6"/>
        <v>336</v>
      </c>
      <c r="B341" s="90" t="s">
        <v>1230</v>
      </c>
      <c r="C341" s="305" t="s">
        <v>6</v>
      </c>
      <c r="D341" s="305" t="s">
        <v>1217</v>
      </c>
      <c r="E341" s="91">
        <v>45807</v>
      </c>
      <c r="F341" s="91">
        <v>45821</v>
      </c>
      <c r="G341" s="91"/>
      <c r="H341" s="91"/>
      <c r="I341" s="305" t="s">
        <v>26</v>
      </c>
      <c r="J341" s="92" t="s">
        <v>1226</v>
      </c>
      <c r="K341" s="92" t="s">
        <v>1227</v>
      </c>
      <c r="L341" s="305" t="s">
        <v>1057</v>
      </c>
      <c r="M341" s="369" t="s">
        <v>120</v>
      </c>
      <c r="N341" s="305" t="s">
        <v>127</v>
      </c>
      <c r="O341" s="305" t="s">
        <v>1073</v>
      </c>
      <c r="P341" s="158"/>
      <c r="Q341" s="305">
        <v>3.2</v>
      </c>
      <c r="R341" s="305"/>
      <c r="S341" s="305">
        <v>50</v>
      </c>
      <c r="T341" s="305">
        <v>8.5</v>
      </c>
      <c r="U341" s="305"/>
      <c r="V341" s="305" t="s">
        <v>127</v>
      </c>
      <c r="W341" s="305"/>
      <c r="X341" s="305" t="s">
        <v>150</v>
      </c>
      <c r="Y341" s="305"/>
      <c r="Z341" s="305"/>
      <c r="AA341" s="305"/>
      <c r="AB341" s="369" t="s">
        <v>215</v>
      </c>
      <c r="AC341" s="92" t="s">
        <v>1231</v>
      </c>
      <c r="AD341" s="369" t="s">
        <v>207</v>
      </c>
      <c r="AE341" s="118"/>
      <c r="AF341" s="118"/>
      <c r="AG341" s="118">
        <v>45748</v>
      </c>
      <c r="AH341" s="93">
        <v>45805</v>
      </c>
      <c r="AI341" s="264">
        <v>45748</v>
      </c>
      <c r="AJ341" s="95" t="s">
        <v>131</v>
      </c>
      <c r="AK341" s="369" t="s">
        <v>1060</v>
      </c>
      <c r="AL341" s="369" t="s">
        <v>183</v>
      </c>
      <c r="AM341" s="369" t="s">
        <v>209</v>
      </c>
      <c r="AN341" s="305"/>
      <c r="AO341" s="305"/>
      <c r="AP341" s="305"/>
      <c r="AQ341" s="291"/>
      <c r="AR341" s="305"/>
      <c r="AS341" s="305"/>
      <c r="AT341" s="91">
        <v>45744</v>
      </c>
      <c r="AU341" s="91">
        <v>45719</v>
      </c>
      <c r="AV341" s="91">
        <v>45736</v>
      </c>
      <c r="AW341" s="91">
        <v>45702</v>
      </c>
      <c r="AX341" s="305"/>
      <c r="AY341" s="305"/>
      <c r="AZ341" s="305"/>
      <c r="BA341" s="305"/>
      <c r="BB341" s="92" t="s">
        <v>1232</v>
      </c>
      <c r="BC341" s="47"/>
      <c r="BD341" s="80" t="s">
        <v>816</v>
      </c>
      <c r="BE341" s="70"/>
      <c r="BF341" s="367"/>
      <c r="BG341" s="368"/>
      <c r="BH341" s="64" t="e">
        <f>#REF!</f>
        <v>#REF!</v>
      </c>
      <c r="BL341" s="73"/>
    </row>
    <row r="342" spans="1:64" s="59" customFormat="1" ht="36" customHeight="1" x14ac:dyDescent="0.3">
      <c r="A342" s="305">
        <f t="shared" si="6"/>
        <v>337</v>
      </c>
      <c r="B342" s="90" t="s">
        <v>1233</v>
      </c>
      <c r="C342" s="305" t="s">
        <v>6</v>
      </c>
      <c r="D342" s="305" t="s">
        <v>262</v>
      </c>
      <c r="E342" s="91"/>
      <c r="F342" s="97"/>
      <c r="G342" s="91"/>
      <c r="H342" s="91"/>
      <c r="I342" s="305" t="s">
        <v>26</v>
      </c>
      <c r="J342" s="92" t="s">
        <v>1226</v>
      </c>
      <c r="K342" s="92" t="s">
        <v>1234</v>
      </c>
      <c r="L342" s="305" t="s">
        <v>1057</v>
      </c>
      <c r="M342" s="369" t="s">
        <v>120</v>
      </c>
      <c r="N342" s="305" t="s">
        <v>127</v>
      </c>
      <c r="O342" s="305"/>
      <c r="P342" s="305"/>
      <c r="Q342" s="305"/>
      <c r="R342" s="305"/>
      <c r="S342" s="305"/>
      <c r="T342" s="305">
        <v>8.5</v>
      </c>
      <c r="U342" s="305"/>
      <c r="V342" s="305"/>
      <c r="W342" s="305"/>
      <c r="X342" s="305" t="s">
        <v>150</v>
      </c>
      <c r="Y342" s="305"/>
      <c r="Z342" s="305"/>
      <c r="AA342" s="305" t="s">
        <v>214</v>
      </c>
      <c r="AB342" s="369" t="s">
        <v>215</v>
      </c>
      <c r="AC342" s="92" t="s">
        <v>1235</v>
      </c>
      <c r="AD342" s="369" t="s">
        <v>199</v>
      </c>
      <c r="AE342" s="118"/>
      <c r="AF342" s="118"/>
      <c r="AG342" s="118"/>
      <c r="AH342" s="93"/>
      <c r="AI342" s="94">
        <v>0</v>
      </c>
      <c r="AJ342" s="95" t="s">
        <v>264</v>
      </c>
      <c r="AK342" s="369"/>
      <c r="AL342" s="369"/>
      <c r="AM342" s="369"/>
      <c r="AN342" s="305"/>
      <c r="AO342" s="305"/>
      <c r="AP342" s="305"/>
      <c r="AQ342" s="291"/>
      <c r="AR342" s="305"/>
      <c r="AS342" s="305"/>
      <c r="AT342" s="305"/>
      <c r="AU342" s="305"/>
      <c r="AV342" s="305"/>
      <c r="AW342" s="305"/>
      <c r="AX342" s="305"/>
      <c r="AY342" s="305"/>
      <c r="AZ342" s="305"/>
      <c r="BA342" s="305"/>
      <c r="BB342" s="92"/>
      <c r="BC342" s="47"/>
      <c r="BD342" s="80" t="s">
        <v>816</v>
      </c>
      <c r="BE342" s="70"/>
      <c r="BF342" s="367"/>
      <c r="BG342" s="368"/>
      <c r="BH342" s="64" t="e">
        <f>#REF!</f>
        <v>#REF!</v>
      </c>
      <c r="BL342" s="73"/>
    </row>
    <row r="343" spans="1:64" s="59" customFormat="1" ht="36" customHeight="1" x14ac:dyDescent="0.3">
      <c r="A343" s="305">
        <f t="shared" si="6"/>
        <v>338</v>
      </c>
      <c r="B343" s="90" t="s">
        <v>1236</v>
      </c>
      <c r="C343" s="305" t="s">
        <v>6</v>
      </c>
      <c r="D343" s="305" t="s">
        <v>262</v>
      </c>
      <c r="E343" s="91"/>
      <c r="F343" s="97"/>
      <c r="G343" s="91"/>
      <c r="H343" s="91"/>
      <c r="I343" s="305" t="s">
        <v>26</v>
      </c>
      <c r="J343" s="92" t="s">
        <v>1226</v>
      </c>
      <c r="K343" s="92" t="s">
        <v>1234</v>
      </c>
      <c r="L343" s="305" t="s">
        <v>1057</v>
      </c>
      <c r="M343" s="369" t="s">
        <v>120</v>
      </c>
      <c r="N343" s="305" t="s">
        <v>127</v>
      </c>
      <c r="O343" s="305"/>
      <c r="P343" s="305"/>
      <c r="Q343" s="305"/>
      <c r="R343" s="305"/>
      <c r="S343" s="305"/>
      <c r="T343" s="305">
        <v>8.5</v>
      </c>
      <c r="U343" s="305"/>
      <c r="V343" s="305"/>
      <c r="W343" s="305"/>
      <c r="X343" s="305" t="s">
        <v>150</v>
      </c>
      <c r="Y343" s="305"/>
      <c r="Z343" s="305"/>
      <c r="AA343" s="305"/>
      <c r="AB343" s="369" t="s">
        <v>215</v>
      </c>
      <c r="AC343" s="92" t="s">
        <v>1237</v>
      </c>
      <c r="AD343" s="369" t="s">
        <v>207</v>
      </c>
      <c r="AE343" s="118"/>
      <c r="AF343" s="118"/>
      <c r="AG343" s="118"/>
      <c r="AH343" s="93"/>
      <c r="AI343" s="94">
        <v>0</v>
      </c>
      <c r="AJ343" s="95" t="s">
        <v>264</v>
      </c>
      <c r="AK343" s="369"/>
      <c r="AL343" s="369"/>
      <c r="AM343" s="369"/>
      <c r="AN343" s="305"/>
      <c r="AO343" s="305"/>
      <c r="AP343" s="305"/>
      <c r="AQ343" s="291"/>
      <c r="AR343" s="305"/>
      <c r="AS343" s="305"/>
      <c r="AT343" s="305"/>
      <c r="AU343" s="305"/>
      <c r="AV343" s="305"/>
      <c r="AW343" s="305"/>
      <c r="AX343" s="305"/>
      <c r="AY343" s="305"/>
      <c r="AZ343" s="305"/>
      <c r="BA343" s="305"/>
      <c r="BB343" s="92"/>
      <c r="BC343" s="47"/>
      <c r="BD343" s="80" t="s">
        <v>816</v>
      </c>
      <c r="BE343" s="70"/>
      <c r="BF343" s="367"/>
      <c r="BG343" s="368"/>
      <c r="BH343" s="64" t="e">
        <f>#REF!</f>
        <v>#REF!</v>
      </c>
      <c r="BL343" s="73"/>
    </row>
    <row r="344" spans="1:64" s="59" customFormat="1" ht="36" customHeight="1" x14ac:dyDescent="0.3">
      <c r="A344" s="156">
        <f t="shared" si="6"/>
        <v>339</v>
      </c>
      <c r="B344" s="90" t="s">
        <v>1238</v>
      </c>
      <c r="C344" s="305" t="s">
        <v>6</v>
      </c>
      <c r="D344" s="305" t="s">
        <v>1239</v>
      </c>
      <c r="E344" s="91">
        <v>45807</v>
      </c>
      <c r="F344" s="97">
        <v>45821</v>
      </c>
      <c r="G344" s="91"/>
      <c r="H344" s="91"/>
      <c r="I344" s="305" t="s">
        <v>26</v>
      </c>
      <c r="J344" s="92" t="s">
        <v>1226</v>
      </c>
      <c r="K344" s="92" t="s">
        <v>1240</v>
      </c>
      <c r="L344" s="305" t="s">
        <v>1057</v>
      </c>
      <c r="M344" s="369" t="s">
        <v>120</v>
      </c>
      <c r="N344" s="305" t="s">
        <v>127</v>
      </c>
      <c r="O344" s="305" t="s">
        <v>1073</v>
      </c>
      <c r="P344" s="158"/>
      <c r="Q344" s="305">
        <v>3.2</v>
      </c>
      <c r="R344" s="305"/>
      <c r="S344" s="305">
        <v>50</v>
      </c>
      <c r="T344" s="305">
        <v>8.5</v>
      </c>
      <c r="U344" s="305"/>
      <c r="V344" s="305" t="s">
        <v>127</v>
      </c>
      <c r="W344" s="305"/>
      <c r="X344" s="305" t="s">
        <v>150</v>
      </c>
      <c r="Y344" s="305"/>
      <c r="Z344" s="305"/>
      <c r="AA344" s="305" t="s">
        <v>214</v>
      </c>
      <c r="AB344" s="369" t="s">
        <v>215</v>
      </c>
      <c r="AC344" s="92" t="s">
        <v>1241</v>
      </c>
      <c r="AD344" s="369" t="s">
        <v>199</v>
      </c>
      <c r="AE344" s="118"/>
      <c r="AF344" s="118"/>
      <c r="AG344" s="118">
        <v>45736</v>
      </c>
      <c r="AH344" s="93">
        <v>45805</v>
      </c>
      <c r="AI344" s="264">
        <v>45748</v>
      </c>
      <c r="AJ344" s="95" t="s">
        <v>131</v>
      </c>
      <c r="AK344" s="369" t="s">
        <v>1060</v>
      </c>
      <c r="AL344" s="369" t="s">
        <v>183</v>
      </c>
      <c r="AM344" s="369" t="s">
        <v>209</v>
      </c>
      <c r="AN344" s="305"/>
      <c r="AO344" s="305"/>
      <c r="AP344" s="305"/>
      <c r="AQ344" s="291"/>
      <c r="AR344" s="305"/>
      <c r="AS344" s="305"/>
      <c r="AT344" s="91">
        <v>45744</v>
      </c>
      <c r="AU344" s="91">
        <v>45719</v>
      </c>
      <c r="AV344" s="91">
        <v>45736</v>
      </c>
      <c r="AW344" s="91">
        <v>45706</v>
      </c>
      <c r="AX344" s="305"/>
      <c r="AY344" s="305"/>
      <c r="AZ344" s="305"/>
      <c r="BA344" s="305"/>
      <c r="BB344" s="92" t="s">
        <v>1229</v>
      </c>
      <c r="BC344" s="47"/>
      <c r="BD344" s="80" t="s">
        <v>816</v>
      </c>
      <c r="BE344" s="70"/>
      <c r="BF344" s="367"/>
      <c r="BG344" s="368"/>
      <c r="BH344" s="64" t="e">
        <f>#REF!</f>
        <v>#REF!</v>
      </c>
      <c r="BL344" s="73"/>
    </row>
    <row r="345" spans="1:64" s="59" customFormat="1" ht="36" customHeight="1" x14ac:dyDescent="0.3">
      <c r="A345" s="156">
        <f t="shared" si="6"/>
        <v>340</v>
      </c>
      <c r="B345" s="90" t="s">
        <v>1242</v>
      </c>
      <c r="C345" s="305" t="s">
        <v>6</v>
      </c>
      <c r="D345" s="305" t="s">
        <v>1239</v>
      </c>
      <c r="E345" s="91">
        <v>45793</v>
      </c>
      <c r="F345" s="97">
        <v>45793</v>
      </c>
      <c r="G345" s="91"/>
      <c r="H345" s="91"/>
      <c r="I345" s="305" t="s">
        <v>26</v>
      </c>
      <c r="J345" s="92" t="s">
        <v>1226</v>
      </c>
      <c r="K345" s="92" t="s">
        <v>1240</v>
      </c>
      <c r="L345" s="305" t="s">
        <v>1057</v>
      </c>
      <c r="M345" s="369" t="s">
        <v>120</v>
      </c>
      <c r="N345" s="305" t="s">
        <v>127</v>
      </c>
      <c r="O345" s="305" t="s">
        <v>1073</v>
      </c>
      <c r="P345" s="158"/>
      <c r="Q345" s="305">
        <v>3.2</v>
      </c>
      <c r="R345" s="305"/>
      <c r="S345" s="305">
        <v>50</v>
      </c>
      <c r="T345" s="305">
        <v>8.5</v>
      </c>
      <c r="U345" s="305"/>
      <c r="V345" s="305" t="s">
        <v>127</v>
      </c>
      <c r="W345" s="305"/>
      <c r="X345" s="305" t="s">
        <v>150</v>
      </c>
      <c r="Y345" s="305"/>
      <c r="Z345" s="305"/>
      <c r="AA345" s="305"/>
      <c r="AB345" s="369" t="s">
        <v>215</v>
      </c>
      <c r="AC345" s="92" t="s">
        <v>1243</v>
      </c>
      <c r="AD345" s="369" t="s">
        <v>207</v>
      </c>
      <c r="AE345" s="118"/>
      <c r="AF345" s="118"/>
      <c r="AG345" s="118">
        <v>45736</v>
      </c>
      <c r="AH345" s="93">
        <v>45772</v>
      </c>
      <c r="AI345" s="264">
        <v>45748</v>
      </c>
      <c r="AJ345" s="95" t="s">
        <v>131</v>
      </c>
      <c r="AK345" s="369" t="s">
        <v>1060</v>
      </c>
      <c r="AL345" s="369" t="s">
        <v>183</v>
      </c>
      <c r="AM345" s="369" t="s">
        <v>209</v>
      </c>
      <c r="AN345" s="305"/>
      <c r="AO345" s="305"/>
      <c r="AP345" s="305"/>
      <c r="AQ345" s="291"/>
      <c r="AR345" s="305"/>
      <c r="AS345" s="305"/>
      <c r="AT345" s="91">
        <v>45744</v>
      </c>
      <c r="AU345" s="91">
        <v>45719</v>
      </c>
      <c r="AV345" s="91">
        <v>45736</v>
      </c>
      <c r="AW345" s="91">
        <v>45702</v>
      </c>
      <c r="AX345" s="305"/>
      <c r="AY345" s="305"/>
      <c r="AZ345" s="305"/>
      <c r="BA345" s="305"/>
      <c r="BB345" s="92" t="s">
        <v>1232</v>
      </c>
      <c r="BC345" s="47"/>
      <c r="BD345" s="49" t="s">
        <v>816</v>
      </c>
      <c r="BE345" s="70"/>
      <c r="BF345" s="367"/>
      <c r="BG345" s="367"/>
      <c r="BH345" s="64" t="e">
        <f>#REF!</f>
        <v>#REF!</v>
      </c>
      <c r="BL345" s="73"/>
    </row>
    <row r="346" spans="1:64" s="59" customFormat="1" ht="36" customHeight="1" x14ac:dyDescent="0.3">
      <c r="A346" s="156">
        <f t="shared" si="6"/>
        <v>341</v>
      </c>
      <c r="B346" s="90" t="s">
        <v>1244</v>
      </c>
      <c r="C346" s="305" t="s">
        <v>6</v>
      </c>
      <c r="D346" s="305" t="s">
        <v>1239</v>
      </c>
      <c r="E346" s="91">
        <v>45793</v>
      </c>
      <c r="F346" s="97">
        <v>45793</v>
      </c>
      <c r="G346" s="91"/>
      <c r="H346" s="91"/>
      <c r="I346" s="305" t="s">
        <v>26</v>
      </c>
      <c r="J346" s="92" t="s">
        <v>1226</v>
      </c>
      <c r="K346" s="92" t="s">
        <v>1245</v>
      </c>
      <c r="L346" s="305" t="s">
        <v>1057</v>
      </c>
      <c r="M346" s="369" t="s">
        <v>120</v>
      </c>
      <c r="N346" s="305" t="s">
        <v>127</v>
      </c>
      <c r="O346" s="305" t="s">
        <v>1073</v>
      </c>
      <c r="P346" s="158"/>
      <c r="Q346" s="305">
        <v>3.7</v>
      </c>
      <c r="R346" s="305"/>
      <c r="S346" s="305">
        <v>60</v>
      </c>
      <c r="T346" s="305">
        <v>7.5</v>
      </c>
      <c r="U346" s="305"/>
      <c r="V346" s="305" t="s">
        <v>127</v>
      </c>
      <c r="W346" s="305"/>
      <c r="X346" s="305" t="s">
        <v>150</v>
      </c>
      <c r="Y346" s="305"/>
      <c r="Z346" s="305"/>
      <c r="AA346" s="305" t="s">
        <v>214</v>
      </c>
      <c r="AB346" s="369" t="s">
        <v>215</v>
      </c>
      <c r="AC346" s="92" t="s">
        <v>1246</v>
      </c>
      <c r="AD346" s="369" t="s">
        <v>199</v>
      </c>
      <c r="AE346" s="118"/>
      <c r="AF346" s="118"/>
      <c r="AG346" s="118">
        <v>45736</v>
      </c>
      <c r="AH346" s="93">
        <v>45772</v>
      </c>
      <c r="AI346" s="264">
        <v>45748</v>
      </c>
      <c r="AJ346" s="95" t="s">
        <v>131</v>
      </c>
      <c r="AK346" s="369" t="s">
        <v>1060</v>
      </c>
      <c r="AL346" s="369" t="s">
        <v>183</v>
      </c>
      <c r="AM346" s="369" t="s">
        <v>209</v>
      </c>
      <c r="AN346" s="305"/>
      <c r="AO346" s="305"/>
      <c r="AP346" s="305"/>
      <c r="AQ346" s="291"/>
      <c r="AR346" s="305"/>
      <c r="AS346" s="305"/>
      <c r="AT346" s="91">
        <v>45744</v>
      </c>
      <c r="AU346" s="91">
        <v>45719</v>
      </c>
      <c r="AV346" s="91">
        <v>45736</v>
      </c>
      <c r="AW346" s="91">
        <v>45706</v>
      </c>
      <c r="AX346" s="305"/>
      <c r="AY346" s="305"/>
      <c r="AZ346" s="305"/>
      <c r="BA346" s="305"/>
      <c r="BB346" s="92" t="s">
        <v>1229</v>
      </c>
      <c r="BC346" s="47"/>
      <c r="BD346" s="49" t="s">
        <v>816</v>
      </c>
      <c r="BE346" s="70"/>
      <c r="BF346" s="367"/>
      <c r="BG346" s="367"/>
      <c r="BH346" s="64" t="e">
        <f>#REF!</f>
        <v>#REF!</v>
      </c>
      <c r="BL346" s="73"/>
    </row>
    <row r="347" spans="1:64" s="59" customFormat="1" ht="36" customHeight="1" x14ac:dyDescent="0.3">
      <c r="A347" s="156">
        <f t="shared" si="6"/>
        <v>342</v>
      </c>
      <c r="B347" s="90" t="s">
        <v>1247</v>
      </c>
      <c r="C347" s="305" t="s">
        <v>6</v>
      </c>
      <c r="D347" s="305" t="s">
        <v>1239</v>
      </c>
      <c r="E347" s="91">
        <v>45807</v>
      </c>
      <c r="F347" s="97">
        <v>45821</v>
      </c>
      <c r="G347" s="91"/>
      <c r="H347" s="91"/>
      <c r="I347" s="305" t="s">
        <v>26</v>
      </c>
      <c r="J347" s="92" t="s">
        <v>1226</v>
      </c>
      <c r="K347" s="92" t="s">
        <v>1245</v>
      </c>
      <c r="L347" s="305" t="s">
        <v>1057</v>
      </c>
      <c r="M347" s="369" t="s">
        <v>120</v>
      </c>
      <c r="N347" s="305" t="s">
        <v>127</v>
      </c>
      <c r="O347" s="305" t="s">
        <v>1073</v>
      </c>
      <c r="P347" s="158"/>
      <c r="Q347" s="305">
        <v>3.7</v>
      </c>
      <c r="R347" s="305"/>
      <c r="S347" s="305">
        <v>60</v>
      </c>
      <c r="T347" s="305">
        <v>7.5</v>
      </c>
      <c r="U347" s="305"/>
      <c r="V347" s="305" t="s">
        <v>127</v>
      </c>
      <c r="W347" s="305"/>
      <c r="X347" s="305" t="s">
        <v>150</v>
      </c>
      <c r="Y347" s="305"/>
      <c r="Z347" s="305"/>
      <c r="AA347" s="305"/>
      <c r="AB347" s="369" t="s">
        <v>215</v>
      </c>
      <c r="AC347" s="92" t="s">
        <v>1248</v>
      </c>
      <c r="AD347" s="369" t="s">
        <v>207</v>
      </c>
      <c r="AE347" s="118"/>
      <c r="AF347" s="118"/>
      <c r="AG347" s="118">
        <v>45736</v>
      </c>
      <c r="AH347" s="93">
        <v>45805</v>
      </c>
      <c r="AI347" s="264">
        <v>45748</v>
      </c>
      <c r="AJ347" s="95" t="s">
        <v>131</v>
      </c>
      <c r="AK347" s="369" t="s">
        <v>1060</v>
      </c>
      <c r="AL347" s="369" t="s">
        <v>183</v>
      </c>
      <c r="AM347" s="369" t="s">
        <v>209</v>
      </c>
      <c r="AN347" s="305"/>
      <c r="AO347" s="305"/>
      <c r="AP347" s="305"/>
      <c r="AQ347" s="291"/>
      <c r="AR347" s="305"/>
      <c r="AS347" s="305"/>
      <c r="AT347" s="91">
        <v>45744</v>
      </c>
      <c r="AU347" s="91">
        <v>45719</v>
      </c>
      <c r="AV347" s="91">
        <v>45736</v>
      </c>
      <c r="AW347" s="91">
        <v>45702</v>
      </c>
      <c r="AX347" s="305"/>
      <c r="AY347" s="305"/>
      <c r="AZ347" s="305"/>
      <c r="BA347" s="305"/>
      <c r="BB347" s="92" t="s">
        <v>1232</v>
      </c>
      <c r="BC347" s="47"/>
      <c r="BD347" s="49" t="s">
        <v>816</v>
      </c>
      <c r="BE347" s="70"/>
      <c r="BF347" s="367"/>
      <c r="BG347" s="367"/>
      <c r="BH347" s="64" t="e">
        <f>#REF!</f>
        <v>#REF!</v>
      </c>
      <c r="BL347" s="73"/>
    </row>
    <row r="348" spans="1:64" s="59" customFormat="1" ht="36" customHeight="1" x14ac:dyDescent="0.3">
      <c r="A348" s="156">
        <f t="shared" si="6"/>
        <v>343</v>
      </c>
      <c r="B348" s="90" t="s">
        <v>1249</v>
      </c>
      <c r="C348" s="305" t="s">
        <v>6</v>
      </c>
      <c r="D348" s="305" t="s">
        <v>1239</v>
      </c>
      <c r="E348" s="91">
        <v>45891</v>
      </c>
      <c r="F348" s="91"/>
      <c r="G348" s="91"/>
      <c r="H348" s="91"/>
      <c r="I348" s="305" t="s">
        <v>26</v>
      </c>
      <c r="J348" s="92" t="s">
        <v>1226</v>
      </c>
      <c r="K348" s="92" t="s">
        <v>1250</v>
      </c>
      <c r="L348" s="305" t="s">
        <v>660</v>
      </c>
      <c r="M348" s="369" t="s">
        <v>65</v>
      </c>
      <c r="N348" s="305" t="s">
        <v>127</v>
      </c>
      <c r="O348" s="305" t="s">
        <v>1073</v>
      </c>
      <c r="P348" s="158"/>
      <c r="Q348" s="305">
        <v>3</v>
      </c>
      <c r="R348" s="305"/>
      <c r="S348" s="305">
        <v>100</v>
      </c>
      <c r="T348" s="305">
        <v>15.1</v>
      </c>
      <c r="U348" s="305"/>
      <c r="V348" s="305" t="s">
        <v>127</v>
      </c>
      <c r="W348" s="305"/>
      <c r="X348" s="305" t="s">
        <v>1251</v>
      </c>
      <c r="Y348" s="305"/>
      <c r="Z348" s="305"/>
      <c r="AA348" s="305" t="s">
        <v>214</v>
      </c>
      <c r="AB348" s="369" t="s">
        <v>215</v>
      </c>
      <c r="AC348" s="92" t="s">
        <v>1252</v>
      </c>
      <c r="AD348" s="369" t="s">
        <v>552</v>
      </c>
      <c r="AE348" s="118"/>
      <c r="AF348" s="118"/>
      <c r="AG348" s="118">
        <v>45748</v>
      </c>
      <c r="AH348" s="93">
        <v>45858</v>
      </c>
      <c r="AI348" s="264">
        <v>45809</v>
      </c>
      <c r="AJ348" s="95" t="s">
        <v>131</v>
      </c>
      <c r="AK348" s="369" t="s">
        <v>200</v>
      </c>
      <c r="AL348" s="369" t="s">
        <v>154</v>
      </c>
      <c r="AM348" s="369" t="s">
        <v>209</v>
      </c>
      <c r="AN348" s="305"/>
      <c r="AO348" s="305"/>
      <c r="AP348" s="305"/>
      <c r="AQ348" s="291"/>
      <c r="AR348" s="305"/>
      <c r="AS348" s="305"/>
      <c r="AT348" s="91">
        <v>45823</v>
      </c>
      <c r="AU348" s="91">
        <v>45796</v>
      </c>
      <c r="AV348" s="91">
        <v>45804</v>
      </c>
      <c r="AW348" s="91">
        <v>45800</v>
      </c>
      <c r="AX348" s="305"/>
      <c r="AY348" s="305"/>
      <c r="AZ348" s="91">
        <v>45808</v>
      </c>
      <c r="BA348" s="91"/>
      <c r="BB348" s="92"/>
      <c r="BC348" s="47"/>
      <c r="BD348" s="49" t="s">
        <v>816</v>
      </c>
      <c r="BE348" s="70"/>
      <c r="BF348" s="367"/>
      <c r="BG348" s="367"/>
      <c r="BH348" s="64" t="e">
        <f>#REF!</f>
        <v>#REF!</v>
      </c>
      <c r="BL348" s="73"/>
    </row>
    <row r="349" spans="1:64" s="59" customFormat="1" ht="36" customHeight="1" x14ac:dyDescent="0.3">
      <c r="A349" s="305">
        <f t="shared" si="6"/>
        <v>344</v>
      </c>
      <c r="B349" s="90" t="s">
        <v>1253</v>
      </c>
      <c r="C349" s="305" t="s">
        <v>6</v>
      </c>
      <c r="D349" s="305" t="s">
        <v>262</v>
      </c>
      <c r="E349" s="91"/>
      <c r="F349" s="91"/>
      <c r="G349" s="91"/>
      <c r="H349" s="91"/>
      <c r="I349" s="305" t="s">
        <v>26</v>
      </c>
      <c r="J349" s="92" t="s">
        <v>1226</v>
      </c>
      <c r="K349" s="92" t="s">
        <v>1250</v>
      </c>
      <c r="L349" s="305" t="s">
        <v>1057</v>
      </c>
      <c r="M349" s="369" t="s">
        <v>65</v>
      </c>
      <c r="N349" s="305" t="s">
        <v>127</v>
      </c>
      <c r="O349" s="305"/>
      <c r="P349" s="305"/>
      <c r="Q349" s="305"/>
      <c r="R349" s="305"/>
      <c r="S349" s="305"/>
      <c r="T349" s="305">
        <v>10.1</v>
      </c>
      <c r="U349" s="305"/>
      <c r="V349" s="305"/>
      <c r="W349" s="305"/>
      <c r="X349" s="305"/>
      <c r="Y349" s="305"/>
      <c r="Z349" s="305"/>
      <c r="AA349" s="305"/>
      <c r="AB349" s="104"/>
      <c r="AC349" s="92" t="s">
        <v>1254</v>
      </c>
      <c r="AD349" s="369" t="s">
        <v>169</v>
      </c>
      <c r="AE349" s="118"/>
      <c r="AF349" s="118"/>
      <c r="AG349" s="118"/>
      <c r="AH349" s="93"/>
      <c r="AI349" s="94">
        <v>0</v>
      </c>
      <c r="AJ349" s="95" t="s">
        <v>264</v>
      </c>
      <c r="AK349" s="369"/>
      <c r="AL349" s="369"/>
      <c r="AM349" s="369"/>
      <c r="AN349" s="305"/>
      <c r="AO349" s="305"/>
      <c r="AP349" s="305"/>
      <c r="AQ349" s="291"/>
      <c r="AR349" s="305"/>
      <c r="AS349" s="305"/>
      <c r="AT349" s="305"/>
      <c r="AU349" s="305"/>
      <c r="AV349" s="305"/>
      <c r="AW349" s="305"/>
      <c r="AX349" s="305"/>
      <c r="AY349" s="305"/>
      <c r="AZ349" s="305"/>
      <c r="BA349" s="305"/>
      <c r="BB349" s="92" t="s">
        <v>1255</v>
      </c>
      <c r="BC349" s="47"/>
      <c r="BD349" s="49" t="s">
        <v>816</v>
      </c>
      <c r="BE349" s="70"/>
      <c r="BF349" s="367"/>
      <c r="BG349" s="367"/>
      <c r="BH349" s="64" t="e">
        <f>#REF!</f>
        <v>#REF!</v>
      </c>
      <c r="BL349" s="73"/>
    </row>
    <row r="350" spans="1:64" s="59" customFormat="1" ht="36" customHeight="1" x14ac:dyDescent="0.3">
      <c r="A350" s="305">
        <f t="shared" si="6"/>
        <v>345</v>
      </c>
      <c r="B350" s="90" t="s">
        <v>1256</v>
      </c>
      <c r="C350" s="305" t="s">
        <v>6</v>
      </c>
      <c r="D350" s="305" t="s">
        <v>262</v>
      </c>
      <c r="E350" s="91"/>
      <c r="F350" s="97"/>
      <c r="G350" s="91"/>
      <c r="H350" s="91"/>
      <c r="I350" s="305" t="s">
        <v>26</v>
      </c>
      <c r="J350" s="92" t="s">
        <v>1226</v>
      </c>
      <c r="K350" s="92" t="s">
        <v>1250</v>
      </c>
      <c r="L350" s="305" t="s">
        <v>1057</v>
      </c>
      <c r="M350" s="369" t="s">
        <v>65</v>
      </c>
      <c r="N350" s="305" t="s">
        <v>127</v>
      </c>
      <c r="O350" s="305"/>
      <c r="P350" s="305"/>
      <c r="Q350" s="305"/>
      <c r="R350" s="305"/>
      <c r="S350" s="305"/>
      <c r="T350" s="305">
        <v>10.1</v>
      </c>
      <c r="U350" s="305"/>
      <c r="V350" s="305"/>
      <c r="W350" s="305"/>
      <c r="X350" s="305"/>
      <c r="Y350" s="305"/>
      <c r="Z350" s="305"/>
      <c r="AA350" s="305"/>
      <c r="AB350" s="104" t="s">
        <v>1257</v>
      </c>
      <c r="AC350" s="92" t="s">
        <v>1258</v>
      </c>
      <c r="AD350" s="369" t="s">
        <v>1079</v>
      </c>
      <c r="AE350" s="118"/>
      <c r="AF350" s="118"/>
      <c r="AG350" s="118"/>
      <c r="AH350" s="93"/>
      <c r="AI350" s="94">
        <v>0</v>
      </c>
      <c r="AJ350" s="95" t="s">
        <v>264</v>
      </c>
      <c r="AK350" s="369"/>
      <c r="AL350" s="369"/>
      <c r="AM350" s="369"/>
      <c r="AN350" s="305"/>
      <c r="AO350" s="305"/>
      <c r="AP350" s="305"/>
      <c r="AQ350" s="291"/>
      <c r="AR350" s="305"/>
      <c r="AS350" s="305"/>
      <c r="AT350" s="305"/>
      <c r="AU350" s="305"/>
      <c r="AV350" s="305"/>
      <c r="AW350" s="305"/>
      <c r="AX350" s="305"/>
      <c r="AY350" s="305"/>
      <c r="AZ350" s="305"/>
      <c r="BA350" s="305"/>
      <c r="BB350" s="92" t="s">
        <v>1255</v>
      </c>
      <c r="BC350" s="47"/>
      <c r="BD350" s="49" t="s">
        <v>816</v>
      </c>
      <c r="BE350" s="70"/>
      <c r="BF350" s="367"/>
      <c r="BG350" s="367"/>
      <c r="BH350" s="64" t="e">
        <f>#REF!</f>
        <v>#REF!</v>
      </c>
      <c r="BL350" s="73"/>
    </row>
    <row r="351" spans="1:64" s="59" customFormat="1" ht="36" customHeight="1" x14ac:dyDescent="0.3">
      <c r="A351" s="156">
        <f t="shared" si="6"/>
        <v>346</v>
      </c>
      <c r="B351" s="90" t="s">
        <v>1259</v>
      </c>
      <c r="C351" s="305" t="s">
        <v>6</v>
      </c>
      <c r="D351" s="305" t="s">
        <v>1260</v>
      </c>
      <c r="E351" s="91">
        <v>45891</v>
      </c>
      <c r="F351" s="97"/>
      <c r="G351" s="91"/>
      <c r="H351" s="91"/>
      <c r="I351" s="305" t="s">
        <v>26</v>
      </c>
      <c r="J351" s="92" t="s">
        <v>1226</v>
      </c>
      <c r="K351" s="92" t="s">
        <v>1250</v>
      </c>
      <c r="L351" s="305" t="s">
        <v>660</v>
      </c>
      <c r="M351" s="369" t="s">
        <v>65</v>
      </c>
      <c r="N351" s="305" t="s">
        <v>127</v>
      </c>
      <c r="O351" s="305" t="s">
        <v>1073</v>
      </c>
      <c r="P351" s="158"/>
      <c r="Q351" s="305">
        <v>3</v>
      </c>
      <c r="R351" s="305"/>
      <c r="S351" s="305">
        <v>100</v>
      </c>
      <c r="T351" s="305">
        <v>15.1</v>
      </c>
      <c r="U351" s="305"/>
      <c r="V351" s="305" t="s">
        <v>127</v>
      </c>
      <c r="W351" s="305"/>
      <c r="X351" s="305" t="s">
        <v>1111</v>
      </c>
      <c r="Y351" s="305"/>
      <c r="Z351" s="305"/>
      <c r="AA351" s="305"/>
      <c r="AB351" s="369" t="s">
        <v>215</v>
      </c>
      <c r="AC351" s="92" t="s">
        <v>1261</v>
      </c>
      <c r="AD351" s="369" t="s">
        <v>555</v>
      </c>
      <c r="AE351" s="118"/>
      <c r="AF351" s="118"/>
      <c r="AG351" s="118">
        <v>45748</v>
      </c>
      <c r="AH351" s="93">
        <v>45858</v>
      </c>
      <c r="AI351" s="264">
        <v>45809</v>
      </c>
      <c r="AJ351" s="95" t="s">
        <v>131</v>
      </c>
      <c r="AK351" s="369" t="s">
        <v>200</v>
      </c>
      <c r="AL351" s="369" t="s">
        <v>154</v>
      </c>
      <c r="AM351" s="369" t="s">
        <v>209</v>
      </c>
      <c r="AN351" s="305"/>
      <c r="AO351" s="305"/>
      <c r="AP351" s="305"/>
      <c r="AQ351" s="291"/>
      <c r="AR351" s="305"/>
      <c r="AS351" s="305"/>
      <c r="AT351" s="91">
        <v>45823</v>
      </c>
      <c r="AU351" s="91">
        <v>45796</v>
      </c>
      <c r="AV351" s="91">
        <v>45804</v>
      </c>
      <c r="AW351" s="91">
        <v>45800</v>
      </c>
      <c r="AX351" s="305"/>
      <c r="AY351" s="305"/>
      <c r="AZ351" s="91">
        <v>45808</v>
      </c>
      <c r="BA351" s="91"/>
      <c r="BB351" s="92"/>
      <c r="BC351" s="47"/>
      <c r="BD351" s="49" t="s">
        <v>816</v>
      </c>
      <c r="BE351" s="70"/>
      <c r="BF351" s="367"/>
      <c r="BG351" s="367"/>
      <c r="BH351" s="64" t="e">
        <f>#REF!</f>
        <v>#REF!</v>
      </c>
      <c r="BL351" s="73"/>
    </row>
    <row r="352" spans="1:64" s="59" customFormat="1" ht="36" customHeight="1" x14ac:dyDescent="0.3">
      <c r="A352" s="156">
        <f t="shared" si="6"/>
        <v>347</v>
      </c>
      <c r="B352" s="90" t="s">
        <v>1262</v>
      </c>
      <c r="C352" s="305" t="s">
        <v>6</v>
      </c>
      <c r="D352" s="305" t="s">
        <v>1260</v>
      </c>
      <c r="E352" s="91">
        <v>45891</v>
      </c>
      <c r="F352" s="97"/>
      <c r="G352" s="91"/>
      <c r="H352" s="91"/>
      <c r="I352" s="305" t="s">
        <v>26</v>
      </c>
      <c r="J352" s="92" t="s">
        <v>1226</v>
      </c>
      <c r="K352" s="92" t="s">
        <v>1263</v>
      </c>
      <c r="L352" s="305" t="s">
        <v>660</v>
      </c>
      <c r="M352" s="369" t="s">
        <v>120</v>
      </c>
      <c r="N352" s="305" t="s">
        <v>127</v>
      </c>
      <c r="O352" s="305" t="s">
        <v>1073</v>
      </c>
      <c r="P352" s="158"/>
      <c r="Q352" s="305">
        <v>3</v>
      </c>
      <c r="R352" s="305"/>
      <c r="S352" s="305">
        <v>100</v>
      </c>
      <c r="T352" s="305">
        <v>15.1</v>
      </c>
      <c r="U352" s="305"/>
      <c r="V352" s="305" t="s">
        <v>127</v>
      </c>
      <c r="W352" s="305"/>
      <c r="X352" s="305" t="s">
        <v>1111</v>
      </c>
      <c r="Y352" s="305"/>
      <c r="Z352" s="305"/>
      <c r="AA352" s="305" t="s">
        <v>214</v>
      </c>
      <c r="AB352" s="369" t="s">
        <v>215</v>
      </c>
      <c r="AC352" s="92" t="s">
        <v>1264</v>
      </c>
      <c r="AD352" s="369" t="s">
        <v>552</v>
      </c>
      <c r="AE352" s="118"/>
      <c r="AF352" s="118"/>
      <c r="AG352" s="118">
        <v>45726</v>
      </c>
      <c r="AH352" s="93">
        <v>45858</v>
      </c>
      <c r="AI352" s="264">
        <v>45809</v>
      </c>
      <c r="AJ352" s="95" t="s">
        <v>131</v>
      </c>
      <c r="AK352" s="369" t="s">
        <v>200</v>
      </c>
      <c r="AL352" s="369" t="s">
        <v>154</v>
      </c>
      <c r="AM352" s="369" t="s">
        <v>209</v>
      </c>
      <c r="AN352" s="305"/>
      <c r="AO352" s="305"/>
      <c r="AP352" s="305"/>
      <c r="AQ352" s="291"/>
      <c r="AR352" s="305"/>
      <c r="AS352" s="305"/>
      <c r="AT352" s="91">
        <v>45823</v>
      </c>
      <c r="AU352" s="91">
        <v>45796</v>
      </c>
      <c r="AV352" s="91">
        <v>45804</v>
      </c>
      <c r="AW352" s="91">
        <v>45800</v>
      </c>
      <c r="AX352" s="305"/>
      <c r="AY352" s="305"/>
      <c r="AZ352" s="91">
        <v>45808</v>
      </c>
      <c r="BA352" s="91"/>
      <c r="BB352" s="92"/>
      <c r="BC352" s="47"/>
      <c r="BD352" s="49" t="s">
        <v>816</v>
      </c>
      <c r="BE352" s="70"/>
      <c r="BF352" s="367"/>
      <c r="BG352" s="367"/>
      <c r="BH352" s="64" t="e">
        <f>#REF!</f>
        <v>#REF!</v>
      </c>
      <c r="BL352" s="73"/>
    </row>
    <row r="353" spans="1:64" s="59" customFormat="1" ht="36" customHeight="1" x14ac:dyDescent="0.3">
      <c r="A353" s="305">
        <f t="shared" si="6"/>
        <v>348</v>
      </c>
      <c r="B353" s="90" t="s">
        <v>1265</v>
      </c>
      <c r="C353" s="305" t="s">
        <v>6</v>
      </c>
      <c r="D353" s="305" t="s">
        <v>262</v>
      </c>
      <c r="E353" s="91"/>
      <c r="F353" s="97"/>
      <c r="G353" s="91"/>
      <c r="H353" s="91"/>
      <c r="I353" s="305" t="s">
        <v>26</v>
      </c>
      <c r="J353" s="92" t="s">
        <v>1226</v>
      </c>
      <c r="K353" s="92" t="s">
        <v>1263</v>
      </c>
      <c r="L353" s="305" t="s">
        <v>1057</v>
      </c>
      <c r="M353" s="369" t="s">
        <v>120</v>
      </c>
      <c r="N353" s="305" t="s">
        <v>127</v>
      </c>
      <c r="O353" s="305"/>
      <c r="P353" s="305"/>
      <c r="Q353" s="305"/>
      <c r="R353" s="305"/>
      <c r="S353" s="305"/>
      <c r="T353" s="305">
        <v>10.1</v>
      </c>
      <c r="U353" s="305"/>
      <c r="V353" s="305"/>
      <c r="W353" s="305"/>
      <c r="X353" s="305"/>
      <c r="Y353" s="305"/>
      <c r="Z353" s="305"/>
      <c r="AA353" s="305"/>
      <c r="AB353" s="369"/>
      <c r="AC353" s="92" t="s">
        <v>1266</v>
      </c>
      <c r="AD353" s="369" t="s">
        <v>169</v>
      </c>
      <c r="AE353" s="118"/>
      <c r="AF353" s="118"/>
      <c r="AG353" s="118"/>
      <c r="AH353" s="93"/>
      <c r="AI353" s="94">
        <v>0</v>
      </c>
      <c r="AJ353" s="95" t="s">
        <v>264</v>
      </c>
      <c r="AK353" s="369"/>
      <c r="AL353" s="369"/>
      <c r="AM353" s="369"/>
      <c r="AN353" s="305"/>
      <c r="AO353" s="305"/>
      <c r="AP353" s="305"/>
      <c r="AQ353" s="291"/>
      <c r="AR353" s="305"/>
      <c r="AS353" s="305"/>
      <c r="AT353" s="305"/>
      <c r="AU353" s="305"/>
      <c r="AV353" s="305"/>
      <c r="AW353" s="305"/>
      <c r="AX353" s="305"/>
      <c r="AY353" s="305"/>
      <c r="AZ353" s="305"/>
      <c r="BA353" s="305"/>
      <c r="BB353" s="92" t="s">
        <v>1255</v>
      </c>
      <c r="BC353" s="47"/>
      <c r="BD353" s="49" t="s">
        <v>816</v>
      </c>
      <c r="BE353" s="70"/>
      <c r="BF353" s="367"/>
      <c r="BG353" s="367"/>
      <c r="BH353" s="64" t="e">
        <f>#REF!</f>
        <v>#REF!</v>
      </c>
      <c r="BL353" s="73"/>
    </row>
    <row r="354" spans="1:64" s="59" customFormat="1" ht="36" customHeight="1" x14ac:dyDescent="0.3">
      <c r="A354" s="305">
        <f t="shared" si="6"/>
        <v>349</v>
      </c>
      <c r="B354" s="90" t="s">
        <v>1267</v>
      </c>
      <c r="C354" s="305" t="s">
        <v>6</v>
      </c>
      <c r="D354" s="305" t="s">
        <v>262</v>
      </c>
      <c r="E354" s="91"/>
      <c r="F354" s="97"/>
      <c r="G354" s="91"/>
      <c r="H354" s="91"/>
      <c r="I354" s="305" t="s">
        <v>26</v>
      </c>
      <c r="J354" s="92" t="s">
        <v>1226</v>
      </c>
      <c r="K354" s="92" t="s">
        <v>1263</v>
      </c>
      <c r="L354" s="305" t="s">
        <v>1057</v>
      </c>
      <c r="M354" s="369" t="s">
        <v>120</v>
      </c>
      <c r="N354" s="305" t="s">
        <v>127</v>
      </c>
      <c r="O354" s="305"/>
      <c r="P354" s="305"/>
      <c r="Q354" s="305"/>
      <c r="R354" s="305"/>
      <c r="S354" s="305"/>
      <c r="T354" s="305">
        <v>10.1</v>
      </c>
      <c r="U354" s="305"/>
      <c r="V354" s="305"/>
      <c r="W354" s="305"/>
      <c r="X354" s="305"/>
      <c r="Y354" s="305"/>
      <c r="Z354" s="305"/>
      <c r="AA354" s="305"/>
      <c r="AB354" s="369" t="s">
        <v>1257</v>
      </c>
      <c r="AC354" s="92" t="s">
        <v>1268</v>
      </c>
      <c r="AD354" s="369" t="s">
        <v>1079</v>
      </c>
      <c r="AE354" s="118"/>
      <c r="AF354" s="118"/>
      <c r="AG354" s="118"/>
      <c r="AH354" s="93"/>
      <c r="AI354" s="94">
        <v>0</v>
      </c>
      <c r="AJ354" s="95" t="s">
        <v>264</v>
      </c>
      <c r="AK354" s="369"/>
      <c r="AL354" s="369"/>
      <c r="AM354" s="369"/>
      <c r="AN354" s="305"/>
      <c r="AO354" s="305"/>
      <c r="AP354" s="305"/>
      <c r="AQ354" s="291"/>
      <c r="AR354" s="305"/>
      <c r="AS354" s="305"/>
      <c r="AT354" s="305"/>
      <c r="AU354" s="305"/>
      <c r="AV354" s="305"/>
      <c r="AW354" s="305"/>
      <c r="AX354" s="305"/>
      <c r="AY354" s="305"/>
      <c r="AZ354" s="305"/>
      <c r="BA354" s="305"/>
      <c r="BB354" s="92" t="s">
        <v>1255</v>
      </c>
      <c r="BC354" s="47"/>
      <c r="BD354" s="49" t="s">
        <v>816</v>
      </c>
      <c r="BE354" s="70"/>
      <c r="BF354" s="367"/>
      <c r="BG354" s="367"/>
      <c r="BH354" s="64" t="e">
        <f>#REF!</f>
        <v>#REF!</v>
      </c>
      <c r="BL354" s="73"/>
    </row>
    <row r="355" spans="1:64" s="59" customFormat="1" ht="36" customHeight="1" x14ac:dyDescent="0.3">
      <c r="A355" s="156">
        <f t="shared" si="6"/>
        <v>350</v>
      </c>
      <c r="B355" s="90" t="s">
        <v>1269</v>
      </c>
      <c r="C355" s="305" t="s">
        <v>6</v>
      </c>
      <c r="D355" s="305" t="s">
        <v>1260</v>
      </c>
      <c r="E355" s="91">
        <v>45894</v>
      </c>
      <c r="F355" s="97"/>
      <c r="G355" s="91"/>
      <c r="H355" s="91"/>
      <c r="I355" s="305" t="s">
        <v>26</v>
      </c>
      <c r="J355" s="92" t="s">
        <v>1226</v>
      </c>
      <c r="K355" s="92" t="s">
        <v>1263</v>
      </c>
      <c r="L355" s="305" t="s">
        <v>660</v>
      </c>
      <c r="M355" s="369" t="s">
        <v>120</v>
      </c>
      <c r="N355" s="305" t="s">
        <v>127</v>
      </c>
      <c r="O355" s="305" t="s">
        <v>1073</v>
      </c>
      <c r="P355" s="158"/>
      <c r="Q355" s="305">
        <v>3</v>
      </c>
      <c r="R355" s="305"/>
      <c r="S355" s="305">
        <v>100</v>
      </c>
      <c r="T355" s="305">
        <v>15.1</v>
      </c>
      <c r="U355" s="305"/>
      <c r="V355" s="305" t="s">
        <v>127</v>
      </c>
      <c r="W355" s="305"/>
      <c r="X355" s="305" t="s">
        <v>1111</v>
      </c>
      <c r="Y355" s="305"/>
      <c r="Z355" s="305"/>
      <c r="AA355" s="305"/>
      <c r="AB355" s="369" t="s">
        <v>215</v>
      </c>
      <c r="AC355" s="92" t="s">
        <v>1270</v>
      </c>
      <c r="AD355" s="369" t="s">
        <v>555</v>
      </c>
      <c r="AE355" s="118"/>
      <c r="AF355" s="118"/>
      <c r="AG355" s="118">
        <v>45726</v>
      </c>
      <c r="AH355" s="93">
        <v>45858</v>
      </c>
      <c r="AI355" s="264">
        <v>45809</v>
      </c>
      <c r="AJ355" s="95" t="s">
        <v>131</v>
      </c>
      <c r="AK355" s="369" t="s">
        <v>200</v>
      </c>
      <c r="AL355" s="369" t="s">
        <v>154</v>
      </c>
      <c r="AM355" s="369" t="s">
        <v>209</v>
      </c>
      <c r="AN355" s="305"/>
      <c r="AO355" s="305"/>
      <c r="AP355" s="305"/>
      <c r="AQ355" s="291"/>
      <c r="AR355" s="305"/>
      <c r="AS355" s="305"/>
      <c r="AT355" s="91">
        <v>45823</v>
      </c>
      <c r="AU355" s="91">
        <v>45796</v>
      </c>
      <c r="AV355" s="91">
        <v>45804</v>
      </c>
      <c r="AW355" s="91">
        <v>45800</v>
      </c>
      <c r="AX355" s="305"/>
      <c r="AY355" s="305"/>
      <c r="AZ355" s="91">
        <v>45808</v>
      </c>
      <c r="BA355" s="91"/>
      <c r="BB355" s="92"/>
      <c r="BC355" s="47"/>
      <c r="BD355" s="49" t="s">
        <v>816</v>
      </c>
      <c r="BE355" s="70"/>
      <c r="BF355" s="367"/>
      <c r="BG355" s="367"/>
      <c r="BH355" s="64" t="e">
        <f>#REF!</f>
        <v>#REF!</v>
      </c>
      <c r="BL355" s="73"/>
    </row>
    <row r="356" spans="1:64" s="59" customFormat="1" ht="36" customHeight="1" x14ac:dyDescent="0.3">
      <c r="A356" s="156">
        <f t="shared" si="6"/>
        <v>351</v>
      </c>
      <c r="B356" s="90" t="s">
        <v>1271</v>
      </c>
      <c r="C356" s="305" t="s">
        <v>6</v>
      </c>
      <c r="D356" s="305" t="s">
        <v>1260</v>
      </c>
      <c r="E356" s="91">
        <v>45894</v>
      </c>
      <c r="F356" s="97"/>
      <c r="G356" s="91"/>
      <c r="H356" s="91"/>
      <c r="I356" s="305" t="s">
        <v>26</v>
      </c>
      <c r="J356" s="92" t="s">
        <v>1226</v>
      </c>
      <c r="K356" s="92" t="s">
        <v>1272</v>
      </c>
      <c r="L356" s="305" t="s">
        <v>660</v>
      </c>
      <c r="M356" s="369" t="s">
        <v>120</v>
      </c>
      <c r="N356" s="305" t="s">
        <v>127</v>
      </c>
      <c r="O356" s="305" t="s">
        <v>1073</v>
      </c>
      <c r="P356" s="158"/>
      <c r="Q356" s="305">
        <v>3</v>
      </c>
      <c r="R356" s="305"/>
      <c r="S356" s="305">
        <v>100</v>
      </c>
      <c r="T356" s="305">
        <v>15.1</v>
      </c>
      <c r="U356" s="305"/>
      <c r="V356" s="305" t="s">
        <v>127</v>
      </c>
      <c r="W356" s="305"/>
      <c r="X356" s="305" t="s">
        <v>1111</v>
      </c>
      <c r="Y356" s="305"/>
      <c r="Z356" s="305"/>
      <c r="AA356" s="305" t="s">
        <v>214</v>
      </c>
      <c r="AB356" s="369" t="s">
        <v>215</v>
      </c>
      <c r="AC356" s="92" t="s">
        <v>1273</v>
      </c>
      <c r="AD356" s="369" t="s">
        <v>552</v>
      </c>
      <c r="AE356" s="118"/>
      <c r="AF356" s="118"/>
      <c r="AG356" s="118">
        <v>45767</v>
      </c>
      <c r="AH356" s="93">
        <v>45858</v>
      </c>
      <c r="AI356" s="264">
        <v>45809</v>
      </c>
      <c r="AJ356" s="95" t="s">
        <v>131</v>
      </c>
      <c r="AK356" s="369" t="s">
        <v>200</v>
      </c>
      <c r="AL356" s="369" t="s">
        <v>154</v>
      </c>
      <c r="AM356" s="369" t="s">
        <v>209</v>
      </c>
      <c r="AN356" s="305"/>
      <c r="AO356" s="305"/>
      <c r="AP356" s="305"/>
      <c r="AQ356" s="291"/>
      <c r="AR356" s="305"/>
      <c r="AS356" s="305"/>
      <c r="AT356" s="91">
        <v>45823</v>
      </c>
      <c r="AU356" s="91">
        <v>45796</v>
      </c>
      <c r="AV356" s="91">
        <v>45804</v>
      </c>
      <c r="AW356" s="91">
        <v>45800</v>
      </c>
      <c r="AX356" s="305"/>
      <c r="AY356" s="305"/>
      <c r="AZ356" s="91">
        <v>45808</v>
      </c>
      <c r="BA356" s="91"/>
      <c r="BB356" s="92"/>
      <c r="BC356" s="47"/>
      <c r="BD356" s="49" t="s">
        <v>816</v>
      </c>
      <c r="BE356" s="70"/>
      <c r="BF356" s="367"/>
      <c r="BG356" s="367"/>
      <c r="BH356" s="64" t="e">
        <f>#REF!</f>
        <v>#REF!</v>
      </c>
      <c r="BL356" s="73"/>
    </row>
    <row r="357" spans="1:64" s="59" customFormat="1" ht="36" customHeight="1" x14ac:dyDescent="0.3">
      <c r="A357" s="305">
        <f t="shared" si="6"/>
        <v>352</v>
      </c>
      <c r="B357" s="90" t="s">
        <v>1274</v>
      </c>
      <c r="C357" s="305" t="s">
        <v>6</v>
      </c>
      <c r="D357" s="305" t="s">
        <v>262</v>
      </c>
      <c r="E357" s="91"/>
      <c r="F357" s="97"/>
      <c r="G357" s="91"/>
      <c r="H357" s="91"/>
      <c r="I357" s="305" t="s">
        <v>26</v>
      </c>
      <c r="J357" s="92" t="s">
        <v>1226</v>
      </c>
      <c r="K357" s="92" t="s">
        <v>1272</v>
      </c>
      <c r="L357" s="305" t="s">
        <v>1057</v>
      </c>
      <c r="M357" s="369" t="s">
        <v>120</v>
      </c>
      <c r="N357" s="305" t="s">
        <v>127</v>
      </c>
      <c r="O357" s="305"/>
      <c r="P357" s="305"/>
      <c r="Q357" s="305"/>
      <c r="R357" s="305"/>
      <c r="S357" s="305"/>
      <c r="T357" s="305">
        <v>10.1</v>
      </c>
      <c r="U357" s="305"/>
      <c r="V357" s="305"/>
      <c r="W357" s="305"/>
      <c r="X357" s="305"/>
      <c r="Y357" s="305"/>
      <c r="Z357" s="305"/>
      <c r="AA357" s="305"/>
      <c r="AB357" s="369"/>
      <c r="AC357" s="92" t="s">
        <v>1275</v>
      </c>
      <c r="AD357" s="369" t="s">
        <v>169</v>
      </c>
      <c r="AE357" s="118"/>
      <c r="AF357" s="118"/>
      <c r="AG357" s="118"/>
      <c r="AH357" s="93"/>
      <c r="AI357" s="94">
        <v>0</v>
      </c>
      <c r="AJ357" s="95" t="s">
        <v>264</v>
      </c>
      <c r="AK357" s="369"/>
      <c r="AL357" s="369"/>
      <c r="AM357" s="369"/>
      <c r="AN357" s="305"/>
      <c r="AO357" s="305"/>
      <c r="AP357" s="305"/>
      <c r="AQ357" s="291"/>
      <c r="AR357" s="305"/>
      <c r="AS357" s="305"/>
      <c r="AT357" s="305"/>
      <c r="AU357" s="305"/>
      <c r="AV357" s="305"/>
      <c r="AW357" s="305"/>
      <c r="AX357" s="305"/>
      <c r="AY357" s="305"/>
      <c r="AZ357" s="305"/>
      <c r="BA357" s="305"/>
      <c r="BB357" s="92" t="s">
        <v>1255</v>
      </c>
      <c r="BC357" s="47"/>
      <c r="BD357" s="49" t="s">
        <v>816</v>
      </c>
      <c r="BE357" s="70"/>
      <c r="BF357" s="367"/>
      <c r="BG357" s="367"/>
      <c r="BH357" s="64" t="e">
        <f>#REF!</f>
        <v>#REF!</v>
      </c>
      <c r="BL357" s="73"/>
    </row>
    <row r="358" spans="1:64" s="59" customFormat="1" ht="36" customHeight="1" x14ac:dyDescent="0.3">
      <c r="A358" s="305">
        <f t="shared" si="6"/>
        <v>353</v>
      </c>
      <c r="B358" s="90" t="s">
        <v>1276</v>
      </c>
      <c r="C358" s="305" t="s">
        <v>6</v>
      </c>
      <c r="D358" s="305" t="s">
        <v>262</v>
      </c>
      <c r="E358" s="91"/>
      <c r="F358" s="97"/>
      <c r="G358" s="91"/>
      <c r="H358" s="91"/>
      <c r="I358" s="305" t="s">
        <v>26</v>
      </c>
      <c r="J358" s="92" t="s">
        <v>1226</v>
      </c>
      <c r="K358" s="92" t="s">
        <v>1272</v>
      </c>
      <c r="L358" s="305" t="s">
        <v>1057</v>
      </c>
      <c r="M358" s="369" t="s">
        <v>120</v>
      </c>
      <c r="N358" s="305" t="s">
        <v>127</v>
      </c>
      <c r="O358" s="305"/>
      <c r="P358" s="305"/>
      <c r="Q358" s="305"/>
      <c r="R358" s="305"/>
      <c r="S358" s="305"/>
      <c r="T358" s="305">
        <v>10.1</v>
      </c>
      <c r="U358" s="305"/>
      <c r="V358" s="305"/>
      <c r="W358" s="305"/>
      <c r="X358" s="305"/>
      <c r="Y358" s="305"/>
      <c r="Z358" s="305"/>
      <c r="AA358" s="305"/>
      <c r="AB358" s="369" t="s">
        <v>1257</v>
      </c>
      <c r="AC358" s="92" t="s">
        <v>1277</v>
      </c>
      <c r="AD358" s="369" t="s">
        <v>1079</v>
      </c>
      <c r="AE358" s="118"/>
      <c r="AF358" s="118"/>
      <c r="AG358" s="118"/>
      <c r="AH358" s="93"/>
      <c r="AI358" s="94">
        <v>0</v>
      </c>
      <c r="AJ358" s="95" t="s">
        <v>264</v>
      </c>
      <c r="AK358" s="369"/>
      <c r="AL358" s="369"/>
      <c r="AM358" s="369"/>
      <c r="AN358" s="305"/>
      <c r="AO358" s="305"/>
      <c r="AP358" s="305"/>
      <c r="AQ358" s="291"/>
      <c r="AR358" s="305"/>
      <c r="AS358" s="305"/>
      <c r="AT358" s="305"/>
      <c r="AU358" s="305"/>
      <c r="AV358" s="305"/>
      <c r="AW358" s="305"/>
      <c r="AX358" s="305"/>
      <c r="AY358" s="305"/>
      <c r="AZ358" s="305"/>
      <c r="BA358" s="305"/>
      <c r="BB358" s="92" t="s">
        <v>1255</v>
      </c>
      <c r="BC358" s="47"/>
      <c r="BD358" s="49" t="s">
        <v>816</v>
      </c>
      <c r="BE358" s="70"/>
      <c r="BF358" s="367"/>
      <c r="BG358" s="367"/>
      <c r="BH358" s="64" t="e">
        <f>#REF!</f>
        <v>#REF!</v>
      </c>
      <c r="BL358" s="73"/>
    </row>
    <row r="359" spans="1:64" s="59" customFormat="1" ht="36" customHeight="1" x14ac:dyDescent="0.3">
      <c r="A359" s="156">
        <f t="shared" si="6"/>
        <v>354</v>
      </c>
      <c r="B359" s="90" t="s">
        <v>1278</v>
      </c>
      <c r="C359" s="305" t="s">
        <v>6</v>
      </c>
      <c r="D359" s="305" t="s">
        <v>1260</v>
      </c>
      <c r="E359" s="91">
        <v>45894</v>
      </c>
      <c r="F359" s="97"/>
      <c r="G359" s="91"/>
      <c r="H359" s="91"/>
      <c r="I359" s="305" t="s">
        <v>26</v>
      </c>
      <c r="J359" s="92" t="s">
        <v>1226</v>
      </c>
      <c r="K359" s="92" t="s">
        <v>1272</v>
      </c>
      <c r="L359" s="305" t="s">
        <v>660</v>
      </c>
      <c r="M359" s="369" t="s">
        <v>120</v>
      </c>
      <c r="N359" s="305" t="s">
        <v>127</v>
      </c>
      <c r="O359" s="305" t="s">
        <v>1073</v>
      </c>
      <c r="P359" s="158"/>
      <c r="Q359" s="305">
        <v>3</v>
      </c>
      <c r="R359" s="305"/>
      <c r="S359" s="305">
        <v>100</v>
      </c>
      <c r="T359" s="305">
        <v>15.1</v>
      </c>
      <c r="U359" s="305"/>
      <c r="V359" s="305" t="s">
        <v>127</v>
      </c>
      <c r="W359" s="305"/>
      <c r="X359" s="305" t="s">
        <v>1111</v>
      </c>
      <c r="Y359" s="305"/>
      <c r="Z359" s="305"/>
      <c r="AA359" s="305"/>
      <c r="AB359" s="369" t="s">
        <v>215</v>
      </c>
      <c r="AC359" s="92" t="s">
        <v>1279</v>
      </c>
      <c r="AD359" s="369" t="s">
        <v>555</v>
      </c>
      <c r="AE359" s="118"/>
      <c r="AF359" s="118"/>
      <c r="AG359" s="118">
        <v>45767</v>
      </c>
      <c r="AH359" s="93">
        <v>45858</v>
      </c>
      <c r="AI359" s="264">
        <v>45809</v>
      </c>
      <c r="AJ359" s="95" t="s">
        <v>131</v>
      </c>
      <c r="AK359" s="369" t="s">
        <v>200</v>
      </c>
      <c r="AL359" s="369" t="s">
        <v>154</v>
      </c>
      <c r="AM359" s="369" t="s">
        <v>209</v>
      </c>
      <c r="AN359" s="305"/>
      <c r="AO359" s="305"/>
      <c r="AP359" s="305"/>
      <c r="AQ359" s="291"/>
      <c r="AR359" s="305"/>
      <c r="AS359" s="305"/>
      <c r="AT359" s="91">
        <v>45823</v>
      </c>
      <c r="AU359" s="91">
        <v>45796</v>
      </c>
      <c r="AV359" s="91">
        <v>45804</v>
      </c>
      <c r="AW359" s="91">
        <v>45800</v>
      </c>
      <c r="AX359" s="305"/>
      <c r="AY359" s="305"/>
      <c r="AZ359" s="91">
        <v>45808</v>
      </c>
      <c r="BA359" s="91"/>
      <c r="BB359" s="92"/>
      <c r="BC359" s="47"/>
      <c r="BD359" s="49" t="s">
        <v>816</v>
      </c>
      <c r="BE359" s="70"/>
      <c r="BF359" s="367"/>
      <c r="BG359" s="367"/>
      <c r="BH359" s="64" t="e">
        <f>#REF!</f>
        <v>#REF!</v>
      </c>
      <c r="BL359" s="73"/>
    </row>
    <row r="360" spans="1:64" s="59" customFormat="1" ht="36" customHeight="1" x14ac:dyDescent="0.3">
      <c r="A360" s="156">
        <f t="shared" si="6"/>
        <v>355</v>
      </c>
      <c r="B360" s="90" t="s">
        <v>1280</v>
      </c>
      <c r="C360" s="305" t="s">
        <v>6</v>
      </c>
      <c r="D360" s="305" t="s">
        <v>1281</v>
      </c>
      <c r="E360" s="91">
        <v>45807</v>
      </c>
      <c r="F360" s="97">
        <v>45821</v>
      </c>
      <c r="G360" s="91"/>
      <c r="H360" s="91"/>
      <c r="I360" s="305" t="s">
        <v>26</v>
      </c>
      <c r="J360" s="92" t="s">
        <v>1282</v>
      </c>
      <c r="K360" s="92" t="s">
        <v>1283</v>
      </c>
      <c r="L360" s="305" t="s">
        <v>1057</v>
      </c>
      <c r="M360" s="369" t="s">
        <v>120</v>
      </c>
      <c r="N360" s="305" t="s">
        <v>127</v>
      </c>
      <c r="O360" s="305" t="s">
        <v>1073</v>
      </c>
      <c r="P360" s="158"/>
      <c r="Q360" s="305">
        <v>4.2</v>
      </c>
      <c r="R360" s="305"/>
      <c r="S360" s="305">
        <v>100</v>
      </c>
      <c r="T360" s="305">
        <v>10.1</v>
      </c>
      <c r="U360" s="305"/>
      <c r="V360" s="305" t="s">
        <v>127</v>
      </c>
      <c r="W360" s="305"/>
      <c r="X360" s="305" t="s">
        <v>150</v>
      </c>
      <c r="Y360" s="305"/>
      <c r="Z360" s="305"/>
      <c r="AA360" s="305"/>
      <c r="AB360" s="369" t="s">
        <v>1096</v>
      </c>
      <c r="AC360" s="92" t="s">
        <v>1284</v>
      </c>
      <c r="AD360" s="369" t="s">
        <v>199</v>
      </c>
      <c r="AE360" s="118"/>
      <c r="AF360" s="118"/>
      <c r="AG360" s="118">
        <v>45757</v>
      </c>
      <c r="AH360" s="93">
        <v>45805</v>
      </c>
      <c r="AI360" s="264">
        <v>45748</v>
      </c>
      <c r="AJ360" s="95" t="s">
        <v>131</v>
      </c>
      <c r="AK360" s="369" t="s">
        <v>1060</v>
      </c>
      <c r="AL360" s="369" t="s">
        <v>183</v>
      </c>
      <c r="AM360" s="369" t="s">
        <v>209</v>
      </c>
      <c r="AN360" s="305"/>
      <c r="AO360" s="305"/>
      <c r="AP360" s="305"/>
      <c r="AQ360" s="291"/>
      <c r="AR360" s="305"/>
      <c r="AS360" s="305"/>
      <c r="AT360" s="91">
        <v>45744</v>
      </c>
      <c r="AU360" s="91">
        <v>45719</v>
      </c>
      <c r="AV360" s="91">
        <v>45736</v>
      </c>
      <c r="AW360" s="91">
        <v>45706</v>
      </c>
      <c r="AX360" s="305"/>
      <c r="AY360" s="305"/>
      <c r="AZ360" s="305"/>
      <c r="BA360" s="305"/>
      <c r="BB360" s="92" t="s">
        <v>1285</v>
      </c>
      <c r="BC360" s="47"/>
      <c r="BD360" s="49" t="s">
        <v>816</v>
      </c>
      <c r="BE360" s="70"/>
      <c r="BF360" s="367"/>
      <c r="BG360" s="367"/>
      <c r="BH360" s="64" t="e">
        <f>#REF!</f>
        <v>#REF!</v>
      </c>
      <c r="BL360" s="73"/>
    </row>
    <row r="361" spans="1:64" s="59" customFormat="1" ht="36" customHeight="1" x14ac:dyDescent="0.3">
      <c r="A361" s="156">
        <f t="shared" si="6"/>
        <v>356</v>
      </c>
      <c r="B361" s="90" t="s">
        <v>1286</v>
      </c>
      <c r="C361" s="305" t="s">
        <v>6</v>
      </c>
      <c r="D361" s="305" t="s">
        <v>1281</v>
      </c>
      <c r="E361" s="91">
        <v>45770</v>
      </c>
      <c r="F361" s="97">
        <v>45770</v>
      </c>
      <c r="G361" s="91"/>
      <c r="H361" s="91"/>
      <c r="I361" s="305" t="s">
        <v>26</v>
      </c>
      <c r="J361" s="92" t="s">
        <v>1282</v>
      </c>
      <c r="K361" s="92" t="s">
        <v>1283</v>
      </c>
      <c r="L361" s="305" t="s">
        <v>1057</v>
      </c>
      <c r="M361" s="369" t="s">
        <v>120</v>
      </c>
      <c r="N361" s="305" t="s">
        <v>127</v>
      </c>
      <c r="O361" s="305" t="s">
        <v>1073</v>
      </c>
      <c r="P361" s="158"/>
      <c r="Q361" s="305">
        <v>4.2</v>
      </c>
      <c r="R361" s="305"/>
      <c r="S361" s="305">
        <v>100</v>
      </c>
      <c r="T361" s="305"/>
      <c r="U361" s="305"/>
      <c r="V361" s="305"/>
      <c r="W361" s="305"/>
      <c r="X361" s="305"/>
      <c r="Y361" s="305"/>
      <c r="Z361" s="305" t="s">
        <v>127</v>
      </c>
      <c r="AA361" s="305"/>
      <c r="AB361" s="369"/>
      <c r="AC361" s="92" t="s">
        <v>1287</v>
      </c>
      <c r="AD361" s="369" t="s">
        <v>886</v>
      </c>
      <c r="AE361" s="118"/>
      <c r="AF361" s="118"/>
      <c r="AG361" s="118">
        <v>45757</v>
      </c>
      <c r="AH361" s="93">
        <v>45777</v>
      </c>
      <c r="AI361" s="264">
        <v>45748</v>
      </c>
      <c r="AJ361" s="95" t="s">
        <v>131</v>
      </c>
      <c r="AK361" s="369" t="s">
        <v>366</v>
      </c>
      <c r="AL361" s="369" t="s">
        <v>778</v>
      </c>
      <c r="AM361" s="369" t="s">
        <v>209</v>
      </c>
      <c r="AN361" s="305"/>
      <c r="AO361" s="305"/>
      <c r="AP361" s="305"/>
      <c r="AQ361" s="291"/>
      <c r="AR361" s="305"/>
      <c r="AS361" s="305"/>
      <c r="AT361" s="91">
        <v>45715</v>
      </c>
      <c r="AU361" s="91">
        <v>45692</v>
      </c>
      <c r="AV361" s="91">
        <v>45699</v>
      </c>
      <c r="AW361" s="91">
        <v>45692</v>
      </c>
      <c r="AX361" s="305"/>
      <c r="AY361" s="305"/>
      <c r="AZ361" s="305"/>
      <c r="BA361" s="305"/>
      <c r="BB361" s="92"/>
      <c r="BC361" s="47"/>
      <c r="BD361" s="49" t="s">
        <v>816</v>
      </c>
      <c r="BE361" s="70"/>
      <c r="BF361" s="367"/>
      <c r="BG361" s="367"/>
      <c r="BH361" s="64" t="e">
        <f>#REF!</f>
        <v>#REF!</v>
      </c>
      <c r="BL361" s="73"/>
    </row>
    <row r="362" spans="1:64" s="59" customFormat="1" ht="36" customHeight="1" x14ac:dyDescent="0.3">
      <c r="A362" s="156">
        <f t="shared" si="6"/>
        <v>357</v>
      </c>
      <c r="B362" s="90" t="s">
        <v>1288</v>
      </c>
      <c r="C362" s="305" t="s">
        <v>6</v>
      </c>
      <c r="D362" s="305" t="s">
        <v>1281</v>
      </c>
      <c r="E362" s="91">
        <v>45745</v>
      </c>
      <c r="F362" s="97"/>
      <c r="G362" s="91"/>
      <c r="H362" s="91"/>
      <c r="I362" s="305" t="s">
        <v>26</v>
      </c>
      <c r="J362" s="92" t="s">
        <v>1282</v>
      </c>
      <c r="K362" s="92" t="s">
        <v>1283</v>
      </c>
      <c r="L362" s="305" t="s">
        <v>1057</v>
      </c>
      <c r="M362" s="369" t="s">
        <v>120</v>
      </c>
      <c r="N362" s="305" t="s">
        <v>127</v>
      </c>
      <c r="O362" s="305" t="s">
        <v>1073</v>
      </c>
      <c r="P362" s="158"/>
      <c r="Q362" s="305">
        <v>4.2</v>
      </c>
      <c r="R362" s="305"/>
      <c r="S362" s="305">
        <v>100</v>
      </c>
      <c r="T362" s="305"/>
      <c r="U362" s="305"/>
      <c r="V362" s="305"/>
      <c r="W362" s="305"/>
      <c r="X362" s="305"/>
      <c r="Y362" s="305"/>
      <c r="Z362" s="305" t="s">
        <v>127</v>
      </c>
      <c r="AA362" s="305"/>
      <c r="AB362" s="369"/>
      <c r="AC362" s="92" t="s">
        <v>1289</v>
      </c>
      <c r="AD362" s="369" t="s">
        <v>1079</v>
      </c>
      <c r="AE362" s="118">
        <v>45726</v>
      </c>
      <c r="AF362" s="118"/>
      <c r="AG362" s="118">
        <v>45757</v>
      </c>
      <c r="AH362" s="93">
        <v>45716</v>
      </c>
      <c r="AI362" s="264">
        <v>45689</v>
      </c>
      <c r="AJ362" s="95" t="s">
        <v>131</v>
      </c>
      <c r="AK362" s="369" t="s">
        <v>1064</v>
      </c>
      <c r="AL362" s="369"/>
      <c r="AM362" s="369" t="s">
        <v>209</v>
      </c>
      <c r="AN362" s="305"/>
      <c r="AO362" s="305"/>
      <c r="AP362" s="305"/>
      <c r="AQ362" s="291"/>
      <c r="AR362" s="305"/>
      <c r="AS362" s="305"/>
      <c r="AT362" s="91">
        <v>45706</v>
      </c>
      <c r="AU362" s="91">
        <v>45673</v>
      </c>
      <c r="AV362" s="91">
        <v>45691</v>
      </c>
      <c r="AW362" s="91">
        <v>45674</v>
      </c>
      <c r="AX362" s="305"/>
      <c r="AY362" s="305"/>
      <c r="AZ362" s="305"/>
      <c r="BA362" s="305"/>
      <c r="BB362" s="92"/>
      <c r="BC362" s="47"/>
      <c r="BD362" s="49" t="s">
        <v>816</v>
      </c>
      <c r="BE362" s="70"/>
      <c r="BF362" s="367"/>
      <c r="BG362" s="367"/>
      <c r="BH362" s="64" t="e">
        <f>#REF!</f>
        <v>#REF!</v>
      </c>
      <c r="BL362" s="73"/>
    </row>
    <row r="363" spans="1:64" s="59" customFormat="1" ht="36" customHeight="1" x14ac:dyDescent="0.3">
      <c r="A363" s="156">
        <f t="shared" si="6"/>
        <v>358</v>
      </c>
      <c r="B363" s="90" t="s">
        <v>1290</v>
      </c>
      <c r="C363" s="305" t="s">
        <v>6</v>
      </c>
      <c r="D363" s="305" t="s">
        <v>1281</v>
      </c>
      <c r="E363" s="91">
        <v>45770</v>
      </c>
      <c r="F363" s="97"/>
      <c r="G363" s="91"/>
      <c r="H363" s="91"/>
      <c r="I363" s="305" t="s">
        <v>26</v>
      </c>
      <c r="J363" s="92" t="s">
        <v>1282</v>
      </c>
      <c r="K363" s="92" t="s">
        <v>1283</v>
      </c>
      <c r="L363" s="305" t="s">
        <v>1057</v>
      </c>
      <c r="M363" s="369" t="s">
        <v>120</v>
      </c>
      <c r="N363" s="305" t="s">
        <v>127</v>
      </c>
      <c r="O363" s="305" t="s">
        <v>1073</v>
      </c>
      <c r="P363" s="158"/>
      <c r="Q363" s="305">
        <v>4.2</v>
      </c>
      <c r="R363" s="305"/>
      <c r="S363" s="305">
        <v>100</v>
      </c>
      <c r="T363" s="305"/>
      <c r="U363" s="305"/>
      <c r="V363" s="305"/>
      <c r="W363" s="305"/>
      <c r="X363" s="305"/>
      <c r="Y363" s="305"/>
      <c r="Z363" s="305" t="s">
        <v>127</v>
      </c>
      <c r="AA363" s="305"/>
      <c r="AB363" s="369"/>
      <c r="AC363" s="92" t="s">
        <v>1291</v>
      </c>
      <c r="AD363" s="369" t="s">
        <v>1121</v>
      </c>
      <c r="AE363" s="118">
        <v>45746</v>
      </c>
      <c r="AF363" s="118"/>
      <c r="AG363" s="118">
        <v>45757</v>
      </c>
      <c r="AH363" s="93">
        <v>45777</v>
      </c>
      <c r="AI363" s="264">
        <v>45748</v>
      </c>
      <c r="AJ363" s="95" t="s">
        <v>131</v>
      </c>
      <c r="AK363" s="369" t="s">
        <v>1122</v>
      </c>
      <c r="AL363" s="369" t="s">
        <v>830</v>
      </c>
      <c r="AM363" s="369" t="s">
        <v>209</v>
      </c>
      <c r="AN363" s="305"/>
      <c r="AO363" s="305"/>
      <c r="AP363" s="305"/>
      <c r="AQ363" s="291"/>
      <c r="AR363" s="305"/>
      <c r="AS363" s="305"/>
      <c r="AT363" s="91">
        <v>45716</v>
      </c>
      <c r="AU363" s="91">
        <v>45693</v>
      </c>
      <c r="AV363" s="91">
        <v>45698</v>
      </c>
      <c r="AW363" s="91">
        <v>45694</v>
      </c>
      <c r="AX363" s="305"/>
      <c r="AY363" s="305"/>
      <c r="AZ363" s="305"/>
      <c r="BA363" s="305"/>
      <c r="BB363" s="92"/>
      <c r="BC363" s="47"/>
      <c r="BD363" s="49" t="s">
        <v>816</v>
      </c>
      <c r="BE363" s="70"/>
      <c r="BF363" s="367"/>
      <c r="BG363" s="367"/>
      <c r="BH363" s="64" t="e">
        <f>#REF!</f>
        <v>#REF!</v>
      </c>
      <c r="BL363" s="73"/>
    </row>
    <row r="364" spans="1:64" s="59" customFormat="1" ht="36" customHeight="1" x14ac:dyDescent="0.3">
      <c r="A364" s="156">
        <f t="shared" si="6"/>
        <v>359</v>
      </c>
      <c r="B364" s="90" t="s">
        <v>1292</v>
      </c>
      <c r="C364" s="305" t="s">
        <v>6</v>
      </c>
      <c r="D364" s="305" t="s">
        <v>1281</v>
      </c>
      <c r="E364" s="91">
        <v>45770</v>
      </c>
      <c r="F364" s="97"/>
      <c r="G364" s="91"/>
      <c r="H364" s="91"/>
      <c r="I364" s="305" t="s">
        <v>26</v>
      </c>
      <c r="J364" s="92" t="s">
        <v>1282</v>
      </c>
      <c r="K364" s="92" t="s">
        <v>1283</v>
      </c>
      <c r="L364" s="305" t="s">
        <v>1057</v>
      </c>
      <c r="M364" s="369" t="s">
        <v>120</v>
      </c>
      <c r="N364" s="305" t="s">
        <v>127</v>
      </c>
      <c r="O364" s="305" t="s">
        <v>1073</v>
      </c>
      <c r="P364" s="158"/>
      <c r="Q364" s="305">
        <v>4.2</v>
      </c>
      <c r="R364" s="305"/>
      <c r="S364" s="305">
        <v>100</v>
      </c>
      <c r="T364" s="305"/>
      <c r="U364" s="305"/>
      <c r="V364" s="305"/>
      <c r="W364" s="305"/>
      <c r="X364" s="305"/>
      <c r="Y364" s="305"/>
      <c r="Z364" s="305" t="s">
        <v>127</v>
      </c>
      <c r="AA364" s="305"/>
      <c r="AB364" s="369"/>
      <c r="AC364" s="92" t="s">
        <v>1291</v>
      </c>
      <c r="AD364" s="369" t="s">
        <v>1121</v>
      </c>
      <c r="AE364" s="118">
        <v>45746</v>
      </c>
      <c r="AF364" s="118"/>
      <c r="AG364" s="118">
        <v>45757</v>
      </c>
      <c r="AH364" s="93">
        <v>45777</v>
      </c>
      <c r="AI364" s="264">
        <v>45748</v>
      </c>
      <c r="AJ364" s="95" t="s">
        <v>131</v>
      </c>
      <c r="AK364" s="369" t="s">
        <v>1122</v>
      </c>
      <c r="AL364" s="369" t="s">
        <v>830</v>
      </c>
      <c r="AM364" s="369" t="s">
        <v>209</v>
      </c>
      <c r="AN364" s="305"/>
      <c r="AO364" s="305"/>
      <c r="AP364" s="305"/>
      <c r="AQ364" s="291"/>
      <c r="AR364" s="305"/>
      <c r="AS364" s="305"/>
      <c r="AT364" s="91">
        <v>45716</v>
      </c>
      <c r="AU364" s="91">
        <v>45693</v>
      </c>
      <c r="AV364" s="91">
        <v>45698</v>
      </c>
      <c r="AW364" s="91">
        <v>45694</v>
      </c>
      <c r="AX364" s="305"/>
      <c r="AY364" s="305"/>
      <c r="AZ364" s="305"/>
      <c r="BA364" s="305"/>
      <c r="BB364" s="92"/>
      <c r="BC364" s="47"/>
      <c r="BD364" s="49" t="s">
        <v>816</v>
      </c>
      <c r="BE364" s="70"/>
      <c r="BF364" s="367"/>
      <c r="BG364" s="367"/>
      <c r="BH364" s="64" t="e">
        <f>#REF!</f>
        <v>#REF!</v>
      </c>
      <c r="BL364" s="73"/>
    </row>
    <row r="365" spans="1:64" s="59" customFormat="1" ht="36" customHeight="1" x14ac:dyDescent="0.3">
      <c r="A365" s="156">
        <f t="shared" si="6"/>
        <v>360</v>
      </c>
      <c r="B365" s="90" t="s">
        <v>1293</v>
      </c>
      <c r="C365" s="305" t="s">
        <v>6</v>
      </c>
      <c r="D365" s="305" t="s">
        <v>1294</v>
      </c>
      <c r="E365" s="91">
        <v>45770</v>
      </c>
      <c r="F365" s="97">
        <v>45770</v>
      </c>
      <c r="G365" s="91"/>
      <c r="H365" s="91"/>
      <c r="I365" s="305" t="s">
        <v>26</v>
      </c>
      <c r="J365" s="92" t="s">
        <v>1282</v>
      </c>
      <c r="K365" s="92" t="s">
        <v>1283</v>
      </c>
      <c r="L365" s="305" t="s">
        <v>1057</v>
      </c>
      <c r="M365" s="369" t="s">
        <v>120</v>
      </c>
      <c r="N365" s="305" t="s">
        <v>127</v>
      </c>
      <c r="O365" s="305" t="s">
        <v>1073</v>
      </c>
      <c r="P365" s="158"/>
      <c r="Q365" s="305">
        <v>4.2</v>
      </c>
      <c r="R365" s="305"/>
      <c r="S365" s="305">
        <v>100</v>
      </c>
      <c r="T365" s="305"/>
      <c r="U365" s="305"/>
      <c r="V365" s="305"/>
      <c r="W365" s="305"/>
      <c r="X365" s="305"/>
      <c r="Y365" s="305"/>
      <c r="Z365" s="305" t="s">
        <v>127</v>
      </c>
      <c r="AA365" s="305"/>
      <c r="AB365" s="369"/>
      <c r="AC365" s="92" t="s">
        <v>1287</v>
      </c>
      <c r="AD365" s="369" t="s">
        <v>886</v>
      </c>
      <c r="AE365" s="118"/>
      <c r="AF365" s="118"/>
      <c r="AG365" s="118">
        <v>45757</v>
      </c>
      <c r="AH365" s="93">
        <v>45777</v>
      </c>
      <c r="AI365" s="264">
        <v>45748</v>
      </c>
      <c r="AJ365" s="95" t="s">
        <v>131</v>
      </c>
      <c r="AK365" s="369" t="s">
        <v>366</v>
      </c>
      <c r="AL365" s="369" t="s">
        <v>778</v>
      </c>
      <c r="AM365" s="369" t="s">
        <v>209</v>
      </c>
      <c r="AN365" s="305"/>
      <c r="AO365" s="305"/>
      <c r="AP365" s="305"/>
      <c r="AQ365" s="291"/>
      <c r="AR365" s="305"/>
      <c r="AS365" s="305"/>
      <c r="AT365" s="91">
        <v>45715</v>
      </c>
      <c r="AU365" s="91">
        <v>45692</v>
      </c>
      <c r="AV365" s="91">
        <v>45699</v>
      </c>
      <c r="AW365" s="91">
        <v>45692</v>
      </c>
      <c r="AX365" s="305"/>
      <c r="AY365" s="305"/>
      <c r="AZ365" s="305"/>
      <c r="BA365" s="305"/>
      <c r="BB365" s="92"/>
      <c r="BC365" s="47"/>
      <c r="BD365" s="49" t="s">
        <v>816</v>
      </c>
      <c r="BE365" s="70"/>
      <c r="BF365" s="367"/>
      <c r="BG365" s="367"/>
      <c r="BH365" s="64" t="e">
        <f>#REF!</f>
        <v>#REF!</v>
      </c>
      <c r="BL365" s="73"/>
    </row>
    <row r="366" spans="1:64" s="59" customFormat="1" ht="36" customHeight="1" x14ac:dyDescent="0.3">
      <c r="A366" s="156">
        <f t="shared" si="6"/>
        <v>361</v>
      </c>
      <c r="B366" s="90" t="s">
        <v>1295</v>
      </c>
      <c r="C366" s="305" t="s">
        <v>6</v>
      </c>
      <c r="D366" s="305" t="s">
        <v>1294</v>
      </c>
      <c r="E366" s="91">
        <v>45736</v>
      </c>
      <c r="F366" s="97"/>
      <c r="G366" s="91"/>
      <c r="H366" s="91"/>
      <c r="I366" s="305" t="s">
        <v>26</v>
      </c>
      <c r="J366" s="92" t="s">
        <v>1282</v>
      </c>
      <c r="K366" s="92" t="s">
        <v>1283</v>
      </c>
      <c r="L366" s="305" t="s">
        <v>1057</v>
      </c>
      <c r="M366" s="369" t="s">
        <v>120</v>
      </c>
      <c r="N366" s="305" t="s">
        <v>127</v>
      </c>
      <c r="O366" s="305" t="s">
        <v>1073</v>
      </c>
      <c r="P366" s="158"/>
      <c r="Q366" s="305">
        <v>4.2</v>
      </c>
      <c r="R366" s="305"/>
      <c r="S366" s="305">
        <v>100</v>
      </c>
      <c r="T366" s="305"/>
      <c r="U366" s="305"/>
      <c r="V366" s="305"/>
      <c r="W366" s="305"/>
      <c r="X366" s="305"/>
      <c r="Y366" s="305"/>
      <c r="Z366" s="305" t="s">
        <v>127</v>
      </c>
      <c r="AA366" s="305"/>
      <c r="AB366" s="369"/>
      <c r="AC366" s="92" t="s">
        <v>1296</v>
      </c>
      <c r="AD366" s="369" t="s">
        <v>1079</v>
      </c>
      <c r="AE366" s="118">
        <v>45726</v>
      </c>
      <c r="AF366" s="118"/>
      <c r="AG366" s="118">
        <v>45757</v>
      </c>
      <c r="AH366" s="93">
        <v>45716</v>
      </c>
      <c r="AI366" s="264">
        <v>45689</v>
      </c>
      <c r="AJ366" s="95" t="s">
        <v>131</v>
      </c>
      <c r="AK366" s="369" t="s">
        <v>1064</v>
      </c>
      <c r="AL366" s="369"/>
      <c r="AM366" s="369" t="s">
        <v>209</v>
      </c>
      <c r="AN366" s="305"/>
      <c r="AO366" s="305"/>
      <c r="AP366" s="305"/>
      <c r="AQ366" s="291"/>
      <c r="AR366" s="305"/>
      <c r="AS366" s="305"/>
      <c r="AT366" s="91">
        <v>45706</v>
      </c>
      <c r="AU366" s="91">
        <v>45673</v>
      </c>
      <c r="AV366" s="91">
        <v>45691</v>
      </c>
      <c r="AW366" s="91">
        <v>45674</v>
      </c>
      <c r="AX366" s="305"/>
      <c r="AY366" s="305"/>
      <c r="AZ366" s="305"/>
      <c r="BA366" s="305"/>
      <c r="BB366" s="92" t="s">
        <v>1297</v>
      </c>
      <c r="BC366" s="47"/>
      <c r="BD366" s="49" t="s">
        <v>816</v>
      </c>
      <c r="BE366" s="70"/>
      <c r="BF366" s="367"/>
      <c r="BG366" s="367"/>
      <c r="BH366" s="64" t="e">
        <f>#REF!</f>
        <v>#REF!</v>
      </c>
      <c r="BL366" s="73"/>
    </row>
    <row r="367" spans="1:64" s="59" customFormat="1" ht="36" customHeight="1" x14ac:dyDescent="0.3">
      <c r="A367" s="156">
        <f t="shared" si="6"/>
        <v>362</v>
      </c>
      <c r="B367" s="90" t="s">
        <v>1298</v>
      </c>
      <c r="C367" s="305" t="s">
        <v>6</v>
      </c>
      <c r="D367" s="305" t="s">
        <v>1294</v>
      </c>
      <c r="E367" s="91">
        <v>45745</v>
      </c>
      <c r="F367" s="97"/>
      <c r="G367" s="91"/>
      <c r="H367" s="91"/>
      <c r="I367" s="305" t="s">
        <v>26</v>
      </c>
      <c r="J367" s="92" t="s">
        <v>1282</v>
      </c>
      <c r="K367" s="92" t="s">
        <v>1299</v>
      </c>
      <c r="L367" s="305" t="s">
        <v>1057</v>
      </c>
      <c r="M367" s="369" t="s">
        <v>120</v>
      </c>
      <c r="N367" s="305" t="s">
        <v>127</v>
      </c>
      <c r="O367" s="305" t="s">
        <v>1073</v>
      </c>
      <c r="P367" s="158"/>
      <c r="Q367" s="305">
        <v>2.4</v>
      </c>
      <c r="R367" s="305"/>
      <c r="S367" s="305">
        <v>100</v>
      </c>
      <c r="T367" s="305"/>
      <c r="U367" s="305"/>
      <c r="V367" s="305"/>
      <c r="W367" s="305"/>
      <c r="X367" s="305"/>
      <c r="Y367" s="305"/>
      <c r="Z367" s="305" t="s">
        <v>127</v>
      </c>
      <c r="AA367" s="305"/>
      <c r="AB367" s="369"/>
      <c r="AC367" s="92" t="s">
        <v>1300</v>
      </c>
      <c r="AD367" s="369" t="s">
        <v>238</v>
      </c>
      <c r="AE367" s="118">
        <v>45741</v>
      </c>
      <c r="AF367" s="118"/>
      <c r="AG367" s="118">
        <v>45757</v>
      </c>
      <c r="AH367" s="93">
        <v>45746</v>
      </c>
      <c r="AI367" s="264">
        <v>45717</v>
      </c>
      <c r="AJ367" s="95" t="s">
        <v>131</v>
      </c>
      <c r="AK367" s="369" t="s">
        <v>366</v>
      </c>
      <c r="AL367" s="369" t="s">
        <v>778</v>
      </c>
      <c r="AM367" s="369" t="s">
        <v>209</v>
      </c>
      <c r="AN367" s="305"/>
      <c r="AO367" s="305"/>
      <c r="AP367" s="305"/>
      <c r="AQ367" s="291"/>
      <c r="AR367" s="305"/>
      <c r="AS367" s="305"/>
      <c r="AT367" s="91">
        <v>45705</v>
      </c>
      <c r="AU367" s="91">
        <v>45677</v>
      </c>
      <c r="AV367" s="91">
        <v>45677</v>
      </c>
      <c r="AW367" s="91">
        <v>45672</v>
      </c>
      <c r="AX367" s="305"/>
      <c r="AY367" s="305"/>
      <c r="AZ367" s="305"/>
      <c r="BA367" s="305"/>
      <c r="BB367" s="92" t="s">
        <v>1301</v>
      </c>
      <c r="BC367" s="47"/>
      <c r="BD367" s="49" t="s">
        <v>816</v>
      </c>
      <c r="BE367" s="70"/>
      <c r="BF367" s="367"/>
      <c r="BG367" s="367"/>
      <c r="BH367" s="64" t="e">
        <f>#REF!</f>
        <v>#REF!</v>
      </c>
      <c r="BL367" s="73"/>
    </row>
    <row r="368" spans="1:64" s="59" customFormat="1" ht="36" customHeight="1" x14ac:dyDescent="0.3">
      <c r="A368" s="156">
        <f t="shared" si="6"/>
        <v>363</v>
      </c>
      <c r="B368" s="90" t="s">
        <v>1302</v>
      </c>
      <c r="C368" s="305" t="s">
        <v>6</v>
      </c>
      <c r="D368" s="305" t="s">
        <v>1294</v>
      </c>
      <c r="E368" s="91">
        <v>45852</v>
      </c>
      <c r="F368" s="97">
        <v>45852</v>
      </c>
      <c r="G368" s="91"/>
      <c r="H368" s="91"/>
      <c r="I368" s="305" t="s">
        <v>26</v>
      </c>
      <c r="J368" s="92" t="s">
        <v>1282</v>
      </c>
      <c r="K368" s="92" t="s">
        <v>1299</v>
      </c>
      <c r="L368" s="305" t="s">
        <v>1057</v>
      </c>
      <c r="M368" s="369" t="s">
        <v>120</v>
      </c>
      <c r="N368" s="305" t="s">
        <v>127</v>
      </c>
      <c r="O368" s="305" t="s">
        <v>1073</v>
      </c>
      <c r="P368" s="158"/>
      <c r="Q368" s="305">
        <v>2.4</v>
      </c>
      <c r="R368" s="305"/>
      <c r="S368" s="305">
        <v>100</v>
      </c>
      <c r="T368" s="305">
        <v>10.1</v>
      </c>
      <c r="U368" s="305"/>
      <c r="V368" s="305" t="s">
        <v>127</v>
      </c>
      <c r="W368" s="305"/>
      <c r="X368" s="305" t="s">
        <v>150</v>
      </c>
      <c r="Y368" s="305"/>
      <c r="Z368" s="305" t="s">
        <v>127</v>
      </c>
      <c r="AA368" s="305"/>
      <c r="AB368" s="369" t="s">
        <v>215</v>
      </c>
      <c r="AC368" s="92" t="s">
        <v>1303</v>
      </c>
      <c r="AD368" s="369" t="s">
        <v>207</v>
      </c>
      <c r="AE368" s="118"/>
      <c r="AF368" s="118"/>
      <c r="AG368" s="118">
        <v>45757</v>
      </c>
      <c r="AH368" s="93">
        <v>45836</v>
      </c>
      <c r="AI368" s="264">
        <v>45778</v>
      </c>
      <c r="AJ368" s="95" t="s">
        <v>131</v>
      </c>
      <c r="AK368" s="369" t="s">
        <v>1060</v>
      </c>
      <c r="AL368" s="369" t="s">
        <v>183</v>
      </c>
      <c r="AM368" s="369" t="s">
        <v>209</v>
      </c>
      <c r="AN368" s="305"/>
      <c r="AO368" s="305"/>
      <c r="AP368" s="305"/>
      <c r="AQ368" s="291"/>
      <c r="AR368" s="305"/>
      <c r="AS368" s="305"/>
      <c r="AT368" s="91">
        <v>45767</v>
      </c>
      <c r="AU368" s="91">
        <v>45719</v>
      </c>
      <c r="AV368" s="91">
        <v>45757</v>
      </c>
      <c r="AW368" s="91">
        <v>45702</v>
      </c>
      <c r="AX368" s="305"/>
      <c r="AY368" s="305"/>
      <c r="AZ368" s="305"/>
      <c r="BA368" s="305"/>
      <c r="BB368" s="92"/>
      <c r="BC368" s="47"/>
      <c r="BD368" s="49" t="s">
        <v>816</v>
      </c>
      <c r="BE368" s="70"/>
      <c r="BF368" s="367"/>
      <c r="BG368" s="367"/>
      <c r="BH368" s="64" t="e">
        <f>#REF!</f>
        <v>#REF!</v>
      </c>
      <c r="BL368" s="73"/>
    </row>
    <row r="369" spans="1:64" s="59" customFormat="1" ht="36" customHeight="1" x14ac:dyDescent="0.3">
      <c r="A369" s="156">
        <f t="shared" si="6"/>
        <v>364</v>
      </c>
      <c r="B369" s="90" t="s">
        <v>1304</v>
      </c>
      <c r="C369" s="305" t="s">
        <v>6</v>
      </c>
      <c r="D369" s="305" t="s">
        <v>1294</v>
      </c>
      <c r="E369" s="91">
        <v>45852</v>
      </c>
      <c r="F369" s="97">
        <v>45852</v>
      </c>
      <c r="G369" s="91"/>
      <c r="H369" s="91"/>
      <c r="I369" s="305" t="s">
        <v>26</v>
      </c>
      <c r="J369" s="92" t="s">
        <v>1282</v>
      </c>
      <c r="K369" s="92" t="s">
        <v>716</v>
      </c>
      <c r="L369" s="305" t="s">
        <v>1057</v>
      </c>
      <c r="M369" s="369" t="s">
        <v>120</v>
      </c>
      <c r="N369" s="305" t="s">
        <v>127</v>
      </c>
      <c r="O369" s="305" t="s">
        <v>1073</v>
      </c>
      <c r="P369" s="158"/>
      <c r="Q369" s="305">
        <v>3.7</v>
      </c>
      <c r="R369" s="305"/>
      <c r="S369" s="305">
        <v>100</v>
      </c>
      <c r="T369" s="305">
        <v>9</v>
      </c>
      <c r="U369" s="305"/>
      <c r="V369" s="305" t="s">
        <v>127</v>
      </c>
      <c r="W369" s="305"/>
      <c r="X369" s="305" t="s">
        <v>150</v>
      </c>
      <c r="Y369" s="305"/>
      <c r="Z369" s="305" t="s">
        <v>127</v>
      </c>
      <c r="AA369" s="305"/>
      <c r="AB369" s="369" t="s">
        <v>215</v>
      </c>
      <c r="AC369" s="92" t="s">
        <v>1305</v>
      </c>
      <c r="AD369" s="369" t="s">
        <v>199</v>
      </c>
      <c r="AE369" s="118"/>
      <c r="AF369" s="118"/>
      <c r="AG369" s="118">
        <v>45767</v>
      </c>
      <c r="AH369" s="93">
        <v>45836</v>
      </c>
      <c r="AI369" s="264">
        <v>45778</v>
      </c>
      <c r="AJ369" s="95" t="s">
        <v>131</v>
      </c>
      <c r="AK369" s="369" t="s">
        <v>1060</v>
      </c>
      <c r="AL369" s="369" t="s">
        <v>183</v>
      </c>
      <c r="AM369" s="369" t="s">
        <v>209</v>
      </c>
      <c r="AN369" s="305"/>
      <c r="AO369" s="305"/>
      <c r="AP369" s="305"/>
      <c r="AQ369" s="291"/>
      <c r="AR369" s="305"/>
      <c r="AS369" s="305"/>
      <c r="AT369" s="91">
        <v>45767</v>
      </c>
      <c r="AU369" s="91">
        <v>45719</v>
      </c>
      <c r="AV369" s="91">
        <v>45757</v>
      </c>
      <c r="AW369" s="91">
        <v>45706</v>
      </c>
      <c r="AX369" s="305"/>
      <c r="AY369" s="305"/>
      <c r="AZ369" s="305"/>
      <c r="BA369" s="305"/>
      <c r="BB369" s="92"/>
      <c r="BC369" s="47"/>
      <c r="BD369" s="49" t="s">
        <v>816</v>
      </c>
      <c r="BE369" s="70"/>
      <c r="BF369" s="367"/>
      <c r="BG369" s="367"/>
      <c r="BH369" s="64" t="e">
        <f>#REF!</f>
        <v>#REF!</v>
      </c>
      <c r="BL369" s="73"/>
    </row>
    <row r="370" spans="1:64" s="59" customFormat="1" ht="36" customHeight="1" x14ac:dyDescent="0.3">
      <c r="A370" s="156">
        <f t="shared" si="6"/>
        <v>365</v>
      </c>
      <c r="B370" s="90" t="s">
        <v>1306</v>
      </c>
      <c r="C370" s="305" t="s">
        <v>6</v>
      </c>
      <c r="D370" s="305" t="s">
        <v>1307</v>
      </c>
      <c r="E370" s="91">
        <v>45770</v>
      </c>
      <c r="F370" s="97">
        <v>45770</v>
      </c>
      <c r="G370" s="91"/>
      <c r="H370" s="91"/>
      <c r="I370" s="305" t="s">
        <v>26</v>
      </c>
      <c r="J370" s="92" t="s">
        <v>1282</v>
      </c>
      <c r="K370" s="92" t="s">
        <v>716</v>
      </c>
      <c r="L370" s="305" t="s">
        <v>1057</v>
      </c>
      <c r="M370" s="369" t="s">
        <v>120</v>
      </c>
      <c r="N370" s="305" t="s">
        <v>127</v>
      </c>
      <c r="O370" s="305" t="s">
        <v>1073</v>
      </c>
      <c r="P370" s="158"/>
      <c r="Q370" s="305">
        <v>3.7</v>
      </c>
      <c r="R370" s="305"/>
      <c r="S370" s="305">
        <v>100</v>
      </c>
      <c r="T370" s="305"/>
      <c r="U370" s="305"/>
      <c r="V370" s="305"/>
      <c r="W370" s="305"/>
      <c r="X370" s="305"/>
      <c r="Y370" s="305"/>
      <c r="Z370" s="305"/>
      <c r="AA370" s="305"/>
      <c r="AB370" s="369"/>
      <c r="AC370" s="92" t="s">
        <v>1308</v>
      </c>
      <c r="AD370" s="369" t="s">
        <v>886</v>
      </c>
      <c r="AE370" s="118"/>
      <c r="AF370" s="118"/>
      <c r="AG370" s="118">
        <v>45767</v>
      </c>
      <c r="AH370" s="93">
        <v>45777</v>
      </c>
      <c r="AI370" s="264">
        <v>45748</v>
      </c>
      <c r="AJ370" s="95" t="s">
        <v>131</v>
      </c>
      <c r="AK370" s="369" t="s">
        <v>366</v>
      </c>
      <c r="AL370" s="369" t="s">
        <v>778</v>
      </c>
      <c r="AM370" s="369" t="s">
        <v>209</v>
      </c>
      <c r="AN370" s="305"/>
      <c r="AO370" s="305"/>
      <c r="AP370" s="305"/>
      <c r="AQ370" s="291"/>
      <c r="AR370" s="305"/>
      <c r="AS370" s="305"/>
      <c r="AT370" s="91">
        <v>45715</v>
      </c>
      <c r="AU370" s="91">
        <v>45692</v>
      </c>
      <c r="AV370" s="91">
        <v>45699</v>
      </c>
      <c r="AW370" s="91">
        <v>45692</v>
      </c>
      <c r="AX370" s="305"/>
      <c r="AY370" s="305"/>
      <c r="AZ370" s="305"/>
      <c r="BA370" s="305"/>
      <c r="BB370" s="92"/>
      <c r="BC370" s="47"/>
      <c r="BD370" s="49" t="s">
        <v>816</v>
      </c>
      <c r="BE370" s="70"/>
      <c r="BF370" s="367"/>
      <c r="BG370" s="367"/>
      <c r="BH370" s="64" t="e">
        <f>#REF!</f>
        <v>#REF!</v>
      </c>
      <c r="BL370" s="73"/>
    </row>
    <row r="371" spans="1:64" s="59" customFormat="1" ht="36" customHeight="1" x14ac:dyDescent="0.3">
      <c r="A371" s="156">
        <f t="shared" si="6"/>
        <v>366</v>
      </c>
      <c r="B371" s="90" t="s">
        <v>1309</v>
      </c>
      <c r="C371" s="305" t="s">
        <v>6</v>
      </c>
      <c r="D371" s="305" t="s">
        <v>1307</v>
      </c>
      <c r="E371" s="91">
        <v>45736</v>
      </c>
      <c r="F371" s="97"/>
      <c r="G371" s="91"/>
      <c r="H371" s="91"/>
      <c r="I371" s="305" t="s">
        <v>26</v>
      </c>
      <c r="J371" s="92" t="s">
        <v>1282</v>
      </c>
      <c r="K371" s="92" t="s">
        <v>716</v>
      </c>
      <c r="L371" s="305" t="s">
        <v>1057</v>
      </c>
      <c r="M371" s="369" t="s">
        <v>120</v>
      </c>
      <c r="N371" s="305" t="s">
        <v>127</v>
      </c>
      <c r="O371" s="305" t="s">
        <v>1073</v>
      </c>
      <c r="P371" s="158"/>
      <c r="Q371" s="305">
        <v>3.7</v>
      </c>
      <c r="R371" s="305"/>
      <c r="S371" s="305">
        <v>100</v>
      </c>
      <c r="T371" s="305"/>
      <c r="U371" s="305"/>
      <c r="V371" s="305"/>
      <c r="W371" s="305"/>
      <c r="X371" s="305"/>
      <c r="Y371" s="305"/>
      <c r="Z371" s="305"/>
      <c r="AA371" s="305"/>
      <c r="AB371" s="369"/>
      <c r="AC371" s="92" t="s">
        <v>1310</v>
      </c>
      <c r="AD371" s="369" t="s">
        <v>1079</v>
      </c>
      <c r="AE371" s="118">
        <v>45726</v>
      </c>
      <c r="AF371" s="118"/>
      <c r="AG371" s="118">
        <v>45767</v>
      </c>
      <c r="AH371" s="93">
        <v>45716</v>
      </c>
      <c r="AI371" s="264">
        <v>45689</v>
      </c>
      <c r="AJ371" s="95" t="s">
        <v>131</v>
      </c>
      <c r="AK371" s="369" t="s">
        <v>1064</v>
      </c>
      <c r="AL371" s="369"/>
      <c r="AM371" s="369" t="s">
        <v>209</v>
      </c>
      <c r="AN371" s="305"/>
      <c r="AO371" s="305"/>
      <c r="AP371" s="305"/>
      <c r="AQ371" s="291"/>
      <c r="AR371" s="305"/>
      <c r="AS371" s="305"/>
      <c r="AT371" s="91">
        <v>45706</v>
      </c>
      <c r="AU371" s="91">
        <v>45673</v>
      </c>
      <c r="AV371" s="91">
        <v>45691</v>
      </c>
      <c r="AW371" s="91">
        <v>45674</v>
      </c>
      <c r="AX371" s="305"/>
      <c r="AY371" s="305"/>
      <c r="AZ371" s="305"/>
      <c r="BA371" s="305"/>
      <c r="BB371" s="92"/>
      <c r="BC371" s="47"/>
      <c r="BD371" s="49" t="s">
        <v>816</v>
      </c>
      <c r="BE371" s="70"/>
      <c r="BF371" s="367"/>
      <c r="BG371" s="367"/>
      <c r="BH371" s="64" t="e">
        <f>#REF!</f>
        <v>#REF!</v>
      </c>
      <c r="BL371" s="73"/>
    </row>
    <row r="372" spans="1:64" s="59" customFormat="1" ht="36" customHeight="1" x14ac:dyDescent="0.3">
      <c r="A372" s="305">
        <f t="shared" si="6"/>
        <v>367</v>
      </c>
      <c r="B372" s="90" t="s">
        <v>1311</v>
      </c>
      <c r="C372" s="305" t="s">
        <v>6</v>
      </c>
      <c r="D372" s="305" t="s">
        <v>262</v>
      </c>
      <c r="E372" s="91"/>
      <c r="F372" s="97"/>
      <c r="G372" s="91"/>
      <c r="H372" s="91"/>
      <c r="I372" s="305" t="s">
        <v>26</v>
      </c>
      <c r="J372" s="92" t="s">
        <v>1282</v>
      </c>
      <c r="K372" s="92" t="s">
        <v>716</v>
      </c>
      <c r="L372" s="305" t="s">
        <v>1057</v>
      </c>
      <c r="M372" s="369" t="s">
        <v>120</v>
      </c>
      <c r="N372" s="305" t="s">
        <v>127</v>
      </c>
      <c r="O372" s="305"/>
      <c r="P372" s="305"/>
      <c r="Q372" s="305"/>
      <c r="R372" s="305"/>
      <c r="S372" s="305"/>
      <c r="T372" s="305"/>
      <c r="U372" s="305"/>
      <c r="V372" s="305"/>
      <c r="W372" s="305"/>
      <c r="X372" s="305"/>
      <c r="Y372" s="305"/>
      <c r="Z372" s="305"/>
      <c r="AA372" s="305"/>
      <c r="AB372" s="369"/>
      <c r="AC372" s="92" t="s">
        <v>1308</v>
      </c>
      <c r="AD372" s="369" t="s">
        <v>886</v>
      </c>
      <c r="AE372" s="118"/>
      <c r="AF372" s="118"/>
      <c r="AG372" s="118"/>
      <c r="AH372" s="93"/>
      <c r="AI372" s="94">
        <v>0</v>
      </c>
      <c r="AJ372" s="95" t="s">
        <v>264</v>
      </c>
      <c r="AK372" s="369"/>
      <c r="AL372" s="369"/>
      <c r="AM372" s="369"/>
      <c r="AN372" s="305"/>
      <c r="AO372" s="305"/>
      <c r="AP372" s="305"/>
      <c r="AQ372" s="291"/>
      <c r="AR372" s="305"/>
      <c r="AS372" s="305"/>
      <c r="AT372" s="305"/>
      <c r="AU372" s="305"/>
      <c r="AV372" s="305"/>
      <c r="AW372" s="305"/>
      <c r="AX372" s="305"/>
      <c r="AY372" s="305"/>
      <c r="AZ372" s="305"/>
      <c r="BA372" s="305"/>
      <c r="BB372" s="92"/>
      <c r="BC372" s="47"/>
      <c r="BD372" s="49" t="s">
        <v>816</v>
      </c>
      <c r="BE372" s="70"/>
      <c r="BF372" s="367"/>
      <c r="BG372" s="367"/>
      <c r="BH372" s="64" t="e">
        <f>#REF!</f>
        <v>#REF!</v>
      </c>
      <c r="BL372" s="73"/>
    </row>
    <row r="373" spans="1:64" s="59" customFormat="1" ht="36" customHeight="1" x14ac:dyDescent="0.3">
      <c r="A373" s="156">
        <f t="shared" si="6"/>
        <v>368</v>
      </c>
      <c r="B373" s="90" t="s">
        <v>1312</v>
      </c>
      <c r="C373" s="305" t="s">
        <v>6</v>
      </c>
      <c r="D373" s="305" t="s">
        <v>1307</v>
      </c>
      <c r="E373" s="91">
        <v>45868</v>
      </c>
      <c r="F373" s="97">
        <v>45859</v>
      </c>
      <c r="G373" s="91"/>
      <c r="H373" s="91"/>
      <c r="I373" s="305" t="s">
        <v>26</v>
      </c>
      <c r="J373" s="92" t="s">
        <v>1282</v>
      </c>
      <c r="K373" s="92" t="s">
        <v>716</v>
      </c>
      <c r="L373" s="305" t="s">
        <v>1057</v>
      </c>
      <c r="M373" s="369" t="s">
        <v>120</v>
      </c>
      <c r="N373" s="305" t="s">
        <v>127</v>
      </c>
      <c r="O373" s="305" t="s">
        <v>1073</v>
      </c>
      <c r="P373" s="158"/>
      <c r="Q373" s="305">
        <v>3.7</v>
      </c>
      <c r="R373" s="305"/>
      <c r="S373" s="305">
        <v>100</v>
      </c>
      <c r="T373" s="305">
        <v>9</v>
      </c>
      <c r="U373" s="305"/>
      <c r="V373" s="305" t="s">
        <v>127</v>
      </c>
      <c r="W373" s="305"/>
      <c r="X373" s="305" t="s">
        <v>150</v>
      </c>
      <c r="Y373" s="305" t="s">
        <v>127</v>
      </c>
      <c r="Z373" s="305"/>
      <c r="AA373" s="305"/>
      <c r="AB373" s="369" t="s">
        <v>215</v>
      </c>
      <c r="AC373" s="92" t="s">
        <v>1313</v>
      </c>
      <c r="AD373" s="369" t="s">
        <v>152</v>
      </c>
      <c r="AE373" s="118"/>
      <c r="AF373" s="118"/>
      <c r="AG373" s="118">
        <v>45767</v>
      </c>
      <c r="AH373" s="93">
        <v>45838</v>
      </c>
      <c r="AI373" s="264">
        <v>45809</v>
      </c>
      <c r="AJ373" s="95" t="s">
        <v>131</v>
      </c>
      <c r="AK373" s="369" t="s">
        <v>1060</v>
      </c>
      <c r="AL373" s="369" t="s">
        <v>183</v>
      </c>
      <c r="AM373" s="369" t="s">
        <v>209</v>
      </c>
      <c r="AN373" s="305"/>
      <c r="AO373" s="305"/>
      <c r="AP373" s="305"/>
      <c r="AQ373" s="291"/>
      <c r="AR373" s="305"/>
      <c r="AS373" s="305"/>
      <c r="AT373" s="91">
        <v>45818</v>
      </c>
      <c r="AU373" s="91">
        <v>45770</v>
      </c>
      <c r="AV373" s="91">
        <v>45793</v>
      </c>
      <c r="AW373" s="91">
        <v>45706</v>
      </c>
      <c r="AX373" s="305"/>
      <c r="AY373" s="305"/>
      <c r="AZ373" s="91">
        <v>45808</v>
      </c>
      <c r="BA373" s="91"/>
      <c r="BB373" s="92"/>
      <c r="BC373" s="47"/>
      <c r="BD373" s="49" t="s">
        <v>816</v>
      </c>
      <c r="BE373" s="70"/>
      <c r="BF373" s="367"/>
      <c r="BG373" s="367"/>
      <c r="BH373" s="64" t="e">
        <f>#REF!</f>
        <v>#REF!</v>
      </c>
      <c r="BL373" s="73"/>
    </row>
    <row r="374" spans="1:64" s="59" customFormat="1" ht="36" customHeight="1" x14ac:dyDescent="0.3">
      <c r="A374" s="156">
        <f t="shared" si="6"/>
        <v>369</v>
      </c>
      <c r="B374" s="90" t="s">
        <v>1314</v>
      </c>
      <c r="C374" s="305" t="s">
        <v>6</v>
      </c>
      <c r="D374" s="305" t="s">
        <v>1307</v>
      </c>
      <c r="E374" s="91">
        <v>45868</v>
      </c>
      <c r="F374" s="97">
        <v>45859</v>
      </c>
      <c r="G374" s="91"/>
      <c r="H374" s="91"/>
      <c r="I374" s="305" t="s">
        <v>26</v>
      </c>
      <c r="J374" s="92" t="s">
        <v>1282</v>
      </c>
      <c r="K374" s="92" t="s">
        <v>1315</v>
      </c>
      <c r="L374" s="305" t="s">
        <v>1057</v>
      </c>
      <c r="M374" s="369" t="s">
        <v>65</v>
      </c>
      <c r="N374" s="305" t="s">
        <v>127</v>
      </c>
      <c r="O374" s="305" t="s">
        <v>1073</v>
      </c>
      <c r="P374" s="158"/>
      <c r="Q374" s="305">
        <v>3.2</v>
      </c>
      <c r="R374" s="305"/>
      <c r="S374" s="305">
        <v>100</v>
      </c>
      <c r="T374" s="305">
        <v>9.5</v>
      </c>
      <c r="U374" s="305"/>
      <c r="V374" s="305" t="s">
        <v>127</v>
      </c>
      <c r="W374" s="305"/>
      <c r="X374" s="305" t="s">
        <v>150</v>
      </c>
      <c r="Y374" s="305" t="s">
        <v>127</v>
      </c>
      <c r="Z374" s="305"/>
      <c r="AA374" s="305" t="s">
        <v>214</v>
      </c>
      <c r="AB374" s="369" t="s">
        <v>1096</v>
      </c>
      <c r="AC374" s="92" t="s">
        <v>1316</v>
      </c>
      <c r="AD374" s="369" t="s">
        <v>284</v>
      </c>
      <c r="AE374" s="118"/>
      <c r="AF374" s="118"/>
      <c r="AG374" s="118">
        <v>45757</v>
      </c>
      <c r="AH374" s="93">
        <v>45838</v>
      </c>
      <c r="AI374" s="264">
        <v>45809</v>
      </c>
      <c r="AJ374" s="95" t="s">
        <v>131</v>
      </c>
      <c r="AK374" s="369" t="s">
        <v>1060</v>
      </c>
      <c r="AL374" s="369" t="s">
        <v>183</v>
      </c>
      <c r="AM374" s="369" t="s">
        <v>209</v>
      </c>
      <c r="AN374" s="305"/>
      <c r="AO374" s="305"/>
      <c r="AP374" s="305"/>
      <c r="AQ374" s="291"/>
      <c r="AR374" s="305"/>
      <c r="AS374" s="305"/>
      <c r="AT374" s="91">
        <v>45818</v>
      </c>
      <c r="AU374" s="91">
        <v>45770</v>
      </c>
      <c r="AV374" s="91">
        <v>45793</v>
      </c>
      <c r="AW374" s="91">
        <v>45706</v>
      </c>
      <c r="AX374" s="305"/>
      <c r="AY374" s="305"/>
      <c r="AZ374" s="91">
        <v>45808</v>
      </c>
      <c r="BA374" s="91"/>
      <c r="BB374" s="92"/>
      <c r="BC374" s="47"/>
      <c r="BD374" s="49" t="s">
        <v>816</v>
      </c>
      <c r="BE374" s="70"/>
      <c r="BF374" s="367"/>
      <c r="BG374" s="367"/>
      <c r="BH374" s="64" t="e">
        <f>#REF!</f>
        <v>#REF!</v>
      </c>
      <c r="BL374" s="73"/>
    </row>
    <row r="375" spans="1:64" s="59" customFormat="1" ht="36" customHeight="1" x14ac:dyDescent="0.3">
      <c r="A375" s="305">
        <f t="shared" si="6"/>
        <v>370</v>
      </c>
      <c r="B375" s="116" t="s">
        <v>1317</v>
      </c>
      <c r="C375" s="305" t="s">
        <v>6</v>
      </c>
      <c r="D375" s="305" t="s">
        <v>262</v>
      </c>
      <c r="E375" s="91"/>
      <c r="F375" s="97"/>
      <c r="G375" s="91"/>
      <c r="H375" s="91"/>
      <c r="I375" s="305" t="s">
        <v>26</v>
      </c>
      <c r="J375" s="92" t="s">
        <v>1282</v>
      </c>
      <c r="K375" s="92" t="s">
        <v>1315</v>
      </c>
      <c r="L375" s="305" t="s">
        <v>1057</v>
      </c>
      <c r="M375" s="369" t="s">
        <v>65</v>
      </c>
      <c r="N375" s="305" t="s">
        <v>127</v>
      </c>
      <c r="O375" s="305"/>
      <c r="P375" s="305"/>
      <c r="Q375" s="305"/>
      <c r="R375" s="305"/>
      <c r="S375" s="305"/>
      <c r="T375" s="305"/>
      <c r="U375" s="305"/>
      <c r="V375" s="305"/>
      <c r="W375" s="305"/>
      <c r="X375" s="305"/>
      <c r="Y375" s="305"/>
      <c r="Z375" s="305"/>
      <c r="AA375" s="305"/>
      <c r="AB375" s="369"/>
      <c r="AC375" s="92" t="s">
        <v>1318</v>
      </c>
      <c r="AD375" s="369" t="s">
        <v>1079</v>
      </c>
      <c r="AE375" s="118"/>
      <c r="AF375" s="118"/>
      <c r="AG375" s="118"/>
      <c r="AH375" s="93"/>
      <c r="AI375" s="94">
        <v>0</v>
      </c>
      <c r="AJ375" s="95" t="s">
        <v>264</v>
      </c>
      <c r="AK375" s="369"/>
      <c r="AL375" s="369"/>
      <c r="AM375" s="369"/>
      <c r="AN375" s="305"/>
      <c r="AO375" s="305"/>
      <c r="AP375" s="305"/>
      <c r="AQ375" s="291"/>
      <c r="AR375" s="305"/>
      <c r="AS375" s="305"/>
      <c r="AT375" s="305"/>
      <c r="AU375" s="305"/>
      <c r="AV375" s="305"/>
      <c r="AW375" s="305"/>
      <c r="AX375" s="305"/>
      <c r="AY375" s="305"/>
      <c r="AZ375" s="305"/>
      <c r="BA375" s="305"/>
      <c r="BB375" s="92"/>
      <c r="BC375" s="47"/>
      <c r="BD375" s="49" t="s">
        <v>816</v>
      </c>
      <c r="BE375" s="70"/>
      <c r="BF375" s="367"/>
      <c r="BG375" s="367"/>
      <c r="BH375" s="64" t="e">
        <f>#REF!</f>
        <v>#REF!</v>
      </c>
      <c r="BL375" s="73"/>
    </row>
    <row r="376" spans="1:64" s="59" customFormat="1" ht="36" customHeight="1" x14ac:dyDescent="0.3">
      <c r="A376" s="156">
        <f t="shared" si="6"/>
        <v>371</v>
      </c>
      <c r="B376" s="90" t="s">
        <v>1319</v>
      </c>
      <c r="C376" s="305" t="s">
        <v>6</v>
      </c>
      <c r="D376" s="305" t="s">
        <v>1307</v>
      </c>
      <c r="E376" s="91">
        <v>45770</v>
      </c>
      <c r="F376" s="97"/>
      <c r="G376" s="91"/>
      <c r="H376" s="91"/>
      <c r="I376" s="305" t="s">
        <v>26</v>
      </c>
      <c r="J376" s="92" t="s">
        <v>1282</v>
      </c>
      <c r="K376" s="92" t="s">
        <v>1315</v>
      </c>
      <c r="L376" s="305" t="s">
        <v>1057</v>
      </c>
      <c r="M376" s="369" t="s">
        <v>65</v>
      </c>
      <c r="N376" s="305" t="s">
        <v>127</v>
      </c>
      <c r="O376" s="305" t="s">
        <v>1073</v>
      </c>
      <c r="P376" s="158"/>
      <c r="Q376" s="305">
        <v>3.2</v>
      </c>
      <c r="R376" s="305"/>
      <c r="S376" s="305">
        <v>100</v>
      </c>
      <c r="T376" s="305"/>
      <c r="U376" s="305"/>
      <c r="V376" s="305"/>
      <c r="W376" s="305"/>
      <c r="X376" s="305"/>
      <c r="Y376" s="305"/>
      <c r="Z376" s="305" t="s">
        <v>127</v>
      </c>
      <c r="AA376" s="305"/>
      <c r="AB376" s="369"/>
      <c r="AC376" s="92" t="s">
        <v>1320</v>
      </c>
      <c r="AD376" s="369" t="s">
        <v>1121</v>
      </c>
      <c r="AE376" s="118">
        <v>45746</v>
      </c>
      <c r="AF376" s="118"/>
      <c r="AG376" s="118">
        <v>45757</v>
      </c>
      <c r="AH376" s="93">
        <v>45777</v>
      </c>
      <c r="AI376" s="264">
        <v>45748</v>
      </c>
      <c r="AJ376" s="95" t="s">
        <v>131</v>
      </c>
      <c r="AK376" s="369" t="s">
        <v>1122</v>
      </c>
      <c r="AL376" s="369" t="s">
        <v>830</v>
      </c>
      <c r="AM376" s="369" t="s">
        <v>209</v>
      </c>
      <c r="AN376" s="305"/>
      <c r="AO376" s="305"/>
      <c r="AP376" s="305"/>
      <c r="AQ376" s="291"/>
      <c r="AR376" s="305"/>
      <c r="AS376" s="305"/>
      <c r="AT376" s="91">
        <v>45716</v>
      </c>
      <c r="AU376" s="91">
        <v>45693</v>
      </c>
      <c r="AV376" s="91">
        <v>45698</v>
      </c>
      <c r="AW376" s="91">
        <v>45694</v>
      </c>
      <c r="AX376" s="305"/>
      <c r="AY376" s="305"/>
      <c r="AZ376" s="305"/>
      <c r="BA376" s="305"/>
      <c r="BB376" s="92"/>
      <c r="BC376" s="47"/>
      <c r="BD376" s="49" t="s">
        <v>816</v>
      </c>
      <c r="BE376" s="70"/>
      <c r="BF376" s="367"/>
      <c r="BG376" s="367"/>
      <c r="BH376" s="64" t="e">
        <f>#REF!</f>
        <v>#REF!</v>
      </c>
      <c r="BL376" s="73"/>
    </row>
    <row r="377" spans="1:64" s="59" customFormat="1" ht="36" customHeight="1" x14ac:dyDescent="0.3">
      <c r="A377" s="305">
        <f t="shared" si="6"/>
        <v>372</v>
      </c>
      <c r="B377" s="90" t="s">
        <v>1321</v>
      </c>
      <c r="C377" s="305" t="s">
        <v>6</v>
      </c>
      <c r="D377" s="305" t="s">
        <v>262</v>
      </c>
      <c r="E377" s="91"/>
      <c r="F377" s="97"/>
      <c r="G377" s="91"/>
      <c r="H377" s="91"/>
      <c r="I377" s="305" t="s">
        <v>26</v>
      </c>
      <c r="J377" s="92" t="s">
        <v>1282</v>
      </c>
      <c r="K377" s="92" t="s">
        <v>1315</v>
      </c>
      <c r="L377" s="305" t="s">
        <v>1057</v>
      </c>
      <c r="M377" s="369" t="s">
        <v>65</v>
      </c>
      <c r="N377" s="305" t="s">
        <v>127</v>
      </c>
      <c r="O377" s="305"/>
      <c r="P377" s="305"/>
      <c r="Q377" s="305"/>
      <c r="R377" s="305"/>
      <c r="S377" s="305"/>
      <c r="T377" s="305"/>
      <c r="U377" s="305"/>
      <c r="V377" s="305"/>
      <c r="W377" s="305"/>
      <c r="X377" s="305"/>
      <c r="Y377" s="305"/>
      <c r="Z377" s="305"/>
      <c r="AA377" s="305"/>
      <c r="AB377" s="369"/>
      <c r="AC377" s="92" t="s">
        <v>1322</v>
      </c>
      <c r="AD377" s="369" t="s">
        <v>238</v>
      </c>
      <c r="AE377" s="118"/>
      <c r="AF377" s="118"/>
      <c r="AG377" s="118"/>
      <c r="AH377" s="93"/>
      <c r="AI377" s="94">
        <v>0</v>
      </c>
      <c r="AJ377" s="95" t="s">
        <v>264</v>
      </c>
      <c r="AK377" s="369"/>
      <c r="AL377" s="369"/>
      <c r="AM377" s="369"/>
      <c r="AN377" s="305"/>
      <c r="AO377" s="305"/>
      <c r="AP377" s="305"/>
      <c r="AQ377" s="291"/>
      <c r="AR377" s="305"/>
      <c r="AS377" s="305"/>
      <c r="AT377" s="305"/>
      <c r="AU377" s="305"/>
      <c r="AV377" s="305"/>
      <c r="AW377" s="305"/>
      <c r="AX377" s="305"/>
      <c r="AY377" s="305"/>
      <c r="AZ377" s="305"/>
      <c r="BA377" s="305"/>
      <c r="BB377" s="92"/>
      <c r="BC377" s="47"/>
      <c r="BD377" s="49" t="s">
        <v>816</v>
      </c>
      <c r="BE377" s="70"/>
      <c r="BF377" s="367"/>
      <c r="BG377" s="367"/>
      <c r="BH377" s="64" t="e">
        <f>#REF!</f>
        <v>#REF!</v>
      </c>
      <c r="BL377" s="73"/>
    </row>
    <row r="378" spans="1:64" s="59" customFormat="1" ht="36" customHeight="1" x14ac:dyDescent="0.3">
      <c r="A378" s="156">
        <f t="shared" si="6"/>
        <v>373</v>
      </c>
      <c r="B378" s="90" t="s">
        <v>1323</v>
      </c>
      <c r="C378" s="305" t="s">
        <v>6</v>
      </c>
      <c r="D378" s="305" t="s">
        <v>1324</v>
      </c>
      <c r="E378" s="91">
        <v>45888</v>
      </c>
      <c r="F378" s="91"/>
      <c r="G378" s="91"/>
      <c r="H378" s="91"/>
      <c r="I378" s="305" t="s">
        <v>26</v>
      </c>
      <c r="J378" s="92" t="s">
        <v>1282</v>
      </c>
      <c r="K378" s="92" t="s">
        <v>1315</v>
      </c>
      <c r="L378" s="305" t="s">
        <v>1325</v>
      </c>
      <c r="M378" s="369" t="s">
        <v>65</v>
      </c>
      <c r="N378" s="305" t="s">
        <v>127</v>
      </c>
      <c r="O378" s="305" t="s">
        <v>1073</v>
      </c>
      <c r="P378" s="158"/>
      <c r="Q378" s="305">
        <v>3.2</v>
      </c>
      <c r="R378" s="305"/>
      <c r="S378" s="305">
        <v>100</v>
      </c>
      <c r="T378" s="305">
        <v>9.5</v>
      </c>
      <c r="U378" s="305"/>
      <c r="V378" s="305" t="s">
        <v>127</v>
      </c>
      <c r="W378" s="305"/>
      <c r="X378" s="160" t="s">
        <v>142</v>
      </c>
      <c r="Y378" s="305"/>
      <c r="Z378" s="305" t="s">
        <v>127</v>
      </c>
      <c r="AA378" s="305"/>
      <c r="AB378" s="369" t="s">
        <v>215</v>
      </c>
      <c r="AC378" s="92" t="s">
        <v>1326</v>
      </c>
      <c r="AD378" s="161" t="s">
        <v>1327</v>
      </c>
      <c r="AE378" s="118">
        <v>45868</v>
      </c>
      <c r="AF378" s="118"/>
      <c r="AG378" s="118">
        <v>45757</v>
      </c>
      <c r="AH378" s="93">
        <v>45868</v>
      </c>
      <c r="AI378" s="264">
        <v>45839</v>
      </c>
      <c r="AJ378" s="95" t="s">
        <v>131</v>
      </c>
      <c r="AK378" s="369" t="s">
        <v>1064</v>
      </c>
      <c r="AL378" s="369" t="s">
        <v>162</v>
      </c>
      <c r="AM378" s="369" t="s">
        <v>209</v>
      </c>
      <c r="AN378" s="305"/>
      <c r="AO378" s="305"/>
      <c r="AP378" s="305"/>
      <c r="AQ378" s="291"/>
      <c r="AR378" s="305"/>
      <c r="AS378" s="305"/>
      <c r="AT378" s="91">
        <v>45842</v>
      </c>
      <c r="AU378" s="91">
        <v>45797</v>
      </c>
      <c r="AV378" s="91">
        <v>45825</v>
      </c>
      <c r="AW378" s="91">
        <v>45804</v>
      </c>
      <c r="AX378" s="305"/>
      <c r="AY378" s="305"/>
      <c r="AZ378" s="91">
        <v>45845</v>
      </c>
      <c r="BA378" s="91"/>
      <c r="BB378" s="92"/>
      <c r="BC378" s="47"/>
      <c r="BD378" s="49" t="s">
        <v>816</v>
      </c>
      <c r="BE378" s="70"/>
      <c r="BF378" s="367"/>
      <c r="BG378" s="367"/>
      <c r="BH378" s="64" t="e">
        <f>#REF!</f>
        <v>#REF!</v>
      </c>
      <c r="BL378" s="73"/>
    </row>
    <row r="379" spans="1:64" s="59" customFormat="1" ht="46.2" customHeight="1" x14ac:dyDescent="0.3">
      <c r="A379" s="156">
        <f t="shared" si="6"/>
        <v>374</v>
      </c>
      <c r="B379" s="90" t="s">
        <v>1328</v>
      </c>
      <c r="C379" s="305" t="s">
        <v>6</v>
      </c>
      <c r="D379" s="305" t="s">
        <v>1324</v>
      </c>
      <c r="E379" s="91">
        <v>45888</v>
      </c>
      <c r="F379" s="91"/>
      <c r="G379" s="91"/>
      <c r="H379" s="91"/>
      <c r="I379" s="305" t="s">
        <v>26</v>
      </c>
      <c r="J379" s="92" t="s">
        <v>1282</v>
      </c>
      <c r="K379" s="92" t="s">
        <v>1329</v>
      </c>
      <c r="L379" s="305" t="s">
        <v>1325</v>
      </c>
      <c r="M379" s="369" t="s">
        <v>65</v>
      </c>
      <c r="N379" s="305" t="s">
        <v>127</v>
      </c>
      <c r="O379" s="305" t="s">
        <v>1073</v>
      </c>
      <c r="P379" s="158"/>
      <c r="Q379" s="305"/>
      <c r="R379" s="305"/>
      <c r="S379" s="305"/>
      <c r="T379" s="305">
        <v>11.9</v>
      </c>
      <c r="U379" s="305"/>
      <c r="V379" s="305" t="s">
        <v>127</v>
      </c>
      <c r="W379" s="305"/>
      <c r="X379" s="160" t="s">
        <v>142</v>
      </c>
      <c r="Y379" s="305"/>
      <c r="Z379" s="305" t="s">
        <v>127</v>
      </c>
      <c r="AA379" s="305"/>
      <c r="AB379" s="369" t="s">
        <v>215</v>
      </c>
      <c r="AC379" s="92" t="s">
        <v>1330</v>
      </c>
      <c r="AD379" s="161" t="s">
        <v>145</v>
      </c>
      <c r="AE379" s="118">
        <v>45868</v>
      </c>
      <c r="AF379" s="118"/>
      <c r="AG379" s="118">
        <v>45741</v>
      </c>
      <c r="AH379" s="93">
        <v>45868</v>
      </c>
      <c r="AI379" s="264">
        <v>45839</v>
      </c>
      <c r="AJ379" s="95" t="s">
        <v>131</v>
      </c>
      <c r="AK379" s="369" t="s">
        <v>1064</v>
      </c>
      <c r="AL379" s="369" t="s">
        <v>162</v>
      </c>
      <c r="AM379" s="369" t="s">
        <v>209</v>
      </c>
      <c r="AN379" s="305"/>
      <c r="AO379" s="305"/>
      <c r="AP379" s="305"/>
      <c r="AQ379" s="291"/>
      <c r="AR379" s="305"/>
      <c r="AS379" s="305"/>
      <c r="AT379" s="91">
        <v>45842</v>
      </c>
      <c r="AU379" s="91">
        <v>45803</v>
      </c>
      <c r="AV379" s="91">
        <v>45825</v>
      </c>
      <c r="AW379" s="91">
        <v>45803</v>
      </c>
      <c r="AX379" s="305"/>
      <c r="AY379" s="305"/>
      <c r="AZ379" s="91">
        <v>45845</v>
      </c>
      <c r="BA379" s="91"/>
      <c r="BB379" s="92"/>
      <c r="BC379" s="47"/>
      <c r="BD379" s="49" t="s">
        <v>816</v>
      </c>
      <c r="BE379" s="70"/>
      <c r="BF379" s="367"/>
      <c r="BG379" s="367"/>
      <c r="BH379" s="64" t="e">
        <f>#REF!</f>
        <v>#REF!</v>
      </c>
      <c r="BL379" s="73"/>
    </row>
    <row r="380" spans="1:64" s="59" customFormat="1" ht="36" customHeight="1" x14ac:dyDescent="0.3">
      <c r="A380" s="156">
        <f t="shared" si="6"/>
        <v>375</v>
      </c>
      <c r="B380" s="90" t="s">
        <v>1331</v>
      </c>
      <c r="C380" s="305" t="s">
        <v>6</v>
      </c>
      <c r="D380" s="305" t="s">
        <v>1332</v>
      </c>
      <c r="E380" s="91">
        <v>45786</v>
      </c>
      <c r="F380" s="91">
        <v>45789</v>
      </c>
      <c r="G380" s="91">
        <v>45960</v>
      </c>
      <c r="H380" s="91"/>
      <c r="I380" s="305" t="s">
        <v>26</v>
      </c>
      <c r="J380" s="92" t="s">
        <v>1282</v>
      </c>
      <c r="K380" s="92" t="s">
        <v>1333</v>
      </c>
      <c r="L380" s="305" t="s">
        <v>1057</v>
      </c>
      <c r="M380" s="369" t="s">
        <v>65</v>
      </c>
      <c r="N380" s="305" t="s">
        <v>127</v>
      </c>
      <c r="O380" s="305" t="s">
        <v>1073</v>
      </c>
      <c r="P380" s="158"/>
      <c r="Q380" s="305"/>
      <c r="R380" s="305"/>
      <c r="S380" s="305"/>
      <c r="T380" s="305">
        <v>11.9</v>
      </c>
      <c r="U380" s="305"/>
      <c r="V380" s="305" t="s">
        <v>127</v>
      </c>
      <c r="W380" s="305"/>
      <c r="X380" s="305" t="s">
        <v>350</v>
      </c>
      <c r="Y380" s="305"/>
      <c r="Z380" s="305" t="s">
        <v>127</v>
      </c>
      <c r="AA380" s="305"/>
      <c r="AB380" s="369" t="s">
        <v>215</v>
      </c>
      <c r="AC380" s="92" t="s">
        <v>1334</v>
      </c>
      <c r="AD380" s="369" t="s">
        <v>357</v>
      </c>
      <c r="AE380" s="118">
        <v>45776</v>
      </c>
      <c r="AF380" s="118"/>
      <c r="AG380" s="118">
        <v>45772</v>
      </c>
      <c r="AH380" s="93">
        <v>45772</v>
      </c>
      <c r="AI380" s="264">
        <v>45748</v>
      </c>
      <c r="AJ380" s="95" t="s">
        <v>131</v>
      </c>
      <c r="AK380" s="369" t="s">
        <v>366</v>
      </c>
      <c r="AL380" s="369"/>
      <c r="AM380" s="369" t="s">
        <v>134</v>
      </c>
      <c r="AN380" s="305"/>
      <c r="AO380" s="305"/>
      <c r="AP380" s="305"/>
      <c r="AQ380" s="291"/>
      <c r="AR380" s="305"/>
      <c r="AS380" s="305"/>
      <c r="AT380" s="91">
        <v>45716</v>
      </c>
      <c r="AU380" s="91">
        <v>45705</v>
      </c>
      <c r="AV380" s="91">
        <v>45706</v>
      </c>
      <c r="AW380" s="91">
        <v>45672</v>
      </c>
      <c r="AX380" s="305"/>
      <c r="AY380" s="305"/>
      <c r="AZ380" s="305"/>
      <c r="BA380" s="305"/>
      <c r="BB380" s="92" t="s">
        <v>1335</v>
      </c>
      <c r="BC380" s="47"/>
      <c r="BD380" s="49" t="s">
        <v>816</v>
      </c>
      <c r="BE380" s="70"/>
      <c r="BF380" s="367"/>
      <c r="BG380" s="367"/>
      <c r="BH380" s="64" t="e">
        <f>#REF!</f>
        <v>#REF!</v>
      </c>
      <c r="BL380" s="73"/>
    </row>
    <row r="381" spans="1:64" s="59" customFormat="1" ht="36" customHeight="1" x14ac:dyDescent="0.3">
      <c r="A381" s="156">
        <f t="shared" si="6"/>
        <v>376</v>
      </c>
      <c r="B381" s="90" t="s">
        <v>1336</v>
      </c>
      <c r="C381" s="305" t="s">
        <v>6</v>
      </c>
      <c r="D381" s="305" t="s">
        <v>1332</v>
      </c>
      <c r="E381" s="91">
        <v>45786</v>
      </c>
      <c r="F381" s="91">
        <v>45789</v>
      </c>
      <c r="G381" s="91"/>
      <c r="H381" s="91"/>
      <c r="I381" s="305" t="s">
        <v>26</v>
      </c>
      <c r="J381" s="92" t="s">
        <v>1282</v>
      </c>
      <c r="K381" s="92" t="s">
        <v>1337</v>
      </c>
      <c r="L381" s="305" t="s">
        <v>1057</v>
      </c>
      <c r="M381" s="369" t="s">
        <v>65</v>
      </c>
      <c r="N381" s="305" t="s">
        <v>127</v>
      </c>
      <c r="O381" s="305" t="s">
        <v>1073</v>
      </c>
      <c r="P381" s="158"/>
      <c r="Q381" s="305"/>
      <c r="R381" s="305"/>
      <c r="S381" s="305"/>
      <c r="T381" s="305">
        <v>16</v>
      </c>
      <c r="U381" s="305"/>
      <c r="V381" s="305" t="s">
        <v>127</v>
      </c>
      <c r="W381" s="305"/>
      <c r="X381" s="305" t="s">
        <v>350</v>
      </c>
      <c r="Y381" s="305"/>
      <c r="Z381" s="305" t="s">
        <v>127</v>
      </c>
      <c r="AA381" s="305"/>
      <c r="AB381" s="369" t="s">
        <v>215</v>
      </c>
      <c r="AC381" s="92" t="s">
        <v>1338</v>
      </c>
      <c r="AD381" s="369" t="s">
        <v>352</v>
      </c>
      <c r="AE381" s="118">
        <v>45776</v>
      </c>
      <c r="AF381" s="118"/>
      <c r="AG381" s="118">
        <v>45772</v>
      </c>
      <c r="AH381" s="93">
        <v>45772</v>
      </c>
      <c r="AI381" s="264">
        <v>45748</v>
      </c>
      <c r="AJ381" s="95" t="s">
        <v>131</v>
      </c>
      <c r="AK381" s="369" t="s">
        <v>366</v>
      </c>
      <c r="AL381" s="369"/>
      <c r="AM381" s="369" t="s">
        <v>134</v>
      </c>
      <c r="AN381" s="305"/>
      <c r="AO381" s="305"/>
      <c r="AP381" s="305"/>
      <c r="AQ381" s="291"/>
      <c r="AR381" s="305"/>
      <c r="AS381" s="305"/>
      <c r="AT381" s="91">
        <v>45716</v>
      </c>
      <c r="AU381" s="91">
        <v>45705</v>
      </c>
      <c r="AV381" s="91">
        <v>45706</v>
      </c>
      <c r="AW381" s="91">
        <v>45672</v>
      </c>
      <c r="AX381" s="305"/>
      <c r="AY381" s="305"/>
      <c r="AZ381" s="305"/>
      <c r="BA381" s="305"/>
      <c r="BB381" s="92" t="s">
        <v>1335</v>
      </c>
      <c r="BC381" s="47"/>
      <c r="BD381" s="49" t="s">
        <v>816</v>
      </c>
      <c r="BE381" s="70"/>
      <c r="BF381" s="367"/>
      <c r="BG381" s="367"/>
      <c r="BH381" s="64" t="e">
        <f>#REF!</f>
        <v>#REF!</v>
      </c>
      <c r="BL381" s="73"/>
    </row>
    <row r="382" spans="1:64" s="59" customFormat="1" ht="36" customHeight="1" x14ac:dyDescent="0.3">
      <c r="A382" s="305">
        <f t="shared" si="6"/>
        <v>377</v>
      </c>
      <c r="B382" s="90" t="s">
        <v>1339</v>
      </c>
      <c r="C382" s="305" t="s">
        <v>6</v>
      </c>
      <c r="D382" s="305" t="s">
        <v>262</v>
      </c>
      <c r="E382" s="91"/>
      <c r="F382" s="91"/>
      <c r="G382" s="91"/>
      <c r="H382" s="91"/>
      <c r="I382" s="305" t="s">
        <v>26</v>
      </c>
      <c r="J382" s="92" t="s">
        <v>1282</v>
      </c>
      <c r="K382" s="92" t="s">
        <v>1337</v>
      </c>
      <c r="L382" s="305" t="s">
        <v>1057</v>
      </c>
      <c r="M382" s="369" t="s">
        <v>65</v>
      </c>
      <c r="N382" s="305" t="s">
        <v>127</v>
      </c>
      <c r="O382" s="305"/>
      <c r="P382" s="305"/>
      <c r="Q382" s="305"/>
      <c r="R382" s="305"/>
      <c r="S382" s="305"/>
      <c r="T382" s="305"/>
      <c r="U382" s="305"/>
      <c r="V382" s="305"/>
      <c r="W382" s="305"/>
      <c r="X382" s="305"/>
      <c r="Y382" s="305"/>
      <c r="Z382" s="305"/>
      <c r="AA382" s="305"/>
      <c r="AB382" s="369"/>
      <c r="AC382" s="92" t="s">
        <v>1340</v>
      </c>
      <c r="AD382" s="369" t="s">
        <v>238</v>
      </c>
      <c r="AE382" s="118"/>
      <c r="AF382" s="118"/>
      <c r="AG382" s="118"/>
      <c r="AH382" s="93"/>
      <c r="AI382" s="94">
        <v>0</v>
      </c>
      <c r="AJ382" s="95" t="s">
        <v>264</v>
      </c>
      <c r="AK382" s="369"/>
      <c r="AL382" s="369"/>
      <c r="AM382" s="369"/>
      <c r="AN382" s="305"/>
      <c r="AO382" s="305"/>
      <c r="AP382" s="305"/>
      <c r="AQ382" s="291"/>
      <c r="AR382" s="305"/>
      <c r="AS382" s="305"/>
      <c r="AT382" s="305"/>
      <c r="AU382" s="305"/>
      <c r="AV382" s="305"/>
      <c r="AW382" s="305"/>
      <c r="AX382" s="305"/>
      <c r="AY382" s="305"/>
      <c r="AZ382" s="305"/>
      <c r="BA382" s="305"/>
      <c r="BB382" s="92" t="s">
        <v>1341</v>
      </c>
      <c r="BC382" s="47"/>
      <c r="BD382" s="49" t="s">
        <v>816</v>
      </c>
      <c r="BE382" s="70"/>
      <c r="BF382" s="367"/>
      <c r="BG382" s="367"/>
      <c r="BH382" s="64" t="e">
        <f>#REF!</f>
        <v>#REF!</v>
      </c>
      <c r="BL382" s="73"/>
    </row>
    <row r="383" spans="1:64" s="59" customFormat="1" ht="36" customHeight="1" x14ac:dyDescent="0.3">
      <c r="A383" s="156">
        <f t="shared" si="6"/>
        <v>378</v>
      </c>
      <c r="B383" s="90" t="s">
        <v>1342</v>
      </c>
      <c r="C383" s="305" t="s">
        <v>6</v>
      </c>
      <c r="D383" s="305" t="s">
        <v>1332</v>
      </c>
      <c r="E383" s="91">
        <v>45745</v>
      </c>
      <c r="F383" s="91"/>
      <c r="G383" s="91"/>
      <c r="H383" s="91"/>
      <c r="I383" s="305" t="s">
        <v>26</v>
      </c>
      <c r="J383" s="92" t="s">
        <v>1282</v>
      </c>
      <c r="K383" s="92" t="s">
        <v>1337</v>
      </c>
      <c r="L383" s="305" t="s">
        <v>1057</v>
      </c>
      <c r="M383" s="369" t="s">
        <v>65</v>
      </c>
      <c r="N383" s="305" t="s">
        <v>127</v>
      </c>
      <c r="O383" s="305" t="s">
        <v>1073</v>
      </c>
      <c r="P383" s="158"/>
      <c r="Q383" s="305"/>
      <c r="R383" s="305"/>
      <c r="S383" s="305"/>
      <c r="T383" s="305"/>
      <c r="U383" s="305"/>
      <c r="V383" s="305"/>
      <c r="W383" s="305"/>
      <c r="X383" s="305"/>
      <c r="Y383" s="305"/>
      <c r="Z383" s="305" t="s">
        <v>127</v>
      </c>
      <c r="AA383" s="305"/>
      <c r="AB383" s="369"/>
      <c r="AC383" s="92" t="s">
        <v>1343</v>
      </c>
      <c r="AD383" s="369" t="s">
        <v>238</v>
      </c>
      <c r="AE383" s="118">
        <v>45741</v>
      </c>
      <c r="AF383" s="118"/>
      <c r="AG383" s="118">
        <v>45741</v>
      </c>
      <c r="AH383" s="93">
        <v>45746</v>
      </c>
      <c r="AI383" s="264">
        <v>45717</v>
      </c>
      <c r="AJ383" s="95" t="s">
        <v>131</v>
      </c>
      <c r="AK383" s="369" t="s">
        <v>366</v>
      </c>
      <c r="AL383" s="369" t="s">
        <v>778</v>
      </c>
      <c r="AM383" s="369" t="s">
        <v>209</v>
      </c>
      <c r="AN383" s="305"/>
      <c r="AO383" s="305"/>
      <c r="AP383" s="305"/>
      <c r="AQ383" s="291"/>
      <c r="AR383" s="305"/>
      <c r="AS383" s="305"/>
      <c r="AT383" s="91">
        <v>45705</v>
      </c>
      <c r="AU383" s="91">
        <v>45677</v>
      </c>
      <c r="AV383" s="91">
        <v>45677</v>
      </c>
      <c r="AW383" s="91">
        <v>45672</v>
      </c>
      <c r="AX383" s="305"/>
      <c r="AY383" s="305"/>
      <c r="AZ383" s="305"/>
      <c r="BA383" s="305"/>
      <c r="BB383" s="92"/>
      <c r="BC383" s="47"/>
      <c r="BD383" s="49" t="s">
        <v>816</v>
      </c>
      <c r="BE383" s="70"/>
      <c r="BF383" s="367"/>
      <c r="BG383" s="367"/>
      <c r="BH383" s="64" t="e">
        <f>#REF!</f>
        <v>#REF!</v>
      </c>
      <c r="BL383" s="73"/>
    </row>
    <row r="384" spans="1:64" s="59" customFormat="1" ht="36" customHeight="1" x14ac:dyDescent="0.3">
      <c r="A384" s="156">
        <f t="shared" si="6"/>
        <v>379</v>
      </c>
      <c r="B384" s="90" t="s">
        <v>1344</v>
      </c>
      <c r="C384" s="305" t="s">
        <v>6</v>
      </c>
      <c r="D384" s="305" t="s">
        <v>1332</v>
      </c>
      <c r="E384" s="91">
        <v>45786</v>
      </c>
      <c r="F384" s="91">
        <v>45789</v>
      </c>
      <c r="G384" s="91"/>
      <c r="H384" s="91"/>
      <c r="I384" s="305" t="s">
        <v>26</v>
      </c>
      <c r="J384" s="92" t="s">
        <v>1282</v>
      </c>
      <c r="K384" s="92" t="s">
        <v>1337</v>
      </c>
      <c r="L384" s="305" t="s">
        <v>1057</v>
      </c>
      <c r="M384" s="369" t="s">
        <v>65</v>
      </c>
      <c r="N384" s="305" t="s">
        <v>127</v>
      </c>
      <c r="O384" s="305" t="s">
        <v>1073</v>
      </c>
      <c r="P384" s="158"/>
      <c r="Q384" s="305"/>
      <c r="R384" s="305"/>
      <c r="S384" s="305"/>
      <c r="T384" s="305">
        <v>16</v>
      </c>
      <c r="U384" s="305"/>
      <c r="V384" s="305" t="s">
        <v>127</v>
      </c>
      <c r="W384" s="305"/>
      <c r="X384" s="305" t="s">
        <v>350</v>
      </c>
      <c r="Y384" s="305"/>
      <c r="Z384" s="305" t="s">
        <v>127</v>
      </c>
      <c r="AA384" s="305"/>
      <c r="AB384" s="369" t="s">
        <v>215</v>
      </c>
      <c r="AC384" s="92" t="s">
        <v>1345</v>
      </c>
      <c r="AD384" s="369" t="s">
        <v>357</v>
      </c>
      <c r="AE384" s="118">
        <v>45776</v>
      </c>
      <c r="AF384" s="118"/>
      <c r="AG384" s="118">
        <v>45772</v>
      </c>
      <c r="AH384" s="93">
        <v>45772</v>
      </c>
      <c r="AI384" s="264">
        <v>45748</v>
      </c>
      <c r="AJ384" s="95" t="s">
        <v>131</v>
      </c>
      <c r="AK384" s="369" t="s">
        <v>366</v>
      </c>
      <c r="AL384" s="369"/>
      <c r="AM384" s="369" t="s">
        <v>134</v>
      </c>
      <c r="AN384" s="305"/>
      <c r="AO384" s="305"/>
      <c r="AP384" s="305"/>
      <c r="AQ384" s="291"/>
      <c r="AR384" s="305"/>
      <c r="AS384" s="305"/>
      <c r="AT384" s="91">
        <v>45716</v>
      </c>
      <c r="AU384" s="91">
        <v>45705</v>
      </c>
      <c r="AV384" s="91">
        <v>45706</v>
      </c>
      <c r="AW384" s="91">
        <v>45672</v>
      </c>
      <c r="AX384" s="305"/>
      <c r="AY384" s="305"/>
      <c r="AZ384" s="305"/>
      <c r="BA384" s="305"/>
      <c r="BB384" s="92" t="s">
        <v>1335</v>
      </c>
      <c r="BC384" s="47"/>
      <c r="BD384" s="49" t="s">
        <v>816</v>
      </c>
      <c r="BE384" s="70"/>
      <c r="BF384" s="367"/>
      <c r="BG384" s="367"/>
      <c r="BH384" s="64" t="e">
        <f>#REF!</f>
        <v>#REF!</v>
      </c>
      <c r="BL384" s="73"/>
    </row>
    <row r="385" spans="1:64" s="59" customFormat="1" ht="36" customHeight="1" x14ac:dyDescent="0.3">
      <c r="A385" s="156">
        <f t="shared" si="6"/>
        <v>380</v>
      </c>
      <c r="B385" s="90" t="s">
        <v>1346</v>
      </c>
      <c r="C385" s="305" t="s">
        <v>6</v>
      </c>
      <c r="D385" s="305" t="s">
        <v>1332</v>
      </c>
      <c r="E385" s="91">
        <v>45786</v>
      </c>
      <c r="F385" s="91">
        <v>45789</v>
      </c>
      <c r="G385" s="91"/>
      <c r="H385" s="91"/>
      <c r="I385" s="305" t="s">
        <v>26</v>
      </c>
      <c r="J385" s="92" t="s">
        <v>1282</v>
      </c>
      <c r="K385" s="92" t="s">
        <v>1347</v>
      </c>
      <c r="L385" s="305" t="s">
        <v>1057</v>
      </c>
      <c r="M385" s="369" t="s">
        <v>65</v>
      </c>
      <c r="N385" s="305" t="s">
        <v>127</v>
      </c>
      <c r="O385" s="305" t="s">
        <v>1073</v>
      </c>
      <c r="P385" s="158"/>
      <c r="Q385" s="305">
        <v>3.7</v>
      </c>
      <c r="R385" s="305"/>
      <c r="S385" s="305">
        <v>100</v>
      </c>
      <c r="T385" s="162">
        <v>9.5</v>
      </c>
      <c r="U385" s="162"/>
      <c r="V385" s="162" t="s">
        <v>127</v>
      </c>
      <c r="W385" s="162"/>
      <c r="X385" s="305" t="s">
        <v>350</v>
      </c>
      <c r="Y385" s="305"/>
      <c r="Z385" s="305" t="s">
        <v>127</v>
      </c>
      <c r="AA385" s="305"/>
      <c r="AB385" s="369" t="s">
        <v>215</v>
      </c>
      <c r="AC385" s="92" t="s">
        <v>1348</v>
      </c>
      <c r="AD385" s="369" t="s">
        <v>352</v>
      </c>
      <c r="AE385" s="118">
        <v>45776</v>
      </c>
      <c r="AF385" s="118"/>
      <c r="AG385" s="118">
        <v>45772</v>
      </c>
      <c r="AH385" s="93">
        <v>45772</v>
      </c>
      <c r="AI385" s="264">
        <v>45748</v>
      </c>
      <c r="AJ385" s="95" t="s">
        <v>131</v>
      </c>
      <c r="AK385" s="369" t="s">
        <v>366</v>
      </c>
      <c r="AL385" s="369"/>
      <c r="AM385" s="369" t="s">
        <v>134</v>
      </c>
      <c r="AN385" s="305"/>
      <c r="AO385" s="305"/>
      <c r="AP385" s="305"/>
      <c r="AQ385" s="291"/>
      <c r="AR385" s="305"/>
      <c r="AS385" s="305"/>
      <c r="AT385" s="91">
        <v>45736</v>
      </c>
      <c r="AU385" s="91">
        <v>45705</v>
      </c>
      <c r="AV385" s="91">
        <v>45706</v>
      </c>
      <c r="AW385" s="91">
        <v>45700</v>
      </c>
      <c r="AX385" s="305"/>
      <c r="AY385" s="305"/>
      <c r="AZ385" s="305"/>
      <c r="BA385" s="305"/>
      <c r="BB385" s="92" t="s">
        <v>1335</v>
      </c>
      <c r="BC385" s="47"/>
      <c r="BD385" s="49" t="s">
        <v>816</v>
      </c>
      <c r="BE385" s="70"/>
      <c r="BF385" s="367"/>
      <c r="BG385" s="367"/>
      <c r="BH385" s="64" t="e">
        <f>#REF!</f>
        <v>#REF!</v>
      </c>
      <c r="BL385" s="73"/>
    </row>
    <row r="386" spans="1:64" s="59" customFormat="1" ht="36" customHeight="1" x14ac:dyDescent="0.3">
      <c r="A386" s="156">
        <f t="shared" si="6"/>
        <v>381</v>
      </c>
      <c r="B386" s="90" t="s">
        <v>1349</v>
      </c>
      <c r="C386" s="305" t="s">
        <v>6</v>
      </c>
      <c r="D386" s="305" t="s">
        <v>1350</v>
      </c>
      <c r="E386" s="91">
        <v>45770</v>
      </c>
      <c r="F386" s="91"/>
      <c r="G386" s="91"/>
      <c r="H386" s="91"/>
      <c r="I386" s="305" t="s">
        <v>26</v>
      </c>
      <c r="J386" s="92" t="s">
        <v>1282</v>
      </c>
      <c r="K386" s="92" t="s">
        <v>1347</v>
      </c>
      <c r="L386" s="305" t="s">
        <v>1057</v>
      </c>
      <c r="M386" s="369" t="s">
        <v>65</v>
      </c>
      <c r="N386" s="305" t="s">
        <v>127</v>
      </c>
      <c r="O386" s="305" t="s">
        <v>1073</v>
      </c>
      <c r="P386" s="158"/>
      <c r="Q386" s="305">
        <v>3.7</v>
      </c>
      <c r="R386" s="305"/>
      <c r="S386" s="305">
        <v>100</v>
      </c>
      <c r="T386" s="305" t="s">
        <v>1351</v>
      </c>
      <c r="U386" s="305"/>
      <c r="V386" s="305"/>
      <c r="W386" s="305"/>
      <c r="X386" s="305"/>
      <c r="Y386" s="305"/>
      <c r="Z386" s="305"/>
      <c r="AA386" s="305"/>
      <c r="AB386" s="369"/>
      <c r="AC386" s="92" t="s">
        <v>1352</v>
      </c>
      <c r="AD386" s="369" t="s">
        <v>1121</v>
      </c>
      <c r="AE386" s="118">
        <v>45746</v>
      </c>
      <c r="AF386" s="118"/>
      <c r="AG386" s="118">
        <v>45762</v>
      </c>
      <c r="AH386" s="93">
        <v>45777</v>
      </c>
      <c r="AI386" s="264">
        <v>45748</v>
      </c>
      <c r="AJ386" s="95" t="s">
        <v>131</v>
      </c>
      <c r="AK386" s="369" t="s">
        <v>1122</v>
      </c>
      <c r="AL386" s="369" t="s">
        <v>830</v>
      </c>
      <c r="AM386" s="369" t="s">
        <v>209</v>
      </c>
      <c r="AN386" s="305"/>
      <c r="AO386" s="305"/>
      <c r="AP386" s="305"/>
      <c r="AQ386" s="291"/>
      <c r="AR386" s="305"/>
      <c r="AS386" s="305"/>
      <c r="AT386" s="91">
        <v>45716</v>
      </c>
      <c r="AU386" s="91">
        <v>45693</v>
      </c>
      <c r="AV386" s="91">
        <v>45698</v>
      </c>
      <c r="AW386" s="91">
        <v>45694</v>
      </c>
      <c r="AX386" s="305"/>
      <c r="AY386" s="305"/>
      <c r="AZ386" s="305"/>
      <c r="BA386" s="305"/>
      <c r="BB386" s="92"/>
      <c r="BC386" s="47"/>
      <c r="BD386" s="49" t="s">
        <v>816</v>
      </c>
      <c r="BE386" s="70"/>
      <c r="BF386" s="367"/>
      <c r="BG386" s="367"/>
      <c r="BH386" s="64" t="e">
        <f>#REF!</f>
        <v>#REF!</v>
      </c>
      <c r="BL386" s="73"/>
    </row>
    <row r="387" spans="1:64" s="59" customFormat="1" ht="36" customHeight="1" x14ac:dyDescent="0.3">
      <c r="A387" s="156">
        <f t="shared" si="6"/>
        <v>382</v>
      </c>
      <c r="B387" s="90" t="s">
        <v>1353</v>
      </c>
      <c r="C387" s="305" t="s">
        <v>6</v>
      </c>
      <c r="D387" s="305" t="s">
        <v>1350</v>
      </c>
      <c r="E387" s="91">
        <v>45868</v>
      </c>
      <c r="F387" s="97">
        <v>45859</v>
      </c>
      <c r="G387" s="91"/>
      <c r="H387" s="91"/>
      <c r="I387" s="305" t="s">
        <v>26</v>
      </c>
      <c r="J387" s="92" t="s">
        <v>1282</v>
      </c>
      <c r="K387" s="92" t="s">
        <v>1347</v>
      </c>
      <c r="L387" s="305" t="s">
        <v>1057</v>
      </c>
      <c r="M387" s="369" t="s">
        <v>65</v>
      </c>
      <c r="N387" s="305" t="s">
        <v>127</v>
      </c>
      <c r="O387" s="305" t="s">
        <v>1073</v>
      </c>
      <c r="P387" s="158"/>
      <c r="Q387" s="305">
        <v>3.7</v>
      </c>
      <c r="R387" s="305"/>
      <c r="S387" s="305">
        <v>100</v>
      </c>
      <c r="T387" s="305">
        <v>9.5</v>
      </c>
      <c r="U387" s="305"/>
      <c r="V387" s="305" t="s">
        <v>127</v>
      </c>
      <c r="W387" s="305"/>
      <c r="X387" s="305" t="s">
        <v>150</v>
      </c>
      <c r="Y387" s="305" t="s">
        <v>127</v>
      </c>
      <c r="Z387" s="305"/>
      <c r="AA387" s="305"/>
      <c r="AB387" s="369" t="s">
        <v>215</v>
      </c>
      <c r="AC387" s="92" t="s">
        <v>1354</v>
      </c>
      <c r="AD387" s="369" t="s">
        <v>152</v>
      </c>
      <c r="AE387" s="118">
        <v>45838</v>
      </c>
      <c r="AF387" s="118"/>
      <c r="AG387" s="118">
        <v>45762</v>
      </c>
      <c r="AH387" s="93">
        <v>45838</v>
      </c>
      <c r="AI387" s="264">
        <v>45809</v>
      </c>
      <c r="AJ387" s="95" t="s">
        <v>131</v>
      </c>
      <c r="AK387" s="369" t="s">
        <v>1060</v>
      </c>
      <c r="AL387" s="369" t="s">
        <v>183</v>
      </c>
      <c r="AM387" s="369" t="s">
        <v>209</v>
      </c>
      <c r="AN387" s="305"/>
      <c r="AO387" s="305"/>
      <c r="AP387" s="305"/>
      <c r="AQ387" s="291"/>
      <c r="AR387" s="305"/>
      <c r="AS387" s="305"/>
      <c r="AT387" s="91">
        <v>45818</v>
      </c>
      <c r="AU387" s="91">
        <v>45770</v>
      </c>
      <c r="AV387" s="91">
        <v>45793</v>
      </c>
      <c r="AW387" s="91">
        <v>45706</v>
      </c>
      <c r="AX387" s="305"/>
      <c r="AY387" s="305"/>
      <c r="AZ387" s="91">
        <v>45808</v>
      </c>
      <c r="BA387" s="91"/>
      <c r="BB387" s="92"/>
      <c r="BC387" s="47"/>
      <c r="BD387" s="49" t="s">
        <v>816</v>
      </c>
      <c r="BE387" s="70"/>
      <c r="BF387" s="367"/>
      <c r="BG387" s="367"/>
      <c r="BH387" s="64" t="e">
        <f>#REF!</f>
        <v>#REF!</v>
      </c>
      <c r="BL387" s="73"/>
    </row>
    <row r="388" spans="1:64" s="59" customFormat="1" ht="36" customHeight="1" x14ac:dyDescent="0.3">
      <c r="A388" s="305">
        <f t="shared" si="6"/>
        <v>383</v>
      </c>
      <c r="B388" s="90" t="s">
        <v>1355</v>
      </c>
      <c r="C388" s="305" t="s">
        <v>6</v>
      </c>
      <c r="D388" s="305" t="s">
        <v>262</v>
      </c>
      <c r="E388" s="91"/>
      <c r="F388" s="97"/>
      <c r="G388" s="91"/>
      <c r="H388" s="91"/>
      <c r="I388" s="305" t="s">
        <v>26</v>
      </c>
      <c r="J388" s="92" t="s">
        <v>1356</v>
      </c>
      <c r="K388" s="92" t="s">
        <v>1357</v>
      </c>
      <c r="L388" s="305" t="s">
        <v>1057</v>
      </c>
      <c r="M388" s="369" t="s">
        <v>120</v>
      </c>
      <c r="N388" s="305" t="s">
        <v>127</v>
      </c>
      <c r="O388" s="305"/>
      <c r="P388" s="305"/>
      <c r="Q388" s="305"/>
      <c r="R388" s="305"/>
      <c r="S388" s="305"/>
      <c r="T388" s="305">
        <v>13.7</v>
      </c>
      <c r="U388" s="305"/>
      <c r="V388" s="305"/>
      <c r="W388" s="305"/>
      <c r="X388" s="305" t="s">
        <v>150</v>
      </c>
      <c r="Y388" s="305"/>
      <c r="Z388" s="305"/>
      <c r="AA388" s="305" t="s">
        <v>214</v>
      </c>
      <c r="AB388" s="369" t="s">
        <v>215</v>
      </c>
      <c r="AC388" s="92" t="s">
        <v>1358</v>
      </c>
      <c r="AD388" s="369" t="s">
        <v>199</v>
      </c>
      <c r="AE388" s="118"/>
      <c r="AF388" s="118"/>
      <c r="AG388" s="118"/>
      <c r="AH388" s="93"/>
      <c r="AI388" s="94">
        <v>0</v>
      </c>
      <c r="AJ388" s="95" t="s">
        <v>264</v>
      </c>
      <c r="AK388" s="369"/>
      <c r="AL388" s="369"/>
      <c r="AM388" s="369"/>
      <c r="AN388" s="305"/>
      <c r="AO388" s="305"/>
      <c r="AP388" s="305"/>
      <c r="AQ388" s="291"/>
      <c r="AR388" s="305"/>
      <c r="AS388" s="305"/>
      <c r="AT388" s="305"/>
      <c r="AU388" s="305"/>
      <c r="AV388" s="305"/>
      <c r="AW388" s="305"/>
      <c r="AX388" s="305"/>
      <c r="AY388" s="305"/>
      <c r="AZ388" s="305"/>
      <c r="BA388" s="305"/>
      <c r="BB388" s="92"/>
      <c r="BC388" s="47"/>
      <c r="BD388" s="49" t="s">
        <v>816</v>
      </c>
      <c r="BE388" s="70"/>
      <c r="BF388" s="367"/>
      <c r="BG388" s="367"/>
      <c r="BH388" s="64" t="e">
        <f>#REF!</f>
        <v>#REF!</v>
      </c>
      <c r="BL388" s="73"/>
    </row>
    <row r="389" spans="1:64" s="59" customFormat="1" ht="36" customHeight="1" x14ac:dyDescent="0.3">
      <c r="A389" s="305">
        <f t="shared" si="6"/>
        <v>384</v>
      </c>
      <c r="B389" s="90" t="s">
        <v>1359</v>
      </c>
      <c r="C389" s="305" t="s">
        <v>6</v>
      </c>
      <c r="D389" s="305" t="s">
        <v>262</v>
      </c>
      <c r="E389" s="91"/>
      <c r="F389" s="97"/>
      <c r="G389" s="91"/>
      <c r="H389" s="91"/>
      <c r="I389" s="305" t="s">
        <v>26</v>
      </c>
      <c r="J389" s="92" t="s">
        <v>1356</v>
      </c>
      <c r="K389" s="92" t="s">
        <v>1357</v>
      </c>
      <c r="L389" s="305" t="s">
        <v>1057</v>
      </c>
      <c r="M389" s="369" t="s">
        <v>120</v>
      </c>
      <c r="N389" s="305" t="s">
        <v>127</v>
      </c>
      <c r="O389" s="305"/>
      <c r="P389" s="305"/>
      <c r="Q389" s="305"/>
      <c r="R389" s="305"/>
      <c r="S389" s="305"/>
      <c r="T389" s="305"/>
      <c r="U389" s="305"/>
      <c r="V389" s="305"/>
      <c r="W389" s="305"/>
      <c r="X389" s="305"/>
      <c r="Y389" s="305"/>
      <c r="Z389" s="305"/>
      <c r="AA389" s="305"/>
      <c r="AB389" s="369"/>
      <c r="AC389" s="92" t="s">
        <v>1360</v>
      </c>
      <c r="AD389" s="369" t="s">
        <v>1361</v>
      </c>
      <c r="AE389" s="118"/>
      <c r="AF389" s="118"/>
      <c r="AG389" s="118"/>
      <c r="AH389" s="93"/>
      <c r="AI389" s="94">
        <v>0</v>
      </c>
      <c r="AJ389" s="95" t="s">
        <v>264</v>
      </c>
      <c r="AK389" s="369"/>
      <c r="AL389" s="369"/>
      <c r="AM389" s="369"/>
      <c r="AN389" s="305"/>
      <c r="AO389" s="305"/>
      <c r="AP389" s="305"/>
      <c r="AQ389" s="291"/>
      <c r="AR389" s="305"/>
      <c r="AS389" s="305"/>
      <c r="AT389" s="305"/>
      <c r="AU389" s="305"/>
      <c r="AV389" s="305"/>
      <c r="AW389" s="305"/>
      <c r="AX389" s="305"/>
      <c r="AY389" s="305"/>
      <c r="AZ389" s="305"/>
      <c r="BA389" s="305"/>
      <c r="BB389" s="92"/>
      <c r="BC389" s="47"/>
      <c r="BD389" s="49" t="s">
        <v>816</v>
      </c>
      <c r="BE389" s="70"/>
      <c r="BF389" s="367"/>
      <c r="BG389" s="367"/>
      <c r="BH389" s="64" t="e">
        <f>#REF!</f>
        <v>#REF!</v>
      </c>
      <c r="BL389" s="73"/>
    </row>
    <row r="390" spans="1:64" s="59" customFormat="1" ht="36" customHeight="1" x14ac:dyDescent="0.3">
      <c r="A390" s="305">
        <f t="shared" si="6"/>
        <v>385</v>
      </c>
      <c r="B390" s="90" t="s">
        <v>1362</v>
      </c>
      <c r="C390" s="305" t="s">
        <v>6</v>
      </c>
      <c r="D390" s="305" t="s">
        <v>262</v>
      </c>
      <c r="E390" s="91"/>
      <c r="F390" s="97"/>
      <c r="G390" s="91"/>
      <c r="H390" s="91"/>
      <c r="I390" s="305" t="s">
        <v>26</v>
      </c>
      <c r="J390" s="92" t="s">
        <v>1356</v>
      </c>
      <c r="K390" s="92" t="s">
        <v>1357</v>
      </c>
      <c r="L390" s="305" t="s">
        <v>1057</v>
      </c>
      <c r="M390" s="369" t="s">
        <v>120</v>
      </c>
      <c r="N390" s="305" t="s">
        <v>127</v>
      </c>
      <c r="O390" s="305"/>
      <c r="P390" s="305"/>
      <c r="Q390" s="305"/>
      <c r="R390" s="305"/>
      <c r="S390" s="305"/>
      <c r="T390" s="305"/>
      <c r="U390" s="305"/>
      <c r="V390" s="305"/>
      <c r="W390" s="305"/>
      <c r="X390" s="305"/>
      <c r="Y390" s="305"/>
      <c r="Z390" s="305"/>
      <c r="AA390" s="305"/>
      <c r="AB390" s="369"/>
      <c r="AC390" s="92" t="s">
        <v>1363</v>
      </c>
      <c r="AD390" s="369" t="s">
        <v>1121</v>
      </c>
      <c r="AE390" s="118"/>
      <c r="AF390" s="118"/>
      <c r="AG390" s="118"/>
      <c r="AH390" s="93"/>
      <c r="AI390" s="94">
        <v>0</v>
      </c>
      <c r="AJ390" s="95" t="s">
        <v>264</v>
      </c>
      <c r="AK390" s="369"/>
      <c r="AL390" s="369"/>
      <c r="AM390" s="369"/>
      <c r="AN390" s="305"/>
      <c r="AO390" s="305"/>
      <c r="AP390" s="305"/>
      <c r="AQ390" s="291"/>
      <c r="AR390" s="305"/>
      <c r="AS390" s="305"/>
      <c r="AT390" s="305"/>
      <c r="AU390" s="305"/>
      <c r="AV390" s="305"/>
      <c r="AW390" s="305"/>
      <c r="AX390" s="305"/>
      <c r="AY390" s="305"/>
      <c r="AZ390" s="305"/>
      <c r="BA390" s="305"/>
      <c r="BB390" s="92"/>
      <c r="BC390" s="47"/>
      <c r="BD390" s="49" t="s">
        <v>816</v>
      </c>
      <c r="BE390" s="70"/>
      <c r="BF390" s="367"/>
      <c r="BG390" s="367"/>
      <c r="BH390" s="64" t="e">
        <f>#REF!</f>
        <v>#REF!</v>
      </c>
      <c r="BL390" s="73"/>
    </row>
    <row r="391" spans="1:64" s="59" customFormat="1" ht="36" customHeight="1" x14ac:dyDescent="0.3">
      <c r="A391" s="305">
        <f t="shared" si="6"/>
        <v>386</v>
      </c>
      <c r="B391" s="90" t="s">
        <v>1364</v>
      </c>
      <c r="C391" s="305" t="s">
        <v>6</v>
      </c>
      <c r="D391" s="305" t="s">
        <v>262</v>
      </c>
      <c r="E391" s="91"/>
      <c r="F391" s="97"/>
      <c r="G391" s="91"/>
      <c r="H391" s="91"/>
      <c r="I391" s="305" t="s">
        <v>26</v>
      </c>
      <c r="J391" s="92" t="s">
        <v>1356</v>
      </c>
      <c r="K391" s="92" t="s">
        <v>1357</v>
      </c>
      <c r="L391" s="305" t="s">
        <v>1057</v>
      </c>
      <c r="M391" s="369" t="s">
        <v>120</v>
      </c>
      <c r="N391" s="305" t="s">
        <v>127</v>
      </c>
      <c r="O391" s="305"/>
      <c r="P391" s="305"/>
      <c r="Q391" s="305"/>
      <c r="R391" s="305"/>
      <c r="S391" s="305"/>
      <c r="T391" s="305">
        <v>13.7</v>
      </c>
      <c r="U391" s="305"/>
      <c r="V391" s="305"/>
      <c r="W391" s="305"/>
      <c r="X391" s="305" t="s">
        <v>150</v>
      </c>
      <c r="Y391" s="305"/>
      <c r="Z391" s="305"/>
      <c r="AA391" s="305"/>
      <c r="AB391" s="369" t="s">
        <v>215</v>
      </c>
      <c r="AC391" s="92" t="s">
        <v>1365</v>
      </c>
      <c r="AD391" s="369" t="s">
        <v>207</v>
      </c>
      <c r="AE391" s="118"/>
      <c r="AF391" s="118"/>
      <c r="AG391" s="118"/>
      <c r="AH391" s="93"/>
      <c r="AI391" s="94">
        <v>0</v>
      </c>
      <c r="AJ391" s="95" t="s">
        <v>264</v>
      </c>
      <c r="AK391" s="369"/>
      <c r="AL391" s="369"/>
      <c r="AM391" s="369"/>
      <c r="AN391" s="305"/>
      <c r="AO391" s="305"/>
      <c r="AP391" s="305"/>
      <c r="AQ391" s="291"/>
      <c r="AR391" s="305"/>
      <c r="AS391" s="305"/>
      <c r="AT391" s="305"/>
      <c r="AU391" s="305"/>
      <c r="AV391" s="305"/>
      <c r="AW391" s="305"/>
      <c r="AX391" s="305"/>
      <c r="AY391" s="305"/>
      <c r="AZ391" s="305"/>
      <c r="BA391" s="305"/>
      <c r="BB391" s="92"/>
      <c r="BC391" s="47"/>
      <c r="BD391" s="49" t="s">
        <v>816</v>
      </c>
      <c r="BE391" s="70"/>
      <c r="BF391" s="367"/>
      <c r="BG391" s="367"/>
      <c r="BH391" s="64" t="e">
        <f>#REF!</f>
        <v>#REF!</v>
      </c>
      <c r="BL391" s="73"/>
    </row>
    <row r="392" spans="1:64" s="59" customFormat="1" ht="36" customHeight="1" x14ac:dyDescent="0.3">
      <c r="A392" s="305">
        <f t="shared" si="6"/>
        <v>387</v>
      </c>
      <c r="B392" s="90" t="s">
        <v>1366</v>
      </c>
      <c r="C392" s="305" t="s">
        <v>6</v>
      </c>
      <c r="D392" s="305" t="s">
        <v>262</v>
      </c>
      <c r="E392" s="91"/>
      <c r="F392" s="97"/>
      <c r="G392" s="91"/>
      <c r="H392" s="91"/>
      <c r="I392" s="305" t="s">
        <v>26</v>
      </c>
      <c r="J392" s="92" t="s">
        <v>1367</v>
      </c>
      <c r="K392" s="92" t="s">
        <v>1368</v>
      </c>
      <c r="L392" s="305" t="s">
        <v>1057</v>
      </c>
      <c r="M392" s="369" t="s">
        <v>120</v>
      </c>
      <c r="N392" s="305" t="s">
        <v>127</v>
      </c>
      <c r="O392" s="305"/>
      <c r="P392" s="305"/>
      <c r="Q392" s="305"/>
      <c r="R392" s="305"/>
      <c r="S392" s="305"/>
      <c r="T392" s="305">
        <v>11.2</v>
      </c>
      <c r="U392" s="305"/>
      <c r="V392" s="305"/>
      <c r="W392" s="305"/>
      <c r="X392" s="305" t="s">
        <v>150</v>
      </c>
      <c r="Y392" s="305"/>
      <c r="Z392" s="305" t="s">
        <v>127</v>
      </c>
      <c r="AA392" s="305" t="s">
        <v>214</v>
      </c>
      <c r="AB392" s="369" t="s">
        <v>215</v>
      </c>
      <c r="AC392" s="92" t="s">
        <v>1369</v>
      </c>
      <c r="AD392" s="369" t="s">
        <v>199</v>
      </c>
      <c r="AE392" s="118"/>
      <c r="AF392" s="118"/>
      <c r="AG392" s="118"/>
      <c r="AH392" s="93"/>
      <c r="AI392" s="94">
        <v>0</v>
      </c>
      <c r="AJ392" s="95" t="s">
        <v>264</v>
      </c>
      <c r="AK392" s="369"/>
      <c r="AL392" s="369"/>
      <c r="AM392" s="369"/>
      <c r="AN392" s="305"/>
      <c r="AO392" s="305"/>
      <c r="AP392" s="305"/>
      <c r="AQ392" s="291"/>
      <c r="AR392" s="305"/>
      <c r="AS392" s="305"/>
      <c r="AT392" s="305"/>
      <c r="AU392" s="305"/>
      <c r="AV392" s="305"/>
      <c r="AW392" s="305"/>
      <c r="AX392" s="305"/>
      <c r="AY392" s="305"/>
      <c r="AZ392" s="305"/>
      <c r="BA392" s="305"/>
      <c r="BB392" s="92" t="s">
        <v>1341</v>
      </c>
      <c r="BC392" s="47"/>
      <c r="BD392" s="49" t="s">
        <v>816</v>
      </c>
      <c r="BE392" s="70"/>
      <c r="BF392" s="367"/>
      <c r="BG392" s="367"/>
      <c r="BH392" s="64" t="e">
        <f>#REF!</f>
        <v>#REF!</v>
      </c>
      <c r="BL392" s="73"/>
    </row>
    <row r="393" spans="1:64" s="59" customFormat="1" ht="36" customHeight="1" x14ac:dyDescent="0.3">
      <c r="A393" s="305">
        <f t="shared" ref="A393:A456" si="7">ROW(B393)-ROW($B$5)</f>
        <v>388</v>
      </c>
      <c r="B393" s="90" t="s">
        <v>1370</v>
      </c>
      <c r="C393" s="305" t="s">
        <v>6</v>
      </c>
      <c r="D393" s="305" t="s">
        <v>262</v>
      </c>
      <c r="E393" s="91"/>
      <c r="F393" s="97"/>
      <c r="G393" s="91"/>
      <c r="H393" s="91"/>
      <c r="I393" s="305" t="s">
        <v>26</v>
      </c>
      <c r="J393" s="92" t="s">
        <v>1367</v>
      </c>
      <c r="K393" s="92" t="s">
        <v>1368</v>
      </c>
      <c r="L393" s="305" t="s">
        <v>1057</v>
      </c>
      <c r="M393" s="369" t="s">
        <v>120</v>
      </c>
      <c r="N393" s="305" t="s">
        <v>127</v>
      </c>
      <c r="O393" s="305"/>
      <c r="P393" s="305"/>
      <c r="Q393" s="305"/>
      <c r="R393" s="305"/>
      <c r="S393" s="305"/>
      <c r="T393" s="305"/>
      <c r="U393" s="305"/>
      <c r="V393" s="305"/>
      <c r="W393" s="305"/>
      <c r="X393" s="305"/>
      <c r="Y393" s="305"/>
      <c r="Z393" s="305"/>
      <c r="AA393" s="305"/>
      <c r="AB393" s="369"/>
      <c r="AC393" s="92" t="s">
        <v>1371</v>
      </c>
      <c r="AD393" s="369" t="s">
        <v>1121</v>
      </c>
      <c r="AE393" s="118"/>
      <c r="AF393" s="118"/>
      <c r="AG393" s="118"/>
      <c r="AH393" s="93"/>
      <c r="AI393" s="94">
        <v>0</v>
      </c>
      <c r="AJ393" s="95" t="s">
        <v>264</v>
      </c>
      <c r="AK393" s="369"/>
      <c r="AL393" s="369"/>
      <c r="AM393" s="369"/>
      <c r="AN393" s="305"/>
      <c r="AO393" s="305"/>
      <c r="AP393" s="305"/>
      <c r="AQ393" s="291"/>
      <c r="AR393" s="305"/>
      <c r="AS393" s="305"/>
      <c r="AT393" s="305"/>
      <c r="AU393" s="305"/>
      <c r="AV393" s="305"/>
      <c r="AW393" s="305"/>
      <c r="AX393" s="305"/>
      <c r="AY393" s="305"/>
      <c r="AZ393" s="305"/>
      <c r="BA393" s="305"/>
      <c r="BB393" s="92"/>
      <c r="BC393" s="47"/>
      <c r="BD393" s="49" t="s">
        <v>816</v>
      </c>
      <c r="BE393" s="70"/>
      <c r="BF393" s="367"/>
      <c r="BG393" s="367"/>
      <c r="BH393" s="64" t="e">
        <f>#REF!</f>
        <v>#REF!</v>
      </c>
      <c r="BL393" s="73"/>
    </row>
    <row r="394" spans="1:64" s="59" customFormat="1" ht="36" customHeight="1" x14ac:dyDescent="0.3">
      <c r="A394" s="305">
        <f t="shared" si="7"/>
        <v>389</v>
      </c>
      <c r="B394" s="90" t="s">
        <v>1372</v>
      </c>
      <c r="C394" s="305" t="s">
        <v>6</v>
      </c>
      <c r="D394" s="305" t="s">
        <v>262</v>
      </c>
      <c r="E394" s="91"/>
      <c r="F394" s="97"/>
      <c r="G394" s="91"/>
      <c r="H394" s="91"/>
      <c r="I394" s="305" t="s">
        <v>26</v>
      </c>
      <c r="J394" s="92" t="s">
        <v>1367</v>
      </c>
      <c r="K394" s="92" t="s">
        <v>1368</v>
      </c>
      <c r="L394" s="305" t="s">
        <v>1057</v>
      </c>
      <c r="M394" s="369" t="s">
        <v>120</v>
      </c>
      <c r="N394" s="305" t="s">
        <v>127</v>
      </c>
      <c r="O394" s="305"/>
      <c r="P394" s="305"/>
      <c r="Q394" s="305"/>
      <c r="R394" s="305"/>
      <c r="S394" s="305"/>
      <c r="T394" s="305">
        <v>11.2</v>
      </c>
      <c r="U394" s="305"/>
      <c r="V394" s="305"/>
      <c r="W394" s="305"/>
      <c r="X394" s="305" t="s">
        <v>142</v>
      </c>
      <c r="Y394" s="305"/>
      <c r="Z394" s="305"/>
      <c r="AA394" s="305"/>
      <c r="AB394" s="369" t="s">
        <v>215</v>
      </c>
      <c r="AC394" s="92" t="s">
        <v>1373</v>
      </c>
      <c r="AD394" s="163" t="s">
        <v>1327</v>
      </c>
      <c r="AE394" s="118"/>
      <c r="AF394" s="118"/>
      <c r="AG394" s="118"/>
      <c r="AH394" s="93"/>
      <c r="AI394" s="94">
        <v>0</v>
      </c>
      <c r="AJ394" s="95" t="s">
        <v>264</v>
      </c>
      <c r="AK394" s="369"/>
      <c r="AL394" s="369"/>
      <c r="AM394" s="369"/>
      <c r="AN394" s="305"/>
      <c r="AO394" s="305"/>
      <c r="AP394" s="305"/>
      <c r="AQ394" s="291"/>
      <c r="AR394" s="305"/>
      <c r="AS394" s="305"/>
      <c r="AT394" s="305"/>
      <c r="AU394" s="305"/>
      <c r="AV394" s="305"/>
      <c r="AW394" s="305"/>
      <c r="AX394" s="305"/>
      <c r="AY394" s="305"/>
      <c r="AZ394" s="305"/>
      <c r="BA394" s="305"/>
      <c r="BB394" s="92" t="s">
        <v>1341</v>
      </c>
      <c r="BC394" s="47"/>
      <c r="BD394" s="49" t="s">
        <v>816</v>
      </c>
      <c r="BE394" s="70"/>
      <c r="BF394" s="367"/>
      <c r="BG394" s="367"/>
      <c r="BH394" s="64" t="e">
        <f>#REF!</f>
        <v>#REF!</v>
      </c>
      <c r="BL394" s="73"/>
    </row>
    <row r="395" spans="1:64" s="59" customFormat="1" ht="36" customHeight="1" x14ac:dyDescent="0.3">
      <c r="A395" s="305">
        <f t="shared" si="7"/>
        <v>390</v>
      </c>
      <c r="B395" s="90" t="s">
        <v>1374</v>
      </c>
      <c r="C395" s="305" t="s">
        <v>6</v>
      </c>
      <c r="D395" s="305" t="s">
        <v>262</v>
      </c>
      <c r="E395" s="91"/>
      <c r="F395" s="97"/>
      <c r="G395" s="91"/>
      <c r="H395" s="91"/>
      <c r="I395" s="305" t="s">
        <v>26</v>
      </c>
      <c r="J395" s="92" t="s">
        <v>1375</v>
      </c>
      <c r="K395" s="92" t="s">
        <v>1376</v>
      </c>
      <c r="L395" s="305" t="s">
        <v>1057</v>
      </c>
      <c r="M395" s="369" t="s">
        <v>120</v>
      </c>
      <c r="N395" s="305" t="s">
        <v>127</v>
      </c>
      <c r="O395" s="305"/>
      <c r="P395" s="158" t="s">
        <v>1073</v>
      </c>
      <c r="Q395" s="305">
        <v>2.2000000000000002</v>
      </c>
      <c r="R395" s="305"/>
      <c r="S395" s="305">
        <v>50</v>
      </c>
      <c r="T395" s="305">
        <v>12.4</v>
      </c>
      <c r="U395" s="305"/>
      <c r="V395" s="305"/>
      <c r="W395" s="305"/>
      <c r="X395" s="305" t="s">
        <v>150</v>
      </c>
      <c r="Y395" s="305" t="s">
        <v>127</v>
      </c>
      <c r="Z395" s="305"/>
      <c r="AA395" s="305" t="s">
        <v>214</v>
      </c>
      <c r="AB395" s="369" t="s">
        <v>215</v>
      </c>
      <c r="AC395" s="92" t="s">
        <v>1377</v>
      </c>
      <c r="AD395" s="369" t="s">
        <v>284</v>
      </c>
      <c r="AE395" s="118"/>
      <c r="AF395" s="118"/>
      <c r="AG395" s="118"/>
      <c r="AH395" s="93"/>
      <c r="AI395" s="264"/>
      <c r="AJ395" s="95" t="s">
        <v>264</v>
      </c>
      <c r="AK395" s="369" t="s">
        <v>1060</v>
      </c>
      <c r="AL395" s="369" t="s">
        <v>183</v>
      </c>
      <c r="AM395" s="369" t="s">
        <v>209</v>
      </c>
      <c r="AN395" s="305"/>
      <c r="AO395" s="305"/>
      <c r="AP395" s="305"/>
      <c r="AQ395" s="291"/>
      <c r="AR395" s="305"/>
      <c r="AS395" s="305"/>
      <c r="AT395" s="305"/>
      <c r="AU395" s="305"/>
      <c r="AV395" s="305"/>
      <c r="AW395" s="305"/>
      <c r="AX395" s="305"/>
      <c r="AY395" s="305"/>
      <c r="AZ395" s="305"/>
      <c r="BA395" s="305"/>
      <c r="BB395" s="92"/>
      <c r="BC395" s="47"/>
      <c r="BD395" s="49" t="s">
        <v>816</v>
      </c>
      <c r="BE395" s="70"/>
      <c r="BF395" s="367"/>
      <c r="BG395" s="367"/>
      <c r="BH395" s="64" t="e">
        <f>#REF!</f>
        <v>#REF!</v>
      </c>
      <c r="BL395" s="73"/>
    </row>
    <row r="396" spans="1:64" s="59" customFormat="1" ht="36" customHeight="1" x14ac:dyDescent="0.3">
      <c r="A396" s="305">
        <f t="shared" si="7"/>
        <v>391</v>
      </c>
      <c r="B396" s="90" t="s">
        <v>1378</v>
      </c>
      <c r="C396" s="305" t="s">
        <v>6</v>
      </c>
      <c r="D396" s="305" t="s">
        <v>262</v>
      </c>
      <c r="E396" s="91"/>
      <c r="F396" s="97"/>
      <c r="G396" s="91"/>
      <c r="H396" s="91"/>
      <c r="I396" s="305" t="s">
        <v>26</v>
      </c>
      <c r="J396" s="92" t="s">
        <v>1375</v>
      </c>
      <c r="K396" s="92" t="s">
        <v>1376</v>
      </c>
      <c r="L396" s="305" t="s">
        <v>1057</v>
      </c>
      <c r="M396" s="369" t="s">
        <v>120</v>
      </c>
      <c r="N396" s="305" t="s">
        <v>127</v>
      </c>
      <c r="O396" s="305"/>
      <c r="P396" s="158" t="s">
        <v>1073</v>
      </c>
      <c r="Q396" s="305">
        <v>2.2000000000000002</v>
      </c>
      <c r="R396" s="305"/>
      <c r="S396" s="305">
        <v>50</v>
      </c>
      <c r="T396" s="305">
        <v>12.4</v>
      </c>
      <c r="U396" s="305"/>
      <c r="V396" s="305"/>
      <c r="W396" s="305"/>
      <c r="X396" s="305" t="s">
        <v>150</v>
      </c>
      <c r="Y396" s="305" t="s">
        <v>127</v>
      </c>
      <c r="Z396" s="305"/>
      <c r="AA396" s="305"/>
      <c r="AB396" s="369" t="s">
        <v>215</v>
      </c>
      <c r="AC396" s="92" t="s">
        <v>1379</v>
      </c>
      <c r="AD396" s="369" t="s">
        <v>152</v>
      </c>
      <c r="AE396" s="118"/>
      <c r="AF396" s="118"/>
      <c r="AG396" s="118"/>
      <c r="AH396" s="93"/>
      <c r="AI396" s="264"/>
      <c r="AJ396" s="95" t="s">
        <v>264</v>
      </c>
      <c r="AK396" s="369" t="s">
        <v>1060</v>
      </c>
      <c r="AL396" s="369" t="s">
        <v>183</v>
      </c>
      <c r="AM396" s="369" t="s">
        <v>209</v>
      </c>
      <c r="AN396" s="305"/>
      <c r="AO396" s="305"/>
      <c r="AP396" s="305"/>
      <c r="AQ396" s="291"/>
      <c r="AR396" s="305"/>
      <c r="AS396" s="305"/>
      <c r="AT396" s="305"/>
      <c r="AU396" s="305"/>
      <c r="AV396" s="305"/>
      <c r="AW396" s="305"/>
      <c r="AX396" s="305"/>
      <c r="AY396" s="305"/>
      <c r="AZ396" s="305"/>
      <c r="BA396" s="305"/>
      <c r="BB396" s="92"/>
      <c r="BC396" s="47"/>
      <c r="BD396" s="49" t="s">
        <v>816</v>
      </c>
      <c r="BE396" s="70"/>
      <c r="BF396" s="367"/>
      <c r="BG396" s="367"/>
      <c r="BH396" s="64" t="e">
        <f>#REF!</f>
        <v>#REF!</v>
      </c>
      <c r="BL396" s="73"/>
    </row>
    <row r="397" spans="1:64" s="59" customFormat="1" ht="36" customHeight="1" x14ac:dyDescent="0.3">
      <c r="A397" s="305">
        <f t="shared" si="7"/>
        <v>392</v>
      </c>
      <c r="B397" s="90" t="s">
        <v>1380</v>
      </c>
      <c r="C397" s="305" t="s">
        <v>6</v>
      </c>
      <c r="D397" s="305" t="s">
        <v>262</v>
      </c>
      <c r="E397" s="91"/>
      <c r="F397" s="97"/>
      <c r="G397" s="91"/>
      <c r="H397" s="91"/>
      <c r="I397" s="305" t="s">
        <v>26</v>
      </c>
      <c r="J397" s="92" t="s">
        <v>1375</v>
      </c>
      <c r="K397" s="92" t="s">
        <v>1381</v>
      </c>
      <c r="L397" s="305" t="s">
        <v>1057</v>
      </c>
      <c r="M397" s="369" t="s">
        <v>120</v>
      </c>
      <c r="N397" s="305" t="s">
        <v>127</v>
      </c>
      <c r="O397" s="305"/>
      <c r="P397" s="305"/>
      <c r="Q397" s="305"/>
      <c r="R397" s="305"/>
      <c r="S397" s="305"/>
      <c r="T397" s="305">
        <v>12.4</v>
      </c>
      <c r="U397" s="305"/>
      <c r="V397" s="305"/>
      <c r="W397" s="305"/>
      <c r="X397" s="305" t="s">
        <v>150</v>
      </c>
      <c r="Y397" s="305"/>
      <c r="Z397" s="305"/>
      <c r="AA397" s="305" t="s">
        <v>214</v>
      </c>
      <c r="AB397" s="369" t="s">
        <v>215</v>
      </c>
      <c r="AC397" s="92" t="s">
        <v>1382</v>
      </c>
      <c r="AD397" s="369" t="s">
        <v>199</v>
      </c>
      <c r="AE397" s="118"/>
      <c r="AF397" s="118"/>
      <c r="AG397" s="118"/>
      <c r="AH397" s="93"/>
      <c r="AI397" s="94">
        <v>0</v>
      </c>
      <c r="AJ397" s="95" t="s">
        <v>264</v>
      </c>
      <c r="AK397" s="369"/>
      <c r="AL397" s="369"/>
      <c r="AM397" s="369"/>
      <c r="AN397" s="305"/>
      <c r="AO397" s="305"/>
      <c r="AP397" s="305"/>
      <c r="AQ397" s="291"/>
      <c r="AR397" s="305"/>
      <c r="AS397" s="305"/>
      <c r="AT397" s="305"/>
      <c r="AU397" s="305"/>
      <c r="AV397" s="305"/>
      <c r="AW397" s="305"/>
      <c r="AX397" s="305"/>
      <c r="AY397" s="305"/>
      <c r="AZ397" s="305"/>
      <c r="BA397" s="305"/>
      <c r="BB397" s="92"/>
      <c r="BC397" s="47"/>
      <c r="BD397" s="49" t="s">
        <v>816</v>
      </c>
      <c r="BE397" s="70"/>
      <c r="BF397" s="367"/>
      <c r="BG397" s="367"/>
      <c r="BH397" s="64" t="e">
        <f>#REF!</f>
        <v>#REF!</v>
      </c>
      <c r="BL397" s="73"/>
    </row>
    <row r="398" spans="1:64" s="59" customFormat="1" ht="36" customHeight="1" x14ac:dyDescent="0.3">
      <c r="A398" s="305">
        <f t="shared" si="7"/>
        <v>393</v>
      </c>
      <c r="B398" s="90" t="s">
        <v>1383</v>
      </c>
      <c r="C398" s="305" t="s">
        <v>6</v>
      </c>
      <c r="D398" s="305" t="s">
        <v>262</v>
      </c>
      <c r="E398" s="91"/>
      <c r="F398" s="97"/>
      <c r="G398" s="91"/>
      <c r="H398" s="91"/>
      <c r="I398" s="305" t="s">
        <v>26</v>
      </c>
      <c r="J398" s="92" t="s">
        <v>1375</v>
      </c>
      <c r="K398" s="92" t="s">
        <v>1381</v>
      </c>
      <c r="L398" s="305" t="s">
        <v>1057</v>
      </c>
      <c r="M398" s="369" t="s">
        <v>120</v>
      </c>
      <c r="N398" s="305" t="s">
        <v>127</v>
      </c>
      <c r="O398" s="305"/>
      <c r="P398" s="158" t="s">
        <v>1073</v>
      </c>
      <c r="Q398" s="305">
        <v>2.2000000000000002</v>
      </c>
      <c r="R398" s="305"/>
      <c r="S398" s="305">
        <v>50</v>
      </c>
      <c r="T398" s="305">
        <v>12.4</v>
      </c>
      <c r="U398" s="305"/>
      <c r="V398" s="305"/>
      <c r="W398" s="305"/>
      <c r="X398" s="305" t="s">
        <v>150</v>
      </c>
      <c r="Y398" s="305" t="s">
        <v>127</v>
      </c>
      <c r="Z398" s="305"/>
      <c r="AA398" s="305"/>
      <c r="AB398" s="369" t="s">
        <v>215</v>
      </c>
      <c r="AC398" s="92" t="s">
        <v>1384</v>
      </c>
      <c r="AD398" s="369" t="s">
        <v>152</v>
      </c>
      <c r="AE398" s="118"/>
      <c r="AF398" s="118"/>
      <c r="AG398" s="118"/>
      <c r="AH398" s="93"/>
      <c r="AI398" s="264"/>
      <c r="AJ398" s="95" t="s">
        <v>264</v>
      </c>
      <c r="AK398" s="369" t="s">
        <v>1060</v>
      </c>
      <c r="AL398" s="369" t="s">
        <v>183</v>
      </c>
      <c r="AM398" s="369" t="s">
        <v>209</v>
      </c>
      <c r="AN398" s="305"/>
      <c r="AO398" s="305"/>
      <c r="AP398" s="305"/>
      <c r="AQ398" s="291"/>
      <c r="AR398" s="305"/>
      <c r="AS398" s="305"/>
      <c r="AT398" s="305"/>
      <c r="AU398" s="305"/>
      <c r="AV398" s="305"/>
      <c r="AW398" s="305"/>
      <c r="AX398" s="305"/>
      <c r="AY398" s="305"/>
      <c r="AZ398" s="305"/>
      <c r="BA398" s="305"/>
      <c r="BB398" s="92" t="s">
        <v>1385</v>
      </c>
      <c r="BC398" s="47"/>
      <c r="BD398" s="49" t="s">
        <v>816</v>
      </c>
      <c r="BE398" s="70"/>
      <c r="BF398" s="367"/>
      <c r="BG398" s="367"/>
      <c r="BH398" s="64" t="e">
        <f>#REF!</f>
        <v>#REF!</v>
      </c>
      <c r="BL398" s="73"/>
    </row>
    <row r="399" spans="1:64" s="59" customFormat="1" ht="36" customHeight="1" x14ac:dyDescent="0.3">
      <c r="A399" s="305">
        <f t="shared" si="7"/>
        <v>394</v>
      </c>
      <c r="B399" s="90" t="s">
        <v>1386</v>
      </c>
      <c r="C399" s="305" t="s">
        <v>6</v>
      </c>
      <c r="D399" s="305" t="s">
        <v>262</v>
      </c>
      <c r="E399" s="91"/>
      <c r="F399" s="97"/>
      <c r="G399" s="91"/>
      <c r="H399" s="91"/>
      <c r="I399" s="305" t="s">
        <v>26</v>
      </c>
      <c r="J399" s="92" t="s">
        <v>1387</v>
      </c>
      <c r="K399" s="92" t="s">
        <v>1388</v>
      </c>
      <c r="L399" s="305" t="s">
        <v>1057</v>
      </c>
      <c r="M399" s="369" t="s">
        <v>65</v>
      </c>
      <c r="N399" s="305" t="s">
        <v>127</v>
      </c>
      <c r="O399" s="305"/>
      <c r="P399" s="158" t="s">
        <v>1073</v>
      </c>
      <c r="Q399" s="305">
        <v>3.2</v>
      </c>
      <c r="R399" s="305"/>
      <c r="S399" s="305">
        <v>100</v>
      </c>
      <c r="T399" s="305">
        <v>11.2</v>
      </c>
      <c r="U399" s="305"/>
      <c r="V399" s="305"/>
      <c r="W399" s="305"/>
      <c r="X399" s="305"/>
      <c r="Y399" s="305" t="s">
        <v>127</v>
      </c>
      <c r="Z399" s="305"/>
      <c r="AA399" s="305" t="s">
        <v>214</v>
      </c>
      <c r="AB399" s="369" t="s">
        <v>215</v>
      </c>
      <c r="AC399" s="92" t="s">
        <v>1389</v>
      </c>
      <c r="AD399" s="369" t="s">
        <v>284</v>
      </c>
      <c r="AE399" s="118"/>
      <c r="AF399" s="118"/>
      <c r="AG399" s="118"/>
      <c r="AH399" s="93"/>
      <c r="AI399" s="264"/>
      <c r="AJ399" s="95" t="s">
        <v>264</v>
      </c>
      <c r="AK399" s="369" t="s">
        <v>1060</v>
      </c>
      <c r="AL399" s="369" t="s">
        <v>183</v>
      </c>
      <c r="AM399" s="369" t="s">
        <v>209</v>
      </c>
      <c r="AN399" s="305"/>
      <c r="AO399" s="305"/>
      <c r="AP399" s="305"/>
      <c r="AQ399" s="291"/>
      <c r="AR399" s="305"/>
      <c r="AS399" s="305"/>
      <c r="AT399" s="305"/>
      <c r="AU399" s="305"/>
      <c r="AV399" s="305"/>
      <c r="AW399" s="305"/>
      <c r="AX399" s="305"/>
      <c r="AY399" s="305"/>
      <c r="AZ399" s="305"/>
      <c r="BA399" s="305"/>
      <c r="BB399" s="92"/>
      <c r="BC399" s="47"/>
      <c r="BD399" s="49" t="s">
        <v>816</v>
      </c>
      <c r="BE399" s="70"/>
      <c r="BF399" s="367"/>
      <c r="BG399" s="367"/>
      <c r="BH399" s="64" t="e">
        <f>#REF!</f>
        <v>#REF!</v>
      </c>
      <c r="BL399" s="73"/>
    </row>
    <row r="400" spans="1:64" s="59" customFormat="1" ht="36" customHeight="1" x14ac:dyDescent="0.3">
      <c r="A400" s="305">
        <f t="shared" si="7"/>
        <v>395</v>
      </c>
      <c r="B400" s="90" t="s">
        <v>1390</v>
      </c>
      <c r="C400" s="305" t="s">
        <v>6</v>
      </c>
      <c r="D400" s="305" t="s">
        <v>262</v>
      </c>
      <c r="E400" s="91"/>
      <c r="F400" s="97"/>
      <c r="G400" s="91"/>
      <c r="H400" s="91"/>
      <c r="I400" s="305" t="s">
        <v>26</v>
      </c>
      <c r="J400" s="92" t="s">
        <v>1387</v>
      </c>
      <c r="K400" s="92" t="s">
        <v>1388</v>
      </c>
      <c r="L400" s="305" t="s">
        <v>1057</v>
      </c>
      <c r="M400" s="369" t="s">
        <v>65</v>
      </c>
      <c r="N400" s="305" t="s">
        <v>127</v>
      </c>
      <c r="O400" s="305"/>
      <c r="P400" s="158" t="s">
        <v>1073</v>
      </c>
      <c r="Q400" s="305">
        <v>3.2</v>
      </c>
      <c r="R400" s="305"/>
      <c r="S400" s="305">
        <v>100</v>
      </c>
      <c r="T400" s="305">
        <v>11.2</v>
      </c>
      <c r="U400" s="305"/>
      <c r="V400" s="305"/>
      <c r="W400" s="305"/>
      <c r="X400" s="305"/>
      <c r="Y400" s="305" t="s">
        <v>127</v>
      </c>
      <c r="Z400" s="305"/>
      <c r="AA400" s="305"/>
      <c r="AB400" s="369" t="s">
        <v>215</v>
      </c>
      <c r="AC400" s="92" t="s">
        <v>1391</v>
      </c>
      <c r="AD400" s="369" t="s">
        <v>152</v>
      </c>
      <c r="AE400" s="118"/>
      <c r="AF400" s="118"/>
      <c r="AG400" s="118"/>
      <c r="AH400" s="93"/>
      <c r="AI400" s="264"/>
      <c r="AJ400" s="95" t="s">
        <v>264</v>
      </c>
      <c r="AK400" s="369" t="s">
        <v>1060</v>
      </c>
      <c r="AL400" s="369" t="s">
        <v>183</v>
      </c>
      <c r="AM400" s="369" t="s">
        <v>209</v>
      </c>
      <c r="AN400" s="305"/>
      <c r="AO400" s="305"/>
      <c r="AP400" s="305"/>
      <c r="AQ400" s="291"/>
      <c r="AR400" s="305"/>
      <c r="AS400" s="305"/>
      <c r="AT400" s="305"/>
      <c r="AU400" s="305"/>
      <c r="AV400" s="305"/>
      <c r="AW400" s="305"/>
      <c r="AX400" s="305"/>
      <c r="AY400" s="305"/>
      <c r="AZ400" s="305"/>
      <c r="BA400" s="305"/>
      <c r="BB400" s="92" t="s">
        <v>1385</v>
      </c>
      <c r="BC400" s="47"/>
      <c r="BD400" s="49" t="s">
        <v>816</v>
      </c>
      <c r="BE400" s="70"/>
      <c r="BF400" s="367"/>
      <c r="BG400" s="367"/>
      <c r="BH400" s="64" t="e">
        <f>#REF!</f>
        <v>#REF!</v>
      </c>
      <c r="BL400" s="73"/>
    </row>
    <row r="401" spans="1:64" s="59" customFormat="1" ht="36" customHeight="1" x14ac:dyDescent="0.3">
      <c r="A401" s="305">
        <f t="shared" si="7"/>
        <v>396</v>
      </c>
      <c r="B401" s="90" t="s">
        <v>1392</v>
      </c>
      <c r="C401" s="305" t="s">
        <v>6</v>
      </c>
      <c r="D401" s="305" t="s">
        <v>262</v>
      </c>
      <c r="E401" s="91"/>
      <c r="F401" s="97"/>
      <c r="G401" s="91"/>
      <c r="H401" s="91"/>
      <c r="I401" s="305" t="s">
        <v>26</v>
      </c>
      <c r="J401" s="92" t="s">
        <v>1356</v>
      </c>
      <c r="K401" s="92" t="s">
        <v>1393</v>
      </c>
      <c r="L401" s="305" t="s">
        <v>1057</v>
      </c>
      <c r="M401" s="369" t="s">
        <v>120</v>
      </c>
      <c r="N401" s="305" t="s">
        <v>127</v>
      </c>
      <c r="O401" s="305"/>
      <c r="P401" s="158"/>
      <c r="Q401" s="305">
        <v>3.7</v>
      </c>
      <c r="R401" s="305"/>
      <c r="S401" s="305">
        <v>50</v>
      </c>
      <c r="T401" s="369" t="s">
        <v>1394</v>
      </c>
      <c r="U401" s="369"/>
      <c r="V401" s="369"/>
      <c r="W401" s="369"/>
      <c r="X401" s="305"/>
      <c r="Y401" s="305"/>
      <c r="Z401" s="305"/>
      <c r="AA401" s="305"/>
      <c r="AB401" s="369"/>
      <c r="AC401" s="92" t="s">
        <v>1395</v>
      </c>
      <c r="AD401" s="369" t="s">
        <v>363</v>
      </c>
      <c r="AE401" s="118"/>
      <c r="AF401" s="118"/>
      <c r="AG401" s="118"/>
      <c r="AH401" s="93"/>
      <c r="AI401" s="264">
        <v>0</v>
      </c>
      <c r="AJ401" s="95" t="s">
        <v>264</v>
      </c>
      <c r="AK401" s="369" t="s">
        <v>265</v>
      </c>
      <c r="AL401" s="369"/>
      <c r="AM401" s="369"/>
      <c r="AN401" s="305"/>
      <c r="AO401" s="305"/>
      <c r="AP401" s="305"/>
      <c r="AQ401" s="291"/>
      <c r="AR401" s="305"/>
      <c r="AS401" s="305"/>
      <c r="AT401" s="305"/>
      <c r="AU401" s="305"/>
      <c r="AV401" s="305"/>
      <c r="AW401" s="305"/>
      <c r="AX401" s="305"/>
      <c r="AY401" s="305"/>
      <c r="AZ401" s="305"/>
      <c r="BA401" s="305"/>
      <c r="BB401" s="92"/>
      <c r="BC401" s="47"/>
      <c r="BD401" s="49" t="s">
        <v>816</v>
      </c>
      <c r="BE401" s="70"/>
      <c r="BF401" s="367"/>
      <c r="BG401" s="367"/>
      <c r="BH401" s="64" t="e">
        <f>#REF!</f>
        <v>#REF!</v>
      </c>
      <c r="BL401" s="73"/>
    </row>
    <row r="402" spans="1:64" s="59" customFormat="1" ht="36" customHeight="1" x14ac:dyDescent="0.3">
      <c r="A402" s="305">
        <f t="shared" si="7"/>
        <v>397</v>
      </c>
      <c r="B402" s="90" t="s">
        <v>1396</v>
      </c>
      <c r="C402" s="305" t="s">
        <v>6</v>
      </c>
      <c r="D402" s="305" t="s">
        <v>1397</v>
      </c>
      <c r="E402" s="91">
        <v>45745</v>
      </c>
      <c r="F402" s="97"/>
      <c r="G402" s="91"/>
      <c r="H402" s="91"/>
      <c r="I402" s="305" t="s">
        <v>26</v>
      </c>
      <c r="J402" s="92" t="s">
        <v>1398</v>
      </c>
      <c r="K402" s="92" t="s">
        <v>1399</v>
      </c>
      <c r="L402" s="305"/>
      <c r="M402" s="369"/>
      <c r="N402" s="305" t="s">
        <v>127</v>
      </c>
      <c r="O402" s="305"/>
      <c r="P402" s="158"/>
      <c r="Q402" s="305"/>
      <c r="R402" s="305"/>
      <c r="S402" s="305"/>
      <c r="T402" s="305"/>
      <c r="U402" s="305"/>
      <c r="V402" s="305"/>
      <c r="W402" s="305"/>
      <c r="X402" s="305"/>
      <c r="Y402" s="305"/>
      <c r="Z402" s="305"/>
      <c r="AA402" s="305"/>
      <c r="AB402" s="369"/>
      <c r="AC402" s="92" t="s">
        <v>1400</v>
      </c>
      <c r="AD402" s="369" t="s">
        <v>55</v>
      </c>
      <c r="AE402" s="118">
        <v>45746</v>
      </c>
      <c r="AF402" s="118"/>
      <c r="AG402" s="118">
        <v>45731</v>
      </c>
      <c r="AH402" s="93">
        <v>45746</v>
      </c>
      <c r="AI402" s="264">
        <v>45717</v>
      </c>
      <c r="AJ402" s="95" t="s">
        <v>131</v>
      </c>
      <c r="AK402" s="369" t="s">
        <v>1401</v>
      </c>
      <c r="AL402" s="369" t="s">
        <v>133</v>
      </c>
      <c r="AM402" s="369" t="s">
        <v>134</v>
      </c>
      <c r="AN402" s="305"/>
      <c r="AO402" s="305"/>
      <c r="AP402" s="305"/>
      <c r="AQ402" s="291"/>
      <c r="AR402" s="305"/>
      <c r="AS402" s="305"/>
      <c r="AT402" s="91">
        <v>45705</v>
      </c>
      <c r="AU402" s="91">
        <v>46016</v>
      </c>
      <c r="AV402" s="91">
        <v>45671</v>
      </c>
      <c r="AW402" s="91">
        <v>45645</v>
      </c>
      <c r="AX402" s="305"/>
      <c r="AY402" s="305"/>
      <c r="AZ402" s="305"/>
      <c r="BA402" s="305"/>
      <c r="BB402" s="92" t="s">
        <v>1402</v>
      </c>
      <c r="BC402" s="47"/>
      <c r="BD402" s="49" t="s">
        <v>816</v>
      </c>
      <c r="BE402" s="70"/>
      <c r="BF402" s="367"/>
      <c r="BG402" s="367"/>
      <c r="BH402" s="64" t="e">
        <f>#REF!</f>
        <v>#REF!</v>
      </c>
      <c r="BL402" s="73"/>
    </row>
    <row r="403" spans="1:64" s="59" customFormat="1" ht="36" customHeight="1" x14ac:dyDescent="0.3">
      <c r="A403" s="305">
        <f t="shared" si="7"/>
        <v>398</v>
      </c>
      <c r="B403" s="90" t="s">
        <v>1403</v>
      </c>
      <c r="C403" s="305" t="s">
        <v>6</v>
      </c>
      <c r="D403" s="305" t="s">
        <v>1404</v>
      </c>
      <c r="E403" s="91">
        <v>45745</v>
      </c>
      <c r="F403" s="97"/>
      <c r="G403" s="91"/>
      <c r="H403" s="91"/>
      <c r="I403" s="305" t="s">
        <v>26</v>
      </c>
      <c r="J403" s="92" t="s">
        <v>1398</v>
      </c>
      <c r="K403" s="92" t="s">
        <v>1399</v>
      </c>
      <c r="L403" s="305"/>
      <c r="M403" s="369"/>
      <c r="N403" s="305" t="s">
        <v>127</v>
      </c>
      <c r="O403" s="305"/>
      <c r="P403" s="158"/>
      <c r="Q403" s="305"/>
      <c r="R403" s="305"/>
      <c r="S403" s="305"/>
      <c r="T403" s="305"/>
      <c r="U403" s="305"/>
      <c r="V403" s="305"/>
      <c r="W403" s="305"/>
      <c r="X403" s="305"/>
      <c r="Y403" s="305"/>
      <c r="Z403" s="305"/>
      <c r="AA403" s="305"/>
      <c r="AB403" s="369"/>
      <c r="AC403" s="92" t="s">
        <v>1405</v>
      </c>
      <c r="AD403" s="369" t="s">
        <v>55</v>
      </c>
      <c r="AE403" s="118">
        <v>45746</v>
      </c>
      <c r="AF403" s="118"/>
      <c r="AG403" s="118">
        <v>45731</v>
      </c>
      <c r="AH403" s="93">
        <v>45746</v>
      </c>
      <c r="AI403" s="264">
        <v>45717</v>
      </c>
      <c r="AJ403" s="95" t="s">
        <v>131</v>
      </c>
      <c r="AK403" s="369" t="s">
        <v>1401</v>
      </c>
      <c r="AL403" s="369" t="s">
        <v>133</v>
      </c>
      <c r="AM403" s="369" t="s">
        <v>134</v>
      </c>
      <c r="AN403" s="305"/>
      <c r="AO403" s="305"/>
      <c r="AP403" s="305"/>
      <c r="AQ403" s="291"/>
      <c r="AR403" s="305"/>
      <c r="AS403" s="305"/>
      <c r="AT403" s="91">
        <v>45705</v>
      </c>
      <c r="AU403" s="91">
        <v>46016</v>
      </c>
      <c r="AV403" s="91">
        <v>45671</v>
      </c>
      <c r="AW403" s="91">
        <v>45645</v>
      </c>
      <c r="AX403" s="305"/>
      <c r="AY403" s="305"/>
      <c r="AZ403" s="305"/>
      <c r="BA403" s="305"/>
      <c r="BB403" s="92" t="s">
        <v>1402</v>
      </c>
      <c r="BC403" s="47"/>
      <c r="BD403" s="49" t="s">
        <v>816</v>
      </c>
      <c r="BE403" s="70"/>
      <c r="BF403" s="367"/>
      <c r="BG403" s="367"/>
      <c r="BH403" s="64" t="e">
        <f>#REF!</f>
        <v>#REF!</v>
      </c>
      <c r="BL403" s="73"/>
    </row>
    <row r="404" spans="1:64" s="59" customFormat="1" ht="36" customHeight="1" x14ac:dyDescent="0.3">
      <c r="A404" s="305">
        <f t="shared" si="7"/>
        <v>399</v>
      </c>
      <c r="B404" s="90" t="s">
        <v>1406</v>
      </c>
      <c r="C404" s="305" t="s">
        <v>6</v>
      </c>
      <c r="D404" s="305" t="s">
        <v>1407</v>
      </c>
      <c r="E404" s="91">
        <v>45745</v>
      </c>
      <c r="F404" s="97"/>
      <c r="G404" s="91"/>
      <c r="H404" s="91"/>
      <c r="I404" s="305" t="s">
        <v>26</v>
      </c>
      <c r="J404" s="92" t="s">
        <v>1398</v>
      </c>
      <c r="K404" s="92" t="s">
        <v>1399</v>
      </c>
      <c r="L404" s="305"/>
      <c r="M404" s="369"/>
      <c r="N404" s="305" t="s">
        <v>127</v>
      </c>
      <c r="O404" s="305"/>
      <c r="P404" s="158"/>
      <c r="Q404" s="305"/>
      <c r="R404" s="305"/>
      <c r="S404" s="305"/>
      <c r="T404" s="305"/>
      <c r="U404" s="305"/>
      <c r="V404" s="305"/>
      <c r="W404" s="305"/>
      <c r="X404" s="305"/>
      <c r="Y404" s="305"/>
      <c r="Z404" s="305"/>
      <c r="AA404" s="305"/>
      <c r="AB404" s="369"/>
      <c r="AC404" s="92" t="s">
        <v>1408</v>
      </c>
      <c r="AD404" s="369" t="s">
        <v>55</v>
      </c>
      <c r="AE404" s="118">
        <v>45746</v>
      </c>
      <c r="AF404" s="118"/>
      <c r="AG404" s="118">
        <v>45762</v>
      </c>
      <c r="AH404" s="93">
        <v>45746</v>
      </c>
      <c r="AI404" s="264">
        <v>45717</v>
      </c>
      <c r="AJ404" s="95" t="s">
        <v>131</v>
      </c>
      <c r="AK404" s="369" t="s">
        <v>1401</v>
      </c>
      <c r="AL404" s="369" t="s">
        <v>133</v>
      </c>
      <c r="AM404" s="369" t="s">
        <v>134</v>
      </c>
      <c r="AN404" s="305"/>
      <c r="AO404" s="305"/>
      <c r="AP404" s="305"/>
      <c r="AQ404" s="291"/>
      <c r="AR404" s="305"/>
      <c r="AS404" s="305"/>
      <c r="AT404" s="91">
        <v>45705</v>
      </c>
      <c r="AU404" s="91">
        <v>46016</v>
      </c>
      <c r="AV404" s="91">
        <v>45671</v>
      </c>
      <c r="AW404" s="91">
        <v>45645</v>
      </c>
      <c r="AX404" s="305"/>
      <c r="AY404" s="305"/>
      <c r="AZ404" s="305"/>
      <c r="BA404" s="305"/>
      <c r="BB404" s="92" t="s">
        <v>1402</v>
      </c>
      <c r="BC404" s="47"/>
      <c r="BD404" s="49" t="s">
        <v>816</v>
      </c>
      <c r="BE404" s="70"/>
      <c r="BF404" s="367"/>
      <c r="BG404" s="367"/>
      <c r="BH404" s="64" t="e">
        <f>#REF!</f>
        <v>#REF!</v>
      </c>
      <c r="BL404" s="73"/>
    </row>
    <row r="405" spans="1:64" s="59" customFormat="1" ht="36" customHeight="1" x14ac:dyDescent="0.3">
      <c r="A405" s="305">
        <f t="shared" si="7"/>
        <v>400</v>
      </c>
      <c r="B405" s="90" t="s">
        <v>1409</v>
      </c>
      <c r="C405" s="305" t="s">
        <v>6</v>
      </c>
      <c r="D405" s="305" t="s">
        <v>1410</v>
      </c>
      <c r="E405" s="91">
        <v>45745</v>
      </c>
      <c r="F405" s="97"/>
      <c r="G405" s="91"/>
      <c r="H405" s="91"/>
      <c r="I405" s="305" t="s">
        <v>26</v>
      </c>
      <c r="J405" s="92" t="s">
        <v>1398</v>
      </c>
      <c r="K405" s="92" t="s">
        <v>1399</v>
      </c>
      <c r="L405" s="305"/>
      <c r="M405" s="369"/>
      <c r="N405" s="305" t="s">
        <v>127</v>
      </c>
      <c r="O405" s="305"/>
      <c r="P405" s="158"/>
      <c r="Q405" s="305"/>
      <c r="R405" s="305"/>
      <c r="S405" s="305"/>
      <c r="T405" s="305"/>
      <c r="U405" s="305"/>
      <c r="V405" s="305"/>
      <c r="W405" s="305"/>
      <c r="X405" s="305"/>
      <c r="Y405" s="305"/>
      <c r="Z405" s="305"/>
      <c r="AA405" s="305"/>
      <c r="AB405" s="369"/>
      <c r="AC405" s="92" t="s">
        <v>1411</v>
      </c>
      <c r="AD405" s="369" t="s">
        <v>55</v>
      </c>
      <c r="AE405" s="118">
        <v>45746</v>
      </c>
      <c r="AF405" s="118"/>
      <c r="AG405" s="118">
        <v>45762</v>
      </c>
      <c r="AH405" s="93">
        <v>45746</v>
      </c>
      <c r="AI405" s="264">
        <v>45717</v>
      </c>
      <c r="AJ405" s="95" t="s">
        <v>131</v>
      </c>
      <c r="AK405" s="369" t="s">
        <v>1401</v>
      </c>
      <c r="AL405" s="369" t="s">
        <v>133</v>
      </c>
      <c r="AM405" s="369" t="s">
        <v>134</v>
      </c>
      <c r="AN405" s="305"/>
      <c r="AO405" s="305"/>
      <c r="AP405" s="305"/>
      <c r="AQ405" s="291"/>
      <c r="AR405" s="305"/>
      <c r="AS405" s="305"/>
      <c r="AT405" s="91">
        <v>45705</v>
      </c>
      <c r="AU405" s="91">
        <v>46016</v>
      </c>
      <c r="AV405" s="91">
        <v>45671</v>
      </c>
      <c r="AW405" s="91">
        <v>45645</v>
      </c>
      <c r="AX405" s="305"/>
      <c r="AY405" s="305"/>
      <c r="AZ405" s="305"/>
      <c r="BA405" s="305"/>
      <c r="BB405" s="92" t="s">
        <v>1402</v>
      </c>
      <c r="BC405" s="47"/>
      <c r="BD405" s="49" t="s">
        <v>816</v>
      </c>
      <c r="BE405" s="70"/>
      <c r="BF405" s="367"/>
      <c r="BG405" s="367"/>
      <c r="BH405" s="64" t="e">
        <f>#REF!</f>
        <v>#REF!</v>
      </c>
      <c r="BL405" s="73"/>
    </row>
    <row r="406" spans="1:64" s="59" customFormat="1" ht="36" customHeight="1" x14ac:dyDescent="0.3">
      <c r="A406" s="305">
        <f t="shared" si="7"/>
        <v>401</v>
      </c>
      <c r="B406" s="90" t="s">
        <v>1412</v>
      </c>
      <c r="C406" s="305" t="s">
        <v>6</v>
      </c>
      <c r="D406" s="305" t="s">
        <v>1413</v>
      </c>
      <c r="E406" s="91">
        <v>45745</v>
      </c>
      <c r="F406" s="97"/>
      <c r="G406" s="91"/>
      <c r="H406" s="91"/>
      <c r="I406" s="305" t="s">
        <v>26</v>
      </c>
      <c r="J406" s="92" t="s">
        <v>1398</v>
      </c>
      <c r="K406" s="92" t="s">
        <v>1399</v>
      </c>
      <c r="L406" s="305"/>
      <c r="M406" s="369"/>
      <c r="N406" s="305" t="s">
        <v>127</v>
      </c>
      <c r="O406" s="305"/>
      <c r="P406" s="158"/>
      <c r="Q406" s="305"/>
      <c r="R406" s="305"/>
      <c r="S406" s="305"/>
      <c r="T406" s="305"/>
      <c r="U406" s="305"/>
      <c r="V406" s="305"/>
      <c r="W406" s="305"/>
      <c r="X406" s="305"/>
      <c r="Y406" s="305"/>
      <c r="Z406" s="305"/>
      <c r="AA406" s="305"/>
      <c r="AB406" s="369"/>
      <c r="AC406" s="92" t="s">
        <v>1414</v>
      </c>
      <c r="AD406" s="369" t="s">
        <v>55</v>
      </c>
      <c r="AE406" s="118">
        <v>45746</v>
      </c>
      <c r="AF406" s="118"/>
      <c r="AG406" s="118">
        <v>45762</v>
      </c>
      <c r="AH406" s="93">
        <v>45746</v>
      </c>
      <c r="AI406" s="264">
        <v>45717</v>
      </c>
      <c r="AJ406" s="95" t="s">
        <v>131</v>
      </c>
      <c r="AK406" s="369" t="s">
        <v>1401</v>
      </c>
      <c r="AL406" s="369" t="s">
        <v>133</v>
      </c>
      <c r="AM406" s="369" t="s">
        <v>134</v>
      </c>
      <c r="AN406" s="305"/>
      <c r="AO406" s="305"/>
      <c r="AP406" s="305"/>
      <c r="AQ406" s="291"/>
      <c r="AR406" s="305"/>
      <c r="AS406" s="305"/>
      <c r="AT406" s="91">
        <v>45705</v>
      </c>
      <c r="AU406" s="91">
        <v>46016</v>
      </c>
      <c r="AV406" s="91">
        <v>45671</v>
      </c>
      <c r="AW406" s="91">
        <v>45645</v>
      </c>
      <c r="AX406" s="305"/>
      <c r="AY406" s="305"/>
      <c r="AZ406" s="305"/>
      <c r="BA406" s="305"/>
      <c r="BB406" s="92" t="s">
        <v>1402</v>
      </c>
      <c r="BC406" s="47"/>
      <c r="BD406" s="49" t="s">
        <v>816</v>
      </c>
      <c r="BE406" s="70"/>
      <c r="BF406" s="367"/>
      <c r="BG406" s="367"/>
      <c r="BH406" s="64" t="e">
        <f>#REF!</f>
        <v>#REF!</v>
      </c>
      <c r="BL406" s="73"/>
    </row>
    <row r="407" spans="1:64" s="59" customFormat="1" ht="36" customHeight="1" x14ac:dyDescent="0.3">
      <c r="A407" s="305">
        <f t="shared" si="7"/>
        <v>402</v>
      </c>
      <c r="B407" s="90" t="s">
        <v>1415</v>
      </c>
      <c r="C407" s="305" t="s">
        <v>6</v>
      </c>
      <c r="D407" s="305" t="s">
        <v>1416</v>
      </c>
      <c r="E407" s="91">
        <v>45745</v>
      </c>
      <c r="F407" s="97"/>
      <c r="G407" s="91"/>
      <c r="H407" s="91"/>
      <c r="I407" s="305" t="s">
        <v>26</v>
      </c>
      <c r="J407" s="92" t="s">
        <v>1398</v>
      </c>
      <c r="K407" s="92" t="s">
        <v>1399</v>
      </c>
      <c r="L407" s="305"/>
      <c r="M407" s="369"/>
      <c r="N407" s="305" t="s">
        <v>127</v>
      </c>
      <c r="O407" s="305"/>
      <c r="P407" s="158"/>
      <c r="Q407" s="305"/>
      <c r="R407" s="305"/>
      <c r="S407" s="305"/>
      <c r="T407" s="305"/>
      <c r="U407" s="305"/>
      <c r="V407" s="305"/>
      <c r="W407" s="305"/>
      <c r="X407" s="305"/>
      <c r="Y407" s="305"/>
      <c r="Z407" s="305"/>
      <c r="AA407" s="305"/>
      <c r="AB407" s="369"/>
      <c r="AC407" s="92" t="s">
        <v>1417</v>
      </c>
      <c r="AD407" s="369" t="s">
        <v>55</v>
      </c>
      <c r="AE407" s="118">
        <v>45746</v>
      </c>
      <c r="AF407" s="118"/>
      <c r="AG407" s="118">
        <v>45762</v>
      </c>
      <c r="AH407" s="93">
        <v>45746</v>
      </c>
      <c r="AI407" s="264">
        <v>45717</v>
      </c>
      <c r="AJ407" s="95" t="s">
        <v>131</v>
      </c>
      <c r="AK407" s="369" t="s">
        <v>1401</v>
      </c>
      <c r="AL407" s="369" t="s">
        <v>133</v>
      </c>
      <c r="AM407" s="369" t="s">
        <v>134</v>
      </c>
      <c r="AN407" s="305"/>
      <c r="AO407" s="305"/>
      <c r="AP407" s="305"/>
      <c r="AQ407" s="291"/>
      <c r="AR407" s="305"/>
      <c r="AS407" s="305"/>
      <c r="AT407" s="91">
        <v>45705</v>
      </c>
      <c r="AU407" s="91">
        <v>46016</v>
      </c>
      <c r="AV407" s="91">
        <v>45671</v>
      </c>
      <c r="AW407" s="91">
        <v>45645</v>
      </c>
      <c r="AX407" s="305"/>
      <c r="AY407" s="305"/>
      <c r="AZ407" s="305"/>
      <c r="BA407" s="305"/>
      <c r="BB407" s="92" t="s">
        <v>1402</v>
      </c>
      <c r="BC407" s="47"/>
      <c r="BD407" s="49" t="s">
        <v>816</v>
      </c>
      <c r="BE407" s="70"/>
      <c r="BF407" s="367"/>
      <c r="BG407" s="367"/>
      <c r="BH407" s="64" t="e">
        <f>#REF!</f>
        <v>#REF!</v>
      </c>
      <c r="BL407" s="73"/>
    </row>
    <row r="408" spans="1:64" s="59" customFormat="1" ht="36" customHeight="1" x14ac:dyDescent="0.3">
      <c r="A408" s="305">
        <f t="shared" si="7"/>
        <v>403</v>
      </c>
      <c r="B408" s="90" t="s">
        <v>1418</v>
      </c>
      <c r="C408" s="305" t="s">
        <v>6</v>
      </c>
      <c r="D408" s="305" t="s">
        <v>1419</v>
      </c>
      <c r="E408" s="91">
        <v>45751</v>
      </c>
      <c r="F408" s="97"/>
      <c r="G408" s="91"/>
      <c r="H408" s="91"/>
      <c r="I408" s="305" t="s">
        <v>26</v>
      </c>
      <c r="J408" s="92" t="s">
        <v>1398</v>
      </c>
      <c r="K408" s="92" t="s">
        <v>1399</v>
      </c>
      <c r="L408" s="305"/>
      <c r="M408" s="369"/>
      <c r="N408" s="305" t="s">
        <v>127</v>
      </c>
      <c r="O408" s="305"/>
      <c r="P408" s="158"/>
      <c r="Q408" s="305"/>
      <c r="R408" s="305"/>
      <c r="S408" s="305"/>
      <c r="T408" s="305"/>
      <c r="U408" s="305"/>
      <c r="V408" s="305"/>
      <c r="W408" s="305"/>
      <c r="X408" s="305"/>
      <c r="Y408" s="305"/>
      <c r="Z408" s="305"/>
      <c r="AA408" s="305"/>
      <c r="AB408" s="369"/>
      <c r="AC408" s="92" t="s">
        <v>1420</v>
      </c>
      <c r="AD408" s="369" t="s">
        <v>55</v>
      </c>
      <c r="AE408" s="118">
        <v>45746</v>
      </c>
      <c r="AF408" s="118"/>
      <c r="AG408" s="118">
        <v>45792</v>
      </c>
      <c r="AH408" s="93">
        <v>45746</v>
      </c>
      <c r="AI408" s="264">
        <v>45717</v>
      </c>
      <c r="AJ408" s="95" t="s">
        <v>131</v>
      </c>
      <c r="AK408" s="369" t="s">
        <v>1401</v>
      </c>
      <c r="AL408" s="369" t="s">
        <v>133</v>
      </c>
      <c r="AM408" s="369" t="s">
        <v>134</v>
      </c>
      <c r="AN408" s="305"/>
      <c r="AO408" s="305"/>
      <c r="AP408" s="305"/>
      <c r="AQ408" s="291"/>
      <c r="AR408" s="305"/>
      <c r="AS408" s="305"/>
      <c r="AT408" s="91">
        <v>45705</v>
      </c>
      <c r="AU408" s="91">
        <v>46016</v>
      </c>
      <c r="AV408" s="91">
        <v>45671</v>
      </c>
      <c r="AW408" s="91">
        <v>45645</v>
      </c>
      <c r="AX408" s="305"/>
      <c r="AY408" s="305"/>
      <c r="AZ408" s="305"/>
      <c r="BA408" s="305"/>
      <c r="BB408" s="92" t="s">
        <v>1402</v>
      </c>
      <c r="BC408" s="47"/>
      <c r="BD408" s="49" t="s">
        <v>816</v>
      </c>
      <c r="BE408" s="70"/>
      <c r="BF408" s="367"/>
      <c r="BG408" s="367"/>
      <c r="BH408" s="64" t="e">
        <f>#REF!</f>
        <v>#REF!</v>
      </c>
      <c r="BL408" s="73"/>
    </row>
    <row r="409" spans="1:64" s="59" customFormat="1" ht="36" customHeight="1" x14ac:dyDescent="0.3">
      <c r="A409" s="305">
        <f t="shared" si="7"/>
        <v>404</v>
      </c>
      <c r="B409" s="90" t="s">
        <v>1421</v>
      </c>
      <c r="C409" s="305" t="s">
        <v>6</v>
      </c>
      <c r="D409" s="305" t="s">
        <v>1422</v>
      </c>
      <c r="E409" s="91">
        <v>45751</v>
      </c>
      <c r="F409" s="97"/>
      <c r="G409" s="91"/>
      <c r="H409" s="91"/>
      <c r="I409" s="305" t="s">
        <v>26</v>
      </c>
      <c r="J409" s="92" t="s">
        <v>1398</v>
      </c>
      <c r="K409" s="92" t="s">
        <v>1399</v>
      </c>
      <c r="L409" s="305"/>
      <c r="M409" s="369"/>
      <c r="N409" s="305" t="s">
        <v>127</v>
      </c>
      <c r="O409" s="305"/>
      <c r="P409" s="158"/>
      <c r="Q409" s="305"/>
      <c r="R409" s="305"/>
      <c r="S409" s="305"/>
      <c r="T409" s="305"/>
      <c r="U409" s="305"/>
      <c r="V409" s="305"/>
      <c r="W409" s="305"/>
      <c r="X409" s="305"/>
      <c r="Y409" s="305"/>
      <c r="Z409" s="305"/>
      <c r="AA409" s="305"/>
      <c r="AB409" s="369"/>
      <c r="AC409" s="92" t="s">
        <v>1423</v>
      </c>
      <c r="AD409" s="369" t="s">
        <v>55</v>
      </c>
      <c r="AE409" s="118">
        <v>45746</v>
      </c>
      <c r="AF409" s="118"/>
      <c r="AG409" s="118">
        <v>45792</v>
      </c>
      <c r="AH409" s="93">
        <v>45746</v>
      </c>
      <c r="AI409" s="264">
        <v>45748</v>
      </c>
      <c r="AJ409" s="95" t="s">
        <v>131</v>
      </c>
      <c r="AK409" s="369" t="s">
        <v>1401</v>
      </c>
      <c r="AL409" s="369" t="s">
        <v>133</v>
      </c>
      <c r="AM409" s="369" t="s">
        <v>134</v>
      </c>
      <c r="AN409" s="305"/>
      <c r="AO409" s="305"/>
      <c r="AP409" s="305"/>
      <c r="AQ409" s="291"/>
      <c r="AR409" s="305"/>
      <c r="AS409" s="305"/>
      <c r="AT409" s="91">
        <v>45723</v>
      </c>
      <c r="AU409" s="91">
        <v>46016</v>
      </c>
      <c r="AV409" s="91">
        <v>45702</v>
      </c>
      <c r="AW409" s="91">
        <v>45645</v>
      </c>
      <c r="AX409" s="305"/>
      <c r="AY409" s="305"/>
      <c r="AZ409" s="305"/>
      <c r="BA409" s="305"/>
      <c r="BB409" s="92" t="s">
        <v>1402</v>
      </c>
      <c r="BC409" s="47"/>
      <c r="BD409" s="49" t="s">
        <v>816</v>
      </c>
      <c r="BE409" s="70"/>
      <c r="BF409" s="367"/>
      <c r="BG409" s="367"/>
      <c r="BH409" s="64" t="e">
        <f>#REF!</f>
        <v>#REF!</v>
      </c>
      <c r="BL409" s="73"/>
    </row>
    <row r="410" spans="1:64" s="59" customFormat="1" ht="36" customHeight="1" x14ac:dyDescent="0.3">
      <c r="A410" s="305">
        <f t="shared" si="7"/>
        <v>405</v>
      </c>
      <c r="B410" s="90" t="s">
        <v>1424</v>
      </c>
      <c r="C410" s="305" t="s">
        <v>6</v>
      </c>
      <c r="D410" s="305" t="s">
        <v>1425</v>
      </c>
      <c r="E410" s="91">
        <v>45751</v>
      </c>
      <c r="F410" s="97"/>
      <c r="G410" s="91"/>
      <c r="H410" s="91"/>
      <c r="I410" s="305" t="s">
        <v>26</v>
      </c>
      <c r="J410" s="92" t="s">
        <v>1398</v>
      </c>
      <c r="K410" s="92" t="s">
        <v>1399</v>
      </c>
      <c r="L410" s="305"/>
      <c r="M410" s="369"/>
      <c r="N410" s="305" t="s">
        <v>127</v>
      </c>
      <c r="O410" s="305"/>
      <c r="P410" s="158"/>
      <c r="Q410" s="305"/>
      <c r="R410" s="305"/>
      <c r="S410" s="305"/>
      <c r="T410" s="305"/>
      <c r="U410" s="305"/>
      <c r="V410" s="305"/>
      <c r="W410" s="305"/>
      <c r="X410" s="305"/>
      <c r="Y410" s="305"/>
      <c r="Z410" s="305"/>
      <c r="AA410" s="305"/>
      <c r="AB410" s="369"/>
      <c r="AC410" s="92" t="s">
        <v>1426</v>
      </c>
      <c r="AD410" s="369" t="s">
        <v>55</v>
      </c>
      <c r="AE410" s="118">
        <v>45746</v>
      </c>
      <c r="AF410" s="118"/>
      <c r="AG410" s="118">
        <v>45792</v>
      </c>
      <c r="AH410" s="93">
        <v>45746</v>
      </c>
      <c r="AI410" s="264">
        <v>45748</v>
      </c>
      <c r="AJ410" s="95" t="s">
        <v>131</v>
      </c>
      <c r="AK410" s="369" t="s">
        <v>1401</v>
      </c>
      <c r="AL410" s="369" t="s">
        <v>133</v>
      </c>
      <c r="AM410" s="369" t="s">
        <v>134</v>
      </c>
      <c r="AN410" s="305"/>
      <c r="AO410" s="305"/>
      <c r="AP410" s="305"/>
      <c r="AQ410" s="291"/>
      <c r="AR410" s="305"/>
      <c r="AS410" s="305"/>
      <c r="AT410" s="91">
        <v>45723</v>
      </c>
      <c r="AU410" s="91">
        <v>46016</v>
      </c>
      <c r="AV410" s="91">
        <v>45702</v>
      </c>
      <c r="AW410" s="91">
        <v>45645</v>
      </c>
      <c r="AX410" s="305"/>
      <c r="AY410" s="305"/>
      <c r="AZ410" s="305"/>
      <c r="BA410" s="305"/>
      <c r="BB410" s="92" t="s">
        <v>1402</v>
      </c>
      <c r="BC410" s="47"/>
      <c r="BD410" s="49" t="s">
        <v>816</v>
      </c>
      <c r="BE410" s="70"/>
      <c r="BF410" s="367"/>
      <c r="BG410" s="367"/>
      <c r="BH410" s="64" t="e">
        <f>#REF!</f>
        <v>#REF!</v>
      </c>
      <c r="BL410" s="73"/>
    </row>
    <row r="411" spans="1:64" s="59" customFormat="1" ht="36" customHeight="1" x14ac:dyDescent="0.3">
      <c r="A411" s="305">
        <f t="shared" si="7"/>
        <v>406</v>
      </c>
      <c r="B411" s="90" t="s">
        <v>1427</v>
      </c>
      <c r="C411" s="305" t="s">
        <v>6</v>
      </c>
      <c r="D411" s="305" t="s">
        <v>1428</v>
      </c>
      <c r="E411" s="91">
        <v>45751</v>
      </c>
      <c r="F411" s="97"/>
      <c r="G411" s="91"/>
      <c r="H411" s="91"/>
      <c r="I411" s="305" t="s">
        <v>26</v>
      </c>
      <c r="J411" s="92" t="s">
        <v>1398</v>
      </c>
      <c r="K411" s="92" t="s">
        <v>1399</v>
      </c>
      <c r="L411" s="305"/>
      <c r="M411" s="369"/>
      <c r="N411" s="305" t="s">
        <v>127</v>
      </c>
      <c r="O411" s="305"/>
      <c r="P411" s="158"/>
      <c r="Q411" s="305"/>
      <c r="R411" s="305"/>
      <c r="S411" s="305"/>
      <c r="T411" s="305"/>
      <c r="U411" s="305"/>
      <c r="V411" s="305"/>
      <c r="W411" s="305"/>
      <c r="X411" s="305"/>
      <c r="Y411" s="305"/>
      <c r="Z411" s="305"/>
      <c r="AA411" s="305"/>
      <c r="AB411" s="369"/>
      <c r="AC411" s="92" t="s">
        <v>1429</v>
      </c>
      <c r="AD411" s="369" t="s">
        <v>55</v>
      </c>
      <c r="AE411" s="118">
        <v>45746</v>
      </c>
      <c r="AF411" s="118"/>
      <c r="AG411" s="118">
        <v>45792</v>
      </c>
      <c r="AH411" s="93">
        <v>45746</v>
      </c>
      <c r="AI411" s="264">
        <v>45748</v>
      </c>
      <c r="AJ411" s="95" t="s">
        <v>131</v>
      </c>
      <c r="AK411" s="369" t="s">
        <v>1401</v>
      </c>
      <c r="AL411" s="369" t="s">
        <v>133</v>
      </c>
      <c r="AM411" s="369" t="s">
        <v>134</v>
      </c>
      <c r="AN411" s="305"/>
      <c r="AO411" s="305"/>
      <c r="AP411" s="305"/>
      <c r="AQ411" s="291"/>
      <c r="AR411" s="305"/>
      <c r="AS411" s="305"/>
      <c r="AT411" s="91">
        <v>45723</v>
      </c>
      <c r="AU411" s="91">
        <v>46016</v>
      </c>
      <c r="AV411" s="91">
        <v>45702</v>
      </c>
      <c r="AW411" s="91">
        <v>45645</v>
      </c>
      <c r="AX411" s="305"/>
      <c r="AY411" s="305"/>
      <c r="AZ411" s="305"/>
      <c r="BA411" s="305"/>
      <c r="BB411" s="92" t="s">
        <v>1402</v>
      </c>
      <c r="BC411" s="47"/>
      <c r="BD411" s="49" t="s">
        <v>816</v>
      </c>
      <c r="BE411" s="70"/>
      <c r="BF411" s="367"/>
      <c r="BG411" s="367"/>
      <c r="BH411" s="64" t="e">
        <f>#REF!</f>
        <v>#REF!</v>
      </c>
      <c r="BL411" s="73"/>
    </row>
    <row r="412" spans="1:64" s="59" customFormat="1" ht="36" customHeight="1" x14ac:dyDescent="0.3">
      <c r="A412" s="156">
        <f t="shared" si="7"/>
        <v>407</v>
      </c>
      <c r="B412" s="90" t="s">
        <v>1430</v>
      </c>
      <c r="C412" s="305" t="s">
        <v>6</v>
      </c>
      <c r="D412" s="305" t="s">
        <v>1350</v>
      </c>
      <c r="E412" s="91">
        <v>45897</v>
      </c>
      <c r="F412" s="97"/>
      <c r="G412" s="91"/>
      <c r="H412" s="91"/>
      <c r="I412" s="305" t="s">
        <v>26</v>
      </c>
      <c r="J412" s="92" t="s">
        <v>1356</v>
      </c>
      <c r="K412" s="92" t="s">
        <v>1393</v>
      </c>
      <c r="L412" s="305" t="s">
        <v>1057</v>
      </c>
      <c r="M412" s="369" t="s">
        <v>120</v>
      </c>
      <c r="N412" s="305" t="s">
        <v>127</v>
      </c>
      <c r="O412" s="305"/>
      <c r="P412" s="158"/>
      <c r="Q412" s="305">
        <v>3.7</v>
      </c>
      <c r="R412" s="305"/>
      <c r="S412" s="305">
        <v>50</v>
      </c>
      <c r="T412" s="369" t="s">
        <v>1431</v>
      </c>
      <c r="U412" s="369"/>
      <c r="V412" s="369"/>
      <c r="W412" s="369"/>
      <c r="X412" s="305"/>
      <c r="Y412" s="305"/>
      <c r="Z412" s="305"/>
      <c r="AA412" s="305"/>
      <c r="AB412" s="305"/>
      <c r="AC412" s="92" t="s">
        <v>1432</v>
      </c>
      <c r="AD412" s="369" t="s">
        <v>580</v>
      </c>
      <c r="AE412" s="118"/>
      <c r="AF412" s="118"/>
      <c r="AG412" s="118">
        <v>45757</v>
      </c>
      <c r="AH412" s="93">
        <v>45868</v>
      </c>
      <c r="AI412" s="264">
        <v>45839</v>
      </c>
      <c r="AJ412" s="95" t="s">
        <v>131</v>
      </c>
      <c r="AK412" s="369"/>
      <c r="AL412" s="369" t="s">
        <v>183</v>
      </c>
      <c r="AM412" s="369" t="s">
        <v>209</v>
      </c>
      <c r="AN412" s="305"/>
      <c r="AO412" s="305"/>
      <c r="AP412" s="305"/>
      <c r="AQ412" s="291"/>
      <c r="AR412" s="305"/>
      <c r="AS412" s="305"/>
      <c r="AT412" s="305"/>
      <c r="AU412" s="305"/>
      <c r="AV412" s="305"/>
      <c r="AW412" s="305"/>
      <c r="AX412" s="305"/>
      <c r="AY412" s="305"/>
      <c r="AZ412" s="305"/>
      <c r="BA412" s="305"/>
      <c r="BB412" s="92"/>
      <c r="BC412" s="47"/>
      <c r="BD412" s="49" t="s">
        <v>816</v>
      </c>
      <c r="BE412" s="70"/>
      <c r="BF412" s="367"/>
      <c r="BG412" s="367"/>
      <c r="BH412" s="64" t="e">
        <f>#REF!</f>
        <v>#REF!</v>
      </c>
      <c r="BL412" s="73"/>
    </row>
    <row r="413" spans="1:64" s="59" customFormat="1" ht="36" customHeight="1" x14ac:dyDescent="0.3">
      <c r="A413" s="305">
        <f t="shared" si="7"/>
        <v>408</v>
      </c>
      <c r="B413" s="90" t="s">
        <v>1433</v>
      </c>
      <c r="C413" s="305" t="s">
        <v>6</v>
      </c>
      <c r="D413" s="305" t="s">
        <v>262</v>
      </c>
      <c r="E413" s="91"/>
      <c r="F413" s="97"/>
      <c r="G413" s="91"/>
      <c r="H413" s="91"/>
      <c r="I413" s="305" t="s">
        <v>26</v>
      </c>
      <c r="J413" s="92" t="s">
        <v>1434</v>
      </c>
      <c r="K413" s="92" t="s">
        <v>1435</v>
      </c>
      <c r="L413" s="305" t="s">
        <v>1057</v>
      </c>
      <c r="M413" s="369" t="s">
        <v>65</v>
      </c>
      <c r="N413" s="305" t="s">
        <v>127</v>
      </c>
      <c r="O413" s="305"/>
      <c r="P413" s="158"/>
      <c r="Q413" s="305">
        <v>3.2</v>
      </c>
      <c r="R413" s="305"/>
      <c r="S413" s="305">
        <v>50</v>
      </c>
      <c r="T413" s="369" t="s">
        <v>1431</v>
      </c>
      <c r="U413" s="369"/>
      <c r="V413" s="369"/>
      <c r="W413" s="369"/>
      <c r="X413" s="305"/>
      <c r="Y413" s="305"/>
      <c r="Z413" s="305"/>
      <c r="AA413" s="305"/>
      <c r="AB413" s="305"/>
      <c r="AC413" s="92" t="s">
        <v>1436</v>
      </c>
      <c r="AD413" s="369" t="s">
        <v>363</v>
      </c>
      <c r="AE413" s="118"/>
      <c r="AF413" s="118"/>
      <c r="AG413" s="118"/>
      <c r="AH413" s="93">
        <v>45807</v>
      </c>
      <c r="AI413" s="264">
        <v>45778</v>
      </c>
      <c r="AJ413" s="95" t="s">
        <v>264</v>
      </c>
      <c r="AK413" s="369" t="s">
        <v>265</v>
      </c>
      <c r="AL413" s="369"/>
      <c r="AM413" s="369"/>
      <c r="AN413" s="305"/>
      <c r="AO413" s="305"/>
      <c r="AP413" s="305"/>
      <c r="AQ413" s="291"/>
      <c r="AR413" s="305"/>
      <c r="AS413" s="305"/>
      <c r="AT413" s="305"/>
      <c r="AU413" s="305"/>
      <c r="AV413" s="305"/>
      <c r="AW413" s="305"/>
      <c r="AX413" s="305"/>
      <c r="AY413" s="305"/>
      <c r="AZ413" s="305"/>
      <c r="BA413" s="305"/>
      <c r="BB413" s="92"/>
      <c r="BC413" s="47"/>
      <c r="BD413" s="49" t="s">
        <v>816</v>
      </c>
      <c r="BE413" s="70"/>
      <c r="BF413" s="367"/>
      <c r="BG413" s="367"/>
      <c r="BH413" s="64" t="e">
        <f>#REF!</f>
        <v>#REF!</v>
      </c>
      <c r="BL413" s="73"/>
    </row>
    <row r="414" spans="1:64" s="59" customFormat="1" ht="36" customHeight="1" x14ac:dyDescent="0.3">
      <c r="A414" s="156">
        <f t="shared" si="7"/>
        <v>409</v>
      </c>
      <c r="B414" s="90" t="s">
        <v>1437</v>
      </c>
      <c r="C414" s="305" t="s">
        <v>6</v>
      </c>
      <c r="D414" s="305" t="s">
        <v>1350</v>
      </c>
      <c r="E414" s="91">
        <v>45897</v>
      </c>
      <c r="F414" s="97"/>
      <c r="G414" s="91"/>
      <c r="H414" s="91"/>
      <c r="I414" s="305" t="s">
        <v>26</v>
      </c>
      <c r="J414" s="92" t="s">
        <v>1434</v>
      </c>
      <c r="K414" s="92" t="s">
        <v>1435</v>
      </c>
      <c r="L414" s="305" t="s">
        <v>1057</v>
      </c>
      <c r="M414" s="369" t="s">
        <v>65</v>
      </c>
      <c r="N414" s="305" t="s">
        <v>127</v>
      </c>
      <c r="O414" s="305"/>
      <c r="P414" s="158"/>
      <c r="Q414" s="305">
        <v>3.2</v>
      </c>
      <c r="R414" s="305"/>
      <c r="S414" s="305">
        <v>50</v>
      </c>
      <c r="T414" s="369" t="s">
        <v>1431</v>
      </c>
      <c r="U414" s="369"/>
      <c r="V414" s="369"/>
      <c r="W414" s="369"/>
      <c r="X414" s="305"/>
      <c r="Y414" s="305"/>
      <c r="Z414" s="305"/>
      <c r="AA414" s="305"/>
      <c r="AB414" s="305"/>
      <c r="AC414" s="92" t="s">
        <v>1438</v>
      </c>
      <c r="AD414" s="369" t="s">
        <v>580</v>
      </c>
      <c r="AE414" s="118"/>
      <c r="AF414" s="118"/>
      <c r="AG414" s="118">
        <v>45757</v>
      </c>
      <c r="AH414" s="93">
        <v>45868</v>
      </c>
      <c r="AI414" s="264">
        <v>45839</v>
      </c>
      <c r="AJ414" s="95" t="s">
        <v>131</v>
      </c>
      <c r="AK414" s="369"/>
      <c r="AL414" s="369" t="s">
        <v>183</v>
      </c>
      <c r="AM414" s="369" t="s">
        <v>209</v>
      </c>
      <c r="AN414" s="305"/>
      <c r="AO414" s="305"/>
      <c r="AP414" s="305"/>
      <c r="AQ414" s="291"/>
      <c r="AR414" s="305"/>
      <c r="AS414" s="305"/>
      <c r="AT414" s="305"/>
      <c r="AU414" s="305"/>
      <c r="AV414" s="305"/>
      <c r="AW414" s="305"/>
      <c r="AX414" s="305"/>
      <c r="AY414" s="305"/>
      <c r="AZ414" s="305"/>
      <c r="BA414" s="305"/>
      <c r="BB414" s="92"/>
      <c r="BC414" s="47"/>
      <c r="BD414" s="49" t="s">
        <v>816</v>
      </c>
      <c r="BE414" s="70"/>
      <c r="BF414" s="367"/>
      <c r="BG414" s="367"/>
      <c r="BH414" s="64" t="e">
        <f>#REF!</f>
        <v>#REF!</v>
      </c>
      <c r="BL414" s="73"/>
    </row>
    <row r="415" spans="1:64" s="59" customFormat="1" ht="36" customHeight="1" x14ac:dyDescent="0.3">
      <c r="A415" s="305">
        <f t="shared" si="7"/>
        <v>410</v>
      </c>
      <c r="B415" s="90" t="s">
        <v>1439</v>
      </c>
      <c r="C415" s="305" t="s">
        <v>6</v>
      </c>
      <c r="D415" s="305" t="s">
        <v>262</v>
      </c>
      <c r="E415" s="305"/>
      <c r="F415" s="97"/>
      <c r="G415" s="305"/>
      <c r="H415" s="305"/>
      <c r="I415" s="305" t="s">
        <v>26</v>
      </c>
      <c r="J415" s="92" t="s">
        <v>1356</v>
      </c>
      <c r="K415" s="92" t="s">
        <v>1440</v>
      </c>
      <c r="L415" s="305" t="s">
        <v>1057</v>
      </c>
      <c r="M415" s="369" t="s">
        <v>120</v>
      </c>
      <c r="N415" s="305" t="s">
        <v>127</v>
      </c>
      <c r="O415" s="305"/>
      <c r="P415" s="158"/>
      <c r="Q415" s="305">
        <v>2.2000000000000002</v>
      </c>
      <c r="R415" s="305"/>
      <c r="S415" s="305">
        <v>50</v>
      </c>
      <c r="T415" s="369" t="s">
        <v>1441</v>
      </c>
      <c r="U415" s="369"/>
      <c r="V415" s="369"/>
      <c r="W415" s="369"/>
      <c r="X415" s="305"/>
      <c r="Y415" s="305"/>
      <c r="Z415" s="141"/>
      <c r="AA415" s="141"/>
      <c r="AB415" s="305"/>
      <c r="AC415" s="92" t="s">
        <v>1442</v>
      </c>
      <c r="AD415" s="369" t="s">
        <v>363</v>
      </c>
      <c r="AE415" s="118"/>
      <c r="AF415" s="118"/>
      <c r="AG415" s="118"/>
      <c r="AH415" s="93">
        <v>45807</v>
      </c>
      <c r="AI415" s="264">
        <v>45778</v>
      </c>
      <c r="AJ415" s="95" t="s">
        <v>264</v>
      </c>
      <c r="AK415" s="369" t="s">
        <v>265</v>
      </c>
      <c r="AL415" s="369"/>
      <c r="AM415" s="369"/>
      <c r="AN415" s="91"/>
      <c r="AO415" s="305"/>
      <c r="AP415" s="305"/>
      <c r="AQ415" s="291"/>
      <c r="AR415" s="305"/>
      <c r="AS415" s="305"/>
      <c r="AT415" s="305"/>
      <c r="AU415" s="305"/>
      <c r="AV415" s="305"/>
      <c r="AW415" s="305"/>
      <c r="AX415" s="305"/>
      <c r="AY415" s="305"/>
      <c r="AZ415" s="305"/>
      <c r="BA415" s="305"/>
      <c r="BB415" s="100"/>
      <c r="BC415" s="65"/>
      <c r="BD415" s="49" t="s">
        <v>816</v>
      </c>
      <c r="BE415" s="367"/>
      <c r="BF415" s="367"/>
      <c r="BG415" s="367"/>
      <c r="BH415" s="64" t="e">
        <f>#REF!</f>
        <v>#REF!</v>
      </c>
      <c r="BL415" s="73"/>
    </row>
    <row r="416" spans="1:64" s="59" customFormat="1" ht="36" customHeight="1" x14ac:dyDescent="0.3">
      <c r="A416" s="305">
        <f t="shared" si="7"/>
        <v>411</v>
      </c>
      <c r="B416" s="90" t="s">
        <v>1443</v>
      </c>
      <c r="C416" s="305" t="s">
        <v>6</v>
      </c>
      <c r="D416" s="305" t="s">
        <v>262</v>
      </c>
      <c r="E416" s="91"/>
      <c r="F416" s="97"/>
      <c r="G416" s="91"/>
      <c r="H416" s="91"/>
      <c r="I416" s="305" t="s">
        <v>26</v>
      </c>
      <c r="J416" s="92" t="s">
        <v>1356</v>
      </c>
      <c r="K416" s="92" t="s">
        <v>1440</v>
      </c>
      <c r="L416" s="305" t="s">
        <v>1057</v>
      </c>
      <c r="M416" s="369" t="s">
        <v>120</v>
      </c>
      <c r="N416" s="305" t="s">
        <v>127</v>
      </c>
      <c r="O416" s="305"/>
      <c r="P416" s="305"/>
      <c r="Q416" s="305"/>
      <c r="R416" s="305"/>
      <c r="S416" s="305"/>
      <c r="T416" s="369" t="s">
        <v>1441</v>
      </c>
      <c r="U416" s="369"/>
      <c r="V416" s="369"/>
      <c r="W416" s="369"/>
      <c r="X416" s="305"/>
      <c r="Y416" s="305"/>
      <c r="Z416" s="305"/>
      <c r="AA416" s="305"/>
      <c r="AB416" s="305"/>
      <c r="AC416" s="92" t="s">
        <v>1444</v>
      </c>
      <c r="AD416" s="369" t="s">
        <v>580</v>
      </c>
      <c r="AE416" s="115"/>
      <c r="AF416" s="115"/>
      <c r="AG416" s="115"/>
      <c r="AH416" s="93"/>
      <c r="AI416" s="94">
        <v>0</v>
      </c>
      <c r="AJ416" s="95" t="s">
        <v>264</v>
      </c>
      <c r="AK416" s="369"/>
      <c r="AL416" s="369"/>
      <c r="AM416" s="369"/>
      <c r="AN416" s="305"/>
      <c r="AO416" s="305"/>
      <c r="AP416" s="305"/>
      <c r="AQ416" s="291"/>
      <c r="AR416" s="305"/>
      <c r="AS416" s="305"/>
      <c r="AT416" s="305"/>
      <c r="AU416" s="305"/>
      <c r="AV416" s="305"/>
      <c r="AW416" s="305"/>
      <c r="AX416" s="305"/>
      <c r="AY416" s="305"/>
      <c r="AZ416" s="305"/>
      <c r="BA416" s="305"/>
      <c r="BB416" s="100" t="s">
        <v>1341</v>
      </c>
      <c r="BC416" s="65"/>
      <c r="BD416" s="49" t="s">
        <v>816</v>
      </c>
      <c r="BE416" s="367"/>
      <c r="BF416" s="367"/>
      <c r="BG416" s="367"/>
      <c r="BH416" s="64" t="e">
        <f>#REF!</f>
        <v>#REF!</v>
      </c>
      <c r="BL416" s="73"/>
    </row>
    <row r="417" spans="1:64" s="59" customFormat="1" ht="36" customHeight="1" x14ac:dyDescent="0.3">
      <c r="A417" s="156">
        <f t="shared" si="7"/>
        <v>412</v>
      </c>
      <c r="B417" s="90" t="s">
        <v>1445</v>
      </c>
      <c r="C417" s="305" t="s">
        <v>6</v>
      </c>
      <c r="D417" s="305" t="s">
        <v>1350</v>
      </c>
      <c r="E417" s="91">
        <v>45786</v>
      </c>
      <c r="F417" s="97">
        <v>45789</v>
      </c>
      <c r="G417" s="91"/>
      <c r="H417" s="91"/>
      <c r="I417" s="305" t="s">
        <v>26</v>
      </c>
      <c r="J417" s="92" t="s">
        <v>1282</v>
      </c>
      <c r="K417" s="92" t="s">
        <v>1446</v>
      </c>
      <c r="L417" s="305" t="s">
        <v>1057</v>
      </c>
      <c r="M417" s="369" t="s">
        <v>120</v>
      </c>
      <c r="N417" s="305" t="s">
        <v>127</v>
      </c>
      <c r="O417" s="305" t="s">
        <v>1073</v>
      </c>
      <c r="P417" s="158"/>
      <c r="Q417" s="305"/>
      <c r="R417" s="305"/>
      <c r="S417" s="305"/>
      <c r="T417" s="305">
        <v>16</v>
      </c>
      <c r="U417" s="305"/>
      <c r="V417" s="305" t="s">
        <v>127</v>
      </c>
      <c r="W417" s="305"/>
      <c r="X417" s="305" t="s">
        <v>350</v>
      </c>
      <c r="Y417" s="305"/>
      <c r="Z417" s="305" t="s">
        <v>127</v>
      </c>
      <c r="AA417" s="305"/>
      <c r="AB417" s="305" t="s">
        <v>215</v>
      </c>
      <c r="AC417" s="92" t="s">
        <v>1447</v>
      </c>
      <c r="AD417" s="369" t="s">
        <v>352</v>
      </c>
      <c r="AE417" s="115">
        <v>45776</v>
      </c>
      <c r="AF417" s="115"/>
      <c r="AG417" s="115">
        <v>45757</v>
      </c>
      <c r="AH417" s="93">
        <v>45777</v>
      </c>
      <c r="AI417" s="264">
        <v>45748</v>
      </c>
      <c r="AJ417" s="95" t="s">
        <v>131</v>
      </c>
      <c r="AK417" s="369" t="s">
        <v>366</v>
      </c>
      <c r="AL417" s="369"/>
      <c r="AM417" s="369" t="s">
        <v>134</v>
      </c>
      <c r="AN417" s="305"/>
      <c r="AO417" s="305"/>
      <c r="AP417" s="305"/>
      <c r="AQ417" s="291"/>
      <c r="AR417" s="305"/>
      <c r="AS417" s="305"/>
      <c r="AT417" s="91">
        <v>45736</v>
      </c>
      <c r="AU417" s="91">
        <v>45705</v>
      </c>
      <c r="AV417" s="91">
        <v>45706</v>
      </c>
      <c r="AW417" s="91">
        <v>45700</v>
      </c>
      <c r="AX417" s="305"/>
      <c r="AY417" s="305"/>
      <c r="AZ417" s="305"/>
      <c r="BA417" s="305"/>
      <c r="BB417" s="100" t="s">
        <v>1335</v>
      </c>
      <c r="BC417" s="65"/>
      <c r="BD417" s="49" t="s">
        <v>816</v>
      </c>
      <c r="BE417" s="367"/>
      <c r="BF417" s="367"/>
      <c r="BG417" s="367"/>
      <c r="BH417" s="64" t="e">
        <f>#REF!</f>
        <v>#REF!</v>
      </c>
      <c r="BL417" s="73"/>
    </row>
    <row r="418" spans="1:64" s="59" customFormat="1" ht="36" customHeight="1" x14ac:dyDescent="0.3">
      <c r="A418" s="305">
        <f t="shared" si="7"/>
        <v>413</v>
      </c>
      <c r="B418" s="90" t="s">
        <v>1448</v>
      </c>
      <c r="C418" s="305" t="s">
        <v>6</v>
      </c>
      <c r="D418" s="305" t="s">
        <v>1449</v>
      </c>
      <c r="E418" s="91">
        <v>45825</v>
      </c>
      <c r="F418" s="97">
        <v>45826</v>
      </c>
      <c r="G418" s="91"/>
      <c r="H418" s="91"/>
      <c r="I418" s="305" t="s">
        <v>26</v>
      </c>
      <c r="J418" s="92" t="s">
        <v>1450</v>
      </c>
      <c r="K418" s="92" t="s">
        <v>1450</v>
      </c>
      <c r="L418" s="305" t="s">
        <v>1057</v>
      </c>
      <c r="M418" s="369" t="s">
        <v>120</v>
      </c>
      <c r="N418" s="305" t="s">
        <v>127</v>
      </c>
      <c r="O418" s="305"/>
      <c r="P418" s="158"/>
      <c r="Q418" s="305"/>
      <c r="R418" s="305"/>
      <c r="S418" s="305"/>
      <c r="T418" s="305"/>
      <c r="U418" s="305"/>
      <c r="V418" s="305"/>
      <c r="W418" s="305"/>
      <c r="X418" s="305"/>
      <c r="Y418" s="305"/>
      <c r="Z418" s="305"/>
      <c r="AA418" s="305"/>
      <c r="AB418" s="305"/>
      <c r="AC418" s="92" t="s">
        <v>1451</v>
      </c>
      <c r="AD418" s="369" t="s">
        <v>169</v>
      </c>
      <c r="AE418" s="115"/>
      <c r="AF418" s="115"/>
      <c r="AG418" s="115">
        <v>45772</v>
      </c>
      <c r="AH418" s="93">
        <v>45838</v>
      </c>
      <c r="AI418" s="264">
        <v>45809</v>
      </c>
      <c r="AJ418" s="95" t="s">
        <v>131</v>
      </c>
      <c r="AK418" s="369" t="s">
        <v>1122</v>
      </c>
      <c r="AL418" s="369"/>
      <c r="AM418" s="369" t="s">
        <v>134</v>
      </c>
      <c r="AN418" s="305"/>
      <c r="AO418" s="305"/>
      <c r="AP418" s="305"/>
      <c r="AQ418" s="291"/>
      <c r="AR418" s="305"/>
      <c r="AS418" s="305"/>
      <c r="AT418" s="91">
        <v>45818</v>
      </c>
      <c r="AU418" s="91">
        <v>45796</v>
      </c>
      <c r="AV418" s="91">
        <v>45796</v>
      </c>
      <c r="AW418" s="305"/>
      <c r="AX418" s="305"/>
      <c r="AY418" s="305"/>
      <c r="AZ418" s="305"/>
      <c r="BA418" s="305"/>
      <c r="BB418" s="100"/>
      <c r="BC418" s="65"/>
      <c r="BD418" s="49" t="s">
        <v>816</v>
      </c>
      <c r="BE418" s="367"/>
      <c r="BF418" s="367"/>
      <c r="BG418" s="367"/>
      <c r="BH418" s="64" t="e">
        <f>#REF!</f>
        <v>#REF!</v>
      </c>
      <c r="BL418" s="73"/>
    </row>
    <row r="419" spans="1:64" s="59" customFormat="1" ht="36" customHeight="1" x14ac:dyDescent="0.3">
      <c r="A419" s="156">
        <f t="shared" si="7"/>
        <v>414</v>
      </c>
      <c r="B419" s="164" t="s">
        <v>1452</v>
      </c>
      <c r="C419" s="305" t="s">
        <v>6</v>
      </c>
      <c r="D419" s="305" t="s">
        <v>1453</v>
      </c>
      <c r="E419" s="91">
        <v>45745</v>
      </c>
      <c r="F419" s="97"/>
      <c r="G419" s="91"/>
      <c r="H419" s="91"/>
      <c r="I419" s="305" t="s">
        <v>26</v>
      </c>
      <c r="J419" s="92" t="s">
        <v>1282</v>
      </c>
      <c r="K419" s="92" t="s">
        <v>1446</v>
      </c>
      <c r="L419" s="305" t="s">
        <v>1057</v>
      </c>
      <c r="M419" s="369" t="s">
        <v>120</v>
      </c>
      <c r="N419" s="305" t="s">
        <v>127</v>
      </c>
      <c r="O419" s="305" t="s">
        <v>1073</v>
      </c>
      <c r="P419" s="158"/>
      <c r="Q419" s="305"/>
      <c r="R419" s="305"/>
      <c r="S419" s="305"/>
      <c r="T419" s="305"/>
      <c r="U419" s="305"/>
      <c r="V419" s="305"/>
      <c r="W419" s="305"/>
      <c r="X419" s="305"/>
      <c r="Y419" s="305"/>
      <c r="Z419" s="305"/>
      <c r="AA419" s="305"/>
      <c r="AB419" s="305"/>
      <c r="AC419" s="92" t="s">
        <v>1454</v>
      </c>
      <c r="AD419" s="369" t="s">
        <v>238</v>
      </c>
      <c r="AE419" s="115">
        <v>45741</v>
      </c>
      <c r="AF419" s="115"/>
      <c r="AG419" s="115">
        <v>45757</v>
      </c>
      <c r="AH419" s="93">
        <v>45746</v>
      </c>
      <c r="AI419" s="264">
        <v>45717</v>
      </c>
      <c r="AJ419" s="95" t="s">
        <v>131</v>
      </c>
      <c r="AK419" s="369" t="s">
        <v>366</v>
      </c>
      <c r="AL419" s="369" t="s">
        <v>778</v>
      </c>
      <c r="AM419" s="369" t="s">
        <v>209</v>
      </c>
      <c r="AN419" s="305"/>
      <c r="AO419" s="305"/>
      <c r="AP419" s="305"/>
      <c r="AQ419" s="291"/>
      <c r="AR419" s="305"/>
      <c r="AS419" s="305"/>
      <c r="AT419" s="91">
        <v>45705</v>
      </c>
      <c r="AU419" s="91">
        <v>45677</v>
      </c>
      <c r="AV419" s="91">
        <v>45677</v>
      </c>
      <c r="AW419" s="305"/>
      <c r="AX419" s="305"/>
      <c r="AY419" s="305"/>
      <c r="AZ419" s="305"/>
      <c r="BA419" s="305"/>
      <c r="BB419" s="100"/>
      <c r="BC419" s="65"/>
      <c r="BD419" s="49" t="s">
        <v>816</v>
      </c>
      <c r="BE419" s="367"/>
      <c r="BF419" s="367"/>
      <c r="BG419" s="367"/>
      <c r="BH419" s="64" t="e">
        <f>#REF!</f>
        <v>#REF!</v>
      </c>
      <c r="BL419" s="73"/>
    </row>
    <row r="420" spans="1:64" s="59" customFormat="1" ht="36" customHeight="1" x14ac:dyDescent="0.3">
      <c r="A420" s="156">
        <f t="shared" si="7"/>
        <v>415</v>
      </c>
      <c r="B420" s="90" t="s">
        <v>1455</v>
      </c>
      <c r="C420" s="305" t="s">
        <v>6</v>
      </c>
      <c r="D420" s="305" t="s">
        <v>1453</v>
      </c>
      <c r="E420" s="91">
        <v>45786</v>
      </c>
      <c r="F420" s="97">
        <v>45789</v>
      </c>
      <c r="G420" s="91"/>
      <c r="H420" s="91"/>
      <c r="I420" s="305" t="s">
        <v>26</v>
      </c>
      <c r="J420" s="92" t="s">
        <v>1282</v>
      </c>
      <c r="K420" s="92" t="s">
        <v>1446</v>
      </c>
      <c r="L420" s="305" t="s">
        <v>1057</v>
      </c>
      <c r="M420" s="369" t="s">
        <v>120</v>
      </c>
      <c r="N420" s="305" t="s">
        <v>127</v>
      </c>
      <c r="O420" s="305" t="s">
        <v>1073</v>
      </c>
      <c r="P420" s="158"/>
      <c r="Q420" s="305"/>
      <c r="R420" s="305"/>
      <c r="S420" s="305"/>
      <c r="T420" s="305">
        <v>16</v>
      </c>
      <c r="U420" s="305"/>
      <c r="V420" s="305" t="s">
        <v>127</v>
      </c>
      <c r="W420" s="305"/>
      <c r="X420" s="305" t="s">
        <v>350</v>
      </c>
      <c r="Y420" s="305"/>
      <c r="Z420" s="305" t="s">
        <v>127</v>
      </c>
      <c r="AA420" s="305"/>
      <c r="AB420" s="305" t="s">
        <v>215</v>
      </c>
      <c r="AC420" s="92" t="s">
        <v>1456</v>
      </c>
      <c r="AD420" s="369" t="s">
        <v>357</v>
      </c>
      <c r="AE420" s="115">
        <v>45776</v>
      </c>
      <c r="AF420" s="115"/>
      <c r="AG420" s="115">
        <v>45757</v>
      </c>
      <c r="AH420" s="93">
        <v>45777</v>
      </c>
      <c r="AI420" s="264">
        <v>45748</v>
      </c>
      <c r="AJ420" s="95" t="s">
        <v>131</v>
      </c>
      <c r="AK420" s="369" t="s">
        <v>366</v>
      </c>
      <c r="AL420" s="369"/>
      <c r="AM420" s="369" t="s">
        <v>134</v>
      </c>
      <c r="AN420" s="305"/>
      <c r="AO420" s="305"/>
      <c r="AP420" s="305"/>
      <c r="AQ420" s="291"/>
      <c r="AR420" s="305"/>
      <c r="AS420" s="305"/>
      <c r="AT420" s="91">
        <v>45736</v>
      </c>
      <c r="AU420" s="91">
        <v>45705</v>
      </c>
      <c r="AV420" s="91">
        <v>45706</v>
      </c>
      <c r="AW420" s="91">
        <v>45700</v>
      </c>
      <c r="AX420" s="305"/>
      <c r="AY420" s="305"/>
      <c r="AZ420" s="305"/>
      <c r="BA420" s="305"/>
      <c r="BB420" s="100" t="s">
        <v>1335</v>
      </c>
      <c r="BC420" s="65"/>
      <c r="BD420" s="329" t="s">
        <v>816</v>
      </c>
      <c r="BE420" s="367"/>
      <c r="BF420" s="367"/>
      <c r="BG420" s="367"/>
      <c r="BH420" s="64" t="e">
        <f>#REF!</f>
        <v>#REF!</v>
      </c>
      <c r="BL420" s="73"/>
    </row>
    <row r="421" spans="1:64" ht="36" customHeight="1" x14ac:dyDescent="0.3">
      <c r="A421" s="156">
        <f t="shared" si="7"/>
        <v>416</v>
      </c>
      <c r="B421" s="90" t="s">
        <v>1457</v>
      </c>
      <c r="C421" s="305" t="s">
        <v>6</v>
      </c>
      <c r="D421" s="305" t="s">
        <v>1324</v>
      </c>
      <c r="E421" s="91">
        <v>45838</v>
      </c>
      <c r="F421" s="97"/>
      <c r="G421" s="91"/>
      <c r="H421" s="91"/>
      <c r="I421" s="305" t="s">
        <v>26</v>
      </c>
      <c r="J421" s="90" t="s">
        <v>1282</v>
      </c>
      <c r="K421" s="92" t="s">
        <v>1329</v>
      </c>
      <c r="L421" s="305" t="s">
        <v>1057</v>
      </c>
      <c r="M421" s="369" t="s">
        <v>65</v>
      </c>
      <c r="N421" s="305" t="s">
        <v>127</v>
      </c>
      <c r="O421" s="305" t="s">
        <v>1073</v>
      </c>
      <c r="P421" s="158"/>
      <c r="Q421" s="305"/>
      <c r="R421" s="305"/>
      <c r="S421" s="305"/>
      <c r="T421" s="305">
        <v>11.9</v>
      </c>
      <c r="U421" s="305"/>
      <c r="V421" s="305"/>
      <c r="W421" s="305"/>
      <c r="X421" s="305"/>
      <c r="Y421" s="305"/>
      <c r="Z421" s="305" t="s">
        <v>127</v>
      </c>
      <c r="AA421" s="305"/>
      <c r="AB421" s="305"/>
      <c r="AC421" s="92" t="s">
        <v>1458</v>
      </c>
      <c r="AD421" s="369" t="s">
        <v>1459</v>
      </c>
      <c r="AE421" s="115"/>
      <c r="AF421" s="115"/>
      <c r="AG421" s="115">
        <v>45741</v>
      </c>
      <c r="AH421" s="93">
        <v>45838</v>
      </c>
      <c r="AI421" s="264">
        <v>45809</v>
      </c>
      <c r="AJ421" s="369" t="s">
        <v>131</v>
      </c>
      <c r="AK421" s="369" t="s">
        <v>1064</v>
      </c>
      <c r="AL421" s="369" t="s">
        <v>175</v>
      </c>
      <c r="AM421" s="369" t="s">
        <v>209</v>
      </c>
      <c r="AN421" s="305"/>
      <c r="AO421" s="305"/>
      <c r="AP421" s="305"/>
      <c r="AQ421" s="291"/>
      <c r="AR421" s="305"/>
      <c r="AS421" s="305"/>
      <c r="AT421" s="91">
        <v>45797</v>
      </c>
      <c r="AU421" s="91">
        <v>45769</v>
      </c>
      <c r="AV421" s="91">
        <v>45776</v>
      </c>
      <c r="AW421" s="91">
        <v>45761</v>
      </c>
      <c r="AX421" s="305"/>
      <c r="AY421" s="305"/>
      <c r="AZ421" s="91">
        <v>45808</v>
      </c>
      <c r="BA421" s="91"/>
      <c r="BB421" s="100"/>
      <c r="BC421" s="65"/>
      <c r="BD421" s="329" t="s">
        <v>816</v>
      </c>
      <c r="BE421" s="367"/>
      <c r="BF421" s="367"/>
      <c r="BG421" s="367"/>
      <c r="BH421" s="64" t="e">
        <f>#REF!</f>
        <v>#REF!</v>
      </c>
      <c r="BL421" s="54"/>
    </row>
    <row r="422" spans="1:64" ht="44.4" customHeight="1" x14ac:dyDescent="0.3">
      <c r="A422" s="156">
        <f t="shared" si="7"/>
        <v>417</v>
      </c>
      <c r="B422" s="90" t="s">
        <v>1460</v>
      </c>
      <c r="C422" s="305" t="s">
        <v>6</v>
      </c>
      <c r="D422" s="305" t="s">
        <v>1324</v>
      </c>
      <c r="E422" s="91">
        <v>45838</v>
      </c>
      <c r="F422" s="97"/>
      <c r="G422" s="91"/>
      <c r="H422" s="91"/>
      <c r="I422" s="305" t="s">
        <v>26</v>
      </c>
      <c r="J422" s="92" t="s">
        <v>1282</v>
      </c>
      <c r="K422" s="92" t="s">
        <v>1329</v>
      </c>
      <c r="L422" s="305" t="s">
        <v>1057</v>
      </c>
      <c r="M422" s="369" t="s">
        <v>65</v>
      </c>
      <c r="N422" s="305" t="s">
        <v>127</v>
      </c>
      <c r="O422" s="305" t="s">
        <v>1073</v>
      </c>
      <c r="P422" s="158"/>
      <c r="Q422" s="305"/>
      <c r="R422" s="305"/>
      <c r="S422" s="305"/>
      <c r="T422" s="110">
        <v>11.9</v>
      </c>
      <c r="U422" s="110"/>
      <c r="V422" s="110"/>
      <c r="W422" s="110"/>
      <c r="X422" s="305"/>
      <c r="Y422" s="305"/>
      <c r="Z422" s="305" t="s">
        <v>127</v>
      </c>
      <c r="AA422" s="110"/>
      <c r="AB422" s="305"/>
      <c r="AC422" s="92" t="s">
        <v>1461</v>
      </c>
      <c r="AD422" s="369" t="s">
        <v>169</v>
      </c>
      <c r="AE422" s="115"/>
      <c r="AF422" s="115"/>
      <c r="AG422" s="115">
        <v>45741</v>
      </c>
      <c r="AH422" s="93">
        <v>45838</v>
      </c>
      <c r="AI422" s="264">
        <v>45809</v>
      </c>
      <c r="AJ422" s="369" t="s">
        <v>131</v>
      </c>
      <c r="AK422" s="369" t="s">
        <v>1064</v>
      </c>
      <c r="AL422" s="369"/>
      <c r="AM422" s="369" t="s">
        <v>209</v>
      </c>
      <c r="AN422" s="369"/>
      <c r="AO422" s="369"/>
      <c r="AP422" s="305"/>
      <c r="AQ422" s="371"/>
      <c r="AR422" s="369"/>
      <c r="AS422" s="305"/>
      <c r="AT422" s="91">
        <v>45797</v>
      </c>
      <c r="AU422" s="91">
        <v>45769</v>
      </c>
      <c r="AV422" s="91">
        <v>45776</v>
      </c>
      <c r="AW422" s="305"/>
      <c r="AX422" s="305"/>
      <c r="AY422" s="305"/>
      <c r="AZ422" s="91">
        <v>45808</v>
      </c>
      <c r="BA422" s="91"/>
      <c r="BB422" s="100" t="s">
        <v>1385</v>
      </c>
      <c r="BC422" s="65"/>
      <c r="BD422" s="49" t="s">
        <v>816</v>
      </c>
      <c r="BE422" s="72"/>
      <c r="BF422" s="367"/>
      <c r="BG422" s="367"/>
      <c r="BH422" s="64" t="e">
        <f>#REF!</f>
        <v>#REF!</v>
      </c>
      <c r="BL422" s="54"/>
    </row>
    <row r="423" spans="1:64" ht="36" customHeight="1" x14ac:dyDescent="0.3">
      <c r="A423" s="156">
        <f t="shared" si="7"/>
        <v>418</v>
      </c>
      <c r="B423" s="90" t="s">
        <v>1462</v>
      </c>
      <c r="C423" s="305" t="s">
        <v>6</v>
      </c>
      <c r="D423" s="305" t="s">
        <v>1324</v>
      </c>
      <c r="E423" s="91">
        <v>45770</v>
      </c>
      <c r="F423" s="97">
        <v>45770</v>
      </c>
      <c r="G423" s="91"/>
      <c r="H423" s="91"/>
      <c r="I423" s="305" t="s">
        <v>26</v>
      </c>
      <c r="J423" s="90" t="s">
        <v>1282</v>
      </c>
      <c r="K423" s="92" t="s">
        <v>1329</v>
      </c>
      <c r="L423" s="305" t="s">
        <v>1057</v>
      </c>
      <c r="M423" s="369" t="s">
        <v>65</v>
      </c>
      <c r="N423" s="305" t="s">
        <v>127</v>
      </c>
      <c r="O423" s="305" t="s">
        <v>1073</v>
      </c>
      <c r="P423" s="158"/>
      <c r="Q423" s="305"/>
      <c r="R423" s="305"/>
      <c r="S423" s="305"/>
      <c r="T423" s="305">
        <v>11.9</v>
      </c>
      <c r="U423" s="305"/>
      <c r="V423" s="305"/>
      <c r="W423" s="305"/>
      <c r="X423" s="305"/>
      <c r="Y423" s="305"/>
      <c r="Z423" s="305" t="s">
        <v>127</v>
      </c>
      <c r="AA423" s="305"/>
      <c r="AB423" s="305"/>
      <c r="AC423" s="92" t="s">
        <v>1463</v>
      </c>
      <c r="AD423" s="369" t="s">
        <v>1464</v>
      </c>
      <c r="AE423" s="118"/>
      <c r="AF423" s="118"/>
      <c r="AG423" s="118">
        <v>45741</v>
      </c>
      <c r="AH423" s="93">
        <v>45777</v>
      </c>
      <c r="AI423" s="264">
        <v>45748</v>
      </c>
      <c r="AJ423" s="369" t="s">
        <v>131</v>
      </c>
      <c r="AK423" s="369" t="s">
        <v>366</v>
      </c>
      <c r="AL423" s="369" t="s">
        <v>778</v>
      </c>
      <c r="AM423" s="369" t="s">
        <v>209</v>
      </c>
      <c r="AN423" s="305"/>
      <c r="AO423" s="305"/>
      <c r="AP423" s="305"/>
      <c r="AQ423" s="291"/>
      <c r="AR423" s="305"/>
      <c r="AS423" s="305"/>
      <c r="AT423" s="91">
        <v>45715</v>
      </c>
      <c r="AU423" s="91">
        <v>45692</v>
      </c>
      <c r="AV423" s="91">
        <v>45699</v>
      </c>
      <c r="AW423" s="91">
        <v>45692</v>
      </c>
      <c r="AX423" s="305"/>
      <c r="AY423" s="305"/>
      <c r="AZ423" s="305"/>
      <c r="BA423" s="305"/>
      <c r="BB423" s="92"/>
      <c r="BC423" s="47"/>
      <c r="BD423" s="49" t="s">
        <v>816</v>
      </c>
      <c r="BE423" s="70"/>
      <c r="BF423" s="367"/>
      <c r="BG423" s="367"/>
      <c r="BH423" s="64" t="e">
        <f>#REF!</f>
        <v>#REF!</v>
      </c>
      <c r="BL423" s="54"/>
    </row>
    <row r="424" spans="1:64" ht="36" customHeight="1" x14ac:dyDescent="0.3">
      <c r="A424" s="305">
        <f t="shared" si="7"/>
        <v>419</v>
      </c>
      <c r="B424" s="90" t="s">
        <v>1465</v>
      </c>
      <c r="C424" s="305" t="s">
        <v>0</v>
      </c>
      <c r="D424" s="305" t="s">
        <v>1466</v>
      </c>
      <c r="E424" s="91">
        <v>45868</v>
      </c>
      <c r="F424" s="97"/>
      <c r="G424" s="91"/>
      <c r="H424" s="91"/>
      <c r="I424" s="305"/>
      <c r="J424" s="90" t="s">
        <v>577</v>
      </c>
      <c r="K424" s="92" t="s">
        <v>573</v>
      </c>
      <c r="L424" s="305"/>
      <c r="M424" s="369"/>
      <c r="N424" s="305"/>
      <c r="O424" s="305"/>
      <c r="P424" s="158"/>
      <c r="Q424" s="305"/>
      <c r="R424" s="305"/>
      <c r="S424" s="305"/>
      <c r="T424" s="305"/>
      <c r="U424" s="305"/>
      <c r="V424" s="305"/>
      <c r="W424" s="305"/>
      <c r="X424" s="305"/>
      <c r="Y424" s="305"/>
      <c r="Z424" s="305"/>
      <c r="AA424" s="305"/>
      <c r="AB424" s="305"/>
      <c r="AC424" s="92" t="s">
        <v>1467</v>
      </c>
      <c r="AD424" s="369" t="s">
        <v>182</v>
      </c>
      <c r="AE424" s="118"/>
      <c r="AF424" s="118"/>
      <c r="AG424" s="118"/>
      <c r="AH424" s="93">
        <v>45868</v>
      </c>
      <c r="AI424" s="264">
        <v>45839</v>
      </c>
      <c r="AJ424" s="369" t="s">
        <v>131</v>
      </c>
      <c r="AK424" s="369" t="s">
        <v>161</v>
      </c>
      <c r="AL424" s="369" t="s">
        <v>778</v>
      </c>
      <c r="AM424" s="369" t="s">
        <v>209</v>
      </c>
      <c r="AN424" s="305"/>
      <c r="AO424" s="305"/>
      <c r="AP424" s="305"/>
      <c r="AQ424" s="291"/>
      <c r="AR424" s="305"/>
      <c r="AS424" s="305"/>
      <c r="AT424" s="91">
        <v>45823</v>
      </c>
      <c r="AU424" s="91">
        <v>45791</v>
      </c>
      <c r="AV424" s="91">
        <v>45803</v>
      </c>
      <c r="AW424" s="91">
        <v>45796</v>
      </c>
      <c r="AX424" s="305"/>
      <c r="AY424" s="305"/>
      <c r="AZ424" s="305"/>
      <c r="BA424" s="305"/>
      <c r="BB424" s="92"/>
      <c r="BC424" s="47"/>
      <c r="BD424" s="49"/>
      <c r="BE424" s="70"/>
      <c r="BF424" s="367"/>
      <c r="BG424" s="367"/>
      <c r="BH424" s="64" t="e">
        <f>#REF!</f>
        <v>#REF!</v>
      </c>
      <c r="BL424" s="54"/>
    </row>
    <row r="425" spans="1:64" ht="36" customHeight="1" x14ac:dyDescent="0.3">
      <c r="A425" s="305">
        <f t="shared" si="7"/>
        <v>420</v>
      </c>
      <c r="B425" s="90" t="s">
        <v>1468</v>
      </c>
      <c r="C425" s="305" t="s">
        <v>0</v>
      </c>
      <c r="D425" s="305" t="s">
        <v>1469</v>
      </c>
      <c r="E425" s="91">
        <v>46065</v>
      </c>
      <c r="F425" s="97"/>
      <c r="G425" s="91"/>
      <c r="H425" s="91"/>
      <c r="I425" s="305"/>
      <c r="J425" s="90" t="s">
        <v>1470</v>
      </c>
      <c r="K425" s="92" t="s">
        <v>1471</v>
      </c>
      <c r="L425" s="305">
        <v>1090</v>
      </c>
      <c r="M425" s="369" t="s">
        <v>120</v>
      </c>
      <c r="N425" s="305"/>
      <c r="O425" s="305" t="s">
        <v>127</v>
      </c>
      <c r="P425" s="158"/>
      <c r="Q425" s="305"/>
      <c r="R425" s="305"/>
      <c r="S425" s="305"/>
      <c r="T425" s="110">
        <v>15</v>
      </c>
      <c r="U425" s="110"/>
      <c r="V425" s="110"/>
      <c r="W425" s="110"/>
      <c r="X425" s="305"/>
      <c r="Y425" s="305"/>
      <c r="Z425" s="110" t="s">
        <v>127</v>
      </c>
      <c r="AA425" s="110"/>
      <c r="AB425" s="305" t="s">
        <v>215</v>
      </c>
      <c r="AC425" s="92" t="s">
        <v>1472</v>
      </c>
      <c r="AD425" s="369" t="s">
        <v>199</v>
      </c>
      <c r="AE425" s="118"/>
      <c r="AF425" s="118"/>
      <c r="AG425" s="118"/>
      <c r="AH425" s="93">
        <v>45868</v>
      </c>
      <c r="AI425" s="264">
        <v>45839</v>
      </c>
      <c r="AJ425" s="369" t="s">
        <v>648</v>
      </c>
      <c r="AK425" s="369" t="s">
        <v>200</v>
      </c>
      <c r="AL425" s="369" t="s">
        <v>183</v>
      </c>
      <c r="AM425" s="150" t="s">
        <v>134</v>
      </c>
      <c r="AN425" s="91"/>
      <c r="AO425" s="305"/>
      <c r="AP425" s="305"/>
      <c r="AQ425" s="291"/>
      <c r="AR425" s="305"/>
      <c r="AS425" s="305"/>
      <c r="AT425" s="305"/>
      <c r="AU425" s="305"/>
      <c r="AV425" s="305"/>
      <c r="AW425" s="305"/>
      <c r="AX425" s="305"/>
      <c r="AY425" s="305"/>
      <c r="AZ425" s="305"/>
      <c r="BA425" s="305"/>
      <c r="BB425" s="100" t="s">
        <v>1473</v>
      </c>
      <c r="BC425" s="65"/>
      <c r="BD425" s="49"/>
      <c r="BE425" s="367"/>
      <c r="BF425" s="367"/>
      <c r="BG425" s="367"/>
      <c r="BH425" s="64" t="e">
        <f>#REF!</f>
        <v>#REF!</v>
      </c>
      <c r="BL425" s="54"/>
    </row>
    <row r="426" spans="1:64" ht="36" customHeight="1" x14ac:dyDescent="0.3">
      <c r="A426" s="247">
        <f t="shared" si="7"/>
        <v>421</v>
      </c>
      <c r="B426" s="90" t="s">
        <v>1474</v>
      </c>
      <c r="C426" s="305" t="s">
        <v>0</v>
      </c>
      <c r="D426" s="305" t="s">
        <v>1475</v>
      </c>
      <c r="E426" s="91">
        <v>45961</v>
      </c>
      <c r="F426" s="97">
        <v>45964</v>
      </c>
      <c r="G426" s="91"/>
      <c r="H426" s="91"/>
      <c r="I426" s="305"/>
      <c r="J426" s="90" t="s">
        <v>1470</v>
      </c>
      <c r="K426" s="92" t="s">
        <v>1476</v>
      </c>
      <c r="L426" s="305">
        <v>920</v>
      </c>
      <c r="M426" s="369" t="s">
        <v>120</v>
      </c>
      <c r="N426" s="305"/>
      <c r="O426" s="305" t="s">
        <v>127</v>
      </c>
      <c r="P426" s="158"/>
      <c r="Q426" s="305"/>
      <c r="R426" s="305"/>
      <c r="S426" s="305"/>
      <c r="T426" s="305">
        <v>14</v>
      </c>
      <c r="U426" s="305"/>
      <c r="V426" s="305"/>
      <c r="W426" s="305"/>
      <c r="X426" s="305"/>
      <c r="Y426" s="305"/>
      <c r="Z426" s="305" t="s">
        <v>127</v>
      </c>
      <c r="AA426" s="305"/>
      <c r="AB426" s="305" t="s">
        <v>215</v>
      </c>
      <c r="AC426" s="92" t="s">
        <v>1477</v>
      </c>
      <c r="AD426" s="369" t="s">
        <v>199</v>
      </c>
      <c r="AE426" s="115"/>
      <c r="AF426" s="115"/>
      <c r="AG426" s="115"/>
      <c r="AH426" s="93">
        <v>45868</v>
      </c>
      <c r="AI426" s="264">
        <v>45839</v>
      </c>
      <c r="AJ426" s="369" t="s">
        <v>648</v>
      </c>
      <c r="AK426" s="369" t="s">
        <v>200</v>
      </c>
      <c r="AL426" s="369" t="s">
        <v>1478</v>
      </c>
      <c r="AM426" s="369" t="s">
        <v>134</v>
      </c>
      <c r="AN426" s="96"/>
      <c r="AO426" s="369"/>
      <c r="AP426" s="305"/>
      <c r="AQ426" s="371"/>
      <c r="AR426" s="369"/>
      <c r="AS426" s="305"/>
      <c r="AT426" s="91">
        <v>45940</v>
      </c>
      <c r="AU426" s="91">
        <v>45910</v>
      </c>
      <c r="AV426" s="91">
        <v>45910</v>
      </c>
      <c r="AW426" s="305"/>
      <c r="AX426" s="305"/>
      <c r="AY426" s="305"/>
      <c r="AZ426" s="305"/>
      <c r="BA426" s="305"/>
      <c r="BB426" s="100"/>
      <c r="BC426" s="65"/>
      <c r="BD426" s="49"/>
      <c r="BE426" s="367"/>
      <c r="BF426" s="367"/>
      <c r="BG426" s="367"/>
      <c r="BH426" s="64" t="e">
        <f>#REF!</f>
        <v>#REF!</v>
      </c>
      <c r="BL426" s="54"/>
    </row>
    <row r="427" spans="1:64" ht="36" customHeight="1" x14ac:dyDescent="0.3">
      <c r="A427" s="305">
        <f t="shared" si="7"/>
        <v>422</v>
      </c>
      <c r="B427" s="54" t="s">
        <v>1479</v>
      </c>
      <c r="C427" s="305" t="s">
        <v>0</v>
      </c>
      <c r="D427" s="305" t="s">
        <v>1480</v>
      </c>
      <c r="E427" s="45">
        <v>45716</v>
      </c>
      <c r="F427" s="154"/>
      <c r="G427" s="367"/>
      <c r="H427" s="367"/>
      <c r="I427" s="367" t="s">
        <v>20</v>
      </c>
      <c r="J427" s="90" t="s">
        <v>212</v>
      </c>
      <c r="K427" s="92" t="s">
        <v>1481</v>
      </c>
      <c r="L427" s="305">
        <v>1100</v>
      </c>
      <c r="M427" s="248" t="s">
        <v>65</v>
      </c>
      <c r="N427" s="367"/>
      <c r="O427" s="305" t="s">
        <v>127</v>
      </c>
      <c r="P427" s="158"/>
      <c r="Q427" s="305"/>
      <c r="R427" s="305"/>
      <c r="S427" s="305"/>
      <c r="T427" s="367">
        <v>7.32</v>
      </c>
      <c r="U427" s="367"/>
      <c r="V427" s="367"/>
      <c r="W427" s="367"/>
      <c r="X427" s="367"/>
      <c r="Y427" s="367"/>
      <c r="Z427" s="367"/>
      <c r="AA427" s="367"/>
      <c r="AB427" s="305" t="s">
        <v>215</v>
      </c>
      <c r="AC427" s="48" t="s">
        <v>1482</v>
      </c>
      <c r="AD427" s="369" t="s">
        <v>207</v>
      </c>
      <c r="AE427" s="151"/>
      <c r="AF427" s="151"/>
      <c r="AG427" s="151"/>
      <c r="AH427" s="49">
        <v>45716</v>
      </c>
      <c r="AI427" s="264">
        <v>45689</v>
      </c>
      <c r="AJ427" s="369" t="s">
        <v>131</v>
      </c>
      <c r="AK427" s="369" t="s">
        <v>200</v>
      </c>
      <c r="AL427" s="369" t="s">
        <v>154</v>
      </c>
      <c r="AM427" s="150" t="s">
        <v>134</v>
      </c>
      <c r="AN427" s="367"/>
      <c r="AO427" s="367"/>
      <c r="AP427" s="367"/>
      <c r="AQ427" s="366"/>
      <c r="AR427" s="367"/>
      <c r="AS427" s="367"/>
      <c r="AT427" s="45">
        <v>45705</v>
      </c>
      <c r="AU427" s="45">
        <v>45672</v>
      </c>
      <c r="AV427" s="45">
        <v>45672</v>
      </c>
      <c r="AW427" s="45">
        <v>45672</v>
      </c>
      <c r="AX427" s="367"/>
      <c r="AY427" s="367"/>
      <c r="AZ427" s="367"/>
      <c r="BA427" s="367"/>
      <c r="BB427" s="152"/>
      <c r="BC427" s="152"/>
      <c r="BD427" s="367"/>
      <c r="BE427" s="367"/>
      <c r="BF427" s="367"/>
      <c r="BG427" s="367"/>
      <c r="BH427" s="64" t="e">
        <f>#REF!</f>
        <v>#REF!</v>
      </c>
      <c r="BL427" s="54"/>
    </row>
    <row r="428" spans="1:64" ht="36" customHeight="1" x14ac:dyDescent="0.3">
      <c r="A428" s="249">
        <f t="shared" si="7"/>
        <v>423</v>
      </c>
      <c r="B428" s="54" t="s">
        <v>1483</v>
      </c>
      <c r="C428" s="305" t="s">
        <v>0</v>
      </c>
      <c r="D428" s="305" t="s">
        <v>1484</v>
      </c>
      <c r="E428" s="45">
        <v>45775</v>
      </c>
      <c r="F428" s="154">
        <v>45775</v>
      </c>
      <c r="G428" s="45">
        <v>45798</v>
      </c>
      <c r="H428" s="367"/>
      <c r="I428" s="367" t="s">
        <v>20</v>
      </c>
      <c r="J428" s="90" t="s">
        <v>369</v>
      </c>
      <c r="K428" s="92" t="s">
        <v>474</v>
      </c>
      <c r="L428" s="367">
        <v>1110</v>
      </c>
      <c r="M428" s="150" t="s">
        <v>65</v>
      </c>
      <c r="N428" s="367"/>
      <c r="O428" s="305" t="s">
        <v>127</v>
      </c>
      <c r="P428" s="158"/>
      <c r="Q428" s="305"/>
      <c r="R428" s="305"/>
      <c r="S428" s="305"/>
      <c r="T428" s="367">
        <v>6.7</v>
      </c>
      <c r="U428" s="367"/>
      <c r="V428" s="367"/>
      <c r="W428" s="367"/>
      <c r="X428" s="367"/>
      <c r="Y428" s="367" t="s">
        <v>127</v>
      </c>
      <c r="Z428" s="367"/>
      <c r="AA428" s="367"/>
      <c r="AB428" s="305" t="s">
        <v>215</v>
      </c>
      <c r="AC428" s="48" t="s">
        <v>1485</v>
      </c>
      <c r="AD428" s="369" t="s">
        <v>152</v>
      </c>
      <c r="AE428" s="151"/>
      <c r="AF428" s="151"/>
      <c r="AG428" s="151"/>
      <c r="AH428" s="49">
        <v>45868</v>
      </c>
      <c r="AI428" s="264">
        <v>45839</v>
      </c>
      <c r="AJ428" s="369" t="s">
        <v>131</v>
      </c>
      <c r="AK428" s="369" t="s">
        <v>1060</v>
      </c>
      <c r="AL428" s="369" t="s">
        <v>154</v>
      </c>
      <c r="AM428" s="150" t="s">
        <v>134</v>
      </c>
      <c r="AN428" s="367"/>
      <c r="AO428" s="367"/>
      <c r="AP428" s="367"/>
      <c r="AQ428" s="366"/>
      <c r="AR428" s="367"/>
      <c r="AS428" s="367"/>
      <c r="AT428" s="45">
        <v>45772</v>
      </c>
      <c r="AU428" s="367"/>
      <c r="AV428" s="367"/>
      <c r="AW428" s="45">
        <v>45734</v>
      </c>
      <c r="AX428" s="367"/>
      <c r="AY428" s="367"/>
      <c r="AZ428" s="367"/>
      <c r="BA428" s="367"/>
      <c r="BB428" s="259" t="s">
        <v>1486</v>
      </c>
      <c r="BC428" s="152"/>
      <c r="BD428" s="367"/>
      <c r="BE428" s="367"/>
      <c r="BF428" s="367"/>
      <c r="BG428" s="367"/>
      <c r="BH428" s="64" t="e">
        <f>#REF!</f>
        <v>#REF!</v>
      </c>
      <c r="BL428" s="54"/>
    </row>
    <row r="429" spans="1:64" ht="36" customHeight="1" x14ac:dyDescent="0.3">
      <c r="A429" s="305">
        <f t="shared" si="7"/>
        <v>424</v>
      </c>
      <c r="B429" s="54" t="s">
        <v>1487</v>
      </c>
      <c r="C429" s="305" t="s">
        <v>0</v>
      </c>
      <c r="D429" s="305" t="s">
        <v>262</v>
      </c>
      <c r="E429" s="154"/>
      <c r="F429" s="58"/>
      <c r="G429" s="367"/>
      <c r="H429" s="367"/>
      <c r="I429" s="367" t="s">
        <v>20</v>
      </c>
      <c r="J429" s="90" t="s">
        <v>369</v>
      </c>
      <c r="K429" s="92" t="s">
        <v>1488</v>
      </c>
      <c r="L429" s="367">
        <v>1100</v>
      </c>
      <c r="M429" s="150" t="s">
        <v>65</v>
      </c>
      <c r="N429" s="367"/>
      <c r="O429" s="305" t="s">
        <v>127</v>
      </c>
      <c r="P429" s="158"/>
      <c r="Q429" s="305"/>
      <c r="R429" s="305"/>
      <c r="S429" s="305"/>
      <c r="T429" s="367">
        <v>7.1</v>
      </c>
      <c r="U429" s="367"/>
      <c r="V429" s="367"/>
      <c r="W429" s="367"/>
      <c r="X429" s="367"/>
      <c r="Y429" s="367" t="s">
        <v>127</v>
      </c>
      <c r="Z429" s="367"/>
      <c r="AA429" s="367"/>
      <c r="AB429" s="305" t="s">
        <v>215</v>
      </c>
      <c r="AC429" s="48" t="s">
        <v>1489</v>
      </c>
      <c r="AD429" s="369" t="s">
        <v>152</v>
      </c>
      <c r="AE429" s="151"/>
      <c r="AF429" s="151"/>
      <c r="AG429" s="151"/>
      <c r="AH429" s="49"/>
      <c r="AI429" s="264"/>
      <c r="AJ429" s="369" t="s">
        <v>264</v>
      </c>
      <c r="AK429" s="369"/>
      <c r="AL429" s="369"/>
      <c r="AM429" s="150" t="s">
        <v>134</v>
      </c>
      <c r="AN429" s="367"/>
      <c r="AO429" s="367"/>
      <c r="AP429" s="367"/>
      <c r="AQ429" s="366"/>
      <c r="AR429" s="367"/>
      <c r="AS429" s="367"/>
      <c r="AT429" s="367"/>
      <c r="AU429" s="367"/>
      <c r="AV429" s="367"/>
      <c r="AW429" s="367"/>
      <c r="AX429" s="367"/>
      <c r="AY429" s="367"/>
      <c r="AZ429" s="367"/>
      <c r="BA429" s="367"/>
      <c r="BB429" s="152"/>
      <c r="BC429" s="152"/>
      <c r="BD429" s="367"/>
      <c r="BE429" s="367"/>
      <c r="BF429" s="367"/>
      <c r="BG429" s="367"/>
      <c r="BH429" s="64" t="e">
        <f>#REF!</f>
        <v>#REF!</v>
      </c>
      <c r="BL429" s="54"/>
    </row>
    <row r="430" spans="1:64" ht="36" customHeight="1" x14ac:dyDescent="0.3">
      <c r="A430" s="249">
        <f t="shared" si="7"/>
        <v>425</v>
      </c>
      <c r="B430" s="54" t="s">
        <v>1490</v>
      </c>
      <c r="C430" s="305" t="s">
        <v>0</v>
      </c>
      <c r="D430" s="305" t="s">
        <v>1491</v>
      </c>
      <c r="E430" s="45">
        <v>45782</v>
      </c>
      <c r="F430" s="154">
        <v>45789</v>
      </c>
      <c r="G430" s="367"/>
      <c r="H430" s="367"/>
      <c r="I430" s="367" t="s">
        <v>20</v>
      </c>
      <c r="J430" s="54" t="s">
        <v>577</v>
      </c>
      <c r="K430" s="48" t="s">
        <v>1492</v>
      </c>
      <c r="L430" s="367">
        <v>1140</v>
      </c>
      <c r="M430" s="150" t="s">
        <v>120</v>
      </c>
      <c r="N430" s="367"/>
      <c r="O430" s="305" t="s">
        <v>127</v>
      </c>
      <c r="P430" s="158"/>
      <c r="Q430" s="305"/>
      <c r="R430" s="305"/>
      <c r="S430" s="305"/>
      <c r="T430" s="367">
        <v>11.4</v>
      </c>
      <c r="U430" s="367"/>
      <c r="V430" s="367"/>
      <c r="W430" s="367"/>
      <c r="X430" s="367"/>
      <c r="Y430" s="367" t="s">
        <v>127</v>
      </c>
      <c r="Z430" s="367"/>
      <c r="AA430" s="367" t="s">
        <v>214</v>
      </c>
      <c r="AB430" s="305" t="s">
        <v>383</v>
      </c>
      <c r="AC430" s="92" t="s">
        <v>1493</v>
      </c>
      <c r="AD430" s="150" t="s">
        <v>284</v>
      </c>
      <c r="AE430" s="151"/>
      <c r="AF430" s="151"/>
      <c r="AG430" s="151"/>
      <c r="AH430" s="49">
        <v>45772</v>
      </c>
      <c r="AI430" s="264">
        <v>45748</v>
      </c>
      <c r="AJ430" s="369" t="s">
        <v>131</v>
      </c>
      <c r="AK430" s="369" t="s">
        <v>1060</v>
      </c>
      <c r="AL430" s="369" t="s">
        <v>154</v>
      </c>
      <c r="AM430" s="150" t="s">
        <v>209</v>
      </c>
      <c r="AN430" s="367"/>
      <c r="AO430" s="367"/>
      <c r="AP430" s="367"/>
      <c r="AQ430" s="366"/>
      <c r="AR430" s="367"/>
      <c r="AS430" s="367"/>
      <c r="AT430" s="45">
        <v>45744</v>
      </c>
      <c r="AU430" s="45">
        <v>45719</v>
      </c>
      <c r="AV430" s="45">
        <v>45719</v>
      </c>
      <c r="AW430" s="45">
        <v>45720</v>
      </c>
      <c r="AX430" s="367"/>
      <c r="AY430" s="367"/>
      <c r="AZ430" s="367"/>
      <c r="BA430" s="367"/>
      <c r="BB430" s="152"/>
      <c r="BC430" s="152"/>
      <c r="BD430" s="367"/>
      <c r="BE430" s="367"/>
      <c r="BF430" s="367"/>
      <c r="BG430" s="367"/>
      <c r="BH430" s="64" t="e">
        <f>#REF!</f>
        <v>#REF!</v>
      </c>
      <c r="BL430" s="54"/>
    </row>
    <row r="431" spans="1:64" ht="36" customHeight="1" x14ac:dyDescent="0.3">
      <c r="A431" s="249">
        <f t="shared" si="7"/>
        <v>426</v>
      </c>
      <c r="B431" s="54" t="s">
        <v>1494</v>
      </c>
      <c r="C431" s="305" t="s">
        <v>0</v>
      </c>
      <c r="D431" s="305" t="s">
        <v>1495</v>
      </c>
      <c r="E431" s="45">
        <v>45782</v>
      </c>
      <c r="F431" s="154">
        <v>45789</v>
      </c>
      <c r="G431" s="45">
        <v>45800</v>
      </c>
      <c r="H431" s="367"/>
      <c r="I431" s="367" t="s">
        <v>20</v>
      </c>
      <c r="J431" s="54" t="s">
        <v>577</v>
      </c>
      <c r="K431" s="48" t="s">
        <v>1496</v>
      </c>
      <c r="L431" s="367">
        <v>1110</v>
      </c>
      <c r="M431" s="150" t="s">
        <v>120</v>
      </c>
      <c r="N431" s="367"/>
      <c r="O431" s="305" t="s">
        <v>127</v>
      </c>
      <c r="P431" s="158"/>
      <c r="Q431" s="305"/>
      <c r="R431" s="305"/>
      <c r="S431" s="305"/>
      <c r="T431" s="367">
        <v>11.1</v>
      </c>
      <c r="U431" s="367"/>
      <c r="V431" s="367"/>
      <c r="W431" s="367"/>
      <c r="X431" s="367"/>
      <c r="Y431" s="367" t="s">
        <v>127</v>
      </c>
      <c r="Z431" s="367"/>
      <c r="AA431" s="367" t="s">
        <v>214</v>
      </c>
      <c r="AB431" s="305" t="s">
        <v>383</v>
      </c>
      <c r="AC431" s="92" t="s">
        <v>1497</v>
      </c>
      <c r="AD431" s="150" t="s">
        <v>284</v>
      </c>
      <c r="AE431" s="151"/>
      <c r="AF431" s="151"/>
      <c r="AG431" s="151"/>
      <c r="AH431" s="49">
        <v>45772</v>
      </c>
      <c r="AI431" s="264">
        <v>45748</v>
      </c>
      <c r="AJ431" s="369" t="s">
        <v>131</v>
      </c>
      <c r="AK431" s="369" t="s">
        <v>1060</v>
      </c>
      <c r="AL431" s="369" t="s">
        <v>154</v>
      </c>
      <c r="AM431" s="150" t="s">
        <v>209</v>
      </c>
      <c r="AN431" s="367"/>
      <c r="AO431" s="367"/>
      <c r="AP431" s="367"/>
      <c r="AQ431" s="366"/>
      <c r="AR431" s="367"/>
      <c r="AS431" s="367"/>
      <c r="AT431" s="45">
        <v>45744</v>
      </c>
      <c r="AU431" s="45">
        <v>45719</v>
      </c>
      <c r="AV431" s="45">
        <v>45719</v>
      </c>
      <c r="AW431" s="45">
        <v>45720</v>
      </c>
      <c r="AX431" s="367"/>
      <c r="AY431" s="367"/>
      <c r="AZ431" s="367"/>
      <c r="BA431" s="367"/>
      <c r="BB431" s="152"/>
      <c r="BC431" s="152"/>
      <c r="BD431" s="367"/>
      <c r="BE431" s="367"/>
      <c r="BF431" s="367"/>
      <c r="BG431" s="367"/>
      <c r="BH431" s="64" t="e">
        <f>#REF!</f>
        <v>#REF!</v>
      </c>
      <c r="BL431" s="54"/>
    </row>
    <row r="432" spans="1:64" ht="36" customHeight="1" x14ac:dyDescent="0.3">
      <c r="A432" s="249">
        <f t="shared" si="7"/>
        <v>427</v>
      </c>
      <c r="B432" s="54" t="s">
        <v>1498</v>
      </c>
      <c r="C432" s="305" t="s">
        <v>0</v>
      </c>
      <c r="D432" s="305" t="s">
        <v>1499</v>
      </c>
      <c r="E432" s="45">
        <v>45782</v>
      </c>
      <c r="F432" s="154">
        <v>45789</v>
      </c>
      <c r="G432" s="45">
        <v>45797</v>
      </c>
      <c r="H432" s="367"/>
      <c r="I432" s="367" t="s">
        <v>20</v>
      </c>
      <c r="J432" s="54" t="s">
        <v>577</v>
      </c>
      <c r="K432" s="48" t="s">
        <v>1500</v>
      </c>
      <c r="L432" s="367">
        <v>1110</v>
      </c>
      <c r="M432" s="150" t="s">
        <v>65</v>
      </c>
      <c r="N432" s="367"/>
      <c r="O432" s="305" t="s">
        <v>127</v>
      </c>
      <c r="P432" s="158"/>
      <c r="Q432" s="305"/>
      <c r="R432" s="305"/>
      <c r="S432" s="305"/>
      <c r="T432" s="367">
        <v>11.1</v>
      </c>
      <c r="U432" s="367"/>
      <c r="V432" s="367"/>
      <c r="W432" s="367"/>
      <c r="X432" s="367"/>
      <c r="Y432" s="367" t="s">
        <v>127</v>
      </c>
      <c r="Z432" s="367"/>
      <c r="AA432" s="367" t="s">
        <v>214</v>
      </c>
      <c r="AB432" s="305" t="s">
        <v>383</v>
      </c>
      <c r="AC432" s="92" t="s">
        <v>1501</v>
      </c>
      <c r="AD432" s="150" t="s">
        <v>284</v>
      </c>
      <c r="AE432" s="151"/>
      <c r="AF432" s="151"/>
      <c r="AG432" s="151"/>
      <c r="AH432" s="49">
        <v>45772</v>
      </c>
      <c r="AI432" s="264">
        <v>45748</v>
      </c>
      <c r="AJ432" s="369" t="s">
        <v>131</v>
      </c>
      <c r="AK432" s="369" t="s">
        <v>1060</v>
      </c>
      <c r="AL432" s="369" t="s">
        <v>154</v>
      </c>
      <c r="AM432" s="150" t="s">
        <v>209</v>
      </c>
      <c r="AN432" s="367"/>
      <c r="AO432" s="367"/>
      <c r="AP432" s="367"/>
      <c r="AQ432" s="366"/>
      <c r="AR432" s="367"/>
      <c r="AS432" s="367"/>
      <c r="AT432" s="45">
        <v>45744</v>
      </c>
      <c r="AU432" s="45">
        <v>45719</v>
      </c>
      <c r="AV432" s="45">
        <v>45719</v>
      </c>
      <c r="AW432" s="45">
        <v>45720</v>
      </c>
      <c r="AX432" s="367"/>
      <c r="AY432" s="367"/>
      <c r="AZ432" s="367"/>
      <c r="BA432" s="367"/>
      <c r="BB432" s="152"/>
      <c r="BC432" s="152"/>
      <c r="BD432" s="367"/>
      <c r="BE432" s="367"/>
      <c r="BF432" s="367"/>
      <c r="BG432" s="367"/>
      <c r="BH432" s="64" t="e">
        <f>#REF!</f>
        <v>#REF!</v>
      </c>
      <c r="BL432" s="54"/>
    </row>
    <row r="433" spans="1:64" ht="36" customHeight="1" x14ac:dyDescent="0.3">
      <c r="A433" s="305">
        <f t="shared" si="7"/>
        <v>428</v>
      </c>
      <c r="B433" s="54"/>
      <c r="C433" s="305" t="s">
        <v>0</v>
      </c>
      <c r="D433" s="305" t="s">
        <v>262</v>
      </c>
      <c r="E433" s="367"/>
      <c r="F433" s="154"/>
      <c r="G433" s="367"/>
      <c r="H433" s="367"/>
      <c r="I433" s="367" t="s">
        <v>20</v>
      </c>
      <c r="J433" s="54" t="s">
        <v>577</v>
      </c>
      <c r="K433" s="48" t="s">
        <v>1502</v>
      </c>
      <c r="L433" s="367">
        <v>1100</v>
      </c>
      <c r="M433" s="150" t="s">
        <v>120</v>
      </c>
      <c r="N433" s="367"/>
      <c r="O433" s="367"/>
      <c r="P433" s="367"/>
      <c r="Q433" s="367"/>
      <c r="R433" s="367"/>
      <c r="S433" s="367"/>
      <c r="T433" s="367"/>
      <c r="U433" s="367"/>
      <c r="V433" s="367"/>
      <c r="W433" s="367"/>
      <c r="X433" s="367" t="s">
        <v>361</v>
      </c>
      <c r="Y433" s="367"/>
      <c r="Z433" s="367"/>
      <c r="AA433" s="367"/>
      <c r="AB433" s="150"/>
      <c r="AC433" s="48" t="s">
        <v>362</v>
      </c>
      <c r="AD433" s="150" t="s">
        <v>363</v>
      </c>
      <c r="AE433" s="151"/>
      <c r="AF433" s="151"/>
      <c r="AG433" s="151"/>
      <c r="AH433" s="49"/>
      <c r="AI433" s="94">
        <v>0</v>
      </c>
      <c r="AJ433" s="369" t="s">
        <v>264</v>
      </c>
      <c r="AK433" s="369"/>
      <c r="AL433" s="150"/>
      <c r="AM433" s="150"/>
      <c r="AN433" s="367"/>
      <c r="AO433" s="367"/>
      <c r="AP433" s="367"/>
      <c r="AQ433" s="366"/>
      <c r="AR433" s="367"/>
      <c r="AS433" s="367"/>
      <c r="AT433" s="367"/>
      <c r="AU433" s="367"/>
      <c r="AV433" s="367"/>
      <c r="AW433" s="367"/>
      <c r="AX433" s="367"/>
      <c r="AY433" s="367"/>
      <c r="AZ433" s="367"/>
      <c r="BA433" s="367"/>
      <c r="BB433" s="152"/>
      <c r="BC433" s="152"/>
      <c r="BD433" s="367"/>
      <c r="BE433" s="367"/>
      <c r="BF433" s="367"/>
      <c r="BG433" s="367"/>
      <c r="BH433" s="64" t="e">
        <f>#REF!</f>
        <v>#REF!</v>
      </c>
      <c r="BL433" s="54"/>
    </row>
    <row r="434" spans="1:64" ht="36" customHeight="1" x14ac:dyDescent="0.3">
      <c r="A434" s="305">
        <f t="shared" si="7"/>
        <v>429</v>
      </c>
      <c r="B434" s="54"/>
      <c r="C434" s="305" t="s">
        <v>0</v>
      </c>
      <c r="D434" s="305" t="s">
        <v>262</v>
      </c>
      <c r="E434" s="367"/>
      <c r="F434" s="154"/>
      <c r="G434" s="367"/>
      <c r="H434" s="367"/>
      <c r="I434" s="367" t="s">
        <v>20</v>
      </c>
      <c r="J434" s="48" t="s">
        <v>577</v>
      </c>
      <c r="K434" s="48" t="s">
        <v>1503</v>
      </c>
      <c r="L434" s="367" t="s">
        <v>1504</v>
      </c>
      <c r="M434" s="150" t="s">
        <v>65</v>
      </c>
      <c r="N434" s="367"/>
      <c r="O434" s="367"/>
      <c r="P434" s="367"/>
      <c r="Q434" s="367"/>
      <c r="R434" s="367"/>
      <c r="S434" s="367"/>
      <c r="T434" s="367"/>
      <c r="U434" s="367"/>
      <c r="V434" s="367"/>
      <c r="W434" s="367"/>
      <c r="X434" s="367" t="s">
        <v>361</v>
      </c>
      <c r="Y434" s="367"/>
      <c r="Z434" s="367"/>
      <c r="AA434" s="367"/>
      <c r="AB434" s="150"/>
      <c r="AC434" s="48" t="s">
        <v>1505</v>
      </c>
      <c r="AD434" s="150" t="s">
        <v>363</v>
      </c>
      <c r="AE434" s="151"/>
      <c r="AF434" s="151"/>
      <c r="AG434" s="151"/>
      <c r="AH434" s="49"/>
      <c r="AI434" s="94">
        <v>0</v>
      </c>
      <c r="AJ434" s="369" t="s">
        <v>264</v>
      </c>
      <c r="AK434" s="369"/>
      <c r="AL434" s="150"/>
      <c r="AM434" s="150"/>
      <c r="AN434" s="367"/>
      <c r="AO434" s="367"/>
      <c r="AP434" s="367"/>
      <c r="AQ434" s="366"/>
      <c r="AR434" s="367"/>
      <c r="AS434" s="367"/>
      <c r="AT434" s="367"/>
      <c r="AU434" s="367"/>
      <c r="AV434" s="367"/>
      <c r="AW434" s="367"/>
      <c r="AX434" s="367"/>
      <c r="AY434" s="367"/>
      <c r="AZ434" s="367"/>
      <c r="BA434" s="367"/>
      <c r="BB434" s="152"/>
      <c r="BC434" s="152"/>
      <c r="BD434" s="367"/>
      <c r="BE434" s="367"/>
      <c r="BF434" s="367"/>
      <c r="BG434" s="367"/>
      <c r="BH434" s="64" t="e">
        <f>#REF!</f>
        <v>#REF!</v>
      </c>
      <c r="BL434" s="54"/>
    </row>
    <row r="435" spans="1:64" ht="36" customHeight="1" x14ac:dyDescent="0.3">
      <c r="A435" s="305">
        <f t="shared" si="7"/>
        <v>430</v>
      </c>
      <c r="B435" s="54"/>
      <c r="C435" s="305" t="s">
        <v>0</v>
      </c>
      <c r="D435" s="305" t="s">
        <v>262</v>
      </c>
      <c r="E435" s="367"/>
      <c r="F435" s="154"/>
      <c r="G435" s="367"/>
      <c r="H435" s="367"/>
      <c r="I435" s="367" t="s">
        <v>20</v>
      </c>
      <c r="J435" s="48" t="s">
        <v>577</v>
      </c>
      <c r="K435" s="54" t="s">
        <v>1506</v>
      </c>
      <c r="L435" s="367" t="s">
        <v>1504</v>
      </c>
      <c r="M435" s="150" t="s">
        <v>65</v>
      </c>
      <c r="N435" s="367"/>
      <c r="O435" s="367"/>
      <c r="P435" s="367"/>
      <c r="Q435" s="367"/>
      <c r="R435" s="367"/>
      <c r="S435" s="367"/>
      <c r="T435" s="367"/>
      <c r="U435" s="367"/>
      <c r="V435" s="367"/>
      <c r="W435" s="367"/>
      <c r="X435" s="367" t="s">
        <v>361</v>
      </c>
      <c r="Y435" s="367"/>
      <c r="Z435" s="367"/>
      <c r="AA435" s="367"/>
      <c r="AB435" s="150"/>
      <c r="AC435" s="48" t="s">
        <v>1507</v>
      </c>
      <c r="AD435" s="150" t="s">
        <v>363</v>
      </c>
      <c r="AE435" s="151"/>
      <c r="AF435" s="151"/>
      <c r="AG435" s="151"/>
      <c r="AH435" s="49"/>
      <c r="AI435" s="94">
        <v>0</v>
      </c>
      <c r="AJ435" s="369" t="s">
        <v>264</v>
      </c>
      <c r="AK435" s="369"/>
      <c r="AL435" s="150"/>
      <c r="AM435" s="150"/>
      <c r="AN435" s="367"/>
      <c r="AO435" s="367"/>
      <c r="AP435" s="367"/>
      <c r="AQ435" s="366"/>
      <c r="AR435" s="367"/>
      <c r="AS435" s="367"/>
      <c r="AT435" s="367"/>
      <c r="AU435" s="367"/>
      <c r="AV435" s="367"/>
      <c r="AW435" s="367"/>
      <c r="AX435" s="367"/>
      <c r="AY435" s="367"/>
      <c r="AZ435" s="367"/>
      <c r="BA435" s="367"/>
      <c r="BB435" s="152"/>
      <c r="BC435" s="152"/>
      <c r="BD435" s="367"/>
      <c r="BE435" s="367"/>
      <c r="BF435" s="367"/>
      <c r="BG435" s="367"/>
      <c r="BH435" s="64" t="e">
        <f>#REF!</f>
        <v>#REF!</v>
      </c>
      <c r="BL435" s="54"/>
    </row>
    <row r="436" spans="1:64" ht="36" customHeight="1" x14ac:dyDescent="0.3">
      <c r="A436" s="305">
        <f t="shared" si="7"/>
        <v>431</v>
      </c>
      <c r="B436" s="54"/>
      <c r="C436" s="305" t="s">
        <v>0</v>
      </c>
      <c r="D436" s="305" t="s">
        <v>262</v>
      </c>
      <c r="E436" s="367"/>
      <c r="F436" s="154"/>
      <c r="G436" s="367"/>
      <c r="H436" s="367"/>
      <c r="I436" s="367" t="s">
        <v>20</v>
      </c>
      <c r="J436" s="48" t="s">
        <v>577</v>
      </c>
      <c r="K436" s="54" t="s">
        <v>1508</v>
      </c>
      <c r="L436" s="367" t="s">
        <v>1504</v>
      </c>
      <c r="M436" s="150" t="s">
        <v>120</v>
      </c>
      <c r="N436" s="367"/>
      <c r="O436" s="367"/>
      <c r="P436" s="367"/>
      <c r="Q436" s="367"/>
      <c r="R436" s="367"/>
      <c r="S436" s="367"/>
      <c r="T436" s="367"/>
      <c r="U436" s="367"/>
      <c r="V436" s="367"/>
      <c r="W436" s="367"/>
      <c r="X436" s="367" t="s">
        <v>361</v>
      </c>
      <c r="Y436" s="367"/>
      <c r="Z436" s="367"/>
      <c r="AA436" s="367"/>
      <c r="AB436" s="150"/>
      <c r="AC436" s="48" t="s">
        <v>1509</v>
      </c>
      <c r="AD436" s="150" t="s">
        <v>363</v>
      </c>
      <c r="AE436" s="151"/>
      <c r="AF436" s="151"/>
      <c r="AG436" s="151"/>
      <c r="AH436" s="49"/>
      <c r="AI436" s="213">
        <v>0</v>
      </c>
      <c r="AJ436" s="369" t="s">
        <v>264</v>
      </c>
      <c r="AK436" s="369"/>
      <c r="AL436" s="150"/>
      <c r="AM436" s="150"/>
      <c r="AN436" s="367"/>
      <c r="AO436" s="367"/>
      <c r="AP436" s="367"/>
      <c r="AQ436" s="366"/>
      <c r="AR436" s="367"/>
      <c r="AS436" s="367"/>
      <c r="AT436" s="367"/>
      <c r="AU436" s="367"/>
      <c r="AV436" s="367"/>
      <c r="AW436" s="367"/>
      <c r="AX436" s="367"/>
      <c r="AY436" s="367"/>
      <c r="AZ436" s="367"/>
      <c r="BA436" s="367"/>
      <c r="BB436" s="152"/>
      <c r="BC436" s="152"/>
      <c r="BD436" s="367"/>
      <c r="BE436" s="367"/>
      <c r="BF436" s="367"/>
      <c r="BG436" s="367"/>
      <c r="BH436" s="64" t="e">
        <f>#REF!</f>
        <v>#REF!</v>
      </c>
      <c r="BL436" s="54"/>
    </row>
    <row r="437" spans="1:64" ht="36" customHeight="1" x14ac:dyDescent="0.3">
      <c r="A437" s="305">
        <f t="shared" si="7"/>
        <v>432</v>
      </c>
      <c r="B437" s="54"/>
      <c r="C437" s="305" t="s">
        <v>0</v>
      </c>
      <c r="D437" s="305" t="s">
        <v>262</v>
      </c>
      <c r="E437" s="367"/>
      <c r="F437" s="154"/>
      <c r="G437" s="367"/>
      <c r="H437" s="367"/>
      <c r="I437" s="367" t="s">
        <v>20</v>
      </c>
      <c r="J437" s="48" t="s">
        <v>577</v>
      </c>
      <c r="K437" s="54" t="s">
        <v>1510</v>
      </c>
      <c r="L437" s="367" t="s">
        <v>1504</v>
      </c>
      <c r="M437" s="150" t="s">
        <v>120</v>
      </c>
      <c r="N437" s="367"/>
      <c r="O437" s="367"/>
      <c r="P437" s="367"/>
      <c r="Q437" s="367"/>
      <c r="R437" s="367"/>
      <c r="S437" s="367"/>
      <c r="T437" s="367"/>
      <c r="U437" s="367"/>
      <c r="V437" s="367"/>
      <c r="W437" s="367"/>
      <c r="X437" s="367" t="s">
        <v>361</v>
      </c>
      <c r="Y437" s="367"/>
      <c r="Z437" s="367"/>
      <c r="AA437" s="367"/>
      <c r="AB437" s="150"/>
      <c r="AC437" s="48" t="s">
        <v>1511</v>
      </c>
      <c r="AD437" s="150" t="s">
        <v>363</v>
      </c>
      <c r="AE437" s="151"/>
      <c r="AF437" s="151"/>
      <c r="AG437" s="151"/>
      <c r="AH437" s="49"/>
      <c r="AI437" s="213">
        <v>0</v>
      </c>
      <c r="AJ437" s="369" t="s">
        <v>264</v>
      </c>
      <c r="AK437" s="369"/>
      <c r="AL437" s="150"/>
      <c r="AM437" s="150"/>
      <c r="AN437" s="367"/>
      <c r="AO437" s="367"/>
      <c r="AP437" s="367"/>
      <c r="AQ437" s="366"/>
      <c r="AR437" s="367"/>
      <c r="AS437" s="367"/>
      <c r="AT437" s="367"/>
      <c r="AU437" s="367"/>
      <c r="AV437" s="367"/>
      <c r="AW437" s="367"/>
      <c r="AX437" s="367"/>
      <c r="AY437" s="367"/>
      <c r="AZ437" s="367"/>
      <c r="BA437" s="367"/>
      <c r="BB437" s="152"/>
      <c r="BC437" s="152"/>
      <c r="BD437" s="367"/>
      <c r="BE437" s="367"/>
      <c r="BF437" s="367"/>
      <c r="BG437" s="367"/>
      <c r="BH437" s="64" t="e">
        <f>#REF!</f>
        <v>#REF!</v>
      </c>
      <c r="BL437" s="54"/>
    </row>
    <row r="438" spans="1:64" ht="36" customHeight="1" x14ac:dyDescent="0.3">
      <c r="A438" s="305">
        <f t="shared" si="7"/>
        <v>433</v>
      </c>
      <c r="B438" s="54" t="s">
        <v>1512</v>
      </c>
      <c r="C438" s="305" t="s">
        <v>11</v>
      </c>
      <c r="D438" s="369" t="s">
        <v>1032</v>
      </c>
      <c r="E438" s="91">
        <v>45681</v>
      </c>
      <c r="F438" s="154">
        <v>45701</v>
      </c>
      <c r="G438" s="367"/>
      <c r="H438" s="367"/>
      <c r="I438" s="367" t="s">
        <v>42</v>
      </c>
      <c r="J438" s="48" t="s">
        <v>42</v>
      </c>
      <c r="K438" s="54" t="s">
        <v>521</v>
      </c>
      <c r="L438" s="367" t="s">
        <v>42</v>
      </c>
      <c r="M438" s="150" t="s">
        <v>120</v>
      </c>
      <c r="N438" s="367"/>
      <c r="O438" s="367"/>
      <c r="P438" s="311"/>
      <c r="Q438" s="367"/>
      <c r="R438" s="367"/>
      <c r="S438" s="367"/>
      <c r="T438" s="367"/>
      <c r="U438" s="367"/>
      <c r="V438" s="367"/>
      <c r="W438" s="367"/>
      <c r="X438" s="367" t="s">
        <v>361</v>
      </c>
      <c r="Y438" s="367"/>
      <c r="Z438" s="367"/>
      <c r="AA438" s="367"/>
      <c r="AB438" s="150"/>
      <c r="AC438" s="48" t="s">
        <v>1513</v>
      </c>
      <c r="AD438" s="150" t="s">
        <v>55</v>
      </c>
      <c r="AE438" s="151"/>
      <c r="AF438" s="151"/>
      <c r="AG438" s="118">
        <v>45696</v>
      </c>
      <c r="AH438" s="93">
        <v>45701</v>
      </c>
      <c r="AI438" s="264">
        <v>45658</v>
      </c>
      <c r="AJ438" s="150" t="s">
        <v>131</v>
      </c>
      <c r="AK438" s="369" t="s">
        <v>132</v>
      </c>
      <c r="AL438" s="369" t="s">
        <v>175</v>
      </c>
      <c r="AM438" s="150" t="s">
        <v>134</v>
      </c>
      <c r="AN438" s="367"/>
      <c r="AO438" s="367"/>
      <c r="AP438" s="367"/>
      <c r="AQ438" s="366"/>
      <c r="AR438" s="367"/>
      <c r="AS438" s="367"/>
      <c r="AT438" s="45">
        <v>45651</v>
      </c>
      <c r="AU438" s="367"/>
      <c r="AV438" s="367"/>
      <c r="AW438" s="45">
        <v>45601</v>
      </c>
      <c r="AX438" s="367"/>
      <c r="AY438" s="367"/>
      <c r="AZ438" s="367"/>
      <c r="BA438" s="367"/>
      <c r="BB438" s="152"/>
      <c r="BC438" s="152"/>
      <c r="BD438" s="367"/>
      <c r="BE438" s="367"/>
      <c r="BF438" s="367"/>
      <c r="BG438" s="367"/>
      <c r="BH438" s="64" t="e">
        <f>#REF!</f>
        <v>#REF!</v>
      </c>
      <c r="BL438" s="54"/>
    </row>
    <row r="439" spans="1:64" ht="36" customHeight="1" x14ac:dyDescent="0.3">
      <c r="A439" s="305">
        <f t="shared" si="7"/>
        <v>434</v>
      </c>
      <c r="B439" s="54" t="s">
        <v>1514</v>
      </c>
      <c r="C439" s="367" t="s">
        <v>11</v>
      </c>
      <c r="D439" s="369" t="s">
        <v>1032</v>
      </c>
      <c r="E439" s="91">
        <v>45701</v>
      </c>
      <c r="F439" s="154">
        <v>45701</v>
      </c>
      <c r="G439" s="367"/>
      <c r="H439" s="367"/>
      <c r="I439" s="367" t="s">
        <v>42</v>
      </c>
      <c r="J439" s="54" t="s">
        <v>42</v>
      </c>
      <c r="K439" s="48" t="s">
        <v>521</v>
      </c>
      <c r="L439" s="367" t="s">
        <v>42</v>
      </c>
      <c r="M439" s="150" t="s">
        <v>120</v>
      </c>
      <c r="N439" s="367"/>
      <c r="O439" s="367"/>
      <c r="P439" s="311"/>
      <c r="Q439" s="367"/>
      <c r="R439" s="367"/>
      <c r="S439" s="367"/>
      <c r="T439" s="367"/>
      <c r="U439" s="367"/>
      <c r="V439" s="367"/>
      <c r="W439" s="367"/>
      <c r="X439" s="367" t="s">
        <v>361</v>
      </c>
      <c r="Y439" s="367"/>
      <c r="Z439" s="367"/>
      <c r="AA439" s="367"/>
      <c r="AB439" s="150"/>
      <c r="AC439" s="48" t="s">
        <v>1515</v>
      </c>
      <c r="AD439" s="150" t="s">
        <v>55</v>
      </c>
      <c r="AE439" s="151"/>
      <c r="AF439" s="151"/>
      <c r="AG439" s="118">
        <v>45696</v>
      </c>
      <c r="AH439" s="93">
        <v>45701</v>
      </c>
      <c r="AI439" s="264">
        <v>45658</v>
      </c>
      <c r="AJ439" s="150" t="s">
        <v>131</v>
      </c>
      <c r="AK439" s="369" t="s">
        <v>132</v>
      </c>
      <c r="AL439" s="369" t="s">
        <v>175</v>
      </c>
      <c r="AM439" s="150" t="s">
        <v>134</v>
      </c>
      <c r="AN439" s="367"/>
      <c r="AO439" s="367"/>
      <c r="AP439" s="367"/>
      <c r="AQ439" s="366"/>
      <c r="AR439" s="367"/>
      <c r="AS439" s="367"/>
      <c r="AT439" s="45">
        <v>45651</v>
      </c>
      <c r="AU439" s="367"/>
      <c r="AV439" s="367"/>
      <c r="AW439" s="45">
        <v>45601</v>
      </c>
      <c r="AX439" s="367"/>
      <c r="AY439" s="367"/>
      <c r="AZ439" s="367"/>
      <c r="BA439" s="367"/>
      <c r="BB439" s="152"/>
      <c r="BC439" s="152"/>
      <c r="BD439" s="367"/>
      <c r="BE439" s="367"/>
      <c r="BF439" s="367"/>
      <c r="BG439" s="367"/>
      <c r="BH439" s="64" t="e">
        <f>#REF!</f>
        <v>#REF!</v>
      </c>
      <c r="BL439" s="54"/>
    </row>
    <row r="440" spans="1:64" ht="36" customHeight="1" x14ac:dyDescent="0.3">
      <c r="A440" s="305">
        <f t="shared" si="7"/>
        <v>435</v>
      </c>
      <c r="B440" s="54" t="s">
        <v>1516</v>
      </c>
      <c r="C440" s="367" t="s">
        <v>11</v>
      </c>
      <c r="D440" s="369" t="s">
        <v>1032</v>
      </c>
      <c r="E440" s="91">
        <v>45701</v>
      </c>
      <c r="F440" s="154">
        <v>45701</v>
      </c>
      <c r="G440" s="367"/>
      <c r="H440" s="367"/>
      <c r="I440" s="367" t="s">
        <v>42</v>
      </c>
      <c r="J440" s="54" t="s">
        <v>42</v>
      </c>
      <c r="K440" s="48" t="s">
        <v>521</v>
      </c>
      <c r="L440" s="367" t="s">
        <v>42</v>
      </c>
      <c r="M440" s="150" t="s">
        <v>120</v>
      </c>
      <c r="N440" s="367"/>
      <c r="O440" s="367"/>
      <c r="P440" s="311"/>
      <c r="Q440" s="367"/>
      <c r="R440" s="367"/>
      <c r="S440" s="367"/>
      <c r="T440" s="367"/>
      <c r="U440" s="367"/>
      <c r="V440" s="367"/>
      <c r="W440" s="367"/>
      <c r="X440" s="367" t="s">
        <v>361</v>
      </c>
      <c r="Y440" s="367"/>
      <c r="Z440" s="367"/>
      <c r="AA440" s="367"/>
      <c r="AB440" s="150"/>
      <c r="AC440" s="48" t="s">
        <v>1517</v>
      </c>
      <c r="AD440" s="150" t="s">
        <v>55</v>
      </c>
      <c r="AE440" s="151"/>
      <c r="AF440" s="151"/>
      <c r="AG440" s="118">
        <v>45696</v>
      </c>
      <c r="AH440" s="93">
        <v>45701</v>
      </c>
      <c r="AI440" s="264">
        <v>45658</v>
      </c>
      <c r="AJ440" s="150" t="s">
        <v>131</v>
      </c>
      <c r="AK440" s="369" t="s">
        <v>132</v>
      </c>
      <c r="AL440" s="369" t="s">
        <v>175</v>
      </c>
      <c r="AM440" s="150" t="s">
        <v>134</v>
      </c>
      <c r="AN440" s="367"/>
      <c r="AO440" s="367"/>
      <c r="AP440" s="367"/>
      <c r="AQ440" s="366"/>
      <c r="AR440" s="367"/>
      <c r="AS440" s="367"/>
      <c r="AT440" s="45">
        <v>45651</v>
      </c>
      <c r="AU440" s="367"/>
      <c r="AV440" s="367"/>
      <c r="AW440" s="45">
        <v>45601</v>
      </c>
      <c r="AX440" s="367"/>
      <c r="AY440" s="367"/>
      <c r="AZ440" s="367"/>
      <c r="BA440" s="367"/>
      <c r="BB440" s="152"/>
      <c r="BC440" s="152"/>
      <c r="BD440" s="367"/>
      <c r="BE440" s="367"/>
      <c r="BF440" s="367"/>
      <c r="BG440" s="367"/>
      <c r="BH440" s="64" t="e">
        <f>#REF!</f>
        <v>#REF!</v>
      </c>
      <c r="BL440" s="54"/>
    </row>
    <row r="441" spans="1:64" ht="36" customHeight="1" x14ac:dyDescent="0.3">
      <c r="A441" s="305">
        <f t="shared" si="7"/>
        <v>436</v>
      </c>
      <c r="B441" s="54" t="s">
        <v>1518</v>
      </c>
      <c r="C441" s="305" t="s">
        <v>11</v>
      </c>
      <c r="D441" s="369" t="s">
        <v>1032</v>
      </c>
      <c r="E441" s="91">
        <v>45701</v>
      </c>
      <c r="F441" s="154">
        <v>45701</v>
      </c>
      <c r="G441" s="367"/>
      <c r="H441" s="367"/>
      <c r="I441" s="367" t="s">
        <v>42</v>
      </c>
      <c r="J441" s="54" t="s">
        <v>42</v>
      </c>
      <c r="K441" s="48" t="s">
        <v>521</v>
      </c>
      <c r="L441" s="367" t="s">
        <v>42</v>
      </c>
      <c r="M441" s="150" t="s">
        <v>120</v>
      </c>
      <c r="N441" s="367"/>
      <c r="O441" s="367"/>
      <c r="P441" s="311"/>
      <c r="Q441" s="367"/>
      <c r="R441" s="367"/>
      <c r="S441" s="367"/>
      <c r="T441" s="367"/>
      <c r="U441" s="367"/>
      <c r="V441" s="367"/>
      <c r="W441" s="367"/>
      <c r="X441" s="367" t="s">
        <v>361</v>
      </c>
      <c r="Y441" s="367"/>
      <c r="Z441" s="367"/>
      <c r="AA441" s="367"/>
      <c r="AB441" s="150"/>
      <c r="AC441" s="48" t="s">
        <v>1519</v>
      </c>
      <c r="AD441" s="150" t="s">
        <v>55</v>
      </c>
      <c r="AE441" s="151"/>
      <c r="AF441" s="151"/>
      <c r="AG441" s="118">
        <v>45696</v>
      </c>
      <c r="AH441" s="93">
        <v>45701</v>
      </c>
      <c r="AI441" s="264">
        <v>45658</v>
      </c>
      <c r="AJ441" s="150" t="s">
        <v>131</v>
      </c>
      <c r="AK441" s="369" t="s">
        <v>132</v>
      </c>
      <c r="AL441" s="369" t="s">
        <v>175</v>
      </c>
      <c r="AM441" s="150" t="s">
        <v>134</v>
      </c>
      <c r="AN441" s="367"/>
      <c r="AO441" s="367"/>
      <c r="AP441" s="367"/>
      <c r="AQ441" s="366"/>
      <c r="AR441" s="367"/>
      <c r="AS441" s="367"/>
      <c r="AT441" s="45">
        <v>45651</v>
      </c>
      <c r="AU441" s="367"/>
      <c r="AV441" s="367"/>
      <c r="AW441" s="45">
        <v>45601</v>
      </c>
      <c r="AX441" s="367"/>
      <c r="AY441" s="367"/>
      <c r="AZ441" s="367"/>
      <c r="BA441" s="367"/>
      <c r="BB441" s="152"/>
      <c r="BC441" s="152"/>
      <c r="BD441" s="367"/>
      <c r="BE441" s="367"/>
      <c r="BF441" s="367"/>
      <c r="BG441" s="367"/>
      <c r="BH441" s="64" t="e">
        <f>#REF!</f>
        <v>#REF!</v>
      </c>
      <c r="BL441" s="54"/>
    </row>
    <row r="442" spans="1:64" ht="36" customHeight="1" x14ac:dyDescent="0.3">
      <c r="A442" s="305">
        <f t="shared" si="7"/>
        <v>437</v>
      </c>
      <c r="B442" s="54" t="s">
        <v>1520</v>
      </c>
      <c r="C442" s="305" t="s">
        <v>11</v>
      </c>
      <c r="D442" s="305" t="s">
        <v>262</v>
      </c>
      <c r="E442" s="91"/>
      <c r="F442" s="154"/>
      <c r="G442" s="367"/>
      <c r="H442" s="367"/>
      <c r="I442" s="367" t="s">
        <v>42</v>
      </c>
      <c r="J442" s="54" t="s">
        <v>42</v>
      </c>
      <c r="K442" s="48" t="s">
        <v>521</v>
      </c>
      <c r="L442" s="367" t="s">
        <v>42</v>
      </c>
      <c r="M442" s="150" t="s">
        <v>120</v>
      </c>
      <c r="N442" s="367"/>
      <c r="O442" s="367"/>
      <c r="P442" s="367"/>
      <c r="Q442" s="367"/>
      <c r="R442" s="367"/>
      <c r="S442" s="367"/>
      <c r="T442" s="367"/>
      <c r="U442" s="367"/>
      <c r="V442" s="367"/>
      <c r="W442" s="367"/>
      <c r="X442" s="367" t="s">
        <v>361</v>
      </c>
      <c r="Y442" s="367"/>
      <c r="Z442" s="367"/>
      <c r="AA442" s="367"/>
      <c r="AB442" s="150"/>
      <c r="AC442" s="48" t="s">
        <v>1521</v>
      </c>
      <c r="AD442" s="150" t="s">
        <v>55</v>
      </c>
      <c r="AE442" s="151"/>
      <c r="AF442" s="151"/>
      <c r="AG442" s="118"/>
      <c r="AH442" s="93"/>
      <c r="AI442" s="94">
        <v>0</v>
      </c>
      <c r="AJ442" s="150" t="s">
        <v>264</v>
      </c>
      <c r="AK442" s="369"/>
      <c r="AL442" s="150"/>
      <c r="AM442" s="150"/>
      <c r="AN442" s="367"/>
      <c r="AO442" s="367"/>
      <c r="AP442" s="367"/>
      <c r="AT442" s="45">
        <v>45626</v>
      </c>
      <c r="AU442" s="367"/>
      <c r="AV442" s="367"/>
      <c r="AW442" s="45">
        <v>45601</v>
      </c>
      <c r="AX442" s="367"/>
      <c r="AY442" s="367"/>
      <c r="AZ442" s="367"/>
      <c r="BA442" s="367"/>
      <c r="BB442" s="152"/>
      <c r="BC442" s="152"/>
      <c r="BD442" s="367"/>
      <c r="BE442" s="367"/>
      <c r="BF442" s="367"/>
      <c r="BG442" s="367"/>
      <c r="BH442" s="64" t="e">
        <f>#REF!</f>
        <v>#REF!</v>
      </c>
      <c r="BL442" s="54"/>
    </row>
    <row r="443" spans="1:64" ht="36" customHeight="1" x14ac:dyDescent="0.3">
      <c r="A443" s="305">
        <f t="shared" si="7"/>
        <v>438</v>
      </c>
      <c r="B443" s="54" t="s">
        <v>1522</v>
      </c>
      <c r="C443" s="305" t="s">
        <v>0</v>
      </c>
      <c r="D443" s="305" t="s">
        <v>1523</v>
      </c>
      <c r="E443" s="45">
        <v>46065</v>
      </c>
      <c r="F443" s="154"/>
      <c r="G443" s="367"/>
      <c r="H443" s="367"/>
      <c r="I443" s="367"/>
      <c r="J443" s="54" t="s">
        <v>1524</v>
      </c>
      <c r="K443" s="48" t="s">
        <v>1525</v>
      </c>
      <c r="L443" s="367"/>
      <c r="M443" s="150"/>
      <c r="N443" s="367"/>
      <c r="O443" s="150" t="s">
        <v>1526</v>
      </c>
      <c r="P443" s="150"/>
      <c r="Q443" s="367"/>
      <c r="R443" s="367"/>
      <c r="S443" s="367"/>
      <c r="T443" s="367"/>
      <c r="U443" s="367"/>
      <c r="V443" s="367"/>
      <c r="W443" s="367"/>
      <c r="X443" s="367"/>
      <c r="Y443" s="367"/>
      <c r="Z443" s="367"/>
      <c r="AA443" s="367"/>
      <c r="AB443" s="150"/>
      <c r="AC443" s="48" t="s">
        <v>1527</v>
      </c>
      <c r="AD443" s="150" t="s">
        <v>165</v>
      </c>
      <c r="AE443" s="151"/>
      <c r="AF443" s="151"/>
      <c r="AG443" s="151">
        <v>45925</v>
      </c>
      <c r="AH443" s="49">
        <v>46042</v>
      </c>
      <c r="AI443" s="264">
        <v>46023</v>
      </c>
      <c r="AJ443" s="150" t="s">
        <v>131</v>
      </c>
      <c r="AK443" s="369" t="s">
        <v>1060</v>
      </c>
      <c r="AL443" s="369" t="s">
        <v>1528</v>
      </c>
      <c r="AM443" s="150" t="s">
        <v>134</v>
      </c>
      <c r="AN443" s="367"/>
      <c r="AO443" s="367"/>
      <c r="AP443" s="367"/>
      <c r="AT443" s="45">
        <v>46021</v>
      </c>
      <c r="AU443" s="45">
        <v>45999</v>
      </c>
      <c r="AV443" s="45">
        <v>46017</v>
      </c>
      <c r="AW443" s="45">
        <v>45995</v>
      </c>
      <c r="AX443" s="367"/>
      <c r="AY443" s="367"/>
      <c r="AZ443" s="367"/>
      <c r="BA443" s="367"/>
      <c r="BB443" s="152"/>
      <c r="BC443" s="152"/>
      <c r="BD443" s="367"/>
      <c r="BE443" s="367"/>
      <c r="BF443" s="367"/>
      <c r="BG443" s="367"/>
      <c r="BH443" s="64" t="e">
        <f>#REF!</f>
        <v>#REF!</v>
      </c>
      <c r="BL443" s="54"/>
    </row>
    <row r="444" spans="1:64" ht="36" customHeight="1" x14ac:dyDescent="0.3">
      <c r="A444" s="305">
        <f t="shared" si="7"/>
        <v>439</v>
      </c>
      <c r="B444" s="54" t="s">
        <v>1529</v>
      </c>
      <c r="C444" s="305" t="s">
        <v>0</v>
      </c>
      <c r="D444" s="305" t="s">
        <v>1523</v>
      </c>
      <c r="E444" s="45">
        <v>46065</v>
      </c>
      <c r="F444" s="154"/>
      <c r="G444" s="367"/>
      <c r="H444" s="367"/>
      <c r="I444" s="367"/>
      <c r="J444" s="54" t="s">
        <v>1524</v>
      </c>
      <c r="K444" s="48" t="s">
        <v>1525</v>
      </c>
      <c r="L444" s="367"/>
      <c r="M444" s="150"/>
      <c r="N444" s="367"/>
      <c r="O444" s="150" t="s">
        <v>1526</v>
      </c>
      <c r="P444" s="150"/>
      <c r="Q444" s="367"/>
      <c r="R444" s="367"/>
      <c r="S444" s="367"/>
      <c r="T444" s="367"/>
      <c r="U444" s="367"/>
      <c r="V444" s="367"/>
      <c r="W444" s="367"/>
      <c r="X444" s="367"/>
      <c r="Y444" s="367"/>
      <c r="Z444" s="367"/>
      <c r="AA444" s="367"/>
      <c r="AB444" s="150"/>
      <c r="AC444" s="48" t="s">
        <v>1530</v>
      </c>
      <c r="AD444" s="150" t="s">
        <v>165</v>
      </c>
      <c r="AE444" s="151"/>
      <c r="AF444" s="151"/>
      <c r="AG444" s="151">
        <v>45925</v>
      </c>
      <c r="AH444" s="49">
        <v>46042</v>
      </c>
      <c r="AI444" s="264">
        <v>46023</v>
      </c>
      <c r="AJ444" s="150" t="s">
        <v>131</v>
      </c>
      <c r="AK444" s="369" t="s">
        <v>1060</v>
      </c>
      <c r="AL444" s="369" t="s">
        <v>1528</v>
      </c>
      <c r="AM444" s="150" t="s">
        <v>134</v>
      </c>
      <c r="AN444" s="367"/>
      <c r="AO444" s="367"/>
      <c r="AP444" s="367"/>
      <c r="AT444" s="45">
        <v>46021</v>
      </c>
      <c r="AU444" s="45">
        <v>45999</v>
      </c>
      <c r="AV444" s="45">
        <v>46017</v>
      </c>
      <c r="AW444" s="45">
        <v>45995</v>
      </c>
      <c r="AX444" s="367"/>
      <c r="AY444" s="367"/>
      <c r="AZ444" s="367"/>
      <c r="BA444" s="367"/>
      <c r="BB444" s="152"/>
      <c r="BC444" s="152"/>
      <c r="BD444" s="367"/>
      <c r="BE444" s="367"/>
      <c r="BF444" s="367"/>
      <c r="BG444" s="367"/>
      <c r="BH444" s="64" t="e">
        <f>#REF!</f>
        <v>#REF!</v>
      </c>
      <c r="BL444" s="54"/>
    </row>
    <row r="445" spans="1:64" ht="36" customHeight="1" x14ac:dyDescent="0.3">
      <c r="A445" s="305">
        <f t="shared" si="7"/>
        <v>440</v>
      </c>
      <c r="B445" s="54" t="s">
        <v>1531</v>
      </c>
      <c r="C445" s="305" t="s">
        <v>0</v>
      </c>
      <c r="D445" s="305" t="s">
        <v>262</v>
      </c>
      <c r="E445" s="367"/>
      <c r="F445" s="154"/>
      <c r="G445" s="367"/>
      <c r="H445" s="367"/>
      <c r="I445" s="367"/>
      <c r="J445" s="54" t="s">
        <v>369</v>
      </c>
      <c r="K445" s="48" t="s">
        <v>1525</v>
      </c>
      <c r="L445" s="367"/>
      <c r="M445" s="150" t="s">
        <v>120</v>
      </c>
      <c r="N445" s="367"/>
      <c r="O445" s="367"/>
      <c r="P445" s="311"/>
      <c r="Q445" s="367"/>
      <c r="R445" s="367"/>
      <c r="S445" s="367"/>
      <c r="T445" s="367"/>
      <c r="U445" s="367"/>
      <c r="V445" s="367"/>
      <c r="W445" s="367"/>
      <c r="X445" s="367"/>
      <c r="Y445" s="367"/>
      <c r="Z445" s="367"/>
      <c r="AA445" s="367"/>
      <c r="AB445" s="150"/>
      <c r="AC445" s="48" t="s">
        <v>1532</v>
      </c>
      <c r="AD445" s="150" t="s">
        <v>165</v>
      </c>
      <c r="AE445" s="151">
        <v>46099</v>
      </c>
      <c r="AF445" s="151"/>
      <c r="AG445" s="151"/>
      <c r="AH445" s="49"/>
      <c r="AI445" s="264"/>
      <c r="AJ445" s="150" t="s">
        <v>617</v>
      </c>
      <c r="AK445" s="369" t="s">
        <v>200</v>
      </c>
      <c r="AL445" s="369"/>
      <c r="AM445" s="150"/>
      <c r="AN445" s="367"/>
      <c r="AO445" s="367"/>
      <c r="AP445" s="367"/>
      <c r="AT445" s="367"/>
      <c r="AU445" s="367"/>
      <c r="AV445" s="367"/>
      <c r="AW445" s="367"/>
      <c r="AX445" s="367"/>
      <c r="AY445" s="367"/>
      <c r="AZ445" s="367"/>
      <c r="BA445" s="367"/>
      <c r="BB445" s="152"/>
      <c r="BC445" s="152"/>
      <c r="BD445" s="367"/>
      <c r="BE445" s="367"/>
      <c r="BF445" s="367"/>
      <c r="BG445" s="367"/>
      <c r="BH445" s="64" t="e">
        <f>#REF!</f>
        <v>#REF!</v>
      </c>
      <c r="BL445" s="54"/>
    </row>
    <row r="446" spans="1:64" ht="36" customHeight="1" x14ac:dyDescent="0.3">
      <c r="A446" s="305">
        <f t="shared" si="7"/>
        <v>441</v>
      </c>
      <c r="B446" s="54" t="s">
        <v>1533</v>
      </c>
      <c r="C446" s="305" t="s">
        <v>0</v>
      </c>
      <c r="D446" s="305" t="s">
        <v>262</v>
      </c>
      <c r="E446" s="367"/>
      <c r="F446" s="154"/>
      <c r="G446" s="367"/>
      <c r="H446" s="367"/>
      <c r="I446" s="367"/>
      <c r="J446" s="54" t="s">
        <v>369</v>
      </c>
      <c r="K446" s="48" t="s">
        <v>1525</v>
      </c>
      <c r="L446" s="367"/>
      <c r="M446" s="150" t="s">
        <v>120</v>
      </c>
      <c r="N446" s="367"/>
      <c r="O446" s="367"/>
      <c r="P446" s="311"/>
      <c r="Q446" s="367"/>
      <c r="R446" s="367"/>
      <c r="S446" s="367"/>
      <c r="T446" s="367"/>
      <c r="U446" s="367"/>
      <c r="V446" s="367"/>
      <c r="W446" s="367"/>
      <c r="X446" s="367"/>
      <c r="Y446" s="367"/>
      <c r="Z446" s="367"/>
      <c r="AA446" s="367"/>
      <c r="AB446" s="150"/>
      <c r="AC446" s="48" t="s">
        <v>1534</v>
      </c>
      <c r="AD446" s="150" t="s">
        <v>165</v>
      </c>
      <c r="AE446" s="151">
        <v>46099</v>
      </c>
      <c r="AF446" s="151"/>
      <c r="AG446" s="151"/>
      <c r="AH446" s="49"/>
      <c r="AI446" s="264"/>
      <c r="AJ446" s="150" t="s">
        <v>617</v>
      </c>
      <c r="AK446" s="369" t="s">
        <v>200</v>
      </c>
      <c r="AL446" s="369"/>
      <c r="AM446" s="150"/>
      <c r="AN446" s="367"/>
      <c r="AO446" s="367"/>
      <c r="AP446" s="367"/>
      <c r="AT446" s="367"/>
      <c r="AU446" s="367"/>
      <c r="AV446" s="367"/>
      <c r="AW446" s="367"/>
      <c r="AX446" s="367"/>
      <c r="AY446" s="367"/>
      <c r="AZ446" s="367"/>
      <c r="BA446" s="367"/>
      <c r="BB446" s="152"/>
      <c r="BC446" s="152"/>
      <c r="BD446" s="367"/>
      <c r="BE446" s="367"/>
      <c r="BF446" s="367"/>
      <c r="BG446" s="367"/>
      <c r="BH446" s="64" t="e">
        <f>#REF!</f>
        <v>#REF!</v>
      </c>
      <c r="BL446" s="54"/>
    </row>
    <row r="447" spans="1:64" ht="36" customHeight="1" x14ac:dyDescent="0.3">
      <c r="A447" s="305">
        <f t="shared" si="7"/>
        <v>442</v>
      </c>
      <c r="B447" s="54" t="s">
        <v>1535</v>
      </c>
      <c r="C447" s="367" t="s">
        <v>2</v>
      </c>
      <c r="D447" s="305" t="s">
        <v>1536</v>
      </c>
      <c r="E447" s="45">
        <v>45637</v>
      </c>
      <c r="F447" s="154">
        <v>45637</v>
      </c>
      <c r="G447" s="45">
        <v>45637</v>
      </c>
      <c r="H447" s="367"/>
      <c r="I447" s="367" t="s">
        <v>2</v>
      </c>
      <c r="J447" s="54"/>
      <c r="K447" s="48"/>
      <c r="L447" s="367"/>
      <c r="M447" s="150"/>
      <c r="N447" s="367"/>
      <c r="O447" s="367"/>
      <c r="P447" s="311"/>
      <c r="Q447" s="367"/>
      <c r="R447" s="367"/>
      <c r="S447" s="367"/>
      <c r="T447" s="367"/>
      <c r="U447" s="367"/>
      <c r="V447" s="367"/>
      <c r="W447" s="367"/>
      <c r="X447" s="367"/>
      <c r="Y447" s="367"/>
      <c r="Z447" s="367"/>
      <c r="AA447" s="367"/>
      <c r="AB447" s="150"/>
      <c r="AC447" s="48" t="s">
        <v>1537</v>
      </c>
      <c r="AD447" s="150" t="s">
        <v>361</v>
      </c>
      <c r="AE447" s="151"/>
      <c r="AF447" s="151"/>
      <c r="AG447" s="151"/>
      <c r="AH447" s="49">
        <v>45641</v>
      </c>
      <c r="AI447" s="264"/>
      <c r="AJ447" s="150" t="s">
        <v>131</v>
      </c>
      <c r="AK447" s="369"/>
      <c r="AL447" s="369"/>
      <c r="AM447" s="150" t="s">
        <v>134</v>
      </c>
      <c r="AN447" s="367"/>
      <c r="AO447" s="367"/>
      <c r="AP447" s="367"/>
      <c r="AQ447" s="367"/>
      <c r="AR447" s="367"/>
      <c r="AS447" s="367"/>
      <c r="AT447" s="367"/>
      <c r="AU447" s="367"/>
      <c r="AV447" s="367"/>
      <c r="AW447" s="367"/>
      <c r="AX447" s="367"/>
      <c r="AY447" s="367"/>
      <c r="AZ447" s="367"/>
      <c r="BA447" s="367"/>
      <c r="BB447" s="152"/>
      <c r="BC447" s="152"/>
      <c r="BD447" s="367"/>
      <c r="BE447" s="367"/>
      <c r="BF447" s="367"/>
      <c r="BG447" s="367"/>
      <c r="BH447" s="64" t="e">
        <f>#REF!</f>
        <v>#REF!</v>
      </c>
      <c r="BL447" s="54"/>
    </row>
    <row r="448" spans="1:64" ht="36" customHeight="1" x14ac:dyDescent="0.3">
      <c r="A448" s="167">
        <f t="shared" si="7"/>
        <v>443</v>
      </c>
      <c r="B448" s="168" t="s">
        <v>1538</v>
      </c>
      <c r="C448" s="169" t="s">
        <v>0</v>
      </c>
      <c r="D448" s="169" t="s">
        <v>1539</v>
      </c>
      <c r="E448" s="176">
        <v>45703</v>
      </c>
      <c r="F448" s="170"/>
      <c r="G448" s="169"/>
      <c r="H448" s="169"/>
      <c r="I448" s="169" t="s">
        <v>30</v>
      </c>
      <c r="J448" s="168" t="s">
        <v>156</v>
      </c>
      <c r="K448" s="52" t="s">
        <v>30</v>
      </c>
      <c r="L448" s="169"/>
      <c r="M448" s="171"/>
      <c r="N448" s="169"/>
      <c r="O448" s="169"/>
      <c r="P448" s="312"/>
      <c r="Q448" s="169"/>
      <c r="R448" s="169"/>
      <c r="S448" s="169"/>
      <c r="T448" s="169"/>
      <c r="U448" s="169"/>
      <c r="V448" s="169"/>
      <c r="W448" s="169"/>
      <c r="X448" s="169"/>
      <c r="Y448" s="169"/>
      <c r="Z448" s="169"/>
      <c r="AA448" s="169"/>
      <c r="AB448" s="171"/>
      <c r="AC448" s="52" t="s">
        <v>1540</v>
      </c>
      <c r="AD448" s="171" t="s">
        <v>169</v>
      </c>
      <c r="AE448" s="172">
        <v>45708</v>
      </c>
      <c r="AF448" s="172"/>
      <c r="AG448" s="172"/>
      <c r="AH448" s="173">
        <v>45741</v>
      </c>
      <c r="AI448" s="264">
        <v>45717</v>
      </c>
      <c r="AJ448" s="171" t="s">
        <v>131</v>
      </c>
      <c r="AK448" s="369" t="s">
        <v>200</v>
      </c>
      <c r="AL448" s="369"/>
      <c r="AM448" s="171" t="s">
        <v>134</v>
      </c>
      <c r="AN448" s="367"/>
      <c r="AO448" s="367"/>
      <c r="AP448" s="367"/>
      <c r="AT448" s="176">
        <v>45698</v>
      </c>
      <c r="AU448" s="176">
        <v>45671</v>
      </c>
      <c r="AV448" s="176">
        <v>45671</v>
      </c>
      <c r="AW448" s="169"/>
      <c r="AX448" s="169"/>
      <c r="AY448" s="169"/>
      <c r="AZ448" s="169"/>
      <c r="BA448" s="169"/>
      <c r="BB448" s="174"/>
      <c r="BC448" s="174"/>
      <c r="BD448" s="367"/>
      <c r="BE448" s="367"/>
      <c r="BF448" s="367"/>
      <c r="BG448" s="367"/>
      <c r="BH448" s="64" t="e">
        <f>#REF!</f>
        <v>#REF!</v>
      </c>
      <c r="BL448" s="54"/>
    </row>
    <row r="449" spans="1:64" ht="36" customHeight="1" x14ac:dyDescent="0.3">
      <c r="A449" s="167">
        <f t="shared" si="7"/>
        <v>444</v>
      </c>
      <c r="B449" s="168" t="s">
        <v>1541</v>
      </c>
      <c r="C449" s="367" t="s">
        <v>0</v>
      </c>
      <c r="D449" s="169" t="s">
        <v>1539</v>
      </c>
      <c r="E449" s="45">
        <v>45703</v>
      </c>
      <c r="F449" s="367"/>
      <c r="G449" s="367"/>
      <c r="H449" s="367"/>
      <c r="I449" s="367" t="s">
        <v>30</v>
      </c>
      <c r="J449" s="168" t="s">
        <v>156</v>
      </c>
      <c r="K449" s="48" t="s">
        <v>30</v>
      </c>
      <c r="L449" s="367"/>
      <c r="M449" s="150"/>
      <c r="N449" s="367"/>
      <c r="O449" s="367"/>
      <c r="P449" s="311"/>
      <c r="Q449" s="367"/>
      <c r="R449" s="367"/>
      <c r="S449" s="367"/>
      <c r="T449" s="367"/>
      <c r="U449" s="367"/>
      <c r="V449" s="367"/>
      <c r="W449" s="367"/>
      <c r="X449" s="367"/>
      <c r="Y449" s="367"/>
      <c r="Z449" s="367"/>
      <c r="AA449" s="367"/>
      <c r="AB449" s="150"/>
      <c r="AC449" s="48" t="s">
        <v>1542</v>
      </c>
      <c r="AD449" s="150" t="s">
        <v>169</v>
      </c>
      <c r="AE449" s="151">
        <v>45708</v>
      </c>
      <c r="AF449" s="151"/>
      <c r="AG449" s="151"/>
      <c r="AH449" s="49">
        <v>45741</v>
      </c>
      <c r="AI449" s="264">
        <v>45717</v>
      </c>
      <c r="AJ449" s="171" t="s">
        <v>131</v>
      </c>
      <c r="AK449" s="369" t="s">
        <v>200</v>
      </c>
      <c r="AL449" s="369"/>
      <c r="AM449" s="150" t="s">
        <v>134</v>
      </c>
      <c r="AN449" s="367"/>
      <c r="AO449" s="367"/>
      <c r="AP449" s="367"/>
      <c r="AT449" s="176">
        <v>45698</v>
      </c>
      <c r="AU449" s="45">
        <v>45671</v>
      </c>
      <c r="AV449" s="45">
        <v>45671</v>
      </c>
      <c r="AW449" s="367"/>
      <c r="AX449" s="367"/>
      <c r="AY449" s="367"/>
      <c r="AZ449" s="367"/>
      <c r="BA449" s="367"/>
      <c r="BB449" s="152"/>
      <c r="BC449" s="152"/>
      <c r="BD449" s="367"/>
      <c r="BE449" s="367"/>
      <c r="BF449" s="367"/>
      <c r="BG449" s="367"/>
      <c r="BH449" s="64" t="e">
        <f>#REF!</f>
        <v>#REF!</v>
      </c>
      <c r="BL449" s="54"/>
    </row>
    <row r="450" spans="1:64" ht="36" customHeight="1" x14ac:dyDescent="0.3">
      <c r="A450" s="167">
        <f t="shared" si="7"/>
        <v>445</v>
      </c>
      <c r="B450" s="168" t="s">
        <v>1543</v>
      </c>
      <c r="C450" s="367" t="s">
        <v>0</v>
      </c>
      <c r="D450" s="169" t="s">
        <v>1539</v>
      </c>
      <c r="E450" s="45">
        <v>45745</v>
      </c>
      <c r="F450" s="367"/>
      <c r="G450" s="367"/>
      <c r="H450" s="367"/>
      <c r="I450" s="367" t="s">
        <v>30</v>
      </c>
      <c r="J450" s="168" t="s">
        <v>156</v>
      </c>
      <c r="K450" s="48" t="s">
        <v>30</v>
      </c>
      <c r="L450" s="367"/>
      <c r="M450" s="150"/>
      <c r="N450" s="367"/>
      <c r="O450" s="367"/>
      <c r="P450" s="311"/>
      <c r="Q450" s="367"/>
      <c r="R450" s="367"/>
      <c r="S450" s="367"/>
      <c r="T450" s="367"/>
      <c r="U450" s="367"/>
      <c r="V450" s="367"/>
      <c r="W450" s="367"/>
      <c r="X450" s="367"/>
      <c r="Y450" s="367"/>
      <c r="Z450" s="367"/>
      <c r="AA450" s="367"/>
      <c r="AB450" s="150"/>
      <c r="AC450" s="48" t="s">
        <v>1544</v>
      </c>
      <c r="AD450" s="150" t="s">
        <v>169</v>
      </c>
      <c r="AE450" s="151"/>
      <c r="AF450" s="151"/>
      <c r="AG450" s="151"/>
      <c r="AH450" s="49">
        <v>45741</v>
      </c>
      <c r="AI450" s="264">
        <v>45717</v>
      </c>
      <c r="AJ450" s="150" t="s">
        <v>131</v>
      </c>
      <c r="AK450" s="369" t="s">
        <v>200</v>
      </c>
      <c r="AL450" s="369"/>
      <c r="AM450" s="150" t="s">
        <v>134</v>
      </c>
      <c r="AN450" s="367"/>
      <c r="AO450" s="367"/>
      <c r="AP450" s="367"/>
      <c r="AT450" s="45">
        <v>45716</v>
      </c>
      <c r="AU450" s="45">
        <v>45694</v>
      </c>
      <c r="AV450" s="45">
        <v>45705</v>
      </c>
      <c r="AW450" s="367"/>
      <c r="AX450" s="367"/>
      <c r="AY450" s="367"/>
      <c r="AZ450" s="367"/>
      <c r="BA450" s="367"/>
      <c r="BB450" s="152"/>
      <c r="BC450" s="152"/>
      <c r="BD450" s="367"/>
      <c r="BE450" s="367"/>
      <c r="BF450" s="367"/>
      <c r="BG450" s="367"/>
      <c r="BH450" s="64" t="e">
        <f>#REF!</f>
        <v>#REF!</v>
      </c>
      <c r="BL450" s="54"/>
    </row>
    <row r="451" spans="1:64" ht="36" customHeight="1" x14ac:dyDescent="0.3">
      <c r="A451" s="167">
        <f t="shared" si="7"/>
        <v>446</v>
      </c>
      <c r="B451" s="168" t="s">
        <v>1545</v>
      </c>
      <c r="C451" s="367" t="s">
        <v>0</v>
      </c>
      <c r="D451" s="169" t="s">
        <v>1539</v>
      </c>
      <c r="E451" s="45">
        <v>45747</v>
      </c>
      <c r="F451" s="367"/>
      <c r="G451" s="367"/>
      <c r="H451" s="367"/>
      <c r="I451" s="367" t="s">
        <v>30</v>
      </c>
      <c r="J451" s="168" t="s">
        <v>156</v>
      </c>
      <c r="K451" s="48" t="s">
        <v>30</v>
      </c>
      <c r="L451" s="367"/>
      <c r="M451" s="150"/>
      <c r="N451" s="367"/>
      <c r="O451" s="367"/>
      <c r="P451" s="311"/>
      <c r="Q451" s="367"/>
      <c r="R451" s="367"/>
      <c r="S451" s="367"/>
      <c r="T451" s="367"/>
      <c r="U451" s="367"/>
      <c r="V451" s="367"/>
      <c r="W451" s="367"/>
      <c r="X451" s="367"/>
      <c r="Y451" s="367"/>
      <c r="Z451" s="367"/>
      <c r="AA451" s="367"/>
      <c r="AB451" s="150"/>
      <c r="AC451" s="48" t="s">
        <v>1546</v>
      </c>
      <c r="AD451" s="150" t="s">
        <v>1079</v>
      </c>
      <c r="AE451" s="151"/>
      <c r="AF451" s="151"/>
      <c r="AG451" s="151"/>
      <c r="AH451" s="49">
        <v>45741</v>
      </c>
      <c r="AI451" s="264">
        <v>45717</v>
      </c>
      <c r="AJ451" s="150" t="s">
        <v>131</v>
      </c>
      <c r="AK451" s="369" t="s">
        <v>200</v>
      </c>
      <c r="AL451" s="369" t="s">
        <v>239</v>
      </c>
      <c r="AM451" s="150" t="s">
        <v>134</v>
      </c>
      <c r="AN451" s="367"/>
      <c r="AO451" s="367"/>
      <c r="AP451" s="367"/>
      <c r="AT451" s="45">
        <v>45716</v>
      </c>
      <c r="AU451" s="45">
        <v>45694</v>
      </c>
      <c r="AV451" s="45">
        <v>45705</v>
      </c>
      <c r="AW451" s="45">
        <v>45691</v>
      </c>
      <c r="AX451" s="367"/>
      <c r="AY451" s="367"/>
      <c r="AZ451" s="367"/>
      <c r="BA451" s="367"/>
      <c r="BB451" s="152"/>
      <c r="BC451" s="152"/>
      <c r="BD451" s="367"/>
      <c r="BE451" s="367"/>
      <c r="BF451" s="367"/>
      <c r="BG451" s="367"/>
      <c r="BH451" s="64" t="e">
        <f>#REF!</f>
        <v>#REF!</v>
      </c>
      <c r="BL451" s="54"/>
    </row>
    <row r="452" spans="1:64" ht="36" customHeight="1" x14ac:dyDescent="0.3">
      <c r="A452" s="167">
        <f t="shared" si="7"/>
        <v>447</v>
      </c>
      <c r="B452" s="54" t="s">
        <v>1547</v>
      </c>
      <c r="C452" s="367" t="s">
        <v>2</v>
      </c>
      <c r="D452" s="169" t="s">
        <v>1047</v>
      </c>
      <c r="E452" s="45">
        <v>46122</v>
      </c>
      <c r="F452" s="45">
        <v>46134</v>
      </c>
      <c r="G452" s="367"/>
      <c r="H452" s="367"/>
      <c r="I452" s="367"/>
      <c r="J452" s="54" t="s">
        <v>1048</v>
      </c>
      <c r="K452" s="48" t="s">
        <v>521</v>
      </c>
      <c r="L452" s="367"/>
      <c r="M452" s="150"/>
      <c r="N452" s="367"/>
      <c r="O452" s="367"/>
      <c r="P452" s="311"/>
      <c r="Q452" s="367"/>
      <c r="R452" s="367"/>
      <c r="S452" s="367"/>
      <c r="T452" s="367"/>
      <c r="U452" s="367"/>
      <c r="V452" s="367"/>
      <c r="W452" s="367"/>
      <c r="X452" s="367"/>
      <c r="Y452" s="367"/>
      <c r="Z452" s="367"/>
      <c r="AA452" s="367"/>
      <c r="AB452" s="150"/>
      <c r="AC452" s="48" t="s">
        <v>1548</v>
      </c>
      <c r="AD452" s="150" t="s">
        <v>55</v>
      </c>
      <c r="AE452" s="151"/>
      <c r="AF452" s="151"/>
      <c r="AG452" s="151">
        <v>46132</v>
      </c>
      <c r="AH452" s="49">
        <v>46132</v>
      </c>
      <c r="AI452" s="264">
        <v>46101</v>
      </c>
      <c r="AJ452" s="150" t="s">
        <v>648</v>
      </c>
      <c r="AK452" s="369" t="s">
        <v>1050</v>
      </c>
      <c r="AL452" s="369" t="s">
        <v>133</v>
      </c>
      <c r="AM452" s="150" t="s">
        <v>134</v>
      </c>
      <c r="AN452" s="367"/>
      <c r="AO452" s="367"/>
      <c r="AP452" s="367"/>
      <c r="AT452" s="102">
        <v>46091</v>
      </c>
      <c r="AU452" s="91">
        <v>46016</v>
      </c>
      <c r="AV452" s="45">
        <v>46042</v>
      </c>
      <c r="AW452" s="45">
        <v>46017</v>
      </c>
      <c r="AX452" s="367"/>
      <c r="AY452" s="367"/>
      <c r="AZ452" s="367"/>
      <c r="BA452" s="367"/>
      <c r="BB452" s="152"/>
      <c r="BC452" s="152"/>
      <c r="BD452" s="367"/>
      <c r="BE452" s="367"/>
      <c r="BF452" s="367"/>
      <c r="BG452" s="367"/>
      <c r="BH452" s="64" t="e">
        <f>#REF!</f>
        <v>#REF!</v>
      </c>
      <c r="BL452" s="54"/>
    </row>
    <row r="453" spans="1:64" ht="36" customHeight="1" x14ac:dyDescent="0.3">
      <c r="A453" s="250">
        <f t="shared" si="7"/>
        <v>448</v>
      </c>
      <c r="B453" s="54" t="s">
        <v>1549</v>
      </c>
      <c r="C453" s="367" t="s">
        <v>0</v>
      </c>
      <c r="D453" s="169" t="s">
        <v>1550</v>
      </c>
      <c r="E453" s="45">
        <v>45782</v>
      </c>
      <c r="F453" s="45">
        <v>45789</v>
      </c>
      <c r="G453" s="367"/>
      <c r="H453" s="367"/>
      <c r="I453" s="367" t="s">
        <v>20</v>
      </c>
      <c r="J453" s="54" t="s">
        <v>1551</v>
      </c>
      <c r="K453" s="48" t="s">
        <v>1552</v>
      </c>
      <c r="L453" s="175"/>
      <c r="M453" s="276" t="s">
        <v>120</v>
      </c>
      <c r="N453" s="367"/>
      <c r="O453" s="367" t="s">
        <v>127</v>
      </c>
      <c r="P453" s="311"/>
      <c r="Q453" s="367"/>
      <c r="R453" s="367"/>
      <c r="S453" s="367"/>
      <c r="T453" s="367">
        <v>11.8</v>
      </c>
      <c r="U453" s="367"/>
      <c r="V453" s="367"/>
      <c r="W453" s="367"/>
      <c r="X453" s="367"/>
      <c r="Y453" s="367" t="s">
        <v>127</v>
      </c>
      <c r="Z453" s="367"/>
      <c r="AA453" s="367" t="s">
        <v>214</v>
      </c>
      <c r="AB453" s="150" t="s">
        <v>215</v>
      </c>
      <c r="AC453" s="48" t="s">
        <v>1553</v>
      </c>
      <c r="AD453" s="150" t="s">
        <v>284</v>
      </c>
      <c r="AE453" s="151"/>
      <c r="AF453" s="151"/>
      <c r="AG453" s="151"/>
      <c r="AH453" s="49">
        <v>45772</v>
      </c>
      <c r="AI453" s="264">
        <v>45748</v>
      </c>
      <c r="AJ453" s="150" t="s">
        <v>131</v>
      </c>
      <c r="AK453" s="369" t="s">
        <v>200</v>
      </c>
      <c r="AL453" s="369" t="s">
        <v>154</v>
      </c>
      <c r="AM453" s="150" t="s">
        <v>209</v>
      </c>
      <c r="AN453" s="367"/>
      <c r="AO453" s="367"/>
      <c r="AP453" s="367"/>
      <c r="AT453" s="45">
        <v>45744</v>
      </c>
      <c r="AU453" s="45">
        <v>45719</v>
      </c>
      <c r="AV453" s="45">
        <v>45719</v>
      </c>
      <c r="AW453" s="45">
        <v>45720</v>
      </c>
      <c r="AX453" s="367"/>
      <c r="AY453" s="367"/>
      <c r="AZ453" s="367"/>
      <c r="BA453" s="367"/>
      <c r="BB453" s="152" t="s">
        <v>1554</v>
      </c>
      <c r="BC453" s="152"/>
      <c r="BD453" s="367"/>
      <c r="BE453" s="367"/>
      <c r="BF453" s="367"/>
      <c r="BG453" s="367"/>
      <c r="BH453" s="64" t="e">
        <f>#REF!</f>
        <v>#REF!</v>
      </c>
      <c r="BL453" s="54"/>
    </row>
    <row r="454" spans="1:64" ht="36" customHeight="1" x14ac:dyDescent="0.3">
      <c r="A454" s="250">
        <f t="shared" si="7"/>
        <v>449</v>
      </c>
      <c r="B454" s="54" t="s">
        <v>1555</v>
      </c>
      <c r="C454" s="367" t="s">
        <v>0</v>
      </c>
      <c r="D454" s="169" t="s">
        <v>1556</v>
      </c>
      <c r="E454" s="45">
        <v>45961</v>
      </c>
      <c r="F454" s="367"/>
      <c r="G454" s="367"/>
      <c r="H454" s="367"/>
      <c r="I454" s="367" t="s">
        <v>20</v>
      </c>
      <c r="J454" s="54" t="s">
        <v>1557</v>
      </c>
      <c r="K454" s="48" t="s">
        <v>213</v>
      </c>
      <c r="L454" s="367">
        <v>1100</v>
      </c>
      <c r="M454" s="150" t="s">
        <v>65</v>
      </c>
      <c r="N454" s="367"/>
      <c r="O454" s="367" t="s">
        <v>127</v>
      </c>
      <c r="P454" s="311"/>
      <c r="Q454" s="367">
        <v>4</v>
      </c>
      <c r="R454" s="367"/>
      <c r="S454" s="367">
        <v>100</v>
      </c>
      <c r="T454" s="367">
        <v>9.1999999999999993</v>
      </c>
      <c r="U454" s="367"/>
      <c r="V454" s="367"/>
      <c r="W454" s="367"/>
      <c r="X454" s="367" t="s">
        <v>142</v>
      </c>
      <c r="Y454" s="367"/>
      <c r="Z454" s="367"/>
      <c r="AA454" s="367" t="s">
        <v>214</v>
      </c>
      <c r="AB454" s="150" t="s">
        <v>215</v>
      </c>
      <c r="AC454" s="48" t="s">
        <v>1558</v>
      </c>
      <c r="AD454" s="150" t="s">
        <v>145</v>
      </c>
      <c r="AE454" s="151"/>
      <c r="AF454" s="151"/>
      <c r="AG454" s="151">
        <v>45863</v>
      </c>
      <c r="AH454" s="49">
        <v>45930</v>
      </c>
      <c r="AI454" s="264">
        <v>45931</v>
      </c>
      <c r="AJ454" s="150" t="s">
        <v>131</v>
      </c>
      <c r="AK454" s="369" t="s">
        <v>1064</v>
      </c>
      <c r="AL454" s="369" t="s">
        <v>1559</v>
      </c>
      <c r="AM454" s="150" t="s">
        <v>209</v>
      </c>
      <c r="AN454" s="367"/>
      <c r="AO454" s="367"/>
      <c r="AP454" s="367"/>
      <c r="AT454" s="45">
        <v>45940</v>
      </c>
      <c r="AU454" s="45">
        <v>45897</v>
      </c>
      <c r="AV454" s="45">
        <v>45911</v>
      </c>
      <c r="AW454" s="294" t="s">
        <v>1560</v>
      </c>
      <c r="AX454" s="367"/>
      <c r="AY454" s="367"/>
      <c r="AZ454" s="45">
        <v>45958</v>
      </c>
      <c r="BA454" s="45"/>
      <c r="BB454" s="152" t="s">
        <v>1561</v>
      </c>
      <c r="BC454" s="152"/>
      <c r="BD454" s="367"/>
      <c r="BE454" s="367"/>
      <c r="BF454" s="367"/>
      <c r="BG454" s="367"/>
      <c r="BH454" s="64" t="e">
        <f>#REF!</f>
        <v>#REF!</v>
      </c>
      <c r="BL454" s="54"/>
    </row>
    <row r="455" spans="1:64" ht="36" customHeight="1" x14ac:dyDescent="0.3">
      <c r="A455" s="167">
        <f t="shared" si="7"/>
        <v>450</v>
      </c>
      <c r="B455" s="54" t="s">
        <v>1562</v>
      </c>
      <c r="C455" s="367" t="s">
        <v>2</v>
      </c>
      <c r="D455" s="169" t="s">
        <v>262</v>
      </c>
      <c r="E455" s="367"/>
      <c r="F455" s="367"/>
      <c r="G455" s="367"/>
      <c r="H455" s="367"/>
      <c r="I455" s="367"/>
      <c r="J455" s="54"/>
      <c r="K455" s="48"/>
      <c r="L455" s="367"/>
      <c r="M455" s="150"/>
      <c r="N455" s="367"/>
      <c r="O455" s="367"/>
      <c r="P455" s="311"/>
      <c r="Q455" s="367"/>
      <c r="R455" s="367"/>
      <c r="S455" s="367"/>
      <c r="T455" s="367"/>
      <c r="U455" s="367"/>
      <c r="V455" s="367"/>
      <c r="W455" s="367"/>
      <c r="X455" s="367"/>
      <c r="Y455" s="367"/>
      <c r="Z455" s="367"/>
      <c r="AA455" s="367"/>
      <c r="AB455" s="150"/>
      <c r="AC455" s="48" t="s">
        <v>1563</v>
      </c>
      <c r="AD455" s="150" t="s">
        <v>361</v>
      </c>
      <c r="AE455" s="151"/>
      <c r="AF455" s="151"/>
      <c r="AG455" s="151"/>
      <c r="AH455" s="49"/>
      <c r="AI455" s="264"/>
      <c r="AJ455" s="150" t="s">
        <v>617</v>
      </c>
      <c r="AK455" s="369"/>
      <c r="AL455" s="369"/>
      <c r="AM455" s="150" t="s">
        <v>134</v>
      </c>
      <c r="AN455" s="367"/>
      <c r="AO455" s="367"/>
      <c r="AP455" s="367"/>
      <c r="AQ455" s="367"/>
      <c r="AR455" s="367"/>
      <c r="AS455" s="367"/>
      <c r="AT455" s="367"/>
      <c r="AU455" s="367"/>
      <c r="AV455" s="367"/>
      <c r="AW455" s="367"/>
      <c r="AX455" s="367"/>
      <c r="AY455" s="367"/>
      <c r="AZ455" s="367"/>
      <c r="BA455" s="367"/>
      <c r="BB455" s="152"/>
      <c r="BC455" s="152"/>
      <c r="BD455" s="367"/>
      <c r="BE455" s="367"/>
      <c r="BF455" s="367"/>
      <c r="BG455" s="367"/>
      <c r="BH455" s="64" t="e">
        <f>#REF!</f>
        <v>#REF!</v>
      </c>
      <c r="BL455" s="54"/>
    </row>
    <row r="456" spans="1:64" ht="36" customHeight="1" x14ac:dyDescent="0.3">
      <c r="A456" s="167">
        <f t="shared" si="7"/>
        <v>451</v>
      </c>
      <c r="B456" s="54" t="s">
        <v>1564</v>
      </c>
      <c r="C456" s="367" t="s">
        <v>2</v>
      </c>
      <c r="D456" s="169" t="s">
        <v>262</v>
      </c>
      <c r="E456" s="367"/>
      <c r="F456" s="367"/>
      <c r="G456" s="367"/>
      <c r="H456" s="367"/>
      <c r="I456" s="367"/>
      <c r="J456" s="54"/>
      <c r="K456" s="48"/>
      <c r="L456" s="367"/>
      <c r="M456" s="150"/>
      <c r="N456" s="367"/>
      <c r="O456" s="367"/>
      <c r="P456" s="311"/>
      <c r="Q456" s="367"/>
      <c r="R456" s="367"/>
      <c r="S456" s="367"/>
      <c r="T456" s="367"/>
      <c r="U456" s="367"/>
      <c r="V456" s="367"/>
      <c r="W456" s="367"/>
      <c r="X456" s="367"/>
      <c r="Y456" s="367"/>
      <c r="Z456" s="367"/>
      <c r="AA456" s="367"/>
      <c r="AB456" s="150"/>
      <c r="AC456" s="48" t="s">
        <v>1565</v>
      </c>
      <c r="AD456" s="150" t="s">
        <v>361</v>
      </c>
      <c r="AE456" s="151"/>
      <c r="AF456" s="151"/>
      <c r="AG456" s="151"/>
      <c r="AH456" s="49"/>
      <c r="AI456" s="264"/>
      <c r="AJ456" s="150" t="s">
        <v>617</v>
      </c>
      <c r="AK456" s="369"/>
      <c r="AL456" s="369"/>
      <c r="AM456" s="150" t="s">
        <v>134</v>
      </c>
      <c r="AN456" s="367"/>
      <c r="AO456" s="367"/>
      <c r="AP456" s="367"/>
      <c r="AQ456" s="367"/>
      <c r="AR456" s="367"/>
      <c r="AS456" s="367"/>
      <c r="AT456" s="367"/>
      <c r="AU456" s="367"/>
      <c r="AV456" s="367"/>
      <c r="AW456" s="367"/>
      <c r="AX456" s="367"/>
      <c r="AY456" s="367"/>
      <c r="AZ456" s="367"/>
      <c r="BA456" s="367"/>
      <c r="BB456" s="152"/>
      <c r="BC456" s="152"/>
      <c r="BD456" s="367"/>
      <c r="BE456" s="367"/>
      <c r="BF456" s="367"/>
      <c r="BG456" s="367"/>
      <c r="BH456" s="64" t="e">
        <f>#REF!</f>
        <v>#REF!</v>
      </c>
      <c r="BL456" s="54"/>
    </row>
    <row r="457" spans="1:64" ht="36" customHeight="1" x14ac:dyDescent="0.3">
      <c r="A457" s="167">
        <f t="shared" ref="A457:A464" si="8">ROW(B457)-ROW($B$5)</f>
        <v>452</v>
      </c>
      <c r="B457" s="54" t="s">
        <v>1566</v>
      </c>
      <c r="C457" s="367" t="s">
        <v>2</v>
      </c>
      <c r="D457" s="169" t="s">
        <v>262</v>
      </c>
      <c r="E457" s="367"/>
      <c r="F457" s="367"/>
      <c r="G457" s="367"/>
      <c r="H457" s="367"/>
      <c r="I457" s="367"/>
      <c r="J457" s="54"/>
      <c r="K457" s="48"/>
      <c r="L457" s="367"/>
      <c r="M457" s="150"/>
      <c r="N457" s="367"/>
      <c r="O457" s="367"/>
      <c r="P457" s="311"/>
      <c r="Q457" s="367"/>
      <c r="R457" s="367"/>
      <c r="S457" s="367"/>
      <c r="T457" s="367"/>
      <c r="U457" s="367"/>
      <c r="V457" s="367"/>
      <c r="W457" s="367"/>
      <c r="X457" s="367"/>
      <c r="Y457" s="367"/>
      <c r="Z457" s="367"/>
      <c r="AA457" s="367"/>
      <c r="AB457" s="150"/>
      <c r="AC457" s="48" t="s">
        <v>1567</v>
      </c>
      <c r="AD457" s="150" t="s">
        <v>361</v>
      </c>
      <c r="AE457" s="151"/>
      <c r="AF457" s="151"/>
      <c r="AG457" s="151"/>
      <c r="AH457" s="49"/>
      <c r="AI457" s="264"/>
      <c r="AJ457" s="150" t="s">
        <v>617</v>
      </c>
      <c r="AK457" s="369"/>
      <c r="AL457" s="369"/>
      <c r="AM457" s="150" t="s">
        <v>134</v>
      </c>
      <c r="AN457" s="367"/>
      <c r="AO457" s="367"/>
      <c r="AP457" s="367"/>
      <c r="AQ457" s="367"/>
      <c r="AR457" s="367"/>
      <c r="AS457" s="367"/>
      <c r="AT457" s="367"/>
      <c r="AU457" s="367"/>
      <c r="AV457" s="367"/>
      <c r="AW457" s="367"/>
      <c r="AX457" s="367"/>
      <c r="AY457" s="367"/>
      <c r="AZ457" s="367"/>
      <c r="BA457" s="367"/>
      <c r="BB457" s="152"/>
      <c r="BC457" s="152"/>
      <c r="BD457" s="367"/>
      <c r="BE457" s="367"/>
      <c r="BF457" s="367"/>
      <c r="BG457" s="367"/>
      <c r="BH457" s="64" t="e">
        <f>#REF!</f>
        <v>#REF!</v>
      </c>
      <c r="BL457" s="54"/>
    </row>
    <row r="458" spans="1:64" ht="36" customHeight="1" x14ac:dyDescent="0.3">
      <c r="A458" s="167">
        <f t="shared" si="8"/>
        <v>453</v>
      </c>
      <c r="B458" s="54" t="s">
        <v>1568</v>
      </c>
      <c r="C458" s="367" t="s">
        <v>2</v>
      </c>
      <c r="D458" s="169" t="s">
        <v>262</v>
      </c>
      <c r="E458" s="367"/>
      <c r="F458" s="367"/>
      <c r="G458" s="367"/>
      <c r="H458" s="367"/>
      <c r="I458" s="367"/>
      <c r="J458" s="54"/>
      <c r="K458" s="48"/>
      <c r="L458" s="367"/>
      <c r="M458" s="150"/>
      <c r="N458" s="367"/>
      <c r="O458" s="367"/>
      <c r="P458" s="311"/>
      <c r="Q458" s="367"/>
      <c r="R458" s="367"/>
      <c r="S458" s="367"/>
      <c r="T458" s="367"/>
      <c r="U458" s="367"/>
      <c r="V458" s="367"/>
      <c r="W458" s="367"/>
      <c r="X458" s="367"/>
      <c r="Y458" s="367"/>
      <c r="Z458" s="367"/>
      <c r="AA458" s="367"/>
      <c r="AB458" s="150"/>
      <c r="AC458" s="48" t="s">
        <v>1569</v>
      </c>
      <c r="AD458" s="150" t="s">
        <v>361</v>
      </c>
      <c r="AE458" s="151"/>
      <c r="AF458" s="151"/>
      <c r="AG458" s="151"/>
      <c r="AH458" s="49"/>
      <c r="AI458" s="264"/>
      <c r="AJ458" s="150" t="s">
        <v>617</v>
      </c>
      <c r="AK458" s="369"/>
      <c r="AL458" s="369"/>
      <c r="AM458" s="150" t="s">
        <v>134</v>
      </c>
      <c r="AN458" s="367"/>
      <c r="AO458" s="367"/>
      <c r="AP458" s="367"/>
      <c r="AQ458" s="367"/>
      <c r="AR458" s="367"/>
      <c r="AS458" s="367"/>
      <c r="AT458" s="367"/>
      <c r="AU458" s="367"/>
      <c r="AV458" s="367"/>
      <c r="AW458" s="367"/>
      <c r="AX458" s="367"/>
      <c r="AY458" s="367"/>
      <c r="AZ458" s="367"/>
      <c r="BA458" s="367"/>
      <c r="BB458" s="152"/>
      <c r="BC458" s="152"/>
      <c r="BD458" s="367"/>
      <c r="BE458" s="367"/>
      <c r="BF458" s="367"/>
      <c r="BG458" s="367"/>
      <c r="BH458" s="64" t="e">
        <f>#REF!</f>
        <v>#REF!</v>
      </c>
      <c r="BL458" s="54"/>
    </row>
    <row r="459" spans="1:64" ht="36" customHeight="1" x14ac:dyDescent="0.3">
      <c r="A459" s="167">
        <f t="shared" si="8"/>
        <v>454</v>
      </c>
      <c r="B459" s="54" t="s">
        <v>1570</v>
      </c>
      <c r="C459" s="367" t="s">
        <v>2</v>
      </c>
      <c r="D459" s="367" t="s">
        <v>1047</v>
      </c>
      <c r="E459" s="45">
        <v>46129</v>
      </c>
      <c r="F459" s="45">
        <v>46134</v>
      </c>
      <c r="G459" s="367"/>
      <c r="H459" s="367"/>
      <c r="I459" s="367"/>
      <c r="J459" s="54" t="s">
        <v>1048</v>
      </c>
      <c r="K459" s="48" t="s">
        <v>521</v>
      </c>
      <c r="L459" s="367"/>
      <c r="M459" s="150"/>
      <c r="N459" s="367"/>
      <c r="O459" s="367"/>
      <c r="P459" s="311"/>
      <c r="Q459" s="367"/>
      <c r="R459" s="367"/>
      <c r="S459" s="367"/>
      <c r="T459" s="367"/>
      <c r="U459" s="367"/>
      <c r="V459" s="367"/>
      <c r="W459" s="367"/>
      <c r="X459" s="367"/>
      <c r="Y459" s="367"/>
      <c r="Z459" s="367"/>
      <c r="AA459" s="367"/>
      <c r="AB459" s="150"/>
      <c r="AC459" s="48" t="s">
        <v>1571</v>
      </c>
      <c r="AD459" s="150" t="s">
        <v>55</v>
      </c>
      <c r="AE459" s="151"/>
      <c r="AF459" s="151"/>
      <c r="AG459" s="151">
        <v>46140</v>
      </c>
      <c r="AH459" s="49">
        <v>46140</v>
      </c>
      <c r="AI459" s="264">
        <v>46113</v>
      </c>
      <c r="AJ459" s="150" t="s">
        <v>648</v>
      </c>
      <c r="AK459" s="369" t="s">
        <v>1050</v>
      </c>
      <c r="AL459" s="369" t="s">
        <v>133</v>
      </c>
      <c r="AM459" s="150" t="s">
        <v>134</v>
      </c>
      <c r="AN459" s="367"/>
      <c r="AO459" s="367"/>
      <c r="AP459" s="367"/>
      <c r="AT459" s="102">
        <v>46091</v>
      </c>
      <c r="AU459" s="91">
        <v>46016</v>
      </c>
      <c r="AV459" s="45">
        <v>46042</v>
      </c>
      <c r="AW459" s="45">
        <v>46017</v>
      </c>
      <c r="AX459" s="367"/>
      <c r="AY459" s="367"/>
      <c r="AZ459" s="367"/>
      <c r="BA459" s="367"/>
      <c r="BB459" s="152"/>
      <c r="BC459" s="152"/>
      <c r="BD459" s="367"/>
      <c r="BE459" s="367"/>
      <c r="BF459" s="367"/>
      <c r="BG459" s="367"/>
      <c r="BH459" s="64" t="e">
        <f>#REF!</f>
        <v>#REF!</v>
      </c>
      <c r="BL459" s="54"/>
    </row>
    <row r="460" spans="1:64" ht="36" customHeight="1" x14ac:dyDescent="0.3">
      <c r="A460" s="167">
        <f t="shared" si="8"/>
        <v>455</v>
      </c>
      <c r="B460" s="54" t="s">
        <v>1572</v>
      </c>
      <c r="C460" s="367" t="s">
        <v>2</v>
      </c>
      <c r="D460" s="367" t="s">
        <v>1047</v>
      </c>
      <c r="E460" s="45">
        <v>46129</v>
      </c>
      <c r="F460" s="45">
        <v>46134</v>
      </c>
      <c r="G460" s="367"/>
      <c r="H460" s="367"/>
      <c r="I460" s="367"/>
      <c r="J460" s="54" t="s">
        <v>1048</v>
      </c>
      <c r="K460" s="48" t="s">
        <v>521</v>
      </c>
      <c r="L460" s="367"/>
      <c r="M460" s="150"/>
      <c r="N460" s="367"/>
      <c r="O460" s="367"/>
      <c r="P460" s="311"/>
      <c r="Q460" s="367"/>
      <c r="R460" s="367"/>
      <c r="S460" s="367"/>
      <c r="T460" s="367"/>
      <c r="U460" s="367"/>
      <c r="V460" s="367"/>
      <c r="W460" s="367"/>
      <c r="X460" s="367"/>
      <c r="Y460" s="367"/>
      <c r="Z460" s="367"/>
      <c r="AA460" s="367"/>
      <c r="AB460" s="150"/>
      <c r="AC460" s="48" t="s">
        <v>1573</v>
      </c>
      <c r="AD460" s="150" t="s">
        <v>55</v>
      </c>
      <c r="AE460" s="151"/>
      <c r="AF460" s="151"/>
      <c r="AG460" s="151">
        <v>46140</v>
      </c>
      <c r="AH460" s="49">
        <v>46140</v>
      </c>
      <c r="AI460" s="264">
        <v>46113</v>
      </c>
      <c r="AJ460" s="150" t="s">
        <v>648</v>
      </c>
      <c r="AK460" s="369" t="s">
        <v>1050</v>
      </c>
      <c r="AL460" s="369" t="s">
        <v>133</v>
      </c>
      <c r="AM460" s="150" t="s">
        <v>134</v>
      </c>
      <c r="AN460" s="367"/>
      <c r="AO460" s="367"/>
      <c r="AP460" s="367"/>
      <c r="AT460" s="102">
        <v>46091</v>
      </c>
      <c r="AU460" s="91">
        <v>46016</v>
      </c>
      <c r="AV460" s="45">
        <v>46042</v>
      </c>
      <c r="AW460" s="45">
        <v>46017</v>
      </c>
      <c r="AX460" s="367"/>
      <c r="AY460" s="367"/>
      <c r="AZ460" s="367"/>
      <c r="BA460" s="367"/>
      <c r="BB460" s="152"/>
      <c r="BC460" s="152"/>
      <c r="BD460" s="367"/>
      <c r="BE460" s="367"/>
      <c r="BF460" s="367"/>
      <c r="BG460" s="367"/>
      <c r="BH460" s="64" t="e">
        <f>#REF!</f>
        <v>#REF!</v>
      </c>
      <c r="BL460" s="54"/>
    </row>
    <row r="461" spans="1:64" ht="51.6" customHeight="1" x14ac:dyDescent="0.3">
      <c r="A461" s="167">
        <f t="shared" si="8"/>
        <v>456</v>
      </c>
      <c r="B461" s="54" t="s">
        <v>1574</v>
      </c>
      <c r="C461" s="367" t="s">
        <v>0</v>
      </c>
      <c r="D461" s="367" t="s">
        <v>1575</v>
      </c>
      <c r="E461" s="45">
        <v>45868</v>
      </c>
      <c r="F461" s="45">
        <v>45869</v>
      </c>
      <c r="G461" s="367"/>
      <c r="H461" s="367"/>
      <c r="I461" s="367"/>
      <c r="J461" s="54" t="s">
        <v>577</v>
      </c>
      <c r="K461" s="48" t="s">
        <v>187</v>
      </c>
      <c r="L461" s="367"/>
      <c r="M461" s="150"/>
      <c r="N461" s="367"/>
      <c r="O461" s="367"/>
      <c r="P461" s="311"/>
      <c r="Q461" s="367"/>
      <c r="R461" s="367"/>
      <c r="S461" s="367"/>
      <c r="T461" s="367"/>
      <c r="U461" s="367"/>
      <c r="V461" s="367"/>
      <c r="W461" s="367"/>
      <c r="X461" s="367"/>
      <c r="Y461" s="367"/>
      <c r="Z461" s="367"/>
      <c r="AA461" s="367"/>
      <c r="AB461" s="150"/>
      <c r="AC461" s="48" t="s">
        <v>1576</v>
      </c>
      <c r="AD461" s="150" t="s">
        <v>189</v>
      </c>
      <c r="AE461" s="151"/>
      <c r="AF461" s="151"/>
      <c r="AG461" s="151">
        <v>45807</v>
      </c>
      <c r="AH461" s="49">
        <v>45807</v>
      </c>
      <c r="AI461" s="264">
        <v>45778</v>
      </c>
      <c r="AJ461" s="150" t="s">
        <v>131</v>
      </c>
      <c r="AK461" s="369" t="s">
        <v>190</v>
      </c>
      <c r="AL461" s="369" t="s">
        <v>295</v>
      </c>
      <c r="AM461" s="150" t="s">
        <v>134</v>
      </c>
      <c r="AN461" s="367"/>
      <c r="AO461" s="367"/>
      <c r="AP461" s="367"/>
      <c r="AT461" s="45">
        <v>45767</v>
      </c>
      <c r="AU461" s="45">
        <v>45757</v>
      </c>
      <c r="AV461" s="45">
        <v>45757</v>
      </c>
      <c r="AW461" s="45">
        <v>45733</v>
      </c>
      <c r="AX461" s="367"/>
      <c r="AY461" s="367"/>
      <c r="AZ461" s="367"/>
      <c r="BA461" s="367"/>
      <c r="BB461" s="152" t="s">
        <v>1577</v>
      </c>
      <c r="BC461" s="152"/>
      <c r="BD461" s="367"/>
      <c r="BE461" s="367"/>
      <c r="BF461" s="367"/>
      <c r="BG461" s="367"/>
      <c r="BH461" s="64" t="e">
        <f>#REF!</f>
        <v>#REF!</v>
      </c>
      <c r="BL461" s="54"/>
    </row>
    <row r="462" spans="1:64" ht="36" customHeight="1" x14ac:dyDescent="0.3">
      <c r="A462" s="167">
        <f t="shared" si="8"/>
        <v>457</v>
      </c>
      <c r="B462" s="54" t="s">
        <v>1578</v>
      </c>
      <c r="C462" s="367" t="s">
        <v>0</v>
      </c>
      <c r="D462" s="367" t="s">
        <v>1579</v>
      </c>
      <c r="E462" s="45">
        <v>45802</v>
      </c>
      <c r="F462" s="367"/>
      <c r="G462" s="367"/>
      <c r="H462" s="367"/>
      <c r="I462" s="367" t="s">
        <v>20</v>
      </c>
      <c r="J462" s="54" t="s">
        <v>369</v>
      </c>
      <c r="K462" s="48" t="s">
        <v>1580</v>
      </c>
      <c r="L462" s="367">
        <v>1100</v>
      </c>
      <c r="M462" s="150" t="s">
        <v>65</v>
      </c>
      <c r="N462" s="367"/>
      <c r="O462" s="367" t="s">
        <v>127</v>
      </c>
      <c r="P462" s="311"/>
      <c r="Q462" s="367"/>
      <c r="R462" s="367"/>
      <c r="S462" s="367"/>
      <c r="T462" s="367"/>
      <c r="U462" s="367"/>
      <c r="V462" s="367"/>
      <c r="W462" s="367"/>
      <c r="X462" s="367"/>
      <c r="Y462" s="367"/>
      <c r="Z462" s="367"/>
      <c r="AA462" s="367"/>
      <c r="AB462" s="150"/>
      <c r="AC462" s="48" t="s">
        <v>1581</v>
      </c>
      <c r="AD462" s="150" t="s">
        <v>169</v>
      </c>
      <c r="AE462" s="151"/>
      <c r="AF462" s="151"/>
      <c r="AG462" s="151"/>
      <c r="AH462" s="49">
        <v>45792</v>
      </c>
      <c r="AI462" s="264">
        <v>45778</v>
      </c>
      <c r="AJ462" s="150" t="s">
        <v>131</v>
      </c>
      <c r="AK462" s="369" t="s">
        <v>200</v>
      </c>
      <c r="AL462" s="369"/>
      <c r="AM462" s="150" t="s">
        <v>134</v>
      </c>
      <c r="AN462" s="367"/>
      <c r="AO462" s="367"/>
      <c r="AP462" s="367"/>
      <c r="AT462" s="45">
        <v>45787</v>
      </c>
      <c r="AU462" s="45">
        <v>45769</v>
      </c>
      <c r="AV462" s="45">
        <v>45769</v>
      </c>
      <c r="AW462" s="367"/>
      <c r="AX462" s="367"/>
      <c r="AY462" s="367"/>
      <c r="AZ462" s="367"/>
      <c r="BA462" s="367"/>
      <c r="BB462" s="152"/>
      <c r="BC462" s="152"/>
      <c r="BD462" s="367"/>
      <c r="BE462" s="367"/>
      <c r="BF462" s="367"/>
      <c r="BG462" s="367"/>
      <c r="BH462" s="64" t="e">
        <f>#REF!</f>
        <v>#REF!</v>
      </c>
      <c r="BL462" s="54"/>
    </row>
    <row r="463" spans="1:64" ht="48.6" customHeight="1" x14ac:dyDescent="0.3">
      <c r="A463" s="167">
        <f t="shared" si="8"/>
        <v>458</v>
      </c>
      <c r="B463" s="54" t="s">
        <v>1582</v>
      </c>
      <c r="C463" s="367" t="s">
        <v>0</v>
      </c>
      <c r="D463" s="367" t="s">
        <v>1583</v>
      </c>
      <c r="E463" s="45">
        <v>45838</v>
      </c>
      <c r="F463" s="367"/>
      <c r="G463" s="367"/>
      <c r="H463" s="367"/>
      <c r="I463" s="367"/>
      <c r="J463" s="54" t="s">
        <v>6</v>
      </c>
      <c r="K463" s="48" t="s">
        <v>187</v>
      </c>
      <c r="L463" s="367"/>
      <c r="M463" s="150"/>
      <c r="N463" s="367"/>
      <c r="O463" s="367"/>
      <c r="P463" s="311"/>
      <c r="Q463" s="367"/>
      <c r="R463" s="367"/>
      <c r="S463" s="367"/>
      <c r="T463" s="367"/>
      <c r="U463" s="367"/>
      <c r="V463" s="367"/>
      <c r="W463" s="367"/>
      <c r="X463" s="367"/>
      <c r="Y463" s="367"/>
      <c r="Z463" s="367"/>
      <c r="AA463" s="367"/>
      <c r="AB463" s="150"/>
      <c r="AC463" s="48" t="s">
        <v>1584</v>
      </c>
      <c r="AD463" s="150" t="s">
        <v>189</v>
      </c>
      <c r="AE463" s="151"/>
      <c r="AF463" s="151"/>
      <c r="AG463" s="151">
        <v>45807</v>
      </c>
      <c r="AH463" s="49">
        <v>45807</v>
      </c>
      <c r="AI463" s="264">
        <v>45778</v>
      </c>
      <c r="AJ463" s="150" t="s">
        <v>131</v>
      </c>
      <c r="AK463" s="369" t="s">
        <v>190</v>
      </c>
      <c r="AL463" s="369" t="s">
        <v>295</v>
      </c>
      <c r="AM463" s="150" t="s">
        <v>134</v>
      </c>
      <c r="AN463" s="367"/>
      <c r="AO463" s="367"/>
      <c r="AP463" s="367"/>
      <c r="AT463" s="45">
        <v>45736</v>
      </c>
      <c r="AU463" s="45">
        <v>45757</v>
      </c>
      <c r="AV463" s="45">
        <v>45757</v>
      </c>
      <c r="AW463" s="45">
        <v>45706</v>
      </c>
      <c r="AX463" s="367"/>
      <c r="AY463" s="367"/>
      <c r="AZ463" s="367"/>
      <c r="BA463" s="367"/>
      <c r="BB463" s="152" t="s">
        <v>1577</v>
      </c>
      <c r="BC463" s="152"/>
      <c r="BD463" s="367"/>
      <c r="BE463" s="367"/>
      <c r="BF463" s="367"/>
      <c r="BG463" s="367"/>
      <c r="BH463" s="64" t="e">
        <f>#REF!</f>
        <v>#REF!</v>
      </c>
      <c r="BL463" s="54"/>
    </row>
    <row r="464" spans="1:64" ht="48" customHeight="1" x14ac:dyDescent="0.3">
      <c r="A464" s="305">
        <f t="shared" si="8"/>
        <v>459</v>
      </c>
      <c r="B464" s="54" t="s">
        <v>1585</v>
      </c>
      <c r="C464" s="367" t="s">
        <v>0</v>
      </c>
      <c r="D464" s="367" t="s">
        <v>1586</v>
      </c>
      <c r="E464" s="45">
        <v>45847</v>
      </c>
      <c r="F464" s="367"/>
      <c r="G464" s="367"/>
      <c r="H464" s="367"/>
      <c r="I464" s="367"/>
      <c r="J464" s="54" t="s">
        <v>6</v>
      </c>
      <c r="K464" s="48" t="s">
        <v>187</v>
      </c>
      <c r="L464" s="367"/>
      <c r="M464" s="150"/>
      <c r="N464" s="367"/>
      <c r="O464" s="367"/>
      <c r="P464" s="311"/>
      <c r="Q464" s="367"/>
      <c r="R464" s="367"/>
      <c r="S464" s="367"/>
      <c r="T464" s="367"/>
      <c r="U464" s="367"/>
      <c r="V464" s="367"/>
      <c r="W464" s="367"/>
      <c r="X464" s="367"/>
      <c r="Y464" s="367"/>
      <c r="Z464" s="367"/>
      <c r="AA464" s="367"/>
      <c r="AB464" s="150"/>
      <c r="AC464" s="48" t="s">
        <v>1587</v>
      </c>
      <c r="AD464" s="150" t="s">
        <v>189</v>
      </c>
      <c r="AE464" s="151"/>
      <c r="AF464" s="151"/>
      <c r="AG464" s="151">
        <v>45838</v>
      </c>
      <c r="AH464" s="49">
        <v>45807</v>
      </c>
      <c r="AI464" s="264">
        <v>45778</v>
      </c>
      <c r="AJ464" s="150" t="s">
        <v>131</v>
      </c>
      <c r="AK464" s="369" t="s">
        <v>190</v>
      </c>
      <c r="AL464" s="369" t="s">
        <v>295</v>
      </c>
      <c r="AM464" s="150" t="s">
        <v>134</v>
      </c>
      <c r="AN464" s="367"/>
      <c r="AO464" s="367"/>
      <c r="AP464" s="367"/>
      <c r="AT464" s="45">
        <v>45736</v>
      </c>
      <c r="AU464" s="45">
        <v>45757</v>
      </c>
      <c r="AV464" s="45">
        <v>45757</v>
      </c>
      <c r="AW464" s="45">
        <v>45706</v>
      </c>
      <c r="AX464" s="367"/>
      <c r="AY464" s="367"/>
      <c r="AZ464" s="367"/>
      <c r="BA464" s="367"/>
      <c r="BB464" s="152" t="s">
        <v>1577</v>
      </c>
      <c r="BC464" s="152"/>
      <c r="BD464" s="367"/>
      <c r="BE464" s="367"/>
      <c r="BF464" s="367"/>
      <c r="BG464" s="367"/>
      <c r="BH464" s="64" t="e">
        <f>#REF!</f>
        <v>#REF!</v>
      </c>
      <c r="BL464" s="54"/>
    </row>
    <row r="465" spans="1:64" ht="36" customHeight="1" x14ac:dyDescent="0.3">
      <c r="A465" s="305">
        <f t="shared" ref="A465:A472" si="9">ROW(B465)-ROW($B$5)</f>
        <v>460</v>
      </c>
      <c r="B465" s="54" t="s">
        <v>1588</v>
      </c>
      <c r="C465" s="367" t="s">
        <v>2</v>
      </c>
      <c r="D465" s="367" t="s">
        <v>262</v>
      </c>
      <c r="E465" s="367"/>
      <c r="F465" s="367"/>
      <c r="G465" s="367"/>
      <c r="H465" s="367"/>
      <c r="I465" s="367"/>
      <c r="J465" s="54" t="s">
        <v>674</v>
      </c>
      <c r="K465" s="48" t="s">
        <v>675</v>
      </c>
      <c r="L465" s="367"/>
      <c r="M465" s="150"/>
      <c r="N465" s="367"/>
      <c r="O465" s="367"/>
      <c r="P465" s="367"/>
      <c r="Q465" s="367"/>
      <c r="R465" s="367"/>
      <c r="S465" s="367"/>
      <c r="T465" s="367"/>
      <c r="U465" s="367"/>
      <c r="V465" s="367"/>
      <c r="W465" s="367"/>
      <c r="X465" s="367"/>
      <c r="Y465" s="367"/>
      <c r="Z465" s="367"/>
      <c r="AA465" s="367"/>
      <c r="AB465" s="150"/>
      <c r="AC465" s="48" t="s">
        <v>1589</v>
      </c>
      <c r="AD465" s="150" t="s">
        <v>169</v>
      </c>
      <c r="AE465" s="151"/>
      <c r="AF465" s="151"/>
      <c r="AG465" s="151"/>
      <c r="AH465" s="49"/>
      <c r="AI465" s="264"/>
      <c r="AJ465" s="150" t="s">
        <v>264</v>
      </c>
      <c r="AK465" s="369"/>
      <c r="AL465" s="369"/>
      <c r="AM465" s="150"/>
      <c r="AN465" s="367"/>
      <c r="AO465" s="367"/>
      <c r="AP465" s="367"/>
      <c r="AT465" s="367"/>
      <c r="AU465" s="367"/>
      <c r="AV465" s="367"/>
      <c r="AW465" s="367"/>
      <c r="AX465" s="367"/>
      <c r="AY465" s="367"/>
      <c r="AZ465" s="367"/>
      <c r="BA465" s="367"/>
      <c r="BB465" s="152"/>
      <c r="BC465" s="152"/>
      <c r="BD465" s="367"/>
      <c r="BE465" s="367"/>
      <c r="BF465" s="367"/>
      <c r="BG465" s="367"/>
      <c r="BH465" s="64" t="e">
        <f>#REF!</f>
        <v>#REF!</v>
      </c>
      <c r="BL465" s="54"/>
    </row>
    <row r="466" spans="1:64" ht="36" customHeight="1" x14ac:dyDescent="0.3">
      <c r="A466" s="305">
        <f t="shared" si="9"/>
        <v>461</v>
      </c>
      <c r="B466" s="54" t="s">
        <v>1590</v>
      </c>
      <c r="C466" s="367" t="s">
        <v>2</v>
      </c>
      <c r="D466" s="367" t="s">
        <v>262</v>
      </c>
      <c r="E466" s="367"/>
      <c r="F466" s="367"/>
      <c r="G466" s="367"/>
      <c r="H466" s="367"/>
      <c r="I466" s="367"/>
      <c r="J466" s="54" t="s">
        <v>674</v>
      </c>
      <c r="K466" s="48" t="s">
        <v>675</v>
      </c>
      <c r="L466" s="367"/>
      <c r="M466" s="150"/>
      <c r="N466" s="367"/>
      <c r="O466" s="367"/>
      <c r="P466" s="367"/>
      <c r="Q466" s="367"/>
      <c r="R466" s="367"/>
      <c r="S466" s="367"/>
      <c r="T466" s="367"/>
      <c r="U466" s="367"/>
      <c r="V466" s="367"/>
      <c r="W466" s="367"/>
      <c r="X466" s="367"/>
      <c r="Y466" s="367"/>
      <c r="Z466" s="367"/>
      <c r="AA466" s="367"/>
      <c r="AB466" s="150"/>
      <c r="AC466" s="48" t="s">
        <v>1591</v>
      </c>
      <c r="AD466" s="150" t="s">
        <v>1592</v>
      </c>
      <c r="AE466" s="151"/>
      <c r="AF466" s="151"/>
      <c r="AG466" s="151"/>
      <c r="AH466" s="49"/>
      <c r="AI466" s="264"/>
      <c r="AJ466" s="150" t="s">
        <v>264</v>
      </c>
      <c r="AK466" s="369"/>
      <c r="AL466" s="369"/>
      <c r="AM466" s="150"/>
      <c r="AN466" s="367"/>
      <c r="AO466" s="367"/>
      <c r="AP466" s="367"/>
      <c r="AT466" s="367"/>
      <c r="AU466" s="367"/>
      <c r="AV466" s="367"/>
      <c r="AW466" s="367"/>
      <c r="AX466" s="367"/>
      <c r="AY466" s="367"/>
      <c r="AZ466" s="367"/>
      <c r="BA466" s="367"/>
      <c r="BB466" s="152"/>
      <c r="BC466" s="152"/>
      <c r="BD466" s="367"/>
      <c r="BE466" s="367"/>
      <c r="BF466" s="367"/>
      <c r="BG466" s="367"/>
      <c r="BH466" s="64" t="e">
        <f>#REF!</f>
        <v>#REF!</v>
      </c>
      <c r="BL466" s="54"/>
    </row>
    <row r="467" spans="1:64" ht="36" customHeight="1" x14ac:dyDescent="0.3">
      <c r="A467" s="305">
        <f t="shared" si="9"/>
        <v>462</v>
      </c>
      <c r="B467" s="54" t="s">
        <v>1593</v>
      </c>
      <c r="C467" s="367" t="s">
        <v>2</v>
      </c>
      <c r="D467" s="367" t="s">
        <v>262</v>
      </c>
      <c r="E467" s="367"/>
      <c r="F467" s="367"/>
      <c r="G467" s="367"/>
      <c r="H467" s="367"/>
      <c r="I467" s="367"/>
      <c r="J467" s="54" t="s">
        <v>674</v>
      </c>
      <c r="K467" s="48" t="s">
        <v>675</v>
      </c>
      <c r="L467" s="367"/>
      <c r="M467" s="150"/>
      <c r="N467" s="367"/>
      <c r="O467" s="367"/>
      <c r="P467" s="367"/>
      <c r="Q467" s="367"/>
      <c r="R467" s="367"/>
      <c r="S467" s="367"/>
      <c r="T467" s="367"/>
      <c r="U467" s="367"/>
      <c r="V467" s="367"/>
      <c r="W467" s="367"/>
      <c r="X467" s="367"/>
      <c r="Y467" s="367"/>
      <c r="Z467" s="367"/>
      <c r="AA467" s="367"/>
      <c r="AB467" s="150"/>
      <c r="AC467" s="48" t="s">
        <v>1594</v>
      </c>
      <c r="AD467" s="150" t="s">
        <v>1079</v>
      </c>
      <c r="AE467" s="151"/>
      <c r="AF467" s="151"/>
      <c r="AG467" s="151"/>
      <c r="AH467" s="49"/>
      <c r="AI467" s="264"/>
      <c r="AJ467" s="150" t="s">
        <v>264</v>
      </c>
      <c r="AK467" s="369"/>
      <c r="AL467" s="369"/>
      <c r="AM467" s="150"/>
      <c r="AN467" s="367"/>
      <c r="AO467" s="367"/>
      <c r="AP467" s="367"/>
      <c r="AT467" s="367"/>
      <c r="AU467" s="367"/>
      <c r="AV467" s="367"/>
      <c r="AW467" s="367"/>
      <c r="AX467" s="367"/>
      <c r="AY467" s="367"/>
      <c r="AZ467" s="367"/>
      <c r="BA467" s="367"/>
      <c r="BB467" s="152"/>
      <c r="BC467" s="152"/>
      <c r="BD467" s="367"/>
      <c r="BE467" s="367"/>
      <c r="BF467" s="367"/>
      <c r="BG467" s="367"/>
      <c r="BH467" s="64" t="e">
        <f>#REF!</f>
        <v>#REF!</v>
      </c>
      <c r="BL467" s="54"/>
    </row>
    <row r="468" spans="1:64" ht="36" customHeight="1" x14ac:dyDescent="0.3">
      <c r="A468" s="305">
        <f t="shared" si="9"/>
        <v>463</v>
      </c>
      <c r="B468" s="54" t="s">
        <v>1595</v>
      </c>
      <c r="C468" s="367" t="s">
        <v>2</v>
      </c>
      <c r="D468" s="367" t="s">
        <v>262</v>
      </c>
      <c r="E468" s="367"/>
      <c r="F468" s="367"/>
      <c r="G468" s="367"/>
      <c r="H468" s="367"/>
      <c r="I468" s="367"/>
      <c r="J468" s="54" t="s">
        <v>674</v>
      </c>
      <c r="K468" s="48" t="s">
        <v>675</v>
      </c>
      <c r="L468" s="367"/>
      <c r="M468" s="150"/>
      <c r="N468" s="367"/>
      <c r="O468" s="367"/>
      <c r="P468" s="367"/>
      <c r="Q468" s="367"/>
      <c r="R468" s="367"/>
      <c r="S468" s="367"/>
      <c r="T468" s="367"/>
      <c r="U468" s="367"/>
      <c r="V468" s="367"/>
      <c r="W468" s="367"/>
      <c r="X468" s="367"/>
      <c r="Y468" s="367"/>
      <c r="Z468" s="367"/>
      <c r="AA468" s="367"/>
      <c r="AB468" s="150"/>
      <c r="AC468" s="48" t="s">
        <v>1596</v>
      </c>
      <c r="AD468" s="150" t="s">
        <v>169</v>
      </c>
      <c r="AE468" s="151"/>
      <c r="AF468" s="151"/>
      <c r="AG468" s="151"/>
      <c r="AH468" s="49"/>
      <c r="AI468" s="264"/>
      <c r="AJ468" s="150" t="s">
        <v>264</v>
      </c>
      <c r="AK468" s="369"/>
      <c r="AL468" s="369"/>
      <c r="AM468" s="150"/>
      <c r="AN468" s="367"/>
      <c r="AO468" s="367"/>
      <c r="AP468" s="367"/>
      <c r="AT468" s="367"/>
      <c r="AU468" s="367"/>
      <c r="AV468" s="367"/>
      <c r="AW468" s="367"/>
      <c r="AX468" s="367"/>
      <c r="AY468" s="367"/>
      <c r="AZ468" s="367"/>
      <c r="BA468" s="367"/>
      <c r="BB468" s="152"/>
      <c r="BC468" s="152"/>
      <c r="BD468" s="367"/>
      <c r="BE468" s="367"/>
      <c r="BF468" s="367"/>
      <c r="BG468" s="367"/>
      <c r="BH468" s="64" t="e">
        <f>#REF!</f>
        <v>#REF!</v>
      </c>
      <c r="BL468" s="54"/>
    </row>
    <row r="469" spans="1:64" ht="36" customHeight="1" x14ac:dyDescent="0.3">
      <c r="A469" s="305">
        <f t="shared" si="9"/>
        <v>464</v>
      </c>
      <c r="B469" s="54" t="s">
        <v>1597</v>
      </c>
      <c r="C469" s="367" t="s">
        <v>0</v>
      </c>
      <c r="D469" s="367" t="s">
        <v>1598</v>
      </c>
      <c r="E469" s="45">
        <v>45731</v>
      </c>
      <c r="F469" s="45">
        <v>45731</v>
      </c>
      <c r="G469" s="367"/>
      <c r="H469" s="367"/>
      <c r="I469" s="367"/>
      <c r="J469" s="54" t="s">
        <v>644</v>
      </c>
      <c r="K469" s="48" t="s">
        <v>1599</v>
      </c>
      <c r="L469" s="367"/>
      <c r="M469" s="150"/>
      <c r="N469" s="367"/>
      <c r="O469" s="367"/>
      <c r="P469" s="311"/>
      <c r="Q469" s="367"/>
      <c r="R469" s="367"/>
      <c r="S469" s="367"/>
      <c r="T469" s="367"/>
      <c r="U469" s="367"/>
      <c r="V469" s="367"/>
      <c r="W469" s="367"/>
      <c r="X469" s="367"/>
      <c r="Y469" s="367"/>
      <c r="Z469" s="367"/>
      <c r="AA469" s="367"/>
      <c r="AB469" s="150"/>
      <c r="AC469" s="48" t="s">
        <v>1600</v>
      </c>
      <c r="AD469" s="150" t="s">
        <v>361</v>
      </c>
      <c r="AE469" s="151"/>
      <c r="AF469" s="151"/>
      <c r="AG469" s="151"/>
      <c r="AH469" s="49">
        <v>45731</v>
      </c>
      <c r="AI469" s="264">
        <v>45717</v>
      </c>
      <c r="AJ469" s="150" t="s">
        <v>131</v>
      </c>
      <c r="AK469" s="369" t="s">
        <v>294</v>
      </c>
      <c r="AL469" s="369" t="s">
        <v>239</v>
      </c>
      <c r="AM469" s="150" t="s">
        <v>134</v>
      </c>
      <c r="AN469" s="367"/>
      <c r="AO469" s="367"/>
      <c r="AP469" s="367"/>
      <c r="AT469" s="45">
        <v>45726</v>
      </c>
      <c r="AU469" s="45">
        <v>45710</v>
      </c>
      <c r="AV469" s="45">
        <v>45716</v>
      </c>
      <c r="AW469" s="45">
        <v>45705</v>
      </c>
      <c r="AX469" s="367"/>
      <c r="AY469" s="367"/>
      <c r="AZ469" s="367"/>
      <c r="BA469" s="367"/>
      <c r="BB469" s="152"/>
      <c r="BC469" s="152"/>
      <c r="BD469" s="367"/>
      <c r="BE469" s="367"/>
      <c r="BF469" s="367"/>
      <c r="BG469" s="367"/>
      <c r="BH469" s="64" t="e">
        <f>#REF!</f>
        <v>#REF!</v>
      </c>
      <c r="BL469" s="54"/>
    </row>
    <row r="470" spans="1:64" ht="36" customHeight="1" x14ac:dyDescent="0.3">
      <c r="A470" s="305">
        <f t="shared" si="9"/>
        <v>465</v>
      </c>
      <c r="B470" s="54" t="s">
        <v>1601</v>
      </c>
      <c r="C470" s="367" t="s">
        <v>0</v>
      </c>
      <c r="D470" s="367" t="s">
        <v>1602</v>
      </c>
      <c r="E470" s="45">
        <v>45731</v>
      </c>
      <c r="F470" s="45">
        <v>45731</v>
      </c>
      <c r="G470" s="367"/>
      <c r="H470" s="367"/>
      <c r="I470" s="367"/>
      <c r="J470" s="54" t="s">
        <v>644</v>
      </c>
      <c r="K470" s="48" t="s">
        <v>1599</v>
      </c>
      <c r="L470" s="367"/>
      <c r="M470" s="150"/>
      <c r="N470" s="367"/>
      <c r="O470" s="367"/>
      <c r="P470" s="311"/>
      <c r="Q470" s="367"/>
      <c r="R470" s="367"/>
      <c r="S470" s="367"/>
      <c r="T470" s="367"/>
      <c r="U470" s="367"/>
      <c r="V470" s="367"/>
      <c r="W470" s="367"/>
      <c r="X470" s="367"/>
      <c r="Y470" s="367"/>
      <c r="Z470" s="367"/>
      <c r="AA470" s="367"/>
      <c r="AB470" s="150"/>
      <c r="AC470" s="48" t="s">
        <v>1600</v>
      </c>
      <c r="AD470" s="150" t="s">
        <v>361</v>
      </c>
      <c r="AE470" s="151"/>
      <c r="AF470" s="151"/>
      <c r="AG470" s="151"/>
      <c r="AH470" s="49">
        <v>45731</v>
      </c>
      <c r="AI470" s="264">
        <v>45717</v>
      </c>
      <c r="AJ470" s="150" t="s">
        <v>131</v>
      </c>
      <c r="AK470" s="369" t="s">
        <v>294</v>
      </c>
      <c r="AL470" s="369" t="s">
        <v>239</v>
      </c>
      <c r="AM470" s="150" t="s">
        <v>134</v>
      </c>
      <c r="AN470" s="367"/>
      <c r="AO470" s="367"/>
      <c r="AP470" s="367"/>
      <c r="AT470" s="45">
        <v>45726</v>
      </c>
      <c r="AU470" s="45">
        <v>45710</v>
      </c>
      <c r="AV470" s="45">
        <v>45716</v>
      </c>
      <c r="AW470" s="45">
        <v>45705</v>
      </c>
      <c r="AX470" s="367"/>
      <c r="AY470" s="367"/>
      <c r="AZ470" s="367"/>
      <c r="BA470" s="367"/>
      <c r="BB470" s="152"/>
      <c r="BC470" s="152"/>
      <c r="BD470" s="367"/>
      <c r="BE470" s="367"/>
      <c r="BF470" s="367"/>
      <c r="BG470" s="367"/>
      <c r="BH470" s="64" t="e">
        <f>#REF!</f>
        <v>#REF!</v>
      </c>
      <c r="BL470" s="54"/>
    </row>
    <row r="471" spans="1:64" ht="36" customHeight="1" x14ac:dyDescent="0.3">
      <c r="A471" s="305">
        <f t="shared" si="9"/>
        <v>466</v>
      </c>
      <c r="B471" s="54" t="s">
        <v>1603</v>
      </c>
      <c r="C471" s="367" t="s">
        <v>5</v>
      </c>
      <c r="D471" s="367" t="s">
        <v>1044</v>
      </c>
      <c r="E471" s="45">
        <v>45847</v>
      </c>
      <c r="F471" s="45">
        <v>45847</v>
      </c>
      <c r="G471" s="45"/>
      <c r="H471" s="45"/>
      <c r="I471" s="367"/>
      <c r="J471" s="54"/>
      <c r="K471" s="48"/>
      <c r="L471" s="367"/>
      <c r="M471" s="150"/>
      <c r="N471" s="367"/>
      <c r="O471" s="367"/>
      <c r="P471" s="311"/>
      <c r="Q471" s="367"/>
      <c r="R471" s="367"/>
      <c r="S471" s="367"/>
      <c r="T471" s="367"/>
      <c r="U471" s="367"/>
      <c r="V471" s="367"/>
      <c r="W471" s="367"/>
      <c r="X471" s="150" t="s">
        <v>812</v>
      </c>
      <c r="Y471" s="367"/>
      <c r="Z471" s="367"/>
      <c r="AA471" s="367"/>
      <c r="AB471" s="150"/>
      <c r="AC471" s="48" t="s">
        <v>1604</v>
      </c>
      <c r="AD471" s="150" t="s">
        <v>55</v>
      </c>
      <c r="AE471" s="151"/>
      <c r="AF471" s="151"/>
      <c r="AG471" s="286">
        <v>45772</v>
      </c>
      <c r="AH471" s="49">
        <v>45792</v>
      </c>
      <c r="AI471" s="264">
        <v>45748</v>
      </c>
      <c r="AJ471" s="150" t="s">
        <v>131</v>
      </c>
      <c r="AK471" s="369" t="s">
        <v>161</v>
      </c>
      <c r="AL471" s="369" t="s">
        <v>175</v>
      </c>
      <c r="AM471" s="150" t="s">
        <v>134</v>
      </c>
      <c r="AN471" s="367"/>
      <c r="AO471" s="367"/>
      <c r="AP471" s="367"/>
      <c r="AT471" s="45">
        <v>45767</v>
      </c>
      <c r="AU471" s="45">
        <v>45741</v>
      </c>
      <c r="AV471" s="45">
        <v>45748</v>
      </c>
      <c r="AW471" s="45">
        <v>45734</v>
      </c>
      <c r="AX471" s="367"/>
      <c r="AY471" s="367"/>
      <c r="AZ471" s="367"/>
      <c r="BA471" s="367"/>
      <c r="BB471" s="152"/>
      <c r="BC471" s="152"/>
      <c r="BD471" s="367" t="s">
        <v>1605</v>
      </c>
      <c r="BE471" s="367"/>
      <c r="BF471" s="367"/>
      <c r="BG471" s="367"/>
      <c r="BH471" s="64" t="e">
        <f>#REF!</f>
        <v>#REF!</v>
      </c>
      <c r="BL471" s="54"/>
    </row>
    <row r="472" spans="1:64" ht="36" customHeight="1" x14ac:dyDescent="0.3">
      <c r="A472" s="305">
        <f t="shared" si="9"/>
        <v>467</v>
      </c>
      <c r="B472" s="54" t="s">
        <v>1606</v>
      </c>
      <c r="C472" s="367" t="s">
        <v>5</v>
      </c>
      <c r="D472" s="367" t="s">
        <v>1044</v>
      </c>
      <c r="E472" s="45">
        <v>45847</v>
      </c>
      <c r="F472" s="45">
        <v>45847</v>
      </c>
      <c r="G472" s="45"/>
      <c r="H472" s="45"/>
      <c r="I472" s="367"/>
      <c r="J472" s="54"/>
      <c r="K472" s="48"/>
      <c r="L472" s="367"/>
      <c r="M472" s="150"/>
      <c r="N472" s="367"/>
      <c r="O472" s="367"/>
      <c r="P472" s="311"/>
      <c r="Q472" s="367"/>
      <c r="R472" s="367"/>
      <c r="S472" s="367"/>
      <c r="T472" s="367"/>
      <c r="U472" s="367"/>
      <c r="V472" s="367"/>
      <c r="W472" s="367"/>
      <c r="X472" s="150" t="s">
        <v>812</v>
      </c>
      <c r="Y472" s="367"/>
      <c r="Z472" s="367"/>
      <c r="AA472" s="367"/>
      <c r="AB472" s="150"/>
      <c r="AC472" s="48" t="s">
        <v>1607</v>
      </c>
      <c r="AD472" s="150" t="s">
        <v>55</v>
      </c>
      <c r="AE472" s="151"/>
      <c r="AF472" s="151"/>
      <c r="AG472" s="286">
        <v>45772</v>
      </c>
      <c r="AH472" s="49">
        <v>45792</v>
      </c>
      <c r="AI472" s="264">
        <v>45748</v>
      </c>
      <c r="AJ472" s="150" t="s">
        <v>131</v>
      </c>
      <c r="AK472" s="369" t="s">
        <v>161</v>
      </c>
      <c r="AL472" s="369" t="s">
        <v>175</v>
      </c>
      <c r="AM472" s="150" t="s">
        <v>134</v>
      </c>
      <c r="AN472" s="367"/>
      <c r="AO472" s="367"/>
      <c r="AP472" s="367"/>
      <c r="AT472" s="45">
        <v>45767</v>
      </c>
      <c r="AU472" s="45">
        <v>45741</v>
      </c>
      <c r="AV472" s="45">
        <v>45748</v>
      </c>
      <c r="AW472" s="45">
        <v>45734</v>
      </c>
      <c r="AX472" s="367"/>
      <c r="AY472" s="367"/>
      <c r="AZ472" s="367"/>
      <c r="BA472" s="367"/>
      <c r="BB472" s="152"/>
      <c r="BC472" s="152"/>
      <c r="BD472" s="367" t="s">
        <v>1605</v>
      </c>
      <c r="BE472" s="367"/>
      <c r="BF472" s="367"/>
      <c r="BG472" s="367"/>
      <c r="BH472" s="64" t="e">
        <f>#REF!</f>
        <v>#REF!</v>
      </c>
      <c r="BL472" s="54"/>
    </row>
    <row r="473" spans="1:64" ht="36" customHeight="1" x14ac:dyDescent="0.3">
      <c r="A473" s="305">
        <f t="shared" ref="A473:A536" si="10">ROW(B473)-ROW($B$5)</f>
        <v>468</v>
      </c>
      <c r="B473" s="54" t="s">
        <v>1608</v>
      </c>
      <c r="C473" s="367" t="s">
        <v>5</v>
      </c>
      <c r="D473" s="367" t="s">
        <v>262</v>
      </c>
      <c r="E473" s="45"/>
      <c r="F473" s="45"/>
      <c r="G473" s="367"/>
      <c r="H473" s="367"/>
      <c r="I473" s="367"/>
      <c r="J473" s="48" t="s">
        <v>1609</v>
      </c>
      <c r="K473" s="48" t="s">
        <v>1610</v>
      </c>
      <c r="L473" s="367">
        <v>1100</v>
      </c>
      <c r="M473" s="150" t="s">
        <v>120</v>
      </c>
      <c r="N473" s="367" t="s">
        <v>127</v>
      </c>
      <c r="O473" s="367"/>
      <c r="P473" s="367"/>
      <c r="Q473" s="367"/>
      <c r="R473" s="367"/>
      <c r="S473" s="367"/>
      <c r="T473" s="367">
        <v>13</v>
      </c>
      <c r="U473" s="367"/>
      <c r="V473" s="367"/>
      <c r="W473" s="367"/>
      <c r="X473" s="367"/>
      <c r="Y473" s="367"/>
      <c r="Z473" s="367" t="s">
        <v>127</v>
      </c>
      <c r="AA473" s="367"/>
      <c r="AB473" s="150"/>
      <c r="AC473" s="48" t="s">
        <v>1611</v>
      </c>
      <c r="AD473" s="150" t="s">
        <v>1612</v>
      </c>
      <c r="AE473" s="151"/>
      <c r="AF473" s="151"/>
      <c r="AG473" s="286"/>
      <c r="AH473" s="49">
        <v>45838</v>
      </c>
      <c r="AI473" s="94">
        <v>6</v>
      </c>
      <c r="AJ473" s="150" t="s">
        <v>264</v>
      </c>
      <c r="AK473" s="369" t="s">
        <v>1064</v>
      </c>
      <c r="AL473" s="369"/>
      <c r="AM473" s="150" t="s">
        <v>209</v>
      </c>
      <c r="AN473" s="367"/>
      <c r="AO473" s="367"/>
      <c r="AP473" s="367"/>
      <c r="AT473" s="45">
        <v>45853</v>
      </c>
      <c r="AU473" s="367"/>
      <c r="AV473" s="45">
        <v>45840</v>
      </c>
      <c r="AW473" s="367"/>
      <c r="AX473" s="367"/>
      <c r="AY473" s="367"/>
      <c r="AZ473" s="45">
        <v>45853</v>
      </c>
      <c r="BA473" s="45"/>
      <c r="BB473" s="152" t="s">
        <v>1613</v>
      </c>
      <c r="BC473" s="152"/>
      <c r="BD473" s="367" t="s">
        <v>1605</v>
      </c>
      <c r="BE473" s="367"/>
      <c r="BF473" s="367"/>
      <c r="BG473" s="367"/>
      <c r="BH473" s="260"/>
      <c r="BL473" s="54"/>
    </row>
    <row r="474" spans="1:64" ht="36" customHeight="1" x14ac:dyDescent="0.3">
      <c r="A474" s="305">
        <f t="shared" si="10"/>
        <v>469</v>
      </c>
      <c r="B474" s="54" t="s">
        <v>1614</v>
      </c>
      <c r="C474" s="367" t="s">
        <v>5</v>
      </c>
      <c r="D474" s="367" t="s">
        <v>262</v>
      </c>
      <c r="E474" s="367"/>
      <c r="F474" s="367"/>
      <c r="G474" s="367"/>
      <c r="H474" s="367"/>
      <c r="I474" s="367"/>
      <c r="J474" s="54" t="s">
        <v>1615</v>
      </c>
      <c r="K474" s="48" t="s">
        <v>716</v>
      </c>
      <c r="L474" s="367">
        <v>1100</v>
      </c>
      <c r="M474" s="150" t="s">
        <v>120</v>
      </c>
      <c r="N474" s="367" t="s">
        <v>127</v>
      </c>
      <c r="O474" s="367"/>
      <c r="P474" s="367"/>
      <c r="Q474" s="367"/>
      <c r="R474" s="367"/>
      <c r="S474" s="367"/>
      <c r="T474" s="367">
        <v>11</v>
      </c>
      <c r="U474" s="367"/>
      <c r="V474" s="367"/>
      <c r="W474" s="367"/>
      <c r="X474" s="367"/>
      <c r="Y474" s="367"/>
      <c r="Z474" s="367" t="s">
        <v>127</v>
      </c>
      <c r="AA474" s="367"/>
      <c r="AB474" s="150"/>
      <c r="AC474" s="48" t="s">
        <v>1611</v>
      </c>
      <c r="AD474" s="150" t="s">
        <v>361</v>
      </c>
      <c r="AE474" s="151"/>
      <c r="AF474" s="151"/>
      <c r="AG474" s="151"/>
      <c r="AH474" s="49"/>
      <c r="AI474" s="94"/>
      <c r="AJ474" s="150" t="s">
        <v>264</v>
      </c>
      <c r="AK474" s="369"/>
      <c r="AL474" s="369"/>
      <c r="AM474" s="150" t="s">
        <v>209</v>
      </c>
      <c r="AN474" s="367"/>
      <c r="AO474" s="367"/>
      <c r="AP474" s="367"/>
      <c r="AT474" s="367"/>
      <c r="AU474" s="367"/>
      <c r="AV474" s="367"/>
      <c r="AW474" s="367"/>
      <c r="AX474" s="367"/>
      <c r="AY474" s="367"/>
      <c r="AZ474" s="367"/>
      <c r="BA474" s="367"/>
      <c r="BB474" s="152" t="s">
        <v>1616</v>
      </c>
      <c r="BC474" s="152"/>
      <c r="BD474" s="367" t="s">
        <v>1605</v>
      </c>
      <c r="BE474" s="367"/>
      <c r="BF474" s="367"/>
      <c r="BG474" s="367"/>
      <c r="BH474" s="260"/>
      <c r="BL474" s="54"/>
    </row>
    <row r="475" spans="1:64" ht="36" customHeight="1" x14ac:dyDescent="0.3">
      <c r="A475" s="305">
        <f t="shared" si="10"/>
        <v>470</v>
      </c>
      <c r="B475" s="54" t="s">
        <v>1617</v>
      </c>
      <c r="C475" s="367" t="s">
        <v>5</v>
      </c>
      <c r="D475" s="367" t="s">
        <v>262</v>
      </c>
      <c r="E475" s="367"/>
      <c r="F475" s="367"/>
      <c r="G475" s="367"/>
      <c r="H475" s="367"/>
      <c r="I475" s="367"/>
      <c r="J475" s="54" t="s">
        <v>1615</v>
      </c>
      <c r="K475" s="48" t="s">
        <v>882</v>
      </c>
      <c r="L475" s="367">
        <v>1100</v>
      </c>
      <c r="M475" s="150" t="s">
        <v>120</v>
      </c>
      <c r="N475" s="367" t="s">
        <v>127</v>
      </c>
      <c r="O475" s="367"/>
      <c r="P475" s="367"/>
      <c r="Q475" s="367"/>
      <c r="R475" s="367"/>
      <c r="S475" s="367"/>
      <c r="T475" s="367">
        <v>19</v>
      </c>
      <c r="U475" s="367"/>
      <c r="V475" s="367"/>
      <c r="W475" s="367"/>
      <c r="X475" s="367"/>
      <c r="Y475" s="367"/>
      <c r="Z475" s="367" t="s">
        <v>127</v>
      </c>
      <c r="AA475" s="367"/>
      <c r="AB475" s="150"/>
      <c r="AC475" s="48" t="s">
        <v>1611</v>
      </c>
      <c r="AD475" s="150" t="s">
        <v>361</v>
      </c>
      <c r="AE475" s="151"/>
      <c r="AF475" s="151"/>
      <c r="AG475" s="151"/>
      <c r="AH475" s="49"/>
      <c r="AI475" s="94"/>
      <c r="AJ475" s="150" t="s">
        <v>264</v>
      </c>
      <c r="AK475" s="369"/>
      <c r="AL475" s="369"/>
      <c r="AM475" s="150" t="s">
        <v>209</v>
      </c>
      <c r="AN475" s="367"/>
      <c r="AO475" s="367"/>
      <c r="AP475" s="367"/>
      <c r="AT475" s="367"/>
      <c r="AU475" s="367"/>
      <c r="AV475" s="367"/>
      <c r="AW475" s="367"/>
      <c r="AX475" s="367"/>
      <c r="AY475" s="367"/>
      <c r="AZ475" s="367"/>
      <c r="BA475" s="367"/>
      <c r="BB475" s="152" t="s">
        <v>1616</v>
      </c>
      <c r="BC475" s="152"/>
      <c r="BD475" s="367" t="s">
        <v>1605</v>
      </c>
      <c r="BE475" s="367"/>
      <c r="BF475" s="367"/>
      <c r="BG475" s="367"/>
      <c r="BH475" s="260"/>
      <c r="BL475" s="54"/>
    </row>
    <row r="476" spans="1:64" ht="36" customHeight="1" x14ac:dyDescent="0.3">
      <c r="A476" s="305">
        <f t="shared" si="10"/>
        <v>471</v>
      </c>
      <c r="B476" s="54" t="s">
        <v>1618</v>
      </c>
      <c r="C476" s="367" t="s">
        <v>5</v>
      </c>
      <c r="D476" s="367" t="s">
        <v>262</v>
      </c>
      <c r="E476" s="367"/>
      <c r="F476" s="367"/>
      <c r="G476" s="367"/>
      <c r="H476" s="367"/>
      <c r="I476" s="367"/>
      <c r="J476" s="54" t="s">
        <v>1619</v>
      </c>
      <c r="K476" s="48" t="s">
        <v>1620</v>
      </c>
      <c r="L476" s="367">
        <v>1100</v>
      </c>
      <c r="M476" s="150" t="s">
        <v>65</v>
      </c>
      <c r="N476" s="367" t="s">
        <v>127</v>
      </c>
      <c r="O476" s="367"/>
      <c r="P476" s="367"/>
      <c r="Q476" s="367"/>
      <c r="R476" s="367"/>
      <c r="S476" s="367"/>
      <c r="T476" s="367">
        <v>20</v>
      </c>
      <c r="U476" s="367"/>
      <c r="V476" s="367"/>
      <c r="W476" s="367"/>
      <c r="X476" s="367"/>
      <c r="Y476" s="367"/>
      <c r="Z476" s="367" t="s">
        <v>127</v>
      </c>
      <c r="AA476" s="367"/>
      <c r="AB476" s="150"/>
      <c r="AC476" s="48" t="s">
        <v>1611</v>
      </c>
      <c r="AD476" s="150" t="s">
        <v>361</v>
      </c>
      <c r="AE476" s="151"/>
      <c r="AF476" s="151"/>
      <c r="AG476" s="151"/>
      <c r="AH476" s="49"/>
      <c r="AI476" s="94"/>
      <c r="AJ476" s="150" t="s">
        <v>264</v>
      </c>
      <c r="AK476" s="369"/>
      <c r="AL476" s="369"/>
      <c r="AM476" s="150" t="s">
        <v>209</v>
      </c>
      <c r="AN476" s="367"/>
      <c r="AO476" s="367"/>
      <c r="AP476" s="367"/>
      <c r="AT476" s="367"/>
      <c r="AU476" s="367"/>
      <c r="AV476" s="367"/>
      <c r="AW476" s="367"/>
      <c r="AX476" s="367"/>
      <c r="AY476" s="367"/>
      <c r="AZ476" s="367"/>
      <c r="BA476" s="367"/>
      <c r="BB476" s="152" t="s">
        <v>1616</v>
      </c>
      <c r="BC476" s="152"/>
      <c r="BD476" s="367" t="s">
        <v>1605</v>
      </c>
      <c r="BE476" s="367"/>
      <c r="BF476" s="367"/>
      <c r="BG476" s="367"/>
      <c r="BH476" s="260"/>
      <c r="BL476" s="54"/>
    </row>
    <row r="477" spans="1:64" ht="36" customHeight="1" x14ac:dyDescent="0.3">
      <c r="A477" s="305">
        <f t="shared" si="10"/>
        <v>472</v>
      </c>
      <c r="B477" s="54" t="s">
        <v>1621</v>
      </c>
      <c r="C477" s="367" t="s">
        <v>5</v>
      </c>
      <c r="D477" s="367" t="s">
        <v>262</v>
      </c>
      <c r="E477" s="367"/>
      <c r="F477" s="367"/>
      <c r="G477" s="367"/>
      <c r="H477" s="367"/>
      <c r="I477" s="367"/>
      <c r="J477" s="54" t="s">
        <v>1619</v>
      </c>
      <c r="K477" s="48" t="s">
        <v>1622</v>
      </c>
      <c r="L477" s="367">
        <v>1100</v>
      </c>
      <c r="M477" s="150" t="s">
        <v>120</v>
      </c>
      <c r="N477" s="367" t="s">
        <v>127</v>
      </c>
      <c r="O477" s="367"/>
      <c r="P477" s="367"/>
      <c r="Q477" s="367"/>
      <c r="R477" s="367"/>
      <c r="S477" s="367"/>
      <c r="T477" s="367">
        <v>20</v>
      </c>
      <c r="U477" s="367"/>
      <c r="V477" s="367"/>
      <c r="W477" s="367"/>
      <c r="X477" s="367"/>
      <c r="Y477" s="367"/>
      <c r="Z477" s="367" t="s">
        <v>127</v>
      </c>
      <c r="AA477" s="367"/>
      <c r="AB477" s="150"/>
      <c r="AC477" s="48" t="s">
        <v>1611</v>
      </c>
      <c r="AD477" s="150" t="s">
        <v>361</v>
      </c>
      <c r="AE477" s="151"/>
      <c r="AF477" s="151"/>
      <c r="AG477" s="151"/>
      <c r="AH477" s="49"/>
      <c r="AI477" s="94"/>
      <c r="AJ477" s="150" t="s">
        <v>264</v>
      </c>
      <c r="AK477" s="369"/>
      <c r="AL477" s="369"/>
      <c r="AM477" s="150" t="s">
        <v>209</v>
      </c>
      <c r="AN477" s="367"/>
      <c r="AO477" s="367"/>
      <c r="AP477" s="367"/>
      <c r="AT477" s="367"/>
      <c r="AU477" s="367"/>
      <c r="AV477" s="367"/>
      <c r="AW477" s="367"/>
      <c r="AX477" s="367"/>
      <c r="AY477" s="367"/>
      <c r="AZ477" s="367"/>
      <c r="BA477" s="367"/>
      <c r="BB477" s="152" t="s">
        <v>1616</v>
      </c>
      <c r="BC477" s="152"/>
      <c r="BD477" s="367" t="s">
        <v>1605</v>
      </c>
      <c r="BE477" s="367"/>
      <c r="BF477" s="367"/>
      <c r="BG477" s="367"/>
      <c r="BH477" s="260"/>
      <c r="BL477" s="54"/>
    </row>
    <row r="478" spans="1:64" ht="36" customHeight="1" x14ac:dyDescent="0.3">
      <c r="A478" s="305">
        <f t="shared" si="10"/>
        <v>473</v>
      </c>
      <c r="B478" s="54" t="s">
        <v>1623</v>
      </c>
      <c r="C478" s="367" t="s">
        <v>5</v>
      </c>
      <c r="D478" s="367" t="s">
        <v>262</v>
      </c>
      <c r="E478" s="367"/>
      <c r="F478" s="367"/>
      <c r="G478" s="367"/>
      <c r="H478" s="367"/>
      <c r="I478" s="367"/>
      <c r="J478" s="54" t="s">
        <v>1624</v>
      </c>
      <c r="K478" s="48" t="s">
        <v>1625</v>
      </c>
      <c r="L478" s="367">
        <v>1100</v>
      </c>
      <c r="M478" s="150" t="s">
        <v>65</v>
      </c>
      <c r="N478" s="367" t="s">
        <v>127</v>
      </c>
      <c r="O478" s="367"/>
      <c r="P478" s="367"/>
      <c r="Q478" s="367"/>
      <c r="R478" s="367"/>
      <c r="S478" s="367"/>
      <c r="T478" s="367">
        <v>15</v>
      </c>
      <c r="U478" s="367"/>
      <c r="V478" s="367"/>
      <c r="W478" s="367"/>
      <c r="X478" s="367"/>
      <c r="Y478" s="367"/>
      <c r="Z478" s="367" t="s">
        <v>127</v>
      </c>
      <c r="AA478" s="367"/>
      <c r="AB478" s="150"/>
      <c r="AC478" s="48" t="s">
        <v>1611</v>
      </c>
      <c r="AD478" s="150" t="s">
        <v>361</v>
      </c>
      <c r="AE478" s="151"/>
      <c r="AF478" s="151"/>
      <c r="AG478" s="151"/>
      <c r="AH478" s="49"/>
      <c r="AI478" s="94"/>
      <c r="AJ478" s="150" t="s">
        <v>264</v>
      </c>
      <c r="AK478" s="369"/>
      <c r="AL478" s="369"/>
      <c r="AM478" s="150" t="s">
        <v>209</v>
      </c>
      <c r="AN478" s="367"/>
      <c r="AO478" s="367"/>
      <c r="AP478" s="367"/>
      <c r="AT478" s="367"/>
      <c r="AU478" s="367"/>
      <c r="AV478" s="367"/>
      <c r="AW478" s="367"/>
      <c r="AX478" s="367"/>
      <c r="AY478" s="367"/>
      <c r="AZ478" s="367"/>
      <c r="BA478" s="367"/>
      <c r="BB478" s="152" t="s">
        <v>1616</v>
      </c>
      <c r="BC478" s="152"/>
      <c r="BD478" s="367" t="s">
        <v>1605</v>
      </c>
      <c r="BE478" s="367"/>
      <c r="BF478" s="367"/>
      <c r="BG478" s="367"/>
      <c r="BH478" s="260"/>
      <c r="BL478" s="54"/>
    </row>
    <row r="479" spans="1:64" ht="36" customHeight="1" x14ac:dyDescent="0.3">
      <c r="A479" s="305">
        <f t="shared" si="10"/>
        <v>474</v>
      </c>
      <c r="B479" s="54" t="s">
        <v>1626</v>
      </c>
      <c r="C479" s="367" t="s">
        <v>5</v>
      </c>
      <c r="D479" s="367" t="s">
        <v>262</v>
      </c>
      <c r="E479" s="367"/>
      <c r="F479" s="367"/>
      <c r="G479" s="367"/>
      <c r="H479" s="367"/>
      <c r="I479" s="367"/>
      <c r="J479" s="54" t="s">
        <v>1624</v>
      </c>
      <c r="K479" s="48" t="s">
        <v>1627</v>
      </c>
      <c r="L479" s="367">
        <v>1100</v>
      </c>
      <c r="M479" s="150" t="s">
        <v>120</v>
      </c>
      <c r="N479" s="367" t="s">
        <v>127</v>
      </c>
      <c r="O479" s="367"/>
      <c r="P479" s="367"/>
      <c r="Q479" s="367"/>
      <c r="R479" s="367"/>
      <c r="S479" s="367"/>
      <c r="T479" s="367">
        <v>15</v>
      </c>
      <c r="U479" s="367"/>
      <c r="V479" s="367"/>
      <c r="W479" s="367"/>
      <c r="X479" s="367"/>
      <c r="Y479" s="367"/>
      <c r="Z479" s="367" t="s">
        <v>127</v>
      </c>
      <c r="AA479" s="367"/>
      <c r="AB479" s="150"/>
      <c r="AC479" s="48" t="s">
        <v>1611</v>
      </c>
      <c r="AD479" s="150" t="s">
        <v>361</v>
      </c>
      <c r="AE479" s="151"/>
      <c r="AF479" s="151"/>
      <c r="AG479" s="151"/>
      <c r="AH479" s="49"/>
      <c r="AI479" s="94"/>
      <c r="AJ479" s="150" t="s">
        <v>264</v>
      </c>
      <c r="AK479" s="369"/>
      <c r="AL479" s="369"/>
      <c r="AM479" s="150" t="s">
        <v>209</v>
      </c>
      <c r="AN479" s="367"/>
      <c r="AO479" s="367"/>
      <c r="AP479" s="367"/>
      <c r="AT479" s="367"/>
      <c r="AU479" s="367"/>
      <c r="AV479" s="367"/>
      <c r="AW479" s="367"/>
      <c r="AX479" s="367"/>
      <c r="AY479" s="367"/>
      <c r="AZ479" s="367"/>
      <c r="BA479" s="367"/>
      <c r="BB479" s="152" t="s">
        <v>1616</v>
      </c>
      <c r="BC479" s="152"/>
      <c r="BD479" s="367" t="s">
        <v>1605</v>
      </c>
      <c r="BE479" s="367"/>
      <c r="BF479" s="367"/>
      <c r="BG479" s="367"/>
      <c r="BH479" s="260"/>
      <c r="BL479" s="54"/>
    </row>
    <row r="480" spans="1:64" ht="36" customHeight="1" x14ac:dyDescent="0.3">
      <c r="A480" s="305">
        <f t="shared" si="10"/>
        <v>475</v>
      </c>
      <c r="B480" s="54" t="s">
        <v>1628</v>
      </c>
      <c r="C480" s="367" t="s">
        <v>5</v>
      </c>
      <c r="D480" s="367" t="s">
        <v>262</v>
      </c>
      <c r="E480" s="367"/>
      <c r="F480" s="367"/>
      <c r="G480" s="367"/>
      <c r="H480" s="367"/>
      <c r="I480" s="367"/>
      <c r="J480" s="54" t="s">
        <v>1629</v>
      </c>
      <c r="K480" s="48" t="s">
        <v>1630</v>
      </c>
      <c r="L480" s="367">
        <v>1100</v>
      </c>
      <c r="M480" s="150" t="s">
        <v>120</v>
      </c>
      <c r="N480" s="367" t="s">
        <v>127</v>
      </c>
      <c r="O480" s="367"/>
      <c r="P480" s="367"/>
      <c r="Q480" s="367"/>
      <c r="R480" s="367"/>
      <c r="S480" s="367"/>
      <c r="T480" s="367">
        <v>15</v>
      </c>
      <c r="U480" s="367"/>
      <c r="V480" s="367"/>
      <c r="W480" s="367"/>
      <c r="X480" s="367"/>
      <c r="Y480" s="367"/>
      <c r="Z480" s="367" t="s">
        <v>127</v>
      </c>
      <c r="AA480" s="367"/>
      <c r="AB480" s="150"/>
      <c r="AC480" s="48" t="s">
        <v>1611</v>
      </c>
      <c r="AD480" s="150" t="s">
        <v>361</v>
      </c>
      <c r="AE480" s="151"/>
      <c r="AF480" s="151"/>
      <c r="AG480" s="151"/>
      <c r="AH480" s="49"/>
      <c r="AI480" s="94"/>
      <c r="AJ480" s="150" t="s">
        <v>264</v>
      </c>
      <c r="AK480" s="369"/>
      <c r="AL480" s="369"/>
      <c r="AM480" s="150" t="s">
        <v>209</v>
      </c>
      <c r="AN480" s="367"/>
      <c r="AO480" s="367"/>
      <c r="AP480" s="367"/>
      <c r="AT480" s="367"/>
      <c r="AU480" s="367"/>
      <c r="AV480" s="367"/>
      <c r="AW480" s="367"/>
      <c r="AX480" s="367"/>
      <c r="AY480" s="367"/>
      <c r="AZ480" s="367"/>
      <c r="BA480" s="367"/>
      <c r="BB480" s="152" t="s">
        <v>1616</v>
      </c>
      <c r="BC480" s="152"/>
      <c r="BD480" s="367" t="s">
        <v>1605</v>
      </c>
      <c r="BE480" s="367"/>
      <c r="BF480" s="367"/>
      <c r="BG480" s="367"/>
      <c r="BH480" s="260"/>
      <c r="BL480" s="54"/>
    </row>
    <row r="481" spans="1:64" ht="36" customHeight="1" x14ac:dyDescent="0.3">
      <c r="A481" s="305">
        <f t="shared" si="10"/>
        <v>476</v>
      </c>
      <c r="B481" s="54" t="s">
        <v>1631</v>
      </c>
      <c r="C481" s="367" t="s">
        <v>5</v>
      </c>
      <c r="D481" s="367" t="s">
        <v>262</v>
      </c>
      <c r="E481" s="367"/>
      <c r="F481" s="367"/>
      <c r="G481" s="367"/>
      <c r="H481" s="367"/>
      <c r="I481" s="367"/>
      <c r="J481" s="54" t="s">
        <v>1629</v>
      </c>
      <c r="K481" s="48" t="s">
        <v>1627</v>
      </c>
      <c r="L481" s="367">
        <v>1100</v>
      </c>
      <c r="M481" s="150" t="s">
        <v>65</v>
      </c>
      <c r="N481" s="367" t="s">
        <v>127</v>
      </c>
      <c r="O481" s="367"/>
      <c r="P481" s="367"/>
      <c r="Q481" s="367"/>
      <c r="R481" s="367"/>
      <c r="S481" s="367"/>
      <c r="T481" s="367">
        <v>15</v>
      </c>
      <c r="U481" s="367"/>
      <c r="V481" s="367"/>
      <c r="W481" s="367"/>
      <c r="X481" s="367"/>
      <c r="Y481" s="367"/>
      <c r="Z481" s="367" t="s">
        <v>127</v>
      </c>
      <c r="AA481" s="367"/>
      <c r="AB481" s="150"/>
      <c r="AC481" s="48" t="s">
        <v>1611</v>
      </c>
      <c r="AD481" s="150" t="s">
        <v>361</v>
      </c>
      <c r="AE481" s="151"/>
      <c r="AF481" s="151"/>
      <c r="AG481" s="151"/>
      <c r="AH481" s="49"/>
      <c r="AI481" s="94"/>
      <c r="AJ481" s="150" t="s">
        <v>264</v>
      </c>
      <c r="AK481" s="369"/>
      <c r="AL481" s="369"/>
      <c r="AM481" s="150" t="s">
        <v>209</v>
      </c>
      <c r="AN481" s="367"/>
      <c r="AO481" s="367"/>
      <c r="AP481" s="367"/>
      <c r="AT481" s="367"/>
      <c r="AU481" s="367"/>
      <c r="AV481" s="367"/>
      <c r="AW481" s="367"/>
      <c r="AX481" s="367"/>
      <c r="AY481" s="367"/>
      <c r="AZ481" s="367"/>
      <c r="BA481" s="367"/>
      <c r="BB481" s="152" t="s">
        <v>1616</v>
      </c>
      <c r="BC481" s="152"/>
      <c r="BD481" s="367" t="s">
        <v>1605</v>
      </c>
      <c r="BE481" s="367"/>
      <c r="BF481" s="367"/>
      <c r="BG481" s="367"/>
      <c r="BH481" s="260"/>
      <c r="BL481" s="54"/>
    </row>
    <row r="482" spans="1:64" ht="36" customHeight="1" x14ac:dyDescent="0.3">
      <c r="A482" s="305">
        <f t="shared" si="10"/>
        <v>477</v>
      </c>
      <c r="B482" s="54" t="s">
        <v>1632</v>
      </c>
      <c r="C482" s="367" t="s">
        <v>5</v>
      </c>
      <c r="D482" s="367" t="s">
        <v>1633</v>
      </c>
      <c r="E482" s="45">
        <v>45873</v>
      </c>
      <c r="F482" s="45">
        <v>45873</v>
      </c>
      <c r="G482" s="45"/>
      <c r="H482" s="45"/>
      <c r="I482" s="367"/>
      <c r="J482" s="48" t="s">
        <v>1609</v>
      </c>
      <c r="K482" s="48" t="s">
        <v>1610</v>
      </c>
      <c r="L482" s="367">
        <v>1100</v>
      </c>
      <c r="M482" s="150" t="s">
        <v>120</v>
      </c>
      <c r="N482" s="367" t="s">
        <v>127</v>
      </c>
      <c r="O482" s="367"/>
      <c r="P482" s="311"/>
      <c r="Q482" s="367"/>
      <c r="R482" s="367"/>
      <c r="S482" s="367"/>
      <c r="T482" s="367">
        <v>15</v>
      </c>
      <c r="U482" s="367"/>
      <c r="V482" s="367"/>
      <c r="W482" s="367"/>
      <c r="X482" s="367"/>
      <c r="Y482" s="367"/>
      <c r="Z482" s="367" t="s">
        <v>127</v>
      </c>
      <c r="AA482" s="367"/>
      <c r="AB482" s="150"/>
      <c r="AC482" s="48" t="s">
        <v>1634</v>
      </c>
      <c r="AD482" s="150" t="s">
        <v>1459</v>
      </c>
      <c r="AE482" s="151"/>
      <c r="AF482" s="151"/>
      <c r="AG482" s="286">
        <v>45772</v>
      </c>
      <c r="AH482" s="49">
        <v>45856</v>
      </c>
      <c r="AI482" s="264">
        <v>45839</v>
      </c>
      <c r="AJ482" s="150" t="s">
        <v>131</v>
      </c>
      <c r="AK482" s="369" t="s">
        <v>1064</v>
      </c>
      <c r="AL482" s="369" t="s">
        <v>162</v>
      </c>
      <c r="AM482" s="150" t="s">
        <v>209</v>
      </c>
      <c r="AN482" s="367"/>
      <c r="AO482" s="367"/>
      <c r="AP482" s="367"/>
      <c r="AT482" s="45">
        <v>45838</v>
      </c>
      <c r="AU482" s="45">
        <v>45821</v>
      </c>
      <c r="AV482" s="45">
        <v>45840</v>
      </c>
      <c r="AW482" s="45">
        <v>45824</v>
      </c>
      <c r="AX482" s="367"/>
      <c r="AY482" s="367"/>
      <c r="AZ482" s="45">
        <v>45853</v>
      </c>
      <c r="BA482" s="45"/>
      <c r="BB482" s="152" t="s">
        <v>1635</v>
      </c>
      <c r="BC482" s="152"/>
      <c r="BD482" s="367" t="s">
        <v>1605</v>
      </c>
      <c r="BE482" s="367"/>
      <c r="BF482" s="367"/>
      <c r="BG482" s="367"/>
      <c r="BH482" s="64" t="e">
        <f>#REF!</f>
        <v>#REF!</v>
      </c>
      <c r="BL482" s="54"/>
    </row>
    <row r="483" spans="1:64" ht="36" customHeight="1" x14ac:dyDescent="0.3">
      <c r="A483" s="305">
        <f t="shared" si="10"/>
        <v>478</v>
      </c>
      <c r="B483" s="54" t="s">
        <v>1636</v>
      </c>
      <c r="C483" s="367" t="s">
        <v>0</v>
      </c>
      <c r="D483" s="367" t="s">
        <v>1637</v>
      </c>
      <c r="E483" s="45">
        <v>45976</v>
      </c>
      <c r="F483" s="45">
        <v>46023</v>
      </c>
      <c r="G483" s="367"/>
      <c r="H483" s="367"/>
      <c r="I483" s="367"/>
      <c r="J483" s="48" t="s">
        <v>577</v>
      </c>
      <c r="K483" s="48" t="s">
        <v>1624</v>
      </c>
      <c r="L483" s="367">
        <v>1110</v>
      </c>
      <c r="M483" s="150" t="s">
        <v>120</v>
      </c>
      <c r="N483" s="367"/>
      <c r="O483" s="367" t="s">
        <v>1638</v>
      </c>
      <c r="P483" s="311"/>
      <c r="Q483" s="367">
        <v>4</v>
      </c>
      <c r="R483" s="367"/>
      <c r="S483" s="367">
        <v>100</v>
      </c>
      <c r="T483" s="367">
        <v>10</v>
      </c>
      <c r="U483" s="367"/>
      <c r="V483" s="367"/>
      <c r="W483" s="367"/>
      <c r="X483" s="367"/>
      <c r="Y483" s="367"/>
      <c r="Z483" s="367" t="s">
        <v>127</v>
      </c>
      <c r="AA483" s="367"/>
      <c r="AB483" s="150"/>
      <c r="AC483" s="48" t="s">
        <v>1639</v>
      </c>
      <c r="AD483" s="150" t="s">
        <v>1121</v>
      </c>
      <c r="AE483" s="151"/>
      <c r="AF483" s="151"/>
      <c r="AG483" s="151"/>
      <c r="AH483" s="49">
        <v>45930</v>
      </c>
      <c r="AI483" s="264">
        <v>45931</v>
      </c>
      <c r="AJ483" s="150" t="s">
        <v>131</v>
      </c>
      <c r="AK483" s="369" t="s">
        <v>1640</v>
      </c>
      <c r="AL483" s="369" t="s">
        <v>830</v>
      </c>
      <c r="AM483" s="150" t="s">
        <v>209</v>
      </c>
      <c r="AN483" s="367"/>
      <c r="AO483" s="367"/>
      <c r="AP483" s="367"/>
      <c r="AT483" s="45">
        <v>45925</v>
      </c>
      <c r="AU483" s="45">
        <v>45905</v>
      </c>
      <c r="AV483" s="45">
        <v>45918</v>
      </c>
      <c r="AW483" s="45">
        <v>45908</v>
      </c>
      <c r="AX483" s="367"/>
      <c r="AY483" s="367"/>
      <c r="AZ483" s="367"/>
      <c r="BA483" s="367"/>
      <c r="BB483" s="152"/>
      <c r="BC483" s="152"/>
      <c r="BD483" s="367"/>
      <c r="BE483" s="367"/>
      <c r="BF483" s="367"/>
      <c r="BG483" s="367"/>
      <c r="BH483" s="64" t="e">
        <f>#REF!</f>
        <v>#REF!</v>
      </c>
      <c r="BL483" s="54"/>
    </row>
    <row r="484" spans="1:64" ht="36" customHeight="1" x14ac:dyDescent="0.3">
      <c r="A484" s="305">
        <f t="shared" si="10"/>
        <v>479</v>
      </c>
      <c r="B484" s="54" t="s">
        <v>1641</v>
      </c>
      <c r="C484" s="367" t="s">
        <v>0</v>
      </c>
      <c r="D484" s="367" t="s">
        <v>1637</v>
      </c>
      <c r="E484" s="45">
        <v>45989</v>
      </c>
      <c r="F484" s="45">
        <v>46023</v>
      </c>
      <c r="G484" s="367"/>
      <c r="H484" s="367"/>
      <c r="I484" s="367"/>
      <c r="J484" s="48" t="s">
        <v>577</v>
      </c>
      <c r="K484" s="48" t="s">
        <v>1624</v>
      </c>
      <c r="L484" s="367">
        <v>1110</v>
      </c>
      <c r="M484" s="150" t="s">
        <v>120</v>
      </c>
      <c r="N484" s="367"/>
      <c r="O484" s="367" t="s">
        <v>1638</v>
      </c>
      <c r="P484" s="311"/>
      <c r="Q484" s="367">
        <v>4</v>
      </c>
      <c r="R484" s="367"/>
      <c r="S484" s="367">
        <v>100</v>
      </c>
      <c r="T484" s="367">
        <v>10</v>
      </c>
      <c r="U484" s="367"/>
      <c r="V484" s="367"/>
      <c r="W484" s="367"/>
      <c r="X484" s="367" t="s">
        <v>350</v>
      </c>
      <c r="Y484" s="367"/>
      <c r="Z484" s="367" t="s">
        <v>127</v>
      </c>
      <c r="AA484" s="367"/>
      <c r="AB484" s="150" t="s">
        <v>215</v>
      </c>
      <c r="AC484" s="48" t="s">
        <v>1642</v>
      </c>
      <c r="AD484" s="150" t="s">
        <v>352</v>
      </c>
      <c r="AE484" s="151"/>
      <c r="AF484" s="151"/>
      <c r="AG484" s="151"/>
      <c r="AH484" s="49">
        <v>45989</v>
      </c>
      <c r="AI484" s="264">
        <v>45962</v>
      </c>
      <c r="AJ484" s="150" t="s">
        <v>131</v>
      </c>
      <c r="AK484" s="369" t="s">
        <v>1640</v>
      </c>
      <c r="AL484" s="369" t="s">
        <v>162</v>
      </c>
      <c r="AM484" s="150" t="s">
        <v>134</v>
      </c>
      <c r="AN484" s="367"/>
      <c r="AO484" s="367"/>
      <c r="AP484" s="367"/>
      <c r="AT484" s="45">
        <v>45955</v>
      </c>
      <c r="AU484" s="45">
        <v>45930</v>
      </c>
      <c r="AV484" s="45">
        <v>45943</v>
      </c>
      <c r="AW484" s="45">
        <v>45747</v>
      </c>
      <c r="AX484" s="367"/>
      <c r="AY484" s="367"/>
      <c r="AZ484" s="367"/>
      <c r="BA484" s="367"/>
      <c r="BB484" s="152"/>
      <c r="BC484" s="152"/>
      <c r="BD484" s="367"/>
      <c r="BE484" s="367"/>
      <c r="BF484" s="367"/>
      <c r="BG484" s="367"/>
      <c r="BH484" s="64" t="e">
        <f>#REF!</f>
        <v>#REF!</v>
      </c>
      <c r="BL484" s="54"/>
    </row>
    <row r="485" spans="1:64" ht="36" customHeight="1" x14ac:dyDescent="0.3">
      <c r="A485" s="305">
        <f t="shared" si="10"/>
        <v>480</v>
      </c>
      <c r="B485" s="54" t="s">
        <v>1643</v>
      </c>
      <c r="C485" s="367" t="s">
        <v>0</v>
      </c>
      <c r="D485" s="367" t="s">
        <v>1637</v>
      </c>
      <c r="E485" s="45">
        <v>45782</v>
      </c>
      <c r="F485" s="45">
        <v>45789</v>
      </c>
      <c r="G485" s="45">
        <v>46178</v>
      </c>
      <c r="H485" s="367"/>
      <c r="I485" s="367"/>
      <c r="J485" s="54" t="s">
        <v>577</v>
      </c>
      <c r="K485" s="48" t="s">
        <v>1624</v>
      </c>
      <c r="L485" s="367">
        <v>1100</v>
      </c>
      <c r="M485" s="150" t="s">
        <v>120</v>
      </c>
      <c r="N485" s="367"/>
      <c r="O485" s="367" t="s">
        <v>1638</v>
      </c>
      <c r="P485" s="311"/>
      <c r="Q485" s="367"/>
      <c r="R485" s="367"/>
      <c r="S485" s="367"/>
      <c r="T485" s="367"/>
      <c r="U485" s="367"/>
      <c r="V485" s="367"/>
      <c r="W485" s="367"/>
      <c r="X485" s="367" t="s">
        <v>150</v>
      </c>
      <c r="Y485" s="367"/>
      <c r="Z485" s="297" t="s">
        <v>127</v>
      </c>
      <c r="AA485" s="367"/>
      <c r="AB485" s="150" t="s">
        <v>215</v>
      </c>
      <c r="AC485" s="48" t="s">
        <v>1644</v>
      </c>
      <c r="AD485" s="150" t="s">
        <v>207</v>
      </c>
      <c r="AE485" s="151"/>
      <c r="AF485" s="151"/>
      <c r="AG485" s="151"/>
      <c r="AH485" s="49">
        <v>45858</v>
      </c>
      <c r="AI485" s="264">
        <v>45809</v>
      </c>
      <c r="AJ485" s="150" t="s">
        <v>131</v>
      </c>
      <c r="AK485" s="369" t="s">
        <v>200</v>
      </c>
      <c r="AL485" s="369" t="s">
        <v>154</v>
      </c>
      <c r="AM485" s="150" t="s">
        <v>209</v>
      </c>
      <c r="AN485" s="367"/>
      <c r="AO485" s="367"/>
      <c r="AP485" s="367"/>
      <c r="AT485" s="367"/>
      <c r="AU485" s="367"/>
      <c r="AV485" s="367"/>
      <c r="AW485" s="367"/>
      <c r="AX485" s="367"/>
      <c r="AY485" s="367"/>
      <c r="AZ485" s="367"/>
      <c r="BA485" s="367"/>
      <c r="BB485" s="152" t="s">
        <v>1645</v>
      </c>
      <c r="BC485" s="152"/>
      <c r="BD485" s="367"/>
      <c r="BE485" s="367"/>
      <c r="BF485" s="367"/>
      <c r="BG485" s="367"/>
      <c r="BH485" s="64" t="e">
        <f>#REF!</f>
        <v>#REF!</v>
      </c>
      <c r="BL485" s="54"/>
    </row>
    <row r="486" spans="1:64" ht="36" customHeight="1" x14ac:dyDescent="0.3">
      <c r="A486" s="305">
        <f t="shared" si="10"/>
        <v>481</v>
      </c>
      <c r="B486" s="54" t="s">
        <v>1646</v>
      </c>
      <c r="C486" s="367" t="s">
        <v>0</v>
      </c>
      <c r="D486" s="367" t="s">
        <v>1647</v>
      </c>
      <c r="E486" s="45">
        <v>45961</v>
      </c>
      <c r="F486" s="367"/>
      <c r="G486" s="367"/>
      <c r="H486" s="367"/>
      <c r="I486" s="367"/>
      <c r="J486" s="54" t="s">
        <v>212</v>
      </c>
      <c r="K486" s="48" t="s">
        <v>1648</v>
      </c>
      <c r="L486" s="367">
        <v>1100</v>
      </c>
      <c r="M486" s="150" t="s">
        <v>120</v>
      </c>
      <c r="N486" s="367" t="s">
        <v>1649</v>
      </c>
      <c r="O486" s="367"/>
      <c r="P486" s="311"/>
      <c r="Q486" s="367">
        <v>6</v>
      </c>
      <c r="R486" s="367"/>
      <c r="S486" s="367">
        <v>170</v>
      </c>
      <c r="T486" s="367">
        <v>12</v>
      </c>
      <c r="U486" s="367"/>
      <c r="V486" s="367"/>
      <c r="W486" s="367"/>
      <c r="X486" s="367" t="s">
        <v>142</v>
      </c>
      <c r="Y486" s="367"/>
      <c r="Z486" s="367" t="s">
        <v>127</v>
      </c>
      <c r="AA486" s="367" t="s">
        <v>214</v>
      </c>
      <c r="AB486" s="150" t="s">
        <v>215</v>
      </c>
      <c r="AC486" s="48" t="s">
        <v>1650</v>
      </c>
      <c r="AD486" s="150" t="s">
        <v>145</v>
      </c>
      <c r="AE486" s="151"/>
      <c r="AF486" s="151"/>
      <c r="AG486" s="151"/>
      <c r="AH486" s="49">
        <v>45920</v>
      </c>
      <c r="AI486" s="264">
        <v>45931</v>
      </c>
      <c r="AJ486" s="150" t="s">
        <v>131</v>
      </c>
      <c r="AK486" s="369" t="s">
        <v>1064</v>
      </c>
      <c r="AL486" s="369" t="s">
        <v>1559</v>
      </c>
      <c r="AM486" s="150" t="s">
        <v>209</v>
      </c>
      <c r="AN486" s="367"/>
      <c r="AO486" s="367"/>
      <c r="AP486" s="367"/>
      <c r="AT486" s="45">
        <v>45940</v>
      </c>
      <c r="AU486" s="45">
        <v>45897</v>
      </c>
      <c r="AV486" s="45">
        <v>45911</v>
      </c>
      <c r="AW486" s="45">
        <v>45888</v>
      </c>
      <c r="AX486" s="367"/>
      <c r="AY486" s="367"/>
      <c r="AZ486" s="45">
        <v>45958</v>
      </c>
      <c r="BA486" s="45"/>
      <c r="BB486" s="152"/>
      <c r="BC486" s="152"/>
      <c r="BD486" s="367"/>
      <c r="BE486" s="367"/>
      <c r="BF486" s="367"/>
      <c r="BG486" s="367"/>
      <c r="BH486" s="64" t="e">
        <f>#REF!</f>
        <v>#REF!</v>
      </c>
      <c r="BL486" s="54"/>
    </row>
    <row r="487" spans="1:64" ht="36" customHeight="1" x14ac:dyDescent="0.3">
      <c r="A487" s="305">
        <f t="shared" si="10"/>
        <v>482</v>
      </c>
      <c r="B487" s="54" t="s">
        <v>1651</v>
      </c>
      <c r="C487" s="367" t="s">
        <v>0</v>
      </c>
      <c r="D487" s="367" t="s">
        <v>1647</v>
      </c>
      <c r="E487" s="45">
        <v>45961</v>
      </c>
      <c r="F487" s="367"/>
      <c r="G487" s="367"/>
      <c r="H487" s="367"/>
      <c r="I487" s="367"/>
      <c r="J487" s="54" t="s">
        <v>212</v>
      </c>
      <c r="K487" s="48" t="s">
        <v>1648</v>
      </c>
      <c r="L487" s="367">
        <v>1100</v>
      </c>
      <c r="M487" s="150" t="s">
        <v>120</v>
      </c>
      <c r="N487" s="367" t="s">
        <v>1649</v>
      </c>
      <c r="O487" s="367"/>
      <c r="P487" s="311"/>
      <c r="Q487" s="367">
        <v>6</v>
      </c>
      <c r="R487" s="367"/>
      <c r="S487" s="367">
        <v>170</v>
      </c>
      <c r="T487" s="367">
        <v>12</v>
      </c>
      <c r="U487" s="367"/>
      <c r="V487" s="367"/>
      <c r="W487" s="367"/>
      <c r="X487" s="367" t="s">
        <v>142</v>
      </c>
      <c r="Y487" s="367"/>
      <c r="Z487" s="367" t="s">
        <v>127</v>
      </c>
      <c r="AA487" s="367"/>
      <c r="AB487" s="150" t="s">
        <v>215</v>
      </c>
      <c r="AC487" s="48" t="s">
        <v>1652</v>
      </c>
      <c r="AD487" s="150" t="s">
        <v>1327</v>
      </c>
      <c r="AE487" s="151"/>
      <c r="AF487" s="151"/>
      <c r="AG487" s="151"/>
      <c r="AH487" s="49">
        <v>45920</v>
      </c>
      <c r="AI487" s="264">
        <v>45931</v>
      </c>
      <c r="AJ487" s="150" t="s">
        <v>131</v>
      </c>
      <c r="AK487" s="369" t="s">
        <v>1064</v>
      </c>
      <c r="AL487" s="369" t="s">
        <v>1559</v>
      </c>
      <c r="AM487" s="150" t="s">
        <v>209</v>
      </c>
      <c r="AN487" s="367"/>
      <c r="AO487" s="367"/>
      <c r="AP487" s="367"/>
      <c r="AT487" s="45">
        <v>45945</v>
      </c>
      <c r="AU487" s="45">
        <v>45905</v>
      </c>
      <c r="AV487" s="45">
        <v>45918</v>
      </c>
      <c r="AW487" s="45">
        <v>45880</v>
      </c>
      <c r="AX487" s="367"/>
      <c r="AY487" s="367"/>
      <c r="AZ487" s="45">
        <v>45958</v>
      </c>
      <c r="BA487" s="45"/>
      <c r="BB487" s="152"/>
      <c r="BC487" s="152"/>
      <c r="BD487" s="367"/>
      <c r="BE487" s="367"/>
      <c r="BF487" s="367"/>
      <c r="BG487" s="367"/>
      <c r="BH487" s="64" t="e">
        <f>#REF!</f>
        <v>#REF!</v>
      </c>
      <c r="BL487" s="54"/>
    </row>
    <row r="488" spans="1:64" ht="36" customHeight="1" x14ac:dyDescent="0.3">
      <c r="A488" s="305">
        <f t="shared" si="10"/>
        <v>483</v>
      </c>
      <c r="B488" s="54" t="s">
        <v>1653</v>
      </c>
      <c r="C488" s="367" t="s">
        <v>0</v>
      </c>
      <c r="D488" s="367" t="s">
        <v>1647</v>
      </c>
      <c r="E488" s="45">
        <v>45782</v>
      </c>
      <c r="F488" s="45">
        <v>45789</v>
      </c>
      <c r="G488" s="367"/>
      <c r="H488" s="367"/>
      <c r="I488" s="367"/>
      <c r="J488" s="54" t="s">
        <v>212</v>
      </c>
      <c r="K488" s="48" t="s">
        <v>1648</v>
      </c>
      <c r="L488" s="367">
        <v>1110</v>
      </c>
      <c r="M488" s="150" t="s">
        <v>120</v>
      </c>
      <c r="N488" s="367" t="s">
        <v>1649</v>
      </c>
      <c r="O488" s="367"/>
      <c r="P488" s="311"/>
      <c r="Q488" s="367"/>
      <c r="R488" s="367"/>
      <c r="S488" s="367"/>
      <c r="T488" s="367">
        <v>12</v>
      </c>
      <c r="U488" s="367"/>
      <c r="V488" s="367"/>
      <c r="W488" s="367"/>
      <c r="X488" s="367"/>
      <c r="Y488" s="367"/>
      <c r="Z488" s="367" t="s">
        <v>127</v>
      </c>
      <c r="AA488" s="367"/>
      <c r="AB488" s="150"/>
      <c r="AC488" s="48" t="s">
        <v>1654</v>
      </c>
      <c r="AD488" s="150" t="s">
        <v>1592</v>
      </c>
      <c r="AE488" s="151"/>
      <c r="AF488" s="151"/>
      <c r="AG488" s="151"/>
      <c r="AH488" s="49">
        <v>45858</v>
      </c>
      <c r="AI488" s="264">
        <v>45809</v>
      </c>
      <c r="AJ488" s="150" t="s">
        <v>330</v>
      </c>
      <c r="AK488" s="369" t="s">
        <v>190</v>
      </c>
      <c r="AL488" s="369" t="s">
        <v>239</v>
      </c>
      <c r="AM488" s="150" t="s">
        <v>209</v>
      </c>
      <c r="AN488" s="367"/>
      <c r="AO488" s="367"/>
      <c r="AP488" s="367"/>
      <c r="AT488" s="367"/>
      <c r="AU488" s="367"/>
      <c r="AV488" s="367"/>
      <c r="AW488" s="367"/>
      <c r="AX488" s="367"/>
      <c r="AY488" s="367"/>
      <c r="AZ488" s="367"/>
      <c r="BA488" s="367"/>
      <c r="BB488" s="152"/>
      <c r="BC488" s="152"/>
      <c r="BD488" s="367"/>
      <c r="BE488" s="367"/>
      <c r="BF488" s="367"/>
      <c r="BG488" s="367"/>
      <c r="BH488" s="64" t="e">
        <f>#REF!</f>
        <v>#REF!</v>
      </c>
      <c r="BL488" s="54"/>
    </row>
    <row r="489" spans="1:64" ht="36" customHeight="1" x14ac:dyDescent="0.3">
      <c r="A489" s="305">
        <f t="shared" si="10"/>
        <v>484</v>
      </c>
      <c r="B489" s="54" t="s">
        <v>1655</v>
      </c>
      <c r="C489" s="367" t="s">
        <v>5</v>
      </c>
      <c r="D489" s="367" t="s">
        <v>262</v>
      </c>
      <c r="E489" s="367"/>
      <c r="F489" s="367"/>
      <c r="G489" s="367"/>
      <c r="H489" s="367"/>
      <c r="I489" s="367"/>
      <c r="J489" s="54" t="s">
        <v>810</v>
      </c>
      <c r="K489" s="48"/>
      <c r="L489" s="367"/>
      <c r="M489" s="150"/>
      <c r="N489" s="367"/>
      <c r="O489" s="367"/>
      <c r="P489" s="367"/>
      <c r="Q489" s="367"/>
      <c r="R489" s="367"/>
      <c r="S489" s="367"/>
      <c r="T489" s="367"/>
      <c r="U489" s="367"/>
      <c r="V489" s="367"/>
      <c r="W489" s="367"/>
      <c r="X489" s="367"/>
      <c r="Y489" s="367"/>
      <c r="Z489" s="367"/>
      <c r="AA489" s="367"/>
      <c r="AB489" s="150"/>
      <c r="AC489" s="48" t="s">
        <v>1656</v>
      </c>
      <c r="AD489" s="150" t="s">
        <v>1657</v>
      </c>
      <c r="AE489" s="151"/>
      <c r="AF489" s="151"/>
      <c r="AG489" s="151">
        <v>45792</v>
      </c>
      <c r="AH489" s="49"/>
      <c r="AI489" s="264"/>
      <c r="AJ489" s="150" t="s">
        <v>264</v>
      </c>
      <c r="AK489" s="369"/>
      <c r="AL489" s="369"/>
      <c r="AM489" s="150" t="s">
        <v>209</v>
      </c>
      <c r="AN489" s="367"/>
      <c r="AO489" s="367"/>
      <c r="AP489" s="367"/>
      <c r="AT489" s="367"/>
      <c r="AU489" s="367"/>
      <c r="AV489" s="367"/>
      <c r="AW489" s="367"/>
      <c r="AX489" s="367"/>
      <c r="AY489" s="367"/>
      <c r="AZ489" s="367"/>
      <c r="BA489" s="367"/>
      <c r="BB489" s="152" t="s">
        <v>1658</v>
      </c>
      <c r="BC489" s="152"/>
      <c r="BD489" s="367" t="s">
        <v>1605</v>
      </c>
      <c r="BE489" s="367"/>
      <c r="BF489" s="367"/>
      <c r="BG489" s="367"/>
      <c r="BH489" s="64" t="e">
        <f>#REF!</f>
        <v>#REF!</v>
      </c>
      <c r="BL489" s="54"/>
    </row>
    <row r="490" spans="1:64" ht="36" customHeight="1" x14ac:dyDescent="0.3">
      <c r="A490" s="305">
        <f t="shared" si="10"/>
        <v>485</v>
      </c>
      <c r="B490" s="54" t="s">
        <v>1659</v>
      </c>
      <c r="C490" s="367" t="s">
        <v>5</v>
      </c>
      <c r="D490" s="367" t="s">
        <v>1660</v>
      </c>
      <c r="E490" s="45">
        <v>45873</v>
      </c>
      <c r="F490" s="45">
        <v>45873</v>
      </c>
      <c r="G490" s="45"/>
      <c r="H490" s="45"/>
      <c r="I490" s="367"/>
      <c r="J490" s="54" t="s">
        <v>810</v>
      </c>
      <c r="K490" s="48"/>
      <c r="L490" s="367">
        <v>1100</v>
      </c>
      <c r="M490" s="150" t="s">
        <v>120</v>
      </c>
      <c r="N490" s="367" t="s">
        <v>127</v>
      </c>
      <c r="O490" s="367"/>
      <c r="P490" s="311"/>
      <c r="Q490" s="367"/>
      <c r="R490" s="367"/>
      <c r="S490" s="367"/>
      <c r="T490" s="367"/>
      <c r="U490" s="367"/>
      <c r="V490" s="367"/>
      <c r="W490" s="367"/>
      <c r="X490" s="367"/>
      <c r="Y490" s="367"/>
      <c r="Z490" s="367"/>
      <c r="AA490" s="367"/>
      <c r="AB490" s="150"/>
      <c r="AC490" s="48" t="s">
        <v>1661</v>
      </c>
      <c r="AD490" s="150" t="s">
        <v>1662</v>
      </c>
      <c r="AE490" s="151"/>
      <c r="AF490" s="151"/>
      <c r="AG490" s="286">
        <v>45792</v>
      </c>
      <c r="AH490" s="49">
        <v>45863</v>
      </c>
      <c r="AI490" s="264">
        <v>45839</v>
      </c>
      <c r="AJ490" s="150" t="s">
        <v>131</v>
      </c>
      <c r="AK490" s="369" t="s">
        <v>829</v>
      </c>
      <c r="AL490" s="369" t="s">
        <v>239</v>
      </c>
      <c r="AM490" s="150" t="s">
        <v>134</v>
      </c>
      <c r="AN490" s="367"/>
      <c r="AO490" s="367"/>
      <c r="AP490" s="367"/>
      <c r="AT490" s="45">
        <v>45839</v>
      </c>
      <c r="AU490" s="45">
        <v>45811</v>
      </c>
      <c r="AV490" s="45">
        <v>45824</v>
      </c>
      <c r="AW490" s="45">
        <v>45768</v>
      </c>
      <c r="AX490" s="367"/>
      <c r="AY490" s="367"/>
      <c r="AZ490" s="367"/>
      <c r="BA490" s="367"/>
      <c r="BB490" s="152"/>
      <c r="BC490" s="152"/>
      <c r="BD490" s="367" t="s">
        <v>1605</v>
      </c>
      <c r="BE490" s="367"/>
      <c r="BF490" s="367"/>
      <c r="BG490" s="367"/>
      <c r="BH490" s="64" t="e">
        <f>#REF!</f>
        <v>#REF!</v>
      </c>
      <c r="BL490" s="54"/>
    </row>
    <row r="491" spans="1:64" ht="36" customHeight="1" x14ac:dyDescent="0.3">
      <c r="A491" s="305">
        <f t="shared" si="10"/>
        <v>486</v>
      </c>
      <c r="B491" s="54" t="s">
        <v>1663</v>
      </c>
      <c r="C491" s="367" t="s">
        <v>5</v>
      </c>
      <c r="D491" s="367" t="s">
        <v>1660</v>
      </c>
      <c r="E491" s="45">
        <v>45866</v>
      </c>
      <c r="F491" s="45">
        <v>45866</v>
      </c>
      <c r="G491" s="45"/>
      <c r="H491" s="45"/>
      <c r="I491" s="367"/>
      <c r="J491" s="54" t="s">
        <v>674</v>
      </c>
      <c r="K491" s="48"/>
      <c r="L491" s="367"/>
      <c r="M491" s="150"/>
      <c r="N491" s="367"/>
      <c r="O491" s="367"/>
      <c r="P491" s="311"/>
      <c r="Q491" s="367"/>
      <c r="R491" s="367"/>
      <c r="S491" s="367"/>
      <c r="T491" s="367"/>
      <c r="U491" s="367"/>
      <c r="V491" s="367"/>
      <c r="W491" s="367"/>
      <c r="X491" s="367"/>
      <c r="Y491" s="367"/>
      <c r="Z491" s="367"/>
      <c r="AA491" s="367"/>
      <c r="AB491" s="150"/>
      <c r="AC491" s="48" t="s">
        <v>1664</v>
      </c>
      <c r="AD491" s="150" t="s">
        <v>1665</v>
      </c>
      <c r="AE491" s="151"/>
      <c r="AF491" s="151"/>
      <c r="AG491" s="286">
        <v>45792</v>
      </c>
      <c r="AH491" s="49">
        <v>45863</v>
      </c>
      <c r="AI491" s="264">
        <v>45839</v>
      </c>
      <c r="AJ491" s="150" t="s">
        <v>131</v>
      </c>
      <c r="AK491" s="369" t="s">
        <v>294</v>
      </c>
      <c r="AL491" s="369" t="s">
        <v>133</v>
      </c>
      <c r="AM491" s="150" t="s">
        <v>134</v>
      </c>
      <c r="AN491" s="367"/>
      <c r="AO491" s="367"/>
      <c r="AP491" s="367"/>
      <c r="AT491" s="45">
        <v>45786</v>
      </c>
      <c r="AU491" s="45">
        <v>45783</v>
      </c>
      <c r="AV491" s="45">
        <v>45805</v>
      </c>
      <c r="AW491" s="45">
        <v>45768</v>
      </c>
      <c r="AX491" s="367"/>
      <c r="AY491" s="367"/>
      <c r="AZ491" s="367"/>
      <c r="BA491" s="367"/>
      <c r="BB491" s="152" t="s">
        <v>1666</v>
      </c>
      <c r="BC491" s="152"/>
      <c r="BD491" s="367" t="s">
        <v>1605</v>
      </c>
      <c r="BE491" s="367"/>
      <c r="BF491" s="367"/>
      <c r="BG491" s="367"/>
      <c r="BH491" s="64" t="e">
        <f>#REF!</f>
        <v>#REF!</v>
      </c>
      <c r="BL491" s="54"/>
    </row>
    <row r="492" spans="1:64" ht="36" customHeight="1" x14ac:dyDescent="0.3">
      <c r="A492" s="305">
        <f t="shared" si="10"/>
        <v>487</v>
      </c>
      <c r="B492" s="61" t="s">
        <v>1667</v>
      </c>
      <c r="C492" s="367" t="s">
        <v>0</v>
      </c>
      <c r="D492" s="367" t="s">
        <v>1668</v>
      </c>
      <c r="E492" s="45">
        <v>45681</v>
      </c>
      <c r="F492" s="45">
        <v>45789</v>
      </c>
      <c r="G492" s="45">
        <v>45800</v>
      </c>
      <c r="H492" s="367"/>
      <c r="I492" s="367"/>
      <c r="J492" s="54" t="s">
        <v>1551</v>
      </c>
      <c r="K492" s="48" t="s">
        <v>1669</v>
      </c>
      <c r="L492" s="367"/>
      <c r="M492" s="150" t="s">
        <v>65</v>
      </c>
      <c r="N492" s="367"/>
      <c r="O492" s="367" t="s">
        <v>127</v>
      </c>
      <c r="P492" s="311"/>
      <c r="Q492" s="367"/>
      <c r="R492" s="367"/>
      <c r="S492" s="367"/>
      <c r="T492" s="367"/>
      <c r="U492" s="367"/>
      <c r="V492" s="367"/>
      <c r="W492" s="367"/>
      <c r="X492" s="367" t="s">
        <v>150</v>
      </c>
      <c r="Y492" s="367" t="s">
        <v>127</v>
      </c>
      <c r="Z492" s="367"/>
      <c r="AA492" s="367" t="s">
        <v>214</v>
      </c>
      <c r="AB492" s="150" t="s">
        <v>215</v>
      </c>
      <c r="AC492" s="48" t="s">
        <v>1670</v>
      </c>
      <c r="AD492" s="150" t="s">
        <v>284</v>
      </c>
      <c r="AE492" s="151"/>
      <c r="AF492" s="151"/>
      <c r="AG492" s="151" t="s">
        <v>42</v>
      </c>
      <c r="AH492" s="49">
        <v>45767</v>
      </c>
      <c r="AI492" s="264">
        <v>45748</v>
      </c>
      <c r="AJ492" s="150" t="s">
        <v>131</v>
      </c>
      <c r="AK492" s="369" t="s">
        <v>1060</v>
      </c>
      <c r="AL492" s="369" t="s">
        <v>154</v>
      </c>
      <c r="AM492" s="150" t="s">
        <v>209</v>
      </c>
      <c r="AN492" s="367"/>
      <c r="AO492" s="367"/>
      <c r="AP492" s="367"/>
      <c r="AT492" s="45">
        <v>45767</v>
      </c>
      <c r="AU492" s="367"/>
      <c r="AV492" s="367"/>
      <c r="AW492" s="45">
        <v>45734</v>
      </c>
      <c r="AX492" s="367"/>
      <c r="AY492" s="367"/>
      <c r="AZ492" s="367"/>
      <c r="BA492" s="367"/>
      <c r="BB492" s="152" t="s">
        <v>1671</v>
      </c>
      <c r="BC492" s="152"/>
      <c r="BD492" s="367"/>
      <c r="BE492" s="367"/>
      <c r="BF492" s="367"/>
      <c r="BG492" s="367"/>
      <c r="BH492" s="64" t="e">
        <f>#REF!</f>
        <v>#REF!</v>
      </c>
      <c r="BL492" s="54"/>
    </row>
    <row r="493" spans="1:64" ht="36" customHeight="1" x14ac:dyDescent="0.3">
      <c r="A493" s="156">
        <f t="shared" si="10"/>
        <v>488</v>
      </c>
      <c r="B493" s="54" t="s">
        <v>1672</v>
      </c>
      <c r="C493" s="367" t="s">
        <v>0</v>
      </c>
      <c r="D493" s="367" t="s">
        <v>1673</v>
      </c>
      <c r="E493" s="45">
        <v>45888</v>
      </c>
      <c r="F493" s="367"/>
      <c r="G493" s="45">
        <v>45989</v>
      </c>
      <c r="H493" s="367"/>
      <c r="I493" s="367" t="s">
        <v>20</v>
      </c>
      <c r="J493" s="54" t="s">
        <v>577</v>
      </c>
      <c r="K493" s="48" t="s">
        <v>1552</v>
      </c>
      <c r="L493" s="367">
        <v>1112</v>
      </c>
      <c r="M493" s="150" t="s">
        <v>120</v>
      </c>
      <c r="N493" s="367"/>
      <c r="O493" s="367" t="s">
        <v>127</v>
      </c>
      <c r="P493" s="311"/>
      <c r="Q493" s="367"/>
      <c r="R493" s="367"/>
      <c r="S493" s="367"/>
      <c r="T493" s="367"/>
      <c r="U493" s="367"/>
      <c r="V493" s="367"/>
      <c r="W493" s="367"/>
      <c r="X493" s="367" t="s">
        <v>150</v>
      </c>
      <c r="Y493" s="367" t="s">
        <v>127</v>
      </c>
      <c r="Z493" s="367"/>
      <c r="AA493" s="367"/>
      <c r="AB493" s="150" t="s">
        <v>383</v>
      </c>
      <c r="AC493" s="48" t="s">
        <v>1674</v>
      </c>
      <c r="AD493" s="150" t="s">
        <v>284</v>
      </c>
      <c r="AE493" s="151"/>
      <c r="AF493" s="151"/>
      <c r="AG493" s="151">
        <v>45863</v>
      </c>
      <c r="AH493" s="49">
        <v>45868</v>
      </c>
      <c r="AI493" s="264">
        <v>45839</v>
      </c>
      <c r="AJ493" s="150" t="s">
        <v>131</v>
      </c>
      <c r="AK493" s="369" t="s">
        <v>200</v>
      </c>
      <c r="AL493" s="369" t="s">
        <v>154</v>
      </c>
      <c r="AM493" s="150" t="s">
        <v>209</v>
      </c>
      <c r="AN493" s="367"/>
      <c r="AO493" s="367"/>
      <c r="AP493" s="367"/>
      <c r="AT493" s="367"/>
      <c r="AU493" s="367"/>
      <c r="AV493" s="367"/>
      <c r="AW493" s="367"/>
      <c r="AX493" s="367"/>
      <c r="AY493" s="367"/>
      <c r="AZ493" s="367"/>
      <c r="BA493" s="367"/>
      <c r="BB493" s="152" t="s">
        <v>1675</v>
      </c>
      <c r="BC493" s="152"/>
      <c r="BD493" s="367"/>
      <c r="BE493" s="367"/>
      <c r="BF493" s="367"/>
      <c r="BG493" s="367"/>
      <c r="BH493" s="64" t="e">
        <f>#REF!</f>
        <v>#REF!</v>
      </c>
      <c r="BL493" s="54"/>
    </row>
    <row r="494" spans="1:64" ht="36" customHeight="1" x14ac:dyDescent="0.3">
      <c r="A494" s="305">
        <f t="shared" si="10"/>
        <v>489</v>
      </c>
      <c r="B494" s="263" t="s">
        <v>1676</v>
      </c>
      <c r="C494" s="367" t="s">
        <v>0</v>
      </c>
      <c r="D494" s="367" t="s">
        <v>1677</v>
      </c>
      <c r="E494" s="45">
        <v>45989</v>
      </c>
      <c r="F494" s="367"/>
      <c r="G494" s="367"/>
      <c r="H494" s="367"/>
      <c r="I494" s="367"/>
      <c r="J494" s="54"/>
      <c r="K494" s="48"/>
      <c r="L494" s="367">
        <v>900</v>
      </c>
      <c r="M494" s="150" t="s">
        <v>120</v>
      </c>
      <c r="N494" s="367"/>
      <c r="O494" s="367" t="s">
        <v>127</v>
      </c>
      <c r="P494" s="311"/>
      <c r="Q494" s="367"/>
      <c r="R494" s="367"/>
      <c r="S494" s="367"/>
      <c r="T494" s="367"/>
      <c r="U494" s="367"/>
      <c r="V494" s="367"/>
      <c r="W494" s="367"/>
      <c r="X494" s="367" t="s">
        <v>1678</v>
      </c>
      <c r="Y494" s="367"/>
      <c r="Z494" s="367"/>
      <c r="AA494" s="367" t="s">
        <v>214</v>
      </c>
      <c r="AB494" s="150" t="s">
        <v>215</v>
      </c>
      <c r="AC494" s="48" t="s">
        <v>1679</v>
      </c>
      <c r="AD494" s="150" t="s">
        <v>1680</v>
      </c>
      <c r="AE494" s="151"/>
      <c r="AF494" s="151"/>
      <c r="AG494" s="151">
        <v>45894</v>
      </c>
      <c r="AH494" s="49">
        <v>45986</v>
      </c>
      <c r="AI494" s="266">
        <v>45962</v>
      </c>
      <c r="AJ494" s="150" t="s">
        <v>131</v>
      </c>
      <c r="AK494" s="369" t="s">
        <v>829</v>
      </c>
      <c r="AL494" s="369" t="s">
        <v>1528</v>
      </c>
      <c r="AM494" s="150" t="s">
        <v>209</v>
      </c>
      <c r="AN494" s="367"/>
      <c r="AO494" s="367"/>
      <c r="AP494" s="367"/>
      <c r="AT494" s="45">
        <v>45955</v>
      </c>
      <c r="AU494" s="45">
        <v>45923</v>
      </c>
      <c r="AV494" s="45">
        <v>45938</v>
      </c>
      <c r="AW494" s="45">
        <v>45915</v>
      </c>
      <c r="AX494" s="367"/>
      <c r="AY494" s="367"/>
      <c r="AZ494" s="367"/>
      <c r="BA494" s="367"/>
      <c r="BB494" s="152" t="s">
        <v>1681</v>
      </c>
      <c r="BC494" s="152"/>
      <c r="BD494" s="367"/>
      <c r="BE494" s="367"/>
      <c r="BF494" s="367"/>
      <c r="BG494" s="367"/>
      <c r="BH494" s="64" t="e">
        <f>#REF!</f>
        <v>#REF!</v>
      </c>
      <c r="BL494" s="54"/>
    </row>
    <row r="495" spans="1:64" ht="36" customHeight="1" x14ac:dyDescent="0.3">
      <c r="A495" s="305">
        <f t="shared" si="10"/>
        <v>490</v>
      </c>
      <c r="B495" s="54" t="s">
        <v>1682</v>
      </c>
      <c r="C495" s="367" t="s">
        <v>0</v>
      </c>
      <c r="D495" s="367" t="s">
        <v>1683</v>
      </c>
      <c r="E495" s="45">
        <v>45954</v>
      </c>
      <c r="F495" s="367"/>
      <c r="G495" s="45">
        <v>45964</v>
      </c>
      <c r="H495" s="367"/>
      <c r="I495" s="367"/>
      <c r="J495" s="54" t="s">
        <v>369</v>
      </c>
      <c r="K495" s="48" t="s">
        <v>1684</v>
      </c>
      <c r="L495" s="367"/>
      <c r="M495" s="150" t="s">
        <v>65</v>
      </c>
      <c r="N495" s="367"/>
      <c r="O495" s="367" t="s">
        <v>1638</v>
      </c>
      <c r="P495" s="311"/>
      <c r="Q495" s="367">
        <v>4.2</v>
      </c>
      <c r="R495" s="367"/>
      <c r="S495" s="367"/>
      <c r="T495" s="367">
        <v>7</v>
      </c>
      <c r="U495" s="367"/>
      <c r="V495" s="367"/>
      <c r="W495" s="367"/>
      <c r="X495" s="367" t="s">
        <v>142</v>
      </c>
      <c r="Y495" s="367"/>
      <c r="Z495" s="367"/>
      <c r="AA495" s="367"/>
      <c r="AB495" s="150" t="s">
        <v>42</v>
      </c>
      <c r="AC495" s="48" t="s">
        <v>1685</v>
      </c>
      <c r="AD495" s="150" t="s">
        <v>1327</v>
      </c>
      <c r="AE495" s="151"/>
      <c r="AF495" s="151"/>
      <c r="AG495" s="151">
        <v>45930</v>
      </c>
      <c r="AH495" s="49">
        <v>45930</v>
      </c>
      <c r="AI495" s="266">
        <v>45901</v>
      </c>
      <c r="AJ495" s="150" t="s">
        <v>131</v>
      </c>
      <c r="AK495" s="369" t="s">
        <v>1064</v>
      </c>
      <c r="AL495" s="369" t="s">
        <v>1559</v>
      </c>
      <c r="AM495" s="150" t="s">
        <v>134</v>
      </c>
      <c r="AN495" s="367"/>
      <c r="AO495" s="367"/>
      <c r="AP495" s="367"/>
      <c r="AT495" s="45">
        <v>45899</v>
      </c>
      <c r="AU495" s="45">
        <v>45883</v>
      </c>
      <c r="AV495" s="45">
        <v>45883</v>
      </c>
      <c r="AW495" s="45">
        <v>45880</v>
      </c>
      <c r="AX495" s="367"/>
      <c r="AY495" s="367"/>
      <c r="AZ495" s="45"/>
      <c r="BA495" s="45"/>
      <c r="BB495" s="152" t="s">
        <v>1686</v>
      </c>
      <c r="BC495" s="152"/>
      <c r="BD495" s="367"/>
      <c r="BE495" s="367"/>
      <c r="BF495" s="367"/>
      <c r="BG495" s="367"/>
      <c r="BH495" s="64" t="e">
        <f>#REF!</f>
        <v>#REF!</v>
      </c>
      <c r="BL495" s="54"/>
    </row>
    <row r="496" spans="1:64" ht="36" customHeight="1" x14ac:dyDescent="0.3">
      <c r="A496" s="305">
        <f t="shared" si="10"/>
        <v>491</v>
      </c>
      <c r="B496" s="54" t="s">
        <v>1687</v>
      </c>
      <c r="C496" s="367" t="s">
        <v>6</v>
      </c>
      <c r="D496" s="367" t="s">
        <v>1688</v>
      </c>
      <c r="E496" s="45">
        <v>45825</v>
      </c>
      <c r="F496" s="45">
        <v>45828</v>
      </c>
      <c r="G496" s="367"/>
      <c r="H496" s="367"/>
      <c r="I496" s="367" t="s">
        <v>26</v>
      </c>
      <c r="J496" s="54" t="s">
        <v>1689</v>
      </c>
      <c r="K496" s="48" t="s">
        <v>1689</v>
      </c>
      <c r="L496" s="305" t="s">
        <v>1057</v>
      </c>
      <c r="M496" s="150"/>
      <c r="N496" s="367"/>
      <c r="O496" s="367"/>
      <c r="P496" s="311"/>
      <c r="Q496" s="367"/>
      <c r="R496" s="367"/>
      <c r="S496" s="367"/>
      <c r="T496" s="367"/>
      <c r="U496" s="367"/>
      <c r="V496" s="367"/>
      <c r="W496" s="367"/>
      <c r="X496" s="367"/>
      <c r="Y496" s="367"/>
      <c r="Z496" s="367"/>
      <c r="AA496" s="367"/>
      <c r="AB496" s="150"/>
      <c r="AC496" s="48" t="s">
        <v>1690</v>
      </c>
      <c r="AD496" s="150" t="s">
        <v>169</v>
      </c>
      <c r="AE496" s="151"/>
      <c r="AF496" s="151"/>
      <c r="AG496" s="151"/>
      <c r="AH496" s="93">
        <v>45838</v>
      </c>
      <c r="AI496" s="266">
        <v>45809</v>
      </c>
      <c r="AJ496" s="150" t="s">
        <v>131</v>
      </c>
      <c r="AK496" s="369" t="s">
        <v>1122</v>
      </c>
      <c r="AL496" s="369"/>
      <c r="AM496" s="150" t="s">
        <v>134</v>
      </c>
      <c r="AN496" s="367"/>
      <c r="AO496" s="367"/>
      <c r="AP496" s="367"/>
      <c r="AQ496" s="367"/>
      <c r="AR496" s="367"/>
      <c r="AS496" s="367"/>
      <c r="AT496" s="91">
        <v>45818</v>
      </c>
      <c r="AU496" s="91">
        <v>45796</v>
      </c>
      <c r="AV496" s="91">
        <v>45796</v>
      </c>
      <c r="AW496" s="367"/>
      <c r="AX496" s="367"/>
      <c r="AY496" s="367"/>
      <c r="AZ496" s="367"/>
      <c r="BA496" s="367"/>
      <c r="BB496" s="152"/>
      <c r="BC496" s="152"/>
      <c r="BD496" s="329" t="s">
        <v>816</v>
      </c>
      <c r="BE496" s="367"/>
      <c r="BF496" s="367"/>
      <c r="BG496" s="367"/>
      <c r="BH496" s="64" t="e">
        <f>#REF!</f>
        <v>#REF!</v>
      </c>
      <c r="BL496" s="54"/>
    </row>
    <row r="497" spans="1:64" ht="36" customHeight="1" x14ac:dyDescent="0.3">
      <c r="A497" s="305">
        <f t="shared" si="10"/>
        <v>492</v>
      </c>
      <c r="B497" s="54" t="s">
        <v>1691</v>
      </c>
      <c r="C497" s="367" t="s">
        <v>5</v>
      </c>
      <c r="D497" s="367" t="s">
        <v>262</v>
      </c>
      <c r="E497" s="45"/>
      <c r="F497" s="367"/>
      <c r="G497" s="367"/>
      <c r="H497" s="367"/>
      <c r="I497" s="367"/>
      <c r="J497" s="54" t="s">
        <v>1692</v>
      </c>
      <c r="K497" s="48" t="s">
        <v>1692</v>
      </c>
      <c r="L497" s="367" t="s">
        <v>660</v>
      </c>
      <c r="M497" s="150" t="s">
        <v>65</v>
      </c>
      <c r="N497" s="367"/>
      <c r="O497" s="367"/>
      <c r="P497" s="367"/>
      <c r="Q497" s="367"/>
      <c r="R497" s="367"/>
      <c r="S497" s="367"/>
      <c r="T497" s="367"/>
      <c r="U497" s="367"/>
      <c r="V497" s="367"/>
      <c r="W497" s="367"/>
      <c r="X497" s="367"/>
      <c r="Y497" s="367"/>
      <c r="Z497" s="367" t="s">
        <v>127</v>
      </c>
      <c r="AA497" s="367"/>
      <c r="AB497" s="150"/>
      <c r="AC497" s="48" t="s">
        <v>1693</v>
      </c>
      <c r="AD497" s="150" t="s">
        <v>1464</v>
      </c>
      <c r="AE497" s="151"/>
      <c r="AF497" s="151"/>
      <c r="AG497" s="286"/>
      <c r="AH497" s="49">
        <v>45899</v>
      </c>
      <c r="AI497" s="264">
        <v>45839</v>
      </c>
      <c r="AJ497" s="150" t="s">
        <v>264</v>
      </c>
      <c r="AK497" s="369" t="s">
        <v>1064</v>
      </c>
      <c r="AL497" s="369" t="s">
        <v>778</v>
      </c>
      <c r="AM497" s="150" t="s">
        <v>209</v>
      </c>
      <c r="AN497" s="367"/>
      <c r="AO497" s="367"/>
      <c r="AP497" s="367"/>
      <c r="AT497" s="45">
        <v>45853</v>
      </c>
      <c r="AU497" s="45">
        <v>45813</v>
      </c>
      <c r="AV497" s="45">
        <v>45838</v>
      </c>
      <c r="AW497" s="45">
        <v>45810</v>
      </c>
      <c r="AX497" s="367"/>
      <c r="AY497" s="367"/>
      <c r="AZ497" s="45">
        <v>45853</v>
      </c>
      <c r="BA497" s="45"/>
      <c r="BB497" s="152" t="s">
        <v>1694</v>
      </c>
      <c r="BC497" s="152"/>
      <c r="BD497" s="367" t="s">
        <v>1605</v>
      </c>
      <c r="BE497" s="367"/>
      <c r="BF497" s="367"/>
      <c r="BG497" s="367"/>
      <c r="BH497" s="64" t="e">
        <f>#REF!</f>
        <v>#REF!</v>
      </c>
      <c r="BL497" s="54"/>
    </row>
    <row r="498" spans="1:64" ht="36" customHeight="1" x14ac:dyDescent="0.3">
      <c r="A498" s="305">
        <f t="shared" si="10"/>
        <v>493</v>
      </c>
      <c r="B498" s="54" t="s">
        <v>1695</v>
      </c>
      <c r="C498" s="367" t="s">
        <v>5</v>
      </c>
      <c r="D498" s="367" t="s">
        <v>262</v>
      </c>
      <c r="E498" s="45"/>
      <c r="F498" s="367"/>
      <c r="G498" s="367"/>
      <c r="H498" s="367"/>
      <c r="I498" s="367"/>
      <c r="J498" s="54" t="s">
        <v>1696</v>
      </c>
      <c r="K498" s="48" t="s">
        <v>1696</v>
      </c>
      <c r="L498" s="367" t="s">
        <v>660</v>
      </c>
      <c r="M498" s="150" t="s">
        <v>65</v>
      </c>
      <c r="N498" s="367"/>
      <c r="O498" s="367"/>
      <c r="P498" s="367"/>
      <c r="Q498" s="367"/>
      <c r="R498" s="367"/>
      <c r="S498" s="367"/>
      <c r="T498" s="367"/>
      <c r="U498" s="367"/>
      <c r="V498" s="367"/>
      <c r="W498" s="367"/>
      <c r="X498" s="367"/>
      <c r="Y498" s="367"/>
      <c r="Z498" s="367" t="s">
        <v>127</v>
      </c>
      <c r="AA498" s="367"/>
      <c r="AB498" s="150"/>
      <c r="AC498" s="48" t="s">
        <v>1693</v>
      </c>
      <c r="AD498" s="150" t="s">
        <v>1464</v>
      </c>
      <c r="AE498" s="151"/>
      <c r="AF498" s="151"/>
      <c r="AG498" s="286"/>
      <c r="AH498" s="49">
        <v>45899</v>
      </c>
      <c r="AI498" s="264">
        <v>45839</v>
      </c>
      <c r="AJ498" s="150" t="s">
        <v>264</v>
      </c>
      <c r="AK498" s="369" t="s">
        <v>1064</v>
      </c>
      <c r="AL498" s="369" t="s">
        <v>778</v>
      </c>
      <c r="AM498" s="150" t="s">
        <v>209</v>
      </c>
      <c r="AN498" s="367"/>
      <c r="AO498" s="367"/>
      <c r="AP498" s="367"/>
      <c r="AT498" s="45">
        <v>45853</v>
      </c>
      <c r="AU498" s="45">
        <v>45813</v>
      </c>
      <c r="AV498" s="45">
        <v>45838</v>
      </c>
      <c r="AW498" s="45">
        <v>45810</v>
      </c>
      <c r="AX498" s="367"/>
      <c r="AY498" s="367"/>
      <c r="AZ498" s="45">
        <v>45853</v>
      </c>
      <c r="BA498" s="45"/>
      <c r="BB498" s="152" t="s">
        <v>1694</v>
      </c>
      <c r="BC498" s="152"/>
      <c r="BD498" s="367" t="s">
        <v>1605</v>
      </c>
      <c r="BE498" s="367"/>
      <c r="BF498" s="367"/>
      <c r="BG498" s="367"/>
      <c r="BH498" s="64" t="e">
        <f>#REF!</f>
        <v>#REF!</v>
      </c>
      <c r="BL498" s="54"/>
    </row>
    <row r="499" spans="1:64" ht="36" customHeight="1" x14ac:dyDescent="0.3">
      <c r="A499" s="305">
        <f t="shared" si="10"/>
        <v>494</v>
      </c>
      <c r="B499" s="54" t="s">
        <v>1697</v>
      </c>
      <c r="C499" s="367" t="s">
        <v>11</v>
      </c>
      <c r="D499" s="367" t="s">
        <v>1698</v>
      </c>
      <c r="E499" s="45">
        <v>45922</v>
      </c>
      <c r="F499" s="45">
        <v>45922</v>
      </c>
      <c r="G499" s="367"/>
      <c r="H499" s="367"/>
      <c r="I499" s="367"/>
      <c r="J499" s="54" t="s">
        <v>521</v>
      </c>
      <c r="K499" s="48" t="s">
        <v>1699</v>
      </c>
      <c r="L499" s="367">
        <v>1000</v>
      </c>
      <c r="M499" s="150" t="s">
        <v>120</v>
      </c>
      <c r="N499" s="367"/>
      <c r="O499" s="367" t="s">
        <v>127</v>
      </c>
      <c r="P499" s="311"/>
      <c r="Q499" s="367"/>
      <c r="R499" s="367"/>
      <c r="S499" s="367"/>
      <c r="T499" s="367"/>
      <c r="U499" s="367"/>
      <c r="V499" s="367"/>
      <c r="W499" s="367"/>
      <c r="X499" s="367"/>
      <c r="Y499" s="367"/>
      <c r="Z499" s="367"/>
      <c r="AA499" s="367"/>
      <c r="AB499" s="150"/>
      <c r="AC499" s="48" t="s">
        <v>1700</v>
      </c>
      <c r="AD499" s="150" t="s">
        <v>56</v>
      </c>
      <c r="AE499" s="151"/>
      <c r="AF499" s="151"/>
      <c r="AG499" s="151"/>
      <c r="AH499" s="49">
        <v>45894</v>
      </c>
      <c r="AI499" s="264">
        <v>45870</v>
      </c>
      <c r="AJ499" s="150" t="s">
        <v>131</v>
      </c>
      <c r="AK499" s="369" t="s">
        <v>132</v>
      </c>
      <c r="AL499" s="369" t="s">
        <v>133</v>
      </c>
      <c r="AM499" s="150" t="s">
        <v>134</v>
      </c>
      <c r="AN499" s="367"/>
      <c r="AO499" s="367"/>
      <c r="AP499" s="367"/>
      <c r="AT499" s="45">
        <v>45874</v>
      </c>
      <c r="AU499" s="45">
        <v>45852</v>
      </c>
      <c r="AV499" s="45">
        <v>45866</v>
      </c>
      <c r="AW499" s="45">
        <v>45756</v>
      </c>
      <c r="AX499" s="367"/>
      <c r="AY499" s="367"/>
      <c r="AZ499" s="367"/>
      <c r="BA499" s="367"/>
      <c r="BB499" s="152" t="s">
        <v>1701</v>
      </c>
      <c r="BC499" s="152"/>
      <c r="BD499" s="367"/>
      <c r="BE499" s="367"/>
      <c r="BF499" s="367"/>
      <c r="BG499" s="367"/>
      <c r="BH499" s="64" t="e">
        <f>#REF!</f>
        <v>#REF!</v>
      </c>
      <c r="BL499" s="54"/>
    </row>
    <row r="500" spans="1:64" ht="36" customHeight="1" x14ac:dyDescent="0.3">
      <c r="A500" s="305">
        <f t="shared" si="10"/>
        <v>495</v>
      </c>
      <c r="B500" s="54" t="s">
        <v>1702</v>
      </c>
      <c r="C500" s="367" t="s">
        <v>11</v>
      </c>
      <c r="D500" s="367" t="s">
        <v>1698</v>
      </c>
      <c r="E500" s="45">
        <v>45922</v>
      </c>
      <c r="F500" s="45">
        <v>45922</v>
      </c>
      <c r="G500" s="367"/>
      <c r="H500" s="367"/>
      <c r="I500" s="367"/>
      <c r="J500" s="54" t="s">
        <v>521</v>
      </c>
      <c r="K500" s="48" t="s">
        <v>1699</v>
      </c>
      <c r="L500" s="367">
        <v>1000</v>
      </c>
      <c r="M500" s="150" t="s">
        <v>120</v>
      </c>
      <c r="N500" s="367"/>
      <c r="O500" s="367" t="s">
        <v>127</v>
      </c>
      <c r="P500" s="311"/>
      <c r="Q500" s="367"/>
      <c r="R500" s="367"/>
      <c r="S500" s="367"/>
      <c r="T500" s="367"/>
      <c r="U500" s="367"/>
      <c r="V500" s="367"/>
      <c r="W500" s="367"/>
      <c r="X500" s="367"/>
      <c r="Y500" s="367"/>
      <c r="Z500" s="367"/>
      <c r="AA500" s="367"/>
      <c r="AB500" s="150"/>
      <c r="AC500" s="48" t="s">
        <v>1703</v>
      </c>
      <c r="AD500" s="150" t="s">
        <v>56</v>
      </c>
      <c r="AE500" s="151"/>
      <c r="AF500" s="151"/>
      <c r="AG500" s="151"/>
      <c r="AH500" s="49">
        <v>45894</v>
      </c>
      <c r="AI500" s="264">
        <v>45870</v>
      </c>
      <c r="AJ500" s="150" t="s">
        <v>131</v>
      </c>
      <c r="AK500" s="369" t="s">
        <v>132</v>
      </c>
      <c r="AL500" s="369" t="s">
        <v>133</v>
      </c>
      <c r="AM500" s="150" t="s">
        <v>134</v>
      </c>
      <c r="AN500" s="367"/>
      <c r="AO500" s="367"/>
      <c r="AP500" s="367"/>
      <c r="AT500" s="45">
        <v>45874</v>
      </c>
      <c r="AU500" s="45">
        <v>45852</v>
      </c>
      <c r="AV500" s="45">
        <v>45866</v>
      </c>
      <c r="AW500" s="45">
        <v>45756</v>
      </c>
      <c r="AX500" s="367"/>
      <c r="AY500" s="367"/>
      <c r="AZ500" s="367"/>
      <c r="BA500" s="367"/>
      <c r="BB500" s="152" t="s">
        <v>1701</v>
      </c>
      <c r="BC500" s="152"/>
      <c r="BD500" s="367"/>
      <c r="BE500" s="367"/>
      <c r="BF500" s="367"/>
      <c r="BG500" s="367"/>
      <c r="BH500" s="64" t="e">
        <f>#REF!</f>
        <v>#REF!</v>
      </c>
      <c r="BL500" s="54"/>
    </row>
    <row r="501" spans="1:64" ht="36" customHeight="1" x14ac:dyDescent="0.3">
      <c r="A501" s="305">
        <f t="shared" si="10"/>
        <v>496</v>
      </c>
      <c r="B501" s="54" t="s">
        <v>1704</v>
      </c>
      <c r="C501" s="367" t="s">
        <v>11</v>
      </c>
      <c r="D501" s="367" t="s">
        <v>1698</v>
      </c>
      <c r="E501" s="45">
        <v>45927</v>
      </c>
      <c r="F501" s="367"/>
      <c r="G501" s="367"/>
      <c r="H501" s="367"/>
      <c r="I501" s="367"/>
      <c r="J501" s="54" t="s">
        <v>521</v>
      </c>
      <c r="K501" s="48" t="s">
        <v>1699</v>
      </c>
      <c r="L501" s="367">
        <v>1000</v>
      </c>
      <c r="M501" s="150" t="s">
        <v>120</v>
      </c>
      <c r="N501" s="367"/>
      <c r="O501" s="367" t="s">
        <v>127</v>
      </c>
      <c r="P501" s="311"/>
      <c r="Q501" s="367"/>
      <c r="R501" s="367"/>
      <c r="S501" s="367"/>
      <c r="T501" s="367"/>
      <c r="U501" s="367"/>
      <c r="V501" s="367"/>
      <c r="W501" s="367"/>
      <c r="X501" s="367"/>
      <c r="Y501" s="367"/>
      <c r="Z501" s="367"/>
      <c r="AA501" s="367"/>
      <c r="AB501" s="150"/>
      <c r="AC501" s="48" t="s">
        <v>1705</v>
      </c>
      <c r="AD501" s="150" t="s">
        <v>56</v>
      </c>
      <c r="AE501" s="151"/>
      <c r="AF501" s="151"/>
      <c r="AG501" s="151"/>
      <c r="AH501" s="49">
        <v>45894</v>
      </c>
      <c r="AI501" s="266">
        <v>45870</v>
      </c>
      <c r="AJ501" s="150" t="s">
        <v>131</v>
      </c>
      <c r="AK501" s="369" t="s">
        <v>132</v>
      </c>
      <c r="AL501" s="369" t="s">
        <v>133</v>
      </c>
      <c r="AM501" s="150" t="s">
        <v>134</v>
      </c>
      <c r="AN501" s="367"/>
      <c r="AO501" s="367"/>
      <c r="AP501" s="367"/>
      <c r="AT501" s="45">
        <v>45874</v>
      </c>
      <c r="AU501" s="45">
        <v>45852</v>
      </c>
      <c r="AV501" s="45">
        <v>45866</v>
      </c>
      <c r="AW501" s="45">
        <v>45756</v>
      </c>
      <c r="AX501" s="367"/>
      <c r="AY501" s="367"/>
      <c r="AZ501" s="367"/>
      <c r="BA501" s="367"/>
      <c r="BB501" s="152" t="s">
        <v>1701</v>
      </c>
      <c r="BC501" s="152"/>
      <c r="BD501" s="367"/>
      <c r="BE501" s="367"/>
      <c r="BF501" s="367"/>
      <c r="BG501" s="367"/>
      <c r="BH501" s="64" t="e">
        <f>#REF!</f>
        <v>#REF!</v>
      </c>
      <c r="BL501" s="54"/>
    </row>
    <row r="502" spans="1:64" ht="36" customHeight="1" x14ac:dyDescent="0.3">
      <c r="A502" s="305">
        <f t="shared" si="10"/>
        <v>497</v>
      </c>
      <c r="B502" s="54" t="s">
        <v>1706</v>
      </c>
      <c r="C502" s="367" t="s">
        <v>11</v>
      </c>
      <c r="D502" s="367" t="s">
        <v>1698</v>
      </c>
      <c r="E502" s="45">
        <v>45927</v>
      </c>
      <c r="F502" s="367"/>
      <c r="G502" s="367"/>
      <c r="H502" s="367"/>
      <c r="I502" s="367"/>
      <c r="J502" s="54" t="s">
        <v>521</v>
      </c>
      <c r="K502" s="48" t="s">
        <v>1699</v>
      </c>
      <c r="L502" s="367">
        <v>1000</v>
      </c>
      <c r="M502" s="150" t="s">
        <v>120</v>
      </c>
      <c r="N502" s="367"/>
      <c r="O502" s="367" t="s">
        <v>127</v>
      </c>
      <c r="P502" s="311"/>
      <c r="Q502" s="367"/>
      <c r="R502" s="367"/>
      <c r="S502" s="367"/>
      <c r="T502" s="367"/>
      <c r="U502" s="367"/>
      <c r="V502" s="367"/>
      <c r="W502" s="367"/>
      <c r="X502" s="367"/>
      <c r="Y502" s="367"/>
      <c r="Z502" s="367"/>
      <c r="AA502" s="367"/>
      <c r="AB502" s="150"/>
      <c r="AC502" s="48" t="s">
        <v>1707</v>
      </c>
      <c r="AD502" s="150" t="s">
        <v>56</v>
      </c>
      <c r="AE502" s="151"/>
      <c r="AF502" s="151"/>
      <c r="AG502" s="151"/>
      <c r="AH502" s="49">
        <v>45894</v>
      </c>
      <c r="AI502" s="266">
        <v>45870</v>
      </c>
      <c r="AJ502" s="150" t="s">
        <v>131</v>
      </c>
      <c r="AK502" s="369" t="s">
        <v>132</v>
      </c>
      <c r="AL502" s="369" t="s">
        <v>133</v>
      </c>
      <c r="AM502" s="150" t="s">
        <v>134</v>
      </c>
      <c r="AN502" s="367"/>
      <c r="AO502" s="367"/>
      <c r="AP502" s="367"/>
      <c r="AT502" s="45">
        <v>45874</v>
      </c>
      <c r="AU502" s="45">
        <v>45852</v>
      </c>
      <c r="AV502" s="45">
        <v>45866</v>
      </c>
      <c r="AW502" s="45">
        <v>45756</v>
      </c>
      <c r="AX502" s="367"/>
      <c r="AY502" s="367"/>
      <c r="AZ502" s="367"/>
      <c r="BA502" s="367"/>
      <c r="BB502" s="152" t="s">
        <v>1701</v>
      </c>
      <c r="BC502" s="152"/>
      <c r="BD502" s="367"/>
      <c r="BE502" s="367"/>
      <c r="BF502" s="367"/>
      <c r="BG502" s="367"/>
      <c r="BH502" s="64" t="e">
        <f>#REF!</f>
        <v>#REF!</v>
      </c>
      <c r="BL502" s="54"/>
    </row>
    <row r="503" spans="1:64" ht="36" customHeight="1" x14ac:dyDescent="0.3">
      <c r="A503" s="305">
        <f t="shared" si="10"/>
        <v>498</v>
      </c>
      <c r="B503" s="54" t="s">
        <v>1708</v>
      </c>
      <c r="C503" s="367" t="s">
        <v>0</v>
      </c>
      <c r="D503" s="367" t="s">
        <v>1709</v>
      </c>
      <c r="E503" s="45">
        <v>45918</v>
      </c>
      <c r="F503" s="367"/>
      <c r="G503" s="45">
        <v>45974</v>
      </c>
      <c r="H503" s="367"/>
      <c r="I503" s="367"/>
      <c r="J503" s="54" t="s">
        <v>1710</v>
      </c>
      <c r="K503" s="48" t="s">
        <v>1711</v>
      </c>
      <c r="L503" s="367">
        <v>950</v>
      </c>
      <c r="M503" s="150" t="s">
        <v>65</v>
      </c>
      <c r="N503" s="367" t="s">
        <v>1712</v>
      </c>
      <c r="O503" s="367" t="s">
        <v>1713</v>
      </c>
      <c r="P503" s="311"/>
      <c r="Q503" s="367"/>
      <c r="R503" s="367"/>
      <c r="S503" s="367"/>
      <c r="T503" s="367">
        <v>9</v>
      </c>
      <c r="U503" s="367"/>
      <c r="V503" s="367"/>
      <c r="W503" s="367"/>
      <c r="X503" s="367" t="s">
        <v>150</v>
      </c>
      <c r="Y503" s="367" t="s">
        <v>127</v>
      </c>
      <c r="Z503" s="367"/>
      <c r="AA503" s="367" t="s">
        <v>214</v>
      </c>
      <c r="AB503" s="150" t="s">
        <v>215</v>
      </c>
      <c r="AC503" s="48" t="s">
        <v>1714</v>
      </c>
      <c r="AD503" s="150" t="s">
        <v>284</v>
      </c>
      <c r="AE503" s="151"/>
      <c r="AF503" s="151"/>
      <c r="AG503" s="151">
        <v>45894</v>
      </c>
      <c r="AH503" s="49">
        <v>45899</v>
      </c>
      <c r="AI503" s="266">
        <v>45870</v>
      </c>
      <c r="AJ503" s="150" t="s">
        <v>131</v>
      </c>
      <c r="AK503" s="369" t="s">
        <v>200</v>
      </c>
      <c r="AL503" s="150" t="s">
        <v>154</v>
      </c>
      <c r="AM503" s="150" t="s">
        <v>134</v>
      </c>
      <c r="AN503" s="367"/>
      <c r="AO503" s="367"/>
      <c r="AP503" s="367"/>
      <c r="AT503" s="367"/>
      <c r="AU503" s="367"/>
      <c r="AV503" s="367"/>
      <c r="AW503" s="367"/>
      <c r="AX503" s="367"/>
      <c r="AY503" s="367"/>
      <c r="AZ503" s="367"/>
      <c r="BA503" s="367"/>
      <c r="BB503" s="152"/>
      <c r="BC503" s="152"/>
      <c r="BD503" s="367"/>
      <c r="BE503" s="367"/>
      <c r="BF503" s="367"/>
      <c r="BG503" s="367"/>
      <c r="BH503" s="64" t="e">
        <f>#REF!</f>
        <v>#REF!</v>
      </c>
      <c r="BL503" s="54"/>
    </row>
    <row r="504" spans="1:64" ht="36" customHeight="1" x14ac:dyDescent="0.3">
      <c r="A504" s="305">
        <f t="shared" si="10"/>
        <v>499</v>
      </c>
      <c r="B504" s="54" t="s">
        <v>1715</v>
      </c>
      <c r="C504" s="367" t="s">
        <v>0</v>
      </c>
      <c r="D504" s="367" t="s">
        <v>1716</v>
      </c>
      <c r="E504" s="45">
        <v>45918</v>
      </c>
      <c r="F504" s="367"/>
      <c r="G504" s="45">
        <v>45923</v>
      </c>
      <c r="H504" s="367"/>
      <c r="I504" s="367"/>
      <c r="J504" s="54" t="s">
        <v>1710</v>
      </c>
      <c r="K504" s="48" t="s">
        <v>1717</v>
      </c>
      <c r="L504" s="367">
        <v>950</v>
      </c>
      <c r="M504" s="150" t="s">
        <v>120</v>
      </c>
      <c r="N504" s="367" t="s">
        <v>1712</v>
      </c>
      <c r="O504" s="367" t="s">
        <v>1713</v>
      </c>
      <c r="P504" s="311"/>
      <c r="Q504" s="367"/>
      <c r="R504" s="367"/>
      <c r="S504" s="367"/>
      <c r="T504" s="367">
        <v>9</v>
      </c>
      <c r="U504" s="367"/>
      <c r="V504" s="367"/>
      <c r="W504" s="367"/>
      <c r="X504" s="367" t="s">
        <v>150</v>
      </c>
      <c r="Y504" s="367" t="s">
        <v>127</v>
      </c>
      <c r="Z504" s="367"/>
      <c r="AA504" s="367"/>
      <c r="AB504" s="150" t="s">
        <v>215</v>
      </c>
      <c r="AC504" s="48" t="s">
        <v>1718</v>
      </c>
      <c r="AD504" s="150" t="s">
        <v>152</v>
      </c>
      <c r="AE504" s="151"/>
      <c r="AF504" s="151"/>
      <c r="AG504" s="151">
        <v>45894</v>
      </c>
      <c r="AH504" s="49">
        <v>45899</v>
      </c>
      <c r="AI504" s="266">
        <v>45870</v>
      </c>
      <c r="AJ504" s="150" t="s">
        <v>131</v>
      </c>
      <c r="AK504" s="369" t="s">
        <v>200</v>
      </c>
      <c r="AL504" s="150" t="s">
        <v>154</v>
      </c>
      <c r="AM504" s="150" t="s">
        <v>134</v>
      </c>
      <c r="AN504" s="367"/>
      <c r="AO504" s="367"/>
      <c r="AP504" s="367"/>
      <c r="AT504" s="367"/>
      <c r="AU504" s="367"/>
      <c r="AV504" s="367"/>
      <c r="AW504" s="367"/>
      <c r="AX504" s="367"/>
      <c r="AY504" s="367"/>
      <c r="AZ504" s="367"/>
      <c r="BA504" s="367"/>
      <c r="BB504" s="152"/>
      <c r="BC504" s="152"/>
      <c r="BD504" s="367"/>
      <c r="BE504" s="367"/>
      <c r="BF504" s="367"/>
      <c r="BG504" s="367"/>
      <c r="BH504" s="64" t="e">
        <f>#REF!</f>
        <v>#REF!</v>
      </c>
      <c r="BL504" s="54"/>
    </row>
    <row r="505" spans="1:64" ht="36" customHeight="1" x14ac:dyDescent="0.3">
      <c r="A505" s="305">
        <f t="shared" si="10"/>
        <v>500</v>
      </c>
      <c r="B505" s="54" t="s">
        <v>1719</v>
      </c>
      <c r="C505" s="367" t="s">
        <v>10</v>
      </c>
      <c r="D505" s="367"/>
      <c r="E505" s="45">
        <v>45783</v>
      </c>
      <c r="F505" s="367"/>
      <c r="G505" s="367"/>
      <c r="H505" s="367"/>
      <c r="I505" s="367"/>
      <c r="J505" s="54"/>
      <c r="K505" s="48"/>
      <c r="L505" s="367"/>
      <c r="M505" s="150"/>
      <c r="N505" s="367"/>
      <c r="O505" s="367"/>
      <c r="P505" s="311"/>
      <c r="Q505" s="367"/>
      <c r="R505" s="367"/>
      <c r="S505" s="367"/>
      <c r="T505" s="367"/>
      <c r="U505" s="367"/>
      <c r="V505" s="367"/>
      <c r="W505" s="367"/>
      <c r="X505" s="367"/>
      <c r="Y505" s="367"/>
      <c r="Z505" s="367"/>
      <c r="AA505" s="367"/>
      <c r="AB505" s="150"/>
      <c r="AC505" s="48" t="s">
        <v>1720</v>
      </c>
      <c r="AD505" s="150" t="s">
        <v>361</v>
      </c>
      <c r="AE505" s="151"/>
      <c r="AF505" s="151"/>
      <c r="AG505" s="151"/>
      <c r="AH505" s="49">
        <v>45783</v>
      </c>
      <c r="AI505" s="266"/>
      <c r="AJ505" s="150" t="s">
        <v>131</v>
      </c>
      <c r="AK505" s="369" t="s">
        <v>161</v>
      </c>
      <c r="AL505" s="369"/>
      <c r="AM505" s="150" t="s">
        <v>134</v>
      </c>
      <c r="AN505" s="367"/>
      <c r="AO505" s="367"/>
      <c r="AP505" s="367"/>
      <c r="AT505" s="367"/>
      <c r="AU505" s="367"/>
      <c r="AV505" s="367"/>
      <c r="AW505" s="367"/>
      <c r="AX505" s="367"/>
      <c r="AY505" s="367"/>
      <c r="AZ505" s="367"/>
      <c r="BA505" s="367"/>
      <c r="BB505" s="152"/>
      <c r="BC505" s="152"/>
      <c r="BD505" s="367"/>
      <c r="BE505" s="367"/>
      <c r="BF505" s="367"/>
      <c r="BG505" s="367"/>
      <c r="BH505" s="64" t="e">
        <f>#REF!</f>
        <v>#REF!</v>
      </c>
      <c r="BL505" s="54"/>
    </row>
    <row r="506" spans="1:64" ht="36" customHeight="1" x14ac:dyDescent="0.3">
      <c r="A506" s="305">
        <f t="shared" si="10"/>
        <v>501</v>
      </c>
      <c r="B506" s="54" t="s">
        <v>1721</v>
      </c>
      <c r="C506" s="367" t="s">
        <v>10</v>
      </c>
      <c r="D506" s="367"/>
      <c r="E506" s="45">
        <v>45783</v>
      </c>
      <c r="F506" s="367"/>
      <c r="G506" s="367"/>
      <c r="H506" s="367"/>
      <c r="I506" s="367"/>
      <c r="J506" s="54"/>
      <c r="K506" s="48"/>
      <c r="L506" s="367"/>
      <c r="M506" s="150"/>
      <c r="N506" s="367"/>
      <c r="O506" s="367"/>
      <c r="P506" s="311"/>
      <c r="Q506" s="367"/>
      <c r="R506" s="367"/>
      <c r="S506" s="367"/>
      <c r="T506" s="367"/>
      <c r="U506" s="367"/>
      <c r="V506" s="367"/>
      <c r="W506" s="367"/>
      <c r="X506" s="367"/>
      <c r="Y506" s="367"/>
      <c r="Z506" s="367"/>
      <c r="AA506" s="367"/>
      <c r="AB506" s="150"/>
      <c r="AC506" s="48" t="s">
        <v>1720</v>
      </c>
      <c r="AD506" s="150" t="s">
        <v>361</v>
      </c>
      <c r="AE506" s="151"/>
      <c r="AF506" s="151"/>
      <c r="AG506" s="151"/>
      <c r="AH506" s="49">
        <v>45783</v>
      </c>
      <c r="AI506" s="266"/>
      <c r="AJ506" s="150" t="s">
        <v>131</v>
      </c>
      <c r="AK506" s="369" t="s">
        <v>161</v>
      </c>
      <c r="AL506" s="369"/>
      <c r="AM506" s="150" t="s">
        <v>134</v>
      </c>
      <c r="AN506" s="367"/>
      <c r="AO506" s="367"/>
      <c r="AP506" s="367"/>
      <c r="AT506" s="367"/>
      <c r="AU506" s="367"/>
      <c r="AV506" s="367"/>
      <c r="AW506" s="367"/>
      <c r="AX506" s="367"/>
      <c r="AY506" s="367"/>
      <c r="AZ506" s="367"/>
      <c r="BA506" s="367"/>
      <c r="BB506" s="152"/>
      <c r="BC506" s="152"/>
      <c r="BD506" s="367"/>
      <c r="BE506" s="367"/>
      <c r="BF506" s="367"/>
      <c r="BG506" s="367"/>
      <c r="BH506" s="64" t="e">
        <f>#REF!</f>
        <v>#REF!</v>
      </c>
      <c r="BL506" s="54"/>
    </row>
    <row r="507" spans="1:64" ht="36" customHeight="1" x14ac:dyDescent="0.3">
      <c r="A507" s="305">
        <f t="shared" si="10"/>
        <v>502</v>
      </c>
      <c r="B507" s="54" t="s">
        <v>1722</v>
      </c>
      <c r="C507" s="367" t="s">
        <v>10</v>
      </c>
      <c r="D507" s="367"/>
      <c r="E507" s="45">
        <v>45783</v>
      </c>
      <c r="F507" s="367"/>
      <c r="G507" s="367"/>
      <c r="H507" s="367"/>
      <c r="I507" s="367"/>
      <c r="J507" s="54"/>
      <c r="K507" s="48"/>
      <c r="L507" s="367"/>
      <c r="M507" s="150"/>
      <c r="N507" s="367"/>
      <c r="O507" s="367"/>
      <c r="P507" s="311"/>
      <c r="Q507" s="367"/>
      <c r="R507" s="367"/>
      <c r="S507" s="367"/>
      <c r="T507" s="367"/>
      <c r="U507" s="367"/>
      <c r="V507" s="367"/>
      <c r="W507" s="367"/>
      <c r="X507" s="367"/>
      <c r="Y507" s="367"/>
      <c r="Z507" s="367"/>
      <c r="AA507" s="367"/>
      <c r="AB507" s="150"/>
      <c r="AC507" s="48" t="s">
        <v>1720</v>
      </c>
      <c r="AD507" s="150" t="s">
        <v>361</v>
      </c>
      <c r="AE507" s="151"/>
      <c r="AF507" s="151"/>
      <c r="AG507" s="151"/>
      <c r="AH507" s="49">
        <v>45783</v>
      </c>
      <c r="AI507" s="266"/>
      <c r="AJ507" s="150" t="s">
        <v>131</v>
      </c>
      <c r="AK507" s="369" t="s">
        <v>161</v>
      </c>
      <c r="AL507" s="369"/>
      <c r="AM507" s="150" t="s">
        <v>134</v>
      </c>
      <c r="AN507" s="367"/>
      <c r="AO507" s="367"/>
      <c r="AP507" s="367"/>
      <c r="AT507" s="367"/>
      <c r="AU507" s="367"/>
      <c r="AV507" s="367"/>
      <c r="AW507" s="367"/>
      <c r="AX507" s="367"/>
      <c r="AY507" s="367"/>
      <c r="AZ507" s="367"/>
      <c r="BA507" s="367"/>
      <c r="BB507" s="152"/>
      <c r="BC507" s="152"/>
      <c r="BD507" s="367"/>
      <c r="BE507" s="367"/>
      <c r="BF507" s="367"/>
      <c r="BG507" s="367"/>
      <c r="BH507" s="64" t="e">
        <f>#REF!</f>
        <v>#REF!</v>
      </c>
      <c r="BL507" s="54"/>
    </row>
    <row r="508" spans="1:64" ht="36" customHeight="1" x14ac:dyDescent="0.3">
      <c r="A508" s="305">
        <f t="shared" si="10"/>
        <v>503</v>
      </c>
      <c r="B508" s="54" t="s">
        <v>1723</v>
      </c>
      <c r="C508" s="367" t="s">
        <v>10</v>
      </c>
      <c r="D508" s="367"/>
      <c r="E508" s="45">
        <v>45783</v>
      </c>
      <c r="F508" s="367"/>
      <c r="G508" s="367"/>
      <c r="H508" s="367"/>
      <c r="I508" s="367"/>
      <c r="J508" s="54"/>
      <c r="K508" s="48"/>
      <c r="L508" s="367"/>
      <c r="M508" s="150"/>
      <c r="N508" s="367"/>
      <c r="O508" s="367"/>
      <c r="P508" s="311"/>
      <c r="Q508" s="367"/>
      <c r="R508" s="367"/>
      <c r="S508" s="367"/>
      <c r="T508" s="367"/>
      <c r="U508" s="367"/>
      <c r="V508" s="367"/>
      <c r="W508" s="367"/>
      <c r="X508" s="367"/>
      <c r="Y508" s="367"/>
      <c r="Z508" s="367"/>
      <c r="AA508" s="367"/>
      <c r="AB508" s="150"/>
      <c r="AC508" s="48" t="s">
        <v>1720</v>
      </c>
      <c r="AD508" s="150" t="s">
        <v>361</v>
      </c>
      <c r="AE508" s="151"/>
      <c r="AF508" s="151"/>
      <c r="AG508" s="151"/>
      <c r="AH508" s="49">
        <v>45783</v>
      </c>
      <c r="AI508" s="266"/>
      <c r="AJ508" s="150" t="s">
        <v>131</v>
      </c>
      <c r="AK508" s="369" t="s">
        <v>161</v>
      </c>
      <c r="AL508" s="369"/>
      <c r="AM508" s="150" t="s">
        <v>134</v>
      </c>
      <c r="AN508" s="367"/>
      <c r="AO508" s="367"/>
      <c r="AP508" s="367"/>
      <c r="AT508" s="367"/>
      <c r="AU508" s="367"/>
      <c r="AV508" s="367"/>
      <c r="AW508" s="367"/>
      <c r="AX508" s="367"/>
      <c r="AY508" s="367"/>
      <c r="AZ508" s="367"/>
      <c r="BA508" s="367"/>
      <c r="BB508" s="152"/>
      <c r="BC508" s="152"/>
      <c r="BD508" s="367"/>
      <c r="BE508" s="367"/>
      <c r="BF508" s="367"/>
      <c r="BG508" s="367"/>
      <c r="BH508" s="64" t="e">
        <f>#REF!</f>
        <v>#REF!</v>
      </c>
      <c r="BL508" s="54"/>
    </row>
    <row r="509" spans="1:64" ht="36" customHeight="1" x14ac:dyDescent="0.3">
      <c r="A509" s="305">
        <f t="shared" si="10"/>
        <v>504</v>
      </c>
      <c r="B509" s="54" t="s">
        <v>1724</v>
      </c>
      <c r="C509" s="367" t="s">
        <v>0</v>
      </c>
      <c r="D509" s="367" t="s">
        <v>262</v>
      </c>
      <c r="E509" s="45">
        <v>46042</v>
      </c>
      <c r="F509" s="367"/>
      <c r="G509" s="367"/>
      <c r="H509" s="367"/>
      <c r="I509" s="367"/>
      <c r="J509" s="54" t="s">
        <v>577</v>
      </c>
      <c r="K509" s="48" t="s">
        <v>1725</v>
      </c>
      <c r="L509" s="367"/>
      <c r="M509" s="150"/>
      <c r="N509" s="367"/>
      <c r="O509" s="367"/>
      <c r="P509" s="311"/>
      <c r="Q509" s="367"/>
      <c r="R509" s="367"/>
      <c r="S509" s="367"/>
      <c r="T509" s="367"/>
      <c r="U509" s="367"/>
      <c r="V509" s="367"/>
      <c r="W509" s="367"/>
      <c r="X509" s="367"/>
      <c r="Y509" s="367"/>
      <c r="Z509" s="367"/>
      <c r="AA509" s="367"/>
      <c r="AB509" s="150" t="s">
        <v>383</v>
      </c>
      <c r="AC509" s="48" t="s">
        <v>1726</v>
      </c>
      <c r="AD509" s="150" t="s">
        <v>361</v>
      </c>
      <c r="AE509" s="151"/>
      <c r="AF509" s="151"/>
      <c r="AG509" s="151"/>
      <c r="AH509" s="49">
        <v>45884</v>
      </c>
      <c r="AI509" s="266">
        <v>45870</v>
      </c>
      <c r="AJ509" s="150" t="s">
        <v>131</v>
      </c>
      <c r="AK509" s="369" t="s">
        <v>200</v>
      </c>
      <c r="AL509" s="369"/>
      <c r="AM509" s="150" t="s">
        <v>134</v>
      </c>
      <c r="AN509" s="367"/>
      <c r="AO509" s="367"/>
      <c r="AP509" s="367"/>
      <c r="AT509" s="367"/>
      <c r="AU509" s="367"/>
      <c r="AV509" s="367"/>
      <c r="AW509" s="367"/>
      <c r="AX509" s="367"/>
      <c r="AY509" s="367"/>
      <c r="AZ509" s="367"/>
      <c r="BA509" s="367"/>
      <c r="BB509" s="152"/>
      <c r="BC509" s="152"/>
      <c r="BD509" s="367"/>
      <c r="BE509" s="367"/>
      <c r="BF509" s="367"/>
      <c r="BG509" s="367"/>
      <c r="BH509" s="64" t="e">
        <f>#REF!</f>
        <v>#REF!</v>
      </c>
      <c r="BL509" s="54"/>
    </row>
    <row r="510" spans="1:64" ht="36" customHeight="1" x14ac:dyDescent="0.3">
      <c r="A510" s="305">
        <f t="shared" si="10"/>
        <v>505</v>
      </c>
      <c r="B510" s="54" t="s">
        <v>1727</v>
      </c>
      <c r="C510" s="367" t="s">
        <v>6</v>
      </c>
      <c r="D510" s="367" t="s">
        <v>1728</v>
      </c>
      <c r="E510" s="45">
        <v>45960</v>
      </c>
      <c r="F510" s="367"/>
      <c r="G510" s="367"/>
      <c r="H510" s="367"/>
      <c r="I510" s="367"/>
      <c r="J510" s="54" t="s">
        <v>810</v>
      </c>
      <c r="K510" s="48" t="s">
        <v>521</v>
      </c>
      <c r="L510" s="367">
        <v>1000</v>
      </c>
      <c r="M510" s="150" t="s">
        <v>120</v>
      </c>
      <c r="N510" s="367"/>
      <c r="O510" s="367" t="s">
        <v>127</v>
      </c>
      <c r="P510" s="311"/>
      <c r="Q510" s="367"/>
      <c r="R510" s="367"/>
      <c r="S510" s="367"/>
      <c r="T510" s="367"/>
      <c r="U510" s="367"/>
      <c r="V510" s="367"/>
      <c r="W510" s="367"/>
      <c r="X510" s="367"/>
      <c r="Y510" s="367"/>
      <c r="Z510" s="367"/>
      <c r="AA510" s="367"/>
      <c r="AB510" s="150"/>
      <c r="AC510" s="48" t="s">
        <v>1729</v>
      </c>
      <c r="AD510" s="150" t="s">
        <v>56</v>
      </c>
      <c r="AE510" s="151"/>
      <c r="AF510" s="151"/>
      <c r="AG510" s="151"/>
      <c r="AH510" s="49">
        <v>45930</v>
      </c>
      <c r="AI510" s="266">
        <v>45901</v>
      </c>
      <c r="AJ510" s="150" t="s">
        <v>131</v>
      </c>
      <c r="AK510" s="369" t="s">
        <v>132</v>
      </c>
      <c r="AL510" s="369" t="s">
        <v>133</v>
      </c>
      <c r="AM510" s="150" t="s">
        <v>209</v>
      </c>
      <c r="AN510" s="367"/>
      <c r="AO510" s="367"/>
      <c r="AP510" s="367"/>
      <c r="AQ510" s="367"/>
      <c r="AR510" s="367"/>
      <c r="AS510" s="367"/>
      <c r="AT510" s="45">
        <v>45910</v>
      </c>
      <c r="AU510" s="45">
        <v>45874</v>
      </c>
      <c r="AV510" s="45">
        <v>45874</v>
      </c>
      <c r="AW510" s="45">
        <v>45877</v>
      </c>
      <c r="AX510" s="367"/>
      <c r="AY510" s="367"/>
      <c r="AZ510" s="45">
        <v>45958</v>
      </c>
      <c r="BA510" s="45"/>
      <c r="BB510" s="152"/>
      <c r="BC510" s="152"/>
      <c r="BD510" s="329" t="s">
        <v>816</v>
      </c>
      <c r="BE510" s="367"/>
      <c r="BF510" s="367"/>
      <c r="BG510" s="367"/>
      <c r="BH510" s="64" t="e">
        <f>#REF!</f>
        <v>#REF!</v>
      </c>
      <c r="BL510" s="54"/>
    </row>
    <row r="511" spans="1:64" ht="36" customHeight="1" x14ac:dyDescent="0.3">
      <c r="A511" s="305">
        <f t="shared" si="10"/>
        <v>506</v>
      </c>
      <c r="B511" s="54" t="s">
        <v>1730</v>
      </c>
      <c r="C511" s="367" t="s">
        <v>6</v>
      </c>
      <c r="D511" s="367" t="s">
        <v>1728</v>
      </c>
      <c r="E511" s="45">
        <v>45960</v>
      </c>
      <c r="F511" s="367"/>
      <c r="G511" s="367"/>
      <c r="H511" s="367"/>
      <c r="I511" s="367"/>
      <c r="J511" s="54" t="s">
        <v>810</v>
      </c>
      <c r="K511" s="48" t="s">
        <v>521</v>
      </c>
      <c r="L511" s="367">
        <v>1000</v>
      </c>
      <c r="M511" s="150" t="s">
        <v>120</v>
      </c>
      <c r="N511" s="367"/>
      <c r="O511" s="367" t="s">
        <v>127</v>
      </c>
      <c r="P511" s="311"/>
      <c r="Q511" s="367"/>
      <c r="R511" s="367"/>
      <c r="S511" s="367"/>
      <c r="T511" s="367"/>
      <c r="U511" s="367"/>
      <c r="V511" s="367"/>
      <c r="W511" s="367"/>
      <c r="X511" s="367"/>
      <c r="Y511" s="367"/>
      <c r="Z511" s="367"/>
      <c r="AA511" s="367"/>
      <c r="AB511" s="150"/>
      <c r="AC511" s="48" t="s">
        <v>1731</v>
      </c>
      <c r="AD511" s="150" t="s">
        <v>56</v>
      </c>
      <c r="AE511" s="151"/>
      <c r="AF511" s="151"/>
      <c r="AG511" s="151"/>
      <c r="AH511" s="49">
        <v>45930</v>
      </c>
      <c r="AI511" s="266">
        <v>45901</v>
      </c>
      <c r="AJ511" s="150" t="s">
        <v>131</v>
      </c>
      <c r="AK511" s="369" t="s">
        <v>132</v>
      </c>
      <c r="AL511" s="369" t="s">
        <v>133</v>
      </c>
      <c r="AM511" s="150" t="s">
        <v>209</v>
      </c>
      <c r="AN511" s="367"/>
      <c r="AO511" s="367"/>
      <c r="AP511" s="367"/>
      <c r="AQ511" s="367"/>
      <c r="AR511" s="367"/>
      <c r="AS511" s="367"/>
      <c r="AT511" s="45">
        <v>45910</v>
      </c>
      <c r="AU511" s="45">
        <v>45874</v>
      </c>
      <c r="AV511" s="45">
        <v>45874</v>
      </c>
      <c r="AW511" s="45">
        <v>45877</v>
      </c>
      <c r="AX511" s="367"/>
      <c r="AY511" s="367"/>
      <c r="AZ511" s="45">
        <v>45958</v>
      </c>
      <c r="BA511" s="45"/>
      <c r="BB511" s="152"/>
      <c r="BC511" s="152"/>
      <c r="BD511" s="329" t="s">
        <v>816</v>
      </c>
      <c r="BE511" s="367"/>
      <c r="BF511" s="367"/>
      <c r="BG511" s="367"/>
      <c r="BH511" s="64" t="e">
        <f>#REF!</f>
        <v>#REF!</v>
      </c>
      <c r="BL511" s="54"/>
    </row>
    <row r="512" spans="1:64" ht="36" customHeight="1" x14ac:dyDescent="0.3">
      <c r="A512" s="305">
        <f t="shared" si="10"/>
        <v>507</v>
      </c>
      <c r="B512" s="54" t="s">
        <v>1732</v>
      </c>
      <c r="C512" s="367" t="s">
        <v>6</v>
      </c>
      <c r="D512" s="367" t="s">
        <v>1728</v>
      </c>
      <c r="E512" s="45">
        <v>45960</v>
      </c>
      <c r="F512" s="367"/>
      <c r="G512" s="367"/>
      <c r="H512" s="367"/>
      <c r="I512" s="367"/>
      <c r="J512" s="54" t="s">
        <v>810</v>
      </c>
      <c r="K512" s="48" t="s">
        <v>521</v>
      </c>
      <c r="L512" s="367">
        <v>1000</v>
      </c>
      <c r="M512" s="150" t="s">
        <v>120</v>
      </c>
      <c r="N512" s="367"/>
      <c r="O512" s="367" t="s">
        <v>127</v>
      </c>
      <c r="P512" s="311"/>
      <c r="Q512" s="367"/>
      <c r="R512" s="367"/>
      <c r="S512" s="367"/>
      <c r="T512" s="367"/>
      <c r="U512" s="367"/>
      <c r="V512" s="367"/>
      <c r="W512" s="367"/>
      <c r="X512" s="367"/>
      <c r="Y512" s="367"/>
      <c r="Z512" s="367"/>
      <c r="AA512" s="367"/>
      <c r="AB512" s="150"/>
      <c r="AC512" s="48" t="s">
        <v>1733</v>
      </c>
      <c r="AD512" s="150" t="s">
        <v>56</v>
      </c>
      <c r="AE512" s="151"/>
      <c r="AF512" s="151"/>
      <c r="AG512" s="151"/>
      <c r="AH512" s="49">
        <v>45930</v>
      </c>
      <c r="AI512" s="266">
        <v>45901</v>
      </c>
      <c r="AJ512" s="150" t="s">
        <v>131</v>
      </c>
      <c r="AK512" s="369" t="s">
        <v>132</v>
      </c>
      <c r="AL512" s="369" t="s">
        <v>133</v>
      </c>
      <c r="AM512" s="150" t="s">
        <v>209</v>
      </c>
      <c r="AN512" s="367"/>
      <c r="AO512" s="367"/>
      <c r="AP512" s="367"/>
      <c r="AQ512" s="367"/>
      <c r="AR512" s="367"/>
      <c r="AS512" s="367"/>
      <c r="AT512" s="45">
        <v>45910</v>
      </c>
      <c r="AU512" s="45">
        <v>45874</v>
      </c>
      <c r="AV512" s="45">
        <v>45874</v>
      </c>
      <c r="AW512" s="45">
        <v>45877</v>
      </c>
      <c r="AX512" s="367"/>
      <c r="AY512" s="367"/>
      <c r="AZ512" s="45">
        <v>45958</v>
      </c>
      <c r="BA512" s="45"/>
      <c r="BB512" s="152"/>
      <c r="BC512" s="152"/>
      <c r="BD512" s="329" t="s">
        <v>816</v>
      </c>
      <c r="BE512" s="367"/>
      <c r="BF512" s="367"/>
      <c r="BG512" s="367"/>
      <c r="BH512" s="64" t="e">
        <f>#REF!</f>
        <v>#REF!</v>
      </c>
      <c r="BL512" s="54"/>
    </row>
    <row r="513" spans="1:64" ht="36" customHeight="1" x14ac:dyDescent="0.3">
      <c r="A513" s="305">
        <f t="shared" si="10"/>
        <v>508</v>
      </c>
      <c r="B513" s="54" t="s">
        <v>1734</v>
      </c>
      <c r="C513" s="367" t="s">
        <v>6</v>
      </c>
      <c r="D513" s="367" t="s">
        <v>1728</v>
      </c>
      <c r="E513" s="45">
        <v>45960</v>
      </c>
      <c r="F513" s="367"/>
      <c r="G513" s="367"/>
      <c r="H513" s="367"/>
      <c r="I513" s="367"/>
      <c r="J513" s="54" t="s">
        <v>810</v>
      </c>
      <c r="K513" s="48" t="s">
        <v>521</v>
      </c>
      <c r="L513" s="367">
        <v>1000</v>
      </c>
      <c r="M513" s="150" t="s">
        <v>120</v>
      </c>
      <c r="N513" s="367"/>
      <c r="O513" s="367" t="s">
        <v>127</v>
      </c>
      <c r="P513" s="311"/>
      <c r="Q513" s="367"/>
      <c r="R513" s="367"/>
      <c r="S513" s="367"/>
      <c r="T513" s="367"/>
      <c r="U513" s="367"/>
      <c r="V513" s="367"/>
      <c r="W513" s="367"/>
      <c r="X513" s="367"/>
      <c r="Y513" s="367"/>
      <c r="Z513" s="367"/>
      <c r="AA513" s="367"/>
      <c r="AB513" s="150"/>
      <c r="AC513" s="48" t="s">
        <v>1735</v>
      </c>
      <c r="AD513" s="150" t="s">
        <v>56</v>
      </c>
      <c r="AE513" s="151"/>
      <c r="AF513" s="151"/>
      <c r="AG513" s="151"/>
      <c r="AH513" s="49">
        <v>45960</v>
      </c>
      <c r="AI513" s="266">
        <v>45901</v>
      </c>
      <c r="AJ513" s="150" t="s">
        <v>131</v>
      </c>
      <c r="AK513" s="369" t="s">
        <v>132</v>
      </c>
      <c r="AL513" s="369" t="s">
        <v>133</v>
      </c>
      <c r="AM513" s="150" t="s">
        <v>209</v>
      </c>
      <c r="AN513" s="367"/>
      <c r="AO513" s="367"/>
      <c r="AP513" s="367"/>
      <c r="AQ513" s="367"/>
      <c r="AR513" s="367"/>
      <c r="AS513" s="367"/>
      <c r="AT513" s="45">
        <v>45910</v>
      </c>
      <c r="AU513" s="45">
        <v>45874</v>
      </c>
      <c r="AV513" s="45">
        <v>45874</v>
      </c>
      <c r="AW513" s="45">
        <v>45877</v>
      </c>
      <c r="AX513" s="367"/>
      <c r="AY513" s="367"/>
      <c r="AZ513" s="45">
        <v>45958</v>
      </c>
      <c r="BA513" s="45"/>
      <c r="BB513" s="152"/>
      <c r="BC513" s="152"/>
      <c r="BD513" s="329" t="s">
        <v>816</v>
      </c>
      <c r="BE513" s="367"/>
      <c r="BF513" s="367"/>
      <c r="BG513" s="367"/>
      <c r="BH513" s="64" t="e">
        <f>#REF!</f>
        <v>#REF!</v>
      </c>
      <c r="BL513" s="54"/>
    </row>
    <row r="514" spans="1:64" ht="36" customHeight="1" x14ac:dyDescent="0.3">
      <c r="A514" s="305">
        <f t="shared" si="10"/>
        <v>509</v>
      </c>
      <c r="B514" s="54" t="s">
        <v>1736</v>
      </c>
      <c r="C514" s="367" t="s">
        <v>6</v>
      </c>
      <c r="D514" s="367" t="s">
        <v>1728</v>
      </c>
      <c r="E514" s="45">
        <v>45960</v>
      </c>
      <c r="F514" s="367"/>
      <c r="G514" s="367"/>
      <c r="H514" s="367"/>
      <c r="I514" s="367"/>
      <c r="J514" s="54" t="s">
        <v>810</v>
      </c>
      <c r="K514" s="48" t="s">
        <v>521</v>
      </c>
      <c r="L514" s="367">
        <v>1000</v>
      </c>
      <c r="M514" s="150" t="s">
        <v>120</v>
      </c>
      <c r="N514" s="367"/>
      <c r="O514" s="367" t="s">
        <v>127</v>
      </c>
      <c r="P514" s="311"/>
      <c r="Q514" s="367"/>
      <c r="R514" s="367"/>
      <c r="S514" s="367"/>
      <c r="T514" s="367"/>
      <c r="U514" s="367"/>
      <c r="V514" s="367"/>
      <c r="W514" s="367"/>
      <c r="X514" s="367"/>
      <c r="Y514" s="367"/>
      <c r="Z514" s="367"/>
      <c r="AA514" s="367"/>
      <c r="AB514" s="150"/>
      <c r="AC514" s="48" t="s">
        <v>1737</v>
      </c>
      <c r="AD514" s="150" t="s">
        <v>56</v>
      </c>
      <c r="AE514" s="151"/>
      <c r="AF514" s="151"/>
      <c r="AG514" s="151"/>
      <c r="AH514" s="49">
        <v>45960</v>
      </c>
      <c r="AI514" s="266">
        <v>45901</v>
      </c>
      <c r="AJ514" s="150" t="s">
        <v>131</v>
      </c>
      <c r="AK514" s="369" t="s">
        <v>132</v>
      </c>
      <c r="AL514" s="369" t="s">
        <v>133</v>
      </c>
      <c r="AM514" s="150" t="s">
        <v>209</v>
      </c>
      <c r="AN514" s="367"/>
      <c r="AO514" s="367"/>
      <c r="AP514" s="367"/>
      <c r="AQ514" s="367"/>
      <c r="AR514" s="367"/>
      <c r="AS514" s="367"/>
      <c r="AT514" s="45">
        <v>45910</v>
      </c>
      <c r="AU514" s="45">
        <v>45874</v>
      </c>
      <c r="AV514" s="45">
        <v>45874</v>
      </c>
      <c r="AW514" s="45">
        <v>45877</v>
      </c>
      <c r="AX514" s="367"/>
      <c r="AY514" s="367"/>
      <c r="AZ514" s="45">
        <v>45958</v>
      </c>
      <c r="BA514" s="45"/>
      <c r="BB514" s="152"/>
      <c r="BC514" s="152"/>
      <c r="BD514" s="329" t="s">
        <v>816</v>
      </c>
      <c r="BE514" s="367"/>
      <c r="BF514" s="367"/>
      <c r="BG514" s="367"/>
      <c r="BH514" s="64" t="e">
        <f>#REF!</f>
        <v>#REF!</v>
      </c>
      <c r="BL514" s="54"/>
    </row>
    <row r="515" spans="1:64" ht="36" customHeight="1" x14ac:dyDescent="0.3">
      <c r="A515" s="305">
        <f t="shared" si="10"/>
        <v>510</v>
      </c>
      <c r="B515" s="54" t="s">
        <v>1738</v>
      </c>
      <c r="C515" s="367" t="s">
        <v>5</v>
      </c>
      <c r="D515" s="367" t="s">
        <v>1739</v>
      </c>
      <c r="E515" s="45">
        <v>45974</v>
      </c>
      <c r="F515" s="45">
        <v>45975</v>
      </c>
      <c r="G515" s="45"/>
      <c r="H515" s="45"/>
      <c r="I515" s="367"/>
      <c r="J515" s="54" t="s">
        <v>1619</v>
      </c>
      <c r="K515" s="48" t="s">
        <v>1740</v>
      </c>
      <c r="L515" s="367" t="s">
        <v>660</v>
      </c>
      <c r="M515" s="150" t="s">
        <v>120</v>
      </c>
      <c r="N515" s="367"/>
      <c r="O515" s="367"/>
      <c r="P515" s="311"/>
      <c r="Q515" s="367"/>
      <c r="R515" s="367"/>
      <c r="S515" s="367"/>
      <c r="T515" s="367">
        <v>55</v>
      </c>
      <c r="U515" s="367"/>
      <c r="V515" s="367"/>
      <c r="W515" s="367"/>
      <c r="X515" s="367"/>
      <c r="Y515" s="367"/>
      <c r="Z515" s="367"/>
      <c r="AA515" s="367"/>
      <c r="AB515" s="150"/>
      <c r="AC515" s="48" t="s">
        <v>1741</v>
      </c>
      <c r="AD515" s="150" t="s">
        <v>1665</v>
      </c>
      <c r="AE515" s="151"/>
      <c r="AF515" s="151"/>
      <c r="AG515" s="286">
        <v>45992</v>
      </c>
      <c r="AH515" s="49">
        <v>45960</v>
      </c>
      <c r="AI515" s="266">
        <v>45931</v>
      </c>
      <c r="AJ515" s="150" t="s">
        <v>648</v>
      </c>
      <c r="AK515" s="369" t="s">
        <v>294</v>
      </c>
      <c r="AL515" s="369" t="s">
        <v>133</v>
      </c>
      <c r="AM515" s="150" t="s">
        <v>134</v>
      </c>
      <c r="AN515" s="367"/>
      <c r="AO515" s="367"/>
      <c r="AP515" s="367"/>
      <c r="AT515" s="45">
        <v>45945</v>
      </c>
      <c r="AU515" s="45">
        <v>45912</v>
      </c>
      <c r="AV515" s="45">
        <v>45916</v>
      </c>
      <c r="AW515" s="45">
        <v>45873</v>
      </c>
      <c r="AX515" s="367"/>
      <c r="AY515" s="367"/>
      <c r="AZ515" s="367"/>
      <c r="BA515" s="367"/>
      <c r="BB515" s="152" t="s">
        <v>1742</v>
      </c>
      <c r="BC515" s="152"/>
      <c r="BD515" s="367" t="s">
        <v>1605</v>
      </c>
      <c r="BE515" s="367"/>
      <c r="BF515" s="367"/>
      <c r="BG515" s="367"/>
      <c r="BH515" s="64" t="e">
        <f>#REF!</f>
        <v>#REF!</v>
      </c>
      <c r="BL515" s="54"/>
    </row>
    <row r="516" spans="1:64" ht="36" customHeight="1" x14ac:dyDescent="0.3">
      <c r="A516" s="305">
        <f t="shared" si="10"/>
        <v>511</v>
      </c>
      <c r="B516" s="54" t="s">
        <v>1743</v>
      </c>
      <c r="C516" s="367" t="s">
        <v>5</v>
      </c>
      <c r="D516" s="367" t="s">
        <v>1739</v>
      </c>
      <c r="E516" s="45">
        <v>45974</v>
      </c>
      <c r="F516" s="45">
        <v>45989</v>
      </c>
      <c r="G516" s="45"/>
      <c r="H516" s="45"/>
      <c r="I516" s="367"/>
      <c r="J516" s="54" t="s">
        <v>1619</v>
      </c>
      <c r="K516" s="48" t="s">
        <v>1744</v>
      </c>
      <c r="L516" s="367" t="s">
        <v>660</v>
      </c>
      <c r="M516" s="150" t="s">
        <v>65</v>
      </c>
      <c r="N516" s="367"/>
      <c r="O516" s="367"/>
      <c r="P516" s="311"/>
      <c r="Q516" s="367"/>
      <c r="R516" s="367"/>
      <c r="S516" s="367"/>
      <c r="T516" s="367">
        <v>55</v>
      </c>
      <c r="U516" s="367"/>
      <c r="V516" s="367"/>
      <c r="W516" s="367"/>
      <c r="X516" s="367"/>
      <c r="Y516" s="367"/>
      <c r="Z516" s="367"/>
      <c r="AA516" s="367"/>
      <c r="AB516" s="150"/>
      <c r="AC516" s="48" t="s">
        <v>1745</v>
      </c>
      <c r="AD516" s="150" t="s">
        <v>1665</v>
      </c>
      <c r="AE516" s="296">
        <v>45961</v>
      </c>
      <c r="AF516" s="296"/>
      <c r="AG516" s="286">
        <v>45962</v>
      </c>
      <c r="AH516" s="49">
        <v>45976</v>
      </c>
      <c r="AI516" s="266">
        <v>45901</v>
      </c>
      <c r="AJ516" s="150" t="s">
        <v>648</v>
      </c>
      <c r="AK516" s="369" t="s">
        <v>294</v>
      </c>
      <c r="AL516" s="369" t="s">
        <v>133</v>
      </c>
      <c r="AM516" s="150" t="s">
        <v>134</v>
      </c>
      <c r="AN516" s="367"/>
      <c r="AO516" s="367"/>
      <c r="AP516" s="367"/>
      <c r="AT516" s="45">
        <v>45899</v>
      </c>
      <c r="AU516" s="45">
        <v>45912</v>
      </c>
      <c r="AV516" s="45">
        <v>45916</v>
      </c>
      <c r="AW516" s="45">
        <v>45873</v>
      </c>
      <c r="AX516" s="367"/>
      <c r="AY516" s="367"/>
      <c r="AZ516" s="367"/>
      <c r="BA516" s="367"/>
      <c r="BB516" s="152" t="s">
        <v>1746</v>
      </c>
      <c r="BC516" s="152"/>
      <c r="BD516" s="367" t="s">
        <v>1605</v>
      </c>
      <c r="BE516" s="367"/>
      <c r="BF516" s="367"/>
      <c r="BG516" s="367"/>
      <c r="BH516" s="64" t="e">
        <f>#REF!</f>
        <v>#REF!</v>
      </c>
      <c r="BL516" s="54"/>
    </row>
    <row r="517" spans="1:64" ht="36" customHeight="1" x14ac:dyDescent="0.3">
      <c r="A517" s="305">
        <f t="shared" si="10"/>
        <v>512</v>
      </c>
      <c r="B517" s="54" t="s">
        <v>1632</v>
      </c>
      <c r="C517" s="367" t="s">
        <v>5</v>
      </c>
      <c r="D517" s="367" t="s">
        <v>262</v>
      </c>
      <c r="E517" s="367"/>
      <c r="F517" s="367"/>
      <c r="G517" s="367"/>
      <c r="H517" s="367"/>
      <c r="I517" s="367"/>
      <c r="J517" s="54" t="s">
        <v>1609</v>
      </c>
      <c r="K517" s="48" t="s">
        <v>1747</v>
      </c>
      <c r="L517" s="367" t="s">
        <v>660</v>
      </c>
      <c r="M517" s="150" t="s">
        <v>65</v>
      </c>
      <c r="N517" s="367"/>
      <c r="O517" s="367"/>
      <c r="P517" s="367"/>
      <c r="Q517" s="367">
        <v>3</v>
      </c>
      <c r="R517" s="367"/>
      <c r="S517" s="367"/>
      <c r="T517" s="367">
        <v>13</v>
      </c>
      <c r="U517" s="367"/>
      <c r="V517" s="367"/>
      <c r="W517" s="367"/>
      <c r="X517" s="367"/>
      <c r="Y517" s="367"/>
      <c r="Z517" s="367" t="s">
        <v>127</v>
      </c>
      <c r="AA517" s="367"/>
      <c r="AB517" s="150"/>
      <c r="AC517" s="48" t="s">
        <v>1748</v>
      </c>
      <c r="AD517" s="150" t="s">
        <v>1749</v>
      </c>
      <c r="AE517" s="296"/>
      <c r="AF517" s="296"/>
      <c r="AG517" s="286">
        <v>45962</v>
      </c>
      <c r="AH517" s="49">
        <v>45945</v>
      </c>
      <c r="AI517" s="266">
        <v>45901</v>
      </c>
      <c r="AJ517" s="150" t="s">
        <v>264</v>
      </c>
      <c r="AK517" s="369"/>
      <c r="AL517" s="369"/>
      <c r="AM517" s="150"/>
      <c r="AN517" s="367"/>
      <c r="AO517" s="367"/>
      <c r="AP517" s="367"/>
      <c r="AT517" s="45"/>
      <c r="AU517" s="367"/>
      <c r="AV517" s="367"/>
      <c r="AW517" s="367"/>
      <c r="AX517" s="367"/>
      <c r="AY517" s="367"/>
      <c r="AZ517" s="367"/>
      <c r="BA517" s="367"/>
      <c r="BB517" s="152"/>
      <c r="BC517" s="152"/>
      <c r="BD517" s="367" t="s">
        <v>1605</v>
      </c>
      <c r="BE517" s="367"/>
      <c r="BF517" s="367"/>
      <c r="BG517" s="367"/>
      <c r="BH517" s="64" t="e">
        <f>#REF!</f>
        <v>#REF!</v>
      </c>
      <c r="BL517" s="54"/>
    </row>
    <row r="518" spans="1:64" ht="36" customHeight="1" x14ac:dyDescent="0.3">
      <c r="A518" s="305">
        <f t="shared" si="10"/>
        <v>513</v>
      </c>
      <c r="B518" s="54" t="s">
        <v>1750</v>
      </c>
      <c r="C518" s="367" t="s">
        <v>5</v>
      </c>
      <c r="D518" s="367" t="s">
        <v>1751</v>
      </c>
      <c r="E518" s="45">
        <v>45897</v>
      </c>
      <c r="F518" s="45">
        <v>45897</v>
      </c>
      <c r="G518" s="45"/>
      <c r="H518" s="45"/>
      <c r="I518" s="367"/>
      <c r="J518" s="54" t="s">
        <v>521</v>
      </c>
      <c r="K518" s="48"/>
      <c r="L518" s="367"/>
      <c r="M518" s="150" t="s">
        <v>120</v>
      </c>
      <c r="N518" s="367"/>
      <c r="O518" s="367"/>
      <c r="P518" s="311"/>
      <c r="Q518" s="367"/>
      <c r="R518" s="367"/>
      <c r="S518" s="367"/>
      <c r="T518" s="367"/>
      <c r="U518" s="367"/>
      <c r="V518" s="367"/>
      <c r="W518" s="367"/>
      <c r="X518" s="367" t="s">
        <v>1752</v>
      </c>
      <c r="Y518" s="367"/>
      <c r="Z518" s="367"/>
      <c r="AA518" s="367"/>
      <c r="AB518" s="150"/>
      <c r="AC518" s="48" t="s">
        <v>1753</v>
      </c>
      <c r="AD518" s="150" t="s">
        <v>55</v>
      </c>
      <c r="AE518" s="151"/>
      <c r="AF518" s="151"/>
      <c r="AG518" s="286">
        <v>45900</v>
      </c>
      <c r="AH518" s="49">
        <v>45894</v>
      </c>
      <c r="AI518" s="266">
        <v>45870</v>
      </c>
      <c r="AJ518" s="150" t="s">
        <v>131</v>
      </c>
      <c r="AK518" s="369" t="s">
        <v>161</v>
      </c>
      <c r="AL518" s="369" t="s">
        <v>175</v>
      </c>
      <c r="AM518" s="150" t="s">
        <v>209</v>
      </c>
      <c r="AN518" s="367"/>
      <c r="AO518" s="367"/>
      <c r="AP518" s="367"/>
      <c r="AT518" s="45">
        <v>45853</v>
      </c>
      <c r="AU518" s="45">
        <v>45833</v>
      </c>
      <c r="AV518" s="45">
        <v>45835</v>
      </c>
      <c r="AW518" s="45">
        <v>45821</v>
      </c>
      <c r="AX518" s="367"/>
      <c r="AY518" s="367"/>
      <c r="AZ518" s="45">
        <v>45853</v>
      </c>
      <c r="BA518" s="45"/>
      <c r="BB518" s="152" t="s">
        <v>1754</v>
      </c>
      <c r="BC518" s="152"/>
      <c r="BD518" s="367" t="s">
        <v>1605</v>
      </c>
      <c r="BE518" s="367"/>
      <c r="BF518" s="367"/>
      <c r="BG518" s="367"/>
      <c r="BH518" s="64" t="e">
        <f>#REF!</f>
        <v>#REF!</v>
      </c>
      <c r="BL518" s="54"/>
    </row>
    <row r="519" spans="1:64" ht="36" customHeight="1" x14ac:dyDescent="0.3">
      <c r="A519" s="305">
        <f t="shared" si="10"/>
        <v>514</v>
      </c>
      <c r="B519" s="54" t="s">
        <v>1755</v>
      </c>
      <c r="C519" s="367" t="s">
        <v>5</v>
      </c>
      <c r="D519" s="367" t="s">
        <v>1756</v>
      </c>
      <c r="E519" s="45">
        <v>45897</v>
      </c>
      <c r="F519" s="45">
        <v>45897</v>
      </c>
      <c r="G519" s="45"/>
      <c r="H519" s="45"/>
      <c r="I519" s="367"/>
      <c r="J519" s="54" t="s">
        <v>521</v>
      </c>
      <c r="K519" s="48"/>
      <c r="L519" s="367"/>
      <c r="M519" s="150" t="s">
        <v>120</v>
      </c>
      <c r="N519" s="367"/>
      <c r="O519" s="367"/>
      <c r="P519" s="311"/>
      <c r="Q519" s="367"/>
      <c r="R519" s="367"/>
      <c r="S519" s="367"/>
      <c r="T519" s="367"/>
      <c r="U519" s="367"/>
      <c r="V519" s="367"/>
      <c r="W519" s="367"/>
      <c r="X519" s="367" t="s">
        <v>1752</v>
      </c>
      <c r="Y519" s="367"/>
      <c r="Z519" s="367"/>
      <c r="AA519" s="367"/>
      <c r="AB519" s="150"/>
      <c r="AC519" s="48" t="s">
        <v>1757</v>
      </c>
      <c r="AD519" s="150" t="s">
        <v>55</v>
      </c>
      <c r="AE519" s="151"/>
      <c r="AF519" s="151"/>
      <c r="AG519" s="286">
        <v>45900</v>
      </c>
      <c r="AH519" s="49">
        <v>45894</v>
      </c>
      <c r="AI519" s="266">
        <v>45870</v>
      </c>
      <c r="AJ519" s="150" t="s">
        <v>131</v>
      </c>
      <c r="AK519" s="369" t="s">
        <v>161</v>
      </c>
      <c r="AL519" s="369" t="s">
        <v>175</v>
      </c>
      <c r="AM519" s="150" t="s">
        <v>209</v>
      </c>
      <c r="AN519" s="367"/>
      <c r="AO519" s="367"/>
      <c r="AP519" s="367"/>
      <c r="AT519" s="45">
        <v>45853</v>
      </c>
      <c r="AU519" s="45">
        <v>45833</v>
      </c>
      <c r="AV519" s="45">
        <v>45835</v>
      </c>
      <c r="AW519" s="45">
        <v>45821</v>
      </c>
      <c r="AX519" s="367"/>
      <c r="AY519" s="367"/>
      <c r="AZ519" s="45">
        <v>45853</v>
      </c>
      <c r="BA519" s="45"/>
      <c r="BB519" s="152" t="s">
        <v>1754</v>
      </c>
      <c r="BC519" s="152"/>
      <c r="BD519" s="367" t="s">
        <v>1605</v>
      </c>
      <c r="BE519" s="367"/>
      <c r="BF519" s="367"/>
      <c r="BG519" s="367"/>
      <c r="BH519" s="64" t="e">
        <f>#REF!</f>
        <v>#REF!</v>
      </c>
      <c r="BL519" s="54"/>
    </row>
    <row r="520" spans="1:64" ht="36" customHeight="1" x14ac:dyDescent="0.3">
      <c r="A520" s="305">
        <f t="shared" si="10"/>
        <v>515</v>
      </c>
      <c r="B520" s="54" t="s">
        <v>1758</v>
      </c>
      <c r="C520" s="367" t="s">
        <v>5</v>
      </c>
      <c r="D520" s="367" t="s">
        <v>1759</v>
      </c>
      <c r="E520" s="45">
        <v>45898</v>
      </c>
      <c r="F520" s="45">
        <v>45899</v>
      </c>
      <c r="G520" s="45"/>
      <c r="H520" s="45"/>
      <c r="I520" s="367"/>
      <c r="J520" s="54" t="s">
        <v>521</v>
      </c>
      <c r="K520" s="48"/>
      <c r="L520" s="367"/>
      <c r="M520" s="150" t="s">
        <v>120</v>
      </c>
      <c r="N520" s="367"/>
      <c r="O520" s="367"/>
      <c r="P520" s="311"/>
      <c r="Q520" s="367"/>
      <c r="R520" s="367"/>
      <c r="S520" s="367"/>
      <c r="T520" s="367"/>
      <c r="U520" s="367"/>
      <c r="V520" s="367"/>
      <c r="W520" s="367"/>
      <c r="X520" s="367" t="s">
        <v>1752</v>
      </c>
      <c r="Y520" s="367"/>
      <c r="Z520" s="367"/>
      <c r="AA520" s="367"/>
      <c r="AB520" s="150"/>
      <c r="AC520" s="48" t="s">
        <v>1760</v>
      </c>
      <c r="AD520" s="150" t="s">
        <v>55</v>
      </c>
      <c r="AE520" s="151"/>
      <c r="AF520" s="151"/>
      <c r="AG520" s="286">
        <v>45900</v>
      </c>
      <c r="AH520" s="49">
        <v>45894</v>
      </c>
      <c r="AI520" s="266">
        <v>45870</v>
      </c>
      <c r="AJ520" s="150" t="s">
        <v>131</v>
      </c>
      <c r="AK520" s="369" t="s">
        <v>161</v>
      </c>
      <c r="AL520" s="369" t="s">
        <v>175</v>
      </c>
      <c r="AM520" s="150" t="s">
        <v>209</v>
      </c>
      <c r="AN520" s="367"/>
      <c r="AO520" s="367"/>
      <c r="AP520" s="367"/>
      <c r="AT520" s="45">
        <v>45853</v>
      </c>
      <c r="AU520" s="45">
        <v>45833</v>
      </c>
      <c r="AV520" s="45">
        <v>45835</v>
      </c>
      <c r="AW520" s="45">
        <v>45821</v>
      </c>
      <c r="AX520" s="367"/>
      <c r="AY520" s="367"/>
      <c r="AZ520" s="45">
        <v>45853</v>
      </c>
      <c r="BA520" s="45"/>
      <c r="BB520" s="152" t="s">
        <v>1754</v>
      </c>
      <c r="BC520" s="152"/>
      <c r="BD520" s="367" t="s">
        <v>1605</v>
      </c>
      <c r="BE520" s="367"/>
      <c r="BF520" s="367"/>
      <c r="BG520" s="367"/>
      <c r="BH520" s="64" t="e">
        <f>#REF!</f>
        <v>#REF!</v>
      </c>
      <c r="BL520" s="54"/>
    </row>
    <row r="521" spans="1:64" ht="36" customHeight="1" x14ac:dyDescent="0.3">
      <c r="A521" s="305">
        <f t="shared" si="10"/>
        <v>516</v>
      </c>
      <c r="B521" s="54" t="s">
        <v>1761</v>
      </c>
      <c r="C521" s="367" t="s">
        <v>5</v>
      </c>
      <c r="D521" s="367" t="s">
        <v>1762</v>
      </c>
      <c r="E521" s="45">
        <v>45898</v>
      </c>
      <c r="F521" s="45">
        <v>45899</v>
      </c>
      <c r="G521" s="45"/>
      <c r="H521" s="45"/>
      <c r="I521" s="367"/>
      <c r="J521" s="54" t="s">
        <v>521</v>
      </c>
      <c r="K521" s="48"/>
      <c r="L521" s="367"/>
      <c r="M521" s="150" t="s">
        <v>120</v>
      </c>
      <c r="N521" s="367"/>
      <c r="O521" s="367"/>
      <c r="P521" s="311"/>
      <c r="Q521" s="367"/>
      <c r="R521" s="367"/>
      <c r="S521" s="367"/>
      <c r="T521" s="367"/>
      <c r="U521" s="367"/>
      <c r="V521" s="367"/>
      <c r="W521" s="367"/>
      <c r="X521" s="367" t="s">
        <v>1752</v>
      </c>
      <c r="Y521" s="367"/>
      <c r="Z521" s="367"/>
      <c r="AA521" s="367"/>
      <c r="AB521" s="150"/>
      <c r="AC521" s="48" t="s">
        <v>1763</v>
      </c>
      <c r="AD521" s="150" t="s">
        <v>55</v>
      </c>
      <c r="AE521" s="151"/>
      <c r="AF521" s="151"/>
      <c r="AG521" s="286">
        <v>45900</v>
      </c>
      <c r="AH521" s="49">
        <v>45894</v>
      </c>
      <c r="AI521" s="266">
        <v>45870</v>
      </c>
      <c r="AJ521" s="150" t="s">
        <v>131</v>
      </c>
      <c r="AK521" s="369" t="s">
        <v>161</v>
      </c>
      <c r="AL521" s="369" t="s">
        <v>175</v>
      </c>
      <c r="AM521" s="150" t="s">
        <v>209</v>
      </c>
      <c r="AN521" s="367"/>
      <c r="AO521" s="367"/>
      <c r="AP521" s="367"/>
      <c r="AT521" s="45">
        <v>45853</v>
      </c>
      <c r="AU521" s="45">
        <v>45833</v>
      </c>
      <c r="AV521" s="45">
        <v>45835</v>
      </c>
      <c r="AW521" s="45">
        <v>45821</v>
      </c>
      <c r="AX521" s="367"/>
      <c r="AY521" s="367"/>
      <c r="AZ521" s="45">
        <v>45853</v>
      </c>
      <c r="BA521" s="45"/>
      <c r="BB521" s="152" t="s">
        <v>1754</v>
      </c>
      <c r="BC521" s="152"/>
      <c r="BD521" s="367" t="s">
        <v>1605</v>
      </c>
      <c r="BE521" s="367"/>
      <c r="BF521" s="367"/>
      <c r="BG521" s="367"/>
      <c r="BH521" s="64" t="e">
        <f>#REF!</f>
        <v>#REF!</v>
      </c>
      <c r="BL521" s="54"/>
    </row>
    <row r="522" spans="1:64" ht="36" customHeight="1" x14ac:dyDescent="0.3">
      <c r="A522" s="305">
        <f t="shared" si="10"/>
        <v>517</v>
      </c>
      <c r="B522" s="54" t="s">
        <v>1764</v>
      </c>
      <c r="C522" s="367" t="s">
        <v>5</v>
      </c>
      <c r="D522" s="367" t="s">
        <v>1762</v>
      </c>
      <c r="E522" s="45">
        <v>45898</v>
      </c>
      <c r="F522" s="45">
        <v>45899</v>
      </c>
      <c r="G522" s="45">
        <v>46115</v>
      </c>
      <c r="H522" s="45"/>
      <c r="I522" s="367"/>
      <c r="J522" s="54" t="s">
        <v>521</v>
      </c>
      <c r="K522" s="48"/>
      <c r="L522" s="367"/>
      <c r="M522" s="150" t="s">
        <v>120</v>
      </c>
      <c r="N522" s="367"/>
      <c r="O522" s="367"/>
      <c r="P522" s="311"/>
      <c r="Q522" s="367"/>
      <c r="R522" s="367"/>
      <c r="S522" s="367"/>
      <c r="T522" s="367"/>
      <c r="U522" s="367"/>
      <c r="V522" s="367"/>
      <c r="W522" s="367"/>
      <c r="X522" s="367" t="s">
        <v>1752</v>
      </c>
      <c r="Y522" s="367"/>
      <c r="Z522" s="367"/>
      <c r="AA522" s="367"/>
      <c r="AB522" s="150"/>
      <c r="AC522" s="48" t="s">
        <v>1765</v>
      </c>
      <c r="AD522" s="150" t="s">
        <v>55</v>
      </c>
      <c r="AE522" s="151"/>
      <c r="AF522" s="151"/>
      <c r="AG522" s="286">
        <v>45900</v>
      </c>
      <c r="AH522" s="49">
        <v>45894</v>
      </c>
      <c r="AI522" s="266">
        <v>45870</v>
      </c>
      <c r="AJ522" s="150" t="s">
        <v>131</v>
      </c>
      <c r="AK522" s="369" t="s">
        <v>161</v>
      </c>
      <c r="AL522" s="369" t="s">
        <v>175</v>
      </c>
      <c r="AM522" s="150" t="s">
        <v>209</v>
      </c>
      <c r="AN522" s="367"/>
      <c r="AO522" s="367"/>
      <c r="AP522" s="367"/>
      <c r="AT522" s="45">
        <v>45853</v>
      </c>
      <c r="AU522" s="45">
        <v>45833</v>
      </c>
      <c r="AV522" s="45">
        <v>45835</v>
      </c>
      <c r="AW522" s="45">
        <v>45821</v>
      </c>
      <c r="AX522" s="367"/>
      <c r="AY522" s="367"/>
      <c r="AZ522" s="45">
        <v>45853</v>
      </c>
      <c r="BA522" s="45"/>
      <c r="BB522" s="152" t="s">
        <v>1754</v>
      </c>
      <c r="BC522" s="152"/>
      <c r="BD522" s="367" t="s">
        <v>1605</v>
      </c>
      <c r="BE522" s="367"/>
      <c r="BF522" s="367"/>
      <c r="BG522" s="367"/>
      <c r="BH522" s="64" t="e">
        <f>#REF!</f>
        <v>#REF!</v>
      </c>
      <c r="BL522" s="54"/>
    </row>
    <row r="523" spans="1:64" ht="36" customHeight="1" x14ac:dyDescent="0.3">
      <c r="A523" s="305">
        <f t="shared" si="10"/>
        <v>518</v>
      </c>
      <c r="B523" s="54" t="s">
        <v>1766</v>
      </c>
      <c r="C523" s="367" t="s">
        <v>5</v>
      </c>
      <c r="D523" s="367" t="s">
        <v>1767</v>
      </c>
      <c r="E523" s="45">
        <v>45898</v>
      </c>
      <c r="F523" s="45">
        <v>45899</v>
      </c>
      <c r="G523" s="45"/>
      <c r="H523" s="45"/>
      <c r="I523" s="367"/>
      <c r="J523" s="54" t="s">
        <v>521</v>
      </c>
      <c r="K523" s="48"/>
      <c r="L523" s="367"/>
      <c r="M523" s="150" t="s">
        <v>120</v>
      </c>
      <c r="N523" s="367"/>
      <c r="O523" s="367"/>
      <c r="P523" s="311"/>
      <c r="Q523" s="367"/>
      <c r="R523" s="367"/>
      <c r="S523" s="367"/>
      <c r="T523" s="367"/>
      <c r="U523" s="367"/>
      <c r="V523" s="367"/>
      <c r="W523" s="367"/>
      <c r="X523" s="367" t="s">
        <v>1752</v>
      </c>
      <c r="Y523" s="367"/>
      <c r="Z523" s="367"/>
      <c r="AA523" s="367"/>
      <c r="AB523" s="150"/>
      <c r="AC523" s="48" t="s">
        <v>1768</v>
      </c>
      <c r="AD523" s="150" t="s">
        <v>55</v>
      </c>
      <c r="AE523" s="151"/>
      <c r="AF523" s="151"/>
      <c r="AG523" s="286">
        <v>45900</v>
      </c>
      <c r="AH523" s="49">
        <v>45894</v>
      </c>
      <c r="AI523" s="266">
        <v>45870</v>
      </c>
      <c r="AJ523" s="150" t="s">
        <v>131</v>
      </c>
      <c r="AK523" s="369" t="s">
        <v>161</v>
      </c>
      <c r="AL523" s="369" t="s">
        <v>175</v>
      </c>
      <c r="AM523" s="150" t="s">
        <v>209</v>
      </c>
      <c r="AN523" s="367"/>
      <c r="AO523" s="367"/>
      <c r="AP523" s="367"/>
      <c r="AT523" s="45">
        <v>45853</v>
      </c>
      <c r="AU523" s="45">
        <v>45833</v>
      </c>
      <c r="AV523" s="45">
        <v>45835</v>
      </c>
      <c r="AW523" s="45">
        <v>45821</v>
      </c>
      <c r="AX523" s="367"/>
      <c r="AY523" s="367"/>
      <c r="AZ523" s="45">
        <v>45853</v>
      </c>
      <c r="BA523" s="45"/>
      <c r="BB523" s="152" t="s">
        <v>1754</v>
      </c>
      <c r="BC523" s="152"/>
      <c r="BD523" s="367" t="s">
        <v>1605</v>
      </c>
      <c r="BE523" s="367"/>
      <c r="BF523" s="367"/>
      <c r="BG523" s="367"/>
      <c r="BH523" s="64" t="e">
        <f>#REF!</f>
        <v>#REF!</v>
      </c>
      <c r="BL523" s="54"/>
    </row>
    <row r="524" spans="1:64" ht="36" customHeight="1" x14ac:dyDescent="0.3">
      <c r="A524" s="305">
        <f t="shared" si="10"/>
        <v>519</v>
      </c>
      <c r="B524" s="54" t="s">
        <v>1769</v>
      </c>
      <c r="C524" s="367" t="s">
        <v>5</v>
      </c>
      <c r="D524" s="367" t="s">
        <v>1767</v>
      </c>
      <c r="E524" s="45">
        <v>45913</v>
      </c>
      <c r="F524" s="45">
        <v>45913</v>
      </c>
      <c r="G524" s="45"/>
      <c r="H524" s="45"/>
      <c r="I524" s="367"/>
      <c r="J524" s="54" t="s">
        <v>521</v>
      </c>
      <c r="K524" s="48"/>
      <c r="L524" s="367"/>
      <c r="M524" s="150" t="s">
        <v>120</v>
      </c>
      <c r="N524" s="367"/>
      <c r="O524" s="367"/>
      <c r="P524" s="311"/>
      <c r="Q524" s="367"/>
      <c r="R524" s="367"/>
      <c r="S524" s="367"/>
      <c r="T524" s="367"/>
      <c r="U524" s="367"/>
      <c r="V524" s="367"/>
      <c r="W524" s="367"/>
      <c r="X524" s="367" t="s">
        <v>1752</v>
      </c>
      <c r="Y524" s="367"/>
      <c r="Z524" s="367"/>
      <c r="AA524" s="367"/>
      <c r="AB524" s="150"/>
      <c r="AC524" s="48" t="s">
        <v>1770</v>
      </c>
      <c r="AD524" s="150" t="s">
        <v>55</v>
      </c>
      <c r="AE524" s="151"/>
      <c r="AF524" s="151"/>
      <c r="AG524" s="286">
        <v>45930</v>
      </c>
      <c r="AH524" s="49">
        <v>45925</v>
      </c>
      <c r="AI524" s="266">
        <v>45901</v>
      </c>
      <c r="AJ524" s="150" t="s">
        <v>131</v>
      </c>
      <c r="AK524" s="369" t="s">
        <v>161</v>
      </c>
      <c r="AL524" s="369" t="s">
        <v>175</v>
      </c>
      <c r="AM524" s="150" t="s">
        <v>209</v>
      </c>
      <c r="AN524" s="367"/>
      <c r="AO524" s="367"/>
      <c r="AP524" s="367"/>
      <c r="AT524" s="45">
        <v>45853</v>
      </c>
      <c r="AU524" s="45">
        <v>45833</v>
      </c>
      <c r="AV524" s="45">
        <v>45835</v>
      </c>
      <c r="AW524" s="45">
        <v>45821</v>
      </c>
      <c r="AX524" s="367"/>
      <c r="AY524" s="367"/>
      <c r="AZ524" s="45">
        <v>45853</v>
      </c>
      <c r="BA524" s="45"/>
      <c r="BB524" s="152" t="s">
        <v>1754</v>
      </c>
      <c r="BC524" s="152"/>
      <c r="BD524" s="367" t="s">
        <v>1605</v>
      </c>
      <c r="BE524" s="367"/>
      <c r="BF524" s="367"/>
      <c r="BG524" s="367"/>
      <c r="BH524" s="64" t="e">
        <f>#REF!</f>
        <v>#REF!</v>
      </c>
      <c r="BL524" s="54"/>
    </row>
    <row r="525" spans="1:64" ht="36" customHeight="1" x14ac:dyDescent="0.3">
      <c r="A525" s="305">
        <f t="shared" si="10"/>
        <v>520</v>
      </c>
      <c r="B525" s="54" t="s">
        <v>1771</v>
      </c>
      <c r="C525" s="367" t="s">
        <v>5</v>
      </c>
      <c r="D525" s="367" t="s">
        <v>1772</v>
      </c>
      <c r="E525" s="45">
        <v>45913</v>
      </c>
      <c r="F525" s="45">
        <v>45913</v>
      </c>
      <c r="G525" s="45"/>
      <c r="H525" s="45"/>
      <c r="I525" s="367"/>
      <c r="J525" s="54" t="s">
        <v>521</v>
      </c>
      <c r="K525" s="48"/>
      <c r="L525" s="367"/>
      <c r="M525" s="150" t="s">
        <v>120</v>
      </c>
      <c r="N525" s="367"/>
      <c r="O525" s="367"/>
      <c r="P525" s="311"/>
      <c r="Q525" s="367"/>
      <c r="R525" s="367"/>
      <c r="S525" s="367"/>
      <c r="T525" s="367"/>
      <c r="U525" s="367"/>
      <c r="V525" s="367"/>
      <c r="W525" s="367"/>
      <c r="X525" s="367" t="s">
        <v>1752</v>
      </c>
      <c r="Y525" s="367"/>
      <c r="Z525" s="367"/>
      <c r="AA525" s="367"/>
      <c r="AB525" s="150"/>
      <c r="AC525" s="48" t="s">
        <v>1773</v>
      </c>
      <c r="AD525" s="150" t="s">
        <v>55</v>
      </c>
      <c r="AE525" s="151"/>
      <c r="AF525" s="151"/>
      <c r="AG525" s="286">
        <v>45930</v>
      </c>
      <c r="AH525" s="49">
        <v>45925</v>
      </c>
      <c r="AI525" s="266">
        <v>45901</v>
      </c>
      <c r="AJ525" s="150" t="s">
        <v>131</v>
      </c>
      <c r="AK525" s="369" t="s">
        <v>161</v>
      </c>
      <c r="AL525" s="369" t="s">
        <v>175</v>
      </c>
      <c r="AM525" s="150" t="s">
        <v>209</v>
      </c>
      <c r="AN525" s="367"/>
      <c r="AO525" s="367"/>
      <c r="AP525" s="367"/>
      <c r="AT525" s="45">
        <v>45853</v>
      </c>
      <c r="AU525" s="45">
        <v>45833</v>
      </c>
      <c r="AV525" s="45">
        <v>45835</v>
      </c>
      <c r="AW525" s="45">
        <v>45821</v>
      </c>
      <c r="AX525" s="367"/>
      <c r="AY525" s="367"/>
      <c r="AZ525" s="45">
        <v>45853</v>
      </c>
      <c r="BA525" s="45"/>
      <c r="BB525" s="152" t="s">
        <v>1754</v>
      </c>
      <c r="BC525" s="152"/>
      <c r="BD525" s="367" t="s">
        <v>1605</v>
      </c>
      <c r="BE525" s="367"/>
      <c r="BF525" s="367"/>
      <c r="BG525" s="367"/>
      <c r="BH525" s="64" t="e">
        <f>#REF!</f>
        <v>#REF!</v>
      </c>
      <c r="BL525" s="54"/>
    </row>
    <row r="526" spans="1:64" ht="36" customHeight="1" x14ac:dyDescent="0.3">
      <c r="A526" s="305">
        <f t="shared" si="10"/>
        <v>521</v>
      </c>
      <c r="B526" s="54" t="s">
        <v>1774</v>
      </c>
      <c r="C526" s="367" t="s">
        <v>5</v>
      </c>
      <c r="D526" s="367" t="s">
        <v>1772</v>
      </c>
      <c r="E526" s="45">
        <v>45899</v>
      </c>
      <c r="F526" s="45">
        <v>45913</v>
      </c>
      <c r="G526" s="45"/>
      <c r="H526" s="45"/>
      <c r="I526" s="367"/>
      <c r="J526" s="54" t="s">
        <v>521</v>
      </c>
      <c r="K526" s="48"/>
      <c r="L526" s="367"/>
      <c r="M526" s="150" t="s">
        <v>120</v>
      </c>
      <c r="N526" s="367"/>
      <c r="O526" s="367"/>
      <c r="P526" s="311"/>
      <c r="Q526" s="367"/>
      <c r="R526" s="367"/>
      <c r="S526" s="367"/>
      <c r="T526" s="367"/>
      <c r="U526" s="367"/>
      <c r="V526" s="367"/>
      <c r="W526" s="367"/>
      <c r="X526" s="367" t="s">
        <v>1752</v>
      </c>
      <c r="Y526" s="367"/>
      <c r="Z526" s="367"/>
      <c r="AA526" s="367"/>
      <c r="AB526" s="150"/>
      <c r="AC526" s="48" t="s">
        <v>1775</v>
      </c>
      <c r="AD526" s="150" t="s">
        <v>55</v>
      </c>
      <c r="AE526" s="151"/>
      <c r="AF526" s="151"/>
      <c r="AG526" s="286">
        <v>45930</v>
      </c>
      <c r="AH526" s="49">
        <v>45925</v>
      </c>
      <c r="AI526" s="266">
        <v>45901</v>
      </c>
      <c r="AJ526" s="150" t="s">
        <v>131</v>
      </c>
      <c r="AK526" s="369" t="s">
        <v>161</v>
      </c>
      <c r="AL526" s="369" t="s">
        <v>175</v>
      </c>
      <c r="AM526" s="150" t="s">
        <v>209</v>
      </c>
      <c r="AN526" s="367"/>
      <c r="AO526" s="367"/>
      <c r="AP526" s="367"/>
      <c r="AT526" s="45">
        <v>45853</v>
      </c>
      <c r="AU526" s="45">
        <v>45833</v>
      </c>
      <c r="AV526" s="45">
        <v>45835</v>
      </c>
      <c r="AW526" s="45">
        <v>45821</v>
      </c>
      <c r="AX526" s="367"/>
      <c r="AY526" s="367"/>
      <c r="AZ526" s="45">
        <v>45853</v>
      </c>
      <c r="BA526" s="45"/>
      <c r="BB526" s="152" t="s">
        <v>1754</v>
      </c>
      <c r="BC526" s="152"/>
      <c r="BD526" s="367" t="s">
        <v>1605</v>
      </c>
      <c r="BE526" s="367"/>
      <c r="BF526" s="367"/>
      <c r="BG526" s="367"/>
      <c r="BH526" s="64" t="e">
        <f>#REF!</f>
        <v>#REF!</v>
      </c>
      <c r="BL526" s="54"/>
    </row>
    <row r="527" spans="1:64" ht="36" customHeight="1" x14ac:dyDescent="0.3">
      <c r="A527" s="305">
        <f t="shared" si="10"/>
        <v>522</v>
      </c>
      <c r="B527" s="54" t="s">
        <v>1776</v>
      </c>
      <c r="C527" s="367" t="s">
        <v>5</v>
      </c>
      <c r="D527" s="367" t="s">
        <v>1777</v>
      </c>
      <c r="E527" s="45">
        <v>45899</v>
      </c>
      <c r="F527" s="45">
        <v>45913</v>
      </c>
      <c r="G527" s="45"/>
      <c r="H527" s="45"/>
      <c r="I527" s="367"/>
      <c r="J527" s="54" t="s">
        <v>521</v>
      </c>
      <c r="K527" s="48"/>
      <c r="L527" s="367"/>
      <c r="M527" s="150" t="s">
        <v>120</v>
      </c>
      <c r="N527" s="367"/>
      <c r="O527" s="367"/>
      <c r="P527" s="311"/>
      <c r="Q527" s="367"/>
      <c r="R527" s="367"/>
      <c r="S527" s="367"/>
      <c r="T527" s="367"/>
      <c r="U527" s="367"/>
      <c r="V527" s="367"/>
      <c r="W527" s="367"/>
      <c r="X527" s="367" t="s">
        <v>1752</v>
      </c>
      <c r="Y527" s="367"/>
      <c r="Z527" s="367"/>
      <c r="AA527" s="367"/>
      <c r="AB527" s="150"/>
      <c r="AC527" s="48" t="s">
        <v>1778</v>
      </c>
      <c r="AD527" s="150" t="s">
        <v>55</v>
      </c>
      <c r="AE527" s="151"/>
      <c r="AF527" s="151"/>
      <c r="AG527" s="286">
        <v>45930</v>
      </c>
      <c r="AH527" s="49">
        <v>45925</v>
      </c>
      <c r="AI527" s="266">
        <v>45901</v>
      </c>
      <c r="AJ527" s="150" t="s">
        <v>131</v>
      </c>
      <c r="AK527" s="369" t="s">
        <v>161</v>
      </c>
      <c r="AL527" s="369" t="s">
        <v>175</v>
      </c>
      <c r="AM527" s="150" t="s">
        <v>209</v>
      </c>
      <c r="AN527" s="367"/>
      <c r="AO527" s="367"/>
      <c r="AP527" s="367"/>
      <c r="AT527" s="45">
        <v>45853</v>
      </c>
      <c r="AU527" s="45">
        <v>45833</v>
      </c>
      <c r="AV527" s="45">
        <v>45835</v>
      </c>
      <c r="AW527" s="45">
        <v>45821</v>
      </c>
      <c r="AX527" s="367"/>
      <c r="AY527" s="367"/>
      <c r="AZ527" s="45">
        <v>45853</v>
      </c>
      <c r="BA527" s="45"/>
      <c r="BB527" s="152" t="s">
        <v>1754</v>
      </c>
      <c r="BC527" s="152"/>
      <c r="BD527" s="367" t="s">
        <v>1605</v>
      </c>
      <c r="BE527" s="367"/>
      <c r="BF527" s="367"/>
      <c r="BG527" s="367"/>
      <c r="BH527" s="64" t="e">
        <f>#REF!</f>
        <v>#REF!</v>
      </c>
      <c r="BL527" s="54"/>
    </row>
    <row r="528" spans="1:64" ht="36" customHeight="1" x14ac:dyDescent="0.3">
      <c r="A528" s="305">
        <f t="shared" si="10"/>
        <v>523</v>
      </c>
      <c r="B528" s="54" t="s">
        <v>1779</v>
      </c>
      <c r="C528" s="367" t="s">
        <v>5</v>
      </c>
      <c r="D528" s="367" t="s">
        <v>1777</v>
      </c>
      <c r="E528" s="45">
        <v>45969</v>
      </c>
      <c r="F528" s="45">
        <v>45975</v>
      </c>
      <c r="G528" s="45"/>
      <c r="H528" s="45"/>
      <c r="I528" s="367"/>
      <c r="J528" s="54" t="s">
        <v>521</v>
      </c>
      <c r="K528" s="48"/>
      <c r="L528" s="367"/>
      <c r="M528" s="150" t="s">
        <v>120</v>
      </c>
      <c r="N528" s="367"/>
      <c r="O528" s="367"/>
      <c r="P528" s="311"/>
      <c r="Q528" s="367"/>
      <c r="R528" s="367"/>
      <c r="S528" s="367"/>
      <c r="T528" s="367"/>
      <c r="U528" s="367"/>
      <c r="V528" s="367"/>
      <c r="W528" s="367"/>
      <c r="X528" s="367" t="s">
        <v>1752</v>
      </c>
      <c r="Y528" s="367"/>
      <c r="Z528" s="367"/>
      <c r="AA528" s="367"/>
      <c r="AB528" s="150"/>
      <c r="AC528" s="48" t="s">
        <v>1780</v>
      </c>
      <c r="AD528" s="150" t="s">
        <v>55</v>
      </c>
      <c r="AE528" s="151"/>
      <c r="AF528" s="151"/>
      <c r="AG528" s="286">
        <v>45961</v>
      </c>
      <c r="AH528" s="49">
        <v>45925</v>
      </c>
      <c r="AI528" s="266">
        <v>45901</v>
      </c>
      <c r="AJ528" s="150" t="s">
        <v>131</v>
      </c>
      <c r="AK528" s="369" t="s">
        <v>161</v>
      </c>
      <c r="AL528" s="369" t="s">
        <v>175</v>
      </c>
      <c r="AM528" s="150" t="s">
        <v>209</v>
      </c>
      <c r="AN528" s="367"/>
      <c r="AO528" s="367"/>
      <c r="AP528" s="45"/>
      <c r="AT528" s="45">
        <v>45894</v>
      </c>
      <c r="AU528" s="45">
        <v>45868</v>
      </c>
      <c r="AV528" s="45">
        <v>45876</v>
      </c>
      <c r="AW528" s="45">
        <v>45876</v>
      </c>
      <c r="AX528" s="367"/>
      <c r="AY528" s="367"/>
      <c r="AZ528" s="45">
        <v>45897</v>
      </c>
      <c r="BA528" s="45"/>
      <c r="BB528" s="152" t="s">
        <v>1781</v>
      </c>
      <c r="BC528" s="152"/>
      <c r="BD528" s="367" t="s">
        <v>1605</v>
      </c>
      <c r="BE528" s="367"/>
      <c r="BF528" s="367"/>
      <c r="BG528" s="367"/>
      <c r="BH528" s="64" t="e">
        <f>#REF!</f>
        <v>#REF!</v>
      </c>
      <c r="BL528" s="54"/>
    </row>
    <row r="529" spans="1:64" ht="36" customHeight="1" x14ac:dyDescent="0.3">
      <c r="A529" s="305">
        <f t="shared" si="10"/>
        <v>524</v>
      </c>
      <c r="B529" s="54" t="s">
        <v>1782</v>
      </c>
      <c r="C529" s="367" t="s">
        <v>5</v>
      </c>
      <c r="D529" s="367" t="s">
        <v>1777</v>
      </c>
      <c r="E529" s="45">
        <v>45969</v>
      </c>
      <c r="F529" s="45">
        <v>45982</v>
      </c>
      <c r="G529" s="45"/>
      <c r="H529" s="45"/>
      <c r="I529" s="367"/>
      <c r="J529" s="54" t="s">
        <v>521</v>
      </c>
      <c r="K529" s="48"/>
      <c r="L529" s="367"/>
      <c r="M529" s="150" t="s">
        <v>120</v>
      </c>
      <c r="N529" s="367"/>
      <c r="O529" s="367"/>
      <c r="P529" s="311"/>
      <c r="Q529" s="367"/>
      <c r="R529" s="367"/>
      <c r="S529" s="367"/>
      <c r="T529" s="367"/>
      <c r="U529" s="367"/>
      <c r="V529" s="367"/>
      <c r="W529" s="367"/>
      <c r="X529" s="367" t="s">
        <v>1752</v>
      </c>
      <c r="Y529" s="367"/>
      <c r="Z529" s="367"/>
      <c r="AA529" s="367"/>
      <c r="AB529" s="150"/>
      <c r="AC529" s="48" t="s">
        <v>1783</v>
      </c>
      <c r="AD529" s="150" t="s">
        <v>55</v>
      </c>
      <c r="AE529" s="151"/>
      <c r="AF529" s="151"/>
      <c r="AG529" s="286">
        <v>45961</v>
      </c>
      <c r="AH529" s="49">
        <v>45925</v>
      </c>
      <c r="AI529" s="266">
        <v>45901</v>
      </c>
      <c r="AJ529" s="150" t="s">
        <v>131</v>
      </c>
      <c r="AK529" s="369" t="s">
        <v>161</v>
      </c>
      <c r="AL529" s="369" t="s">
        <v>175</v>
      </c>
      <c r="AM529" s="150" t="s">
        <v>209</v>
      </c>
      <c r="AN529" s="367"/>
      <c r="AO529" s="367"/>
      <c r="AP529" s="45"/>
      <c r="AT529" s="45">
        <v>45894</v>
      </c>
      <c r="AU529" s="45">
        <v>45868</v>
      </c>
      <c r="AV529" s="45">
        <v>45876</v>
      </c>
      <c r="AW529" s="45">
        <v>45876</v>
      </c>
      <c r="AX529" s="367"/>
      <c r="AY529" s="367"/>
      <c r="AZ529" s="45">
        <v>45897</v>
      </c>
      <c r="BA529" s="45"/>
      <c r="BB529" s="152" t="s">
        <v>1781</v>
      </c>
      <c r="BC529" s="152"/>
      <c r="BD529" s="367" t="s">
        <v>1605</v>
      </c>
      <c r="BE529" s="367"/>
      <c r="BF529" s="367"/>
      <c r="BG529" s="367"/>
      <c r="BH529" s="64" t="e">
        <f>#REF!</f>
        <v>#REF!</v>
      </c>
      <c r="BL529" s="54"/>
    </row>
    <row r="530" spans="1:64" ht="36" customHeight="1" x14ac:dyDescent="0.3">
      <c r="A530" s="305">
        <f t="shared" si="10"/>
        <v>525</v>
      </c>
      <c r="B530" s="54" t="s">
        <v>1784</v>
      </c>
      <c r="C530" s="367" t="s">
        <v>5</v>
      </c>
      <c r="D530" s="367" t="s">
        <v>1785</v>
      </c>
      <c r="E530" s="45">
        <v>45969</v>
      </c>
      <c r="F530" s="45">
        <v>45975</v>
      </c>
      <c r="G530" s="45"/>
      <c r="H530" s="45"/>
      <c r="I530" s="367"/>
      <c r="J530" s="54" t="s">
        <v>521</v>
      </c>
      <c r="K530" s="48"/>
      <c r="L530" s="367"/>
      <c r="M530" s="150" t="s">
        <v>120</v>
      </c>
      <c r="N530" s="367"/>
      <c r="O530" s="367"/>
      <c r="P530" s="311"/>
      <c r="Q530" s="367"/>
      <c r="R530" s="367"/>
      <c r="S530" s="367"/>
      <c r="T530" s="367"/>
      <c r="U530" s="367"/>
      <c r="V530" s="367"/>
      <c r="W530" s="367"/>
      <c r="X530" s="367" t="s">
        <v>1752</v>
      </c>
      <c r="Y530" s="367"/>
      <c r="Z530" s="367"/>
      <c r="AA530" s="367"/>
      <c r="AB530" s="150"/>
      <c r="AC530" s="48" t="s">
        <v>1786</v>
      </c>
      <c r="AD530" s="150" t="s">
        <v>55</v>
      </c>
      <c r="AE530" s="151"/>
      <c r="AF530" s="151"/>
      <c r="AG530" s="286">
        <v>45961</v>
      </c>
      <c r="AH530" s="49">
        <v>45925</v>
      </c>
      <c r="AI530" s="266">
        <v>45901</v>
      </c>
      <c r="AJ530" s="150" t="s">
        <v>131</v>
      </c>
      <c r="AK530" s="369" t="s">
        <v>161</v>
      </c>
      <c r="AL530" s="369" t="s">
        <v>175</v>
      </c>
      <c r="AM530" s="150" t="s">
        <v>209</v>
      </c>
      <c r="AN530" s="367"/>
      <c r="AO530" s="367"/>
      <c r="AP530" s="45"/>
      <c r="AT530" s="45">
        <v>45894</v>
      </c>
      <c r="AU530" s="45">
        <v>45868</v>
      </c>
      <c r="AV530" s="45">
        <v>45876</v>
      </c>
      <c r="AW530" s="45">
        <v>45876</v>
      </c>
      <c r="AX530" s="367"/>
      <c r="AY530" s="367"/>
      <c r="AZ530" s="45">
        <v>45897</v>
      </c>
      <c r="BA530" s="45"/>
      <c r="BB530" s="152" t="s">
        <v>1781</v>
      </c>
      <c r="BC530" s="152"/>
      <c r="BD530" s="367" t="s">
        <v>1605</v>
      </c>
      <c r="BE530" s="367"/>
      <c r="BF530" s="367"/>
      <c r="BG530" s="367"/>
      <c r="BH530" s="64" t="e">
        <f>#REF!</f>
        <v>#REF!</v>
      </c>
      <c r="BL530" s="54"/>
    </row>
    <row r="531" spans="1:64" ht="36" customHeight="1" x14ac:dyDescent="0.3">
      <c r="A531" s="305">
        <f t="shared" si="10"/>
        <v>526</v>
      </c>
      <c r="B531" s="54" t="s">
        <v>1787</v>
      </c>
      <c r="C531" s="367" t="s">
        <v>5</v>
      </c>
      <c r="D531" s="367" t="s">
        <v>1785</v>
      </c>
      <c r="E531" s="45">
        <v>45969</v>
      </c>
      <c r="F531" s="45">
        <v>45975</v>
      </c>
      <c r="G531" s="45"/>
      <c r="H531" s="45"/>
      <c r="I531" s="367"/>
      <c r="J531" s="54" t="s">
        <v>521</v>
      </c>
      <c r="K531" s="48"/>
      <c r="L531" s="367"/>
      <c r="M531" s="150" t="s">
        <v>120</v>
      </c>
      <c r="N531" s="367"/>
      <c r="O531" s="367"/>
      <c r="P531" s="311"/>
      <c r="Q531" s="367"/>
      <c r="R531" s="367"/>
      <c r="S531" s="367"/>
      <c r="T531" s="367"/>
      <c r="U531" s="367"/>
      <c r="V531" s="367"/>
      <c r="W531" s="367"/>
      <c r="X531" s="367" t="s">
        <v>1752</v>
      </c>
      <c r="Y531" s="367"/>
      <c r="Z531" s="367"/>
      <c r="AA531" s="367"/>
      <c r="AB531" s="150"/>
      <c r="AC531" s="48" t="s">
        <v>1788</v>
      </c>
      <c r="AD531" s="150" t="s">
        <v>55</v>
      </c>
      <c r="AE531" s="296"/>
      <c r="AF531" s="296"/>
      <c r="AG531" s="286">
        <v>45991</v>
      </c>
      <c r="AH531" s="49">
        <v>45986</v>
      </c>
      <c r="AI531" s="266">
        <v>45931</v>
      </c>
      <c r="AJ531" s="150" t="s">
        <v>131</v>
      </c>
      <c r="AK531" s="369" t="s">
        <v>161</v>
      </c>
      <c r="AL531" s="369" t="s">
        <v>175</v>
      </c>
      <c r="AM531" s="150" t="s">
        <v>209</v>
      </c>
      <c r="AN531" s="367"/>
      <c r="AO531" s="367"/>
      <c r="AP531" s="367"/>
      <c r="AT531" s="45">
        <v>45894</v>
      </c>
      <c r="AU531" s="45">
        <v>45868</v>
      </c>
      <c r="AV531" s="45">
        <v>45876</v>
      </c>
      <c r="AW531" s="45">
        <v>45876</v>
      </c>
      <c r="AX531" s="367"/>
      <c r="AY531" s="367"/>
      <c r="AZ531" s="45">
        <v>45897</v>
      </c>
      <c r="BA531" s="45"/>
      <c r="BB531" s="152" t="s">
        <v>1781</v>
      </c>
      <c r="BC531" s="152"/>
      <c r="BD531" s="367" t="s">
        <v>1605</v>
      </c>
      <c r="BE531" s="367"/>
      <c r="BF531" s="367"/>
      <c r="BG531" s="367"/>
      <c r="BH531" s="64" t="e">
        <f>#REF!</f>
        <v>#REF!</v>
      </c>
      <c r="BL531" s="54"/>
    </row>
    <row r="532" spans="1:64" ht="36" customHeight="1" x14ac:dyDescent="0.3">
      <c r="A532" s="305">
        <f t="shared" si="10"/>
        <v>527</v>
      </c>
      <c r="B532" s="54" t="s">
        <v>1789</v>
      </c>
      <c r="C532" s="367" t="s">
        <v>5</v>
      </c>
      <c r="D532" s="367" t="s">
        <v>1790</v>
      </c>
      <c r="E532" s="45">
        <v>45983</v>
      </c>
      <c r="F532" s="45">
        <v>45988</v>
      </c>
      <c r="G532" s="45"/>
      <c r="H532" s="45"/>
      <c r="I532" s="367"/>
      <c r="J532" s="54" t="s">
        <v>521</v>
      </c>
      <c r="K532" s="48"/>
      <c r="L532" s="367"/>
      <c r="M532" s="150" t="s">
        <v>120</v>
      </c>
      <c r="N532" s="367"/>
      <c r="O532" s="367"/>
      <c r="P532" s="311"/>
      <c r="Q532" s="367"/>
      <c r="R532" s="367"/>
      <c r="S532" s="367"/>
      <c r="T532" s="367"/>
      <c r="U532" s="367"/>
      <c r="V532" s="367"/>
      <c r="W532" s="367"/>
      <c r="X532" s="367" t="s">
        <v>1752</v>
      </c>
      <c r="Y532" s="367"/>
      <c r="Z532" s="367"/>
      <c r="AA532" s="367"/>
      <c r="AB532" s="150"/>
      <c r="AC532" s="48" t="s">
        <v>1791</v>
      </c>
      <c r="AD532" s="150" t="s">
        <v>55</v>
      </c>
      <c r="AE532" s="296"/>
      <c r="AF532" s="296"/>
      <c r="AG532" s="286">
        <v>45991</v>
      </c>
      <c r="AH532" s="49">
        <v>45986</v>
      </c>
      <c r="AI532" s="266">
        <v>45931</v>
      </c>
      <c r="AJ532" s="150" t="s">
        <v>131</v>
      </c>
      <c r="AK532" s="369" t="s">
        <v>161</v>
      </c>
      <c r="AL532" s="369" t="s">
        <v>175</v>
      </c>
      <c r="AM532" s="150" t="s">
        <v>209</v>
      </c>
      <c r="AN532" s="367"/>
      <c r="AO532" s="367"/>
      <c r="AP532" s="367"/>
      <c r="AT532" s="45">
        <v>45894</v>
      </c>
      <c r="AU532" s="45">
        <v>45868</v>
      </c>
      <c r="AV532" s="45">
        <v>45876</v>
      </c>
      <c r="AW532" s="45">
        <v>45876</v>
      </c>
      <c r="AX532" s="367"/>
      <c r="AY532" s="367"/>
      <c r="AZ532" s="45">
        <v>45897</v>
      </c>
      <c r="BA532" s="45"/>
      <c r="BB532" s="152" t="s">
        <v>1781</v>
      </c>
      <c r="BC532" s="152"/>
      <c r="BD532" s="367" t="s">
        <v>1605</v>
      </c>
      <c r="BE532" s="367"/>
      <c r="BF532" s="367"/>
      <c r="BG532" s="367"/>
      <c r="BH532" s="64" t="e">
        <f>#REF!</f>
        <v>#REF!</v>
      </c>
      <c r="BL532" s="54"/>
    </row>
    <row r="533" spans="1:64" ht="36" customHeight="1" x14ac:dyDescent="0.3">
      <c r="A533" s="305">
        <f t="shared" si="10"/>
        <v>528</v>
      </c>
      <c r="B533" s="54" t="s">
        <v>1792</v>
      </c>
      <c r="C533" s="367" t="s">
        <v>5</v>
      </c>
      <c r="D533" s="367" t="s">
        <v>1790</v>
      </c>
      <c r="E533" s="45">
        <v>45983</v>
      </c>
      <c r="F533" s="45">
        <v>45988</v>
      </c>
      <c r="G533" s="45"/>
      <c r="H533" s="45"/>
      <c r="I533" s="367"/>
      <c r="J533" s="54" t="s">
        <v>521</v>
      </c>
      <c r="K533" s="48"/>
      <c r="L533" s="367"/>
      <c r="M533" s="150" t="s">
        <v>120</v>
      </c>
      <c r="N533" s="367"/>
      <c r="O533" s="367"/>
      <c r="P533" s="311"/>
      <c r="Q533" s="367"/>
      <c r="R533" s="367"/>
      <c r="S533" s="367"/>
      <c r="T533" s="367"/>
      <c r="U533" s="367"/>
      <c r="V533" s="367"/>
      <c r="W533" s="367"/>
      <c r="X533" s="367" t="s">
        <v>1752</v>
      </c>
      <c r="Y533" s="367"/>
      <c r="Z533" s="367"/>
      <c r="AA533" s="367"/>
      <c r="AB533" s="150"/>
      <c r="AC533" s="48" t="s">
        <v>1793</v>
      </c>
      <c r="AD533" s="150" t="s">
        <v>55</v>
      </c>
      <c r="AE533" s="296"/>
      <c r="AF533" s="296"/>
      <c r="AG533" s="286">
        <v>45991</v>
      </c>
      <c r="AH533" s="49">
        <v>45986</v>
      </c>
      <c r="AI533" s="266">
        <v>45931</v>
      </c>
      <c r="AJ533" s="150" t="s">
        <v>131</v>
      </c>
      <c r="AK533" s="369" t="s">
        <v>161</v>
      </c>
      <c r="AL533" s="369" t="s">
        <v>175</v>
      </c>
      <c r="AM533" s="150" t="s">
        <v>209</v>
      </c>
      <c r="AN533" s="367"/>
      <c r="AO533" s="367"/>
      <c r="AP533" s="367"/>
      <c r="AT533" s="45">
        <v>45894</v>
      </c>
      <c r="AU533" s="45">
        <v>45868</v>
      </c>
      <c r="AV533" s="45">
        <v>45876</v>
      </c>
      <c r="AW533" s="45">
        <v>45876</v>
      </c>
      <c r="AX533" s="367"/>
      <c r="AY533" s="367"/>
      <c r="AZ533" s="45">
        <v>45897</v>
      </c>
      <c r="BA533" s="45"/>
      <c r="BB533" s="152" t="s">
        <v>1781</v>
      </c>
      <c r="BC533" s="152"/>
      <c r="BD533" s="367" t="s">
        <v>1605</v>
      </c>
      <c r="BE533" s="367"/>
      <c r="BF533" s="367"/>
      <c r="BG533" s="367"/>
      <c r="BH533" s="64" t="e">
        <f>#REF!</f>
        <v>#REF!</v>
      </c>
      <c r="BL533" s="54"/>
    </row>
    <row r="534" spans="1:64" ht="36" customHeight="1" x14ac:dyDescent="0.3">
      <c r="A534" s="305">
        <f t="shared" si="10"/>
        <v>529</v>
      </c>
      <c r="B534" s="54" t="s">
        <v>1794</v>
      </c>
      <c r="C534" s="367" t="s">
        <v>5</v>
      </c>
      <c r="D534" s="367" t="s">
        <v>1790</v>
      </c>
      <c r="E534" s="45">
        <v>45988</v>
      </c>
      <c r="F534" s="45">
        <v>45988</v>
      </c>
      <c r="G534" s="45"/>
      <c r="H534" s="45"/>
      <c r="I534" s="367"/>
      <c r="J534" s="54" t="s">
        <v>521</v>
      </c>
      <c r="K534" s="48"/>
      <c r="L534" s="367"/>
      <c r="M534" s="150" t="s">
        <v>120</v>
      </c>
      <c r="N534" s="367"/>
      <c r="O534" s="367"/>
      <c r="P534" s="311"/>
      <c r="Q534" s="367"/>
      <c r="R534" s="367"/>
      <c r="S534" s="367"/>
      <c r="T534" s="367"/>
      <c r="U534" s="367"/>
      <c r="V534" s="367"/>
      <c r="W534" s="367"/>
      <c r="X534" s="367" t="s">
        <v>1752</v>
      </c>
      <c r="Y534" s="367"/>
      <c r="Z534" s="367"/>
      <c r="AA534" s="367"/>
      <c r="AB534" s="150"/>
      <c r="AC534" s="48" t="s">
        <v>1795</v>
      </c>
      <c r="AD534" s="150" t="s">
        <v>55</v>
      </c>
      <c r="AE534" s="296"/>
      <c r="AF534" s="296"/>
      <c r="AG534" s="286">
        <v>45991</v>
      </c>
      <c r="AH534" s="49">
        <v>45991</v>
      </c>
      <c r="AI534" s="266">
        <v>45931</v>
      </c>
      <c r="AJ534" s="150" t="s">
        <v>131</v>
      </c>
      <c r="AK534" s="369" t="s">
        <v>161</v>
      </c>
      <c r="AL534" s="369" t="s">
        <v>175</v>
      </c>
      <c r="AM534" s="150" t="s">
        <v>209</v>
      </c>
      <c r="AN534" s="367"/>
      <c r="AO534" s="367"/>
      <c r="AP534" s="367"/>
      <c r="AT534" s="45">
        <v>45894</v>
      </c>
      <c r="AU534" s="45">
        <v>45868</v>
      </c>
      <c r="AV534" s="45">
        <v>45876</v>
      </c>
      <c r="AW534" s="45">
        <v>45876</v>
      </c>
      <c r="AX534" s="367"/>
      <c r="AY534" s="367"/>
      <c r="AZ534" s="45">
        <v>45897</v>
      </c>
      <c r="BA534" s="45"/>
      <c r="BB534" s="152" t="s">
        <v>1781</v>
      </c>
      <c r="BC534" s="152"/>
      <c r="BD534" s="367" t="s">
        <v>1605</v>
      </c>
      <c r="BE534" s="367"/>
      <c r="BF534" s="367"/>
      <c r="BG534" s="367"/>
      <c r="BH534" s="64" t="e">
        <f>#REF!</f>
        <v>#REF!</v>
      </c>
      <c r="BL534" s="54"/>
    </row>
    <row r="535" spans="1:64" ht="36" customHeight="1" x14ac:dyDescent="0.3">
      <c r="A535" s="305">
        <f t="shared" si="10"/>
        <v>530</v>
      </c>
      <c r="B535" s="54" t="s">
        <v>1796</v>
      </c>
      <c r="C535" s="367" t="s">
        <v>5</v>
      </c>
      <c r="D535" s="367" t="s">
        <v>1751</v>
      </c>
      <c r="E535" s="45">
        <v>45988</v>
      </c>
      <c r="F535" s="45">
        <v>45988</v>
      </c>
      <c r="G535" s="45"/>
      <c r="H535" s="45"/>
      <c r="I535" s="367"/>
      <c r="J535" s="54" t="s">
        <v>521</v>
      </c>
      <c r="K535" s="48"/>
      <c r="L535" s="367"/>
      <c r="M535" s="150" t="s">
        <v>120</v>
      </c>
      <c r="N535" s="367"/>
      <c r="O535" s="367"/>
      <c r="P535" s="311"/>
      <c r="Q535" s="367"/>
      <c r="R535" s="367"/>
      <c r="S535" s="367"/>
      <c r="T535" s="367"/>
      <c r="U535" s="367"/>
      <c r="V535" s="367"/>
      <c r="W535" s="367"/>
      <c r="X535" s="367" t="s">
        <v>1752</v>
      </c>
      <c r="Y535" s="367"/>
      <c r="Z535" s="367"/>
      <c r="AA535" s="367"/>
      <c r="AB535" s="150"/>
      <c r="AC535" s="48" t="s">
        <v>1797</v>
      </c>
      <c r="AD535" s="150" t="s">
        <v>55</v>
      </c>
      <c r="AE535" s="296"/>
      <c r="AF535" s="296"/>
      <c r="AG535" s="286">
        <v>45991</v>
      </c>
      <c r="AH535" s="49">
        <v>45991</v>
      </c>
      <c r="AI535" s="266">
        <v>45931</v>
      </c>
      <c r="AJ535" s="150" t="s">
        <v>648</v>
      </c>
      <c r="AK535" s="369" t="s">
        <v>161</v>
      </c>
      <c r="AL535" s="369" t="s">
        <v>175</v>
      </c>
      <c r="AM535" s="150" t="s">
        <v>209</v>
      </c>
      <c r="AN535" s="367"/>
      <c r="AO535" s="367"/>
      <c r="AP535" s="367"/>
      <c r="AT535" s="45">
        <v>45894</v>
      </c>
      <c r="AU535" s="45">
        <v>45868</v>
      </c>
      <c r="AV535" s="45">
        <v>45876</v>
      </c>
      <c r="AW535" s="45">
        <v>45876</v>
      </c>
      <c r="AX535" s="367"/>
      <c r="AY535" s="367"/>
      <c r="AZ535" s="45">
        <v>45897</v>
      </c>
      <c r="BA535" s="45"/>
      <c r="BB535" s="152" t="s">
        <v>1781</v>
      </c>
      <c r="BC535" s="152"/>
      <c r="BD535" s="367" t="s">
        <v>1605</v>
      </c>
      <c r="BE535" s="367"/>
      <c r="BF535" s="367"/>
      <c r="BG535" s="367"/>
      <c r="BH535" s="64" t="e">
        <f>#REF!</f>
        <v>#REF!</v>
      </c>
      <c r="BL535" s="54"/>
    </row>
    <row r="536" spans="1:64" ht="36" customHeight="1" x14ac:dyDescent="0.3">
      <c r="A536" s="305">
        <f t="shared" si="10"/>
        <v>531</v>
      </c>
      <c r="B536" s="54" t="s">
        <v>1798</v>
      </c>
      <c r="C536" s="367" t="s">
        <v>5</v>
      </c>
      <c r="D536" s="367" t="s">
        <v>1756</v>
      </c>
      <c r="E536" s="45">
        <v>46000</v>
      </c>
      <c r="F536" s="45">
        <v>46017</v>
      </c>
      <c r="G536" s="45">
        <v>46115</v>
      </c>
      <c r="H536" s="45"/>
      <c r="I536" s="367"/>
      <c r="J536" s="54" t="s">
        <v>521</v>
      </c>
      <c r="K536" s="48"/>
      <c r="L536" s="367"/>
      <c r="M536" s="150" t="s">
        <v>120</v>
      </c>
      <c r="N536" s="367"/>
      <c r="O536" s="367"/>
      <c r="P536" s="311"/>
      <c r="Q536" s="367"/>
      <c r="R536" s="367"/>
      <c r="S536" s="367"/>
      <c r="T536" s="367"/>
      <c r="U536" s="367"/>
      <c r="V536" s="367"/>
      <c r="W536" s="367"/>
      <c r="X536" s="367" t="s">
        <v>1752</v>
      </c>
      <c r="Y536" s="367"/>
      <c r="Z536" s="367"/>
      <c r="AA536" s="367"/>
      <c r="AB536" s="150"/>
      <c r="AC536" s="48" t="s">
        <v>1799</v>
      </c>
      <c r="AD536" s="150" t="s">
        <v>55</v>
      </c>
      <c r="AE536" s="151"/>
      <c r="AF536" s="151"/>
      <c r="AG536" s="286">
        <v>46016</v>
      </c>
      <c r="AH536" s="49">
        <v>45986</v>
      </c>
      <c r="AI536" s="266">
        <v>45962</v>
      </c>
      <c r="AJ536" s="150" t="s">
        <v>131</v>
      </c>
      <c r="AK536" s="369" t="s">
        <v>161</v>
      </c>
      <c r="AL536" s="369" t="s">
        <v>175</v>
      </c>
      <c r="AM536" s="150" t="s">
        <v>209</v>
      </c>
      <c r="AN536" s="367"/>
      <c r="AO536" s="367"/>
      <c r="AP536" s="367"/>
      <c r="AT536" s="45">
        <v>45925</v>
      </c>
      <c r="AU536" s="45">
        <v>45868</v>
      </c>
      <c r="AV536" s="45">
        <v>45876</v>
      </c>
      <c r="AW536" s="45">
        <v>45876</v>
      </c>
      <c r="AX536" s="367"/>
      <c r="AY536" s="367"/>
      <c r="AZ536" s="45">
        <v>45961</v>
      </c>
      <c r="BA536" s="45"/>
      <c r="BB536" s="152" t="s">
        <v>1781</v>
      </c>
      <c r="BC536" s="152"/>
      <c r="BD536" s="367" t="s">
        <v>1605</v>
      </c>
      <c r="BE536" s="367"/>
      <c r="BF536" s="367"/>
      <c r="BG536" s="367"/>
      <c r="BH536" s="64" t="e">
        <f>#REF!</f>
        <v>#REF!</v>
      </c>
      <c r="BL536" s="54"/>
    </row>
    <row r="537" spans="1:64" ht="36" customHeight="1" x14ac:dyDescent="0.3">
      <c r="A537" s="305">
        <f t="shared" ref="A537:A600" si="11">ROW(B537)-ROW($B$5)</f>
        <v>532</v>
      </c>
      <c r="B537" s="54" t="s">
        <v>1800</v>
      </c>
      <c r="C537" s="367" t="s">
        <v>5</v>
      </c>
      <c r="D537" s="367" t="s">
        <v>1801</v>
      </c>
      <c r="E537" s="45">
        <v>46006</v>
      </c>
      <c r="F537" s="45">
        <v>46017</v>
      </c>
      <c r="G537" s="45">
        <v>46115</v>
      </c>
      <c r="H537" s="45"/>
      <c r="I537" s="367"/>
      <c r="J537" s="54" t="s">
        <v>521</v>
      </c>
      <c r="K537" s="48"/>
      <c r="L537" s="367"/>
      <c r="M537" s="150" t="s">
        <v>120</v>
      </c>
      <c r="N537" s="367"/>
      <c r="O537" s="367"/>
      <c r="P537" s="311"/>
      <c r="Q537" s="367"/>
      <c r="R537" s="367"/>
      <c r="S537" s="367"/>
      <c r="T537" s="367"/>
      <c r="U537" s="367"/>
      <c r="V537" s="367"/>
      <c r="W537" s="367"/>
      <c r="X537" s="367" t="s">
        <v>1752</v>
      </c>
      <c r="Y537" s="367"/>
      <c r="Z537" s="367"/>
      <c r="AA537" s="367"/>
      <c r="AB537" s="150"/>
      <c r="AC537" s="48" t="s">
        <v>1802</v>
      </c>
      <c r="AD537" s="150" t="s">
        <v>55</v>
      </c>
      <c r="AE537" s="151"/>
      <c r="AF537" s="151"/>
      <c r="AG537" s="286">
        <v>46016</v>
      </c>
      <c r="AH537" s="49">
        <v>45986</v>
      </c>
      <c r="AI537" s="266">
        <v>45962</v>
      </c>
      <c r="AJ537" s="150" t="s">
        <v>131</v>
      </c>
      <c r="AK537" s="369" t="s">
        <v>161</v>
      </c>
      <c r="AL537" s="369" t="s">
        <v>175</v>
      </c>
      <c r="AM537" s="150" t="s">
        <v>209</v>
      </c>
      <c r="AN537" s="367"/>
      <c r="AO537" s="367"/>
      <c r="AP537" s="367"/>
      <c r="AT537" s="45">
        <v>45925</v>
      </c>
      <c r="AU537" s="45">
        <v>45868</v>
      </c>
      <c r="AV537" s="45">
        <v>45876</v>
      </c>
      <c r="AW537" s="45">
        <v>45876</v>
      </c>
      <c r="AX537" s="367"/>
      <c r="AY537" s="367"/>
      <c r="AZ537" s="45">
        <v>45961</v>
      </c>
      <c r="BA537" s="45"/>
      <c r="BB537" s="152" t="s">
        <v>1781</v>
      </c>
      <c r="BC537" s="152"/>
      <c r="BD537" s="367" t="s">
        <v>1605</v>
      </c>
      <c r="BE537" s="367"/>
      <c r="BF537" s="367"/>
      <c r="BG537" s="367"/>
      <c r="BH537" s="64" t="e">
        <f>#REF!</f>
        <v>#REF!</v>
      </c>
      <c r="BL537" s="54"/>
    </row>
    <row r="538" spans="1:64" ht="36" customHeight="1" x14ac:dyDescent="0.3">
      <c r="A538" s="305">
        <f t="shared" si="11"/>
        <v>533</v>
      </c>
      <c r="B538" s="54" t="s">
        <v>1803</v>
      </c>
      <c r="C538" s="367" t="s">
        <v>5</v>
      </c>
      <c r="D538" s="367" t="s">
        <v>1801</v>
      </c>
      <c r="E538" s="45">
        <v>46006</v>
      </c>
      <c r="F538" s="45">
        <v>46017</v>
      </c>
      <c r="G538" s="45"/>
      <c r="H538" s="45"/>
      <c r="I538" s="367"/>
      <c r="J538" s="54" t="s">
        <v>521</v>
      </c>
      <c r="K538" s="48"/>
      <c r="L538" s="367"/>
      <c r="M538" s="150" t="s">
        <v>120</v>
      </c>
      <c r="N538" s="367"/>
      <c r="O538" s="367"/>
      <c r="P538" s="311"/>
      <c r="Q538" s="367"/>
      <c r="R538" s="367"/>
      <c r="S538" s="367"/>
      <c r="T538" s="367"/>
      <c r="U538" s="367"/>
      <c r="V538" s="367"/>
      <c r="W538" s="367"/>
      <c r="X538" s="367" t="s">
        <v>1752</v>
      </c>
      <c r="Y538" s="367"/>
      <c r="Z538" s="367"/>
      <c r="AA538" s="367"/>
      <c r="AB538" s="150"/>
      <c r="AC538" s="48" t="s">
        <v>1804</v>
      </c>
      <c r="AD538" s="150" t="s">
        <v>55</v>
      </c>
      <c r="AE538" s="151"/>
      <c r="AF538" s="151"/>
      <c r="AG538" s="286">
        <v>46016</v>
      </c>
      <c r="AH538" s="49">
        <v>45986</v>
      </c>
      <c r="AI538" s="266">
        <v>45962</v>
      </c>
      <c r="AJ538" s="150" t="s">
        <v>648</v>
      </c>
      <c r="AK538" s="369" t="s">
        <v>161</v>
      </c>
      <c r="AL538" s="369" t="s">
        <v>175</v>
      </c>
      <c r="AM538" s="150" t="s">
        <v>209</v>
      </c>
      <c r="AN538" s="367"/>
      <c r="AO538" s="367"/>
      <c r="AP538" s="367"/>
      <c r="AT538" s="45">
        <v>45925</v>
      </c>
      <c r="AU538" s="45">
        <v>45868</v>
      </c>
      <c r="AV538" s="45">
        <v>45876</v>
      </c>
      <c r="AW538" s="45">
        <v>45876</v>
      </c>
      <c r="AX538" s="367"/>
      <c r="AY538" s="367"/>
      <c r="AZ538" s="45">
        <v>45961</v>
      </c>
      <c r="BA538" s="45"/>
      <c r="BB538" s="152" t="s">
        <v>1781</v>
      </c>
      <c r="BC538" s="152"/>
      <c r="BD538" s="367" t="s">
        <v>1605</v>
      </c>
      <c r="BE538" s="367"/>
      <c r="BF538" s="367"/>
      <c r="BG538" s="367"/>
      <c r="BH538" s="64" t="e">
        <f>#REF!</f>
        <v>#REF!</v>
      </c>
      <c r="BL538" s="54"/>
    </row>
    <row r="539" spans="1:64" ht="36" customHeight="1" x14ac:dyDescent="0.3">
      <c r="A539" s="305">
        <f t="shared" si="11"/>
        <v>534</v>
      </c>
      <c r="B539" s="54" t="s">
        <v>1805</v>
      </c>
      <c r="C539" s="367" t="s">
        <v>5</v>
      </c>
      <c r="D539" s="367" t="s">
        <v>1806</v>
      </c>
      <c r="E539" s="45">
        <v>46016</v>
      </c>
      <c r="F539" s="45">
        <v>46017</v>
      </c>
      <c r="G539" s="45"/>
      <c r="H539" s="45"/>
      <c r="I539" s="367"/>
      <c r="J539" s="54" t="s">
        <v>521</v>
      </c>
      <c r="K539" s="48"/>
      <c r="L539" s="367"/>
      <c r="M539" s="150" t="s">
        <v>120</v>
      </c>
      <c r="N539" s="367"/>
      <c r="O539" s="367"/>
      <c r="P539" s="311"/>
      <c r="Q539" s="367"/>
      <c r="R539" s="367"/>
      <c r="S539" s="367"/>
      <c r="T539" s="367"/>
      <c r="U539" s="367"/>
      <c r="V539" s="367"/>
      <c r="W539" s="367"/>
      <c r="X539" s="367" t="s">
        <v>1752</v>
      </c>
      <c r="Y539" s="367"/>
      <c r="Z539" s="367"/>
      <c r="AA539" s="367"/>
      <c r="AB539" s="150"/>
      <c r="AC539" s="48" t="s">
        <v>1807</v>
      </c>
      <c r="AD539" s="150" t="s">
        <v>55</v>
      </c>
      <c r="AE539" s="151"/>
      <c r="AF539" s="151"/>
      <c r="AG539" s="286">
        <v>46016</v>
      </c>
      <c r="AH539" s="49">
        <v>45986</v>
      </c>
      <c r="AI539" s="266">
        <v>45962</v>
      </c>
      <c r="AJ539" s="150" t="s">
        <v>648</v>
      </c>
      <c r="AK539" s="369" t="s">
        <v>161</v>
      </c>
      <c r="AL539" s="369" t="s">
        <v>175</v>
      </c>
      <c r="AM539" s="150" t="s">
        <v>209</v>
      </c>
      <c r="AN539" s="367"/>
      <c r="AO539" s="367"/>
      <c r="AP539" s="367"/>
      <c r="AT539" s="45">
        <v>45925</v>
      </c>
      <c r="AU539" s="45">
        <v>45868</v>
      </c>
      <c r="AV539" s="45">
        <v>45876</v>
      </c>
      <c r="AW539" s="45">
        <v>45876</v>
      </c>
      <c r="AX539" s="367"/>
      <c r="AY539" s="367"/>
      <c r="AZ539" s="45">
        <v>45961</v>
      </c>
      <c r="BA539" s="45"/>
      <c r="BB539" s="152" t="s">
        <v>1781</v>
      </c>
      <c r="BC539" s="152"/>
      <c r="BD539" s="367" t="s">
        <v>1605</v>
      </c>
      <c r="BE539" s="367"/>
      <c r="BF539" s="367"/>
      <c r="BG539" s="367"/>
      <c r="BH539" s="64" t="e">
        <f>#REF!</f>
        <v>#REF!</v>
      </c>
      <c r="BL539" s="54"/>
    </row>
    <row r="540" spans="1:64" ht="36" customHeight="1" x14ac:dyDescent="0.3">
      <c r="A540" s="305">
        <f t="shared" si="11"/>
        <v>535</v>
      </c>
      <c r="B540" s="54" t="s">
        <v>1808</v>
      </c>
      <c r="C540" s="367" t="s">
        <v>5</v>
      </c>
      <c r="D540" s="367" t="s">
        <v>1806</v>
      </c>
      <c r="E540" s="45">
        <v>46016</v>
      </c>
      <c r="F540" s="45">
        <v>46017</v>
      </c>
      <c r="G540" s="45"/>
      <c r="H540" s="45"/>
      <c r="I540" s="367"/>
      <c r="J540" s="54" t="s">
        <v>521</v>
      </c>
      <c r="K540" s="48"/>
      <c r="L540" s="367"/>
      <c r="M540" s="150" t="s">
        <v>120</v>
      </c>
      <c r="N540" s="367"/>
      <c r="O540" s="367"/>
      <c r="P540" s="311"/>
      <c r="Q540" s="367"/>
      <c r="R540" s="367"/>
      <c r="S540" s="367"/>
      <c r="T540" s="367"/>
      <c r="U540" s="367"/>
      <c r="V540" s="367"/>
      <c r="W540" s="367"/>
      <c r="X540" s="367" t="s">
        <v>1752</v>
      </c>
      <c r="Y540" s="367"/>
      <c r="Z540" s="367"/>
      <c r="AA540" s="367"/>
      <c r="AB540" s="150"/>
      <c r="AC540" s="48" t="s">
        <v>1809</v>
      </c>
      <c r="AD540" s="150" t="s">
        <v>55</v>
      </c>
      <c r="AE540" s="151"/>
      <c r="AF540" s="151"/>
      <c r="AG540" s="286">
        <v>46016</v>
      </c>
      <c r="AH540" s="49">
        <v>45986</v>
      </c>
      <c r="AI540" s="266">
        <v>45962</v>
      </c>
      <c r="AJ540" s="150" t="s">
        <v>648</v>
      </c>
      <c r="AK540" s="369" t="s">
        <v>161</v>
      </c>
      <c r="AL540" s="369" t="s">
        <v>175</v>
      </c>
      <c r="AM540" s="150" t="s">
        <v>209</v>
      </c>
      <c r="AN540" s="367"/>
      <c r="AO540" s="367"/>
      <c r="AP540" s="367"/>
      <c r="AT540" s="45">
        <v>45925</v>
      </c>
      <c r="AU540" s="45">
        <v>45868</v>
      </c>
      <c r="AV540" s="45">
        <v>45876</v>
      </c>
      <c r="AW540" s="45">
        <v>45876</v>
      </c>
      <c r="AX540" s="367"/>
      <c r="AY540" s="367"/>
      <c r="AZ540" s="45">
        <v>45961</v>
      </c>
      <c r="BA540" s="45"/>
      <c r="BB540" s="152" t="s">
        <v>1781</v>
      </c>
      <c r="BC540" s="152"/>
      <c r="BD540" s="367" t="s">
        <v>1605</v>
      </c>
      <c r="BE540" s="367"/>
      <c r="BF540" s="367"/>
      <c r="BG540" s="367"/>
      <c r="BH540" s="64" t="e">
        <f>#REF!</f>
        <v>#REF!</v>
      </c>
      <c r="BL540" s="54"/>
    </row>
    <row r="541" spans="1:64" ht="36" customHeight="1" x14ac:dyDescent="0.3">
      <c r="A541" s="305">
        <f t="shared" si="11"/>
        <v>536</v>
      </c>
      <c r="B541" s="54" t="s">
        <v>1810</v>
      </c>
      <c r="C541" s="367" t="s">
        <v>5</v>
      </c>
      <c r="D541" s="367" t="s">
        <v>1751</v>
      </c>
      <c r="E541" s="45">
        <v>46046</v>
      </c>
      <c r="F541" s="45">
        <v>46052</v>
      </c>
      <c r="G541" s="45">
        <v>46115</v>
      </c>
      <c r="H541" s="45"/>
      <c r="I541" s="367"/>
      <c r="J541" s="54" t="s">
        <v>521</v>
      </c>
      <c r="K541" s="48"/>
      <c r="L541" s="367"/>
      <c r="M541" s="150" t="s">
        <v>120</v>
      </c>
      <c r="N541" s="367"/>
      <c r="O541" s="367"/>
      <c r="P541" s="311"/>
      <c r="Q541" s="367"/>
      <c r="R541" s="367"/>
      <c r="S541" s="367"/>
      <c r="T541" s="367"/>
      <c r="U541" s="367"/>
      <c r="V541" s="367"/>
      <c r="W541" s="367"/>
      <c r="X541" s="367" t="s">
        <v>1752</v>
      </c>
      <c r="Y541" s="367"/>
      <c r="Z541" s="367"/>
      <c r="AA541" s="367"/>
      <c r="AB541" s="150"/>
      <c r="AC541" s="48" t="s">
        <v>1811</v>
      </c>
      <c r="AD541" s="150" t="s">
        <v>55</v>
      </c>
      <c r="AE541" s="151"/>
      <c r="AF541" s="151"/>
      <c r="AG541" s="286">
        <v>46047</v>
      </c>
      <c r="AH541" s="49">
        <v>46016</v>
      </c>
      <c r="AI541" s="266">
        <v>45992</v>
      </c>
      <c r="AJ541" s="150" t="s">
        <v>131</v>
      </c>
      <c r="AK541" s="369" t="s">
        <v>161</v>
      </c>
      <c r="AL541" s="369" t="s">
        <v>175</v>
      </c>
      <c r="AM541" s="150" t="s">
        <v>209</v>
      </c>
      <c r="AN541" s="367"/>
      <c r="AO541" s="367"/>
      <c r="AP541" s="367"/>
      <c r="AT541" s="45">
        <v>45976</v>
      </c>
      <c r="AU541" s="45">
        <v>45868</v>
      </c>
      <c r="AV541" s="45">
        <v>45876</v>
      </c>
      <c r="AW541" s="45">
        <v>45876</v>
      </c>
      <c r="AX541" s="367"/>
      <c r="AY541" s="367"/>
      <c r="AZ541" s="45">
        <v>45961</v>
      </c>
      <c r="BA541" s="45"/>
      <c r="BB541" s="152" t="s">
        <v>1781</v>
      </c>
      <c r="BC541" s="152"/>
      <c r="BD541" s="367" t="s">
        <v>1605</v>
      </c>
      <c r="BE541" s="367"/>
      <c r="BF541" s="367"/>
      <c r="BG541" s="367"/>
      <c r="BH541" s="64" t="e">
        <f>#REF!</f>
        <v>#REF!</v>
      </c>
      <c r="BL541" s="54"/>
    </row>
    <row r="542" spans="1:64" ht="36" customHeight="1" x14ac:dyDescent="0.3">
      <c r="A542" s="305">
        <f t="shared" si="11"/>
        <v>537</v>
      </c>
      <c r="B542" s="54" t="s">
        <v>1812</v>
      </c>
      <c r="C542" s="367" t="s">
        <v>5</v>
      </c>
      <c r="D542" s="367" t="s">
        <v>1813</v>
      </c>
      <c r="E542" s="45">
        <v>46059</v>
      </c>
      <c r="F542" s="45">
        <v>46079</v>
      </c>
      <c r="G542" s="45"/>
      <c r="H542" s="45"/>
      <c r="I542" s="367"/>
      <c r="J542" s="54" t="s">
        <v>521</v>
      </c>
      <c r="K542" s="48"/>
      <c r="L542" s="367"/>
      <c r="M542" s="150" t="s">
        <v>120</v>
      </c>
      <c r="N542" s="367"/>
      <c r="O542" s="367"/>
      <c r="P542" s="367"/>
      <c r="Q542" s="367"/>
      <c r="R542" s="367"/>
      <c r="S542" s="367"/>
      <c r="T542" s="367"/>
      <c r="U542" s="367"/>
      <c r="V542" s="367"/>
      <c r="W542" s="367"/>
      <c r="X542" s="367" t="s">
        <v>1752</v>
      </c>
      <c r="Y542" s="367"/>
      <c r="Z542" s="367"/>
      <c r="AA542" s="367"/>
      <c r="AB542" s="150"/>
      <c r="AC542" s="48" t="s">
        <v>1814</v>
      </c>
      <c r="AD542" s="150" t="s">
        <v>55</v>
      </c>
      <c r="AE542" s="151"/>
      <c r="AF542" s="151"/>
      <c r="AG542" s="286">
        <v>46047</v>
      </c>
      <c r="AH542" s="49">
        <v>46016</v>
      </c>
      <c r="AI542" s="266">
        <v>45992</v>
      </c>
      <c r="AJ542" s="150" t="s">
        <v>648</v>
      </c>
      <c r="AK542" s="369" t="s">
        <v>161</v>
      </c>
      <c r="AL542" s="369" t="s">
        <v>175</v>
      </c>
      <c r="AM542" s="150" t="s">
        <v>209</v>
      </c>
      <c r="AN542" s="367"/>
      <c r="AO542" s="367"/>
      <c r="AP542" s="367"/>
      <c r="AT542" s="45">
        <v>45950</v>
      </c>
      <c r="AU542" s="45">
        <v>45868</v>
      </c>
      <c r="AV542" s="45">
        <v>45876</v>
      </c>
      <c r="AW542" s="45">
        <v>45876</v>
      </c>
      <c r="AX542" s="367"/>
      <c r="AY542" s="367"/>
      <c r="AZ542" s="45">
        <v>45961</v>
      </c>
      <c r="BA542" s="45"/>
      <c r="BB542" s="152" t="s">
        <v>1781</v>
      </c>
      <c r="BC542" s="152"/>
      <c r="BD542" s="367" t="s">
        <v>1605</v>
      </c>
      <c r="BE542" s="367"/>
      <c r="BF542" s="367"/>
      <c r="BG542" s="367"/>
      <c r="BH542" s="64" t="e">
        <f>#REF!</f>
        <v>#REF!</v>
      </c>
      <c r="BL542" s="54"/>
    </row>
    <row r="543" spans="1:64" ht="36" customHeight="1" x14ac:dyDescent="0.3">
      <c r="A543" s="305">
        <f t="shared" si="11"/>
        <v>538</v>
      </c>
      <c r="B543" s="54" t="s">
        <v>1815</v>
      </c>
      <c r="C543" s="367" t="s">
        <v>5</v>
      </c>
      <c r="D543" s="367" t="s">
        <v>1772</v>
      </c>
      <c r="E543" s="45">
        <v>45989</v>
      </c>
      <c r="F543" s="45">
        <v>45989</v>
      </c>
      <c r="G543" s="45"/>
      <c r="H543" s="45"/>
      <c r="I543" s="367"/>
      <c r="J543" s="54" t="s">
        <v>1615</v>
      </c>
      <c r="K543" s="48" t="s">
        <v>1816</v>
      </c>
      <c r="L543" s="367" t="s">
        <v>660</v>
      </c>
      <c r="M543" s="150" t="s">
        <v>65</v>
      </c>
      <c r="N543" s="367"/>
      <c r="O543" s="367"/>
      <c r="P543" s="311"/>
      <c r="Q543" s="367">
        <v>2</v>
      </c>
      <c r="R543" s="367"/>
      <c r="S543" s="367"/>
      <c r="T543" s="367">
        <v>19</v>
      </c>
      <c r="U543" s="367"/>
      <c r="V543" s="367"/>
      <c r="W543" s="367"/>
      <c r="X543" s="367"/>
      <c r="Y543" s="367"/>
      <c r="Z543" s="367" t="s">
        <v>127</v>
      </c>
      <c r="AA543" s="367"/>
      <c r="AB543" s="150"/>
      <c r="AC543" s="48" t="s">
        <v>1817</v>
      </c>
      <c r="AD543" s="150" t="s">
        <v>1361</v>
      </c>
      <c r="AE543" s="151"/>
      <c r="AF543" s="151"/>
      <c r="AG543" s="286">
        <v>45992</v>
      </c>
      <c r="AH543" s="49">
        <v>45992</v>
      </c>
      <c r="AI543" s="266">
        <v>45931</v>
      </c>
      <c r="AJ543" s="150" t="s">
        <v>648</v>
      </c>
      <c r="AK543" s="369" t="s">
        <v>161</v>
      </c>
      <c r="AL543" s="369" t="s">
        <v>162</v>
      </c>
      <c r="AM543" s="150" t="s">
        <v>209</v>
      </c>
      <c r="AN543" s="367"/>
      <c r="AO543" s="367"/>
      <c r="AP543" s="367"/>
      <c r="AT543" s="45">
        <v>45945</v>
      </c>
      <c r="AU543" s="45">
        <v>45909</v>
      </c>
      <c r="AV543" s="45">
        <v>45909</v>
      </c>
      <c r="AW543" s="45">
        <v>45910</v>
      </c>
      <c r="AX543" s="367"/>
      <c r="AY543" s="367"/>
      <c r="AZ543" s="45">
        <v>45961</v>
      </c>
      <c r="BA543" s="45"/>
      <c r="BB543" s="152"/>
      <c r="BC543" s="152"/>
      <c r="BD543" s="367" t="s">
        <v>1605</v>
      </c>
      <c r="BE543" s="367"/>
      <c r="BF543" s="367"/>
      <c r="BG543" s="367"/>
      <c r="BH543" s="64" t="e">
        <f>#REF!</f>
        <v>#REF!</v>
      </c>
      <c r="BL543" s="54"/>
    </row>
    <row r="544" spans="1:64" ht="36" customHeight="1" x14ac:dyDescent="0.3">
      <c r="A544" s="305">
        <f t="shared" si="11"/>
        <v>539</v>
      </c>
      <c r="B544" s="54" t="s">
        <v>1818</v>
      </c>
      <c r="C544" s="367" t="s">
        <v>5</v>
      </c>
      <c r="D544" s="367" t="s">
        <v>1728</v>
      </c>
      <c r="E544" s="45">
        <v>46000</v>
      </c>
      <c r="F544" s="45">
        <v>46000</v>
      </c>
      <c r="G544" s="45"/>
      <c r="H544" s="45"/>
      <c r="I544" s="367"/>
      <c r="J544" s="54" t="s">
        <v>1615</v>
      </c>
      <c r="K544" s="48" t="s">
        <v>1819</v>
      </c>
      <c r="L544" s="367" t="s">
        <v>660</v>
      </c>
      <c r="M544" s="150" t="s">
        <v>120</v>
      </c>
      <c r="N544" s="367"/>
      <c r="O544" s="367"/>
      <c r="P544" s="311"/>
      <c r="Q544" s="367">
        <v>2</v>
      </c>
      <c r="R544" s="367"/>
      <c r="S544" s="367"/>
      <c r="T544" s="367">
        <v>19</v>
      </c>
      <c r="U544" s="367"/>
      <c r="V544" s="367"/>
      <c r="W544" s="367"/>
      <c r="X544" s="367"/>
      <c r="Y544" s="367"/>
      <c r="Z544" s="367" t="s">
        <v>127</v>
      </c>
      <c r="AA544" s="367"/>
      <c r="AB544" s="150"/>
      <c r="AC544" s="48" t="s">
        <v>1820</v>
      </c>
      <c r="AD544" s="150" t="s">
        <v>1361</v>
      </c>
      <c r="AE544" s="151"/>
      <c r="AF544" s="151"/>
      <c r="AG544" s="286">
        <v>45992</v>
      </c>
      <c r="AH544" s="49">
        <v>45992</v>
      </c>
      <c r="AI544" s="266">
        <v>45931</v>
      </c>
      <c r="AJ544" s="150" t="s">
        <v>648</v>
      </c>
      <c r="AK544" s="369" t="s">
        <v>161</v>
      </c>
      <c r="AL544" s="369" t="s">
        <v>162</v>
      </c>
      <c r="AM544" s="150" t="s">
        <v>209</v>
      </c>
      <c r="AN544" s="367"/>
      <c r="AO544" s="367"/>
      <c r="AP544" s="367"/>
      <c r="AT544" s="45">
        <v>45945</v>
      </c>
      <c r="AU544" s="45">
        <v>45909</v>
      </c>
      <c r="AV544" s="45">
        <v>45909</v>
      </c>
      <c r="AW544" s="45">
        <v>45910</v>
      </c>
      <c r="AX544" s="367"/>
      <c r="AY544" s="367"/>
      <c r="AZ544" s="45">
        <v>45961</v>
      </c>
      <c r="BA544" s="45"/>
      <c r="BB544" s="152"/>
      <c r="BC544" s="152"/>
      <c r="BD544" s="367" t="s">
        <v>1605</v>
      </c>
      <c r="BE544" s="367"/>
      <c r="BF544" s="367"/>
      <c r="BG544" s="367"/>
      <c r="BH544" s="64" t="e">
        <f>#REF!</f>
        <v>#REF!</v>
      </c>
      <c r="BL544" s="54"/>
    </row>
    <row r="545" spans="1:64" ht="36" customHeight="1" x14ac:dyDescent="0.3">
      <c r="A545" s="305">
        <f t="shared" si="11"/>
        <v>540</v>
      </c>
      <c r="B545" s="54" t="s">
        <v>1821</v>
      </c>
      <c r="C545" s="367" t="s">
        <v>5</v>
      </c>
      <c r="D545" s="367" t="s">
        <v>1633</v>
      </c>
      <c r="E545" s="45">
        <v>45969</v>
      </c>
      <c r="F545" s="45">
        <v>45982</v>
      </c>
      <c r="G545" s="45"/>
      <c r="H545" s="45"/>
      <c r="I545" s="367"/>
      <c r="J545" s="54" t="s">
        <v>1615</v>
      </c>
      <c r="K545" s="48" t="s">
        <v>1816</v>
      </c>
      <c r="L545" s="367" t="s">
        <v>660</v>
      </c>
      <c r="M545" s="150" t="s">
        <v>65</v>
      </c>
      <c r="N545" s="367"/>
      <c r="O545" s="367"/>
      <c r="P545" s="311"/>
      <c r="Q545" s="367">
        <v>2</v>
      </c>
      <c r="R545" s="367"/>
      <c r="S545" s="367"/>
      <c r="T545" s="367">
        <v>19</v>
      </c>
      <c r="U545" s="367"/>
      <c r="V545" s="367"/>
      <c r="W545" s="367"/>
      <c r="X545" s="367"/>
      <c r="Y545" s="367"/>
      <c r="Z545" s="367" t="s">
        <v>127</v>
      </c>
      <c r="AA545" s="367"/>
      <c r="AB545" s="150"/>
      <c r="AC545" s="48" t="s">
        <v>1822</v>
      </c>
      <c r="AD545" s="150" t="s">
        <v>1464</v>
      </c>
      <c r="AE545" s="151"/>
      <c r="AF545" s="151"/>
      <c r="AG545" s="286">
        <v>45992</v>
      </c>
      <c r="AH545" s="49">
        <v>45971</v>
      </c>
      <c r="AI545" s="266">
        <v>45931</v>
      </c>
      <c r="AJ545" s="150" t="s">
        <v>648</v>
      </c>
      <c r="AK545" s="369" t="s">
        <v>1064</v>
      </c>
      <c r="AL545" s="369" t="s">
        <v>239</v>
      </c>
      <c r="AM545" s="150" t="s">
        <v>209</v>
      </c>
      <c r="AN545" s="367"/>
      <c r="AO545" s="367"/>
      <c r="AP545" s="367"/>
      <c r="AT545" s="45">
        <v>45945</v>
      </c>
      <c r="AU545" s="367" t="s">
        <v>42</v>
      </c>
      <c r="AV545" s="367" t="s">
        <v>42</v>
      </c>
      <c r="AW545" s="367" t="s">
        <v>42</v>
      </c>
      <c r="AX545" s="367"/>
      <c r="AY545" s="367"/>
      <c r="AZ545" s="367"/>
      <c r="BA545" s="367"/>
      <c r="BB545" s="152"/>
      <c r="BC545" s="152"/>
      <c r="BD545" s="367" t="s">
        <v>1605</v>
      </c>
      <c r="BE545" s="367"/>
      <c r="BF545" s="367"/>
      <c r="BG545" s="367"/>
      <c r="BH545" s="64" t="e">
        <f>#REF!</f>
        <v>#REF!</v>
      </c>
      <c r="BL545" s="54"/>
    </row>
    <row r="546" spans="1:64" ht="36" customHeight="1" x14ac:dyDescent="0.3">
      <c r="A546" s="305">
        <f t="shared" si="11"/>
        <v>541</v>
      </c>
      <c r="B546" s="54" t="s">
        <v>1823</v>
      </c>
      <c r="C546" s="367" t="s">
        <v>5</v>
      </c>
      <c r="D546" s="367" t="s">
        <v>1633</v>
      </c>
      <c r="E546" s="45">
        <v>45969</v>
      </c>
      <c r="F546" s="45">
        <v>45989</v>
      </c>
      <c r="G546" s="45"/>
      <c r="H546" s="45"/>
      <c r="I546" s="367"/>
      <c r="J546" s="54" t="s">
        <v>1615</v>
      </c>
      <c r="K546" s="48" t="s">
        <v>1824</v>
      </c>
      <c r="L546" s="367" t="s">
        <v>660</v>
      </c>
      <c r="M546" s="150" t="s">
        <v>65</v>
      </c>
      <c r="N546" s="367"/>
      <c r="O546" s="367"/>
      <c r="P546" s="311"/>
      <c r="Q546" s="367"/>
      <c r="R546" s="367"/>
      <c r="S546" s="367"/>
      <c r="T546" s="367">
        <v>40</v>
      </c>
      <c r="U546" s="367"/>
      <c r="V546" s="367"/>
      <c r="W546" s="367"/>
      <c r="X546" s="367"/>
      <c r="Y546" s="367"/>
      <c r="Z546" s="367" t="s">
        <v>127</v>
      </c>
      <c r="AA546" s="367"/>
      <c r="AB546" s="150"/>
      <c r="AC546" s="48" t="s">
        <v>1825</v>
      </c>
      <c r="AD546" s="150" t="s">
        <v>1464</v>
      </c>
      <c r="AE546" s="151"/>
      <c r="AF546" s="151"/>
      <c r="AG546" s="286">
        <v>45992</v>
      </c>
      <c r="AH546" s="49">
        <v>45971</v>
      </c>
      <c r="AI546" s="266">
        <v>45931</v>
      </c>
      <c r="AJ546" s="150" t="s">
        <v>648</v>
      </c>
      <c r="AK546" s="369" t="s">
        <v>1064</v>
      </c>
      <c r="AL546" s="369" t="s">
        <v>239</v>
      </c>
      <c r="AM546" s="150" t="s">
        <v>209</v>
      </c>
      <c r="AN546" s="367"/>
      <c r="AO546" s="367"/>
      <c r="AP546" s="367"/>
      <c r="AT546" s="45">
        <v>45945</v>
      </c>
      <c r="AU546" s="367" t="s">
        <v>42</v>
      </c>
      <c r="AV546" s="367" t="s">
        <v>42</v>
      </c>
      <c r="AW546" s="367" t="s">
        <v>42</v>
      </c>
      <c r="AX546" s="367"/>
      <c r="AY546" s="367"/>
      <c r="AZ546" s="367"/>
      <c r="BA546" s="367"/>
      <c r="BB546" s="152"/>
      <c r="BC546" s="152"/>
      <c r="BD546" s="367" t="s">
        <v>1605</v>
      </c>
      <c r="BE546" s="367"/>
      <c r="BF546" s="367"/>
      <c r="BG546" s="367"/>
      <c r="BH546" s="64" t="e">
        <f>#REF!</f>
        <v>#REF!</v>
      </c>
      <c r="BL546" s="54"/>
    </row>
    <row r="547" spans="1:64" ht="36" customHeight="1" x14ac:dyDescent="0.3">
      <c r="A547" s="305">
        <f t="shared" si="11"/>
        <v>542</v>
      </c>
      <c r="B547" s="54" t="s">
        <v>1826</v>
      </c>
      <c r="C547" s="367" t="s">
        <v>5</v>
      </c>
      <c r="D547" s="367" t="s">
        <v>1633</v>
      </c>
      <c r="E547" s="45">
        <v>45989</v>
      </c>
      <c r="F547" s="45">
        <v>45989</v>
      </c>
      <c r="G547" s="45"/>
      <c r="H547" s="45"/>
      <c r="I547" s="367"/>
      <c r="J547" s="54" t="s">
        <v>1615</v>
      </c>
      <c r="K547" s="48" t="s">
        <v>1827</v>
      </c>
      <c r="L547" s="367" t="s">
        <v>660</v>
      </c>
      <c r="M547" s="150" t="s">
        <v>120</v>
      </c>
      <c r="N547" s="367"/>
      <c r="O547" s="367"/>
      <c r="P547" s="311"/>
      <c r="Q547" s="367"/>
      <c r="R547" s="367"/>
      <c r="S547" s="367"/>
      <c r="T547" s="367">
        <v>40</v>
      </c>
      <c r="U547" s="367"/>
      <c r="V547" s="367"/>
      <c r="W547" s="367"/>
      <c r="X547" s="367"/>
      <c r="Y547" s="367"/>
      <c r="Z547" s="367" t="s">
        <v>127</v>
      </c>
      <c r="AA547" s="367"/>
      <c r="AB547" s="150"/>
      <c r="AC547" s="48" t="s">
        <v>1828</v>
      </c>
      <c r="AD547" s="150" t="s">
        <v>1464</v>
      </c>
      <c r="AE547" s="151"/>
      <c r="AF547" s="151"/>
      <c r="AG547" s="286">
        <v>45992</v>
      </c>
      <c r="AH547" s="49">
        <v>45971</v>
      </c>
      <c r="AI547" s="266">
        <v>45931</v>
      </c>
      <c r="AJ547" s="150" t="s">
        <v>648</v>
      </c>
      <c r="AK547" s="369" t="s">
        <v>1064</v>
      </c>
      <c r="AL547" s="369" t="s">
        <v>239</v>
      </c>
      <c r="AM547" s="150" t="s">
        <v>209</v>
      </c>
      <c r="AN547" s="367"/>
      <c r="AO547" s="367"/>
      <c r="AP547" s="367"/>
      <c r="AT547" s="45">
        <v>45945</v>
      </c>
      <c r="AU547" s="45">
        <v>45884</v>
      </c>
      <c r="AV547" s="45">
        <v>45884</v>
      </c>
      <c r="AW547" s="45">
        <v>45869</v>
      </c>
      <c r="AX547" s="367"/>
      <c r="AY547" s="367"/>
      <c r="AZ547" s="45">
        <v>45961</v>
      </c>
      <c r="BA547" s="45"/>
      <c r="BB547" s="152"/>
      <c r="BC547" s="152"/>
      <c r="BD547" s="367" t="s">
        <v>1605</v>
      </c>
      <c r="BE547" s="367"/>
      <c r="BF547" s="367"/>
      <c r="BG547" s="367"/>
      <c r="BH547" s="64" t="e">
        <f>#REF!</f>
        <v>#REF!</v>
      </c>
      <c r="BL547" s="54"/>
    </row>
    <row r="548" spans="1:64" ht="36" customHeight="1" x14ac:dyDescent="0.3">
      <c r="A548" s="305">
        <f t="shared" si="11"/>
        <v>543</v>
      </c>
      <c r="B548" s="54" t="s">
        <v>1829</v>
      </c>
      <c r="C548" s="367" t="s">
        <v>5</v>
      </c>
      <c r="D548" s="367" t="s">
        <v>1633</v>
      </c>
      <c r="E548" s="45">
        <v>46000</v>
      </c>
      <c r="F548" s="45">
        <v>46010</v>
      </c>
      <c r="G548" s="45"/>
      <c r="H548" s="45"/>
      <c r="I548" s="367"/>
      <c r="J548" s="54" t="s">
        <v>1615</v>
      </c>
      <c r="K548" s="48" t="s">
        <v>1819</v>
      </c>
      <c r="L548" s="367" t="s">
        <v>660</v>
      </c>
      <c r="M548" s="150" t="s">
        <v>120</v>
      </c>
      <c r="N548" s="367"/>
      <c r="O548" s="367"/>
      <c r="P548" s="311"/>
      <c r="Q548" s="367">
        <v>2</v>
      </c>
      <c r="R548" s="367"/>
      <c r="S548" s="367"/>
      <c r="T548" s="367">
        <v>19</v>
      </c>
      <c r="U548" s="367"/>
      <c r="V548" s="367"/>
      <c r="W548" s="367"/>
      <c r="X548" s="367"/>
      <c r="Y548" s="367"/>
      <c r="Z548" s="367" t="s">
        <v>127</v>
      </c>
      <c r="AA548" s="367"/>
      <c r="AB548" s="150"/>
      <c r="AC548" s="48" t="s">
        <v>1830</v>
      </c>
      <c r="AD548" s="150" t="s">
        <v>1464</v>
      </c>
      <c r="AE548" s="151"/>
      <c r="AF548" s="151"/>
      <c r="AG548" s="286">
        <v>45992</v>
      </c>
      <c r="AH548" s="49">
        <v>45971</v>
      </c>
      <c r="AI548" s="266">
        <v>45931</v>
      </c>
      <c r="AJ548" s="150" t="s">
        <v>648</v>
      </c>
      <c r="AK548" s="369" t="s">
        <v>1064</v>
      </c>
      <c r="AL548" s="369" t="s">
        <v>239</v>
      </c>
      <c r="AM548" s="150" t="s">
        <v>209</v>
      </c>
      <c r="AN548" s="367"/>
      <c r="AO548" s="367"/>
      <c r="AP548" s="367"/>
      <c r="AT548" s="45">
        <v>45945</v>
      </c>
      <c r="AU548" s="45">
        <v>45884</v>
      </c>
      <c r="AV548" s="45">
        <v>45884</v>
      </c>
      <c r="AW548" s="45">
        <v>45869</v>
      </c>
      <c r="AX548" s="367"/>
      <c r="AY548" s="367"/>
      <c r="AZ548" s="45">
        <v>45961</v>
      </c>
      <c r="BA548" s="45"/>
      <c r="BB548" s="152"/>
      <c r="BC548" s="152"/>
      <c r="BD548" s="367" t="s">
        <v>1605</v>
      </c>
      <c r="BE548" s="367"/>
      <c r="BF548" s="367"/>
      <c r="BG548" s="367"/>
      <c r="BH548" s="64" t="e">
        <f>#REF!</f>
        <v>#REF!</v>
      </c>
      <c r="BL548" s="54"/>
    </row>
    <row r="549" spans="1:64" ht="36" customHeight="1" x14ac:dyDescent="0.3">
      <c r="A549" s="305">
        <f t="shared" si="11"/>
        <v>544</v>
      </c>
      <c r="B549" s="54" t="s">
        <v>1831</v>
      </c>
      <c r="C549" s="367" t="s">
        <v>5</v>
      </c>
      <c r="D549" s="367" t="s">
        <v>1832</v>
      </c>
      <c r="E549" s="45">
        <v>46000</v>
      </c>
      <c r="F549" s="45">
        <v>46010</v>
      </c>
      <c r="G549" s="45"/>
      <c r="H549" s="45"/>
      <c r="I549" s="367"/>
      <c r="J549" s="54" t="s">
        <v>1615</v>
      </c>
      <c r="K549" s="48" t="s">
        <v>1833</v>
      </c>
      <c r="L549" s="367" t="s">
        <v>660</v>
      </c>
      <c r="M549" s="150" t="s">
        <v>65</v>
      </c>
      <c r="N549" s="367"/>
      <c r="O549" s="367"/>
      <c r="P549" s="311"/>
      <c r="Q549" s="367"/>
      <c r="R549" s="367"/>
      <c r="S549" s="367"/>
      <c r="T549" s="367">
        <v>40</v>
      </c>
      <c r="U549" s="367"/>
      <c r="V549" s="367"/>
      <c r="W549" s="367"/>
      <c r="X549" s="367"/>
      <c r="Y549" s="367"/>
      <c r="Z549" s="367" t="s">
        <v>127</v>
      </c>
      <c r="AA549" s="367"/>
      <c r="AB549" s="150"/>
      <c r="AC549" s="48" t="s">
        <v>1834</v>
      </c>
      <c r="AD549" s="150" t="s">
        <v>1464</v>
      </c>
      <c r="AE549" s="151"/>
      <c r="AF549" s="151"/>
      <c r="AG549" s="286">
        <v>45992</v>
      </c>
      <c r="AH549" s="49">
        <v>45971</v>
      </c>
      <c r="AI549" s="266">
        <v>45931</v>
      </c>
      <c r="AJ549" s="150" t="s">
        <v>648</v>
      </c>
      <c r="AK549" s="369" t="s">
        <v>1064</v>
      </c>
      <c r="AL549" s="369" t="s">
        <v>239</v>
      </c>
      <c r="AM549" s="150" t="s">
        <v>209</v>
      </c>
      <c r="AN549" s="367"/>
      <c r="AO549" s="367"/>
      <c r="AP549" s="367"/>
      <c r="AT549" s="45">
        <v>45945</v>
      </c>
      <c r="AU549" s="45">
        <v>45884</v>
      </c>
      <c r="AV549" s="45">
        <v>45884</v>
      </c>
      <c r="AW549" s="45">
        <v>45869</v>
      </c>
      <c r="AX549" s="367"/>
      <c r="AY549" s="367"/>
      <c r="AZ549" s="45">
        <v>45961</v>
      </c>
      <c r="BA549" s="45"/>
      <c r="BB549" s="152"/>
      <c r="BC549" s="152"/>
      <c r="BD549" s="367" t="s">
        <v>1605</v>
      </c>
      <c r="BE549" s="367"/>
      <c r="BF549" s="367"/>
      <c r="BG549" s="367"/>
      <c r="BH549" s="64" t="e">
        <f>#REF!</f>
        <v>#REF!</v>
      </c>
      <c r="BL549" s="54"/>
    </row>
    <row r="550" spans="1:64" ht="36" customHeight="1" x14ac:dyDescent="0.3">
      <c r="A550" s="305">
        <f t="shared" si="11"/>
        <v>545</v>
      </c>
      <c r="B550" s="54" t="s">
        <v>1835</v>
      </c>
      <c r="C550" s="367" t="s">
        <v>5</v>
      </c>
      <c r="D550" s="367" t="s">
        <v>1751</v>
      </c>
      <c r="E550" s="45">
        <v>46059</v>
      </c>
      <c r="F550" s="45">
        <v>46079</v>
      </c>
      <c r="G550" s="45"/>
      <c r="H550" s="45"/>
      <c r="I550" s="367"/>
      <c r="J550" s="54" t="s">
        <v>521</v>
      </c>
      <c r="K550" s="48"/>
      <c r="L550" s="367"/>
      <c r="M550" s="150" t="s">
        <v>120</v>
      </c>
      <c r="N550" s="367"/>
      <c r="O550" s="367"/>
      <c r="P550" s="367"/>
      <c r="Q550" s="367"/>
      <c r="R550" s="367"/>
      <c r="S550" s="367"/>
      <c r="T550" s="367"/>
      <c r="U550" s="367"/>
      <c r="V550" s="367"/>
      <c r="W550" s="367"/>
      <c r="X550" s="367" t="s">
        <v>1752</v>
      </c>
      <c r="Y550" s="367"/>
      <c r="Z550" s="367"/>
      <c r="AA550" s="367"/>
      <c r="AB550" s="150"/>
      <c r="AC550" s="48" t="s">
        <v>1836</v>
      </c>
      <c r="AD550" s="150" t="s">
        <v>55</v>
      </c>
      <c r="AE550" s="151"/>
      <c r="AF550" s="151"/>
      <c r="AG550" s="286">
        <v>45682</v>
      </c>
      <c r="AH550" s="49">
        <v>46016</v>
      </c>
      <c r="AI550" s="266">
        <v>45992</v>
      </c>
      <c r="AJ550" s="150" t="s">
        <v>648</v>
      </c>
      <c r="AK550" s="369" t="s">
        <v>161</v>
      </c>
      <c r="AL550" s="369" t="s">
        <v>175</v>
      </c>
      <c r="AM550" s="150" t="s">
        <v>209</v>
      </c>
      <c r="AN550" s="367"/>
      <c r="AO550" s="367"/>
      <c r="AP550" s="367"/>
      <c r="AT550" s="45">
        <v>45950</v>
      </c>
      <c r="AU550" s="45">
        <v>45868</v>
      </c>
      <c r="AV550" s="45">
        <v>45876</v>
      </c>
      <c r="AW550" s="45">
        <v>45876</v>
      </c>
      <c r="AX550" s="367"/>
      <c r="AY550" s="367"/>
      <c r="AZ550" s="367"/>
      <c r="BA550" s="367"/>
      <c r="BB550" s="152" t="s">
        <v>1781</v>
      </c>
      <c r="BC550" s="152"/>
      <c r="BD550" s="367" t="s">
        <v>1605</v>
      </c>
      <c r="BE550" s="367"/>
      <c r="BF550" s="367"/>
      <c r="BG550" s="367"/>
      <c r="BH550" s="64" t="e">
        <f>#REF!</f>
        <v>#REF!</v>
      </c>
      <c r="BL550" s="54"/>
    </row>
    <row r="551" spans="1:64" ht="36" customHeight="1" x14ac:dyDescent="0.3">
      <c r="A551" s="305">
        <f t="shared" si="11"/>
        <v>546</v>
      </c>
      <c r="B551" s="54" t="s">
        <v>1837</v>
      </c>
      <c r="C551" s="367" t="s">
        <v>5</v>
      </c>
      <c r="D551" s="367" t="s">
        <v>1756</v>
      </c>
      <c r="E551" s="45">
        <v>46059</v>
      </c>
      <c r="F551" s="45">
        <v>46079</v>
      </c>
      <c r="G551" s="45"/>
      <c r="H551" s="45"/>
      <c r="I551" s="367"/>
      <c r="J551" s="54" t="s">
        <v>521</v>
      </c>
      <c r="K551" s="48"/>
      <c r="L551" s="367"/>
      <c r="M551" s="150" t="s">
        <v>120</v>
      </c>
      <c r="N551" s="367"/>
      <c r="O551" s="367"/>
      <c r="P551" s="367"/>
      <c r="Q551" s="367"/>
      <c r="R551" s="367"/>
      <c r="S551" s="367"/>
      <c r="T551" s="367"/>
      <c r="U551" s="367"/>
      <c r="V551" s="367"/>
      <c r="W551" s="367"/>
      <c r="X551" s="367" t="s">
        <v>1752</v>
      </c>
      <c r="Y551" s="367"/>
      <c r="Z551" s="367"/>
      <c r="AA551" s="367"/>
      <c r="AB551" s="150"/>
      <c r="AC551" s="48" t="s">
        <v>1838</v>
      </c>
      <c r="AD551" s="150" t="s">
        <v>55</v>
      </c>
      <c r="AE551" s="151"/>
      <c r="AF551" s="151"/>
      <c r="AG551" s="286">
        <v>45682</v>
      </c>
      <c r="AH551" s="49">
        <v>46016</v>
      </c>
      <c r="AI551" s="266">
        <v>45992</v>
      </c>
      <c r="AJ551" s="150" t="s">
        <v>648</v>
      </c>
      <c r="AK551" s="369" t="s">
        <v>161</v>
      </c>
      <c r="AL551" s="369" t="s">
        <v>175</v>
      </c>
      <c r="AM551" s="150" t="s">
        <v>209</v>
      </c>
      <c r="AN551" s="367"/>
      <c r="AO551" s="367"/>
      <c r="AP551" s="367"/>
      <c r="AT551" s="45">
        <v>45950</v>
      </c>
      <c r="AU551" s="45">
        <v>45868</v>
      </c>
      <c r="AV551" s="45">
        <v>45876</v>
      </c>
      <c r="AW551" s="45">
        <v>45876</v>
      </c>
      <c r="AX551" s="367"/>
      <c r="AY551" s="367"/>
      <c r="AZ551" s="367"/>
      <c r="BA551" s="367"/>
      <c r="BB551" s="152" t="s">
        <v>1781</v>
      </c>
      <c r="BC551" s="152"/>
      <c r="BD551" s="367" t="s">
        <v>1605</v>
      </c>
      <c r="BE551" s="367"/>
      <c r="BF551" s="367"/>
      <c r="BG551" s="367"/>
      <c r="BH551" s="64" t="e">
        <f>#REF!</f>
        <v>#REF!</v>
      </c>
      <c r="BL551" s="54"/>
    </row>
    <row r="552" spans="1:64" ht="36" customHeight="1" x14ac:dyDescent="0.3">
      <c r="A552" s="305">
        <f t="shared" si="11"/>
        <v>547</v>
      </c>
      <c r="B552" s="54" t="s">
        <v>1839</v>
      </c>
      <c r="C552" s="367" t="s">
        <v>5</v>
      </c>
      <c r="D552" s="367" t="s">
        <v>1759</v>
      </c>
      <c r="E552" s="45">
        <v>46059</v>
      </c>
      <c r="F552" s="45">
        <v>46079</v>
      </c>
      <c r="G552" s="45"/>
      <c r="H552" s="45"/>
      <c r="I552" s="367"/>
      <c r="J552" s="54" t="s">
        <v>521</v>
      </c>
      <c r="K552" s="48"/>
      <c r="L552" s="367"/>
      <c r="M552" s="150" t="s">
        <v>120</v>
      </c>
      <c r="N552" s="367"/>
      <c r="O552" s="367"/>
      <c r="P552" s="367"/>
      <c r="Q552" s="367"/>
      <c r="R552" s="367"/>
      <c r="S552" s="367"/>
      <c r="T552" s="367"/>
      <c r="U552" s="367"/>
      <c r="V552" s="367"/>
      <c r="W552" s="367"/>
      <c r="X552" s="367" t="s">
        <v>1752</v>
      </c>
      <c r="Y552" s="367"/>
      <c r="Z552" s="367"/>
      <c r="AA552" s="367"/>
      <c r="AB552" s="150"/>
      <c r="AC552" s="48" t="s">
        <v>1840</v>
      </c>
      <c r="AD552" s="150" t="s">
        <v>55</v>
      </c>
      <c r="AE552" s="151"/>
      <c r="AF552" s="151"/>
      <c r="AG552" s="286">
        <v>45682</v>
      </c>
      <c r="AH552" s="49">
        <v>46016</v>
      </c>
      <c r="AI552" s="266">
        <v>45992</v>
      </c>
      <c r="AJ552" s="150" t="s">
        <v>648</v>
      </c>
      <c r="AK552" s="369" t="s">
        <v>161</v>
      </c>
      <c r="AL552" s="369" t="s">
        <v>175</v>
      </c>
      <c r="AM552" s="150" t="s">
        <v>209</v>
      </c>
      <c r="AN552" s="367"/>
      <c r="AO552" s="367"/>
      <c r="AP552" s="367"/>
      <c r="AT552" s="45">
        <v>45950</v>
      </c>
      <c r="AU552" s="45">
        <v>45868</v>
      </c>
      <c r="AV552" s="45">
        <v>45876</v>
      </c>
      <c r="AW552" s="45">
        <v>45876</v>
      </c>
      <c r="AX552" s="367"/>
      <c r="AY552" s="367"/>
      <c r="AZ552" s="367"/>
      <c r="BA552" s="367"/>
      <c r="BB552" s="152" t="s">
        <v>1781</v>
      </c>
      <c r="BC552" s="152"/>
      <c r="BD552" s="367" t="s">
        <v>1605</v>
      </c>
      <c r="BE552" s="367"/>
      <c r="BF552" s="367"/>
      <c r="BG552" s="367"/>
      <c r="BH552" s="64" t="e">
        <f>#REF!</f>
        <v>#REF!</v>
      </c>
      <c r="BL552" s="54"/>
    </row>
    <row r="553" spans="1:64" ht="36" customHeight="1" x14ac:dyDescent="0.3">
      <c r="A553" s="305">
        <f t="shared" si="11"/>
        <v>548</v>
      </c>
      <c r="B553" s="54" t="s">
        <v>1841</v>
      </c>
      <c r="C553" s="367" t="s">
        <v>5</v>
      </c>
      <c r="D553" s="367" t="s">
        <v>1762</v>
      </c>
      <c r="E553" s="45">
        <v>46046</v>
      </c>
      <c r="F553" s="45">
        <v>46052</v>
      </c>
      <c r="G553" s="45"/>
      <c r="H553" s="45"/>
      <c r="I553" s="367"/>
      <c r="J553" s="54" t="s">
        <v>521</v>
      </c>
      <c r="K553" s="48"/>
      <c r="L553" s="367"/>
      <c r="M553" s="150" t="s">
        <v>120</v>
      </c>
      <c r="N553" s="367"/>
      <c r="O553" s="367"/>
      <c r="P553" s="311"/>
      <c r="Q553" s="367"/>
      <c r="R553" s="367"/>
      <c r="S553" s="367"/>
      <c r="T553" s="367"/>
      <c r="U553" s="367"/>
      <c r="V553" s="367"/>
      <c r="W553" s="367"/>
      <c r="X553" s="367" t="s">
        <v>1752</v>
      </c>
      <c r="Y553" s="367"/>
      <c r="Z553" s="367"/>
      <c r="AA553" s="367"/>
      <c r="AB553" s="150"/>
      <c r="AC553" s="48" t="s">
        <v>1842</v>
      </c>
      <c r="AD553" s="150" t="s">
        <v>55</v>
      </c>
      <c r="AE553" s="151"/>
      <c r="AF553" s="151"/>
      <c r="AG553" s="286">
        <v>45682</v>
      </c>
      <c r="AH553" s="49">
        <v>46016</v>
      </c>
      <c r="AI553" s="266">
        <v>45992</v>
      </c>
      <c r="AJ553" s="150" t="s">
        <v>648</v>
      </c>
      <c r="AK553" s="369" t="s">
        <v>161</v>
      </c>
      <c r="AL553" s="369" t="s">
        <v>175</v>
      </c>
      <c r="AM553" s="150" t="s">
        <v>209</v>
      </c>
      <c r="AN553" s="367"/>
      <c r="AO553" s="367"/>
      <c r="AP553" s="367"/>
      <c r="AT553" s="45">
        <v>45950</v>
      </c>
      <c r="AU553" s="45">
        <v>45868</v>
      </c>
      <c r="AV553" s="45">
        <v>45876</v>
      </c>
      <c r="AW553" s="45">
        <v>45876</v>
      </c>
      <c r="AX553" s="367"/>
      <c r="AY553" s="367"/>
      <c r="AZ553" s="367"/>
      <c r="BA553" s="367"/>
      <c r="BB553" s="152" t="s">
        <v>1781</v>
      </c>
      <c r="BC553" s="152"/>
      <c r="BD553" s="367" t="s">
        <v>1605</v>
      </c>
      <c r="BE553" s="367"/>
      <c r="BF553" s="367"/>
      <c r="BG553" s="367"/>
      <c r="BH553" s="64" t="e">
        <f>#REF!</f>
        <v>#REF!</v>
      </c>
      <c r="BL553" s="54"/>
    </row>
    <row r="554" spans="1:64" ht="36" customHeight="1" x14ac:dyDescent="0.3">
      <c r="A554" s="305">
        <f t="shared" si="11"/>
        <v>549</v>
      </c>
      <c r="B554" s="54" t="s">
        <v>1843</v>
      </c>
      <c r="C554" s="367" t="s">
        <v>5</v>
      </c>
      <c r="D554" s="367" t="s">
        <v>1762</v>
      </c>
      <c r="E554" s="45">
        <v>46046</v>
      </c>
      <c r="F554" s="45">
        <v>46052</v>
      </c>
      <c r="G554" s="45"/>
      <c r="H554" s="45"/>
      <c r="I554" s="367"/>
      <c r="J554" s="54" t="s">
        <v>521</v>
      </c>
      <c r="K554" s="48"/>
      <c r="L554" s="367"/>
      <c r="M554" s="150" t="s">
        <v>120</v>
      </c>
      <c r="N554" s="367"/>
      <c r="O554" s="367"/>
      <c r="P554" s="311"/>
      <c r="Q554" s="367"/>
      <c r="R554" s="367"/>
      <c r="S554" s="367"/>
      <c r="T554" s="367"/>
      <c r="U554" s="367"/>
      <c r="V554" s="367"/>
      <c r="W554" s="367"/>
      <c r="X554" s="367" t="s">
        <v>1752</v>
      </c>
      <c r="Y554" s="367"/>
      <c r="Z554" s="367"/>
      <c r="AA554" s="367"/>
      <c r="AB554" s="150"/>
      <c r="AC554" s="48" t="s">
        <v>1844</v>
      </c>
      <c r="AD554" s="150" t="s">
        <v>55</v>
      </c>
      <c r="AE554" s="151"/>
      <c r="AF554" s="151"/>
      <c r="AG554" s="286">
        <v>45682</v>
      </c>
      <c r="AH554" s="49">
        <v>46016</v>
      </c>
      <c r="AI554" s="266">
        <v>45992</v>
      </c>
      <c r="AJ554" s="150" t="s">
        <v>648</v>
      </c>
      <c r="AK554" s="369" t="s">
        <v>161</v>
      </c>
      <c r="AL554" s="369" t="s">
        <v>175</v>
      </c>
      <c r="AM554" s="150" t="s">
        <v>209</v>
      </c>
      <c r="AN554" s="367"/>
      <c r="AO554" s="367"/>
      <c r="AP554" s="367"/>
      <c r="AT554" s="45">
        <v>45950</v>
      </c>
      <c r="AU554" s="45">
        <v>45868</v>
      </c>
      <c r="AV554" s="45">
        <v>45876</v>
      </c>
      <c r="AW554" s="45">
        <v>45876</v>
      </c>
      <c r="AX554" s="367"/>
      <c r="AY554" s="367"/>
      <c r="AZ554" s="367"/>
      <c r="BA554" s="367"/>
      <c r="BB554" s="152" t="s">
        <v>1781</v>
      </c>
      <c r="BC554" s="152"/>
      <c r="BD554" s="367" t="s">
        <v>1605</v>
      </c>
      <c r="BE554" s="367"/>
      <c r="BF554" s="367"/>
      <c r="BG554" s="367"/>
      <c r="BH554" s="64" t="e">
        <f>#REF!</f>
        <v>#REF!</v>
      </c>
      <c r="BL554" s="54"/>
    </row>
    <row r="555" spans="1:64" ht="36" customHeight="1" x14ac:dyDescent="0.3">
      <c r="A555" s="305">
        <f t="shared" si="11"/>
        <v>550</v>
      </c>
      <c r="B555" s="54" t="s">
        <v>1845</v>
      </c>
      <c r="C555" s="367" t="s">
        <v>5</v>
      </c>
      <c r="D555" s="367" t="s">
        <v>1767</v>
      </c>
      <c r="E555" s="45">
        <v>46046</v>
      </c>
      <c r="F555" s="45">
        <v>46052</v>
      </c>
      <c r="G555" s="45"/>
      <c r="H555" s="45"/>
      <c r="I555" s="367"/>
      <c r="J555" s="54" t="s">
        <v>521</v>
      </c>
      <c r="K555" s="48"/>
      <c r="L555" s="367"/>
      <c r="M555" s="150" t="s">
        <v>120</v>
      </c>
      <c r="N555" s="367"/>
      <c r="O555" s="367"/>
      <c r="P555" s="311"/>
      <c r="Q555" s="367"/>
      <c r="R555" s="367"/>
      <c r="S555" s="367"/>
      <c r="T555" s="367"/>
      <c r="U555" s="367"/>
      <c r="V555" s="367"/>
      <c r="W555" s="367"/>
      <c r="X555" s="367" t="s">
        <v>1752</v>
      </c>
      <c r="Y555" s="367"/>
      <c r="Z555" s="367"/>
      <c r="AA555" s="367"/>
      <c r="AB555" s="150"/>
      <c r="AC555" s="48" t="s">
        <v>1846</v>
      </c>
      <c r="AD555" s="150" t="s">
        <v>55</v>
      </c>
      <c r="AE555" s="151"/>
      <c r="AF555" s="151"/>
      <c r="AG555" s="286">
        <v>45682</v>
      </c>
      <c r="AH555" s="49">
        <v>46016</v>
      </c>
      <c r="AI555" s="266">
        <v>45992</v>
      </c>
      <c r="AJ555" s="150" t="s">
        <v>648</v>
      </c>
      <c r="AK555" s="369" t="s">
        <v>161</v>
      </c>
      <c r="AL555" s="369" t="s">
        <v>175</v>
      </c>
      <c r="AM555" s="150" t="s">
        <v>209</v>
      </c>
      <c r="AN555" s="367"/>
      <c r="AO555" s="367"/>
      <c r="AP555" s="367"/>
      <c r="AT555" s="45">
        <v>45950</v>
      </c>
      <c r="AU555" s="45">
        <v>45868</v>
      </c>
      <c r="AV555" s="45">
        <v>45876</v>
      </c>
      <c r="AW555" s="45">
        <v>45876</v>
      </c>
      <c r="AX555" s="367"/>
      <c r="AY555" s="367"/>
      <c r="AZ555" s="367"/>
      <c r="BA555" s="367"/>
      <c r="BB555" s="152" t="s">
        <v>1781</v>
      </c>
      <c r="BC555" s="152"/>
      <c r="BD555" s="367" t="s">
        <v>1605</v>
      </c>
      <c r="BE555" s="367"/>
      <c r="BF555" s="367"/>
      <c r="BG555" s="367"/>
      <c r="BH555" s="64" t="e">
        <f>#REF!</f>
        <v>#REF!</v>
      </c>
      <c r="BL555" s="54"/>
    </row>
    <row r="556" spans="1:64" ht="36" customHeight="1" x14ac:dyDescent="0.3">
      <c r="A556" s="305">
        <f t="shared" si="11"/>
        <v>551</v>
      </c>
      <c r="B556" s="54" t="s">
        <v>1847</v>
      </c>
      <c r="C556" s="367" t="s">
        <v>5</v>
      </c>
      <c r="D556" s="367" t="s">
        <v>1767</v>
      </c>
      <c r="E556" s="45">
        <v>46079</v>
      </c>
      <c r="F556" s="45">
        <v>46087</v>
      </c>
      <c r="G556" s="45"/>
      <c r="H556" s="45"/>
      <c r="I556" s="367"/>
      <c r="J556" s="54" t="s">
        <v>521</v>
      </c>
      <c r="K556" s="48"/>
      <c r="L556" s="367"/>
      <c r="M556" s="150" t="s">
        <v>120</v>
      </c>
      <c r="N556" s="367"/>
      <c r="O556" s="367"/>
      <c r="P556" s="367"/>
      <c r="Q556" s="367"/>
      <c r="R556" s="367"/>
      <c r="S556" s="367"/>
      <c r="T556" s="367"/>
      <c r="U556" s="367"/>
      <c r="V556" s="367"/>
      <c r="W556" s="367"/>
      <c r="X556" s="367" t="s">
        <v>1752</v>
      </c>
      <c r="Y556" s="367"/>
      <c r="Z556" s="367"/>
      <c r="AA556" s="367"/>
      <c r="AB556" s="150"/>
      <c r="AC556" s="48" t="s">
        <v>1848</v>
      </c>
      <c r="AD556" s="150" t="s">
        <v>55</v>
      </c>
      <c r="AE556" s="262"/>
      <c r="AF556" s="262"/>
      <c r="AG556" s="286">
        <v>46078</v>
      </c>
      <c r="AH556" s="49">
        <v>46047</v>
      </c>
      <c r="AI556" s="266">
        <v>46023</v>
      </c>
      <c r="AJ556" s="150" t="s">
        <v>648</v>
      </c>
      <c r="AK556" s="369" t="s">
        <v>161</v>
      </c>
      <c r="AL556" s="369" t="s">
        <v>175</v>
      </c>
      <c r="AM556" s="150" t="s">
        <v>209</v>
      </c>
      <c r="AN556" s="367"/>
      <c r="AO556" s="367"/>
      <c r="AP556" s="367"/>
      <c r="AT556" s="45">
        <v>45981</v>
      </c>
      <c r="AU556" s="45">
        <v>45868</v>
      </c>
      <c r="AV556" s="45">
        <v>45876</v>
      </c>
      <c r="AW556" s="45">
        <v>45876</v>
      </c>
      <c r="AX556" s="367"/>
      <c r="AY556" s="367"/>
      <c r="AZ556" s="367"/>
      <c r="BA556" s="367"/>
      <c r="BB556" s="152" t="s">
        <v>1781</v>
      </c>
      <c r="BC556" s="152"/>
      <c r="BD556" s="367" t="s">
        <v>1605</v>
      </c>
      <c r="BE556" s="367"/>
      <c r="BF556" s="367"/>
      <c r="BG556" s="367"/>
      <c r="BH556" s="64" t="e">
        <f>#REF!</f>
        <v>#REF!</v>
      </c>
      <c r="BL556" s="54"/>
    </row>
    <row r="557" spans="1:64" ht="36" customHeight="1" x14ac:dyDescent="0.3">
      <c r="A557" s="305">
        <f t="shared" si="11"/>
        <v>552</v>
      </c>
      <c r="B557" s="54" t="s">
        <v>1849</v>
      </c>
      <c r="C557" s="367" t="s">
        <v>5</v>
      </c>
      <c r="D557" s="367" t="s">
        <v>1767</v>
      </c>
      <c r="E557" s="45">
        <v>46093</v>
      </c>
      <c r="F557" s="45">
        <v>46106</v>
      </c>
      <c r="G557" s="45"/>
      <c r="H557" s="45"/>
      <c r="I557" s="367"/>
      <c r="J557" s="54" t="s">
        <v>521</v>
      </c>
      <c r="K557" s="48"/>
      <c r="L557" s="367"/>
      <c r="M557" s="150" t="s">
        <v>120</v>
      </c>
      <c r="N557" s="367"/>
      <c r="O557" s="367"/>
      <c r="P557" s="311"/>
      <c r="Q557" s="367"/>
      <c r="R557" s="367"/>
      <c r="S557" s="367"/>
      <c r="T557" s="367"/>
      <c r="U557" s="367"/>
      <c r="V557" s="367"/>
      <c r="W557" s="367"/>
      <c r="X557" s="367" t="s">
        <v>1752</v>
      </c>
      <c r="Y557" s="367"/>
      <c r="Z557" s="367"/>
      <c r="AA557" s="367"/>
      <c r="AB557" s="150"/>
      <c r="AC557" s="48" t="s">
        <v>1850</v>
      </c>
      <c r="AD557" s="150" t="s">
        <v>55</v>
      </c>
      <c r="AE557" s="262"/>
      <c r="AF557" s="262"/>
      <c r="AG557" s="286">
        <v>46078</v>
      </c>
      <c r="AH557" s="49">
        <v>46047</v>
      </c>
      <c r="AI557" s="266">
        <v>46023</v>
      </c>
      <c r="AJ557" s="150" t="s">
        <v>648</v>
      </c>
      <c r="AK557" s="369" t="s">
        <v>161</v>
      </c>
      <c r="AL557" s="369" t="s">
        <v>175</v>
      </c>
      <c r="AM557" s="150" t="s">
        <v>209</v>
      </c>
      <c r="AN557" s="367"/>
      <c r="AO557" s="367"/>
      <c r="AP557" s="367"/>
      <c r="AT557" s="45">
        <v>45981</v>
      </c>
      <c r="AU557" s="45">
        <v>45868</v>
      </c>
      <c r="AV557" s="45">
        <v>45876</v>
      </c>
      <c r="AW557" s="45">
        <v>45876</v>
      </c>
      <c r="AX557" s="367"/>
      <c r="AY557" s="367"/>
      <c r="AZ557" s="367"/>
      <c r="BA557" s="367"/>
      <c r="BB557" s="152" t="s">
        <v>1781</v>
      </c>
      <c r="BC557" s="152"/>
      <c r="BD557" s="367" t="s">
        <v>1605</v>
      </c>
      <c r="BE557" s="367"/>
      <c r="BF557" s="367"/>
      <c r="BG557" s="367"/>
      <c r="BH557" s="64" t="e">
        <f>#REF!</f>
        <v>#REF!</v>
      </c>
      <c r="BL557" s="54"/>
    </row>
    <row r="558" spans="1:64" ht="36" customHeight="1" x14ac:dyDescent="0.3">
      <c r="A558" s="305">
        <f t="shared" si="11"/>
        <v>553</v>
      </c>
      <c r="B558" s="54" t="s">
        <v>1851</v>
      </c>
      <c r="C558" s="367" t="s">
        <v>5</v>
      </c>
      <c r="D558" s="367" t="s">
        <v>1772</v>
      </c>
      <c r="E558" s="45">
        <v>46094</v>
      </c>
      <c r="F558" s="45">
        <v>46106</v>
      </c>
      <c r="G558" s="45"/>
      <c r="H558" s="45"/>
      <c r="I558" s="367"/>
      <c r="J558" s="54" t="s">
        <v>521</v>
      </c>
      <c r="K558" s="48"/>
      <c r="L558" s="367"/>
      <c r="M558" s="150" t="s">
        <v>120</v>
      </c>
      <c r="N558" s="367"/>
      <c r="O558" s="367"/>
      <c r="P558" s="311"/>
      <c r="Q558" s="367"/>
      <c r="R558" s="367"/>
      <c r="S558" s="367"/>
      <c r="T558" s="367"/>
      <c r="U558" s="367"/>
      <c r="V558" s="367"/>
      <c r="W558" s="367"/>
      <c r="X558" s="367" t="s">
        <v>1752</v>
      </c>
      <c r="Y558" s="367"/>
      <c r="Z558" s="367"/>
      <c r="AA558" s="367"/>
      <c r="AB558" s="150"/>
      <c r="AC558" s="48" t="s">
        <v>1852</v>
      </c>
      <c r="AD558" s="150" t="s">
        <v>55</v>
      </c>
      <c r="AE558" s="262"/>
      <c r="AF558" s="262"/>
      <c r="AG558" s="286">
        <v>46111</v>
      </c>
      <c r="AH558" s="49">
        <v>46047</v>
      </c>
      <c r="AI558" s="266">
        <v>46023</v>
      </c>
      <c r="AJ558" s="150" t="s">
        <v>648</v>
      </c>
      <c r="AK558" s="369" t="s">
        <v>161</v>
      </c>
      <c r="AL558" s="369" t="s">
        <v>175</v>
      </c>
      <c r="AM558" s="150" t="s">
        <v>209</v>
      </c>
      <c r="AN558" s="367"/>
      <c r="AO558" s="367"/>
      <c r="AP558" s="367"/>
      <c r="AT558" s="45">
        <v>45981</v>
      </c>
      <c r="AU558" s="45">
        <v>45868</v>
      </c>
      <c r="AV558" s="45">
        <v>45876</v>
      </c>
      <c r="AW558" s="45">
        <v>45876</v>
      </c>
      <c r="AX558" s="367"/>
      <c r="AY558" s="367"/>
      <c r="AZ558" s="367"/>
      <c r="BA558" s="367"/>
      <c r="BB558" s="152" t="s">
        <v>1781</v>
      </c>
      <c r="BC558" s="152"/>
      <c r="BD558" s="367" t="s">
        <v>1605</v>
      </c>
      <c r="BE558" s="367"/>
      <c r="BF558" s="367"/>
      <c r="BG558" s="367"/>
      <c r="BH558" s="64" t="e">
        <f>#REF!</f>
        <v>#REF!</v>
      </c>
      <c r="BL558" s="54"/>
    </row>
    <row r="559" spans="1:64" ht="36" customHeight="1" x14ac:dyDescent="0.3">
      <c r="A559" s="167">
        <f t="shared" si="11"/>
        <v>554</v>
      </c>
      <c r="B559" s="168" t="s">
        <v>1853</v>
      </c>
      <c r="C559" s="169" t="s">
        <v>5</v>
      </c>
      <c r="D559" s="169" t="s">
        <v>1751</v>
      </c>
      <c r="E559" s="176">
        <v>46086</v>
      </c>
      <c r="F559" s="45">
        <v>46106</v>
      </c>
      <c r="G559" s="176"/>
      <c r="H559" s="176"/>
      <c r="I559" s="169"/>
      <c r="J559" s="168" t="s">
        <v>521</v>
      </c>
      <c r="K559" s="52"/>
      <c r="L559" s="169"/>
      <c r="M559" s="150" t="s">
        <v>120</v>
      </c>
      <c r="N559" s="169"/>
      <c r="O559" s="169"/>
      <c r="P559" s="169"/>
      <c r="Q559" s="169"/>
      <c r="R559" s="169"/>
      <c r="S559" s="169"/>
      <c r="T559" s="169"/>
      <c r="U559" s="169"/>
      <c r="V559" s="169"/>
      <c r="W559" s="169"/>
      <c r="X559" s="169" t="s">
        <v>1752</v>
      </c>
      <c r="Y559" s="169"/>
      <c r="Z559" s="169"/>
      <c r="AA559" s="169"/>
      <c r="AB559" s="171"/>
      <c r="AC559" s="52" t="s">
        <v>1854</v>
      </c>
      <c r="AD559" s="171" t="s">
        <v>55</v>
      </c>
      <c r="AE559" s="277"/>
      <c r="AF559" s="277"/>
      <c r="AG559" s="287">
        <v>46111</v>
      </c>
      <c r="AH559" s="173">
        <v>46047</v>
      </c>
      <c r="AI559" s="278">
        <v>46023</v>
      </c>
      <c r="AJ559" s="171" t="s">
        <v>648</v>
      </c>
      <c r="AK559" s="261" t="s">
        <v>161</v>
      </c>
      <c r="AL559" s="261" t="s">
        <v>175</v>
      </c>
      <c r="AM559" s="171" t="s">
        <v>209</v>
      </c>
      <c r="AN559" s="367"/>
      <c r="AO559" s="367"/>
      <c r="AP559" s="367"/>
      <c r="AT559" s="176">
        <v>45981</v>
      </c>
      <c r="AU559" s="176">
        <v>45868</v>
      </c>
      <c r="AV559" s="176">
        <v>45876</v>
      </c>
      <c r="AW559" s="176">
        <v>45876</v>
      </c>
      <c r="AX559" s="169"/>
      <c r="AY559" s="169"/>
      <c r="AZ559" s="169"/>
      <c r="BA559" s="169"/>
      <c r="BB559" s="174" t="s">
        <v>1781</v>
      </c>
      <c r="BC559" s="174"/>
      <c r="BD559" s="169" t="s">
        <v>1605</v>
      </c>
      <c r="BE559" s="169"/>
      <c r="BF559" s="169"/>
      <c r="BG559" s="169"/>
      <c r="BH559" s="279" t="e">
        <f>#REF!</f>
        <v>#REF!</v>
      </c>
      <c r="BI559" s="279" t="e">
        <f>#REF!</f>
        <v>#REF!</v>
      </c>
      <c r="BJ559" s="279" t="e">
        <f>#REF!</f>
        <v>#REF!</v>
      </c>
      <c r="BK559" s="279" t="e">
        <f>#REF!</f>
        <v>#REF!</v>
      </c>
      <c r="BL559" s="168"/>
    </row>
    <row r="560" spans="1:64" ht="36" customHeight="1" x14ac:dyDescent="0.3">
      <c r="A560" s="305">
        <f t="shared" si="11"/>
        <v>555</v>
      </c>
      <c r="B560" s="54" t="s">
        <v>1855</v>
      </c>
      <c r="C560" s="367" t="s">
        <v>5</v>
      </c>
      <c r="D560" s="367" t="s">
        <v>1777</v>
      </c>
      <c r="E560" s="45">
        <v>46093</v>
      </c>
      <c r="F560" s="45">
        <v>46106</v>
      </c>
      <c r="G560" s="45"/>
      <c r="H560" s="45"/>
      <c r="I560" s="367"/>
      <c r="J560" s="54" t="s">
        <v>521</v>
      </c>
      <c r="K560" s="48"/>
      <c r="L560" s="367"/>
      <c r="M560" s="150" t="s">
        <v>120</v>
      </c>
      <c r="N560" s="367"/>
      <c r="O560" s="367"/>
      <c r="P560" s="367"/>
      <c r="Q560" s="367"/>
      <c r="R560" s="367"/>
      <c r="S560" s="367"/>
      <c r="T560" s="367"/>
      <c r="U560" s="367"/>
      <c r="V560" s="367"/>
      <c r="W560" s="367"/>
      <c r="X560" s="367" t="s">
        <v>1752</v>
      </c>
      <c r="Y560" s="367"/>
      <c r="Z560" s="367"/>
      <c r="AA560" s="367"/>
      <c r="AB560" s="150"/>
      <c r="AC560" s="48" t="s">
        <v>1856</v>
      </c>
      <c r="AD560" s="150" t="s">
        <v>55</v>
      </c>
      <c r="AE560" s="262"/>
      <c r="AF560" s="262"/>
      <c r="AG560" s="286">
        <v>46111</v>
      </c>
      <c r="AH560" s="49">
        <v>46047</v>
      </c>
      <c r="AI560" s="266">
        <v>46023</v>
      </c>
      <c r="AJ560" s="150" t="s">
        <v>648</v>
      </c>
      <c r="AK560" s="150" t="s">
        <v>161</v>
      </c>
      <c r="AL560" s="150" t="s">
        <v>175</v>
      </c>
      <c r="AM560" s="150" t="s">
        <v>209</v>
      </c>
      <c r="AN560" s="367"/>
      <c r="AO560" s="367"/>
      <c r="AP560" s="367"/>
      <c r="AQ560" s="366"/>
      <c r="AR560" s="367"/>
      <c r="AS560" s="367"/>
      <c r="AT560" s="45">
        <v>45981</v>
      </c>
      <c r="AU560" s="45">
        <v>45868</v>
      </c>
      <c r="AV560" s="45">
        <v>45876</v>
      </c>
      <c r="AW560" s="45">
        <v>45876</v>
      </c>
      <c r="AX560" s="367"/>
      <c r="AY560" s="367"/>
      <c r="AZ560" s="367"/>
      <c r="BA560" s="367"/>
      <c r="BB560" s="152" t="s">
        <v>1781</v>
      </c>
      <c r="BC560" s="152"/>
      <c r="BD560" s="367" t="s">
        <v>1605</v>
      </c>
      <c r="BE560" s="367"/>
      <c r="BF560" s="367"/>
      <c r="BG560" s="367"/>
      <c r="BH560" s="279" t="e">
        <f>#REF!</f>
        <v>#REF!</v>
      </c>
      <c r="BI560" s="54"/>
      <c r="BJ560" s="54"/>
      <c r="BK560" s="54"/>
      <c r="BL560" s="54"/>
    </row>
    <row r="561" spans="1:64" ht="36" customHeight="1" x14ac:dyDescent="0.3">
      <c r="A561" s="305">
        <f t="shared" si="11"/>
        <v>556</v>
      </c>
      <c r="B561" s="54" t="s">
        <v>1857</v>
      </c>
      <c r="C561" s="367" t="s">
        <v>5</v>
      </c>
      <c r="D561" s="367" t="s">
        <v>1777</v>
      </c>
      <c r="E561" s="45">
        <v>46079</v>
      </c>
      <c r="F561" s="45">
        <v>46087</v>
      </c>
      <c r="G561" s="45"/>
      <c r="H561" s="45"/>
      <c r="I561" s="367"/>
      <c r="J561" s="54" t="s">
        <v>521</v>
      </c>
      <c r="K561" s="48"/>
      <c r="L561" s="367"/>
      <c r="M561" s="150" t="s">
        <v>120</v>
      </c>
      <c r="N561" s="367"/>
      <c r="O561" s="367"/>
      <c r="P561" s="311"/>
      <c r="Q561" s="367"/>
      <c r="R561" s="367"/>
      <c r="S561" s="367"/>
      <c r="T561" s="367"/>
      <c r="U561" s="367"/>
      <c r="V561" s="367"/>
      <c r="W561" s="367"/>
      <c r="X561" s="367" t="s">
        <v>1752</v>
      </c>
      <c r="Y561" s="367"/>
      <c r="Z561" s="367"/>
      <c r="AA561" s="367"/>
      <c r="AB561" s="150"/>
      <c r="AC561" s="48" t="s">
        <v>1858</v>
      </c>
      <c r="AD561" s="150" t="s">
        <v>55</v>
      </c>
      <c r="AE561" s="262"/>
      <c r="AF561" s="262"/>
      <c r="AG561" s="286">
        <v>46111</v>
      </c>
      <c r="AH561" s="49">
        <v>46047</v>
      </c>
      <c r="AI561" s="266">
        <v>46023</v>
      </c>
      <c r="AJ561" s="150" t="s">
        <v>648</v>
      </c>
      <c r="AK561" s="150" t="s">
        <v>161</v>
      </c>
      <c r="AL561" s="150" t="s">
        <v>175</v>
      </c>
      <c r="AM561" s="150" t="s">
        <v>209</v>
      </c>
      <c r="AN561" s="367"/>
      <c r="AO561" s="367"/>
      <c r="AP561" s="367"/>
      <c r="AQ561" s="366"/>
      <c r="AR561" s="367"/>
      <c r="AS561" s="367"/>
      <c r="AT561" s="45">
        <v>45981</v>
      </c>
      <c r="AU561" s="45">
        <v>45868</v>
      </c>
      <c r="AV561" s="45">
        <v>45876</v>
      </c>
      <c r="AW561" s="45">
        <v>45876</v>
      </c>
      <c r="AX561" s="367"/>
      <c r="AY561" s="367"/>
      <c r="AZ561" s="367"/>
      <c r="BA561" s="367"/>
      <c r="BB561" s="152" t="s">
        <v>1781</v>
      </c>
      <c r="BC561" s="152"/>
      <c r="BD561" s="367" t="s">
        <v>1605</v>
      </c>
      <c r="BE561" s="367"/>
      <c r="BF561" s="367"/>
      <c r="BG561" s="367"/>
      <c r="BH561" s="279" t="e">
        <f>#REF!</f>
        <v>#REF!</v>
      </c>
      <c r="BI561" s="54"/>
      <c r="BJ561" s="54"/>
      <c r="BK561" s="54"/>
      <c r="BL561" s="54"/>
    </row>
    <row r="562" spans="1:64" ht="36" customHeight="1" x14ac:dyDescent="0.3">
      <c r="A562" s="305">
        <f t="shared" si="11"/>
        <v>557</v>
      </c>
      <c r="B562" s="54" t="s">
        <v>1859</v>
      </c>
      <c r="C562" s="367" t="s">
        <v>5</v>
      </c>
      <c r="D562" s="367" t="s">
        <v>1785</v>
      </c>
      <c r="E562" s="45">
        <v>46079</v>
      </c>
      <c r="F562" s="45">
        <v>46087</v>
      </c>
      <c r="G562" s="45"/>
      <c r="H562" s="45"/>
      <c r="I562" s="367"/>
      <c r="J562" s="54" t="s">
        <v>521</v>
      </c>
      <c r="K562" s="48"/>
      <c r="L562" s="367"/>
      <c r="M562" s="150" t="s">
        <v>120</v>
      </c>
      <c r="N562" s="367"/>
      <c r="O562" s="367"/>
      <c r="P562" s="311"/>
      <c r="Q562" s="367"/>
      <c r="R562" s="367"/>
      <c r="S562" s="367"/>
      <c r="T562" s="367"/>
      <c r="U562" s="367"/>
      <c r="V562" s="367"/>
      <c r="W562" s="367"/>
      <c r="X562" s="367" t="s">
        <v>1752</v>
      </c>
      <c r="Y562" s="367"/>
      <c r="Z562" s="367"/>
      <c r="AA562" s="367"/>
      <c r="AB562" s="150"/>
      <c r="AC562" s="48" t="s">
        <v>1860</v>
      </c>
      <c r="AD562" s="150" t="s">
        <v>55</v>
      </c>
      <c r="AE562" s="262"/>
      <c r="AF562" s="262"/>
      <c r="AG562" s="286">
        <v>46111</v>
      </c>
      <c r="AH562" s="49">
        <v>46047</v>
      </c>
      <c r="AI562" s="266">
        <v>46023</v>
      </c>
      <c r="AJ562" s="150" t="s">
        <v>648</v>
      </c>
      <c r="AK562" s="150" t="s">
        <v>161</v>
      </c>
      <c r="AL562" s="150" t="s">
        <v>175</v>
      </c>
      <c r="AM562" s="150" t="s">
        <v>209</v>
      </c>
      <c r="AN562" s="367"/>
      <c r="AO562" s="367"/>
      <c r="AP562" s="367"/>
      <c r="AQ562" s="366"/>
      <c r="AR562" s="367"/>
      <c r="AS562" s="367"/>
      <c r="AT562" s="45">
        <v>45981</v>
      </c>
      <c r="AU562" s="45">
        <v>45868</v>
      </c>
      <c r="AV562" s="45">
        <v>45876</v>
      </c>
      <c r="AW562" s="45">
        <v>45876</v>
      </c>
      <c r="AX562" s="367"/>
      <c r="AY562" s="367"/>
      <c r="AZ562" s="367"/>
      <c r="BA562" s="367"/>
      <c r="BB562" s="152" t="s">
        <v>1781</v>
      </c>
      <c r="BC562" s="152"/>
      <c r="BD562" s="367" t="s">
        <v>1605</v>
      </c>
      <c r="BE562" s="367"/>
      <c r="BF562" s="367"/>
      <c r="BG562" s="367"/>
      <c r="BH562" s="279" t="e">
        <f>#REF!</f>
        <v>#REF!</v>
      </c>
      <c r="BI562" s="54"/>
      <c r="BJ562" s="54"/>
      <c r="BK562" s="54"/>
      <c r="BL562" s="54"/>
    </row>
    <row r="563" spans="1:64" ht="36" customHeight="1" x14ac:dyDescent="0.3">
      <c r="A563" s="305">
        <f t="shared" si="11"/>
        <v>558</v>
      </c>
      <c r="B563" s="54" t="s">
        <v>1861</v>
      </c>
      <c r="C563" s="367" t="s">
        <v>5</v>
      </c>
      <c r="D563" s="367" t="s">
        <v>1785</v>
      </c>
      <c r="E563" s="45">
        <v>46084</v>
      </c>
      <c r="F563" s="45">
        <v>46087</v>
      </c>
      <c r="G563" s="45"/>
      <c r="H563" s="45"/>
      <c r="I563" s="367"/>
      <c r="J563" s="54" t="s">
        <v>521</v>
      </c>
      <c r="K563" s="48"/>
      <c r="L563" s="367"/>
      <c r="M563" s="150" t="s">
        <v>120</v>
      </c>
      <c r="N563" s="367"/>
      <c r="O563" s="367"/>
      <c r="P563" s="367"/>
      <c r="Q563" s="367"/>
      <c r="R563" s="367"/>
      <c r="S563" s="367"/>
      <c r="T563" s="367"/>
      <c r="U563" s="367"/>
      <c r="V563" s="367"/>
      <c r="W563" s="367"/>
      <c r="X563" s="367" t="s">
        <v>1752</v>
      </c>
      <c r="Y563" s="367"/>
      <c r="Z563" s="367"/>
      <c r="AA563" s="367"/>
      <c r="AB563" s="150"/>
      <c r="AC563" s="48" t="s">
        <v>1862</v>
      </c>
      <c r="AD563" s="150" t="s">
        <v>55</v>
      </c>
      <c r="AE563" s="262"/>
      <c r="AF563" s="262"/>
      <c r="AG563" s="286">
        <v>46111</v>
      </c>
      <c r="AH563" s="49">
        <v>46047</v>
      </c>
      <c r="AI563" s="266">
        <v>46023</v>
      </c>
      <c r="AJ563" s="150" t="s">
        <v>648</v>
      </c>
      <c r="AK563" s="150" t="s">
        <v>161</v>
      </c>
      <c r="AL563" s="150" t="s">
        <v>175</v>
      </c>
      <c r="AM563" s="150" t="s">
        <v>209</v>
      </c>
      <c r="AN563" s="367"/>
      <c r="AO563" s="367"/>
      <c r="AP563" s="367"/>
      <c r="AQ563" s="366"/>
      <c r="AR563" s="367"/>
      <c r="AS563" s="367"/>
      <c r="AT563" s="45">
        <v>45981</v>
      </c>
      <c r="AU563" s="45">
        <v>45868</v>
      </c>
      <c r="AV563" s="45">
        <v>45876</v>
      </c>
      <c r="AW563" s="45">
        <v>45876</v>
      </c>
      <c r="AX563" s="367"/>
      <c r="AY563" s="367"/>
      <c r="AZ563" s="367"/>
      <c r="BA563" s="367"/>
      <c r="BB563" s="152" t="s">
        <v>1781</v>
      </c>
      <c r="BC563" s="152"/>
      <c r="BD563" s="367" t="s">
        <v>1605</v>
      </c>
      <c r="BE563" s="367"/>
      <c r="BF563" s="367"/>
      <c r="BG563" s="367"/>
      <c r="BH563" s="279" t="e">
        <f>#REF!</f>
        <v>#REF!</v>
      </c>
      <c r="BI563" s="54"/>
      <c r="BJ563" s="54"/>
      <c r="BK563" s="54"/>
      <c r="BL563" s="54"/>
    </row>
    <row r="564" spans="1:64" ht="36" customHeight="1" x14ac:dyDescent="0.3">
      <c r="A564" s="305">
        <f t="shared" si="11"/>
        <v>559</v>
      </c>
      <c r="B564" s="54" t="s">
        <v>1863</v>
      </c>
      <c r="C564" s="367" t="s">
        <v>5</v>
      </c>
      <c r="D564" s="367" t="s">
        <v>1785</v>
      </c>
      <c r="E564" s="45">
        <v>46099</v>
      </c>
      <c r="F564" s="45">
        <v>46105</v>
      </c>
      <c r="G564" s="45"/>
      <c r="H564" s="45"/>
      <c r="I564" s="367"/>
      <c r="J564" s="54" t="s">
        <v>521</v>
      </c>
      <c r="K564" s="48"/>
      <c r="L564" s="367"/>
      <c r="M564" s="150" t="s">
        <v>120</v>
      </c>
      <c r="N564" s="367"/>
      <c r="O564" s="367"/>
      <c r="P564" s="311"/>
      <c r="Q564" s="367"/>
      <c r="R564" s="367"/>
      <c r="S564" s="367"/>
      <c r="T564" s="367"/>
      <c r="U564" s="367"/>
      <c r="V564" s="367"/>
      <c r="W564" s="367"/>
      <c r="X564" s="367" t="s">
        <v>1752</v>
      </c>
      <c r="Y564" s="367"/>
      <c r="Z564" s="367"/>
      <c r="AA564" s="367"/>
      <c r="AB564" s="150"/>
      <c r="AC564" s="48" t="s">
        <v>1864</v>
      </c>
      <c r="AD564" s="150" t="s">
        <v>55</v>
      </c>
      <c r="AE564" s="262"/>
      <c r="AF564" s="262"/>
      <c r="AG564" s="286">
        <v>46111</v>
      </c>
      <c r="AH564" s="49">
        <v>46047</v>
      </c>
      <c r="AI564" s="266">
        <v>46023</v>
      </c>
      <c r="AJ564" s="150" t="s">
        <v>330</v>
      </c>
      <c r="AK564" s="150" t="s">
        <v>161</v>
      </c>
      <c r="AL564" s="150" t="s">
        <v>175</v>
      </c>
      <c r="AM564" s="150" t="s">
        <v>209</v>
      </c>
      <c r="AN564" s="367"/>
      <c r="AO564" s="367"/>
      <c r="AP564" s="367"/>
      <c r="AQ564" s="366"/>
      <c r="AR564" s="367"/>
      <c r="AS564" s="367"/>
      <c r="AT564" s="45">
        <v>46011</v>
      </c>
      <c r="AU564" s="45">
        <v>45868</v>
      </c>
      <c r="AV564" s="45">
        <v>45876</v>
      </c>
      <c r="AW564" s="45">
        <v>45876</v>
      </c>
      <c r="AX564" s="367"/>
      <c r="AY564" s="367"/>
      <c r="AZ564" s="367"/>
      <c r="BA564" s="367"/>
      <c r="BB564" s="152" t="s">
        <v>1781</v>
      </c>
      <c r="BC564" s="152"/>
      <c r="BD564" s="367" t="s">
        <v>1605</v>
      </c>
      <c r="BE564" s="367"/>
      <c r="BF564" s="367"/>
      <c r="BG564" s="367"/>
      <c r="BH564" s="279" t="e">
        <f>#REF!</f>
        <v>#REF!</v>
      </c>
      <c r="BI564" s="54"/>
      <c r="BJ564" s="54"/>
      <c r="BK564" s="54"/>
      <c r="BL564" s="54"/>
    </row>
    <row r="565" spans="1:64" ht="36" customHeight="1" x14ac:dyDescent="0.3">
      <c r="A565" s="305">
        <f t="shared" si="11"/>
        <v>560</v>
      </c>
      <c r="B565" s="54" t="s">
        <v>1865</v>
      </c>
      <c r="C565" s="367" t="s">
        <v>5</v>
      </c>
      <c r="D565" s="367" t="s">
        <v>1790</v>
      </c>
      <c r="E565" s="45">
        <v>46101</v>
      </c>
      <c r="F565" s="45">
        <v>46105</v>
      </c>
      <c r="G565" s="45"/>
      <c r="H565" s="45"/>
      <c r="I565" s="367"/>
      <c r="J565" s="54" t="s">
        <v>521</v>
      </c>
      <c r="K565" s="48"/>
      <c r="L565" s="367"/>
      <c r="M565" s="150" t="s">
        <v>120</v>
      </c>
      <c r="N565" s="367"/>
      <c r="O565" s="367"/>
      <c r="P565" s="311"/>
      <c r="Q565" s="367"/>
      <c r="R565" s="367"/>
      <c r="S565" s="367"/>
      <c r="T565" s="367"/>
      <c r="U565" s="367"/>
      <c r="V565" s="367"/>
      <c r="W565" s="367"/>
      <c r="X565" s="367" t="s">
        <v>1752</v>
      </c>
      <c r="Y565" s="367"/>
      <c r="Z565" s="367"/>
      <c r="AA565" s="367"/>
      <c r="AB565" s="150"/>
      <c r="AC565" s="48" t="s">
        <v>1866</v>
      </c>
      <c r="AD565" s="150" t="s">
        <v>55</v>
      </c>
      <c r="AE565" s="262"/>
      <c r="AF565" s="262"/>
      <c r="AG565" s="286">
        <v>46111</v>
      </c>
      <c r="AH565" s="49">
        <v>46047</v>
      </c>
      <c r="AI565" s="266">
        <v>46023</v>
      </c>
      <c r="AJ565" s="150" t="s">
        <v>330</v>
      </c>
      <c r="AK565" s="150" t="s">
        <v>161</v>
      </c>
      <c r="AL565" s="150" t="s">
        <v>175</v>
      </c>
      <c r="AM565" s="150" t="s">
        <v>209</v>
      </c>
      <c r="AN565" s="367"/>
      <c r="AO565" s="367"/>
      <c r="AP565" s="367"/>
      <c r="AQ565" s="366"/>
      <c r="AR565" s="367"/>
      <c r="AS565" s="367"/>
      <c r="AT565" s="45">
        <v>46011</v>
      </c>
      <c r="AU565" s="45">
        <v>45868</v>
      </c>
      <c r="AV565" s="45">
        <v>45876</v>
      </c>
      <c r="AW565" s="45">
        <v>45876</v>
      </c>
      <c r="AX565" s="367"/>
      <c r="AY565" s="367"/>
      <c r="AZ565" s="367"/>
      <c r="BA565" s="367"/>
      <c r="BB565" s="152" t="s">
        <v>1781</v>
      </c>
      <c r="BC565" s="152"/>
      <c r="BD565" s="367" t="s">
        <v>1605</v>
      </c>
      <c r="BE565" s="367"/>
      <c r="BF565" s="367"/>
      <c r="BG565" s="367"/>
      <c r="BH565" s="279" t="e">
        <f>#REF!</f>
        <v>#REF!</v>
      </c>
      <c r="BI565" s="54"/>
      <c r="BJ565" s="54"/>
      <c r="BK565" s="54"/>
      <c r="BL565" s="54"/>
    </row>
    <row r="566" spans="1:64" ht="36" customHeight="1" x14ac:dyDescent="0.3">
      <c r="A566" s="305">
        <f t="shared" si="11"/>
        <v>561</v>
      </c>
      <c r="B566" s="54" t="s">
        <v>1867</v>
      </c>
      <c r="C566" s="367" t="s">
        <v>5</v>
      </c>
      <c r="D566" s="367" t="s">
        <v>1790</v>
      </c>
      <c r="E566" s="45">
        <v>46119</v>
      </c>
      <c r="F566" s="45">
        <v>46136</v>
      </c>
      <c r="G566" s="45"/>
      <c r="H566" s="45"/>
      <c r="I566" s="367"/>
      <c r="J566" s="54" t="s">
        <v>521</v>
      </c>
      <c r="K566" s="48"/>
      <c r="L566" s="367"/>
      <c r="M566" s="150" t="s">
        <v>120</v>
      </c>
      <c r="N566" s="367"/>
      <c r="O566" s="367"/>
      <c r="P566" s="311"/>
      <c r="Q566" s="367"/>
      <c r="R566" s="367"/>
      <c r="S566" s="367"/>
      <c r="T566" s="367"/>
      <c r="U566" s="367"/>
      <c r="V566" s="367"/>
      <c r="W566" s="367"/>
      <c r="X566" s="367" t="s">
        <v>1752</v>
      </c>
      <c r="Y566" s="367"/>
      <c r="Z566" s="367"/>
      <c r="AA566" s="367"/>
      <c r="AB566" s="150"/>
      <c r="AC566" s="48" t="s">
        <v>1868</v>
      </c>
      <c r="AD566" s="150" t="s">
        <v>55</v>
      </c>
      <c r="AE566" s="262"/>
      <c r="AF566" s="262"/>
      <c r="AG566" s="286">
        <v>46111</v>
      </c>
      <c r="AH566" s="49">
        <v>46078</v>
      </c>
      <c r="AI566" s="266">
        <v>46054</v>
      </c>
      <c r="AJ566" s="150" t="s">
        <v>330</v>
      </c>
      <c r="AK566" s="150" t="s">
        <v>161</v>
      </c>
      <c r="AL566" s="150" t="s">
        <v>175</v>
      </c>
      <c r="AM566" s="150" t="s">
        <v>209</v>
      </c>
      <c r="AN566" s="367"/>
      <c r="AO566" s="367"/>
      <c r="AP566" s="367"/>
      <c r="AQ566" s="366"/>
      <c r="AR566" s="367"/>
      <c r="AS566" s="367"/>
      <c r="AT566" s="288">
        <v>46011</v>
      </c>
      <c r="AU566" s="45">
        <v>45868</v>
      </c>
      <c r="AV566" s="45">
        <v>45876</v>
      </c>
      <c r="AW566" s="45">
        <v>45876</v>
      </c>
      <c r="AX566" s="367"/>
      <c r="AY566" s="367"/>
      <c r="AZ566" s="367"/>
      <c r="BA566" s="367"/>
      <c r="BB566" s="152" t="s">
        <v>1781</v>
      </c>
      <c r="BC566" s="152"/>
      <c r="BD566" s="367" t="s">
        <v>1605</v>
      </c>
      <c r="BE566" s="367"/>
      <c r="BF566" s="367"/>
      <c r="BG566" s="367"/>
      <c r="BH566" s="279" t="e">
        <f>#REF!</f>
        <v>#REF!</v>
      </c>
      <c r="BI566" s="54"/>
      <c r="BJ566" s="54"/>
      <c r="BK566" s="54"/>
      <c r="BL566" s="54"/>
    </row>
    <row r="567" spans="1:64" ht="36" customHeight="1" x14ac:dyDescent="0.3">
      <c r="A567" s="305">
        <f t="shared" si="11"/>
        <v>562</v>
      </c>
      <c r="B567" s="54" t="s">
        <v>1869</v>
      </c>
      <c r="C567" s="367" t="s">
        <v>5</v>
      </c>
      <c r="D567" s="367" t="s">
        <v>1756</v>
      </c>
      <c r="E567" s="45">
        <v>46101</v>
      </c>
      <c r="F567" s="45">
        <v>46136</v>
      </c>
      <c r="G567" s="45"/>
      <c r="H567" s="45"/>
      <c r="I567" s="367"/>
      <c r="J567" s="54" t="s">
        <v>521</v>
      </c>
      <c r="K567" s="48"/>
      <c r="L567" s="367"/>
      <c r="M567" s="150" t="s">
        <v>120</v>
      </c>
      <c r="N567" s="367"/>
      <c r="O567" s="367"/>
      <c r="P567" s="311"/>
      <c r="Q567" s="367"/>
      <c r="R567" s="367"/>
      <c r="S567" s="367"/>
      <c r="T567" s="367"/>
      <c r="U567" s="367"/>
      <c r="V567" s="367"/>
      <c r="W567" s="367"/>
      <c r="X567" s="367" t="s">
        <v>1752</v>
      </c>
      <c r="Y567" s="367"/>
      <c r="Z567" s="367"/>
      <c r="AA567" s="367"/>
      <c r="AB567" s="150"/>
      <c r="AC567" s="48" t="s">
        <v>1870</v>
      </c>
      <c r="AD567" s="150" t="s">
        <v>55</v>
      </c>
      <c r="AE567" s="262"/>
      <c r="AF567" s="262"/>
      <c r="AG567" s="286">
        <v>46111</v>
      </c>
      <c r="AH567" s="49">
        <v>46078</v>
      </c>
      <c r="AI567" s="266">
        <v>46054</v>
      </c>
      <c r="AJ567" s="150" t="s">
        <v>330</v>
      </c>
      <c r="AK567" s="150" t="s">
        <v>161</v>
      </c>
      <c r="AL567" s="150" t="s">
        <v>175</v>
      </c>
      <c r="AM567" s="150" t="s">
        <v>209</v>
      </c>
      <c r="AN567" s="367"/>
      <c r="AO567" s="367"/>
      <c r="AP567" s="367"/>
      <c r="AQ567" s="366"/>
      <c r="AR567" s="367"/>
      <c r="AS567" s="367"/>
      <c r="AT567" s="288">
        <v>46011</v>
      </c>
      <c r="AU567" s="45">
        <v>45868</v>
      </c>
      <c r="AV567" s="45">
        <v>45876</v>
      </c>
      <c r="AW567" s="45">
        <v>45876</v>
      </c>
      <c r="AX567" s="367"/>
      <c r="AY567" s="367"/>
      <c r="AZ567" s="367"/>
      <c r="BA567" s="367"/>
      <c r="BB567" s="152" t="s">
        <v>1781</v>
      </c>
      <c r="BC567" s="152"/>
      <c r="BD567" s="367" t="s">
        <v>1605</v>
      </c>
      <c r="BE567" s="367"/>
      <c r="BF567" s="367"/>
      <c r="BG567" s="367"/>
      <c r="BH567" s="279" t="e">
        <f>#REF!</f>
        <v>#REF!</v>
      </c>
      <c r="BI567" s="54"/>
      <c r="BJ567" s="54"/>
      <c r="BK567" s="54"/>
      <c r="BL567" s="54"/>
    </row>
    <row r="568" spans="1:64" ht="36" customHeight="1" x14ac:dyDescent="0.3">
      <c r="A568" s="305">
        <f t="shared" si="11"/>
        <v>563</v>
      </c>
      <c r="B568" s="54" t="s">
        <v>1871</v>
      </c>
      <c r="C568" s="367" t="s">
        <v>5</v>
      </c>
      <c r="D568" s="367" t="s">
        <v>1756</v>
      </c>
      <c r="E568" s="45">
        <v>46108</v>
      </c>
      <c r="F568" s="45">
        <v>46105</v>
      </c>
      <c r="G568" s="45"/>
      <c r="H568" s="45"/>
      <c r="I568" s="367"/>
      <c r="J568" s="54" t="s">
        <v>521</v>
      </c>
      <c r="K568" s="48"/>
      <c r="L568" s="367"/>
      <c r="M568" s="150" t="s">
        <v>120</v>
      </c>
      <c r="N568" s="367"/>
      <c r="O568" s="367"/>
      <c r="P568" s="311"/>
      <c r="Q568" s="367"/>
      <c r="R568" s="367"/>
      <c r="S568" s="367"/>
      <c r="T568" s="367"/>
      <c r="U568" s="367"/>
      <c r="V568" s="367"/>
      <c r="W568" s="367"/>
      <c r="X568" s="367" t="s">
        <v>1752</v>
      </c>
      <c r="Y568" s="367"/>
      <c r="Z568" s="367"/>
      <c r="AA568" s="367"/>
      <c r="AB568" s="150"/>
      <c r="AC568" s="48" t="s">
        <v>1872</v>
      </c>
      <c r="AD568" s="150" t="s">
        <v>55</v>
      </c>
      <c r="AE568" s="262"/>
      <c r="AF568" s="262"/>
      <c r="AG568" s="286">
        <v>46132</v>
      </c>
      <c r="AH568" s="49">
        <v>46078</v>
      </c>
      <c r="AI568" s="266">
        <v>46054</v>
      </c>
      <c r="AJ568" s="150" t="s">
        <v>330</v>
      </c>
      <c r="AK568" s="150" t="s">
        <v>161</v>
      </c>
      <c r="AL568" s="150" t="s">
        <v>175</v>
      </c>
      <c r="AM568" s="150" t="s">
        <v>209</v>
      </c>
      <c r="AN568" s="367"/>
      <c r="AO568" s="367"/>
      <c r="AP568" s="367"/>
      <c r="AQ568" s="366"/>
      <c r="AR568" s="367"/>
      <c r="AS568" s="367"/>
      <c r="AT568" s="288">
        <v>46011</v>
      </c>
      <c r="AU568" s="45">
        <v>45868</v>
      </c>
      <c r="AV568" s="45">
        <v>45876</v>
      </c>
      <c r="AW568" s="45">
        <v>45876</v>
      </c>
      <c r="AX568" s="367"/>
      <c r="AY568" s="367"/>
      <c r="AZ568" s="367"/>
      <c r="BA568" s="367"/>
      <c r="BB568" s="152" t="s">
        <v>1781</v>
      </c>
      <c r="BC568" s="152"/>
      <c r="BD568" s="367" t="s">
        <v>1605</v>
      </c>
      <c r="BE568" s="367"/>
      <c r="BF568" s="367"/>
      <c r="BG568" s="367"/>
      <c r="BH568" s="279" t="e">
        <f>#REF!</f>
        <v>#REF!</v>
      </c>
      <c r="BI568" s="54"/>
      <c r="BJ568" s="54"/>
      <c r="BK568" s="54"/>
      <c r="BL568" s="54"/>
    </row>
    <row r="569" spans="1:64" ht="36" customHeight="1" x14ac:dyDescent="0.3">
      <c r="A569" s="305">
        <f t="shared" si="11"/>
        <v>564</v>
      </c>
      <c r="B569" s="54" t="s">
        <v>1873</v>
      </c>
      <c r="C569" s="367" t="s">
        <v>5</v>
      </c>
      <c r="D569" s="367" t="s">
        <v>1801</v>
      </c>
      <c r="E569" s="45">
        <v>46101</v>
      </c>
      <c r="F569" s="45">
        <v>46105</v>
      </c>
      <c r="G569" s="45"/>
      <c r="H569" s="45"/>
      <c r="I569" s="367"/>
      <c r="J569" s="54" t="s">
        <v>521</v>
      </c>
      <c r="K569" s="48"/>
      <c r="L569" s="367"/>
      <c r="M569" s="150" t="s">
        <v>120</v>
      </c>
      <c r="N569" s="367"/>
      <c r="O569" s="367"/>
      <c r="P569" s="311"/>
      <c r="Q569" s="367"/>
      <c r="R569" s="367"/>
      <c r="S569" s="367"/>
      <c r="T569" s="367"/>
      <c r="U569" s="367"/>
      <c r="V569" s="367"/>
      <c r="W569" s="367"/>
      <c r="X569" s="367" t="s">
        <v>1752</v>
      </c>
      <c r="Y569" s="367"/>
      <c r="Z569" s="367"/>
      <c r="AA569" s="367"/>
      <c r="AB569" s="150"/>
      <c r="AC569" s="48" t="s">
        <v>1874</v>
      </c>
      <c r="AD569" s="150" t="s">
        <v>55</v>
      </c>
      <c r="AE569" s="262"/>
      <c r="AF569" s="262"/>
      <c r="AG569" s="286">
        <v>46132</v>
      </c>
      <c r="AH569" s="49">
        <v>46078</v>
      </c>
      <c r="AI569" s="266">
        <v>46054</v>
      </c>
      <c r="AJ569" s="150" t="s">
        <v>330</v>
      </c>
      <c r="AK569" s="150" t="s">
        <v>161</v>
      </c>
      <c r="AL569" s="150" t="s">
        <v>175</v>
      </c>
      <c r="AM569" s="150" t="s">
        <v>209</v>
      </c>
      <c r="AN569" s="367"/>
      <c r="AO569" s="367"/>
      <c r="AP569" s="367"/>
      <c r="AQ569" s="366"/>
      <c r="AR569" s="367"/>
      <c r="AS569" s="367"/>
      <c r="AT569" s="288">
        <v>46011</v>
      </c>
      <c r="AU569" s="45">
        <v>45868</v>
      </c>
      <c r="AV569" s="45">
        <v>45876</v>
      </c>
      <c r="AW569" s="45">
        <v>45876</v>
      </c>
      <c r="AX569" s="367"/>
      <c r="AY569" s="367"/>
      <c r="AZ569" s="367"/>
      <c r="BA569" s="367"/>
      <c r="BB569" s="152" t="s">
        <v>1781</v>
      </c>
      <c r="BC569" s="152"/>
      <c r="BD569" s="367" t="s">
        <v>1605</v>
      </c>
      <c r="BE569" s="367"/>
      <c r="BF569" s="367"/>
      <c r="BG569" s="367"/>
      <c r="BH569" s="279" t="e">
        <f>#REF!</f>
        <v>#REF!</v>
      </c>
      <c r="BI569" s="54"/>
      <c r="BJ569" s="54"/>
      <c r="BK569" s="54"/>
      <c r="BL569" s="54"/>
    </row>
    <row r="570" spans="1:64" ht="36" customHeight="1" x14ac:dyDescent="0.3">
      <c r="A570" s="305">
        <f t="shared" si="11"/>
        <v>565</v>
      </c>
      <c r="B570" s="54" t="s">
        <v>1875</v>
      </c>
      <c r="C570" s="367" t="s">
        <v>5</v>
      </c>
      <c r="D570" s="367" t="s">
        <v>1801</v>
      </c>
      <c r="E570" s="45">
        <v>46119</v>
      </c>
      <c r="F570" s="45">
        <v>46136</v>
      </c>
      <c r="G570" s="45"/>
      <c r="H570" s="45"/>
      <c r="I570" s="367"/>
      <c r="J570" s="54" t="s">
        <v>521</v>
      </c>
      <c r="K570" s="48"/>
      <c r="L570" s="367"/>
      <c r="M570" s="150" t="s">
        <v>120</v>
      </c>
      <c r="N570" s="367"/>
      <c r="O570" s="367"/>
      <c r="P570" s="311"/>
      <c r="Q570" s="367"/>
      <c r="R570" s="367"/>
      <c r="S570" s="367"/>
      <c r="T570" s="367"/>
      <c r="U570" s="367"/>
      <c r="V570" s="367"/>
      <c r="W570" s="367"/>
      <c r="X570" s="367" t="s">
        <v>1752</v>
      </c>
      <c r="Y570" s="367"/>
      <c r="Z570" s="367"/>
      <c r="AA570" s="367"/>
      <c r="AB570" s="150"/>
      <c r="AC570" s="48" t="s">
        <v>1876</v>
      </c>
      <c r="AD570" s="150" t="s">
        <v>55</v>
      </c>
      <c r="AE570" s="262"/>
      <c r="AF570" s="262"/>
      <c r="AG570" s="286">
        <v>46132</v>
      </c>
      <c r="AH570" s="49">
        <v>46078</v>
      </c>
      <c r="AI570" s="266">
        <v>46054</v>
      </c>
      <c r="AJ570" s="150" t="s">
        <v>330</v>
      </c>
      <c r="AK570" s="150" t="s">
        <v>161</v>
      </c>
      <c r="AL570" s="150" t="s">
        <v>175</v>
      </c>
      <c r="AM570" s="150" t="s">
        <v>209</v>
      </c>
      <c r="AN570" s="367"/>
      <c r="AO570" s="367"/>
      <c r="AP570" s="367"/>
      <c r="AQ570" s="366"/>
      <c r="AR570" s="367"/>
      <c r="AS570" s="367"/>
      <c r="AT570" s="288">
        <v>46011</v>
      </c>
      <c r="AU570" s="45">
        <v>45868</v>
      </c>
      <c r="AV570" s="45">
        <v>45876</v>
      </c>
      <c r="AW570" s="45">
        <v>45876</v>
      </c>
      <c r="AX570" s="367"/>
      <c r="AY570" s="367"/>
      <c r="AZ570" s="367"/>
      <c r="BA570" s="367"/>
      <c r="BB570" s="152" t="s">
        <v>1781</v>
      </c>
      <c r="BC570" s="152"/>
      <c r="BD570" s="367" t="s">
        <v>1605</v>
      </c>
      <c r="BE570" s="367"/>
      <c r="BF570" s="367"/>
      <c r="BG570" s="367"/>
      <c r="BH570" s="279" t="e">
        <f>#REF!</f>
        <v>#REF!</v>
      </c>
      <c r="BI570" s="54"/>
      <c r="BJ570" s="54"/>
      <c r="BK570" s="54"/>
      <c r="BL570" s="54"/>
    </row>
    <row r="571" spans="1:64" ht="36" customHeight="1" x14ac:dyDescent="0.3">
      <c r="A571" s="305">
        <f t="shared" si="11"/>
        <v>566</v>
      </c>
      <c r="B571" s="54" t="s">
        <v>1877</v>
      </c>
      <c r="C571" s="367" t="s">
        <v>5</v>
      </c>
      <c r="D571" s="367" t="s">
        <v>1801</v>
      </c>
      <c r="E571" s="45">
        <v>46119</v>
      </c>
      <c r="F571" s="45">
        <v>46136</v>
      </c>
      <c r="G571" s="45"/>
      <c r="H571" s="45"/>
      <c r="I571" s="367"/>
      <c r="J571" s="54" t="s">
        <v>521</v>
      </c>
      <c r="K571" s="48"/>
      <c r="L571" s="367"/>
      <c r="M571" s="150" t="s">
        <v>120</v>
      </c>
      <c r="N571" s="367"/>
      <c r="O571" s="367"/>
      <c r="P571" s="311"/>
      <c r="Q571" s="367"/>
      <c r="R571" s="367"/>
      <c r="S571" s="367"/>
      <c r="T571" s="367"/>
      <c r="U571" s="367"/>
      <c r="V571" s="367"/>
      <c r="W571" s="367"/>
      <c r="X571" s="367" t="s">
        <v>1752</v>
      </c>
      <c r="Y571" s="367"/>
      <c r="Z571" s="367"/>
      <c r="AA571" s="367"/>
      <c r="AB571" s="150"/>
      <c r="AC571" s="48" t="s">
        <v>1878</v>
      </c>
      <c r="AD571" s="150" t="s">
        <v>55</v>
      </c>
      <c r="AE571" s="262"/>
      <c r="AF571" s="262"/>
      <c r="AG571" s="286">
        <v>46132</v>
      </c>
      <c r="AH571" s="49">
        <v>46078</v>
      </c>
      <c r="AI571" s="266">
        <v>46054</v>
      </c>
      <c r="AJ571" s="150" t="s">
        <v>330</v>
      </c>
      <c r="AK571" s="150" t="s">
        <v>161</v>
      </c>
      <c r="AL571" s="150" t="s">
        <v>175</v>
      </c>
      <c r="AM571" s="150" t="s">
        <v>209</v>
      </c>
      <c r="AN571" s="367"/>
      <c r="AO571" s="367"/>
      <c r="AP571" s="367"/>
      <c r="AQ571" s="366"/>
      <c r="AR571" s="367"/>
      <c r="AS571" s="367"/>
      <c r="AT571" s="288">
        <v>46042</v>
      </c>
      <c r="AU571" s="45">
        <v>45868</v>
      </c>
      <c r="AV571" s="45">
        <v>45876</v>
      </c>
      <c r="AW571" s="45">
        <v>45876</v>
      </c>
      <c r="AX571" s="367"/>
      <c r="AY571" s="367"/>
      <c r="AZ571" s="367"/>
      <c r="BA571" s="367"/>
      <c r="BB571" s="152" t="s">
        <v>1781</v>
      </c>
      <c r="BC571" s="152"/>
      <c r="BD571" s="367" t="s">
        <v>1605</v>
      </c>
      <c r="BE571" s="367"/>
      <c r="BF571" s="367"/>
      <c r="BG571" s="367"/>
      <c r="BH571" s="279" t="e">
        <f>#REF!</f>
        <v>#REF!</v>
      </c>
      <c r="BI571" s="54"/>
      <c r="BJ571" s="54"/>
      <c r="BK571" s="54"/>
      <c r="BL571" s="54"/>
    </row>
    <row r="572" spans="1:64" ht="36" customHeight="1" x14ac:dyDescent="0.3">
      <c r="A572" s="305">
        <f t="shared" si="11"/>
        <v>567</v>
      </c>
      <c r="B572" s="54" t="s">
        <v>1879</v>
      </c>
      <c r="C572" s="367" t="s">
        <v>5</v>
      </c>
      <c r="D572" s="367" t="s">
        <v>1806</v>
      </c>
      <c r="E572" s="45">
        <v>46119</v>
      </c>
      <c r="F572" s="45">
        <v>46136</v>
      </c>
      <c r="G572" s="45"/>
      <c r="H572" s="45"/>
      <c r="I572" s="367"/>
      <c r="J572" s="54" t="s">
        <v>521</v>
      </c>
      <c r="K572" s="48"/>
      <c r="L572" s="367"/>
      <c r="M572" s="150" t="s">
        <v>120</v>
      </c>
      <c r="N572" s="367"/>
      <c r="O572" s="367"/>
      <c r="P572" s="311"/>
      <c r="Q572" s="367"/>
      <c r="R572" s="367"/>
      <c r="S572" s="367"/>
      <c r="T572" s="367"/>
      <c r="U572" s="367"/>
      <c r="V572" s="367"/>
      <c r="W572" s="367"/>
      <c r="X572" s="367" t="s">
        <v>1752</v>
      </c>
      <c r="Y572" s="367"/>
      <c r="Z572" s="367"/>
      <c r="AA572" s="367"/>
      <c r="AB572" s="150"/>
      <c r="AC572" s="48" t="s">
        <v>1880</v>
      </c>
      <c r="AD572" s="150" t="s">
        <v>55</v>
      </c>
      <c r="AE572" s="262"/>
      <c r="AF572" s="262"/>
      <c r="AG572" s="286">
        <v>46132</v>
      </c>
      <c r="AH572" s="49">
        <v>46106</v>
      </c>
      <c r="AI572" s="266">
        <v>46082</v>
      </c>
      <c r="AJ572" s="150" t="s">
        <v>330</v>
      </c>
      <c r="AK572" s="150" t="s">
        <v>161</v>
      </c>
      <c r="AL572" s="150" t="s">
        <v>175</v>
      </c>
      <c r="AM572" s="150" t="s">
        <v>209</v>
      </c>
      <c r="AN572" s="367"/>
      <c r="AO572" s="367"/>
      <c r="AP572" s="367"/>
      <c r="AQ572" s="366"/>
      <c r="AR572" s="367"/>
      <c r="AS572" s="367"/>
      <c r="AT572" s="288">
        <v>46042</v>
      </c>
      <c r="AU572" s="45">
        <v>45868</v>
      </c>
      <c r="AV572" s="45">
        <v>45876</v>
      </c>
      <c r="AW572" s="45">
        <v>45876</v>
      </c>
      <c r="AX572" s="367"/>
      <c r="AY572" s="367"/>
      <c r="AZ572" s="367"/>
      <c r="BA572" s="367"/>
      <c r="BB572" s="152" t="s">
        <v>1781</v>
      </c>
      <c r="BC572" s="152"/>
      <c r="BD572" s="367" t="s">
        <v>1605</v>
      </c>
      <c r="BE572" s="367"/>
      <c r="BF572" s="367"/>
      <c r="BG572" s="367"/>
      <c r="BH572" s="279" t="e">
        <f>#REF!</f>
        <v>#REF!</v>
      </c>
      <c r="BI572" s="54"/>
      <c r="BJ572" s="54"/>
      <c r="BK572" s="54"/>
      <c r="BL572" s="54"/>
    </row>
    <row r="573" spans="1:64" ht="36" customHeight="1" x14ac:dyDescent="0.3">
      <c r="A573" s="305">
        <f t="shared" si="11"/>
        <v>568</v>
      </c>
      <c r="B573" s="54" t="s">
        <v>1881</v>
      </c>
      <c r="C573" s="367" t="s">
        <v>5</v>
      </c>
      <c r="D573" s="367" t="s">
        <v>1806</v>
      </c>
      <c r="E573" s="45">
        <v>46128</v>
      </c>
      <c r="F573" s="45">
        <v>46136</v>
      </c>
      <c r="G573" s="45"/>
      <c r="H573" s="45"/>
      <c r="I573" s="367"/>
      <c r="J573" s="54" t="s">
        <v>521</v>
      </c>
      <c r="K573" s="48"/>
      <c r="L573" s="367"/>
      <c r="M573" s="150" t="s">
        <v>120</v>
      </c>
      <c r="N573" s="367"/>
      <c r="O573" s="367"/>
      <c r="P573" s="311"/>
      <c r="Q573" s="367"/>
      <c r="R573" s="367"/>
      <c r="S573" s="367"/>
      <c r="T573" s="367"/>
      <c r="U573" s="367"/>
      <c r="V573" s="367"/>
      <c r="W573" s="367"/>
      <c r="X573" s="367" t="s">
        <v>1752</v>
      </c>
      <c r="Y573" s="367"/>
      <c r="Z573" s="367"/>
      <c r="AA573" s="367"/>
      <c r="AB573" s="150"/>
      <c r="AC573" s="48" t="s">
        <v>1882</v>
      </c>
      <c r="AD573" s="150" t="s">
        <v>55</v>
      </c>
      <c r="AE573" s="262"/>
      <c r="AF573" s="262"/>
      <c r="AG573" s="286">
        <v>46132</v>
      </c>
      <c r="AH573" s="49">
        <v>46106</v>
      </c>
      <c r="AI573" s="266">
        <v>46082</v>
      </c>
      <c r="AJ573" s="150" t="s">
        <v>330</v>
      </c>
      <c r="AK573" s="150" t="s">
        <v>161</v>
      </c>
      <c r="AL573" s="150" t="s">
        <v>175</v>
      </c>
      <c r="AM573" s="150" t="s">
        <v>209</v>
      </c>
      <c r="AN573" s="367"/>
      <c r="AO573" s="367"/>
      <c r="AP573" s="367"/>
      <c r="AQ573" s="366"/>
      <c r="AR573" s="367"/>
      <c r="AS573" s="367"/>
      <c r="AT573" s="288">
        <v>46042</v>
      </c>
      <c r="AU573" s="45">
        <v>45868</v>
      </c>
      <c r="AV573" s="45">
        <v>45876</v>
      </c>
      <c r="AW573" s="45">
        <v>45876</v>
      </c>
      <c r="AX573" s="367"/>
      <c r="AY573" s="367"/>
      <c r="AZ573" s="367"/>
      <c r="BA573" s="367"/>
      <c r="BB573" s="152" t="s">
        <v>1781</v>
      </c>
      <c r="BC573" s="152"/>
      <c r="BD573" s="367" t="s">
        <v>1605</v>
      </c>
      <c r="BE573" s="367"/>
      <c r="BF573" s="367"/>
      <c r="BG573" s="367"/>
      <c r="BH573" s="279" t="e">
        <f>#REF!</f>
        <v>#REF!</v>
      </c>
      <c r="BI573" s="54"/>
      <c r="BJ573" s="54"/>
      <c r="BK573" s="54"/>
      <c r="BL573" s="54"/>
    </row>
    <row r="574" spans="1:64" ht="36" customHeight="1" x14ac:dyDescent="0.3">
      <c r="A574" s="305">
        <f t="shared" si="11"/>
        <v>569</v>
      </c>
      <c r="B574" s="54" t="s">
        <v>1883</v>
      </c>
      <c r="C574" s="367" t="s">
        <v>5</v>
      </c>
      <c r="D574" s="367" t="s">
        <v>1806</v>
      </c>
      <c r="E574" s="45">
        <v>46128</v>
      </c>
      <c r="F574" s="45">
        <v>46136</v>
      </c>
      <c r="G574" s="45"/>
      <c r="H574" s="45"/>
      <c r="I574" s="367"/>
      <c r="J574" s="54" t="s">
        <v>521</v>
      </c>
      <c r="K574" s="48"/>
      <c r="L574" s="367"/>
      <c r="M574" s="150" t="s">
        <v>120</v>
      </c>
      <c r="N574" s="367"/>
      <c r="O574" s="367"/>
      <c r="P574" s="311"/>
      <c r="Q574" s="367"/>
      <c r="R574" s="367"/>
      <c r="S574" s="367"/>
      <c r="T574" s="367"/>
      <c r="U574" s="367"/>
      <c r="V574" s="367"/>
      <c r="W574" s="367"/>
      <c r="X574" s="367" t="s">
        <v>1752</v>
      </c>
      <c r="Y574" s="367"/>
      <c r="Z574" s="367"/>
      <c r="AA574" s="367"/>
      <c r="AB574" s="150"/>
      <c r="AC574" s="48" t="s">
        <v>1884</v>
      </c>
      <c r="AD574" s="150" t="s">
        <v>55</v>
      </c>
      <c r="AE574" s="262"/>
      <c r="AF574" s="262"/>
      <c r="AG574" s="286">
        <v>46132</v>
      </c>
      <c r="AH574" s="49">
        <v>46106</v>
      </c>
      <c r="AI574" s="266">
        <v>46082</v>
      </c>
      <c r="AJ574" s="150" t="s">
        <v>330</v>
      </c>
      <c r="AK574" s="150" t="s">
        <v>161</v>
      </c>
      <c r="AL574" s="150" t="s">
        <v>175</v>
      </c>
      <c r="AM574" s="150" t="s">
        <v>209</v>
      </c>
      <c r="AN574" s="367"/>
      <c r="AO574" s="367"/>
      <c r="AP574" s="367"/>
      <c r="AQ574" s="366"/>
      <c r="AR574" s="367"/>
      <c r="AS574" s="367"/>
      <c r="AT574" s="288">
        <v>46042</v>
      </c>
      <c r="AU574" s="45">
        <v>45868</v>
      </c>
      <c r="AV574" s="45">
        <v>45876</v>
      </c>
      <c r="AW574" s="45">
        <v>45876</v>
      </c>
      <c r="AX574" s="367"/>
      <c r="AY574" s="367"/>
      <c r="AZ574" s="367"/>
      <c r="BA574" s="367"/>
      <c r="BB574" s="152" t="s">
        <v>1781</v>
      </c>
      <c r="BC574" s="152"/>
      <c r="BD574" s="367" t="s">
        <v>1605</v>
      </c>
      <c r="BE574" s="367"/>
      <c r="BF574" s="367"/>
      <c r="BG574" s="367"/>
      <c r="BH574" s="279" t="e">
        <f>#REF!</f>
        <v>#REF!</v>
      </c>
      <c r="BI574" s="54"/>
      <c r="BJ574" s="54"/>
      <c r="BK574" s="54"/>
      <c r="BL574" s="54"/>
    </row>
    <row r="575" spans="1:64" ht="36" customHeight="1" x14ac:dyDescent="0.3">
      <c r="A575" s="305">
        <f t="shared" si="11"/>
        <v>570</v>
      </c>
      <c r="B575" s="54" t="s">
        <v>1885</v>
      </c>
      <c r="C575" s="367" t="s">
        <v>5</v>
      </c>
      <c r="D575" s="367" t="s">
        <v>1813</v>
      </c>
      <c r="E575" s="45">
        <v>46128</v>
      </c>
      <c r="F575" s="45">
        <v>46153</v>
      </c>
      <c r="G575" s="45"/>
      <c r="H575" s="45"/>
      <c r="I575" s="367"/>
      <c r="J575" s="54" t="s">
        <v>521</v>
      </c>
      <c r="K575" s="48"/>
      <c r="L575" s="367"/>
      <c r="M575" s="150" t="s">
        <v>120</v>
      </c>
      <c r="N575" s="367"/>
      <c r="O575" s="367"/>
      <c r="P575" s="311"/>
      <c r="Q575" s="367"/>
      <c r="R575" s="367"/>
      <c r="S575" s="367"/>
      <c r="T575" s="367"/>
      <c r="U575" s="367"/>
      <c r="V575" s="367"/>
      <c r="W575" s="367"/>
      <c r="X575" s="367" t="s">
        <v>1752</v>
      </c>
      <c r="Y575" s="367"/>
      <c r="Z575" s="367"/>
      <c r="AA575" s="367"/>
      <c r="AB575" s="150"/>
      <c r="AC575" s="48" t="s">
        <v>1886</v>
      </c>
      <c r="AD575" s="150" t="s">
        <v>55</v>
      </c>
      <c r="AE575" s="262"/>
      <c r="AF575" s="262"/>
      <c r="AG575" s="286">
        <v>46132</v>
      </c>
      <c r="AH575" s="49">
        <v>46106</v>
      </c>
      <c r="AI575" s="266">
        <v>46082</v>
      </c>
      <c r="AJ575" s="150" t="s">
        <v>330</v>
      </c>
      <c r="AK575" s="150" t="s">
        <v>161</v>
      </c>
      <c r="AL575" s="150" t="s">
        <v>175</v>
      </c>
      <c r="AM575" s="150" t="s">
        <v>209</v>
      </c>
      <c r="AN575" s="367"/>
      <c r="AO575" s="367"/>
      <c r="AP575" s="367"/>
      <c r="AQ575" s="366"/>
      <c r="AR575" s="367"/>
      <c r="AS575" s="367"/>
      <c r="AT575" s="288">
        <v>46042</v>
      </c>
      <c r="AU575" s="45">
        <v>45868</v>
      </c>
      <c r="AV575" s="45">
        <v>45876</v>
      </c>
      <c r="AW575" s="45">
        <v>45876</v>
      </c>
      <c r="AX575" s="367"/>
      <c r="AY575" s="367"/>
      <c r="AZ575" s="367"/>
      <c r="BA575" s="367"/>
      <c r="BB575" s="152" t="s">
        <v>1781</v>
      </c>
      <c r="BC575" s="152"/>
      <c r="BD575" s="367" t="s">
        <v>1605</v>
      </c>
      <c r="BE575" s="367"/>
      <c r="BF575" s="367"/>
      <c r="BG575" s="367"/>
      <c r="BH575" s="279" t="e">
        <f>#REF!</f>
        <v>#REF!</v>
      </c>
      <c r="BI575" s="54"/>
      <c r="BJ575" s="54"/>
      <c r="BK575" s="54"/>
      <c r="BL575" s="54"/>
    </row>
    <row r="576" spans="1:64" ht="36" customHeight="1" x14ac:dyDescent="0.3">
      <c r="A576" s="305">
        <f t="shared" si="11"/>
        <v>571</v>
      </c>
      <c r="B576" s="54" t="s">
        <v>1887</v>
      </c>
      <c r="C576" s="367" t="s">
        <v>5</v>
      </c>
      <c r="D576" s="367" t="s">
        <v>1813</v>
      </c>
      <c r="E576" s="45">
        <v>46128</v>
      </c>
      <c r="F576" s="45">
        <v>46153</v>
      </c>
      <c r="G576" s="45"/>
      <c r="H576" s="45"/>
      <c r="I576" s="367"/>
      <c r="J576" s="54" t="s">
        <v>521</v>
      </c>
      <c r="K576" s="48"/>
      <c r="L576" s="367"/>
      <c r="M576" s="150" t="s">
        <v>120</v>
      </c>
      <c r="N576" s="367"/>
      <c r="O576" s="367"/>
      <c r="P576" s="311"/>
      <c r="Q576" s="367"/>
      <c r="R576" s="367"/>
      <c r="S576" s="367"/>
      <c r="T576" s="367"/>
      <c r="U576" s="367"/>
      <c r="V576" s="367"/>
      <c r="W576" s="367"/>
      <c r="X576" s="367" t="s">
        <v>1752</v>
      </c>
      <c r="Y576" s="367"/>
      <c r="Z576" s="367"/>
      <c r="AA576" s="367"/>
      <c r="AB576" s="150"/>
      <c r="AC576" s="48" t="s">
        <v>1888</v>
      </c>
      <c r="AD576" s="150" t="s">
        <v>55</v>
      </c>
      <c r="AE576" s="262"/>
      <c r="AF576" s="262"/>
      <c r="AG576" s="286">
        <v>46132</v>
      </c>
      <c r="AH576" s="49">
        <v>46106</v>
      </c>
      <c r="AI576" s="266">
        <v>46082</v>
      </c>
      <c r="AJ576" s="150" t="s">
        <v>330</v>
      </c>
      <c r="AK576" s="150" t="s">
        <v>161</v>
      </c>
      <c r="AL576" s="150" t="s">
        <v>175</v>
      </c>
      <c r="AM576" s="150" t="s">
        <v>209</v>
      </c>
      <c r="AN576" s="367"/>
      <c r="AO576" s="367"/>
      <c r="AP576" s="367"/>
      <c r="AQ576" s="366"/>
      <c r="AR576" s="367"/>
      <c r="AS576" s="367"/>
      <c r="AT576" s="288">
        <v>46042</v>
      </c>
      <c r="AU576" s="45">
        <v>45868</v>
      </c>
      <c r="AV576" s="45">
        <v>45876</v>
      </c>
      <c r="AW576" s="45">
        <v>45876</v>
      </c>
      <c r="AX576" s="367"/>
      <c r="AY576" s="367"/>
      <c r="AZ576" s="367"/>
      <c r="BA576" s="367"/>
      <c r="BB576" s="152" t="s">
        <v>1781</v>
      </c>
      <c r="BC576" s="152"/>
      <c r="BD576" s="367" t="s">
        <v>1605</v>
      </c>
      <c r="BE576" s="367"/>
      <c r="BF576" s="367"/>
      <c r="BG576" s="367"/>
      <c r="BH576" s="279" t="e">
        <f>#REF!</f>
        <v>#REF!</v>
      </c>
      <c r="BI576" s="54"/>
      <c r="BJ576" s="54"/>
      <c r="BK576" s="54"/>
      <c r="BL576" s="54"/>
    </row>
    <row r="577" spans="1:64" ht="36" customHeight="1" x14ac:dyDescent="0.3">
      <c r="A577" s="305">
        <f t="shared" si="11"/>
        <v>572</v>
      </c>
      <c r="B577" s="54" t="s">
        <v>1889</v>
      </c>
      <c r="C577" s="367" t="s">
        <v>5</v>
      </c>
      <c r="D577" s="367" t="s">
        <v>1813</v>
      </c>
      <c r="E577" s="45">
        <v>46150</v>
      </c>
      <c r="F577" s="45">
        <v>46153</v>
      </c>
      <c r="G577" s="45"/>
      <c r="H577" s="45"/>
      <c r="I577" s="367"/>
      <c r="J577" s="54" t="s">
        <v>521</v>
      </c>
      <c r="K577" s="48"/>
      <c r="L577" s="367"/>
      <c r="M577" s="150" t="s">
        <v>120</v>
      </c>
      <c r="N577" s="367"/>
      <c r="O577" s="367"/>
      <c r="P577" s="311"/>
      <c r="Q577" s="367"/>
      <c r="R577" s="367"/>
      <c r="S577" s="367"/>
      <c r="T577" s="367"/>
      <c r="U577" s="367"/>
      <c r="V577" s="367"/>
      <c r="W577" s="367"/>
      <c r="X577" s="367" t="s">
        <v>1752</v>
      </c>
      <c r="Y577" s="367"/>
      <c r="Z577" s="367"/>
      <c r="AA577" s="367"/>
      <c r="AB577" s="150"/>
      <c r="AC577" s="48" t="s">
        <v>1890</v>
      </c>
      <c r="AD577" s="150" t="s">
        <v>55</v>
      </c>
      <c r="AE577" s="262"/>
      <c r="AF577" s="262"/>
      <c r="AG577" s="286">
        <v>46132</v>
      </c>
      <c r="AH577" s="49">
        <v>46106</v>
      </c>
      <c r="AI577" s="266">
        <v>46082</v>
      </c>
      <c r="AJ577" s="150" t="s">
        <v>330</v>
      </c>
      <c r="AK577" s="150" t="s">
        <v>161</v>
      </c>
      <c r="AL577" s="150" t="s">
        <v>175</v>
      </c>
      <c r="AM577" s="150" t="s">
        <v>209</v>
      </c>
      <c r="AN577" s="367"/>
      <c r="AO577" s="367"/>
      <c r="AP577" s="367"/>
      <c r="AQ577" s="366"/>
      <c r="AR577" s="367"/>
      <c r="AS577" s="367"/>
      <c r="AT577" s="288">
        <v>46042</v>
      </c>
      <c r="AU577" s="45">
        <v>45868</v>
      </c>
      <c r="AV577" s="45">
        <v>45876</v>
      </c>
      <c r="AW577" s="45">
        <v>45876</v>
      </c>
      <c r="AX577" s="367"/>
      <c r="AY577" s="367"/>
      <c r="AZ577" s="367"/>
      <c r="BA577" s="367"/>
      <c r="BB577" s="152" t="s">
        <v>1781</v>
      </c>
      <c r="BC577" s="152"/>
      <c r="BD577" s="367" t="s">
        <v>1605</v>
      </c>
      <c r="BE577" s="367"/>
      <c r="BF577" s="367"/>
      <c r="BG577" s="367"/>
      <c r="BH577" s="279" t="e">
        <f>#REF!</f>
        <v>#REF!</v>
      </c>
      <c r="BI577" s="54"/>
      <c r="BJ577" s="54"/>
      <c r="BK577" s="54"/>
      <c r="BL577" s="54"/>
    </row>
    <row r="578" spans="1:64" ht="36" customHeight="1" x14ac:dyDescent="0.3">
      <c r="A578" s="305">
        <f t="shared" si="11"/>
        <v>573</v>
      </c>
      <c r="B578" s="54" t="s">
        <v>1891</v>
      </c>
      <c r="C578" s="367" t="s">
        <v>5</v>
      </c>
      <c r="D578" s="367" t="s">
        <v>1813</v>
      </c>
      <c r="E578" s="45">
        <v>46150</v>
      </c>
      <c r="F578" s="45">
        <v>46153</v>
      </c>
      <c r="G578" s="45"/>
      <c r="H578" s="45"/>
      <c r="I578" s="367"/>
      <c r="J578" s="54" t="s">
        <v>521</v>
      </c>
      <c r="K578" s="48"/>
      <c r="L578" s="367"/>
      <c r="M578" s="150" t="s">
        <v>120</v>
      </c>
      <c r="N578" s="367"/>
      <c r="O578" s="367"/>
      <c r="P578" s="311"/>
      <c r="Q578" s="367"/>
      <c r="R578" s="367"/>
      <c r="S578" s="367"/>
      <c r="T578" s="367"/>
      <c r="U578" s="367"/>
      <c r="V578" s="367"/>
      <c r="W578" s="367"/>
      <c r="X578" s="367" t="s">
        <v>1752</v>
      </c>
      <c r="Y578" s="367"/>
      <c r="Z578" s="367"/>
      <c r="AA578" s="367"/>
      <c r="AB578" s="150"/>
      <c r="AC578" s="48" t="s">
        <v>1892</v>
      </c>
      <c r="AD578" s="150" t="s">
        <v>55</v>
      </c>
      <c r="AE578" s="262"/>
      <c r="AF578" s="262"/>
      <c r="AG578" s="286">
        <v>46132</v>
      </c>
      <c r="AH578" s="49">
        <v>46106</v>
      </c>
      <c r="AI578" s="266">
        <v>46082</v>
      </c>
      <c r="AJ578" s="150" t="s">
        <v>330</v>
      </c>
      <c r="AK578" s="150" t="s">
        <v>161</v>
      </c>
      <c r="AL578" s="150" t="s">
        <v>175</v>
      </c>
      <c r="AM578" s="150" t="s">
        <v>209</v>
      </c>
      <c r="AN578" s="367"/>
      <c r="AO578" s="367"/>
      <c r="AP578" s="367"/>
      <c r="AQ578" s="366"/>
      <c r="AR578" s="367"/>
      <c r="AS578" s="367"/>
      <c r="AT578" s="288">
        <v>46042</v>
      </c>
      <c r="AU578" s="45">
        <v>45868</v>
      </c>
      <c r="AV578" s="45">
        <v>45876</v>
      </c>
      <c r="AW578" s="45">
        <v>45876</v>
      </c>
      <c r="AX578" s="367"/>
      <c r="AY578" s="367"/>
      <c r="AZ578" s="367"/>
      <c r="BA578" s="367"/>
      <c r="BB578" s="152" t="s">
        <v>1781</v>
      </c>
      <c r="BC578" s="152"/>
      <c r="BD578" s="367" t="s">
        <v>1605</v>
      </c>
      <c r="BE578" s="367"/>
      <c r="BF578" s="367"/>
      <c r="BG578" s="367"/>
      <c r="BH578" s="279" t="e">
        <f>#REF!</f>
        <v>#REF!</v>
      </c>
      <c r="BI578" s="54"/>
      <c r="BJ578" s="54"/>
      <c r="BK578" s="54"/>
      <c r="BL578" s="54"/>
    </row>
    <row r="579" spans="1:64" ht="36" customHeight="1" x14ac:dyDescent="0.3">
      <c r="A579" s="305">
        <f t="shared" si="11"/>
        <v>574</v>
      </c>
      <c r="B579" s="54" t="s">
        <v>1893</v>
      </c>
      <c r="C579" s="367" t="s">
        <v>5</v>
      </c>
      <c r="D579" s="367" t="s">
        <v>1759</v>
      </c>
      <c r="E579" s="45">
        <v>46128</v>
      </c>
      <c r="F579" s="45">
        <v>46136</v>
      </c>
      <c r="G579" s="45"/>
      <c r="H579" s="45"/>
      <c r="I579" s="367"/>
      <c r="J579" s="54" t="s">
        <v>521</v>
      </c>
      <c r="K579" s="48"/>
      <c r="L579" s="367"/>
      <c r="M579" s="150" t="s">
        <v>120</v>
      </c>
      <c r="N579" s="367"/>
      <c r="O579" s="367"/>
      <c r="P579" s="311"/>
      <c r="Q579" s="367"/>
      <c r="R579" s="367"/>
      <c r="S579" s="367"/>
      <c r="T579" s="367"/>
      <c r="U579" s="367"/>
      <c r="V579" s="367"/>
      <c r="W579" s="367"/>
      <c r="X579" s="367" t="s">
        <v>1752</v>
      </c>
      <c r="Y579" s="367"/>
      <c r="Z579" s="367"/>
      <c r="AA579" s="367"/>
      <c r="AB579" s="150"/>
      <c r="AC579" s="48" t="s">
        <v>1894</v>
      </c>
      <c r="AD579" s="150" t="s">
        <v>55</v>
      </c>
      <c r="AE579" s="262"/>
      <c r="AF579" s="262"/>
      <c r="AG579" s="286">
        <v>46132</v>
      </c>
      <c r="AH579" s="49">
        <v>46106</v>
      </c>
      <c r="AI579" s="266">
        <v>46082</v>
      </c>
      <c r="AJ579" s="150" t="s">
        <v>330</v>
      </c>
      <c r="AK579" s="150" t="s">
        <v>161</v>
      </c>
      <c r="AL579" s="150" t="s">
        <v>175</v>
      </c>
      <c r="AM579" s="150" t="s">
        <v>209</v>
      </c>
      <c r="AN579" s="367"/>
      <c r="AO579" s="367"/>
      <c r="AP579" s="367"/>
      <c r="AQ579" s="366"/>
      <c r="AR579" s="367"/>
      <c r="AS579" s="367"/>
      <c r="AT579" s="288">
        <v>46060</v>
      </c>
      <c r="AU579" s="45">
        <v>45868</v>
      </c>
      <c r="AV579" s="45">
        <v>45876</v>
      </c>
      <c r="AW579" s="45">
        <v>45876</v>
      </c>
      <c r="AX579" s="367"/>
      <c r="AY579" s="367"/>
      <c r="AZ579" s="367"/>
      <c r="BA579" s="367"/>
      <c r="BB579" s="152" t="s">
        <v>1781</v>
      </c>
      <c r="BC579" s="152"/>
      <c r="BD579" s="367" t="s">
        <v>1605</v>
      </c>
      <c r="BE579" s="367"/>
      <c r="BF579" s="367"/>
      <c r="BG579" s="367"/>
      <c r="BH579" s="279" t="e">
        <f>#REF!</f>
        <v>#REF!</v>
      </c>
      <c r="BI579" s="54"/>
      <c r="BJ579" s="54"/>
      <c r="BK579" s="54"/>
      <c r="BL579" s="54"/>
    </row>
    <row r="580" spans="1:64" ht="36" customHeight="1" x14ac:dyDescent="0.3">
      <c r="A580" s="305">
        <f t="shared" si="11"/>
        <v>575</v>
      </c>
      <c r="B580" s="54" t="s">
        <v>1895</v>
      </c>
      <c r="C580" s="367" t="s">
        <v>5</v>
      </c>
      <c r="D580" s="367" t="s">
        <v>1759</v>
      </c>
      <c r="E580" s="45">
        <v>46165</v>
      </c>
      <c r="F580" s="45">
        <v>46203</v>
      </c>
      <c r="G580" s="45"/>
      <c r="H580" s="45"/>
      <c r="I580" s="367"/>
      <c r="J580" s="54" t="s">
        <v>521</v>
      </c>
      <c r="K580" s="48"/>
      <c r="L580" s="367"/>
      <c r="M580" s="150" t="s">
        <v>120</v>
      </c>
      <c r="N580" s="367"/>
      <c r="O580" s="367"/>
      <c r="P580" s="311"/>
      <c r="Q580" s="367"/>
      <c r="R580" s="367"/>
      <c r="S580" s="367"/>
      <c r="T580" s="367"/>
      <c r="U580" s="367"/>
      <c r="V580" s="367"/>
      <c r="W580" s="367"/>
      <c r="X580" s="367" t="s">
        <v>1752</v>
      </c>
      <c r="Y580" s="367"/>
      <c r="Z580" s="367"/>
      <c r="AA580" s="367"/>
      <c r="AB580" s="150"/>
      <c r="AC580" s="48" t="s">
        <v>1896</v>
      </c>
      <c r="AD580" s="150" t="s">
        <v>55</v>
      </c>
      <c r="AE580" s="262"/>
      <c r="AF580" s="262"/>
      <c r="AG580" s="286">
        <v>46132</v>
      </c>
      <c r="AH580" s="49">
        <v>46106</v>
      </c>
      <c r="AI580" s="266">
        <v>46082</v>
      </c>
      <c r="AJ580" s="150" t="s">
        <v>330</v>
      </c>
      <c r="AK580" s="150" t="s">
        <v>161</v>
      </c>
      <c r="AL580" s="150" t="s">
        <v>175</v>
      </c>
      <c r="AM580" s="150" t="s">
        <v>209</v>
      </c>
      <c r="AN580" s="367"/>
      <c r="AO580" s="367"/>
      <c r="AP580" s="367"/>
      <c r="AQ580" s="366"/>
      <c r="AR580" s="367"/>
      <c r="AS580" s="367"/>
      <c r="AT580" s="288">
        <v>46060</v>
      </c>
      <c r="AU580" s="45">
        <v>45868</v>
      </c>
      <c r="AV580" s="45">
        <v>45876</v>
      </c>
      <c r="AW580" s="45">
        <v>45876</v>
      </c>
      <c r="AX580" s="367"/>
      <c r="AY580" s="367"/>
      <c r="AZ580" s="367"/>
      <c r="BA580" s="367"/>
      <c r="BB580" s="152" t="s">
        <v>1781</v>
      </c>
      <c r="BC580" s="152"/>
      <c r="BD580" s="367" t="s">
        <v>1605</v>
      </c>
      <c r="BE580" s="367"/>
      <c r="BF580" s="367"/>
      <c r="BG580" s="367"/>
      <c r="BH580" s="279" t="e">
        <f>#REF!</f>
        <v>#REF!</v>
      </c>
      <c r="BI580" s="54"/>
      <c r="BJ580" s="54"/>
      <c r="BK580" s="54"/>
      <c r="BL580" s="54"/>
    </row>
    <row r="581" spans="1:64" ht="36" customHeight="1" x14ac:dyDescent="0.3">
      <c r="A581" s="305">
        <f t="shared" si="11"/>
        <v>576</v>
      </c>
      <c r="B581" s="54" t="s">
        <v>1897</v>
      </c>
      <c r="C581" s="367" t="s">
        <v>5</v>
      </c>
      <c r="D581" s="367" t="s">
        <v>1759</v>
      </c>
      <c r="E581" s="45">
        <v>46150</v>
      </c>
      <c r="F581" s="45">
        <v>46153</v>
      </c>
      <c r="G581" s="45"/>
      <c r="H581" s="45"/>
      <c r="I581" s="367"/>
      <c r="J581" s="54" t="s">
        <v>521</v>
      </c>
      <c r="K581" s="48"/>
      <c r="L581" s="367"/>
      <c r="M581" s="150" t="s">
        <v>120</v>
      </c>
      <c r="N581" s="367"/>
      <c r="O581" s="367"/>
      <c r="P581" s="311"/>
      <c r="Q581" s="367"/>
      <c r="R581" s="367"/>
      <c r="S581" s="367"/>
      <c r="T581" s="367"/>
      <c r="U581" s="367"/>
      <c r="V581" s="367"/>
      <c r="W581" s="367"/>
      <c r="X581" s="367" t="s">
        <v>1752</v>
      </c>
      <c r="Y581" s="367"/>
      <c r="Z581" s="367"/>
      <c r="AA581" s="367"/>
      <c r="AB581" s="150"/>
      <c r="AC581" s="48" t="s">
        <v>1898</v>
      </c>
      <c r="AD581" s="150" t="s">
        <v>55</v>
      </c>
      <c r="AE581" s="262"/>
      <c r="AF581" s="262"/>
      <c r="AG581" s="286">
        <v>46132</v>
      </c>
      <c r="AH581" s="49">
        <v>46106</v>
      </c>
      <c r="AI581" s="266">
        <v>46082</v>
      </c>
      <c r="AJ581" s="150" t="s">
        <v>330</v>
      </c>
      <c r="AK581" s="150" t="s">
        <v>161</v>
      </c>
      <c r="AL581" s="150" t="s">
        <v>175</v>
      </c>
      <c r="AM581" s="150" t="s">
        <v>209</v>
      </c>
      <c r="AN581" s="367"/>
      <c r="AO581" s="367"/>
      <c r="AP581" s="367"/>
      <c r="AQ581" s="366"/>
      <c r="AR581" s="367"/>
      <c r="AS581" s="367"/>
      <c r="AT581" s="288">
        <v>46060</v>
      </c>
      <c r="AU581" s="45">
        <v>45868</v>
      </c>
      <c r="AV581" s="45">
        <v>45876</v>
      </c>
      <c r="AW581" s="45">
        <v>45876</v>
      </c>
      <c r="AX581" s="367"/>
      <c r="AY581" s="367"/>
      <c r="AZ581" s="367"/>
      <c r="BA581" s="367"/>
      <c r="BB581" s="152" t="s">
        <v>1781</v>
      </c>
      <c r="BC581" s="152"/>
      <c r="BD581" s="367" t="s">
        <v>1605</v>
      </c>
      <c r="BE581" s="367"/>
      <c r="BF581" s="367"/>
      <c r="BG581" s="367"/>
      <c r="BH581" s="279" t="e">
        <f>#REF!</f>
        <v>#REF!</v>
      </c>
      <c r="BI581" s="54"/>
      <c r="BJ581" s="54"/>
      <c r="BK581" s="54"/>
      <c r="BL581" s="54"/>
    </row>
    <row r="582" spans="1:64" ht="36" customHeight="1" x14ac:dyDescent="0.3">
      <c r="A582" s="305">
        <f t="shared" si="11"/>
        <v>577</v>
      </c>
      <c r="B582" s="54" t="s">
        <v>1899</v>
      </c>
      <c r="C582" s="367" t="s">
        <v>5</v>
      </c>
      <c r="D582" s="367" t="s">
        <v>1762</v>
      </c>
      <c r="E582" s="45">
        <v>46152</v>
      </c>
      <c r="F582" s="45">
        <v>46172</v>
      </c>
      <c r="G582" s="45"/>
      <c r="H582" s="45"/>
      <c r="I582" s="367"/>
      <c r="J582" s="54" t="s">
        <v>521</v>
      </c>
      <c r="K582" s="48"/>
      <c r="L582" s="367"/>
      <c r="M582" s="150" t="s">
        <v>120</v>
      </c>
      <c r="N582" s="367"/>
      <c r="O582" s="367"/>
      <c r="P582" s="311"/>
      <c r="Q582" s="367"/>
      <c r="R582" s="367"/>
      <c r="S582" s="367"/>
      <c r="T582" s="367"/>
      <c r="U582" s="367"/>
      <c r="V582" s="367"/>
      <c r="W582" s="367"/>
      <c r="X582" s="367" t="s">
        <v>1752</v>
      </c>
      <c r="Y582" s="367"/>
      <c r="Z582" s="367"/>
      <c r="AA582" s="367"/>
      <c r="AB582" s="150"/>
      <c r="AC582" s="48" t="s">
        <v>1900</v>
      </c>
      <c r="AD582" s="150" t="s">
        <v>55</v>
      </c>
      <c r="AE582" s="262"/>
      <c r="AF582" s="262"/>
      <c r="AG582" s="286">
        <v>46132</v>
      </c>
      <c r="AH582" s="49">
        <v>46106</v>
      </c>
      <c r="AI582" s="266">
        <v>46082</v>
      </c>
      <c r="AJ582" s="150" t="s">
        <v>330</v>
      </c>
      <c r="AK582" s="150" t="s">
        <v>161</v>
      </c>
      <c r="AL582" s="150" t="s">
        <v>175</v>
      </c>
      <c r="AM582" s="150" t="s">
        <v>209</v>
      </c>
      <c r="AN582" s="367"/>
      <c r="AO582" s="367"/>
      <c r="AP582" s="367"/>
      <c r="AQ582" s="366"/>
      <c r="AR582" s="367"/>
      <c r="AS582" s="367"/>
      <c r="AT582" s="288">
        <v>46060</v>
      </c>
      <c r="AU582" s="45">
        <v>45868</v>
      </c>
      <c r="AV582" s="45">
        <v>45876</v>
      </c>
      <c r="AW582" s="45">
        <v>45876</v>
      </c>
      <c r="AX582" s="367"/>
      <c r="AY582" s="367"/>
      <c r="AZ582" s="367"/>
      <c r="BA582" s="367"/>
      <c r="BB582" s="152" t="s">
        <v>1781</v>
      </c>
      <c r="BC582" s="152"/>
      <c r="BD582" s="367" t="s">
        <v>1605</v>
      </c>
      <c r="BE582" s="367"/>
      <c r="BF582" s="367"/>
      <c r="BG582" s="367"/>
      <c r="BH582" s="279" t="e">
        <f>#REF!</f>
        <v>#REF!</v>
      </c>
      <c r="BI582" s="54"/>
      <c r="BJ582" s="54"/>
      <c r="BK582" s="54"/>
      <c r="BL582" s="54"/>
    </row>
    <row r="583" spans="1:64" ht="36" customHeight="1" x14ac:dyDescent="0.3">
      <c r="A583" s="305">
        <f t="shared" si="11"/>
        <v>578</v>
      </c>
      <c r="B583" s="54" t="s">
        <v>1901</v>
      </c>
      <c r="C583" s="367" t="s">
        <v>5</v>
      </c>
      <c r="D583" s="367" t="s">
        <v>1902</v>
      </c>
      <c r="E583" s="45">
        <v>46032</v>
      </c>
      <c r="F583" s="45">
        <v>46081</v>
      </c>
      <c r="G583" s="45"/>
      <c r="H583" s="45"/>
      <c r="I583" s="367"/>
      <c r="J583" s="54" t="s">
        <v>1619</v>
      </c>
      <c r="K583" s="48" t="s">
        <v>1903</v>
      </c>
      <c r="L583" s="367" t="s">
        <v>660</v>
      </c>
      <c r="M583" s="150" t="s">
        <v>65</v>
      </c>
      <c r="N583" s="367"/>
      <c r="O583" s="367"/>
      <c r="P583" s="311"/>
      <c r="Q583" s="367"/>
      <c r="R583" s="367"/>
      <c r="S583" s="367"/>
      <c r="T583" s="367">
        <v>55</v>
      </c>
      <c r="U583" s="367"/>
      <c r="V583" s="367"/>
      <c r="W583" s="367"/>
      <c r="X583" s="367" t="s">
        <v>1752</v>
      </c>
      <c r="Y583" s="367"/>
      <c r="Z583" s="367"/>
      <c r="AA583" s="367"/>
      <c r="AB583" s="150"/>
      <c r="AC583" s="48" t="s">
        <v>1904</v>
      </c>
      <c r="AD583" s="150" t="s">
        <v>910</v>
      </c>
      <c r="AE583" s="262"/>
      <c r="AF583" s="262"/>
      <c r="AG583" s="286">
        <v>45992</v>
      </c>
      <c r="AH583" s="49">
        <v>45981</v>
      </c>
      <c r="AI583" s="266">
        <v>45962</v>
      </c>
      <c r="AJ583" s="150" t="s">
        <v>131</v>
      </c>
      <c r="AK583" s="150" t="s">
        <v>294</v>
      </c>
      <c r="AL583" s="150" t="s">
        <v>154</v>
      </c>
      <c r="AM583" s="150" t="s">
        <v>134</v>
      </c>
      <c r="AN583" s="367"/>
      <c r="AO583" s="367"/>
      <c r="AP583" s="367"/>
      <c r="AQ583" s="366"/>
      <c r="AR583" s="367"/>
      <c r="AS583" s="367"/>
      <c r="AT583" s="45">
        <v>45960</v>
      </c>
      <c r="AU583" s="294" t="s">
        <v>1905</v>
      </c>
      <c r="AV583" s="45">
        <v>45936</v>
      </c>
      <c r="AW583" s="45">
        <v>45877</v>
      </c>
      <c r="AX583" s="367"/>
      <c r="AY583" s="367"/>
      <c r="AZ583" s="367"/>
      <c r="BA583" s="367"/>
      <c r="BB583" s="152" t="s">
        <v>1906</v>
      </c>
      <c r="BC583" s="152"/>
      <c r="BD583" s="367" t="s">
        <v>1605</v>
      </c>
      <c r="BE583" s="367"/>
      <c r="BF583" s="367"/>
      <c r="BG583" s="367"/>
      <c r="BH583" s="279" t="e">
        <f>#REF!</f>
        <v>#REF!</v>
      </c>
      <c r="BI583" s="54"/>
      <c r="BJ583" s="54"/>
      <c r="BK583" s="54"/>
      <c r="BL583" s="54"/>
    </row>
    <row r="584" spans="1:64" ht="36" customHeight="1" x14ac:dyDescent="0.3">
      <c r="A584" s="305">
        <f t="shared" si="11"/>
        <v>579</v>
      </c>
      <c r="B584" s="54" t="s">
        <v>1907</v>
      </c>
      <c r="C584" s="367" t="s">
        <v>5</v>
      </c>
      <c r="D584" s="367" t="s">
        <v>1902</v>
      </c>
      <c r="E584" s="45">
        <v>46048</v>
      </c>
      <c r="F584" s="45">
        <v>45687</v>
      </c>
      <c r="G584" s="45"/>
      <c r="H584" s="45"/>
      <c r="I584" s="367"/>
      <c r="J584" s="54" t="s">
        <v>1619</v>
      </c>
      <c r="K584" s="48" t="s">
        <v>1908</v>
      </c>
      <c r="L584" s="367" t="s">
        <v>660</v>
      </c>
      <c r="M584" s="150" t="s">
        <v>65</v>
      </c>
      <c r="N584" s="367"/>
      <c r="O584" s="367"/>
      <c r="P584" s="367"/>
      <c r="Q584" s="367"/>
      <c r="R584" s="367"/>
      <c r="S584" s="367"/>
      <c r="T584" s="367">
        <v>55</v>
      </c>
      <c r="U584" s="367"/>
      <c r="V584" s="367"/>
      <c r="W584" s="367"/>
      <c r="X584" s="367" t="s">
        <v>1752</v>
      </c>
      <c r="Y584" s="367"/>
      <c r="Z584" s="367"/>
      <c r="AA584" s="367"/>
      <c r="AB584" s="150"/>
      <c r="AC584" s="48" t="s">
        <v>1909</v>
      </c>
      <c r="AD584" s="150" t="s">
        <v>919</v>
      </c>
      <c r="AE584" s="296"/>
      <c r="AF584" s="296"/>
      <c r="AG584" s="286">
        <v>45962</v>
      </c>
      <c r="AH584" s="49">
        <v>45945</v>
      </c>
      <c r="AI584" s="266">
        <v>45901</v>
      </c>
      <c r="AJ584" s="150" t="s">
        <v>131</v>
      </c>
      <c r="AK584" s="150" t="s">
        <v>294</v>
      </c>
      <c r="AL584" s="150" t="s">
        <v>154</v>
      </c>
      <c r="AM584" s="150" t="s">
        <v>134</v>
      </c>
      <c r="AN584" s="367"/>
      <c r="AO584" s="367"/>
      <c r="AP584" s="367"/>
      <c r="AQ584" s="366"/>
      <c r="AR584" s="367"/>
      <c r="AS584" s="367"/>
      <c r="AT584" s="45">
        <v>45986</v>
      </c>
      <c r="AU584" s="45">
        <v>45954</v>
      </c>
      <c r="AV584" s="45">
        <v>45971</v>
      </c>
      <c r="AW584" s="45">
        <v>45873</v>
      </c>
      <c r="AX584" s="367"/>
      <c r="AY584" s="367"/>
      <c r="AZ584" s="367"/>
      <c r="BA584" s="367"/>
      <c r="BB584" s="152" t="s">
        <v>1746</v>
      </c>
      <c r="BC584" s="152"/>
      <c r="BD584" s="367" t="s">
        <v>1605</v>
      </c>
      <c r="BE584" s="367"/>
      <c r="BF584" s="367"/>
      <c r="BG584" s="367"/>
      <c r="BH584" s="279" t="e">
        <f>#REF!</f>
        <v>#REF!</v>
      </c>
      <c r="BI584" s="54"/>
      <c r="BJ584" s="54"/>
      <c r="BK584" s="54"/>
      <c r="BL584" s="54"/>
    </row>
    <row r="585" spans="1:64" ht="36" customHeight="1" x14ac:dyDescent="0.3">
      <c r="A585" s="305">
        <f t="shared" si="11"/>
        <v>580</v>
      </c>
      <c r="B585" s="54" t="s">
        <v>1910</v>
      </c>
      <c r="C585" s="367" t="s">
        <v>5</v>
      </c>
      <c r="D585" s="367" t="s">
        <v>1902</v>
      </c>
      <c r="E585" s="45">
        <v>46032</v>
      </c>
      <c r="F585" s="45">
        <v>46081</v>
      </c>
      <c r="G585" s="45">
        <v>46178</v>
      </c>
      <c r="H585" s="45"/>
      <c r="I585" s="367"/>
      <c r="J585" s="54" t="s">
        <v>1619</v>
      </c>
      <c r="K585" s="48" t="s">
        <v>1911</v>
      </c>
      <c r="L585" s="367" t="s">
        <v>660</v>
      </c>
      <c r="M585" s="150" t="s">
        <v>120</v>
      </c>
      <c r="N585" s="367"/>
      <c r="O585" s="367"/>
      <c r="P585" s="311"/>
      <c r="Q585" s="367"/>
      <c r="R585" s="367"/>
      <c r="S585" s="367"/>
      <c r="T585" s="367">
        <v>55</v>
      </c>
      <c r="U585" s="367"/>
      <c r="V585" s="367"/>
      <c r="W585" s="367"/>
      <c r="X585" s="367" t="s">
        <v>1752</v>
      </c>
      <c r="Y585" s="367"/>
      <c r="Z585" s="367"/>
      <c r="AA585" s="367"/>
      <c r="AB585" s="150"/>
      <c r="AC585" s="48" t="s">
        <v>1912</v>
      </c>
      <c r="AD585" s="150" t="s">
        <v>910</v>
      </c>
      <c r="AE585" s="262"/>
      <c r="AF585" s="262"/>
      <c r="AG585" s="286">
        <v>45992</v>
      </c>
      <c r="AH585" s="49">
        <v>45981</v>
      </c>
      <c r="AI585" s="266">
        <v>45962</v>
      </c>
      <c r="AJ585" s="150" t="s">
        <v>131</v>
      </c>
      <c r="AK585" s="150" t="s">
        <v>294</v>
      </c>
      <c r="AL585" s="150" t="s">
        <v>154</v>
      </c>
      <c r="AM585" s="150" t="s">
        <v>134</v>
      </c>
      <c r="AN585" s="367"/>
      <c r="AO585" s="367"/>
      <c r="AP585" s="367"/>
      <c r="AQ585" s="366"/>
      <c r="AR585" s="367"/>
      <c r="AS585" s="367"/>
      <c r="AT585" s="45">
        <v>45976</v>
      </c>
      <c r="AU585" s="45">
        <v>45943</v>
      </c>
      <c r="AV585" s="294" t="s">
        <v>1913</v>
      </c>
      <c r="AW585" s="45">
        <v>45877</v>
      </c>
      <c r="AX585" s="367"/>
      <c r="AY585" s="367"/>
      <c r="AZ585" s="367"/>
      <c r="BA585" s="367"/>
      <c r="BB585" s="152" t="s">
        <v>1914</v>
      </c>
      <c r="BC585" s="152"/>
      <c r="BD585" s="367" t="s">
        <v>1605</v>
      </c>
      <c r="BE585" s="367"/>
      <c r="BF585" s="367"/>
      <c r="BG585" s="367"/>
      <c r="BH585" s="279" t="e">
        <f>#REF!</f>
        <v>#REF!</v>
      </c>
      <c r="BI585" s="54"/>
      <c r="BJ585" s="54"/>
      <c r="BK585" s="54"/>
      <c r="BL585" s="54"/>
    </row>
    <row r="586" spans="1:64" ht="36" customHeight="1" x14ac:dyDescent="0.3">
      <c r="A586" s="305">
        <f t="shared" si="11"/>
        <v>581</v>
      </c>
      <c r="B586" s="54" t="s">
        <v>1915</v>
      </c>
      <c r="C586" s="367" t="s">
        <v>5</v>
      </c>
      <c r="D586" s="367" t="s">
        <v>1902</v>
      </c>
      <c r="E586" s="45">
        <v>46048</v>
      </c>
      <c r="F586" s="45">
        <v>45687</v>
      </c>
      <c r="G586" s="45"/>
      <c r="H586" s="45"/>
      <c r="I586" s="367"/>
      <c r="J586" s="54" t="s">
        <v>1619</v>
      </c>
      <c r="K586" s="48" t="s">
        <v>1916</v>
      </c>
      <c r="L586" s="367" t="s">
        <v>660</v>
      </c>
      <c r="M586" s="150" t="s">
        <v>120</v>
      </c>
      <c r="N586" s="367"/>
      <c r="O586" s="367"/>
      <c r="P586" s="367"/>
      <c r="Q586" s="367"/>
      <c r="R586" s="367"/>
      <c r="S586" s="367"/>
      <c r="T586" s="367">
        <v>55</v>
      </c>
      <c r="U586" s="367"/>
      <c r="V586" s="367"/>
      <c r="W586" s="367"/>
      <c r="X586" s="367" t="s">
        <v>1752</v>
      </c>
      <c r="Y586" s="367"/>
      <c r="Z586" s="367"/>
      <c r="AA586" s="367"/>
      <c r="AB586" s="150"/>
      <c r="AC586" s="48" t="s">
        <v>1917</v>
      </c>
      <c r="AD586" s="150" t="s">
        <v>919</v>
      </c>
      <c r="AE586" s="262"/>
      <c r="AF586" s="262"/>
      <c r="AG586" s="286">
        <v>45992</v>
      </c>
      <c r="AH586" s="49">
        <v>45981</v>
      </c>
      <c r="AI586" s="266">
        <v>45962</v>
      </c>
      <c r="AJ586" s="150" t="s">
        <v>131</v>
      </c>
      <c r="AK586" s="150" t="s">
        <v>294</v>
      </c>
      <c r="AL586" s="150" t="s">
        <v>133</v>
      </c>
      <c r="AM586" s="150" t="s">
        <v>134</v>
      </c>
      <c r="AN586" s="367"/>
      <c r="AO586" s="367"/>
      <c r="AP586" s="367"/>
      <c r="AQ586" s="366"/>
      <c r="AR586" s="367"/>
      <c r="AS586" s="367"/>
      <c r="AT586" s="45">
        <v>45986</v>
      </c>
      <c r="AU586" s="45">
        <v>45954</v>
      </c>
      <c r="AV586" s="45">
        <v>45971</v>
      </c>
      <c r="AW586" s="45">
        <v>45873</v>
      </c>
      <c r="AX586" s="367"/>
      <c r="AY586" s="367"/>
      <c r="AZ586" s="367"/>
      <c r="BA586" s="367"/>
      <c r="BB586" s="152" t="s">
        <v>1742</v>
      </c>
      <c r="BC586" s="152"/>
      <c r="BD586" s="367" t="s">
        <v>1605</v>
      </c>
      <c r="BE586" s="367"/>
      <c r="BF586" s="367"/>
      <c r="BG586" s="367"/>
      <c r="BH586" s="279" t="e">
        <f>#REF!</f>
        <v>#REF!</v>
      </c>
      <c r="BI586" s="54"/>
      <c r="BJ586" s="54"/>
      <c r="BK586" s="54"/>
      <c r="BL586" s="54"/>
    </row>
    <row r="587" spans="1:64" ht="36" customHeight="1" x14ac:dyDescent="0.3">
      <c r="A587" s="305">
        <f t="shared" si="11"/>
        <v>582</v>
      </c>
      <c r="B587" s="54" t="s">
        <v>1918</v>
      </c>
      <c r="C587" s="367" t="s">
        <v>5</v>
      </c>
      <c r="D587" s="367" t="s">
        <v>1919</v>
      </c>
      <c r="E587" s="45">
        <v>46032</v>
      </c>
      <c r="F587" s="45">
        <v>46052</v>
      </c>
      <c r="G587" s="45"/>
      <c r="H587" s="45"/>
      <c r="I587" s="367"/>
      <c r="J587" s="54" t="s">
        <v>1615</v>
      </c>
      <c r="K587" s="48" t="s">
        <v>1920</v>
      </c>
      <c r="L587" s="367" t="s">
        <v>1921</v>
      </c>
      <c r="M587" s="150" t="s">
        <v>65</v>
      </c>
      <c r="N587" s="367"/>
      <c r="O587" s="367"/>
      <c r="P587" s="311"/>
      <c r="Q587" s="367">
        <v>2</v>
      </c>
      <c r="R587" s="367"/>
      <c r="S587" s="367"/>
      <c r="T587" s="367">
        <v>19</v>
      </c>
      <c r="U587" s="367"/>
      <c r="V587" s="367"/>
      <c r="W587" s="367"/>
      <c r="X587" s="367" t="s">
        <v>1752</v>
      </c>
      <c r="Y587" s="367"/>
      <c r="Z587" s="367"/>
      <c r="AA587" s="367"/>
      <c r="AB587" s="150"/>
      <c r="AC587" s="48" t="s">
        <v>1922</v>
      </c>
      <c r="AD587" s="150" t="s">
        <v>814</v>
      </c>
      <c r="AE587" s="262"/>
      <c r="AF587" s="262"/>
      <c r="AG587" s="286">
        <v>45992</v>
      </c>
      <c r="AH587" s="49">
        <v>46006</v>
      </c>
      <c r="AI587" s="266">
        <v>45962</v>
      </c>
      <c r="AJ587" s="150" t="s">
        <v>131</v>
      </c>
      <c r="AK587" s="150" t="s">
        <v>166</v>
      </c>
      <c r="AL587" s="150" t="s">
        <v>191</v>
      </c>
      <c r="AM587" s="150" t="s">
        <v>209</v>
      </c>
      <c r="AN587" s="367"/>
      <c r="AO587" s="367"/>
      <c r="AP587" s="367"/>
      <c r="AQ587" s="366"/>
      <c r="AR587" s="367"/>
      <c r="AS587" s="367"/>
      <c r="AT587" s="45">
        <v>45986</v>
      </c>
      <c r="AU587" s="294" t="s">
        <v>1923</v>
      </c>
      <c r="AV587" s="45">
        <v>45950</v>
      </c>
      <c r="AW587" s="45">
        <v>45861</v>
      </c>
      <c r="AX587" s="367"/>
      <c r="AY587" s="367"/>
      <c r="AZ587" s="45">
        <v>45961</v>
      </c>
      <c r="BA587" s="45"/>
      <c r="BB587" s="152" t="s">
        <v>1924</v>
      </c>
      <c r="BC587" s="152"/>
      <c r="BD587" s="367" t="s">
        <v>1605</v>
      </c>
      <c r="BE587" s="367"/>
      <c r="BF587" s="367"/>
      <c r="BG587" s="367"/>
      <c r="BH587" s="279" t="e">
        <f>#REF!</f>
        <v>#REF!</v>
      </c>
      <c r="BI587" s="54"/>
      <c r="BJ587" s="54"/>
      <c r="BK587" s="54"/>
      <c r="BL587" s="54"/>
    </row>
    <row r="588" spans="1:64" ht="36" customHeight="1" x14ac:dyDescent="0.3">
      <c r="A588" s="305">
        <f t="shared" si="11"/>
        <v>583</v>
      </c>
      <c r="B588" s="54" t="s">
        <v>1925</v>
      </c>
      <c r="C588" s="367" t="s">
        <v>5</v>
      </c>
      <c r="D588" s="367" t="s">
        <v>1926</v>
      </c>
      <c r="E588" s="45">
        <v>46000</v>
      </c>
      <c r="F588" s="45">
        <v>46000</v>
      </c>
      <c r="G588" s="45"/>
      <c r="H588" s="45"/>
      <c r="I588" s="367"/>
      <c r="J588" s="54" t="s">
        <v>1615</v>
      </c>
      <c r="K588" s="48" t="s">
        <v>1824</v>
      </c>
      <c r="L588" s="367" t="s">
        <v>660</v>
      </c>
      <c r="M588" s="150" t="s">
        <v>65</v>
      </c>
      <c r="N588" s="367"/>
      <c r="O588" s="367"/>
      <c r="P588" s="311"/>
      <c r="Q588" s="367"/>
      <c r="R588" s="367"/>
      <c r="S588" s="367"/>
      <c r="T588" s="367">
        <v>40</v>
      </c>
      <c r="U588" s="367"/>
      <c r="V588" s="367"/>
      <c r="W588" s="367"/>
      <c r="X588" s="367" t="s">
        <v>1752</v>
      </c>
      <c r="Y588" s="367"/>
      <c r="Z588" s="367" t="s">
        <v>127</v>
      </c>
      <c r="AA588" s="367"/>
      <c r="AB588" s="150"/>
      <c r="AC588" s="48" t="s">
        <v>1927</v>
      </c>
      <c r="AD588" s="150" t="s">
        <v>814</v>
      </c>
      <c r="AE588" s="262"/>
      <c r="AF588" s="262"/>
      <c r="AG588" s="286">
        <v>45992</v>
      </c>
      <c r="AH588" s="49">
        <v>45966</v>
      </c>
      <c r="AI588" s="266">
        <v>45931</v>
      </c>
      <c r="AJ588" s="150" t="s">
        <v>131</v>
      </c>
      <c r="AK588" s="150" t="s">
        <v>166</v>
      </c>
      <c r="AL588" s="150" t="s">
        <v>191</v>
      </c>
      <c r="AM588" s="150" t="s">
        <v>209</v>
      </c>
      <c r="AN588" s="367"/>
      <c r="AO588" s="367"/>
      <c r="AP588" s="367"/>
      <c r="AQ588" s="366"/>
      <c r="AR588" s="367"/>
      <c r="AS588" s="367"/>
      <c r="AT588" s="45">
        <v>45931</v>
      </c>
      <c r="AU588" s="45">
        <v>45866</v>
      </c>
      <c r="AV588" s="367"/>
      <c r="AW588" s="45">
        <v>45861</v>
      </c>
      <c r="AX588" s="367"/>
      <c r="AY588" s="367"/>
      <c r="AZ588" s="45">
        <v>45961</v>
      </c>
      <c r="BA588" s="45"/>
      <c r="BB588" s="292" t="s">
        <v>1928</v>
      </c>
      <c r="BC588" s="152"/>
      <c r="BD588" s="367" t="s">
        <v>1605</v>
      </c>
      <c r="BE588" s="367"/>
      <c r="BF588" s="367"/>
      <c r="BG588" s="367"/>
      <c r="BH588" s="279" t="e">
        <f>#REF!</f>
        <v>#REF!</v>
      </c>
      <c r="BI588" s="54"/>
      <c r="BJ588" s="54"/>
      <c r="BK588" s="54"/>
      <c r="BL588" s="54"/>
    </row>
    <row r="589" spans="1:64" ht="36" customHeight="1" x14ac:dyDescent="0.3">
      <c r="A589" s="305">
        <f t="shared" si="11"/>
        <v>584</v>
      </c>
      <c r="B589" s="54" t="s">
        <v>1929</v>
      </c>
      <c r="C589" s="367" t="s">
        <v>5</v>
      </c>
      <c r="D589" s="367" t="s">
        <v>1926</v>
      </c>
      <c r="E589" s="45">
        <v>46000</v>
      </c>
      <c r="F589" s="45">
        <v>46000</v>
      </c>
      <c r="G589" s="45"/>
      <c r="H589" s="45"/>
      <c r="I589" s="367"/>
      <c r="J589" s="54" t="s">
        <v>1615</v>
      </c>
      <c r="K589" s="48" t="s">
        <v>1827</v>
      </c>
      <c r="L589" s="367" t="s">
        <v>660</v>
      </c>
      <c r="M589" s="150" t="s">
        <v>120</v>
      </c>
      <c r="N589" s="367"/>
      <c r="O589" s="367"/>
      <c r="P589" s="311"/>
      <c r="Q589" s="367"/>
      <c r="R589" s="367"/>
      <c r="S589" s="367"/>
      <c r="T589" s="367">
        <v>40</v>
      </c>
      <c r="U589" s="367"/>
      <c r="V589" s="367"/>
      <c r="W589" s="367"/>
      <c r="X589" s="367" t="s">
        <v>1752</v>
      </c>
      <c r="Y589" s="367"/>
      <c r="Z589" s="367" t="s">
        <v>127</v>
      </c>
      <c r="AA589" s="367"/>
      <c r="AB589" s="150"/>
      <c r="AC589" s="48" t="s">
        <v>1930</v>
      </c>
      <c r="AD589" s="150" t="s">
        <v>814</v>
      </c>
      <c r="AE589" s="262"/>
      <c r="AF589" s="262"/>
      <c r="AG589" s="286">
        <v>45992</v>
      </c>
      <c r="AH589" s="49">
        <v>45966</v>
      </c>
      <c r="AI589" s="266">
        <v>45931</v>
      </c>
      <c r="AJ589" s="150" t="s">
        <v>131</v>
      </c>
      <c r="AK589" s="150" t="s">
        <v>166</v>
      </c>
      <c r="AL589" s="150" t="s">
        <v>191</v>
      </c>
      <c r="AM589" s="150" t="s">
        <v>209</v>
      </c>
      <c r="AN589" s="367"/>
      <c r="AO589" s="367"/>
      <c r="AP589" s="367"/>
      <c r="AQ589" s="366"/>
      <c r="AR589" s="367"/>
      <c r="AS589" s="367"/>
      <c r="AT589" s="45">
        <v>45931</v>
      </c>
      <c r="AU589" s="45">
        <v>45866</v>
      </c>
      <c r="AV589" s="367"/>
      <c r="AW589" s="45">
        <v>45861</v>
      </c>
      <c r="AX589" s="367"/>
      <c r="AY589" s="367"/>
      <c r="AZ589" s="45">
        <v>45961</v>
      </c>
      <c r="BA589" s="45"/>
      <c r="BB589" s="152" t="s">
        <v>1931</v>
      </c>
      <c r="BC589" s="152"/>
      <c r="BD589" s="367" t="s">
        <v>1605</v>
      </c>
      <c r="BE589" s="367"/>
      <c r="BF589" s="367"/>
      <c r="BG589" s="367"/>
      <c r="BH589" s="279" t="e">
        <f>#REF!</f>
        <v>#REF!</v>
      </c>
      <c r="BI589" s="54"/>
      <c r="BJ589" s="54"/>
      <c r="BK589" s="54"/>
      <c r="BL589" s="54"/>
    </row>
    <row r="590" spans="1:64" ht="32.4" customHeight="1" x14ac:dyDescent="0.3">
      <c r="A590" s="305">
        <f t="shared" si="11"/>
        <v>585</v>
      </c>
      <c r="B590" s="54" t="s">
        <v>1932</v>
      </c>
      <c r="C590" s="367" t="s">
        <v>5</v>
      </c>
      <c r="D590" s="367" t="s">
        <v>1933</v>
      </c>
      <c r="E590" s="367"/>
      <c r="F590" s="367"/>
      <c r="G590" s="367"/>
      <c r="H590" s="367"/>
      <c r="I590" s="367"/>
      <c r="J590" s="54" t="s">
        <v>1615</v>
      </c>
      <c r="K590" s="48" t="s">
        <v>1934</v>
      </c>
      <c r="L590" s="367" t="s">
        <v>1921</v>
      </c>
      <c r="M590" s="150" t="s">
        <v>120</v>
      </c>
      <c r="N590" s="367"/>
      <c r="O590" s="367"/>
      <c r="P590" s="367"/>
      <c r="Q590" s="367">
        <v>2</v>
      </c>
      <c r="R590" s="367"/>
      <c r="S590" s="367"/>
      <c r="T590" s="367">
        <v>19</v>
      </c>
      <c r="U590" s="367"/>
      <c r="V590" s="367"/>
      <c r="W590" s="367"/>
      <c r="X590" s="367" t="s">
        <v>1752</v>
      </c>
      <c r="Y590" s="367"/>
      <c r="Z590" s="367"/>
      <c r="AA590" s="367"/>
      <c r="AB590" s="150"/>
      <c r="AC590" s="48" t="s">
        <v>1935</v>
      </c>
      <c r="AD590" s="150" t="s">
        <v>814</v>
      </c>
      <c r="AE590" s="262"/>
      <c r="AF590" s="262"/>
      <c r="AG590" s="286">
        <v>45992</v>
      </c>
      <c r="AH590" s="49">
        <v>45966</v>
      </c>
      <c r="AI590" s="266">
        <v>45931</v>
      </c>
      <c r="AJ590" s="150" t="s">
        <v>264</v>
      </c>
      <c r="AK590" s="150" t="s">
        <v>166</v>
      </c>
      <c r="AL590" s="150" t="s">
        <v>191</v>
      </c>
      <c r="AM590" s="150" t="s">
        <v>209</v>
      </c>
      <c r="AN590" s="367"/>
      <c r="AO590" s="367"/>
      <c r="AP590" s="367"/>
      <c r="AQ590" s="366"/>
      <c r="AR590" s="367"/>
      <c r="AS590" s="367"/>
      <c r="AT590" s="45">
        <v>45931</v>
      </c>
      <c r="AU590" s="45">
        <v>45866</v>
      </c>
      <c r="AV590" s="367"/>
      <c r="AW590" s="45">
        <v>45861</v>
      </c>
      <c r="AX590" s="367"/>
      <c r="AY590" s="367"/>
      <c r="AZ590" s="45">
        <v>45961</v>
      </c>
      <c r="BA590" s="45"/>
      <c r="BB590" s="152" t="s">
        <v>1936</v>
      </c>
      <c r="BC590" s="152" t="s">
        <v>1937</v>
      </c>
      <c r="BD590" s="367" t="s">
        <v>1605</v>
      </c>
      <c r="BE590" s="367"/>
      <c r="BF590" s="367"/>
      <c r="BG590" s="367"/>
      <c r="BH590" s="279" t="e">
        <f>#REF!</f>
        <v>#REF!</v>
      </c>
      <c r="BI590" s="54"/>
      <c r="BJ590" s="54"/>
      <c r="BK590" s="54"/>
      <c r="BL590" s="54"/>
    </row>
    <row r="591" spans="1:64" ht="36" customHeight="1" x14ac:dyDescent="0.3">
      <c r="A591" s="305">
        <f t="shared" si="11"/>
        <v>586</v>
      </c>
      <c r="B591" s="54" t="s">
        <v>1938</v>
      </c>
      <c r="C591" s="367" t="s">
        <v>5</v>
      </c>
      <c r="D591" s="367" t="s">
        <v>1933</v>
      </c>
      <c r="E591" s="45">
        <v>46000</v>
      </c>
      <c r="F591" s="45">
        <v>46000</v>
      </c>
      <c r="G591" s="45"/>
      <c r="H591" s="45"/>
      <c r="I591" s="367"/>
      <c r="J591" s="54" t="s">
        <v>1615</v>
      </c>
      <c r="K591" s="48" t="s">
        <v>1833</v>
      </c>
      <c r="L591" s="367" t="s">
        <v>660</v>
      </c>
      <c r="M591" s="150" t="s">
        <v>65</v>
      </c>
      <c r="N591" s="367"/>
      <c r="O591" s="367"/>
      <c r="P591" s="311"/>
      <c r="Q591" s="367"/>
      <c r="R591" s="367"/>
      <c r="S591" s="367"/>
      <c r="T591" s="367">
        <v>40</v>
      </c>
      <c r="U591" s="367"/>
      <c r="V591" s="367"/>
      <c r="W591" s="367"/>
      <c r="X591" s="367" t="s">
        <v>1752</v>
      </c>
      <c r="Y591" s="367"/>
      <c r="Z591" s="367" t="s">
        <v>127</v>
      </c>
      <c r="AA591" s="367"/>
      <c r="AB591" s="150"/>
      <c r="AC591" s="48" t="s">
        <v>1939</v>
      </c>
      <c r="AD591" s="150" t="s">
        <v>814</v>
      </c>
      <c r="AE591" s="262"/>
      <c r="AF591" s="262"/>
      <c r="AG591" s="286">
        <v>45992</v>
      </c>
      <c r="AH591" s="49">
        <v>45966</v>
      </c>
      <c r="AI591" s="266">
        <v>45931</v>
      </c>
      <c r="AJ591" s="150" t="s">
        <v>131</v>
      </c>
      <c r="AK591" s="150" t="s">
        <v>166</v>
      </c>
      <c r="AL591" s="150" t="s">
        <v>191</v>
      </c>
      <c r="AM591" s="150" t="s">
        <v>209</v>
      </c>
      <c r="AN591" s="367"/>
      <c r="AO591" s="367"/>
      <c r="AP591" s="367"/>
      <c r="AQ591" s="366"/>
      <c r="AR591" s="367"/>
      <c r="AS591" s="367"/>
      <c r="AT591" s="45">
        <v>45931</v>
      </c>
      <c r="AU591" s="45">
        <v>45866</v>
      </c>
      <c r="AV591" s="367"/>
      <c r="AW591" s="45">
        <v>45861</v>
      </c>
      <c r="AX591" s="367"/>
      <c r="AY591" s="367"/>
      <c r="AZ591" s="45">
        <v>45961</v>
      </c>
      <c r="BA591" s="45"/>
      <c r="BB591" s="152" t="s">
        <v>1940</v>
      </c>
      <c r="BC591" s="152"/>
      <c r="BD591" s="367" t="s">
        <v>1605</v>
      </c>
      <c r="BE591" s="367"/>
      <c r="BF591" s="367"/>
      <c r="BG591" s="367"/>
      <c r="BH591" s="279" t="e">
        <f>#REF!</f>
        <v>#REF!</v>
      </c>
      <c r="BI591" s="54"/>
      <c r="BJ591" s="54"/>
      <c r="BK591" s="54"/>
      <c r="BL591" s="54"/>
    </row>
    <row r="592" spans="1:64" ht="36" customHeight="1" x14ac:dyDescent="0.3">
      <c r="A592" s="305">
        <f t="shared" si="11"/>
        <v>587</v>
      </c>
      <c r="B592" s="54" t="s">
        <v>1941</v>
      </c>
      <c r="C592" s="367" t="s">
        <v>5</v>
      </c>
      <c r="D592" s="367" t="s">
        <v>1919</v>
      </c>
      <c r="E592" s="45">
        <v>46000</v>
      </c>
      <c r="F592" s="45">
        <v>46000</v>
      </c>
      <c r="G592" s="45"/>
      <c r="H592" s="45"/>
      <c r="I592" s="367"/>
      <c r="J592" s="54" t="s">
        <v>1609</v>
      </c>
      <c r="K592" s="48" t="s">
        <v>1942</v>
      </c>
      <c r="L592" s="367" t="s">
        <v>660</v>
      </c>
      <c r="M592" s="150" t="s">
        <v>65</v>
      </c>
      <c r="N592" s="367"/>
      <c r="O592" s="367"/>
      <c r="P592" s="311"/>
      <c r="Q592" s="367">
        <v>3</v>
      </c>
      <c r="R592" s="367"/>
      <c r="S592" s="367"/>
      <c r="T592" s="367">
        <v>13</v>
      </c>
      <c r="U592" s="367"/>
      <c r="V592" s="367"/>
      <c r="W592" s="367"/>
      <c r="X592" s="367" t="s">
        <v>1752</v>
      </c>
      <c r="Y592" s="367"/>
      <c r="Z592" s="367"/>
      <c r="AA592" s="367"/>
      <c r="AB592" s="150"/>
      <c r="AC592" s="48" t="s">
        <v>1943</v>
      </c>
      <c r="AD592" s="150" t="s">
        <v>814</v>
      </c>
      <c r="AE592" s="296">
        <v>45981</v>
      </c>
      <c r="AF592" s="296"/>
      <c r="AG592" s="286">
        <v>45962</v>
      </c>
      <c r="AH592" s="49">
        <v>45945</v>
      </c>
      <c r="AI592" s="266">
        <v>45901</v>
      </c>
      <c r="AJ592" s="150" t="s">
        <v>131</v>
      </c>
      <c r="AK592" s="150" t="s">
        <v>166</v>
      </c>
      <c r="AL592" s="150" t="s">
        <v>191</v>
      </c>
      <c r="AM592" s="150" t="s">
        <v>209</v>
      </c>
      <c r="AN592" s="367"/>
      <c r="AO592" s="367"/>
      <c r="AP592" s="367"/>
      <c r="AQ592" s="366"/>
      <c r="AR592" s="367"/>
      <c r="AS592" s="367"/>
      <c r="AT592" s="45">
        <v>45940</v>
      </c>
      <c r="AU592" s="294" t="s">
        <v>1944</v>
      </c>
      <c r="AV592" s="45">
        <v>45919</v>
      </c>
      <c r="AW592" s="45">
        <v>45861</v>
      </c>
      <c r="AX592" s="367"/>
      <c r="AY592" s="367"/>
      <c r="AZ592" s="45">
        <v>45961</v>
      </c>
      <c r="BA592" s="45"/>
      <c r="BB592" s="152" t="s">
        <v>1924</v>
      </c>
      <c r="BC592" s="152"/>
      <c r="BD592" s="367" t="s">
        <v>1605</v>
      </c>
      <c r="BE592" s="367"/>
      <c r="BF592" s="367"/>
      <c r="BG592" s="367"/>
      <c r="BH592" s="279" t="e">
        <f>#REF!</f>
        <v>#REF!</v>
      </c>
      <c r="BI592" s="54"/>
      <c r="BJ592" s="54"/>
      <c r="BK592" s="54"/>
      <c r="BL592" s="54"/>
    </row>
    <row r="593" spans="1:64" ht="36" customHeight="1" x14ac:dyDescent="0.3">
      <c r="A593" s="305">
        <f t="shared" si="11"/>
        <v>588</v>
      </c>
      <c r="B593" s="54" t="s">
        <v>1945</v>
      </c>
      <c r="C593" s="367" t="s">
        <v>5</v>
      </c>
      <c r="D593" s="367" t="s">
        <v>1919</v>
      </c>
      <c r="E593" s="45">
        <v>45969</v>
      </c>
      <c r="F593" s="45">
        <v>45975</v>
      </c>
      <c r="G593" s="45"/>
      <c r="H593" s="45"/>
      <c r="I593" s="367"/>
      <c r="J593" s="54" t="s">
        <v>1946</v>
      </c>
      <c r="K593" s="48" t="s">
        <v>1947</v>
      </c>
      <c r="L593" s="367" t="s">
        <v>660</v>
      </c>
      <c r="M593" s="150" t="s">
        <v>120</v>
      </c>
      <c r="N593" s="367"/>
      <c r="O593" s="367"/>
      <c r="P593" s="311"/>
      <c r="Q593" s="367">
        <v>2</v>
      </c>
      <c r="R593" s="367"/>
      <c r="S593" s="367"/>
      <c r="T593" s="367">
        <v>19</v>
      </c>
      <c r="U593" s="367"/>
      <c r="V593" s="367"/>
      <c r="W593" s="367"/>
      <c r="X593" s="367" t="s">
        <v>1752</v>
      </c>
      <c r="Y593" s="367"/>
      <c r="Z593" s="367"/>
      <c r="AA593" s="367"/>
      <c r="AB593" s="150"/>
      <c r="AC593" s="48" t="s">
        <v>1948</v>
      </c>
      <c r="AD593" s="150" t="s">
        <v>814</v>
      </c>
      <c r="AE593" s="296">
        <v>45961</v>
      </c>
      <c r="AF593" s="296"/>
      <c r="AG593" s="286">
        <v>45962</v>
      </c>
      <c r="AH593" s="49">
        <v>45971</v>
      </c>
      <c r="AI593" s="266">
        <v>45901</v>
      </c>
      <c r="AJ593" s="150" t="s">
        <v>131</v>
      </c>
      <c r="AK593" s="150" t="s">
        <v>166</v>
      </c>
      <c r="AL593" s="150" t="s">
        <v>191</v>
      </c>
      <c r="AM593" s="150" t="s">
        <v>209</v>
      </c>
      <c r="AN593" s="367"/>
      <c r="AO593" s="367"/>
      <c r="AP593" s="367"/>
      <c r="AQ593" s="366"/>
      <c r="AR593" s="367"/>
      <c r="AS593" s="367"/>
      <c r="AT593" s="45">
        <v>45894</v>
      </c>
      <c r="AU593" s="45">
        <v>45928</v>
      </c>
      <c r="AV593" s="45">
        <v>45883</v>
      </c>
      <c r="AW593" s="45">
        <v>45861</v>
      </c>
      <c r="AX593" s="367"/>
      <c r="AY593" s="367"/>
      <c r="AZ593" s="45">
        <v>45961</v>
      </c>
      <c r="BA593" s="45"/>
      <c r="BB593" s="152" t="s">
        <v>1949</v>
      </c>
      <c r="BC593" s="152"/>
      <c r="BD593" s="367" t="s">
        <v>1605</v>
      </c>
      <c r="BE593" s="367"/>
      <c r="BF593" s="367"/>
      <c r="BG593" s="367"/>
      <c r="BH593" s="279" t="e">
        <f>#REF!</f>
        <v>#REF!</v>
      </c>
      <c r="BI593" s="54"/>
      <c r="BJ593" s="54"/>
      <c r="BK593" s="54"/>
      <c r="BL593" s="54"/>
    </row>
    <row r="594" spans="1:64" ht="36" customHeight="1" x14ac:dyDescent="0.3">
      <c r="A594" s="305">
        <f t="shared" si="11"/>
        <v>589</v>
      </c>
      <c r="B594" s="54" t="s">
        <v>1950</v>
      </c>
      <c r="C594" s="367" t="s">
        <v>5</v>
      </c>
      <c r="D594" s="367" t="s">
        <v>1926</v>
      </c>
      <c r="E594" s="45">
        <v>45999</v>
      </c>
      <c r="F594" s="45">
        <v>46000</v>
      </c>
      <c r="G594" s="45"/>
      <c r="H594" s="45"/>
      <c r="I594" s="367"/>
      <c r="J594" s="54" t="s">
        <v>1946</v>
      </c>
      <c r="K594" s="48" t="s">
        <v>1951</v>
      </c>
      <c r="L594" s="367" t="s">
        <v>660</v>
      </c>
      <c r="M594" s="150" t="s">
        <v>120</v>
      </c>
      <c r="N594" s="367"/>
      <c r="O594" s="367"/>
      <c r="P594" s="311"/>
      <c r="Q594" s="367">
        <v>2</v>
      </c>
      <c r="R594" s="367"/>
      <c r="S594" s="367"/>
      <c r="T594" s="367">
        <v>19</v>
      </c>
      <c r="U594" s="367"/>
      <c r="V594" s="367"/>
      <c r="W594" s="367"/>
      <c r="X594" s="367" t="s">
        <v>1752</v>
      </c>
      <c r="Y594" s="367"/>
      <c r="Z594" s="367"/>
      <c r="AA594" s="367"/>
      <c r="AB594" s="150"/>
      <c r="AC594" s="48" t="s">
        <v>1952</v>
      </c>
      <c r="AD594" s="150" t="s">
        <v>814</v>
      </c>
      <c r="AE594" s="296">
        <v>45981</v>
      </c>
      <c r="AF594" s="296"/>
      <c r="AG594" s="286">
        <v>45962</v>
      </c>
      <c r="AH594" s="49">
        <v>45945</v>
      </c>
      <c r="AI594" s="266">
        <v>45901</v>
      </c>
      <c r="AJ594" s="150" t="s">
        <v>131</v>
      </c>
      <c r="AK594" s="150" t="s">
        <v>166</v>
      </c>
      <c r="AL594" s="150" t="s">
        <v>191</v>
      </c>
      <c r="AM594" s="150" t="s">
        <v>209</v>
      </c>
      <c r="AN594" s="367"/>
      <c r="AO594" s="367"/>
      <c r="AP594" s="367"/>
      <c r="AQ594" s="366"/>
      <c r="AR594" s="367"/>
      <c r="AS594" s="367"/>
      <c r="AT594" s="45">
        <v>45894</v>
      </c>
      <c r="AU594" s="294" t="s">
        <v>1944</v>
      </c>
      <c r="AV594" s="45">
        <v>45888</v>
      </c>
      <c r="AW594" s="45">
        <v>45861</v>
      </c>
      <c r="AX594" s="367"/>
      <c r="AY594" s="367"/>
      <c r="AZ594" s="45">
        <v>45961</v>
      </c>
      <c r="BA594" s="45"/>
      <c r="BB594" s="152" t="s">
        <v>1924</v>
      </c>
      <c r="BC594" s="152"/>
      <c r="BD594" s="367" t="s">
        <v>1605</v>
      </c>
      <c r="BE594" s="367"/>
      <c r="BF594" s="367"/>
      <c r="BG594" s="367"/>
      <c r="BH594" s="279" t="e">
        <f>#REF!</f>
        <v>#REF!</v>
      </c>
      <c r="BI594" s="54"/>
      <c r="BJ594" s="54"/>
      <c r="BK594" s="54"/>
      <c r="BL594" s="54"/>
    </row>
    <row r="595" spans="1:64" ht="36" customHeight="1" x14ac:dyDescent="0.3">
      <c r="A595" s="305">
        <f t="shared" si="11"/>
        <v>590</v>
      </c>
      <c r="B595" s="54" t="s">
        <v>1953</v>
      </c>
      <c r="C595" s="367" t="s">
        <v>5</v>
      </c>
      <c r="D595" s="367" t="s">
        <v>1926</v>
      </c>
      <c r="E595" s="45">
        <v>45989</v>
      </c>
      <c r="F595" s="45">
        <v>45989</v>
      </c>
      <c r="G595" s="45"/>
      <c r="H595" s="45"/>
      <c r="I595" s="367"/>
      <c r="J595" s="54" t="s">
        <v>1946</v>
      </c>
      <c r="K595" s="48" t="s">
        <v>1954</v>
      </c>
      <c r="L595" s="367" t="s">
        <v>660</v>
      </c>
      <c r="M595" s="150" t="s">
        <v>65</v>
      </c>
      <c r="N595" s="367"/>
      <c r="O595" s="367"/>
      <c r="P595" s="311"/>
      <c r="Q595" s="367">
        <v>0.7</v>
      </c>
      <c r="R595" s="367"/>
      <c r="S595" s="367"/>
      <c r="T595" s="367">
        <v>48</v>
      </c>
      <c r="U595" s="367"/>
      <c r="V595" s="367"/>
      <c r="W595" s="367"/>
      <c r="X595" s="367" t="s">
        <v>1752</v>
      </c>
      <c r="Y595" s="367"/>
      <c r="Z595" s="367"/>
      <c r="AA595" s="367"/>
      <c r="AB595" s="150"/>
      <c r="AC595" s="48" t="s">
        <v>1955</v>
      </c>
      <c r="AD595" s="150" t="s">
        <v>814</v>
      </c>
      <c r="AE595" s="262"/>
      <c r="AF595" s="262"/>
      <c r="AG595" s="286">
        <v>45931</v>
      </c>
      <c r="AH595" s="49">
        <v>45981</v>
      </c>
      <c r="AI595" s="266">
        <v>45901</v>
      </c>
      <c r="AJ595" s="150" t="s">
        <v>648</v>
      </c>
      <c r="AK595" s="150" t="s">
        <v>166</v>
      </c>
      <c r="AL595" s="150" t="s">
        <v>191</v>
      </c>
      <c r="AM595" s="150" t="s">
        <v>209</v>
      </c>
      <c r="AN595" s="367"/>
      <c r="AO595" s="367"/>
      <c r="AP595" s="367"/>
      <c r="AQ595" s="366"/>
      <c r="AR595" s="367"/>
      <c r="AS595" s="367"/>
      <c r="AT595" s="45">
        <v>45894</v>
      </c>
      <c r="AU595" s="45">
        <v>45866</v>
      </c>
      <c r="AV595" s="45">
        <v>45883</v>
      </c>
      <c r="AW595" s="45">
        <v>45861</v>
      </c>
      <c r="AX595" s="367"/>
      <c r="AY595" s="367"/>
      <c r="AZ595" s="45">
        <v>45897</v>
      </c>
      <c r="BA595" s="45"/>
      <c r="BB595" s="152" t="s">
        <v>1949</v>
      </c>
      <c r="BC595" s="152"/>
      <c r="BD595" s="367" t="s">
        <v>1605</v>
      </c>
      <c r="BE595" s="367"/>
      <c r="BF595" s="367"/>
      <c r="BG595" s="367"/>
      <c r="BH595" s="279" t="e">
        <f>#REF!</f>
        <v>#REF!</v>
      </c>
      <c r="BI595" s="54"/>
      <c r="BJ595" s="54"/>
      <c r="BK595" s="54"/>
      <c r="BL595" s="54"/>
    </row>
    <row r="596" spans="1:64" ht="36" customHeight="1" x14ac:dyDescent="0.3">
      <c r="A596" s="305">
        <f t="shared" si="11"/>
        <v>591</v>
      </c>
      <c r="B596" s="54" t="s">
        <v>1956</v>
      </c>
      <c r="C596" s="367" t="s">
        <v>5</v>
      </c>
      <c r="D596" s="367" t="s">
        <v>1926</v>
      </c>
      <c r="E596" s="45">
        <v>45955</v>
      </c>
      <c r="F596" s="45">
        <v>45960</v>
      </c>
      <c r="G596" s="45"/>
      <c r="H596" s="45"/>
      <c r="I596" s="367"/>
      <c r="J596" s="54" t="s">
        <v>1946</v>
      </c>
      <c r="K596" s="48" t="s">
        <v>1957</v>
      </c>
      <c r="L596" s="367" t="s">
        <v>660</v>
      </c>
      <c r="M596" s="150" t="s">
        <v>120</v>
      </c>
      <c r="N596" s="367"/>
      <c r="O596" s="367"/>
      <c r="P596" s="311"/>
      <c r="Q596" s="367">
        <v>0.7</v>
      </c>
      <c r="R596" s="367"/>
      <c r="S596" s="367"/>
      <c r="T596" s="367">
        <v>48</v>
      </c>
      <c r="U596" s="367"/>
      <c r="V596" s="367"/>
      <c r="W596" s="367"/>
      <c r="X596" s="367" t="s">
        <v>1752</v>
      </c>
      <c r="Y596" s="367"/>
      <c r="Z596" s="367"/>
      <c r="AA596" s="367"/>
      <c r="AB596" s="150"/>
      <c r="AC596" s="48" t="s">
        <v>1958</v>
      </c>
      <c r="AD596" s="150" t="s">
        <v>814</v>
      </c>
      <c r="AE596" s="262"/>
      <c r="AF596" s="262"/>
      <c r="AG596" s="286">
        <v>45931</v>
      </c>
      <c r="AH596" s="49">
        <v>45920</v>
      </c>
      <c r="AI596" s="266">
        <v>45901</v>
      </c>
      <c r="AJ596" s="150" t="s">
        <v>648</v>
      </c>
      <c r="AK596" s="150" t="s">
        <v>166</v>
      </c>
      <c r="AL596" s="150" t="s">
        <v>191</v>
      </c>
      <c r="AM596" s="150" t="s">
        <v>209</v>
      </c>
      <c r="AN596" s="367"/>
      <c r="AO596" s="367"/>
      <c r="AP596" s="367"/>
      <c r="AQ596" s="366"/>
      <c r="AR596" s="367"/>
      <c r="AS596" s="367"/>
      <c r="AT596" s="45">
        <v>45894</v>
      </c>
      <c r="AU596" s="45">
        <v>45866</v>
      </c>
      <c r="AV596" s="45">
        <v>45883</v>
      </c>
      <c r="AW596" s="45">
        <v>45861</v>
      </c>
      <c r="AX596" s="367"/>
      <c r="AY596" s="367"/>
      <c r="AZ596" s="45">
        <v>45897</v>
      </c>
      <c r="BA596" s="45"/>
      <c r="BB596" s="152" t="s">
        <v>1949</v>
      </c>
      <c r="BC596" s="152"/>
      <c r="BD596" s="367" t="s">
        <v>1605</v>
      </c>
      <c r="BE596" s="367"/>
      <c r="BF596" s="367"/>
      <c r="BG596" s="367"/>
      <c r="BH596" s="279" t="e">
        <f>#REF!</f>
        <v>#REF!</v>
      </c>
      <c r="BI596" s="54"/>
      <c r="BJ596" s="54"/>
      <c r="BK596" s="54"/>
      <c r="BL596" s="54"/>
    </row>
    <row r="597" spans="1:64" ht="36" customHeight="1" x14ac:dyDescent="0.3">
      <c r="A597" s="305">
        <f t="shared" si="11"/>
        <v>592</v>
      </c>
      <c r="B597" s="54" t="s">
        <v>1959</v>
      </c>
      <c r="C597" s="367" t="s">
        <v>5</v>
      </c>
      <c r="D597" s="367" t="s">
        <v>1933</v>
      </c>
      <c r="E597" s="45">
        <v>46007</v>
      </c>
      <c r="F597" s="45">
        <v>46017</v>
      </c>
      <c r="G597" s="45">
        <v>46114</v>
      </c>
      <c r="H597" s="45"/>
      <c r="I597" s="367"/>
      <c r="J597" s="54" t="s">
        <v>1946</v>
      </c>
      <c r="K597" s="48" t="s">
        <v>1960</v>
      </c>
      <c r="L597" s="367" t="s">
        <v>660</v>
      </c>
      <c r="M597" s="150" t="s">
        <v>120</v>
      </c>
      <c r="N597" s="367"/>
      <c r="O597" s="367"/>
      <c r="P597" s="311"/>
      <c r="Q597" s="367">
        <v>2</v>
      </c>
      <c r="R597" s="367"/>
      <c r="S597" s="367"/>
      <c r="T597" s="367">
        <v>19</v>
      </c>
      <c r="U597" s="367"/>
      <c r="V597" s="367"/>
      <c r="W597" s="367"/>
      <c r="X597" s="367" t="s">
        <v>1752</v>
      </c>
      <c r="Y597" s="367"/>
      <c r="Z597" s="367"/>
      <c r="AA597" s="367"/>
      <c r="AB597" s="150"/>
      <c r="AC597" s="48" t="s">
        <v>1961</v>
      </c>
      <c r="AD597" s="150" t="s">
        <v>814</v>
      </c>
      <c r="AE597" s="262"/>
      <c r="AF597" s="262"/>
      <c r="AG597" s="286">
        <v>45992</v>
      </c>
      <c r="AH597" s="49">
        <v>45976</v>
      </c>
      <c r="AI597" s="266">
        <v>45962</v>
      </c>
      <c r="AJ597" s="150" t="s">
        <v>131</v>
      </c>
      <c r="AK597" s="150" t="s">
        <v>166</v>
      </c>
      <c r="AL597" s="150" t="s">
        <v>191</v>
      </c>
      <c r="AM597" s="150" t="s">
        <v>209</v>
      </c>
      <c r="AN597" s="367"/>
      <c r="AO597" s="367"/>
      <c r="AP597" s="367"/>
      <c r="AQ597" s="366"/>
      <c r="AR597" s="367"/>
      <c r="AS597" s="367"/>
      <c r="AT597" s="45">
        <v>45931</v>
      </c>
      <c r="AU597" s="45">
        <v>45866</v>
      </c>
      <c r="AV597" s="45">
        <v>45883</v>
      </c>
      <c r="AW597" s="45">
        <v>45861</v>
      </c>
      <c r="AX597" s="367"/>
      <c r="AY597" s="367"/>
      <c r="AZ597" s="45">
        <v>45961</v>
      </c>
      <c r="BA597" s="45"/>
      <c r="BB597" s="152" t="s">
        <v>1949</v>
      </c>
      <c r="BC597" s="152"/>
      <c r="BD597" s="367" t="s">
        <v>1605</v>
      </c>
      <c r="BE597" s="367"/>
      <c r="BF597" s="367"/>
      <c r="BG597" s="367"/>
      <c r="BH597" s="279" t="e">
        <f>#REF!</f>
        <v>#REF!</v>
      </c>
      <c r="BI597" s="54"/>
      <c r="BJ597" s="54"/>
      <c r="BK597" s="54"/>
      <c r="BL597" s="54"/>
    </row>
    <row r="598" spans="1:64" ht="36" customHeight="1" x14ac:dyDescent="0.3">
      <c r="A598" s="305">
        <f t="shared" si="11"/>
        <v>593</v>
      </c>
      <c r="B598" s="54" t="s">
        <v>1962</v>
      </c>
      <c r="C598" s="367" t="s">
        <v>5</v>
      </c>
      <c r="D598" s="367" t="s">
        <v>1933</v>
      </c>
      <c r="E598" s="45">
        <v>46010</v>
      </c>
      <c r="F598" s="45">
        <v>46017</v>
      </c>
      <c r="G598" s="45">
        <v>46114</v>
      </c>
      <c r="H598" s="45"/>
      <c r="I598" s="367"/>
      <c r="J598" s="54" t="s">
        <v>1946</v>
      </c>
      <c r="K598" s="48" t="s">
        <v>1963</v>
      </c>
      <c r="L598" s="367" t="s">
        <v>660</v>
      </c>
      <c r="M598" s="150" t="s">
        <v>120</v>
      </c>
      <c r="N598" s="367"/>
      <c r="O598" s="367"/>
      <c r="P598" s="311"/>
      <c r="Q598" s="367">
        <v>2</v>
      </c>
      <c r="R598" s="367"/>
      <c r="S598" s="367"/>
      <c r="T598" s="367">
        <v>19</v>
      </c>
      <c r="U598" s="367"/>
      <c r="V598" s="367"/>
      <c r="W598" s="367"/>
      <c r="X598" s="367" t="s">
        <v>1752</v>
      </c>
      <c r="Y598" s="367"/>
      <c r="Z598" s="367"/>
      <c r="AA598" s="367"/>
      <c r="AB598" s="150"/>
      <c r="AC598" s="48" t="s">
        <v>1964</v>
      </c>
      <c r="AD598" s="150" t="s">
        <v>814</v>
      </c>
      <c r="AE598" s="262"/>
      <c r="AF598" s="262"/>
      <c r="AG598" s="286">
        <v>45992</v>
      </c>
      <c r="AH598" s="49">
        <v>45976</v>
      </c>
      <c r="AI598" s="266">
        <v>45962</v>
      </c>
      <c r="AJ598" s="150" t="s">
        <v>131</v>
      </c>
      <c r="AK598" s="150" t="s">
        <v>166</v>
      </c>
      <c r="AL598" s="150" t="s">
        <v>191</v>
      </c>
      <c r="AM598" s="150" t="s">
        <v>209</v>
      </c>
      <c r="AN598" s="367"/>
      <c r="AO598" s="367"/>
      <c r="AP598" s="367"/>
      <c r="AQ598" s="366"/>
      <c r="AR598" s="367"/>
      <c r="AS598" s="367"/>
      <c r="AT598" s="45">
        <v>45960</v>
      </c>
      <c r="AU598" s="294" t="s">
        <v>1944</v>
      </c>
      <c r="AV598" s="45">
        <v>45919</v>
      </c>
      <c r="AW598" s="45">
        <v>45861</v>
      </c>
      <c r="AX598" s="367"/>
      <c r="AY598" s="367"/>
      <c r="AZ598" s="45">
        <v>45961</v>
      </c>
      <c r="BA598" s="45"/>
      <c r="BB598" s="152" t="s">
        <v>1924</v>
      </c>
      <c r="BC598" s="152"/>
      <c r="BD598" s="367" t="s">
        <v>1605</v>
      </c>
      <c r="BE598" s="367"/>
      <c r="BF598" s="367"/>
      <c r="BG598" s="367"/>
      <c r="BH598" s="279" t="e">
        <f>#REF!</f>
        <v>#REF!</v>
      </c>
      <c r="BI598" s="54"/>
      <c r="BJ598" s="54"/>
      <c r="BK598" s="54"/>
      <c r="BL598" s="54"/>
    </row>
    <row r="599" spans="1:64" ht="36" customHeight="1" x14ac:dyDescent="0.3">
      <c r="A599" s="305">
        <f t="shared" si="11"/>
        <v>594</v>
      </c>
      <c r="B599" s="54" t="s">
        <v>1965</v>
      </c>
      <c r="C599" s="367" t="s">
        <v>5</v>
      </c>
      <c r="D599" s="367" t="s">
        <v>1933</v>
      </c>
      <c r="E599" s="45">
        <v>45989</v>
      </c>
      <c r="F599" s="45">
        <v>45989</v>
      </c>
      <c r="G599" s="45"/>
      <c r="H599" s="45"/>
      <c r="I599" s="367"/>
      <c r="J599" s="54" t="s">
        <v>1946</v>
      </c>
      <c r="K599" s="48" t="s">
        <v>1966</v>
      </c>
      <c r="L599" s="367" t="s">
        <v>660</v>
      </c>
      <c r="M599" s="150" t="s">
        <v>65</v>
      </c>
      <c r="N599" s="367"/>
      <c r="O599" s="367"/>
      <c r="P599" s="311"/>
      <c r="Q599" s="367">
        <v>0.8</v>
      </c>
      <c r="R599" s="367"/>
      <c r="S599" s="367"/>
      <c r="T599" s="367">
        <v>39</v>
      </c>
      <c r="U599" s="367"/>
      <c r="V599" s="367"/>
      <c r="W599" s="367"/>
      <c r="X599" s="367" t="s">
        <v>1752</v>
      </c>
      <c r="Y599" s="367"/>
      <c r="Z599" s="367"/>
      <c r="AA599" s="367"/>
      <c r="AB599" s="150"/>
      <c r="AC599" s="48" t="s">
        <v>1967</v>
      </c>
      <c r="AD599" s="150" t="s">
        <v>814</v>
      </c>
      <c r="AE599" s="296">
        <v>45961</v>
      </c>
      <c r="AF599" s="296"/>
      <c r="AG599" s="286">
        <v>45962</v>
      </c>
      <c r="AH599" s="49">
        <v>45981</v>
      </c>
      <c r="AI599" s="266">
        <v>45901</v>
      </c>
      <c r="AJ599" s="150" t="s">
        <v>648</v>
      </c>
      <c r="AK599" s="150" t="s">
        <v>166</v>
      </c>
      <c r="AL599" s="150" t="s">
        <v>191</v>
      </c>
      <c r="AM599" s="150" t="s">
        <v>209</v>
      </c>
      <c r="AN599" s="367"/>
      <c r="AO599" s="367"/>
      <c r="AP599" s="367"/>
      <c r="AQ599" s="366"/>
      <c r="AR599" s="367"/>
      <c r="AS599" s="367"/>
      <c r="AT599" s="45">
        <v>45894</v>
      </c>
      <c r="AU599" s="45">
        <v>45866</v>
      </c>
      <c r="AV599" s="45">
        <v>45883</v>
      </c>
      <c r="AW599" s="45">
        <v>45861</v>
      </c>
      <c r="AX599" s="367"/>
      <c r="AY599" s="367"/>
      <c r="AZ599" s="45">
        <v>45961</v>
      </c>
      <c r="BA599" s="45"/>
      <c r="BB599" s="152" t="s">
        <v>1949</v>
      </c>
      <c r="BC599" s="152"/>
      <c r="BD599" s="367" t="s">
        <v>1605</v>
      </c>
      <c r="BE599" s="367"/>
      <c r="BF599" s="367"/>
      <c r="BG599" s="367"/>
      <c r="BH599" s="279" t="e">
        <f>#REF!</f>
        <v>#REF!</v>
      </c>
      <c r="BI599" s="54"/>
      <c r="BJ599" s="54"/>
      <c r="BK599" s="54"/>
      <c r="BL599" s="54"/>
    </row>
    <row r="600" spans="1:64" ht="36" customHeight="1" x14ac:dyDescent="0.3">
      <c r="A600" s="305">
        <f t="shared" si="11"/>
        <v>595</v>
      </c>
      <c r="B600" s="54" t="s">
        <v>1968</v>
      </c>
      <c r="C600" s="367" t="s">
        <v>5</v>
      </c>
      <c r="D600" s="367" t="s">
        <v>1902</v>
      </c>
      <c r="E600" s="45">
        <v>45989</v>
      </c>
      <c r="F600" s="45">
        <v>45989</v>
      </c>
      <c r="G600" s="45"/>
      <c r="H600" s="45"/>
      <c r="I600" s="367"/>
      <c r="J600" s="54" t="s">
        <v>1946</v>
      </c>
      <c r="K600" s="48" t="s">
        <v>1969</v>
      </c>
      <c r="L600" s="367" t="s">
        <v>660</v>
      </c>
      <c r="M600" s="150" t="s">
        <v>65</v>
      </c>
      <c r="N600" s="367"/>
      <c r="O600" s="367"/>
      <c r="P600" s="311"/>
      <c r="Q600" s="367">
        <v>0.7</v>
      </c>
      <c r="R600" s="367"/>
      <c r="S600" s="367"/>
      <c r="T600" s="367">
        <v>48</v>
      </c>
      <c r="U600" s="367"/>
      <c r="V600" s="367"/>
      <c r="W600" s="367"/>
      <c r="X600" s="367" t="s">
        <v>1752</v>
      </c>
      <c r="Y600" s="367"/>
      <c r="Z600" s="367"/>
      <c r="AA600" s="367"/>
      <c r="AB600" s="150"/>
      <c r="AC600" s="48" t="s">
        <v>1970</v>
      </c>
      <c r="AD600" s="150" t="s">
        <v>814</v>
      </c>
      <c r="AE600" s="262"/>
      <c r="AF600" s="262"/>
      <c r="AG600" s="286">
        <v>45931</v>
      </c>
      <c r="AH600" s="49">
        <v>45981</v>
      </c>
      <c r="AI600" s="266">
        <v>45901</v>
      </c>
      <c r="AJ600" s="150" t="s">
        <v>648</v>
      </c>
      <c r="AK600" s="150" t="s">
        <v>166</v>
      </c>
      <c r="AL600" s="150" t="s">
        <v>191</v>
      </c>
      <c r="AM600" s="150" t="s">
        <v>209</v>
      </c>
      <c r="AN600" s="367"/>
      <c r="AO600" s="367"/>
      <c r="AP600" s="367"/>
      <c r="AQ600" s="366"/>
      <c r="AR600" s="367"/>
      <c r="AS600" s="367"/>
      <c r="AT600" s="45">
        <v>45894</v>
      </c>
      <c r="AU600" s="45">
        <v>45866</v>
      </c>
      <c r="AV600" s="45">
        <v>45883</v>
      </c>
      <c r="AW600" s="45">
        <v>45861</v>
      </c>
      <c r="AX600" s="367"/>
      <c r="AY600" s="367"/>
      <c r="AZ600" s="45">
        <v>45897</v>
      </c>
      <c r="BA600" s="45"/>
      <c r="BB600" s="152" t="s">
        <v>1949</v>
      </c>
      <c r="BC600" s="152"/>
      <c r="BD600" s="367" t="s">
        <v>1605</v>
      </c>
      <c r="BE600" s="367"/>
      <c r="BF600" s="367"/>
      <c r="BG600" s="367"/>
      <c r="BH600" s="279" t="e">
        <f>#REF!</f>
        <v>#REF!</v>
      </c>
      <c r="BI600" s="54"/>
      <c r="BJ600" s="54"/>
      <c r="BK600" s="54"/>
      <c r="BL600" s="54"/>
    </row>
    <row r="601" spans="1:64" ht="36" customHeight="1" x14ac:dyDescent="0.3">
      <c r="A601" s="305">
        <f t="shared" ref="A601:A664" si="12">ROW(B601)-ROW($B$5)</f>
        <v>596</v>
      </c>
      <c r="B601" s="54" t="s">
        <v>1971</v>
      </c>
      <c r="C601" s="367" t="s">
        <v>5</v>
      </c>
      <c r="D601" s="367" t="s">
        <v>1832</v>
      </c>
      <c r="E601" s="45">
        <v>46010</v>
      </c>
      <c r="F601" s="45">
        <v>46036</v>
      </c>
      <c r="G601" s="45"/>
      <c r="H601" s="45"/>
      <c r="I601" s="367"/>
      <c r="J601" s="54" t="s">
        <v>1615</v>
      </c>
      <c r="K601" s="48" t="s">
        <v>1816</v>
      </c>
      <c r="L601" s="367" t="s">
        <v>660</v>
      </c>
      <c r="M601" s="150" t="s">
        <v>65</v>
      </c>
      <c r="N601" s="367"/>
      <c r="O601" s="367"/>
      <c r="P601" s="311"/>
      <c r="Q601" s="367">
        <v>2</v>
      </c>
      <c r="R601" s="367"/>
      <c r="S601" s="367"/>
      <c r="T601" s="367">
        <v>19</v>
      </c>
      <c r="U601" s="367"/>
      <c r="V601" s="367"/>
      <c r="W601" s="367"/>
      <c r="X601" s="367" t="s">
        <v>1752</v>
      </c>
      <c r="Y601" s="367"/>
      <c r="Z601" s="367" t="s">
        <v>127</v>
      </c>
      <c r="AA601" s="367"/>
      <c r="AB601" s="150"/>
      <c r="AC601" s="48" t="s">
        <v>1972</v>
      </c>
      <c r="AD601" s="150" t="s">
        <v>819</v>
      </c>
      <c r="AE601" s="262"/>
      <c r="AF601" s="262"/>
      <c r="AG601" s="286">
        <v>45992</v>
      </c>
      <c r="AH601" s="49">
        <v>45976</v>
      </c>
      <c r="AI601" s="266">
        <v>45962</v>
      </c>
      <c r="AJ601" s="150" t="s">
        <v>131</v>
      </c>
      <c r="AK601" s="150" t="s">
        <v>166</v>
      </c>
      <c r="AL601" s="150" t="s">
        <v>295</v>
      </c>
      <c r="AM601" s="150" t="s">
        <v>209</v>
      </c>
      <c r="AN601" s="367"/>
      <c r="AO601" s="367"/>
      <c r="AP601" s="367"/>
      <c r="AQ601" s="366"/>
      <c r="AR601" s="367"/>
      <c r="AS601" s="367"/>
      <c r="AT601" s="45">
        <v>45931</v>
      </c>
      <c r="AU601" s="45">
        <v>45866</v>
      </c>
      <c r="AV601" s="45">
        <v>45888</v>
      </c>
      <c r="AW601" s="45">
        <v>45861</v>
      </c>
      <c r="AX601" s="367"/>
      <c r="AY601" s="367"/>
      <c r="AZ601" s="45">
        <v>45961</v>
      </c>
      <c r="BA601" s="45"/>
      <c r="BB601" s="152" t="s">
        <v>1973</v>
      </c>
      <c r="BC601" s="152"/>
      <c r="BD601" s="367" t="s">
        <v>1605</v>
      </c>
      <c r="BE601" s="367"/>
      <c r="BF601" s="367"/>
      <c r="BG601" s="367"/>
      <c r="BH601" s="279" t="e">
        <f>#REF!</f>
        <v>#REF!</v>
      </c>
      <c r="BI601" s="54"/>
      <c r="BJ601" s="54"/>
      <c r="BK601" s="54"/>
      <c r="BL601" s="54"/>
    </row>
    <row r="602" spans="1:64" ht="36" customHeight="1" x14ac:dyDescent="0.3">
      <c r="A602" s="305">
        <f t="shared" si="12"/>
        <v>597</v>
      </c>
      <c r="B602" s="54" t="s">
        <v>1974</v>
      </c>
      <c r="C602" s="367" t="s">
        <v>5</v>
      </c>
      <c r="D602" s="367" t="s">
        <v>1975</v>
      </c>
      <c r="E602" s="45">
        <v>46034</v>
      </c>
      <c r="F602" s="45">
        <v>46036</v>
      </c>
      <c r="G602" s="45"/>
      <c r="H602" s="45"/>
      <c r="I602" s="367"/>
      <c r="J602" s="54" t="s">
        <v>1615</v>
      </c>
      <c r="K602" s="48" t="s">
        <v>1824</v>
      </c>
      <c r="L602" s="367" t="s">
        <v>660</v>
      </c>
      <c r="M602" s="150" t="s">
        <v>65</v>
      </c>
      <c r="N602" s="367"/>
      <c r="O602" s="367"/>
      <c r="P602" s="311"/>
      <c r="Q602" s="367"/>
      <c r="R602" s="367"/>
      <c r="S602" s="367"/>
      <c r="T602" s="367">
        <v>40</v>
      </c>
      <c r="U602" s="367"/>
      <c r="V602" s="367"/>
      <c r="W602" s="367"/>
      <c r="X602" s="367" t="s">
        <v>1752</v>
      </c>
      <c r="Y602" s="367"/>
      <c r="Z602" s="367" t="s">
        <v>127</v>
      </c>
      <c r="AA602" s="367"/>
      <c r="AB602" s="150"/>
      <c r="AC602" s="48" t="s">
        <v>1976</v>
      </c>
      <c r="AD602" s="150" t="s">
        <v>819</v>
      </c>
      <c r="AE602" s="262"/>
      <c r="AF602" s="262"/>
      <c r="AG602" s="286">
        <v>45992</v>
      </c>
      <c r="AH602" s="49">
        <v>45976</v>
      </c>
      <c r="AI602" s="266">
        <v>45962</v>
      </c>
      <c r="AJ602" s="150" t="s">
        <v>131</v>
      </c>
      <c r="AK602" s="150" t="s">
        <v>166</v>
      </c>
      <c r="AL602" s="150" t="s">
        <v>295</v>
      </c>
      <c r="AM602" s="150" t="s">
        <v>209</v>
      </c>
      <c r="AN602" s="367"/>
      <c r="AO602" s="367"/>
      <c r="AP602" s="367"/>
      <c r="AQ602" s="366"/>
      <c r="AR602" s="367"/>
      <c r="AS602" s="367"/>
      <c r="AT602" s="45">
        <v>45931</v>
      </c>
      <c r="AU602" s="45">
        <v>45866</v>
      </c>
      <c r="AV602" s="45">
        <v>45888</v>
      </c>
      <c r="AW602" s="45">
        <v>45861</v>
      </c>
      <c r="AX602" s="367"/>
      <c r="AY602" s="367"/>
      <c r="AZ602" s="45">
        <v>45961</v>
      </c>
      <c r="BA602" s="45"/>
      <c r="BB602" s="152" t="s">
        <v>1977</v>
      </c>
      <c r="BC602" s="152"/>
      <c r="BD602" s="367" t="s">
        <v>1605</v>
      </c>
      <c r="BE602" s="367"/>
      <c r="BF602" s="367"/>
      <c r="BG602" s="367"/>
      <c r="BH602" s="279" t="e">
        <f>#REF!</f>
        <v>#REF!</v>
      </c>
      <c r="BI602" s="54"/>
      <c r="BJ602" s="54"/>
      <c r="BK602" s="54"/>
      <c r="BL602" s="54"/>
    </row>
    <row r="603" spans="1:64" ht="36" customHeight="1" x14ac:dyDescent="0.3">
      <c r="A603" s="305">
        <f t="shared" si="12"/>
        <v>598</v>
      </c>
      <c r="B603" s="54" t="s">
        <v>1978</v>
      </c>
      <c r="C603" s="367" t="s">
        <v>5</v>
      </c>
      <c r="D603" s="367" t="s">
        <v>1979</v>
      </c>
      <c r="E603" s="45">
        <v>46034</v>
      </c>
      <c r="F603" s="45">
        <v>46036</v>
      </c>
      <c r="G603" s="45"/>
      <c r="H603" s="45"/>
      <c r="I603" s="367"/>
      <c r="J603" s="54" t="s">
        <v>1615</v>
      </c>
      <c r="K603" s="48" t="s">
        <v>1827</v>
      </c>
      <c r="L603" s="367" t="s">
        <v>660</v>
      </c>
      <c r="M603" s="150" t="s">
        <v>120</v>
      </c>
      <c r="N603" s="367"/>
      <c r="O603" s="367"/>
      <c r="P603" s="311"/>
      <c r="Q603" s="367"/>
      <c r="R603" s="367"/>
      <c r="S603" s="367"/>
      <c r="T603" s="367">
        <v>40</v>
      </c>
      <c r="U603" s="367"/>
      <c r="V603" s="367"/>
      <c r="W603" s="367"/>
      <c r="X603" s="367" t="s">
        <v>1752</v>
      </c>
      <c r="Y603" s="367"/>
      <c r="Z603" s="367" t="s">
        <v>127</v>
      </c>
      <c r="AA603" s="367"/>
      <c r="AB603" s="150"/>
      <c r="AC603" s="48" t="s">
        <v>1980</v>
      </c>
      <c r="AD603" s="150" t="s">
        <v>819</v>
      </c>
      <c r="AE603" s="262"/>
      <c r="AF603" s="262"/>
      <c r="AG603" s="286">
        <v>45992</v>
      </c>
      <c r="AH603" s="49">
        <v>45976</v>
      </c>
      <c r="AI603" s="266">
        <v>45962</v>
      </c>
      <c r="AJ603" s="150" t="s">
        <v>131</v>
      </c>
      <c r="AK603" s="150" t="s">
        <v>166</v>
      </c>
      <c r="AL603" s="150" t="s">
        <v>295</v>
      </c>
      <c r="AM603" s="150" t="s">
        <v>209</v>
      </c>
      <c r="AN603" s="367"/>
      <c r="AO603" s="367"/>
      <c r="AP603" s="367"/>
      <c r="AQ603" s="366"/>
      <c r="AR603" s="367"/>
      <c r="AS603" s="367"/>
      <c r="AT603" s="45">
        <v>45931</v>
      </c>
      <c r="AU603" s="45">
        <v>45866</v>
      </c>
      <c r="AV603" s="45">
        <v>45888</v>
      </c>
      <c r="AW603" s="45">
        <v>45861</v>
      </c>
      <c r="AX603" s="367"/>
      <c r="AY603" s="367"/>
      <c r="AZ603" s="45">
        <v>45961</v>
      </c>
      <c r="BA603" s="45"/>
      <c r="BB603" s="152" t="s">
        <v>1977</v>
      </c>
      <c r="BC603" s="152"/>
      <c r="BD603" s="367" t="s">
        <v>1605</v>
      </c>
      <c r="BE603" s="367"/>
      <c r="BF603" s="367"/>
      <c r="BG603" s="367"/>
      <c r="BH603" s="279" t="e">
        <f>#REF!</f>
        <v>#REF!</v>
      </c>
      <c r="BI603" s="54"/>
      <c r="BJ603" s="54"/>
      <c r="BK603" s="54"/>
      <c r="BL603" s="54"/>
    </row>
    <row r="604" spans="1:64" ht="36" customHeight="1" x14ac:dyDescent="0.3">
      <c r="A604" s="305">
        <f t="shared" si="12"/>
        <v>599</v>
      </c>
      <c r="B604" s="54" t="s">
        <v>1981</v>
      </c>
      <c r="C604" s="367" t="s">
        <v>5</v>
      </c>
      <c r="D604" s="367" t="s">
        <v>1979</v>
      </c>
      <c r="E604" s="45">
        <v>46048</v>
      </c>
      <c r="F604" s="45">
        <v>46051</v>
      </c>
      <c r="G604" s="45"/>
      <c r="H604" s="45"/>
      <c r="I604" s="367"/>
      <c r="J604" s="54" t="s">
        <v>1615</v>
      </c>
      <c r="K604" s="48" t="s">
        <v>1819</v>
      </c>
      <c r="L604" s="367" t="s">
        <v>660</v>
      </c>
      <c r="M604" s="150" t="s">
        <v>120</v>
      </c>
      <c r="N604" s="367"/>
      <c r="O604" s="367"/>
      <c r="P604" s="311"/>
      <c r="Q604" s="367">
        <v>2</v>
      </c>
      <c r="R604" s="367"/>
      <c r="S604" s="367"/>
      <c r="T604" s="367">
        <v>19</v>
      </c>
      <c r="U604" s="367"/>
      <c r="V604" s="367"/>
      <c r="W604" s="367"/>
      <c r="X604" s="367" t="s">
        <v>1752</v>
      </c>
      <c r="Y604" s="367"/>
      <c r="Z604" s="367" t="s">
        <v>127</v>
      </c>
      <c r="AA604" s="367"/>
      <c r="AB604" s="150"/>
      <c r="AC604" s="48" t="s">
        <v>1982</v>
      </c>
      <c r="AD604" s="150" t="s">
        <v>819</v>
      </c>
      <c r="AE604" s="262"/>
      <c r="AF604" s="262"/>
      <c r="AG604" s="286">
        <v>45992</v>
      </c>
      <c r="AH604" s="49">
        <v>45976</v>
      </c>
      <c r="AI604" s="266">
        <v>45962</v>
      </c>
      <c r="AJ604" s="150" t="s">
        <v>131</v>
      </c>
      <c r="AK604" s="150" t="s">
        <v>166</v>
      </c>
      <c r="AL604" s="150" t="s">
        <v>295</v>
      </c>
      <c r="AM604" s="150" t="s">
        <v>209</v>
      </c>
      <c r="AN604" s="367"/>
      <c r="AO604" s="367"/>
      <c r="AP604" s="367"/>
      <c r="AQ604" s="366"/>
      <c r="AR604" s="367"/>
      <c r="AS604" s="367"/>
      <c r="AT604" s="45">
        <v>45931</v>
      </c>
      <c r="AU604" s="45">
        <v>45866</v>
      </c>
      <c r="AV604" s="45">
        <v>45888</v>
      </c>
      <c r="AW604" s="45">
        <v>45861</v>
      </c>
      <c r="AX604" s="367"/>
      <c r="AY604" s="367"/>
      <c r="AZ604" s="45">
        <v>45961</v>
      </c>
      <c r="BA604" s="45"/>
      <c r="BB604" s="152" t="s">
        <v>1977</v>
      </c>
      <c r="BC604" s="152"/>
      <c r="BD604" s="367" t="s">
        <v>1605</v>
      </c>
      <c r="BE604" s="367"/>
      <c r="BF604" s="367"/>
      <c r="BG604" s="367"/>
      <c r="BH604" s="279" t="e">
        <f>#REF!</f>
        <v>#REF!</v>
      </c>
      <c r="BI604" s="54"/>
      <c r="BJ604" s="54"/>
      <c r="BK604" s="54"/>
      <c r="BL604" s="54"/>
    </row>
    <row r="605" spans="1:64" ht="36" customHeight="1" x14ac:dyDescent="0.3">
      <c r="A605" s="305">
        <f t="shared" si="12"/>
        <v>600</v>
      </c>
      <c r="B605" s="54" t="s">
        <v>1983</v>
      </c>
      <c r="C605" s="367" t="s">
        <v>5</v>
      </c>
      <c r="D605" s="367" t="s">
        <v>1984</v>
      </c>
      <c r="E605" s="45">
        <v>46048</v>
      </c>
      <c r="F605" s="45">
        <v>46051</v>
      </c>
      <c r="G605" s="45"/>
      <c r="H605" s="45"/>
      <c r="I605" s="367"/>
      <c r="J605" s="54" t="s">
        <v>1615</v>
      </c>
      <c r="K605" s="48" t="s">
        <v>1833</v>
      </c>
      <c r="L605" s="367" t="s">
        <v>660</v>
      </c>
      <c r="M605" s="150" t="s">
        <v>65</v>
      </c>
      <c r="N605" s="367"/>
      <c r="O605" s="367"/>
      <c r="P605" s="311"/>
      <c r="Q605" s="367"/>
      <c r="R605" s="367"/>
      <c r="S605" s="367"/>
      <c r="T605" s="367">
        <v>40</v>
      </c>
      <c r="U605" s="367"/>
      <c r="V605" s="367"/>
      <c r="W605" s="367"/>
      <c r="X605" s="367" t="s">
        <v>1752</v>
      </c>
      <c r="Y605" s="367"/>
      <c r="Z605" s="367" t="s">
        <v>127</v>
      </c>
      <c r="AA605" s="367"/>
      <c r="AB605" s="150"/>
      <c r="AC605" s="48" t="s">
        <v>1985</v>
      </c>
      <c r="AD605" s="150" t="s">
        <v>819</v>
      </c>
      <c r="AE605" s="262"/>
      <c r="AF605" s="262"/>
      <c r="AG605" s="286">
        <v>45992</v>
      </c>
      <c r="AH605" s="49">
        <v>45986</v>
      </c>
      <c r="AI605" s="266">
        <v>45962</v>
      </c>
      <c r="AJ605" s="150" t="s">
        <v>131</v>
      </c>
      <c r="AK605" s="150" t="s">
        <v>166</v>
      </c>
      <c r="AL605" s="150" t="s">
        <v>295</v>
      </c>
      <c r="AM605" s="150" t="s">
        <v>209</v>
      </c>
      <c r="AN605" s="367"/>
      <c r="AO605" s="367"/>
      <c r="AP605" s="367"/>
      <c r="AQ605" s="366"/>
      <c r="AR605" s="367"/>
      <c r="AS605" s="367"/>
      <c r="AT605" s="45">
        <v>45931</v>
      </c>
      <c r="AU605" s="45">
        <v>45866</v>
      </c>
      <c r="AV605" s="45">
        <v>45888</v>
      </c>
      <c r="AW605" s="45">
        <v>45861</v>
      </c>
      <c r="AX605" s="367"/>
      <c r="AY605" s="367"/>
      <c r="AZ605" s="45">
        <v>45961</v>
      </c>
      <c r="BA605" s="45"/>
      <c r="BB605" s="152" t="s">
        <v>1940</v>
      </c>
      <c r="BC605" s="152"/>
      <c r="BD605" s="367" t="s">
        <v>1605</v>
      </c>
      <c r="BE605" s="367"/>
      <c r="BF605" s="367"/>
      <c r="BG605" s="367"/>
      <c r="BH605" s="279" t="e">
        <f>#REF!</f>
        <v>#REF!</v>
      </c>
      <c r="BI605" s="54"/>
      <c r="BJ605" s="54"/>
      <c r="BK605" s="54"/>
      <c r="BL605" s="54"/>
    </row>
    <row r="606" spans="1:64" ht="36" customHeight="1" x14ac:dyDescent="0.3">
      <c r="A606" s="305">
        <f t="shared" si="12"/>
        <v>601</v>
      </c>
      <c r="B606" s="54" t="s">
        <v>1986</v>
      </c>
      <c r="C606" s="367" t="s">
        <v>5</v>
      </c>
      <c r="D606" s="367" t="s">
        <v>1832</v>
      </c>
      <c r="E606" s="45">
        <v>46048</v>
      </c>
      <c r="F606" s="45">
        <v>46051</v>
      </c>
      <c r="G606" s="45"/>
      <c r="H606" s="45"/>
      <c r="I606" s="367"/>
      <c r="J606" s="54" t="s">
        <v>1619</v>
      </c>
      <c r="K606" s="48" t="s">
        <v>1903</v>
      </c>
      <c r="L606" s="367" t="s">
        <v>660</v>
      </c>
      <c r="M606" s="150" t="s">
        <v>65</v>
      </c>
      <c r="N606" s="367"/>
      <c r="O606" s="367"/>
      <c r="P606" s="311"/>
      <c r="Q606" s="367"/>
      <c r="R606" s="367"/>
      <c r="S606" s="367"/>
      <c r="T606" s="367">
        <v>55</v>
      </c>
      <c r="U606" s="367"/>
      <c r="V606" s="367"/>
      <c r="W606" s="367"/>
      <c r="X606" s="367" t="s">
        <v>1752</v>
      </c>
      <c r="Y606" s="367"/>
      <c r="Z606" s="367"/>
      <c r="AA606" s="367"/>
      <c r="AB606" s="150"/>
      <c r="AC606" s="48" t="s">
        <v>1987</v>
      </c>
      <c r="AD606" s="150" t="s">
        <v>914</v>
      </c>
      <c r="AE606" s="262"/>
      <c r="AF606" s="262"/>
      <c r="AG606" s="286">
        <v>45992</v>
      </c>
      <c r="AH606" s="49">
        <v>45986</v>
      </c>
      <c r="AI606" s="266">
        <v>45962</v>
      </c>
      <c r="AJ606" s="150" t="s">
        <v>131</v>
      </c>
      <c r="AK606" s="150" t="s">
        <v>294</v>
      </c>
      <c r="AL606" s="150" t="s">
        <v>154</v>
      </c>
      <c r="AM606" s="150" t="s">
        <v>209</v>
      </c>
      <c r="AN606" s="367"/>
      <c r="AO606" s="367"/>
      <c r="AP606" s="367"/>
      <c r="AQ606" s="366"/>
      <c r="AR606" s="367"/>
      <c r="AS606" s="367"/>
      <c r="AT606" s="45">
        <v>45960</v>
      </c>
      <c r="AU606" s="294" t="s">
        <v>1988</v>
      </c>
      <c r="AV606" s="45">
        <v>45936</v>
      </c>
      <c r="AW606" s="45">
        <v>45877</v>
      </c>
      <c r="AX606" s="367"/>
      <c r="AY606" s="367"/>
      <c r="AZ606" s="45">
        <v>46045</v>
      </c>
      <c r="BA606" s="45"/>
      <c r="BB606" s="152" t="s">
        <v>1989</v>
      </c>
      <c r="BC606" s="152"/>
      <c r="BD606" s="367" t="s">
        <v>1605</v>
      </c>
      <c r="BE606" s="367"/>
      <c r="BF606" s="367"/>
      <c r="BG606" s="367"/>
      <c r="BH606" s="279" t="e">
        <f>#REF!</f>
        <v>#REF!</v>
      </c>
      <c r="BI606" s="54"/>
      <c r="BJ606" s="54"/>
      <c r="BK606" s="54"/>
      <c r="BL606" s="54"/>
    </row>
    <row r="607" spans="1:64" ht="36" customHeight="1" x14ac:dyDescent="0.3">
      <c r="A607" s="305">
        <f t="shared" si="12"/>
        <v>602</v>
      </c>
      <c r="B607" s="54" t="s">
        <v>1990</v>
      </c>
      <c r="C607" s="367" t="s">
        <v>5</v>
      </c>
      <c r="D607" s="367" t="s">
        <v>1975</v>
      </c>
      <c r="E607" s="45">
        <v>46018</v>
      </c>
      <c r="F607" s="45">
        <v>46036</v>
      </c>
      <c r="G607" s="45"/>
      <c r="H607" s="45"/>
      <c r="I607" s="367"/>
      <c r="J607" s="54" t="s">
        <v>1619</v>
      </c>
      <c r="K607" s="48" t="s">
        <v>1991</v>
      </c>
      <c r="L607" s="367" t="s">
        <v>660</v>
      </c>
      <c r="M607" s="150" t="s">
        <v>65</v>
      </c>
      <c r="N607" s="367"/>
      <c r="O607" s="367"/>
      <c r="P607" s="311"/>
      <c r="Q607" s="367"/>
      <c r="R607" s="367"/>
      <c r="S607" s="367"/>
      <c r="T607" s="367">
        <v>55</v>
      </c>
      <c r="U607" s="367"/>
      <c r="V607" s="367"/>
      <c r="W607" s="367"/>
      <c r="X607" s="367" t="s">
        <v>1752</v>
      </c>
      <c r="Y607" s="367"/>
      <c r="Z607" s="367"/>
      <c r="AA607" s="367"/>
      <c r="AB607" s="150"/>
      <c r="AC607" s="48" t="s">
        <v>1992</v>
      </c>
      <c r="AD607" s="150" t="s">
        <v>819</v>
      </c>
      <c r="AE607" s="296">
        <v>45991</v>
      </c>
      <c r="AF607" s="296"/>
      <c r="AG607" s="286">
        <v>45962</v>
      </c>
      <c r="AH607" s="49">
        <v>45945</v>
      </c>
      <c r="AI607" s="266">
        <v>45901</v>
      </c>
      <c r="AJ607" s="150" t="s">
        <v>648</v>
      </c>
      <c r="AK607" s="150" t="s">
        <v>166</v>
      </c>
      <c r="AL607" s="150" t="s">
        <v>295</v>
      </c>
      <c r="AM607" s="150" t="s">
        <v>209</v>
      </c>
      <c r="AN607" s="367"/>
      <c r="AO607" s="367"/>
      <c r="AP607" s="367"/>
      <c r="AQ607" s="366"/>
      <c r="AR607" s="367"/>
      <c r="AS607" s="367"/>
      <c r="AT607" s="45">
        <v>45950</v>
      </c>
      <c r="AU607" s="294" t="s">
        <v>1993</v>
      </c>
      <c r="AV607" s="45">
        <v>45924</v>
      </c>
      <c r="AW607" s="45">
        <v>45861</v>
      </c>
      <c r="AX607" s="367"/>
      <c r="AY607" s="367"/>
      <c r="AZ607" s="45">
        <v>45961</v>
      </c>
      <c r="BA607" s="45"/>
      <c r="BB607" s="152" t="s">
        <v>1924</v>
      </c>
      <c r="BC607" s="152"/>
      <c r="BD607" s="367" t="s">
        <v>1605</v>
      </c>
      <c r="BE607" s="367"/>
      <c r="BF607" s="367"/>
      <c r="BG607" s="367"/>
      <c r="BH607" s="279" t="e">
        <f>#REF!</f>
        <v>#REF!</v>
      </c>
      <c r="BI607" s="54"/>
      <c r="BJ607" s="54"/>
      <c r="BK607" s="54"/>
      <c r="BL607" s="54"/>
    </row>
    <row r="608" spans="1:64" ht="36" customHeight="1" x14ac:dyDescent="0.3">
      <c r="A608" s="305">
        <f t="shared" si="12"/>
        <v>603</v>
      </c>
      <c r="B608" s="54" t="s">
        <v>1994</v>
      </c>
      <c r="C608" s="367" t="s">
        <v>5</v>
      </c>
      <c r="D608" s="367" t="s">
        <v>1979</v>
      </c>
      <c r="E608" s="45">
        <v>46048</v>
      </c>
      <c r="F608" s="45">
        <v>46051</v>
      </c>
      <c r="G608" s="45">
        <v>46178</v>
      </c>
      <c r="H608" s="45"/>
      <c r="I608" s="367"/>
      <c r="J608" s="54" t="s">
        <v>1619</v>
      </c>
      <c r="K608" s="48" t="s">
        <v>1911</v>
      </c>
      <c r="L608" s="367" t="s">
        <v>660</v>
      </c>
      <c r="M608" s="150" t="s">
        <v>120</v>
      </c>
      <c r="N608" s="367"/>
      <c r="O608" s="367"/>
      <c r="P608" s="311"/>
      <c r="Q608" s="367"/>
      <c r="R608" s="367"/>
      <c r="S608" s="367"/>
      <c r="T608" s="367">
        <v>55</v>
      </c>
      <c r="U608" s="367"/>
      <c r="V608" s="367"/>
      <c r="W608" s="367"/>
      <c r="X608" s="367" t="s">
        <v>1752</v>
      </c>
      <c r="Y608" s="367"/>
      <c r="Z608" s="367"/>
      <c r="AA608" s="367"/>
      <c r="AB608" s="150"/>
      <c r="AC608" s="48" t="s">
        <v>1995</v>
      </c>
      <c r="AD608" s="150" t="s">
        <v>914</v>
      </c>
      <c r="AE608" s="262"/>
      <c r="AF608" s="262"/>
      <c r="AG608" s="286">
        <v>45992</v>
      </c>
      <c r="AH608" s="49">
        <v>45986</v>
      </c>
      <c r="AI608" s="266">
        <v>45962</v>
      </c>
      <c r="AJ608" s="150" t="s">
        <v>131</v>
      </c>
      <c r="AK608" s="150" t="s">
        <v>294</v>
      </c>
      <c r="AL608" s="150" t="s">
        <v>154</v>
      </c>
      <c r="AM608" s="150" t="s">
        <v>209</v>
      </c>
      <c r="AN608" s="367"/>
      <c r="AO608" s="367"/>
      <c r="AP608" s="367"/>
      <c r="AQ608" s="366"/>
      <c r="AR608" s="367"/>
      <c r="AS608" s="367"/>
      <c r="AT608" s="45">
        <v>45976</v>
      </c>
      <c r="AU608" s="45">
        <v>45945</v>
      </c>
      <c r="AV608" s="45">
        <v>45946</v>
      </c>
      <c r="AW608" s="45">
        <v>45877</v>
      </c>
      <c r="AX608" s="367"/>
      <c r="AY608" s="367"/>
      <c r="AZ608" s="45">
        <v>46045</v>
      </c>
      <c r="BA608" s="45"/>
      <c r="BB608" s="152"/>
      <c r="BC608" s="152"/>
      <c r="BD608" s="367" t="s">
        <v>1605</v>
      </c>
      <c r="BE608" s="367"/>
      <c r="BF608" s="367"/>
      <c r="BG608" s="367"/>
      <c r="BH608" s="279" t="e">
        <f>#REF!</f>
        <v>#REF!</v>
      </c>
      <c r="BI608" s="54"/>
      <c r="BJ608" s="54"/>
      <c r="BK608" s="54"/>
      <c r="BL608" s="54"/>
    </row>
    <row r="609" spans="1:64" ht="36" customHeight="1" x14ac:dyDescent="0.3">
      <c r="A609" s="305">
        <f t="shared" si="12"/>
        <v>604</v>
      </c>
      <c r="B609" s="54" t="s">
        <v>1996</v>
      </c>
      <c r="C609" s="367" t="s">
        <v>5</v>
      </c>
      <c r="D609" s="367" t="s">
        <v>1979</v>
      </c>
      <c r="E609" s="45">
        <v>46018</v>
      </c>
      <c r="F609" s="45">
        <v>46034</v>
      </c>
      <c r="G609" s="45"/>
      <c r="H609" s="45"/>
      <c r="I609" s="367"/>
      <c r="J609" s="54" t="s">
        <v>1619</v>
      </c>
      <c r="K609" s="48" t="s">
        <v>1997</v>
      </c>
      <c r="L609" s="367" t="s">
        <v>660</v>
      </c>
      <c r="M609" s="150" t="s">
        <v>120</v>
      </c>
      <c r="N609" s="367"/>
      <c r="O609" s="367"/>
      <c r="P609" s="311"/>
      <c r="Q609" s="367"/>
      <c r="R609" s="367"/>
      <c r="S609" s="367"/>
      <c r="T609" s="367">
        <v>55</v>
      </c>
      <c r="U609" s="367"/>
      <c r="V609" s="367"/>
      <c r="W609" s="367"/>
      <c r="X609" s="367" t="s">
        <v>1752</v>
      </c>
      <c r="Y609" s="367"/>
      <c r="Z609" s="367"/>
      <c r="AA609" s="367"/>
      <c r="AB609" s="150"/>
      <c r="AC609" s="48" t="s">
        <v>1998</v>
      </c>
      <c r="AD609" s="150" t="s">
        <v>819</v>
      </c>
      <c r="AE609" s="262"/>
      <c r="AF609" s="262"/>
      <c r="AG609" s="286">
        <v>45992</v>
      </c>
      <c r="AH609" s="49">
        <v>45986</v>
      </c>
      <c r="AI609" s="266">
        <v>45962</v>
      </c>
      <c r="AJ609" s="150" t="s">
        <v>648</v>
      </c>
      <c r="AK609" s="150" t="s">
        <v>166</v>
      </c>
      <c r="AL609" s="150" t="s">
        <v>295</v>
      </c>
      <c r="AM609" s="150" t="s">
        <v>209</v>
      </c>
      <c r="AN609" s="367"/>
      <c r="AO609" s="367"/>
      <c r="AP609" s="367"/>
      <c r="AQ609" s="366"/>
      <c r="AR609" s="367"/>
      <c r="AS609" s="367"/>
      <c r="AT609" s="45">
        <v>45931</v>
      </c>
      <c r="AU609" s="45">
        <v>45866</v>
      </c>
      <c r="AV609" s="45">
        <v>45888</v>
      </c>
      <c r="AW609" s="45">
        <v>45861</v>
      </c>
      <c r="AX609" s="367"/>
      <c r="AY609" s="367"/>
      <c r="AZ609" s="45">
        <v>45961</v>
      </c>
      <c r="BA609" s="45"/>
      <c r="BB609" s="152" t="s">
        <v>1977</v>
      </c>
      <c r="BC609" s="152"/>
      <c r="BD609" s="367" t="s">
        <v>1605</v>
      </c>
      <c r="BE609" s="367"/>
      <c r="BF609" s="367"/>
      <c r="BG609" s="367"/>
      <c r="BH609" s="279" t="e">
        <f>#REF!</f>
        <v>#REF!</v>
      </c>
      <c r="BI609" s="54"/>
      <c r="BJ609" s="54"/>
      <c r="BK609" s="54"/>
      <c r="BL609" s="54"/>
    </row>
    <row r="610" spans="1:64" ht="36" customHeight="1" x14ac:dyDescent="0.3">
      <c r="A610" s="305">
        <f t="shared" si="12"/>
        <v>605</v>
      </c>
      <c r="B610" s="54" t="s">
        <v>1999</v>
      </c>
      <c r="C610" s="367" t="s">
        <v>5</v>
      </c>
      <c r="D610" s="367" t="s">
        <v>1832</v>
      </c>
      <c r="E610" s="45">
        <v>45974</v>
      </c>
      <c r="F610" s="45">
        <v>45975</v>
      </c>
      <c r="G610" s="45"/>
      <c r="H610" s="45"/>
      <c r="I610" s="367"/>
      <c r="J610" s="54" t="s">
        <v>1946</v>
      </c>
      <c r="K610" s="48" t="s">
        <v>2000</v>
      </c>
      <c r="L610" s="367" t="s">
        <v>660</v>
      </c>
      <c r="M610" s="150" t="s">
        <v>120</v>
      </c>
      <c r="N610" s="367"/>
      <c r="O610" s="367"/>
      <c r="P610" s="311"/>
      <c r="Q610" s="367">
        <v>2</v>
      </c>
      <c r="R610" s="367"/>
      <c r="S610" s="367"/>
      <c r="T610" s="367">
        <v>19</v>
      </c>
      <c r="U610" s="367"/>
      <c r="V610" s="367"/>
      <c r="W610" s="367"/>
      <c r="X610" s="367" t="s">
        <v>1752</v>
      </c>
      <c r="Y610" s="367"/>
      <c r="Z610" s="367"/>
      <c r="AA610" s="367"/>
      <c r="AB610" s="150"/>
      <c r="AC610" s="48" t="s">
        <v>2001</v>
      </c>
      <c r="AD610" s="150" t="s">
        <v>819</v>
      </c>
      <c r="AE610" s="296">
        <v>45961</v>
      </c>
      <c r="AF610" s="296"/>
      <c r="AG610" s="286">
        <v>45962</v>
      </c>
      <c r="AH610" s="49">
        <v>45971</v>
      </c>
      <c r="AI610" s="266">
        <v>45901</v>
      </c>
      <c r="AJ610" s="150" t="s">
        <v>131</v>
      </c>
      <c r="AK610" s="150" t="s">
        <v>166</v>
      </c>
      <c r="AL610" s="150" t="s">
        <v>295</v>
      </c>
      <c r="AM610" s="150" t="s">
        <v>209</v>
      </c>
      <c r="AN610" s="367"/>
      <c r="AO610" s="367"/>
      <c r="AP610" s="367"/>
      <c r="AQ610" s="366"/>
      <c r="AR610" s="367"/>
      <c r="AS610" s="367"/>
      <c r="AT610" s="45">
        <v>45894</v>
      </c>
      <c r="AU610" s="45">
        <v>45866</v>
      </c>
      <c r="AV610" s="45">
        <v>45888</v>
      </c>
      <c r="AW610" s="45">
        <v>45861</v>
      </c>
      <c r="AX610" s="367"/>
      <c r="AY610" s="367"/>
      <c r="AZ610" s="45">
        <v>45961</v>
      </c>
      <c r="BA610" s="45"/>
      <c r="BB610" s="152" t="s">
        <v>2002</v>
      </c>
      <c r="BC610" s="152"/>
      <c r="BD610" s="367" t="s">
        <v>1605</v>
      </c>
      <c r="BE610" s="367"/>
      <c r="BF610" s="367"/>
      <c r="BG610" s="367"/>
      <c r="BH610" s="279" t="e">
        <f>#REF!</f>
        <v>#REF!</v>
      </c>
      <c r="BI610" s="54"/>
      <c r="BJ610" s="54"/>
      <c r="BK610" s="54"/>
      <c r="BL610" s="54"/>
    </row>
    <row r="611" spans="1:64" ht="36" customHeight="1" x14ac:dyDescent="0.3">
      <c r="A611" s="305">
        <f t="shared" si="12"/>
        <v>606</v>
      </c>
      <c r="B611" s="54" t="s">
        <v>2003</v>
      </c>
      <c r="C611" s="367" t="s">
        <v>5</v>
      </c>
      <c r="D611" s="367" t="s">
        <v>1975</v>
      </c>
      <c r="E611" s="45">
        <v>46032</v>
      </c>
      <c r="F611" s="45">
        <v>46036</v>
      </c>
      <c r="G611" s="45"/>
      <c r="H611" s="45"/>
      <c r="I611" s="367"/>
      <c r="J611" s="54" t="s">
        <v>1946</v>
      </c>
      <c r="K611" s="48" t="s">
        <v>2004</v>
      </c>
      <c r="L611" s="367" t="s">
        <v>660</v>
      </c>
      <c r="M611" s="150" t="s">
        <v>120</v>
      </c>
      <c r="N611" s="367"/>
      <c r="O611" s="367"/>
      <c r="P611" s="311"/>
      <c r="Q611" s="367">
        <v>2</v>
      </c>
      <c r="R611" s="367"/>
      <c r="S611" s="367"/>
      <c r="T611" s="367">
        <v>19</v>
      </c>
      <c r="U611" s="367"/>
      <c r="V611" s="367"/>
      <c r="W611" s="367"/>
      <c r="X611" s="367" t="s">
        <v>1752</v>
      </c>
      <c r="Y611" s="367"/>
      <c r="Z611" s="367"/>
      <c r="AA611" s="367"/>
      <c r="AB611" s="150"/>
      <c r="AC611" s="48" t="s">
        <v>2005</v>
      </c>
      <c r="AD611" s="150" t="s">
        <v>819</v>
      </c>
      <c r="AE611" s="296">
        <v>45991</v>
      </c>
      <c r="AF611" s="296"/>
      <c r="AG611" s="286">
        <v>45962</v>
      </c>
      <c r="AH611" s="49">
        <v>45945</v>
      </c>
      <c r="AI611" s="266">
        <v>45901</v>
      </c>
      <c r="AJ611" s="150" t="s">
        <v>131</v>
      </c>
      <c r="AK611" s="150" t="s">
        <v>166</v>
      </c>
      <c r="AL611" s="150" t="s">
        <v>295</v>
      </c>
      <c r="AM611" s="150" t="s">
        <v>209</v>
      </c>
      <c r="AN611" s="367"/>
      <c r="AO611" s="367"/>
      <c r="AP611" s="367"/>
      <c r="AQ611" s="366"/>
      <c r="AR611" s="367"/>
      <c r="AS611" s="367"/>
      <c r="AT611" s="45">
        <v>45950</v>
      </c>
      <c r="AU611" s="294" t="s">
        <v>1993</v>
      </c>
      <c r="AV611" s="45">
        <v>45924</v>
      </c>
      <c r="AW611" s="45">
        <v>45861</v>
      </c>
      <c r="AX611" s="367"/>
      <c r="AY611" s="367"/>
      <c r="AZ611" s="45">
        <v>45961</v>
      </c>
      <c r="BA611" s="45"/>
      <c r="BB611" s="152" t="s">
        <v>1924</v>
      </c>
      <c r="BC611" s="152"/>
      <c r="BD611" s="367" t="s">
        <v>1605</v>
      </c>
      <c r="BE611" s="367"/>
      <c r="BF611" s="367"/>
      <c r="BG611" s="367"/>
      <c r="BH611" s="279" t="e">
        <f>#REF!</f>
        <v>#REF!</v>
      </c>
      <c r="BI611" s="54"/>
      <c r="BJ611" s="54"/>
      <c r="BK611" s="54"/>
      <c r="BL611" s="54"/>
    </row>
    <row r="612" spans="1:64" ht="36" customHeight="1" x14ac:dyDescent="0.3">
      <c r="A612" s="305">
        <f t="shared" si="12"/>
        <v>607</v>
      </c>
      <c r="B612" s="54" t="s">
        <v>2006</v>
      </c>
      <c r="C612" s="367" t="s">
        <v>5</v>
      </c>
      <c r="D612" s="367" t="s">
        <v>1975</v>
      </c>
      <c r="E612" s="45">
        <v>45955</v>
      </c>
      <c r="F612" s="45">
        <v>45960</v>
      </c>
      <c r="G612" s="45">
        <v>46178</v>
      </c>
      <c r="H612" s="45"/>
      <c r="I612" s="367"/>
      <c r="J612" s="54" t="s">
        <v>1946</v>
      </c>
      <c r="K612" s="48" t="s">
        <v>1954</v>
      </c>
      <c r="L612" s="367" t="s">
        <v>660</v>
      </c>
      <c r="M612" s="150" t="s">
        <v>65</v>
      </c>
      <c r="N612" s="367"/>
      <c r="O612" s="367"/>
      <c r="P612" s="311"/>
      <c r="Q612" s="367">
        <v>0.7</v>
      </c>
      <c r="R612" s="367"/>
      <c r="S612" s="367"/>
      <c r="T612" s="367">
        <v>48</v>
      </c>
      <c r="U612" s="367"/>
      <c r="V612" s="367"/>
      <c r="W612" s="367"/>
      <c r="X612" s="367" t="s">
        <v>1752</v>
      </c>
      <c r="Y612" s="367"/>
      <c r="Z612" s="367"/>
      <c r="AA612" s="367"/>
      <c r="AB612" s="150"/>
      <c r="AC612" s="48" t="s">
        <v>2007</v>
      </c>
      <c r="AD612" s="150" t="s">
        <v>819</v>
      </c>
      <c r="AE612" s="262"/>
      <c r="AF612" s="262"/>
      <c r="AG612" s="286">
        <v>45931</v>
      </c>
      <c r="AH612" s="49">
        <v>45920</v>
      </c>
      <c r="AI612" s="266">
        <v>45901</v>
      </c>
      <c r="AJ612" s="150" t="s">
        <v>131</v>
      </c>
      <c r="AK612" s="150" t="s">
        <v>166</v>
      </c>
      <c r="AL612" s="150" t="s">
        <v>295</v>
      </c>
      <c r="AM612" s="150" t="s">
        <v>209</v>
      </c>
      <c r="AN612" s="367"/>
      <c r="AO612" s="367"/>
      <c r="AP612" s="367"/>
      <c r="AQ612" s="366"/>
      <c r="AR612" s="367"/>
      <c r="AS612" s="367"/>
      <c r="AT612" s="45">
        <v>45894</v>
      </c>
      <c r="AU612" s="45">
        <v>45866</v>
      </c>
      <c r="AV612" s="367"/>
      <c r="AW612" s="45">
        <v>45861</v>
      </c>
      <c r="AX612" s="367"/>
      <c r="AY612" s="367"/>
      <c r="AZ612" s="45">
        <v>45897</v>
      </c>
      <c r="BA612" s="45"/>
      <c r="BB612" s="152" t="s">
        <v>1940</v>
      </c>
      <c r="BC612" s="152"/>
      <c r="BD612" s="367" t="s">
        <v>1605</v>
      </c>
      <c r="BE612" s="367"/>
      <c r="BF612" s="367"/>
      <c r="BG612" s="367"/>
      <c r="BH612" s="279" t="e">
        <f>#REF!</f>
        <v>#REF!</v>
      </c>
      <c r="BI612" s="54"/>
      <c r="BJ612" s="54"/>
      <c r="BK612" s="54"/>
      <c r="BL612" s="54"/>
    </row>
    <row r="613" spans="1:64" ht="36.6" customHeight="1" x14ac:dyDescent="0.3">
      <c r="A613" s="305">
        <f t="shared" si="12"/>
        <v>608</v>
      </c>
      <c r="B613" s="54" t="s">
        <v>2008</v>
      </c>
      <c r="C613" s="367" t="s">
        <v>5</v>
      </c>
      <c r="D613" s="367" t="s">
        <v>1979</v>
      </c>
      <c r="E613" s="45">
        <v>45955</v>
      </c>
      <c r="F613" s="45">
        <v>45960</v>
      </c>
      <c r="G613" s="45"/>
      <c r="H613" s="45"/>
      <c r="I613" s="367"/>
      <c r="J613" s="54" t="s">
        <v>1946</v>
      </c>
      <c r="K613" s="48" t="s">
        <v>1957</v>
      </c>
      <c r="L613" s="367" t="s">
        <v>660</v>
      </c>
      <c r="M613" s="150" t="s">
        <v>120</v>
      </c>
      <c r="N613" s="367"/>
      <c r="O613" s="367"/>
      <c r="P613" s="311"/>
      <c r="Q613" s="367">
        <v>0.7</v>
      </c>
      <c r="R613" s="367"/>
      <c r="S613" s="367"/>
      <c r="T613" s="367">
        <v>48</v>
      </c>
      <c r="U613" s="367"/>
      <c r="V613" s="367"/>
      <c r="W613" s="367"/>
      <c r="X613" s="367" t="s">
        <v>1752</v>
      </c>
      <c r="Y613" s="367"/>
      <c r="Z613" s="367"/>
      <c r="AA613" s="367"/>
      <c r="AB613" s="150"/>
      <c r="AC613" s="48" t="s">
        <v>2009</v>
      </c>
      <c r="AD613" s="150" t="s">
        <v>819</v>
      </c>
      <c r="AE613" s="262"/>
      <c r="AF613" s="262"/>
      <c r="AG613" s="286">
        <v>45931</v>
      </c>
      <c r="AH613" s="49">
        <v>45920</v>
      </c>
      <c r="AI613" s="266">
        <v>45901</v>
      </c>
      <c r="AJ613" s="150" t="s">
        <v>648</v>
      </c>
      <c r="AK613" s="150" t="s">
        <v>166</v>
      </c>
      <c r="AL613" s="150" t="s">
        <v>295</v>
      </c>
      <c r="AM613" s="150" t="s">
        <v>209</v>
      </c>
      <c r="AN613" s="367"/>
      <c r="AO613" s="367"/>
      <c r="AP613" s="367"/>
      <c r="AQ613" s="366"/>
      <c r="AR613" s="367"/>
      <c r="AS613" s="367"/>
      <c r="AT613" s="45">
        <v>45894</v>
      </c>
      <c r="AU613" s="45">
        <v>45866</v>
      </c>
      <c r="AV613" s="367"/>
      <c r="AW613" s="45">
        <v>45861</v>
      </c>
      <c r="AX613" s="367"/>
      <c r="AY613" s="367"/>
      <c r="AZ613" s="45">
        <v>45897</v>
      </c>
      <c r="BA613" s="45"/>
      <c r="BB613" s="152" t="s">
        <v>1940</v>
      </c>
      <c r="BC613" s="152"/>
      <c r="BD613" s="367" t="s">
        <v>1605</v>
      </c>
      <c r="BE613" s="367"/>
      <c r="BF613" s="367"/>
      <c r="BG613" s="367"/>
      <c r="BH613" s="279" t="e">
        <f>#REF!</f>
        <v>#REF!</v>
      </c>
      <c r="BI613" s="54"/>
      <c r="BJ613" s="54"/>
      <c r="BK613" s="54"/>
      <c r="BL613" s="54"/>
    </row>
    <row r="614" spans="1:64" ht="36.6" customHeight="1" x14ac:dyDescent="0.3">
      <c r="A614" s="305">
        <f t="shared" si="12"/>
        <v>609</v>
      </c>
      <c r="B614" s="54" t="s">
        <v>2010</v>
      </c>
      <c r="C614" s="367" t="s">
        <v>5</v>
      </c>
      <c r="D614" s="367" t="s">
        <v>1984</v>
      </c>
      <c r="E614" s="45">
        <v>45955</v>
      </c>
      <c r="F614" s="45">
        <v>45989</v>
      </c>
      <c r="G614" s="45"/>
      <c r="H614" s="45"/>
      <c r="I614" s="367"/>
      <c r="J614" s="54" t="s">
        <v>1946</v>
      </c>
      <c r="K614" s="48" t="s">
        <v>1969</v>
      </c>
      <c r="L614" s="367" t="s">
        <v>660</v>
      </c>
      <c r="M614" s="150" t="s">
        <v>65</v>
      </c>
      <c r="N614" s="367"/>
      <c r="O614" s="367"/>
      <c r="P614" s="311"/>
      <c r="Q614" s="367">
        <v>0.7</v>
      </c>
      <c r="R614" s="367"/>
      <c r="S614" s="367"/>
      <c r="T614" s="367">
        <v>48</v>
      </c>
      <c r="U614" s="367"/>
      <c r="V614" s="367"/>
      <c r="W614" s="367"/>
      <c r="X614" s="367" t="s">
        <v>1752</v>
      </c>
      <c r="Y614" s="367"/>
      <c r="Z614" s="367"/>
      <c r="AA614" s="367"/>
      <c r="AB614" s="150"/>
      <c r="AC614" s="48" t="s">
        <v>2011</v>
      </c>
      <c r="AD614" s="150" t="s">
        <v>819</v>
      </c>
      <c r="AE614" s="262"/>
      <c r="AF614" s="262"/>
      <c r="AG614" s="286">
        <v>45931</v>
      </c>
      <c r="AH614" s="49">
        <v>45920</v>
      </c>
      <c r="AI614" s="266">
        <v>45901</v>
      </c>
      <c r="AJ614" s="150" t="s">
        <v>648</v>
      </c>
      <c r="AK614" s="150" t="s">
        <v>166</v>
      </c>
      <c r="AL614" s="150" t="s">
        <v>295</v>
      </c>
      <c r="AM614" s="150" t="s">
        <v>209</v>
      </c>
      <c r="AN614" s="367"/>
      <c r="AO614" s="367"/>
      <c r="AP614" s="367"/>
      <c r="AQ614" s="366"/>
      <c r="AR614" s="367"/>
      <c r="AS614" s="367"/>
      <c r="AT614" s="45">
        <v>45894</v>
      </c>
      <c r="AU614" s="45">
        <v>45866</v>
      </c>
      <c r="AV614" s="45">
        <v>45888</v>
      </c>
      <c r="AW614" s="45">
        <v>45861</v>
      </c>
      <c r="AX614" s="367"/>
      <c r="AY614" s="367"/>
      <c r="AZ614" s="45">
        <v>45897</v>
      </c>
      <c r="BA614" s="45"/>
      <c r="BB614" s="152" t="s">
        <v>2002</v>
      </c>
      <c r="BC614" s="152"/>
      <c r="BD614" s="367" t="s">
        <v>1605</v>
      </c>
      <c r="BE614" s="367"/>
      <c r="BF614" s="367"/>
      <c r="BG614" s="367"/>
      <c r="BH614" s="279" t="e">
        <f>#REF!</f>
        <v>#REF!</v>
      </c>
      <c r="BI614" s="54"/>
      <c r="BJ614" s="54"/>
      <c r="BK614" s="54"/>
      <c r="BL614" s="54"/>
    </row>
    <row r="615" spans="1:64" ht="36" customHeight="1" x14ac:dyDescent="0.3">
      <c r="A615" s="305">
        <f t="shared" si="12"/>
        <v>610</v>
      </c>
      <c r="B615" s="54" t="s">
        <v>2012</v>
      </c>
      <c r="C615" s="367" t="s">
        <v>5</v>
      </c>
      <c r="D615" s="367" t="s">
        <v>1984</v>
      </c>
      <c r="E615" s="45">
        <v>46003</v>
      </c>
      <c r="F615" s="45">
        <v>46010</v>
      </c>
      <c r="G615" s="45">
        <v>46114</v>
      </c>
      <c r="H615" s="45"/>
      <c r="I615" s="367"/>
      <c r="J615" s="54" t="s">
        <v>1946</v>
      </c>
      <c r="K615" s="48" t="s">
        <v>2013</v>
      </c>
      <c r="L615" s="367" t="s">
        <v>660</v>
      </c>
      <c r="M615" s="150" t="s">
        <v>120</v>
      </c>
      <c r="N615" s="367"/>
      <c r="O615" s="367"/>
      <c r="P615" s="311"/>
      <c r="Q615" s="367">
        <v>2</v>
      </c>
      <c r="R615" s="367"/>
      <c r="S615" s="367"/>
      <c r="T615" s="367">
        <v>19</v>
      </c>
      <c r="U615" s="367"/>
      <c r="V615" s="367"/>
      <c r="W615" s="367"/>
      <c r="X615" s="367" t="s">
        <v>1752</v>
      </c>
      <c r="Y615" s="367"/>
      <c r="Z615" s="367"/>
      <c r="AA615" s="367"/>
      <c r="AB615" s="150"/>
      <c r="AC615" s="48" t="s">
        <v>2014</v>
      </c>
      <c r="AD615" s="150" t="s">
        <v>819</v>
      </c>
      <c r="AE615" s="262"/>
      <c r="AF615" s="262"/>
      <c r="AG615" s="286">
        <v>45992</v>
      </c>
      <c r="AH615" s="49">
        <v>45986</v>
      </c>
      <c r="AI615" s="266">
        <v>45962</v>
      </c>
      <c r="AJ615" s="150" t="s">
        <v>131</v>
      </c>
      <c r="AK615" s="150" t="s">
        <v>166</v>
      </c>
      <c r="AL615" s="150" t="s">
        <v>295</v>
      </c>
      <c r="AM615" s="150" t="s">
        <v>209</v>
      </c>
      <c r="AN615" s="367"/>
      <c r="AO615" s="367"/>
      <c r="AP615" s="367"/>
      <c r="AQ615" s="366"/>
      <c r="AR615" s="367"/>
      <c r="AS615" s="367"/>
      <c r="AT615" s="45">
        <v>45931</v>
      </c>
      <c r="AU615" s="45">
        <v>45866</v>
      </c>
      <c r="AV615" s="45">
        <v>45888</v>
      </c>
      <c r="AW615" s="45">
        <v>45861</v>
      </c>
      <c r="AX615" s="367"/>
      <c r="AY615" s="367"/>
      <c r="AZ615" s="45">
        <v>45961</v>
      </c>
      <c r="BA615" s="45"/>
      <c r="BB615" s="152" t="s">
        <v>1977</v>
      </c>
      <c r="BC615" s="152"/>
      <c r="BD615" s="367" t="s">
        <v>1605</v>
      </c>
      <c r="BE615" s="367"/>
      <c r="BF615" s="367"/>
      <c r="BG615" s="367"/>
      <c r="BH615" s="279" t="e">
        <f>#REF!</f>
        <v>#REF!</v>
      </c>
      <c r="BI615" s="54"/>
      <c r="BJ615" s="54"/>
      <c r="BK615" s="54"/>
      <c r="BL615" s="54"/>
    </row>
    <row r="616" spans="1:64" ht="36" customHeight="1" x14ac:dyDescent="0.3">
      <c r="A616" s="305">
        <f t="shared" si="12"/>
        <v>611</v>
      </c>
      <c r="B616" s="54" t="s">
        <v>2015</v>
      </c>
      <c r="C616" s="367" t="s">
        <v>5</v>
      </c>
      <c r="D616" s="367" t="s">
        <v>1984</v>
      </c>
      <c r="E616" s="45">
        <v>46016</v>
      </c>
      <c r="F616" s="45">
        <v>46034</v>
      </c>
      <c r="G616" s="45">
        <v>46114</v>
      </c>
      <c r="H616" s="45"/>
      <c r="I616" s="367"/>
      <c r="J616" s="54" t="s">
        <v>1946</v>
      </c>
      <c r="K616" s="48" t="s">
        <v>2016</v>
      </c>
      <c r="L616" s="367" t="s">
        <v>660</v>
      </c>
      <c r="M616" s="150" t="s">
        <v>120</v>
      </c>
      <c r="N616" s="367"/>
      <c r="O616" s="367"/>
      <c r="P616" s="311"/>
      <c r="Q616" s="367">
        <v>2</v>
      </c>
      <c r="R616" s="367"/>
      <c r="S616" s="367"/>
      <c r="T616" s="367">
        <v>19</v>
      </c>
      <c r="U616" s="367"/>
      <c r="V616" s="367"/>
      <c r="W616" s="367"/>
      <c r="X616" s="367" t="s">
        <v>1752</v>
      </c>
      <c r="Y616" s="367"/>
      <c r="Z616" s="367"/>
      <c r="AA616" s="367"/>
      <c r="AB616" s="150"/>
      <c r="AC616" s="48" t="s">
        <v>2017</v>
      </c>
      <c r="AD616" s="150" t="s">
        <v>819</v>
      </c>
      <c r="AE616" s="262"/>
      <c r="AF616" s="262"/>
      <c r="AG616" s="286">
        <v>45992</v>
      </c>
      <c r="AH616" s="49">
        <v>45986</v>
      </c>
      <c r="AI616" s="266">
        <v>45962</v>
      </c>
      <c r="AJ616" s="150" t="s">
        <v>131</v>
      </c>
      <c r="AK616" s="150" t="s">
        <v>166</v>
      </c>
      <c r="AL616" s="150" t="s">
        <v>295</v>
      </c>
      <c r="AM616" s="150" t="s">
        <v>209</v>
      </c>
      <c r="AN616" s="367"/>
      <c r="AO616" s="367"/>
      <c r="AP616" s="367"/>
      <c r="AQ616" s="366"/>
      <c r="AR616" s="367"/>
      <c r="AS616" s="367"/>
      <c r="AT616" s="45">
        <v>45950</v>
      </c>
      <c r="AU616" s="294" t="s">
        <v>1993</v>
      </c>
      <c r="AV616" s="45">
        <v>45924</v>
      </c>
      <c r="AW616" s="45">
        <v>45861</v>
      </c>
      <c r="AX616" s="367"/>
      <c r="AY616" s="367"/>
      <c r="AZ616" s="45">
        <v>45961</v>
      </c>
      <c r="BA616" s="45"/>
      <c r="BB616" s="152" t="s">
        <v>1924</v>
      </c>
      <c r="BC616" s="152"/>
      <c r="BD616" s="367" t="s">
        <v>1605</v>
      </c>
      <c r="BE616" s="367"/>
      <c r="BF616" s="367"/>
      <c r="BG616" s="367"/>
      <c r="BH616" s="279" t="e">
        <f>#REF!</f>
        <v>#REF!</v>
      </c>
      <c r="BI616" s="54"/>
      <c r="BJ616" s="54"/>
      <c r="BK616" s="54"/>
      <c r="BL616" s="54"/>
    </row>
    <row r="617" spans="1:64" ht="36" customHeight="1" x14ac:dyDescent="0.3">
      <c r="A617" s="305">
        <f t="shared" si="12"/>
        <v>612</v>
      </c>
      <c r="B617" s="54" t="s">
        <v>2018</v>
      </c>
      <c r="C617" s="367" t="s">
        <v>5</v>
      </c>
      <c r="D617" s="367" t="s">
        <v>1984</v>
      </c>
      <c r="E617" s="45">
        <v>45989</v>
      </c>
      <c r="F617" s="45">
        <v>45989</v>
      </c>
      <c r="G617" s="45">
        <v>46178</v>
      </c>
      <c r="H617" s="45"/>
      <c r="I617" s="367"/>
      <c r="J617" s="54" t="s">
        <v>1946</v>
      </c>
      <c r="K617" s="48" t="s">
        <v>1966</v>
      </c>
      <c r="L617" s="367" t="s">
        <v>660</v>
      </c>
      <c r="M617" s="150" t="s">
        <v>65</v>
      </c>
      <c r="N617" s="367"/>
      <c r="O617" s="367"/>
      <c r="P617" s="311"/>
      <c r="Q617" s="367">
        <v>0.8</v>
      </c>
      <c r="R617" s="367"/>
      <c r="S617" s="367"/>
      <c r="T617" s="367">
        <v>39</v>
      </c>
      <c r="U617" s="367"/>
      <c r="V617" s="367"/>
      <c r="W617" s="367"/>
      <c r="X617" s="367" t="s">
        <v>1752</v>
      </c>
      <c r="Y617" s="367"/>
      <c r="Z617" s="367"/>
      <c r="AA617" s="367"/>
      <c r="AB617" s="150"/>
      <c r="AC617" s="48" t="s">
        <v>2019</v>
      </c>
      <c r="AD617" s="150" t="s">
        <v>819</v>
      </c>
      <c r="AE617" s="296">
        <v>45961</v>
      </c>
      <c r="AF617" s="296"/>
      <c r="AG617" s="286">
        <v>45962</v>
      </c>
      <c r="AH617" s="49">
        <v>45971</v>
      </c>
      <c r="AI617" s="266">
        <v>45901</v>
      </c>
      <c r="AJ617" s="150" t="s">
        <v>131</v>
      </c>
      <c r="AK617" s="150" t="s">
        <v>166</v>
      </c>
      <c r="AL617" s="150" t="s">
        <v>295</v>
      </c>
      <c r="AM617" s="150" t="s">
        <v>209</v>
      </c>
      <c r="AN617" s="367"/>
      <c r="AO617" s="367"/>
      <c r="AP617" s="367"/>
      <c r="AQ617" s="366"/>
      <c r="AR617" s="367"/>
      <c r="AS617" s="367"/>
      <c r="AT617" s="45">
        <v>45894</v>
      </c>
      <c r="AU617" s="45">
        <v>45866</v>
      </c>
      <c r="AV617" s="45">
        <v>45888</v>
      </c>
      <c r="AW617" s="45">
        <v>45861</v>
      </c>
      <c r="AX617" s="367"/>
      <c r="AY617" s="367"/>
      <c r="AZ617" s="45">
        <v>45961</v>
      </c>
      <c r="BA617" s="45"/>
      <c r="BB617" s="152" t="s">
        <v>2002</v>
      </c>
      <c r="BC617" s="152"/>
      <c r="BD617" s="367" t="s">
        <v>1605</v>
      </c>
      <c r="BE617" s="367"/>
      <c r="BF617" s="367"/>
      <c r="BG617" s="367"/>
      <c r="BH617" s="279" t="e">
        <f>#REF!</f>
        <v>#REF!</v>
      </c>
      <c r="BI617" s="54"/>
      <c r="BJ617" s="54"/>
      <c r="BK617" s="54"/>
      <c r="BL617" s="54"/>
    </row>
    <row r="618" spans="1:64" ht="36" customHeight="1" x14ac:dyDescent="0.3">
      <c r="A618" s="305">
        <f t="shared" si="12"/>
        <v>613</v>
      </c>
      <c r="B618" s="54" t="s">
        <v>2020</v>
      </c>
      <c r="C618" s="367" t="s">
        <v>5</v>
      </c>
      <c r="D618" s="367" t="s">
        <v>1832</v>
      </c>
      <c r="E618" s="45">
        <v>45989</v>
      </c>
      <c r="F618" s="45">
        <v>45988</v>
      </c>
      <c r="G618" s="45"/>
      <c r="H618" s="45"/>
      <c r="I618" s="367"/>
      <c r="J618" s="54" t="s">
        <v>1609</v>
      </c>
      <c r="K618" s="48" t="s">
        <v>2021</v>
      </c>
      <c r="L618" s="367" t="s">
        <v>660</v>
      </c>
      <c r="M618" s="150" t="s">
        <v>65</v>
      </c>
      <c r="N618" s="367"/>
      <c r="O618" s="367"/>
      <c r="P618" s="311"/>
      <c r="Q618" s="367">
        <v>3</v>
      </c>
      <c r="R618" s="367"/>
      <c r="S618" s="367"/>
      <c r="T618" s="367">
        <v>13</v>
      </c>
      <c r="U618" s="367"/>
      <c r="V618" s="367"/>
      <c r="W618" s="367"/>
      <c r="X618" s="150" t="s">
        <v>2022</v>
      </c>
      <c r="Y618" s="367"/>
      <c r="Z618" s="367" t="s">
        <v>127</v>
      </c>
      <c r="AA618" s="367"/>
      <c r="AB618" s="150"/>
      <c r="AC618" s="48" t="s">
        <v>2023</v>
      </c>
      <c r="AD618" s="150" t="s">
        <v>819</v>
      </c>
      <c r="AE618" s="296">
        <v>45961</v>
      </c>
      <c r="AF618" s="296"/>
      <c r="AG618" s="286">
        <v>45962</v>
      </c>
      <c r="AH618" s="49">
        <v>45991</v>
      </c>
      <c r="AI618" s="266">
        <v>45901</v>
      </c>
      <c r="AJ618" s="150" t="s">
        <v>131</v>
      </c>
      <c r="AK618" s="150" t="s">
        <v>166</v>
      </c>
      <c r="AL618" s="150" t="s">
        <v>295</v>
      </c>
      <c r="AM618" s="150" t="s">
        <v>209</v>
      </c>
      <c r="AN618" s="367"/>
      <c r="AO618" s="367"/>
      <c r="AP618" s="367"/>
      <c r="AQ618" s="366"/>
      <c r="AR618" s="367"/>
      <c r="AS618" s="367"/>
      <c r="AT618" s="45">
        <v>45894</v>
      </c>
      <c r="AU618" s="45">
        <v>45866</v>
      </c>
      <c r="AV618" s="45">
        <v>45888</v>
      </c>
      <c r="AW618" s="45">
        <v>45861</v>
      </c>
      <c r="AX618" s="367"/>
      <c r="AY618" s="367"/>
      <c r="AZ618" s="45">
        <v>45961</v>
      </c>
      <c r="BA618" s="45"/>
      <c r="BB618" s="152" t="s">
        <v>1977</v>
      </c>
      <c r="BC618" s="152"/>
      <c r="BD618" s="367" t="s">
        <v>1605</v>
      </c>
      <c r="BE618" s="367"/>
      <c r="BF618" s="367"/>
      <c r="BG618" s="367"/>
      <c r="BH618" s="279" t="e">
        <f>#REF!</f>
        <v>#REF!</v>
      </c>
      <c r="BI618" s="54"/>
      <c r="BJ618" s="54"/>
      <c r="BK618" s="54"/>
      <c r="BL618" s="54"/>
    </row>
    <row r="619" spans="1:64" ht="36" customHeight="1" x14ac:dyDescent="0.3">
      <c r="A619" s="305">
        <f t="shared" si="12"/>
        <v>614</v>
      </c>
      <c r="B619" s="54" t="s">
        <v>2024</v>
      </c>
      <c r="C619" s="367" t="s">
        <v>5</v>
      </c>
      <c r="D619" s="367" t="s">
        <v>1975</v>
      </c>
      <c r="E619" s="45">
        <v>45974</v>
      </c>
      <c r="F619" s="45">
        <v>45975</v>
      </c>
      <c r="G619" s="45"/>
      <c r="H619" s="45"/>
      <c r="I619" s="367"/>
      <c r="J619" s="54" t="s">
        <v>1609</v>
      </c>
      <c r="K619" s="48" t="s">
        <v>2025</v>
      </c>
      <c r="L619" s="367" t="s">
        <v>660</v>
      </c>
      <c r="M619" s="150" t="s">
        <v>65</v>
      </c>
      <c r="N619" s="367"/>
      <c r="O619" s="367"/>
      <c r="P619" s="311"/>
      <c r="Q619" s="367"/>
      <c r="R619" s="367"/>
      <c r="S619" s="367"/>
      <c r="T619" s="367">
        <v>12</v>
      </c>
      <c r="U619" s="367"/>
      <c r="V619" s="367"/>
      <c r="W619" s="367"/>
      <c r="X619" s="367" t="s">
        <v>1752</v>
      </c>
      <c r="Y619" s="367"/>
      <c r="Z619" s="367"/>
      <c r="AA619" s="367"/>
      <c r="AB619" s="150"/>
      <c r="AC619" s="48" t="s">
        <v>2026</v>
      </c>
      <c r="AD619" s="150" t="s">
        <v>819</v>
      </c>
      <c r="AE619" s="296">
        <v>45961</v>
      </c>
      <c r="AF619" s="296"/>
      <c r="AG619" s="286">
        <v>45962</v>
      </c>
      <c r="AH619" s="49">
        <v>45991</v>
      </c>
      <c r="AI619" s="266">
        <v>45901</v>
      </c>
      <c r="AJ619" s="150" t="s">
        <v>131</v>
      </c>
      <c r="AK619" s="150" t="s">
        <v>166</v>
      </c>
      <c r="AL619" s="150" t="s">
        <v>295</v>
      </c>
      <c r="AM619" s="150" t="s">
        <v>209</v>
      </c>
      <c r="AN619" s="367"/>
      <c r="AO619" s="367"/>
      <c r="AP619" s="367"/>
      <c r="AQ619" s="366"/>
      <c r="AR619" s="367"/>
      <c r="AS619" s="367"/>
      <c r="AT619" s="45">
        <v>45894</v>
      </c>
      <c r="AU619" s="45">
        <v>45866</v>
      </c>
      <c r="AV619" s="45">
        <v>45888</v>
      </c>
      <c r="AW619" s="45">
        <v>45861</v>
      </c>
      <c r="AX619" s="367"/>
      <c r="AY619" s="367"/>
      <c r="AZ619" s="45">
        <v>45961</v>
      </c>
      <c r="BA619" s="45"/>
      <c r="BB619" s="152" t="s">
        <v>2002</v>
      </c>
      <c r="BC619" s="152"/>
      <c r="BD619" s="367" t="s">
        <v>1605</v>
      </c>
      <c r="BE619" s="367"/>
      <c r="BF619" s="367"/>
      <c r="BG619" s="367"/>
      <c r="BH619" s="279" t="e">
        <f>#REF!</f>
        <v>#REF!</v>
      </c>
      <c r="BI619" s="54"/>
      <c r="BJ619" s="54"/>
      <c r="BK619" s="54"/>
      <c r="BL619" s="54"/>
    </row>
    <row r="620" spans="1:64" ht="36" customHeight="1" x14ac:dyDescent="0.3">
      <c r="A620" s="305">
        <f t="shared" si="12"/>
        <v>615</v>
      </c>
      <c r="B620" s="54" t="s">
        <v>2027</v>
      </c>
      <c r="C620" s="367" t="s">
        <v>5</v>
      </c>
      <c r="D620" s="367" t="s">
        <v>1919</v>
      </c>
      <c r="E620" s="45">
        <v>45975</v>
      </c>
      <c r="F620" s="45">
        <v>45975</v>
      </c>
      <c r="G620" s="45"/>
      <c r="H620" s="45"/>
      <c r="I620" s="367"/>
      <c r="J620" s="54" t="s">
        <v>1609</v>
      </c>
      <c r="K620" s="48" t="s">
        <v>2025</v>
      </c>
      <c r="L620" s="367" t="s">
        <v>660</v>
      </c>
      <c r="M620" s="150" t="s">
        <v>65</v>
      </c>
      <c r="N620" s="367"/>
      <c r="O620" s="367"/>
      <c r="P620" s="311"/>
      <c r="Q620" s="367"/>
      <c r="R620" s="367"/>
      <c r="S620" s="367"/>
      <c r="T620" s="367">
        <v>12</v>
      </c>
      <c r="U620" s="367"/>
      <c r="V620" s="367"/>
      <c r="W620" s="367"/>
      <c r="X620" s="150" t="s">
        <v>2028</v>
      </c>
      <c r="Y620" s="367"/>
      <c r="Z620" s="367"/>
      <c r="AA620" s="367"/>
      <c r="AB620" s="150"/>
      <c r="AC620" s="48" t="s">
        <v>2029</v>
      </c>
      <c r="AD620" s="150" t="s">
        <v>625</v>
      </c>
      <c r="AE620" s="296">
        <v>45961</v>
      </c>
      <c r="AF620" s="296"/>
      <c r="AG620" s="286">
        <v>45962</v>
      </c>
      <c r="AH620" s="49">
        <v>45991</v>
      </c>
      <c r="AI620" s="266">
        <v>45901</v>
      </c>
      <c r="AJ620" s="150" t="s">
        <v>131</v>
      </c>
      <c r="AK620" s="150" t="s">
        <v>829</v>
      </c>
      <c r="AL620" s="150" t="s">
        <v>830</v>
      </c>
      <c r="AM620" s="150" t="s">
        <v>134</v>
      </c>
      <c r="AN620" s="367"/>
      <c r="AO620" s="367"/>
      <c r="AP620" s="367"/>
      <c r="AQ620" s="366"/>
      <c r="AR620" s="367"/>
      <c r="AS620" s="367"/>
      <c r="AT620" s="45">
        <v>45915</v>
      </c>
      <c r="AU620" s="45">
        <v>45889</v>
      </c>
      <c r="AV620" s="45">
        <v>45904</v>
      </c>
      <c r="AW620" s="45">
        <v>45896</v>
      </c>
      <c r="AX620" s="367"/>
      <c r="AY620" s="367"/>
      <c r="AZ620" s="367"/>
      <c r="BA620" s="367"/>
      <c r="BB620" s="152" t="s">
        <v>2030</v>
      </c>
      <c r="BC620" s="152"/>
      <c r="BD620" s="367" t="s">
        <v>1605</v>
      </c>
      <c r="BE620" s="367"/>
      <c r="BF620" s="367"/>
      <c r="BG620" s="367"/>
      <c r="BH620" s="279" t="e">
        <f>#REF!</f>
        <v>#REF!</v>
      </c>
      <c r="BI620" s="54"/>
      <c r="BJ620" s="54"/>
      <c r="BK620" s="54"/>
      <c r="BL620" s="54"/>
    </row>
    <row r="621" spans="1:64" ht="36" customHeight="1" x14ac:dyDescent="0.3">
      <c r="A621" s="367">
        <f t="shared" si="12"/>
        <v>616</v>
      </c>
      <c r="B621" s="54" t="s">
        <v>2031</v>
      </c>
      <c r="C621" s="367" t="s">
        <v>6</v>
      </c>
      <c r="D621" s="367" t="s">
        <v>2032</v>
      </c>
      <c r="E621" s="45">
        <v>45888</v>
      </c>
      <c r="F621" s="367"/>
      <c r="G621" s="367"/>
      <c r="H621" s="367"/>
      <c r="I621" s="367"/>
      <c r="J621" s="54" t="s">
        <v>674</v>
      </c>
      <c r="K621" s="48" t="s">
        <v>716</v>
      </c>
      <c r="L621" s="367" t="s">
        <v>1057</v>
      </c>
      <c r="M621" s="150" t="s">
        <v>120</v>
      </c>
      <c r="N621" s="367"/>
      <c r="O621" s="367" t="s">
        <v>1058</v>
      </c>
      <c r="P621" s="311"/>
      <c r="Q621" s="367">
        <v>3.7</v>
      </c>
      <c r="R621" s="367"/>
      <c r="S621" s="367">
        <v>100</v>
      </c>
      <c r="T621" s="367"/>
      <c r="U621" s="367"/>
      <c r="V621" s="367"/>
      <c r="W621" s="367"/>
      <c r="X621" s="367"/>
      <c r="Y621" s="367"/>
      <c r="Z621" s="367"/>
      <c r="AA621" s="367"/>
      <c r="AB621" s="150"/>
      <c r="AC621" s="48" t="s">
        <v>2033</v>
      </c>
      <c r="AD621" s="150" t="s">
        <v>1121</v>
      </c>
      <c r="AE621" s="262"/>
      <c r="AF621" s="262"/>
      <c r="AG621" s="262"/>
      <c r="AH621" s="49">
        <v>45884</v>
      </c>
      <c r="AI621" s="266">
        <v>45839</v>
      </c>
      <c r="AJ621" s="150" t="s">
        <v>131</v>
      </c>
      <c r="AK621" s="150" t="s">
        <v>2034</v>
      </c>
      <c r="AL621" s="369" t="s">
        <v>830</v>
      </c>
      <c r="AM621" s="150" t="s">
        <v>209</v>
      </c>
      <c r="AN621" s="367"/>
      <c r="AO621" s="367"/>
      <c r="AP621" s="367"/>
      <c r="AQ621" s="366"/>
      <c r="AR621" s="367"/>
      <c r="AS621" s="367"/>
      <c r="AT621" s="45">
        <v>45853</v>
      </c>
      <c r="AU621" s="45">
        <v>45820</v>
      </c>
      <c r="AV621" s="45">
        <v>45825</v>
      </c>
      <c r="AW621" s="45">
        <v>45833</v>
      </c>
      <c r="AX621" s="367"/>
      <c r="AY621" s="367"/>
      <c r="AZ621" s="367"/>
      <c r="BA621" s="367"/>
      <c r="BB621" s="152"/>
      <c r="BC621" s="152"/>
      <c r="BD621" s="329" t="s">
        <v>816</v>
      </c>
      <c r="BE621" s="367"/>
      <c r="BF621" s="367"/>
      <c r="BG621" s="367"/>
      <c r="BH621" s="279" t="e">
        <f>#REF!</f>
        <v>#REF!</v>
      </c>
      <c r="BI621" s="54"/>
      <c r="BJ621" s="54"/>
      <c r="BK621" s="54"/>
      <c r="BL621" s="54"/>
    </row>
    <row r="622" spans="1:64" ht="36" customHeight="1" x14ac:dyDescent="0.3">
      <c r="A622" s="367">
        <f t="shared" si="12"/>
        <v>617</v>
      </c>
      <c r="B622" s="54" t="s">
        <v>2035</v>
      </c>
      <c r="C622" s="367" t="s">
        <v>6</v>
      </c>
      <c r="D622" s="367" t="s">
        <v>2036</v>
      </c>
      <c r="E622" s="45">
        <v>45888</v>
      </c>
      <c r="F622" s="367"/>
      <c r="G622" s="367"/>
      <c r="H622" s="367"/>
      <c r="I622" s="367"/>
      <c r="J622" s="54" t="s">
        <v>674</v>
      </c>
      <c r="K622" s="48" t="s">
        <v>2037</v>
      </c>
      <c r="L622" s="367" t="s">
        <v>1057</v>
      </c>
      <c r="M622" s="150" t="s">
        <v>65</v>
      </c>
      <c r="N622" s="367"/>
      <c r="O622" s="367" t="s">
        <v>1058</v>
      </c>
      <c r="P622" s="311"/>
      <c r="Q622" s="367">
        <v>3.7</v>
      </c>
      <c r="R622" s="367"/>
      <c r="S622" s="367">
        <v>100</v>
      </c>
      <c r="T622" s="367"/>
      <c r="U622" s="367"/>
      <c r="V622" s="367"/>
      <c r="W622" s="367"/>
      <c r="X622" s="367"/>
      <c r="Y622" s="367"/>
      <c r="Z622" s="367"/>
      <c r="AA622" s="367"/>
      <c r="AB622" s="150"/>
      <c r="AC622" s="48" t="s">
        <v>2038</v>
      </c>
      <c r="AD622" s="150" t="s">
        <v>1121</v>
      </c>
      <c r="AE622" s="262"/>
      <c r="AF622" s="262"/>
      <c r="AG622" s="262"/>
      <c r="AH622" s="49">
        <v>45884</v>
      </c>
      <c r="AI622" s="266">
        <v>45839</v>
      </c>
      <c r="AJ622" s="150" t="s">
        <v>131</v>
      </c>
      <c r="AK622" s="150" t="s">
        <v>2034</v>
      </c>
      <c r="AL622" s="369" t="s">
        <v>830</v>
      </c>
      <c r="AM622" s="150" t="s">
        <v>209</v>
      </c>
      <c r="AN622" s="367"/>
      <c r="AO622" s="367"/>
      <c r="AP622" s="367"/>
      <c r="AQ622" s="366"/>
      <c r="AR622" s="367"/>
      <c r="AS622" s="367"/>
      <c r="AT622" s="45">
        <v>45853</v>
      </c>
      <c r="AU622" s="45">
        <v>45820</v>
      </c>
      <c r="AV622" s="45">
        <v>45825</v>
      </c>
      <c r="AW622" s="45">
        <v>45833</v>
      </c>
      <c r="AX622" s="367"/>
      <c r="AY622" s="367"/>
      <c r="AZ622" s="367"/>
      <c r="BA622" s="367"/>
      <c r="BB622" s="152"/>
      <c r="BC622" s="152"/>
      <c r="BD622" s="329" t="s">
        <v>816</v>
      </c>
      <c r="BE622" s="367"/>
      <c r="BF622" s="367"/>
      <c r="BG622" s="367"/>
      <c r="BH622" s="279" t="e">
        <f>#REF!</f>
        <v>#REF!</v>
      </c>
      <c r="BI622" s="54"/>
      <c r="BJ622" s="54"/>
      <c r="BK622" s="54"/>
      <c r="BL622" s="54"/>
    </row>
    <row r="623" spans="1:64" ht="36" customHeight="1" x14ac:dyDescent="0.3">
      <c r="A623" s="367">
        <f t="shared" si="12"/>
        <v>618</v>
      </c>
      <c r="B623" s="54" t="s">
        <v>2039</v>
      </c>
      <c r="C623" s="367" t="s">
        <v>6</v>
      </c>
      <c r="D623" s="367" t="s">
        <v>2040</v>
      </c>
      <c r="E623" s="45">
        <v>45888</v>
      </c>
      <c r="F623" s="367"/>
      <c r="G623" s="367"/>
      <c r="H623" s="367"/>
      <c r="I623" s="367"/>
      <c r="J623" s="54" t="s">
        <v>674</v>
      </c>
      <c r="K623" s="48" t="s">
        <v>2041</v>
      </c>
      <c r="L623" s="367" t="s">
        <v>1057</v>
      </c>
      <c r="M623" s="150" t="s">
        <v>120</v>
      </c>
      <c r="N623" s="367"/>
      <c r="O623" s="367" t="s">
        <v>1058</v>
      </c>
      <c r="P623" s="311"/>
      <c r="Q623" s="367">
        <v>3.7</v>
      </c>
      <c r="R623" s="367"/>
      <c r="S623" s="367">
        <v>100</v>
      </c>
      <c r="T623" s="367"/>
      <c r="U623" s="367"/>
      <c r="V623" s="367"/>
      <c r="W623" s="367"/>
      <c r="X623" s="367"/>
      <c r="Y623" s="367"/>
      <c r="Z623" s="367"/>
      <c r="AA623" s="367"/>
      <c r="AB623" s="150"/>
      <c r="AC623" s="48" t="s">
        <v>2042</v>
      </c>
      <c r="AD623" s="150" t="s">
        <v>1121</v>
      </c>
      <c r="AE623" s="262"/>
      <c r="AF623" s="262"/>
      <c r="AG623" s="262"/>
      <c r="AH623" s="49">
        <v>45884</v>
      </c>
      <c r="AI623" s="266">
        <v>45839</v>
      </c>
      <c r="AJ623" s="150" t="s">
        <v>131</v>
      </c>
      <c r="AK623" s="150" t="s">
        <v>2043</v>
      </c>
      <c r="AL623" s="369" t="s">
        <v>830</v>
      </c>
      <c r="AM623" s="150" t="s">
        <v>209</v>
      </c>
      <c r="AN623" s="367"/>
      <c r="AO623" s="367"/>
      <c r="AP623" s="367"/>
      <c r="AQ623" s="366"/>
      <c r="AR623" s="367"/>
      <c r="AS623" s="367"/>
      <c r="AT623" s="45">
        <v>45853</v>
      </c>
      <c r="AU623" s="45">
        <v>45820</v>
      </c>
      <c r="AV623" s="45">
        <v>45825</v>
      </c>
      <c r="AW623" s="45">
        <v>45833</v>
      </c>
      <c r="AX623" s="367"/>
      <c r="AY623" s="367"/>
      <c r="AZ623" s="367"/>
      <c r="BA623" s="367"/>
      <c r="BB623" s="152"/>
      <c r="BC623" s="152"/>
      <c r="BD623" s="329" t="s">
        <v>816</v>
      </c>
      <c r="BE623" s="367"/>
      <c r="BF623" s="367"/>
      <c r="BG623" s="367"/>
      <c r="BH623" s="279" t="e">
        <f>#REF!</f>
        <v>#REF!</v>
      </c>
      <c r="BI623" s="54"/>
      <c r="BJ623" s="54"/>
      <c r="BK623" s="54"/>
      <c r="BL623" s="54"/>
    </row>
    <row r="624" spans="1:64" ht="36" customHeight="1" x14ac:dyDescent="0.3">
      <c r="A624" s="367">
        <f t="shared" si="12"/>
        <v>619</v>
      </c>
      <c r="B624" s="54" t="s">
        <v>2044</v>
      </c>
      <c r="C624" s="367" t="s">
        <v>5</v>
      </c>
      <c r="D624" s="367" t="s">
        <v>2045</v>
      </c>
      <c r="E624" s="45">
        <v>45853</v>
      </c>
      <c r="F624" s="45">
        <v>45855</v>
      </c>
      <c r="G624" s="45"/>
      <c r="H624" s="45"/>
      <c r="I624" s="367"/>
      <c r="J624" s="54" t="s">
        <v>644</v>
      </c>
      <c r="K624" s="48" t="s">
        <v>2046</v>
      </c>
      <c r="L624" s="367" t="s">
        <v>660</v>
      </c>
      <c r="M624" s="150" t="s">
        <v>120</v>
      </c>
      <c r="N624" s="367"/>
      <c r="O624" s="367"/>
      <c r="P624" s="311"/>
      <c r="Q624" s="367"/>
      <c r="R624" s="367"/>
      <c r="S624" s="367"/>
      <c r="T624" s="367"/>
      <c r="U624" s="367"/>
      <c r="V624" s="367"/>
      <c r="W624" s="367"/>
      <c r="X624" s="367"/>
      <c r="Y624" s="367"/>
      <c r="Z624" s="367"/>
      <c r="AA624" s="367"/>
      <c r="AB624" s="150"/>
      <c r="AC624" s="48" t="s">
        <v>2047</v>
      </c>
      <c r="AD624" s="150" t="s">
        <v>169</v>
      </c>
      <c r="AE624" s="262"/>
      <c r="AF624" s="262"/>
      <c r="AG624" s="286">
        <v>45855</v>
      </c>
      <c r="AH624" s="49">
        <v>45853</v>
      </c>
      <c r="AI624" s="266">
        <v>45839</v>
      </c>
      <c r="AJ624" s="150" t="s">
        <v>131</v>
      </c>
      <c r="AK624" s="150" t="s">
        <v>2048</v>
      </c>
      <c r="AL624" s="150"/>
      <c r="AM624" s="150" t="s">
        <v>134</v>
      </c>
      <c r="AN624" s="367"/>
      <c r="AO624" s="367"/>
      <c r="AP624" s="367"/>
      <c r="AQ624" s="366"/>
      <c r="AR624" s="367"/>
      <c r="AS624" s="367"/>
      <c r="AT624" s="45">
        <v>45845</v>
      </c>
      <c r="AU624" s="45">
        <v>45832</v>
      </c>
      <c r="AV624" s="45">
        <v>45832</v>
      </c>
      <c r="AW624" s="367"/>
      <c r="AX624" s="367"/>
      <c r="AY624" s="367"/>
      <c r="AZ624" s="367"/>
      <c r="BA624" s="367"/>
      <c r="BB624" s="152"/>
      <c r="BC624" s="152"/>
      <c r="BD624" s="367" t="s">
        <v>1605</v>
      </c>
      <c r="BE624" s="367"/>
      <c r="BF624" s="367"/>
      <c r="BG624" s="367"/>
      <c r="BH624" s="279" t="e">
        <f>#REF!</f>
        <v>#REF!</v>
      </c>
      <c r="BI624" s="54"/>
      <c r="BJ624" s="54"/>
      <c r="BK624" s="54"/>
      <c r="BL624" s="54"/>
    </row>
    <row r="625" spans="1:64" ht="36" customHeight="1" x14ac:dyDescent="0.3">
      <c r="A625" s="367">
        <f t="shared" si="12"/>
        <v>620</v>
      </c>
      <c r="B625" s="54" t="s">
        <v>2049</v>
      </c>
      <c r="C625" s="367" t="s">
        <v>5</v>
      </c>
      <c r="D625" s="367" t="s">
        <v>2045</v>
      </c>
      <c r="E625" s="45">
        <v>45853</v>
      </c>
      <c r="F625" s="45">
        <v>45855</v>
      </c>
      <c r="G625" s="45"/>
      <c r="H625" s="45"/>
      <c r="I625" s="367"/>
      <c r="J625" s="54" t="s">
        <v>644</v>
      </c>
      <c r="K625" s="48" t="s">
        <v>2046</v>
      </c>
      <c r="L625" s="367" t="s">
        <v>660</v>
      </c>
      <c r="M625" s="150" t="s">
        <v>120</v>
      </c>
      <c r="N625" s="367"/>
      <c r="O625" s="367"/>
      <c r="P625" s="311"/>
      <c r="Q625" s="367"/>
      <c r="R625" s="367"/>
      <c r="S625" s="367"/>
      <c r="T625" s="367"/>
      <c r="U625" s="367"/>
      <c r="V625" s="367"/>
      <c r="W625" s="367"/>
      <c r="X625" s="367"/>
      <c r="Y625" s="367"/>
      <c r="Z625" s="367"/>
      <c r="AA625" s="367"/>
      <c r="AB625" s="150"/>
      <c r="AC625" s="48" t="s">
        <v>2050</v>
      </c>
      <c r="AD625" s="150" t="s">
        <v>169</v>
      </c>
      <c r="AE625" s="262"/>
      <c r="AF625" s="262"/>
      <c r="AG625" s="286">
        <v>45855</v>
      </c>
      <c r="AH625" s="49">
        <v>45853</v>
      </c>
      <c r="AI625" s="266">
        <v>45839</v>
      </c>
      <c r="AJ625" s="150" t="s">
        <v>131</v>
      </c>
      <c r="AK625" s="150" t="s">
        <v>2048</v>
      </c>
      <c r="AL625" s="150"/>
      <c r="AM625" s="150" t="s">
        <v>134</v>
      </c>
      <c r="AN625" s="367"/>
      <c r="AO625" s="367"/>
      <c r="AP625" s="367"/>
      <c r="AQ625" s="366"/>
      <c r="AR625" s="367"/>
      <c r="AS625" s="367"/>
      <c r="AT625" s="45">
        <v>45845</v>
      </c>
      <c r="AU625" s="45">
        <v>45832</v>
      </c>
      <c r="AV625" s="45">
        <v>45832</v>
      </c>
      <c r="AW625" s="367"/>
      <c r="AX625" s="367"/>
      <c r="AY625" s="367"/>
      <c r="AZ625" s="367"/>
      <c r="BA625" s="367"/>
      <c r="BB625" s="152"/>
      <c r="BC625" s="152"/>
      <c r="BD625" s="367" t="s">
        <v>1605</v>
      </c>
      <c r="BE625" s="367"/>
      <c r="BF625" s="367"/>
      <c r="BG625" s="367"/>
      <c r="BH625" s="279" t="e">
        <f>#REF!</f>
        <v>#REF!</v>
      </c>
      <c r="BI625" s="54"/>
      <c r="BJ625" s="54"/>
      <c r="BK625" s="54"/>
      <c r="BL625" s="54"/>
    </row>
    <row r="626" spans="1:64" ht="36" customHeight="1" x14ac:dyDescent="0.3">
      <c r="A626" s="367">
        <f t="shared" si="12"/>
        <v>621</v>
      </c>
      <c r="B626" s="54" t="s">
        <v>2051</v>
      </c>
      <c r="C626" s="367" t="s">
        <v>5</v>
      </c>
      <c r="D626" s="367" t="s">
        <v>262</v>
      </c>
      <c r="E626" s="367"/>
      <c r="F626" s="367"/>
      <c r="G626" s="367"/>
      <c r="H626" s="367"/>
      <c r="I626" s="367"/>
      <c r="J626" s="54" t="s">
        <v>644</v>
      </c>
      <c r="K626" s="48" t="s">
        <v>716</v>
      </c>
      <c r="L626" s="367"/>
      <c r="M626" s="150"/>
      <c r="N626" s="367"/>
      <c r="O626" s="367"/>
      <c r="P626" s="367"/>
      <c r="Q626" s="367"/>
      <c r="R626" s="367"/>
      <c r="S626" s="367"/>
      <c r="T626" s="367"/>
      <c r="U626" s="367"/>
      <c r="V626" s="367"/>
      <c r="W626" s="367"/>
      <c r="X626" s="367"/>
      <c r="Y626" s="367"/>
      <c r="Z626" s="367"/>
      <c r="AA626" s="367"/>
      <c r="AB626" s="150"/>
      <c r="AC626" s="48" t="s">
        <v>2052</v>
      </c>
      <c r="AD626" s="150" t="s">
        <v>169</v>
      </c>
      <c r="AE626" s="262"/>
      <c r="AF626" s="262"/>
      <c r="AG626" s="262"/>
      <c r="AH626" s="49"/>
      <c r="AI626" s="266"/>
      <c r="AJ626" s="150" t="s">
        <v>264</v>
      </c>
      <c r="AK626" s="150" t="s">
        <v>2048</v>
      </c>
      <c r="AL626" s="150"/>
      <c r="AM626" s="150" t="s">
        <v>134</v>
      </c>
      <c r="AN626" s="367"/>
      <c r="AO626" s="367"/>
      <c r="AP626" s="367"/>
      <c r="AQ626" s="366"/>
      <c r="AR626" s="367"/>
      <c r="AS626" s="367"/>
      <c r="AT626" s="367"/>
      <c r="AU626" s="367"/>
      <c r="AV626" s="367"/>
      <c r="AW626" s="367"/>
      <c r="AX626" s="367"/>
      <c r="AY626" s="367"/>
      <c r="AZ626" s="367"/>
      <c r="BA626" s="367"/>
      <c r="BB626" s="152"/>
      <c r="BC626" s="152"/>
      <c r="BD626" s="367" t="s">
        <v>1605</v>
      </c>
      <c r="BE626" s="367"/>
      <c r="BF626" s="367"/>
      <c r="BG626" s="367"/>
      <c r="BH626" s="279" t="e">
        <f>#REF!</f>
        <v>#REF!</v>
      </c>
      <c r="BI626" s="54"/>
      <c r="BJ626" s="54"/>
      <c r="BK626" s="54"/>
      <c r="BL626" s="54"/>
    </row>
    <row r="627" spans="1:64" ht="36" customHeight="1" x14ac:dyDescent="0.3">
      <c r="A627" s="367">
        <f t="shared" si="12"/>
        <v>622</v>
      </c>
      <c r="B627" s="54" t="s">
        <v>2053</v>
      </c>
      <c r="C627" s="367" t="s">
        <v>5</v>
      </c>
      <c r="D627" s="367" t="s">
        <v>262</v>
      </c>
      <c r="E627" s="367"/>
      <c r="F627" s="367"/>
      <c r="G627" s="367"/>
      <c r="H627" s="367"/>
      <c r="I627" s="367"/>
      <c r="J627" s="54" t="s">
        <v>644</v>
      </c>
      <c r="K627" s="48"/>
      <c r="L627" s="367"/>
      <c r="M627" s="150"/>
      <c r="N627" s="367"/>
      <c r="O627" s="367"/>
      <c r="P627" s="367"/>
      <c r="Q627" s="367"/>
      <c r="R627" s="367"/>
      <c r="S627" s="367"/>
      <c r="T627" s="367"/>
      <c r="U627" s="367"/>
      <c r="V627" s="367"/>
      <c r="W627" s="367"/>
      <c r="X627" s="367"/>
      <c r="Y627" s="367"/>
      <c r="Z627" s="367"/>
      <c r="AA627" s="367"/>
      <c r="AB627" s="150"/>
      <c r="AC627" s="48" t="s">
        <v>2054</v>
      </c>
      <c r="AD627" s="150" t="s">
        <v>169</v>
      </c>
      <c r="AE627" s="262"/>
      <c r="AF627" s="262"/>
      <c r="AG627" s="262"/>
      <c r="AH627" s="49"/>
      <c r="AI627" s="266"/>
      <c r="AJ627" s="150" t="s">
        <v>264</v>
      </c>
      <c r="AK627" s="150" t="s">
        <v>2048</v>
      </c>
      <c r="AL627" s="150"/>
      <c r="AM627" s="150" t="s">
        <v>134</v>
      </c>
      <c r="AN627" s="367"/>
      <c r="AO627" s="367"/>
      <c r="AP627" s="367"/>
      <c r="AQ627" s="366"/>
      <c r="AR627" s="367"/>
      <c r="AS627" s="367"/>
      <c r="AT627" s="367"/>
      <c r="AU627" s="367"/>
      <c r="AV627" s="367"/>
      <c r="AW627" s="367"/>
      <c r="AX627" s="367"/>
      <c r="AY627" s="367"/>
      <c r="AZ627" s="367"/>
      <c r="BA627" s="367"/>
      <c r="BB627" s="152"/>
      <c r="BC627" s="152"/>
      <c r="BD627" s="367" t="s">
        <v>1605</v>
      </c>
      <c r="BE627" s="367"/>
      <c r="BF627" s="367"/>
      <c r="BG627" s="367"/>
      <c r="BH627" s="279" t="e">
        <f>#REF!</f>
        <v>#REF!</v>
      </c>
      <c r="BI627" s="54"/>
      <c r="BJ627" s="54"/>
      <c r="BK627" s="54"/>
      <c r="BL627" s="54"/>
    </row>
    <row r="628" spans="1:64" ht="36" customHeight="1" x14ac:dyDescent="0.3">
      <c r="A628" s="367">
        <f t="shared" si="12"/>
        <v>623</v>
      </c>
      <c r="B628" s="54" t="s">
        <v>2055</v>
      </c>
      <c r="C628" s="367" t="s">
        <v>5</v>
      </c>
      <c r="D628" s="367" t="s">
        <v>262</v>
      </c>
      <c r="E628" s="367"/>
      <c r="F628" s="367"/>
      <c r="G628" s="367"/>
      <c r="H628" s="367"/>
      <c r="I628" s="367"/>
      <c r="J628" s="54"/>
      <c r="K628" s="48"/>
      <c r="L628" s="367"/>
      <c r="M628" s="150"/>
      <c r="N628" s="367"/>
      <c r="O628" s="367"/>
      <c r="P628" s="367"/>
      <c r="Q628" s="367"/>
      <c r="R628" s="367"/>
      <c r="S628" s="367"/>
      <c r="T628" s="367"/>
      <c r="U628" s="367"/>
      <c r="V628" s="367"/>
      <c r="W628" s="367"/>
      <c r="X628" s="367"/>
      <c r="Y628" s="367"/>
      <c r="Z628" s="367"/>
      <c r="AA628" s="367"/>
      <c r="AB628" s="150"/>
      <c r="AC628" s="48" t="s">
        <v>2056</v>
      </c>
      <c r="AD628" s="150" t="s">
        <v>169</v>
      </c>
      <c r="AE628" s="262"/>
      <c r="AF628" s="262"/>
      <c r="AG628" s="262"/>
      <c r="AH628" s="49"/>
      <c r="AI628" s="266"/>
      <c r="AJ628" s="150" t="s">
        <v>264</v>
      </c>
      <c r="AK628" s="150" t="s">
        <v>2048</v>
      </c>
      <c r="AL628" s="150"/>
      <c r="AM628" s="150" t="s">
        <v>134</v>
      </c>
      <c r="AN628" s="367"/>
      <c r="AO628" s="367"/>
      <c r="AP628" s="367"/>
      <c r="AQ628" s="366"/>
      <c r="AR628" s="367"/>
      <c r="AS628" s="367"/>
      <c r="AT628" s="367"/>
      <c r="AU628" s="367"/>
      <c r="AV628" s="367"/>
      <c r="AW628" s="367"/>
      <c r="AX628" s="367"/>
      <c r="AY628" s="367"/>
      <c r="AZ628" s="367"/>
      <c r="BA628" s="367"/>
      <c r="BB628" s="152"/>
      <c r="BC628" s="152"/>
      <c r="BD628" s="367" t="s">
        <v>1605</v>
      </c>
      <c r="BE628" s="367"/>
      <c r="BF628" s="367"/>
      <c r="BG628" s="367"/>
      <c r="BH628" s="279" t="e">
        <f>#REF!</f>
        <v>#REF!</v>
      </c>
      <c r="BI628" s="54"/>
      <c r="BJ628" s="54"/>
      <c r="BK628" s="54"/>
      <c r="BL628" s="54"/>
    </row>
    <row r="629" spans="1:64" ht="36" customHeight="1" x14ac:dyDescent="0.3">
      <c r="A629" s="367">
        <f t="shared" si="12"/>
        <v>624</v>
      </c>
      <c r="B629" s="54" t="s">
        <v>2057</v>
      </c>
      <c r="C629" s="367" t="s">
        <v>5</v>
      </c>
      <c r="D629" s="367" t="s">
        <v>1919</v>
      </c>
      <c r="E629" s="45">
        <v>45866</v>
      </c>
      <c r="F629" s="45">
        <v>45866</v>
      </c>
      <c r="G629" s="45"/>
      <c r="H629" s="45"/>
      <c r="I629" s="367"/>
      <c r="J629" s="54" t="s">
        <v>674</v>
      </c>
      <c r="K629" s="48" t="s">
        <v>1250</v>
      </c>
      <c r="L629" s="367" t="s">
        <v>660</v>
      </c>
      <c r="M629" s="150" t="s">
        <v>120</v>
      </c>
      <c r="N629" s="367"/>
      <c r="O629" s="367"/>
      <c r="P629" s="311"/>
      <c r="Q629" s="367"/>
      <c r="R629" s="367"/>
      <c r="S629" s="367"/>
      <c r="T629" s="367"/>
      <c r="U629" s="367"/>
      <c r="V629" s="367"/>
      <c r="W629" s="367"/>
      <c r="X629" s="367"/>
      <c r="Y629" s="367"/>
      <c r="Z629" s="367"/>
      <c r="AA629" s="367"/>
      <c r="AB629" s="150" t="s">
        <v>697</v>
      </c>
      <c r="AC629" s="48" t="s">
        <v>2058</v>
      </c>
      <c r="AD629" s="150" t="s">
        <v>1079</v>
      </c>
      <c r="AE629" s="296"/>
      <c r="AF629" s="296"/>
      <c r="AG629" s="286">
        <v>45962</v>
      </c>
      <c r="AH629" s="49">
        <v>45861</v>
      </c>
      <c r="AI629" s="266">
        <v>45839</v>
      </c>
      <c r="AJ629" s="150" t="s">
        <v>131</v>
      </c>
      <c r="AK629" s="150" t="s">
        <v>2059</v>
      </c>
      <c r="AL629" s="150" t="s">
        <v>2060</v>
      </c>
      <c r="AM629" s="150" t="s">
        <v>134</v>
      </c>
      <c r="AN629" s="367"/>
      <c r="AO629" s="367"/>
      <c r="AP629" s="367"/>
      <c r="AQ629" s="366"/>
      <c r="AR629" s="367"/>
      <c r="AS629" s="367"/>
      <c r="AT629" s="45">
        <v>45991</v>
      </c>
      <c r="AU629" s="367"/>
      <c r="AV629" s="367"/>
      <c r="AW629" s="45">
        <v>45965</v>
      </c>
      <c r="AX629" s="367"/>
      <c r="AY629" s="367"/>
      <c r="AZ629" s="367"/>
      <c r="BA629" s="367"/>
      <c r="BB629" s="152"/>
      <c r="BC629" s="152"/>
      <c r="BD629" s="367" t="s">
        <v>1605</v>
      </c>
      <c r="BE629" s="367"/>
      <c r="BF629" s="367"/>
      <c r="BG629" s="367"/>
      <c r="BH629" s="279" t="e">
        <f>#REF!</f>
        <v>#REF!</v>
      </c>
      <c r="BI629" s="54"/>
      <c r="BJ629" s="54"/>
      <c r="BK629" s="54"/>
      <c r="BL629" s="54"/>
    </row>
    <row r="630" spans="1:64" ht="36" customHeight="1" x14ac:dyDescent="0.3">
      <c r="A630" s="367">
        <f t="shared" si="12"/>
        <v>625</v>
      </c>
      <c r="B630" s="54" t="s">
        <v>2061</v>
      </c>
      <c r="C630" s="367" t="s">
        <v>5</v>
      </c>
      <c r="D630" s="367" t="s">
        <v>1660</v>
      </c>
      <c r="E630" s="45">
        <v>46020</v>
      </c>
      <c r="F630" s="45">
        <v>46034</v>
      </c>
      <c r="G630" s="45"/>
      <c r="H630" s="45"/>
      <c r="I630" s="367"/>
      <c r="J630" s="54" t="s">
        <v>674</v>
      </c>
      <c r="K630" s="48" t="s">
        <v>2062</v>
      </c>
      <c r="L630" s="367"/>
      <c r="M630" s="150"/>
      <c r="N630" s="367"/>
      <c r="O630" s="367"/>
      <c r="P630" s="311"/>
      <c r="Q630" s="367"/>
      <c r="R630" s="367"/>
      <c r="S630" s="367"/>
      <c r="T630" s="367"/>
      <c r="U630" s="367"/>
      <c r="V630" s="367"/>
      <c r="W630" s="367"/>
      <c r="X630" s="367"/>
      <c r="Y630" s="367"/>
      <c r="Z630" s="367"/>
      <c r="AA630" s="367"/>
      <c r="AB630" s="150"/>
      <c r="AC630" s="48" t="s">
        <v>2063</v>
      </c>
      <c r="AD630" s="150" t="s">
        <v>1079</v>
      </c>
      <c r="AE630" s="296"/>
      <c r="AF630" s="296"/>
      <c r="AG630" s="286">
        <v>45962</v>
      </c>
      <c r="AH630" s="49">
        <v>45950</v>
      </c>
      <c r="AI630" s="266">
        <v>45931</v>
      </c>
      <c r="AJ630" s="150" t="s">
        <v>131</v>
      </c>
      <c r="AK630" s="150"/>
      <c r="AL630" s="150" t="s">
        <v>162</v>
      </c>
      <c r="AM630" s="150" t="s">
        <v>134</v>
      </c>
      <c r="AN630" s="367"/>
      <c r="AO630" s="367"/>
      <c r="AP630" s="367"/>
      <c r="AQ630" s="366"/>
      <c r="AR630" s="367"/>
      <c r="AS630" s="367"/>
      <c r="AT630" s="367"/>
      <c r="AU630" s="367"/>
      <c r="AV630" s="367"/>
      <c r="AW630" s="367"/>
      <c r="AX630" s="367"/>
      <c r="AY630" s="367"/>
      <c r="AZ630" s="367"/>
      <c r="BA630" s="367"/>
      <c r="BB630" s="152"/>
      <c r="BC630" s="152"/>
      <c r="BD630" s="367" t="s">
        <v>1605</v>
      </c>
      <c r="BE630" s="367"/>
      <c r="BF630" s="367"/>
      <c r="BG630" s="367"/>
      <c r="BH630" s="260"/>
      <c r="BI630" s="54"/>
      <c r="BJ630" s="54"/>
      <c r="BK630" s="54"/>
      <c r="BL630" s="54"/>
    </row>
    <row r="631" spans="1:64" ht="36" customHeight="1" x14ac:dyDescent="0.3">
      <c r="A631" s="367">
        <f t="shared" si="12"/>
        <v>626</v>
      </c>
      <c r="B631" s="54" t="s">
        <v>2064</v>
      </c>
      <c r="C631" s="367" t="s">
        <v>5</v>
      </c>
      <c r="D631" s="367" t="s">
        <v>2065</v>
      </c>
      <c r="E631" s="45">
        <v>46165</v>
      </c>
      <c r="F631" s="45">
        <v>46168</v>
      </c>
      <c r="G631" s="45"/>
      <c r="H631" s="45"/>
      <c r="I631" s="367"/>
      <c r="J631" s="54" t="s">
        <v>2066</v>
      </c>
      <c r="K631" s="48" t="s">
        <v>2067</v>
      </c>
      <c r="L631" s="367" t="s">
        <v>660</v>
      </c>
      <c r="M631" s="150"/>
      <c r="N631" s="367"/>
      <c r="O631" s="367"/>
      <c r="P631" s="311">
        <v>2</v>
      </c>
      <c r="Q631" s="367"/>
      <c r="R631" s="367"/>
      <c r="S631" s="367"/>
      <c r="T631" s="367">
        <v>22</v>
      </c>
      <c r="U631" s="367"/>
      <c r="V631" s="367"/>
      <c r="W631" s="367"/>
      <c r="X631" s="367"/>
      <c r="Y631" s="367"/>
      <c r="Z631" s="367" t="s">
        <v>127</v>
      </c>
      <c r="AA631" s="367"/>
      <c r="AB631" s="150"/>
      <c r="AC631" s="48" t="s">
        <v>2068</v>
      </c>
      <c r="AD631" s="150" t="s">
        <v>2069</v>
      </c>
      <c r="AE631" s="262"/>
      <c r="AF631" s="262"/>
      <c r="AG631" s="286">
        <v>45992</v>
      </c>
      <c r="AH631" s="49">
        <v>46142</v>
      </c>
      <c r="AI631" s="266">
        <v>46113</v>
      </c>
      <c r="AJ631" s="150" t="s">
        <v>648</v>
      </c>
      <c r="AK631" s="150" t="s">
        <v>294</v>
      </c>
      <c r="AL631" s="150" t="s">
        <v>295</v>
      </c>
      <c r="AM631" s="150" t="s">
        <v>134</v>
      </c>
      <c r="AN631" s="367"/>
      <c r="AO631" s="367"/>
      <c r="AP631" s="367"/>
      <c r="AQ631" s="366"/>
      <c r="AR631" s="367"/>
      <c r="AS631" s="367"/>
      <c r="AT631" s="45">
        <v>45981</v>
      </c>
      <c r="AU631" s="45">
        <v>45947</v>
      </c>
      <c r="AV631" s="367"/>
      <c r="AW631" s="45">
        <v>45877</v>
      </c>
      <c r="AX631" s="367"/>
      <c r="AY631" s="367"/>
      <c r="AZ631" s="367"/>
      <c r="BA631" s="367"/>
      <c r="BB631" s="152" t="s">
        <v>2070</v>
      </c>
      <c r="BC631" s="152"/>
      <c r="BD631" s="367" t="s">
        <v>1605</v>
      </c>
      <c r="BE631" s="367"/>
      <c r="BF631" s="367"/>
      <c r="BG631" s="367"/>
      <c r="BH631" s="260"/>
      <c r="BI631" s="54"/>
      <c r="BJ631" s="54"/>
      <c r="BK631" s="54"/>
      <c r="BL631" s="54"/>
    </row>
    <row r="632" spans="1:64" ht="36" customHeight="1" x14ac:dyDescent="0.3">
      <c r="A632" s="367">
        <f t="shared" si="12"/>
        <v>627</v>
      </c>
      <c r="B632" s="54" t="s">
        <v>2071</v>
      </c>
      <c r="C632" s="367" t="s">
        <v>5</v>
      </c>
      <c r="D632" s="367" t="s">
        <v>2065</v>
      </c>
      <c r="E632" s="45">
        <v>46183</v>
      </c>
      <c r="F632" s="45"/>
      <c r="G632" s="45"/>
      <c r="H632" s="45"/>
      <c r="I632" s="367"/>
      <c r="J632" s="54" t="s">
        <v>2066</v>
      </c>
      <c r="K632" s="48" t="s">
        <v>2067</v>
      </c>
      <c r="L632" s="367" t="s">
        <v>660</v>
      </c>
      <c r="M632" s="150"/>
      <c r="N632" s="367"/>
      <c r="O632" s="367"/>
      <c r="P632" s="311">
        <v>2</v>
      </c>
      <c r="Q632" s="367"/>
      <c r="R632" s="367"/>
      <c r="S632" s="367"/>
      <c r="T632" s="367">
        <v>22</v>
      </c>
      <c r="U632" s="367"/>
      <c r="V632" s="367"/>
      <c r="W632" s="367"/>
      <c r="X632" s="367"/>
      <c r="Y632" s="367"/>
      <c r="Z632" s="367" t="s">
        <v>127</v>
      </c>
      <c r="AA632" s="367"/>
      <c r="AB632" s="150"/>
      <c r="AC632" s="48" t="s">
        <v>2072</v>
      </c>
      <c r="AD632" s="150" t="s">
        <v>2069</v>
      </c>
      <c r="AE632" s="262"/>
      <c r="AF632" s="262"/>
      <c r="AG632" s="286">
        <v>45992</v>
      </c>
      <c r="AH632" s="49">
        <v>46142</v>
      </c>
      <c r="AI632" s="266">
        <v>46113</v>
      </c>
      <c r="AJ632" s="150" t="s">
        <v>2073</v>
      </c>
      <c r="AK632" s="150" t="s">
        <v>294</v>
      </c>
      <c r="AL632" s="150" t="s">
        <v>295</v>
      </c>
      <c r="AM632" s="150" t="s">
        <v>134</v>
      </c>
      <c r="AN632" s="367"/>
      <c r="AO632" s="367"/>
      <c r="AP632" s="367"/>
      <c r="AQ632" s="366"/>
      <c r="AR632" s="367"/>
      <c r="AS632" s="367"/>
      <c r="AT632" s="45">
        <v>45981</v>
      </c>
      <c r="AU632" s="45">
        <v>45947</v>
      </c>
      <c r="AV632" s="367"/>
      <c r="AW632" s="45">
        <v>45958</v>
      </c>
      <c r="AX632" s="367"/>
      <c r="AY632" s="367"/>
      <c r="AZ632" s="367"/>
      <c r="BA632" s="367"/>
      <c r="BB632" s="152" t="s">
        <v>2070</v>
      </c>
      <c r="BC632" s="152"/>
      <c r="BD632" s="367" t="s">
        <v>1605</v>
      </c>
      <c r="BE632" s="367"/>
      <c r="BF632" s="367"/>
      <c r="BG632" s="367"/>
      <c r="BH632" s="260"/>
      <c r="BI632" s="54"/>
      <c r="BJ632" s="54"/>
      <c r="BK632" s="54"/>
      <c r="BL632" s="54"/>
    </row>
    <row r="633" spans="1:64" ht="36" customHeight="1" x14ac:dyDescent="0.3">
      <c r="A633" s="367">
        <f t="shared" si="12"/>
        <v>628</v>
      </c>
      <c r="B633" s="54" t="s">
        <v>2074</v>
      </c>
      <c r="C633" s="367" t="s">
        <v>5</v>
      </c>
      <c r="D633" s="367" t="s">
        <v>2065</v>
      </c>
      <c r="E633" s="45"/>
      <c r="F633" s="45"/>
      <c r="G633" s="45"/>
      <c r="H633" s="45"/>
      <c r="I633" s="367"/>
      <c r="J633" s="54" t="s">
        <v>2066</v>
      </c>
      <c r="K633" s="48" t="s">
        <v>2067</v>
      </c>
      <c r="L633" s="367" t="s">
        <v>660</v>
      </c>
      <c r="M633" s="150"/>
      <c r="N633" s="367"/>
      <c r="O633" s="367"/>
      <c r="P633" s="311">
        <v>2</v>
      </c>
      <c r="Q633" s="367"/>
      <c r="R633" s="367"/>
      <c r="S633" s="367"/>
      <c r="T633" s="367">
        <v>22</v>
      </c>
      <c r="U633" s="367"/>
      <c r="V633" s="367"/>
      <c r="W633" s="367"/>
      <c r="X633" s="367"/>
      <c r="Y633" s="367"/>
      <c r="Z633" s="367" t="s">
        <v>127</v>
      </c>
      <c r="AA633" s="367"/>
      <c r="AB633" s="150"/>
      <c r="AC633" s="48" t="s">
        <v>2075</v>
      </c>
      <c r="AD633" s="150" t="s">
        <v>2069</v>
      </c>
      <c r="AE633" s="262"/>
      <c r="AF633" s="262"/>
      <c r="AG633" s="286">
        <v>45992</v>
      </c>
      <c r="AH633" s="49">
        <v>46142</v>
      </c>
      <c r="AI633" s="266">
        <v>46113</v>
      </c>
      <c r="AJ633" s="150" t="s">
        <v>548</v>
      </c>
      <c r="AK633" s="150" t="s">
        <v>294</v>
      </c>
      <c r="AL633" s="150" t="s">
        <v>295</v>
      </c>
      <c r="AM633" s="150" t="s">
        <v>134</v>
      </c>
      <c r="AN633" s="367"/>
      <c r="AO633" s="367"/>
      <c r="AP633" s="367"/>
      <c r="AQ633" s="366"/>
      <c r="AR633" s="367"/>
      <c r="AS633" s="367"/>
      <c r="AT633" s="45">
        <v>45981</v>
      </c>
      <c r="AU633" s="45">
        <v>45947</v>
      </c>
      <c r="AV633" s="367"/>
      <c r="AW633" s="45">
        <v>45958</v>
      </c>
      <c r="AX633" s="367"/>
      <c r="AY633" s="367"/>
      <c r="AZ633" s="367"/>
      <c r="BA633" s="367"/>
      <c r="BB633" s="152" t="s">
        <v>2070</v>
      </c>
      <c r="BC633" s="152"/>
      <c r="BD633" s="367" t="s">
        <v>1605</v>
      </c>
      <c r="BE633" s="367"/>
      <c r="BF633" s="367"/>
      <c r="BG633" s="367"/>
      <c r="BH633" s="260"/>
      <c r="BI633" s="54"/>
      <c r="BJ633" s="54"/>
      <c r="BK633" s="54"/>
      <c r="BL633" s="54"/>
    </row>
    <row r="634" spans="1:64" ht="36" customHeight="1" x14ac:dyDescent="0.3">
      <c r="A634" s="367">
        <f>ROW(B634)-ROW($B$5)</f>
        <v>629</v>
      </c>
      <c r="B634" s="54" t="s">
        <v>2076</v>
      </c>
      <c r="C634" s="367" t="s">
        <v>5</v>
      </c>
      <c r="D634" s="367" t="s">
        <v>2077</v>
      </c>
      <c r="E634" s="45"/>
      <c r="F634" s="45"/>
      <c r="G634" s="45"/>
      <c r="H634" s="45"/>
      <c r="I634" s="367"/>
      <c r="J634" s="54" t="s">
        <v>2066</v>
      </c>
      <c r="K634" s="48" t="s">
        <v>2067</v>
      </c>
      <c r="L634" s="367" t="s">
        <v>660</v>
      </c>
      <c r="M634" s="150"/>
      <c r="N634" s="367"/>
      <c r="O634" s="367"/>
      <c r="P634" s="311">
        <v>2</v>
      </c>
      <c r="Q634" s="367"/>
      <c r="R634" s="367"/>
      <c r="S634" s="367"/>
      <c r="T634" s="367">
        <v>22</v>
      </c>
      <c r="U634" s="367"/>
      <c r="V634" s="367"/>
      <c r="W634" s="367"/>
      <c r="X634" s="367"/>
      <c r="Y634" s="367"/>
      <c r="Z634" s="367" t="s">
        <v>127</v>
      </c>
      <c r="AA634" s="367"/>
      <c r="AB634" s="150"/>
      <c r="AC634" s="48" t="s">
        <v>2078</v>
      </c>
      <c r="AD634" s="150" t="s">
        <v>2069</v>
      </c>
      <c r="AE634" s="262"/>
      <c r="AF634" s="262"/>
      <c r="AG634" s="286">
        <v>45992</v>
      </c>
      <c r="AH634" s="49">
        <v>46142</v>
      </c>
      <c r="AI634" s="266">
        <v>46113</v>
      </c>
      <c r="AJ634" s="150" t="s">
        <v>2073</v>
      </c>
      <c r="AK634" s="150" t="s">
        <v>294</v>
      </c>
      <c r="AL634" s="150" t="s">
        <v>295</v>
      </c>
      <c r="AM634" s="150" t="s">
        <v>2079</v>
      </c>
      <c r="AN634" s="367"/>
      <c r="AO634" s="367"/>
      <c r="AP634" s="367"/>
      <c r="AQ634" s="366"/>
      <c r="AR634" s="367"/>
      <c r="AS634" s="367"/>
      <c r="AT634" s="45">
        <v>45981</v>
      </c>
      <c r="AU634" s="45">
        <v>45947</v>
      </c>
      <c r="AV634" s="367"/>
      <c r="AW634" s="45">
        <v>45958</v>
      </c>
      <c r="AX634" s="367"/>
      <c r="AY634" s="367"/>
      <c r="AZ634" s="367"/>
      <c r="BA634" s="367"/>
      <c r="BB634" s="152" t="s">
        <v>2070</v>
      </c>
      <c r="BC634" s="152"/>
      <c r="BD634" s="367" t="s">
        <v>1605</v>
      </c>
      <c r="BE634" s="367"/>
      <c r="BF634" s="367"/>
      <c r="BG634" s="367"/>
      <c r="BH634" s="260"/>
      <c r="BI634" s="54"/>
      <c r="BJ634" s="54"/>
      <c r="BK634" s="54"/>
      <c r="BL634" s="54"/>
    </row>
    <row r="635" spans="1:64" ht="36" customHeight="1" x14ac:dyDescent="0.3">
      <c r="A635" s="367">
        <f t="shared" si="12"/>
        <v>630</v>
      </c>
      <c r="B635" s="54" t="s">
        <v>2080</v>
      </c>
      <c r="C635" s="367" t="s">
        <v>5</v>
      </c>
      <c r="D635" s="367" t="s">
        <v>2077</v>
      </c>
      <c r="E635" s="45"/>
      <c r="F635" s="45"/>
      <c r="G635" s="45"/>
      <c r="H635" s="45"/>
      <c r="I635" s="367"/>
      <c r="J635" s="54" t="s">
        <v>2066</v>
      </c>
      <c r="K635" s="48" t="s">
        <v>2067</v>
      </c>
      <c r="L635" s="367" t="s">
        <v>660</v>
      </c>
      <c r="M635" s="150"/>
      <c r="N635" s="367"/>
      <c r="O635" s="367"/>
      <c r="P635" s="311">
        <v>2</v>
      </c>
      <c r="Q635" s="367"/>
      <c r="R635" s="367"/>
      <c r="S635" s="367"/>
      <c r="T635" s="367">
        <v>22</v>
      </c>
      <c r="U635" s="367"/>
      <c r="V635" s="367"/>
      <c r="W635" s="367"/>
      <c r="X635" s="367"/>
      <c r="Y635" s="367"/>
      <c r="Z635" s="367" t="s">
        <v>127</v>
      </c>
      <c r="AA635" s="367"/>
      <c r="AB635" s="150"/>
      <c r="AC635" s="48" t="s">
        <v>2081</v>
      </c>
      <c r="AD635" s="150" t="s">
        <v>2069</v>
      </c>
      <c r="AE635" s="262"/>
      <c r="AF635" s="262"/>
      <c r="AG635" s="286">
        <v>45992</v>
      </c>
      <c r="AH635" s="49">
        <v>46142</v>
      </c>
      <c r="AI635" s="266">
        <v>46113</v>
      </c>
      <c r="AJ635" s="150" t="s">
        <v>2073</v>
      </c>
      <c r="AK635" s="150" t="s">
        <v>294</v>
      </c>
      <c r="AL635" s="150" t="s">
        <v>295</v>
      </c>
      <c r="AM635" s="150" t="s">
        <v>2079</v>
      </c>
      <c r="AN635" s="367"/>
      <c r="AO635" s="367"/>
      <c r="AP635" s="367"/>
      <c r="AQ635" s="366"/>
      <c r="AR635" s="367"/>
      <c r="AS635" s="367"/>
      <c r="AT635" s="45">
        <v>45981</v>
      </c>
      <c r="AU635" s="45">
        <v>45947</v>
      </c>
      <c r="AV635" s="367"/>
      <c r="AW635" s="45">
        <v>45958</v>
      </c>
      <c r="AX635" s="367"/>
      <c r="AY635" s="367"/>
      <c r="AZ635" s="367"/>
      <c r="BA635" s="367"/>
      <c r="BB635" s="152" t="s">
        <v>2070</v>
      </c>
      <c r="BC635" s="152"/>
      <c r="BD635" s="367" t="s">
        <v>1605</v>
      </c>
      <c r="BE635" s="367"/>
      <c r="BF635" s="367"/>
      <c r="BG635" s="367"/>
      <c r="BH635" s="260"/>
      <c r="BI635" s="54"/>
      <c r="BJ635" s="54"/>
      <c r="BK635" s="54"/>
      <c r="BL635" s="54"/>
    </row>
    <row r="636" spans="1:64" ht="36" customHeight="1" x14ac:dyDescent="0.3">
      <c r="A636" s="367">
        <f t="shared" si="12"/>
        <v>631</v>
      </c>
      <c r="B636" s="54" t="s">
        <v>2082</v>
      </c>
      <c r="C636" s="367" t="s">
        <v>5</v>
      </c>
      <c r="D636" s="367" t="s">
        <v>2077</v>
      </c>
      <c r="E636" s="45"/>
      <c r="F636" s="45"/>
      <c r="G636" s="45"/>
      <c r="H636" s="45"/>
      <c r="I636" s="367"/>
      <c r="J636" s="54" t="s">
        <v>2066</v>
      </c>
      <c r="K636" s="48" t="s">
        <v>2067</v>
      </c>
      <c r="L636" s="367" t="s">
        <v>660</v>
      </c>
      <c r="M636" s="150"/>
      <c r="N636" s="367"/>
      <c r="O636" s="367"/>
      <c r="P636" s="311">
        <v>2</v>
      </c>
      <c r="Q636" s="367"/>
      <c r="R636" s="367"/>
      <c r="S636" s="367"/>
      <c r="T636" s="367">
        <v>22</v>
      </c>
      <c r="U636" s="367"/>
      <c r="V636" s="367"/>
      <c r="W636" s="367"/>
      <c r="X636" s="367"/>
      <c r="Y636" s="367"/>
      <c r="Z636" s="367" t="s">
        <v>127</v>
      </c>
      <c r="AA636" s="367"/>
      <c r="AB636" s="150"/>
      <c r="AC636" s="48" t="s">
        <v>2083</v>
      </c>
      <c r="AD636" s="150" t="s">
        <v>2069</v>
      </c>
      <c r="AE636" s="262"/>
      <c r="AF636" s="262"/>
      <c r="AG636" s="286">
        <v>45992</v>
      </c>
      <c r="AH636" s="49">
        <v>46142</v>
      </c>
      <c r="AI636" s="266">
        <v>46113</v>
      </c>
      <c r="AJ636" s="150" t="s">
        <v>2073</v>
      </c>
      <c r="AK636" s="150" t="s">
        <v>294</v>
      </c>
      <c r="AL636" s="150" t="s">
        <v>295</v>
      </c>
      <c r="AM636" s="150" t="s">
        <v>2079</v>
      </c>
      <c r="AN636" s="367"/>
      <c r="AO636" s="367"/>
      <c r="AP636" s="367"/>
      <c r="AQ636" s="366"/>
      <c r="AR636" s="367"/>
      <c r="AS636" s="367"/>
      <c r="AT636" s="45">
        <v>45981</v>
      </c>
      <c r="AU636" s="45">
        <v>45947</v>
      </c>
      <c r="AV636" s="367"/>
      <c r="AW636" s="45">
        <v>45958</v>
      </c>
      <c r="AX636" s="367"/>
      <c r="AY636" s="367"/>
      <c r="AZ636" s="367"/>
      <c r="BA636" s="367"/>
      <c r="BB636" s="152" t="s">
        <v>2070</v>
      </c>
      <c r="BC636" s="152"/>
      <c r="BD636" s="367" t="s">
        <v>1605</v>
      </c>
      <c r="BE636" s="367"/>
      <c r="BF636" s="367"/>
      <c r="BG636" s="367"/>
      <c r="BH636" s="260"/>
      <c r="BI636" s="54"/>
      <c r="BJ636" s="54"/>
      <c r="BK636" s="54"/>
      <c r="BL636" s="54"/>
    </row>
    <row r="637" spans="1:64" ht="36" customHeight="1" x14ac:dyDescent="0.3">
      <c r="A637" s="367">
        <f t="shared" si="12"/>
        <v>632</v>
      </c>
      <c r="B637" s="54" t="s">
        <v>2084</v>
      </c>
      <c r="C637" s="367" t="s">
        <v>5</v>
      </c>
      <c r="D637" s="367" t="s">
        <v>2077</v>
      </c>
      <c r="E637" s="45">
        <v>46168</v>
      </c>
      <c r="F637" s="45">
        <v>46168</v>
      </c>
      <c r="G637" s="45"/>
      <c r="H637" s="45"/>
      <c r="I637" s="367"/>
      <c r="J637" s="54" t="s">
        <v>2066</v>
      </c>
      <c r="K637" s="48" t="s">
        <v>2067</v>
      </c>
      <c r="L637" s="367" t="s">
        <v>660</v>
      </c>
      <c r="M637" s="150"/>
      <c r="N637" s="367"/>
      <c r="O637" s="367"/>
      <c r="P637" s="311">
        <v>2</v>
      </c>
      <c r="Q637" s="367"/>
      <c r="R637" s="367"/>
      <c r="S637" s="367"/>
      <c r="T637" s="367">
        <v>22</v>
      </c>
      <c r="U637" s="367"/>
      <c r="V637" s="367"/>
      <c r="W637" s="367"/>
      <c r="X637" s="367"/>
      <c r="Y637" s="367"/>
      <c r="Z637" s="367" t="s">
        <v>127</v>
      </c>
      <c r="AA637" s="367"/>
      <c r="AB637" s="150"/>
      <c r="AC637" s="48" t="s">
        <v>2085</v>
      </c>
      <c r="AD637" s="150" t="s">
        <v>2069</v>
      </c>
      <c r="AE637" s="262"/>
      <c r="AF637" s="262"/>
      <c r="AG637" s="286">
        <v>45992</v>
      </c>
      <c r="AH637" s="49">
        <v>46142</v>
      </c>
      <c r="AI637" s="266">
        <v>46113</v>
      </c>
      <c r="AJ637" s="150" t="s">
        <v>648</v>
      </c>
      <c r="AK637" s="150" t="s">
        <v>294</v>
      </c>
      <c r="AL637" s="150" t="s">
        <v>295</v>
      </c>
      <c r="AM637" s="150" t="s">
        <v>2086</v>
      </c>
      <c r="AN637" s="367"/>
      <c r="AO637" s="367"/>
      <c r="AP637" s="367"/>
      <c r="AQ637" s="366"/>
      <c r="AR637" s="367"/>
      <c r="AS637" s="367"/>
      <c r="AT637" s="45">
        <v>45981</v>
      </c>
      <c r="AU637" s="45">
        <v>45947</v>
      </c>
      <c r="AV637" s="367"/>
      <c r="AW637" s="45">
        <v>45958</v>
      </c>
      <c r="AX637" s="367"/>
      <c r="AY637" s="367"/>
      <c r="AZ637" s="367"/>
      <c r="BA637" s="367"/>
      <c r="BB637" s="152" t="s">
        <v>2070</v>
      </c>
      <c r="BC637" s="152"/>
      <c r="BD637" s="367" t="s">
        <v>1605</v>
      </c>
      <c r="BE637" s="367"/>
      <c r="BF637" s="367"/>
      <c r="BG637" s="367"/>
      <c r="BH637" s="260"/>
      <c r="BI637" s="54"/>
      <c r="BJ637" s="54"/>
      <c r="BK637" s="54"/>
      <c r="BL637" s="54"/>
    </row>
    <row r="638" spans="1:64" ht="36" customHeight="1" x14ac:dyDescent="0.3">
      <c r="A638" s="367">
        <f t="shared" si="12"/>
        <v>633</v>
      </c>
      <c r="B638" s="54" t="s">
        <v>2087</v>
      </c>
      <c r="C638" s="367" t="s">
        <v>5</v>
      </c>
      <c r="D638" s="367" t="s">
        <v>2077</v>
      </c>
      <c r="E638" s="45"/>
      <c r="F638" s="45"/>
      <c r="G638" s="45"/>
      <c r="H638" s="45"/>
      <c r="I638" s="367"/>
      <c r="J638" s="54" t="s">
        <v>2066</v>
      </c>
      <c r="K638" s="48" t="s">
        <v>2067</v>
      </c>
      <c r="L638" s="367" t="s">
        <v>660</v>
      </c>
      <c r="M638" s="150"/>
      <c r="N638" s="367"/>
      <c r="O638" s="367"/>
      <c r="P638" s="311">
        <v>2</v>
      </c>
      <c r="Q638" s="367"/>
      <c r="R638" s="367"/>
      <c r="S638" s="367"/>
      <c r="T638" s="367">
        <v>22</v>
      </c>
      <c r="U638" s="367"/>
      <c r="V638" s="367"/>
      <c r="W638" s="367"/>
      <c r="X638" s="367"/>
      <c r="Y638" s="367"/>
      <c r="Z638" s="367" t="s">
        <v>127</v>
      </c>
      <c r="AA638" s="367"/>
      <c r="AB638" s="150"/>
      <c r="AC638" s="48" t="s">
        <v>2088</v>
      </c>
      <c r="AD638" s="150" t="s">
        <v>2069</v>
      </c>
      <c r="AE638" s="262"/>
      <c r="AF638" s="262"/>
      <c r="AG638" s="286">
        <v>45992</v>
      </c>
      <c r="AH638" s="49">
        <v>46142</v>
      </c>
      <c r="AI638" s="266">
        <v>46113</v>
      </c>
      <c r="AJ638" s="150" t="s">
        <v>2073</v>
      </c>
      <c r="AK638" s="150" t="s">
        <v>294</v>
      </c>
      <c r="AL638" s="150" t="s">
        <v>295</v>
      </c>
      <c r="AM638" s="150" t="s">
        <v>2086</v>
      </c>
      <c r="AN638" s="367"/>
      <c r="AO638" s="367"/>
      <c r="AP638" s="367"/>
      <c r="AQ638" s="366"/>
      <c r="AR638" s="367"/>
      <c r="AS638" s="367"/>
      <c r="AT638" s="45">
        <v>45981</v>
      </c>
      <c r="AU638" s="45">
        <v>45947</v>
      </c>
      <c r="AV638" s="367"/>
      <c r="AW638" s="45">
        <v>45958</v>
      </c>
      <c r="AX638" s="367"/>
      <c r="AY638" s="367"/>
      <c r="AZ638" s="367"/>
      <c r="BA638" s="367"/>
      <c r="BB638" s="152" t="s">
        <v>2070</v>
      </c>
      <c r="BC638" s="152"/>
      <c r="BD638" s="367" t="s">
        <v>1605</v>
      </c>
      <c r="BE638" s="367"/>
      <c r="BF638" s="367"/>
      <c r="BG638" s="367"/>
      <c r="BH638" s="260"/>
      <c r="BI638" s="54"/>
      <c r="BJ638" s="54"/>
      <c r="BK638" s="54"/>
      <c r="BL638" s="54"/>
    </row>
    <row r="639" spans="1:64" ht="36" customHeight="1" x14ac:dyDescent="0.3">
      <c r="A639" s="367">
        <f t="shared" si="12"/>
        <v>634</v>
      </c>
      <c r="B639" s="54" t="s">
        <v>2089</v>
      </c>
      <c r="C639" s="367" t="s">
        <v>5</v>
      </c>
      <c r="D639" s="367" t="s">
        <v>2090</v>
      </c>
      <c r="E639" s="45"/>
      <c r="F639" s="45"/>
      <c r="G639" s="45"/>
      <c r="H639" s="45"/>
      <c r="I639" s="367"/>
      <c r="J639" s="54" t="s">
        <v>2066</v>
      </c>
      <c r="K639" s="48" t="s">
        <v>2067</v>
      </c>
      <c r="L639" s="367" t="s">
        <v>660</v>
      </c>
      <c r="M639" s="150"/>
      <c r="N639" s="367"/>
      <c r="O639" s="367"/>
      <c r="P639" s="311">
        <v>2</v>
      </c>
      <c r="Q639" s="367"/>
      <c r="R639" s="367"/>
      <c r="S639" s="367"/>
      <c r="T639" s="367">
        <v>22</v>
      </c>
      <c r="U639" s="367"/>
      <c r="V639" s="367"/>
      <c r="W639" s="367"/>
      <c r="X639" s="367"/>
      <c r="Y639" s="367"/>
      <c r="Z639" s="367" t="s">
        <v>127</v>
      </c>
      <c r="AA639" s="367"/>
      <c r="AB639" s="150"/>
      <c r="AC639" s="48" t="s">
        <v>2091</v>
      </c>
      <c r="AD639" s="150" t="s">
        <v>2069</v>
      </c>
      <c r="AE639" s="262"/>
      <c r="AF639" s="262"/>
      <c r="AG639" s="286">
        <v>45992</v>
      </c>
      <c r="AH639" s="49">
        <v>46142</v>
      </c>
      <c r="AI639" s="266">
        <v>46113</v>
      </c>
      <c r="AJ639" s="150" t="s">
        <v>2073</v>
      </c>
      <c r="AK639" s="150" t="s">
        <v>294</v>
      </c>
      <c r="AL639" s="150" t="s">
        <v>295</v>
      </c>
      <c r="AM639" s="150" t="s">
        <v>2086</v>
      </c>
      <c r="AN639" s="367"/>
      <c r="AO639" s="367"/>
      <c r="AP639" s="367"/>
      <c r="AQ639" s="366"/>
      <c r="AR639" s="367"/>
      <c r="AS639" s="367"/>
      <c r="AT639" s="45">
        <v>45981</v>
      </c>
      <c r="AU639" s="45">
        <v>45947</v>
      </c>
      <c r="AV639" s="367"/>
      <c r="AW639" s="45">
        <v>45958</v>
      </c>
      <c r="AX639" s="367"/>
      <c r="AY639" s="367"/>
      <c r="AZ639" s="367"/>
      <c r="BA639" s="367"/>
      <c r="BB639" s="152" t="s">
        <v>2070</v>
      </c>
      <c r="BC639" s="152"/>
      <c r="BD639" s="367" t="s">
        <v>1605</v>
      </c>
      <c r="BE639" s="367"/>
      <c r="BF639" s="367"/>
      <c r="BG639" s="367"/>
      <c r="BH639" s="260"/>
      <c r="BI639" s="54"/>
      <c r="BJ639" s="54"/>
      <c r="BK639" s="54"/>
      <c r="BL639" s="54"/>
    </row>
    <row r="640" spans="1:64" ht="36" customHeight="1" x14ac:dyDescent="0.3">
      <c r="A640" s="367">
        <f t="shared" si="12"/>
        <v>635</v>
      </c>
      <c r="B640" s="54" t="s">
        <v>2092</v>
      </c>
      <c r="C640" s="367" t="s">
        <v>5</v>
      </c>
      <c r="D640" s="367" t="s">
        <v>2090</v>
      </c>
      <c r="E640" s="45">
        <v>45873</v>
      </c>
      <c r="F640" s="45">
        <v>45873</v>
      </c>
      <c r="G640" s="45"/>
      <c r="H640" s="45"/>
      <c r="I640" s="367"/>
      <c r="J640" s="54"/>
      <c r="K640" s="48"/>
      <c r="L640" s="367"/>
      <c r="M640" s="150" t="s">
        <v>120</v>
      </c>
      <c r="N640" s="367"/>
      <c r="O640" s="367"/>
      <c r="P640" s="311"/>
      <c r="Q640" s="367">
        <v>3</v>
      </c>
      <c r="R640" s="367"/>
      <c r="S640" s="367"/>
      <c r="T640" s="367">
        <v>13</v>
      </c>
      <c r="U640" s="367"/>
      <c r="V640" s="367"/>
      <c r="W640" s="367"/>
      <c r="X640" s="367"/>
      <c r="Y640" s="367"/>
      <c r="Z640" s="367"/>
      <c r="AA640" s="367"/>
      <c r="AB640" s="150"/>
      <c r="AC640" s="48" t="s">
        <v>2093</v>
      </c>
      <c r="AD640" s="150" t="s">
        <v>1612</v>
      </c>
      <c r="AE640" s="262"/>
      <c r="AF640" s="262"/>
      <c r="AG640" s="286">
        <v>45992</v>
      </c>
      <c r="AH640" s="49">
        <v>45873</v>
      </c>
      <c r="AI640" s="266">
        <v>45870</v>
      </c>
      <c r="AJ640" s="150" t="s">
        <v>131</v>
      </c>
      <c r="AK640" s="150" t="s">
        <v>1064</v>
      </c>
      <c r="AL640" s="150" t="s">
        <v>162</v>
      </c>
      <c r="AM640" s="150" t="s">
        <v>209</v>
      </c>
      <c r="AN640" s="367"/>
      <c r="AO640" s="367"/>
      <c r="AP640" s="367"/>
      <c r="AQ640" s="366"/>
      <c r="AR640" s="367"/>
      <c r="AS640" s="367"/>
      <c r="AT640" s="367"/>
      <c r="AU640" s="367"/>
      <c r="AV640" s="367"/>
      <c r="AW640" s="367"/>
      <c r="AX640" s="367"/>
      <c r="AY640" s="367"/>
      <c r="AZ640" s="367"/>
      <c r="BA640" s="367"/>
      <c r="BB640" s="152"/>
      <c r="BC640" s="152"/>
      <c r="BD640" s="367" t="s">
        <v>1605</v>
      </c>
      <c r="BE640" s="367"/>
      <c r="BF640" s="367"/>
      <c r="BG640" s="367"/>
      <c r="BH640" s="260"/>
      <c r="BI640" s="54"/>
      <c r="BJ640" s="54"/>
      <c r="BK640" s="54"/>
      <c r="BL640" s="54"/>
    </row>
    <row r="641" spans="1:64" ht="36" customHeight="1" x14ac:dyDescent="0.3">
      <c r="A641" s="367">
        <f t="shared" si="12"/>
        <v>636</v>
      </c>
      <c r="B641" s="54" t="s">
        <v>2094</v>
      </c>
      <c r="C641" s="367" t="s">
        <v>5</v>
      </c>
      <c r="D641" s="367" t="s">
        <v>2090</v>
      </c>
      <c r="E641" s="45">
        <v>45969</v>
      </c>
      <c r="F641" s="45">
        <v>45996</v>
      </c>
      <c r="G641" s="45"/>
      <c r="H641" s="45"/>
      <c r="I641" s="367"/>
      <c r="J641" s="54" t="s">
        <v>1609</v>
      </c>
      <c r="K641" s="48" t="s">
        <v>2021</v>
      </c>
      <c r="L641" s="367"/>
      <c r="M641" s="150" t="s">
        <v>65</v>
      </c>
      <c r="N641" s="367"/>
      <c r="O641" s="367"/>
      <c r="P641" s="311"/>
      <c r="Q641" s="367">
        <v>3</v>
      </c>
      <c r="R641" s="367"/>
      <c r="S641" s="367"/>
      <c r="T641" s="367">
        <v>13</v>
      </c>
      <c r="U641" s="367"/>
      <c r="V641" s="367"/>
      <c r="W641" s="367"/>
      <c r="X641" s="367"/>
      <c r="Y641" s="367"/>
      <c r="Z641" s="367" t="s">
        <v>127</v>
      </c>
      <c r="AA641" s="367"/>
      <c r="AB641" s="150"/>
      <c r="AC641" s="48" t="s">
        <v>2095</v>
      </c>
      <c r="AD641" s="150" t="s">
        <v>1612</v>
      </c>
      <c r="AE641" s="262"/>
      <c r="AF641" s="262"/>
      <c r="AG641" s="286">
        <v>45992</v>
      </c>
      <c r="AH641" s="49">
        <v>45991</v>
      </c>
      <c r="AI641" s="266">
        <v>45962</v>
      </c>
      <c r="AJ641" s="150" t="s">
        <v>131</v>
      </c>
      <c r="AK641" s="150" t="s">
        <v>1064</v>
      </c>
      <c r="AL641" s="150"/>
      <c r="AM641" s="150" t="s">
        <v>209</v>
      </c>
      <c r="AN641" s="367"/>
      <c r="AO641" s="367"/>
      <c r="AP641" s="367"/>
      <c r="AQ641" s="366"/>
      <c r="AR641" s="367"/>
      <c r="AS641" s="367"/>
      <c r="AT641" s="45">
        <v>45931</v>
      </c>
      <c r="AU641" s="45">
        <v>45891</v>
      </c>
      <c r="AV641" s="45">
        <v>45897</v>
      </c>
      <c r="AW641" s="367" t="s">
        <v>42</v>
      </c>
      <c r="AX641" s="367"/>
      <c r="AY641" s="367"/>
      <c r="AZ641" s="45">
        <v>45961</v>
      </c>
      <c r="BA641" s="45"/>
      <c r="BB641" s="152"/>
      <c r="BC641" s="152"/>
      <c r="BD641" s="367" t="s">
        <v>1605</v>
      </c>
      <c r="BE641" s="367"/>
      <c r="BF641" s="367"/>
      <c r="BG641" s="367"/>
      <c r="BH641" s="260"/>
      <c r="BI641" s="54"/>
      <c r="BJ641" s="54"/>
      <c r="BK641" s="54"/>
      <c r="BL641" s="54"/>
    </row>
    <row r="642" spans="1:64" ht="36" customHeight="1" x14ac:dyDescent="0.3">
      <c r="A642" s="367">
        <f t="shared" si="12"/>
        <v>637</v>
      </c>
      <c r="B642" s="54" t="s">
        <v>2096</v>
      </c>
      <c r="C642" s="367" t="s">
        <v>5</v>
      </c>
      <c r="D642" s="367" t="s">
        <v>2090</v>
      </c>
      <c r="E642" s="45">
        <v>45969</v>
      </c>
      <c r="F642" s="45">
        <v>45996</v>
      </c>
      <c r="G642" s="45"/>
      <c r="H642" s="45"/>
      <c r="I642" s="367"/>
      <c r="J642" s="54" t="s">
        <v>1609</v>
      </c>
      <c r="K642" s="48" t="s">
        <v>2021</v>
      </c>
      <c r="L642" s="367"/>
      <c r="M642" s="150"/>
      <c r="N642" s="367"/>
      <c r="O642" s="367"/>
      <c r="P642" s="311"/>
      <c r="Q642" s="367"/>
      <c r="R642" s="367"/>
      <c r="S642" s="367"/>
      <c r="T642" s="367"/>
      <c r="U642" s="367"/>
      <c r="V642" s="367"/>
      <c r="W642" s="367"/>
      <c r="X642" s="367"/>
      <c r="Y642" s="367"/>
      <c r="Z642" s="367"/>
      <c r="AA642" s="367"/>
      <c r="AB642" s="150"/>
      <c r="AC642" s="48" t="s">
        <v>2097</v>
      </c>
      <c r="AD642" s="150" t="s">
        <v>1459</v>
      </c>
      <c r="AE642" s="262"/>
      <c r="AF642" s="262"/>
      <c r="AG642" s="286">
        <v>45992</v>
      </c>
      <c r="AH642" s="49">
        <v>45991</v>
      </c>
      <c r="AI642" s="266">
        <v>45962</v>
      </c>
      <c r="AJ642" s="150" t="s">
        <v>131</v>
      </c>
      <c r="AK642" s="150" t="s">
        <v>1064</v>
      </c>
      <c r="AL642" s="150" t="s">
        <v>830</v>
      </c>
      <c r="AM642" s="150" t="s">
        <v>209</v>
      </c>
      <c r="AN642" s="367"/>
      <c r="AO642" s="367"/>
      <c r="AP642" s="367"/>
      <c r="AQ642" s="366"/>
      <c r="AR642" s="367"/>
      <c r="AS642" s="367"/>
      <c r="AT642" s="45">
        <v>45931</v>
      </c>
      <c r="AU642" s="45">
        <v>45891</v>
      </c>
      <c r="AV642" s="45">
        <v>45897</v>
      </c>
      <c r="AW642" s="45">
        <v>45888</v>
      </c>
      <c r="AX642" s="367"/>
      <c r="AY642" s="367"/>
      <c r="AZ642" s="45">
        <v>45961</v>
      </c>
      <c r="BA642" s="45"/>
      <c r="BB642" s="152"/>
      <c r="BC642" s="152"/>
      <c r="BD642" s="367" t="s">
        <v>1605</v>
      </c>
      <c r="BE642" s="367"/>
      <c r="BF642" s="367"/>
      <c r="BG642" s="367"/>
      <c r="BH642" s="260"/>
      <c r="BI642" s="54"/>
      <c r="BJ642" s="54"/>
      <c r="BK642" s="54"/>
      <c r="BL642" s="54"/>
    </row>
    <row r="643" spans="1:64" ht="36" customHeight="1" x14ac:dyDescent="0.3">
      <c r="A643" s="367">
        <f t="shared" si="12"/>
        <v>638</v>
      </c>
      <c r="B643" s="54" t="s">
        <v>2098</v>
      </c>
      <c r="C643" s="367" t="s">
        <v>5</v>
      </c>
      <c r="D643" s="367" t="s">
        <v>2099</v>
      </c>
      <c r="E643" s="45">
        <v>45975</v>
      </c>
      <c r="F643" s="45">
        <v>45982</v>
      </c>
      <c r="G643" s="45"/>
      <c r="H643" s="45"/>
      <c r="I643" s="367"/>
      <c r="J643" s="54" t="s">
        <v>810</v>
      </c>
      <c r="K643" s="48" t="s">
        <v>2100</v>
      </c>
      <c r="L643" s="367" t="s">
        <v>2101</v>
      </c>
      <c r="M643" s="150" t="s">
        <v>65</v>
      </c>
      <c r="N643" s="367"/>
      <c r="O643" s="367"/>
      <c r="P643" s="311"/>
      <c r="Q643" s="367"/>
      <c r="R643" s="367"/>
      <c r="S643" s="367"/>
      <c r="T643" s="367">
        <v>12</v>
      </c>
      <c r="U643" s="367"/>
      <c r="V643" s="367"/>
      <c r="W643" s="367"/>
      <c r="X643" s="367"/>
      <c r="Y643" s="367"/>
      <c r="Z643" s="367"/>
      <c r="AA643" s="367"/>
      <c r="AB643" s="150"/>
      <c r="AC643" s="48" t="s">
        <v>2102</v>
      </c>
      <c r="AD643" s="150" t="s">
        <v>1662</v>
      </c>
      <c r="AE643" s="296">
        <v>45961</v>
      </c>
      <c r="AF643" s="296"/>
      <c r="AG643" s="286">
        <v>45962</v>
      </c>
      <c r="AH643" s="49">
        <v>45945</v>
      </c>
      <c r="AI643" s="266">
        <v>45931</v>
      </c>
      <c r="AJ643" s="150" t="s">
        <v>131</v>
      </c>
      <c r="AK643" s="150" t="s">
        <v>829</v>
      </c>
      <c r="AL643" s="150" t="s">
        <v>239</v>
      </c>
      <c r="AM643" s="150" t="s">
        <v>134</v>
      </c>
      <c r="AN643" s="367"/>
      <c r="AO643" s="367"/>
      <c r="AP643" s="367"/>
      <c r="AQ643" s="366"/>
      <c r="AR643" s="367"/>
      <c r="AS643" s="367"/>
      <c r="AT643" s="45">
        <v>45925</v>
      </c>
      <c r="AU643" s="45">
        <v>45912</v>
      </c>
      <c r="AV643" s="45">
        <v>45891</v>
      </c>
      <c r="AW643" s="45">
        <v>45869</v>
      </c>
      <c r="AX643" s="367"/>
      <c r="AY643" s="367"/>
      <c r="AZ643" s="367"/>
      <c r="BA643" s="367"/>
      <c r="BB643" s="152" t="s">
        <v>2103</v>
      </c>
      <c r="BC643" s="152"/>
      <c r="BD643" s="367" t="s">
        <v>1605</v>
      </c>
      <c r="BE643" s="367"/>
      <c r="BF643" s="367"/>
      <c r="BG643" s="367"/>
      <c r="BH643" s="260"/>
      <c r="BI643" s="54"/>
      <c r="BJ643" s="54"/>
      <c r="BK643" s="54"/>
      <c r="BL643" s="54"/>
    </row>
    <row r="644" spans="1:64" ht="36" customHeight="1" x14ac:dyDescent="0.3">
      <c r="A644" s="367">
        <f t="shared" si="12"/>
        <v>639</v>
      </c>
      <c r="B644" s="54" t="s">
        <v>2104</v>
      </c>
      <c r="C644" s="367" t="s">
        <v>5</v>
      </c>
      <c r="D644" s="367" t="s">
        <v>2065</v>
      </c>
      <c r="E644" s="45">
        <v>45969</v>
      </c>
      <c r="F644" s="45">
        <v>45988</v>
      </c>
      <c r="G644" s="45"/>
      <c r="H644" s="45"/>
      <c r="I644" s="367"/>
      <c r="J644" s="54" t="s">
        <v>2105</v>
      </c>
      <c r="K644" s="48" t="s">
        <v>2106</v>
      </c>
      <c r="L644" s="367" t="s">
        <v>660</v>
      </c>
      <c r="M644" s="150" t="s">
        <v>120</v>
      </c>
      <c r="N644" s="367"/>
      <c r="O644" s="367"/>
      <c r="P644" s="311"/>
      <c r="Q644" s="367">
        <v>4</v>
      </c>
      <c r="R644" s="367"/>
      <c r="S644" s="367"/>
      <c r="T644" s="367">
        <v>10</v>
      </c>
      <c r="U644" s="367"/>
      <c r="V644" s="367"/>
      <c r="W644" s="367"/>
      <c r="X644" s="367"/>
      <c r="Y644" s="367" t="s">
        <v>2107</v>
      </c>
      <c r="Z644" s="367"/>
      <c r="AA644" s="367"/>
      <c r="AB644" s="150"/>
      <c r="AC644" s="48" t="s">
        <v>2108</v>
      </c>
      <c r="AD644" s="150" t="s">
        <v>814</v>
      </c>
      <c r="AE644" s="296">
        <v>45976</v>
      </c>
      <c r="AF644" s="296"/>
      <c r="AG644" s="286">
        <v>45962</v>
      </c>
      <c r="AH644" s="49">
        <v>45991</v>
      </c>
      <c r="AI644" s="266">
        <v>45931</v>
      </c>
      <c r="AJ644" s="150" t="s">
        <v>131</v>
      </c>
      <c r="AK644" s="150" t="s">
        <v>166</v>
      </c>
      <c r="AL644" s="150" t="s">
        <v>191</v>
      </c>
      <c r="AM644" s="150" t="s">
        <v>209</v>
      </c>
      <c r="AN644" s="367"/>
      <c r="AO644" s="367"/>
      <c r="AP644" s="367"/>
      <c r="AQ644" s="366"/>
      <c r="AR644" s="367"/>
      <c r="AS644" s="367"/>
      <c r="AT644" s="45">
        <v>45894</v>
      </c>
      <c r="AU644" s="45">
        <v>45866</v>
      </c>
      <c r="AV644" s="45">
        <v>45883</v>
      </c>
      <c r="AW644" s="45">
        <v>45861</v>
      </c>
      <c r="AX644" s="367"/>
      <c r="AY644" s="367"/>
      <c r="AZ644" s="45">
        <v>45961</v>
      </c>
      <c r="BA644" s="45"/>
      <c r="BB644" s="152" t="s">
        <v>1949</v>
      </c>
      <c r="BC644" s="152"/>
      <c r="BD644" s="367" t="s">
        <v>1605</v>
      </c>
      <c r="BE644" s="367"/>
      <c r="BF644" s="367"/>
      <c r="BG644" s="367"/>
      <c r="BH644" s="260"/>
      <c r="BI644" s="54"/>
      <c r="BJ644" s="54"/>
      <c r="BK644" s="54"/>
      <c r="BL644" s="54"/>
    </row>
    <row r="645" spans="1:64" ht="36" customHeight="1" x14ac:dyDescent="0.3">
      <c r="A645" s="367">
        <f t="shared" si="12"/>
        <v>640</v>
      </c>
      <c r="B645" s="54" t="s">
        <v>2109</v>
      </c>
      <c r="C645" s="367" t="s">
        <v>5</v>
      </c>
      <c r="D645" s="367" t="s">
        <v>2065</v>
      </c>
      <c r="E645" s="45">
        <v>45969</v>
      </c>
      <c r="F645" s="45">
        <v>45988</v>
      </c>
      <c r="G645" s="45">
        <v>46114</v>
      </c>
      <c r="H645" s="45"/>
      <c r="I645" s="367"/>
      <c r="J645" s="54" t="s">
        <v>2105</v>
      </c>
      <c r="K645" s="48" t="s">
        <v>2110</v>
      </c>
      <c r="L645" s="367" t="s">
        <v>660</v>
      </c>
      <c r="M645" s="150" t="s">
        <v>120</v>
      </c>
      <c r="N645" s="367"/>
      <c r="O645" s="367"/>
      <c r="P645" s="311"/>
      <c r="Q645" s="367">
        <v>4</v>
      </c>
      <c r="R645" s="367"/>
      <c r="S645" s="367"/>
      <c r="T645" s="367">
        <v>10</v>
      </c>
      <c r="U645" s="367"/>
      <c r="V645" s="367"/>
      <c r="W645" s="367"/>
      <c r="X645" s="367"/>
      <c r="Y645" s="367" t="s">
        <v>2107</v>
      </c>
      <c r="Z645" s="367"/>
      <c r="AA645" s="367"/>
      <c r="AB645" s="150"/>
      <c r="AC645" s="48" t="s">
        <v>2111</v>
      </c>
      <c r="AD645" s="150" t="s">
        <v>814</v>
      </c>
      <c r="AE645" s="296">
        <v>45976</v>
      </c>
      <c r="AF645" s="296"/>
      <c r="AG645" s="286">
        <v>45962</v>
      </c>
      <c r="AH645" s="49">
        <v>45991</v>
      </c>
      <c r="AI645" s="266">
        <v>45931</v>
      </c>
      <c r="AJ645" s="150" t="s">
        <v>131</v>
      </c>
      <c r="AK645" s="150" t="s">
        <v>166</v>
      </c>
      <c r="AL645" s="150" t="s">
        <v>191</v>
      </c>
      <c r="AM645" s="150" t="s">
        <v>209</v>
      </c>
      <c r="AN645" s="367"/>
      <c r="AO645" s="367"/>
      <c r="AP645" s="367"/>
      <c r="AQ645" s="366"/>
      <c r="AR645" s="367"/>
      <c r="AS645" s="367"/>
      <c r="AT645" s="45">
        <v>45894</v>
      </c>
      <c r="AU645" s="45">
        <v>45866</v>
      </c>
      <c r="AV645" s="45">
        <v>45883</v>
      </c>
      <c r="AW645" s="45">
        <v>45861</v>
      </c>
      <c r="AX645" s="367"/>
      <c r="AY645" s="367"/>
      <c r="AZ645" s="45">
        <v>45961</v>
      </c>
      <c r="BA645" s="45"/>
      <c r="BB645" s="152" t="s">
        <v>1949</v>
      </c>
      <c r="BC645" s="152"/>
      <c r="BD645" s="367" t="s">
        <v>1605</v>
      </c>
      <c r="BE645" s="367"/>
      <c r="BF645" s="367"/>
      <c r="BG645" s="367"/>
      <c r="BH645" s="260"/>
      <c r="BI645" s="54"/>
      <c r="BJ645" s="54"/>
      <c r="BK645" s="54"/>
      <c r="BL645" s="54"/>
    </row>
    <row r="646" spans="1:64" ht="36" customHeight="1" x14ac:dyDescent="0.3">
      <c r="A646" s="367">
        <f t="shared" si="12"/>
        <v>641</v>
      </c>
      <c r="B646" s="54" t="s">
        <v>2112</v>
      </c>
      <c r="C646" s="367" t="s">
        <v>5</v>
      </c>
      <c r="D646" s="367" t="s">
        <v>2113</v>
      </c>
      <c r="E646" s="45">
        <v>46007</v>
      </c>
      <c r="F646" s="45">
        <v>46010</v>
      </c>
      <c r="G646" s="45"/>
      <c r="H646" s="45"/>
      <c r="I646" s="367"/>
      <c r="J646" s="54" t="s">
        <v>2114</v>
      </c>
      <c r="K646" s="48" t="s">
        <v>2115</v>
      </c>
      <c r="L646" s="367" t="s">
        <v>660</v>
      </c>
      <c r="M646" s="150" t="s">
        <v>65</v>
      </c>
      <c r="N646" s="367"/>
      <c r="O646" s="367"/>
      <c r="P646" s="311"/>
      <c r="Q646" s="367"/>
      <c r="R646" s="367"/>
      <c r="S646" s="367"/>
      <c r="T646" s="367">
        <v>12</v>
      </c>
      <c r="U646" s="367"/>
      <c r="V646" s="367"/>
      <c r="W646" s="367"/>
      <c r="X646" s="367"/>
      <c r="Y646" s="367" t="s">
        <v>2107</v>
      </c>
      <c r="Z646" s="367"/>
      <c r="AA646" s="367"/>
      <c r="AB646" s="150"/>
      <c r="AC646" s="48" t="s">
        <v>2116</v>
      </c>
      <c r="AD646" s="150" t="s">
        <v>814</v>
      </c>
      <c r="AE646" s="296"/>
      <c r="AF646" s="296"/>
      <c r="AG646" s="286">
        <v>45962</v>
      </c>
      <c r="AH646" s="49">
        <v>45945</v>
      </c>
      <c r="AI646" s="266">
        <v>45931</v>
      </c>
      <c r="AJ646" s="150" t="s">
        <v>131</v>
      </c>
      <c r="AK646" s="150" t="s">
        <v>166</v>
      </c>
      <c r="AL646" s="150" t="s">
        <v>191</v>
      </c>
      <c r="AM646" s="150" t="s">
        <v>209</v>
      </c>
      <c r="AN646" s="367"/>
      <c r="AO646" s="367"/>
      <c r="AP646" s="367"/>
      <c r="AQ646" s="366"/>
      <c r="AR646" s="367"/>
      <c r="AS646" s="367"/>
      <c r="AT646" s="45">
        <v>45971</v>
      </c>
      <c r="AU646" s="294" t="s">
        <v>2117</v>
      </c>
      <c r="AV646" s="45">
        <v>45943</v>
      </c>
      <c r="AW646" s="45">
        <v>45861</v>
      </c>
      <c r="AX646" s="367"/>
      <c r="AY646" s="367"/>
      <c r="AZ646" s="45">
        <v>45961</v>
      </c>
      <c r="BA646" s="45"/>
      <c r="BB646" s="152" t="s">
        <v>1924</v>
      </c>
      <c r="BC646" s="152"/>
      <c r="BD646" s="367" t="s">
        <v>1605</v>
      </c>
      <c r="BE646" s="367"/>
      <c r="BF646" s="367"/>
      <c r="BG646" s="367"/>
      <c r="BH646" s="260"/>
      <c r="BI646" s="54"/>
      <c r="BJ646" s="54"/>
      <c r="BK646" s="54"/>
      <c r="BL646" s="54"/>
    </row>
    <row r="647" spans="1:64" ht="36" customHeight="1" x14ac:dyDescent="0.3">
      <c r="A647" s="367">
        <f t="shared" si="12"/>
        <v>642</v>
      </c>
      <c r="B647" s="54" t="s">
        <v>2118</v>
      </c>
      <c r="C647" s="367" t="s">
        <v>5</v>
      </c>
      <c r="D647" s="367" t="s">
        <v>2090</v>
      </c>
      <c r="E647" s="45">
        <v>46003</v>
      </c>
      <c r="F647" s="45">
        <v>46010</v>
      </c>
      <c r="G647" s="45"/>
      <c r="H647" s="45"/>
      <c r="I647" s="367"/>
      <c r="J647" s="54" t="s">
        <v>2105</v>
      </c>
      <c r="K647" s="48" t="s">
        <v>2119</v>
      </c>
      <c r="L647" s="367" t="s">
        <v>660</v>
      </c>
      <c r="M647" s="150" t="s">
        <v>120</v>
      </c>
      <c r="N647" s="367"/>
      <c r="O647" s="367"/>
      <c r="P647" s="311"/>
      <c r="Q647" s="367">
        <v>4</v>
      </c>
      <c r="R647" s="367"/>
      <c r="S647" s="367"/>
      <c r="T647" s="367">
        <v>10</v>
      </c>
      <c r="U647" s="367"/>
      <c r="V647" s="367"/>
      <c r="W647" s="367"/>
      <c r="X647" s="367"/>
      <c r="Y647" s="367" t="s">
        <v>2107</v>
      </c>
      <c r="Z647" s="367"/>
      <c r="AA647" s="367"/>
      <c r="AB647" s="150"/>
      <c r="AC647" s="48" t="s">
        <v>2120</v>
      </c>
      <c r="AD647" s="150" t="s">
        <v>819</v>
      </c>
      <c r="AE647" s="296">
        <v>45961</v>
      </c>
      <c r="AF647" s="296"/>
      <c r="AG647" s="286">
        <v>45962</v>
      </c>
      <c r="AH647" s="49">
        <v>45945</v>
      </c>
      <c r="AI647" s="266">
        <v>45931</v>
      </c>
      <c r="AJ647" s="150" t="s">
        <v>131</v>
      </c>
      <c r="AK647" s="150" t="s">
        <v>166</v>
      </c>
      <c r="AL647" s="150" t="s">
        <v>295</v>
      </c>
      <c r="AM647" s="150" t="s">
        <v>209</v>
      </c>
      <c r="AN647" s="367"/>
      <c r="AO647" s="367"/>
      <c r="AP647" s="367"/>
      <c r="AQ647" s="366"/>
      <c r="AR647" s="367"/>
      <c r="AS647" s="367"/>
      <c r="AT647" s="45">
        <v>45894</v>
      </c>
      <c r="AU647" s="45">
        <v>45866</v>
      </c>
      <c r="AV647" s="45">
        <v>45888</v>
      </c>
      <c r="AW647" s="45">
        <v>45861</v>
      </c>
      <c r="AX647" s="367"/>
      <c r="AY647" s="367"/>
      <c r="AZ647" s="45">
        <v>45961</v>
      </c>
      <c r="BA647" s="45"/>
      <c r="BB647" s="152" t="s">
        <v>2121</v>
      </c>
      <c r="BC647" s="152"/>
      <c r="BD647" s="367" t="s">
        <v>1605</v>
      </c>
      <c r="BE647" s="367"/>
      <c r="BF647" s="367"/>
      <c r="BG647" s="367"/>
      <c r="BH647" s="260"/>
      <c r="BI647" s="54"/>
      <c r="BJ647" s="54"/>
      <c r="BK647" s="54"/>
      <c r="BL647" s="54"/>
    </row>
    <row r="648" spans="1:64" ht="36" customHeight="1" x14ac:dyDescent="0.3">
      <c r="A648" s="367">
        <f t="shared" si="12"/>
        <v>643</v>
      </c>
      <c r="B648" s="54" t="s">
        <v>2122</v>
      </c>
      <c r="C648" s="367" t="s">
        <v>5</v>
      </c>
      <c r="D648" s="367" t="s">
        <v>2123</v>
      </c>
      <c r="E648" s="45">
        <v>45989</v>
      </c>
      <c r="F648" s="45">
        <v>45988</v>
      </c>
      <c r="G648" s="45">
        <v>46114</v>
      </c>
      <c r="H648" s="45"/>
      <c r="I648" s="367"/>
      <c r="J648" s="54" t="s">
        <v>2105</v>
      </c>
      <c r="K648" s="48" t="s">
        <v>2110</v>
      </c>
      <c r="L648" s="367" t="s">
        <v>660</v>
      </c>
      <c r="M648" s="150" t="s">
        <v>120</v>
      </c>
      <c r="N648" s="367"/>
      <c r="O648" s="367"/>
      <c r="P648" s="311"/>
      <c r="Q648" s="367">
        <v>4</v>
      </c>
      <c r="R648" s="367"/>
      <c r="S648" s="367"/>
      <c r="T648" s="367">
        <v>10</v>
      </c>
      <c r="U648" s="367"/>
      <c r="V648" s="367"/>
      <c r="W648" s="367"/>
      <c r="X648" s="367"/>
      <c r="Y648" s="367" t="s">
        <v>2107</v>
      </c>
      <c r="Z648" s="367"/>
      <c r="AA648" s="367"/>
      <c r="AB648" s="150"/>
      <c r="AC648" s="48" t="s">
        <v>2124</v>
      </c>
      <c r="AD648" s="150" t="s">
        <v>819</v>
      </c>
      <c r="AE648" s="296">
        <v>45961</v>
      </c>
      <c r="AF648" s="296"/>
      <c r="AG648" s="286">
        <v>45962</v>
      </c>
      <c r="AH648" s="49">
        <v>45945</v>
      </c>
      <c r="AI648" s="266">
        <v>45931</v>
      </c>
      <c r="AJ648" s="150" t="s">
        <v>131</v>
      </c>
      <c r="AK648" s="150" t="s">
        <v>166</v>
      </c>
      <c r="AL648" s="150" t="s">
        <v>295</v>
      </c>
      <c r="AM648" s="150" t="s">
        <v>209</v>
      </c>
      <c r="AN648" s="367"/>
      <c r="AO648" s="367"/>
      <c r="AP648" s="367"/>
      <c r="AQ648" s="366"/>
      <c r="AR648" s="367"/>
      <c r="AS648" s="367"/>
      <c r="AT648" s="45">
        <v>45894</v>
      </c>
      <c r="AU648" s="45">
        <v>45866</v>
      </c>
      <c r="AV648" s="45">
        <v>45888</v>
      </c>
      <c r="AW648" s="45">
        <v>45861</v>
      </c>
      <c r="AX648" s="367"/>
      <c r="AY648" s="367"/>
      <c r="AZ648" s="45">
        <v>45961</v>
      </c>
      <c r="BA648" s="45"/>
      <c r="BB648" s="152" t="s">
        <v>2121</v>
      </c>
      <c r="BC648" s="152"/>
      <c r="BD648" s="367" t="s">
        <v>1605</v>
      </c>
      <c r="BE648" s="367"/>
      <c r="BF648" s="367"/>
      <c r="BG648" s="367"/>
      <c r="BH648" s="260"/>
      <c r="BI648" s="54"/>
      <c r="BJ648" s="54"/>
      <c r="BK648" s="54"/>
      <c r="BL648" s="54"/>
    </row>
    <row r="649" spans="1:64" ht="36" customHeight="1" x14ac:dyDescent="0.3">
      <c r="A649" s="367">
        <f t="shared" si="12"/>
        <v>644</v>
      </c>
      <c r="B649" s="54" t="s">
        <v>2125</v>
      </c>
      <c r="C649" s="367" t="s">
        <v>5</v>
      </c>
      <c r="D649" s="367" t="s">
        <v>2123</v>
      </c>
      <c r="E649" s="45">
        <v>46010</v>
      </c>
      <c r="F649" s="45">
        <v>46010</v>
      </c>
      <c r="G649" s="45"/>
      <c r="H649" s="45"/>
      <c r="I649" s="367"/>
      <c r="J649" s="54" t="s">
        <v>2114</v>
      </c>
      <c r="K649" s="48" t="s">
        <v>2126</v>
      </c>
      <c r="L649" s="367" t="s">
        <v>660</v>
      </c>
      <c r="M649" s="150" t="s">
        <v>65</v>
      </c>
      <c r="N649" s="367"/>
      <c r="O649" s="367"/>
      <c r="P649" s="311"/>
      <c r="Q649" s="367"/>
      <c r="R649" s="367"/>
      <c r="S649" s="367"/>
      <c r="T649" s="367">
        <v>12</v>
      </c>
      <c r="U649" s="367"/>
      <c r="V649" s="367"/>
      <c r="W649" s="367"/>
      <c r="X649" s="367"/>
      <c r="Y649" s="367" t="s">
        <v>2107</v>
      </c>
      <c r="Z649" s="367"/>
      <c r="AA649" s="367"/>
      <c r="AB649" s="150"/>
      <c r="AC649" s="48" t="s">
        <v>2127</v>
      </c>
      <c r="AD649" s="150" t="s">
        <v>819</v>
      </c>
      <c r="AE649" s="296"/>
      <c r="AF649" s="296"/>
      <c r="AG649" s="286">
        <v>45962</v>
      </c>
      <c r="AH649" s="49">
        <v>45945</v>
      </c>
      <c r="AI649" s="266">
        <v>45931</v>
      </c>
      <c r="AJ649" s="150" t="s">
        <v>131</v>
      </c>
      <c r="AK649" s="150" t="s">
        <v>166</v>
      </c>
      <c r="AL649" s="150" t="s">
        <v>295</v>
      </c>
      <c r="AM649" s="150" t="s">
        <v>209</v>
      </c>
      <c r="AN649" s="367"/>
      <c r="AO649" s="367"/>
      <c r="AP649" s="367"/>
      <c r="AQ649" s="366"/>
      <c r="AR649" s="367"/>
      <c r="AS649" s="367"/>
      <c r="AT649" s="45">
        <v>45894</v>
      </c>
      <c r="AU649" s="294" t="s">
        <v>2117</v>
      </c>
      <c r="AV649" s="45">
        <v>45943</v>
      </c>
      <c r="AW649" s="45">
        <v>45861</v>
      </c>
      <c r="AX649" s="367"/>
      <c r="AY649" s="367"/>
      <c r="AZ649" s="45">
        <v>45961</v>
      </c>
      <c r="BA649" s="45"/>
      <c r="BB649" s="152" t="s">
        <v>1924</v>
      </c>
      <c r="BC649" s="152"/>
      <c r="BD649" s="367" t="s">
        <v>1605</v>
      </c>
      <c r="BE649" s="367"/>
      <c r="BF649" s="367"/>
      <c r="BG649" s="367"/>
      <c r="BH649" s="260"/>
      <c r="BI649" s="54"/>
      <c r="BJ649" s="54"/>
      <c r="BK649" s="54"/>
      <c r="BL649" s="54"/>
    </row>
    <row r="650" spans="1:64" ht="36" customHeight="1" x14ac:dyDescent="0.3">
      <c r="A650" s="367">
        <f t="shared" si="12"/>
        <v>645</v>
      </c>
      <c r="B650" s="54" t="s">
        <v>2128</v>
      </c>
      <c r="C650" s="367" t="s">
        <v>5</v>
      </c>
      <c r="D650" s="367" t="s">
        <v>2099</v>
      </c>
      <c r="E650" s="45">
        <v>46020</v>
      </c>
      <c r="F650" s="45">
        <v>46034</v>
      </c>
      <c r="G650" s="45"/>
      <c r="H650" s="45"/>
      <c r="I650" s="367"/>
      <c r="J650" s="54" t="s">
        <v>2129</v>
      </c>
      <c r="K650" s="48" t="s">
        <v>1957</v>
      </c>
      <c r="L650" s="367" t="s">
        <v>660</v>
      </c>
      <c r="M650" s="150" t="s">
        <v>120</v>
      </c>
      <c r="N650" s="367"/>
      <c r="O650" s="367"/>
      <c r="P650" s="311"/>
      <c r="Q650" s="367">
        <v>0.7</v>
      </c>
      <c r="R650" s="367"/>
      <c r="S650" s="367"/>
      <c r="T650" s="367">
        <v>48</v>
      </c>
      <c r="U650" s="367"/>
      <c r="V650" s="367"/>
      <c r="W650" s="367"/>
      <c r="X650" s="367"/>
      <c r="Y650" s="367"/>
      <c r="Z650" s="367"/>
      <c r="AA650" s="367"/>
      <c r="AB650" s="150" t="s">
        <v>866</v>
      </c>
      <c r="AC650" s="48" t="s">
        <v>2130</v>
      </c>
      <c r="AD650" s="150" t="s">
        <v>1079</v>
      </c>
      <c r="AE650" s="262"/>
      <c r="AF650" s="262"/>
      <c r="AG650" s="286">
        <v>45931</v>
      </c>
      <c r="AH650" s="49">
        <v>45950</v>
      </c>
      <c r="AI650" s="266">
        <v>45931</v>
      </c>
      <c r="AJ650" s="150" t="s">
        <v>131</v>
      </c>
      <c r="AK650" s="150" t="s">
        <v>1060</v>
      </c>
      <c r="AL650" s="150" t="s">
        <v>162</v>
      </c>
      <c r="AM650" s="150" t="s">
        <v>134</v>
      </c>
      <c r="AN650" s="367"/>
      <c r="AO650" s="367"/>
      <c r="AP650" s="367"/>
      <c r="AQ650" s="366"/>
      <c r="AR650" s="367"/>
      <c r="AS650" s="367"/>
      <c r="AT650" s="45">
        <v>45991</v>
      </c>
      <c r="AU650" s="367"/>
      <c r="AV650" s="367"/>
      <c r="AW650" s="45">
        <v>45965</v>
      </c>
      <c r="AX650" s="367"/>
      <c r="AY650" s="367"/>
      <c r="AZ650" s="367"/>
      <c r="BA650" s="367"/>
      <c r="BB650" s="152"/>
      <c r="BC650" s="152"/>
      <c r="BD650" s="367" t="s">
        <v>1605</v>
      </c>
      <c r="BE650" s="367"/>
      <c r="BF650" s="367"/>
      <c r="BG650" s="367"/>
      <c r="BH650" s="260"/>
      <c r="BI650" s="54"/>
      <c r="BJ650" s="54"/>
      <c r="BK650" s="54"/>
      <c r="BL650" s="54"/>
    </row>
    <row r="651" spans="1:64" ht="36" customHeight="1" x14ac:dyDescent="0.3">
      <c r="A651" s="367">
        <f t="shared" si="12"/>
        <v>646</v>
      </c>
      <c r="B651" s="54" t="s">
        <v>2131</v>
      </c>
      <c r="C651" s="367" t="s">
        <v>5</v>
      </c>
      <c r="D651" s="367" t="s">
        <v>2099</v>
      </c>
      <c r="E651" s="45">
        <v>46020</v>
      </c>
      <c r="F651" s="45">
        <v>46034</v>
      </c>
      <c r="G651" s="45"/>
      <c r="H651" s="45"/>
      <c r="I651" s="367"/>
      <c r="J651" s="54" t="s">
        <v>2129</v>
      </c>
      <c r="K651" s="48" t="s">
        <v>1969</v>
      </c>
      <c r="L651" s="367" t="s">
        <v>660</v>
      </c>
      <c r="M651" s="150" t="s">
        <v>65</v>
      </c>
      <c r="N651" s="367"/>
      <c r="O651" s="367"/>
      <c r="P651" s="311"/>
      <c r="Q651" s="367">
        <v>0.7</v>
      </c>
      <c r="R651" s="367"/>
      <c r="S651" s="367"/>
      <c r="T651" s="367">
        <v>48</v>
      </c>
      <c r="U651" s="367"/>
      <c r="V651" s="367"/>
      <c r="W651" s="367"/>
      <c r="X651" s="367"/>
      <c r="Y651" s="367"/>
      <c r="Z651" s="367"/>
      <c r="AA651" s="367"/>
      <c r="AB651" s="150" t="s">
        <v>866</v>
      </c>
      <c r="AC651" s="48" t="s">
        <v>2132</v>
      </c>
      <c r="AD651" s="150" t="s">
        <v>1079</v>
      </c>
      <c r="AE651" s="262"/>
      <c r="AF651" s="262"/>
      <c r="AG651" s="286">
        <v>45931</v>
      </c>
      <c r="AH651" s="49">
        <v>45950</v>
      </c>
      <c r="AI651" s="266">
        <v>45931</v>
      </c>
      <c r="AJ651" s="150" t="s">
        <v>131</v>
      </c>
      <c r="AK651" s="150" t="s">
        <v>1060</v>
      </c>
      <c r="AL651" s="150" t="s">
        <v>162</v>
      </c>
      <c r="AM651" s="150" t="s">
        <v>134</v>
      </c>
      <c r="AN651" s="367"/>
      <c r="AO651" s="367"/>
      <c r="AP651" s="367"/>
      <c r="AQ651" s="366"/>
      <c r="AR651" s="367"/>
      <c r="AS651" s="367"/>
      <c r="AT651" s="45">
        <v>45991</v>
      </c>
      <c r="AU651" s="367"/>
      <c r="AV651" s="367"/>
      <c r="AW651" s="45">
        <v>45965</v>
      </c>
      <c r="AX651" s="367"/>
      <c r="AY651" s="367"/>
      <c r="AZ651" s="367"/>
      <c r="BA651" s="367"/>
      <c r="BB651" s="152"/>
      <c r="BC651" s="152"/>
      <c r="BD651" s="367" t="s">
        <v>1605</v>
      </c>
      <c r="BE651" s="367"/>
      <c r="BF651" s="367"/>
      <c r="BG651" s="367"/>
      <c r="BH651" s="260"/>
      <c r="BI651" s="54"/>
      <c r="BJ651" s="54"/>
      <c r="BK651" s="54"/>
      <c r="BL651" s="54"/>
    </row>
    <row r="652" spans="1:64" ht="36" customHeight="1" x14ac:dyDescent="0.3">
      <c r="A652" s="367">
        <f t="shared" si="12"/>
        <v>647</v>
      </c>
      <c r="B652" s="54" t="s">
        <v>2133</v>
      </c>
      <c r="C652" s="367" t="s">
        <v>5</v>
      </c>
      <c r="D652" s="367" t="s">
        <v>2099</v>
      </c>
      <c r="E652" s="45">
        <v>46020</v>
      </c>
      <c r="F652" s="45">
        <v>46034</v>
      </c>
      <c r="G652" s="45"/>
      <c r="H652" s="45"/>
      <c r="I652" s="367"/>
      <c r="J652" s="54" t="s">
        <v>2129</v>
      </c>
      <c r="K652" s="48" t="s">
        <v>1966</v>
      </c>
      <c r="L652" s="367" t="s">
        <v>660</v>
      </c>
      <c r="M652" s="150" t="s">
        <v>65</v>
      </c>
      <c r="N652" s="367"/>
      <c r="O652" s="367"/>
      <c r="P652" s="311"/>
      <c r="Q652" s="367">
        <v>0.8</v>
      </c>
      <c r="R652" s="367"/>
      <c r="S652" s="367"/>
      <c r="T652" s="367">
        <v>39</v>
      </c>
      <c r="U652" s="367"/>
      <c r="V652" s="367"/>
      <c r="W652" s="367"/>
      <c r="X652" s="367"/>
      <c r="Y652" s="367"/>
      <c r="Z652" s="367"/>
      <c r="AA652" s="367"/>
      <c r="AB652" s="150" t="s">
        <v>866</v>
      </c>
      <c r="AC652" s="48" t="s">
        <v>2134</v>
      </c>
      <c r="AD652" s="150" t="s">
        <v>1079</v>
      </c>
      <c r="AE652" s="262"/>
      <c r="AF652" s="262"/>
      <c r="AG652" s="286">
        <v>45931</v>
      </c>
      <c r="AH652" s="49">
        <v>45950</v>
      </c>
      <c r="AI652" s="266">
        <v>45931</v>
      </c>
      <c r="AJ652" s="150" t="s">
        <v>131</v>
      </c>
      <c r="AK652" s="150" t="s">
        <v>1060</v>
      </c>
      <c r="AL652" s="150" t="s">
        <v>162</v>
      </c>
      <c r="AM652" s="150" t="s">
        <v>134</v>
      </c>
      <c r="AN652" s="367"/>
      <c r="AO652" s="367"/>
      <c r="AP652" s="367"/>
      <c r="AQ652" s="366"/>
      <c r="AR652" s="367"/>
      <c r="AS652" s="367"/>
      <c r="AT652" s="45">
        <v>45991</v>
      </c>
      <c r="AU652" s="367"/>
      <c r="AV652" s="367"/>
      <c r="AW652" s="45">
        <v>45965</v>
      </c>
      <c r="AX652" s="367"/>
      <c r="AY652" s="367"/>
      <c r="AZ652" s="367"/>
      <c r="BA652" s="367"/>
      <c r="BB652" s="152"/>
      <c r="BC652" s="152"/>
      <c r="BD652" s="367" t="s">
        <v>1605</v>
      </c>
      <c r="BE652" s="367"/>
      <c r="BF652" s="367"/>
      <c r="BG652" s="367"/>
      <c r="BH652" s="260"/>
      <c r="BI652" s="54"/>
      <c r="BJ652" s="54"/>
      <c r="BK652" s="54"/>
      <c r="BL652" s="54"/>
    </row>
    <row r="653" spans="1:64" ht="36" customHeight="1" x14ac:dyDescent="0.3">
      <c r="A653" s="367">
        <f t="shared" si="12"/>
        <v>648</v>
      </c>
      <c r="B653" s="54" t="s">
        <v>2135</v>
      </c>
      <c r="C653" s="367" t="s">
        <v>0</v>
      </c>
      <c r="D653" s="367" t="s">
        <v>2136</v>
      </c>
      <c r="E653" s="45">
        <v>45960</v>
      </c>
      <c r="F653" s="45">
        <v>45960</v>
      </c>
      <c r="G653" s="367"/>
      <c r="H653" s="367"/>
      <c r="I653" s="367"/>
      <c r="J653" s="54" t="s">
        <v>42</v>
      </c>
      <c r="K653" s="48" t="s">
        <v>187</v>
      </c>
      <c r="L653" s="367" t="s">
        <v>42</v>
      </c>
      <c r="M653" s="150" t="s">
        <v>42</v>
      </c>
      <c r="N653" s="367"/>
      <c r="O653" s="367"/>
      <c r="P653" s="311"/>
      <c r="Q653" s="367"/>
      <c r="R653" s="367"/>
      <c r="S653" s="367"/>
      <c r="T653" s="367"/>
      <c r="U653" s="367"/>
      <c r="V653" s="367"/>
      <c r="W653" s="367"/>
      <c r="X653" s="367"/>
      <c r="Y653" s="367"/>
      <c r="Z653" s="367"/>
      <c r="AA653" s="367"/>
      <c r="AB653" s="150"/>
      <c r="AC653" s="48" t="s">
        <v>2137</v>
      </c>
      <c r="AD653" s="150" t="s">
        <v>189</v>
      </c>
      <c r="AE653" s="262"/>
      <c r="AF653" s="262"/>
      <c r="AG653" s="286">
        <v>45940</v>
      </c>
      <c r="AH653" s="49">
        <v>45960</v>
      </c>
      <c r="AI653" s="266">
        <v>45901</v>
      </c>
      <c r="AJ653" s="150" t="s">
        <v>131</v>
      </c>
      <c r="AK653" s="150" t="s">
        <v>1640</v>
      </c>
      <c r="AL653" s="150" t="s">
        <v>239</v>
      </c>
      <c r="AM653" s="150" t="s">
        <v>134</v>
      </c>
      <c r="AN653" s="367"/>
      <c r="AO653" s="367"/>
      <c r="AP653" s="367"/>
      <c r="AQ653" s="366"/>
      <c r="AR653" s="367"/>
      <c r="AS653" s="367"/>
      <c r="AT653" s="45">
        <v>45899</v>
      </c>
      <c r="AU653" s="45">
        <v>45873</v>
      </c>
      <c r="AV653" s="45">
        <v>45883</v>
      </c>
      <c r="AW653" s="45">
        <v>45869</v>
      </c>
      <c r="AX653" s="367"/>
      <c r="AY653" s="367"/>
      <c r="AZ653" s="367"/>
      <c r="BA653" s="367"/>
      <c r="BB653" s="152" t="s">
        <v>2138</v>
      </c>
      <c r="BC653" s="152"/>
      <c r="BD653" s="367"/>
      <c r="BE653" s="367"/>
      <c r="BF653" s="367"/>
      <c r="BG653" s="367"/>
      <c r="BH653" s="260"/>
      <c r="BI653" s="54"/>
      <c r="BJ653" s="54"/>
      <c r="BK653" s="54"/>
      <c r="BL653" s="54"/>
    </row>
    <row r="654" spans="1:64" ht="36" customHeight="1" x14ac:dyDescent="0.3">
      <c r="A654" s="367">
        <f t="shared" si="12"/>
        <v>649</v>
      </c>
      <c r="B654" s="54" t="s">
        <v>2139</v>
      </c>
      <c r="C654" s="367" t="s">
        <v>0</v>
      </c>
      <c r="D654" s="367" t="s">
        <v>2140</v>
      </c>
      <c r="E654" s="45">
        <v>46150</v>
      </c>
      <c r="F654" s="45">
        <v>46195</v>
      </c>
      <c r="G654" s="367"/>
      <c r="H654" s="367"/>
      <c r="I654" s="367"/>
      <c r="J654" s="54" t="s">
        <v>212</v>
      </c>
      <c r="K654" s="48" t="s">
        <v>2141</v>
      </c>
      <c r="L654" s="367" t="s">
        <v>2142</v>
      </c>
      <c r="M654" s="150" t="s">
        <v>120</v>
      </c>
      <c r="N654" s="150" t="s">
        <v>2143</v>
      </c>
      <c r="O654" s="367"/>
      <c r="P654" s="311">
        <v>2</v>
      </c>
      <c r="Q654" s="367">
        <v>5</v>
      </c>
      <c r="R654" s="367"/>
      <c r="S654" s="367">
        <v>100</v>
      </c>
      <c r="T654" s="367">
        <v>12</v>
      </c>
      <c r="U654" s="367"/>
      <c r="V654" s="367"/>
      <c r="W654" s="367"/>
      <c r="X654" s="367" t="s">
        <v>142</v>
      </c>
      <c r="Y654" s="367"/>
      <c r="Z654" s="367" t="s">
        <v>127</v>
      </c>
      <c r="AA654" s="367" t="s">
        <v>214</v>
      </c>
      <c r="AB654" s="150" t="s">
        <v>215</v>
      </c>
      <c r="AC654" s="48" t="s">
        <v>2144</v>
      </c>
      <c r="AD654" s="150" t="s">
        <v>145</v>
      </c>
      <c r="AE654" s="262"/>
      <c r="AF654" s="262"/>
      <c r="AG654" s="286">
        <v>46106</v>
      </c>
      <c r="AH654" s="49">
        <v>46143</v>
      </c>
      <c r="AI654" s="266">
        <v>46113</v>
      </c>
      <c r="AJ654" s="150" t="s">
        <v>330</v>
      </c>
      <c r="AK654" s="150" t="s">
        <v>1064</v>
      </c>
      <c r="AL654" s="150" t="s">
        <v>1559</v>
      </c>
      <c r="AM654" s="150" t="s">
        <v>134</v>
      </c>
      <c r="AN654" s="367"/>
      <c r="AO654" s="367"/>
      <c r="AP654" s="367"/>
      <c r="AQ654" s="366"/>
      <c r="AR654" s="367"/>
      <c r="AS654" s="367"/>
      <c r="AT654" s="45">
        <v>46086</v>
      </c>
      <c r="AU654" s="45">
        <v>46055</v>
      </c>
      <c r="AV654" s="45">
        <v>46062</v>
      </c>
      <c r="AW654" s="45">
        <v>45888</v>
      </c>
      <c r="AX654" s="367"/>
      <c r="AY654" s="367"/>
      <c r="AZ654" s="367"/>
      <c r="BA654" s="367"/>
      <c r="BB654" s="152" t="s">
        <v>2145</v>
      </c>
      <c r="BC654" s="152"/>
      <c r="BD654" s="367"/>
      <c r="BE654" s="367"/>
      <c r="BF654" s="367"/>
      <c r="BG654" s="367"/>
      <c r="BH654" s="260"/>
      <c r="BI654" s="54"/>
      <c r="BJ654" s="54"/>
      <c r="BK654" s="54"/>
      <c r="BL654" s="54"/>
    </row>
    <row r="655" spans="1:64" ht="36" customHeight="1" x14ac:dyDescent="0.3">
      <c r="A655" s="367">
        <f t="shared" si="12"/>
        <v>650</v>
      </c>
      <c r="B655" s="54" t="s">
        <v>2146</v>
      </c>
      <c r="C655" s="367" t="s">
        <v>0</v>
      </c>
      <c r="D655" s="367" t="s">
        <v>2147</v>
      </c>
      <c r="E655" s="45">
        <v>46150</v>
      </c>
      <c r="F655" s="45">
        <v>46195</v>
      </c>
      <c r="G655" s="367"/>
      <c r="H655" s="367"/>
      <c r="I655" s="367"/>
      <c r="J655" s="54" t="s">
        <v>212</v>
      </c>
      <c r="K655" s="48" t="s">
        <v>268</v>
      </c>
      <c r="L655" s="367" t="s">
        <v>2142</v>
      </c>
      <c r="M655" s="150" t="s">
        <v>65</v>
      </c>
      <c r="N655" s="150" t="s">
        <v>2143</v>
      </c>
      <c r="O655" s="367"/>
      <c r="P655" s="311">
        <v>2</v>
      </c>
      <c r="Q655" s="367">
        <v>5</v>
      </c>
      <c r="R655" s="367"/>
      <c r="S655" s="367">
        <v>100</v>
      </c>
      <c r="T655" s="367">
        <v>12</v>
      </c>
      <c r="U655" s="367"/>
      <c r="V655" s="367"/>
      <c r="W655" s="367"/>
      <c r="X655" s="367" t="s">
        <v>142</v>
      </c>
      <c r="Y655" s="367"/>
      <c r="Z655" s="367" t="s">
        <v>127</v>
      </c>
      <c r="AA655" s="367" t="s">
        <v>214</v>
      </c>
      <c r="AB655" s="150" t="s">
        <v>215</v>
      </c>
      <c r="AC655" s="48" t="s">
        <v>2148</v>
      </c>
      <c r="AD655" s="150" t="s">
        <v>145</v>
      </c>
      <c r="AE655" s="262"/>
      <c r="AF655" s="262"/>
      <c r="AG655" s="286">
        <v>46106</v>
      </c>
      <c r="AH655" s="49">
        <v>46143</v>
      </c>
      <c r="AI655" s="266">
        <v>46113</v>
      </c>
      <c r="AJ655" s="150" t="s">
        <v>330</v>
      </c>
      <c r="AK655" s="150" t="s">
        <v>1064</v>
      </c>
      <c r="AL655" s="150" t="s">
        <v>1559</v>
      </c>
      <c r="AM655" s="150" t="s">
        <v>134</v>
      </c>
      <c r="AN655" s="367"/>
      <c r="AO655" s="367"/>
      <c r="AP655" s="367"/>
      <c r="AQ655" s="366"/>
      <c r="AR655" s="367"/>
      <c r="AS655" s="367"/>
      <c r="AT655" s="45">
        <v>46086</v>
      </c>
      <c r="AU655" s="45">
        <v>46055</v>
      </c>
      <c r="AV655" s="45">
        <v>46062</v>
      </c>
      <c r="AW655" s="45">
        <v>45888</v>
      </c>
      <c r="AX655" s="367"/>
      <c r="AY655" s="367"/>
      <c r="AZ655" s="367"/>
      <c r="BA655" s="367"/>
      <c r="BB655" s="152" t="s">
        <v>2145</v>
      </c>
      <c r="BC655" s="152"/>
      <c r="BD655" s="367"/>
      <c r="BE655" s="367"/>
      <c r="BF655" s="367"/>
      <c r="BG655" s="367"/>
      <c r="BH655" s="260"/>
      <c r="BI655" s="54"/>
      <c r="BJ655" s="54"/>
      <c r="BK655" s="54"/>
      <c r="BL655" s="54"/>
    </row>
    <row r="656" spans="1:64" ht="36" customHeight="1" x14ac:dyDescent="0.3">
      <c r="A656" s="367">
        <f t="shared" si="12"/>
        <v>651</v>
      </c>
      <c r="B656" s="54" t="s">
        <v>42</v>
      </c>
      <c r="C656" s="367" t="s">
        <v>0</v>
      </c>
      <c r="D656" s="367" t="s">
        <v>2149</v>
      </c>
      <c r="E656" s="367"/>
      <c r="F656" s="367"/>
      <c r="G656" s="367"/>
      <c r="H656" s="367"/>
      <c r="I656" s="367"/>
      <c r="J656" s="54" t="s">
        <v>2150</v>
      </c>
      <c r="K656" s="48"/>
      <c r="L656" s="367" t="s">
        <v>2151</v>
      </c>
      <c r="M656" s="150" t="s">
        <v>65</v>
      </c>
      <c r="N656" s="367"/>
      <c r="O656" s="367" t="s">
        <v>127</v>
      </c>
      <c r="P656" s="311"/>
      <c r="Q656" s="367"/>
      <c r="R656" s="367"/>
      <c r="S656" s="367"/>
      <c r="T656" s="367">
        <v>11.8</v>
      </c>
      <c r="U656" s="367"/>
      <c r="V656" s="367"/>
      <c r="W656" s="367"/>
      <c r="X656" s="367"/>
      <c r="Y656" s="367" t="s">
        <v>127</v>
      </c>
      <c r="Z656" s="367"/>
      <c r="AA656" s="367" t="s">
        <v>214</v>
      </c>
      <c r="AB656" s="150" t="s">
        <v>215</v>
      </c>
      <c r="AC656" s="48" t="s">
        <v>2152</v>
      </c>
      <c r="AD656" s="150" t="s">
        <v>284</v>
      </c>
      <c r="AE656" s="262"/>
      <c r="AF656" s="262"/>
      <c r="AG656" s="286"/>
      <c r="AH656" s="49">
        <v>45875</v>
      </c>
      <c r="AI656" s="266"/>
      <c r="AJ656" s="150" t="s">
        <v>330</v>
      </c>
      <c r="AK656" s="150" t="s">
        <v>200</v>
      </c>
      <c r="AL656" s="150" t="s">
        <v>154</v>
      </c>
      <c r="AM656" s="150" t="s">
        <v>134</v>
      </c>
      <c r="AN656" s="367"/>
      <c r="AO656" s="367"/>
      <c r="AP656" s="367"/>
      <c r="AQ656" s="366"/>
      <c r="AR656" s="367"/>
      <c r="AS656" s="367"/>
      <c r="AT656" s="367"/>
      <c r="AU656" s="367"/>
      <c r="AV656" s="367"/>
      <c r="AW656" s="367"/>
      <c r="AX656" s="367"/>
      <c r="AY656" s="367"/>
      <c r="AZ656" s="367"/>
      <c r="BA656" s="367"/>
      <c r="BB656" s="152"/>
      <c r="BC656" s="152"/>
      <c r="BD656" s="367"/>
      <c r="BE656" s="367"/>
      <c r="BF656" s="367"/>
      <c r="BG656" s="367"/>
      <c r="BH656" s="260"/>
      <c r="BI656" s="54"/>
      <c r="BJ656" s="54"/>
      <c r="BK656" s="54"/>
      <c r="BL656" s="54"/>
    </row>
    <row r="657" spans="1:64" ht="36" customHeight="1" x14ac:dyDescent="0.3">
      <c r="A657" s="367">
        <f t="shared" si="12"/>
        <v>652</v>
      </c>
      <c r="B657" s="54" t="s">
        <v>2153</v>
      </c>
      <c r="C657" s="367" t="s">
        <v>6</v>
      </c>
      <c r="D657" s="367" t="s">
        <v>2154</v>
      </c>
      <c r="E657" s="367"/>
      <c r="F657" s="367"/>
      <c r="G657" s="367"/>
      <c r="H657" s="367"/>
      <c r="I657" s="367"/>
      <c r="J657" s="54" t="s">
        <v>6</v>
      </c>
      <c r="K657" s="48" t="s">
        <v>2155</v>
      </c>
      <c r="L657" s="367" t="s">
        <v>660</v>
      </c>
      <c r="M657" s="150" t="s">
        <v>120</v>
      </c>
      <c r="N657" s="150" t="s">
        <v>2156</v>
      </c>
      <c r="O657" s="367" t="s">
        <v>1073</v>
      </c>
      <c r="P657" s="367"/>
      <c r="Q657" s="367">
        <v>3.2</v>
      </c>
      <c r="R657" s="367"/>
      <c r="S657" s="367">
        <v>100</v>
      </c>
      <c r="T657" s="367">
        <v>6</v>
      </c>
      <c r="U657" s="367"/>
      <c r="V657" s="367"/>
      <c r="W657" s="367"/>
      <c r="X657" s="367"/>
      <c r="Y657" s="367"/>
      <c r="Z657" s="367"/>
      <c r="AA657" s="367"/>
      <c r="AB657" s="150"/>
      <c r="AC657" s="48"/>
      <c r="AD657" s="150" t="s">
        <v>1121</v>
      </c>
      <c r="AE657" s="262"/>
      <c r="AF657" s="262"/>
      <c r="AG657" s="286">
        <v>45986</v>
      </c>
      <c r="AH657" s="49">
        <v>45960</v>
      </c>
      <c r="AI657" s="266">
        <v>45931</v>
      </c>
      <c r="AJ657" s="150" t="s">
        <v>264</v>
      </c>
      <c r="AK657" s="150" t="s">
        <v>1064</v>
      </c>
      <c r="AL657" s="150" t="s">
        <v>830</v>
      </c>
      <c r="AM657" s="150" t="s">
        <v>209</v>
      </c>
      <c r="AN657" s="367"/>
      <c r="AO657" s="367"/>
      <c r="AP657" s="367"/>
      <c r="AQ657" s="366"/>
      <c r="AR657" s="367"/>
      <c r="AS657" s="367"/>
      <c r="AT657" s="45">
        <v>45930</v>
      </c>
      <c r="AU657" s="367"/>
      <c r="AV657" s="367"/>
      <c r="AW657" s="45">
        <v>45881</v>
      </c>
      <c r="AX657" s="367"/>
      <c r="AY657" s="367"/>
      <c r="AZ657" s="367"/>
      <c r="BA657" s="367"/>
      <c r="BB657" s="152" t="s">
        <v>2157</v>
      </c>
      <c r="BC657" s="152"/>
      <c r="BD657" s="329" t="s">
        <v>816</v>
      </c>
      <c r="BE657" s="367"/>
      <c r="BF657" s="367"/>
      <c r="BG657" s="367"/>
      <c r="BH657" s="260"/>
      <c r="BI657" s="54"/>
      <c r="BJ657" s="54"/>
      <c r="BK657" s="54"/>
      <c r="BL657" s="54"/>
    </row>
    <row r="658" spans="1:64" ht="36" customHeight="1" x14ac:dyDescent="0.3">
      <c r="A658" s="367">
        <f t="shared" si="12"/>
        <v>653</v>
      </c>
      <c r="B658" s="54" t="s">
        <v>2158</v>
      </c>
      <c r="C658" s="367" t="s">
        <v>5</v>
      </c>
      <c r="D658" s="367" t="s">
        <v>262</v>
      </c>
      <c r="E658" s="45">
        <v>45886</v>
      </c>
      <c r="F658" s="45"/>
      <c r="G658" s="45"/>
      <c r="H658" s="45"/>
      <c r="I658" s="367"/>
      <c r="J658" s="54" t="s">
        <v>810</v>
      </c>
      <c r="K658" s="48" t="s">
        <v>2159</v>
      </c>
      <c r="L658" s="367" t="s">
        <v>660</v>
      </c>
      <c r="M658" s="150" t="s">
        <v>120</v>
      </c>
      <c r="N658" s="367"/>
      <c r="O658" s="367"/>
      <c r="P658" s="311"/>
      <c r="Q658" s="367"/>
      <c r="R658" s="367"/>
      <c r="S658" s="367"/>
      <c r="T658" s="367"/>
      <c r="U658" s="367"/>
      <c r="V658" s="367"/>
      <c r="W658" s="367"/>
      <c r="X658" s="367"/>
      <c r="Y658" s="367"/>
      <c r="Z658" s="367"/>
      <c r="AA658" s="367"/>
      <c r="AB658" s="150"/>
      <c r="AC658" s="48" t="s">
        <v>2160</v>
      </c>
      <c r="AD658" s="150" t="s">
        <v>169</v>
      </c>
      <c r="AE658" s="262"/>
      <c r="AF658" s="262"/>
      <c r="AG658" s="286">
        <v>46042</v>
      </c>
      <c r="AH658" s="49">
        <v>46042</v>
      </c>
      <c r="AI658" s="266">
        <v>46023</v>
      </c>
      <c r="AJ658" s="150" t="s">
        <v>131</v>
      </c>
      <c r="AK658" s="150" t="s">
        <v>166</v>
      </c>
      <c r="AL658" s="150"/>
      <c r="AM658" s="150" t="s">
        <v>134</v>
      </c>
      <c r="AN658" s="367"/>
      <c r="AO658" s="367"/>
      <c r="AP658" s="367"/>
      <c r="AQ658" s="366"/>
      <c r="AR658" s="367"/>
      <c r="AS658" s="367"/>
      <c r="AT658" s="367"/>
      <c r="AU658" s="367"/>
      <c r="AV658" s="367"/>
      <c r="AW658" s="367"/>
      <c r="AX658" s="367"/>
      <c r="AY658" s="367"/>
      <c r="AZ658" s="367"/>
      <c r="BA658" s="367"/>
      <c r="BB658" s="152"/>
      <c r="BC658" s="152"/>
      <c r="BD658" s="367" t="s">
        <v>1605</v>
      </c>
      <c r="BE658" s="367"/>
      <c r="BF658" s="367"/>
      <c r="BG658" s="367"/>
      <c r="BH658" s="260"/>
      <c r="BI658" s="54"/>
      <c r="BJ658" s="54"/>
      <c r="BK658" s="54"/>
      <c r="BL658" s="54"/>
    </row>
    <row r="659" spans="1:64" ht="36" customHeight="1" x14ac:dyDescent="0.3">
      <c r="A659" s="367">
        <f t="shared" si="12"/>
        <v>654</v>
      </c>
      <c r="B659" s="54" t="s">
        <v>2161</v>
      </c>
      <c r="C659" s="367" t="s">
        <v>5</v>
      </c>
      <c r="D659" s="367" t="s">
        <v>262</v>
      </c>
      <c r="E659" s="45">
        <v>45886</v>
      </c>
      <c r="F659" s="45"/>
      <c r="G659" s="45"/>
      <c r="H659" s="45"/>
      <c r="I659" s="367"/>
      <c r="J659" s="54" t="s">
        <v>644</v>
      </c>
      <c r="K659" s="48" t="s">
        <v>882</v>
      </c>
      <c r="L659" s="367" t="s">
        <v>660</v>
      </c>
      <c r="M659" s="150" t="s">
        <v>120</v>
      </c>
      <c r="N659" s="367"/>
      <c r="O659" s="367"/>
      <c r="P659" s="311"/>
      <c r="Q659" s="367"/>
      <c r="R659" s="367"/>
      <c r="S659" s="367"/>
      <c r="T659" s="367"/>
      <c r="U659" s="367"/>
      <c r="V659" s="367"/>
      <c r="W659" s="367"/>
      <c r="X659" s="367"/>
      <c r="Y659" s="367"/>
      <c r="Z659" s="367"/>
      <c r="AA659" s="367"/>
      <c r="AB659" s="150"/>
      <c r="AC659" s="48" t="s">
        <v>2162</v>
      </c>
      <c r="AD659" s="150" t="s">
        <v>169</v>
      </c>
      <c r="AE659" s="262"/>
      <c r="AF659" s="262"/>
      <c r="AG659" s="286">
        <v>46042</v>
      </c>
      <c r="AH659" s="49">
        <v>46042</v>
      </c>
      <c r="AI659" s="266">
        <v>46023</v>
      </c>
      <c r="AJ659" s="150" t="s">
        <v>131</v>
      </c>
      <c r="AK659" s="150" t="s">
        <v>166</v>
      </c>
      <c r="AL659" s="150"/>
      <c r="AM659" s="150" t="s">
        <v>134</v>
      </c>
      <c r="AN659" s="367"/>
      <c r="AO659" s="367"/>
      <c r="AP659" s="367"/>
      <c r="AQ659" s="366"/>
      <c r="AR659" s="367"/>
      <c r="AS659" s="367"/>
      <c r="AT659" s="367"/>
      <c r="AU659" s="367"/>
      <c r="AV659" s="367"/>
      <c r="AW659" s="367"/>
      <c r="AX659" s="367"/>
      <c r="AY659" s="367"/>
      <c r="AZ659" s="367"/>
      <c r="BA659" s="367"/>
      <c r="BB659" s="152"/>
      <c r="BC659" s="152"/>
      <c r="BD659" s="367" t="s">
        <v>1605</v>
      </c>
      <c r="BE659" s="367"/>
      <c r="BF659" s="367"/>
      <c r="BG659" s="367"/>
      <c r="BH659" s="260"/>
      <c r="BI659" s="54"/>
      <c r="BJ659" s="54"/>
      <c r="BK659" s="54"/>
      <c r="BL659" s="54"/>
    </row>
    <row r="660" spans="1:64" ht="36" customHeight="1" x14ac:dyDescent="0.3">
      <c r="A660" s="367">
        <f t="shared" si="12"/>
        <v>655</v>
      </c>
      <c r="B660" s="54" t="s">
        <v>2163</v>
      </c>
      <c r="C660" s="367" t="s">
        <v>5</v>
      </c>
      <c r="D660" s="367" t="s">
        <v>2164</v>
      </c>
      <c r="E660" s="45">
        <v>45992</v>
      </c>
      <c r="F660" s="45">
        <v>46000</v>
      </c>
      <c r="G660" s="45"/>
      <c r="H660" s="45"/>
      <c r="I660" s="367"/>
      <c r="J660" s="54" t="s">
        <v>810</v>
      </c>
      <c r="K660" s="48" t="s">
        <v>2165</v>
      </c>
      <c r="L660" s="367"/>
      <c r="M660" s="150"/>
      <c r="N660" s="367"/>
      <c r="O660" s="367"/>
      <c r="P660" s="311"/>
      <c r="Q660" s="367"/>
      <c r="R660" s="367"/>
      <c r="S660" s="367"/>
      <c r="T660" s="367"/>
      <c r="U660" s="367"/>
      <c r="V660" s="367"/>
      <c r="W660" s="367"/>
      <c r="X660" s="367"/>
      <c r="Y660" s="367"/>
      <c r="Z660" s="367"/>
      <c r="AA660" s="367"/>
      <c r="AB660" s="150"/>
      <c r="AC660" s="48" t="s">
        <v>2166</v>
      </c>
      <c r="AD660" s="150" t="s">
        <v>169</v>
      </c>
      <c r="AE660" s="262"/>
      <c r="AF660" s="262"/>
      <c r="AG660" s="286">
        <v>46042</v>
      </c>
      <c r="AH660" s="49">
        <v>46042</v>
      </c>
      <c r="AI660" s="266">
        <v>46023</v>
      </c>
      <c r="AJ660" s="150" t="s">
        <v>131</v>
      </c>
      <c r="AK660" s="150" t="s">
        <v>166</v>
      </c>
      <c r="AL660" s="150"/>
      <c r="AM660" s="150" t="s">
        <v>134</v>
      </c>
      <c r="AN660" s="367"/>
      <c r="AO660" s="367"/>
      <c r="AP660" s="367"/>
      <c r="AQ660" s="366"/>
      <c r="AR660" s="367"/>
      <c r="AS660" s="367"/>
      <c r="AT660" s="45">
        <v>45960</v>
      </c>
      <c r="AU660" s="45">
        <v>45939</v>
      </c>
      <c r="AV660" s="45">
        <v>45939</v>
      </c>
      <c r="AW660" s="367"/>
      <c r="AX660" s="367"/>
      <c r="AY660" s="367"/>
      <c r="AZ660" s="367"/>
      <c r="BA660" s="367"/>
      <c r="BB660" s="152" t="s">
        <v>2167</v>
      </c>
      <c r="BC660" s="152"/>
      <c r="BD660" s="367" t="s">
        <v>1605</v>
      </c>
      <c r="BE660" s="367"/>
      <c r="BF660" s="367"/>
      <c r="BG660" s="367"/>
      <c r="BH660" s="260"/>
      <c r="BI660" s="54"/>
      <c r="BJ660" s="54"/>
      <c r="BK660" s="54"/>
      <c r="BL660" s="54"/>
    </row>
    <row r="661" spans="1:64" ht="36" customHeight="1" x14ac:dyDescent="0.3">
      <c r="A661" s="367">
        <f t="shared" si="12"/>
        <v>656</v>
      </c>
      <c r="B661" s="54" t="s">
        <v>2168</v>
      </c>
      <c r="C661" s="367" t="s">
        <v>5</v>
      </c>
      <c r="D661" s="367" t="s">
        <v>2164</v>
      </c>
      <c r="E661" s="45">
        <v>45992</v>
      </c>
      <c r="F661" s="45">
        <v>46000</v>
      </c>
      <c r="G661" s="45"/>
      <c r="H661" s="45"/>
      <c r="I661" s="367"/>
      <c r="J661" s="54" t="s">
        <v>810</v>
      </c>
      <c r="K661" s="48" t="s">
        <v>2169</v>
      </c>
      <c r="L661" s="367"/>
      <c r="M661" s="150"/>
      <c r="N661" s="367"/>
      <c r="O661" s="367"/>
      <c r="P661" s="311"/>
      <c r="Q661" s="367"/>
      <c r="R661" s="367"/>
      <c r="S661" s="367"/>
      <c r="T661" s="367"/>
      <c r="U661" s="367"/>
      <c r="V661" s="367"/>
      <c r="W661" s="367"/>
      <c r="X661" s="367"/>
      <c r="Y661" s="367"/>
      <c r="Z661" s="367"/>
      <c r="AA661" s="367"/>
      <c r="AB661" s="150"/>
      <c r="AC661" s="48" t="s">
        <v>2170</v>
      </c>
      <c r="AD661" s="150" t="s">
        <v>169</v>
      </c>
      <c r="AE661" s="262"/>
      <c r="AF661" s="262"/>
      <c r="AG661" s="286">
        <v>46042</v>
      </c>
      <c r="AH661" s="49">
        <v>46042</v>
      </c>
      <c r="AI661" s="266">
        <v>46023</v>
      </c>
      <c r="AJ661" s="150" t="s">
        <v>131</v>
      </c>
      <c r="AK661" s="150" t="s">
        <v>166</v>
      </c>
      <c r="AL661" s="150"/>
      <c r="AM661" s="150" t="s">
        <v>134</v>
      </c>
      <c r="AN661" s="367"/>
      <c r="AO661" s="367"/>
      <c r="AP661" s="367"/>
      <c r="AQ661" s="366"/>
      <c r="AR661" s="367"/>
      <c r="AS661" s="367"/>
      <c r="AT661" s="45">
        <v>45960</v>
      </c>
      <c r="AU661" s="45">
        <v>45939</v>
      </c>
      <c r="AV661" s="45">
        <v>45939</v>
      </c>
      <c r="AW661" s="367"/>
      <c r="AX661" s="367"/>
      <c r="AY661" s="367"/>
      <c r="AZ661" s="367"/>
      <c r="BA661" s="367"/>
      <c r="BB661" s="152" t="s">
        <v>2171</v>
      </c>
      <c r="BC661" s="152"/>
      <c r="BD661" s="367" t="s">
        <v>1605</v>
      </c>
      <c r="BE661" s="367"/>
      <c r="BF661" s="367"/>
      <c r="BG661" s="367"/>
      <c r="BH661" s="260"/>
      <c r="BI661" s="54"/>
      <c r="BJ661" s="54"/>
      <c r="BK661" s="54"/>
      <c r="BL661" s="54"/>
    </row>
    <row r="662" spans="1:64" ht="36" customHeight="1" x14ac:dyDescent="0.3">
      <c r="A662" s="367">
        <f t="shared" si="12"/>
        <v>657</v>
      </c>
      <c r="B662" s="54" t="s">
        <v>2172</v>
      </c>
      <c r="C662" s="367" t="s">
        <v>5</v>
      </c>
      <c r="D662" s="367" t="s">
        <v>2164</v>
      </c>
      <c r="E662" s="45">
        <v>45978</v>
      </c>
      <c r="F662" s="45">
        <v>46000</v>
      </c>
      <c r="G662" s="45"/>
      <c r="H662" s="45"/>
      <c r="I662" s="367"/>
      <c r="J662" s="54" t="s">
        <v>674</v>
      </c>
      <c r="K662" s="48" t="s">
        <v>2000</v>
      </c>
      <c r="L662" s="367"/>
      <c r="M662" s="150"/>
      <c r="N662" s="367"/>
      <c r="O662" s="367"/>
      <c r="P662" s="311"/>
      <c r="Q662" s="367"/>
      <c r="R662" s="367"/>
      <c r="S662" s="367"/>
      <c r="T662" s="367"/>
      <c r="U662" s="367"/>
      <c r="V662" s="367"/>
      <c r="W662" s="367"/>
      <c r="X662" s="367"/>
      <c r="Y662" s="367"/>
      <c r="Z662" s="367"/>
      <c r="AA662" s="367"/>
      <c r="AB662" s="150"/>
      <c r="AC662" s="48" t="s">
        <v>2173</v>
      </c>
      <c r="AD662" s="150" t="s">
        <v>169</v>
      </c>
      <c r="AE662" s="262"/>
      <c r="AF662" s="262"/>
      <c r="AG662" s="286">
        <v>46042</v>
      </c>
      <c r="AH662" s="49">
        <v>46042</v>
      </c>
      <c r="AI662" s="266">
        <v>46023</v>
      </c>
      <c r="AJ662" s="150" t="s">
        <v>131</v>
      </c>
      <c r="AK662" s="150" t="s">
        <v>166</v>
      </c>
      <c r="AL662" s="150"/>
      <c r="AM662" s="150" t="s">
        <v>134</v>
      </c>
      <c r="AN662" s="367"/>
      <c r="AO662" s="367"/>
      <c r="AP662" s="367"/>
      <c r="AQ662" s="366"/>
      <c r="AR662" s="367"/>
      <c r="AS662" s="367"/>
      <c r="AT662" s="45">
        <v>45966</v>
      </c>
      <c r="AU662" s="45">
        <v>45939</v>
      </c>
      <c r="AV662" s="45">
        <v>45939</v>
      </c>
      <c r="AW662" s="367"/>
      <c r="AX662" s="367"/>
      <c r="AY662" s="367"/>
      <c r="AZ662" s="367"/>
      <c r="BA662" s="367"/>
      <c r="BB662" s="152" t="s">
        <v>2174</v>
      </c>
      <c r="BC662" s="152"/>
      <c r="BD662" s="367" t="s">
        <v>1605</v>
      </c>
      <c r="BE662" s="367"/>
      <c r="BF662" s="367"/>
      <c r="BG662" s="367"/>
      <c r="BH662" s="260"/>
      <c r="BI662" s="54"/>
      <c r="BJ662" s="54"/>
      <c r="BK662" s="54"/>
      <c r="BL662" s="54"/>
    </row>
    <row r="663" spans="1:64" ht="36" customHeight="1" x14ac:dyDescent="0.3">
      <c r="A663" s="367">
        <f t="shared" si="12"/>
        <v>658</v>
      </c>
      <c r="B663" s="54" t="s">
        <v>2175</v>
      </c>
      <c r="C663" s="367" t="s">
        <v>5</v>
      </c>
      <c r="D663" s="367" t="s">
        <v>2164</v>
      </c>
      <c r="E663" s="45">
        <v>45978</v>
      </c>
      <c r="F663" s="45">
        <v>46000</v>
      </c>
      <c r="G663" s="45"/>
      <c r="H663" s="45"/>
      <c r="I663" s="367"/>
      <c r="J663" s="54" t="s">
        <v>674</v>
      </c>
      <c r="K663" s="48" t="s">
        <v>2176</v>
      </c>
      <c r="L663" s="367"/>
      <c r="M663" s="150"/>
      <c r="N663" s="367"/>
      <c r="O663" s="367"/>
      <c r="P663" s="311"/>
      <c r="Q663" s="367"/>
      <c r="R663" s="367"/>
      <c r="S663" s="367"/>
      <c r="T663" s="367"/>
      <c r="U663" s="367"/>
      <c r="V663" s="367"/>
      <c r="W663" s="367"/>
      <c r="X663" s="367"/>
      <c r="Y663" s="367"/>
      <c r="Z663" s="367"/>
      <c r="AA663" s="367"/>
      <c r="AB663" s="150"/>
      <c r="AC663" s="48" t="s">
        <v>2177</v>
      </c>
      <c r="AD663" s="150" t="s">
        <v>169</v>
      </c>
      <c r="AE663" s="262"/>
      <c r="AF663" s="262"/>
      <c r="AG663" s="286">
        <v>46042</v>
      </c>
      <c r="AH663" s="49">
        <v>46042</v>
      </c>
      <c r="AI663" s="266">
        <v>46023</v>
      </c>
      <c r="AJ663" s="150" t="s">
        <v>131</v>
      </c>
      <c r="AK663" s="150" t="s">
        <v>166</v>
      </c>
      <c r="AL663" s="150"/>
      <c r="AM663" s="150" t="s">
        <v>134</v>
      </c>
      <c r="AN663" s="367"/>
      <c r="AO663" s="367"/>
      <c r="AP663" s="367"/>
      <c r="AQ663" s="366"/>
      <c r="AR663" s="367"/>
      <c r="AS663" s="367"/>
      <c r="AT663" s="45">
        <v>45966</v>
      </c>
      <c r="AU663" s="45">
        <v>45939</v>
      </c>
      <c r="AV663" s="45">
        <v>45939</v>
      </c>
      <c r="AW663" s="367"/>
      <c r="AX663" s="367"/>
      <c r="AY663" s="367"/>
      <c r="AZ663" s="367"/>
      <c r="BA663" s="367"/>
      <c r="BB663" s="152" t="s">
        <v>2178</v>
      </c>
      <c r="BC663" s="152"/>
      <c r="BD663" s="367" t="s">
        <v>1605</v>
      </c>
      <c r="BE663" s="367"/>
      <c r="BF663" s="367"/>
      <c r="BG663" s="367"/>
      <c r="BH663" s="260"/>
      <c r="BI663" s="54"/>
      <c r="BJ663" s="54"/>
      <c r="BK663" s="54"/>
      <c r="BL663" s="54"/>
    </row>
    <row r="664" spans="1:64" ht="36" customHeight="1" x14ac:dyDescent="0.3">
      <c r="A664" s="367">
        <f t="shared" si="12"/>
        <v>659</v>
      </c>
      <c r="B664" s="54" t="s">
        <v>2179</v>
      </c>
      <c r="C664" s="367" t="s">
        <v>5</v>
      </c>
      <c r="D664" s="367" t="s">
        <v>2164</v>
      </c>
      <c r="E664" s="45">
        <v>45978</v>
      </c>
      <c r="F664" s="45">
        <v>46000</v>
      </c>
      <c r="G664" s="45"/>
      <c r="H664" s="45"/>
      <c r="I664" s="367"/>
      <c r="J664" s="54" t="s">
        <v>674</v>
      </c>
      <c r="K664" s="48" t="s">
        <v>2180</v>
      </c>
      <c r="L664" s="367"/>
      <c r="M664" s="150"/>
      <c r="N664" s="367"/>
      <c r="O664" s="367"/>
      <c r="P664" s="311"/>
      <c r="Q664" s="367"/>
      <c r="R664" s="367"/>
      <c r="S664" s="367"/>
      <c r="T664" s="367"/>
      <c r="U664" s="367"/>
      <c r="V664" s="367"/>
      <c r="W664" s="367"/>
      <c r="X664" s="367"/>
      <c r="Y664" s="367"/>
      <c r="Z664" s="367"/>
      <c r="AA664" s="367"/>
      <c r="AB664" s="150"/>
      <c r="AC664" s="48" t="s">
        <v>2181</v>
      </c>
      <c r="AD664" s="150" t="s">
        <v>169</v>
      </c>
      <c r="AE664" s="262"/>
      <c r="AF664" s="262"/>
      <c r="AG664" s="286">
        <v>46042</v>
      </c>
      <c r="AH664" s="49">
        <v>46042</v>
      </c>
      <c r="AI664" s="266">
        <v>46023</v>
      </c>
      <c r="AJ664" s="150" t="s">
        <v>131</v>
      </c>
      <c r="AK664" s="150" t="s">
        <v>166</v>
      </c>
      <c r="AL664" s="150"/>
      <c r="AM664" s="150" t="s">
        <v>134</v>
      </c>
      <c r="AN664" s="367"/>
      <c r="AO664" s="367"/>
      <c r="AP664" s="367"/>
      <c r="AQ664" s="366"/>
      <c r="AR664" s="367"/>
      <c r="AS664" s="367"/>
      <c r="AT664" s="45">
        <v>45966</v>
      </c>
      <c r="AU664" s="45">
        <v>45939</v>
      </c>
      <c r="AV664" s="45">
        <v>45939</v>
      </c>
      <c r="AW664" s="367"/>
      <c r="AX664" s="367"/>
      <c r="AY664" s="367"/>
      <c r="AZ664" s="367"/>
      <c r="BA664" s="367"/>
      <c r="BB664" s="152" t="s">
        <v>2182</v>
      </c>
      <c r="BC664" s="152"/>
      <c r="BD664" s="367" t="s">
        <v>1605</v>
      </c>
      <c r="BE664" s="367"/>
      <c r="BF664" s="367"/>
      <c r="BG664" s="367"/>
      <c r="BH664" s="260"/>
      <c r="BI664" s="54"/>
      <c r="BJ664" s="54"/>
      <c r="BK664" s="54"/>
      <c r="BL664" s="54"/>
    </row>
    <row r="665" spans="1:64" ht="36" customHeight="1" x14ac:dyDescent="0.3">
      <c r="A665" s="367">
        <f t="shared" ref="A665:A684" si="13">ROW(B665)-ROW($B$5)</f>
        <v>660</v>
      </c>
      <c r="B665" s="54" t="s">
        <v>2183</v>
      </c>
      <c r="C665" s="367" t="s">
        <v>5</v>
      </c>
      <c r="D665" s="367" t="s">
        <v>2184</v>
      </c>
      <c r="E665" s="45">
        <v>45978</v>
      </c>
      <c r="F665" s="45">
        <v>46000</v>
      </c>
      <c r="G665" s="45"/>
      <c r="H665" s="45"/>
      <c r="I665" s="367"/>
      <c r="J665" s="54" t="s">
        <v>674</v>
      </c>
      <c r="K665" s="48" t="s">
        <v>2185</v>
      </c>
      <c r="L665" s="367"/>
      <c r="M665" s="150"/>
      <c r="N665" s="367"/>
      <c r="O665" s="367"/>
      <c r="P665" s="311"/>
      <c r="Q665" s="367"/>
      <c r="R665" s="367"/>
      <c r="S665" s="367"/>
      <c r="T665" s="367"/>
      <c r="U665" s="367"/>
      <c r="V665" s="367"/>
      <c r="W665" s="367"/>
      <c r="X665" s="367"/>
      <c r="Y665" s="367"/>
      <c r="Z665" s="367"/>
      <c r="AA665" s="367"/>
      <c r="AB665" s="150"/>
      <c r="AC665" s="48" t="s">
        <v>2186</v>
      </c>
      <c r="AD665" s="150" t="s">
        <v>169</v>
      </c>
      <c r="AE665" s="262"/>
      <c r="AF665" s="262"/>
      <c r="AG665" s="286">
        <v>46042</v>
      </c>
      <c r="AH665" s="49">
        <v>46042</v>
      </c>
      <c r="AI665" s="266">
        <v>46023</v>
      </c>
      <c r="AJ665" s="150" t="s">
        <v>131</v>
      </c>
      <c r="AK665" s="150" t="s">
        <v>166</v>
      </c>
      <c r="AL665" s="150"/>
      <c r="AM665" s="150" t="s">
        <v>134</v>
      </c>
      <c r="AN665" s="367"/>
      <c r="AO665" s="367"/>
      <c r="AP665" s="367"/>
      <c r="AQ665" s="366"/>
      <c r="AR665" s="367"/>
      <c r="AS665" s="367"/>
      <c r="AT665" s="45">
        <v>45966</v>
      </c>
      <c r="AU665" s="45">
        <v>45939</v>
      </c>
      <c r="AV665" s="45">
        <v>45939</v>
      </c>
      <c r="AW665" s="367"/>
      <c r="AX665" s="367"/>
      <c r="AY665" s="367"/>
      <c r="AZ665" s="367"/>
      <c r="BA665" s="367"/>
      <c r="BB665" s="152" t="s">
        <v>2187</v>
      </c>
      <c r="BC665" s="152"/>
      <c r="BD665" s="367" t="s">
        <v>1605</v>
      </c>
      <c r="BE665" s="367"/>
      <c r="BF665" s="367"/>
      <c r="BG665" s="367"/>
      <c r="BH665" s="260"/>
      <c r="BI665" s="54"/>
      <c r="BJ665" s="54"/>
      <c r="BK665" s="54"/>
      <c r="BL665" s="54"/>
    </row>
    <row r="666" spans="1:64" ht="36" customHeight="1" x14ac:dyDescent="0.3">
      <c r="A666" s="367">
        <f t="shared" si="13"/>
        <v>661</v>
      </c>
      <c r="B666" s="54" t="s">
        <v>2188</v>
      </c>
      <c r="C666" s="367" t="s">
        <v>5</v>
      </c>
      <c r="D666" s="367" t="s">
        <v>2184</v>
      </c>
      <c r="E666" s="45">
        <v>45964</v>
      </c>
      <c r="F666" s="45">
        <v>46010</v>
      </c>
      <c r="G666" s="45"/>
      <c r="H666" s="302" t="s">
        <v>869</v>
      </c>
      <c r="I666" s="367"/>
      <c r="J666" s="54" t="s">
        <v>674</v>
      </c>
      <c r="K666" s="48" t="s">
        <v>873</v>
      </c>
      <c r="L666" s="367"/>
      <c r="M666" s="150"/>
      <c r="N666" s="367"/>
      <c r="O666" s="367"/>
      <c r="P666" s="311"/>
      <c r="Q666" s="367"/>
      <c r="R666" s="367"/>
      <c r="S666" s="367"/>
      <c r="T666" s="367"/>
      <c r="U666" s="367"/>
      <c r="V666" s="367"/>
      <c r="W666" s="367"/>
      <c r="X666" s="367"/>
      <c r="Y666" s="367"/>
      <c r="Z666" s="367"/>
      <c r="AA666" s="367"/>
      <c r="AB666" s="150"/>
      <c r="AC666" s="48" t="s">
        <v>2189</v>
      </c>
      <c r="AD666" s="150" t="s">
        <v>169</v>
      </c>
      <c r="AE666" s="262"/>
      <c r="AF666" s="262"/>
      <c r="AG666" s="286">
        <v>46042</v>
      </c>
      <c r="AH666" s="49">
        <v>46042</v>
      </c>
      <c r="AI666" s="266">
        <v>46023</v>
      </c>
      <c r="AJ666" s="150" t="s">
        <v>131</v>
      </c>
      <c r="AK666" s="150" t="s">
        <v>166</v>
      </c>
      <c r="AL666" s="150"/>
      <c r="AM666" s="150" t="s">
        <v>134</v>
      </c>
      <c r="AN666" s="367"/>
      <c r="AO666" s="367"/>
      <c r="AP666" s="367"/>
      <c r="AQ666" s="366"/>
      <c r="AR666" s="367"/>
      <c r="AS666" s="367"/>
      <c r="AT666" s="367"/>
      <c r="AU666" s="367"/>
      <c r="AV666" s="367"/>
      <c r="AW666" s="367"/>
      <c r="AX666" s="367"/>
      <c r="AY666" s="367"/>
      <c r="AZ666" s="367"/>
      <c r="BA666" s="367"/>
      <c r="BB666" s="152" t="s">
        <v>2190</v>
      </c>
      <c r="BC666" s="152"/>
      <c r="BD666" s="367" t="s">
        <v>1605</v>
      </c>
      <c r="BE666" s="367"/>
      <c r="BF666" s="367"/>
      <c r="BG666" s="367"/>
      <c r="BH666" s="260"/>
      <c r="BI666" s="54"/>
      <c r="BJ666" s="54"/>
      <c r="BK666" s="54"/>
      <c r="BL666" s="54"/>
    </row>
    <row r="667" spans="1:64" ht="36" customHeight="1" x14ac:dyDescent="0.3">
      <c r="A667" s="367">
        <f t="shared" si="13"/>
        <v>662</v>
      </c>
      <c r="B667" s="54" t="s">
        <v>2191</v>
      </c>
      <c r="C667" s="367" t="s">
        <v>5</v>
      </c>
      <c r="D667" s="367" t="s">
        <v>2184</v>
      </c>
      <c r="E667" s="45">
        <v>45978</v>
      </c>
      <c r="F667" s="45">
        <v>46010</v>
      </c>
      <c r="G667" s="45"/>
      <c r="H667" s="302" t="s">
        <v>921</v>
      </c>
      <c r="I667" s="367"/>
      <c r="J667" s="54" t="s">
        <v>674</v>
      </c>
      <c r="K667" s="48" t="s">
        <v>2192</v>
      </c>
      <c r="L667" s="367"/>
      <c r="M667" s="150"/>
      <c r="N667" s="367"/>
      <c r="O667" s="367"/>
      <c r="P667" s="311"/>
      <c r="Q667" s="367"/>
      <c r="R667" s="367"/>
      <c r="S667" s="367"/>
      <c r="T667" s="367"/>
      <c r="U667" s="367"/>
      <c r="V667" s="367"/>
      <c r="W667" s="367"/>
      <c r="X667" s="367"/>
      <c r="Y667" s="367"/>
      <c r="Z667" s="367"/>
      <c r="AA667" s="367"/>
      <c r="AB667" s="150"/>
      <c r="AC667" s="48" t="s">
        <v>2193</v>
      </c>
      <c r="AD667" s="150" t="s">
        <v>169</v>
      </c>
      <c r="AE667" s="262"/>
      <c r="AF667" s="262"/>
      <c r="AG667" s="286">
        <v>46042</v>
      </c>
      <c r="AH667" s="49">
        <v>46042</v>
      </c>
      <c r="AI667" s="266">
        <v>46023</v>
      </c>
      <c r="AJ667" s="150" t="s">
        <v>131</v>
      </c>
      <c r="AK667" s="150" t="s">
        <v>166</v>
      </c>
      <c r="AL667" s="150"/>
      <c r="AM667" s="150" t="s">
        <v>134</v>
      </c>
      <c r="AN667" s="367"/>
      <c r="AO667" s="367"/>
      <c r="AP667" s="367"/>
      <c r="AQ667" s="366"/>
      <c r="AR667" s="367"/>
      <c r="AS667" s="367"/>
      <c r="AT667" s="367"/>
      <c r="AU667" s="367"/>
      <c r="AV667" s="367"/>
      <c r="AW667" s="367"/>
      <c r="AX667" s="367"/>
      <c r="AY667" s="367"/>
      <c r="AZ667" s="367"/>
      <c r="BA667" s="367"/>
      <c r="BB667" s="152" t="s">
        <v>2194</v>
      </c>
      <c r="BC667" s="152"/>
      <c r="BD667" s="367" t="s">
        <v>1605</v>
      </c>
      <c r="BE667" s="367"/>
      <c r="BF667" s="367"/>
      <c r="BG667" s="367"/>
      <c r="BH667" s="260"/>
      <c r="BI667" s="54"/>
      <c r="BJ667" s="54"/>
      <c r="BK667" s="54"/>
      <c r="BL667" s="54"/>
    </row>
    <row r="668" spans="1:64" ht="36" customHeight="1" x14ac:dyDescent="0.3">
      <c r="A668" s="367">
        <f t="shared" si="13"/>
        <v>663</v>
      </c>
      <c r="B668" s="54" t="s">
        <v>2195</v>
      </c>
      <c r="C668" s="367" t="s">
        <v>5</v>
      </c>
      <c r="D668" s="367" t="s">
        <v>2184</v>
      </c>
      <c r="E668" s="45">
        <v>45978</v>
      </c>
      <c r="F668" s="45">
        <v>46010</v>
      </c>
      <c r="G668" s="45"/>
      <c r="H668" s="302" t="s">
        <v>821</v>
      </c>
      <c r="I668" s="367"/>
      <c r="J668" s="54" t="s">
        <v>810</v>
      </c>
      <c r="K668" s="48" t="s">
        <v>2196</v>
      </c>
      <c r="L668" s="367"/>
      <c r="M668" s="150"/>
      <c r="N668" s="367"/>
      <c r="O668" s="367"/>
      <c r="P668" s="311"/>
      <c r="Q668" s="367"/>
      <c r="R668" s="367"/>
      <c r="S668" s="367"/>
      <c r="T668" s="367"/>
      <c r="U668" s="367"/>
      <c r="V668" s="367"/>
      <c r="W668" s="367"/>
      <c r="X668" s="367"/>
      <c r="Y668" s="367"/>
      <c r="Z668" s="367"/>
      <c r="AA668" s="367"/>
      <c r="AB668" s="150"/>
      <c r="AC668" s="48" t="s">
        <v>2197</v>
      </c>
      <c r="AD668" s="150" t="s">
        <v>169</v>
      </c>
      <c r="AE668" s="262"/>
      <c r="AF668" s="262"/>
      <c r="AG668" s="286">
        <v>46042</v>
      </c>
      <c r="AH668" s="49">
        <v>46042</v>
      </c>
      <c r="AI668" s="266">
        <v>46023</v>
      </c>
      <c r="AJ668" s="150" t="s">
        <v>131</v>
      </c>
      <c r="AK668" s="150" t="s">
        <v>166</v>
      </c>
      <c r="AL668" s="150"/>
      <c r="AM668" s="150" t="s">
        <v>134</v>
      </c>
      <c r="AN668" s="367"/>
      <c r="AO668" s="367"/>
      <c r="AP668" s="367"/>
      <c r="AQ668" s="366"/>
      <c r="AR668" s="367"/>
      <c r="AS668" s="367"/>
      <c r="AT668" s="367"/>
      <c r="AU668" s="367"/>
      <c r="AV668" s="367"/>
      <c r="AW668" s="367"/>
      <c r="AX668" s="367"/>
      <c r="AY668" s="367"/>
      <c r="AZ668" s="367"/>
      <c r="BA668" s="367"/>
      <c r="BB668" s="152" t="s">
        <v>2198</v>
      </c>
      <c r="BC668" s="152"/>
      <c r="BD668" s="367" t="s">
        <v>1605</v>
      </c>
      <c r="BE668" s="367"/>
      <c r="BF668" s="367"/>
      <c r="BG668" s="367"/>
      <c r="BH668" s="260"/>
      <c r="BI668" s="54"/>
      <c r="BJ668" s="54"/>
      <c r="BK668" s="54"/>
      <c r="BL668" s="54"/>
    </row>
    <row r="669" spans="1:64" ht="36" customHeight="1" x14ac:dyDescent="0.3">
      <c r="A669" s="367">
        <f t="shared" si="13"/>
        <v>664</v>
      </c>
      <c r="B669" s="54" t="s">
        <v>2199</v>
      </c>
      <c r="C669" s="367" t="s">
        <v>5</v>
      </c>
      <c r="D669" s="367" t="s">
        <v>2184</v>
      </c>
      <c r="E669" s="45">
        <v>45964</v>
      </c>
      <c r="F669" s="45">
        <v>46010</v>
      </c>
      <c r="G669" s="45"/>
      <c r="H669" s="302" t="s">
        <v>976</v>
      </c>
      <c r="I669" s="367"/>
      <c r="J669" s="54" t="s">
        <v>644</v>
      </c>
      <c r="K669" s="48" t="s">
        <v>2200</v>
      </c>
      <c r="L669" s="367"/>
      <c r="M669" s="150"/>
      <c r="N669" s="367"/>
      <c r="O669" s="367"/>
      <c r="P669" s="311"/>
      <c r="Q669" s="367"/>
      <c r="R669" s="367"/>
      <c r="S669" s="367"/>
      <c r="T669" s="367"/>
      <c r="U669" s="367"/>
      <c r="V669" s="367"/>
      <c r="W669" s="367"/>
      <c r="X669" s="367"/>
      <c r="Y669" s="367"/>
      <c r="Z669" s="367"/>
      <c r="AA669" s="367"/>
      <c r="AB669" s="150"/>
      <c r="AC669" s="48" t="s">
        <v>2201</v>
      </c>
      <c r="AD669" s="150" t="s">
        <v>169</v>
      </c>
      <c r="AE669" s="262"/>
      <c r="AF669" s="262"/>
      <c r="AG669" s="286">
        <v>46042</v>
      </c>
      <c r="AH669" s="49">
        <v>46042</v>
      </c>
      <c r="AI669" s="266">
        <v>46023</v>
      </c>
      <c r="AJ669" s="150" t="s">
        <v>131</v>
      </c>
      <c r="AK669" s="150" t="s">
        <v>166</v>
      </c>
      <c r="AL669" s="150"/>
      <c r="AM669" s="150" t="s">
        <v>134</v>
      </c>
      <c r="AN669" s="367"/>
      <c r="AO669" s="367"/>
      <c r="AP669" s="367"/>
      <c r="AQ669" s="366"/>
      <c r="AR669" s="367"/>
      <c r="AS669" s="367"/>
      <c r="AT669" s="367"/>
      <c r="AU669" s="367"/>
      <c r="AV669" s="367"/>
      <c r="AW669" s="367"/>
      <c r="AX669" s="367"/>
      <c r="AY669" s="367"/>
      <c r="AZ669" s="367"/>
      <c r="BA669" s="367"/>
      <c r="BB669" s="152" t="s">
        <v>2202</v>
      </c>
      <c r="BC669" s="152"/>
      <c r="BD669" s="367" t="s">
        <v>1605</v>
      </c>
      <c r="BE669" s="367"/>
      <c r="BF669" s="367"/>
      <c r="BG669" s="367"/>
      <c r="BH669" s="260"/>
      <c r="BI669" s="54"/>
      <c r="BJ669" s="54"/>
      <c r="BK669" s="54"/>
      <c r="BL669" s="54"/>
    </row>
    <row r="670" spans="1:64" ht="36" customHeight="1" x14ac:dyDescent="0.3">
      <c r="A670" s="367">
        <f t="shared" si="13"/>
        <v>665</v>
      </c>
      <c r="B670" s="54" t="s">
        <v>2203</v>
      </c>
      <c r="C670" s="367" t="s">
        <v>5</v>
      </c>
      <c r="D670" s="367" t="s">
        <v>2184</v>
      </c>
      <c r="E670" s="45">
        <v>46021</v>
      </c>
      <c r="F670" s="45">
        <v>45669</v>
      </c>
      <c r="G670" s="45"/>
      <c r="H670" s="302" t="s">
        <v>1000</v>
      </c>
      <c r="I670" s="367"/>
      <c r="J670" s="54" t="s">
        <v>674</v>
      </c>
      <c r="K670" s="48" t="s">
        <v>2204</v>
      </c>
      <c r="L670" s="367"/>
      <c r="M670" s="150"/>
      <c r="N670" s="367"/>
      <c r="O670" s="367"/>
      <c r="P670" s="311"/>
      <c r="Q670" s="367"/>
      <c r="R670" s="367"/>
      <c r="S670" s="367"/>
      <c r="T670" s="367"/>
      <c r="U670" s="367"/>
      <c r="V670" s="367"/>
      <c r="W670" s="367"/>
      <c r="X670" s="367"/>
      <c r="Y670" s="367"/>
      <c r="Z670" s="367"/>
      <c r="AA670" s="367"/>
      <c r="AB670" s="150"/>
      <c r="AC670" s="48" t="s">
        <v>2205</v>
      </c>
      <c r="AD670" s="150" t="s">
        <v>169</v>
      </c>
      <c r="AE670" s="262"/>
      <c r="AF670" s="262"/>
      <c r="AG670" s="286">
        <v>46042</v>
      </c>
      <c r="AH670" s="49">
        <v>46042</v>
      </c>
      <c r="AI670" s="266">
        <v>46023</v>
      </c>
      <c r="AJ670" s="150" t="s">
        <v>131</v>
      </c>
      <c r="AK670" s="150" t="s">
        <v>166</v>
      </c>
      <c r="AL670" s="150"/>
      <c r="AM670" s="150" t="s">
        <v>134</v>
      </c>
      <c r="AN670" s="367"/>
      <c r="AO670" s="367"/>
      <c r="AP670" s="367"/>
      <c r="AQ670" s="366"/>
      <c r="AR670" s="367"/>
      <c r="AS670" s="367"/>
      <c r="AT670" s="367"/>
      <c r="AU670" s="367"/>
      <c r="AV670" s="367"/>
      <c r="AW670" s="367"/>
      <c r="AX670" s="367"/>
      <c r="AY670" s="367"/>
      <c r="AZ670" s="367"/>
      <c r="BA670" s="367"/>
      <c r="BB670" s="152" t="s">
        <v>2206</v>
      </c>
      <c r="BC670" s="152"/>
      <c r="BD670" s="367" t="s">
        <v>1605</v>
      </c>
      <c r="BE670" s="367"/>
      <c r="BF670" s="367"/>
      <c r="BG670" s="367"/>
      <c r="BH670" s="260"/>
      <c r="BI670" s="54"/>
      <c r="BJ670" s="54"/>
      <c r="BK670" s="54"/>
      <c r="BL670" s="54"/>
    </row>
    <row r="671" spans="1:64" ht="36" customHeight="1" x14ac:dyDescent="0.3">
      <c r="A671" s="367">
        <f t="shared" si="13"/>
        <v>666</v>
      </c>
      <c r="B671" s="54" t="s">
        <v>2207</v>
      </c>
      <c r="C671" s="367" t="s">
        <v>5</v>
      </c>
      <c r="D671" s="367" t="s">
        <v>2208</v>
      </c>
      <c r="E671" s="45">
        <v>45978</v>
      </c>
      <c r="F671" s="45">
        <v>46000</v>
      </c>
      <c r="G671" s="45"/>
      <c r="H671" s="45"/>
      <c r="I671" s="367"/>
      <c r="J671" s="54" t="s">
        <v>644</v>
      </c>
      <c r="K671" s="48" t="s">
        <v>2209</v>
      </c>
      <c r="L671" s="367"/>
      <c r="M671" s="150"/>
      <c r="N671" s="367"/>
      <c r="O671" s="367"/>
      <c r="P671" s="311"/>
      <c r="Q671" s="367"/>
      <c r="R671" s="367"/>
      <c r="S671" s="367"/>
      <c r="T671" s="367"/>
      <c r="U671" s="367"/>
      <c r="V671" s="367"/>
      <c r="W671" s="367"/>
      <c r="X671" s="367"/>
      <c r="Y671" s="367"/>
      <c r="Z671" s="367"/>
      <c r="AA671" s="367"/>
      <c r="AB671" s="150"/>
      <c r="AC671" s="48" t="s">
        <v>2210</v>
      </c>
      <c r="AD671" s="150" t="s">
        <v>169</v>
      </c>
      <c r="AE671" s="262"/>
      <c r="AF671" s="262"/>
      <c r="AG671" s="286">
        <v>46042</v>
      </c>
      <c r="AH671" s="49">
        <v>46042</v>
      </c>
      <c r="AI671" s="266">
        <v>46023</v>
      </c>
      <c r="AJ671" s="150" t="s">
        <v>131</v>
      </c>
      <c r="AK671" s="150" t="s">
        <v>166</v>
      </c>
      <c r="AL671" s="150"/>
      <c r="AM671" s="150" t="s">
        <v>134</v>
      </c>
      <c r="AN671" s="367"/>
      <c r="AO671" s="367"/>
      <c r="AP671" s="367"/>
      <c r="AQ671" s="366"/>
      <c r="AR671" s="367"/>
      <c r="AS671" s="367"/>
      <c r="AT671" s="45">
        <v>45971</v>
      </c>
      <c r="AU671" s="45">
        <v>45939</v>
      </c>
      <c r="AV671" s="45">
        <v>45939</v>
      </c>
      <c r="AW671" s="367"/>
      <c r="AX671" s="367"/>
      <c r="AY671" s="367"/>
      <c r="AZ671" s="367"/>
      <c r="BA671" s="367"/>
      <c r="BB671" s="152" t="s">
        <v>2211</v>
      </c>
      <c r="BC671" s="152"/>
      <c r="BD671" s="367" t="s">
        <v>1605</v>
      </c>
      <c r="BE671" s="367"/>
      <c r="BF671" s="367"/>
      <c r="BG671" s="367"/>
      <c r="BH671" s="260"/>
      <c r="BI671" s="54"/>
      <c r="BJ671" s="54"/>
      <c r="BK671" s="54"/>
      <c r="BL671" s="54"/>
    </row>
    <row r="672" spans="1:64" ht="36" customHeight="1" x14ac:dyDescent="0.3">
      <c r="A672" s="367">
        <f t="shared" si="13"/>
        <v>667</v>
      </c>
      <c r="B672" s="54" t="s">
        <v>2212</v>
      </c>
      <c r="C672" s="367" t="s">
        <v>5</v>
      </c>
      <c r="D672" s="367" t="s">
        <v>2213</v>
      </c>
      <c r="E672" s="45">
        <v>45978</v>
      </c>
      <c r="F672" s="45">
        <v>46000</v>
      </c>
      <c r="G672" s="45"/>
      <c r="H672" s="45"/>
      <c r="I672" s="367"/>
      <c r="J672" s="54" t="s">
        <v>644</v>
      </c>
      <c r="K672" s="48" t="s">
        <v>2214</v>
      </c>
      <c r="L672" s="367"/>
      <c r="M672" s="150"/>
      <c r="N672" s="367"/>
      <c r="O672" s="367"/>
      <c r="P672" s="311"/>
      <c r="Q672" s="367"/>
      <c r="R672" s="367"/>
      <c r="S672" s="367"/>
      <c r="T672" s="367"/>
      <c r="U672" s="367"/>
      <c r="V672" s="367"/>
      <c r="W672" s="367"/>
      <c r="X672" s="367"/>
      <c r="Y672" s="367"/>
      <c r="Z672" s="367"/>
      <c r="AA672" s="367"/>
      <c r="AB672" s="150"/>
      <c r="AC672" s="48" t="s">
        <v>2215</v>
      </c>
      <c r="AD672" s="150" t="s">
        <v>169</v>
      </c>
      <c r="AE672" s="262"/>
      <c r="AF672" s="262"/>
      <c r="AG672" s="286">
        <v>46042</v>
      </c>
      <c r="AH672" s="49">
        <v>46042</v>
      </c>
      <c r="AI672" s="266">
        <v>46023</v>
      </c>
      <c r="AJ672" s="150" t="s">
        <v>131</v>
      </c>
      <c r="AK672" s="150" t="s">
        <v>166</v>
      </c>
      <c r="AL672" s="150"/>
      <c r="AM672" s="150" t="s">
        <v>134</v>
      </c>
      <c r="AN672" s="367"/>
      <c r="AO672" s="367"/>
      <c r="AP672" s="367"/>
      <c r="AQ672" s="366"/>
      <c r="AR672" s="367"/>
      <c r="AS672" s="367"/>
      <c r="AT672" s="45">
        <v>45971</v>
      </c>
      <c r="AU672" s="45">
        <v>45939</v>
      </c>
      <c r="AV672" s="45">
        <v>45939</v>
      </c>
      <c r="AW672" s="367"/>
      <c r="AX672" s="367"/>
      <c r="AY672" s="367"/>
      <c r="AZ672" s="367"/>
      <c r="BA672" s="367"/>
      <c r="BB672" s="152" t="s">
        <v>2216</v>
      </c>
      <c r="BC672" s="152"/>
      <c r="BD672" s="367" t="s">
        <v>1605</v>
      </c>
      <c r="BE672" s="367"/>
      <c r="BF672" s="367"/>
      <c r="BG672" s="367"/>
      <c r="BH672" s="260"/>
      <c r="BI672" s="54"/>
      <c r="BJ672" s="54"/>
      <c r="BK672" s="54"/>
      <c r="BL672" s="54"/>
    </row>
    <row r="673" spans="1:64" ht="36" customHeight="1" x14ac:dyDescent="0.3">
      <c r="A673" s="367">
        <f t="shared" si="13"/>
        <v>668</v>
      </c>
      <c r="B673" s="54" t="s">
        <v>2217</v>
      </c>
      <c r="C673" s="367" t="s">
        <v>5</v>
      </c>
      <c r="D673" s="367" t="s">
        <v>2213</v>
      </c>
      <c r="E673" s="45">
        <v>45978</v>
      </c>
      <c r="F673" s="45">
        <v>46000</v>
      </c>
      <c r="G673" s="45"/>
      <c r="H673" s="45"/>
      <c r="I673" s="367"/>
      <c r="J673" s="54" t="s">
        <v>644</v>
      </c>
      <c r="K673" s="48" t="s">
        <v>2218</v>
      </c>
      <c r="L673" s="367"/>
      <c r="M673" s="150"/>
      <c r="N673" s="367"/>
      <c r="O673" s="367"/>
      <c r="P673" s="311"/>
      <c r="Q673" s="367"/>
      <c r="R673" s="367"/>
      <c r="S673" s="367"/>
      <c r="T673" s="367"/>
      <c r="U673" s="367"/>
      <c r="V673" s="367"/>
      <c r="W673" s="367"/>
      <c r="X673" s="367"/>
      <c r="Y673" s="367"/>
      <c r="Z673" s="367"/>
      <c r="AA673" s="367"/>
      <c r="AB673" s="150"/>
      <c r="AC673" s="48" t="s">
        <v>2219</v>
      </c>
      <c r="AD673" s="150" t="s">
        <v>169</v>
      </c>
      <c r="AE673" s="262"/>
      <c r="AF673" s="262"/>
      <c r="AG673" s="286">
        <v>46042</v>
      </c>
      <c r="AH673" s="49">
        <v>46042</v>
      </c>
      <c r="AI673" s="266">
        <v>46023</v>
      </c>
      <c r="AJ673" s="150" t="s">
        <v>131</v>
      </c>
      <c r="AK673" s="150" t="s">
        <v>166</v>
      </c>
      <c r="AL673" s="150"/>
      <c r="AM673" s="150" t="s">
        <v>134</v>
      </c>
      <c r="AN673" s="367"/>
      <c r="AO673" s="367"/>
      <c r="AP673" s="367"/>
      <c r="AQ673" s="366"/>
      <c r="AR673" s="367"/>
      <c r="AS673" s="367"/>
      <c r="AT673" s="45">
        <v>45971</v>
      </c>
      <c r="AU673" s="45">
        <v>45939</v>
      </c>
      <c r="AV673" s="45">
        <v>45939</v>
      </c>
      <c r="AW673" s="367"/>
      <c r="AX673" s="367"/>
      <c r="AY673" s="367"/>
      <c r="AZ673" s="367"/>
      <c r="BA673" s="367"/>
      <c r="BB673" s="152" t="s">
        <v>2220</v>
      </c>
      <c r="BC673" s="152"/>
      <c r="BD673" s="367" t="s">
        <v>1605</v>
      </c>
      <c r="BE673" s="367"/>
      <c r="BF673" s="367"/>
      <c r="BG673" s="367"/>
      <c r="BH673" s="260"/>
      <c r="BI673" s="54"/>
      <c r="BJ673" s="54"/>
      <c r="BK673" s="54"/>
      <c r="BL673" s="54"/>
    </row>
    <row r="674" spans="1:64" ht="36" customHeight="1" x14ac:dyDescent="0.3">
      <c r="A674" s="367">
        <f t="shared" si="13"/>
        <v>669</v>
      </c>
      <c r="B674" s="54" t="s">
        <v>2221</v>
      </c>
      <c r="C674" s="367" t="s">
        <v>5</v>
      </c>
      <c r="D674" s="367" t="s">
        <v>2208</v>
      </c>
      <c r="E674" s="45">
        <v>45992</v>
      </c>
      <c r="F674" s="45">
        <v>46000</v>
      </c>
      <c r="G674" s="45"/>
      <c r="H674" s="45"/>
      <c r="I674" s="367"/>
      <c r="J674" s="54" t="s">
        <v>674</v>
      </c>
      <c r="K674" s="48" t="s">
        <v>1954</v>
      </c>
      <c r="L674" s="367"/>
      <c r="M674" s="150"/>
      <c r="N674" s="367"/>
      <c r="O674" s="367"/>
      <c r="P674" s="311"/>
      <c r="Q674" s="367"/>
      <c r="R674" s="367"/>
      <c r="S674" s="367"/>
      <c r="T674" s="367"/>
      <c r="U674" s="367"/>
      <c r="V674" s="367"/>
      <c r="W674" s="367"/>
      <c r="X674" s="367"/>
      <c r="Y674" s="367"/>
      <c r="Z674" s="367"/>
      <c r="AA674" s="367"/>
      <c r="AB674" s="150"/>
      <c r="AC674" s="48" t="s">
        <v>2222</v>
      </c>
      <c r="AD674" s="150" t="s">
        <v>169</v>
      </c>
      <c r="AE674" s="262"/>
      <c r="AF674" s="262"/>
      <c r="AG674" s="286">
        <v>46042</v>
      </c>
      <c r="AH674" s="49">
        <v>46042</v>
      </c>
      <c r="AI674" s="266">
        <v>46023</v>
      </c>
      <c r="AJ674" s="150" t="s">
        <v>131</v>
      </c>
      <c r="AK674" s="150" t="s">
        <v>166</v>
      </c>
      <c r="AL674" s="150"/>
      <c r="AM674" s="150" t="s">
        <v>134</v>
      </c>
      <c r="AN674" s="367"/>
      <c r="AO674" s="367"/>
      <c r="AP674" s="367"/>
      <c r="AQ674" s="366"/>
      <c r="AR674" s="367"/>
      <c r="AS674" s="367"/>
      <c r="AT674" s="45">
        <v>45971</v>
      </c>
      <c r="AU674" s="45">
        <v>45939</v>
      </c>
      <c r="AV674" s="45">
        <v>45939</v>
      </c>
      <c r="AW674" s="367"/>
      <c r="AX674" s="367"/>
      <c r="AY674" s="367"/>
      <c r="AZ674" s="367"/>
      <c r="BA674" s="367"/>
      <c r="BB674" s="152" t="s">
        <v>2223</v>
      </c>
      <c r="BC674" s="152"/>
      <c r="BD674" s="367" t="s">
        <v>1605</v>
      </c>
      <c r="BE674" s="367"/>
      <c r="BF674" s="367"/>
      <c r="BG674" s="367"/>
      <c r="BH674" s="260"/>
      <c r="BI674" s="54"/>
      <c r="BJ674" s="54"/>
      <c r="BK674" s="54"/>
      <c r="BL674" s="54"/>
    </row>
    <row r="675" spans="1:64" ht="36" customHeight="1" x14ac:dyDescent="0.3">
      <c r="A675" s="367">
        <f t="shared" si="13"/>
        <v>670</v>
      </c>
      <c r="B675" s="54" t="s">
        <v>2224</v>
      </c>
      <c r="C675" s="367" t="s">
        <v>5</v>
      </c>
      <c r="D675" s="367" t="s">
        <v>2208</v>
      </c>
      <c r="E675" s="45">
        <v>45992</v>
      </c>
      <c r="F675" s="45">
        <v>46000</v>
      </c>
      <c r="G675" s="45"/>
      <c r="H675" s="45"/>
      <c r="I675" s="367"/>
      <c r="J675" s="54" t="s">
        <v>674</v>
      </c>
      <c r="K675" s="48" t="s">
        <v>2225</v>
      </c>
      <c r="L675" s="367"/>
      <c r="M675" s="150"/>
      <c r="N675" s="367"/>
      <c r="O675" s="367"/>
      <c r="P675" s="311"/>
      <c r="Q675" s="367"/>
      <c r="R675" s="367"/>
      <c r="S675" s="367"/>
      <c r="T675" s="367"/>
      <c r="U675" s="367"/>
      <c r="V675" s="367"/>
      <c r="W675" s="367"/>
      <c r="X675" s="367"/>
      <c r="Y675" s="367"/>
      <c r="Z675" s="367"/>
      <c r="AA675" s="367"/>
      <c r="AB675" s="150"/>
      <c r="AC675" s="48" t="s">
        <v>2226</v>
      </c>
      <c r="AD675" s="150" t="s">
        <v>169</v>
      </c>
      <c r="AE675" s="262"/>
      <c r="AF675" s="262"/>
      <c r="AG675" s="286">
        <v>46042</v>
      </c>
      <c r="AH675" s="49">
        <v>46042</v>
      </c>
      <c r="AI675" s="266">
        <v>46023</v>
      </c>
      <c r="AJ675" s="150" t="s">
        <v>131</v>
      </c>
      <c r="AK675" s="150" t="s">
        <v>166</v>
      </c>
      <c r="AL675" s="150"/>
      <c r="AM675" s="150" t="s">
        <v>134</v>
      </c>
      <c r="AN675" s="367"/>
      <c r="AO675" s="367"/>
      <c r="AP675" s="367"/>
      <c r="AQ675" s="366"/>
      <c r="AR675" s="367"/>
      <c r="AS675" s="367"/>
      <c r="AT675" s="45">
        <v>45971</v>
      </c>
      <c r="AU675" s="45">
        <v>45939</v>
      </c>
      <c r="AV675" s="45">
        <v>45939</v>
      </c>
      <c r="AW675" s="367"/>
      <c r="AX675" s="367"/>
      <c r="AY675" s="367"/>
      <c r="AZ675" s="367"/>
      <c r="BA675" s="367"/>
      <c r="BB675" s="152" t="s">
        <v>2227</v>
      </c>
      <c r="BC675" s="152"/>
      <c r="BD675" s="367" t="s">
        <v>1605</v>
      </c>
      <c r="BE675" s="367"/>
      <c r="BF675" s="367"/>
      <c r="BG675" s="367"/>
      <c r="BH675" s="260"/>
      <c r="BI675" s="54"/>
      <c r="BJ675" s="54"/>
      <c r="BK675" s="54"/>
      <c r="BL675" s="54"/>
    </row>
    <row r="676" spans="1:64" ht="36" customHeight="1" x14ac:dyDescent="0.3">
      <c r="A676" s="367">
        <f t="shared" si="13"/>
        <v>671</v>
      </c>
      <c r="B676" s="54" t="s">
        <v>2228</v>
      </c>
      <c r="C676" s="367" t="s">
        <v>5</v>
      </c>
      <c r="D676" s="367" t="s">
        <v>2208</v>
      </c>
      <c r="E676" s="45">
        <v>45992</v>
      </c>
      <c r="F676" s="45">
        <v>46000</v>
      </c>
      <c r="G676" s="45"/>
      <c r="H676" s="45"/>
      <c r="I676" s="367"/>
      <c r="J676" s="54" t="s">
        <v>674</v>
      </c>
      <c r="K676" s="48" t="s">
        <v>1966</v>
      </c>
      <c r="L676" s="367"/>
      <c r="M676" s="150"/>
      <c r="N676" s="367"/>
      <c r="O676" s="367"/>
      <c r="P676" s="311"/>
      <c r="Q676" s="367"/>
      <c r="R676" s="367"/>
      <c r="S676" s="367"/>
      <c r="T676" s="367"/>
      <c r="U676" s="367"/>
      <c r="V676" s="367"/>
      <c r="W676" s="367"/>
      <c r="X676" s="367"/>
      <c r="Y676" s="367"/>
      <c r="Z676" s="367"/>
      <c r="AA676" s="367"/>
      <c r="AB676" s="150"/>
      <c r="AC676" s="48" t="s">
        <v>2229</v>
      </c>
      <c r="AD676" s="150" t="s">
        <v>169</v>
      </c>
      <c r="AE676" s="262"/>
      <c r="AF676" s="262"/>
      <c r="AG676" s="286">
        <v>46042</v>
      </c>
      <c r="AH676" s="49">
        <v>46042</v>
      </c>
      <c r="AI676" s="266">
        <v>46023</v>
      </c>
      <c r="AJ676" s="150" t="s">
        <v>131</v>
      </c>
      <c r="AK676" s="150" t="s">
        <v>166</v>
      </c>
      <c r="AL676" s="150"/>
      <c r="AM676" s="150" t="s">
        <v>134</v>
      </c>
      <c r="AN676" s="367"/>
      <c r="AO676" s="367"/>
      <c r="AP676" s="367"/>
      <c r="AQ676" s="366"/>
      <c r="AR676" s="367"/>
      <c r="AS676" s="367"/>
      <c r="AT676" s="45">
        <v>45971</v>
      </c>
      <c r="AU676" s="45">
        <v>45939</v>
      </c>
      <c r="AV676" s="45">
        <v>45939</v>
      </c>
      <c r="AW676" s="367"/>
      <c r="AX676" s="367"/>
      <c r="AY676" s="367"/>
      <c r="AZ676" s="367"/>
      <c r="BA676" s="367"/>
      <c r="BB676" s="152" t="s">
        <v>2230</v>
      </c>
      <c r="BC676" s="152"/>
      <c r="BD676" s="367" t="s">
        <v>1605</v>
      </c>
      <c r="BE676" s="367"/>
      <c r="BF676" s="367"/>
      <c r="BG676" s="367"/>
      <c r="BH676" s="260"/>
      <c r="BI676" s="54"/>
      <c r="BJ676" s="54"/>
      <c r="BK676" s="54"/>
      <c r="BL676" s="54"/>
    </row>
    <row r="677" spans="1:64" ht="36" customHeight="1" x14ac:dyDescent="0.3">
      <c r="A677" s="367">
        <f t="shared" si="13"/>
        <v>672</v>
      </c>
      <c r="B677" s="54" t="s">
        <v>2231</v>
      </c>
      <c r="C677" s="367" t="s">
        <v>5</v>
      </c>
      <c r="D677" s="367" t="s">
        <v>2208</v>
      </c>
      <c r="E677" s="45">
        <v>45992</v>
      </c>
      <c r="F677" s="45">
        <v>46000</v>
      </c>
      <c r="G677" s="45"/>
      <c r="H677" s="45"/>
      <c r="I677" s="367"/>
      <c r="J677" s="54" t="s">
        <v>674</v>
      </c>
      <c r="K677" s="48" t="s">
        <v>1969</v>
      </c>
      <c r="L677" s="367"/>
      <c r="M677" s="150"/>
      <c r="N677" s="367"/>
      <c r="O677" s="367"/>
      <c r="P677" s="311"/>
      <c r="Q677" s="367"/>
      <c r="R677" s="367"/>
      <c r="S677" s="367"/>
      <c r="T677" s="367"/>
      <c r="U677" s="367"/>
      <c r="V677" s="367"/>
      <c r="W677" s="367"/>
      <c r="X677" s="367"/>
      <c r="Y677" s="367"/>
      <c r="Z677" s="367"/>
      <c r="AA677" s="367"/>
      <c r="AB677" s="150"/>
      <c r="AC677" s="48" t="s">
        <v>2232</v>
      </c>
      <c r="AD677" s="150" t="s">
        <v>169</v>
      </c>
      <c r="AE677" s="262"/>
      <c r="AF677" s="262"/>
      <c r="AG677" s="286">
        <v>46042</v>
      </c>
      <c r="AH677" s="49">
        <v>46042</v>
      </c>
      <c r="AI677" s="266">
        <v>46023</v>
      </c>
      <c r="AJ677" s="150" t="s">
        <v>131</v>
      </c>
      <c r="AK677" s="150" t="s">
        <v>166</v>
      </c>
      <c r="AL677" s="150"/>
      <c r="AM677" s="150" t="s">
        <v>134</v>
      </c>
      <c r="AN677" s="367"/>
      <c r="AO677" s="367"/>
      <c r="AP677" s="367"/>
      <c r="AQ677" s="366"/>
      <c r="AR677" s="367"/>
      <c r="AS677" s="367"/>
      <c r="AT677" s="45">
        <v>45971</v>
      </c>
      <c r="AU677" s="45">
        <v>45939</v>
      </c>
      <c r="AV677" s="45">
        <v>45939</v>
      </c>
      <c r="AW677" s="367"/>
      <c r="AX677" s="367"/>
      <c r="AY677" s="367"/>
      <c r="AZ677" s="367"/>
      <c r="BA677" s="367"/>
      <c r="BB677" s="152" t="s">
        <v>2233</v>
      </c>
      <c r="BC677" s="152"/>
      <c r="BD677" s="367" t="s">
        <v>1605</v>
      </c>
      <c r="BE677" s="367"/>
      <c r="BF677" s="367"/>
      <c r="BG677" s="367"/>
      <c r="BH677" s="260"/>
      <c r="BI677" s="54"/>
      <c r="BJ677" s="54"/>
      <c r="BK677" s="54"/>
      <c r="BL677" s="54"/>
    </row>
    <row r="678" spans="1:64" ht="36" customHeight="1" x14ac:dyDescent="0.3">
      <c r="A678" s="367">
        <f t="shared" si="13"/>
        <v>673</v>
      </c>
      <c r="B678" s="54" t="s">
        <v>2234</v>
      </c>
      <c r="C678" s="367" t="s">
        <v>5</v>
      </c>
      <c r="D678" s="367" t="s">
        <v>2208</v>
      </c>
      <c r="E678" s="45">
        <v>45992</v>
      </c>
      <c r="F678" s="45">
        <v>46010</v>
      </c>
      <c r="G678" s="45"/>
      <c r="H678" s="45"/>
      <c r="I678" s="367"/>
      <c r="J678" s="54" t="s">
        <v>810</v>
      </c>
      <c r="K678" s="48" t="s">
        <v>2235</v>
      </c>
      <c r="L678" s="367"/>
      <c r="M678" s="150"/>
      <c r="N678" s="367"/>
      <c r="O678" s="367"/>
      <c r="P678" s="311"/>
      <c r="Q678" s="367"/>
      <c r="R678" s="367"/>
      <c r="S678" s="367"/>
      <c r="T678" s="367"/>
      <c r="U678" s="367"/>
      <c r="V678" s="367"/>
      <c r="W678" s="367"/>
      <c r="X678" s="367"/>
      <c r="Y678" s="367"/>
      <c r="Z678" s="367"/>
      <c r="AA678" s="367"/>
      <c r="AB678" s="150"/>
      <c r="AC678" s="48" t="s">
        <v>2236</v>
      </c>
      <c r="AD678" s="150" t="s">
        <v>169</v>
      </c>
      <c r="AE678" s="262"/>
      <c r="AF678" s="262"/>
      <c r="AG678" s="286">
        <v>46042</v>
      </c>
      <c r="AH678" s="49">
        <v>46042</v>
      </c>
      <c r="AI678" s="266">
        <v>46023</v>
      </c>
      <c r="AJ678" s="150" t="s">
        <v>131</v>
      </c>
      <c r="AK678" s="150" t="s">
        <v>166</v>
      </c>
      <c r="AL678" s="150"/>
      <c r="AM678" s="150" t="s">
        <v>134</v>
      </c>
      <c r="AN678" s="367"/>
      <c r="AO678" s="367"/>
      <c r="AP678" s="367"/>
      <c r="AQ678" s="366"/>
      <c r="AR678" s="367"/>
      <c r="AS678" s="367"/>
      <c r="AT678" s="45">
        <v>45971</v>
      </c>
      <c r="AU678" s="45">
        <v>45939</v>
      </c>
      <c r="AV678" s="45">
        <v>45939</v>
      </c>
      <c r="AW678" s="367"/>
      <c r="AX678" s="367"/>
      <c r="AY678" s="367"/>
      <c r="AZ678" s="367"/>
      <c r="BA678" s="367"/>
      <c r="BB678" s="152" t="s">
        <v>2237</v>
      </c>
      <c r="BC678" s="152"/>
      <c r="BD678" s="367" t="s">
        <v>1605</v>
      </c>
      <c r="BE678" s="367"/>
      <c r="BF678" s="367"/>
      <c r="BG678" s="367"/>
      <c r="BH678" s="260"/>
      <c r="BI678" s="54"/>
      <c r="BJ678" s="54"/>
      <c r="BK678" s="54"/>
      <c r="BL678" s="54"/>
    </row>
    <row r="679" spans="1:64" ht="36" customHeight="1" x14ac:dyDescent="0.3">
      <c r="A679" s="367">
        <f t="shared" si="13"/>
        <v>674</v>
      </c>
      <c r="B679" s="54" t="s">
        <v>2238</v>
      </c>
      <c r="C679" s="367" t="s">
        <v>5</v>
      </c>
      <c r="D679" s="367" t="s">
        <v>2164</v>
      </c>
      <c r="E679" s="45">
        <v>45992</v>
      </c>
      <c r="F679" s="45">
        <v>46010</v>
      </c>
      <c r="G679" s="45"/>
      <c r="H679" s="302"/>
      <c r="I679" s="367"/>
      <c r="J679" s="54" t="s">
        <v>644</v>
      </c>
      <c r="K679" s="48" t="s">
        <v>882</v>
      </c>
      <c r="L679" s="367"/>
      <c r="M679" s="150"/>
      <c r="N679" s="367"/>
      <c r="O679" s="367"/>
      <c r="P679" s="311"/>
      <c r="Q679" s="367"/>
      <c r="R679" s="367"/>
      <c r="S679" s="367"/>
      <c r="T679" s="367"/>
      <c r="U679" s="367"/>
      <c r="V679" s="367"/>
      <c r="W679" s="367"/>
      <c r="X679" s="367"/>
      <c r="Y679" s="367"/>
      <c r="Z679" s="367"/>
      <c r="AA679" s="367"/>
      <c r="AB679" s="150"/>
      <c r="AC679" s="48" t="s">
        <v>2239</v>
      </c>
      <c r="AD679" s="150" t="s">
        <v>169</v>
      </c>
      <c r="AE679" s="262"/>
      <c r="AF679" s="262"/>
      <c r="AG679" s="286">
        <v>46042</v>
      </c>
      <c r="AH679" s="49">
        <v>46042</v>
      </c>
      <c r="AI679" s="266">
        <v>46023</v>
      </c>
      <c r="AJ679" s="150" t="s">
        <v>131</v>
      </c>
      <c r="AK679" s="150" t="s">
        <v>166</v>
      </c>
      <c r="AL679" s="150"/>
      <c r="AM679" s="150" t="s">
        <v>134</v>
      </c>
      <c r="AN679" s="367"/>
      <c r="AO679" s="367"/>
      <c r="AP679" s="367"/>
      <c r="AQ679" s="366"/>
      <c r="AR679" s="367"/>
      <c r="AS679" s="367"/>
      <c r="AT679" s="367"/>
      <c r="AU679" s="367"/>
      <c r="AV679" s="367"/>
      <c r="AW679" s="367"/>
      <c r="AX679" s="367"/>
      <c r="AY679" s="367"/>
      <c r="AZ679" s="367"/>
      <c r="BA679" s="367"/>
      <c r="BB679" s="152" t="s">
        <v>2240</v>
      </c>
      <c r="BC679" s="152"/>
      <c r="BD679" s="367" t="s">
        <v>1605</v>
      </c>
      <c r="BE679" s="367"/>
      <c r="BF679" s="367"/>
      <c r="BG679" s="367"/>
      <c r="BH679" s="260"/>
      <c r="BI679" s="54"/>
      <c r="BJ679" s="54"/>
      <c r="BK679" s="54"/>
      <c r="BL679" s="54"/>
    </row>
    <row r="680" spans="1:64" ht="36" customHeight="1" x14ac:dyDescent="0.3">
      <c r="A680" s="367">
        <f t="shared" si="13"/>
        <v>675</v>
      </c>
      <c r="B680" s="54" t="s">
        <v>2241</v>
      </c>
      <c r="C680" s="367" t="s">
        <v>5</v>
      </c>
      <c r="D680" s="367" t="s">
        <v>2242</v>
      </c>
      <c r="E680" s="45">
        <v>45971</v>
      </c>
      <c r="F680" s="45">
        <v>45976</v>
      </c>
      <c r="G680" s="45"/>
      <c r="H680" s="45"/>
      <c r="I680" s="367"/>
      <c r="J680" s="54" t="s">
        <v>29</v>
      </c>
      <c r="K680" s="48" t="s">
        <v>29</v>
      </c>
      <c r="L680" s="367"/>
      <c r="M680" s="150"/>
      <c r="N680" s="367"/>
      <c r="O680" s="367"/>
      <c r="P680" s="311"/>
      <c r="Q680" s="367"/>
      <c r="R680" s="367"/>
      <c r="S680" s="367"/>
      <c r="T680" s="367"/>
      <c r="U680" s="367"/>
      <c r="V680" s="367"/>
      <c r="W680" s="367"/>
      <c r="X680" s="367"/>
      <c r="Y680" s="367"/>
      <c r="Z680" s="367"/>
      <c r="AA680" s="367"/>
      <c r="AB680" s="150"/>
      <c r="AC680" s="48" t="s">
        <v>2243</v>
      </c>
      <c r="AD680" s="150" t="s">
        <v>361</v>
      </c>
      <c r="AE680" s="262"/>
      <c r="AF680" s="262"/>
      <c r="AG680" s="286">
        <v>46042</v>
      </c>
      <c r="AH680" s="49">
        <v>46042</v>
      </c>
      <c r="AI680" s="266">
        <v>46023</v>
      </c>
      <c r="AJ680" s="150" t="s">
        <v>131</v>
      </c>
      <c r="AK680" s="150" t="s">
        <v>166</v>
      </c>
      <c r="AL680" s="150"/>
      <c r="AM680" s="150" t="s">
        <v>134</v>
      </c>
      <c r="AN680" s="367"/>
      <c r="AO680" s="367"/>
      <c r="AP680" s="367"/>
      <c r="AQ680" s="366"/>
      <c r="AR680" s="367"/>
      <c r="AS680" s="367"/>
      <c r="AT680" s="367"/>
      <c r="AU680" s="367"/>
      <c r="AV680" s="367"/>
      <c r="AW680" s="367"/>
      <c r="AX680" s="367"/>
      <c r="AY680" s="367"/>
      <c r="AZ680" s="367"/>
      <c r="BA680" s="367"/>
      <c r="BB680" s="152"/>
      <c r="BC680" s="152"/>
      <c r="BD680" s="367" t="s">
        <v>1605</v>
      </c>
      <c r="BE680" s="367"/>
      <c r="BF680" s="367"/>
      <c r="BG680" s="367"/>
      <c r="BH680" s="260"/>
      <c r="BI680" s="54"/>
      <c r="BJ680" s="54"/>
      <c r="BK680" s="54"/>
      <c r="BL680" s="54"/>
    </row>
    <row r="681" spans="1:64" ht="36" customHeight="1" x14ac:dyDescent="0.3">
      <c r="A681" s="367">
        <f t="shared" si="13"/>
        <v>676</v>
      </c>
      <c r="B681" s="54" t="s">
        <v>2244</v>
      </c>
      <c r="C681" s="367" t="s">
        <v>10</v>
      </c>
      <c r="D681" s="367"/>
      <c r="E681" s="367"/>
      <c r="F681" s="367"/>
      <c r="G681" s="367"/>
      <c r="H681" s="367"/>
      <c r="I681" s="367"/>
      <c r="J681" s="54" t="s">
        <v>10</v>
      </c>
      <c r="K681" s="48" t="s">
        <v>10</v>
      </c>
      <c r="L681" s="367"/>
      <c r="M681" s="150"/>
      <c r="N681" s="367"/>
      <c r="O681" s="367"/>
      <c r="P681" s="311"/>
      <c r="Q681" s="367"/>
      <c r="R681" s="367"/>
      <c r="S681" s="367"/>
      <c r="T681" s="367"/>
      <c r="U681" s="367"/>
      <c r="V681" s="367"/>
      <c r="W681" s="367"/>
      <c r="X681" s="367"/>
      <c r="Y681" s="367"/>
      <c r="Z681" s="367"/>
      <c r="AA681" s="367"/>
      <c r="AB681" s="150"/>
      <c r="AC681" s="48" t="s">
        <v>2245</v>
      </c>
      <c r="AD681" s="150" t="s">
        <v>723</v>
      </c>
      <c r="AE681" s="262"/>
      <c r="AF681" s="262"/>
      <c r="AG681" s="286"/>
      <c r="AH681" s="49"/>
      <c r="AI681" s="266"/>
      <c r="AJ681" s="150" t="s">
        <v>617</v>
      </c>
      <c r="AK681" s="150"/>
      <c r="AL681" s="150"/>
      <c r="AM681" s="150"/>
      <c r="AN681" s="367"/>
      <c r="AO681" s="367"/>
      <c r="AP681" s="367"/>
      <c r="AQ681" s="366"/>
      <c r="AR681" s="367"/>
      <c r="AS681" s="367"/>
      <c r="AT681" s="367"/>
      <c r="AU681" s="367"/>
      <c r="AV681" s="367"/>
      <c r="AW681" s="367"/>
      <c r="AX681" s="367"/>
      <c r="AY681" s="367"/>
      <c r="AZ681" s="367"/>
      <c r="BA681" s="367"/>
      <c r="BB681" s="152"/>
      <c r="BC681" s="152"/>
      <c r="BD681" s="367"/>
      <c r="BE681" s="367"/>
      <c r="BF681" s="367"/>
      <c r="BG681" s="367"/>
      <c r="BH681" s="260"/>
      <c r="BI681" s="54"/>
      <c r="BJ681" s="54"/>
      <c r="BK681" s="54"/>
      <c r="BL681" s="54"/>
    </row>
    <row r="682" spans="1:64" ht="33" customHeight="1" x14ac:dyDescent="0.3">
      <c r="A682" s="367">
        <f t="shared" si="13"/>
        <v>677</v>
      </c>
      <c r="B682" s="54" t="s">
        <v>2246</v>
      </c>
      <c r="C682" s="367" t="s">
        <v>12</v>
      </c>
      <c r="D682" s="367"/>
      <c r="E682" s="367"/>
      <c r="F682" s="367"/>
      <c r="G682" s="367"/>
      <c r="H682" s="367"/>
      <c r="I682" s="367"/>
      <c r="J682" s="54"/>
      <c r="K682" s="48"/>
      <c r="L682" s="367"/>
      <c r="M682" s="150"/>
      <c r="N682" s="367"/>
      <c r="O682" s="367"/>
      <c r="P682" s="58"/>
      <c r="Q682" s="367"/>
      <c r="R682" s="367"/>
      <c r="S682" s="367"/>
      <c r="T682" s="367"/>
      <c r="U682" s="367"/>
      <c r="V682" s="367"/>
      <c r="W682" s="367"/>
      <c r="X682" s="367"/>
      <c r="Y682" s="367"/>
      <c r="Z682" s="367"/>
      <c r="AA682" s="367"/>
      <c r="AB682" s="150"/>
      <c r="AC682" s="48" t="s">
        <v>2247</v>
      </c>
      <c r="AD682" s="262" t="s">
        <v>2248</v>
      </c>
      <c r="AE682" s="262"/>
      <c r="AF682" s="262"/>
      <c r="AG682" s="286"/>
      <c r="AH682" s="49"/>
      <c r="AI682" s="266"/>
      <c r="AJ682" s="150" t="s">
        <v>264</v>
      </c>
      <c r="AK682" s="150"/>
      <c r="AL682" s="150"/>
      <c r="AM682" s="150"/>
      <c r="AN682" s="367"/>
      <c r="AO682" s="367"/>
      <c r="AP682" s="367"/>
      <c r="AQ682" s="366"/>
      <c r="AR682" s="367"/>
      <c r="AS682" s="367"/>
      <c r="AT682" s="367"/>
      <c r="AU682" s="367"/>
      <c r="AV682" s="367"/>
      <c r="AW682" s="367"/>
      <c r="AX682" s="367"/>
      <c r="AY682" s="367"/>
      <c r="AZ682" s="367"/>
      <c r="BA682" s="367"/>
      <c r="BB682" s="152"/>
      <c r="BC682" s="152"/>
      <c r="BD682" s="367"/>
      <c r="BE682" s="367"/>
      <c r="BF682" s="367"/>
      <c r="BG682" s="367"/>
      <c r="BH682" s="260"/>
      <c r="BI682" s="54"/>
      <c r="BJ682" s="54"/>
      <c r="BK682" s="54"/>
      <c r="BL682" s="54"/>
    </row>
    <row r="683" spans="1:64" ht="36" customHeight="1" x14ac:dyDescent="0.3">
      <c r="A683" s="367">
        <f t="shared" si="13"/>
        <v>678</v>
      </c>
      <c r="B683" s="54" t="s">
        <v>2249</v>
      </c>
      <c r="C683" s="367" t="s">
        <v>0</v>
      </c>
      <c r="D683" s="367" t="s">
        <v>2250</v>
      </c>
      <c r="E683" s="367"/>
      <c r="F683" s="367"/>
      <c r="G683" s="367"/>
      <c r="H683" s="367"/>
      <c r="I683" s="367" t="s">
        <v>30</v>
      </c>
      <c r="J683" s="54" t="s">
        <v>590</v>
      </c>
      <c r="K683" s="48" t="s">
        <v>2251</v>
      </c>
      <c r="L683" s="367"/>
      <c r="M683" s="150"/>
      <c r="N683" s="367"/>
      <c r="O683" s="367"/>
      <c r="P683" s="311"/>
      <c r="Q683" s="367"/>
      <c r="R683" s="367"/>
      <c r="S683" s="367"/>
      <c r="T683" s="367"/>
      <c r="U683" s="367"/>
      <c r="V683" s="367"/>
      <c r="W683" s="367"/>
      <c r="X683" s="367" t="s">
        <v>2107</v>
      </c>
      <c r="Y683" s="367"/>
      <c r="Z683" s="367"/>
      <c r="AA683" s="367"/>
      <c r="AB683" s="150"/>
      <c r="AC683" s="48" t="s">
        <v>2252</v>
      </c>
      <c r="AD683" s="150" t="s">
        <v>160</v>
      </c>
      <c r="AE683" s="296"/>
      <c r="AF683" s="296"/>
      <c r="AG683" s="286">
        <v>46142</v>
      </c>
      <c r="AH683" s="49">
        <v>46172</v>
      </c>
      <c r="AI683" s="266">
        <v>46143</v>
      </c>
      <c r="AJ683" s="150" t="s">
        <v>548</v>
      </c>
      <c r="AK683" s="150" t="s">
        <v>161</v>
      </c>
      <c r="AL683" s="150" t="s">
        <v>191</v>
      </c>
      <c r="AM683" s="150" t="s">
        <v>134</v>
      </c>
      <c r="AN683" s="345">
        <v>46137</v>
      </c>
      <c r="AO683" s="367"/>
      <c r="AP683" s="367"/>
      <c r="AQ683" s="366"/>
      <c r="AR683" s="367"/>
      <c r="AS683" s="367"/>
      <c r="AT683" s="45">
        <v>46147</v>
      </c>
      <c r="AU683" s="45">
        <v>46105</v>
      </c>
      <c r="AV683" s="45">
        <v>46128</v>
      </c>
      <c r="AW683" s="45">
        <v>46083</v>
      </c>
      <c r="AX683" s="367"/>
      <c r="AY683" s="367"/>
      <c r="AZ683" s="367"/>
      <c r="BA683" s="367"/>
      <c r="BB683" s="152" t="s">
        <v>2253</v>
      </c>
      <c r="BC683" s="152"/>
      <c r="BD683" s="367"/>
      <c r="BE683" s="367"/>
      <c r="BF683" s="367"/>
      <c r="BG683" s="367"/>
      <c r="BH683" s="260"/>
      <c r="BI683" s="54"/>
      <c r="BJ683" s="54"/>
      <c r="BK683" s="54"/>
      <c r="BL683" s="54"/>
    </row>
    <row r="684" spans="1:64" ht="36" customHeight="1" x14ac:dyDescent="0.3">
      <c r="A684" s="367">
        <f t="shared" si="13"/>
        <v>679</v>
      </c>
      <c r="B684" s="54" t="s">
        <v>2254</v>
      </c>
      <c r="C684" s="367" t="s">
        <v>2</v>
      </c>
      <c r="D684" s="367" t="s">
        <v>2255</v>
      </c>
      <c r="E684" s="45">
        <v>46042</v>
      </c>
      <c r="F684" s="45">
        <v>46043</v>
      </c>
      <c r="G684" s="367"/>
      <c r="H684" s="367"/>
      <c r="I684" s="367" t="s">
        <v>20</v>
      </c>
      <c r="J684" s="54" t="s">
        <v>2256</v>
      </c>
      <c r="K684" s="48" t="s">
        <v>521</v>
      </c>
      <c r="L684" s="367">
        <v>1000</v>
      </c>
      <c r="M684" s="150" t="s">
        <v>120</v>
      </c>
      <c r="N684" s="150" t="s">
        <v>2257</v>
      </c>
      <c r="O684" s="367"/>
      <c r="P684" s="311"/>
      <c r="Q684" s="367"/>
      <c r="R684" s="367"/>
      <c r="S684" s="367"/>
      <c r="T684" s="367"/>
      <c r="U684" s="367" t="s">
        <v>127</v>
      </c>
      <c r="V684" s="367" t="s">
        <v>127</v>
      </c>
      <c r="W684" s="367"/>
      <c r="X684" s="367" t="s">
        <v>269</v>
      </c>
      <c r="Y684" s="367"/>
      <c r="Z684" s="367"/>
      <c r="AA684" s="367"/>
      <c r="AB684" s="150"/>
      <c r="AC684" s="48" t="s">
        <v>2258</v>
      </c>
      <c r="AD684" s="150" t="s">
        <v>56</v>
      </c>
      <c r="AE684" s="296"/>
      <c r="AF684" s="296"/>
      <c r="AG684" s="286">
        <v>46042</v>
      </c>
      <c r="AH684" s="49">
        <v>46042</v>
      </c>
      <c r="AI684" s="266">
        <v>45992</v>
      </c>
      <c r="AJ684" s="150" t="s">
        <v>131</v>
      </c>
      <c r="AK684" s="150" t="s">
        <v>161</v>
      </c>
      <c r="AL684" s="150" t="s">
        <v>133</v>
      </c>
      <c r="AM684" s="150" t="s">
        <v>134</v>
      </c>
      <c r="AN684" s="367"/>
      <c r="AO684" s="367"/>
      <c r="AP684" s="367"/>
      <c r="AQ684" s="366"/>
      <c r="AR684" s="367"/>
      <c r="AS684" s="367"/>
      <c r="AT684" s="45">
        <v>46002</v>
      </c>
      <c r="AU684" s="45">
        <v>45972</v>
      </c>
      <c r="AV684" s="367"/>
      <c r="AW684" s="45">
        <v>45960</v>
      </c>
      <c r="AX684" s="367"/>
      <c r="AY684" s="367"/>
      <c r="AZ684" s="367"/>
      <c r="BA684" s="367"/>
      <c r="BB684" s="152"/>
      <c r="BC684" s="152"/>
      <c r="BD684" s="367"/>
      <c r="BE684" s="367"/>
      <c r="BF684" s="367"/>
      <c r="BG684" s="367"/>
      <c r="BH684" s="260"/>
      <c r="BI684" s="54"/>
      <c r="BJ684" s="54"/>
      <c r="BK684" s="54"/>
      <c r="BL684" s="54"/>
    </row>
    <row r="685" spans="1:64" ht="36" customHeight="1" x14ac:dyDescent="0.3">
      <c r="A685" s="367">
        <v>680</v>
      </c>
      <c r="B685" s="54" t="s">
        <v>2259</v>
      </c>
      <c r="C685" s="367" t="s">
        <v>2</v>
      </c>
      <c r="D685" s="367"/>
      <c r="E685" s="367"/>
      <c r="F685" s="367"/>
      <c r="G685" s="367"/>
      <c r="H685" s="367"/>
      <c r="I685" s="367" t="s">
        <v>20</v>
      </c>
      <c r="J685" s="54" t="s">
        <v>2256</v>
      </c>
      <c r="K685" s="48" t="s">
        <v>521</v>
      </c>
      <c r="L685" s="367">
        <v>1000</v>
      </c>
      <c r="M685" s="150" t="s">
        <v>120</v>
      </c>
      <c r="N685" s="150" t="s">
        <v>2257</v>
      </c>
      <c r="O685" s="367"/>
      <c r="P685" s="367"/>
      <c r="Q685" s="367"/>
      <c r="R685" s="367"/>
      <c r="S685" s="367"/>
      <c r="T685" s="367"/>
      <c r="U685" s="367"/>
      <c r="V685" s="367"/>
      <c r="W685" s="367"/>
      <c r="X685" s="367" t="s">
        <v>269</v>
      </c>
      <c r="Y685" s="367"/>
      <c r="Z685" s="367"/>
      <c r="AA685" s="367"/>
      <c r="AB685" s="150"/>
      <c r="AC685" s="48" t="s">
        <v>2258</v>
      </c>
      <c r="AD685" s="150" t="s">
        <v>56</v>
      </c>
      <c r="AE685" s="296"/>
      <c r="AF685" s="296"/>
      <c r="AG685" s="286"/>
      <c r="AH685" s="49"/>
      <c r="AI685" s="266">
        <v>45992</v>
      </c>
      <c r="AJ685" s="150" t="s">
        <v>264</v>
      </c>
      <c r="AK685" s="150" t="s">
        <v>161</v>
      </c>
      <c r="AL685" s="150" t="s">
        <v>133</v>
      </c>
      <c r="AM685" s="150" t="s">
        <v>134</v>
      </c>
      <c r="AN685" s="367"/>
      <c r="AO685" s="367"/>
      <c r="AP685" s="367"/>
      <c r="AQ685" s="366"/>
      <c r="AR685" s="367"/>
      <c r="AS685" s="367"/>
      <c r="AT685" s="367"/>
      <c r="AU685" s="367"/>
      <c r="AV685" s="367"/>
      <c r="AW685" s="367"/>
      <c r="AX685" s="367"/>
      <c r="AY685" s="367"/>
      <c r="AZ685" s="367"/>
      <c r="BA685" s="367"/>
      <c r="BB685" s="152" t="s">
        <v>2260</v>
      </c>
      <c r="BC685" s="152"/>
      <c r="BD685" s="367"/>
      <c r="BE685" s="367"/>
      <c r="BF685" s="367"/>
      <c r="BG685" s="367"/>
      <c r="BH685" s="260"/>
      <c r="BI685" s="54"/>
      <c r="BJ685" s="54"/>
      <c r="BK685" s="54"/>
      <c r="BL685" s="54"/>
    </row>
    <row r="686" spans="1:64" ht="36" customHeight="1" x14ac:dyDescent="0.3">
      <c r="A686" s="367">
        <f t="shared" ref="A686:A749" si="14">ROW(B686)-ROW($B$5)</f>
        <v>681</v>
      </c>
      <c r="B686" s="54" t="s">
        <v>2261</v>
      </c>
      <c r="C686" s="367" t="s">
        <v>5</v>
      </c>
      <c r="D686" s="367" t="s">
        <v>2262</v>
      </c>
      <c r="E686" s="45">
        <v>45971</v>
      </c>
      <c r="F686" s="45">
        <v>45978</v>
      </c>
      <c r="G686" s="45"/>
      <c r="H686" s="45"/>
      <c r="I686" s="367"/>
      <c r="J686" s="54" t="s">
        <v>810</v>
      </c>
      <c r="K686" s="48" t="s">
        <v>2263</v>
      </c>
      <c r="L686" s="367"/>
      <c r="M686" s="150" t="s">
        <v>65</v>
      </c>
      <c r="N686" s="367"/>
      <c r="O686" s="367"/>
      <c r="P686" s="311"/>
      <c r="Q686" s="367"/>
      <c r="R686" s="367"/>
      <c r="S686" s="367"/>
      <c r="T686" s="367"/>
      <c r="U686" s="367"/>
      <c r="V686" s="367"/>
      <c r="W686" s="367"/>
      <c r="X686" s="367"/>
      <c r="Y686" s="367"/>
      <c r="Z686" s="367"/>
      <c r="AA686" s="367"/>
      <c r="AB686" s="150"/>
      <c r="AC686" s="48" t="s">
        <v>2264</v>
      </c>
      <c r="AD686" s="150" t="s">
        <v>361</v>
      </c>
      <c r="AE686" s="296"/>
      <c r="AF686" s="296"/>
      <c r="AG686" s="286"/>
      <c r="AH686" s="49">
        <v>45986</v>
      </c>
      <c r="AI686" s="266">
        <v>45931</v>
      </c>
      <c r="AJ686" s="150" t="s">
        <v>131</v>
      </c>
      <c r="AK686" s="150" t="s">
        <v>132</v>
      </c>
      <c r="AL686" s="150" t="s">
        <v>191</v>
      </c>
      <c r="AM686" s="150" t="s">
        <v>134</v>
      </c>
      <c r="AN686" s="367"/>
      <c r="AO686" s="367"/>
      <c r="AP686" s="367"/>
      <c r="AQ686" s="366"/>
      <c r="AR686" s="367"/>
      <c r="AS686" s="367"/>
      <c r="AT686" s="367"/>
      <c r="AU686" s="367"/>
      <c r="AV686" s="367"/>
      <c r="AW686" s="367"/>
      <c r="AX686" s="367"/>
      <c r="AY686" s="367"/>
      <c r="AZ686" s="367"/>
      <c r="BA686" s="367"/>
      <c r="BB686" s="152"/>
      <c r="BC686" s="152"/>
      <c r="BD686" s="367" t="s">
        <v>1605</v>
      </c>
      <c r="BE686" s="367"/>
      <c r="BF686" s="367"/>
      <c r="BG686" s="367"/>
      <c r="BH686" s="260"/>
      <c r="BI686" s="54"/>
      <c r="BJ686" s="54"/>
      <c r="BK686" s="54"/>
      <c r="BL686" s="54"/>
    </row>
    <row r="687" spans="1:64" ht="36" customHeight="1" x14ac:dyDescent="0.3">
      <c r="A687" s="367">
        <f t="shared" si="14"/>
        <v>682</v>
      </c>
      <c r="B687" s="54" t="s">
        <v>2265</v>
      </c>
      <c r="C687" s="367" t="s">
        <v>5</v>
      </c>
      <c r="D687" s="367"/>
      <c r="E687" s="45">
        <v>45971</v>
      </c>
      <c r="F687" s="45">
        <v>45978</v>
      </c>
      <c r="G687" s="45"/>
      <c r="H687" s="45"/>
      <c r="I687" s="367"/>
      <c r="J687" s="54" t="s">
        <v>810</v>
      </c>
      <c r="K687" s="48" t="s">
        <v>2263</v>
      </c>
      <c r="L687" s="367"/>
      <c r="M687" s="150" t="s">
        <v>65</v>
      </c>
      <c r="N687" s="367"/>
      <c r="O687" s="367"/>
      <c r="P687" s="311"/>
      <c r="Q687" s="367"/>
      <c r="R687" s="367"/>
      <c r="S687" s="367"/>
      <c r="T687" s="367"/>
      <c r="U687" s="367"/>
      <c r="V687" s="367"/>
      <c r="W687" s="367"/>
      <c r="X687" s="367"/>
      <c r="Y687" s="367"/>
      <c r="Z687" s="367"/>
      <c r="AA687" s="367"/>
      <c r="AB687" s="150"/>
      <c r="AC687" s="48" t="s">
        <v>2266</v>
      </c>
      <c r="AD687" s="150" t="s">
        <v>361</v>
      </c>
      <c r="AE687" s="296"/>
      <c r="AF687" s="296"/>
      <c r="AG687" s="286"/>
      <c r="AH687" s="49">
        <v>45986</v>
      </c>
      <c r="AI687" s="266">
        <v>45931</v>
      </c>
      <c r="AJ687" s="150" t="s">
        <v>131</v>
      </c>
      <c r="AK687" s="150" t="s">
        <v>166</v>
      </c>
      <c r="AL687" s="150" t="s">
        <v>191</v>
      </c>
      <c r="AM687" s="150" t="s">
        <v>134</v>
      </c>
      <c r="AN687" s="367"/>
      <c r="AO687" s="367"/>
      <c r="AP687" s="367"/>
      <c r="AQ687" s="366"/>
      <c r="AR687" s="367"/>
      <c r="AS687" s="367"/>
      <c r="AT687" s="367"/>
      <c r="AU687" s="367"/>
      <c r="AV687" s="367"/>
      <c r="AW687" s="367"/>
      <c r="AX687" s="367"/>
      <c r="AY687" s="367"/>
      <c r="AZ687" s="367"/>
      <c r="BA687" s="367"/>
      <c r="BB687" s="152"/>
      <c r="BC687" s="152"/>
      <c r="BD687" s="367" t="s">
        <v>1605</v>
      </c>
      <c r="BE687" s="367"/>
      <c r="BF687" s="367"/>
      <c r="BG687" s="367"/>
      <c r="BH687" s="260"/>
      <c r="BI687" s="54"/>
      <c r="BJ687" s="54"/>
      <c r="BK687" s="54"/>
      <c r="BL687" s="54"/>
    </row>
    <row r="688" spans="1:64" ht="36" customHeight="1" x14ac:dyDescent="0.3">
      <c r="A688" s="367">
        <f t="shared" si="14"/>
        <v>683</v>
      </c>
      <c r="B688" s="54" t="s">
        <v>2267</v>
      </c>
      <c r="C688" s="367" t="s">
        <v>5</v>
      </c>
      <c r="D688" s="367"/>
      <c r="E688" s="45">
        <v>46096</v>
      </c>
      <c r="F688" s="45"/>
      <c r="G688" s="45"/>
      <c r="H688" s="45"/>
      <c r="I688" s="367"/>
      <c r="J688" s="54" t="s">
        <v>29</v>
      </c>
      <c r="K688" s="48" t="s">
        <v>29</v>
      </c>
      <c r="L688" s="367"/>
      <c r="M688" s="150"/>
      <c r="N688" s="367"/>
      <c r="O688" s="367"/>
      <c r="P688" s="367"/>
      <c r="Q688" s="367"/>
      <c r="R688" s="367"/>
      <c r="S688" s="367"/>
      <c r="T688" s="367"/>
      <c r="U688" s="367"/>
      <c r="V688" s="367"/>
      <c r="W688" s="367"/>
      <c r="X688" s="367"/>
      <c r="Y688" s="367"/>
      <c r="Z688" s="367"/>
      <c r="AA688" s="367"/>
      <c r="AB688" s="150"/>
      <c r="AC688" s="48" t="s">
        <v>2268</v>
      </c>
      <c r="AD688" s="150" t="s">
        <v>361</v>
      </c>
      <c r="AE688" s="296"/>
      <c r="AF688" s="296"/>
      <c r="AG688" s="286"/>
      <c r="AH688" s="49">
        <v>46111</v>
      </c>
      <c r="AI688" s="266">
        <v>46357</v>
      </c>
      <c r="AJ688" s="150" t="s">
        <v>330</v>
      </c>
      <c r="AK688" s="150" t="s">
        <v>166</v>
      </c>
      <c r="AL688" s="150" t="s">
        <v>191</v>
      </c>
      <c r="AM688" s="150" t="s">
        <v>134</v>
      </c>
      <c r="AN688" s="367"/>
      <c r="AO688" s="367"/>
      <c r="AP688" s="367"/>
      <c r="AQ688" s="366"/>
      <c r="AR688" s="367"/>
      <c r="AS688" s="367"/>
      <c r="AT688" s="367"/>
      <c r="AU688" s="367"/>
      <c r="AV688" s="367"/>
      <c r="AW688" s="367"/>
      <c r="AX688" s="367"/>
      <c r="AY688" s="367"/>
      <c r="AZ688" s="367"/>
      <c r="BA688" s="367"/>
      <c r="BB688" s="152"/>
      <c r="BC688" s="152"/>
      <c r="BD688" s="367" t="s">
        <v>1605</v>
      </c>
      <c r="BE688" s="367"/>
      <c r="BF688" s="367"/>
      <c r="BG688" s="367"/>
      <c r="BH688" s="260"/>
      <c r="BI688" s="54"/>
      <c r="BJ688" s="54"/>
      <c r="BK688" s="54"/>
      <c r="BL688" s="54"/>
    </row>
    <row r="689" spans="1:66" ht="36" customHeight="1" x14ac:dyDescent="0.3">
      <c r="A689" s="367">
        <f t="shared" si="14"/>
        <v>684</v>
      </c>
      <c r="B689" s="54" t="s">
        <v>2269</v>
      </c>
      <c r="C689" s="367" t="s">
        <v>0</v>
      </c>
      <c r="D689" s="367" t="s">
        <v>2270</v>
      </c>
      <c r="E689" s="45">
        <v>46034</v>
      </c>
      <c r="F689" s="45">
        <v>46171</v>
      </c>
      <c r="G689" s="367"/>
      <c r="H689" s="367"/>
      <c r="I689" s="367"/>
      <c r="J689" s="54" t="s">
        <v>212</v>
      </c>
      <c r="K689" s="48" t="s">
        <v>2271</v>
      </c>
      <c r="L689" s="367" t="s">
        <v>2272</v>
      </c>
      <c r="M689" s="150" t="s">
        <v>120</v>
      </c>
      <c r="N689" s="150" t="s">
        <v>2273</v>
      </c>
      <c r="O689" s="150" t="s">
        <v>2274</v>
      </c>
      <c r="P689" s="313">
        <v>2</v>
      </c>
      <c r="Q689" s="367">
        <v>2.4</v>
      </c>
      <c r="R689" s="367"/>
      <c r="S689" s="367">
        <v>100</v>
      </c>
      <c r="T689" s="367">
        <v>15</v>
      </c>
      <c r="U689" s="367"/>
      <c r="V689" s="367"/>
      <c r="W689" s="367"/>
      <c r="X689" s="367" t="s">
        <v>150</v>
      </c>
      <c r="Y689" s="367" t="s">
        <v>127</v>
      </c>
      <c r="Z689" s="367"/>
      <c r="AA689" s="150" t="s">
        <v>2275</v>
      </c>
      <c r="AB689" s="150" t="s">
        <v>215</v>
      </c>
      <c r="AC689" s="48" t="s">
        <v>2276</v>
      </c>
      <c r="AD689" s="150" t="s">
        <v>284</v>
      </c>
      <c r="AE689" s="296"/>
      <c r="AF689" s="296"/>
      <c r="AG689" s="286"/>
      <c r="AH689" s="49">
        <v>46052</v>
      </c>
      <c r="AI689" s="266">
        <v>46023</v>
      </c>
      <c r="AJ689" s="150" t="s">
        <v>330</v>
      </c>
      <c r="AK689" s="150"/>
      <c r="AL689" s="150"/>
      <c r="AM689" s="150" t="s">
        <v>134</v>
      </c>
      <c r="AN689" s="367"/>
      <c r="AO689" s="367"/>
      <c r="AP689" s="367"/>
      <c r="AQ689" s="366"/>
      <c r="AR689" s="367"/>
      <c r="AS689" s="367"/>
      <c r="AT689" s="367"/>
      <c r="AU689" s="367"/>
      <c r="AV689" s="367"/>
      <c r="AW689" s="367"/>
      <c r="AX689" s="367"/>
      <c r="AY689" s="367"/>
      <c r="AZ689" s="367"/>
      <c r="BA689" s="367"/>
      <c r="BB689" s="152" t="s">
        <v>2277</v>
      </c>
      <c r="BC689" s="152"/>
      <c r="BD689" s="367"/>
      <c r="BE689" s="367"/>
      <c r="BF689" s="367"/>
      <c r="BG689" s="367"/>
      <c r="BH689" s="260"/>
      <c r="BI689" s="54"/>
      <c r="BJ689" s="54"/>
      <c r="BK689" s="54"/>
      <c r="BL689" s="54"/>
    </row>
    <row r="690" spans="1:66" ht="36" customHeight="1" x14ac:dyDescent="0.3">
      <c r="A690" s="367">
        <f t="shared" si="14"/>
        <v>685</v>
      </c>
      <c r="B690" s="54" t="s">
        <v>2278</v>
      </c>
      <c r="C690" s="367" t="s">
        <v>0</v>
      </c>
      <c r="D690" s="367"/>
      <c r="E690" s="367"/>
      <c r="F690" s="367"/>
      <c r="G690" s="367"/>
      <c r="H690" s="367"/>
      <c r="I690" s="367"/>
      <c r="J690" s="54" t="s">
        <v>212</v>
      </c>
      <c r="K690" s="48" t="s">
        <v>2279</v>
      </c>
      <c r="L690" s="367" t="s">
        <v>2280</v>
      </c>
      <c r="M690" s="150" t="s">
        <v>120</v>
      </c>
      <c r="N690" s="150" t="s">
        <v>2273</v>
      </c>
      <c r="O690" s="150" t="s">
        <v>2274</v>
      </c>
      <c r="P690" s="313">
        <v>2</v>
      </c>
      <c r="Q690" s="367">
        <v>3.8</v>
      </c>
      <c r="R690" s="367"/>
      <c r="S690" s="367">
        <v>100</v>
      </c>
      <c r="T690" s="297">
        <v>9.6</v>
      </c>
      <c r="U690" s="297"/>
      <c r="V690" s="297"/>
      <c r="W690" s="297"/>
      <c r="X690" s="367" t="s">
        <v>142</v>
      </c>
      <c r="Y690" s="367"/>
      <c r="Z690" s="367"/>
      <c r="AA690" s="150" t="s">
        <v>2275</v>
      </c>
      <c r="AB690" s="150" t="s">
        <v>215</v>
      </c>
      <c r="AC690" s="48" t="s">
        <v>2281</v>
      </c>
      <c r="AD690" s="150" t="s">
        <v>145</v>
      </c>
      <c r="AE690" s="296"/>
      <c r="AF690" s="296"/>
      <c r="AG690" s="286"/>
      <c r="AH690" s="49"/>
      <c r="AI690" s="266"/>
      <c r="AJ690" s="150" t="s">
        <v>617</v>
      </c>
      <c r="AK690" s="150"/>
      <c r="AL690" s="150"/>
      <c r="AM690" s="150" t="s">
        <v>134</v>
      </c>
      <c r="AN690" s="367"/>
      <c r="AO690" s="367"/>
      <c r="AP690" s="367"/>
      <c r="AQ690" s="366"/>
      <c r="AR690" s="367"/>
      <c r="AS690" s="367"/>
      <c r="AT690" s="367"/>
      <c r="AU690" s="367"/>
      <c r="AV690" s="367"/>
      <c r="AW690" s="367"/>
      <c r="AX690" s="367"/>
      <c r="AY690" s="367"/>
      <c r="AZ690" s="367"/>
      <c r="BA690" s="367"/>
      <c r="BB690" s="152"/>
      <c r="BC690" s="152"/>
      <c r="BD690" s="367"/>
      <c r="BE690" s="367"/>
      <c r="BF690" s="367"/>
      <c r="BG690" s="367"/>
      <c r="BH690" s="260"/>
      <c r="BI690" s="54"/>
      <c r="BJ690" s="54"/>
      <c r="BK690" s="54"/>
      <c r="BL690" s="54"/>
    </row>
    <row r="691" spans="1:66" ht="36" customHeight="1" x14ac:dyDescent="0.3">
      <c r="A691" s="367">
        <f t="shared" si="14"/>
        <v>686</v>
      </c>
      <c r="B691" s="54" t="s">
        <v>2282</v>
      </c>
      <c r="C691" s="367" t="s">
        <v>0</v>
      </c>
      <c r="D691" s="367" t="s">
        <v>2283</v>
      </c>
      <c r="E691" s="45">
        <v>46023</v>
      </c>
      <c r="F691" s="45">
        <v>46023</v>
      </c>
      <c r="G691" s="367"/>
      <c r="H691" s="367"/>
      <c r="I691" s="367"/>
      <c r="J691" s="54" t="s">
        <v>212</v>
      </c>
      <c r="K691" s="48" t="s">
        <v>2284</v>
      </c>
      <c r="L691" s="367" t="s">
        <v>2285</v>
      </c>
      <c r="M691" s="150" t="s">
        <v>120</v>
      </c>
      <c r="N691" s="150" t="s">
        <v>2273</v>
      </c>
      <c r="O691" s="150" t="s">
        <v>2274</v>
      </c>
      <c r="P691" s="313"/>
      <c r="Q691" s="367">
        <v>2.2000000000000002</v>
      </c>
      <c r="R691" s="367"/>
      <c r="S691" s="367">
        <v>50</v>
      </c>
      <c r="T691" s="367">
        <v>12</v>
      </c>
      <c r="U691" s="367"/>
      <c r="V691" s="367"/>
      <c r="W691" s="367"/>
      <c r="X691" s="367" t="s">
        <v>150</v>
      </c>
      <c r="Y691" s="367" t="s">
        <v>127</v>
      </c>
      <c r="Z691" s="367"/>
      <c r="AA691" s="367"/>
      <c r="AB691" s="150" t="s">
        <v>215</v>
      </c>
      <c r="AC691" s="48" t="s">
        <v>2286</v>
      </c>
      <c r="AD691" s="150" t="s">
        <v>152</v>
      </c>
      <c r="AE691" s="296"/>
      <c r="AF691" s="296"/>
      <c r="AG691" s="286"/>
      <c r="AH691" s="49"/>
      <c r="AI691" s="266"/>
      <c r="AJ691" s="150" t="s">
        <v>648</v>
      </c>
      <c r="AK691" s="150"/>
      <c r="AL691" s="150"/>
      <c r="AM691" s="150" t="s">
        <v>134</v>
      </c>
      <c r="AN691" s="367"/>
      <c r="AO691" s="367"/>
      <c r="AP691" s="367"/>
      <c r="AQ691" s="366"/>
      <c r="AR691" s="367"/>
      <c r="AS691" s="367"/>
      <c r="AT691" s="367"/>
      <c r="AU691" s="367"/>
      <c r="AV691" s="367"/>
      <c r="AW691" s="367"/>
      <c r="AX691" s="367"/>
      <c r="AY691" s="367"/>
      <c r="AZ691" s="367"/>
      <c r="BA691" s="367"/>
      <c r="BB691" s="152" t="s">
        <v>2287</v>
      </c>
      <c r="BC691" s="152"/>
      <c r="BD691" s="367"/>
      <c r="BE691" s="367"/>
      <c r="BF691" s="367"/>
      <c r="BG691" s="367"/>
      <c r="BH691" s="260"/>
      <c r="BI691" s="54"/>
      <c r="BJ691" s="54"/>
      <c r="BK691" s="54"/>
      <c r="BL691" s="54"/>
    </row>
    <row r="692" spans="1:66" ht="36" customHeight="1" x14ac:dyDescent="0.3">
      <c r="A692" s="367">
        <f t="shared" si="14"/>
        <v>687</v>
      </c>
      <c r="B692" s="54" t="s">
        <v>2288</v>
      </c>
      <c r="C692" s="367" t="s">
        <v>0</v>
      </c>
      <c r="D692" s="367" t="s">
        <v>2289</v>
      </c>
      <c r="E692" s="45">
        <v>46101</v>
      </c>
      <c r="F692" s="367"/>
      <c r="G692" s="367"/>
      <c r="H692" s="367"/>
      <c r="I692" s="367"/>
      <c r="J692" s="54" t="s">
        <v>369</v>
      </c>
      <c r="K692" s="48" t="s">
        <v>2290</v>
      </c>
      <c r="L692" s="150" t="s">
        <v>2291</v>
      </c>
      <c r="M692" s="150" t="s">
        <v>65</v>
      </c>
      <c r="N692" s="150" t="s">
        <v>2273</v>
      </c>
      <c r="O692" s="150" t="s">
        <v>2274</v>
      </c>
      <c r="P692" s="150"/>
      <c r="Q692" s="367" t="s">
        <v>42</v>
      </c>
      <c r="R692" s="367"/>
      <c r="S692" s="367" t="s">
        <v>42</v>
      </c>
      <c r="T692" s="367">
        <v>9</v>
      </c>
      <c r="U692" s="367"/>
      <c r="V692" s="367"/>
      <c r="W692" s="367"/>
      <c r="X692" s="367" t="s">
        <v>150</v>
      </c>
      <c r="Y692" s="367" t="s">
        <v>127</v>
      </c>
      <c r="Z692" s="367"/>
      <c r="AA692" s="367" t="s">
        <v>299</v>
      </c>
      <c r="AB692" s="150" t="s">
        <v>215</v>
      </c>
      <c r="AC692" s="48" t="s">
        <v>2292</v>
      </c>
      <c r="AD692" s="150" t="s">
        <v>284</v>
      </c>
      <c r="AE692" s="296"/>
      <c r="AF692" s="296"/>
      <c r="AG692" s="286">
        <v>46081</v>
      </c>
      <c r="AH692" s="49">
        <v>46081</v>
      </c>
      <c r="AI692" s="266">
        <v>46023</v>
      </c>
      <c r="AJ692" s="150" t="s">
        <v>648</v>
      </c>
      <c r="AK692" s="150"/>
      <c r="AL692" s="150"/>
      <c r="AM692" s="150" t="s">
        <v>134</v>
      </c>
      <c r="AN692" s="367"/>
      <c r="AO692" s="367"/>
      <c r="AP692" s="367"/>
      <c r="AQ692" s="366"/>
      <c r="AR692" s="367"/>
      <c r="AS692" s="367"/>
      <c r="AT692" s="367"/>
      <c r="AU692" s="367"/>
      <c r="AV692" s="367"/>
      <c r="AW692" s="367"/>
      <c r="AX692" s="367"/>
      <c r="AY692" s="367"/>
      <c r="AZ692" s="367"/>
      <c r="BA692" s="367"/>
      <c r="BB692" s="152" t="s">
        <v>2287</v>
      </c>
      <c r="BC692" s="152"/>
      <c r="BD692" s="367"/>
      <c r="BE692" s="367"/>
      <c r="BF692" s="367"/>
      <c r="BG692" s="367"/>
      <c r="BH692" s="260"/>
      <c r="BI692" s="54"/>
      <c r="BJ692" s="54"/>
      <c r="BK692" s="54"/>
      <c r="BL692" s="54"/>
    </row>
    <row r="693" spans="1:66" ht="33.6" customHeight="1" x14ac:dyDescent="0.3">
      <c r="A693" s="367">
        <f t="shared" si="14"/>
        <v>688</v>
      </c>
      <c r="B693" s="54" t="s">
        <v>2293</v>
      </c>
      <c r="C693" s="367" t="s">
        <v>0</v>
      </c>
      <c r="D693" s="367" t="s">
        <v>2294</v>
      </c>
      <c r="E693" s="45">
        <v>46101</v>
      </c>
      <c r="F693" s="367"/>
      <c r="G693" s="367"/>
      <c r="H693" s="367"/>
      <c r="I693" s="367"/>
      <c r="J693" s="54" t="s">
        <v>369</v>
      </c>
      <c r="K693" s="48" t="s">
        <v>2290</v>
      </c>
      <c r="L693" s="150" t="s">
        <v>2291</v>
      </c>
      <c r="M693" s="150" t="s">
        <v>65</v>
      </c>
      <c r="N693" s="150" t="s">
        <v>2273</v>
      </c>
      <c r="O693" s="150" t="s">
        <v>2274</v>
      </c>
      <c r="P693" s="150"/>
      <c r="Q693" s="367" t="s">
        <v>42</v>
      </c>
      <c r="R693" s="367"/>
      <c r="S693" s="367" t="s">
        <v>42</v>
      </c>
      <c r="T693" s="367">
        <v>9</v>
      </c>
      <c r="U693" s="367"/>
      <c r="V693" s="367"/>
      <c r="W693" s="367"/>
      <c r="X693" s="367" t="s">
        <v>150</v>
      </c>
      <c r="Y693" s="367" t="s">
        <v>127</v>
      </c>
      <c r="Z693" s="367"/>
      <c r="AA693" s="367"/>
      <c r="AB693" s="150" t="s">
        <v>215</v>
      </c>
      <c r="AC693" s="48" t="s">
        <v>2295</v>
      </c>
      <c r="AD693" s="150" t="s">
        <v>152</v>
      </c>
      <c r="AE693" s="296"/>
      <c r="AF693" s="296"/>
      <c r="AG693" s="286">
        <v>46081</v>
      </c>
      <c r="AH693" s="49">
        <v>46081</v>
      </c>
      <c r="AI693" s="266">
        <v>46023</v>
      </c>
      <c r="AJ693" s="150" t="s">
        <v>648</v>
      </c>
      <c r="AK693" s="150"/>
      <c r="AL693" s="150"/>
      <c r="AM693" s="150" t="s">
        <v>134</v>
      </c>
      <c r="AN693" s="367"/>
      <c r="AO693" s="367"/>
      <c r="AP693" s="367"/>
      <c r="AQ693" s="366"/>
      <c r="AR693" s="367"/>
      <c r="AS693" s="367"/>
      <c r="AT693" s="367"/>
      <c r="AU693" s="367"/>
      <c r="AV693" s="367"/>
      <c r="AW693" s="367"/>
      <c r="AX693" s="367"/>
      <c r="AY693" s="367"/>
      <c r="AZ693" s="367"/>
      <c r="BA693" s="367"/>
      <c r="BB693" s="152" t="s">
        <v>2287</v>
      </c>
      <c r="BC693" s="152"/>
      <c r="BD693" s="367"/>
      <c r="BE693" s="367"/>
      <c r="BF693" s="367"/>
      <c r="BG693" s="367"/>
      <c r="BH693" s="260"/>
      <c r="BI693" s="54"/>
      <c r="BJ693" s="54"/>
      <c r="BK693" s="54"/>
      <c r="BL693" s="54"/>
    </row>
    <row r="694" spans="1:66" ht="36" customHeight="1" x14ac:dyDescent="0.3">
      <c r="A694" s="367">
        <f t="shared" si="14"/>
        <v>689</v>
      </c>
      <c r="B694" s="54" t="s">
        <v>2296</v>
      </c>
      <c r="C694" s="367" t="s">
        <v>6</v>
      </c>
      <c r="D694" s="367" t="s">
        <v>2297</v>
      </c>
      <c r="E694" s="45">
        <v>46059</v>
      </c>
      <c r="F694" s="367"/>
      <c r="G694" s="367"/>
      <c r="H694" s="367"/>
      <c r="I694" s="367"/>
      <c r="J694" s="54" t="s">
        <v>2298</v>
      </c>
      <c r="K694" s="48" t="s">
        <v>521</v>
      </c>
      <c r="L694" s="367">
        <v>1000</v>
      </c>
      <c r="M694" s="150" t="s">
        <v>120</v>
      </c>
      <c r="N694" s="150" t="s">
        <v>2299</v>
      </c>
      <c r="O694" s="150" t="s">
        <v>2300</v>
      </c>
      <c r="P694" s="313">
        <v>3.5</v>
      </c>
      <c r="Q694" s="367"/>
      <c r="R694" s="367"/>
      <c r="S694" s="367"/>
      <c r="T694" s="367"/>
      <c r="U694" s="367"/>
      <c r="V694" s="367"/>
      <c r="W694" s="367"/>
      <c r="X694" s="150" t="s">
        <v>2301</v>
      </c>
      <c r="Y694" s="367"/>
      <c r="Z694" s="367"/>
      <c r="AA694" s="367"/>
      <c r="AB694" s="150"/>
      <c r="AC694" s="48" t="s">
        <v>2302</v>
      </c>
      <c r="AD694" s="150" t="s">
        <v>56</v>
      </c>
      <c r="AE694" s="296"/>
      <c r="AF694" s="296"/>
      <c r="AG694" s="286">
        <v>46081</v>
      </c>
      <c r="AH694" s="49">
        <v>46063</v>
      </c>
      <c r="AI694" s="266">
        <v>46023</v>
      </c>
      <c r="AJ694" s="150" t="s">
        <v>648</v>
      </c>
      <c r="AK694" s="150" t="s">
        <v>132</v>
      </c>
      <c r="AL694" s="150" t="s">
        <v>133</v>
      </c>
      <c r="AM694" s="150" t="s">
        <v>134</v>
      </c>
      <c r="AN694" s="367"/>
      <c r="AO694" s="367"/>
      <c r="AP694" s="367"/>
      <c r="AQ694" s="366"/>
      <c r="AR694" s="367"/>
      <c r="AS694" s="367"/>
      <c r="AT694" s="45">
        <v>46021</v>
      </c>
      <c r="AU694" s="45">
        <v>45988</v>
      </c>
      <c r="AV694" s="45">
        <v>45988</v>
      </c>
      <c r="AW694" s="45">
        <v>45982</v>
      </c>
      <c r="AX694" s="367"/>
      <c r="AY694" s="367"/>
      <c r="AZ694" s="367"/>
      <c r="BA694" s="367"/>
      <c r="BB694" s="152" t="s">
        <v>2303</v>
      </c>
      <c r="BC694" s="152"/>
      <c r="BD694" s="329" t="s">
        <v>816</v>
      </c>
      <c r="BE694" s="367"/>
      <c r="BF694" s="367"/>
      <c r="BG694" s="367"/>
      <c r="BH694" s="260"/>
      <c r="BI694" s="54"/>
      <c r="BJ694" s="54"/>
      <c r="BK694" s="54"/>
      <c r="BL694" s="54"/>
    </row>
    <row r="695" spans="1:66" ht="36" customHeight="1" x14ac:dyDescent="0.3">
      <c r="A695" s="367">
        <f t="shared" si="14"/>
        <v>690</v>
      </c>
      <c r="B695" s="54" t="s">
        <v>2304</v>
      </c>
      <c r="C695" s="367" t="s">
        <v>2305</v>
      </c>
      <c r="D695" s="367"/>
      <c r="E695" s="367"/>
      <c r="F695" s="367"/>
      <c r="G695" s="367"/>
      <c r="H695" s="367"/>
      <c r="I695" s="367"/>
      <c r="J695" s="54"/>
      <c r="K695" s="48"/>
      <c r="L695" s="367" t="s">
        <v>2306</v>
      </c>
      <c r="M695" s="150"/>
      <c r="N695" s="367" t="s">
        <v>2307</v>
      </c>
      <c r="O695" s="367" t="s">
        <v>2308</v>
      </c>
      <c r="P695" s="367"/>
      <c r="Q695" s="367"/>
      <c r="R695" s="367"/>
      <c r="S695" s="367"/>
      <c r="T695" s="367">
        <v>20</v>
      </c>
      <c r="U695" s="367"/>
      <c r="V695" s="367"/>
      <c r="W695" s="367"/>
      <c r="X695" s="367"/>
      <c r="Y695" s="367"/>
      <c r="Z695" s="367"/>
      <c r="AA695" s="367"/>
      <c r="AB695" s="150"/>
      <c r="AC695" s="48" t="s">
        <v>2309</v>
      </c>
      <c r="AD695" s="150" t="s">
        <v>361</v>
      </c>
      <c r="AE695" s="296"/>
      <c r="AF695" s="296"/>
      <c r="AG695" s="286"/>
      <c r="AH695" s="49"/>
      <c r="AI695" s="266"/>
      <c r="AJ695" s="150" t="s">
        <v>264</v>
      </c>
      <c r="AK695" s="150"/>
      <c r="AL695" s="150"/>
      <c r="AM695" s="150"/>
      <c r="AN695" s="367"/>
      <c r="AO695" s="367"/>
      <c r="AP695" s="367"/>
      <c r="AQ695" s="366"/>
      <c r="AR695" s="367"/>
      <c r="AS695" s="367"/>
      <c r="AT695" s="367"/>
      <c r="AU695" s="367"/>
      <c r="AV695" s="367"/>
      <c r="AW695" s="367"/>
      <c r="AX695" s="367"/>
      <c r="AY695" s="367"/>
      <c r="AZ695" s="367"/>
      <c r="BA695" s="367"/>
      <c r="BB695" s="152"/>
      <c r="BC695" s="152"/>
      <c r="BD695" s="367"/>
      <c r="BE695" s="367"/>
      <c r="BF695" s="367"/>
      <c r="BG695" s="367"/>
      <c r="BH695" s="260"/>
      <c r="BI695" s="54"/>
      <c r="BJ695" s="54"/>
      <c r="BK695" s="54"/>
      <c r="BL695" s="54"/>
    </row>
    <row r="696" spans="1:66" ht="36" customHeight="1" x14ac:dyDescent="0.3">
      <c r="A696" s="367">
        <f t="shared" si="14"/>
        <v>691</v>
      </c>
      <c r="B696" s="54" t="s">
        <v>2310</v>
      </c>
      <c r="C696" s="367" t="s">
        <v>6</v>
      </c>
      <c r="D696" s="367" t="s">
        <v>2311</v>
      </c>
      <c r="E696" s="45">
        <v>46185</v>
      </c>
      <c r="F696" s="45">
        <v>46185</v>
      </c>
      <c r="G696" s="367"/>
      <c r="H696" s="367"/>
      <c r="I696" s="367" t="s">
        <v>2312</v>
      </c>
      <c r="J696" s="54" t="s">
        <v>2298</v>
      </c>
      <c r="K696" s="48" t="s">
        <v>2313</v>
      </c>
      <c r="L696" s="367" t="s">
        <v>660</v>
      </c>
      <c r="M696" s="150" t="s">
        <v>120</v>
      </c>
      <c r="N696" s="367" t="s">
        <v>127</v>
      </c>
      <c r="O696" s="367"/>
      <c r="P696" s="315">
        <v>4</v>
      </c>
      <c r="Q696" s="367">
        <v>3</v>
      </c>
      <c r="R696" s="367"/>
      <c r="S696" s="367">
        <v>100</v>
      </c>
      <c r="T696" s="367">
        <v>15.1</v>
      </c>
      <c r="U696" s="367"/>
      <c r="V696" s="367"/>
      <c r="W696" s="367"/>
      <c r="X696" s="367" t="s">
        <v>1111</v>
      </c>
      <c r="Y696" s="367"/>
      <c r="Z696" s="367"/>
      <c r="AA696" s="367"/>
      <c r="AB696" s="150" t="s">
        <v>215</v>
      </c>
      <c r="AC696" s="48" t="s">
        <v>2314</v>
      </c>
      <c r="AD696" s="150" t="s">
        <v>552</v>
      </c>
      <c r="AE696" s="340"/>
      <c r="AF696" s="340"/>
      <c r="AG696" s="286">
        <v>46157</v>
      </c>
      <c r="AH696" s="49">
        <v>46185</v>
      </c>
      <c r="AI696" s="266">
        <v>46143</v>
      </c>
      <c r="AJ696" s="150" t="s">
        <v>330</v>
      </c>
      <c r="AK696" s="150" t="s">
        <v>200</v>
      </c>
      <c r="AL696" s="150" t="s">
        <v>175</v>
      </c>
      <c r="AM696" s="150" t="s">
        <v>2086</v>
      </c>
      <c r="AN696" s="45">
        <v>46127</v>
      </c>
      <c r="AO696" s="367"/>
      <c r="AP696" s="367"/>
      <c r="AQ696" s="366"/>
      <c r="AR696" s="367"/>
      <c r="AS696" s="367"/>
      <c r="AT696" s="154">
        <v>46153</v>
      </c>
      <c r="AU696" s="154">
        <v>46125</v>
      </c>
      <c r="AV696" s="154">
        <v>46135</v>
      </c>
      <c r="AW696" s="154">
        <v>46386</v>
      </c>
      <c r="AX696" s="154"/>
      <c r="AY696" s="154"/>
      <c r="AZ696" s="154">
        <v>46153</v>
      </c>
      <c r="BA696" s="154">
        <v>46183</v>
      </c>
      <c r="BB696" s="152" t="s">
        <v>2315</v>
      </c>
      <c r="BC696" s="152"/>
      <c r="BD696" s="367" t="s">
        <v>1605</v>
      </c>
      <c r="BE696" s="367"/>
      <c r="BF696" s="367"/>
      <c r="BG696" s="367"/>
      <c r="BH696" s="260"/>
      <c r="BI696" s="54"/>
      <c r="BJ696" s="54"/>
      <c r="BK696" s="54"/>
      <c r="BL696" s="54"/>
      <c r="BM696" s="357">
        <v>46135</v>
      </c>
      <c r="BN696" s="358">
        <v>46136</v>
      </c>
    </row>
    <row r="697" spans="1:66" ht="36" customHeight="1" x14ac:dyDescent="0.3">
      <c r="A697" s="367">
        <f t="shared" si="14"/>
        <v>692</v>
      </c>
      <c r="B697" s="54" t="s">
        <v>2316</v>
      </c>
      <c r="C697" s="367" t="s">
        <v>6</v>
      </c>
      <c r="D697" s="367" t="s">
        <v>2317</v>
      </c>
      <c r="E697" s="45">
        <v>46185</v>
      </c>
      <c r="F697" s="45">
        <v>46185</v>
      </c>
      <c r="G697" s="367"/>
      <c r="H697" s="367"/>
      <c r="I697" s="367" t="s">
        <v>2312</v>
      </c>
      <c r="J697" s="54" t="s">
        <v>2298</v>
      </c>
      <c r="K697" s="48" t="s">
        <v>2313</v>
      </c>
      <c r="L697" s="367" t="s">
        <v>660</v>
      </c>
      <c r="M697" s="150" t="s">
        <v>120</v>
      </c>
      <c r="N697" s="367" t="s">
        <v>127</v>
      </c>
      <c r="O697" s="367"/>
      <c r="P697" s="315">
        <v>4</v>
      </c>
      <c r="Q697" s="367">
        <v>3</v>
      </c>
      <c r="R697" s="367"/>
      <c r="S697" s="367">
        <v>100</v>
      </c>
      <c r="T697" s="367">
        <v>15.1</v>
      </c>
      <c r="U697" s="367"/>
      <c r="V697" s="367"/>
      <c r="W697" s="367"/>
      <c r="X697" s="367" t="s">
        <v>1111</v>
      </c>
      <c r="Y697" s="367"/>
      <c r="Z697" s="367"/>
      <c r="AA697" s="367"/>
      <c r="AB697" s="150" t="s">
        <v>215</v>
      </c>
      <c r="AC697" s="48" t="s">
        <v>2318</v>
      </c>
      <c r="AD697" s="150" t="s">
        <v>555</v>
      </c>
      <c r="AE697" s="340"/>
      <c r="AF697" s="340"/>
      <c r="AG697" s="286">
        <v>46157</v>
      </c>
      <c r="AH697" s="49">
        <v>46185</v>
      </c>
      <c r="AI697" s="266">
        <v>46143</v>
      </c>
      <c r="AJ697" s="150" t="s">
        <v>330</v>
      </c>
      <c r="AK697" s="150" t="s">
        <v>200</v>
      </c>
      <c r="AL697" s="150" t="s">
        <v>175</v>
      </c>
      <c r="AM697" s="150" t="s">
        <v>2086</v>
      </c>
      <c r="AN697" s="45">
        <v>46127</v>
      </c>
      <c r="AO697" s="367"/>
      <c r="AP697" s="367"/>
      <c r="AQ697" s="366"/>
      <c r="AR697" s="367"/>
      <c r="AS697" s="367"/>
      <c r="AT697" s="154">
        <v>46153</v>
      </c>
      <c r="AU697" s="154">
        <v>46125</v>
      </c>
      <c r="AV697" s="154">
        <v>46135</v>
      </c>
      <c r="AW697" s="154">
        <v>46386</v>
      </c>
      <c r="AX697" s="154"/>
      <c r="AY697" s="154"/>
      <c r="AZ697" s="154">
        <v>46153</v>
      </c>
      <c r="BA697" s="154">
        <v>46183</v>
      </c>
      <c r="BB697" s="152" t="s">
        <v>2319</v>
      </c>
      <c r="BC697" s="152"/>
      <c r="BD697" s="367" t="s">
        <v>1605</v>
      </c>
      <c r="BE697" s="367"/>
      <c r="BF697" s="367"/>
      <c r="BG697" s="367"/>
      <c r="BH697" s="260"/>
      <c r="BI697" s="54"/>
      <c r="BJ697" s="54"/>
      <c r="BK697" s="54"/>
      <c r="BL697" s="54"/>
      <c r="BM697" s="357">
        <v>46135</v>
      </c>
      <c r="BN697" s="358">
        <v>46136</v>
      </c>
    </row>
    <row r="698" spans="1:66" ht="36" customHeight="1" x14ac:dyDescent="0.3">
      <c r="A698" s="367">
        <f t="shared" si="14"/>
        <v>693</v>
      </c>
      <c r="B698" s="54" t="s">
        <v>2320</v>
      </c>
      <c r="C698" s="367" t="s">
        <v>6</v>
      </c>
      <c r="D698" s="367" t="s">
        <v>262</v>
      </c>
      <c r="E698" s="367"/>
      <c r="F698" s="367"/>
      <c r="G698" s="367"/>
      <c r="H698" s="367"/>
      <c r="I698" s="367"/>
      <c r="J698" s="54" t="s">
        <v>2321</v>
      </c>
      <c r="K698" s="48" t="s">
        <v>2322</v>
      </c>
      <c r="L698" s="367" t="s">
        <v>2323</v>
      </c>
      <c r="M698" s="150"/>
      <c r="N698" s="150" t="s">
        <v>2324</v>
      </c>
      <c r="O698" s="367"/>
      <c r="P698" s="367">
        <v>4</v>
      </c>
      <c r="Q698" s="367">
        <v>2</v>
      </c>
      <c r="R698" s="367"/>
      <c r="S698" s="367">
        <v>100</v>
      </c>
      <c r="T698" s="367">
        <v>20</v>
      </c>
      <c r="U698" s="367"/>
      <c r="V698" s="367"/>
      <c r="W698" s="367"/>
      <c r="X698" s="367"/>
      <c r="Y698" s="367"/>
      <c r="Z698" s="367"/>
      <c r="AA698" s="367"/>
      <c r="AB698" s="150"/>
      <c r="AC698" s="48" t="s">
        <v>2325</v>
      </c>
      <c r="AD698" s="150" t="s">
        <v>2326</v>
      </c>
      <c r="AE698" s="340"/>
      <c r="AF698" s="340"/>
      <c r="AG698" s="286"/>
      <c r="AH698" s="49">
        <v>46172</v>
      </c>
      <c r="AI698" s="266">
        <v>46143</v>
      </c>
      <c r="AJ698" s="150" t="s">
        <v>264</v>
      </c>
      <c r="AK698" s="150" t="s">
        <v>161</v>
      </c>
      <c r="AL698" s="150" t="s">
        <v>191</v>
      </c>
      <c r="AM698" s="150" t="s">
        <v>134</v>
      </c>
      <c r="AN698" s="367"/>
      <c r="AO698" s="367"/>
      <c r="AP698" s="367"/>
      <c r="AQ698" s="366"/>
      <c r="AR698" s="367"/>
      <c r="AS698" s="367"/>
      <c r="AT698" s="154"/>
      <c r="AU698" s="154"/>
      <c r="AV698" s="154"/>
      <c r="AW698" s="154"/>
      <c r="AX698" s="154"/>
      <c r="AY698" s="154"/>
      <c r="AZ698" s="154"/>
      <c r="BA698" s="154"/>
      <c r="BB698" s="152"/>
      <c r="BC698" s="152"/>
      <c r="BD698" s="367" t="s">
        <v>1605</v>
      </c>
      <c r="BE698" s="367"/>
      <c r="BF698" s="367"/>
      <c r="BG698" s="367"/>
      <c r="BH698" s="260"/>
      <c r="BI698" s="54"/>
      <c r="BJ698" s="54"/>
      <c r="BK698" s="54"/>
      <c r="BL698" s="54"/>
    </row>
    <row r="699" spans="1:66" ht="36" customHeight="1" x14ac:dyDescent="0.3">
      <c r="A699" s="367">
        <f t="shared" si="14"/>
        <v>694</v>
      </c>
      <c r="B699" s="54" t="s">
        <v>2327</v>
      </c>
      <c r="C699" s="367" t="s">
        <v>2</v>
      </c>
      <c r="D699" s="367" t="s">
        <v>2328</v>
      </c>
      <c r="E699" s="367"/>
      <c r="F699" s="367"/>
      <c r="G699" s="367"/>
      <c r="H699" s="367"/>
      <c r="I699" s="367"/>
      <c r="J699" s="54" t="s">
        <v>2329</v>
      </c>
      <c r="K699" s="48" t="s">
        <v>2330</v>
      </c>
      <c r="L699" s="367" t="s">
        <v>2280</v>
      </c>
      <c r="M699" s="150" t="s">
        <v>65</v>
      </c>
      <c r="N699" s="367"/>
      <c r="O699" s="150" t="s">
        <v>2331</v>
      </c>
      <c r="P699" s="313">
        <v>3.5</v>
      </c>
      <c r="Q699" s="367">
        <v>6</v>
      </c>
      <c r="R699" s="367"/>
      <c r="S699" s="367"/>
      <c r="T699" s="367">
        <v>12</v>
      </c>
      <c r="U699" s="367" t="s">
        <v>127</v>
      </c>
      <c r="V699" s="367" t="s">
        <v>127</v>
      </c>
      <c r="W699" s="367"/>
      <c r="X699" s="367" t="s">
        <v>1111</v>
      </c>
      <c r="Y699" s="367"/>
      <c r="Z699" s="367"/>
      <c r="AA699" s="367"/>
      <c r="AB699" s="150" t="s">
        <v>2332</v>
      </c>
      <c r="AC699" s="48" t="s">
        <v>2333</v>
      </c>
      <c r="AD699" s="150" t="s">
        <v>552</v>
      </c>
      <c r="AE699" s="296"/>
      <c r="AF699" s="296"/>
      <c r="AG699" s="344">
        <v>46264</v>
      </c>
      <c r="AH699" s="49">
        <v>46259</v>
      </c>
      <c r="AI699" s="266">
        <v>46174</v>
      </c>
      <c r="AJ699" s="150" t="s">
        <v>2334</v>
      </c>
      <c r="AK699" s="150" t="s">
        <v>200</v>
      </c>
      <c r="AL699" s="150" t="s">
        <v>191</v>
      </c>
      <c r="AM699" s="150" t="s">
        <v>134</v>
      </c>
      <c r="AN699" s="367"/>
      <c r="AO699" s="367"/>
      <c r="AP699" s="367"/>
      <c r="AQ699" s="366"/>
      <c r="AR699" s="367"/>
      <c r="AS699" s="367"/>
      <c r="AT699" s="45">
        <v>46213</v>
      </c>
      <c r="AU699" s="45">
        <v>46133</v>
      </c>
      <c r="AV699" s="45">
        <v>46190</v>
      </c>
      <c r="AW699" s="45">
        <v>46105</v>
      </c>
      <c r="AX699" s="367"/>
      <c r="AY699" s="367"/>
      <c r="AZ699" s="367"/>
      <c r="BA699" s="367"/>
      <c r="BB699" s="152" t="s">
        <v>2335</v>
      </c>
      <c r="BC699" s="152"/>
      <c r="BD699" s="367" t="s">
        <v>2336</v>
      </c>
      <c r="BE699" s="367"/>
      <c r="BF699" s="367"/>
      <c r="BG699" s="367"/>
      <c r="BH699" s="260"/>
      <c r="BI699" s="54"/>
      <c r="BJ699" s="54"/>
      <c r="BK699" s="54"/>
      <c r="BL699" s="54"/>
    </row>
    <row r="700" spans="1:66" ht="36" customHeight="1" x14ac:dyDescent="0.3">
      <c r="A700" s="367">
        <f t="shared" si="14"/>
        <v>695</v>
      </c>
      <c r="B700" s="54" t="s">
        <v>2337</v>
      </c>
      <c r="C700" s="367" t="s">
        <v>2</v>
      </c>
      <c r="D700" s="367" t="s">
        <v>2328</v>
      </c>
      <c r="E700" s="367"/>
      <c r="F700" s="367"/>
      <c r="G700" s="367"/>
      <c r="H700" s="367"/>
      <c r="I700" s="367"/>
      <c r="J700" s="54" t="s">
        <v>2329</v>
      </c>
      <c r="K700" s="48" t="s">
        <v>2330</v>
      </c>
      <c r="L700" s="367" t="s">
        <v>2280</v>
      </c>
      <c r="M700" s="150" t="s">
        <v>65</v>
      </c>
      <c r="N700" s="367"/>
      <c r="O700" s="150" t="s">
        <v>2331</v>
      </c>
      <c r="P700" s="313">
        <v>3.5</v>
      </c>
      <c r="Q700" s="367">
        <v>6</v>
      </c>
      <c r="R700" s="367"/>
      <c r="S700" s="367"/>
      <c r="T700" s="367">
        <v>12</v>
      </c>
      <c r="U700" s="367" t="s">
        <v>127</v>
      </c>
      <c r="V700" s="367" t="s">
        <v>127</v>
      </c>
      <c r="W700" s="367"/>
      <c r="X700" s="367" t="s">
        <v>1111</v>
      </c>
      <c r="Y700" s="367"/>
      <c r="Z700" s="150" t="s">
        <v>2338</v>
      </c>
      <c r="AA700" s="367"/>
      <c r="AB700" s="150" t="s">
        <v>2332</v>
      </c>
      <c r="AC700" s="48" t="s">
        <v>2339</v>
      </c>
      <c r="AD700" s="150" t="s">
        <v>555</v>
      </c>
      <c r="AE700" s="296"/>
      <c r="AF700" s="296"/>
      <c r="AG700" s="344">
        <v>46264</v>
      </c>
      <c r="AH700" s="49">
        <v>46259</v>
      </c>
      <c r="AI700" s="266">
        <v>46174</v>
      </c>
      <c r="AJ700" s="150" t="s">
        <v>2334</v>
      </c>
      <c r="AK700" s="150" t="s">
        <v>200</v>
      </c>
      <c r="AL700" s="150" t="s">
        <v>191</v>
      </c>
      <c r="AM700" s="150" t="s">
        <v>134</v>
      </c>
      <c r="AN700" s="367"/>
      <c r="AO700" s="367"/>
      <c r="AP700" s="367"/>
      <c r="AQ700" s="366"/>
      <c r="AR700" s="367"/>
      <c r="AS700" s="367"/>
      <c r="AT700" s="45">
        <v>46172</v>
      </c>
      <c r="AU700" s="45">
        <v>46129</v>
      </c>
      <c r="AV700" s="294" t="s">
        <v>2340</v>
      </c>
      <c r="AW700" s="45">
        <v>46105</v>
      </c>
      <c r="AX700" s="367"/>
      <c r="AY700" s="367"/>
      <c r="AZ700" s="367"/>
      <c r="BA700" s="367"/>
      <c r="BB700" s="152" t="s">
        <v>2341</v>
      </c>
      <c r="BC700" s="152"/>
      <c r="BD700" s="367" t="s">
        <v>2336</v>
      </c>
      <c r="BE700" s="367"/>
      <c r="BF700" s="367"/>
      <c r="BG700" s="367"/>
      <c r="BH700" s="260"/>
      <c r="BI700" s="54"/>
      <c r="BJ700" s="54"/>
      <c r="BK700" s="54"/>
      <c r="BL700" s="54"/>
    </row>
    <row r="701" spans="1:66" ht="36" customHeight="1" x14ac:dyDescent="0.3">
      <c r="A701" s="367">
        <f t="shared" si="14"/>
        <v>696</v>
      </c>
      <c r="B701" s="54" t="s">
        <v>2342</v>
      </c>
      <c r="C701" s="367" t="s">
        <v>2</v>
      </c>
      <c r="D701" s="367" t="s">
        <v>2343</v>
      </c>
      <c r="E701" s="367"/>
      <c r="F701" s="367"/>
      <c r="G701" s="367"/>
      <c r="H701" s="367"/>
      <c r="I701" s="367"/>
      <c r="J701" s="54" t="s">
        <v>2329</v>
      </c>
      <c r="K701" s="48" t="s">
        <v>716</v>
      </c>
      <c r="L701" s="367" t="s">
        <v>2280</v>
      </c>
      <c r="M701" s="150" t="s">
        <v>65</v>
      </c>
      <c r="N701" s="367"/>
      <c r="O701" s="150" t="s">
        <v>2331</v>
      </c>
      <c r="P701" s="313">
        <v>3.5</v>
      </c>
      <c r="Q701" s="367">
        <v>6</v>
      </c>
      <c r="R701" s="367"/>
      <c r="S701" s="367"/>
      <c r="T701" s="367">
        <v>12</v>
      </c>
      <c r="U701" s="367" t="s">
        <v>127</v>
      </c>
      <c r="V701" s="367" t="s">
        <v>127</v>
      </c>
      <c r="W701" s="367"/>
      <c r="X701" s="367" t="s">
        <v>1111</v>
      </c>
      <c r="Y701" s="367"/>
      <c r="Z701" s="150" t="s">
        <v>2338</v>
      </c>
      <c r="AA701" s="367"/>
      <c r="AB701" s="150" t="s">
        <v>2332</v>
      </c>
      <c r="AC701" s="48" t="s">
        <v>2344</v>
      </c>
      <c r="AD701" s="150" t="s">
        <v>552</v>
      </c>
      <c r="AE701" s="296"/>
      <c r="AF701" s="296"/>
      <c r="AG701" s="344">
        <v>46258</v>
      </c>
      <c r="AH701" s="49">
        <v>46216</v>
      </c>
      <c r="AI701" s="266">
        <v>46174</v>
      </c>
      <c r="AJ701" s="150" t="s">
        <v>2334</v>
      </c>
      <c r="AK701" s="150" t="s">
        <v>200</v>
      </c>
      <c r="AL701" s="150" t="s">
        <v>191</v>
      </c>
      <c r="AM701" s="150" t="s">
        <v>134</v>
      </c>
      <c r="AN701" s="367"/>
      <c r="AO701" s="367"/>
      <c r="AP701" s="367"/>
      <c r="AQ701" s="366"/>
      <c r="AR701" s="367"/>
      <c r="AS701" s="367"/>
      <c r="AT701" s="45">
        <v>46172</v>
      </c>
      <c r="AU701" s="45">
        <v>46129</v>
      </c>
      <c r="AV701" s="294" t="s">
        <v>2340</v>
      </c>
      <c r="AW701" s="45">
        <v>46105</v>
      </c>
      <c r="AX701" s="367"/>
      <c r="AY701" s="367"/>
      <c r="AZ701" s="367"/>
      <c r="BA701" s="367"/>
      <c r="BB701" s="152" t="s">
        <v>2341</v>
      </c>
      <c r="BC701" s="152"/>
      <c r="BD701" s="367" t="s">
        <v>2336</v>
      </c>
      <c r="BE701" s="367"/>
      <c r="BF701" s="367"/>
      <c r="BG701" s="367"/>
      <c r="BH701" s="260"/>
      <c r="BI701" s="54"/>
      <c r="BJ701" s="54"/>
      <c r="BK701" s="54"/>
      <c r="BL701" s="54"/>
    </row>
    <row r="702" spans="1:66" ht="36" customHeight="1" x14ac:dyDescent="0.3">
      <c r="A702" s="367">
        <f t="shared" si="14"/>
        <v>697</v>
      </c>
      <c r="B702" s="54" t="s">
        <v>2345</v>
      </c>
      <c r="C702" s="367" t="s">
        <v>2</v>
      </c>
      <c r="D702" s="367" t="s">
        <v>2343</v>
      </c>
      <c r="E702" s="367"/>
      <c r="F702" s="367"/>
      <c r="G702" s="367"/>
      <c r="H702" s="367"/>
      <c r="I702" s="367"/>
      <c r="J702" s="54" t="s">
        <v>2329</v>
      </c>
      <c r="K702" s="48" t="s">
        <v>716</v>
      </c>
      <c r="L702" s="367" t="s">
        <v>2280</v>
      </c>
      <c r="M702" s="150" t="s">
        <v>65</v>
      </c>
      <c r="N702" s="367"/>
      <c r="O702" s="150" t="s">
        <v>2331</v>
      </c>
      <c r="P702" s="313">
        <v>3.5</v>
      </c>
      <c r="Q702" s="367">
        <v>6</v>
      </c>
      <c r="R702" s="367"/>
      <c r="S702" s="367"/>
      <c r="T702" s="367">
        <v>12</v>
      </c>
      <c r="U702" s="367" t="s">
        <v>127</v>
      </c>
      <c r="V702" s="367" t="s">
        <v>127</v>
      </c>
      <c r="W702" s="367"/>
      <c r="X702" s="150" t="s">
        <v>2346</v>
      </c>
      <c r="Y702" s="367" t="s">
        <v>127</v>
      </c>
      <c r="Z702" s="367"/>
      <c r="AA702" s="367"/>
      <c r="AB702" s="150" t="s">
        <v>2332</v>
      </c>
      <c r="AC702" s="48" t="s">
        <v>2347</v>
      </c>
      <c r="AD702" s="150" t="s">
        <v>2348</v>
      </c>
      <c r="AE702" s="296"/>
      <c r="AF702" s="296"/>
      <c r="AG702" s="344">
        <v>46264</v>
      </c>
      <c r="AH702" s="49">
        <v>46259</v>
      </c>
      <c r="AI702" s="266">
        <v>46174</v>
      </c>
      <c r="AJ702" s="150" t="s">
        <v>2334</v>
      </c>
      <c r="AK702" s="150" t="s">
        <v>161</v>
      </c>
      <c r="AL702" s="150" t="s">
        <v>191</v>
      </c>
      <c r="AM702" s="150" t="s">
        <v>134</v>
      </c>
      <c r="AN702" s="367"/>
      <c r="AO702" s="367"/>
      <c r="AP702" s="367"/>
      <c r="AQ702" s="366"/>
      <c r="AR702" s="367"/>
      <c r="AS702" s="367"/>
      <c r="AT702" s="45">
        <v>46172</v>
      </c>
      <c r="AU702" s="294" t="s">
        <v>2349</v>
      </c>
      <c r="AV702" s="45">
        <v>46168</v>
      </c>
      <c r="AW702" s="45">
        <v>46150</v>
      </c>
      <c r="AX702" s="367"/>
      <c r="AY702" s="367"/>
      <c r="AZ702" s="367"/>
      <c r="BA702" s="367"/>
      <c r="BB702" s="152" t="s">
        <v>2350</v>
      </c>
      <c r="BC702" s="152"/>
      <c r="BD702" s="367" t="s">
        <v>2336</v>
      </c>
      <c r="BE702" s="367"/>
      <c r="BF702" s="367"/>
      <c r="BG702" s="367"/>
      <c r="BH702" s="260"/>
      <c r="BI702" s="54"/>
      <c r="BJ702" s="54"/>
      <c r="BK702" s="54"/>
      <c r="BL702" s="54"/>
    </row>
    <row r="703" spans="1:66" ht="36" customHeight="1" x14ac:dyDescent="0.3">
      <c r="A703" s="367">
        <f t="shared" si="14"/>
        <v>698</v>
      </c>
      <c r="B703" s="54" t="s">
        <v>2351</v>
      </c>
      <c r="C703" s="367" t="s">
        <v>2</v>
      </c>
      <c r="D703" s="367" t="s">
        <v>2352</v>
      </c>
      <c r="E703" s="367"/>
      <c r="F703" s="367"/>
      <c r="G703" s="367"/>
      <c r="H703" s="367"/>
      <c r="I703" s="367"/>
      <c r="J703" s="54" t="s">
        <v>2329</v>
      </c>
      <c r="K703" s="48" t="s">
        <v>2353</v>
      </c>
      <c r="L703" s="367" t="s">
        <v>2280</v>
      </c>
      <c r="M703" s="150" t="s">
        <v>65</v>
      </c>
      <c r="N703" s="367"/>
      <c r="O703" s="150" t="s">
        <v>2331</v>
      </c>
      <c r="P703" s="313">
        <v>3.5</v>
      </c>
      <c r="Q703" s="367">
        <v>3.5</v>
      </c>
      <c r="R703" s="367"/>
      <c r="S703" s="367"/>
      <c r="T703" s="367">
        <v>12</v>
      </c>
      <c r="U703" s="367" t="s">
        <v>127</v>
      </c>
      <c r="V703" s="367" t="s">
        <v>127</v>
      </c>
      <c r="W703" s="367"/>
      <c r="X703" s="150" t="s">
        <v>2354</v>
      </c>
      <c r="Y703" s="367" t="s">
        <v>127</v>
      </c>
      <c r="Z703" s="367"/>
      <c r="AA703" s="367"/>
      <c r="AB703" s="150" t="s">
        <v>2332</v>
      </c>
      <c r="AC703" s="48" t="s">
        <v>2355</v>
      </c>
      <c r="AD703" s="150" t="s">
        <v>2356</v>
      </c>
      <c r="AE703" s="296"/>
      <c r="AF703" s="296"/>
      <c r="AG703" s="344">
        <v>46228</v>
      </c>
      <c r="AH703" s="49">
        <v>46218</v>
      </c>
      <c r="AI703" s="266">
        <v>46174</v>
      </c>
      <c r="AJ703" s="150" t="s">
        <v>548</v>
      </c>
      <c r="AK703" s="150" t="s">
        <v>161</v>
      </c>
      <c r="AL703" s="150" t="s">
        <v>191</v>
      </c>
      <c r="AM703" s="150" t="s">
        <v>134</v>
      </c>
      <c r="AN703" s="367"/>
      <c r="AO703" s="367"/>
      <c r="AP703" s="367"/>
      <c r="AQ703" s="366"/>
      <c r="AR703" s="367"/>
      <c r="AS703" s="367"/>
      <c r="AT703" s="45">
        <v>46172</v>
      </c>
      <c r="AU703" s="294" t="s">
        <v>2349</v>
      </c>
      <c r="AV703" s="45">
        <v>46168</v>
      </c>
      <c r="AW703" s="45">
        <v>46153</v>
      </c>
      <c r="AX703" s="367"/>
      <c r="AY703" s="367"/>
      <c r="AZ703" s="367"/>
      <c r="BA703" s="367"/>
      <c r="BB703" s="152" t="s">
        <v>2350</v>
      </c>
      <c r="BC703" s="152"/>
      <c r="BD703" s="367" t="s">
        <v>2336</v>
      </c>
      <c r="BE703" s="367"/>
      <c r="BF703" s="367"/>
      <c r="BG703" s="367"/>
      <c r="BH703" s="260"/>
      <c r="BI703" s="54"/>
      <c r="BJ703" s="54"/>
      <c r="BK703" s="54"/>
      <c r="BL703" s="54"/>
    </row>
    <row r="704" spans="1:66" ht="36" customHeight="1" x14ac:dyDescent="0.3">
      <c r="A704" s="367">
        <f t="shared" si="14"/>
        <v>699</v>
      </c>
      <c r="B704" s="54" t="s">
        <v>2357</v>
      </c>
      <c r="C704" s="367" t="s">
        <v>2</v>
      </c>
      <c r="D704" s="367" t="s">
        <v>2352</v>
      </c>
      <c r="E704" s="367"/>
      <c r="F704" s="367"/>
      <c r="G704" s="367"/>
      <c r="H704" s="367"/>
      <c r="I704" s="367"/>
      <c r="J704" s="54" t="s">
        <v>2329</v>
      </c>
      <c r="K704" s="48" t="s">
        <v>2353</v>
      </c>
      <c r="L704" s="367" t="s">
        <v>2280</v>
      </c>
      <c r="M704" s="150" t="s">
        <v>65</v>
      </c>
      <c r="N704" s="367"/>
      <c r="O704" s="150" t="s">
        <v>2331</v>
      </c>
      <c r="P704" s="313">
        <v>3.5</v>
      </c>
      <c r="Q704" s="367">
        <v>3.5</v>
      </c>
      <c r="R704" s="367"/>
      <c r="S704" s="367"/>
      <c r="T704" s="367">
        <v>12</v>
      </c>
      <c r="U704" s="367" t="s">
        <v>127</v>
      </c>
      <c r="V704" s="367" t="s">
        <v>127</v>
      </c>
      <c r="W704" s="367"/>
      <c r="X704" s="150" t="s">
        <v>2354</v>
      </c>
      <c r="Y704" s="367" t="s">
        <v>127</v>
      </c>
      <c r="Z704" s="367"/>
      <c r="AA704" s="367"/>
      <c r="AB704" s="150" t="s">
        <v>2332</v>
      </c>
      <c r="AC704" s="48" t="s">
        <v>2358</v>
      </c>
      <c r="AD704" s="150" t="s">
        <v>2359</v>
      </c>
      <c r="AE704" s="296"/>
      <c r="AF704" s="296"/>
      <c r="AG704" s="344">
        <v>46228</v>
      </c>
      <c r="AH704" s="49">
        <v>46218</v>
      </c>
      <c r="AI704" s="266">
        <v>46174</v>
      </c>
      <c r="AJ704" s="150" t="s">
        <v>548</v>
      </c>
      <c r="AK704" s="150" t="s">
        <v>161</v>
      </c>
      <c r="AL704" s="150" t="s">
        <v>191</v>
      </c>
      <c r="AM704" s="150" t="s">
        <v>134</v>
      </c>
      <c r="AN704" s="367"/>
      <c r="AO704" s="367"/>
      <c r="AP704" s="367"/>
      <c r="AQ704" s="366"/>
      <c r="AR704" s="367"/>
      <c r="AS704" s="367"/>
      <c r="AT704" s="45">
        <v>46172</v>
      </c>
      <c r="AU704" s="294" t="s">
        <v>2349</v>
      </c>
      <c r="AV704" s="45">
        <v>46168</v>
      </c>
      <c r="AW704" s="45">
        <v>46153</v>
      </c>
      <c r="AX704" s="367"/>
      <c r="AY704" s="367"/>
      <c r="AZ704" s="367"/>
      <c r="BA704" s="367"/>
      <c r="BB704" s="152" t="s">
        <v>2350</v>
      </c>
      <c r="BC704" s="152"/>
      <c r="BD704" s="367" t="s">
        <v>2336</v>
      </c>
      <c r="BE704" s="367"/>
      <c r="BF704" s="367"/>
      <c r="BG704" s="367"/>
      <c r="BH704" s="260"/>
      <c r="BI704" s="54"/>
      <c r="BJ704" s="54"/>
      <c r="BK704" s="54"/>
      <c r="BL704" s="54"/>
    </row>
    <row r="705" spans="1:66" ht="36" customHeight="1" x14ac:dyDescent="0.3">
      <c r="A705" s="367">
        <f t="shared" si="14"/>
        <v>700</v>
      </c>
      <c r="B705" s="54" t="s">
        <v>2360</v>
      </c>
      <c r="C705" s="367" t="s">
        <v>0</v>
      </c>
      <c r="D705" s="367"/>
      <c r="E705" s="367"/>
      <c r="F705" s="367"/>
      <c r="G705" s="367"/>
      <c r="H705" s="367"/>
      <c r="I705" s="367"/>
      <c r="J705" s="54" t="s">
        <v>212</v>
      </c>
      <c r="K705" s="48" t="s">
        <v>2361</v>
      </c>
      <c r="L705" s="367"/>
      <c r="M705" s="150"/>
      <c r="N705" s="367"/>
      <c r="O705" s="367"/>
      <c r="P705" s="311"/>
      <c r="Q705" s="367"/>
      <c r="R705" s="367"/>
      <c r="S705" s="367"/>
      <c r="T705" s="367"/>
      <c r="U705" s="367"/>
      <c r="V705" s="367"/>
      <c r="W705" s="367"/>
      <c r="X705" s="367"/>
      <c r="Y705" s="367"/>
      <c r="Z705" s="367"/>
      <c r="AA705" s="367"/>
      <c r="AB705" s="150"/>
      <c r="AC705" s="48" t="s">
        <v>2362</v>
      </c>
      <c r="AD705" s="150" t="s">
        <v>580</v>
      </c>
      <c r="AE705" s="296"/>
      <c r="AF705" s="296"/>
      <c r="AG705" s="286">
        <v>46101</v>
      </c>
      <c r="AH705" s="49">
        <v>46111</v>
      </c>
      <c r="AI705" s="266">
        <v>46091</v>
      </c>
      <c r="AJ705" s="150" t="s">
        <v>208</v>
      </c>
      <c r="AK705" s="150"/>
      <c r="AL705" s="150"/>
      <c r="AM705" s="150" t="s">
        <v>209</v>
      </c>
      <c r="AN705" s="367"/>
      <c r="AO705" s="367"/>
      <c r="AP705" s="367"/>
      <c r="AQ705" s="366"/>
      <c r="AR705" s="367"/>
      <c r="AS705" s="367"/>
      <c r="AT705" s="367"/>
      <c r="AU705" s="367"/>
      <c r="AV705" s="367"/>
      <c r="AW705" s="367"/>
      <c r="AX705" s="367"/>
      <c r="AY705" s="367"/>
      <c r="AZ705" s="367"/>
      <c r="BA705" s="367"/>
      <c r="BB705" s="152"/>
      <c r="BC705" s="152"/>
      <c r="BD705" s="367"/>
      <c r="BE705" s="367"/>
      <c r="BF705" s="367"/>
      <c r="BG705" s="367"/>
      <c r="BH705" s="260"/>
      <c r="BI705" s="54"/>
      <c r="BJ705" s="54"/>
      <c r="BK705" s="54"/>
      <c r="BL705" s="54"/>
    </row>
    <row r="706" spans="1:66" ht="36" customHeight="1" x14ac:dyDescent="0.3">
      <c r="A706" s="367">
        <f t="shared" si="14"/>
        <v>701</v>
      </c>
      <c r="B706" s="54" t="s">
        <v>2363</v>
      </c>
      <c r="C706" s="367" t="s">
        <v>0</v>
      </c>
      <c r="D706" s="367"/>
      <c r="E706" s="367"/>
      <c r="F706" s="367"/>
      <c r="G706" s="367"/>
      <c r="H706" s="367"/>
      <c r="I706" s="367"/>
      <c r="J706" s="54" t="s">
        <v>212</v>
      </c>
      <c r="K706" s="48" t="s">
        <v>2364</v>
      </c>
      <c r="L706" s="367"/>
      <c r="M706" s="150"/>
      <c r="N706" s="367"/>
      <c r="O706" s="367"/>
      <c r="P706" s="311"/>
      <c r="Q706" s="367"/>
      <c r="R706" s="367"/>
      <c r="S706" s="367"/>
      <c r="T706" s="367"/>
      <c r="U706" s="367"/>
      <c r="V706" s="367"/>
      <c r="W706" s="367"/>
      <c r="X706" s="367"/>
      <c r="Y706" s="367"/>
      <c r="Z706" s="367"/>
      <c r="AA706" s="367"/>
      <c r="AB706" s="150"/>
      <c r="AC706" s="48" t="s">
        <v>2365</v>
      </c>
      <c r="AD706" s="150" t="s">
        <v>580</v>
      </c>
      <c r="AE706" s="296"/>
      <c r="AF706" s="296"/>
      <c r="AG706" s="286">
        <v>46101</v>
      </c>
      <c r="AH706" s="49">
        <v>46111</v>
      </c>
      <c r="AI706" s="266">
        <v>46091</v>
      </c>
      <c r="AJ706" s="150" t="s">
        <v>208</v>
      </c>
      <c r="AK706" s="150"/>
      <c r="AL706" s="150"/>
      <c r="AM706" s="150" t="s">
        <v>209</v>
      </c>
      <c r="AN706" s="367"/>
      <c r="AO706" s="367"/>
      <c r="AP706" s="367"/>
      <c r="AQ706" s="366"/>
      <c r="AR706" s="367"/>
      <c r="AS706" s="367"/>
      <c r="AT706" s="367"/>
      <c r="AU706" s="367"/>
      <c r="AV706" s="367"/>
      <c r="AW706" s="367"/>
      <c r="AX706" s="367"/>
      <c r="AY706" s="367"/>
      <c r="AZ706" s="367"/>
      <c r="BA706" s="367"/>
      <c r="BB706" s="152"/>
      <c r="BC706" s="152"/>
      <c r="BD706" s="367"/>
      <c r="BE706" s="367"/>
      <c r="BF706" s="367"/>
      <c r="BG706" s="367"/>
      <c r="BH706" s="260"/>
      <c r="BI706" s="54"/>
      <c r="BJ706" s="54"/>
      <c r="BK706" s="54"/>
      <c r="BL706" s="54"/>
    </row>
    <row r="707" spans="1:66" ht="36" customHeight="1" x14ac:dyDescent="0.3">
      <c r="A707" s="367">
        <f t="shared" si="14"/>
        <v>702</v>
      </c>
      <c r="B707" s="54" t="s">
        <v>2366</v>
      </c>
      <c r="C707" s="367" t="s">
        <v>0</v>
      </c>
      <c r="D707" s="367" t="s">
        <v>2289</v>
      </c>
      <c r="E707" s="45">
        <v>46111</v>
      </c>
      <c r="F707" s="367"/>
      <c r="G707" s="367"/>
      <c r="H707" s="367"/>
      <c r="I707" s="367"/>
      <c r="J707" s="54" t="s">
        <v>212</v>
      </c>
      <c r="K707" s="48" t="s">
        <v>2367</v>
      </c>
      <c r="L707" s="367"/>
      <c r="M707" s="150"/>
      <c r="N707" s="367"/>
      <c r="O707" s="367"/>
      <c r="P707" s="311"/>
      <c r="Q707" s="367"/>
      <c r="R707" s="367"/>
      <c r="S707" s="367"/>
      <c r="T707" s="367"/>
      <c r="U707" s="367"/>
      <c r="V707" s="367"/>
      <c r="W707" s="367"/>
      <c r="X707" s="367" t="s">
        <v>2368</v>
      </c>
      <c r="Y707" s="367"/>
      <c r="Z707" s="367"/>
      <c r="AA707" s="367"/>
      <c r="AB707" s="150"/>
      <c r="AC707" s="48" t="s">
        <v>2369</v>
      </c>
      <c r="AD707" s="150" t="s">
        <v>189</v>
      </c>
      <c r="AE707" s="296"/>
      <c r="AF707" s="296"/>
      <c r="AG707" s="286">
        <v>46111</v>
      </c>
      <c r="AH707" s="49">
        <v>46111</v>
      </c>
      <c r="AI707" s="266">
        <v>46082</v>
      </c>
      <c r="AJ707" s="150" t="s">
        <v>131</v>
      </c>
      <c r="AK707" s="150" t="s">
        <v>1640</v>
      </c>
      <c r="AL707" s="150" t="s">
        <v>239</v>
      </c>
      <c r="AM707" s="150" t="s">
        <v>134</v>
      </c>
      <c r="AN707" s="367"/>
      <c r="AO707" s="367"/>
      <c r="AP707" s="367"/>
      <c r="AQ707" s="366"/>
      <c r="AR707" s="367"/>
      <c r="AS707" s="367"/>
      <c r="AT707" s="45">
        <v>46081</v>
      </c>
      <c r="AU707" s="45">
        <v>46035</v>
      </c>
      <c r="AV707" s="45">
        <v>46035</v>
      </c>
      <c r="AW707" s="45">
        <v>46373</v>
      </c>
      <c r="AX707" s="367"/>
      <c r="AY707" s="367"/>
      <c r="AZ707" s="367"/>
      <c r="BA707" s="367"/>
      <c r="BB707" s="152" t="s">
        <v>2370</v>
      </c>
      <c r="BC707" s="152"/>
      <c r="BD707" s="367"/>
      <c r="BE707" s="367"/>
      <c r="BF707" s="367"/>
      <c r="BG707" s="367"/>
      <c r="BH707" s="260"/>
      <c r="BI707" s="54"/>
      <c r="BJ707" s="54"/>
      <c r="BK707" s="54"/>
      <c r="BL707" s="54"/>
    </row>
    <row r="708" spans="1:66" ht="36" customHeight="1" x14ac:dyDescent="0.3">
      <c r="A708" s="367">
        <f t="shared" si="14"/>
        <v>703</v>
      </c>
      <c r="B708" s="54" t="s">
        <v>2371</v>
      </c>
      <c r="C708" s="367" t="s">
        <v>6</v>
      </c>
      <c r="D708" s="367" t="s">
        <v>2372</v>
      </c>
      <c r="E708" s="367"/>
      <c r="F708" s="45">
        <v>46202</v>
      </c>
      <c r="G708" s="367"/>
      <c r="H708" s="367"/>
      <c r="I708" s="367"/>
      <c r="J708" s="54" t="s">
        <v>6</v>
      </c>
      <c r="K708" s="48" t="s">
        <v>2373</v>
      </c>
      <c r="L708" s="367" t="s">
        <v>2280</v>
      </c>
      <c r="M708" s="150" t="s">
        <v>120</v>
      </c>
      <c r="N708" s="150" t="s">
        <v>2374</v>
      </c>
      <c r="O708" s="150" t="s">
        <v>2375</v>
      </c>
      <c r="P708" s="313">
        <v>8</v>
      </c>
      <c r="Q708" s="367">
        <v>0.6</v>
      </c>
      <c r="R708" s="367"/>
      <c r="S708" s="367">
        <v>100</v>
      </c>
      <c r="T708" s="367">
        <v>39</v>
      </c>
      <c r="U708" s="367"/>
      <c r="V708" s="367" t="s">
        <v>127</v>
      </c>
      <c r="W708" s="367"/>
      <c r="X708" s="367" t="s">
        <v>2368</v>
      </c>
      <c r="Y708" s="367"/>
      <c r="Z708" s="367"/>
      <c r="AA708" s="367" t="s">
        <v>127</v>
      </c>
      <c r="AB708" s="150"/>
      <c r="AC708" s="48" t="s">
        <v>2376</v>
      </c>
      <c r="AD708" s="150" t="s">
        <v>552</v>
      </c>
      <c r="AE708" s="340">
        <v>46085</v>
      </c>
      <c r="AF708" s="340"/>
      <c r="AG708" s="344">
        <v>46171</v>
      </c>
      <c r="AH708" s="49">
        <v>46202</v>
      </c>
      <c r="AI708" s="266">
        <v>46174</v>
      </c>
      <c r="AJ708" s="150" t="s">
        <v>548</v>
      </c>
      <c r="AK708" s="150" t="s">
        <v>200</v>
      </c>
      <c r="AL708" s="150" t="s">
        <v>175</v>
      </c>
      <c r="AM708" s="150" t="s">
        <v>2079</v>
      </c>
      <c r="AN708" s="45">
        <v>46157</v>
      </c>
      <c r="AO708" s="367"/>
      <c r="AP708" s="367"/>
      <c r="AQ708" s="366"/>
      <c r="AR708" s="367"/>
      <c r="AS708" s="367"/>
      <c r="AT708" s="154">
        <v>46167</v>
      </c>
      <c r="AU708" s="154">
        <v>46146</v>
      </c>
      <c r="AV708" s="154">
        <v>46160</v>
      </c>
      <c r="AW708" s="154">
        <v>46122</v>
      </c>
      <c r="AX708" s="154"/>
      <c r="AY708" s="154"/>
      <c r="AZ708" s="154">
        <v>46153</v>
      </c>
      <c r="BA708" s="154"/>
      <c r="BB708" s="152" t="s">
        <v>2377</v>
      </c>
      <c r="BC708" s="152"/>
      <c r="BD708" s="367" t="s">
        <v>1605</v>
      </c>
      <c r="BE708" s="367"/>
      <c r="BF708" s="367"/>
      <c r="BG708" s="367"/>
      <c r="BH708" s="260"/>
      <c r="BI708" s="54"/>
      <c r="BJ708" s="54"/>
      <c r="BK708" s="54"/>
      <c r="BL708" s="54" t="s">
        <v>2378</v>
      </c>
      <c r="BM708" s="357">
        <v>46135</v>
      </c>
      <c r="BN708" s="358">
        <v>46136</v>
      </c>
    </row>
    <row r="709" spans="1:66" ht="36" customHeight="1" x14ac:dyDescent="0.3">
      <c r="A709" s="367">
        <f t="shared" si="14"/>
        <v>704</v>
      </c>
      <c r="B709" s="54" t="s">
        <v>2379</v>
      </c>
      <c r="C709" s="367" t="s">
        <v>6</v>
      </c>
      <c r="D709" s="367" t="s">
        <v>2372</v>
      </c>
      <c r="E709" s="367"/>
      <c r="F709" s="367"/>
      <c r="G709" s="367"/>
      <c r="H709" s="367"/>
      <c r="I709" s="367"/>
      <c r="J709" s="54" t="s">
        <v>6</v>
      </c>
      <c r="K709" s="48" t="s">
        <v>2373</v>
      </c>
      <c r="L709" s="367" t="s">
        <v>2280</v>
      </c>
      <c r="M709" s="150" t="s">
        <v>120</v>
      </c>
      <c r="N709" s="150" t="s">
        <v>2374</v>
      </c>
      <c r="O709" s="150" t="s">
        <v>2375</v>
      </c>
      <c r="P709" s="313">
        <v>8</v>
      </c>
      <c r="Q709" s="367">
        <v>0.6</v>
      </c>
      <c r="R709" s="367"/>
      <c r="S709" s="367">
        <v>100</v>
      </c>
      <c r="T709" s="367">
        <v>39</v>
      </c>
      <c r="U709" s="367"/>
      <c r="V709" s="367" t="s">
        <v>127</v>
      </c>
      <c r="W709" s="367"/>
      <c r="X709" s="367" t="s">
        <v>2368</v>
      </c>
      <c r="Y709" s="367"/>
      <c r="Z709" s="367"/>
      <c r="AA709" s="367"/>
      <c r="AB709" s="150"/>
      <c r="AC709" s="48" t="s">
        <v>2380</v>
      </c>
      <c r="AD709" s="150" t="s">
        <v>555</v>
      </c>
      <c r="AE709" s="340">
        <v>46085</v>
      </c>
      <c r="AF709" s="340"/>
      <c r="AG709" s="344">
        <v>46171</v>
      </c>
      <c r="AH709" s="49">
        <v>46206</v>
      </c>
      <c r="AI709" s="266">
        <v>46174</v>
      </c>
      <c r="AJ709" s="150" t="s">
        <v>548</v>
      </c>
      <c r="AK709" s="150" t="s">
        <v>200</v>
      </c>
      <c r="AL709" s="150" t="s">
        <v>175</v>
      </c>
      <c r="AM709" s="150" t="s">
        <v>2079</v>
      </c>
      <c r="AN709" s="45">
        <v>46157</v>
      </c>
      <c r="AO709" s="367"/>
      <c r="AP709" s="367"/>
      <c r="AQ709" s="366"/>
      <c r="AR709" s="367"/>
      <c r="AS709" s="367"/>
      <c r="AT709" s="154">
        <v>46167</v>
      </c>
      <c r="AU709" s="154">
        <v>46146</v>
      </c>
      <c r="AV709" s="154">
        <v>46160</v>
      </c>
      <c r="AW709" s="154">
        <v>46122</v>
      </c>
      <c r="AX709" s="154"/>
      <c r="AY709" s="154"/>
      <c r="AZ709" s="154">
        <v>46153</v>
      </c>
      <c r="BA709" s="154"/>
      <c r="BB709" s="152" t="s">
        <v>2377</v>
      </c>
      <c r="BC709" s="152"/>
      <c r="BD709" s="367" t="s">
        <v>1605</v>
      </c>
      <c r="BE709" s="367"/>
      <c r="BF709" s="367"/>
      <c r="BG709" s="367"/>
      <c r="BH709" s="260"/>
      <c r="BI709" s="54"/>
      <c r="BJ709" s="54"/>
      <c r="BK709" s="54"/>
      <c r="BL709" s="54" t="s">
        <v>2378</v>
      </c>
      <c r="BM709" s="357">
        <v>46135</v>
      </c>
      <c r="BN709" s="358">
        <v>46136</v>
      </c>
    </row>
    <row r="710" spans="1:66" ht="36" customHeight="1" x14ac:dyDescent="0.3">
      <c r="A710" s="367">
        <f t="shared" si="14"/>
        <v>705</v>
      </c>
      <c r="B710" s="54" t="s">
        <v>2381</v>
      </c>
      <c r="C710" s="367" t="s">
        <v>6</v>
      </c>
      <c r="D710" s="367" t="s">
        <v>2382</v>
      </c>
      <c r="E710" s="367"/>
      <c r="F710" s="367"/>
      <c r="G710" s="367"/>
      <c r="H710" s="367"/>
      <c r="I710" s="367"/>
      <c r="J710" s="54" t="s">
        <v>6</v>
      </c>
      <c r="K710" s="48" t="s">
        <v>2383</v>
      </c>
      <c r="L710" s="367" t="s">
        <v>2280</v>
      </c>
      <c r="M710" s="150" t="s">
        <v>65</v>
      </c>
      <c r="N710" s="150" t="s">
        <v>2374</v>
      </c>
      <c r="O710" s="150" t="s">
        <v>2375</v>
      </c>
      <c r="P710" s="313">
        <v>8</v>
      </c>
      <c r="Q710" s="367">
        <v>0.6</v>
      </c>
      <c r="R710" s="367"/>
      <c r="S710" s="367">
        <v>100</v>
      </c>
      <c r="T710" s="367">
        <v>39</v>
      </c>
      <c r="U710" s="367"/>
      <c r="V710" s="367" t="s">
        <v>127</v>
      </c>
      <c r="W710" s="367"/>
      <c r="X710" s="367" t="s">
        <v>2368</v>
      </c>
      <c r="Y710" s="367"/>
      <c r="Z710" s="367"/>
      <c r="AA710" s="367" t="s">
        <v>127</v>
      </c>
      <c r="AB710" s="150"/>
      <c r="AC710" s="48" t="s">
        <v>2384</v>
      </c>
      <c r="AD710" s="150" t="s">
        <v>552</v>
      </c>
      <c r="AE710" s="340">
        <v>46085</v>
      </c>
      <c r="AF710" s="340"/>
      <c r="AG710" s="344">
        <v>46171</v>
      </c>
      <c r="AH710" s="49">
        <v>46210</v>
      </c>
      <c r="AI710" s="266">
        <v>46174</v>
      </c>
      <c r="AJ710" s="150" t="s">
        <v>548</v>
      </c>
      <c r="AK710" s="150" t="s">
        <v>200</v>
      </c>
      <c r="AL710" s="150" t="s">
        <v>175</v>
      </c>
      <c r="AM710" s="150" t="s">
        <v>2079</v>
      </c>
      <c r="AN710" s="45">
        <v>46157</v>
      </c>
      <c r="AO710" s="367"/>
      <c r="AP710" s="367"/>
      <c r="AQ710" s="366"/>
      <c r="AR710" s="367"/>
      <c r="AS710" s="367"/>
      <c r="AT710" s="154">
        <v>46167</v>
      </c>
      <c r="AU710" s="154">
        <v>46146</v>
      </c>
      <c r="AV710" s="154">
        <v>46160</v>
      </c>
      <c r="AW710" s="154">
        <v>46122</v>
      </c>
      <c r="AX710" s="154"/>
      <c r="AY710" s="154"/>
      <c r="AZ710" s="154">
        <v>46153</v>
      </c>
      <c r="BA710" s="154"/>
      <c r="BB710" s="152" t="s">
        <v>2377</v>
      </c>
      <c r="BC710" s="152"/>
      <c r="BD710" s="367" t="s">
        <v>1605</v>
      </c>
      <c r="BE710" s="367"/>
      <c r="BF710" s="367"/>
      <c r="BG710" s="367"/>
      <c r="BH710" s="260"/>
      <c r="BI710" s="54"/>
      <c r="BJ710" s="54"/>
      <c r="BK710" s="54"/>
      <c r="BL710" s="54" t="s">
        <v>2378</v>
      </c>
      <c r="BM710" s="357">
        <v>46135</v>
      </c>
      <c r="BN710" s="358">
        <v>46136</v>
      </c>
    </row>
    <row r="711" spans="1:66" ht="36" customHeight="1" x14ac:dyDescent="0.3">
      <c r="A711" s="367">
        <f t="shared" si="14"/>
        <v>706</v>
      </c>
      <c r="B711" s="54" t="s">
        <v>2385</v>
      </c>
      <c r="C711" s="367" t="s">
        <v>6</v>
      </c>
      <c r="D711" s="367" t="s">
        <v>2382</v>
      </c>
      <c r="E711" s="367"/>
      <c r="F711" s="367"/>
      <c r="G711" s="367"/>
      <c r="H711" s="367"/>
      <c r="I711" s="367"/>
      <c r="J711" s="54" t="s">
        <v>6</v>
      </c>
      <c r="K711" s="48" t="s">
        <v>2383</v>
      </c>
      <c r="L711" s="367" t="s">
        <v>2280</v>
      </c>
      <c r="M711" s="150" t="s">
        <v>65</v>
      </c>
      <c r="N711" s="150" t="s">
        <v>2374</v>
      </c>
      <c r="O711" s="150" t="s">
        <v>2375</v>
      </c>
      <c r="P711" s="313">
        <v>8</v>
      </c>
      <c r="Q711" s="367">
        <v>0.6</v>
      </c>
      <c r="R711" s="367"/>
      <c r="S711" s="367">
        <v>100</v>
      </c>
      <c r="T711" s="367">
        <v>39</v>
      </c>
      <c r="U711" s="367"/>
      <c r="V711" s="367" t="s">
        <v>127</v>
      </c>
      <c r="W711" s="367"/>
      <c r="X711" s="367" t="s">
        <v>2368</v>
      </c>
      <c r="Y711" s="367"/>
      <c r="Z711" s="367"/>
      <c r="AA711" s="367"/>
      <c r="AB711" s="150"/>
      <c r="AC711" s="48" t="s">
        <v>2386</v>
      </c>
      <c r="AD711" s="150" t="s">
        <v>555</v>
      </c>
      <c r="AE711" s="340">
        <v>46085</v>
      </c>
      <c r="AF711" s="340"/>
      <c r="AG711" s="344">
        <v>46171</v>
      </c>
      <c r="AH711" s="49">
        <v>46210</v>
      </c>
      <c r="AI711" s="266">
        <v>46174</v>
      </c>
      <c r="AJ711" s="150" t="s">
        <v>548</v>
      </c>
      <c r="AK711" s="150" t="s">
        <v>200</v>
      </c>
      <c r="AL711" s="150" t="s">
        <v>175</v>
      </c>
      <c r="AM711" s="150" t="s">
        <v>2079</v>
      </c>
      <c r="AN711" s="45">
        <v>46157</v>
      </c>
      <c r="AO711" s="367"/>
      <c r="AP711" s="367"/>
      <c r="AQ711" s="366"/>
      <c r="AR711" s="367"/>
      <c r="AS711" s="367"/>
      <c r="AT711" s="154">
        <v>46167</v>
      </c>
      <c r="AU711" s="154">
        <v>46146</v>
      </c>
      <c r="AV711" s="154">
        <v>46160</v>
      </c>
      <c r="AW711" s="154">
        <v>46122</v>
      </c>
      <c r="AX711" s="154"/>
      <c r="AY711" s="154"/>
      <c r="AZ711" s="154">
        <v>46153</v>
      </c>
      <c r="BA711" s="154"/>
      <c r="BB711" s="152" t="s">
        <v>2377</v>
      </c>
      <c r="BC711" s="152"/>
      <c r="BD711" s="367" t="s">
        <v>1605</v>
      </c>
      <c r="BE711" s="367"/>
      <c r="BF711" s="367"/>
      <c r="BG711" s="367"/>
      <c r="BH711" s="260"/>
      <c r="BI711" s="54"/>
      <c r="BJ711" s="54"/>
      <c r="BK711" s="54"/>
      <c r="BL711" s="54" t="s">
        <v>2378</v>
      </c>
      <c r="BM711" s="357">
        <v>46135</v>
      </c>
      <c r="BN711" s="358">
        <v>46136</v>
      </c>
    </row>
    <row r="712" spans="1:66" ht="36" customHeight="1" x14ac:dyDescent="0.3">
      <c r="A712" s="367">
        <f t="shared" si="14"/>
        <v>707</v>
      </c>
      <c r="B712" s="54" t="s">
        <v>2387</v>
      </c>
      <c r="C712" s="367" t="s">
        <v>5</v>
      </c>
      <c r="D712" s="367" t="s">
        <v>262</v>
      </c>
      <c r="E712" s="45"/>
      <c r="F712" s="45"/>
      <c r="G712" s="45"/>
      <c r="H712" s="45"/>
      <c r="I712" s="367"/>
      <c r="J712" s="54" t="s">
        <v>2388</v>
      </c>
      <c r="K712" s="48" t="s">
        <v>674</v>
      </c>
      <c r="L712" s="367"/>
      <c r="M712" s="150"/>
      <c r="N712" s="367"/>
      <c r="O712" s="367"/>
      <c r="P712" s="367"/>
      <c r="Q712" s="367"/>
      <c r="R712" s="367"/>
      <c r="S712" s="367"/>
      <c r="T712" s="367"/>
      <c r="U712" s="367"/>
      <c r="V712" s="367"/>
      <c r="W712" s="367"/>
      <c r="X712" s="367"/>
      <c r="Y712" s="367"/>
      <c r="Z712" s="367"/>
      <c r="AA712" s="367"/>
      <c r="AB712" s="150"/>
      <c r="AC712" s="48" t="s">
        <v>2389</v>
      </c>
      <c r="AD712" s="150" t="s">
        <v>361</v>
      </c>
      <c r="AE712" s="296">
        <v>46057</v>
      </c>
      <c r="AF712" s="296"/>
      <c r="AG712" s="286"/>
      <c r="AH712" s="49"/>
      <c r="AI712" s="266"/>
      <c r="AJ712" s="150" t="s">
        <v>617</v>
      </c>
      <c r="AK712" s="150"/>
      <c r="AL712" s="150"/>
      <c r="AM712" s="150" t="s">
        <v>134</v>
      </c>
      <c r="AN712" s="367"/>
      <c r="AO712" s="367"/>
      <c r="AP712" s="367"/>
      <c r="AQ712" s="366"/>
      <c r="AR712" s="367"/>
      <c r="AS712" s="367"/>
      <c r="AT712" s="367"/>
      <c r="AU712" s="367"/>
      <c r="AV712" s="367"/>
      <c r="AW712" s="367"/>
      <c r="AX712" s="367"/>
      <c r="AY712" s="367"/>
      <c r="AZ712" s="367"/>
      <c r="BA712" s="367"/>
      <c r="BB712" s="152" t="s">
        <v>2390</v>
      </c>
      <c r="BC712" s="152"/>
      <c r="BD712" s="367" t="s">
        <v>1605</v>
      </c>
      <c r="BE712" s="367"/>
      <c r="BF712" s="367"/>
      <c r="BG712" s="367"/>
      <c r="BH712" s="260"/>
      <c r="BI712" s="54"/>
      <c r="BJ712" s="54"/>
      <c r="BK712" s="54"/>
      <c r="BL712" s="54"/>
    </row>
    <row r="713" spans="1:66" ht="36" customHeight="1" x14ac:dyDescent="0.3">
      <c r="A713" s="367">
        <f t="shared" si="14"/>
        <v>708</v>
      </c>
      <c r="B713" s="54" t="s">
        <v>2391</v>
      </c>
      <c r="C713" s="367" t="s">
        <v>5</v>
      </c>
      <c r="D713" s="367" t="s">
        <v>262</v>
      </c>
      <c r="E713" s="45"/>
      <c r="F713" s="45"/>
      <c r="G713" s="45"/>
      <c r="H713" s="45"/>
      <c r="I713" s="367"/>
      <c r="J713" s="54" t="s">
        <v>2388</v>
      </c>
      <c r="K713" s="48" t="s">
        <v>674</v>
      </c>
      <c r="L713" s="367"/>
      <c r="M713" s="150"/>
      <c r="N713" s="367"/>
      <c r="O713" s="367"/>
      <c r="P713" s="367"/>
      <c r="Q713" s="367"/>
      <c r="R713" s="367"/>
      <c r="S713" s="367"/>
      <c r="T713" s="367"/>
      <c r="U713" s="367"/>
      <c r="V713" s="367"/>
      <c r="W713" s="367"/>
      <c r="X713" s="367"/>
      <c r="Y713" s="367"/>
      <c r="Z713" s="367"/>
      <c r="AA713" s="367"/>
      <c r="AB713" s="150"/>
      <c r="AC713" s="48" t="s">
        <v>2392</v>
      </c>
      <c r="AD713" s="150" t="s">
        <v>361</v>
      </c>
      <c r="AE713" s="296">
        <v>46057</v>
      </c>
      <c r="AF713" s="296"/>
      <c r="AG713" s="286"/>
      <c r="AH713" s="49"/>
      <c r="AI713" s="266"/>
      <c r="AJ713" s="150" t="s">
        <v>617</v>
      </c>
      <c r="AK713" s="150"/>
      <c r="AL713" s="150"/>
      <c r="AM713" s="150" t="s">
        <v>134</v>
      </c>
      <c r="AN713" s="367"/>
      <c r="AO713" s="367"/>
      <c r="AP713" s="367"/>
      <c r="AQ713" s="366"/>
      <c r="AR713" s="367"/>
      <c r="AS713" s="367"/>
      <c r="AT713" s="367"/>
      <c r="AU713" s="367"/>
      <c r="AV713" s="367"/>
      <c r="AW713" s="367"/>
      <c r="AX713" s="367"/>
      <c r="AY713" s="367"/>
      <c r="AZ713" s="367"/>
      <c r="BA713" s="367"/>
      <c r="BB713" s="152" t="s">
        <v>2390</v>
      </c>
      <c r="BC713" s="152"/>
      <c r="BD713" s="367" t="s">
        <v>1605</v>
      </c>
      <c r="BE713" s="367"/>
      <c r="BF713" s="367"/>
      <c r="BG713" s="367"/>
      <c r="BH713" s="260"/>
      <c r="BI713" s="54"/>
      <c r="BJ713" s="54"/>
      <c r="BK713" s="54"/>
      <c r="BL713" s="54"/>
    </row>
    <row r="714" spans="1:66" ht="36" customHeight="1" x14ac:dyDescent="0.3">
      <c r="A714" s="367">
        <f t="shared" si="14"/>
        <v>709</v>
      </c>
      <c r="B714" s="54" t="s">
        <v>2393</v>
      </c>
      <c r="C714" s="367" t="s">
        <v>0</v>
      </c>
      <c r="D714" s="367" t="s">
        <v>2394</v>
      </c>
      <c r="E714" s="45">
        <v>46090</v>
      </c>
      <c r="F714" s="45">
        <v>46090</v>
      </c>
      <c r="G714" s="45">
        <v>46100</v>
      </c>
      <c r="H714" s="367"/>
      <c r="I714" s="367"/>
      <c r="J714" s="54" t="s">
        <v>6</v>
      </c>
      <c r="K714" s="48" t="s">
        <v>2367</v>
      </c>
      <c r="L714" s="367"/>
      <c r="M714" s="150"/>
      <c r="N714" s="367"/>
      <c r="O714" s="150" t="s">
        <v>2395</v>
      </c>
      <c r="P714" s="311">
        <v>2</v>
      </c>
      <c r="Q714" s="367"/>
      <c r="R714" s="367"/>
      <c r="S714" s="367"/>
      <c r="T714" s="367"/>
      <c r="U714" s="367"/>
      <c r="V714" s="367"/>
      <c r="W714" s="367"/>
      <c r="X714" s="367" t="s">
        <v>2368</v>
      </c>
      <c r="Y714" s="367"/>
      <c r="Z714" s="367"/>
      <c r="AA714" s="367"/>
      <c r="AB714" s="150"/>
      <c r="AC714" s="48" t="s">
        <v>2396</v>
      </c>
      <c r="AD714" s="150" t="s">
        <v>2248</v>
      </c>
      <c r="AE714" s="296"/>
      <c r="AF714" s="296"/>
      <c r="AG714" s="286"/>
      <c r="AH714" s="49">
        <v>46081</v>
      </c>
      <c r="AI714" s="266">
        <v>46054</v>
      </c>
      <c r="AJ714" s="150" t="s">
        <v>131</v>
      </c>
      <c r="AK714" s="150" t="s">
        <v>1640</v>
      </c>
      <c r="AL714" s="150" t="s">
        <v>239</v>
      </c>
      <c r="AM714" s="150" t="s">
        <v>134</v>
      </c>
      <c r="AN714" s="367"/>
      <c r="AO714" s="367"/>
      <c r="AP714" s="367"/>
      <c r="AQ714" s="366"/>
      <c r="AR714" s="367"/>
      <c r="AS714" s="367"/>
      <c r="AT714" s="45">
        <v>46052</v>
      </c>
      <c r="AU714" s="45">
        <v>46386</v>
      </c>
      <c r="AV714" s="367"/>
      <c r="AW714" s="45">
        <v>46017</v>
      </c>
      <c r="AX714" s="367"/>
      <c r="AY714" s="367"/>
      <c r="AZ714" s="367"/>
      <c r="BA714" s="367"/>
      <c r="BB714" s="152" t="s">
        <v>2397</v>
      </c>
      <c r="BC714" s="152"/>
      <c r="BD714" s="367"/>
      <c r="BE714" s="367"/>
      <c r="BF714" s="367"/>
      <c r="BG714" s="367"/>
      <c r="BH714" s="260"/>
      <c r="BI714" s="54"/>
      <c r="BJ714" s="54"/>
      <c r="BK714" s="54"/>
      <c r="BL714" s="54"/>
    </row>
    <row r="715" spans="1:66" ht="36" customHeight="1" x14ac:dyDescent="0.3">
      <c r="A715" s="368">
        <f t="shared" si="14"/>
        <v>710</v>
      </c>
      <c r="B715" s="54" t="s">
        <v>2398</v>
      </c>
      <c r="C715" s="367" t="s">
        <v>0</v>
      </c>
      <c r="D715" s="367" t="s">
        <v>2399</v>
      </c>
      <c r="E715" s="45">
        <v>46115</v>
      </c>
      <c r="F715" s="367"/>
      <c r="G715" s="367"/>
      <c r="H715" s="367"/>
      <c r="I715" s="367"/>
      <c r="J715" s="54" t="s">
        <v>6</v>
      </c>
      <c r="K715" s="48" t="s">
        <v>2367</v>
      </c>
      <c r="L715" s="367"/>
      <c r="M715" s="150"/>
      <c r="N715" s="367"/>
      <c r="O715" s="150" t="s">
        <v>2395</v>
      </c>
      <c r="P715" s="311">
        <v>2</v>
      </c>
      <c r="Q715" s="367"/>
      <c r="R715" s="367"/>
      <c r="S715" s="367"/>
      <c r="T715" s="367"/>
      <c r="U715" s="367"/>
      <c r="V715" s="367"/>
      <c r="W715" s="367"/>
      <c r="X715" s="367" t="s">
        <v>2368</v>
      </c>
      <c r="Y715" s="367"/>
      <c r="Z715" s="367"/>
      <c r="AA715" s="367"/>
      <c r="AB715" s="150"/>
      <c r="AC715" s="48" t="s">
        <v>2400</v>
      </c>
      <c r="AD715" s="150" t="s">
        <v>2248</v>
      </c>
      <c r="AE715" s="296"/>
      <c r="AF715" s="296"/>
      <c r="AG715" s="286"/>
      <c r="AH715" s="49">
        <v>46137</v>
      </c>
      <c r="AI715" s="266">
        <v>46096</v>
      </c>
      <c r="AJ715" s="150" t="s">
        <v>131</v>
      </c>
      <c r="AK715" s="150" t="s">
        <v>1640</v>
      </c>
      <c r="AL715" s="150" t="s">
        <v>239</v>
      </c>
      <c r="AM715" s="150" t="s">
        <v>134</v>
      </c>
      <c r="AT715" s="45">
        <v>46081</v>
      </c>
      <c r="AU715" s="45">
        <v>46386</v>
      </c>
      <c r="AV715" s="367"/>
      <c r="AW715" s="45">
        <v>46017</v>
      </c>
      <c r="AX715" s="367"/>
      <c r="AY715" s="367"/>
      <c r="AZ715" s="367"/>
      <c r="BA715" s="367"/>
      <c r="BB715" s="152" t="s">
        <v>2401</v>
      </c>
      <c r="BC715" s="152"/>
      <c r="BD715" s="367"/>
      <c r="BE715" s="367"/>
      <c r="BF715" s="367"/>
      <c r="BG715" s="367"/>
      <c r="BH715" s="260"/>
      <c r="BL715" s="54"/>
    </row>
    <row r="716" spans="1:66" ht="36" customHeight="1" x14ac:dyDescent="0.3">
      <c r="A716" s="368">
        <f t="shared" si="14"/>
        <v>711</v>
      </c>
      <c r="B716" s="54" t="s">
        <v>2402</v>
      </c>
      <c r="C716" s="367" t="s">
        <v>5</v>
      </c>
      <c r="D716" s="367" t="s">
        <v>2403</v>
      </c>
      <c r="E716" s="45">
        <v>46127</v>
      </c>
      <c r="F716" s="45"/>
      <c r="G716" s="45"/>
      <c r="H716" s="45"/>
      <c r="I716" s="367"/>
      <c r="J716" s="54" t="s">
        <v>2404</v>
      </c>
      <c r="K716" s="48" t="s">
        <v>521</v>
      </c>
      <c r="L716" s="367"/>
      <c r="M716" s="150"/>
      <c r="N716" s="367"/>
      <c r="O716" s="150" t="s">
        <v>2395</v>
      </c>
      <c r="P716" s="311">
        <v>2</v>
      </c>
      <c r="Q716" s="367"/>
      <c r="R716" s="367"/>
      <c r="S716" s="367"/>
      <c r="T716" s="367"/>
      <c r="U716" s="367"/>
      <c r="V716" s="367"/>
      <c r="W716" s="367"/>
      <c r="X716" s="367" t="s">
        <v>2405</v>
      </c>
      <c r="Y716" s="367"/>
      <c r="Z716" s="367"/>
      <c r="AA716" s="367"/>
      <c r="AB716" s="150"/>
      <c r="AC716" s="48" t="s">
        <v>2406</v>
      </c>
      <c r="AD716" s="150" t="s">
        <v>361</v>
      </c>
      <c r="AE716" s="296"/>
      <c r="AF716" s="296"/>
      <c r="AG716" s="286"/>
      <c r="AH716" s="49">
        <v>46122</v>
      </c>
      <c r="AI716" s="266">
        <v>46096</v>
      </c>
      <c r="AJ716" s="150" t="s">
        <v>648</v>
      </c>
      <c r="AK716" s="150" t="s">
        <v>161</v>
      </c>
      <c r="AL716" s="150" t="s">
        <v>133</v>
      </c>
      <c r="AM716" s="150" t="s">
        <v>134</v>
      </c>
      <c r="AT716" s="45">
        <v>46038</v>
      </c>
      <c r="AU716" s="45">
        <v>46027</v>
      </c>
      <c r="AV716" s="45">
        <v>46027</v>
      </c>
      <c r="AW716" s="367"/>
      <c r="AX716" s="367"/>
      <c r="AY716" s="367"/>
      <c r="AZ716" s="367"/>
      <c r="BA716" s="367"/>
      <c r="BB716" s="152"/>
      <c r="BC716" s="152"/>
      <c r="BD716" s="367" t="s">
        <v>1605</v>
      </c>
      <c r="BE716" s="367"/>
      <c r="BF716" s="367"/>
      <c r="BG716" s="367"/>
      <c r="BH716" s="260"/>
      <c r="BL716" s="54"/>
    </row>
    <row r="717" spans="1:66" ht="36" customHeight="1" x14ac:dyDescent="0.3">
      <c r="A717" s="368">
        <f t="shared" si="14"/>
        <v>712</v>
      </c>
      <c r="B717" s="168" t="s">
        <v>2407</v>
      </c>
      <c r="C717" s="169" t="s">
        <v>4</v>
      </c>
      <c r="D717" s="169" t="s">
        <v>262</v>
      </c>
      <c r="E717" s="169"/>
      <c r="F717" s="169"/>
      <c r="G717" s="169"/>
      <c r="H717" s="169"/>
      <c r="I717" s="169"/>
      <c r="J717" s="168" t="s">
        <v>2408</v>
      </c>
      <c r="K717" s="52" t="s">
        <v>2409</v>
      </c>
      <c r="L717" s="169" t="s">
        <v>660</v>
      </c>
      <c r="M717" s="171"/>
      <c r="N717" s="171" t="s">
        <v>2410</v>
      </c>
      <c r="O717" s="171" t="s">
        <v>2411</v>
      </c>
      <c r="P717" s="169">
        <v>3</v>
      </c>
      <c r="Q717" s="169"/>
      <c r="R717" s="169"/>
      <c r="S717" s="169"/>
      <c r="T717" s="169">
        <v>12</v>
      </c>
      <c r="U717" s="169"/>
      <c r="V717" s="169"/>
      <c r="W717" s="169"/>
      <c r="X717" s="171" t="s">
        <v>2412</v>
      </c>
      <c r="Y717" s="169"/>
      <c r="Z717" s="169"/>
      <c r="AA717" s="169"/>
      <c r="AB717" s="171" t="s">
        <v>2413</v>
      </c>
      <c r="AC717" s="52" t="s">
        <v>2414</v>
      </c>
      <c r="AD717" s="336" t="s">
        <v>2415</v>
      </c>
      <c r="AE717" s="303"/>
      <c r="AF717" s="303"/>
      <c r="AG717" s="287">
        <v>46183</v>
      </c>
      <c r="AH717" s="173">
        <v>46198</v>
      </c>
      <c r="AI717" s="278">
        <v>46113</v>
      </c>
      <c r="AJ717" s="171" t="s">
        <v>264</v>
      </c>
      <c r="AK717" s="171" t="s">
        <v>190</v>
      </c>
      <c r="AL717" s="171"/>
      <c r="AM717" s="171"/>
      <c r="AT717" s="169"/>
      <c r="AU717" s="169"/>
      <c r="AV717" s="169"/>
      <c r="AW717" s="169"/>
      <c r="AX717" s="169"/>
      <c r="AY717" s="169"/>
      <c r="AZ717" s="169"/>
      <c r="BA717" s="169"/>
      <c r="BB717" s="174" t="s">
        <v>2416</v>
      </c>
      <c r="BC717" s="174"/>
      <c r="BD717" s="169"/>
      <c r="BE717" s="169"/>
      <c r="BF717" s="169"/>
      <c r="BG717" s="169"/>
      <c r="BH717" s="304"/>
      <c r="BL717" s="168"/>
    </row>
    <row r="718" spans="1:66" ht="36" customHeight="1" x14ac:dyDescent="0.3">
      <c r="A718" s="367">
        <f t="shared" si="14"/>
        <v>713</v>
      </c>
      <c r="B718" s="54" t="s">
        <v>2417</v>
      </c>
      <c r="C718" s="169" t="s">
        <v>4</v>
      </c>
      <c r="D718" s="367" t="s">
        <v>262</v>
      </c>
      <c r="E718" s="367"/>
      <c r="F718" s="367"/>
      <c r="G718" s="367"/>
      <c r="H718" s="367"/>
      <c r="I718" s="367"/>
      <c r="J718" s="54" t="s">
        <v>2408</v>
      </c>
      <c r="K718" s="48" t="s">
        <v>2409</v>
      </c>
      <c r="L718" s="367"/>
      <c r="M718" s="150"/>
      <c r="N718" s="367"/>
      <c r="O718" s="367"/>
      <c r="P718" s="367"/>
      <c r="Q718" s="367"/>
      <c r="R718" s="367"/>
      <c r="S718" s="367"/>
      <c r="T718" s="367"/>
      <c r="U718" s="367"/>
      <c r="V718" s="367"/>
      <c r="W718" s="367"/>
      <c r="X718" s="367" t="s">
        <v>42</v>
      </c>
      <c r="Y718" s="367"/>
      <c r="Z718" s="367"/>
      <c r="AA718" s="367"/>
      <c r="AB718" s="150"/>
      <c r="AC718" s="48" t="s">
        <v>2418</v>
      </c>
      <c r="AD718" s="337" t="s">
        <v>238</v>
      </c>
      <c r="AE718" s="296"/>
      <c r="AF718" s="296"/>
      <c r="AG718" s="286">
        <v>46183</v>
      </c>
      <c r="AH718" s="49">
        <v>46198</v>
      </c>
      <c r="AI718" s="266">
        <v>46113</v>
      </c>
      <c r="AJ718" s="150" t="s">
        <v>264</v>
      </c>
      <c r="AK718" s="150"/>
      <c r="AL718" s="150"/>
      <c r="AM718" s="150"/>
      <c r="AN718" s="367"/>
      <c r="AO718" s="367"/>
      <c r="AP718" s="367"/>
      <c r="AQ718" s="367"/>
      <c r="AR718" s="367"/>
      <c r="AS718" s="367"/>
      <c r="AT718" s="367"/>
      <c r="AU718" s="367"/>
      <c r="AV718" s="367"/>
      <c r="AW718" s="367"/>
      <c r="AX718" s="367"/>
      <c r="AY718" s="367"/>
      <c r="AZ718" s="367"/>
      <c r="BA718" s="367"/>
      <c r="BB718" s="152" t="s">
        <v>2416</v>
      </c>
      <c r="BC718" s="152"/>
      <c r="BD718" s="367"/>
      <c r="BE718" s="367"/>
      <c r="BF718" s="367"/>
      <c r="BG718" s="367"/>
      <c r="BH718" s="260"/>
      <c r="BI718" s="54"/>
      <c r="BJ718" s="54"/>
      <c r="BK718" s="54"/>
      <c r="BL718" s="54"/>
    </row>
    <row r="719" spans="1:66" ht="36" customHeight="1" x14ac:dyDescent="0.3">
      <c r="A719" s="367">
        <f t="shared" si="14"/>
        <v>714</v>
      </c>
      <c r="B719" s="54" t="s">
        <v>2419</v>
      </c>
      <c r="C719" s="169" t="s">
        <v>4</v>
      </c>
      <c r="D719" s="367" t="s">
        <v>262</v>
      </c>
      <c r="E719" s="367"/>
      <c r="F719" s="367"/>
      <c r="G719" s="367"/>
      <c r="H719" s="367"/>
      <c r="I719" s="367"/>
      <c r="J719" s="54" t="s">
        <v>2408</v>
      </c>
      <c r="K719" s="48" t="s">
        <v>2409</v>
      </c>
      <c r="L719" s="367"/>
      <c r="M719" s="150"/>
      <c r="N719" s="367"/>
      <c r="O719" s="367"/>
      <c r="P719" s="367"/>
      <c r="Q719" s="367"/>
      <c r="R719" s="367"/>
      <c r="S719" s="367"/>
      <c r="T719" s="367"/>
      <c r="U719" s="367"/>
      <c r="V719" s="367"/>
      <c r="W719" s="367"/>
      <c r="X719" s="367" t="s">
        <v>42</v>
      </c>
      <c r="Y719" s="367"/>
      <c r="Z719" s="367"/>
      <c r="AA719" s="367"/>
      <c r="AB719" s="150"/>
      <c r="AC719" s="48" t="s">
        <v>2420</v>
      </c>
      <c r="AD719" s="337" t="s">
        <v>1079</v>
      </c>
      <c r="AE719" s="296"/>
      <c r="AF719" s="296"/>
      <c r="AG719" s="286">
        <v>46183</v>
      </c>
      <c r="AH719" s="49">
        <v>46198</v>
      </c>
      <c r="AI719" s="266">
        <v>46113</v>
      </c>
      <c r="AJ719" s="150" t="s">
        <v>264</v>
      </c>
      <c r="AK719" s="150"/>
      <c r="AL719" s="150"/>
      <c r="AM719" s="150"/>
      <c r="AN719" s="367"/>
      <c r="AO719" s="367"/>
      <c r="AP719" s="367"/>
      <c r="AQ719" s="367"/>
      <c r="AR719" s="367"/>
      <c r="AS719" s="367"/>
      <c r="AT719" s="367"/>
      <c r="AU719" s="367"/>
      <c r="AV719" s="367"/>
      <c r="AW719" s="367"/>
      <c r="AX719" s="367"/>
      <c r="AY719" s="367"/>
      <c r="AZ719" s="367"/>
      <c r="BA719" s="367"/>
      <c r="BB719" s="152" t="s">
        <v>2416</v>
      </c>
      <c r="BC719" s="152"/>
      <c r="BD719" s="367"/>
      <c r="BE719" s="367"/>
      <c r="BF719" s="367"/>
      <c r="BG719" s="367"/>
      <c r="BH719" s="260"/>
      <c r="BI719" s="54"/>
      <c r="BJ719" s="54"/>
      <c r="BK719" s="54"/>
      <c r="BL719" s="54"/>
    </row>
    <row r="720" spans="1:66" ht="36" customHeight="1" x14ac:dyDescent="0.3">
      <c r="A720" s="367">
        <f t="shared" si="14"/>
        <v>715</v>
      </c>
      <c r="B720" s="54" t="s">
        <v>2421</v>
      </c>
      <c r="C720" s="169" t="s">
        <v>4</v>
      </c>
      <c r="D720" s="367" t="s">
        <v>262</v>
      </c>
      <c r="E720" s="367"/>
      <c r="F720" s="367"/>
      <c r="G720" s="367"/>
      <c r="H720" s="367"/>
      <c r="I720" s="367"/>
      <c r="J720" s="54" t="s">
        <v>2408</v>
      </c>
      <c r="K720" s="48" t="s">
        <v>2409</v>
      </c>
      <c r="L720" s="367"/>
      <c r="M720" s="150"/>
      <c r="N720" s="367"/>
      <c r="O720" s="367"/>
      <c r="P720" s="367"/>
      <c r="Q720" s="367"/>
      <c r="R720" s="367"/>
      <c r="S720" s="367"/>
      <c r="T720" s="367"/>
      <c r="U720" s="367"/>
      <c r="V720" s="367"/>
      <c r="W720" s="367"/>
      <c r="X720" s="367" t="s">
        <v>42</v>
      </c>
      <c r="Y720" s="367"/>
      <c r="Z720" s="367"/>
      <c r="AA720" s="367"/>
      <c r="AB720" s="150"/>
      <c r="AC720" s="48" t="s">
        <v>2418</v>
      </c>
      <c r="AD720" s="337" t="s">
        <v>238</v>
      </c>
      <c r="AE720" s="296"/>
      <c r="AF720" s="296"/>
      <c r="AG720" s="286">
        <v>46183</v>
      </c>
      <c r="AH720" s="49">
        <v>46198</v>
      </c>
      <c r="AI720" s="266">
        <v>46113</v>
      </c>
      <c r="AJ720" s="150" t="s">
        <v>264</v>
      </c>
      <c r="AK720" s="150"/>
      <c r="AL720" s="150"/>
      <c r="AM720" s="150"/>
      <c r="AN720" s="367"/>
      <c r="AO720" s="367"/>
      <c r="AP720" s="367"/>
      <c r="AQ720" s="367"/>
      <c r="AR720" s="367"/>
      <c r="AS720" s="367"/>
      <c r="AT720" s="367"/>
      <c r="AU720" s="367"/>
      <c r="AV720" s="367"/>
      <c r="AW720" s="367"/>
      <c r="AX720" s="367"/>
      <c r="AY720" s="367"/>
      <c r="AZ720" s="367"/>
      <c r="BA720" s="367"/>
      <c r="BB720" s="152" t="s">
        <v>2416</v>
      </c>
      <c r="BC720" s="152"/>
      <c r="BD720" s="367"/>
      <c r="BE720" s="367"/>
      <c r="BF720" s="367"/>
      <c r="BG720" s="367"/>
      <c r="BH720" s="260"/>
      <c r="BI720" s="54"/>
      <c r="BJ720" s="54"/>
      <c r="BK720" s="54"/>
      <c r="BL720" s="54"/>
    </row>
    <row r="721" spans="1:66" ht="36" customHeight="1" x14ac:dyDescent="0.3">
      <c r="A721" s="367">
        <f t="shared" si="14"/>
        <v>716</v>
      </c>
      <c r="B721" s="54" t="s">
        <v>2422</v>
      </c>
      <c r="C721" s="169" t="s">
        <v>4</v>
      </c>
      <c r="D721" s="367" t="s">
        <v>262</v>
      </c>
      <c r="E721" s="367"/>
      <c r="F721" s="367"/>
      <c r="G721" s="367"/>
      <c r="H721" s="367"/>
      <c r="I721" s="367"/>
      <c r="J721" s="54" t="s">
        <v>2408</v>
      </c>
      <c r="K721" s="48" t="s">
        <v>2409</v>
      </c>
      <c r="L721" s="367" t="s">
        <v>660</v>
      </c>
      <c r="M721" s="150"/>
      <c r="N721" s="150" t="s">
        <v>2423</v>
      </c>
      <c r="O721" s="150" t="s">
        <v>2424</v>
      </c>
      <c r="P721" s="367">
        <v>3</v>
      </c>
      <c r="Q721" s="367"/>
      <c r="R721" s="367"/>
      <c r="S721" s="367"/>
      <c r="T721" s="367">
        <v>12</v>
      </c>
      <c r="U721" s="367"/>
      <c r="V721" s="367"/>
      <c r="W721" s="367"/>
      <c r="X721" s="150" t="s">
        <v>2425</v>
      </c>
      <c r="Y721" s="367" t="s">
        <v>127</v>
      </c>
      <c r="Z721" s="367"/>
      <c r="AA721" s="367"/>
      <c r="AB721" s="150" t="s">
        <v>215</v>
      </c>
      <c r="AC721" s="48" t="s">
        <v>2426</v>
      </c>
      <c r="AD721" s="337" t="s">
        <v>2427</v>
      </c>
      <c r="AE721" s="296"/>
      <c r="AF721" s="296"/>
      <c r="AG721" s="286">
        <v>46183</v>
      </c>
      <c r="AH721" s="49">
        <v>46198</v>
      </c>
      <c r="AI721" s="266">
        <v>46113</v>
      </c>
      <c r="AJ721" s="150" t="s">
        <v>264</v>
      </c>
      <c r="AK721" s="171" t="s">
        <v>190</v>
      </c>
      <c r="AL721" s="150"/>
      <c r="AM721" s="150"/>
      <c r="AN721" s="367"/>
      <c r="AO721" s="367"/>
      <c r="AP721" s="367"/>
      <c r="AQ721" s="367"/>
      <c r="AR721" s="367"/>
      <c r="AS721" s="367"/>
      <c r="AT721" s="367"/>
      <c r="AU721" s="367"/>
      <c r="AV721" s="367"/>
      <c r="AW721" s="367"/>
      <c r="AX721" s="367"/>
      <c r="AY721" s="367"/>
      <c r="AZ721" s="367"/>
      <c r="BA721" s="367"/>
      <c r="BB721" s="152" t="s">
        <v>2416</v>
      </c>
      <c r="BC721" s="152"/>
      <c r="BD721" s="367"/>
      <c r="BE721" s="367"/>
      <c r="BF721" s="367"/>
      <c r="BG721" s="367"/>
      <c r="BH721" s="260"/>
      <c r="BI721" s="54"/>
      <c r="BJ721" s="54"/>
      <c r="BK721" s="54"/>
      <c r="BL721" s="54"/>
    </row>
    <row r="722" spans="1:66" ht="36" customHeight="1" x14ac:dyDescent="0.3">
      <c r="A722" s="367">
        <f t="shared" si="14"/>
        <v>717</v>
      </c>
      <c r="B722" s="54" t="s">
        <v>2428</v>
      </c>
      <c r="C722" s="169" t="s">
        <v>4</v>
      </c>
      <c r="D722" s="367" t="s">
        <v>262</v>
      </c>
      <c r="E722" s="367"/>
      <c r="F722" s="367"/>
      <c r="G722" s="367"/>
      <c r="H722" s="367"/>
      <c r="I722" s="367"/>
      <c r="J722" s="54" t="s">
        <v>2408</v>
      </c>
      <c r="K722" s="48" t="s">
        <v>2429</v>
      </c>
      <c r="L722" s="367" t="s">
        <v>1057</v>
      </c>
      <c r="M722" s="150"/>
      <c r="N722" s="367"/>
      <c r="O722" s="367"/>
      <c r="P722" s="367"/>
      <c r="Q722" s="367"/>
      <c r="R722" s="367"/>
      <c r="S722" s="367"/>
      <c r="T722" s="367">
        <v>12</v>
      </c>
      <c r="U722" s="367"/>
      <c r="V722" s="367"/>
      <c r="W722" s="367"/>
      <c r="X722" s="150" t="s">
        <v>2425</v>
      </c>
      <c r="Y722" s="367" t="s">
        <v>127</v>
      </c>
      <c r="Z722" s="367"/>
      <c r="AA722" s="367"/>
      <c r="AB722" s="150" t="s">
        <v>215</v>
      </c>
      <c r="AC722" s="48" t="s">
        <v>2430</v>
      </c>
      <c r="AD722" s="337" t="s">
        <v>2415</v>
      </c>
      <c r="AE722" s="296"/>
      <c r="AF722" s="296"/>
      <c r="AG722" s="286">
        <v>46183</v>
      </c>
      <c r="AH722" s="49">
        <v>46198</v>
      </c>
      <c r="AI722" s="266">
        <v>46113</v>
      </c>
      <c r="AJ722" s="150" t="s">
        <v>264</v>
      </c>
      <c r="AK722" s="171" t="s">
        <v>190</v>
      </c>
      <c r="AL722" s="150"/>
      <c r="AM722" s="150"/>
      <c r="AN722" s="367"/>
      <c r="AO722" s="367"/>
      <c r="AP722" s="367"/>
      <c r="AQ722" s="367"/>
      <c r="AR722" s="367"/>
      <c r="AS722" s="367"/>
      <c r="AT722" s="367"/>
      <c r="AU722" s="367"/>
      <c r="AV722" s="367"/>
      <c r="AW722" s="367"/>
      <c r="AX722" s="367"/>
      <c r="AY722" s="367"/>
      <c r="AZ722" s="367"/>
      <c r="BA722" s="367"/>
      <c r="BB722" s="152" t="s">
        <v>2416</v>
      </c>
      <c r="BC722" s="152"/>
      <c r="BD722" s="367"/>
      <c r="BE722" s="367"/>
      <c r="BF722" s="367"/>
      <c r="BG722" s="367"/>
      <c r="BH722" s="260"/>
      <c r="BI722" s="54"/>
      <c r="BJ722" s="54"/>
      <c r="BK722" s="54"/>
      <c r="BL722" s="54"/>
    </row>
    <row r="723" spans="1:66" ht="36" customHeight="1" x14ac:dyDescent="0.3">
      <c r="A723" s="367">
        <f t="shared" si="14"/>
        <v>718</v>
      </c>
      <c r="B723" s="54" t="s">
        <v>2431</v>
      </c>
      <c r="C723" s="169" t="s">
        <v>4</v>
      </c>
      <c r="D723" s="367" t="s">
        <v>262</v>
      </c>
      <c r="E723" s="367"/>
      <c r="F723" s="367"/>
      <c r="G723" s="367"/>
      <c r="H723" s="367"/>
      <c r="I723" s="367"/>
      <c r="J723" s="54" t="s">
        <v>2408</v>
      </c>
      <c r="K723" s="48" t="s">
        <v>2429</v>
      </c>
      <c r="L723" s="367"/>
      <c r="M723" s="150"/>
      <c r="N723" s="367"/>
      <c r="O723" s="367"/>
      <c r="P723" s="367"/>
      <c r="Q723" s="367"/>
      <c r="R723" s="367"/>
      <c r="S723" s="367"/>
      <c r="T723" s="367"/>
      <c r="U723" s="367"/>
      <c r="V723" s="367"/>
      <c r="W723" s="367"/>
      <c r="X723" s="367" t="s">
        <v>42</v>
      </c>
      <c r="Y723" s="367"/>
      <c r="Z723" s="367"/>
      <c r="AA723" s="367"/>
      <c r="AB723" s="150"/>
      <c r="AC723" s="48" t="s">
        <v>2432</v>
      </c>
      <c r="AD723" s="337" t="s">
        <v>1079</v>
      </c>
      <c r="AE723" s="296"/>
      <c r="AF723" s="296"/>
      <c r="AG723" s="286">
        <v>46183</v>
      </c>
      <c r="AH723" s="49">
        <v>46198</v>
      </c>
      <c r="AI723" s="266">
        <v>46113</v>
      </c>
      <c r="AJ723" s="150" t="s">
        <v>264</v>
      </c>
      <c r="AK723" s="150"/>
      <c r="AL723" s="150"/>
      <c r="AM723" s="150"/>
      <c r="AN723" s="367"/>
      <c r="AO723" s="367"/>
      <c r="AP723" s="367"/>
      <c r="AQ723" s="367"/>
      <c r="AR723" s="367"/>
      <c r="AS723" s="367"/>
      <c r="AT723" s="367"/>
      <c r="AU723" s="367"/>
      <c r="AV723" s="367"/>
      <c r="AW723" s="367"/>
      <c r="AX723" s="367"/>
      <c r="AY723" s="367"/>
      <c r="AZ723" s="367"/>
      <c r="BA723" s="367"/>
      <c r="BB723" s="152" t="s">
        <v>2416</v>
      </c>
      <c r="BC723" s="152"/>
      <c r="BD723" s="367"/>
      <c r="BE723" s="367"/>
      <c r="BF723" s="367"/>
      <c r="BG723" s="367"/>
      <c r="BH723" s="260"/>
      <c r="BI723" s="54"/>
      <c r="BJ723" s="54"/>
      <c r="BK723" s="54"/>
      <c r="BL723" s="54"/>
    </row>
    <row r="724" spans="1:66" ht="36" customHeight="1" x14ac:dyDescent="0.3">
      <c r="A724" s="367">
        <f t="shared" si="14"/>
        <v>719</v>
      </c>
      <c r="B724" s="54" t="s">
        <v>2433</v>
      </c>
      <c r="C724" s="169" t="s">
        <v>4</v>
      </c>
      <c r="D724" s="367" t="s">
        <v>262</v>
      </c>
      <c r="E724" s="367"/>
      <c r="F724" s="367"/>
      <c r="G724" s="367"/>
      <c r="H724" s="367"/>
      <c r="I724" s="367"/>
      <c r="J724" s="54" t="s">
        <v>2408</v>
      </c>
      <c r="K724" s="48" t="s">
        <v>2429</v>
      </c>
      <c r="L724" s="367"/>
      <c r="M724" s="150"/>
      <c r="N724" s="367"/>
      <c r="O724" s="367"/>
      <c r="P724" s="367"/>
      <c r="Q724" s="367"/>
      <c r="R724" s="367"/>
      <c r="S724" s="367"/>
      <c r="T724" s="367"/>
      <c r="U724" s="367"/>
      <c r="V724" s="367"/>
      <c r="W724" s="367"/>
      <c r="X724" s="367" t="s">
        <v>42</v>
      </c>
      <c r="Y724" s="367"/>
      <c r="Z724" s="367"/>
      <c r="AA724" s="367"/>
      <c r="AB724" s="150"/>
      <c r="AC724" s="48" t="s">
        <v>2434</v>
      </c>
      <c r="AD724" s="337" t="s">
        <v>238</v>
      </c>
      <c r="AE724" s="296"/>
      <c r="AF724" s="296"/>
      <c r="AG724" s="286">
        <v>46183</v>
      </c>
      <c r="AH724" s="49">
        <v>46198</v>
      </c>
      <c r="AI724" s="266">
        <v>46113</v>
      </c>
      <c r="AJ724" s="150" t="s">
        <v>264</v>
      </c>
      <c r="AK724" s="150"/>
      <c r="AL724" s="150"/>
      <c r="AM724" s="150"/>
      <c r="AN724" s="367"/>
      <c r="AO724" s="367"/>
      <c r="AP724" s="367"/>
      <c r="AQ724" s="367"/>
      <c r="AR724" s="367"/>
      <c r="AS724" s="367"/>
      <c r="AT724" s="367"/>
      <c r="AU724" s="367"/>
      <c r="AV724" s="367"/>
      <c r="AW724" s="367"/>
      <c r="AX724" s="367"/>
      <c r="AY724" s="367"/>
      <c r="AZ724" s="367"/>
      <c r="BA724" s="367"/>
      <c r="BB724" s="152" t="s">
        <v>2416</v>
      </c>
      <c r="BC724" s="152"/>
      <c r="BD724" s="367"/>
      <c r="BE724" s="367"/>
      <c r="BF724" s="367"/>
      <c r="BG724" s="367"/>
      <c r="BH724" s="260"/>
      <c r="BI724" s="54"/>
      <c r="BJ724" s="54"/>
      <c r="BK724" s="54"/>
      <c r="BL724" s="54"/>
    </row>
    <row r="725" spans="1:66" ht="36" customHeight="1" x14ac:dyDescent="0.3">
      <c r="A725" s="367">
        <f t="shared" si="14"/>
        <v>720</v>
      </c>
      <c r="B725" s="54" t="s">
        <v>2435</v>
      </c>
      <c r="C725" s="169" t="s">
        <v>4</v>
      </c>
      <c r="D725" s="367" t="s">
        <v>262</v>
      </c>
      <c r="E725" s="367"/>
      <c r="F725" s="367"/>
      <c r="G725" s="367"/>
      <c r="H725" s="367"/>
      <c r="I725" s="367"/>
      <c r="J725" s="54" t="s">
        <v>2408</v>
      </c>
      <c r="K725" s="48" t="s">
        <v>2429</v>
      </c>
      <c r="L725" s="367" t="s">
        <v>1057</v>
      </c>
      <c r="M725" s="150"/>
      <c r="N725" s="367"/>
      <c r="O725" s="367"/>
      <c r="P725" s="367"/>
      <c r="Q725" s="367"/>
      <c r="R725" s="367"/>
      <c r="S725" s="367"/>
      <c r="T725" s="367">
        <v>12</v>
      </c>
      <c r="U725" s="367"/>
      <c r="V725" s="367"/>
      <c r="W725" s="367"/>
      <c r="X725" s="367" t="s">
        <v>2425</v>
      </c>
      <c r="Y725" s="367" t="s">
        <v>127</v>
      </c>
      <c r="Z725" s="367"/>
      <c r="AA725" s="367"/>
      <c r="AB725" s="150" t="s">
        <v>215</v>
      </c>
      <c r="AC725" s="48" t="s">
        <v>2436</v>
      </c>
      <c r="AD725" s="337" t="s">
        <v>2427</v>
      </c>
      <c r="AE725" s="296"/>
      <c r="AF725" s="296"/>
      <c r="AG725" s="286">
        <v>46183</v>
      </c>
      <c r="AH725" s="49">
        <v>46198</v>
      </c>
      <c r="AI725" s="266">
        <v>46113</v>
      </c>
      <c r="AJ725" s="150" t="s">
        <v>264</v>
      </c>
      <c r="AK725" s="171" t="s">
        <v>190</v>
      </c>
      <c r="AL725" s="150"/>
      <c r="AM725" s="150"/>
      <c r="AN725" s="367"/>
      <c r="AO725" s="367"/>
      <c r="AP725" s="367"/>
      <c r="AQ725" s="367"/>
      <c r="AR725" s="367"/>
      <c r="AS725" s="367"/>
      <c r="AT725" s="367"/>
      <c r="AU725" s="367"/>
      <c r="AV725" s="367"/>
      <c r="AW725" s="367"/>
      <c r="AX725" s="367"/>
      <c r="AY725" s="367"/>
      <c r="AZ725" s="367"/>
      <c r="BA725" s="367"/>
      <c r="BB725" s="152" t="s">
        <v>2416</v>
      </c>
      <c r="BC725" s="152"/>
      <c r="BD725" s="367"/>
      <c r="BE725" s="367"/>
      <c r="BF725" s="367"/>
      <c r="BG725" s="367"/>
      <c r="BH725" s="260"/>
      <c r="BI725" s="54"/>
      <c r="BJ725" s="54"/>
      <c r="BK725" s="54"/>
      <c r="BL725" s="54"/>
    </row>
    <row r="726" spans="1:66" ht="36" customHeight="1" x14ac:dyDescent="0.3">
      <c r="A726" s="367">
        <f t="shared" si="14"/>
        <v>721</v>
      </c>
      <c r="B726" s="54" t="s">
        <v>2437</v>
      </c>
      <c r="C726" s="169" t="s">
        <v>4</v>
      </c>
      <c r="D726" s="367" t="s">
        <v>2438</v>
      </c>
      <c r="E726" s="367"/>
      <c r="F726" s="367"/>
      <c r="G726" s="367"/>
      <c r="H726" s="367"/>
      <c r="I726" s="367"/>
      <c r="J726" s="54" t="s">
        <v>2408</v>
      </c>
      <c r="K726" s="48" t="s">
        <v>2439</v>
      </c>
      <c r="L726" s="367" t="s">
        <v>1057</v>
      </c>
      <c r="M726" s="150"/>
      <c r="N726" s="150" t="s">
        <v>2423</v>
      </c>
      <c r="O726" s="150" t="s">
        <v>2424</v>
      </c>
      <c r="P726" s="367">
        <v>3</v>
      </c>
      <c r="Q726" s="367"/>
      <c r="R726" s="367"/>
      <c r="S726" s="367"/>
      <c r="T726" s="367">
        <v>12</v>
      </c>
      <c r="U726" s="367"/>
      <c r="V726" s="367"/>
      <c r="W726" s="367"/>
      <c r="X726" s="367" t="s">
        <v>2425</v>
      </c>
      <c r="Y726" s="367" t="s">
        <v>127</v>
      </c>
      <c r="Z726" s="367"/>
      <c r="AA726" s="367"/>
      <c r="AB726" s="150" t="s">
        <v>215</v>
      </c>
      <c r="AC726" s="48" t="s">
        <v>2440</v>
      </c>
      <c r="AD726" s="337" t="s">
        <v>2415</v>
      </c>
      <c r="AE726" s="296"/>
      <c r="AF726" s="296"/>
      <c r="AG726" s="286">
        <v>46183</v>
      </c>
      <c r="AH726" s="49">
        <v>46213</v>
      </c>
      <c r="AI726" s="266">
        <v>46174</v>
      </c>
      <c r="AJ726" s="150" t="s">
        <v>548</v>
      </c>
      <c r="AK726" s="171" t="s">
        <v>190</v>
      </c>
      <c r="AL726" s="150"/>
      <c r="AM726" s="150" t="s">
        <v>134</v>
      </c>
      <c r="AN726" s="367"/>
      <c r="AO726" s="367"/>
      <c r="AP726" s="367"/>
      <c r="AQ726" s="367"/>
      <c r="AR726" s="367"/>
      <c r="AS726" s="367"/>
      <c r="AT726" s="45">
        <v>46162</v>
      </c>
      <c r="AU726" s="45">
        <v>46135</v>
      </c>
      <c r="AV726" s="294" t="s">
        <v>2441</v>
      </c>
      <c r="AW726" s="45">
        <v>46119</v>
      </c>
      <c r="AX726" s="367"/>
      <c r="AY726" s="367"/>
      <c r="AZ726" s="367"/>
      <c r="BA726" s="367"/>
      <c r="BB726" s="152" t="s">
        <v>2442</v>
      </c>
      <c r="BC726" s="152"/>
      <c r="BD726" s="367"/>
      <c r="BE726" s="367"/>
      <c r="BF726" s="367"/>
      <c r="BG726" s="367"/>
      <c r="BH726" s="260"/>
      <c r="BI726" s="54"/>
      <c r="BJ726" s="54"/>
      <c r="BK726" s="54"/>
      <c r="BL726" s="54"/>
    </row>
    <row r="727" spans="1:66" ht="36" customHeight="1" x14ac:dyDescent="0.3">
      <c r="A727" s="367">
        <f t="shared" si="14"/>
        <v>722</v>
      </c>
      <c r="B727" s="54" t="s">
        <v>2443</v>
      </c>
      <c r="C727" s="169" t="s">
        <v>4</v>
      </c>
      <c r="D727" s="367" t="s">
        <v>2438</v>
      </c>
      <c r="E727" s="367"/>
      <c r="F727" s="367"/>
      <c r="G727" s="367"/>
      <c r="H727" s="367"/>
      <c r="I727" s="367"/>
      <c r="J727" s="54" t="s">
        <v>2408</v>
      </c>
      <c r="K727" s="48" t="s">
        <v>2439</v>
      </c>
      <c r="L727" s="367" t="s">
        <v>1057</v>
      </c>
      <c r="M727" s="150"/>
      <c r="N727" s="150" t="s">
        <v>2423</v>
      </c>
      <c r="O727" s="150" t="s">
        <v>2424</v>
      </c>
      <c r="P727" s="367">
        <v>3</v>
      </c>
      <c r="Q727" s="367"/>
      <c r="R727" s="367"/>
      <c r="S727" s="367"/>
      <c r="T727" s="367">
        <v>12</v>
      </c>
      <c r="U727" s="367"/>
      <c r="V727" s="367"/>
      <c r="W727" s="367"/>
      <c r="X727" s="367" t="s">
        <v>2425</v>
      </c>
      <c r="Y727" s="367" t="s">
        <v>127</v>
      </c>
      <c r="Z727" s="367"/>
      <c r="AA727" s="367"/>
      <c r="AB727" s="150" t="s">
        <v>215</v>
      </c>
      <c r="AC727" s="48" t="s">
        <v>2444</v>
      </c>
      <c r="AD727" s="337" t="s">
        <v>2427</v>
      </c>
      <c r="AE727" s="296"/>
      <c r="AF727" s="296"/>
      <c r="AG727" s="286">
        <v>46183</v>
      </c>
      <c r="AH727" s="49">
        <v>46213</v>
      </c>
      <c r="AI727" s="266">
        <v>46174</v>
      </c>
      <c r="AJ727" s="150" t="s">
        <v>548</v>
      </c>
      <c r="AK727" s="171" t="s">
        <v>190</v>
      </c>
      <c r="AL727" s="150"/>
      <c r="AM727" s="150" t="s">
        <v>134</v>
      </c>
      <c r="AN727" s="367"/>
      <c r="AO727" s="367"/>
      <c r="AP727" s="367"/>
      <c r="AQ727" s="367"/>
      <c r="AR727" s="367"/>
      <c r="AS727" s="367"/>
      <c r="AT727" s="45">
        <v>46162</v>
      </c>
      <c r="AU727" s="45">
        <v>46135</v>
      </c>
      <c r="AV727" s="294" t="s">
        <v>2445</v>
      </c>
      <c r="AW727" s="45">
        <v>46119</v>
      </c>
      <c r="AX727" s="367"/>
      <c r="AY727" s="367"/>
      <c r="AZ727" s="367"/>
      <c r="BA727" s="367"/>
      <c r="BB727" s="152" t="s">
        <v>2442</v>
      </c>
      <c r="BC727" s="152"/>
      <c r="BD727" s="367"/>
      <c r="BE727" s="367"/>
      <c r="BF727" s="367"/>
      <c r="BG727" s="367"/>
      <c r="BH727" s="260"/>
      <c r="BI727" s="54"/>
      <c r="BJ727" s="54"/>
      <c r="BK727" s="54"/>
      <c r="BL727" s="54"/>
    </row>
    <row r="728" spans="1:66" ht="36" customHeight="1" x14ac:dyDescent="0.3">
      <c r="A728" s="367">
        <f t="shared" si="14"/>
        <v>723</v>
      </c>
      <c r="B728" s="54" t="s">
        <v>2446</v>
      </c>
      <c r="C728" s="367" t="s">
        <v>2</v>
      </c>
      <c r="D728" s="367" t="s">
        <v>2447</v>
      </c>
      <c r="E728" s="45">
        <v>46183</v>
      </c>
      <c r="F728" s="45">
        <v>46189</v>
      </c>
      <c r="G728" s="367"/>
      <c r="H728" s="367"/>
      <c r="I728" s="367" t="s">
        <v>20</v>
      </c>
      <c r="J728" s="54" t="s">
        <v>2256</v>
      </c>
      <c r="K728" s="48" t="s">
        <v>521</v>
      </c>
      <c r="L728" s="367">
        <v>1000</v>
      </c>
      <c r="M728" s="150" t="s">
        <v>120</v>
      </c>
      <c r="N728" s="150" t="s">
        <v>2257</v>
      </c>
      <c r="O728" s="367"/>
      <c r="P728" s="311">
        <v>3.5</v>
      </c>
      <c r="Q728" s="367"/>
      <c r="R728" s="367"/>
      <c r="S728" s="367"/>
      <c r="T728" s="367"/>
      <c r="U728" s="367" t="s">
        <v>127</v>
      </c>
      <c r="V728" s="367" t="s">
        <v>127</v>
      </c>
      <c r="W728" s="367"/>
      <c r="X728" s="367" t="s">
        <v>269</v>
      </c>
      <c r="Y728" s="367"/>
      <c r="Z728" s="367"/>
      <c r="AA728" s="367"/>
      <c r="AB728" s="150"/>
      <c r="AC728" s="48" t="s">
        <v>2448</v>
      </c>
      <c r="AD728" s="150" t="s">
        <v>56</v>
      </c>
      <c r="AE728" s="296"/>
      <c r="AF728" s="296"/>
      <c r="AG728" s="286">
        <v>46181</v>
      </c>
      <c r="AH728" s="49">
        <v>46172</v>
      </c>
      <c r="AI728" s="266">
        <v>46143</v>
      </c>
      <c r="AJ728" s="150" t="s">
        <v>648</v>
      </c>
      <c r="AK728" s="150" t="s">
        <v>161</v>
      </c>
      <c r="AL728" s="150" t="s">
        <v>133</v>
      </c>
      <c r="AM728" s="150" t="s">
        <v>134</v>
      </c>
      <c r="AN728" s="367"/>
      <c r="AO728" s="367"/>
      <c r="AP728" s="367"/>
      <c r="AQ728" s="367"/>
      <c r="AR728" s="367"/>
      <c r="AS728" s="367"/>
      <c r="AT728" s="45">
        <v>46122</v>
      </c>
      <c r="AU728" s="45">
        <v>46063</v>
      </c>
      <c r="AV728" s="45">
        <v>46063</v>
      </c>
      <c r="AW728" s="45">
        <v>46062</v>
      </c>
      <c r="AX728" s="367"/>
      <c r="AY728" s="367"/>
      <c r="AZ728" s="367"/>
      <c r="BA728" s="367"/>
      <c r="BB728" s="152" t="s">
        <v>2416</v>
      </c>
      <c r="BC728" s="152"/>
      <c r="BD728" s="367" t="s">
        <v>2336</v>
      </c>
      <c r="BE728" s="367"/>
      <c r="BF728" s="367"/>
      <c r="BG728" s="367"/>
      <c r="BH728" s="260"/>
      <c r="BI728" s="54"/>
      <c r="BJ728" s="54"/>
      <c r="BK728" s="54"/>
      <c r="BL728" s="54"/>
    </row>
    <row r="729" spans="1:66" ht="36" customHeight="1" x14ac:dyDescent="0.3">
      <c r="A729" s="367">
        <f t="shared" si="14"/>
        <v>724</v>
      </c>
      <c r="B729" s="54" t="s">
        <v>2449</v>
      </c>
      <c r="C729" s="367" t="s">
        <v>2</v>
      </c>
      <c r="D729" s="367" t="s">
        <v>2447</v>
      </c>
      <c r="E729" s="45">
        <v>46183</v>
      </c>
      <c r="F729" s="45">
        <v>46189</v>
      </c>
      <c r="G729" s="367"/>
      <c r="H729" s="367"/>
      <c r="I729" s="367" t="s">
        <v>20</v>
      </c>
      <c r="J729" s="54" t="s">
        <v>2256</v>
      </c>
      <c r="K729" s="48" t="s">
        <v>521</v>
      </c>
      <c r="L729" s="367">
        <v>1000</v>
      </c>
      <c r="M729" s="150" t="s">
        <v>120</v>
      </c>
      <c r="N729" s="150" t="s">
        <v>2257</v>
      </c>
      <c r="O729" s="367"/>
      <c r="P729" s="311">
        <v>3.5</v>
      </c>
      <c r="Q729" s="367"/>
      <c r="R729" s="367"/>
      <c r="S729" s="367"/>
      <c r="T729" s="367"/>
      <c r="U729" s="367" t="s">
        <v>127</v>
      </c>
      <c r="V729" s="367" t="s">
        <v>127</v>
      </c>
      <c r="W729" s="367"/>
      <c r="X729" s="367" t="s">
        <v>269</v>
      </c>
      <c r="Y729" s="367"/>
      <c r="Z729" s="367"/>
      <c r="AA729" s="367"/>
      <c r="AB729" s="150"/>
      <c r="AC729" s="48" t="s">
        <v>2450</v>
      </c>
      <c r="AD729" s="150" t="s">
        <v>56</v>
      </c>
      <c r="AE729" s="296"/>
      <c r="AF729" s="296"/>
      <c r="AG729" s="286">
        <v>46181</v>
      </c>
      <c r="AH729" s="49">
        <v>46172</v>
      </c>
      <c r="AI729" s="266">
        <v>46143</v>
      </c>
      <c r="AJ729" s="150" t="s">
        <v>648</v>
      </c>
      <c r="AK729" s="150" t="s">
        <v>161</v>
      </c>
      <c r="AL729" s="150" t="s">
        <v>133</v>
      </c>
      <c r="AM729" s="150" t="s">
        <v>134</v>
      </c>
      <c r="AN729" s="367"/>
      <c r="AO729" s="367"/>
      <c r="AP729" s="367"/>
      <c r="AQ729" s="367"/>
      <c r="AR729" s="367"/>
      <c r="AS729" s="367"/>
      <c r="AT729" s="45">
        <v>46122</v>
      </c>
      <c r="AU729" s="45">
        <v>46063</v>
      </c>
      <c r="AV729" s="45">
        <v>46063</v>
      </c>
      <c r="AW729" s="45">
        <v>46062</v>
      </c>
      <c r="AX729" s="367"/>
      <c r="AY729" s="367"/>
      <c r="AZ729" s="367"/>
      <c r="BA729" s="367"/>
      <c r="BB729" s="152" t="s">
        <v>2416</v>
      </c>
      <c r="BC729" s="152"/>
      <c r="BD729" s="367" t="s">
        <v>2336</v>
      </c>
      <c r="BE729" s="367"/>
      <c r="BF729" s="367"/>
      <c r="BG729" s="367"/>
      <c r="BH729" s="260"/>
      <c r="BI729" s="54"/>
      <c r="BJ729" s="54"/>
      <c r="BK729" s="54"/>
      <c r="BL729" s="54"/>
    </row>
    <row r="730" spans="1:66" ht="36" customHeight="1" x14ac:dyDescent="0.3">
      <c r="A730" s="367">
        <f t="shared" si="14"/>
        <v>725</v>
      </c>
      <c r="B730" s="54" t="s">
        <v>2451</v>
      </c>
      <c r="C730" s="367" t="s">
        <v>5</v>
      </c>
      <c r="D730" s="367" t="s">
        <v>262</v>
      </c>
      <c r="E730" s="367"/>
      <c r="F730" s="367"/>
      <c r="G730" s="367"/>
      <c r="H730" s="367"/>
      <c r="I730" s="367"/>
      <c r="J730" s="54" t="s">
        <v>2452</v>
      </c>
      <c r="K730" s="48" t="s">
        <v>521</v>
      </c>
      <c r="L730" s="367"/>
      <c r="M730" s="150"/>
      <c r="N730" s="367"/>
      <c r="O730" s="367"/>
      <c r="P730" s="367"/>
      <c r="Q730" s="367"/>
      <c r="R730" s="367"/>
      <c r="S730" s="367"/>
      <c r="T730" s="367"/>
      <c r="U730" s="367"/>
      <c r="V730" s="367"/>
      <c r="W730" s="367"/>
      <c r="X730" s="367"/>
      <c r="Y730" s="367"/>
      <c r="Z730" s="367"/>
      <c r="AA730" s="367"/>
      <c r="AB730" s="150"/>
      <c r="AC730" s="48" t="s">
        <v>2453</v>
      </c>
      <c r="AD730" s="150" t="s">
        <v>2454</v>
      </c>
      <c r="AE730" s="296">
        <v>46057</v>
      </c>
      <c r="AF730" s="296"/>
      <c r="AG730" s="286"/>
      <c r="AH730" s="49"/>
      <c r="AI730" s="266"/>
      <c r="AJ730" s="150" t="s">
        <v>617</v>
      </c>
      <c r="AK730" s="150" t="s">
        <v>161</v>
      </c>
      <c r="AL730" s="150"/>
      <c r="AM730" s="150" t="s">
        <v>134</v>
      </c>
      <c r="AN730" s="45">
        <v>46133</v>
      </c>
      <c r="AO730" s="367"/>
      <c r="AP730" s="367"/>
      <c r="AQ730" s="367"/>
      <c r="AR730" s="367"/>
      <c r="AS730" s="367"/>
      <c r="AT730" s="367"/>
      <c r="AU730" s="367"/>
      <c r="AV730" s="367"/>
      <c r="AW730" s="367"/>
      <c r="AX730" s="367"/>
      <c r="AY730" s="367"/>
      <c r="AZ730" s="367"/>
      <c r="BA730" s="367"/>
      <c r="BB730" s="152"/>
      <c r="BC730" s="152"/>
      <c r="BD730" s="367" t="s">
        <v>2455</v>
      </c>
      <c r="BE730" s="367"/>
      <c r="BF730" s="367"/>
      <c r="BG730" s="367"/>
      <c r="BH730" s="260"/>
      <c r="BI730" s="54"/>
      <c r="BJ730" s="54"/>
      <c r="BK730" s="54"/>
      <c r="BL730" s="54"/>
    </row>
    <row r="731" spans="1:66" ht="36" customHeight="1" x14ac:dyDescent="0.3">
      <c r="A731" s="367">
        <f t="shared" si="14"/>
        <v>726</v>
      </c>
      <c r="B731" s="54" t="s">
        <v>2456</v>
      </c>
      <c r="C731" s="367" t="s">
        <v>0</v>
      </c>
      <c r="D731" s="367" t="s">
        <v>262</v>
      </c>
      <c r="E731" s="367"/>
      <c r="F731" s="367"/>
      <c r="G731" s="367"/>
      <c r="H731" s="367"/>
      <c r="I731" s="367" t="s">
        <v>20</v>
      </c>
      <c r="J731" s="54" t="s">
        <v>2457</v>
      </c>
      <c r="K731" s="48" t="s">
        <v>2458</v>
      </c>
      <c r="L731" s="367"/>
      <c r="M731" s="150"/>
      <c r="N731" s="367"/>
      <c r="O731" s="367"/>
      <c r="P731" s="367"/>
      <c r="Q731" s="367"/>
      <c r="R731" s="367"/>
      <c r="S731" s="367"/>
      <c r="T731" s="367"/>
      <c r="U731" s="367"/>
      <c r="V731" s="367"/>
      <c r="W731" s="367"/>
      <c r="X731" s="367"/>
      <c r="Y731" s="367"/>
      <c r="Z731" s="367"/>
      <c r="AA731" s="367"/>
      <c r="AB731" s="150"/>
      <c r="AC731" s="48" t="s">
        <v>2459</v>
      </c>
      <c r="AD731" s="150" t="s">
        <v>361</v>
      </c>
      <c r="AE731" s="296"/>
      <c r="AF731" s="296"/>
      <c r="AG731" s="286"/>
      <c r="AH731" s="49"/>
      <c r="AI731" s="266"/>
      <c r="AJ731" s="150" t="s">
        <v>617</v>
      </c>
      <c r="AK731" s="150" t="s">
        <v>161</v>
      </c>
      <c r="AL731" s="150"/>
      <c r="AM731" s="150" t="s">
        <v>134</v>
      </c>
      <c r="AN731" s="367"/>
      <c r="AO731" s="367"/>
      <c r="AP731" s="367"/>
      <c r="AQ731" s="367"/>
      <c r="AR731" s="367"/>
      <c r="AS731" s="367"/>
      <c r="AT731" s="367"/>
      <c r="AU731" s="367"/>
      <c r="AV731" s="367"/>
      <c r="AW731" s="367"/>
      <c r="AX731" s="367"/>
      <c r="AY731" s="367"/>
      <c r="AZ731" s="367"/>
      <c r="BA731" s="367"/>
      <c r="BB731" s="152" t="s">
        <v>2460</v>
      </c>
      <c r="BC731" s="152"/>
      <c r="BD731" s="367"/>
      <c r="BE731" s="367"/>
      <c r="BF731" s="367"/>
      <c r="BG731" s="367"/>
      <c r="BH731" s="260"/>
      <c r="BI731" s="54"/>
      <c r="BJ731" s="54"/>
      <c r="BK731" s="54"/>
      <c r="BL731" s="54"/>
    </row>
    <row r="732" spans="1:66" ht="36" customHeight="1" x14ac:dyDescent="0.3">
      <c r="A732" s="367">
        <f t="shared" si="14"/>
        <v>727</v>
      </c>
      <c r="B732" s="54" t="s">
        <v>2461</v>
      </c>
      <c r="C732" s="367" t="s">
        <v>6</v>
      </c>
      <c r="D732" s="367" t="s">
        <v>2462</v>
      </c>
      <c r="E732" s="45">
        <v>46132</v>
      </c>
      <c r="F732" s="45">
        <v>46132</v>
      </c>
      <c r="G732" s="45">
        <v>46146</v>
      </c>
      <c r="H732" s="367"/>
      <c r="I732" s="367" t="s">
        <v>2463</v>
      </c>
      <c r="J732" s="54" t="s">
        <v>2321</v>
      </c>
      <c r="K732" s="48" t="s">
        <v>2322</v>
      </c>
      <c r="L732" s="367" t="s">
        <v>2323</v>
      </c>
      <c r="M732" s="150" t="s">
        <v>120</v>
      </c>
      <c r="N732" s="150" t="s">
        <v>2464</v>
      </c>
      <c r="O732" s="150" t="s">
        <v>2465</v>
      </c>
      <c r="P732" s="367">
        <v>4</v>
      </c>
      <c r="Q732" s="367">
        <v>2</v>
      </c>
      <c r="R732" s="367"/>
      <c r="S732" s="367" t="s">
        <v>2466</v>
      </c>
      <c r="T732" s="367">
        <v>20</v>
      </c>
      <c r="U732" s="367"/>
      <c r="V732" s="367" t="s">
        <v>2466</v>
      </c>
      <c r="W732" s="367"/>
      <c r="X732" s="367" t="s">
        <v>1111</v>
      </c>
      <c r="Y732" s="367" t="s">
        <v>127</v>
      </c>
      <c r="Z732" s="367"/>
      <c r="AA732" s="367" t="s">
        <v>127</v>
      </c>
      <c r="AB732" s="150" t="s">
        <v>215</v>
      </c>
      <c r="AC732" s="48" t="s">
        <v>2467</v>
      </c>
      <c r="AD732" s="150" t="s">
        <v>552</v>
      </c>
      <c r="AE732" s="340">
        <v>46085</v>
      </c>
      <c r="AF732" s="340"/>
      <c r="AG732" s="344">
        <v>46132</v>
      </c>
      <c r="AH732" s="49">
        <v>46132</v>
      </c>
      <c r="AI732" s="266">
        <v>46113</v>
      </c>
      <c r="AJ732" s="150" t="s">
        <v>131</v>
      </c>
      <c r="AK732" s="150" t="s">
        <v>200</v>
      </c>
      <c r="AL732" s="150" t="s">
        <v>175</v>
      </c>
      <c r="AM732" s="150" t="s">
        <v>134</v>
      </c>
      <c r="AN732" s="45">
        <v>46105</v>
      </c>
      <c r="AO732" s="367"/>
      <c r="AP732" s="367"/>
      <c r="AQ732" s="367"/>
      <c r="AR732" s="367"/>
      <c r="AS732" s="367"/>
      <c r="AT732" s="154">
        <v>46106</v>
      </c>
      <c r="AU732" s="154">
        <v>46094</v>
      </c>
      <c r="AV732" s="154"/>
      <c r="AW732" s="154">
        <v>46090</v>
      </c>
      <c r="AX732" s="154"/>
      <c r="AY732" s="154"/>
      <c r="AZ732" s="154"/>
      <c r="BA732" s="154"/>
      <c r="BB732" s="152" t="s">
        <v>2468</v>
      </c>
      <c r="BC732" s="152"/>
      <c r="BD732" s="367" t="s">
        <v>1605</v>
      </c>
      <c r="BE732" s="367"/>
      <c r="BF732" s="367"/>
      <c r="BG732" s="367"/>
      <c r="BH732" s="260"/>
      <c r="BI732" s="54"/>
      <c r="BJ732" s="54"/>
      <c r="BK732" s="54"/>
      <c r="BL732" s="54"/>
      <c r="BM732" s="357">
        <v>46135</v>
      </c>
      <c r="BN732" s="358">
        <v>46136</v>
      </c>
    </row>
    <row r="733" spans="1:66" ht="36" customHeight="1" x14ac:dyDescent="0.3">
      <c r="A733" s="367">
        <f t="shared" si="14"/>
        <v>728</v>
      </c>
      <c r="B733" s="54" t="s">
        <v>2469</v>
      </c>
      <c r="C733" s="367" t="s">
        <v>6</v>
      </c>
      <c r="D733" s="367" t="s">
        <v>2470</v>
      </c>
      <c r="E733" s="45">
        <v>46132</v>
      </c>
      <c r="F733" s="45">
        <v>46132</v>
      </c>
      <c r="G733" s="45">
        <v>46146</v>
      </c>
      <c r="H733" s="367"/>
      <c r="I733" s="367" t="s">
        <v>2463</v>
      </c>
      <c r="J733" s="54" t="s">
        <v>2321</v>
      </c>
      <c r="K733" s="48" t="s">
        <v>2322</v>
      </c>
      <c r="L733" s="367" t="s">
        <v>2323</v>
      </c>
      <c r="M733" s="150" t="s">
        <v>120</v>
      </c>
      <c r="N733" s="150" t="s">
        <v>2464</v>
      </c>
      <c r="O733" s="150" t="s">
        <v>2465</v>
      </c>
      <c r="P733" s="367">
        <v>4</v>
      </c>
      <c r="Q733" s="367">
        <v>2</v>
      </c>
      <c r="R733" s="367"/>
      <c r="S733" s="367" t="s">
        <v>2466</v>
      </c>
      <c r="T733" s="367">
        <v>20</v>
      </c>
      <c r="U733" s="367"/>
      <c r="V733" s="367" t="s">
        <v>2466</v>
      </c>
      <c r="W733" s="367"/>
      <c r="X733" s="367" t="s">
        <v>1111</v>
      </c>
      <c r="Y733" s="367" t="s">
        <v>127</v>
      </c>
      <c r="Z733" s="367"/>
      <c r="AA733" s="367"/>
      <c r="AB733" s="150" t="s">
        <v>215</v>
      </c>
      <c r="AC733" s="48" t="s">
        <v>2471</v>
      </c>
      <c r="AD733" s="150" t="s">
        <v>555</v>
      </c>
      <c r="AE733" s="340">
        <v>46085</v>
      </c>
      <c r="AF733" s="340"/>
      <c r="AG733" s="344">
        <v>46132</v>
      </c>
      <c r="AH733" s="49">
        <v>46132</v>
      </c>
      <c r="AI733" s="266">
        <v>46113</v>
      </c>
      <c r="AJ733" s="150" t="s">
        <v>131</v>
      </c>
      <c r="AK733" s="150" t="s">
        <v>200</v>
      </c>
      <c r="AL733" s="150" t="s">
        <v>175</v>
      </c>
      <c r="AM733" s="150" t="s">
        <v>134</v>
      </c>
      <c r="AN733" s="45">
        <v>46105</v>
      </c>
      <c r="AO733" s="367"/>
      <c r="AP733" s="367"/>
      <c r="AQ733" s="367"/>
      <c r="AR733" s="367"/>
      <c r="AS733" s="367"/>
      <c r="AT733" s="154">
        <v>46106</v>
      </c>
      <c r="AU733" s="154">
        <v>46094</v>
      </c>
      <c r="AV733" s="154"/>
      <c r="AW733" s="154">
        <v>46090</v>
      </c>
      <c r="AX733" s="154"/>
      <c r="AY733" s="154"/>
      <c r="AZ733" s="154"/>
      <c r="BA733" s="154"/>
      <c r="BB733" s="152" t="s">
        <v>2468</v>
      </c>
      <c r="BC733" s="152"/>
      <c r="BD733" s="367" t="s">
        <v>1605</v>
      </c>
      <c r="BE733" s="367"/>
      <c r="BF733" s="367"/>
      <c r="BG733" s="367"/>
      <c r="BH733" s="260"/>
      <c r="BI733" s="54"/>
      <c r="BJ733" s="54"/>
      <c r="BK733" s="54"/>
      <c r="BL733" s="54"/>
      <c r="BM733" s="357">
        <v>46135</v>
      </c>
      <c r="BN733" s="358">
        <v>46136</v>
      </c>
    </row>
    <row r="734" spans="1:66" ht="36" customHeight="1" x14ac:dyDescent="0.3">
      <c r="A734" s="367">
        <f t="shared" si="14"/>
        <v>729</v>
      </c>
      <c r="B734" s="54" t="s">
        <v>2472</v>
      </c>
      <c r="C734" s="367" t="s">
        <v>2473</v>
      </c>
      <c r="D734" s="367" t="s">
        <v>262</v>
      </c>
      <c r="E734" s="367"/>
      <c r="F734" s="367"/>
      <c r="G734" s="367"/>
      <c r="H734" s="367"/>
      <c r="I734" s="367"/>
      <c r="J734" s="54" t="s">
        <v>521</v>
      </c>
      <c r="K734" s="48" t="s">
        <v>521</v>
      </c>
      <c r="L734" s="367">
        <v>1000</v>
      </c>
      <c r="M734" s="150" t="s">
        <v>120</v>
      </c>
      <c r="N734" s="367"/>
      <c r="O734" s="367"/>
      <c r="P734" s="367">
        <v>2</v>
      </c>
      <c r="Q734" s="367"/>
      <c r="R734" s="367"/>
      <c r="S734" s="367"/>
      <c r="T734" s="367"/>
      <c r="U734" s="367"/>
      <c r="V734" s="367"/>
      <c r="W734" s="367"/>
      <c r="X734" s="367" t="s">
        <v>269</v>
      </c>
      <c r="Y734" s="367" t="s">
        <v>1752</v>
      </c>
      <c r="Z734" s="367"/>
      <c r="AA734" s="367"/>
      <c r="AB734" s="150"/>
      <c r="AC734" s="48" t="s">
        <v>2474</v>
      </c>
      <c r="AD734" s="150" t="s">
        <v>55</v>
      </c>
      <c r="AE734" s="296"/>
      <c r="AF734" s="296"/>
      <c r="AG734" s="286">
        <v>46270</v>
      </c>
      <c r="AH734" s="49">
        <v>46264</v>
      </c>
      <c r="AI734" s="266">
        <v>46228</v>
      </c>
      <c r="AJ734" s="150" t="s">
        <v>617</v>
      </c>
      <c r="AK734" s="150" t="s">
        <v>132</v>
      </c>
      <c r="AL734" s="150" t="s">
        <v>133</v>
      </c>
      <c r="AM734" s="150" t="s">
        <v>134</v>
      </c>
      <c r="AN734" s="45">
        <v>46135</v>
      </c>
      <c r="AO734" s="367"/>
      <c r="AP734" s="367"/>
      <c r="AQ734" s="367"/>
      <c r="AR734" s="367"/>
      <c r="AS734" s="367"/>
      <c r="AT734" s="367"/>
      <c r="AU734" s="367"/>
      <c r="AV734" s="367"/>
      <c r="AW734" s="367"/>
      <c r="AX734" s="367"/>
      <c r="AY734" s="367"/>
      <c r="AZ734" s="367"/>
      <c r="BA734" s="367"/>
      <c r="BB734" s="152" t="s">
        <v>2475</v>
      </c>
      <c r="BC734" s="152"/>
      <c r="BD734" s="367"/>
      <c r="BE734" s="367"/>
      <c r="BF734" s="367"/>
      <c r="BG734" s="367"/>
      <c r="BH734" s="260"/>
      <c r="BI734" s="54"/>
      <c r="BJ734" s="54"/>
      <c r="BK734" s="54"/>
      <c r="BL734" s="54"/>
    </row>
    <row r="735" spans="1:66" ht="36" customHeight="1" x14ac:dyDescent="0.3">
      <c r="A735" s="367">
        <f t="shared" si="14"/>
        <v>730</v>
      </c>
      <c r="B735" s="54" t="s">
        <v>2476</v>
      </c>
      <c r="C735" s="367" t="s">
        <v>2473</v>
      </c>
      <c r="D735" s="367" t="s">
        <v>262</v>
      </c>
      <c r="E735" s="367"/>
      <c r="F735" s="367"/>
      <c r="G735" s="367"/>
      <c r="H735" s="367"/>
      <c r="I735" s="367"/>
      <c r="J735" s="54" t="s">
        <v>521</v>
      </c>
      <c r="K735" s="48" t="s">
        <v>521</v>
      </c>
      <c r="L735" s="367">
        <v>1000</v>
      </c>
      <c r="M735" s="150" t="s">
        <v>120</v>
      </c>
      <c r="N735" s="367"/>
      <c r="O735" s="367"/>
      <c r="P735" s="367">
        <v>2</v>
      </c>
      <c r="Q735" s="367"/>
      <c r="R735" s="367"/>
      <c r="S735" s="367"/>
      <c r="T735" s="367"/>
      <c r="U735" s="367"/>
      <c r="V735" s="367"/>
      <c r="W735" s="367"/>
      <c r="X735" s="367" t="s">
        <v>269</v>
      </c>
      <c r="Y735" s="367" t="s">
        <v>1752</v>
      </c>
      <c r="Z735" s="367"/>
      <c r="AA735" s="367"/>
      <c r="AB735" s="150"/>
      <c r="AC735" s="48" t="s">
        <v>2477</v>
      </c>
      <c r="AD735" s="150" t="s">
        <v>55</v>
      </c>
      <c r="AE735" s="296"/>
      <c r="AF735" s="296"/>
      <c r="AG735" s="286">
        <v>46270</v>
      </c>
      <c r="AH735" s="49">
        <v>46264</v>
      </c>
      <c r="AI735" s="266">
        <v>46228</v>
      </c>
      <c r="AJ735" s="150" t="s">
        <v>617</v>
      </c>
      <c r="AK735" s="150" t="s">
        <v>132</v>
      </c>
      <c r="AL735" s="150" t="s">
        <v>133</v>
      </c>
      <c r="AM735" s="150" t="s">
        <v>134</v>
      </c>
      <c r="AN735" s="45">
        <v>46135</v>
      </c>
      <c r="AO735" s="367"/>
      <c r="AP735" s="367"/>
      <c r="AQ735" s="367"/>
      <c r="AR735" s="367"/>
      <c r="AS735" s="367"/>
      <c r="AT735" s="367"/>
      <c r="AU735" s="367"/>
      <c r="AV735" s="367"/>
      <c r="AW735" s="367"/>
      <c r="AX735" s="367"/>
      <c r="AY735" s="367"/>
      <c r="AZ735" s="367"/>
      <c r="BA735" s="367"/>
      <c r="BB735" s="152" t="s">
        <v>2475</v>
      </c>
      <c r="BC735" s="152"/>
      <c r="BD735" s="367"/>
      <c r="BE735" s="367"/>
      <c r="BF735" s="367"/>
      <c r="BG735" s="367"/>
      <c r="BH735" s="260"/>
      <c r="BI735" s="54"/>
      <c r="BJ735" s="54"/>
      <c r="BK735" s="54"/>
      <c r="BL735" s="54"/>
    </row>
    <row r="736" spans="1:66" ht="36" customHeight="1" x14ac:dyDescent="0.3">
      <c r="A736" s="367">
        <f t="shared" si="14"/>
        <v>731</v>
      </c>
      <c r="B736" s="54" t="s">
        <v>2478</v>
      </c>
      <c r="C736" s="367" t="s">
        <v>2</v>
      </c>
      <c r="D736" s="367" t="s">
        <v>2479</v>
      </c>
      <c r="E736" s="45">
        <v>46183</v>
      </c>
      <c r="F736" s="367"/>
      <c r="G736" s="367"/>
      <c r="H736" s="367"/>
      <c r="I736" s="367" t="s">
        <v>20</v>
      </c>
      <c r="J736" s="54" t="s">
        <v>2256</v>
      </c>
      <c r="K736" s="48" t="s">
        <v>521</v>
      </c>
      <c r="L736" s="367">
        <v>1000</v>
      </c>
      <c r="M736" s="150" t="s">
        <v>120</v>
      </c>
      <c r="N736" s="150" t="s">
        <v>2257</v>
      </c>
      <c r="O736" s="367"/>
      <c r="P736" s="367">
        <v>3.5</v>
      </c>
      <c r="Q736" s="367"/>
      <c r="R736" s="367"/>
      <c r="S736" s="367"/>
      <c r="T736" s="367"/>
      <c r="U736" s="367" t="s">
        <v>127</v>
      </c>
      <c r="V736" s="367" t="s">
        <v>127</v>
      </c>
      <c r="W736" s="367"/>
      <c r="X736" s="367" t="s">
        <v>269</v>
      </c>
      <c r="Y736" s="367"/>
      <c r="Z736" s="367"/>
      <c r="AA736" s="367"/>
      <c r="AB736" s="150"/>
      <c r="AC736" s="48" t="s">
        <v>2480</v>
      </c>
      <c r="AD736" s="150" t="s">
        <v>56</v>
      </c>
      <c r="AE736" s="296"/>
      <c r="AF736" s="296"/>
      <c r="AG736" s="286">
        <v>46181</v>
      </c>
      <c r="AH736" s="49">
        <v>46172</v>
      </c>
      <c r="AI736" s="266">
        <v>46143</v>
      </c>
      <c r="AJ736" s="150" t="s">
        <v>330</v>
      </c>
      <c r="AK736" s="150" t="s">
        <v>161</v>
      </c>
      <c r="AL736" s="150" t="s">
        <v>133</v>
      </c>
      <c r="AM736" s="150" t="s">
        <v>134</v>
      </c>
      <c r="AN736" s="367"/>
      <c r="AO736" s="367"/>
      <c r="AP736" s="367"/>
      <c r="AQ736" s="367"/>
      <c r="AR736" s="367"/>
      <c r="AS736" s="367"/>
      <c r="AT736" s="45">
        <v>46132</v>
      </c>
      <c r="AU736" s="45">
        <v>46086</v>
      </c>
      <c r="AV736" s="45">
        <v>46086</v>
      </c>
      <c r="AW736" s="45">
        <v>46086</v>
      </c>
      <c r="AX736" s="367"/>
      <c r="AY736" s="367"/>
      <c r="AZ736" s="367"/>
      <c r="BA736" s="367"/>
      <c r="BB736" s="152" t="s">
        <v>2460</v>
      </c>
      <c r="BC736" s="152"/>
      <c r="BD736" s="367" t="s">
        <v>2336</v>
      </c>
      <c r="BE736" s="367"/>
      <c r="BF736" s="367"/>
      <c r="BG736" s="367"/>
      <c r="BH736" s="260"/>
      <c r="BI736" s="54"/>
      <c r="BJ736" s="54"/>
      <c r="BK736" s="54"/>
      <c r="BL736" s="54"/>
    </row>
    <row r="737" spans="1:66" ht="36" customHeight="1" x14ac:dyDescent="0.3">
      <c r="A737" s="367">
        <f t="shared" si="14"/>
        <v>732</v>
      </c>
      <c r="B737" s="54" t="s">
        <v>2481</v>
      </c>
      <c r="C737" s="367" t="s">
        <v>2</v>
      </c>
      <c r="D737" s="367" t="s">
        <v>2479</v>
      </c>
      <c r="E737" s="45">
        <v>46183</v>
      </c>
      <c r="F737" s="367"/>
      <c r="G737" s="367"/>
      <c r="H737" s="367"/>
      <c r="I737" s="367" t="s">
        <v>20</v>
      </c>
      <c r="J737" s="54" t="s">
        <v>2256</v>
      </c>
      <c r="K737" s="48" t="s">
        <v>521</v>
      </c>
      <c r="L737" s="367">
        <v>1000</v>
      </c>
      <c r="M737" s="150" t="s">
        <v>120</v>
      </c>
      <c r="N737" s="150" t="s">
        <v>2257</v>
      </c>
      <c r="O737" s="367"/>
      <c r="P737" s="367">
        <v>3.5</v>
      </c>
      <c r="Q737" s="367"/>
      <c r="R737" s="367"/>
      <c r="S737" s="367"/>
      <c r="T737" s="367"/>
      <c r="U737" s="367" t="s">
        <v>127</v>
      </c>
      <c r="V737" s="367" t="s">
        <v>127</v>
      </c>
      <c r="W737" s="367"/>
      <c r="X737" s="367" t="s">
        <v>269</v>
      </c>
      <c r="Y737" s="367"/>
      <c r="Z737" s="367"/>
      <c r="AA737" s="367"/>
      <c r="AB737" s="150"/>
      <c r="AC737" s="48" t="s">
        <v>2482</v>
      </c>
      <c r="AD737" s="150" t="s">
        <v>56</v>
      </c>
      <c r="AE737" s="296"/>
      <c r="AF737" s="296"/>
      <c r="AG737" s="286">
        <v>46181</v>
      </c>
      <c r="AH737" s="49">
        <v>46172</v>
      </c>
      <c r="AI737" s="266">
        <v>46143</v>
      </c>
      <c r="AJ737" s="150" t="s">
        <v>330</v>
      </c>
      <c r="AK737" s="150" t="s">
        <v>161</v>
      </c>
      <c r="AL737" s="150" t="s">
        <v>133</v>
      </c>
      <c r="AM737" s="150" t="s">
        <v>134</v>
      </c>
      <c r="AN737" s="367"/>
      <c r="AO737" s="367"/>
      <c r="AP737" s="367"/>
      <c r="AQ737" s="367"/>
      <c r="AR737" s="367"/>
      <c r="AS737" s="367"/>
      <c r="AT737" s="45">
        <v>46132</v>
      </c>
      <c r="AU737" s="45">
        <v>46086</v>
      </c>
      <c r="AV737" s="45">
        <v>46086</v>
      </c>
      <c r="AW737" s="45">
        <v>46086</v>
      </c>
      <c r="AX737" s="367"/>
      <c r="AY737" s="367"/>
      <c r="AZ737" s="367"/>
      <c r="BA737" s="367"/>
      <c r="BB737" s="152" t="s">
        <v>2460</v>
      </c>
      <c r="BC737" s="152"/>
      <c r="BD737" s="367" t="s">
        <v>2336</v>
      </c>
      <c r="BE737" s="367"/>
      <c r="BF737" s="367"/>
      <c r="BG737" s="367"/>
      <c r="BH737" s="260"/>
      <c r="BI737" s="54"/>
      <c r="BJ737" s="54"/>
      <c r="BK737" s="54"/>
      <c r="BL737" s="54"/>
    </row>
    <row r="738" spans="1:66" ht="36" customHeight="1" x14ac:dyDescent="0.3">
      <c r="A738" s="367">
        <f t="shared" si="14"/>
        <v>733</v>
      </c>
      <c r="B738" s="54" t="s">
        <v>2483</v>
      </c>
      <c r="C738" s="367" t="s">
        <v>2</v>
      </c>
      <c r="D738" s="367" t="s">
        <v>2479</v>
      </c>
      <c r="E738" s="45">
        <v>46189</v>
      </c>
      <c r="F738" s="367"/>
      <c r="G738" s="367"/>
      <c r="H738" s="367"/>
      <c r="I738" s="367" t="s">
        <v>20</v>
      </c>
      <c r="J738" s="54" t="s">
        <v>2256</v>
      </c>
      <c r="K738" s="48" t="s">
        <v>521</v>
      </c>
      <c r="L738" s="367">
        <v>1000</v>
      </c>
      <c r="M738" s="150" t="s">
        <v>120</v>
      </c>
      <c r="N738" s="150" t="s">
        <v>2257</v>
      </c>
      <c r="O738" s="367"/>
      <c r="P738" s="367">
        <v>3.5</v>
      </c>
      <c r="Q738" s="367"/>
      <c r="R738" s="367"/>
      <c r="S738" s="367"/>
      <c r="T738" s="367"/>
      <c r="U738" s="367" t="s">
        <v>127</v>
      </c>
      <c r="V738" s="367" t="s">
        <v>127</v>
      </c>
      <c r="W738" s="367"/>
      <c r="X738" s="367" t="s">
        <v>269</v>
      </c>
      <c r="Y738" s="367"/>
      <c r="Z738" s="367"/>
      <c r="AA738" s="367"/>
      <c r="AB738" s="150"/>
      <c r="AC738" s="48" t="s">
        <v>2484</v>
      </c>
      <c r="AD738" s="150" t="s">
        <v>56</v>
      </c>
      <c r="AE738" s="296"/>
      <c r="AF738" s="296"/>
      <c r="AG738" s="286">
        <v>46181</v>
      </c>
      <c r="AH738" s="49">
        <v>46172</v>
      </c>
      <c r="AI738" s="266">
        <v>46143</v>
      </c>
      <c r="AJ738" s="150" t="s">
        <v>330</v>
      </c>
      <c r="AK738" s="150" t="s">
        <v>161</v>
      </c>
      <c r="AL738" s="150" t="s">
        <v>133</v>
      </c>
      <c r="AM738" s="150" t="s">
        <v>134</v>
      </c>
      <c r="AN738" s="367"/>
      <c r="AO738" s="367"/>
      <c r="AP738" s="367"/>
      <c r="AQ738" s="367"/>
      <c r="AR738" s="367"/>
      <c r="AS738" s="367"/>
      <c r="AT738" s="45">
        <v>46132</v>
      </c>
      <c r="AU738" s="45">
        <v>46086</v>
      </c>
      <c r="AV738" s="45">
        <v>46086</v>
      </c>
      <c r="AW738" s="45">
        <v>46086</v>
      </c>
      <c r="AX738" s="367"/>
      <c r="AY738" s="367"/>
      <c r="AZ738" s="367"/>
      <c r="BA738" s="367"/>
      <c r="BB738" s="152" t="s">
        <v>2460</v>
      </c>
      <c r="BC738" s="152"/>
      <c r="BD738" s="367" t="s">
        <v>2336</v>
      </c>
      <c r="BE738" s="367"/>
      <c r="BF738" s="367"/>
      <c r="BG738" s="367"/>
      <c r="BH738" s="260"/>
      <c r="BI738" s="54"/>
      <c r="BJ738" s="54"/>
      <c r="BK738" s="54"/>
      <c r="BL738" s="54"/>
    </row>
    <row r="739" spans="1:66" ht="36" customHeight="1" x14ac:dyDescent="0.3">
      <c r="A739" s="367">
        <f t="shared" si="14"/>
        <v>734</v>
      </c>
      <c r="B739" s="54" t="s">
        <v>2485</v>
      </c>
      <c r="C739" s="367" t="s">
        <v>6</v>
      </c>
      <c r="D739" s="367" t="s">
        <v>2486</v>
      </c>
      <c r="E739" s="367"/>
      <c r="F739" s="367"/>
      <c r="G739" s="367"/>
      <c r="H739" s="367"/>
      <c r="I739" s="367"/>
      <c r="J739" s="54" t="s">
        <v>2298</v>
      </c>
      <c r="K739" s="48" t="s">
        <v>2487</v>
      </c>
      <c r="L739" s="367" t="s">
        <v>2280</v>
      </c>
      <c r="M739" s="150" t="s">
        <v>65</v>
      </c>
      <c r="N739" s="150" t="s">
        <v>2488</v>
      </c>
      <c r="O739" s="150" t="s">
        <v>2489</v>
      </c>
      <c r="P739" s="367">
        <v>8</v>
      </c>
      <c r="Q739" s="367">
        <v>3.4</v>
      </c>
      <c r="R739" s="367"/>
      <c r="S739" s="367">
        <v>100</v>
      </c>
      <c r="T739" s="367">
        <v>10.5</v>
      </c>
      <c r="U739" s="367"/>
      <c r="V739" s="367" t="s">
        <v>127</v>
      </c>
      <c r="W739" s="367"/>
      <c r="X739" s="367" t="s">
        <v>150</v>
      </c>
      <c r="Y739" s="367" t="s">
        <v>127</v>
      </c>
      <c r="Z739" s="367"/>
      <c r="AA739" s="367" t="s">
        <v>127</v>
      </c>
      <c r="AB739" s="150" t="s">
        <v>215</v>
      </c>
      <c r="AC739" s="48" t="s">
        <v>2490</v>
      </c>
      <c r="AD739" s="150" t="s">
        <v>284</v>
      </c>
      <c r="AE739" s="340">
        <v>46085</v>
      </c>
      <c r="AF739" s="340"/>
      <c r="AG739" s="344">
        <v>46143</v>
      </c>
      <c r="AH739" s="49">
        <v>46211</v>
      </c>
      <c r="AI739" s="266">
        <v>46174</v>
      </c>
      <c r="AJ739" s="150" t="s">
        <v>548</v>
      </c>
      <c r="AK739" s="150" t="s">
        <v>200</v>
      </c>
      <c r="AL739" s="150" t="s">
        <v>175</v>
      </c>
      <c r="AM739" s="150" t="s">
        <v>2086</v>
      </c>
      <c r="AN739" s="45">
        <v>46122</v>
      </c>
      <c r="AO739" s="367"/>
      <c r="AP739" s="367"/>
      <c r="AQ739" s="367"/>
      <c r="AR739" s="367"/>
      <c r="AS739" s="367"/>
      <c r="AT739" s="154">
        <v>46134</v>
      </c>
      <c r="AU739" s="154">
        <v>46122</v>
      </c>
      <c r="AV739" s="359" t="s">
        <v>2491</v>
      </c>
      <c r="AW739" s="154">
        <v>46118</v>
      </c>
      <c r="AX739" s="154"/>
      <c r="AY739" s="154"/>
      <c r="AZ739" s="154">
        <v>46153</v>
      </c>
      <c r="BA739" s="154"/>
      <c r="BB739" s="152" t="s">
        <v>2468</v>
      </c>
      <c r="BC739" s="152" t="s">
        <v>2492</v>
      </c>
      <c r="BD739" s="367" t="s">
        <v>1605</v>
      </c>
      <c r="BE739" s="45"/>
      <c r="BF739" s="367"/>
      <c r="BG739" s="367"/>
      <c r="BH739" s="260"/>
      <c r="BI739" s="54"/>
      <c r="BJ739" s="54"/>
      <c r="BK739" s="54"/>
      <c r="BL739" s="54"/>
      <c r="BM739" s="357">
        <v>46135</v>
      </c>
      <c r="BN739" s="358">
        <v>46136</v>
      </c>
    </row>
    <row r="740" spans="1:66" ht="36" customHeight="1" x14ac:dyDescent="0.3">
      <c r="A740" s="367">
        <f t="shared" si="14"/>
        <v>735</v>
      </c>
      <c r="B740" s="54" t="s">
        <v>2493</v>
      </c>
      <c r="C740" s="367" t="s">
        <v>6</v>
      </c>
      <c r="D740" s="353" t="s">
        <v>2494</v>
      </c>
      <c r="E740" s="367"/>
      <c r="F740" s="367"/>
      <c r="G740" s="367"/>
      <c r="H740" s="367"/>
      <c r="I740" s="367"/>
      <c r="J740" s="54" t="s">
        <v>2298</v>
      </c>
      <c r="K740" s="48" t="s">
        <v>2487</v>
      </c>
      <c r="L740" s="367" t="s">
        <v>2280</v>
      </c>
      <c r="M740" s="150" t="s">
        <v>65</v>
      </c>
      <c r="N740" s="150" t="s">
        <v>2488</v>
      </c>
      <c r="O740" s="150" t="s">
        <v>2489</v>
      </c>
      <c r="P740" s="367">
        <v>8</v>
      </c>
      <c r="Q740" s="367">
        <v>3.4</v>
      </c>
      <c r="R740" s="367"/>
      <c r="S740" s="367">
        <v>100</v>
      </c>
      <c r="T740" s="367">
        <v>10.5</v>
      </c>
      <c r="U740" s="367"/>
      <c r="V740" s="367"/>
      <c r="W740" s="367"/>
      <c r="X740" s="367"/>
      <c r="Y740" s="367"/>
      <c r="Z740" s="367" t="s">
        <v>127</v>
      </c>
      <c r="AA740" s="367"/>
      <c r="AB740" s="150" t="s">
        <v>215</v>
      </c>
      <c r="AC740" s="48" t="s">
        <v>2495</v>
      </c>
      <c r="AD740" s="150" t="s">
        <v>169</v>
      </c>
      <c r="AE740" s="340">
        <v>46085</v>
      </c>
      <c r="AF740" s="340"/>
      <c r="AG740" s="344"/>
      <c r="AH740" s="49"/>
      <c r="AI740" s="266"/>
      <c r="AJ740" s="150" t="s">
        <v>617</v>
      </c>
      <c r="AK740" s="150" t="s">
        <v>161</v>
      </c>
      <c r="AL740" s="150"/>
      <c r="AM740" s="150" t="s">
        <v>2086</v>
      </c>
      <c r="AN740" s="45">
        <v>46107</v>
      </c>
      <c r="AO740" s="367"/>
      <c r="AP740" s="367"/>
      <c r="AQ740" s="367"/>
      <c r="AR740" s="367"/>
      <c r="AS740" s="367"/>
      <c r="AT740" s="154"/>
      <c r="AU740" s="154"/>
      <c r="AV740" s="154"/>
      <c r="AW740" s="154"/>
      <c r="AX740" s="154"/>
      <c r="AY740" s="154"/>
      <c r="AZ740" s="154"/>
      <c r="BA740" s="154"/>
      <c r="BB740" s="152" t="s">
        <v>2496</v>
      </c>
      <c r="BC740" s="152"/>
      <c r="BD740" s="367" t="s">
        <v>1605</v>
      </c>
      <c r="BE740" s="367"/>
      <c r="BF740" s="367"/>
      <c r="BG740" s="367"/>
      <c r="BH740" s="260"/>
      <c r="BI740" s="54"/>
      <c r="BJ740" s="54"/>
      <c r="BK740" s="54"/>
      <c r="BL740" s="54" t="s">
        <v>2497</v>
      </c>
    </row>
    <row r="741" spans="1:66" ht="36" customHeight="1" x14ac:dyDescent="0.3">
      <c r="A741" s="367">
        <f t="shared" si="14"/>
        <v>736</v>
      </c>
      <c r="B741" s="54" t="s">
        <v>2498</v>
      </c>
      <c r="C741" s="367" t="s">
        <v>6</v>
      </c>
      <c r="D741" s="356" t="s">
        <v>2499</v>
      </c>
      <c r="E741" s="367"/>
      <c r="F741" s="45">
        <v>46203</v>
      </c>
      <c r="G741" s="367"/>
      <c r="H741" s="367"/>
      <c r="I741" s="367"/>
      <c r="J741" s="54" t="s">
        <v>2298</v>
      </c>
      <c r="K741" s="48" t="s">
        <v>2500</v>
      </c>
      <c r="L741" s="367" t="s">
        <v>2280</v>
      </c>
      <c r="M741" s="150" t="s">
        <v>120</v>
      </c>
      <c r="N741" s="367" t="s">
        <v>2488</v>
      </c>
      <c r="O741" s="150" t="s">
        <v>2489</v>
      </c>
      <c r="P741" s="367">
        <v>8</v>
      </c>
      <c r="Q741" s="367">
        <v>3.4</v>
      </c>
      <c r="R741" s="367"/>
      <c r="S741" s="367">
        <v>100</v>
      </c>
      <c r="T741" s="367">
        <v>10.5</v>
      </c>
      <c r="U741" s="367"/>
      <c r="V741" s="367" t="s">
        <v>127</v>
      </c>
      <c r="W741" s="367"/>
      <c r="X741" s="367" t="s">
        <v>150</v>
      </c>
      <c r="Y741" s="367" t="s">
        <v>127</v>
      </c>
      <c r="Z741" s="367"/>
      <c r="AA741" s="367" t="s">
        <v>127</v>
      </c>
      <c r="AB741" s="150" t="s">
        <v>215</v>
      </c>
      <c r="AC741" s="48" t="s">
        <v>2501</v>
      </c>
      <c r="AD741" s="150" t="s">
        <v>284</v>
      </c>
      <c r="AE741" s="340">
        <v>46085</v>
      </c>
      <c r="AF741" s="340">
        <v>46168</v>
      </c>
      <c r="AG741" s="344">
        <v>46192</v>
      </c>
      <c r="AH741" s="49">
        <v>46183</v>
      </c>
      <c r="AI741" s="266">
        <v>46162</v>
      </c>
      <c r="AJ741" s="150" t="s">
        <v>548</v>
      </c>
      <c r="AK741" s="150" t="s">
        <v>200</v>
      </c>
      <c r="AL741" s="150" t="s">
        <v>175</v>
      </c>
      <c r="AM741" s="150" t="s">
        <v>2086</v>
      </c>
      <c r="AN741" s="45">
        <v>46122</v>
      </c>
      <c r="AO741" s="367"/>
      <c r="AP741" s="367"/>
      <c r="AQ741" s="367"/>
      <c r="AR741" s="367"/>
      <c r="AS741" s="367"/>
      <c r="AT741" s="154">
        <v>46167</v>
      </c>
      <c r="AU741" s="154">
        <v>46155</v>
      </c>
      <c r="AV741" s="359" t="s">
        <v>2491</v>
      </c>
      <c r="AW741" s="154">
        <v>46132</v>
      </c>
      <c r="AX741" s="154"/>
      <c r="AY741" s="154"/>
      <c r="AZ741" s="154">
        <v>46153</v>
      </c>
      <c r="BA741" s="154"/>
      <c r="BB741" s="152" t="s">
        <v>2468</v>
      </c>
      <c r="BC741" s="152" t="s">
        <v>2492</v>
      </c>
      <c r="BD741" s="367" t="s">
        <v>1605</v>
      </c>
      <c r="BE741" s="45"/>
      <c r="BF741" s="367"/>
      <c r="BG741" s="367"/>
      <c r="BH741" s="260"/>
      <c r="BI741" s="54"/>
      <c r="BJ741" s="54"/>
      <c r="BK741" s="54"/>
      <c r="BL741" s="54"/>
      <c r="BN741" s="358">
        <v>46136</v>
      </c>
    </row>
    <row r="742" spans="1:66" ht="36" customHeight="1" x14ac:dyDescent="0.3">
      <c r="A742" s="367">
        <f t="shared" si="14"/>
        <v>737</v>
      </c>
      <c r="B742" s="54" t="s">
        <v>2502</v>
      </c>
      <c r="C742" s="367" t="s">
        <v>6</v>
      </c>
      <c r="D742" s="353" t="s">
        <v>2494</v>
      </c>
      <c r="E742" s="367"/>
      <c r="F742" s="367"/>
      <c r="G742" s="367"/>
      <c r="H742" s="367"/>
      <c r="I742" s="367"/>
      <c r="J742" s="54" t="s">
        <v>2298</v>
      </c>
      <c r="K742" s="48" t="s">
        <v>2500</v>
      </c>
      <c r="L742" s="367" t="s">
        <v>2280</v>
      </c>
      <c r="M742" s="150" t="s">
        <v>120</v>
      </c>
      <c r="N742" s="150" t="s">
        <v>2488</v>
      </c>
      <c r="O742" s="150" t="s">
        <v>2489</v>
      </c>
      <c r="P742" s="367">
        <v>8</v>
      </c>
      <c r="Q742" s="367">
        <v>3.4</v>
      </c>
      <c r="R742" s="367"/>
      <c r="S742" s="367">
        <v>100</v>
      </c>
      <c r="T742" s="367">
        <v>10.5</v>
      </c>
      <c r="U742" s="367"/>
      <c r="V742" s="367"/>
      <c r="W742" s="367"/>
      <c r="X742" s="367"/>
      <c r="Y742" s="367"/>
      <c r="Z742" s="367" t="s">
        <v>127</v>
      </c>
      <c r="AA742" s="367"/>
      <c r="AB742" s="150" t="s">
        <v>215</v>
      </c>
      <c r="AC742" s="48" t="s">
        <v>2503</v>
      </c>
      <c r="AD742" s="150" t="s">
        <v>169</v>
      </c>
      <c r="AE742" s="340">
        <v>46085</v>
      </c>
      <c r="AF742" s="340"/>
      <c r="AG742" s="344"/>
      <c r="AH742" s="49"/>
      <c r="AI742" s="266"/>
      <c r="AJ742" s="150" t="s">
        <v>617</v>
      </c>
      <c r="AK742" s="150" t="s">
        <v>161</v>
      </c>
      <c r="AL742" s="150"/>
      <c r="AM742" s="150" t="s">
        <v>2086</v>
      </c>
      <c r="AN742" s="45">
        <v>46107</v>
      </c>
      <c r="AO742" s="367"/>
      <c r="AP742" s="367"/>
      <c r="AQ742" s="367"/>
      <c r="AR742" s="367"/>
      <c r="AS742" s="367"/>
      <c r="AT742" s="154"/>
      <c r="AU742" s="154"/>
      <c r="AV742" s="154"/>
      <c r="AW742" s="154"/>
      <c r="AX742" s="154"/>
      <c r="AY742" s="154"/>
      <c r="AZ742" s="154"/>
      <c r="BA742" s="154"/>
      <c r="BB742" s="152" t="s">
        <v>2496</v>
      </c>
      <c r="BC742" s="152"/>
      <c r="BD742" s="367" t="s">
        <v>1605</v>
      </c>
      <c r="BE742" s="367"/>
      <c r="BF742" s="367"/>
      <c r="BG742" s="367"/>
      <c r="BH742" s="260"/>
      <c r="BI742" s="54"/>
      <c r="BJ742" s="54"/>
      <c r="BK742" s="54"/>
      <c r="BL742" s="54" t="s">
        <v>2497</v>
      </c>
    </row>
    <row r="743" spans="1:66" ht="36" customHeight="1" x14ac:dyDescent="0.3">
      <c r="A743" s="367">
        <f t="shared" si="14"/>
        <v>738</v>
      </c>
      <c r="B743" s="54" t="s">
        <v>2504</v>
      </c>
      <c r="C743" s="367" t="s">
        <v>6</v>
      </c>
      <c r="D743" s="354" t="s">
        <v>2505</v>
      </c>
      <c r="E743" s="367"/>
      <c r="F743" s="45">
        <v>46203</v>
      </c>
      <c r="G743" s="367"/>
      <c r="H743" s="367"/>
      <c r="I743" s="367"/>
      <c r="J743" s="54" t="s">
        <v>2298</v>
      </c>
      <c r="K743" s="48" t="s">
        <v>2506</v>
      </c>
      <c r="L743" s="367" t="s">
        <v>2280</v>
      </c>
      <c r="M743" s="150" t="s">
        <v>65</v>
      </c>
      <c r="N743" s="150" t="s">
        <v>2488</v>
      </c>
      <c r="O743" s="150" t="s">
        <v>2489</v>
      </c>
      <c r="P743" s="367">
        <v>8</v>
      </c>
      <c r="Q743" s="367">
        <v>3.4</v>
      </c>
      <c r="R743" s="367"/>
      <c r="S743" s="367">
        <v>100</v>
      </c>
      <c r="T743" s="367">
        <v>10.5</v>
      </c>
      <c r="U743" s="367"/>
      <c r="V743" s="367" t="s">
        <v>127</v>
      </c>
      <c r="W743" s="367"/>
      <c r="X743" s="367" t="s">
        <v>150</v>
      </c>
      <c r="Y743" s="367" t="s">
        <v>127</v>
      </c>
      <c r="Z743" s="367"/>
      <c r="AA743" s="367" t="s">
        <v>127</v>
      </c>
      <c r="AB743" s="150" t="s">
        <v>215</v>
      </c>
      <c r="AC743" s="48" t="s">
        <v>2507</v>
      </c>
      <c r="AD743" s="150" t="s">
        <v>284</v>
      </c>
      <c r="AE743" s="340">
        <v>46085</v>
      </c>
      <c r="AF743" s="340">
        <v>46168</v>
      </c>
      <c r="AG743" s="286">
        <v>46193</v>
      </c>
      <c r="AH743" s="49">
        <v>46183</v>
      </c>
      <c r="AI743" s="266">
        <v>46162</v>
      </c>
      <c r="AJ743" s="150" t="s">
        <v>548</v>
      </c>
      <c r="AK743" s="150" t="s">
        <v>200</v>
      </c>
      <c r="AL743" s="150" t="s">
        <v>175</v>
      </c>
      <c r="AM743" s="150" t="s">
        <v>2086</v>
      </c>
      <c r="AN743" s="45">
        <v>46122</v>
      </c>
      <c r="AO743" s="367"/>
      <c r="AP743" s="367"/>
      <c r="AQ743" s="367"/>
      <c r="AR743" s="367"/>
      <c r="AS743" s="367"/>
      <c r="AT743" s="154">
        <v>46167</v>
      </c>
      <c r="AU743" s="154">
        <v>46155</v>
      </c>
      <c r="AV743" s="359" t="s">
        <v>2491</v>
      </c>
      <c r="AW743" s="154">
        <v>46132</v>
      </c>
      <c r="AX743" s="154"/>
      <c r="AY743" s="154"/>
      <c r="AZ743" s="154">
        <v>46153</v>
      </c>
      <c r="BA743" s="154"/>
      <c r="BB743" s="152" t="s">
        <v>2468</v>
      </c>
      <c r="BC743" s="152" t="s">
        <v>2492</v>
      </c>
      <c r="BD743" s="367" t="s">
        <v>1605</v>
      </c>
      <c r="BE743" s="45"/>
      <c r="BF743" s="367"/>
      <c r="BG743" s="367"/>
      <c r="BH743" s="260"/>
      <c r="BI743" s="54"/>
      <c r="BJ743" s="54"/>
      <c r="BK743" s="54"/>
      <c r="BL743" s="54"/>
      <c r="BN743" s="358">
        <v>46136</v>
      </c>
    </row>
    <row r="744" spans="1:66" ht="36" customHeight="1" x14ac:dyDescent="0.3">
      <c r="A744" s="367">
        <f t="shared" si="14"/>
        <v>739</v>
      </c>
      <c r="B744" s="54" t="s">
        <v>2508</v>
      </c>
      <c r="C744" s="367" t="s">
        <v>6</v>
      </c>
      <c r="D744" s="352" t="s">
        <v>2494</v>
      </c>
      <c r="E744" s="367"/>
      <c r="F744" s="367"/>
      <c r="G744" s="367"/>
      <c r="H744" s="367"/>
      <c r="I744" s="367"/>
      <c r="J744" s="54" t="s">
        <v>2298</v>
      </c>
      <c r="K744" s="48" t="s">
        <v>2506</v>
      </c>
      <c r="L744" s="367" t="s">
        <v>2280</v>
      </c>
      <c r="M744" s="150" t="s">
        <v>65</v>
      </c>
      <c r="N744" s="150" t="s">
        <v>2488</v>
      </c>
      <c r="O744" s="150" t="s">
        <v>2489</v>
      </c>
      <c r="P744" s="367">
        <v>8</v>
      </c>
      <c r="Q744" s="367">
        <v>3.4</v>
      </c>
      <c r="R744" s="367"/>
      <c r="S744" s="367">
        <v>100</v>
      </c>
      <c r="T744" s="367">
        <v>10.5</v>
      </c>
      <c r="U744" s="367"/>
      <c r="V744" s="367"/>
      <c r="W744" s="367"/>
      <c r="X744" s="367"/>
      <c r="Y744" s="367"/>
      <c r="Z744" s="367" t="s">
        <v>127</v>
      </c>
      <c r="AA744" s="367"/>
      <c r="AB744" s="150" t="s">
        <v>215</v>
      </c>
      <c r="AC744" s="48" t="s">
        <v>2509</v>
      </c>
      <c r="AD744" s="150" t="s">
        <v>169</v>
      </c>
      <c r="AE744" s="340">
        <v>46085</v>
      </c>
      <c r="AF744" s="340"/>
      <c r="AG744" s="286"/>
      <c r="AH744" s="49"/>
      <c r="AI744" s="266"/>
      <c r="AJ744" s="150" t="s">
        <v>617</v>
      </c>
      <c r="AK744" s="150" t="s">
        <v>161</v>
      </c>
      <c r="AL744" s="150"/>
      <c r="AM744" s="150" t="s">
        <v>2086</v>
      </c>
      <c r="AN744" s="45">
        <v>46107</v>
      </c>
      <c r="AO744" s="367"/>
      <c r="AP744" s="367"/>
      <c r="AQ744" s="367"/>
      <c r="AR744" s="367"/>
      <c r="AS744" s="367"/>
      <c r="AT744" s="154"/>
      <c r="AU744" s="154"/>
      <c r="AV744" s="154"/>
      <c r="AW744" s="154"/>
      <c r="AX744" s="154"/>
      <c r="AY744" s="154"/>
      <c r="AZ744" s="154"/>
      <c r="BA744" s="154"/>
      <c r="BB744" s="152" t="s">
        <v>2496</v>
      </c>
      <c r="BC744" s="152"/>
      <c r="BD744" s="367" t="s">
        <v>1605</v>
      </c>
      <c r="BE744" s="367"/>
      <c r="BF744" s="367"/>
      <c r="BG744" s="367"/>
      <c r="BH744" s="260"/>
      <c r="BI744" s="54"/>
      <c r="BJ744" s="54"/>
      <c r="BK744" s="54"/>
      <c r="BL744" s="54"/>
    </row>
    <row r="745" spans="1:66" ht="36" customHeight="1" x14ac:dyDescent="0.3">
      <c r="A745" s="367">
        <f t="shared" si="14"/>
        <v>740</v>
      </c>
      <c r="B745" s="54" t="s">
        <v>2510</v>
      </c>
      <c r="C745" s="367" t="s">
        <v>6</v>
      </c>
      <c r="D745" s="354" t="s">
        <v>2511</v>
      </c>
      <c r="E745" s="367"/>
      <c r="F745" s="45">
        <v>46203</v>
      </c>
      <c r="G745" s="367"/>
      <c r="H745" s="367"/>
      <c r="I745" s="367"/>
      <c r="J745" s="54" t="s">
        <v>2298</v>
      </c>
      <c r="K745" s="48" t="s">
        <v>2512</v>
      </c>
      <c r="L745" s="367" t="s">
        <v>2280</v>
      </c>
      <c r="M745" s="150" t="s">
        <v>120</v>
      </c>
      <c r="N745" s="150" t="s">
        <v>2488</v>
      </c>
      <c r="O745" s="150" t="s">
        <v>2489</v>
      </c>
      <c r="P745" s="367">
        <v>8</v>
      </c>
      <c r="Q745" s="367">
        <v>3.4</v>
      </c>
      <c r="R745" s="367"/>
      <c r="S745" s="367">
        <v>100</v>
      </c>
      <c r="T745" s="367">
        <v>10.5</v>
      </c>
      <c r="U745" s="367"/>
      <c r="V745" s="367" t="s">
        <v>127</v>
      </c>
      <c r="W745" s="367"/>
      <c r="X745" s="367" t="s">
        <v>150</v>
      </c>
      <c r="Y745" s="367" t="s">
        <v>127</v>
      </c>
      <c r="Z745" s="367"/>
      <c r="AA745" s="367" t="s">
        <v>127</v>
      </c>
      <c r="AB745" s="150" t="s">
        <v>215</v>
      </c>
      <c r="AC745" s="48" t="s">
        <v>2513</v>
      </c>
      <c r="AD745" s="150" t="s">
        <v>284</v>
      </c>
      <c r="AE745" s="340">
        <v>46085</v>
      </c>
      <c r="AF745" s="340">
        <v>46168</v>
      </c>
      <c r="AG745" s="286">
        <v>46193</v>
      </c>
      <c r="AH745" s="49">
        <v>46188</v>
      </c>
      <c r="AI745" s="266">
        <v>46174</v>
      </c>
      <c r="AJ745" s="150" t="s">
        <v>548</v>
      </c>
      <c r="AK745" s="150" t="s">
        <v>200</v>
      </c>
      <c r="AL745" s="150" t="s">
        <v>175</v>
      </c>
      <c r="AM745" s="150" t="s">
        <v>2086</v>
      </c>
      <c r="AN745" s="45">
        <v>46122</v>
      </c>
      <c r="AO745" s="367"/>
      <c r="AP745" s="367"/>
      <c r="AQ745" s="367"/>
      <c r="AR745" s="367"/>
      <c r="AS745" s="367"/>
      <c r="AT745" s="154">
        <v>46167</v>
      </c>
      <c r="AU745" s="154">
        <v>46155</v>
      </c>
      <c r="AV745" s="359" t="s">
        <v>2491</v>
      </c>
      <c r="AW745" s="154">
        <v>46132</v>
      </c>
      <c r="AX745" s="154"/>
      <c r="AY745" s="154"/>
      <c r="AZ745" s="154">
        <v>46153</v>
      </c>
      <c r="BA745" s="154"/>
      <c r="BB745" s="152" t="s">
        <v>2468</v>
      </c>
      <c r="BC745" s="152" t="s">
        <v>2492</v>
      </c>
      <c r="BD745" s="367" t="s">
        <v>1605</v>
      </c>
      <c r="BE745" s="45"/>
      <c r="BF745" s="367"/>
      <c r="BG745" s="367"/>
      <c r="BH745" s="260"/>
      <c r="BI745" s="54"/>
      <c r="BJ745" s="54"/>
      <c r="BK745" s="54"/>
      <c r="BL745" s="54"/>
      <c r="BN745" s="358">
        <v>46136</v>
      </c>
    </row>
    <row r="746" spans="1:66" ht="36" customHeight="1" x14ac:dyDescent="0.3">
      <c r="A746" s="367">
        <f t="shared" si="14"/>
        <v>741</v>
      </c>
      <c r="B746" s="54" t="s">
        <v>2514</v>
      </c>
      <c r="C746" s="367" t="s">
        <v>6</v>
      </c>
      <c r="D746" s="352" t="s">
        <v>2494</v>
      </c>
      <c r="E746" s="367"/>
      <c r="F746" s="367"/>
      <c r="G746" s="367"/>
      <c r="H746" s="367"/>
      <c r="I746" s="367"/>
      <c r="J746" s="54" t="s">
        <v>2298</v>
      </c>
      <c r="K746" s="48" t="s">
        <v>2512</v>
      </c>
      <c r="L746" s="367" t="s">
        <v>2280</v>
      </c>
      <c r="M746" s="150" t="s">
        <v>120</v>
      </c>
      <c r="N746" s="150" t="s">
        <v>2488</v>
      </c>
      <c r="O746" s="150" t="s">
        <v>2489</v>
      </c>
      <c r="P746" s="367">
        <v>8</v>
      </c>
      <c r="Q746" s="367">
        <v>3.4</v>
      </c>
      <c r="R746" s="367"/>
      <c r="S746" s="367">
        <v>100</v>
      </c>
      <c r="T746" s="367">
        <v>10.5</v>
      </c>
      <c r="U746" s="367"/>
      <c r="V746" s="367"/>
      <c r="W746" s="367"/>
      <c r="X746" s="367"/>
      <c r="Y746" s="367"/>
      <c r="Z746" s="367" t="s">
        <v>127</v>
      </c>
      <c r="AA746" s="367"/>
      <c r="AB746" s="150" t="s">
        <v>215</v>
      </c>
      <c r="AC746" s="48" t="s">
        <v>2515</v>
      </c>
      <c r="AD746" s="150" t="s">
        <v>169</v>
      </c>
      <c r="AE746" s="340">
        <v>46085</v>
      </c>
      <c r="AF746" s="340"/>
      <c r="AG746" s="286">
        <v>46152</v>
      </c>
      <c r="AH746" s="49">
        <v>46142</v>
      </c>
      <c r="AI746" s="266">
        <v>46122</v>
      </c>
      <c r="AJ746" s="150" t="s">
        <v>617</v>
      </c>
      <c r="AK746" s="150" t="s">
        <v>161</v>
      </c>
      <c r="AL746" s="150"/>
      <c r="AM746" s="150" t="s">
        <v>2086</v>
      </c>
      <c r="AN746" s="45">
        <v>46107</v>
      </c>
      <c r="AO746" s="367"/>
      <c r="AP746" s="367"/>
      <c r="AQ746" s="367"/>
      <c r="AR746" s="367"/>
      <c r="AS746" s="367"/>
      <c r="AT746" s="154"/>
      <c r="AU746" s="154"/>
      <c r="AV746" s="154"/>
      <c r="AW746" s="154"/>
      <c r="AX746" s="154"/>
      <c r="AY746" s="154"/>
      <c r="AZ746" s="154"/>
      <c r="BA746" s="154"/>
      <c r="BB746" s="152" t="s">
        <v>2496</v>
      </c>
      <c r="BC746" s="152"/>
      <c r="BD746" s="367" t="s">
        <v>1605</v>
      </c>
      <c r="BE746" s="367"/>
      <c r="BF746" s="367"/>
      <c r="BG746" s="367"/>
      <c r="BH746" s="260"/>
      <c r="BI746" s="54"/>
      <c r="BJ746" s="54"/>
      <c r="BK746" s="54"/>
      <c r="BL746" s="54"/>
    </row>
    <row r="747" spans="1:66" ht="36" customHeight="1" x14ac:dyDescent="0.3">
      <c r="A747" s="367">
        <f t="shared" si="14"/>
        <v>742</v>
      </c>
      <c r="B747" s="54" t="s">
        <v>2516</v>
      </c>
      <c r="C747" s="367" t="s">
        <v>6</v>
      </c>
      <c r="D747" s="367" t="s">
        <v>262</v>
      </c>
      <c r="E747" s="367"/>
      <c r="F747" s="367"/>
      <c r="G747" s="367"/>
      <c r="H747" s="367"/>
      <c r="I747" s="367"/>
      <c r="J747" s="54" t="s">
        <v>2298</v>
      </c>
      <c r="K747" s="48" t="s">
        <v>2517</v>
      </c>
      <c r="L747" s="367" t="s">
        <v>2280</v>
      </c>
      <c r="M747" s="150" t="s">
        <v>65</v>
      </c>
      <c r="N747" s="150" t="s">
        <v>2518</v>
      </c>
      <c r="O747" s="150" t="s">
        <v>2519</v>
      </c>
      <c r="P747" s="367">
        <v>3</v>
      </c>
      <c r="Q747" s="367" t="s">
        <v>42</v>
      </c>
      <c r="R747" s="367"/>
      <c r="S747" s="367">
        <v>50</v>
      </c>
      <c r="T747" s="367">
        <v>9</v>
      </c>
      <c r="U747" s="367"/>
      <c r="V747" s="367"/>
      <c r="W747" s="367"/>
      <c r="X747" s="367" t="s">
        <v>150</v>
      </c>
      <c r="Y747" s="367" t="s">
        <v>127</v>
      </c>
      <c r="Z747" s="367"/>
      <c r="AA747" s="367" t="s">
        <v>127</v>
      </c>
      <c r="AB747" s="150" t="s">
        <v>215</v>
      </c>
      <c r="AC747" s="48" t="s">
        <v>2520</v>
      </c>
      <c r="AD747" s="150" t="s">
        <v>284</v>
      </c>
      <c r="AE747" s="340">
        <v>46085</v>
      </c>
      <c r="AF747" s="340"/>
      <c r="AG747" s="286">
        <v>45736</v>
      </c>
      <c r="AH747" s="49"/>
      <c r="AI747" s="266"/>
      <c r="AJ747" s="150" t="s">
        <v>264</v>
      </c>
      <c r="AK747" s="150"/>
      <c r="AL747" s="150"/>
      <c r="AM747" s="150"/>
      <c r="AN747" s="367"/>
      <c r="AO747" s="367"/>
      <c r="AP747" s="367"/>
      <c r="AQ747" s="367"/>
      <c r="AR747" s="367"/>
      <c r="AS747" s="367"/>
      <c r="AT747" s="154"/>
      <c r="AU747" s="154"/>
      <c r="AV747" s="154"/>
      <c r="AW747" s="154"/>
      <c r="AX747" s="154"/>
      <c r="AY747" s="154"/>
      <c r="AZ747" s="154"/>
      <c r="BA747" s="154"/>
      <c r="BB747" s="152" t="s">
        <v>2521</v>
      </c>
      <c r="BC747" s="152"/>
      <c r="BD747" s="367" t="s">
        <v>1605</v>
      </c>
      <c r="BE747" s="367"/>
      <c r="BF747" s="367"/>
      <c r="BG747" s="367"/>
      <c r="BH747" s="260"/>
      <c r="BI747" s="54"/>
      <c r="BJ747" s="54"/>
      <c r="BK747" s="54"/>
      <c r="BL747" s="54"/>
    </row>
    <row r="748" spans="1:66" ht="36" customHeight="1" x14ac:dyDescent="0.3">
      <c r="A748" s="367">
        <f t="shared" si="14"/>
        <v>743</v>
      </c>
      <c r="B748" s="54" t="s">
        <v>2522</v>
      </c>
      <c r="C748" s="367" t="s">
        <v>6</v>
      </c>
      <c r="D748" s="150" t="s">
        <v>2523</v>
      </c>
      <c r="E748" s="367"/>
      <c r="F748" s="367"/>
      <c r="G748" s="367"/>
      <c r="H748" s="367"/>
      <c r="I748" s="367"/>
      <c r="J748" s="54" t="s">
        <v>2298</v>
      </c>
      <c r="K748" s="48" t="s">
        <v>2517</v>
      </c>
      <c r="L748" s="367" t="s">
        <v>2524</v>
      </c>
      <c r="M748" s="150" t="s">
        <v>65</v>
      </c>
      <c r="N748" s="150" t="s">
        <v>2518</v>
      </c>
      <c r="O748" s="150" t="s">
        <v>2519</v>
      </c>
      <c r="P748" s="367">
        <v>3</v>
      </c>
      <c r="Q748" s="367" t="s">
        <v>42</v>
      </c>
      <c r="R748" s="367"/>
      <c r="S748" s="367">
        <v>50</v>
      </c>
      <c r="T748" s="363">
        <v>6.5</v>
      </c>
      <c r="U748" s="367"/>
      <c r="V748" s="367" t="s">
        <v>127</v>
      </c>
      <c r="W748" s="367"/>
      <c r="X748" s="367" t="s">
        <v>150</v>
      </c>
      <c r="Y748" s="367" t="s">
        <v>127</v>
      </c>
      <c r="Z748" s="367"/>
      <c r="AA748" s="367"/>
      <c r="AB748" s="150" t="s">
        <v>215</v>
      </c>
      <c r="AC748" s="48" t="s">
        <v>2525</v>
      </c>
      <c r="AD748" s="150" t="s">
        <v>152</v>
      </c>
      <c r="AE748" s="340">
        <v>46085</v>
      </c>
      <c r="AF748" s="340"/>
      <c r="AG748" s="344">
        <v>46137</v>
      </c>
      <c r="AH748" s="49">
        <v>46172</v>
      </c>
      <c r="AI748" s="266"/>
      <c r="AJ748" s="150" t="s">
        <v>617</v>
      </c>
      <c r="AK748" s="150" t="s">
        <v>200</v>
      </c>
      <c r="AL748" s="150" t="s">
        <v>175</v>
      </c>
      <c r="AM748" s="150" t="s">
        <v>134</v>
      </c>
      <c r="AN748" s="45">
        <v>46122</v>
      </c>
      <c r="AO748" s="367"/>
      <c r="AP748" s="367"/>
      <c r="AQ748" s="367"/>
      <c r="AR748" s="367"/>
      <c r="AS748" s="367"/>
      <c r="AT748" s="154"/>
      <c r="AU748" s="154"/>
      <c r="AV748" s="154"/>
      <c r="AW748" s="154"/>
      <c r="AX748" s="154"/>
      <c r="AY748" s="154"/>
      <c r="AZ748" s="154"/>
      <c r="BA748" s="154"/>
      <c r="BB748" s="152" t="s">
        <v>2526</v>
      </c>
      <c r="BC748" s="152"/>
      <c r="BD748" s="367" t="s">
        <v>1605</v>
      </c>
      <c r="BE748" s="367"/>
      <c r="BF748" s="367"/>
      <c r="BG748" s="367"/>
      <c r="BH748" s="260"/>
      <c r="BI748" s="54"/>
      <c r="BJ748" s="54"/>
      <c r="BK748" s="54"/>
      <c r="BL748" s="54"/>
    </row>
    <row r="749" spans="1:66" ht="36" customHeight="1" x14ac:dyDescent="0.3">
      <c r="A749" s="367">
        <f t="shared" si="14"/>
        <v>744</v>
      </c>
      <c r="B749" s="54" t="s">
        <v>2527</v>
      </c>
      <c r="C749" s="367" t="s">
        <v>6</v>
      </c>
      <c r="D749" s="367" t="s">
        <v>262</v>
      </c>
      <c r="E749" s="367"/>
      <c r="F749" s="367"/>
      <c r="G749" s="367"/>
      <c r="H749" s="367"/>
      <c r="I749" s="367"/>
      <c r="J749" s="54" t="s">
        <v>2298</v>
      </c>
      <c r="K749" s="48" t="s">
        <v>2528</v>
      </c>
      <c r="L749" s="367" t="s">
        <v>2524</v>
      </c>
      <c r="M749" s="150" t="s">
        <v>120</v>
      </c>
      <c r="N749" s="150" t="s">
        <v>2518</v>
      </c>
      <c r="O749" s="150" t="s">
        <v>2519</v>
      </c>
      <c r="P749" s="367">
        <v>3</v>
      </c>
      <c r="Q749" s="367" t="s">
        <v>42</v>
      </c>
      <c r="R749" s="367"/>
      <c r="S749" s="367">
        <v>50</v>
      </c>
      <c r="T749" s="367">
        <v>9</v>
      </c>
      <c r="U749" s="367"/>
      <c r="V749" s="367"/>
      <c r="W749" s="367"/>
      <c r="X749" s="367" t="s">
        <v>150</v>
      </c>
      <c r="Y749" s="367" t="s">
        <v>127</v>
      </c>
      <c r="Z749" s="367"/>
      <c r="AA749" s="367" t="s">
        <v>127</v>
      </c>
      <c r="AB749" s="150" t="s">
        <v>215</v>
      </c>
      <c r="AC749" s="48" t="s">
        <v>2529</v>
      </c>
      <c r="AD749" s="150" t="s">
        <v>284</v>
      </c>
      <c r="AE749" s="340">
        <v>46085</v>
      </c>
      <c r="AF749" s="340"/>
      <c r="AG749" s="344">
        <v>46137</v>
      </c>
      <c r="AH749" s="49">
        <v>46142</v>
      </c>
      <c r="AI749" s="266">
        <v>46113</v>
      </c>
      <c r="AJ749" s="150" t="s">
        <v>264</v>
      </c>
      <c r="AK749" s="150" t="s">
        <v>200</v>
      </c>
      <c r="AL749" s="150" t="s">
        <v>175</v>
      </c>
      <c r="AM749" s="150" t="s">
        <v>134</v>
      </c>
      <c r="AN749" s="45">
        <v>46122</v>
      </c>
      <c r="AO749" s="367"/>
      <c r="AP749" s="367"/>
      <c r="AQ749" s="367"/>
      <c r="AR749" s="367"/>
      <c r="AS749" s="367"/>
      <c r="AT749" s="154"/>
      <c r="AU749" s="154"/>
      <c r="AV749" s="154"/>
      <c r="AW749" s="154"/>
      <c r="AX749" s="154"/>
      <c r="AY749" s="154"/>
      <c r="AZ749" s="154"/>
      <c r="BA749" s="154"/>
      <c r="BB749" s="152" t="s">
        <v>2468</v>
      </c>
      <c r="BC749" s="152"/>
      <c r="BD749" s="367" t="s">
        <v>1605</v>
      </c>
      <c r="BE749" s="367"/>
      <c r="BF749" s="367"/>
      <c r="BG749" s="367"/>
      <c r="BH749" s="260"/>
      <c r="BI749" s="54"/>
      <c r="BJ749" s="54"/>
      <c r="BK749" s="54"/>
      <c r="BL749" s="54"/>
    </row>
    <row r="750" spans="1:66" ht="36" customHeight="1" x14ac:dyDescent="0.3">
      <c r="A750" s="367">
        <f t="shared" ref="A750:A816" si="15">ROW(B750)-ROW($B$5)</f>
        <v>745</v>
      </c>
      <c r="B750" s="54" t="s">
        <v>2530</v>
      </c>
      <c r="C750" s="367" t="s">
        <v>6</v>
      </c>
      <c r="D750" s="150" t="s">
        <v>2523</v>
      </c>
      <c r="E750" s="367"/>
      <c r="F750" s="367"/>
      <c r="G750" s="367"/>
      <c r="H750" s="367"/>
      <c r="I750" s="367"/>
      <c r="J750" s="54" t="s">
        <v>2298</v>
      </c>
      <c r="K750" s="48" t="s">
        <v>2528</v>
      </c>
      <c r="L750" s="367" t="s">
        <v>2524</v>
      </c>
      <c r="M750" s="150" t="s">
        <v>120</v>
      </c>
      <c r="N750" s="150" t="s">
        <v>2518</v>
      </c>
      <c r="O750" s="150" t="s">
        <v>2519</v>
      </c>
      <c r="P750" s="367">
        <v>3</v>
      </c>
      <c r="Q750" s="367" t="s">
        <v>42</v>
      </c>
      <c r="R750" s="367"/>
      <c r="S750" s="367">
        <v>50</v>
      </c>
      <c r="T750" s="363">
        <v>6.5</v>
      </c>
      <c r="U750" s="367"/>
      <c r="V750" s="367" t="s">
        <v>127</v>
      </c>
      <c r="W750" s="367"/>
      <c r="X750" s="367" t="s">
        <v>150</v>
      </c>
      <c r="Y750" s="367" t="s">
        <v>127</v>
      </c>
      <c r="Z750" s="367"/>
      <c r="AA750" s="367"/>
      <c r="AB750" s="150" t="s">
        <v>215</v>
      </c>
      <c r="AC750" s="48" t="s">
        <v>2531</v>
      </c>
      <c r="AD750" s="150" t="s">
        <v>152</v>
      </c>
      <c r="AE750" s="340">
        <v>46085</v>
      </c>
      <c r="AF750" s="340"/>
      <c r="AG750" s="344">
        <v>46137</v>
      </c>
      <c r="AH750" s="49">
        <v>46172</v>
      </c>
      <c r="AI750" s="266"/>
      <c r="AJ750" s="150" t="s">
        <v>617</v>
      </c>
      <c r="AK750" s="150" t="s">
        <v>200</v>
      </c>
      <c r="AL750" s="150" t="s">
        <v>175</v>
      </c>
      <c r="AM750" s="150" t="s">
        <v>134</v>
      </c>
      <c r="AN750" s="45">
        <v>46122</v>
      </c>
      <c r="AO750" s="367"/>
      <c r="AP750" s="367"/>
      <c r="AQ750" s="367"/>
      <c r="AR750" s="367"/>
      <c r="AS750" s="367"/>
      <c r="AT750" s="154"/>
      <c r="AU750" s="154"/>
      <c r="AV750" s="154"/>
      <c r="AW750" s="154"/>
      <c r="AX750" s="154"/>
      <c r="AY750" s="154"/>
      <c r="AZ750" s="154"/>
      <c r="BA750" s="154"/>
      <c r="BB750" s="152" t="s">
        <v>2526</v>
      </c>
      <c r="BC750" s="152"/>
      <c r="BD750" s="367" t="s">
        <v>1605</v>
      </c>
      <c r="BE750" s="367"/>
      <c r="BF750" s="367"/>
      <c r="BG750" s="367"/>
      <c r="BH750" s="260"/>
      <c r="BI750" s="54"/>
      <c r="BJ750" s="54"/>
      <c r="BK750" s="54"/>
      <c r="BL750" s="54"/>
    </row>
    <row r="751" spans="1:66" ht="36" customHeight="1" x14ac:dyDescent="0.3">
      <c r="A751" s="367">
        <f t="shared" si="15"/>
        <v>746</v>
      </c>
      <c r="B751" s="54" t="s">
        <v>2532</v>
      </c>
      <c r="C751" s="367" t="s">
        <v>6</v>
      </c>
      <c r="D751" s="367" t="s">
        <v>2533</v>
      </c>
      <c r="E751" s="367"/>
      <c r="F751" s="45">
        <v>46203</v>
      </c>
      <c r="G751" s="367"/>
      <c r="H751" s="367"/>
      <c r="I751" s="367"/>
      <c r="J751" s="54" t="s">
        <v>2298</v>
      </c>
      <c r="K751" s="48" t="s">
        <v>2534</v>
      </c>
      <c r="L751" s="367" t="s">
        <v>2151</v>
      </c>
      <c r="M751" s="150" t="s">
        <v>65</v>
      </c>
      <c r="N751" s="150" t="s">
        <v>2535</v>
      </c>
      <c r="O751" s="150" t="s">
        <v>2489</v>
      </c>
      <c r="P751" s="367">
        <v>8</v>
      </c>
      <c r="Q751" s="367">
        <v>4</v>
      </c>
      <c r="R751" s="367"/>
      <c r="S751" s="367">
        <v>100</v>
      </c>
      <c r="T751" s="367">
        <v>14</v>
      </c>
      <c r="U751" s="367"/>
      <c r="V751" s="367"/>
      <c r="W751" s="367"/>
      <c r="X751" s="367" t="s">
        <v>269</v>
      </c>
      <c r="Y751" s="367"/>
      <c r="Z751" s="367"/>
      <c r="AA751" s="367"/>
      <c r="AB751" s="150" t="s">
        <v>215</v>
      </c>
      <c r="AC751" s="48" t="s">
        <v>2536</v>
      </c>
      <c r="AD751" s="150" t="s">
        <v>1075</v>
      </c>
      <c r="AE751" s="340">
        <v>46085</v>
      </c>
      <c r="AF751" s="340"/>
      <c r="AG751" s="286">
        <v>46203</v>
      </c>
      <c r="AH751" s="49">
        <v>46198</v>
      </c>
      <c r="AI751" s="266">
        <v>46174</v>
      </c>
      <c r="AJ751" s="150" t="s">
        <v>548</v>
      </c>
      <c r="AK751" s="150" t="s">
        <v>161</v>
      </c>
      <c r="AL751" s="150"/>
      <c r="AM751" s="150" t="s">
        <v>134</v>
      </c>
      <c r="AN751" s="347">
        <v>46175</v>
      </c>
      <c r="AO751" s="367"/>
      <c r="AP751" s="367"/>
      <c r="AQ751" s="367"/>
      <c r="AR751" s="367"/>
      <c r="AS751" s="367"/>
      <c r="AT751" s="154">
        <v>46134</v>
      </c>
      <c r="AU751" s="359" t="s">
        <v>2537</v>
      </c>
      <c r="AV751" s="154">
        <v>46156</v>
      </c>
      <c r="AW751" s="154">
        <v>46118</v>
      </c>
      <c r="AX751" s="154"/>
      <c r="AY751" s="154"/>
      <c r="AZ751" s="154"/>
      <c r="BA751" s="154"/>
      <c r="BB751" s="152" t="s">
        <v>2538</v>
      </c>
      <c r="BC751" s="152"/>
      <c r="BD751" s="367" t="s">
        <v>1605</v>
      </c>
      <c r="BE751" s="367"/>
      <c r="BF751" s="367"/>
      <c r="BG751" s="367"/>
      <c r="BH751" s="260"/>
      <c r="BI751" s="54"/>
      <c r="BJ751" s="54"/>
      <c r="BK751" s="54"/>
      <c r="BL751" s="54"/>
      <c r="BM751" s="357">
        <v>46135</v>
      </c>
      <c r="BN751" s="358">
        <v>46136</v>
      </c>
    </row>
    <row r="752" spans="1:66" ht="36" customHeight="1" x14ac:dyDescent="0.3">
      <c r="A752" s="367">
        <f t="shared" si="15"/>
        <v>747</v>
      </c>
      <c r="B752" s="54" t="s">
        <v>2539</v>
      </c>
      <c r="C752" s="367" t="s">
        <v>6</v>
      </c>
      <c r="D752" s="367" t="s">
        <v>2540</v>
      </c>
      <c r="E752" s="367"/>
      <c r="F752" s="367"/>
      <c r="G752" s="367"/>
      <c r="H752" s="367"/>
      <c r="I752" s="367"/>
      <c r="J752" s="54" t="s">
        <v>2298</v>
      </c>
      <c r="K752" s="48" t="s">
        <v>2534</v>
      </c>
      <c r="L752" s="367" t="s">
        <v>2151</v>
      </c>
      <c r="M752" s="150" t="s">
        <v>65</v>
      </c>
      <c r="N752" s="150" t="s">
        <v>2535</v>
      </c>
      <c r="O752" s="150" t="s">
        <v>2489</v>
      </c>
      <c r="P752" s="367">
        <v>8</v>
      </c>
      <c r="Q752" s="367">
        <v>4</v>
      </c>
      <c r="R752" s="367"/>
      <c r="S752" s="367">
        <v>100</v>
      </c>
      <c r="T752" s="367">
        <v>14</v>
      </c>
      <c r="U752" s="367"/>
      <c r="V752" s="367"/>
      <c r="W752" s="367"/>
      <c r="X752" s="150" t="s">
        <v>2541</v>
      </c>
      <c r="Y752" s="367"/>
      <c r="Z752" s="367"/>
      <c r="AA752" s="367"/>
      <c r="AB752" s="150" t="s">
        <v>215</v>
      </c>
      <c r="AC752" s="48" t="s">
        <v>2542</v>
      </c>
      <c r="AD752" s="150" t="s">
        <v>2543</v>
      </c>
      <c r="AE752" s="340">
        <v>46085</v>
      </c>
      <c r="AF752" s="340"/>
      <c r="AG752" s="286">
        <v>46218</v>
      </c>
      <c r="AH752" s="49">
        <v>46220</v>
      </c>
      <c r="AI752" s="266">
        <v>46174</v>
      </c>
      <c r="AJ752" s="150" t="s">
        <v>617</v>
      </c>
      <c r="AK752" s="150" t="s">
        <v>190</v>
      </c>
      <c r="AL752" s="150" t="s">
        <v>175</v>
      </c>
      <c r="AM752" s="150" t="s">
        <v>2086</v>
      </c>
      <c r="AN752" s="346"/>
      <c r="AO752" s="367"/>
      <c r="AP752" s="367"/>
      <c r="AQ752" s="367"/>
      <c r="AR752" s="367"/>
      <c r="AS752" s="367"/>
      <c r="AT752" s="154"/>
      <c r="AU752" s="154"/>
      <c r="AV752" s="154"/>
      <c r="AW752" s="154"/>
      <c r="AX752" s="154"/>
      <c r="AY752" s="154"/>
      <c r="AZ752" s="154"/>
      <c r="BA752" s="154"/>
      <c r="BB752" s="152"/>
      <c r="BC752" s="152"/>
      <c r="BD752" s="367" t="s">
        <v>1605</v>
      </c>
      <c r="BE752" s="367"/>
      <c r="BF752" s="367"/>
      <c r="BG752" s="367"/>
      <c r="BH752" s="260"/>
      <c r="BI752" s="54"/>
      <c r="BJ752" s="54"/>
      <c r="BK752" s="54"/>
      <c r="BL752" s="54"/>
      <c r="BM752" s="357">
        <v>46135</v>
      </c>
      <c r="BN752" s="358">
        <v>46136</v>
      </c>
    </row>
    <row r="753" spans="1:66" ht="36" customHeight="1" x14ac:dyDescent="0.3">
      <c r="A753" s="367">
        <f t="shared" si="15"/>
        <v>748</v>
      </c>
      <c r="B753" s="54" t="s">
        <v>2544</v>
      </c>
      <c r="C753" s="367" t="s">
        <v>6</v>
      </c>
      <c r="D753" s="367" t="s">
        <v>2545</v>
      </c>
      <c r="E753" s="367"/>
      <c r="F753" s="367"/>
      <c r="G753" s="367"/>
      <c r="H753" s="367"/>
      <c r="I753" s="367"/>
      <c r="J753" s="54" t="s">
        <v>2298</v>
      </c>
      <c r="K753" s="48" t="s">
        <v>2546</v>
      </c>
      <c r="L753" s="367" t="s">
        <v>2280</v>
      </c>
      <c r="M753" s="150" t="s">
        <v>65</v>
      </c>
      <c r="N753" s="150" t="s">
        <v>2535</v>
      </c>
      <c r="O753" s="150" t="s">
        <v>2375</v>
      </c>
      <c r="P753" s="367">
        <v>8</v>
      </c>
      <c r="Q753" s="367">
        <v>5</v>
      </c>
      <c r="R753" s="367"/>
      <c r="S753" s="367">
        <v>50</v>
      </c>
      <c r="T753" s="367">
        <v>8</v>
      </c>
      <c r="U753" s="367"/>
      <c r="V753" s="367"/>
      <c r="W753" s="367"/>
      <c r="X753" s="337" t="s">
        <v>2541</v>
      </c>
      <c r="Y753" s="367"/>
      <c r="Z753" s="367"/>
      <c r="AA753" s="367" t="s">
        <v>127</v>
      </c>
      <c r="AB753" s="150" t="s">
        <v>215</v>
      </c>
      <c r="AC753" s="48" t="s">
        <v>2547</v>
      </c>
      <c r="AD753" s="150" t="s">
        <v>2543</v>
      </c>
      <c r="AE753" s="340">
        <v>46164</v>
      </c>
      <c r="AF753" s="340"/>
      <c r="AG753" s="344">
        <v>46218</v>
      </c>
      <c r="AH753" s="49">
        <v>46233</v>
      </c>
      <c r="AI753" s="266">
        <v>46204</v>
      </c>
      <c r="AJ753" s="150" t="s">
        <v>617</v>
      </c>
      <c r="AK753" s="150" t="s">
        <v>190</v>
      </c>
      <c r="AL753" s="150" t="s">
        <v>191</v>
      </c>
      <c r="AM753" s="150" t="s">
        <v>2079</v>
      </c>
      <c r="AN753" s="346"/>
      <c r="AO753" s="367"/>
      <c r="AP753" s="367"/>
      <c r="AQ753" s="367"/>
      <c r="AR753" s="367"/>
      <c r="AS753" s="367"/>
      <c r="AT753" s="154"/>
      <c r="AU753" s="154"/>
      <c r="AV753" s="154"/>
      <c r="AW753" s="154"/>
      <c r="AX753" s="154"/>
      <c r="AY753" s="154"/>
      <c r="AZ753" s="154"/>
      <c r="BA753" s="154"/>
      <c r="BB753" s="152" t="s">
        <v>2548</v>
      </c>
      <c r="BC753" s="152"/>
      <c r="BD753" s="367" t="s">
        <v>1605</v>
      </c>
      <c r="BE753" s="367"/>
      <c r="BF753" s="367"/>
      <c r="BG753" s="367"/>
      <c r="BH753" s="260"/>
      <c r="BI753" s="54"/>
      <c r="BJ753" s="54"/>
      <c r="BK753" s="54"/>
      <c r="BL753" s="54"/>
    </row>
    <row r="754" spans="1:66" ht="36" customHeight="1" x14ac:dyDescent="0.3">
      <c r="A754" s="367">
        <f t="shared" si="15"/>
        <v>749</v>
      </c>
      <c r="B754" s="54" t="s">
        <v>2549</v>
      </c>
      <c r="C754" s="367" t="s">
        <v>6</v>
      </c>
      <c r="D754" s="367" t="s">
        <v>2545</v>
      </c>
      <c r="E754" s="367"/>
      <c r="F754" s="367"/>
      <c r="G754" s="367"/>
      <c r="H754" s="367"/>
      <c r="I754" s="367"/>
      <c r="J754" s="54" t="s">
        <v>2298</v>
      </c>
      <c r="K754" s="48" t="s">
        <v>2546</v>
      </c>
      <c r="L754" s="367" t="s">
        <v>2280</v>
      </c>
      <c r="M754" s="150" t="s">
        <v>65</v>
      </c>
      <c r="N754" s="150" t="s">
        <v>2535</v>
      </c>
      <c r="O754" s="150" t="s">
        <v>2375</v>
      </c>
      <c r="P754" s="367">
        <v>8</v>
      </c>
      <c r="Q754" s="367">
        <v>5</v>
      </c>
      <c r="R754" s="367"/>
      <c r="S754" s="367">
        <v>50</v>
      </c>
      <c r="T754" s="367">
        <v>8</v>
      </c>
      <c r="U754" s="367"/>
      <c r="V754" s="367"/>
      <c r="W754" s="367"/>
      <c r="X754" s="337" t="s">
        <v>2541</v>
      </c>
      <c r="Y754" s="367"/>
      <c r="Z754" s="367"/>
      <c r="AA754" s="367"/>
      <c r="AB754" s="150" t="s">
        <v>215</v>
      </c>
      <c r="AC754" s="48" t="s">
        <v>2550</v>
      </c>
      <c r="AD754" s="150" t="s">
        <v>2543</v>
      </c>
      <c r="AE754" s="340">
        <v>46164</v>
      </c>
      <c r="AF754" s="340"/>
      <c r="AG754" s="344">
        <v>46218</v>
      </c>
      <c r="AH754" s="49">
        <v>46233</v>
      </c>
      <c r="AI754" s="266">
        <v>46204</v>
      </c>
      <c r="AJ754" s="150" t="s">
        <v>617</v>
      </c>
      <c r="AK754" s="150" t="s">
        <v>190</v>
      </c>
      <c r="AL754" s="150" t="s">
        <v>191</v>
      </c>
      <c r="AM754" s="150" t="s">
        <v>2079</v>
      </c>
      <c r="AN754" s="346"/>
      <c r="AO754" s="367"/>
      <c r="AP754" s="367"/>
      <c r="AQ754" s="367"/>
      <c r="AR754" s="367"/>
      <c r="AS754" s="367"/>
      <c r="AT754" s="154"/>
      <c r="AU754" s="154"/>
      <c r="AV754" s="154"/>
      <c r="AW754" s="154"/>
      <c r="AX754" s="154"/>
      <c r="AY754" s="154"/>
      <c r="AZ754" s="154"/>
      <c r="BA754" s="154"/>
      <c r="BB754" s="152" t="s">
        <v>2551</v>
      </c>
      <c r="BC754" s="152"/>
      <c r="BD754" s="367" t="s">
        <v>1605</v>
      </c>
      <c r="BE754" s="367"/>
      <c r="BF754" s="367"/>
      <c r="BG754" s="367"/>
      <c r="BH754" s="260"/>
      <c r="BI754" s="54"/>
      <c r="BJ754" s="54"/>
      <c r="BK754" s="54"/>
      <c r="BL754" s="54"/>
    </row>
    <row r="755" spans="1:66" ht="36" customHeight="1" x14ac:dyDescent="0.3">
      <c r="A755" s="367">
        <f t="shared" si="15"/>
        <v>750</v>
      </c>
      <c r="B755" s="54" t="s">
        <v>2552</v>
      </c>
      <c r="C755" s="367" t="s">
        <v>6</v>
      </c>
      <c r="D755" s="367" t="s">
        <v>2545</v>
      </c>
      <c r="E755" s="367"/>
      <c r="F755" s="367"/>
      <c r="G755" s="367"/>
      <c r="H755" s="367"/>
      <c r="I755" s="367" t="s">
        <v>2553</v>
      </c>
      <c r="J755" s="54" t="s">
        <v>2298</v>
      </c>
      <c r="K755" s="48" t="s">
        <v>1488</v>
      </c>
      <c r="L755" s="367" t="s">
        <v>2280</v>
      </c>
      <c r="M755" s="150" t="s">
        <v>65</v>
      </c>
      <c r="N755" s="150" t="s">
        <v>2535</v>
      </c>
      <c r="O755" s="150" t="s">
        <v>2375</v>
      </c>
      <c r="P755" s="367">
        <v>8</v>
      </c>
      <c r="Q755" s="367">
        <v>3.5</v>
      </c>
      <c r="R755" s="367"/>
      <c r="S755" s="367">
        <v>50</v>
      </c>
      <c r="T755" s="367">
        <v>8</v>
      </c>
      <c r="U755" s="367"/>
      <c r="V755" s="367"/>
      <c r="W755" s="367"/>
      <c r="X755" s="337" t="s">
        <v>2541</v>
      </c>
      <c r="Y755" s="367"/>
      <c r="Z755" s="367"/>
      <c r="AA755" s="367" t="s">
        <v>127</v>
      </c>
      <c r="AB755" s="150" t="s">
        <v>215</v>
      </c>
      <c r="AC755" s="48" t="s">
        <v>2554</v>
      </c>
      <c r="AD755" s="150" t="s">
        <v>2543</v>
      </c>
      <c r="AE755" s="340">
        <v>46164</v>
      </c>
      <c r="AF755" s="340"/>
      <c r="AG755" s="344">
        <v>46218</v>
      </c>
      <c r="AH755" s="49">
        <v>46233</v>
      </c>
      <c r="AI755" s="266">
        <v>46204</v>
      </c>
      <c r="AJ755" s="150" t="s">
        <v>617</v>
      </c>
      <c r="AK755" s="150" t="s">
        <v>190</v>
      </c>
      <c r="AL755" s="150" t="s">
        <v>191</v>
      </c>
      <c r="AM755" s="150" t="s">
        <v>2079</v>
      </c>
      <c r="AN755" s="346"/>
      <c r="AO755" s="367"/>
      <c r="AP755" s="367"/>
      <c r="AQ755" s="367"/>
      <c r="AR755" s="367"/>
      <c r="AS755" s="367"/>
      <c r="AT755" s="154"/>
      <c r="AU755" s="154"/>
      <c r="AV755" s="154"/>
      <c r="AW755" s="154"/>
      <c r="AX755" s="154"/>
      <c r="AY755" s="154"/>
      <c r="AZ755" s="154"/>
      <c r="BA755" s="154"/>
      <c r="BB755" s="152" t="s">
        <v>2555</v>
      </c>
      <c r="BC755" s="152"/>
      <c r="BD755" s="367" t="s">
        <v>1605</v>
      </c>
      <c r="BE755" s="367"/>
      <c r="BF755" s="367"/>
      <c r="BG755" s="367"/>
      <c r="BH755" s="260"/>
      <c r="BI755" s="54"/>
      <c r="BJ755" s="54"/>
      <c r="BK755" s="54"/>
      <c r="BL755" s="54"/>
    </row>
    <row r="756" spans="1:66" ht="36" customHeight="1" x14ac:dyDescent="0.3">
      <c r="A756" s="367">
        <f t="shared" si="15"/>
        <v>751</v>
      </c>
      <c r="B756" s="54" t="s">
        <v>2556</v>
      </c>
      <c r="C756" s="367" t="s">
        <v>6</v>
      </c>
      <c r="D756" s="367" t="s">
        <v>2545</v>
      </c>
      <c r="E756" s="367"/>
      <c r="F756" s="367"/>
      <c r="G756" s="367"/>
      <c r="H756" s="367"/>
      <c r="I756" s="367"/>
      <c r="J756" s="54" t="s">
        <v>2298</v>
      </c>
      <c r="K756" s="48" t="s">
        <v>1488</v>
      </c>
      <c r="L756" s="367" t="s">
        <v>2280</v>
      </c>
      <c r="M756" s="150" t="s">
        <v>65</v>
      </c>
      <c r="N756" s="150" t="s">
        <v>2535</v>
      </c>
      <c r="O756" s="150" t="s">
        <v>2375</v>
      </c>
      <c r="P756" s="367">
        <v>8</v>
      </c>
      <c r="Q756" s="367">
        <v>3.5</v>
      </c>
      <c r="R756" s="367"/>
      <c r="S756" s="367">
        <v>50</v>
      </c>
      <c r="T756" s="367">
        <v>8</v>
      </c>
      <c r="U756" s="367"/>
      <c r="V756" s="367"/>
      <c r="W756" s="367"/>
      <c r="X756" s="337" t="s">
        <v>2541</v>
      </c>
      <c r="Y756" s="367"/>
      <c r="Z756" s="367"/>
      <c r="AA756" s="367"/>
      <c r="AB756" s="150" t="s">
        <v>215</v>
      </c>
      <c r="AC756" s="48" t="s">
        <v>2557</v>
      </c>
      <c r="AD756" s="150" t="s">
        <v>2543</v>
      </c>
      <c r="AE756" s="340">
        <v>46164</v>
      </c>
      <c r="AF756" s="340"/>
      <c r="AG756" s="344">
        <v>46218</v>
      </c>
      <c r="AH756" s="49">
        <v>46233</v>
      </c>
      <c r="AI756" s="266">
        <v>46204</v>
      </c>
      <c r="AJ756" s="150" t="s">
        <v>617</v>
      </c>
      <c r="AK756" s="150" t="s">
        <v>190</v>
      </c>
      <c r="AL756" s="150" t="s">
        <v>191</v>
      </c>
      <c r="AM756" s="150" t="s">
        <v>2086</v>
      </c>
      <c r="AN756" s="346"/>
      <c r="AO756" s="367"/>
      <c r="AP756" s="367"/>
      <c r="AQ756" s="367"/>
      <c r="AR756" s="367"/>
      <c r="AS756" s="367"/>
      <c r="AT756" s="154"/>
      <c r="AU756" s="154"/>
      <c r="AV756" s="154"/>
      <c r="AW756" s="154"/>
      <c r="AX756" s="154"/>
      <c r="AY756" s="154"/>
      <c r="AZ756" s="154"/>
      <c r="BA756" s="154"/>
      <c r="BB756" s="152" t="s">
        <v>2551</v>
      </c>
      <c r="BC756" s="152"/>
      <c r="BD756" s="367" t="s">
        <v>1605</v>
      </c>
      <c r="BE756" s="367"/>
      <c r="BF756" s="367"/>
      <c r="BG756" s="367"/>
      <c r="BH756" s="260"/>
      <c r="BI756" s="54"/>
      <c r="BJ756" s="54"/>
      <c r="BK756" s="54"/>
      <c r="BL756" s="54"/>
    </row>
    <row r="757" spans="1:66" ht="36" customHeight="1" x14ac:dyDescent="0.3">
      <c r="A757" s="367">
        <f t="shared" si="15"/>
        <v>752</v>
      </c>
      <c r="B757" s="54" t="s">
        <v>2558</v>
      </c>
      <c r="C757" s="367" t="s">
        <v>6</v>
      </c>
      <c r="D757" s="367" t="s">
        <v>2559</v>
      </c>
      <c r="E757" s="367"/>
      <c r="F757" s="45">
        <v>46197</v>
      </c>
      <c r="G757" s="367"/>
      <c r="H757" s="367"/>
      <c r="I757" s="367"/>
      <c r="J757" s="54" t="s">
        <v>2298</v>
      </c>
      <c r="K757" s="48" t="s">
        <v>2560</v>
      </c>
      <c r="L757" s="367" t="s">
        <v>2280</v>
      </c>
      <c r="M757" s="150" t="s">
        <v>65</v>
      </c>
      <c r="N757" s="150" t="s">
        <v>2561</v>
      </c>
      <c r="O757" s="150" t="s">
        <v>2375</v>
      </c>
      <c r="P757" s="367">
        <v>8</v>
      </c>
      <c r="Q757" s="367">
        <v>4</v>
      </c>
      <c r="R757" s="367"/>
      <c r="S757" s="367">
        <v>50</v>
      </c>
      <c r="T757" s="367">
        <v>10.1</v>
      </c>
      <c r="U757" s="367"/>
      <c r="V757" s="367" t="s">
        <v>127</v>
      </c>
      <c r="W757" s="367"/>
      <c r="X757" s="367" t="s">
        <v>150</v>
      </c>
      <c r="Y757" s="367"/>
      <c r="Z757" s="367"/>
      <c r="AA757" s="367" t="s">
        <v>127</v>
      </c>
      <c r="AB757" s="150" t="s">
        <v>2562</v>
      </c>
      <c r="AC757" s="48" t="s">
        <v>2563</v>
      </c>
      <c r="AD757" s="150" t="s">
        <v>199</v>
      </c>
      <c r="AE757" s="340">
        <v>46085</v>
      </c>
      <c r="AF757" s="340"/>
      <c r="AG757" s="286">
        <v>46183</v>
      </c>
      <c r="AH757" s="49">
        <v>46197</v>
      </c>
      <c r="AI757" s="266">
        <v>46174</v>
      </c>
      <c r="AJ757" s="150" t="s">
        <v>548</v>
      </c>
      <c r="AK757" s="150" t="s">
        <v>200</v>
      </c>
      <c r="AL757" s="150" t="s">
        <v>175</v>
      </c>
      <c r="AM757" s="150" t="s">
        <v>209</v>
      </c>
      <c r="AN757" s="45">
        <v>46172</v>
      </c>
      <c r="AO757" s="367"/>
      <c r="AP757" s="367"/>
      <c r="AQ757" s="367"/>
      <c r="AR757" s="367"/>
      <c r="AS757" s="367"/>
      <c r="AT757" s="154">
        <v>46167</v>
      </c>
      <c r="AU757" s="154">
        <v>46122</v>
      </c>
      <c r="AV757" s="154">
        <v>46149</v>
      </c>
      <c r="AW757" s="154">
        <v>46118</v>
      </c>
      <c r="AX757" s="154"/>
      <c r="AY757" s="154"/>
      <c r="AZ757" s="154">
        <v>46153</v>
      </c>
      <c r="BA757" s="154"/>
      <c r="BB757" s="152" t="s">
        <v>2468</v>
      </c>
      <c r="BC757" s="152"/>
      <c r="BD757" s="367" t="s">
        <v>1605</v>
      </c>
      <c r="BE757" s="367"/>
      <c r="BF757" s="367"/>
      <c r="BG757" s="367"/>
      <c r="BH757" s="260"/>
      <c r="BI757" s="54"/>
      <c r="BJ757" s="54"/>
      <c r="BK757" s="54"/>
      <c r="BL757" s="54"/>
      <c r="BM757" s="357">
        <v>46135</v>
      </c>
      <c r="BN757" s="358">
        <v>46136</v>
      </c>
    </row>
    <row r="758" spans="1:66" ht="36" customHeight="1" x14ac:dyDescent="0.3">
      <c r="A758" s="367">
        <f t="shared" si="15"/>
        <v>753</v>
      </c>
      <c r="B758" s="54" t="s">
        <v>2564</v>
      </c>
      <c r="C758" s="367" t="s">
        <v>6</v>
      </c>
      <c r="D758" s="367" t="s">
        <v>262</v>
      </c>
      <c r="E758" s="367"/>
      <c r="F758" s="367"/>
      <c r="G758" s="367"/>
      <c r="H758" s="367"/>
      <c r="I758" s="367"/>
      <c r="J758" s="54" t="s">
        <v>2298</v>
      </c>
      <c r="K758" s="48" t="s">
        <v>2560</v>
      </c>
      <c r="L758" s="367" t="s">
        <v>2280</v>
      </c>
      <c r="M758" s="150" t="s">
        <v>65</v>
      </c>
      <c r="N758" s="150" t="s">
        <v>2561</v>
      </c>
      <c r="O758" s="150" t="s">
        <v>2375</v>
      </c>
      <c r="P758" s="367">
        <v>8</v>
      </c>
      <c r="Q758" s="367">
        <v>4</v>
      </c>
      <c r="R758" s="367"/>
      <c r="S758" s="367">
        <v>50</v>
      </c>
      <c r="T758" s="367">
        <v>10.1</v>
      </c>
      <c r="U758" s="367"/>
      <c r="V758" s="367"/>
      <c r="W758" s="367"/>
      <c r="X758" s="367"/>
      <c r="Y758" s="367"/>
      <c r="Z758" s="367"/>
      <c r="AA758" s="367"/>
      <c r="AB758" s="150"/>
      <c r="AC758" s="48" t="s">
        <v>2565</v>
      </c>
      <c r="AD758" s="150" t="s">
        <v>169</v>
      </c>
      <c r="AE758" s="296"/>
      <c r="AF758" s="296"/>
      <c r="AG758" s="286"/>
      <c r="AH758" s="49">
        <v>46157</v>
      </c>
      <c r="AI758" s="266">
        <v>46113</v>
      </c>
      <c r="AJ758" s="150" t="s">
        <v>617</v>
      </c>
      <c r="AK758" s="150" t="s">
        <v>161</v>
      </c>
      <c r="AL758" s="150"/>
      <c r="AM758" s="150" t="s">
        <v>209</v>
      </c>
      <c r="AN758" s="367"/>
      <c r="AO758" s="367"/>
      <c r="AP758" s="367"/>
      <c r="AQ758" s="367"/>
      <c r="AR758" s="367"/>
      <c r="AS758" s="367"/>
      <c r="AT758" s="154"/>
      <c r="AU758" s="154"/>
      <c r="AV758" s="154"/>
      <c r="AW758" s="154"/>
      <c r="AX758" s="154"/>
      <c r="AY758" s="154"/>
      <c r="AZ758" s="154"/>
      <c r="BA758" s="154"/>
      <c r="BB758" s="152"/>
      <c r="BC758" s="152"/>
      <c r="BD758" s="367" t="s">
        <v>1605</v>
      </c>
      <c r="BE758" s="367"/>
      <c r="BF758" s="367"/>
      <c r="BG758" s="367"/>
      <c r="BH758" s="260"/>
      <c r="BI758" s="54"/>
      <c r="BJ758" s="54"/>
      <c r="BK758" s="54"/>
      <c r="BL758" s="54"/>
      <c r="BN758" s="358"/>
    </row>
    <row r="759" spans="1:66" ht="36" customHeight="1" x14ac:dyDescent="0.3">
      <c r="A759" s="367">
        <f t="shared" si="15"/>
        <v>754</v>
      </c>
      <c r="B759" s="54"/>
      <c r="C759" s="367" t="s">
        <v>6</v>
      </c>
      <c r="D759" s="367" t="s">
        <v>262</v>
      </c>
      <c r="E759" s="367"/>
      <c r="F759" s="367"/>
      <c r="G759" s="367"/>
      <c r="H759" s="367"/>
      <c r="I759" s="367"/>
      <c r="J759" s="54" t="s">
        <v>2298</v>
      </c>
      <c r="K759" s="48" t="s">
        <v>2560</v>
      </c>
      <c r="L759" s="367" t="s">
        <v>2280</v>
      </c>
      <c r="M759" s="150" t="s">
        <v>65</v>
      </c>
      <c r="N759" s="150" t="s">
        <v>2561</v>
      </c>
      <c r="O759" s="150" t="s">
        <v>2375</v>
      </c>
      <c r="P759" s="367">
        <v>8</v>
      </c>
      <c r="Q759" s="367">
        <v>4</v>
      </c>
      <c r="R759" s="367"/>
      <c r="S759" s="367">
        <v>50</v>
      </c>
      <c r="T759" s="367">
        <v>10.1</v>
      </c>
      <c r="U759" s="367"/>
      <c r="V759" s="367"/>
      <c r="W759" s="367"/>
      <c r="X759" s="367"/>
      <c r="Y759" s="367"/>
      <c r="Z759" s="367"/>
      <c r="AA759" s="367"/>
      <c r="AB759" s="150"/>
      <c r="AC759" s="48" t="s">
        <v>2566</v>
      </c>
      <c r="AD759" s="150" t="s">
        <v>1592</v>
      </c>
      <c r="AE759" s="296"/>
      <c r="AF759" s="296"/>
      <c r="AG759" s="286"/>
      <c r="AH759" s="49">
        <v>46157</v>
      </c>
      <c r="AI759" s="266">
        <v>46113</v>
      </c>
      <c r="AJ759" s="150" t="s">
        <v>617</v>
      </c>
      <c r="AK759" s="150"/>
      <c r="AL759" s="150"/>
      <c r="AM759" s="150" t="s">
        <v>209</v>
      </c>
      <c r="AN759" s="367"/>
      <c r="AO759" s="367"/>
      <c r="AP759" s="367"/>
      <c r="AQ759" s="367"/>
      <c r="AR759" s="367"/>
      <c r="AS759" s="367"/>
      <c r="AT759" s="154"/>
      <c r="AU759" s="154"/>
      <c r="AV759" s="154"/>
      <c r="AW759" s="154"/>
      <c r="AX759" s="154"/>
      <c r="AY759" s="154"/>
      <c r="AZ759" s="154"/>
      <c r="BA759" s="154"/>
      <c r="BB759" s="152"/>
      <c r="BC759" s="152"/>
      <c r="BD759" s="367"/>
      <c r="BE759" s="367"/>
      <c r="BF759" s="367"/>
      <c r="BG759" s="367"/>
      <c r="BH759" s="260"/>
      <c r="BI759" s="54"/>
      <c r="BJ759" s="54"/>
      <c r="BK759" s="54"/>
      <c r="BL759" s="54"/>
    </row>
    <row r="760" spans="1:66" ht="36" customHeight="1" x14ac:dyDescent="0.3">
      <c r="A760" s="367">
        <f t="shared" si="15"/>
        <v>755</v>
      </c>
      <c r="B760" s="54" t="s">
        <v>2567</v>
      </c>
      <c r="C760" s="367" t="s">
        <v>6</v>
      </c>
      <c r="D760" s="367" t="s">
        <v>262</v>
      </c>
      <c r="E760" s="367"/>
      <c r="F760" s="367"/>
      <c r="G760" s="367"/>
      <c r="H760" s="367"/>
      <c r="I760" s="367"/>
      <c r="J760" s="54" t="s">
        <v>2298</v>
      </c>
      <c r="K760" s="48" t="s">
        <v>2560</v>
      </c>
      <c r="L760" s="367" t="s">
        <v>2280</v>
      </c>
      <c r="M760" s="150" t="s">
        <v>65</v>
      </c>
      <c r="N760" s="150" t="s">
        <v>2561</v>
      </c>
      <c r="O760" s="150" t="s">
        <v>2375</v>
      </c>
      <c r="P760" s="367">
        <v>8</v>
      </c>
      <c r="Q760" s="367">
        <v>4</v>
      </c>
      <c r="R760" s="367"/>
      <c r="S760" s="367">
        <v>50</v>
      </c>
      <c r="T760" s="367">
        <v>10.1</v>
      </c>
      <c r="U760" s="367"/>
      <c r="V760" s="367"/>
      <c r="W760" s="367"/>
      <c r="X760" s="367"/>
      <c r="Y760" s="367"/>
      <c r="Z760" s="367"/>
      <c r="AA760" s="367"/>
      <c r="AB760" s="150"/>
      <c r="AC760" s="48" t="s">
        <v>2568</v>
      </c>
      <c r="AD760" s="150" t="s">
        <v>169</v>
      </c>
      <c r="AE760" s="296"/>
      <c r="AF760" s="296"/>
      <c r="AG760" s="286"/>
      <c r="AH760" s="49">
        <v>46157</v>
      </c>
      <c r="AI760" s="266">
        <v>46113</v>
      </c>
      <c r="AJ760" s="150" t="s">
        <v>617</v>
      </c>
      <c r="AK760" s="150" t="s">
        <v>161</v>
      </c>
      <c r="AL760" s="150"/>
      <c r="AM760" s="150" t="s">
        <v>209</v>
      </c>
      <c r="AN760" s="367"/>
      <c r="AO760" s="367"/>
      <c r="AP760" s="367"/>
      <c r="AQ760" s="367"/>
      <c r="AR760" s="367"/>
      <c r="AS760" s="367"/>
      <c r="AT760" s="154"/>
      <c r="AU760" s="154"/>
      <c r="AV760" s="154"/>
      <c r="AW760" s="154"/>
      <c r="AX760" s="154"/>
      <c r="AY760" s="154"/>
      <c r="AZ760" s="154"/>
      <c r="BA760" s="154"/>
      <c r="BB760" s="152"/>
      <c r="BC760" s="152"/>
      <c r="BD760" s="367" t="s">
        <v>1605</v>
      </c>
      <c r="BE760" s="367"/>
      <c r="BF760" s="367"/>
      <c r="BG760" s="367"/>
      <c r="BH760" s="260"/>
      <c r="BI760" s="54"/>
      <c r="BJ760" s="54"/>
      <c r="BK760" s="54"/>
      <c r="BL760" s="54"/>
    </row>
    <row r="761" spans="1:66" ht="36" customHeight="1" x14ac:dyDescent="0.3">
      <c r="A761" s="367">
        <f t="shared" si="15"/>
        <v>756</v>
      </c>
      <c r="B761" s="54" t="s">
        <v>2569</v>
      </c>
      <c r="C761" s="367" t="s">
        <v>6</v>
      </c>
      <c r="D761" s="367" t="s">
        <v>2570</v>
      </c>
      <c r="E761" s="367"/>
      <c r="F761" s="45">
        <v>46197</v>
      </c>
      <c r="G761" s="367"/>
      <c r="H761" s="367"/>
      <c r="I761" s="367"/>
      <c r="J761" s="54" t="s">
        <v>2298</v>
      </c>
      <c r="K761" s="48" t="s">
        <v>2560</v>
      </c>
      <c r="L761" s="367" t="s">
        <v>2280</v>
      </c>
      <c r="M761" s="150" t="s">
        <v>65</v>
      </c>
      <c r="N761" s="150" t="s">
        <v>2561</v>
      </c>
      <c r="O761" s="150" t="s">
        <v>2375</v>
      </c>
      <c r="P761" s="367">
        <v>8</v>
      </c>
      <c r="Q761" s="367">
        <v>4</v>
      </c>
      <c r="R761" s="367"/>
      <c r="S761" s="367">
        <v>50</v>
      </c>
      <c r="T761" s="367">
        <v>10.1</v>
      </c>
      <c r="U761" s="367"/>
      <c r="V761" s="367" t="s">
        <v>127</v>
      </c>
      <c r="W761" s="367"/>
      <c r="X761" s="367" t="s">
        <v>150</v>
      </c>
      <c r="Y761" s="367"/>
      <c r="Z761" s="367"/>
      <c r="AA761" s="367"/>
      <c r="AB761" s="150" t="s">
        <v>215</v>
      </c>
      <c r="AC761" s="48" t="s">
        <v>2571</v>
      </c>
      <c r="AD761" s="150" t="s">
        <v>207</v>
      </c>
      <c r="AE761" s="340">
        <v>46085</v>
      </c>
      <c r="AF761" s="340"/>
      <c r="AG761" s="286">
        <v>46183</v>
      </c>
      <c r="AH761" s="49">
        <v>46197</v>
      </c>
      <c r="AI761" s="266">
        <v>46174</v>
      </c>
      <c r="AJ761" s="150" t="s">
        <v>548</v>
      </c>
      <c r="AK761" s="150" t="s">
        <v>200</v>
      </c>
      <c r="AL761" s="150" t="s">
        <v>175</v>
      </c>
      <c r="AM761" s="150" t="s">
        <v>2086</v>
      </c>
      <c r="AN761" s="45">
        <v>46172</v>
      </c>
      <c r="AO761" s="367"/>
      <c r="AP761" s="367"/>
      <c r="AQ761" s="367"/>
      <c r="AR761" s="367"/>
      <c r="AS761" s="367"/>
      <c r="AT761" s="154">
        <v>46167</v>
      </c>
      <c r="AU761" s="154">
        <v>46122</v>
      </c>
      <c r="AV761" s="154">
        <v>46149</v>
      </c>
      <c r="AW761" s="154">
        <v>46118</v>
      </c>
      <c r="AX761" s="154"/>
      <c r="AY761" s="154"/>
      <c r="AZ761" s="154">
        <v>46153</v>
      </c>
      <c r="BA761" s="154"/>
      <c r="BB761" s="152" t="s">
        <v>2468</v>
      </c>
      <c r="BC761" s="152"/>
      <c r="BD761" s="367" t="s">
        <v>1605</v>
      </c>
      <c r="BE761" s="367"/>
      <c r="BF761" s="367"/>
      <c r="BG761" s="367"/>
      <c r="BH761" s="260"/>
      <c r="BI761" s="54"/>
      <c r="BJ761" s="54"/>
      <c r="BK761" s="54"/>
      <c r="BL761" s="54"/>
      <c r="BM761" s="357">
        <v>46135</v>
      </c>
      <c r="BN761" s="358">
        <v>46136</v>
      </c>
    </row>
    <row r="762" spans="1:66" ht="36" customHeight="1" x14ac:dyDescent="0.3">
      <c r="A762" s="367">
        <f t="shared" si="15"/>
        <v>757</v>
      </c>
      <c r="B762" s="54" t="s">
        <v>2572</v>
      </c>
      <c r="C762" s="367" t="s">
        <v>6</v>
      </c>
      <c r="D762" s="367" t="s">
        <v>262</v>
      </c>
      <c r="E762" s="367"/>
      <c r="F762" s="367"/>
      <c r="G762" s="367"/>
      <c r="H762" s="367"/>
      <c r="I762" s="367"/>
      <c r="J762" s="54" t="s">
        <v>2298</v>
      </c>
      <c r="K762" s="48" t="s">
        <v>2573</v>
      </c>
      <c r="L762" s="367" t="s">
        <v>2280</v>
      </c>
      <c r="M762" s="150" t="s">
        <v>65</v>
      </c>
      <c r="N762" s="150" t="s">
        <v>2574</v>
      </c>
      <c r="O762" s="150" t="s">
        <v>2575</v>
      </c>
      <c r="P762" s="367">
        <v>8</v>
      </c>
      <c r="Q762" s="367">
        <v>3.5</v>
      </c>
      <c r="R762" s="367"/>
      <c r="S762" s="367">
        <v>100</v>
      </c>
      <c r="T762" s="367">
        <v>11</v>
      </c>
      <c r="U762" s="367"/>
      <c r="V762" s="367"/>
      <c r="W762" s="367"/>
      <c r="X762" s="367"/>
      <c r="Y762" s="367"/>
      <c r="Z762" s="367"/>
      <c r="AA762" s="367"/>
      <c r="AB762" s="150"/>
      <c r="AC762" s="48" t="s">
        <v>2576</v>
      </c>
      <c r="AD762" s="150" t="s">
        <v>361</v>
      </c>
      <c r="AE762" s="340">
        <v>46085</v>
      </c>
      <c r="AF762" s="340"/>
      <c r="AG762" s="344">
        <v>46174</v>
      </c>
      <c r="AH762" s="49">
        <v>46142</v>
      </c>
      <c r="AI762" s="266">
        <v>46122</v>
      </c>
      <c r="AJ762" s="150" t="s">
        <v>617</v>
      </c>
      <c r="AK762" s="150" t="s">
        <v>161</v>
      </c>
      <c r="AL762" s="150" t="s">
        <v>295</v>
      </c>
      <c r="AM762" s="150" t="s">
        <v>134</v>
      </c>
      <c r="AN762" s="45">
        <v>46150</v>
      </c>
      <c r="AO762" s="367"/>
      <c r="AP762" s="367"/>
      <c r="AQ762" s="367"/>
      <c r="AR762" s="367"/>
      <c r="AS762" s="367"/>
      <c r="AT762" s="154"/>
      <c r="AU762" s="154"/>
      <c r="AV762" s="154"/>
      <c r="AW762" s="154"/>
      <c r="AX762" s="154"/>
      <c r="AY762" s="154"/>
      <c r="AZ762" s="154"/>
      <c r="BA762" s="154"/>
      <c r="BB762" s="152"/>
      <c r="BC762" s="152"/>
      <c r="BD762" s="367" t="s">
        <v>1605</v>
      </c>
      <c r="BE762" s="367"/>
      <c r="BF762" s="367"/>
      <c r="BG762" s="367"/>
      <c r="BH762" s="260"/>
      <c r="BI762" s="54"/>
      <c r="BJ762" s="54"/>
      <c r="BK762" s="54"/>
      <c r="BL762" s="54"/>
    </row>
    <row r="763" spans="1:66" ht="36" customHeight="1" x14ac:dyDescent="0.3">
      <c r="A763" s="367">
        <f t="shared" si="15"/>
        <v>758</v>
      </c>
      <c r="B763" s="54" t="s">
        <v>2577</v>
      </c>
      <c r="C763" s="367" t="s">
        <v>6</v>
      </c>
      <c r="D763" s="367" t="s">
        <v>262</v>
      </c>
      <c r="E763" s="367"/>
      <c r="F763" s="367"/>
      <c r="G763" s="367"/>
      <c r="H763" s="367"/>
      <c r="I763" s="367"/>
      <c r="J763" s="54" t="s">
        <v>2298</v>
      </c>
      <c r="K763" s="48" t="s">
        <v>2573</v>
      </c>
      <c r="L763" s="367" t="s">
        <v>2280</v>
      </c>
      <c r="M763" s="150" t="s">
        <v>65</v>
      </c>
      <c r="N763" s="150" t="s">
        <v>2574</v>
      </c>
      <c r="O763" s="150" t="s">
        <v>2575</v>
      </c>
      <c r="P763" s="367">
        <v>8</v>
      </c>
      <c r="Q763" s="367">
        <v>3.5</v>
      </c>
      <c r="R763" s="367"/>
      <c r="S763" s="367">
        <v>100</v>
      </c>
      <c r="T763" s="367">
        <v>11</v>
      </c>
      <c r="U763" s="367"/>
      <c r="V763" s="367"/>
      <c r="W763" s="367"/>
      <c r="X763" s="367"/>
      <c r="Y763" s="367"/>
      <c r="Z763" s="367"/>
      <c r="AA763" s="367"/>
      <c r="AB763" s="150"/>
      <c r="AC763" s="48" t="s">
        <v>2578</v>
      </c>
      <c r="AD763" s="150" t="s">
        <v>361</v>
      </c>
      <c r="AE763" s="340">
        <v>46085</v>
      </c>
      <c r="AF763" s="340"/>
      <c r="AG763" s="344">
        <v>46174</v>
      </c>
      <c r="AH763" s="49">
        <v>46142</v>
      </c>
      <c r="AI763" s="266">
        <v>46122</v>
      </c>
      <c r="AJ763" s="150" t="s">
        <v>617</v>
      </c>
      <c r="AK763" s="150" t="s">
        <v>161</v>
      </c>
      <c r="AL763" s="150" t="s">
        <v>295</v>
      </c>
      <c r="AM763" s="150" t="s">
        <v>134</v>
      </c>
      <c r="AN763" s="45">
        <v>46150</v>
      </c>
      <c r="AO763" s="367"/>
      <c r="AP763" s="367"/>
      <c r="AQ763" s="367"/>
      <c r="AR763" s="367"/>
      <c r="AS763" s="367"/>
      <c r="AT763" s="154"/>
      <c r="AU763" s="154"/>
      <c r="AV763" s="154"/>
      <c r="AW763" s="154"/>
      <c r="AX763" s="154"/>
      <c r="AY763" s="154"/>
      <c r="AZ763" s="154"/>
      <c r="BA763" s="154"/>
      <c r="BB763" s="152"/>
      <c r="BC763" s="152"/>
      <c r="BD763" s="367" t="s">
        <v>1605</v>
      </c>
      <c r="BE763" s="367"/>
      <c r="BF763" s="367"/>
      <c r="BG763" s="367"/>
      <c r="BH763" s="260"/>
      <c r="BI763" s="54"/>
      <c r="BJ763" s="54"/>
      <c r="BK763" s="54"/>
      <c r="BL763" s="54"/>
    </row>
    <row r="764" spans="1:66" ht="36" customHeight="1" x14ac:dyDescent="0.3">
      <c r="A764" s="367">
        <f t="shared" si="15"/>
        <v>759</v>
      </c>
      <c r="B764" s="54" t="s">
        <v>2579</v>
      </c>
      <c r="C764" s="367" t="s">
        <v>6</v>
      </c>
      <c r="D764" s="367" t="s">
        <v>262</v>
      </c>
      <c r="E764" s="367"/>
      <c r="F764" s="367"/>
      <c r="G764" s="367"/>
      <c r="H764" s="367"/>
      <c r="I764" s="367"/>
      <c r="J764" s="54" t="s">
        <v>2298</v>
      </c>
      <c r="K764" s="48" t="s">
        <v>2580</v>
      </c>
      <c r="L764" s="367" t="s">
        <v>2280</v>
      </c>
      <c r="M764" s="150" t="s">
        <v>65</v>
      </c>
      <c r="N764" s="150" t="s">
        <v>2574</v>
      </c>
      <c r="O764" s="150" t="s">
        <v>2575</v>
      </c>
      <c r="P764" s="367">
        <v>8</v>
      </c>
      <c r="Q764" s="367">
        <v>3.5</v>
      </c>
      <c r="R764" s="367"/>
      <c r="S764" s="367">
        <v>150</v>
      </c>
      <c r="T764" s="367">
        <v>9.5500000000000007</v>
      </c>
      <c r="U764" s="367"/>
      <c r="V764" s="367" t="s">
        <v>127</v>
      </c>
      <c r="W764" s="367"/>
      <c r="X764" s="367" t="s">
        <v>150</v>
      </c>
      <c r="Y764" s="367"/>
      <c r="Z764" s="297" t="s">
        <v>127</v>
      </c>
      <c r="AA764" s="367" t="s">
        <v>127</v>
      </c>
      <c r="AB764" s="150" t="s">
        <v>2562</v>
      </c>
      <c r="AC764" s="48" t="s">
        <v>2581</v>
      </c>
      <c r="AD764" s="150" t="s">
        <v>199</v>
      </c>
      <c r="AE764" s="340">
        <v>46085</v>
      </c>
      <c r="AF764" s="340"/>
      <c r="AG764" s="286">
        <v>46111</v>
      </c>
      <c r="AH764" s="49">
        <v>46157</v>
      </c>
      <c r="AI764" s="266">
        <v>46113</v>
      </c>
      <c r="AJ764" s="150" t="s">
        <v>617</v>
      </c>
      <c r="AK764" s="150" t="s">
        <v>200</v>
      </c>
      <c r="AL764" s="150" t="s">
        <v>175</v>
      </c>
      <c r="AM764" s="150" t="s">
        <v>209</v>
      </c>
      <c r="AN764" s="45">
        <v>46172</v>
      </c>
      <c r="AO764" s="367"/>
      <c r="AP764" s="367"/>
      <c r="AQ764" s="367"/>
      <c r="AR764" s="367"/>
      <c r="AS764" s="367"/>
      <c r="AT764" s="154"/>
      <c r="AU764" s="154"/>
      <c r="AV764" s="154"/>
      <c r="AW764" s="154"/>
      <c r="AX764" s="154"/>
      <c r="AY764" s="154"/>
      <c r="AZ764" s="154"/>
      <c r="BA764" s="154"/>
      <c r="BB764" s="152"/>
      <c r="BC764" s="152"/>
      <c r="BD764" s="367" t="s">
        <v>1605</v>
      </c>
      <c r="BE764" s="367"/>
      <c r="BF764" s="367"/>
      <c r="BG764" s="367"/>
      <c r="BH764" s="260"/>
      <c r="BI764" s="54"/>
      <c r="BJ764" s="54"/>
      <c r="BK764" s="54"/>
      <c r="BL764" s="54"/>
    </row>
    <row r="765" spans="1:66" ht="36" customHeight="1" x14ac:dyDescent="0.3">
      <c r="A765" s="367">
        <f t="shared" si="15"/>
        <v>760</v>
      </c>
      <c r="B765" s="54" t="s">
        <v>2582</v>
      </c>
      <c r="C765" s="367" t="s">
        <v>6</v>
      </c>
      <c r="D765" s="367" t="s">
        <v>2583</v>
      </c>
      <c r="E765" s="45">
        <v>46171</v>
      </c>
      <c r="F765" s="45">
        <v>46171</v>
      </c>
      <c r="G765" s="367"/>
      <c r="H765" s="175" t="s">
        <v>2584</v>
      </c>
      <c r="I765" s="367"/>
      <c r="J765" s="54" t="s">
        <v>2298</v>
      </c>
      <c r="K765" s="48" t="s">
        <v>2580</v>
      </c>
      <c r="L765" s="367" t="s">
        <v>2280</v>
      </c>
      <c r="M765" s="150" t="s">
        <v>65</v>
      </c>
      <c r="N765" s="150" t="s">
        <v>2574</v>
      </c>
      <c r="O765" s="150" t="s">
        <v>2575</v>
      </c>
      <c r="P765" s="367">
        <v>8</v>
      </c>
      <c r="Q765" s="367">
        <v>3.5</v>
      </c>
      <c r="R765" s="367"/>
      <c r="S765" s="367">
        <v>150</v>
      </c>
      <c r="T765" s="338">
        <v>9.5500000000000007</v>
      </c>
      <c r="U765" s="338"/>
      <c r="V765" s="338"/>
      <c r="W765" s="338"/>
      <c r="X765" s="367"/>
      <c r="Y765" s="367"/>
      <c r="Z765" s="367"/>
      <c r="AA765" s="367"/>
      <c r="AB765" s="150" t="s">
        <v>2562</v>
      </c>
      <c r="AC765" s="48" t="s">
        <v>2585</v>
      </c>
      <c r="AD765" s="150" t="s">
        <v>165</v>
      </c>
      <c r="AE765" s="340">
        <v>46085</v>
      </c>
      <c r="AF765" s="340">
        <v>46168</v>
      </c>
      <c r="AG765" s="286"/>
      <c r="AH765" s="49"/>
      <c r="AI765" s="266"/>
      <c r="AJ765" s="150" t="s">
        <v>648</v>
      </c>
      <c r="AK765" s="150" t="s">
        <v>200</v>
      </c>
      <c r="AL765" s="150" t="s">
        <v>175</v>
      </c>
      <c r="AM765" s="150" t="s">
        <v>134</v>
      </c>
      <c r="AN765" s="45">
        <v>46111</v>
      </c>
      <c r="AO765" s="367"/>
      <c r="AP765" s="367"/>
      <c r="AQ765" s="367"/>
      <c r="AR765" s="367"/>
      <c r="AS765" s="367"/>
      <c r="AT765" s="154"/>
      <c r="AU765" s="154"/>
      <c r="AV765" s="154"/>
      <c r="AW765" s="154"/>
      <c r="AX765" s="154"/>
      <c r="AY765" s="154"/>
      <c r="AZ765" s="154"/>
      <c r="BA765" s="154"/>
      <c r="BB765" s="152"/>
      <c r="BC765" s="152"/>
      <c r="BD765" s="367" t="s">
        <v>1605</v>
      </c>
      <c r="BE765" s="367"/>
      <c r="BF765" s="367"/>
      <c r="BG765" s="367"/>
      <c r="BH765" s="260"/>
      <c r="BI765" s="54"/>
      <c r="BJ765" s="54"/>
      <c r="BK765" s="54"/>
      <c r="BL765" s="54"/>
    </row>
    <row r="766" spans="1:66" ht="36" customHeight="1" x14ac:dyDescent="0.3">
      <c r="A766" s="367">
        <f t="shared" si="15"/>
        <v>761</v>
      </c>
      <c r="B766" s="54" t="s">
        <v>2586</v>
      </c>
      <c r="C766" s="367" t="s">
        <v>6</v>
      </c>
      <c r="D766" s="367" t="s">
        <v>2583</v>
      </c>
      <c r="E766" s="45">
        <v>46171</v>
      </c>
      <c r="F766" s="45">
        <v>46171</v>
      </c>
      <c r="G766" s="367"/>
      <c r="H766" s="175" t="s">
        <v>2587</v>
      </c>
      <c r="I766" s="367"/>
      <c r="J766" s="54" t="s">
        <v>2298</v>
      </c>
      <c r="K766" s="48" t="s">
        <v>2580</v>
      </c>
      <c r="L766" s="367" t="s">
        <v>2280</v>
      </c>
      <c r="M766" s="150" t="s">
        <v>65</v>
      </c>
      <c r="N766" s="150" t="s">
        <v>2574</v>
      </c>
      <c r="O766" s="150" t="s">
        <v>2575</v>
      </c>
      <c r="P766" s="367">
        <v>8</v>
      </c>
      <c r="Q766" s="367">
        <v>3.5</v>
      </c>
      <c r="R766" s="367"/>
      <c r="S766" s="367">
        <v>150</v>
      </c>
      <c r="T766" s="338">
        <v>9.5500000000000007</v>
      </c>
      <c r="U766" s="338"/>
      <c r="V766" s="338"/>
      <c r="W766" s="338"/>
      <c r="X766" s="367"/>
      <c r="Y766" s="367"/>
      <c r="Z766" s="367"/>
      <c r="AA766" s="367"/>
      <c r="AB766" s="150" t="s">
        <v>2562</v>
      </c>
      <c r="AC766" s="48" t="s">
        <v>2588</v>
      </c>
      <c r="AD766" s="150" t="s">
        <v>165</v>
      </c>
      <c r="AE766" s="340">
        <v>46085</v>
      </c>
      <c r="AF766" s="340">
        <v>46168</v>
      </c>
      <c r="AG766" s="286"/>
      <c r="AH766" s="49"/>
      <c r="AI766" s="266"/>
      <c r="AJ766" s="150" t="s">
        <v>648</v>
      </c>
      <c r="AK766" s="150" t="s">
        <v>200</v>
      </c>
      <c r="AL766" s="150" t="s">
        <v>175</v>
      </c>
      <c r="AM766" s="150" t="s">
        <v>134</v>
      </c>
      <c r="AN766" s="45">
        <v>46111</v>
      </c>
      <c r="AO766" s="367"/>
      <c r="AP766" s="367"/>
      <c r="AQ766" s="367"/>
      <c r="AR766" s="367"/>
      <c r="AS766" s="367"/>
      <c r="AT766" s="154"/>
      <c r="AU766" s="154"/>
      <c r="AV766" s="154"/>
      <c r="AW766" s="154"/>
      <c r="AX766" s="154"/>
      <c r="AY766" s="154"/>
      <c r="AZ766" s="154"/>
      <c r="BA766" s="154"/>
      <c r="BB766" s="152"/>
      <c r="BC766" s="152"/>
      <c r="BD766" s="367" t="s">
        <v>1605</v>
      </c>
      <c r="BE766" s="367"/>
      <c r="BF766" s="367"/>
      <c r="BG766" s="367"/>
      <c r="BH766" s="260"/>
      <c r="BI766" s="54"/>
      <c r="BJ766" s="54"/>
      <c r="BK766" s="54"/>
      <c r="BL766" s="54"/>
    </row>
    <row r="767" spans="1:66" ht="36" customHeight="1" x14ac:dyDescent="0.3">
      <c r="A767" s="367">
        <f t="shared" si="15"/>
        <v>762</v>
      </c>
      <c r="B767" s="54" t="s">
        <v>2589</v>
      </c>
      <c r="C767" s="367" t="s">
        <v>6</v>
      </c>
      <c r="D767" s="367" t="s">
        <v>2590</v>
      </c>
      <c r="E767" s="367"/>
      <c r="F767" s="367"/>
      <c r="G767" s="367"/>
      <c r="H767" s="367"/>
      <c r="I767" s="367"/>
      <c r="J767" s="54" t="s">
        <v>1524</v>
      </c>
      <c r="K767" s="48" t="s">
        <v>1816</v>
      </c>
      <c r="L767" s="150" t="s">
        <v>2591</v>
      </c>
      <c r="M767" s="150" t="s">
        <v>65</v>
      </c>
      <c r="N767" s="150" t="s">
        <v>2592</v>
      </c>
      <c r="O767" s="150" t="s">
        <v>2593</v>
      </c>
      <c r="P767" s="367">
        <v>6</v>
      </c>
      <c r="Q767" s="367">
        <v>3.1</v>
      </c>
      <c r="R767" s="367"/>
      <c r="S767" s="367">
        <v>100</v>
      </c>
      <c r="T767" s="367">
        <v>14</v>
      </c>
      <c r="U767" s="367"/>
      <c r="V767" s="367"/>
      <c r="W767" s="367"/>
      <c r="X767" s="367" t="s">
        <v>1251</v>
      </c>
      <c r="Y767" s="367"/>
      <c r="Z767" s="367"/>
      <c r="AA767" s="367" t="s">
        <v>127</v>
      </c>
      <c r="AB767" s="150" t="s">
        <v>2562</v>
      </c>
      <c r="AC767" s="48" t="s">
        <v>2594</v>
      </c>
      <c r="AD767" s="150" t="s">
        <v>1154</v>
      </c>
      <c r="AE767" s="340">
        <v>46085</v>
      </c>
      <c r="AF767" s="340"/>
      <c r="AG767" s="344">
        <v>46170</v>
      </c>
      <c r="AH767" s="49">
        <v>46223</v>
      </c>
      <c r="AI767" s="266">
        <v>46204</v>
      </c>
      <c r="AJ767" s="150" t="s">
        <v>548</v>
      </c>
      <c r="AK767" s="150" t="s">
        <v>200</v>
      </c>
      <c r="AL767" s="150" t="s">
        <v>175</v>
      </c>
      <c r="AM767" s="150" t="s">
        <v>134</v>
      </c>
      <c r="AN767" s="45">
        <v>46191</v>
      </c>
      <c r="AO767" s="367"/>
      <c r="AP767" s="367"/>
      <c r="AQ767" s="367"/>
      <c r="AR767" s="367"/>
      <c r="AS767" s="367"/>
      <c r="AT767" s="154">
        <v>46188</v>
      </c>
      <c r="AU767" s="154">
        <v>46153</v>
      </c>
      <c r="AV767" s="154">
        <v>46168</v>
      </c>
      <c r="AW767" s="154">
        <v>46135</v>
      </c>
      <c r="AX767" s="154"/>
      <c r="AY767" s="154"/>
      <c r="AZ767" s="154"/>
      <c r="BA767" s="154"/>
      <c r="BB767" s="152" t="s">
        <v>2468</v>
      </c>
      <c r="BC767" s="152"/>
      <c r="BD767" s="367" t="s">
        <v>1605</v>
      </c>
      <c r="BE767" s="367"/>
      <c r="BF767" s="367"/>
      <c r="BG767" s="367"/>
      <c r="BH767" s="260"/>
      <c r="BI767" s="54"/>
      <c r="BJ767" s="54"/>
      <c r="BK767" s="54"/>
      <c r="BL767" s="54" t="s">
        <v>2595</v>
      </c>
      <c r="BM767" s="357">
        <v>46135</v>
      </c>
      <c r="BN767" s="358">
        <v>46136</v>
      </c>
    </row>
    <row r="768" spans="1:66" ht="36" customHeight="1" x14ac:dyDescent="0.3">
      <c r="A768" s="367">
        <f t="shared" si="15"/>
        <v>763</v>
      </c>
      <c r="B768" s="54" t="s">
        <v>2596</v>
      </c>
      <c r="C768" s="367" t="s">
        <v>6</v>
      </c>
      <c r="D768" s="350" t="s">
        <v>2597</v>
      </c>
      <c r="E768" s="45">
        <v>46171</v>
      </c>
      <c r="F768" s="45">
        <v>46171</v>
      </c>
      <c r="G768" s="367"/>
      <c r="H768" s="367"/>
      <c r="I768" s="367"/>
      <c r="J768" s="54" t="s">
        <v>1524</v>
      </c>
      <c r="K768" s="48" t="s">
        <v>1816</v>
      </c>
      <c r="L768" s="150" t="s">
        <v>2598</v>
      </c>
      <c r="M768" s="150" t="s">
        <v>65</v>
      </c>
      <c r="N768" s="150" t="s">
        <v>2592</v>
      </c>
      <c r="O768" s="150" t="s">
        <v>2593</v>
      </c>
      <c r="P768" s="367">
        <v>6</v>
      </c>
      <c r="Q768" s="367">
        <v>3.1</v>
      </c>
      <c r="R768" s="367"/>
      <c r="S768" s="367">
        <v>100</v>
      </c>
      <c r="T768" s="367">
        <v>14</v>
      </c>
      <c r="U768" s="367"/>
      <c r="V768" s="367"/>
      <c r="W768" s="367"/>
      <c r="X768" s="367"/>
      <c r="Y768" s="367"/>
      <c r="Z768" s="367" t="s">
        <v>127</v>
      </c>
      <c r="AA768" s="367"/>
      <c r="AB768" s="150" t="s">
        <v>215</v>
      </c>
      <c r="AC768" s="48" t="s">
        <v>2599</v>
      </c>
      <c r="AD768" s="150" t="s">
        <v>1079</v>
      </c>
      <c r="AE768" s="340">
        <v>46085</v>
      </c>
      <c r="AF768" s="340"/>
      <c r="AG768" s="344">
        <v>46170</v>
      </c>
      <c r="AH768" s="49">
        <v>46170</v>
      </c>
      <c r="AI768" s="266">
        <v>46143</v>
      </c>
      <c r="AJ768" s="150" t="s">
        <v>330</v>
      </c>
      <c r="AK768" s="150" t="s">
        <v>161</v>
      </c>
      <c r="AL768" s="150" t="s">
        <v>239</v>
      </c>
      <c r="AM768" s="150" t="s">
        <v>2079</v>
      </c>
      <c r="AN768" s="45">
        <v>46107</v>
      </c>
      <c r="AO768" s="367"/>
      <c r="AP768" s="367"/>
      <c r="AQ768" s="367"/>
      <c r="AR768" s="367"/>
      <c r="AS768" s="367"/>
      <c r="AT768" s="154">
        <v>46157</v>
      </c>
      <c r="AU768" s="359" t="s">
        <v>2600</v>
      </c>
      <c r="AV768" s="154">
        <v>46147</v>
      </c>
      <c r="AW768" s="154">
        <v>46118</v>
      </c>
      <c r="AX768" s="154"/>
      <c r="AY768" s="154"/>
      <c r="AZ768" s="154">
        <v>46153</v>
      </c>
      <c r="BA768" s="154"/>
      <c r="BB768" s="152"/>
      <c r="BC768" s="152"/>
      <c r="BD768" s="367" t="s">
        <v>1605</v>
      </c>
      <c r="BE768" s="367"/>
      <c r="BF768" s="367"/>
      <c r="BG768" s="367"/>
      <c r="BH768" s="260"/>
      <c r="BI768" s="54"/>
      <c r="BJ768" s="54"/>
      <c r="BK768" s="54"/>
      <c r="BL768" s="54"/>
      <c r="BM768" s="357">
        <v>46135</v>
      </c>
      <c r="BN768" s="358">
        <v>46136</v>
      </c>
    </row>
    <row r="769" spans="1:66" ht="36" customHeight="1" x14ac:dyDescent="0.3">
      <c r="A769" s="367">
        <f t="shared" si="15"/>
        <v>764</v>
      </c>
      <c r="B769" s="54" t="s">
        <v>2601</v>
      </c>
      <c r="C769" s="367" t="s">
        <v>6</v>
      </c>
      <c r="D769" s="350" t="s">
        <v>2602</v>
      </c>
      <c r="E769" s="367"/>
      <c r="F769" s="45">
        <v>46198</v>
      </c>
      <c r="G769" s="367"/>
      <c r="H769" s="367"/>
      <c r="I769" s="367"/>
      <c r="J769" s="54" t="s">
        <v>1524</v>
      </c>
      <c r="K769" s="48" t="s">
        <v>1816</v>
      </c>
      <c r="L769" s="150" t="s">
        <v>2598</v>
      </c>
      <c r="M769" s="150" t="s">
        <v>65</v>
      </c>
      <c r="N769" s="150" t="s">
        <v>2592</v>
      </c>
      <c r="O769" s="150" t="s">
        <v>2593</v>
      </c>
      <c r="P769" s="367">
        <v>6</v>
      </c>
      <c r="Q769" s="367">
        <v>3.1</v>
      </c>
      <c r="R769" s="367"/>
      <c r="S769" s="367">
        <v>100</v>
      </c>
      <c r="T769" s="367">
        <v>14</v>
      </c>
      <c r="U769" s="367"/>
      <c r="V769" s="367"/>
      <c r="W769" s="367"/>
      <c r="X769" s="367"/>
      <c r="Y769" s="367"/>
      <c r="Z769" s="367" t="s">
        <v>127</v>
      </c>
      <c r="AA769" s="367"/>
      <c r="AB769" s="150"/>
      <c r="AC769" s="48" t="s">
        <v>2603</v>
      </c>
      <c r="AD769" s="150" t="s">
        <v>886</v>
      </c>
      <c r="AE769" s="340">
        <v>46085</v>
      </c>
      <c r="AF769" s="340"/>
      <c r="AG769" s="344">
        <v>46170</v>
      </c>
      <c r="AH769" s="49">
        <v>46198</v>
      </c>
      <c r="AI769" s="266">
        <v>46174</v>
      </c>
      <c r="AJ769" s="150" t="s">
        <v>2073</v>
      </c>
      <c r="AK769" s="150" t="s">
        <v>190</v>
      </c>
      <c r="AL769" s="150" t="s">
        <v>239</v>
      </c>
      <c r="AM769" s="150" t="s">
        <v>2079</v>
      </c>
      <c r="AN769" s="45">
        <v>46112</v>
      </c>
      <c r="AO769" s="367"/>
      <c r="AP769" s="367"/>
      <c r="AQ769" s="367"/>
      <c r="AR769" s="367"/>
      <c r="AS769" s="367"/>
      <c r="AT769" s="154">
        <v>46134</v>
      </c>
      <c r="AU769" s="154">
        <v>46122</v>
      </c>
      <c r="AV769" s="154">
        <v>46122</v>
      </c>
      <c r="AW769" s="154">
        <v>46118</v>
      </c>
      <c r="AX769" s="154"/>
      <c r="AY769" s="154"/>
      <c r="AZ769" s="154">
        <v>46153</v>
      </c>
      <c r="BA769" s="154"/>
      <c r="BB769" s="152" t="s">
        <v>2604</v>
      </c>
      <c r="BC769" s="152"/>
      <c r="BD769" s="367" t="s">
        <v>1605</v>
      </c>
      <c r="BE769" s="367"/>
      <c r="BF769" s="367"/>
      <c r="BG769" s="367"/>
      <c r="BH769" s="260"/>
      <c r="BI769" s="54"/>
      <c r="BJ769" s="54"/>
      <c r="BK769" s="54"/>
      <c r="BL769" s="54"/>
      <c r="BN769" s="358">
        <v>46136</v>
      </c>
    </row>
    <row r="770" spans="1:66" ht="36" customHeight="1" x14ac:dyDescent="0.3">
      <c r="A770" s="367">
        <f t="shared" si="15"/>
        <v>765</v>
      </c>
      <c r="B770" s="54" t="s">
        <v>2605</v>
      </c>
      <c r="C770" s="367" t="s">
        <v>6</v>
      </c>
      <c r="D770" s="350" t="s">
        <v>2602</v>
      </c>
      <c r="E770" s="367"/>
      <c r="F770" s="45">
        <v>46198</v>
      </c>
      <c r="G770" s="367"/>
      <c r="H770" s="367"/>
      <c r="I770" s="367"/>
      <c r="J770" s="54" t="s">
        <v>1524</v>
      </c>
      <c r="K770" s="48" t="s">
        <v>1816</v>
      </c>
      <c r="L770" s="150" t="s">
        <v>2598</v>
      </c>
      <c r="M770" s="150" t="s">
        <v>65</v>
      </c>
      <c r="N770" s="150" t="s">
        <v>2592</v>
      </c>
      <c r="O770" s="150" t="s">
        <v>2593</v>
      </c>
      <c r="P770" s="367">
        <v>6</v>
      </c>
      <c r="Q770" s="367">
        <v>3.1</v>
      </c>
      <c r="R770" s="367"/>
      <c r="S770" s="367">
        <v>100</v>
      </c>
      <c r="T770" s="367">
        <v>14</v>
      </c>
      <c r="U770" s="367"/>
      <c r="V770" s="367"/>
      <c r="W770" s="367"/>
      <c r="X770" s="367"/>
      <c r="Y770" s="367"/>
      <c r="Z770" s="367" t="s">
        <v>127</v>
      </c>
      <c r="AA770" s="367"/>
      <c r="AB770" s="150"/>
      <c r="AC770" s="48" t="s">
        <v>2603</v>
      </c>
      <c r="AD770" s="150" t="s">
        <v>886</v>
      </c>
      <c r="AE770" s="340">
        <v>46085</v>
      </c>
      <c r="AF770" s="340"/>
      <c r="AG770" s="344">
        <v>46170</v>
      </c>
      <c r="AH770" s="49">
        <v>46198</v>
      </c>
      <c r="AI770" s="266">
        <v>46174</v>
      </c>
      <c r="AJ770" s="150" t="s">
        <v>2073</v>
      </c>
      <c r="AK770" s="150" t="s">
        <v>190</v>
      </c>
      <c r="AL770" s="150" t="s">
        <v>239</v>
      </c>
      <c r="AM770" s="150" t="s">
        <v>2079</v>
      </c>
      <c r="AN770" s="45">
        <v>46112</v>
      </c>
      <c r="AO770" s="367"/>
      <c r="AP770" s="367"/>
      <c r="AQ770" s="367"/>
      <c r="AR770" s="367"/>
      <c r="AS770" s="367"/>
      <c r="AT770" s="154">
        <v>46134</v>
      </c>
      <c r="AU770" s="154">
        <v>46122</v>
      </c>
      <c r="AV770" s="154">
        <v>46122</v>
      </c>
      <c r="AW770" s="154">
        <v>46118</v>
      </c>
      <c r="AX770" s="154"/>
      <c r="AY770" s="154"/>
      <c r="AZ770" s="154">
        <v>46153</v>
      </c>
      <c r="BA770" s="154"/>
      <c r="BB770" s="152" t="s">
        <v>2604</v>
      </c>
      <c r="BC770" s="152"/>
      <c r="BD770" s="367" t="s">
        <v>1605</v>
      </c>
      <c r="BE770" s="367"/>
      <c r="BF770" s="367"/>
      <c r="BG770" s="367"/>
      <c r="BH770" s="260"/>
      <c r="BI770" s="54"/>
      <c r="BJ770" s="54"/>
      <c r="BK770" s="54"/>
      <c r="BL770" s="54"/>
      <c r="BN770" s="358">
        <v>46136</v>
      </c>
    </row>
    <row r="771" spans="1:66" ht="36" customHeight="1" x14ac:dyDescent="0.3">
      <c r="A771" s="367">
        <f t="shared" si="15"/>
        <v>766</v>
      </c>
      <c r="B771" s="54" t="s">
        <v>2606</v>
      </c>
      <c r="C771" s="367" t="s">
        <v>6</v>
      </c>
      <c r="D771" s="350" t="s">
        <v>2607</v>
      </c>
      <c r="E771" s="45">
        <v>46171</v>
      </c>
      <c r="F771" s="45">
        <v>46171</v>
      </c>
      <c r="G771" s="45">
        <v>46178</v>
      </c>
      <c r="H771" s="367"/>
      <c r="I771" s="367"/>
      <c r="J771" s="54" t="s">
        <v>1524</v>
      </c>
      <c r="K771" s="48" t="s">
        <v>1816</v>
      </c>
      <c r="L771" s="150" t="s">
        <v>2598</v>
      </c>
      <c r="M771" s="150" t="s">
        <v>65</v>
      </c>
      <c r="N771" s="150" t="s">
        <v>2592</v>
      </c>
      <c r="O771" s="150" t="s">
        <v>2593</v>
      </c>
      <c r="P771" s="367">
        <v>6</v>
      </c>
      <c r="Q771" s="367">
        <v>3.6</v>
      </c>
      <c r="R771" s="367"/>
      <c r="S771" s="367">
        <v>100</v>
      </c>
      <c r="T771" s="367">
        <v>14</v>
      </c>
      <c r="U771" s="367"/>
      <c r="V771" s="367"/>
      <c r="W771" s="367"/>
      <c r="X771" s="367"/>
      <c r="Y771" s="367"/>
      <c r="Z771" s="367" t="s">
        <v>127</v>
      </c>
      <c r="AA771" s="367"/>
      <c r="AB771" s="150"/>
      <c r="AC771" s="48" t="s">
        <v>2608</v>
      </c>
      <c r="AD771" s="150" t="s">
        <v>1121</v>
      </c>
      <c r="AE771" s="340">
        <v>46085</v>
      </c>
      <c r="AF771" s="340"/>
      <c r="AG771" s="344">
        <v>46170</v>
      </c>
      <c r="AH771" s="49">
        <v>46173</v>
      </c>
      <c r="AI771" s="266">
        <v>46143</v>
      </c>
      <c r="AJ771" s="150" t="s">
        <v>131</v>
      </c>
      <c r="AK771" s="150" t="s">
        <v>190</v>
      </c>
      <c r="AL771" s="150" t="s">
        <v>175</v>
      </c>
      <c r="AM771" s="150" t="s">
        <v>2609</v>
      </c>
      <c r="AN771" s="45">
        <v>46120</v>
      </c>
      <c r="AO771" s="367"/>
      <c r="AP771" s="367"/>
      <c r="AQ771" s="367"/>
      <c r="AR771" s="367"/>
      <c r="AS771" s="367"/>
      <c r="AT771" s="154">
        <v>46134</v>
      </c>
      <c r="AU771" s="154">
        <v>46122</v>
      </c>
      <c r="AV771" s="154">
        <v>46125</v>
      </c>
      <c r="AW771" s="154">
        <v>46118</v>
      </c>
      <c r="AX771" s="154"/>
      <c r="AY771" s="154"/>
      <c r="AZ771" s="154">
        <v>46153</v>
      </c>
      <c r="BA771" s="154"/>
      <c r="BB771" s="152"/>
      <c r="BC771" s="152"/>
      <c r="BD771" s="367" t="s">
        <v>1605</v>
      </c>
      <c r="BE771" s="367"/>
      <c r="BF771" s="367"/>
      <c r="BG771" s="367"/>
      <c r="BH771" s="260"/>
      <c r="BI771" s="54"/>
      <c r="BJ771" s="54"/>
      <c r="BK771" s="54"/>
      <c r="BL771" s="54"/>
      <c r="BM771" s="357">
        <v>46135</v>
      </c>
      <c r="BN771" s="358">
        <v>46136</v>
      </c>
    </row>
    <row r="772" spans="1:66" ht="36" customHeight="1" x14ac:dyDescent="0.3">
      <c r="A772" s="367">
        <f t="shared" si="15"/>
        <v>767</v>
      </c>
      <c r="B772" s="54" t="s">
        <v>2610</v>
      </c>
      <c r="C772" s="367" t="s">
        <v>6</v>
      </c>
      <c r="D772" s="350" t="s">
        <v>2607</v>
      </c>
      <c r="E772" s="45">
        <v>46171</v>
      </c>
      <c r="F772" s="45">
        <v>46171</v>
      </c>
      <c r="G772" s="45">
        <v>46178</v>
      </c>
      <c r="H772" s="367"/>
      <c r="I772" s="367"/>
      <c r="J772" s="54" t="s">
        <v>1524</v>
      </c>
      <c r="K772" s="48" t="s">
        <v>1816</v>
      </c>
      <c r="L772" s="150" t="s">
        <v>2598</v>
      </c>
      <c r="M772" s="150" t="s">
        <v>65</v>
      </c>
      <c r="N772" s="150" t="s">
        <v>2592</v>
      </c>
      <c r="O772" s="150" t="s">
        <v>2593</v>
      </c>
      <c r="P772" s="367">
        <v>6</v>
      </c>
      <c r="Q772" s="367">
        <v>3.6</v>
      </c>
      <c r="R772" s="367"/>
      <c r="S772" s="367">
        <v>100</v>
      </c>
      <c r="T772" s="367">
        <v>14</v>
      </c>
      <c r="U772" s="367"/>
      <c r="V772" s="367"/>
      <c r="W772" s="367"/>
      <c r="X772" s="367"/>
      <c r="Y772" s="367"/>
      <c r="Z772" s="367" t="s">
        <v>127</v>
      </c>
      <c r="AA772" s="367"/>
      <c r="AB772" s="150"/>
      <c r="AC772" s="48" t="s">
        <v>2608</v>
      </c>
      <c r="AD772" s="150" t="s">
        <v>1121</v>
      </c>
      <c r="AE772" s="340">
        <v>46085</v>
      </c>
      <c r="AF772" s="340"/>
      <c r="AG772" s="344">
        <v>46170</v>
      </c>
      <c r="AH772" s="49">
        <v>46174</v>
      </c>
      <c r="AI772" s="266">
        <v>46143</v>
      </c>
      <c r="AJ772" s="150" t="s">
        <v>131</v>
      </c>
      <c r="AK772" s="150" t="s">
        <v>190</v>
      </c>
      <c r="AL772" s="150" t="s">
        <v>175</v>
      </c>
      <c r="AM772" s="150" t="s">
        <v>2609</v>
      </c>
      <c r="AN772" s="45">
        <v>46120</v>
      </c>
      <c r="AO772" s="367"/>
      <c r="AP772" s="367"/>
      <c r="AQ772" s="367"/>
      <c r="AR772" s="367"/>
      <c r="AS772" s="367"/>
      <c r="AT772" s="154">
        <v>46134</v>
      </c>
      <c r="AU772" s="154">
        <v>46122</v>
      </c>
      <c r="AV772" s="154">
        <v>46125</v>
      </c>
      <c r="AW772" s="154">
        <v>46118</v>
      </c>
      <c r="AX772" s="154"/>
      <c r="AY772" s="154"/>
      <c r="AZ772" s="154">
        <v>46153</v>
      </c>
      <c r="BA772" s="154"/>
      <c r="BB772" s="152"/>
      <c r="BC772" s="152"/>
      <c r="BD772" s="367" t="s">
        <v>1605</v>
      </c>
      <c r="BE772" s="367"/>
      <c r="BF772" s="367"/>
      <c r="BG772" s="367"/>
      <c r="BH772" s="260"/>
      <c r="BI772" s="54"/>
      <c r="BJ772" s="54"/>
      <c r="BK772" s="54"/>
      <c r="BL772" s="54"/>
      <c r="BM772" s="357">
        <v>46135</v>
      </c>
      <c r="BN772" s="358">
        <v>46136</v>
      </c>
    </row>
    <row r="773" spans="1:66" ht="36" customHeight="1" x14ac:dyDescent="0.3">
      <c r="A773" s="367">
        <f t="shared" si="15"/>
        <v>768</v>
      </c>
      <c r="B773" s="54" t="s">
        <v>2611</v>
      </c>
      <c r="C773" s="367" t="s">
        <v>6</v>
      </c>
      <c r="D773" s="350" t="s">
        <v>2602</v>
      </c>
      <c r="E773" s="367"/>
      <c r="F773" s="45">
        <v>46198</v>
      </c>
      <c r="G773" s="367"/>
      <c r="H773" s="367"/>
      <c r="I773" s="367"/>
      <c r="J773" s="54" t="s">
        <v>1524</v>
      </c>
      <c r="K773" s="48" t="s">
        <v>1816</v>
      </c>
      <c r="L773" s="150" t="s">
        <v>2598</v>
      </c>
      <c r="M773" s="150" t="s">
        <v>65</v>
      </c>
      <c r="N773" s="150" t="s">
        <v>2592</v>
      </c>
      <c r="O773" s="150" t="s">
        <v>2593</v>
      </c>
      <c r="P773" s="367">
        <v>6</v>
      </c>
      <c r="Q773" s="367">
        <v>3.6</v>
      </c>
      <c r="R773" s="367"/>
      <c r="S773" s="367">
        <v>100</v>
      </c>
      <c r="T773" s="367">
        <v>14</v>
      </c>
      <c r="U773" s="367"/>
      <c r="V773" s="367"/>
      <c r="W773" s="367"/>
      <c r="X773" s="367"/>
      <c r="Y773" s="367"/>
      <c r="Z773" s="367" t="s">
        <v>127</v>
      </c>
      <c r="AA773" s="367"/>
      <c r="AB773" s="150"/>
      <c r="AC773" s="48" t="s">
        <v>2612</v>
      </c>
      <c r="AD773" s="150" t="s">
        <v>886</v>
      </c>
      <c r="AE773" s="340">
        <v>46085</v>
      </c>
      <c r="AF773" s="340"/>
      <c r="AG773" s="344">
        <v>46170</v>
      </c>
      <c r="AH773" s="49">
        <v>46198</v>
      </c>
      <c r="AI773" s="266">
        <v>46174</v>
      </c>
      <c r="AJ773" s="150" t="s">
        <v>2073</v>
      </c>
      <c r="AK773" s="150" t="s">
        <v>190</v>
      </c>
      <c r="AL773" s="150" t="s">
        <v>239</v>
      </c>
      <c r="AM773" s="150" t="s">
        <v>2079</v>
      </c>
      <c r="AN773" s="45">
        <v>46112</v>
      </c>
      <c r="AO773" s="367"/>
      <c r="AP773" s="367"/>
      <c r="AQ773" s="367"/>
      <c r="AR773" s="367"/>
      <c r="AS773" s="367"/>
      <c r="AT773" s="154">
        <v>46134</v>
      </c>
      <c r="AU773" s="154">
        <v>46122</v>
      </c>
      <c r="AV773" s="154">
        <v>46122</v>
      </c>
      <c r="AW773" s="154">
        <v>46118</v>
      </c>
      <c r="AX773" s="154"/>
      <c r="AY773" s="154"/>
      <c r="AZ773" s="154">
        <v>46153</v>
      </c>
      <c r="BA773" s="154"/>
      <c r="BB773" s="152" t="s">
        <v>2604</v>
      </c>
      <c r="BC773" s="152"/>
      <c r="BD773" s="367" t="s">
        <v>1605</v>
      </c>
      <c r="BE773" s="367"/>
      <c r="BF773" s="367"/>
      <c r="BG773" s="367"/>
      <c r="BH773" s="260"/>
      <c r="BI773" s="54"/>
      <c r="BJ773" s="54"/>
      <c r="BK773" s="54"/>
      <c r="BL773" s="54"/>
      <c r="BN773" s="358">
        <v>46136</v>
      </c>
    </row>
    <row r="774" spans="1:66" ht="36" customHeight="1" x14ac:dyDescent="0.3">
      <c r="A774" s="367">
        <f t="shared" si="15"/>
        <v>769</v>
      </c>
      <c r="B774" s="54" t="s">
        <v>2613</v>
      </c>
      <c r="C774" s="367" t="s">
        <v>6</v>
      </c>
      <c r="D774" s="350" t="s">
        <v>2597</v>
      </c>
      <c r="E774" s="45">
        <v>46171</v>
      </c>
      <c r="F774" s="45">
        <v>46171</v>
      </c>
      <c r="G774" s="45">
        <v>46178</v>
      </c>
      <c r="H774" s="367"/>
      <c r="I774" s="367"/>
      <c r="J774" s="54" t="s">
        <v>1524</v>
      </c>
      <c r="K774" s="48" t="s">
        <v>1816</v>
      </c>
      <c r="L774" s="150" t="s">
        <v>2598</v>
      </c>
      <c r="M774" s="150" t="s">
        <v>65</v>
      </c>
      <c r="N774" s="150" t="s">
        <v>2592</v>
      </c>
      <c r="O774" s="150" t="s">
        <v>2593</v>
      </c>
      <c r="P774" s="367">
        <v>6</v>
      </c>
      <c r="Q774" s="367">
        <v>3.6</v>
      </c>
      <c r="R774" s="367"/>
      <c r="S774" s="367">
        <v>100</v>
      </c>
      <c r="T774" s="367">
        <v>14</v>
      </c>
      <c r="U774" s="367"/>
      <c r="V774" s="367"/>
      <c r="W774" s="367"/>
      <c r="X774" s="367"/>
      <c r="Y774" s="367"/>
      <c r="Z774" s="367" t="s">
        <v>127</v>
      </c>
      <c r="AA774" s="367"/>
      <c r="AB774" s="150" t="s">
        <v>215</v>
      </c>
      <c r="AC774" s="48" t="s">
        <v>2614</v>
      </c>
      <c r="AD774" s="150" t="s">
        <v>1079</v>
      </c>
      <c r="AE774" s="340">
        <v>46085</v>
      </c>
      <c r="AF774" s="340"/>
      <c r="AG774" s="344">
        <v>46170</v>
      </c>
      <c r="AH774" s="49">
        <v>46170</v>
      </c>
      <c r="AI774" s="266">
        <v>46143</v>
      </c>
      <c r="AJ774" s="150" t="s">
        <v>131</v>
      </c>
      <c r="AK774" s="150" t="s">
        <v>161</v>
      </c>
      <c r="AL774" s="150" t="s">
        <v>239</v>
      </c>
      <c r="AM774" s="150" t="s">
        <v>2079</v>
      </c>
      <c r="AN774" s="45">
        <v>46107</v>
      </c>
      <c r="AO774" s="367"/>
      <c r="AP774" s="367"/>
      <c r="AQ774" s="367"/>
      <c r="AR774" s="367"/>
      <c r="AS774" s="367"/>
      <c r="AT774" s="154">
        <v>46157</v>
      </c>
      <c r="AU774" s="359" t="s">
        <v>2600</v>
      </c>
      <c r="AV774" s="154">
        <v>46147</v>
      </c>
      <c r="AW774" s="154">
        <v>46118</v>
      </c>
      <c r="AX774" s="154"/>
      <c r="AY774" s="154"/>
      <c r="AZ774" s="154">
        <v>46153</v>
      </c>
      <c r="BA774" s="154"/>
      <c r="BB774" s="152"/>
      <c r="BC774" s="152"/>
      <c r="BD774" s="367" t="s">
        <v>1605</v>
      </c>
      <c r="BE774" s="367"/>
      <c r="BF774" s="367"/>
      <c r="BG774" s="367"/>
      <c r="BH774" s="260"/>
      <c r="BI774" s="54"/>
      <c r="BJ774" s="54"/>
      <c r="BK774" s="54"/>
      <c r="BL774" s="54"/>
      <c r="BM774" s="357">
        <v>46135</v>
      </c>
      <c r="BN774" s="358">
        <v>46136</v>
      </c>
    </row>
    <row r="775" spans="1:66" ht="36" customHeight="1" x14ac:dyDescent="0.3">
      <c r="A775" s="367">
        <f t="shared" si="15"/>
        <v>770</v>
      </c>
      <c r="B775" s="54" t="s">
        <v>2615</v>
      </c>
      <c r="C775" s="367" t="s">
        <v>6</v>
      </c>
      <c r="D775" s="350" t="s">
        <v>2607</v>
      </c>
      <c r="E775" s="45">
        <v>46183</v>
      </c>
      <c r="F775" s="45">
        <v>46183</v>
      </c>
      <c r="G775" s="367"/>
      <c r="H775" s="367"/>
      <c r="I775" s="367"/>
      <c r="J775" s="54" t="s">
        <v>1524</v>
      </c>
      <c r="K775" s="48" t="s">
        <v>1816</v>
      </c>
      <c r="L775" s="150" t="s">
        <v>2598</v>
      </c>
      <c r="M775" s="150" t="s">
        <v>65</v>
      </c>
      <c r="N775" s="150" t="s">
        <v>2592</v>
      </c>
      <c r="O775" s="150" t="s">
        <v>2593</v>
      </c>
      <c r="P775" s="367">
        <v>6</v>
      </c>
      <c r="Q775" s="367">
        <v>3.6</v>
      </c>
      <c r="R775" s="367"/>
      <c r="S775" s="367">
        <v>100</v>
      </c>
      <c r="T775" s="367">
        <v>14</v>
      </c>
      <c r="U775" s="367"/>
      <c r="V775" s="367"/>
      <c r="W775" s="367"/>
      <c r="X775" s="367"/>
      <c r="Y775" s="367"/>
      <c r="Z775" s="367" t="s">
        <v>127</v>
      </c>
      <c r="AA775" s="367"/>
      <c r="AB775" s="150"/>
      <c r="AC775" s="48" t="s">
        <v>2616</v>
      </c>
      <c r="AD775" s="150" t="s">
        <v>238</v>
      </c>
      <c r="AE775" s="340">
        <v>46085</v>
      </c>
      <c r="AF775" s="340"/>
      <c r="AG775" s="344">
        <v>46170</v>
      </c>
      <c r="AH775" s="49">
        <v>46171</v>
      </c>
      <c r="AI775" s="266">
        <v>46143</v>
      </c>
      <c r="AJ775" s="150" t="s">
        <v>330</v>
      </c>
      <c r="AK775" s="150" t="s">
        <v>190</v>
      </c>
      <c r="AL775" s="150" t="s">
        <v>239</v>
      </c>
      <c r="AM775" s="150" t="s">
        <v>2086</v>
      </c>
      <c r="AN775" s="45">
        <v>46111</v>
      </c>
      <c r="AO775" s="367"/>
      <c r="AP775" s="367"/>
      <c r="AQ775" s="367"/>
      <c r="AR775" s="367"/>
      <c r="AS775" s="367"/>
      <c r="AT775" s="154">
        <v>46147</v>
      </c>
      <c r="AU775" s="154">
        <v>46129</v>
      </c>
      <c r="AV775" s="154">
        <v>46132</v>
      </c>
      <c r="AW775" s="154">
        <v>46118</v>
      </c>
      <c r="AX775" s="154"/>
      <c r="AY775" s="154"/>
      <c r="AZ775" s="154">
        <v>46162</v>
      </c>
      <c r="BA775" s="154"/>
      <c r="BB775" s="152"/>
      <c r="BC775" s="152"/>
      <c r="BD775" s="367" t="s">
        <v>1605</v>
      </c>
      <c r="BE775" s="367"/>
      <c r="BF775" s="367"/>
      <c r="BG775" s="367"/>
      <c r="BH775" s="260"/>
      <c r="BI775" s="54"/>
      <c r="BJ775" s="54"/>
      <c r="BK775" s="54"/>
      <c r="BL775" s="54"/>
      <c r="BM775" s="357">
        <v>46135</v>
      </c>
      <c r="BN775" s="358">
        <v>46136</v>
      </c>
    </row>
    <row r="776" spans="1:66" ht="36" customHeight="1" x14ac:dyDescent="0.3">
      <c r="A776" s="367">
        <f t="shared" si="15"/>
        <v>771</v>
      </c>
      <c r="B776" s="54" t="s">
        <v>2617</v>
      </c>
      <c r="C776" s="367" t="s">
        <v>6</v>
      </c>
      <c r="D776" s="367" t="s">
        <v>2618</v>
      </c>
      <c r="E776" s="367"/>
      <c r="F776" s="45">
        <v>46195</v>
      </c>
      <c r="G776" s="367"/>
      <c r="H776" s="367"/>
      <c r="I776" s="367"/>
      <c r="J776" s="54" t="s">
        <v>1524</v>
      </c>
      <c r="K776" s="48" t="s">
        <v>1816</v>
      </c>
      <c r="L776" s="150" t="s">
        <v>2598</v>
      </c>
      <c r="M776" s="150" t="s">
        <v>65</v>
      </c>
      <c r="N776" s="150" t="s">
        <v>2592</v>
      </c>
      <c r="O776" s="150" t="s">
        <v>2593</v>
      </c>
      <c r="P776" s="367">
        <v>6</v>
      </c>
      <c r="Q776" s="367">
        <v>3.6</v>
      </c>
      <c r="R776" s="367"/>
      <c r="S776" s="367">
        <v>100</v>
      </c>
      <c r="T776" s="367">
        <v>14</v>
      </c>
      <c r="U776" s="367"/>
      <c r="V776" s="367" t="s">
        <v>127</v>
      </c>
      <c r="W776" s="367"/>
      <c r="X776" s="367" t="s">
        <v>150</v>
      </c>
      <c r="Y776" s="367"/>
      <c r="Z776" s="367" t="s">
        <v>127</v>
      </c>
      <c r="AA776" s="367"/>
      <c r="AB776" s="150" t="s">
        <v>215</v>
      </c>
      <c r="AC776" s="48" t="s">
        <v>2619</v>
      </c>
      <c r="AD776" s="150" t="s">
        <v>207</v>
      </c>
      <c r="AE776" s="340">
        <v>46085</v>
      </c>
      <c r="AF776" s="340"/>
      <c r="AG776" s="344">
        <v>46170</v>
      </c>
      <c r="AH776" s="49">
        <v>46195</v>
      </c>
      <c r="AI776" s="266">
        <v>46174</v>
      </c>
      <c r="AJ776" s="150" t="s">
        <v>548</v>
      </c>
      <c r="AK776" s="150" t="s">
        <v>200</v>
      </c>
      <c r="AL776" s="150" t="s">
        <v>175</v>
      </c>
      <c r="AM776" s="150" t="s">
        <v>2086</v>
      </c>
      <c r="AN776" s="45">
        <v>46172</v>
      </c>
      <c r="AO776" s="367"/>
      <c r="AP776" s="367"/>
      <c r="AQ776" s="367"/>
      <c r="AR776" s="367"/>
      <c r="AS776" s="367"/>
      <c r="AT776" s="154">
        <v>46134</v>
      </c>
      <c r="AU776" s="154">
        <v>46122</v>
      </c>
      <c r="AV776" s="154">
        <v>46153</v>
      </c>
      <c r="AW776" s="154">
        <v>46118</v>
      </c>
      <c r="AX776" s="154"/>
      <c r="AY776" s="154"/>
      <c r="AZ776" s="154">
        <v>46153</v>
      </c>
      <c r="BA776" s="154"/>
      <c r="BB776" s="152"/>
      <c r="BC776" s="152"/>
      <c r="BD776" s="367" t="s">
        <v>1605</v>
      </c>
      <c r="BE776" s="367"/>
      <c r="BF776" s="367"/>
      <c r="BG776" s="367"/>
      <c r="BH776" s="260"/>
      <c r="BI776" s="54"/>
      <c r="BJ776" s="54"/>
      <c r="BK776" s="54"/>
      <c r="BL776" s="54"/>
      <c r="BM776" s="357">
        <v>46135</v>
      </c>
      <c r="BN776" s="358">
        <v>46136</v>
      </c>
    </row>
    <row r="777" spans="1:66" ht="37.950000000000003" customHeight="1" x14ac:dyDescent="0.3">
      <c r="A777" s="367">
        <f t="shared" si="15"/>
        <v>772</v>
      </c>
      <c r="B777" s="54" t="s">
        <v>2620</v>
      </c>
      <c r="C777" s="367" t="s">
        <v>6</v>
      </c>
      <c r="D777" s="367" t="s">
        <v>2621</v>
      </c>
      <c r="E777" s="367"/>
      <c r="F777" s="45">
        <v>46195</v>
      </c>
      <c r="G777" s="367"/>
      <c r="H777" s="367"/>
      <c r="I777" s="367"/>
      <c r="J777" s="54" t="s">
        <v>1524</v>
      </c>
      <c r="K777" s="48" t="s">
        <v>2622</v>
      </c>
      <c r="L777" s="150" t="s">
        <v>2598</v>
      </c>
      <c r="M777" s="150" t="s">
        <v>120</v>
      </c>
      <c r="N777" s="150" t="s">
        <v>2592</v>
      </c>
      <c r="O777" s="150" t="s">
        <v>2593</v>
      </c>
      <c r="P777" s="367">
        <v>6</v>
      </c>
      <c r="Q777" s="367">
        <v>3.5</v>
      </c>
      <c r="R777" s="367"/>
      <c r="S777" s="367">
        <v>100</v>
      </c>
      <c r="T777" s="367">
        <v>14</v>
      </c>
      <c r="U777" s="367"/>
      <c r="V777" s="367" t="s">
        <v>127</v>
      </c>
      <c r="W777" s="367"/>
      <c r="X777" s="367" t="s">
        <v>150</v>
      </c>
      <c r="Y777" s="367"/>
      <c r="Z777" s="367" t="s">
        <v>127</v>
      </c>
      <c r="AA777" s="367" t="s">
        <v>127</v>
      </c>
      <c r="AB777" s="150" t="s">
        <v>215</v>
      </c>
      <c r="AC777" s="48" t="s">
        <v>2623</v>
      </c>
      <c r="AD777" s="150" t="s">
        <v>199</v>
      </c>
      <c r="AE777" s="340">
        <v>46085</v>
      </c>
      <c r="AF777" s="340"/>
      <c r="AG777" s="344">
        <v>46170</v>
      </c>
      <c r="AH777" s="49">
        <v>46195</v>
      </c>
      <c r="AI777" s="266">
        <v>46174</v>
      </c>
      <c r="AJ777" s="150" t="s">
        <v>548</v>
      </c>
      <c r="AK777" s="150" t="s">
        <v>200</v>
      </c>
      <c r="AL777" s="150" t="s">
        <v>175</v>
      </c>
      <c r="AM777" s="150" t="s">
        <v>209</v>
      </c>
      <c r="AN777" s="45">
        <v>46172</v>
      </c>
      <c r="AO777" s="367"/>
      <c r="AP777" s="367"/>
      <c r="AQ777" s="367"/>
      <c r="AR777" s="367"/>
      <c r="AS777" s="367"/>
      <c r="AT777" s="154">
        <v>46172</v>
      </c>
      <c r="AU777" s="154">
        <v>46122</v>
      </c>
      <c r="AV777" s="154">
        <v>46092</v>
      </c>
      <c r="AW777" s="154">
        <v>46118</v>
      </c>
      <c r="AX777" s="154"/>
      <c r="AY777" s="154"/>
      <c r="AZ777" s="154">
        <v>46153</v>
      </c>
      <c r="BA777" s="154"/>
      <c r="BB777" s="152"/>
      <c r="BC777" s="152"/>
      <c r="BD777" s="367" t="s">
        <v>1605</v>
      </c>
      <c r="BE777" s="367"/>
      <c r="BF777" s="367"/>
      <c r="BG777" s="367"/>
      <c r="BH777" s="260"/>
      <c r="BI777" s="54"/>
      <c r="BJ777" s="54"/>
      <c r="BK777" s="54"/>
      <c r="BL777" s="54"/>
      <c r="BM777" s="357">
        <v>46135</v>
      </c>
      <c r="BN777" s="358">
        <v>46136</v>
      </c>
    </row>
    <row r="778" spans="1:66" ht="36" customHeight="1" x14ac:dyDescent="0.3">
      <c r="A778" s="367">
        <f t="shared" si="15"/>
        <v>773</v>
      </c>
      <c r="B778" s="54" t="s">
        <v>2624</v>
      </c>
      <c r="C778" s="367" t="s">
        <v>6</v>
      </c>
      <c r="D778" s="367" t="s">
        <v>262</v>
      </c>
      <c r="E778" s="367"/>
      <c r="F778" s="367"/>
      <c r="G778" s="367"/>
      <c r="H778" s="367"/>
      <c r="I778" s="367"/>
      <c r="J778" s="54" t="s">
        <v>1524</v>
      </c>
      <c r="K778" s="48" t="s">
        <v>2622</v>
      </c>
      <c r="L778" s="150" t="s">
        <v>2598</v>
      </c>
      <c r="M778" s="150" t="s">
        <v>120</v>
      </c>
      <c r="N778" s="150" t="s">
        <v>2592</v>
      </c>
      <c r="O778" s="150" t="s">
        <v>2593</v>
      </c>
      <c r="P778" s="367">
        <v>6</v>
      </c>
      <c r="Q778" s="367">
        <v>3.5</v>
      </c>
      <c r="R778" s="367"/>
      <c r="S778" s="367">
        <v>100</v>
      </c>
      <c r="T778" s="367">
        <v>14</v>
      </c>
      <c r="U778" s="367"/>
      <c r="V778" s="367"/>
      <c r="W778" s="367"/>
      <c r="X778" s="367"/>
      <c r="Y778" s="367"/>
      <c r="Z778" s="367" t="s">
        <v>127</v>
      </c>
      <c r="AA778" s="367"/>
      <c r="AB778" s="150"/>
      <c r="AC778" s="48" t="s">
        <v>2625</v>
      </c>
      <c r="AD778" s="150" t="s">
        <v>169</v>
      </c>
      <c r="AE778" s="340">
        <v>46085</v>
      </c>
      <c r="AF778" s="340"/>
      <c r="AG778" s="344">
        <v>46174</v>
      </c>
      <c r="AH778" s="49">
        <v>46142</v>
      </c>
      <c r="AI778" s="266">
        <v>46122</v>
      </c>
      <c r="AJ778" s="150" t="s">
        <v>617</v>
      </c>
      <c r="AK778" s="150" t="s">
        <v>161</v>
      </c>
      <c r="AL778" s="150"/>
      <c r="AM778" s="150" t="s">
        <v>2086</v>
      </c>
      <c r="AN778" s="45">
        <v>46107</v>
      </c>
      <c r="AO778" s="367"/>
      <c r="AP778" s="367"/>
      <c r="AQ778" s="367"/>
      <c r="AR778" s="367"/>
      <c r="AS778" s="367"/>
      <c r="AT778" s="154"/>
      <c r="AU778" s="154"/>
      <c r="AV778" s="154"/>
      <c r="AW778" s="154"/>
      <c r="AX778" s="154"/>
      <c r="AY778" s="154"/>
      <c r="AZ778" s="154"/>
      <c r="BA778" s="154"/>
      <c r="BB778" s="152"/>
      <c r="BC778" s="152"/>
      <c r="BD778" s="367" t="s">
        <v>1605</v>
      </c>
      <c r="BE778" s="367"/>
      <c r="BF778" s="367"/>
      <c r="BG778" s="367"/>
      <c r="BH778" s="260"/>
      <c r="BI778" s="54"/>
      <c r="BJ778" s="54"/>
      <c r="BK778" s="54"/>
      <c r="BL778" s="54"/>
    </row>
    <row r="779" spans="1:66" ht="36" customHeight="1" x14ac:dyDescent="0.3">
      <c r="A779" s="367">
        <f t="shared" si="15"/>
        <v>774</v>
      </c>
      <c r="B779" s="54" t="s">
        <v>2626</v>
      </c>
      <c r="C779" s="367" t="s">
        <v>6</v>
      </c>
      <c r="D779" s="367" t="s">
        <v>262</v>
      </c>
      <c r="E779" s="367"/>
      <c r="F779" s="367"/>
      <c r="G779" s="367"/>
      <c r="H779" s="367"/>
      <c r="I779" s="367"/>
      <c r="J779" s="54" t="s">
        <v>1524</v>
      </c>
      <c r="K779" s="48" t="s">
        <v>2622</v>
      </c>
      <c r="L779" s="150" t="s">
        <v>2598</v>
      </c>
      <c r="M779" s="150" t="s">
        <v>120</v>
      </c>
      <c r="N779" s="150" t="s">
        <v>2592</v>
      </c>
      <c r="O779" s="150" t="s">
        <v>2593</v>
      </c>
      <c r="P779" s="367">
        <v>6</v>
      </c>
      <c r="Q779" s="367">
        <v>3.5</v>
      </c>
      <c r="R779" s="367"/>
      <c r="S779" s="367">
        <v>100</v>
      </c>
      <c r="T779" s="367">
        <v>14</v>
      </c>
      <c r="U779" s="367"/>
      <c r="V779" s="367"/>
      <c r="W779" s="367"/>
      <c r="X779" s="367"/>
      <c r="Y779" s="367"/>
      <c r="Z779" s="367" t="s">
        <v>127</v>
      </c>
      <c r="AA779" s="367"/>
      <c r="AB779" s="150"/>
      <c r="AC779" s="48" t="s">
        <v>2625</v>
      </c>
      <c r="AD779" s="150" t="s">
        <v>169</v>
      </c>
      <c r="AE779" s="340">
        <v>46085</v>
      </c>
      <c r="AF779" s="340"/>
      <c r="AG779" s="344">
        <v>46174</v>
      </c>
      <c r="AH779" s="49">
        <v>46142</v>
      </c>
      <c r="AI779" s="266">
        <v>46122</v>
      </c>
      <c r="AJ779" s="150" t="s">
        <v>617</v>
      </c>
      <c r="AK779" s="150" t="s">
        <v>161</v>
      </c>
      <c r="AL779" s="150"/>
      <c r="AM779" s="150" t="s">
        <v>2086</v>
      </c>
      <c r="AN779" s="45">
        <v>46107</v>
      </c>
      <c r="AO779" s="367"/>
      <c r="AP779" s="367"/>
      <c r="AQ779" s="367"/>
      <c r="AR779" s="367"/>
      <c r="AS779" s="367"/>
      <c r="AT779" s="154"/>
      <c r="AU779" s="154"/>
      <c r="AV779" s="154"/>
      <c r="AW779" s="154"/>
      <c r="AX779" s="154"/>
      <c r="AY779" s="154"/>
      <c r="AZ779" s="154"/>
      <c r="BA779" s="154"/>
      <c r="BB779" s="152"/>
      <c r="BC779" s="152"/>
      <c r="BD779" s="367" t="s">
        <v>1605</v>
      </c>
      <c r="BE779" s="367"/>
      <c r="BF779" s="367"/>
      <c r="BG779" s="367"/>
      <c r="BH779" s="260"/>
      <c r="BI779" s="54"/>
      <c r="BJ779" s="54"/>
      <c r="BK779" s="54"/>
      <c r="BL779" s="54"/>
    </row>
    <row r="780" spans="1:66" ht="36" customHeight="1" x14ac:dyDescent="0.3">
      <c r="A780" s="367">
        <f t="shared" si="15"/>
        <v>775</v>
      </c>
      <c r="B780" s="54" t="s">
        <v>2627</v>
      </c>
      <c r="C780" s="367" t="s">
        <v>6</v>
      </c>
      <c r="D780" s="350" t="s">
        <v>2607</v>
      </c>
      <c r="E780" s="45">
        <v>46179</v>
      </c>
      <c r="F780" s="45">
        <v>46198</v>
      </c>
      <c r="G780" s="367"/>
      <c r="H780" s="367"/>
      <c r="I780" s="367"/>
      <c r="J780" s="54" t="s">
        <v>1524</v>
      </c>
      <c r="K780" s="48" t="s">
        <v>2622</v>
      </c>
      <c r="L780" s="150" t="s">
        <v>2591</v>
      </c>
      <c r="M780" s="150" t="s">
        <v>120</v>
      </c>
      <c r="N780" s="150" t="s">
        <v>2592</v>
      </c>
      <c r="O780" s="150" t="s">
        <v>2593</v>
      </c>
      <c r="P780" s="367">
        <v>6</v>
      </c>
      <c r="Q780" s="367">
        <v>3.5</v>
      </c>
      <c r="R780" s="367"/>
      <c r="S780" s="367">
        <v>100</v>
      </c>
      <c r="T780" s="367">
        <v>14</v>
      </c>
      <c r="U780" s="367"/>
      <c r="V780" s="367"/>
      <c r="W780" s="367"/>
      <c r="X780" s="367"/>
      <c r="Y780" s="367"/>
      <c r="Z780" s="367"/>
      <c r="AA780" s="367"/>
      <c r="AB780" s="150"/>
      <c r="AC780" s="48" t="s">
        <v>2628</v>
      </c>
      <c r="AD780" s="150" t="s">
        <v>886</v>
      </c>
      <c r="AE780" s="340">
        <v>46085</v>
      </c>
      <c r="AF780" s="340"/>
      <c r="AG780" s="344">
        <v>46170</v>
      </c>
      <c r="AH780" s="49">
        <v>46198</v>
      </c>
      <c r="AI780" s="266">
        <v>46174</v>
      </c>
      <c r="AJ780" s="150" t="s">
        <v>330</v>
      </c>
      <c r="AK780" s="150" t="s">
        <v>190</v>
      </c>
      <c r="AL780" s="150" t="s">
        <v>239</v>
      </c>
      <c r="AM780" s="150" t="s">
        <v>2079</v>
      </c>
      <c r="AN780" s="45">
        <v>46112</v>
      </c>
      <c r="AO780" s="367"/>
      <c r="AP780" s="367"/>
      <c r="AQ780" s="367"/>
      <c r="AR780" s="367"/>
      <c r="AS780" s="367"/>
      <c r="AT780" s="154">
        <v>46134</v>
      </c>
      <c r="AU780" s="154">
        <v>46122</v>
      </c>
      <c r="AV780" s="154">
        <v>46122</v>
      </c>
      <c r="AW780" s="154">
        <v>46118</v>
      </c>
      <c r="AX780" s="154"/>
      <c r="AY780" s="154"/>
      <c r="AZ780" s="154">
        <v>46153</v>
      </c>
      <c r="BA780" s="154"/>
      <c r="BB780" s="152" t="s">
        <v>2604</v>
      </c>
      <c r="BC780" s="152"/>
      <c r="BD780" s="367" t="s">
        <v>1605</v>
      </c>
      <c r="BE780" s="367"/>
      <c r="BF780" s="367"/>
      <c r="BG780" s="367"/>
      <c r="BH780" s="260"/>
      <c r="BI780" s="54"/>
      <c r="BJ780" s="54"/>
      <c r="BK780" s="54"/>
      <c r="BL780" s="54"/>
      <c r="BM780" s="357">
        <v>46135</v>
      </c>
      <c r="BN780" s="358">
        <v>46136</v>
      </c>
    </row>
    <row r="781" spans="1:66" ht="36" customHeight="1" x14ac:dyDescent="0.3">
      <c r="A781" s="367">
        <f t="shared" si="15"/>
        <v>776</v>
      </c>
      <c r="B781" s="54" t="s">
        <v>2629</v>
      </c>
      <c r="C781" s="367" t="s">
        <v>6</v>
      </c>
      <c r="D781" s="350" t="s">
        <v>2597</v>
      </c>
      <c r="E781" s="45">
        <v>46171</v>
      </c>
      <c r="F781" s="45">
        <v>46171</v>
      </c>
      <c r="G781" s="367"/>
      <c r="H781" s="367"/>
      <c r="I781" s="367"/>
      <c r="J781" s="54" t="s">
        <v>1524</v>
      </c>
      <c r="K781" s="48" t="s">
        <v>2622</v>
      </c>
      <c r="L781" s="150" t="s">
        <v>2591</v>
      </c>
      <c r="M781" s="150" t="s">
        <v>120</v>
      </c>
      <c r="N781" s="150" t="s">
        <v>2592</v>
      </c>
      <c r="O781" s="150" t="s">
        <v>2593</v>
      </c>
      <c r="P781" s="367">
        <v>6</v>
      </c>
      <c r="Q781" s="367">
        <v>3.5</v>
      </c>
      <c r="R781" s="367"/>
      <c r="S781" s="367">
        <v>100</v>
      </c>
      <c r="T781" s="367">
        <v>14</v>
      </c>
      <c r="U781" s="367"/>
      <c r="V781" s="367"/>
      <c r="W781" s="367"/>
      <c r="X781" s="367"/>
      <c r="Y781" s="367"/>
      <c r="Z781" s="367"/>
      <c r="AA781" s="367"/>
      <c r="AB781" s="150" t="s">
        <v>215</v>
      </c>
      <c r="AC781" s="48" t="s">
        <v>2630</v>
      </c>
      <c r="AD781" s="150" t="s">
        <v>1079</v>
      </c>
      <c r="AE781" s="340">
        <v>46085</v>
      </c>
      <c r="AF781" s="340"/>
      <c r="AG781" s="344">
        <v>46170</v>
      </c>
      <c r="AH781" s="49">
        <v>46170</v>
      </c>
      <c r="AI781" s="266">
        <v>46143</v>
      </c>
      <c r="AJ781" s="150" t="s">
        <v>648</v>
      </c>
      <c r="AK781" s="150" t="s">
        <v>161</v>
      </c>
      <c r="AL781" s="150" t="s">
        <v>239</v>
      </c>
      <c r="AM781" s="150" t="s">
        <v>2079</v>
      </c>
      <c r="AN781" s="45">
        <v>46111</v>
      </c>
      <c r="AO781" s="367"/>
      <c r="AP781" s="367"/>
      <c r="AQ781" s="367"/>
      <c r="AR781" s="367"/>
      <c r="AS781" s="367"/>
      <c r="AT781" s="154">
        <v>46134</v>
      </c>
      <c r="AU781" s="359" t="s">
        <v>2600</v>
      </c>
      <c r="AV781" s="154">
        <v>46147</v>
      </c>
      <c r="AW781" s="154">
        <v>46118</v>
      </c>
      <c r="AX781" s="154"/>
      <c r="AY781" s="154"/>
      <c r="AZ781" s="154">
        <v>46153</v>
      </c>
      <c r="BA781" s="154"/>
      <c r="BB781" s="152"/>
      <c r="BC781" s="152"/>
      <c r="BD781" s="367" t="s">
        <v>1605</v>
      </c>
      <c r="BE781" s="367"/>
      <c r="BF781" s="367"/>
      <c r="BG781" s="367"/>
      <c r="BH781" s="260"/>
      <c r="BI781" s="54"/>
      <c r="BJ781" s="54"/>
      <c r="BK781" s="54"/>
      <c r="BL781" s="54"/>
      <c r="BM781" s="357">
        <v>46135</v>
      </c>
      <c r="BN781" s="358">
        <v>46136</v>
      </c>
    </row>
    <row r="782" spans="1:66" ht="36" customHeight="1" x14ac:dyDescent="0.3">
      <c r="A782" s="367">
        <f t="shared" si="15"/>
        <v>777</v>
      </c>
      <c r="B782" s="54" t="s">
        <v>2631</v>
      </c>
      <c r="C782" s="367" t="s">
        <v>6</v>
      </c>
      <c r="D782" s="350" t="s">
        <v>2632</v>
      </c>
      <c r="E782" s="45">
        <v>46185</v>
      </c>
      <c r="F782" s="45">
        <v>46186</v>
      </c>
      <c r="G782" s="367"/>
      <c r="H782" s="367"/>
      <c r="I782" s="367"/>
      <c r="J782" s="54" t="s">
        <v>1524</v>
      </c>
      <c r="K782" s="48" t="s">
        <v>2622</v>
      </c>
      <c r="L782" s="150" t="s">
        <v>2591</v>
      </c>
      <c r="M782" s="150" t="s">
        <v>120</v>
      </c>
      <c r="N782" s="150" t="s">
        <v>2592</v>
      </c>
      <c r="O782" s="150" t="s">
        <v>2593</v>
      </c>
      <c r="P782" s="367">
        <v>6</v>
      </c>
      <c r="Q782" s="367">
        <v>3.5</v>
      </c>
      <c r="R782" s="367"/>
      <c r="S782" s="367">
        <v>100</v>
      </c>
      <c r="T782" s="367">
        <v>14</v>
      </c>
      <c r="U782" s="367"/>
      <c r="V782" s="367"/>
      <c r="W782" s="367"/>
      <c r="X782" s="367"/>
      <c r="Y782" s="367"/>
      <c r="Z782" s="367"/>
      <c r="AA782" s="367"/>
      <c r="AB782" s="150"/>
      <c r="AC782" s="48" t="s">
        <v>2633</v>
      </c>
      <c r="AD782" s="150" t="s">
        <v>1121</v>
      </c>
      <c r="AE782" s="340">
        <v>46085</v>
      </c>
      <c r="AF782" s="340"/>
      <c r="AG782" s="344">
        <v>46170</v>
      </c>
      <c r="AH782" s="49">
        <v>46171</v>
      </c>
      <c r="AI782" s="266">
        <v>46143</v>
      </c>
      <c r="AJ782" s="150" t="s">
        <v>330</v>
      </c>
      <c r="AK782" s="150" t="s">
        <v>190</v>
      </c>
      <c r="AL782" s="150" t="s">
        <v>175</v>
      </c>
      <c r="AM782" s="150" t="s">
        <v>2609</v>
      </c>
      <c r="AN782" s="45">
        <v>46129</v>
      </c>
      <c r="AO782" s="367"/>
      <c r="AP782" s="367"/>
      <c r="AQ782" s="367"/>
      <c r="AR782" s="367"/>
      <c r="AS782" s="367"/>
      <c r="AT782" s="154">
        <v>46134</v>
      </c>
      <c r="AU782" s="154">
        <v>46125</v>
      </c>
      <c r="AV782" s="154">
        <v>46122</v>
      </c>
      <c r="AW782" s="154">
        <v>46118</v>
      </c>
      <c r="AX782" s="154"/>
      <c r="AY782" s="154"/>
      <c r="AZ782" s="154">
        <v>46153</v>
      </c>
      <c r="BA782" s="154"/>
      <c r="BB782" s="152"/>
      <c r="BC782" s="152"/>
      <c r="BD782" s="367" t="s">
        <v>1605</v>
      </c>
      <c r="BE782" s="367"/>
      <c r="BF782" s="367"/>
      <c r="BG782" s="367"/>
      <c r="BH782" s="260"/>
      <c r="BI782" s="54"/>
      <c r="BJ782" s="54"/>
      <c r="BK782" s="54"/>
      <c r="BL782" s="54"/>
      <c r="BM782" s="357">
        <v>46135</v>
      </c>
      <c r="BN782" s="358">
        <v>46136</v>
      </c>
    </row>
    <row r="783" spans="1:66" ht="36" customHeight="1" x14ac:dyDescent="0.3">
      <c r="A783" s="367">
        <f t="shared" si="15"/>
        <v>778</v>
      </c>
      <c r="B783" s="54" t="s">
        <v>2634</v>
      </c>
      <c r="C783" s="367" t="s">
        <v>6</v>
      </c>
      <c r="D783" s="367" t="s">
        <v>2635</v>
      </c>
      <c r="E783" s="367" t="s">
        <v>2636</v>
      </c>
      <c r="F783" s="45">
        <v>46178</v>
      </c>
      <c r="G783" s="367"/>
      <c r="H783" s="367"/>
      <c r="I783" s="367" t="s">
        <v>2637</v>
      </c>
      <c r="J783" s="54" t="s">
        <v>1524</v>
      </c>
      <c r="K783" s="48" t="s">
        <v>2622</v>
      </c>
      <c r="L783" s="150" t="s">
        <v>2591</v>
      </c>
      <c r="M783" s="150" t="s">
        <v>120</v>
      </c>
      <c r="N783" s="150" t="s">
        <v>2592</v>
      </c>
      <c r="O783" s="150" t="s">
        <v>2593</v>
      </c>
      <c r="P783" s="367">
        <v>6</v>
      </c>
      <c r="Q783" s="367">
        <v>3.5</v>
      </c>
      <c r="R783" s="367"/>
      <c r="S783" s="367">
        <v>100</v>
      </c>
      <c r="T783" s="367">
        <v>14</v>
      </c>
      <c r="U783" s="367"/>
      <c r="V783" s="367" t="s">
        <v>127</v>
      </c>
      <c r="W783" s="367"/>
      <c r="X783" s="150" t="s">
        <v>2638</v>
      </c>
      <c r="Y783" s="367" t="s">
        <v>127</v>
      </c>
      <c r="Z783" s="367"/>
      <c r="AA783" s="367"/>
      <c r="AB783" s="150" t="s">
        <v>215</v>
      </c>
      <c r="AC783" s="48" t="s">
        <v>2639</v>
      </c>
      <c r="AD783" s="150" t="s">
        <v>1150</v>
      </c>
      <c r="AE783" s="340">
        <v>46085</v>
      </c>
      <c r="AF783" s="340"/>
      <c r="AG783" s="344">
        <v>46170</v>
      </c>
      <c r="AH783" s="49">
        <v>46189</v>
      </c>
      <c r="AI783" s="266">
        <v>46143</v>
      </c>
      <c r="AJ783" s="150" t="s">
        <v>548</v>
      </c>
      <c r="AK783" s="150"/>
      <c r="AL783" s="150"/>
      <c r="AM783" s="150" t="s">
        <v>2079</v>
      </c>
      <c r="AN783" s="332"/>
      <c r="AO783" s="367"/>
      <c r="AP783" s="367"/>
      <c r="AQ783" s="367"/>
      <c r="AR783" s="367"/>
      <c r="AS783" s="367"/>
      <c r="AT783" s="154"/>
      <c r="AU783" s="154"/>
      <c r="AV783" s="154"/>
      <c r="AW783" s="154"/>
      <c r="AX783" s="154"/>
      <c r="AY783" s="154"/>
      <c r="AZ783" s="154"/>
      <c r="BA783" s="154"/>
      <c r="BB783" s="152" t="s">
        <v>2468</v>
      </c>
      <c r="BC783" s="152"/>
      <c r="BD783" s="367" t="s">
        <v>1605</v>
      </c>
      <c r="BE783" s="367"/>
      <c r="BF783" s="367"/>
      <c r="BG783" s="367"/>
      <c r="BH783" s="260"/>
      <c r="BI783" s="54"/>
      <c r="BJ783" s="54"/>
      <c r="BK783" s="54"/>
      <c r="BL783" s="54"/>
      <c r="BN783" s="358">
        <v>46136</v>
      </c>
    </row>
    <row r="784" spans="1:66" ht="36" customHeight="1" x14ac:dyDescent="0.3">
      <c r="A784" s="367">
        <f t="shared" si="15"/>
        <v>779</v>
      </c>
      <c r="B784" s="54" t="s">
        <v>2640</v>
      </c>
      <c r="C784" s="367" t="s">
        <v>6</v>
      </c>
      <c r="D784" s="354" t="s">
        <v>2641</v>
      </c>
      <c r="E784" s="367"/>
      <c r="F784" s="367"/>
      <c r="G784" s="367"/>
      <c r="H784" s="367"/>
      <c r="I784" s="367" t="s">
        <v>2642</v>
      </c>
      <c r="J784" s="54" t="s">
        <v>1524</v>
      </c>
      <c r="K784" s="48" t="s">
        <v>2643</v>
      </c>
      <c r="L784" s="150" t="s">
        <v>2591</v>
      </c>
      <c r="M784" s="150" t="s">
        <v>120</v>
      </c>
      <c r="N784" s="150" t="s">
        <v>2592</v>
      </c>
      <c r="O784" s="150" t="s">
        <v>2593</v>
      </c>
      <c r="P784" s="367">
        <v>4</v>
      </c>
      <c r="Q784" s="367">
        <v>3.7</v>
      </c>
      <c r="R784" s="367"/>
      <c r="S784" s="367">
        <v>100</v>
      </c>
      <c r="T784" s="367">
        <v>12</v>
      </c>
      <c r="U784" s="367"/>
      <c r="V784" s="367"/>
      <c r="W784" s="367"/>
      <c r="X784" s="367" t="s">
        <v>1111</v>
      </c>
      <c r="Y784" s="367"/>
      <c r="Z784" s="367"/>
      <c r="AA784" s="367" t="s">
        <v>127</v>
      </c>
      <c r="AB784" s="150" t="s">
        <v>2562</v>
      </c>
      <c r="AC784" s="48" t="s">
        <v>2644</v>
      </c>
      <c r="AD784" s="150" t="s">
        <v>1154</v>
      </c>
      <c r="AE784" s="340">
        <v>46085</v>
      </c>
      <c r="AF784" s="340"/>
      <c r="AG784" s="344">
        <v>46170</v>
      </c>
      <c r="AH784" s="49">
        <v>46223</v>
      </c>
      <c r="AI784" s="266">
        <v>46188</v>
      </c>
      <c r="AJ784" s="150" t="s">
        <v>2334</v>
      </c>
      <c r="AK784" s="150" t="s">
        <v>200</v>
      </c>
      <c r="AL784" s="150" t="s">
        <v>175</v>
      </c>
      <c r="AM784" s="150" t="s">
        <v>134</v>
      </c>
      <c r="AN784" s="45">
        <v>46191</v>
      </c>
      <c r="AO784" s="367"/>
      <c r="AP784" s="367"/>
      <c r="AQ784" s="367"/>
      <c r="AR784" s="367"/>
      <c r="AS784" s="367"/>
      <c r="AT784" s="154">
        <v>46188</v>
      </c>
      <c r="AU784" s="154">
        <v>46153</v>
      </c>
      <c r="AV784" s="154">
        <v>46168</v>
      </c>
      <c r="AW784" s="154">
        <v>46132</v>
      </c>
      <c r="AX784" s="154"/>
      <c r="AY784" s="154"/>
      <c r="AZ784" s="154"/>
      <c r="BA784" s="154"/>
      <c r="BB784" s="152" t="s">
        <v>2468</v>
      </c>
      <c r="BC784" s="152"/>
      <c r="BD784" s="367" t="s">
        <v>1605</v>
      </c>
      <c r="BE784" s="367"/>
      <c r="BF784" s="367"/>
      <c r="BG784" s="367"/>
      <c r="BH784" s="260"/>
      <c r="BI784" s="54"/>
      <c r="BJ784" s="54"/>
      <c r="BK784" s="54"/>
      <c r="BL784" s="54" t="s">
        <v>2595</v>
      </c>
      <c r="BM784" s="357">
        <v>46135</v>
      </c>
      <c r="BN784" s="358">
        <v>46136</v>
      </c>
    </row>
    <row r="785" spans="1:66" ht="36" customHeight="1" x14ac:dyDescent="0.3">
      <c r="A785" s="367">
        <f t="shared" si="15"/>
        <v>780</v>
      </c>
      <c r="B785" s="54" t="s">
        <v>2645</v>
      </c>
      <c r="C785" s="367" t="s">
        <v>6</v>
      </c>
      <c r="D785" s="351" t="s">
        <v>2646</v>
      </c>
      <c r="E785" s="45">
        <v>46164</v>
      </c>
      <c r="F785" s="45">
        <v>46171</v>
      </c>
      <c r="G785" s="367"/>
      <c r="H785" s="367"/>
      <c r="I785" s="367" t="s">
        <v>2647</v>
      </c>
      <c r="J785" s="54" t="s">
        <v>1524</v>
      </c>
      <c r="K785" s="48" t="s">
        <v>2643</v>
      </c>
      <c r="L785" s="150" t="s">
        <v>2591</v>
      </c>
      <c r="M785" s="150" t="s">
        <v>120</v>
      </c>
      <c r="N785" s="150" t="s">
        <v>2592</v>
      </c>
      <c r="O785" s="150" t="s">
        <v>2593</v>
      </c>
      <c r="P785" s="367">
        <v>4</v>
      </c>
      <c r="Q785" s="367">
        <v>3.7</v>
      </c>
      <c r="R785" s="367"/>
      <c r="S785" s="367">
        <v>100</v>
      </c>
      <c r="T785" s="367">
        <v>12</v>
      </c>
      <c r="U785" s="367"/>
      <c r="V785" s="367"/>
      <c r="W785" s="367"/>
      <c r="X785" s="367"/>
      <c r="Y785" s="367"/>
      <c r="Z785" s="367" t="s">
        <v>127</v>
      </c>
      <c r="AA785" s="367"/>
      <c r="AB785" s="150" t="s">
        <v>215</v>
      </c>
      <c r="AC785" s="48" t="s">
        <v>2648</v>
      </c>
      <c r="AD785" s="150" t="s">
        <v>1079</v>
      </c>
      <c r="AE785" s="340">
        <v>46085</v>
      </c>
      <c r="AF785" s="340"/>
      <c r="AG785" s="344">
        <v>46162</v>
      </c>
      <c r="AH785" s="49">
        <v>46162</v>
      </c>
      <c r="AI785" s="266">
        <v>46143</v>
      </c>
      <c r="AJ785" s="150" t="s">
        <v>648</v>
      </c>
      <c r="AK785" s="150" t="s">
        <v>161</v>
      </c>
      <c r="AL785" s="150" t="s">
        <v>239</v>
      </c>
      <c r="AM785" s="150" t="s">
        <v>2079</v>
      </c>
      <c r="AN785" s="45">
        <v>46107</v>
      </c>
      <c r="AO785" s="367"/>
      <c r="AP785" s="367"/>
      <c r="AQ785" s="367"/>
      <c r="AR785" s="367"/>
      <c r="AS785" s="367"/>
      <c r="AT785" s="154">
        <v>46134</v>
      </c>
      <c r="AU785" s="359" t="s">
        <v>2600</v>
      </c>
      <c r="AV785" s="154">
        <v>46147</v>
      </c>
      <c r="AW785" s="154">
        <v>46115</v>
      </c>
      <c r="AX785" s="154"/>
      <c r="AY785" s="154"/>
      <c r="AZ785" s="154">
        <v>46153</v>
      </c>
      <c r="BA785" s="154"/>
      <c r="BB785" s="152" t="s">
        <v>2649</v>
      </c>
      <c r="BC785" s="152"/>
      <c r="BD785" s="367" t="s">
        <v>1605</v>
      </c>
      <c r="BE785" s="367"/>
      <c r="BF785" s="367"/>
      <c r="BG785" s="367"/>
      <c r="BH785" s="260"/>
      <c r="BI785" s="54"/>
      <c r="BJ785" s="54"/>
      <c r="BK785" s="54"/>
      <c r="BL785" s="54"/>
      <c r="BM785" s="357">
        <v>46135</v>
      </c>
      <c r="BN785" s="358">
        <v>46136</v>
      </c>
    </row>
    <row r="786" spans="1:66" ht="36" customHeight="1" x14ac:dyDescent="0.3">
      <c r="A786" s="367">
        <f t="shared" si="15"/>
        <v>781</v>
      </c>
      <c r="B786" s="54" t="s">
        <v>2650</v>
      </c>
      <c r="C786" s="367" t="s">
        <v>6</v>
      </c>
      <c r="D786" s="150" t="s">
        <v>2646</v>
      </c>
      <c r="E786" s="367"/>
      <c r="F786" s="367"/>
      <c r="G786" s="367"/>
      <c r="H786" s="367"/>
      <c r="I786" s="367"/>
      <c r="J786" s="54" t="s">
        <v>1524</v>
      </c>
      <c r="K786" s="48" t="s">
        <v>2643</v>
      </c>
      <c r="L786" s="150" t="s">
        <v>2591</v>
      </c>
      <c r="M786" s="150" t="s">
        <v>120</v>
      </c>
      <c r="N786" s="150" t="s">
        <v>2592</v>
      </c>
      <c r="O786" s="150" t="s">
        <v>2593</v>
      </c>
      <c r="P786" s="367">
        <v>4</v>
      </c>
      <c r="Q786" s="367">
        <v>3.7</v>
      </c>
      <c r="R786" s="367"/>
      <c r="S786" s="367">
        <v>100</v>
      </c>
      <c r="T786" s="367">
        <v>12</v>
      </c>
      <c r="U786" s="367"/>
      <c r="V786" s="367"/>
      <c r="W786" s="367"/>
      <c r="X786" s="367"/>
      <c r="Y786" s="367"/>
      <c r="Z786" s="367" t="s">
        <v>127</v>
      </c>
      <c r="AA786" s="367"/>
      <c r="AB786" s="150"/>
      <c r="AC786" s="48" t="s">
        <v>2651</v>
      </c>
      <c r="AD786" s="150" t="s">
        <v>886</v>
      </c>
      <c r="AE786" s="340">
        <v>46085</v>
      </c>
      <c r="AF786" s="340"/>
      <c r="AG786" s="344">
        <v>46174</v>
      </c>
      <c r="AH786" s="49">
        <v>46172</v>
      </c>
      <c r="AI786" s="266">
        <v>46143</v>
      </c>
      <c r="AJ786" s="150" t="s">
        <v>2334</v>
      </c>
      <c r="AK786" s="150" t="s">
        <v>190</v>
      </c>
      <c r="AL786" s="150" t="s">
        <v>239</v>
      </c>
      <c r="AM786" s="150" t="s">
        <v>2079</v>
      </c>
      <c r="AN786" s="45">
        <v>46112</v>
      </c>
      <c r="AO786" s="367"/>
      <c r="AP786" s="367"/>
      <c r="AQ786" s="367"/>
      <c r="AR786" s="367"/>
      <c r="AS786" s="367"/>
      <c r="AT786" s="154">
        <v>46137</v>
      </c>
      <c r="AU786" s="154">
        <v>46124</v>
      </c>
      <c r="AV786" s="154">
        <v>46122</v>
      </c>
      <c r="AW786" s="154">
        <v>46115</v>
      </c>
      <c r="AX786" s="154"/>
      <c r="AY786" s="154"/>
      <c r="AZ786" s="154"/>
      <c r="BA786" s="154"/>
      <c r="BB786" s="152"/>
      <c r="BC786" s="152"/>
      <c r="BD786" s="367" t="s">
        <v>1605</v>
      </c>
      <c r="BE786" s="367"/>
      <c r="BF786" s="367"/>
      <c r="BG786" s="367"/>
      <c r="BH786" s="260"/>
      <c r="BI786" s="54"/>
      <c r="BJ786" s="54"/>
      <c r="BK786" s="54"/>
      <c r="BL786" s="54"/>
    </row>
    <row r="787" spans="1:66" ht="36" customHeight="1" x14ac:dyDescent="0.3">
      <c r="A787" s="367">
        <f t="shared" si="15"/>
        <v>782</v>
      </c>
      <c r="B787" s="54" t="s">
        <v>2652</v>
      </c>
      <c r="C787" s="367" t="s">
        <v>6</v>
      </c>
      <c r="D787" s="351" t="s">
        <v>2540</v>
      </c>
      <c r="E787" s="367"/>
      <c r="F787" s="45">
        <v>46198</v>
      </c>
      <c r="G787" s="367"/>
      <c r="H787" s="367"/>
      <c r="I787" s="367"/>
      <c r="J787" s="54" t="s">
        <v>1524</v>
      </c>
      <c r="K787" s="48" t="s">
        <v>2643</v>
      </c>
      <c r="L787" s="150" t="s">
        <v>2591</v>
      </c>
      <c r="M787" s="150" t="s">
        <v>120</v>
      </c>
      <c r="N787" s="150" t="s">
        <v>2592</v>
      </c>
      <c r="O787" s="150" t="s">
        <v>2593</v>
      </c>
      <c r="P787" s="367">
        <v>4</v>
      </c>
      <c r="Q787" s="367">
        <v>3.7</v>
      </c>
      <c r="R787" s="367"/>
      <c r="S787" s="367">
        <v>100</v>
      </c>
      <c r="T787" s="367">
        <v>12</v>
      </c>
      <c r="U787" s="367"/>
      <c r="V787" s="367"/>
      <c r="W787" s="367"/>
      <c r="X787" s="367"/>
      <c r="Y787" s="367"/>
      <c r="Z787" s="367" t="s">
        <v>127</v>
      </c>
      <c r="AA787" s="367"/>
      <c r="AB787" s="150"/>
      <c r="AC787" s="48" t="s">
        <v>2651</v>
      </c>
      <c r="AD787" s="150" t="s">
        <v>886</v>
      </c>
      <c r="AE787" s="340">
        <v>46085</v>
      </c>
      <c r="AF787" s="340"/>
      <c r="AG787" s="344">
        <v>46162</v>
      </c>
      <c r="AH787" s="49">
        <v>46198</v>
      </c>
      <c r="AI787" s="266">
        <v>46143</v>
      </c>
      <c r="AJ787" s="150" t="s">
        <v>548</v>
      </c>
      <c r="AK787" s="150" t="s">
        <v>190</v>
      </c>
      <c r="AL787" s="150" t="s">
        <v>239</v>
      </c>
      <c r="AM787" s="150" t="s">
        <v>2079</v>
      </c>
      <c r="AN787" s="45">
        <v>46112</v>
      </c>
      <c r="AO787" s="367"/>
      <c r="AP787" s="367"/>
      <c r="AQ787" s="367"/>
      <c r="AR787" s="367"/>
      <c r="AS787" s="367"/>
      <c r="AT787" s="154">
        <v>46134</v>
      </c>
      <c r="AU787" s="154"/>
      <c r="AV787" s="154"/>
      <c r="AW787" s="154">
        <v>46118</v>
      </c>
      <c r="AX787" s="154"/>
      <c r="AY787" s="154"/>
      <c r="AZ787" s="154">
        <v>46153</v>
      </c>
      <c r="BA787" s="154"/>
      <c r="BB787" s="152" t="s">
        <v>2604</v>
      </c>
      <c r="BC787" s="152"/>
      <c r="BD787" s="367" t="s">
        <v>1605</v>
      </c>
      <c r="BE787" s="367"/>
      <c r="BF787" s="367"/>
      <c r="BG787" s="367"/>
      <c r="BH787" s="260"/>
      <c r="BI787" s="54"/>
      <c r="BJ787" s="54"/>
      <c r="BK787" s="54"/>
      <c r="BL787" s="54"/>
      <c r="BM787" s="357">
        <v>46135</v>
      </c>
      <c r="BN787" s="358">
        <v>46136</v>
      </c>
    </row>
    <row r="788" spans="1:66" ht="36" customHeight="1" x14ac:dyDescent="0.3">
      <c r="A788" s="367">
        <f t="shared" si="15"/>
        <v>783</v>
      </c>
      <c r="B788" s="54" t="s">
        <v>2653</v>
      </c>
      <c r="C788" s="367" t="s">
        <v>6</v>
      </c>
      <c r="D788" s="367" t="s">
        <v>262</v>
      </c>
      <c r="E788" s="367"/>
      <c r="F788" s="367"/>
      <c r="G788" s="367"/>
      <c r="H788" s="367"/>
      <c r="I788" s="367"/>
      <c r="J788" s="54" t="s">
        <v>1524</v>
      </c>
      <c r="K788" s="48" t="s">
        <v>2643</v>
      </c>
      <c r="L788" s="150" t="s">
        <v>2598</v>
      </c>
      <c r="M788" s="150" t="s">
        <v>120</v>
      </c>
      <c r="N788" s="150" t="s">
        <v>2592</v>
      </c>
      <c r="O788" s="150" t="s">
        <v>2593</v>
      </c>
      <c r="P788" s="367">
        <v>4</v>
      </c>
      <c r="Q788" s="367">
        <v>3.7</v>
      </c>
      <c r="R788" s="367"/>
      <c r="S788" s="367">
        <v>100</v>
      </c>
      <c r="T788" s="367">
        <v>12</v>
      </c>
      <c r="U788" s="367"/>
      <c r="V788" s="367"/>
      <c r="W788" s="367"/>
      <c r="X788" s="367"/>
      <c r="Y788" s="367"/>
      <c r="Z788" s="367" t="s">
        <v>127</v>
      </c>
      <c r="AA788" s="367"/>
      <c r="AB788" s="150"/>
      <c r="AC788" s="48" t="s">
        <v>2654</v>
      </c>
      <c r="AD788" s="150" t="s">
        <v>169</v>
      </c>
      <c r="AE788" s="340">
        <v>46085</v>
      </c>
      <c r="AF788" s="340"/>
      <c r="AG788" s="344">
        <v>46174</v>
      </c>
      <c r="AH788" s="49">
        <v>46142</v>
      </c>
      <c r="AI788" s="266">
        <v>46122</v>
      </c>
      <c r="AJ788" s="150" t="s">
        <v>617</v>
      </c>
      <c r="AK788" s="150" t="s">
        <v>161</v>
      </c>
      <c r="AL788" s="150"/>
      <c r="AM788" s="150" t="s">
        <v>2086</v>
      </c>
      <c r="AN788" s="45">
        <v>46107</v>
      </c>
      <c r="AO788" s="367"/>
      <c r="AP788" s="367"/>
      <c r="AQ788" s="367"/>
      <c r="AR788" s="367"/>
      <c r="AS788" s="367"/>
      <c r="AT788" s="154"/>
      <c r="AU788" s="154"/>
      <c r="AV788" s="154"/>
      <c r="AW788" s="154"/>
      <c r="AX788" s="154"/>
      <c r="AY788" s="154"/>
      <c r="AZ788" s="154"/>
      <c r="BA788" s="154"/>
      <c r="BB788" s="152"/>
      <c r="BC788" s="152"/>
      <c r="BD788" s="367" t="s">
        <v>1605</v>
      </c>
      <c r="BE788" s="367"/>
      <c r="BF788" s="367"/>
      <c r="BG788" s="367"/>
      <c r="BH788" s="260"/>
      <c r="BI788" s="54"/>
      <c r="BJ788" s="54"/>
      <c r="BK788" s="54"/>
      <c r="BL788" s="54"/>
    </row>
    <row r="789" spans="1:66" ht="36" customHeight="1" x14ac:dyDescent="0.3">
      <c r="A789" s="367">
        <f t="shared" si="15"/>
        <v>784</v>
      </c>
      <c r="B789" s="54" t="s">
        <v>2655</v>
      </c>
      <c r="C789" s="367" t="s">
        <v>6</v>
      </c>
      <c r="D789" s="150" t="s">
        <v>2656</v>
      </c>
      <c r="E789" s="367"/>
      <c r="F789" s="367"/>
      <c r="G789" s="367"/>
      <c r="H789" s="367"/>
      <c r="I789" s="367"/>
      <c r="J789" s="54" t="s">
        <v>1524</v>
      </c>
      <c r="K789" s="48" t="s">
        <v>2643</v>
      </c>
      <c r="L789" s="150" t="s">
        <v>2598</v>
      </c>
      <c r="M789" s="150" t="s">
        <v>120</v>
      </c>
      <c r="N789" s="150" t="s">
        <v>2592</v>
      </c>
      <c r="O789" s="150" t="s">
        <v>2593</v>
      </c>
      <c r="P789" s="367">
        <v>4</v>
      </c>
      <c r="Q789" s="367">
        <v>3.7</v>
      </c>
      <c r="R789" s="367"/>
      <c r="S789" s="367">
        <v>100</v>
      </c>
      <c r="T789" s="367">
        <v>12</v>
      </c>
      <c r="U789" s="367"/>
      <c r="V789" s="367"/>
      <c r="W789" s="367"/>
      <c r="X789" s="367"/>
      <c r="Y789" s="367"/>
      <c r="Z789" s="367" t="s">
        <v>127</v>
      </c>
      <c r="AA789" s="367"/>
      <c r="AB789" s="150"/>
      <c r="AC789" s="48" t="s">
        <v>2657</v>
      </c>
      <c r="AD789" s="150" t="s">
        <v>1121</v>
      </c>
      <c r="AE789" s="340">
        <v>46085</v>
      </c>
      <c r="AF789" s="340"/>
      <c r="AG789" s="344">
        <v>46174</v>
      </c>
      <c r="AH789" s="49">
        <v>46172</v>
      </c>
      <c r="AI789" s="266">
        <v>46143</v>
      </c>
      <c r="AJ789" s="150" t="s">
        <v>617</v>
      </c>
      <c r="AK789" s="150" t="s">
        <v>190</v>
      </c>
      <c r="AL789" s="150" t="s">
        <v>175</v>
      </c>
      <c r="AM789" s="150" t="s">
        <v>2609</v>
      </c>
      <c r="AN789" s="45">
        <v>46120</v>
      </c>
      <c r="AO789" s="367"/>
      <c r="AP789" s="367"/>
      <c r="AQ789" s="367"/>
      <c r="AR789" s="367"/>
      <c r="AS789" s="367"/>
      <c r="AT789" s="154">
        <v>46134</v>
      </c>
      <c r="AU789" s="154"/>
      <c r="AV789" s="154"/>
      <c r="AW789" s="154">
        <v>46118</v>
      </c>
      <c r="AX789" s="154"/>
      <c r="AY789" s="154"/>
      <c r="AZ789" s="154"/>
      <c r="BA789" s="154"/>
      <c r="BB789" s="152" t="s">
        <v>2658</v>
      </c>
      <c r="BC789" s="152"/>
      <c r="BD789" s="367" t="s">
        <v>1605</v>
      </c>
      <c r="BE789" s="367"/>
      <c r="BF789" s="367"/>
      <c r="BG789" s="367"/>
      <c r="BH789" s="260"/>
      <c r="BI789" s="54"/>
      <c r="BJ789" s="54"/>
      <c r="BK789" s="54"/>
      <c r="BL789" s="54"/>
    </row>
    <row r="790" spans="1:66" ht="36" customHeight="1" x14ac:dyDescent="0.3">
      <c r="A790" s="367">
        <f t="shared" si="15"/>
        <v>785</v>
      </c>
      <c r="B790" s="54" t="s">
        <v>2659</v>
      </c>
      <c r="C790" s="367" t="s">
        <v>6</v>
      </c>
      <c r="D790" s="150" t="s">
        <v>2656</v>
      </c>
      <c r="E790" s="367"/>
      <c r="F790" s="367"/>
      <c r="G790" s="367"/>
      <c r="H790" s="367"/>
      <c r="I790" s="367"/>
      <c r="J790" s="54" t="s">
        <v>1524</v>
      </c>
      <c r="K790" s="48" t="s">
        <v>2643</v>
      </c>
      <c r="L790" s="150" t="s">
        <v>2598</v>
      </c>
      <c r="M790" s="150" t="s">
        <v>120</v>
      </c>
      <c r="N790" s="150" t="s">
        <v>2592</v>
      </c>
      <c r="O790" s="150" t="s">
        <v>2593</v>
      </c>
      <c r="P790" s="367">
        <v>4</v>
      </c>
      <c r="Q790" s="367">
        <v>3.7</v>
      </c>
      <c r="R790" s="367"/>
      <c r="S790" s="367">
        <v>100</v>
      </c>
      <c r="T790" s="367">
        <v>12</v>
      </c>
      <c r="U790" s="367"/>
      <c r="V790" s="367"/>
      <c r="W790" s="367"/>
      <c r="X790" s="367"/>
      <c r="Y790" s="367"/>
      <c r="Z790" s="367" t="s">
        <v>127</v>
      </c>
      <c r="AA790" s="367"/>
      <c r="AB790" s="150"/>
      <c r="AC790" s="48" t="s">
        <v>2657</v>
      </c>
      <c r="AD790" s="150" t="s">
        <v>1121</v>
      </c>
      <c r="AE790" s="340">
        <v>46085</v>
      </c>
      <c r="AF790" s="340"/>
      <c r="AG790" s="344">
        <v>46174</v>
      </c>
      <c r="AH790" s="49">
        <v>46172</v>
      </c>
      <c r="AI790" s="266">
        <v>46143</v>
      </c>
      <c r="AJ790" s="150" t="s">
        <v>617</v>
      </c>
      <c r="AK790" s="150" t="s">
        <v>190</v>
      </c>
      <c r="AL790" s="150" t="s">
        <v>175</v>
      </c>
      <c r="AM790" s="150" t="s">
        <v>2609</v>
      </c>
      <c r="AN790" s="45">
        <v>46120</v>
      </c>
      <c r="AO790" s="367"/>
      <c r="AP790" s="367"/>
      <c r="AQ790" s="367"/>
      <c r="AR790" s="367"/>
      <c r="AS790" s="367"/>
      <c r="AT790" s="154">
        <v>46134</v>
      </c>
      <c r="AU790" s="154"/>
      <c r="AV790" s="154"/>
      <c r="AW790" s="154">
        <v>46118</v>
      </c>
      <c r="AX790" s="154"/>
      <c r="AY790" s="154"/>
      <c r="AZ790" s="154"/>
      <c r="BA790" s="154"/>
      <c r="BB790" s="152" t="s">
        <v>2658</v>
      </c>
      <c r="BC790" s="152"/>
      <c r="BD790" s="367" t="s">
        <v>1605</v>
      </c>
      <c r="BE790" s="367"/>
      <c r="BF790" s="367"/>
      <c r="BG790" s="367"/>
      <c r="BH790" s="260"/>
      <c r="BI790" s="54"/>
      <c r="BJ790" s="54"/>
      <c r="BK790" s="54"/>
      <c r="BL790" s="54"/>
    </row>
    <row r="791" spans="1:66" ht="36" customHeight="1" x14ac:dyDescent="0.3">
      <c r="A791" s="367">
        <f t="shared" si="15"/>
        <v>786</v>
      </c>
      <c r="B791" s="54" t="s">
        <v>2660</v>
      </c>
      <c r="C791" s="367" t="s">
        <v>6</v>
      </c>
      <c r="D791" s="150" t="s">
        <v>2646</v>
      </c>
      <c r="E791" s="367"/>
      <c r="F791" s="367"/>
      <c r="G791" s="367"/>
      <c r="H791" s="367"/>
      <c r="I791" s="367" t="s">
        <v>2661</v>
      </c>
      <c r="J791" s="54" t="s">
        <v>1524</v>
      </c>
      <c r="K791" s="48" t="s">
        <v>2643</v>
      </c>
      <c r="L791" s="150" t="s">
        <v>2598</v>
      </c>
      <c r="M791" s="150" t="s">
        <v>120</v>
      </c>
      <c r="N791" s="150" t="s">
        <v>2592</v>
      </c>
      <c r="O791" s="150" t="s">
        <v>2593</v>
      </c>
      <c r="P791" s="367">
        <v>4</v>
      </c>
      <c r="Q791" s="367">
        <v>3.7</v>
      </c>
      <c r="R791" s="367"/>
      <c r="S791" s="367">
        <v>100</v>
      </c>
      <c r="T791" s="367">
        <v>12</v>
      </c>
      <c r="U791" s="367"/>
      <c r="V791" s="367"/>
      <c r="W791" s="367"/>
      <c r="X791" s="367"/>
      <c r="Y791" s="367"/>
      <c r="Z791" s="367" t="s">
        <v>127</v>
      </c>
      <c r="AA791" s="367"/>
      <c r="AB791" s="150" t="s">
        <v>215</v>
      </c>
      <c r="AC791" s="48" t="s">
        <v>2662</v>
      </c>
      <c r="AD791" s="150" t="s">
        <v>1163</v>
      </c>
      <c r="AE791" s="340">
        <v>46085</v>
      </c>
      <c r="AF791" s="340"/>
      <c r="AG791" s="344">
        <v>46174</v>
      </c>
      <c r="AH791" s="49">
        <v>46132</v>
      </c>
      <c r="AI791" s="266">
        <v>46122</v>
      </c>
      <c r="AJ791" s="150" t="s">
        <v>2334</v>
      </c>
      <c r="AK791" s="150" t="s">
        <v>190</v>
      </c>
      <c r="AL791" s="150"/>
      <c r="AM791" s="150" t="s">
        <v>209</v>
      </c>
      <c r="AN791" s="45">
        <v>46123</v>
      </c>
      <c r="AO791" s="367"/>
      <c r="AP791" s="367"/>
      <c r="AQ791" s="367"/>
      <c r="AR791" s="367"/>
      <c r="AS791" s="367"/>
      <c r="AT791" s="154">
        <v>46203</v>
      </c>
      <c r="AU791" s="154">
        <v>46189</v>
      </c>
      <c r="AV791" s="154">
        <v>46189</v>
      </c>
      <c r="AW791" s="154">
        <v>46115</v>
      </c>
      <c r="AX791" s="154"/>
      <c r="AY791" s="154"/>
      <c r="AZ791" s="154"/>
      <c r="BA791" s="154"/>
      <c r="BB791" s="152" t="s">
        <v>2663</v>
      </c>
      <c r="BC791" s="152"/>
      <c r="BD791" s="367" t="s">
        <v>1605</v>
      </c>
      <c r="BE791" s="367"/>
      <c r="BF791" s="367"/>
      <c r="BG791" s="367"/>
      <c r="BH791" s="260"/>
      <c r="BI791" s="54"/>
      <c r="BJ791" s="54"/>
      <c r="BK791" s="54"/>
      <c r="BL791" s="54"/>
    </row>
    <row r="792" spans="1:66" ht="36" customHeight="1" x14ac:dyDescent="0.3">
      <c r="A792" s="367">
        <f t="shared" si="15"/>
        <v>787</v>
      </c>
      <c r="B792" s="54" t="s">
        <v>2664</v>
      </c>
      <c r="C792" s="367" t="s">
        <v>6</v>
      </c>
      <c r="D792" s="150"/>
      <c r="E792" s="367"/>
      <c r="F792" s="367"/>
      <c r="G792" s="367"/>
      <c r="H792" s="367"/>
      <c r="I792" s="367" t="s">
        <v>2665</v>
      </c>
      <c r="J792" s="54" t="s">
        <v>1524</v>
      </c>
      <c r="K792" s="48" t="s">
        <v>2643</v>
      </c>
      <c r="L792" s="150" t="s">
        <v>2598</v>
      </c>
      <c r="M792" s="150" t="s">
        <v>120</v>
      </c>
      <c r="N792" s="150" t="s">
        <v>2592</v>
      </c>
      <c r="O792" s="150" t="s">
        <v>2593</v>
      </c>
      <c r="P792" s="367">
        <v>4</v>
      </c>
      <c r="Q792" s="367">
        <v>3.7</v>
      </c>
      <c r="R792" s="367"/>
      <c r="S792" s="367">
        <v>100</v>
      </c>
      <c r="T792" s="367">
        <v>12</v>
      </c>
      <c r="U792" s="367"/>
      <c r="V792" s="367"/>
      <c r="W792" s="367"/>
      <c r="X792" s="367"/>
      <c r="Y792" s="367"/>
      <c r="Z792" s="367" t="s">
        <v>127</v>
      </c>
      <c r="AA792" s="367"/>
      <c r="AB792" s="150"/>
      <c r="AC792" s="48" t="s">
        <v>2666</v>
      </c>
      <c r="AD792" s="150" t="s">
        <v>886</v>
      </c>
      <c r="AE792" s="340">
        <v>46085</v>
      </c>
      <c r="AF792" s="340">
        <v>46171</v>
      </c>
      <c r="AG792" s="344">
        <v>46174</v>
      </c>
      <c r="AH792" s="49">
        <v>46233</v>
      </c>
      <c r="AI792" s="266">
        <v>46204</v>
      </c>
      <c r="AJ792" s="150" t="s">
        <v>264</v>
      </c>
      <c r="AK792" s="150" t="s">
        <v>190</v>
      </c>
      <c r="AL792" s="150" t="s">
        <v>239</v>
      </c>
      <c r="AM792" s="150" t="s">
        <v>209</v>
      </c>
      <c r="AN792" s="45">
        <v>46112</v>
      </c>
      <c r="AO792" s="367"/>
      <c r="AP792" s="367"/>
      <c r="AQ792" s="367"/>
      <c r="AR792" s="367"/>
      <c r="AS792" s="367"/>
      <c r="AT792" s="154"/>
      <c r="AU792" s="154"/>
      <c r="AV792" s="154"/>
      <c r="AW792" s="154"/>
      <c r="AX792" s="154"/>
      <c r="AY792" s="154"/>
      <c r="AZ792" s="154"/>
      <c r="BA792" s="154"/>
      <c r="BB792" s="152"/>
      <c r="BC792" s="152"/>
      <c r="BD792" s="367" t="s">
        <v>1605</v>
      </c>
      <c r="BE792" s="367"/>
      <c r="BF792" s="367"/>
      <c r="BG792" s="367"/>
      <c r="BH792" s="260"/>
      <c r="BI792" s="54"/>
      <c r="BJ792" s="54"/>
      <c r="BK792" s="54"/>
      <c r="BL792" s="54"/>
    </row>
    <row r="793" spans="1:66" ht="36" customHeight="1" x14ac:dyDescent="0.3">
      <c r="A793" s="367">
        <f t="shared" si="15"/>
        <v>788</v>
      </c>
      <c r="B793" s="54" t="s">
        <v>2667</v>
      </c>
      <c r="C793" s="367" t="s">
        <v>6</v>
      </c>
      <c r="D793" s="351" t="s">
        <v>2646</v>
      </c>
      <c r="E793" s="45">
        <v>46180</v>
      </c>
      <c r="F793" s="45">
        <v>46180</v>
      </c>
      <c r="G793" s="367"/>
      <c r="H793" s="367"/>
      <c r="I793" s="367"/>
      <c r="J793" s="54" t="s">
        <v>1524</v>
      </c>
      <c r="K793" s="48" t="s">
        <v>2643</v>
      </c>
      <c r="L793" s="150" t="s">
        <v>2598</v>
      </c>
      <c r="M793" s="150" t="s">
        <v>120</v>
      </c>
      <c r="N793" s="150" t="s">
        <v>2592</v>
      </c>
      <c r="O793" s="150" t="s">
        <v>2593</v>
      </c>
      <c r="P793" s="367">
        <v>4</v>
      </c>
      <c r="Q793" s="367">
        <v>3.7</v>
      </c>
      <c r="R793" s="367"/>
      <c r="S793" s="367">
        <v>100</v>
      </c>
      <c r="T793" s="367">
        <v>12</v>
      </c>
      <c r="U793" s="367"/>
      <c r="V793" s="367"/>
      <c r="W793" s="367"/>
      <c r="X793" s="367"/>
      <c r="Y793" s="367"/>
      <c r="Z793" s="367" t="s">
        <v>127</v>
      </c>
      <c r="AA793" s="367"/>
      <c r="AB793" s="150"/>
      <c r="AC793" s="48" t="s">
        <v>2668</v>
      </c>
      <c r="AD793" s="150" t="s">
        <v>238</v>
      </c>
      <c r="AE793" s="340">
        <v>46085</v>
      </c>
      <c r="AF793" s="340"/>
      <c r="AG793" s="344">
        <v>46172</v>
      </c>
      <c r="AH793" s="49">
        <v>46173</v>
      </c>
      <c r="AI793" s="266">
        <v>46143</v>
      </c>
      <c r="AJ793" s="150" t="s">
        <v>330</v>
      </c>
      <c r="AK793" s="150" t="s">
        <v>190</v>
      </c>
      <c r="AL793" s="150" t="s">
        <v>239</v>
      </c>
      <c r="AM793" s="150" t="s">
        <v>2086</v>
      </c>
      <c r="AN793" s="45">
        <v>46111</v>
      </c>
      <c r="AO793" s="367"/>
      <c r="AP793" s="367"/>
      <c r="AQ793" s="367"/>
      <c r="AR793" s="367"/>
      <c r="AS793" s="367"/>
      <c r="AT793" s="154">
        <v>46147</v>
      </c>
      <c r="AU793" s="154">
        <v>46129</v>
      </c>
      <c r="AV793" s="154">
        <v>46132</v>
      </c>
      <c r="AW793" s="154">
        <v>46118</v>
      </c>
      <c r="AX793" s="154"/>
      <c r="AY793" s="154"/>
      <c r="AZ793" s="154">
        <v>46162</v>
      </c>
      <c r="BA793" s="154"/>
      <c r="BB793" s="152"/>
      <c r="BC793" s="152"/>
      <c r="BD793" s="367" t="s">
        <v>1605</v>
      </c>
      <c r="BE793" s="367"/>
      <c r="BF793" s="367"/>
      <c r="BG793" s="367"/>
      <c r="BH793" s="260"/>
      <c r="BI793" s="54"/>
      <c r="BJ793" s="54"/>
      <c r="BK793" s="54"/>
      <c r="BL793" s="54"/>
      <c r="BM793" s="357">
        <v>46135</v>
      </c>
      <c r="BN793" s="358">
        <v>46136</v>
      </c>
    </row>
    <row r="794" spans="1:66" ht="36" customHeight="1" x14ac:dyDescent="0.3">
      <c r="A794" s="367">
        <f t="shared" si="15"/>
        <v>789</v>
      </c>
      <c r="B794" s="54" t="s">
        <v>2669</v>
      </c>
      <c r="C794" s="367" t="s">
        <v>6</v>
      </c>
      <c r="D794" s="367" t="s">
        <v>262</v>
      </c>
      <c r="E794" s="367"/>
      <c r="F794" s="367"/>
      <c r="G794" s="367"/>
      <c r="H794" s="367"/>
      <c r="I794" s="367"/>
      <c r="J794" s="54" t="s">
        <v>1524</v>
      </c>
      <c r="K794" s="48" t="s">
        <v>2643</v>
      </c>
      <c r="L794" s="150" t="s">
        <v>2598</v>
      </c>
      <c r="M794" s="150" t="s">
        <v>120</v>
      </c>
      <c r="N794" s="150" t="s">
        <v>2592</v>
      </c>
      <c r="O794" s="150" t="s">
        <v>2593</v>
      </c>
      <c r="P794" s="367">
        <v>4</v>
      </c>
      <c r="Q794" s="367">
        <v>3.7</v>
      </c>
      <c r="R794" s="367"/>
      <c r="S794" s="367">
        <v>100</v>
      </c>
      <c r="T794" s="367">
        <v>12</v>
      </c>
      <c r="U794" s="367"/>
      <c r="V794" s="367"/>
      <c r="W794" s="367"/>
      <c r="X794" s="367"/>
      <c r="Y794" s="367"/>
      <c r="Z794" s="367" t="s">
        <v>127</v>
      </c>
      <c r="AA794" s="367"/>
      <c r="AB794" s="150"/>
      <c r="AC794" s="48" t="s">
        <v>2670</v>
      </c>
      <c r="AD794" s="150" t="s">
        <v>2671</v>
      </c>
      <c r="AE794" s="340">
        <v>46085</v>
      </c>
      <c r="AF794" s="340"/>
      <c r="AG794" s="344">
        <v>46174</v>
      </c>
      <c r="AH794" s="49"/>
      <c r="AI794" s="266"/>
      <c r="AJ794" s="150" t="s">
        <v>264</v>
      </c>
      <c r="AK794" s="150" t="s">
        <v>190</v>
      </c>
      <c r="AL794" s="150" t="s">
        <v>191</v>
      </c>
      <c r="AM794" s="150" t="s">
        <v>134</v>
      </c>
      <c r="AN794" s="45">
        <v>46135</v>
      </c>
      <c r="AO794" s="367"/>
      <c r="AP794" s="367"/>
      <c r="AQ794" s="367"/>
      <c r="AR794" s="367"/>
      <c r="AS794" s="367"/>
      <c r="AT794" s="154"/>
      <c r="AU794" s="154"/>
      <c r="AV794" s="154"/>
      <c r="AW794" s="154"/>
      <c r="AX794" s="154"/>
      <c r="AY794" s="154"/>
      <c r="AZ794" s="154"/>
      <c r="BA794" s="154"/>
      <c r="BB794" s="152"/>
      <c r="BC794" s="152"/>
      <c r="BD794" s="367" t="s">
        <v>1605</v>
      </c>
      <c r="BE794" s="367"/>
      <c r="BF794" s="367"/>
      <c r="BG794" s="367"/>
      <c r="BH794" s="260"/>
      <c r="BI794" s="54"/>
      <c r="BJ794" s="54"/>
      <c r="BK794" s="54"/>
      <c r="BL794" s="54"/>
    </row>
    <row r="795" spans="1:66" ht="36" customHeight="1" x14ac:dyDescent="0.3">
      <c r="A795" s="367">
        <f t="shared" si="15"/>
        <v>790</v>
      </c>
      <c r="B795" s="54" t="s">
        <v>2672</v>
      </c>
      <c r="C795" s="367" t="s">
        <v>6</v>
      </c>
      <c r="D795" s="351" t="s">
        <v>2597</v>
      </c>
      <c r="E795" s="45">
        <v>46183</v>
      </c>
      <c r="F795" s="45">
        <v>46183</v>
      </c>
      <c r="G795" s="367"/>
      <c r="H795" s="367"/>
      <c r="I795" s="367" t="s">
        <v>2673</v>
      </c>
      <c r="J795" s="54" t="s">
        <v>1524</v>
      </c>
      <c r="K795" s="48" t="s">
        <v>2643</v>
      </c>
      <c r="L795" s="150" t="s">
        <v>2598</v>
      </c>
      <c r="M795" s="150" t="s">
        <v>120</v>
      </c>
      <c r="N795" s="150" t="s">
        <v>2592</v>
      </c>
      <c r="O795" s="150" t="s">
        <v>2593</v>
      </c>
      <c r="P795" s="367">
        <v>4</v>
      </c>
      <c r="Q795" s="367">
        <v>3.7</v>
      </c>
      <c r="R795" s="367"/>
      <c r="S795" s="367">
        <v>100</v>
      </c>
      <c r="T795" s="367">
        <v>12</v>
      </c>
      <c r="U795" s="367"/>
      <c r="V795" s="367"/>
      <c r="W795" s="367"/>
      <c r="X795" s="367"/>
      <c r="Y795" s="367"/>
      <c r="Z795" s="367" t="s">
        <v>127</v>
      </c>
      <c r="AA795" s="367"/>
      <c r="AB795" s="150" t="s">
        <v>215</v>
      </c>
      <c r="AC795" s="48" t="s">
        <v>2674</v>
      </c>
      <c r="AD795" s="150" t="s">
        <v>1079</v>
      </c>
      <c r="AE795" s="340">
        <v>46085</v>
      </c>
      <c r="AF795" s="340"/>
      <c r="AG795" s="344">
        <v>46183</v>
      </c>
      <c r="AH795" s="49">
        <v>46184</v>
      </c>
      <c r="AI795" s="266">
        <v>46174</v>
      </c>
      <c r="AJ795" s="150" t="s">
        <v>330</v>
      </c>
      <c r="AK795" s="150" t="s">
        <v>161</v>
      </c>
      <c r="AL795" s="150" t="s">
        <v>239</v>
      </c>
      <c r="AM795" s="150" t="s">
        <v>2079</v>
      </c>
      <c r="AN795" s="45">
        <v>46107</v>
      </c>
      <c r="AO795" s="367"/>
      <c r="AP795" s="367"/>
      <c r="AQ795" s="367"/>
      <c r="AR795" s="367"/>
      <c r="AS795" s="367"/>
      <c r="AT795" s="154">
        <v>46134</v>
      </c>
      <c r="AU795" s="359" t="s">
        <v>2600</v>
      </c>
      <c r="AV795" s="154">
        <v>46147</v>
      </c>
      <c r="AW795" s="154">
        <v>46115</v>
      </c>
      <c r="AX795" s="154"/>
      <c r="AY795" s="154"/>
      <c r="AZ795" s="154">
        <v>46153</v>
      </c>
      <c r="BA795" s="154"/>
      <c r="BB795" s="152"/>
      <c r="BC795" s="152"/>
      <c r="BD795" s="367" t="s">
        <v>1605</v>
      </c>
      <c r="BE795" s="367"/>
      <c r="BF795" s="367"/>
      <c r="BG795" s="367"/>
      <c r="BH795" s="260"/>
      <c r="BI795" s="54"/>
      <c r="BJ795" s="54"/>
      <c r="BK795" s="54"/>
      <c r="BL795" s="54"/>
      <c r="BM795" s="357">
        <v>46135</v>
      </c>
      <c r="BN795" s="358">
        <v>46136</v>
      </c>
    </row>
    <row r="796" spans="1:66" ht="36" customHeight="1" x14ac:dyDescent="0.3">
      <c r="A796" s="367">
        <f t="shared" si="15"/>
        <v>791</v>
      </c>
      <c r="B796" s="54" t="s">
        <v>2675</v>
      </c>
      <c r="C796" s="367" t="s">
        <v>6</v>
      </c>
      <c r="D796" s="351" t="s">
        <v>2676</v>
      </c>
      <c r="E796" s="45">
        <v>46183</v>
      </c>
      <c r="F796" s="45">
        <v>46183</v>
      </c>
      <c r="G796" s="367"/>
      <c r="H796" s="367"/>
      <c r="I796" s="367" t="s">
        <v>2665</v>
      </c>
      <c r="J796" s="54" t="s">
        <v>1524</v>
      </c>
      <c r="K796" s="48" t="s">
        <v>2643</v>
      </c>
      <c r="L796" s="150" t="s">
        <v>2598</v>
      </c>
      <c r="M796" s="150" t="s">
        <v>120</v>
      </c>
      <c r="N796" s="150" t="s">
        <v>2592</v>
      </c>
      <c r="O796" s="150" t="s">
        <v>2593</v>
      </c>
      <c r="P796" s="367">
        <v>4</v>
      </c>
      <c r="Q796" s="367">
        <v>3.7</v>
      </c>
      <c r="R796" s="367"/>
      <c r="S796" s="367">
        <v>100</v>
      </c>
      <c r="T796" s="367">
        <v>12</v>
      </c>
      <c r="U796" s="367"/>
      <c r="V796" s="367"/>
      <c r="W796" s="367"/>
      <c r="X796" s="367"/>
      <c r="Y796" s="367"/>
      <c r="Z796" s="367" t="s">
        <v>127</v>
      </c>
      <c r="AA796" s="367"/>
      <c r="AB796" s="150"/>
      <c r="AC796" s="48" t="s">
        <v>2677</v>
      </c>
      <c r="AD796" s="150" t="s">
        <v>886</v>
      </c>
      <c r="AE796" s="340">
        <v>46085</v>
      </c>
      <c r="AF796" s="340"/>
      <c r="AG796" s="344">
        <v>46183</v>
      </c>
      <c r="AH796" s="49">
        <v>46183</v>
      </c>
      <c r="AI796" s="266">
        <v>46157</v>
      </c>
      <c r="AJ796" s="150" t="s">
        <v>330</v>
      </c>
      <c r="AK796" s="150" t="s">
        <v>190</v>
      </c>
      <c r="AL796" s="150" t="s">
        <v>239</v>
      </c>
      <c r="AM796" s="150" t="s">
        <v>2079</v>
      </c>
      <c r="AN796" s="45">
        <v>46112</v>
      </c>
      <c r="AO796" s="367"/>
      <c r="AP796" s="367"/>
      <c r="AQ796" s="367"/>
      <c r="AR796" s="367"/>
      <c r="AS796" s="367"/>
      <c r="AT796" s="154">
        <v>46137</v>
      </c>
      <c r="AU796" s="154">
        <v>46124</v>
      </c>
      <c r="AV796" s="154">
        <v>46122</v>
      </c>
      <c r="AW796" s="154">
        <v>46115</v>
      </c>
      <c r="AX796" s="154"/>
      <c r="AY796" s="154"/>
      <c r="AZ796" s="154">
        <v>46153</v>
      </c>
      <c r="BA796" s="154"/>
      <c r="BB796" s="152" t="s">
        <v>2604</v>
      </c>
      <c r="BC796" s="152"/>
      <c r="BD796" s="367" t="s">
        <v>1605</v>
      </c>
      <c r="BE796" s="367"/>
      <c r="BF796" s="367"/>
      <c r="BG796" s="367"/>
      <c r="BH796" s="260"/>
      <c r="BI796" s="54"/>
      <c r="BJ796" s="54"/>
      <c r="BK796" s="54"/>
      <c r="BL796" s="54"/>
      <c r="BN796" s="358">
        <v>46136</v>
      </c>
    </row>
    <row r="797" spans="1:66" ht="36" customHeight="1" x14ac:dyDescent="0.3">
      <c r="A797" s="367">
        <f t="shared" si="15"/>
        <v>792</v>
      </c>
      <c r="B797" s="54" t="s">
        <v>2678</v>
      </c>
      <c r="C797" s="367" t="s">
        <v>6</v>
      </c>
      <c r="D797" s="351" t="s">
        <v>2679</v>
      </c>
      <c r="E797" s="45">
        <v>46179</v>
      </c>
      <c r="F797" s="45">
        <v>46183</v>
      </c>
      <c r="G797" s="367"/>
      <c r="H797" s="367"/>
      <c r="I797" s="367" t="s">
        <v>2665</v>
      </c>
      <c r="J797" s="54" t="s">
        <v>1524</v>
      </c>
      <c r="K797" s="48" t="s">
        <v>2680</v>
      </c>
      <c r="L797" s="150" t="s">
        <v>2591</v>
      </c>
      <c r="M797" s="150" t="s">
        <v>120</v>
      </c>
      <c r="N797" s="150" t="s">
        <v>2592</v>
      </c>
      <c r="O797" s="150" t="s">
        <v>2593</v>
      </c>
      <c r="P797" s="367">
        <v>4</v>
      </c>
      <c r="Q797" s="367">
        <v>3.7</v>
      </c>
      <c r="R797" s="367"/>
      <c r="S797" s="367">
        <v>100</v>
      </c>
      <c r="T797" s="367">
        <v>12</v>
      </c>
      <c r="U797" s="367"/>
      <c r="V797" s="367"/>
      <c r="W797" s="367"/>
      <c r="X797" s="367"/>
      <c r="Y797" s="367"/>
      <c r="Z797" s="367"/>
      <c r="AA797" s="367"/>
      <c r="AB797" s="150"/>
      <c r="AC797" s="48" t="s">
        <v>2681</v>
      </c>
      <c r="AD797" s="150" t="s">
        <v>886</v>
      </c>
      <c r="AE797" s="340">
        <v>46085</v>
      </c>
      <c r="AF797" s="340">
        <v>46171</v>
      </c>
      <c r="AG797" s="344">
        <v>46183</v>
      </c>
      <c r="AH797" s="49">
        <v>46183</v>
      </c>
      <c r="AI797" s="266">
        <v>46143</v>
      </c>
      <c r="AJ797" s="150" t="s">
        <v>330</v>
      </c>
      <c r="AK797" s="150" t="s">
        <v>190</v>
      </c>
      <c r="AL797" s="150" t="s">
        <v>239</v>
      </c>
      <c r="AM797" s="150" t="s">
        <v>2079</v>
      </c>
      <c r="AN797" s="45">
        <v>46112</v>
      </c>
      <c r="AO797" s="367"/>
      <c r="AP797" s="367"/>
      <c r="AQ797" s="367"/>
      <c r="AR797" s="367"/>
      <c r="AS797" s="367"/>
      <c r="AT797" s="154">
        <v>46137</v>
      </c>
      <c r="AU797" s="154">
        <v>46124</v>
      </c>
      <c r="AV797" s="154">
        <v>46122</v>
      </c>
      <c r="AW797" s="154">
        <v>46115</v>
      </c>
      <c r="AX797" s="154"/>
      <c r="AY797" s="154"/>
      <c r="AZ797" s="154">
        <v>46153</v>
      </c>
      <c r="BA797" s="154"/>
      <c r="BB797" s="152" t="s">
        <v>2604</v>
      </c>
      <c r="BC797" s="152"/>
      <c r="BD797" s="367" t="s">
        <v>1605</v>
      </c>
      <c r="BE797" s="367"/>
      <c r="BF797" s="367"/>
      <c r="BG797" s="367"/>
      <c r="BH797" s="260"/>
      <c r="BI797" s="54"/>
      <c r="BJ797" s="54"/>
      <c r="BK797" s="54"/>
      <c r="BL797" s="54"/>
      <c r="BN797" s="358">
        <v>46136</v>
      </c>
    </row>
    <row r="798" spans="1:66" ht="36" customHeight="1" x14ac:dyDescent="0.3">
      <c r="A798" s="367">
        <f t="shared" si="15"/>
        <v>793</v>
      </c>
      <c r="B798" s="54" t="s">
        <v>2682</v>
      </c>
      <c r="C798" s="367" t="s">
        <v>6</v>
      </c>
      <c r="D798" s="351" t="s">
        <v>2683</v>
      </c>
      <c r="E798" s="45">
        <v>46183</v>
      </c>
      <c r="F798" s="45">
        <v>46183</v>
      </c>
      <c r="G798" s="367"/>
      <c r="H798" s="367"/>
      <c r="I798" s="367" t="s">
        <v>2647</v>
      </c>
      <c r="J798" s="54" t="s">
        <v>1524</v>
      </c>
      <c r="K798" s="48" t="s">
        <v>2680</v>
      </c>
      <c r="L798" s="150" t="s">
        <v>2591</v>
      </c>
      <c r="M798" s="150" t="s">
        <v>120</v>
      </c>
      <c r="N798" s="150" t="s">
        <v>2592</v>
      </c>
      <c r="O798" s="150" t="s">
        <v>2593</v>
      </c>
      <c r="P798" s="367">
        <v>4</v>
      </c>
      <c r="Q798" s="367">
        <v>3.7</v>
      </c>
      <c r="R798" s="367"/>
      <c r="S798" s="367">
        <v>100</v>
      </c>
      <c r="T798" s="367">
        <v>12</v>
      </c>
      <c r="U798" s="367"/>
      <c r="V798" s="367"/>
      <c r="W798" s="367"/>
      <c r="X798" s="367"/>
      <c r="Y798" s="367"/>
      <c r="Z798" s="367"/>
      <c r="AA798" s="367"/>
      <c r="AB798" s="150" t="s">
        <v>215</v>
      </c>
      <c r="AC798" s="48" t="s">
        <v>2630</v>
      </c>
      <c r="AD798" s="150" t="s">
        <v>1079</v>
      </c>
      <c r="AE798" s="340">
        <v>46085</v>
      </c>
      <c r="AF798" s="340">
        <v>46162</v>
      </c>
      <c r="AG798" s="344">
        <v>46183</v>
      </c>
      <c r="AH798" s="49">
        <v>46183</v>
      </c>
      <c r="AI798" s="266">
        <v>46143</v>
      </c>
      <c r="AJ798" s="150" t="s">
        <v>330</v>
      </c>
      <c r="AK798" s="150" t="s">
        <v>161</v>
      </c>
      <c r="AL798" s="150" t="s">
        <v>239</v>
      </c>
      <c r="AM798" s="150" t="s">
        <v>2079</v>
      </c>
      <c r="AN798" s="45">
        <v>46165</v>
      </c>
      <c r="AO798" s="367"/>
      <c r="AP798" s="367"/>
      <c r="AQ798" s="367"/>
      <c r="AR798" s="367"/>
      <c r="AS798" s="367"/>
      <c r="AT798" s="154">
        <v>46134</v>
      </c>
      <c r="AU798" s="359" t="s">
        <v>2600</v>
      </c>
      <c r="AV798" s="154">
        <v>46147</v>
      </c>
      <c r="AW798" s="154">
        <v>46115</v>
      </c>
      <c r="AX798" s="154"/>
      <c r="AY798" s="154"/>
      <c r="AZ798" s="154">
        <v>46153</v>
      </c>
      <c r="BA798" s="154"/>
      <c r="BB798" s="152"/>
      <c r="BC798" s="152"/>
      <c r="BD798" s="367" t="s">
        <v>1605</v>
      </c>
      <c r="BE798" s="367"/>
      <c r="BF798" s="367"/>
      <c r="BG798" s="367"/>
      <c r="BH798" s="260"/>
      <c r="BI798" s="54"/>
      <c r="BJ798" s="54"/>
      <c r="BK798" s="54"/>
      <c r="BL798" s="54"/>
      <c r="BN798" s="358">
        <v>46136</v>
      </c>
    </row>
    <row r="799" spans="1:66" ht="36" customHeight="1" x14ac:dyDescent="0.3">
      <c r="A799" s="367">
        <f t="shared" si="15"/>
        <v>794</v>
      </c>
      <c r="B799" s="54" t="s">
        <v>2684</v>
      </c>
      <c r="C799" s="367" t="s">
        <v>6</v>
      </c>
      <c r="D799" s="351" t="s">
        <v>2607</v>
      </c>
      <c r="E799" s="45">
        <v>46171</v>
      </c>
      <c r="F799" s="45">
        <v>46171</v>
      </c>
      <c r="G799" s="45">
        <v>46178</v>
      </c>
      <c r="H799" s="367"/>
      <c r="I799" s="367" t="s">
        <v>2685</v>
      </c>
      <c r="J799" s="54" t="s">
        <v>1524</v>
      </c>
      <c r="K799" s="48" t="s">
        <v>2680</v>
      </c>
      <c r="L799" s="150" t="s">
        <v>2591</v>
      </c>
      <c r="M799" s="150" t="s">
        <v>120</v>
      </c>
      <c r="N799" s="150" t="s">
        <v>2592</v>
      </c>
      <c r="O799" s="150" t="s">
        <v>2593</v>
      </c>
      <c r="P799" s="367">
        <v>4</v>
      </c>
      <c r="Q799" s="367">
        <v>3.7</v>
      </c>
      <c r="R799" s="367"/>
      <c r="S799" s="367">
        <v>100</v>
      </c>
      <c r="T799" s="367">
        <v>12</v>
      </c>
      <c r="U799" s="367"/>
      <c r="V799" s="367"/>
      <c r="W799" s="367"/>
      <c r="X799" s="367"/>
      <c r="Y799" s="367"/>
      <c r="Z799" s="367"/>
      <c r="AA799" s="367"/>
      <c r="AB799" s="150"/>
      <c r="AC799" s="48" t="s">
        <v>2686</v>
      </c>
      <c r="AD799" s="150" t="s">
        <v>1121</v>
      </c>
      <c r="AE799" s="340">
        <v>46085</v>
      </c>
      <c r="AF799" s="340"/>
      <c r="AG799" s="344">
        <v>46183</v>
      </c>
      <c r="AH799" s="49">
        <v>46180</v>
      </c>
      <c r="AI799" s="266">
        <v>46143</v>
      </c>
      <c r="AJ799" s="150" t="s">
        <v>131</v>
      </c>
      <c r="AK799" s="150" t="s">
        <v>190</v>
      </c>
      <c r="AL799" s="150" t="s">
        <v>175</v>
      </c>
      <c r="AM799" s="150" t="s">
        <v>2609</v>
      </c>
      <c r="AN799" s="45">
        <v>46129</v>
      </c>
      <c r="AO799" s="367"/>
      <c r="AP799" s="367"/>
      <c r="AQ799" s="367"/>
      <c r="AR799" s="367"/>
      <c r="AS799" s="367"/>
      <c r="AT799" s="154">
        <v>46132</v>
      </c>
      <c r="AU799" s="154">
        <v>46115</v>
      </c>
      <c r="AV799" s="154">
        <v>46122</v>
      </c>
      <c r="AW799" s="154">
        <v>46118</v>
      </c>
      <c r="AX799" s="154"/>
      <c r="AY799" s="154"/>
      <c r="AZ799" s="154">
        <v>46153</v>
      </c>
      <c r="BA799" s="154"/>
      <c r="BB799" s="152"/>
      <c r="BC799" s="152"/>
      <c r="BD799" s="367" t="s">
        <v>1605</v>
      </c>
      <c r="BE799" s="367"/>
      <c r="BF799" s="367"/>
      <c r="BG799" s="367"/>
      <c r="BH799" s="260"/>
      <c r="BI799" s="54"/>
      <c r="BJ799" s="54"/>
      <c r="BK799" s="54"/>
      <c r="BL799" s="54"/>
      <c r="BM799" s="357">
        <v>46135</v>
      </c>
      <c r="BN799" s="358">
        <v>46136</v>
      </c>
    </row>
    <row r="800" spans="1:66" ht="36" customHeight="1" x14ac:dyDescent="0.3">
      <c r="A800" s="367">
        <f t="shared" si="15"/>
        <v>795</v>
      </c>
      <c r="B800" s="54" t="s">
        <v>2687</v>
      </c>
      <c r="C800" s="367" t="s">
        <v>6</v>
      </c>
      <c r="D800" s="367" t="s">
        <v>2688</v>
      </c>
      <c r="E800" s="367" t="s">
        <v>2636</v>
      </c>
      <c r="F800" s="45">
        <v>46188</v>
      </c>
      <c r="G800" s="367"/>
      <c r="H800" s="367"/>
      <c r="I800" s="367" t="s">
        <v>2689</v>
      </c>
      <c r="J800" s="54" t="s">
        <v>1524</v>
      </c>
      <c r="K800" s="48" t="s">
        <v>2680</v>
      </c>
      <c r="L800" s="150" t="s">
        <v>2591</v>
      </c>
      <c r="M800" s="150" t="s">
        <v>120</v>
      </c>
      <c r="N800" s="150" t="s">
        <v>2592</v>
      </c>
      <c r="O800" s="150" t="s">
        <v>2593</v>
      </c>
      <c r="P800" s="367">
        <v>4</v>
      </c>
      <c r="Q800" s="367">
        <v>3.7</v>
      </c>
      <c r="R800" s="367"/>
      <c r="S800" s="367">
        <v>100</v>
      </c>
      <c r="T800" s="367">
        <v>12</v>
      </c>
      <c r="U800" s="367"/>
      <c r="V800" s="367" t="s">
        <v>127</v>
      </c>
      <c r="W800" s="367"/>
      <c r="X800" s="150" t="s">
        <v>2638</v>
      </c>
      <c r="Y800" s="367" t="s">
        <v>127</v>
      </c>
      <c r="Z800" s="367"/>
      <c r="AA800" s="367"/>
      <c r="AB800" s="150" t="s">
        <v>215</v>
      </c>
      <c r="AC800" s="48" t="s">
        <v>2690</v>
      </c>
      <c r="AD800" s="150" t="s">
        <v>1150</v>
      </c>
      <c r="AE800" s="340">
        <v>46085</v>
      </c>
      <c r="AF800" s="340"/>
      <c r="AG800" s="344">
        <v>46183</v>
      </c>
      <c r="AH800" s="49">
        <v>46191</v>
      </c>
      <c r="AI800" s="266">
        <v>46143</v>
      </c>
      <c r="AJ800" s="150" t="s">
        <v>648</v>
      </c>
      <c r="AK800" s="150"/>
      <c r="AL800" s="150"/>
      <c r="AM800" s="150" t="s">
        <v>2079</v>
      </c>
      <c r="AN800" s="332"/>
      <c r="AO800" s="367"/>
      <c r="AP800" s="367"/>
      <c r="AQ800" s="367"/>
      <c r="AR800" s="367"/>
      <c r="AS800" s="367"/>
      <c r="AT800" s="154"/>
      <c r="AU800" s="154"/>
      <c r="AV800" s="154"/>
      <c r="AW800" s="154"/>
      <c r="AX800" s="154"/>
      <c r="AY800" s="154"/>
      <c r="AZ800" s="154"/>
      <c r="BA800" s="154"/>
      <c r="BB800" s="152" t="s">
        <v>2468</v>
      </c>
      <c r="BC800" s="152"/>
      <c r="BD800" s="367" t="s">
        <v>1605</v>
      </c>
      <c r="BE800" s="367"/>
      <c r="BF800" s="367"/>
      <c r="BG800" s="367"/>
      <c r="BH800" s="260"/>
      <c r="BI800" s="54"/>
      <c r="BJ800" s="54"/>
      <c r="BK800" s="54"/>
      <c r="BL800" s="54"/>
      <c r="BM800" s="357">
        <v>46135</v>
      </c>
      <c r="BN800" s="358">
        <v>46136</v>
      </c>
    </row>
    <row r="801" spans="1:66" ht="36" customHeight="1" x14ac:dyDescent="0.3">
      <c r="A801" s="367">
        <f t="shared" si="15"/>
        <v>796</v>
      </c>
      <c r="B801" s="54" t="s">
        <v>2691</v>
      </c>
      <c r="C801" s="367" t="s">
        <v>6</v>
      </c>
      <c r="D801" s="354" t="s">
        <v>2641</v>
      </c>
      <c r="E801" s="367"/>
      <c r="F801" s="367"/>
      <c r="G801" s="367"/>
      <c r="H801" s="367"/>
      <c r="I801" s="367" t="s">
        <v>2692</v>
      </c>
      <c r="J801" s="54" t="s">
        <v>1524</v>
      </c>
      <c r="K801" s="48" t="s">
        <v>2693</v>
      </c>
      <c r="L801" s="150" t="s">
        <v>2591</v>
      </c>
      <c r="M801" s="150" t="s">
        <v>120</v>
      </c>
      <c r="N801" s="150" t="s">
        <v>2592</v>
      </c>
      <c r="O801" s="150" t="s">
        <v>2593</v>
      </c>
      <c r="P801" s="367">
        <v>4</v>
      </c>
      <c r="Q801" s="367">
        <v>3.7</v>
      </c>
      <c r="R801" s="367"/>
      <c r="S801" s="367">
        <v>100</v>
      </c>
      <c r="T801" s="367">
        <v>12</v>
      </c>
      <c r="U801" s="367"/>
      <c r="V801" s="367"/>
      <c r="W801" s="367"/>
      <c r="X801" s="367" t="s">
        <v>1111</v>
      </c>
      <c r="Y801" s="367"/>
      <c r="Z801" s="367"/>
      <c r="AA801" s="367" t="s">
        <v>127</v>
      </c>
      <c r="AB801" s="150" t="s">
        <v>2562</v>
      </c>
      <c r="AC801" s="48" t="s">
        <v>2694</v>
      </c>
      <c r="AD801" s="150" t="s">
        <v>1154</v>
      </c>
      <c r="AE801" s="340">
        <v>46085</v>
      </c>
      <c r="AF801" s="340"/>
      <c r="AG801" s="344">
        <v>46172</v>
      </c>
      <c r="AH801" s="49">
        <v>46223</v>
      </c>
      <c r="AI801" s="266">
        <v>46174</v>
      </c>
      <c r="AJ801" s="150" t="s">
        <v>2334</v>
      </c>
      <c r="AK801" s="150" t="s">
        <v>200</v>
      </c>
      <c r="AL801" s="150" t="s">
        <v>175</v>
      </c>
      <c r="AM801" s="150" t="s">
        <v>134</v>
      </c>
      <c r="AN801" s="45">
        <v>46191</v>
      </c>
      <c r="AO801" s="367"/>
      <c r="AP801" s="367"/>
      <c r="AQ801" s="367"/>
      <c r="AR801" s="367"/>
      <c r="AS801" s="367"/>
      <c r="AT801" s="154">
        <v>46188</v>
      </c>
      <c r="AU801" s="154">
        <v>46153</v>
      </c>
      <c r="AV801" s="154">
        <v>46168</v>
      </c>
      <c r="AW801" s="154">
        <v>46132</v>
      </c>
      <c r="AX801" s="154"/>
      <c r="AY801" s="154"/>
      <c r="AZ801" s="154"/>
      <c r="BA801" s="154"/>
      <c r="BB801" s="152" t="s">
        <v>2468</v>
      </c>
      <c r="BC801" s="152"/>
      <c r="BD801" s="367" t="s">
        <v>1605</v>
      </c>
      <c r="BE801" s="367"/>
      <c r="BF801" s="367"/>
      <c r="BG801" s="367"/>
      <c r="BH801" s="260"/>
      <c r="BI801" s="54"/>
      <c r="BJ801" s="54"/>
      <c r="BK801" s="54"/>
      <c r="BL801" s="54" t="s">
        <v>2595</v>
      </c>
      <c r="BM801" s="357">
        <v>46135</v>
      </c>
      <c r="BN801" s="358">
        <v>46136</v>
      </c>
    </row>
    <row r="802" spans="1:66" ht="36" customHeight="1" x14ac:dyDescent="0.3">
      <c r="A802" s="367">
        <f t="shared" si="15"/>
        <v>797</v>
      </c>
      <c r="B802" s="54" t="s">
        <v>2695</v>
      </c>
      <c r="C802" s="367" t="s">
        <v>6</v>
      </c>
      <c r="D802" s="150" t="s">
        <v>2646</v>
      </c>
      <c r="E802" s="367"/>
      <c r="F802" s="367"/>
      <c r="G802" s="367"/>
      <c r="H802" s="367"/>
      <c r="I802" s="367" t="s">
        <v>2647</v>
      </c>
      <c r="J802" s="54" t="s">
        <v>1524</v>
      </c>
      <c r="K802" s="48" t="s">
        <v>2693</v>
      </c>
      <c r="L802" s="150" t="s">
        <v>2591</v>
      </c>
      <c r="M802" s="150" t="s">
        <v>120</v>
      </c>
      <c r="N802" s="150" t="s">
        <v>2592</v>
      </c>
      <c r="O802" s="150" t="s">
        <v>2593</v>
      </c>
      <c r="P802" s="367">
        <v>4</v>
      </c>
      <c r="Q802" s="367">
        <v>3.7</v>
      </c>
      <c r="R802" s="367"/>
      <c r="S802" s="367">
        <v>100</v>
      </c>
      <c r="T802" s="367">
        <v>12</v>
      </c>
      <c r="U802" s="367"/>
      <c r="V802" s="367"/>
      <c r="W802" s="367"/>
      <c r="X802" s="367"/>
      <c r="Y802" s="367"/>
      <c r="Z802" s="367" t="s">
        <v>127</v>
      </c>
      <c r="AA802" s="367"/>
      <c r="AB802" s="150" t="s">
        <v>215</v>
      </c>
      <c r="AC802" s="48" t="s">
        <v>2648</v>
      </c>
      <c r="AD802" s="150" t="s">
        <v>1079</v>
      </c>
      <c r="AE802" s="340">
        <v>46085</v>
      </c>
      <c r="AF802" s="340"/>
      <c r="AG802" s="344">
        <v>46171</v>
      </c>
      <c r="AH802" s="49"/>
      <c r="AI802" s="266">
        <v>46127</v>
      </c>
      <c r="AJ802" s="150" t="s">
        <v>2334</v>
      </c>
      <c r="AK802" s="150" t="s">
        <v>161</v>
      </c>
      <c r="AL802" s="150" t="s">
        <v>239</v>
      </c>
      <c r="AM802" s="150" t="s">
        <v>2079</v>
      </c>
      <c r="AN802" s="45">
        <v>46107</v>
      </c>
      <c r="AO802" s="367"/>
      <c r="AP802" s="367"/>
      <c r="AQ802" s="367"/>
      <c r="AR802" s="367"/>
      <c r="AS802" s="367"/>
      <c r="AT802" s="154">
        <v>46134</v>
      </c>
      <c r="AU802" s="154">
        <v>46125</v>
      </c>
      <c r="AV802" s="154"/>
      <c r="AW802" s="154">
        <v>46115</v>
      </c>
      <c r="AX802" s="154"/>
      <c r="AY802" s="154"/>
      <c r="AZ802" s="154"/>
      <c r="BA802" s="154"/>
      <c r="BB802" s="152"/>
      <c r="BC802" s="152"/>
      <c r="BD802" s="367" t="s">
        <v>1605</v>
      </c>
      <c r="BE802" s="367"/>
      <c r="BF802" s="367"/>
      <c r="BG802" s="367"/>
      <c r="BH802" s="260"/>
      <c r="BI802" s="54"/>
      <c r="BJ802" s="54"/>
      <c r="BK802" s="54"/>
      <c r="BL802" s="54"/>
    </row>
    <row r="803" spans="1:66" ht="36" customHeight="1" x14ac:dyDescent="0.3">
      <c r="A803" s="367">
        <f t="shared" si="15"/>
        <v>798</v>
      </c>
      <c r="B803" s="54" t="s">
        <v>2696</v>
      </c>
      <c r="C803" s="367" t="s">
        <v>6</v>
      </c>
      <c r="D803" s="352" t="s">
        <v>2494</v>
      </c>
      <c r="E803" s="367"/>
      <c r="F803" s="367"/>
      <c r="G803" s="367"/>
      <c r="H803" s="367"/>
      <c r="I803" s="367" t="s">
        <v>2697</v>
      </c>
      <c r="J803" s="54" t="s">
        <v>1524</v>
      </c>
      <c r="K803" s="48" t="s">
        <v>2693</v>
      </c>
      <c r="L803" s="150" t="s">
        <v>2591</v>
      </c>
      <c r="M803" s="150" t="s">
        <v>120</v>
      </c>
      <c r="N803" s="150" t="s">
        <v>2592</v>
      </c>
      <c r="O803" s="150" t="s">
        <v>2593</v>
      </c>
      <c r="P803" s="367">
        <v>4</v>
      </c>
      <c r="Q803" s="367">
        <v>3.7</v>
      </c>
      <c r="R803" s="367"/>
      <c r="S803" s="367">
        <v>100</v>
      </c>
      <c r="T803" s="367">
        <v>12</v>
      </c>
      <c r="U803" s="367"/>
      <c r="V803" s="367"/>
      <c r="W803" s="367"/>
      <c r="X803" s="367"/>
      <c r="Y803" s="367"/>
      <c r="Z803" s="367" t="s">
        <v>127</v>
      </c>
      <c r="AA803" s="367"/>
      <c r="AB803" s="150"/>
      <c r="AC803" s="48" t="s">
        <v>2651</v>
      </c>
      <c r="AD803" s="150" t="s">
        <v>886</v>
      </c>
      <c r="AE803" s="340">
        <v>46085</v>
      </c>
      <c r="AF803" s="340"/>
      <c r="AG803" s="344">
        <v>46174</v>
      </c>
      <c r="AH803" s="49">
        <v>46172</v>
      </c>
      <c r="AI803" s="266">
        <v>46143</v>
      </c>
      <c r="AJ803" s="150" t="s">
        <v>617</v>
      </c>
      <c r="AK803" s="150" t="s">
        <v>190</v>
      </c>
      <c r="AL803" s="150" t="s">
        <v>239</v>
      </c>
      <c r="AM803" s="150" t="s">
        <v>2079</v>
      </c>
      <c r="AN803" s="45">
        <v>46112</v>
      </c>
      <c r="AO803" s="367"/>
      <c r="AP803" s="367"/>
      <c r="AQ803" s="367"/>
      <c r="AR803" s="367"/>
      <c r="AS803" s="367"/>
      <c r="AT803" s="154"/>
      <c r="AU803" s="154"/>
      <c r="AV803" s="154"/>
      <c r="AW803" s="154">
        <v>46115</v>
      </c>
      <c r="AX803" s="154"/>
      <c r="AY803" s="154"/>
      <c r="AZ803" s="154"/>
      <c r="BA803" s="154"/>
      <c r="BB803" s="152" t="s">
        <v>2698</v>
      </c>
      <c r="BC803" s="152"/>
      <c r="BD803" s="367" t="s">
        <v>1605</v>
      </c>
      <c r="BE803" s="367"/>
      <c r="BF803" s="367"/>
      <c r="BG803" s="367"/>
      <c r="BH803" s="260"/>
      <c r="BI803" s="54"/>
      <c r="BJ803" s="54"/>
      <c r="BK803" s="54"/>
      <c r="BL803" s="54"/>
    </row>
    <row r="804" spans="1:66" ht="36" customHeight="1" x14ac:dyDescent="0.3">
      <c r="A804" s="367">
        <f t="shared" si="15"/>
        <v>799</v>
      </c>
      <c r="B804" s="54" t="s">
        <v>2699</v>
      </c>
      <c r="C804" s="367" t="s">
        <v>6</v>
      </c>
      <c r="D804" s="353" t="s">
        <v>2700</v>
      </c>
      <c r="E804" s="367"/>
      <c r="F804" s="367"/>
      <c r="G804" s="367"/>
      <c r="H804" s="367"/>
      <c r="I804" s="367"/>
      <c r="J804" s="54" t="s">
        <v>1524</v>
      </c>
      <c r="K804" s="48" t="s">
        <v>2693</v>
      </c>
      <c r="L804" s="150" t="s">
        <v>2591</v>
      </c>
      <c r="M804" s="150" t="s">
        <v>120</v>
      </c>
      <c r="N804" s="150" t="s">
        <v>2592</v>
      </c>
      <c r="O804" s="150" t="s">
        <v>2593</v>
      </c>
      <c r="P804" s="367">
        <v>4</v>
      </c>
      <c r="Q804" s="367">
        <v>3.7</v>
      </c>
      <c r="R804" s="367"/>
      <c r="S804" s="367">
        <v>100</v>
      </c>
      <c r="T804" s="367">
        <v>12</v>
      </c>
      <c r="U804" s="367"/>
      <c r="V804" s="367"/>
      <c r="W804" s="367"/>
      <c r="X804" s="367"/>
      <c r="Y804" s="367"/>
      <c r="Z804" s="367" t="s">
        <v>127</v>
      </c>
      <c r="AA804" s="367"/>
      <c r="AB804" s="150"/>
      <c r="AC804" s="48" t="s">
        <v>2651</v>
      </c>
      <c r="AD804" s="150" t="s">
        <v>886</v>
      </c>
      <c r="AE804" s="340">
        <v>46085</v>
      </c>
      <c r="AF804" s="340"/>
      <c r="AG804" s="344">
        <v>46174</v>
      </c>
      <c r="AH804" s="49">
        <v>46203</v>
      </c>
      <c r="AI804" s="266">
        <v>46143</v>
      </c>
      <c r="AJ804" s="150" t="s">
        <v>617</v>
      </c>
      <c r="AK804" s="150" t="s">
        <v>190</v>
      </c>
      <c r="AL804" s="150" t="s">
        <v>239</v>
      </c>
      <c r="AM804" s="150" t="s">
        <v>2079</v>
      </c>
      <c r="AN804" s="45">
        <v>46112</v>
      </c>
      <c r="AO804" s="367"/>
      <c r="AP804" s="367"/>
      <c r="AQ804" s="367"/>
      <c r="AR804" s="367"/>
      <c r="AS804" s="367"/>
      <c r="AT804" s="154">
        <v>46134</v>
      </c>
      <c r="AU804" s="154"/>
      <c r="AV804" s="154"/>
      <c r="AW804" s="154">
        <v>46118</v>
      </c>
      <c r="AX804" s="154"/>
      <c r="AY804" s="154"/>
      <c r="AZ804" s="154"/>
      <c r="BA804" s="154"/>
      <c r="BB804" s="152"/>
      <c r="BC804" s="152"/>
      <c r="BD804" s="367" t="s">
        <v>1605</v>
      </c>
      <c r="BE804" s="367"/>
      <c r="BF804" s="367"/>
      <c r="BG804" s="367"/>
      <c r="BH804" s="260"/>
      <c r="BI804" s="54"/>
      <c r="BJ804" s="54"/>
      <c r="BK804" s="54"/>
      <c r="BL804" s="54"/>
    </row>
    <row r="805" spans="1:66" ht="36" customHeight="1" x14ac:dyDescent="0.3">
      <c r="A805" s="367">
        <f t="shared" si="15"/>
        <v>800</v>
      </c>
      <c r="B805" s="54" t="s">
        <v>2701</v>
      </c>
      <c r="C805" s="367" t="s">
        <v>6</v>
      </c>
      <c r="D805" s="367" t="s">
        <v>262</v>
      </c>
      <c r="E805" s="367"/>
      <c r="F805" s="367"/>
      <c r="G805" s="367"/>
      <c r="H805" s="367"/>
      <c r="I805" s="367"/>
      <c r="J805" s="54" t="s">
        <v>1524</v>
      </c>
      <c r="K805" s="48" t="s">
        <v>2693</v>
      </c>
      <c r="L805" s="150" t="s">
        <v>2598</v>
      </c>
      <c r="M805" s="150" t="s">
        <v>120</v>
      </c>
      <c r="N805" s="150" t="s">
        <v>2592</v>
      </c>
      <c r="O805" s="150" t="s">
        <v>2593</v>
      </c>
      <c r="P805" s="367">
        <v>4</v>
      </c>
      <c r="Q805" s="367">
        <v>3.7</v>
      </c>
      <c r="R805" s="367"/>
      <c r="S805" s="367">
        <v>100</v>
      </c>
      <c r="T805" s="367">
        <v>12</v>
      </c>
      <c r="U805" s="367"/>
      <c r="V805" s="367"/>
      <c r="W805" s="367"/>
      <c r="X805" s="367"/>
      <c r="Y805" s="367"/>
      <c r="Z805" s="367" t="s">
        <v>127</v>
      </c>
      <c r="AA805" s="367"/>
      <c r="AB805" s="150"/>
      <c r="AC805" s="48" t="s">
        <v>2702</v>
      </c>
      <c r="AD805" s="150" t="s">
        <v>169</v>
      </c>
      <c r="AE805" s="340">
        <v>46085</v>
      </c>
      <c r="AF805" s="340"/>
      <c r="AG805" s="344">
        <v>46174</v>
      </c>
      <c r="AH805" s="49">
        <v>46142</v>
      </c>
      <c r="AI805" s="266">
        <v>46122</v>
      </c>
      <c r="AJ805" s="150" t="s">
        <v>617</v>
      </c>
      <c r="AK805" s="150" t="s">
        <v>161</v>
      </c>
      <c r="AL805" s="150"/>
      <c r="AM805" s="150" t="s">
        <v>2086</v>
      </c>
      <c r="AN805" s="45">
        <v>46107</v>
      </c>
      <c r="AO805" s="367"/>
      <c r="AP805" s="367"/>
      <c r="AQ805" s="367"/>
      <c r="AR805" s="367"/>
      <c r="AS805" s="367"/>
      <c r="AT805" s="154"/>
      <c r="AU805" s="154"/>
      <c r="AV805" s="154"/>
      <c r="AW805" s="154"/>
      <c r="AX805" s="154"/>
      <c r="AY805" s="154"/>
      <c r="AZ805" s="154"/>
      <c r="BA805" s="154"/>
      <c r="BB805" s="152"/>
      <c r="BC805" s="152"/>
      <c r="BD805" s="367" t="s">
        <v>1605</v>
      </c>
      <c r="BE805" s="367"/>
      <c r="BF805" s="367"/>
      <c r="BG805" s="367"/>
      <c r="BH805" s="260"/>
      <c r="BI805" s="54"/>
      <c r="BJ805" s="54"/>
      <c r="BK805" s="54"/>
      <c r="BL805" s="54"/>
    </row>
    <row r="806" spans="1:66" ht="36" customHeight="1" x14ac:dyDescent="0.3">
      <c r="A806" s="367">
        <f t="shared" si="15"/>
        <v>801</v>
      </c>
      <c r="B806" s="54" t="s">
        <v>2703</v>
      </c>
      <c r="C806" s="367" t="s">
        <v>6</v>
      </c>
      <c r="D806" s="367" t="s">
        <v>262</v>
      </c>
      <c r="E806" s="367"/>
      <c r="F806" s="367"/>
      <c r="G806" s="367"/>
      <c r="H806" s="367"/>
      <c r="I806" s="367"/>
      <c r="J806" s="54" t="s">
        <v>1524</v>
      </c>
      <c r="K806" s="48" t="s">
        <v>2693</v>
      </c>
      <c r="L806" s="150" t="s">
        <v>2598</v>
      </c>
      <c r="M806" s="150" t="s">
        <v>120</v>
      </c>
      <c r="N806" s="150" t="s">
        <v>2592</v>
      </c>
      <c r="O806" s="150" t="s">
        <v>2593</v>
      </c>
      <c r="P806" s="367">
        <v>4</v>
      </c>
      <c r="Q806" s="367">
        <v>3.7</v>
      </c>
      <c r="R806" s="367"/>
      <c r="S806" s="367">
        <v>100</v>
      </c>
      <c r="T806" s="367">
        <v>12</v>
      </c>
      <c r="U806" s="367"/>
      <c r="V806" s="367"/>
      <c r="W806" s="367"/>
      <c r="X806" s="367"/>
      <c r="Y806" s="367"/>
      <c r="Z806" s="367" t="s">
        <v>127</v>
      </c>
      <c r="AA806" s="367"/>
      <c r="AB806" s="150"/>
      <c r="AC806" s="48" t="s">
        <v>2657</v>
      </c>
      <c r="AD806" s="150" t="s">
        <v>1121</v>
      </c>
      <c r="AE806" s="340">
        <v>46085</v>
      </c>
      <c r="AF806" s="340"/>
      <c r="AG806" s="344">
        <v>46174</v>
      </c>
      <c r="AH806" s="49">
        <v>46172</v>
      </c>
      <c r="AI806" s="266">
        <v>46143</v>
      </c>
      <c r="AJ806" s="150" t="s">
        <v>617</v>
      </c>
      <c r="AK806" s="150" t="s">
        <v>190</v>
      </c>
      <c r="AL806" s="150" t="s">
        <v>175</v>
      </c>
      <c r="AM806" s="150" t="s">
        <v>2609</v>
      </c>
      <c r="AN806" s="45">
        <v>46120</v>
      </c>
      <c r="AO806" s="367"/>
      <c r="AP806" s="367"/>
      <c r="AQ806" s="367"/>
      <c r="AR806" s="367"/>
      <c r="AS806" s="367"/>
      <c r="AT806" s="154"/>
      <c r="AU806" s="154"/>
      <c r="AV806" s="154"/>
      <c r="AW806" s="154"/>
      <c r="AX806" s="154"/>
      <c r="AY806" s="154"/>
      <c r="AZ806" s="154"/>
      <c r="BA806" s="154"/>
      <c r="BB806" s="152"/>
      <c r="BC806" s="152"/>
      <c r="BD806" s="367" t="s">
        <v>1605</v>
      </c>
      <c r="BE806" s="367"/>
      <c r="BF806" s="367"/>
      <c r="BG806" s="367"/>
      <c r="BH806" s="260"/>
      <c r="BI806" s="54"/>
      <c r="BJ806" s="54"/>
      <c r="BK806" s="54"/>
      <c r="BL806" s="54"/>
    </row>
    <row r="807" spans="1:66" ht="36" customHeight="1" x14ac:dyDescent="0.3">
      <c r="A807" s="367">
        <f t="shared" si="15"/>
        <v>802</v>
      </c>
      <c r="B807" s="54" t="s">
        <v>2704</v>
      </c>
      <c r="C807" s="367" t="s">
        <v>6</v>
      </c>
      <c r="D807" s="367" t="s">
        <v>262</v>
      </c>
      <c r="E807" s="367"/>
      <c r="F807" s="367"/>
      <c r="G807" s="367"/>
      <c r="H807" s="367"/>
      <c r="I807" s="367"/>
      <c r="J807" s="54" t="s">
        <v>1524</v>
      </c>
      <c r="K807" s="48" t="s">
        <v>2693</v>
      </c>
      <c r="L807" s="150" t="s">
        <v>2598</v>
      </c>
      <c r="M807" s="150" t="s">
        <v>120</v>
      </c>
      <c r="N807" s="150" t="s">
        <v>2592</v>
      </c>
      <c r="O807" s="150" t="s">
        <v>2593</v>
      </c>
      <c r="P807" s="367">
        <v>4</v>
      </c>
      <c r="Q807" s="367">
        <v>3.7</v>
      </c>
      <c r="R807" s="367"/>
      <c r="S807" s="367">
        <v>100</v>
      </c>
      <c r="T807" s="367">
        <v>12</v>
      </c>
      <c r="U807" s="367"/>
      <c r="V807" s="367"/>
      <c r="W807" s="367"/>
      <c r="X807" s="367"/>
      <c r="Y807" s="367"/>
      <c r="Z807" s="367" t="s">
        <v>127</v>
      </c>
      <c r="AA807" s="367"/>
      <c r="AB807" s="150"/>
      <c r="AC807" s="48" t="s">
        <v>2657</v>
      </c>
      <c r="AD807" s="150" t="s">
        <v>1121</v>
      </c>
      <c r="AE807" s="340">
        <v>46085</v>
      </c>
      <c r="AF807" s="340"/>
      <c r="AG807" s="344">
        <v>46174</v>
      </c>
      <c r="AH807" s="49">
        <v>46172</v>
      </c>
      <c r="AI807" s="266">
        <v>46143</v>
      </c>
      <c r="AJ807" s="150" t="s">
        <v>617</v>
      </c>
      <c r="AK807" s="150" t="s">
        <v>190</v>
      </c>
      <c r="AL807" s="150" t="s">
        <v>175</v>
      </c>
      <c r="AM807" s="150" t="s">
        <v>2609</v>
      </c>
      <c r="AN807" s="45">
        <v>46120</v>
      </c>
      <c r="AO807" s="367"/>
      <c r="AP807" s="367"/>
      <c r="AQ807" s="367"/>
      <c r="AR807" s="367"/>
      <c r="AS807" s="367"/>
      <c r="AT807" s="154"/>
      <c r="AU807" s="154"/>
      <c r="AV807" s="154"/>
      <c r="AW807" s="154"/>
      <c r="AX807" s="154"/>
      <c r="AY807" s="154"/>
      <c r="AZ807" s="154"/>
      <c r="BA807" s="154"/>
      <c r="BB807" s="152"/>
      <c r="BC807" s="152"/>
      <c r="BD807" s="367" t="s">
        <v>1605</v>
      </c>
      <c r="BE807" s="367"/>
      <c r="BF807" s="367"/>
      <c r="BG807" s="367"/>
      <c r="BH807" s="260"/>
      <c r="BI807" s="54"/>
      <c r="BJ807" s="54"/>
      <c r="BK807" s="54"/>
      <c r="BL807" s="54"/>
    </row>
    <row r="808" spans="1:66" ht="36" customHeight="1" x14ac:dyDescent="0.3">
      <c r="A808" s="367">
        <f t="shared" si="15"/>
        <v>803</v>
      </c>
      <c r="B808" s="54" t="s">
        <v>2705</v>
      </c>
      <c r="C808" s="367" t="s">
        <v>6</v>
      </c>
      <c r="D808" s="351" t="s">
        <v>2706</v>
      </c>
      <c r="E808" s="45">
        <v>46185</v>
      </c>
      <c r="F808" s="45">
        <v>46191</v>
      </c>
      <c r="G808" s="367"/>
      <c r="H808" s="367"/>
      <c r="I808" s="367" t="s">
        <v>2707</v>
      </c>
      <c r="J808" s="54" t="s">
        <v>1524</v>
      </c>
      <c r="K808" s="48" t="s">
        <v>2693</v>
      </c>
      <c r="L808" s="150" t="s">
        <v>2598</v>
      </c>
      <c r="M808" s="150" t="s">
        <v>120</v>
      </c>
      <c r="N808" s="150" t="s">
        <v>2592</v>
      </c>
      <c r="O808" s="150" t="s">
        <v>2593</v>
      </c>
      <c r="P808" s="367">
        <v>4</v>
      </c>
      <c r="Q808" s="367">
        <v>3.7</v>
      </c>
      <c r="R808" s="367"/>
      <c r="S808" s="367">
        <v>100</v>
      </c>
      <c r="T808" s="367">
        <v>12</v>
      </c>
      <c r="U808" s="367"/>
      <c r="V808" s="367"/>
      <c r="W808" s="367"/>
      <c r="X808" s="367"/>
      <c r="Y808" s="367"/>
      <c r="Z808" s="367" t="s">
        <v>127</v>
      </c>
      <c r="AA808" s="367"/>
      <c r="AB808" s="150" t="s">
        <v>215</v>
      </c>
      <c r="AC808" s="48" t="s">
        <v>2662</v>
      </c>
      <c r="AD808" s="150" t="s">
        <v>1163</v>
      </c>
      <c r="AE808" s="340">
        <v>46085</v>
      </c>
      <c r="AF808" s="340">
        <v>46175</v>
      </c>
      <c r="AG808" s="344">
        <v>46172</v>
      </c>
      <c r="AH808" s="49">
        <v>46191</v>
      </c>
      <c r="AI808" s="266">
        <v>46174</v>
      </c>
      <c r="AJ808" s="150" t="s">
        <v>330</v>
      </c>
      <c r="AK808" s="150" t="s">
        <v>190</v>
      </c>
      <c r="AL808" s="150"/>
      <c r="AM808" s="150" t="s">
        <v>209</v>
      </c>
      <c r="AN808" s="45">
        <v>46123</v>
      </c>
      <c r="AO808" s="367"/>
      <c r="AP808" s="367"/>
      <c r="AQ808" s="367"/>
      <c r="AR808" s="367"/>
      <c r="AS808" s="367"/>
      <c r="AT808" s="154">
        <v>46152</v>
      </c>
      <c r="AU808" s="154">
        <v>46132</v>
      </c>
      <c r="AV808" s="154">
        <v>46146</v>
      </c>
      <c r="AW808" s="154">
        <v>46115</v>
      </c>
      <c r="AX808" s="154"/>
      <c r="AY808" s="154"/>
      <c r="AZ808" s="154">
        <v>46153</v>
      </c>
      <c r="BA808" s="154"/>
      <c r="BB808" s="152"/>
      <c r="BC808" s="152"/>
      <c r="BD808" s="367" t="s">
        <v>1605</v>
      </c>
      <c r="BE808" s="367"/>
      <c r="BF808" s="367"/>
      <c r="BG808" s="367"/>
      <c r="BH808" s="260"/>
      <c r="BI808" s="54"/>
      <c r="BJ808" s="54"/>
      <c r="BK808" s="54"/>
      <c r="BL808" s="54"/>
      <c r="BN808" s="358">
        <v>46136</v>
      </c>
    </row>
    <row r="809" spans="1:66" ht="36" customHeight="1" x14ac:dyDescent="0.3">
      <c r="A809" s="367">
        <f t="shared" si="15"/>
        <v>804</v>
      </c>
      <c r="B809" s="54" t="s">
        <v>2708</v>
      </c>
      <c r="C809" s="367" t="s">
        <v>6</v>
      </c>
      <c r="D809" s="351" t="s">
        <v>2709</v>
      </c>
      <c r="E809" s="45">
        <v>46185</v>
      </c>
      <c r="F809" s="45">
        <v>46191</v>
      </c>
      <c r="G809" s="367"/>
      <c r="H809" s="367"/>
      <c r="I809" s="367" t="s">
        <v>2710</v>
      </c>
      <c r="J809" s="54" t="s">
        <v>1524</v>
      </c>
      <c r="K809" s="48" t="s">
        <v>2693</v>
      </c>
      <c r="L809" s="150" t="s">
        <v>2598</v>
      </c>
      <c r="M809" s="150" t="s">
        <v>120</v>
      </c>
      <c r="N809" s="150" t="s">
        <v>2592</v>
      </c>
      <c r="O809" s="150" t="s">
        <v>2593</v>
      </c>
      <c r="P809" s="367">
        <v>4</v>
      </c>
      <c r="Q809" s="367">
        <v>3.7</v>
      </c>
      <c r="R809" s="367"/>
      <c r="S809" s="367">
        <v>100</v>
      </c>
      <c r="T809" s="367">
        <v>12</v>
      </c>
      <c r="U809" s="367"/>
      <c r="V809" s="367"/>
      <c r="W809" s="367"/>
      <c r="X809" s="367"/>
      <c r="Y809" s="367"/>
      <c r="Z809" s="367" t="s">
        <v>127</v>
      </c>
      <c r="AA809" s="367"/>
      <c r="AB809" s="150"/>
      <c r="AC809" s="48" t="s">
        <v>2666</v>
      </c>
      <c r="AD809" s="150" t="s">
        <v>886</v>
      </c>
      <c r="AE809" s="340">
        <v>46085</v>
      </c>
      <c r="AF809" s="340"/>
      <c r="AG809" s="344">
        <v>46172</v>
      </c>
      <c r="AH809" s="49">
        <v>46191</v>
      </c>
      <c r="AI809" s="266">
        <v>46174</v>
      </c>
      <c r="AJ809" s="150" t="s">
        <v>330</v>
      </c>
      <c r="AK809" s="150" t="s">
        <v>190</v>
      </c>
      <c r="AL809" s="150" t="s">
        <v>239</v>
      </c>
      <c r="AM809" s="150" t="s">
        <v>209</v>
      </c>
      <c r="AN809" s="45">
        <v>46112</v>
      </c>
      <c r="AO809" s="367"/>
      <c r="AP809" s="367"/>
      <c r="AQ809" s="367"/>
      <c r="AR809" s="367"/>
      <c r="AS809" s="367"/>
      <c r="AT809" s="154">
        <v>46137</v>
      </c>
      <c r="AU809" s="154">
        <v>46124</v>
      </c>
      <c r="AV809" s="154">
        <v>46122</v>
      </c>
      <c r="AW809" s="154">
        <v>46115</v>
      </c>
      <c r="AX809" s="154"/>
      <c r="AY809" s="154"/>
      <c r="AZ809" s="154">
        <v>46153</v>
      </c>
      <c r="BA809" s="154"/>
      <c r="BB809" s="152" t="s">
        <v>2604</v>
      </c>
      <c r="BC809" s="152"/>
      <c r="BD809" s="367" t="s">
        <v>1605</v>
      </c>
      <c r="BE809" s="367"/>
      <c r="BF809" s="367"/>
      <c r="BG809" s="367"/>
      <c r="BH809" s="260"/>
      <c r="BI809" s="54"/>
      <c r="BJ809" s="54"/>
      <c r="BK809" s="54"/>
      <c r="BL809" s="54"/>
      <c r="BN809" s="358">
        <v>46136</v>
      </c>
    </row>
    <row r="810" spans="1:66" ht="36" customHeight="1" x14ac:dyDescent="0.3">
      <c r="A810" s="367">
        <f t="shared" si="15"/>
        <v>805</v>
      </c>
      <c r="B810" s="54" t="s">
        <v>2711</v>
      </c>
      <c r="C810" s="367" t="s">
        <v>6</v>
      </c>
      <c r="D810" s="351" t="s">
        <v>2646</v>
      </c>
      <c r="E810" s="367"/>
      <c r="F810" s="367"/>
      <c r="G810" s="367"/>
      <c r="H810" s="367"/>
      <c r="I810" s="367" t="s">
        <v>2712</v>
      </c>
      <c r="J810" s="54" t="s">
        <v>1524</v>
      </c>
      <c r="K810" s="48" t="s">
        <v>2693</v>
      </c>
      <c r="L810" s="150" t="s">
        <v>2598</v>
      </c>
      <c r="M810" s="150" t="s">
        <v>120</v>
      </c>
      <c r="N810" s="150" t="s">
        <v>2592</v>
      </c>
      <c r="O810" s="150" t="s">
        <v>2593</v>
      </c>
      <c r="P810" s="367">
        <v>4</v>
      </c>
      <c r="Q810" s="367">
        <v>3.7</v>
      </c>
      <c r="R810" s="367"/>
      <c r="S810" s="367">
        <v>100</v>
      </c>
      <c r="T810" s="367">
        <v>12</v>
      </c>
      <c r="U810" s="367"/>
      <c r="V810" s="367"/>
      <c r="W810" s="367"/>
      <c r="X810" s="367"/>
      <c r="Y810" s="367"/>
      <c r="Z810" s="367" t="s">
        <v>127</v>
      </c>
      <c r="AA810" s="367"/>
      <c r="AB810" s="150"/>
      <c r="AC810" s="48" t="s">
        <v>2713</v>
      </c>
      <c r="AD810" s="150" t="s">
        <v>238</v>
      </c>
      <c r="AE810" s="340">
        <v>46085</v>
      </c>
      <c r="AF810" s="340"/>
      <c r="AG810" s="344">
        <v>46174</v>
      </c>
      <c r="AH810" s="49">
        <v>46172</v>
      </c>
      <c r="AI810" s="266">
        <v>46143</v>
      </c>
      <c r="AJ810" s="150" t="s">
        <v>264</v>
      </c>
      <c r="AK810" s="150" t="s">
        <v>190</v>
      </c>
      <c r="AL810" s="150" t="s">
        <v>239</v>
      </c>
      <c r="AM810" s="150" t="s">
        <v>2086</v>
      </c>
      <c r="AN810" s="45">
        <v>46111</v>
      </c>
      <c r="AO810" s="367"/>
      <c r="AP810" s="367"/>
      <c r="AQ810" s="367"/>
      <c r="AR810" s="367"/>
      <c r="AS810" s="367"/>
      <c r="AT810" s="154">
        <v>46152</v>
      </c>
      <c r="AU810" s="154"/>
      <c r="AV810" s="154"/>
      <c r="AW810" s="154"/>
      <c r="AX810" s="154"/>
      <c r="AY810" s="154"/>
      <c r="AZ810" s="154"/>
      <c r="BA810" s="154"/>
      <c r="BB810" s="152" t="s">
        <v>2714</v>
      </c>
      <c r="BC810" s="152"/>
      <c r="BD810" s="367" t="s">
        <v>1605</v>
      </c>
      <c r="BE810" s="367"/>
      <c r="BF810" s="367"/>
      <c r="BG810" s="367"/>
      <c r="BH810" s="260"/>
      <c r="BI810" s="54"/>
      <c r="BJ810" s="54"/>
      <c r="BK810" s="54"/>
      <c r="BL810" s="54"/>
      <c r="BM810" s="357">
        <v>46135</v>
      </c>
    </row>
    <row r="811" spans="1:66" ht="36" customHeight="1" x14ac:dyDescent="0.3">
      <c r="A811" s="367">
        <f t="shared" si="15"/>
        <v>806</v>
      </c>
      <c r="B811" s="54" t="s">
        <v>2715</v>
      </c>
      <c r="C811" s="367" t="s">
        <v>6</v>
      </c>
      <c r="D811" s="150"/>
      <c r="E811" s="367"/>
      <c r="F811" s="367"/>
      <c r="G811" s="367"/>
      <c r="H811" s="367"/>
      <c r="I811" s="367"/>
      <c r="J811" s="54" t="s">
        <v>1524</v>
      </c>
      <c r="K811" s="48" t="s">
        <v>2693</v>
      </c>
      <c r="L811" s="150" t="s">
        <v>2598</v>
      </c>
      <c r="M811" s="150" t="s">
        <v>120</v>
      </c>
      <c r="N811" s="150" t="s">
        <v>2592</v>
      </c>
      <c r="O811" s="150" t="s">
        <v>2593</v>
      </c>
      <c r="P811" s="367">
        <v>4</v>
      </c>
      <c r="Q811" s="367">
        <v>3.7</v>
      </c>
      <c r="R811" s="367"/>
      <c r="S811" s="367">
        <v>100</v>
      </c>
      <c r="T811" s="367">
        <v>12</v>
      </c>
      <c r="U811" s="367"/>
      <c r="V811" s="367"/>
      <c r="W811" s="367"/>
      <c r="X811" s="367"/>
      <c r="Y811" s="367"/>
      <c r="Z811" s="367" t="s">
        <v>127</v>
      </c>
      <c r="AA811" s="367"/>
      <c r="AB811" s="150"/>
      <c r="AC811" s="48" t="s">
        <v>2670</v>
      </c>
      <c r="AD811" s="150" t="s">
        <v>2671</v>
      </c>
      <c r="AE811" s="340">
        <v>46085</v>
      </c>
      <c r="AF811" s="340"/>
      <c r="AG811" s="344">
        <v>46174</v>
      </c>
      <c r="AH811" s="49"/>
      <c r="AI811" s="266"/>
      <c r="AJ811" s="150" t="s">
        <v>264</v>
      </c>
      <c r="AK811" s="150" t="s">
        <v>190</v>
      </c>
      <c r="AL811" s="150" t="s">
        <v>191</v>
      </c>
      <c r="AM811" s="150" t="s">
        <v>134</v>
      </c>
      <c r="AN811" s="45">
        <v>46135</v>
      </c>
      <c r="AO811" s="367"/>
      <c r="AP811" s="367"/>
      <c r="AQ811" s="367"/>
      <c r="AR811" s="367"/>
      <c r="AS811" s="367"/>
      <c r="AT811" s="154"/>
      <c r="AU811" s="154"/>
      <c r="AV811" s="154"/>
      <c r="AW811" s="154"/>
      <c r="AX811" s="154"/>
      <c r="AY811" s="154"/>
      <c r="AZ811" s="154"/>
      <c r="BA811" s="154"/>
      <c r="BB811" s="152"/>
      <c r="BC811" s="152"/>
      <c r="BD811" s="367" t="s">
        <v>1605</v>
      </c>
      <c r="BE811" s="367"/>
      <c r="BF811" s="367"/>
      <c r="BG811" s="367"/>
      <c r="BH811" s="260"/>
      <c r="BI811" s="54"/>
      <c r="BJ811" s="54"/>
      <c r="BK811" s="54"/>
      <c r="BL811" s="54"/>
    </row>
    <row r="812" spans="1:66" ht="36" customHeight="1" x14ac:dyDescent="0.3">
      <c r="A812" s="367">
        <f t="shared" si="15"/>
        <v>807</v>
      </c>
      <c r="B812" s="54" t="s">
        <v>2716</v>
      </c>
      <c r="C812" s="367" t="s">
        <v>6</v>
      </c>
      <c r="D812" s="349" t="s">
        <v>2706</v>
      </c>
      <c r="E812" s="45">
        <v>46188</v>
      </c>
      <c r="F812" s="45">
        <v>46188</v>
      </c>
      <c r="G812" s="367"/>
      <c r="H812" s="367"/>
      <c r="I812" s="367" t="s">
        <v>2717</v>
      </c>
      <c r="J812" s="54" t="s">
        <v>1524</v>
      </c>
      <c r="K812" s="48" t="s">
        <v>2693</v>
      </c>
      <c r="L812" s="150" t="s">
        <v>2598</v>
      </c>
      <c r="M812" s="150" t="s">
        <v>120</v>
      </c>
      <c r="N812" s="150" t="s">
        <v>2592</v>
      </c>
      <c r="O812" s="150" t="s">
        <v>2593</v>
      </c>
      <c r="P812" s="367">
        <v>4</v>
      </c>
      <c r="Q812" s="367">
        <v>3.7</v>
      </c>
      <c r="R812" s="367"/>
      <c r="S812" s="367">
        <v>100</v>
      </c>
      <c r="T812" s="367">
        <v>12</v>
      </c>
      <c r="U812" s="367"/>
      <c r="V812" s="367"/>
      <c r="W812" s="367"/>
      <c r="X812" s="367"/>
      <c r="Y812" s="367"/>
      <c r="Z812" s="367" t="s">
        <v>127</v>
      </c>
      <c r="AA812" s="367"/>
      <c r="AB812" s="150" t="s">
        <v>215</v>
      </c>
      <c r="AC812" s="48" t="s">
        <v>2674</v>
      </c>
      <c r="AD812" s="150" t="s">
        <v>1079</v>
      </c>
      <c r="AE812" s="340">
        <v>46085</v>
      </c>
      <c r="AF812" s="340">
        <v>46175</v>
      </c>
      <c r="AG812" s="344">
        <v>46188</v>
      </c>
      <c r="AH812" s="49">
        <v>46188</v>
      </c>
      <c r="AI812" s="266">
        <v>46174</v>
      </c>
      <c r="AJ812" s="150" t="s">
        <v>330</v>
      </c>
      <c r="AK812" s="150" t="s">
        <v>161</v>
      </c>
      <c r="AL812" s="150" t="s">
        <v>239</v>
      </c>
      <c r="AM812" s="150" t="s">
        <v>2079</v>
      </c>
      <c r="AN812" s="45">
        <v>46107</v>
      </c>
      <c r="AO812" s="367"/>
      <c r="AP812" s="367"/>
      <c r="AQ812" s="367"/>
      <c r="AR812" s="367"/>
      <c r="AS812" s="367"/>
      <c r="AT812" s="154">
        <v>46134</v>
      </c>
      <c r="AU812" s="359" t="s">
        <v>2600</v>
      </c>
      <c r="AV812" s="154">
        <v>46147</v>
      </c>
      <c r="AW812" s="154">
        <v>46115</v>
      </c>
      <c r="AX812" s="154"/>
      <c r="AY812" s="154"/>
      <c r="AZ812" s="154">
        <v>46153</v>
      </c>
      <c r="BA812" s="154"/>
      <c r="BB812" s="152"/>
      <c r="BC812" s="152"/>
      <c r="BD812" s="367" t="s">
        <v>1605</v>
      </c>
      <c r="BE812" s="367"/>
      <c r="BF812" s="367"/>
      <c r="BG812" s="367"/>
      <c r="BH812" s="260"/>
      <c r="BI812" s="54"/>
      <c r="BJ812" s="54"/>
      <c r="BK812" s="54"/>
      <c r="BL812" s="54"/>
      <c r="BN812" s="358">
        <v>46136</v>
      </c>
    </row>
    <row r="813" spans="1:66" ht="36" customHeight="1" x14ac:dyDescent="0.3">
      <c r="A813" s="367">
        <f t="shared" si="15"/>
        <v>808</v>
      </c>
      <c r="B813" s="54" t="s">
        <v>2718</v>
      </c>
      <c r="C813" s="367" t="s">
        <v>6</v>
      </c>
      <c r="D813" s="351" t="s">
        <v>2709</v>
      </c>
      <c r="E813" s="45">
        <v>46188</v>
      </c>
      <c r="F813" s="45">
        <v>46188</v>
      </c>
      <c r="G813" s="367"/>
      <c r="H813" s="367"/>
      <c r="I813" s="367" t="s">
        <v>2710</v>
      </c>
      <c r="J813" s="54" t="s">
        <v>1524</v>
      </c>
      <c r="K813" s="48" t="s">
        <v>2693</v>
      </c>
      <c r="L813" s="150" t="s">
        <v>2598</v>
      </c>
      <c r="M813" s="150" t="s">
        <v>120</v>
      </c>
      <c r="N813" s="150" t="s">
        <v>2592</v>
      </c>
      <c r="O813" s="150" t="s">
        <v>2593</v>
      </c>
      <c r="P813" s="367">
        <v>4</v>
      </c>
      <c r="Q813" s="367">
        <v>3.7</v>
      </c>
      <c r="R813" s="367"/>
      <c r="S813" s="367">
        <v>100</v>
      </c>
      <c r="T813" s="367">
        <v>12</v>
      </c>
      <c r="U813" s="367"/>
      <c r="V813" s="367"/>
      <c r="W813" s="367"/>
      <c r="X813" s="367"/>
      <c r="Y813" s="367"/>
      <c r="Z813" s="367" t="s">
        <v>127</v>
      </c>
      <c r="AA813" s="367"/>
      <c r="AB813" s="150"/>
      <c r="AC813" s="48" t="s">
        <v>2677</v>
      </c>
      <c r="AD813" s="150" t="s">
        <v>886</v>
      </c>
      <c r="AE813" s="340">
        <v>46085</v>
      </c>
      <c r="AF813" s="340"/>
      <c r="AG813" s="344">
        <v>46188</v>
      </c>
      <c r="AH813" s="49">
        <v>46188</v>
      </c>
      <c r="AI813" s="266">
        <v>46143</v>
      </c>
      <c r="AJ813" s="150" t="s">
        <v>330</v>
      </c>
      <c r="AK813" s="150" t="s">
        <v>190</v>
      </c>
      <c r="AL813" s="150" t="s">
        <v>239</v>
      </c>
      <c r="AM813" s="150" t="s">
        <v>2079</v>
      </c>
      <c r="AN813" s="45">
        <v>46112</v>
      </c>
      <c r="AO813" s="367"/>
      <c r="AP813" s="367"/>
      <c r="AQ813" s="367"/>
      <c r="AR813" s="367"/>
      <c r="AS813" s="367"/>
      <c r="AT813" s="154">
        <v>46137</v>
      </c>
      <c r="AU813" s="154">
        <v>46124</v>
      </c>
      <c r="AV813" s="154">
        <v>46122</v>
      </c>
      <c r="AW813" s="154">
        <v>46115</v>
      </c>
      <c r="AX813" s="154"/>
      <c r="AY813" s="154"/>
      <c r="AZ813" s="154">
        <v>46153</v>
      </c>
      <c r="BA813" s="154"/>
      <c r="BB813" s="152" t="s">
        <v>2604</v>
      </c>
      <c r="BC813" s="152"/>
      <c r="BD813" s="367" t="s">
        <v>1605</v>
      </c>
      <c r="BE813" s="367"/>
      <c r="BF813" s="367"/>
      <c r="BG813" s="367"/>
      <c r="BH813" s="260"/>
      <c r="BI813" s="54"/>
      <c r="BJ813" s="54"/>
      <c r="BK813" s="54"/>
      <c r="BL813" s="54"/>
      <c r="BN813" s="358">
        <v>46136</v>
      </c>
    </row>
    <row r="814" spans="1:66" ht="36" customHeight="1" x14ac:dyDescent="0.3">
      <c r="A814" s="367">
        <f t="shared" si="15"/>
        <v>809</v>
      </c>
      <c r="B814" s="54" t="s">
        <v>2719</v>
      </c>
      <c r="C814" s="367" t="s">
        <v>6</v>
      </c>
      <c r="D814" s="351" t="s">
        <v>2709</v>
      </c>
      <c r="E814" s="45">
        <v>46188</v>
      </c>
      <c r="F814" s="45">
        <v>46188</v>
      </c>
      <c r="G814" s="367"/>
      <c r="H814" s="367"/>
      <c r="I814" s="367" t="s">
        <v>2710</v>
      </c>
      <c r="J814" s="54" t="s">
        <v>1524</v>
      </c>
      <c r="K814" s="48" t="s">
        <v>2720</v>
      </c>
      <c r="L814" s="150" t="s">
        <v>2591</v>
      </c>
      <c r="M814" s="150" t="s">
        <v>120</v>
      </c>
      <c r="N814" s="150" t="s">
        <v>2592</v>
      </c>
      <c r="O814" s="150" t="s">
        <v>2593</v>
      </c>
      <c r="P814" s="367">
        <v>4</v>
      </c>
      <c r="Q814" s="367">
        <v>3.7</v>
      </c>
      <c r="R814" s="367"/>
      <c r="S814" s="367">
        <v>100</v>
      </c>
      <c r="T814" s="367">
        <v>12</v>
      </c>
      <c r="U814" s="367"/>
      <c r="V814" s="367"/>
      <c r="W814" s="367"/>
      <c r="X814" s="367"/>
      <c r="Y814" s="367"/>
      <c r="Z814" s="367"/>
      <c r="AA814" s="367"/>
      <c r="AB814" s="150"/>
      <c r="AC814" s="48" t="s">
        <v>2681</v>
      </c>
      <c r="AD814" s="150" t="s">
        <v>886</v>
      </c>
      <c r="AE814" s="340">
        <v>46085</v>
      </c>
      <c r="AF814" s="340"/>
      <c r="AG814" s="344">
        <v>46188</v>
      </c>
      <c r="AH814" s="49">
        <v>46188</v>
      </c>
      <c r="AI814" s="266">
        <v>46143</v>
      </c>
      <c r="AJ814" s="150" t="s">
        <v>330</v>
      </c>
      <c r="AK814" s="150" t="s">
        <v>190</v>
      </c>
      <c r="AL814" s="150" t="s">
        <v>239</v>
      </c>
      <c r="AM814" s="150" t="s">
        <v>2079</v>
      </c>
      <c r="AN814" s="45">
        <v>46112</v>
      </c>
      <c r="AO814" s="367"/>
      <c r="AP814" s="367"/>
      <c r="AQ814" s="367"/>
      <c r="AR814" s="367"/>
      <c r="AS814" s="367"/>
      <c r="AT814" s="154">
        <v>46137</v>
      </c>
      <c r="AU814" s="154">
        <v>46124</v>
      </c>
      <c r="AV814" s="154">
        <v>46122</v>
      </c>
      <c r="AW814" s="154">
        <v>46115</v>
      </c>
      <c r="AX814" s="154"/>
      <c r="AY814" s="154"/>
      <c r="AZ814" s="154">
        <v>46153</v>
      </c>
      <c r="BA814" s="154"/>
      <c r="BB814" s="152" t="s">
        <v>2604</v>
      </c>
      <c r="BC814" s="152"/>
      <c r="BD814" s="367" t="s">
        <v>1605</v>
      </c>
      <c r="BE814" s="367"/>
      <c r="BF814" s="367"/>
      <c r="BG814" s="367"/>
      <c r="BH814" s="260"/>
      <c r="BI814" s="54"/>
      <c r="BJ814" s="54"/>
      <c r="BK814" s="54"/>
      <c r="BL814" s="54"/>
      <c r="BN814" s="358">
        <v>46136</v>
      </c>
    </row>
    <row r="815" spans="1:66" ht="36" customHeight="1" x14ac:dyDescent="0.3">
      <c r="A815" s="367">
        <f t="shared" si="15"/>
        <v>810</v>
      </c>
      <c r="B815" s="54" t="s">
        <v>2721</v>
      </c>
      <c r="C815" s="367" t="s">
        <v>6</v>
      </c>
      <c r="D815" s="351" t="s">
        <v>2706</v>
      </c>
      <c r="E815" s="45">
        <v>46188</v>
      </c>
      <c r="F815" s="45">
        <v>46188</v>
      </c>
      <c r="G815" s="367"/>
      <c r="H815" s="367"/>
      <c r="I815" s="367" t="s">
        <v>2647</v>
      </c>
      <c r="J815" s="54" t="s">
        <v>1524</v>
      </c>
      <c r="K815" s="48" t="s">
        <v>2720</v>
      </c>
      <c r="L815" s="150" t="s">
        <v>2591</v>
      </c>
      <c r="M815" s="150" t="s">
        <v>120</v>
      </c>
      <c r="N815" s="150" t="s">
        <v>2592</v>
      </c>
      <c r="O815" s="150" t="s">
        <v>2593</v>
      </c>
      <c r="P815" s="367">
        <v>4</v>
      </c>
      <c r="Q815" s="367">
        <v>3.7</v>
      </c>
      <c r="R815" s="367"/>
      <c r="S815" s="367">
        <v>100</v>
      </c>
      <c r="T815" s="367">
        <v>12</v>
      </c>
      <c r="U815" s="367"/>
      <c r="V815" s="367"/>
      <c r="W815" s="367"/>
      <c r="X815" s="367"/>
      <c r="Y815" s="367"/>
      <c r="Z815" s="367"/>
      <c r="AA815" s="367"/>
      <c r="AB815" s="150" t="s">
        <v>215</v>
      </c>
      <c r="AC815" s="48" t="s">
        <v>2630</v>
      </c>
      <c r="AD815" s="150" t="s">
        <v>1079</v>
      </c>
      <c r="AE815" s="340">
        <v>46085</v>
      </c>
      <c r="AF815" s="340">
        <v>46175</v>
      </c>
      <c r="AG815" s="344">
        <v>46188</v>
      </c>
      <c r="AH815" s="49">
        <v>46188</v>
      </c>
      <c r="AI815" s="266">
        <v>46174</v>
      </c>
      <c r="AJ815" s="150" t="s">
        <v>330</v>
      </c>
      <c r="AK815" s="150" t="s">
        <v>161</v>
      </c>
      <c r="AL815" s="150" t="s">
        <v>239</v>
      </c>
      <c r="AM815" s="150" t="s">
        <v>2079</v>
      </c>
      <c r="AN815" s="45">
        <v>46104</v>
      </c>
      <c r="AO815" s="367"/>
      <c r="AP815" s="367"/>
      <c r="AQ815" s="367"/>
      <c r="AR815" s="367"/>
      <c r="AS815" s="367"/>
      <c r="AT815" s="154">
        <v>46134</v>
      </c>
      <c r="AU815" s="359" t="s">
        <v>2600</v>
      </c>
      <c r="AV815" s="154">
        <v>46147</v>
      </c>
      <c r="AW815" s="154">
        <v>46115</v>
      </c>
      <c r="AX815" s="154"/>
      <c r="AY815" s="154"/>
      <c r="AZ815" s="154">
        <v>46153</v>
      </c>
      <c r="BA815" s="154"/>
      <c r="BB815" s="152"/>
      <c r="BC815" s="152"/>
      <c r="BD815" s="367" t="s">
        <v>1605</v>
      </c>
      <c r="BE815" s="367"/>
      <c r="BF815" s="367"/>
      <c r="BG815" s="367"/>
      <c r="BH815" s="260"/>
      <c r="BI815" s="54"/>
      <c r="BJ815" s="54"/>
      <c r="BK815" s="54"/>
      <c r="BL815" s="54"/>
      <c r="BN815" s="358">
        <v>46136</v>
      </c>
    </row>
    <row r="816" spans="1:66" ht="36" customHeight="1" x14ac:dyDescent="0.3">
      <c r="A816" s="367">
        <f t="shared" si="15"/>
        <v>811</v>
      </c>
      <c r="B816" s="54" t="s">
        <v>2722</v>
      </c>
      <c r="C816" s="367" t="s">
        <v>6</v>
      </c>
      <c r="D816" s="351" t="s">
        <v>2706</v>
      </c>
      <c r="E816" s="45">
        <v>46188</v>
      </c>
      <c r="F816" s="45">
        <v>46188</v>
      </c>
      <c r="G816" s="367"/>
      <c r="H816" s="367"/>
      <c r="I816" s="367" t="s">
        <v>2723</v>
      </c>
      <c r="J816" s="54" t="s">
        <v>1524</v>
      </c>
      <c r="K816" s="48" t="s">
        <v>2720</v>
      </c>
      <c r="L816" s="150" t="s">
        <v>2591</v>
      </c>
      <c r="M816" s="150" t="s">
        <v>120</v>
      </c>
      <c r="N816" s="150" t="s">
        <v>2592</v>
      </c>
      <c r="O816" s="150" t="s">
        <v>2593</v>
      </c>
      <c r="P816" s="367">
        <v>4</v>
      </c>
      <c r="Q816" s="367">
        <v>3.7</v>
      </c>
      <c r="R816" s="367"/>
      <c r="S816" s="367">
        <v>100</v>
      </c>
      <c r="T816" s="367">
        <v>12</v>
      </c>
      <c r="U816" s="367"/>
      <c r="V816" s="367"/>
      <c r="W816" s="367"/>
      <c r="X816" s="367"/>
      <c r="Y816" s="367"/>
      <c r="Z816" s="367"/>
      <c r="AA816" s="367"/>
      <c r="AB816" s="150"/>
      <c r="AC816" s="48" t="s">
        <v>2633</v>
      </c>
      <c r="AD816" s="150" t="s">
        <v>1121</v>
      </c>
      <c r="AE816" s="340">
        <v>46085</v>
      </c>
      <c r="AF816" s="340">
        <v>46175</v>
      </c>
      <c r="AG816" s="344">
        <v>46188</v>
      </c>
      <c r="AH816" s="49">
        <v>46188</v>
      </c>
      <c r="AI816" s="266">
        <v>46143</v>
      </c>
      <c r="AJ816" s="150" t="s">
        <v>330</v>
      </c>
      <c r="AK816" s="150" t="s">
        <v>190</v>
      </c>
      <c r="AL816" s="150" t="s">
        <v>175</v>
      </c>
      <c r="AM816" s="150" t="s">
        <v>2609</v>
      </c>
      <c r="AN816" s="45">
        <v>46129</v>
      </c>
      <c r="AO816" s="367"/>
      <c r="AP816" s="367"/>
      <c r="AQ816" s="367"/>
      <c r="AR816" s="367"/>
      <c r="AS816" s="367"/>
      <c r="AT816" s="154">
        <v>46132</v>
      </c>
      <c r="AU816" s="154">
        <v>46115</v>
      </c>
      <c r="AV816" s="154">
        <v>46122</v>
      </c>
      <c r="AW816" s="154">
        <v>46118</v>
      </c>
      <c r="AX816" s="154"/>
      <c r="AY816" s="154"/>
      <c r="AZ816" s="154">
        <v>46153</v>
      </c>
      <c r="BA816" s="154"/>
      <c r="BB816" s="152"/>
      <c r="BC816" s="152"/>
      <c r="BD816" s="367" t="s">
        <v>1605</v>
      </c>
      <c r="BE816" s="367"/>
      <c r="BF816" s="367"/>
      <c r="BG816" s="367"/>
      <c r="BH816" s="260"/>
      <c r="BI816" s="54"/>
      <c r="BJ816" s="54"/>
      <c r="BK816" s="54"/>
      <c r="BL816" s="54"/>
      <c r="BM816" s="357">
        <v>46135</v>
      </c>
      <c r="BN816" s="358">
        <v>46136</v>
      </c>
    </row>
    <row r="817" spans="1:66" ht="36" customHeight="1" x14ac:dyDescent="0.3">
      <c r="A817" s="367">
        <f t="shared" ref="A817:A833" si="16">ROW(B817)-ROW($B$5)</f>
        <v>812</v>
      </c>
      <c r="B817" s="54" t="s">
        <v>2724</v>
      </c>
      <c r="C817" s="367" t="s">
        <v>6</v>
      </c>
      <c r="D817" s="354" t="s">
        <v>2641</v>
      </c>
      <c r="E817" s="367" t="s">
        <v>2636</v>
      </c>
      <c r="F817" s="45">
        <v>46188</v>
      </c>
      <c r="G817" s="367"/>
      <c r="H817" s="367"/>
      <c r="I817" s="367" t="s">
        <v>2725</v>
      </c>
      <c r="J817" s="54" t="s">
        <v>1524</v>
      </c>
      <c r="K817" s="48" t="s">
        <v>2720</v>
      </c>
      <c r="L817" s="150" t="s">
        <v>2591</v>
      </c>
      <c r="M817" s="150" t="s">
        <v>120</v>
      </c>
      <c r="N817" s="150" t="s">
        <v>2592</v>
      </c>
      <c r="O817" s="150" t="s">
        <v>2593</v>
      </c>
      <c r="P817" s="367">
        <v>4</v>
      </c>
      <c r="Q817" s="367">
        <v>3.7</v>
      </c>
      <c r="R817" s="367"/>
      <c r="S817" s="367">
        <v>100</v>
      </c>
      <c r="T817" s="367">
        <v>12</v>
      </c>
      <c r="U817" s="367"/>
      <c r="V817" s="367" t="s">
        <v>127</v>
      </c>
      <c r="W817" s="367"/>
      <c r="X817" s="335" t="s">
        <v>2638</v>
      </c>
      <c r="Y817" s="367" t="s">
        <v>127</v>
      </c>
      <c r="Z817" s="367"/>
      <c r="AA817" s="367"/>
      <c r="AB817" s="150" t="s">
        <v>215</v>
      </c>
      <c r="AC817" s="48" t="s">
        <v>2639</v>
      </c>
      <c r="AD817" s="150" t="s">
        <v>1150</v>
      </c>
      <c r="AE817" s="340">
        <v>46085</v>
      </c>
      <c r="AF817" s="340"/>
      <c r="AG817" s="344">
        <v>46188</v>
      </c>
      <c r="AH817" s="49">
        <v>46196</v>
      </c>
      <c r="AI817" s="266">
        <v>46143</v>
      </c>
      <c r="AJ817" s="150" t="s">
        <v>548</v>
      </c>
      <c r="AK817" s="150"/>
      <c r="AL817" s="150"/>
      <c r="AM817" s="150" t="s">
        <v>2079</v>
      </c>
      <c r="AN817" s="332"/>
      <c r="AO817" s="367"/>
      <c r="AP817" s="367"/>
      <c r="AQ817" s="367"/>
      <c r="AR817" s="367"/>
      <c r="AS817" s="367"/>
      <c r="AT817" s="154"/>
      <c r="AU817" s="154"/>
      <c r="AV817" s="154"/>
      <c r="AW817" s="154"/>
      <c r="AX817" s="154"/>
      <c r="AY817" s="154"/>
      <c r="AZ817" s="154"/>
      <c r="BA817" s="154"/>
      <c r="BB817" s="152" t="s">
        <v>2468</v>
      </c>
      <c r="BC817" s="152"/>
      <c r="BD817" s="367" t="s">
        <v>1605</v>
      </c>
      <c r="BE817" s="367"/>
      <c r="BF817" s="367"/>
      <c r="BG817" s="367"/>
      <c r="BH817" s="260"/>
      <c r="BI817" s="54"/>
      <c r="BJ817" s="54"/>
      <c r="BK817" s="54"/>
      <c r="BL817" s="54"/>
      <c r="BM817" s="357">
        <v>46135</v>
      </c>
      <c r="BN817" s="358">
        <v>46136</v>
      </c>
    </row>
    <row r="818" spans="1:66" ht="36" customHeight="1" x14ac:dyDescent="0.3">
      <c r="A818" s="367">
        <f t="shared" si="16"/>
        <v>813</v>
      </c>
      <c r="B818" s="54" t="s">
        <v>2726</v>
      </c>
      <c r="C818" s="367" t="s">
        <v>6</v>
      </c>
      <c r="D818" s="354" t="s">
        <v>2641</v>
      </c>
      <c r="E818" s="367"/>
      <c r="F818" s="367"/>
      <c r="G818" s="367"/>
      <c r="H818" s="367"/>
      <c r="I818" s="367" t="s">
        <v>2727</v>
      </c>
      <c r="J818" s="54" t="s">
        <v>1524</v>
      </c>
      <c r="K818" s="48" t="s">
        <v>2728</v>
      </c>
      <c r="L818" s="150" t="s">
        <v>2591</v>
      </c>
      <c r="M818" s="150" t="s">
        <v>65</v>
      </c>
      <c r="N818" s="150" t="s">
        <v>2592</v>
      </c>
      <c r="O818" s="150" t="s">
        <v>2593</v>
      </c>
      <c r="P818" s="367">
        <v>4</v>
      </c>
      <c r="Q818" s="367">
        <v>3.7</v>
      </c>
      <c r="R818" s="367"/>
      <c r="S818" s="367">
        <v>100</v>
      </c>
      <c r="T818" s="367">
        <v>12</v>
      </c>
      <c r="U818" s="367"/>
      <c r="V818" s="367"/>
      <c r="W818" s="367"/>
      <c r="X818" s="367" t="s">
        <v>1111</v>
      </c>
      <c r="Y818" s="367"/>
      <c r="Z818" s="367"/>
      <c r="AA818" s="367" t="s">
        <v>127</v>
      </c>
      <c r="AB818" s="150" t="s">
        <v>2562</v>
      </c>
      <c r="AC818" s="48" t="s">
        <v>2694</v>
      </c>
      <c r="AD818" s="150" t="s">
        <v>1154</v>
      </c>
      <c r="AE818" s="340">
        <v>46085</v>
      </c>
      <c r="AF818" s="340"/>
      <c r="AG818" s="344">
        <v>46170</v>
      </c>
      <c r="AH818" s="49">
        <v>46223</v>
      </c>
      <c r="AI818" s="266">
        <v>46174</v>
      </c>
      <c r="AJ818" s="150" t="s">
        <v>2334</v>
      </c>
      <c r="AK818" s="150" t="s">
        <v>200</v>
      </c>
      <c r="AL818" s="150" t="s">
        <v>175</v>
      </c>
      <c r="AM818" s="150" t="s">
        <v>134</v>
      </c>
      <c r="AN818" s="45">
        <v>46191</v>
      </c>
      <c r="AO818" s="367"/>
      <c r="AP818" s="367"/>
      <c r="AQ818" s="367"/>
      <c r="AR818" s="367"/>
      <c r="AS818" s="367"/>
      <c r="AT818" s="154">
        <v>46188</v>
      </c>
      <c r="AU818" s="154">
        <v>46153</v>
      </c>
      <c r="AV818" s="154">
        <v>46168</v>
      </c>
      <c r="AW818" s="154">
        <v>46132</v>
      </c>
      <c r="AX818" s="154"/>
      <c r="AY818" s="154"/>
      <c r="AZ818" s="154"/>
      <c r="BA818" s="154"/>
      <c r="BB818" s="152" t="s">
        <v>2468</v>
      </c>
      <c r="BC818" s="152"/>
      <c r="BD818" s="367" t="s">
        <v>1605</v>
      </c>
      <c r="BE818" s="367"/>
      <c r="BF818" s="367"/>
      <c r="BG818" s="367"/>
      <c r="BH818" s="260"/>
      <c r="BI818" s="54"/>
      <c r="BJ818" s="54"/>
      <c r="BK818" s="54"/>
      <c r="BL818" s="54" t="s">
        <v>2595</v>
      </c>
      <c r="BM818" s="357">
        <v>46135</v>
      </c>
      <c r="BN818" s="358">
        <v>46136</v>
      </c>
    </row>
    <row r="819" spans="1:66" ht="36" customHeight="1" x14ac:dyDescent="0.3">
      <c r="A819" s="367">
        <f t="shared" si="16"/>
        <v>814</v>
      </c>
      <c r="B819" s="54" t="s">
        <v>2729</v>
      </c>
      <c r="C819" s="367" t="s">
        <v>6</v>
      </c>
      <c r="D819" s="350" t="s">
        <v>2730</v>
      </c>
      <c r="E819" s="45">
        <v>46171</v>
      </c>
      <c r="F819" s="45">
        <v>46171</v>
      </c>
      <c r="G819" s="367"/>
      <c r="H819" s="367"/>
      <c r="I819" s="367"/>
      <c r="J819" s="54" t="s">
        <v>1524</v>
      </c>
      <c r="K819" s="48" t="s">
        <v>2728</v>
      </c>
      <c r="L819" s="150" t="s">
        <v>2591</v>
      </c>
      <c r="M819" s="150" t="s">
        <v>65</v>
      </c>
      <c r="N819" s="150" t="s">
        <v>2592</v>
      </c>
      <c r="O819" s="150" t="s">
        <v>2593</v>
      </c>
      <c r="P819" s="367">
        <v>4</v>
      </c>
      <c r="Q819" s="367">
        <v>3.7</v>
      </c>
      <c r="R819" s="367"/>
      <c r="S819" s="367">
        <v>100</v>
      </c>
      <c r="T819" s="367">
        <v>12</v>
      </c>
      <c r="U819" s="367"/>
      <c r="V819" s="367"/>
      <c r="W819" s="367"/>
      <c r="X819" s="367"/>
      <c r="Y819" s="367"/>
      <c r="Z819" s="367" t="s">
        <v>127</v>
      </c>
      <c r="AA819" s="367"/>
      <c r="AB819" s="150" t="s">
        <v>215</v>
      </c>
      <c r="AC819" s="48" t="s">
        <v>2648</v>
      </c>
      <c r="AD819" s="150" t="s">
        <v>1079</v>
      </c>
      <c r="AE819" s="340">
        <v>46085</v>
      </c>
      <c r="AF819" s="340"/>
      <c r="AG819" s="344">
        <v>46170</v>
      </c>
      <c r="AH819" s="49">
        <v>46170</v>
      </c>
      <c r="AI819" s="266">
        <v>46143</v>
      </c>
      <c r="AJ819" s="150" t="s">
        <v>648</v>
      </c>
      <c r="AK819" s="150" t="s">
        <v>161</v>
      </c>
      <c r="AL819" s="150" t="s">
        <v>239</v>
      </c>
      <c r="AM819" s="150" t="s">
        <v>2079</v>
      </c>
      <c r="AN819" s="45">
        <v>46107</v>
      </c>
      <c r="AO819" s="367"/>
      <c r="AP819" s="367"/>
      <c r="AQ819" s="367"/>
      <c r="AR819" s="367"/>
      <c r="AS819" s="367"/>
      <c r="AT819" s="154">
        <v>46134</v>
      </c>
      <c r="AU819" s="359" t="s">
        <v>2600</v>
      </c>
      <c r="AV819" s="154">
        <v>46147</v>
      </c>
      <c r="AW819" s="154">
        <v>46118</v>
      </c>
      <c r="AX819" s="154"/>
      <c r="AY819" s="154"/>
      <c r="AZ819" s="154">
        <v>46153</v>
      </c>
      <c r="BA819" s="154"/>
      <c r="BB819" s="152"/>
      <c r="BC819" s="152"/>
      <c r="BD819" s="367" t="s">
        <v>1605</v>
      </c>
      <c r="BE819" s="367"/>
      <c r="BF819" s="367"/>
      <c r="BG819" s="367"/>
      <c r="BH819" s="260"/>
      <c r="BI819" s="54"/>
      <c r="BJ819" s="54"/>
      <c r="BK819" s="54"/>
      <c r="BL819" s="54"/>
      <c r="BN819" s="358">
        <v>46136</v>
      </c>
    </row>
    <row r="820" spans="1:66" ht="36" customHeight="1" x14ac:dyDescent="0.3">
      <c r="A820" s="367">
        <f t="shared" si="16"/>
        <v>815</v>
      </c>
      <c r="B820" s="54" t="s">
        <v>2731</v>
      </c>
      <c r="C820" s="367" t="s">
        <v>6</v>
      </c>
      <c r="D820" s="350" t="s">
        <v>2730</v>
      </c>
      <c r="E820" s="367"/>
      <c r="F820" s="45">
        <v>46191</v>
      </c>
      <c r="G820" s="367"/>
      <c r="H820" s="367"/>
      <c r="I820" s="367" t="s">
        <v>2732</v>
      </c>
      <c r="J820" s="54" t="s">
        <v>1524</v>
      </c>
      <c r="K820" s="48" t="s">
        <v>2728</v>
      </c>
      <c r="L820" s="150" t="s">
        <v>2591</v>
      </c>
      <c r="M820" s="150" t="s">
        <v>65</v>
      </c>
      <c r="N820" s="150" t="s">
        <v>2592</v>
      </c>
      <c r="O820" s="150" t="s">
        <v>2593</v>
      </c>
      <c r="P820" s="367">
        <v>4</v>
      </c>
      <c r="Q820" s="367">
        <v>3.7</v>
      </c>
      <c r="R820" s="367"/>
      <c r="S820" s="367">
        <v>100</v>
      </c>
      <c r="T820" s="367">
        <v>12</v>
      </c>
      <c r="U820" s="367"/>
      <c r="V820" s="367"/>
      <c r="W820" s="367"/>
      <c r="X820" s="367"/>
      <c r="Y820" s="367"/>
      <c r="Z820" s="367" t="s">
        <v>127</v>
      </c>
      <c r="AA820" s="367"/>
      <c r="AB820" s="150"/>
      <c r="AC820" s="48" t="s">
        <v>2651</v>
      </c>
      <c r="AD820" s="150" t="s">
        <v>886</v>
      </c>
      <c r="AE820" s="340">
        <v>46085</v>
      </c>
      <c r="AF820" s="340"/>
      <c r="AG820" s="344">
        <v>46170</v>
      </c>
      <c r="AH820" s="49">
        <v>46191</v>
      </c>
      <c r="AI820" s="266">
        <v>46143</v>
      </c>
      <c r="AJ820" s="150" t="s">
        <v>548</v>
      </c>
      <c r="AK820" s="150" t="s">
        <v>190</v>
      </c>
      <c r="AL820" s="150" t="s">
        <v>239</v>
      </c>
      <c r="AM820" s="150" t="s">
        <v>2079</v>
      </c>
      <c r="AN820" s="45">
        <v>46112</v>
      </c>
      <c r="AO820" s="367"/>
      <c r="AP820" s="367"/>
      <c r="AQ820" s="367"/>
      <c r="AR820" s="367"/>
      <c r="AS820" s="367"/>
      <c r="AT820" s="154">
        <v>46137</v>
      </c>
      <c r="AU820" s="154">
        <v>46124</v>
      </c>
      <c r="AV820" s="154">
        <v>46122</v>
      </c>
      <c r="AW820" s="154">
        <v>46115</v>
      </c>
      <c r="AX820" s="154"/>
      <c r="AY820" s="154"/>
      <c r="AZ820" s="154">
        <v>46153</v>
      </c>
      <c r="BA820" s="154"/>
      <c r="BB820" s="152" t="s">
        <v>2604</v>
      </c>
      <c r="BC820" s="152"/>
      <c r="BD820" s="367" t="s">
        <v>1605</v>
      </c>
      <c r="BE820" s="367"/>
      <c r="BF820" s="367"/>
      <c r="BG820" s="367"/>
      <c r="BH820" s="260"/>
      <c r="BI820" s="54"/>
      <c r="BJ820" s="54"/>
      <c r="BK820" s="54"/>
      <c r="BL820" s="54"/>
      <c r="BN820" s="358">
        <v>46136</v>
      </c>
    </row>
    <row r="821" spans="1:66" ht="36" customHeight="1" x14ac:dyDescent="0.3">
      <c r="A821" s="367">
        <f t="shared" si="16"/>
        <v>816</v>
      </c>
      <c r="B821" s="54" t="s">
        <v>2733</v>
      </c>
      <c r="C821" s="367" t="s">
        <v>6</v>
      </c>
      <c r="D821" s="150" t="s">
        <v>2646</v>
      </c>
      <c r="E821" s="367"/>
      <c r="F821" s="367"/>
      <c r="G821" s="367"/>
      <c r="H821" s="367"/>
      <c r="I821" s="367"/>
      <c r="J821" s="54" t="s">
        <v>1524</v>
      </c>
      <c r="K821" s="48" t="s">
        <v>2728</v>
      </c>
      <c r="L821" s="150" t="s">
        <v>2591</v>
      </c>
      <c r="M821" s="150" t="s">
        <v>65</v>
      </c>
      <c r="N821" s="150" t="s">
        <v>2592</v>
      </c>
      <c r="O821" s="150" t="s">
        <v>2593</v>
      </c>
      <c r="P821" s="367">
        <v>4</v>
      </c>
      <c r="Q821" s="367">
        <v>3.7</v>
      </c>
      <c r="R821" s="367"/>
      <c r="S821" s="367">
        <v>100</v>
      </c>
      <c r="T821" s="367">
        <v>12</v>
      </c>
      <c r="U821" s="367"/>
      <c r="V821" s="367"/>
      <c r="W821" s="367"/>
      <c r="X821" s="367"/>
      <c r="Y821" s="367"/>
      <c r="Z821" s="367" t="s">
        <v>127</v>
      </c>
      <c r="AA821" s="367"/>
      <c r="AB821" s="150"/>
      <c r="AC821" s="48" t="s">
        <v>2651</v>
      </c>
      <c r="AD821" s="150" t="s">
        <v>886</v>
      </c>
      <c r="AE821" s="340">
        <v>46085</v>
      </c>
      <c r="AF821" s="340"/>
      <c r="AG821" s="344">
        <v>46174</v>
      </c>
      <c r="AH821" s="49">
        <v>46203</v>
      </c>
      <c r="AI821" s="266">
        <v>46174</v>
      </c>
      <c r="AJ821" s="150" t="s">
        <v>617</v>
      </c>
      <c r="AK821" s="150" t="s">
        <v>190</v>
      </c>
      <c r="AL821" s="150" t="s">
        <v>239</v>
      </c>
      <c r="AM821" s="150" t="s">
        <v>2079</v>
      </c>
      <c r="AN821" s="45">
        <v>46112</v>
      </c>
      <c r="AO821" s="367"/>
      <c r="AP821" s="367"/>
      <c r="AQ821" s="367"/>
      <c r="AR821" s="367"/>
      <c r="AS821" s="367"/>
      <c r="AT821" s="154"/>
      <c r="AU821" s="154"/>
      <c r="AV821" s="154"/>
      <c r="AW821" s="154"/>
      <c r="AX821" s="154"/>
      <c r="AY821" s="154"/>
      <c r="AZ821" s="154"/>
      <c r="BA821" s="154"/>
      <c r="BB821" s="152"/>
      <c r="BC821" s="152"/>
      <c r="BD821" s="367" t="s">
        <v>1605</v>
      </c>
      <c r="BE821" s="367"/>
      <c r="BF821" s="367"/>
      <c r="BG821" s="367"/>
      <c r="BH821" s="260"/>
      <c r="BI821" s="54"/>
      <c r="BJ821" s="54"/>
      <c r="BK821" s="54"/>
      <c r="BL821" s="54"/>
    </row>
    <row r="822" spans="1:66" ht="36" customHeight="1" x14ac:dyDescent="0.3">
      <c r="A822" s="367">
        <f t="shared" si="16"/>
        <v>817</v>
      </c>
      <c r="B822" s="54" t="s">
        <v>2734</v>
      </c>
      <c r="C822" s="367" t="s">
        <v>6</v>
      </c>
      <c r="D822" s="367" t="s">
        <v>262</v>
      </c>
      <c r="E822" s="367"/>
      <c r="F822" s="367"/>
      <c r="G822" s="367"/>
      <c r="H822" s="367"/>
      <c r="I822" s="367"/>
      <c r="J822" s="54" t="s">
        <v>1524</v>
      </c>
      <c r="K822" s="48" t="s">
        <v>2728</v>
      </c>
      <c r="L822" s="150" t="s">
        <v>2598</v>
      </c>
      <c r="M822" s="150" t="s">
        <v>65</v>
      </c>
      <c r="N822" s="150" t="s">
        <v>2592</v>
      </c>
      <c r="O822" s="150" t="s">
        <v>2593</v>
      </c>
      <c r="P822" s="367">
        <v>4</v>
      </c>
      <c r="Q822" s="367">
        <v>3.7</v>
      </c>
      <c r="R822" s="367"/>
      <c r="S822" s="367">
        <v>100</v>
      </c>
      <c r="T822" s="367">
        <v>12</v>
      </c>
      <c r="U822" s="367"/>
      <c r="V822" s="367"/>
      <c r="W822" s="367"/>
      <c r="X822" s="367"/>
      <c r="Y822" s="367"/>
      <c r="Z822" s="367" t="s">
        <v>127</v>
      </c>
      <c r="AA822" s="367"/>
      <c r="AB822" s="150"/>
      <c r="AC822" s="48" t="s">
        <v>2702</v>
      </c>
      <c r="AD822" s="150" t="s">
        <v>169</v>
      </c>
      <c r="AE822" s="340">
        <v>46085</v>
      </c>
      <c r="AF822" s="340"/>
      <c r="AG822" s="344">
        <v>46174</v>
      </c>
      <c r="AH822" s="49">
        <v>46142</v>
      </c>
      <c r="AI822" s="266">
        <v>46122</v>
      </c>
      <c r="AJ822" s="150" t="s">
        <v>617</v>
      </c>
      <c r="AK822" s="150" t="s">
        <v>161</v>
      </c>
      <c r="AL822" s="150"/>
      <c r="AM822" s="150" t="s">
        <v>2086</v>
      </c>
      <c r="AN822" s="45">
        <v>46107</v>
      </c>
      <c r="AO822" s="367"/>
      <c r="AP822" s="367"/>
      <c r="AQ822" s="367"/>
      <c r="AR822" s="367"/>
      <c r="AS822" s="367"/>
      <c r="AT822" s="154"/>
      <c r="AU822" s="154"/>
      <c r="AV822" s="154"/>
      <c r="AW822" s="154"/>
      <c r="AX822" s="154"/>
      <c r="AY822" s="154"/>
      <c r="AZ822" s="154"/>
      <c r="BA822" s="154"/>
      <c r="BB822" s="152"/>
      <c r="BC822" s="152"/>
      <c r="BD822" s="367" t="s">
        <v>1605</v>
      </c>
      <c r="BE822" s="367"/>
      <c r="BF822" s="367"/>
      <c r="BG822" s="367"/>
      <c r="BH822" s="260"/>
      <c r="BI822" s="54"/>
      <c r="BJ822" s="54"/>
      <c r="BK822" s="54"/>
      <c r="BL822" s="54"/>
    </row>
    <row r="823" spans="1:66" ht="36" customHeight="1" x14ac:dyDescent="0.3">
      <c r="A823" s="367">
        <f t="shared" si="16"/>
        <v>818</v>
      </c>
      <c r="B823" s="54" t="s">
        <v>2735</v>
      </c>
      <c r="C823" s="367" t="s">
        <v>6</v>
      </c>
      <c r="D823" s="367" t="s">
        <v>262</v>
      </c>
      <c r="E823" s="367"/>
      <c r="F823" s="367"/>
      <c r="G823" s="367"/>
      <c r="H823" s="367"/>
      <c r="I823" s="367"/>
      <c r="J823" s="54" t="s">
        <v>1524</v>
      </c>
      <c r="K823" s="48" t="s">
        <v>2728</v>
      </c>
      <c r="L823" s="150" t="s">
        <v>2598</v>
      </c>
      <c r="M823" s="150" t="s">
        <v>65</v>
      </c>
      <c r="N823" s="150" t="s">
        <v>2592</v>
      </c>
      <c r="O823" s="150" t="s">
        <v>2593</v>
      </c>
      <c r="P823" s="367">
        <v>4</v>
      </c>
      <c r="Q823" s="367">
        <v>3.7</v>
      </c>
      <c r="R823" s="367"/>
      <c r="S823" s="367">
        <v>100</v>
      </c>
      <c r="T823" s="367">
        <v>12</v>
      </c>
      <c r="U823" s="367"/>
      <c r="V823" s="367"/>
      <c r="W823" s="367"/>
      <c r="X823" s="367"/>
      <c r="Y823" s="367"/>
      <c r="Z823" s="367" t="s">
        <v>127</v>
      </c>
      <c r="AA823" s="367"/>
      <c r="AB823" s="150"/>
      <c r="AC823" s="48" t="s">
        <v>2657</v>
      </c>
      <c r="AD823" s="150" t="s">
        <v>1121</v>
      </c>
      <c r="AE823" s="340">
        <v>46085</v>
      </c>
      <c r="AF823" s="340"/>
      <c r="AG823" s="344">
        <v>46174</v>
      </c>
      <c r="AH823" s="49">
        <v>46172</v>
      </c>
      <c r="AI823" s="266">
        <v>46143</v>
      </c>
      <c r="AJ823" s="150" t="s">
        <v>617</v>
      </c>
      <c r="AK823" s="150" t="s">
        <v>190</v>
      </c>
      <c r="AL823" s="150" t="s">
        <v>175</v>
      </c>
      <c r="AM823" s="150" t="s">
        <v>2609</v>
      </c>
      <c r="AN823" s="45">
        <v>46120</v>
      </c>
      <c r="AO823" s="367"/>
      <c r="AP823" s="367"/>
      <c r="AQ823" s="367"/>
      <c r="AR823" s="367"/>
      <c r="AS823" s="367"/>
      <c r="AT823" s="154"/>
      <c r="AU823" s="154"/>
      <c r="AV823" s="154"/>
      <c r="AW823" s="154"/>
      <c r="AX823" s="154"/>
      <c r="AY823" s="154"/>
      <c r="AZ823" s="154"/>
      <c r="BA823" s="154"/>
      <c r="BB823" s="152"/>
      <c r="BC823" s="152"/>
      <c r="BD823" s="367" t="s">
        <v>1605</v>
      </c>
      <c r="BE823" s="367"/>
      <c r="BF823" s="367"/>
      <c r="BG823" s="367"/>
      <c r="BH823" s="260"/>
      <c r="BI823" s="54"/>
      <c r="BJ823" s="54"/>
      <c r="BK823" s="54"/>
      <c r="BL823" s="54"/>
    </row>
    <row r="824" spans="1:66" ht="36" customHeight="1" x14ac:dyDescent="0.3">
      <c r="A824" s="367">
        <f t="shared" si="16"/>
        <v>819</v>
      </c>
      <c r="B824" s="54" t="s">
        <v>2736</v>
      </c>
      <c r="C824" s="367" t="s">
        <v>6</v>
      </c>
      <c r="D824" s="367" t="s">
        <v>262</v>
      </c>
      <c r="E824" s="367"/>
      <c r="F824" s="367"/>
      <c r="G824" s="367"/>
      <c r="H824" s="367"/>
      <c r="I824" s="367"/>
      <c r="J824" s="54" t="s">
        <v>1524</v>
      </c>
      <c r="K824" s="48" t="s">
        <v>2728</v>
      </c>
      <c r="L824" s="150" t="s">
        <v>2598</v>
      </c>
      <c r="M824" s="150" t="s">
        <v>65</v>
      </c>
      <c r="N824" s="150" t="s">
        <v>2592</v>
      </c>
      <c r="O824" s="150" t="s">
        <v>2593</v>
      </c>
      <c r="P824" s="367">
        <v>4</v>
      </c>
      <c r="Q824" s="367">
        <v>3.7</v>
      </c>
      <c r="R824" s="367"/>
      <c r="S824" s="367">
        <v>100</v>
      </c>
      <c r="T824" s="367">
        <v>12</v>
      </c>
      <c r="U824" s="367"/>
      <c r="V824" s="367"/>
      <c r="W824" s="367"/>
      <c r="X824" s="367"/>
      <c r="Y824" s="367"/>
      <c r="Z824" s="367" t="s">
        <v>127</v>
      </c>
      <c r="AA824" s="367"/>
      <c r="AB824" s="150"/>
      <c r="AC824" s="48" t="s">
        <v>2657</v>
      </c>
      <c r="AD824" s="150" t="s">
        <v>1121</v>
      </c>
      <c r="AE824" s="340">
        <v>46085</v>
      </c>
      <c r="AF824" s="340"/>
      <c r="AG824" s="344">
        <v>46174</v>
      </c>
      <c r="AH824" s="49">
        <v>46188</v>
      </c>
      <c r="AI824" s="266">
        <v>46174</v>
      </c>
      <c r="AJ824" s="150" t="s">
        <v>617</v>
      </c>
      <c r="AK824" s="150" t="s">
        <v>190</v>
      </c>
      <c r="AL824" s="150" t="s">
        <v>175</v>
      </c>
      <c r="AM824" s="150" t="s">
        <v>2609</v>
      </c>
      <c r="AN824" s="45">
        <v>46120</v>
      </c>
      <c r="AO824" s="367"/>
      <c r="AP824" s="367"/>
      <c r="AQ824" s="367"/>
      <c r="AR824" s="367"/>
      <c r="AS824" s="367"/>
      <c r="AT824" s="154"/>
      <c r="AU824" s="154"/>
      <c r="AV824" s="154"/>
      <c r="AW824" s="154"/>
      <c r="AX824" s="154"/>
      <c r="AY824" s="154"/>
      <c r="AZ824" s="154"/>
      <c r="BA824" s="154"/>
      <c r="BB824" s="152"/>
      <c r="BC824" s="152"/>
      <c r="BD824" s="367" t="s">
        <v>1605</v>
      </c>
      <c r="BE824" s="367"/>
      <c r="BF824" s="367"/>
      <c r="BG824" s="367"/>
      <c r="BH824" s="260"/>
      <c r="BI824" s="54"/>
      <c r="BJ824" s="54"/>
      <c r="BK824" s="54"/>
      <c r="BL824" s="54"/>
    </row>
    <row r="825" spans="1:66" ht="36" customHeight="1" x14ac:dyDescent="0.3">
      <c r="A825" s="367">
        <f t="shared" si="16"/>
        <v>820</v>
      </c>
      <c r="B825" s="54" t="s">
        <v>2737</v>
      </c>
      <c r="C825" s="367" t="s">
        <v>6</v>
      </c>
      <c r="D825" s="351" t="s">
        <v>2738</v>
      </c>
      <c r="E825" s="45">
        <v>46183</v>
      </c>
      <c r="F825" s="45">
        <v>46186</v>
      </c>
      <c r="G825" s="367"/>
      <c r="H825" s="367"/>
      <c r="I825" s="367"/>
      <c r="J825" s="54" t="s">
        <v>1524</v>
      </c>
      <c r="K825" s="48" t="s">
        <v>2728</v>
      </c>
      <c r="L825" s="150" t="s">
        <v>2598</v>
      </c>
      <c r="M825" s="150" t="s">
        <v>65</v>
      </c>
      <c r="N825" s="150" t="s">
        <v>2592</v>
      </c>
      <c r="O825" s="150" t="s">
        <v>2593</v>
      </c>
      <c r="P825" s="367">
        <v>4</v>
      </c>
      <c r="Q825" s="367">
        <v>3.7</v>
      </c>
      <c r="R825" s="367"/>
      <c r="S825" s="367">
        <v>100</v>
      </c>
      <c r="T825" s="367">
        <v>12</v>
      </c>
      <c r="U825" s="367"/>
      <c r="V825" s="367"/>
      <c r="W825" s="367"/>
      <c r="X825" s="367"/>
      <c r="Y825" s="367"/>
      <c r="Z825" s="367" t="s">
        <v>127</v>
      </c>
      <c r="AA825" s="367"/>
      <c r="AB825" s="150" t="s">
        <v>215</v>
      </c>
      <c r="AC825" s="48" t="s">
        <v>2662</v>
      </c>
      <c r="AD825" s="150" t="s">
        <v>1163</v>
      </c>
      <c r="AE825" s="340">
        <v>46085</v>
      </c>
      <c r="AF825" s="340">
        <v>46171</v>
      </c>
      <c r="AG825" s="344">
        <v>46183</v>
      </c>
      <c r="AH825" s="49">
        <v>46183</v>
      </c>
      <c r="AI825" s="266">
        <v>46174</v>
      </c>
      <c r="AJ825" s="150" t="s">
        <v>648</v>
      </c>
      <c r="AK825" s="150" t="s">
        <v>190</v>
      </c>
      <c r="AL825" s="150"/>
      <c r="AM825" s="150" t="s">
        <v>209</v>
      </c>
      <c r="AN825" s="45">
        <v>46123</v>
      </c>
      <c r="AO825" s="367"/>
      <c r="AP825" s="367"/>
      <c r="AQ825" s="367"/>
      <c r="AR825" s="367"/>
      <c r="AS825" s="367"/>
      <c r="AT825" s="154">
        <v>46152</v>
      </c>
      <c r="AU825" s="154">
        <v>46132</v>
      </c>
      <c r="AV825" s="154">
        <v>46146</v>
      </c>
      <c r="AW825" s="154">
        <v>46115</v>
      </c>
      <c r="AX825" s="154"/>
      <c r="AY825" s="154"/>
      <c r="AZ825" s="154">
        <v>46153</v>
      </c>
      <c r="BA825" s="154"/>
      <c r="BB825" s="152"/>
      <c r="BC825" s="152"/>
      <c r="BD825" s="367" t="s">
        <v>1605</v>
      </c>
      <c r="BE825" s="367"/>
      <c r="BF825" s="367"/>
      <c r="BG825" s="367"/>
      <c r="BH825" s="260"/>
      <c r="BI825" s="54"/>
      <c r="BJ825" s="54"/>
      <c r="BK825" s="54"/>
      <c r="BL825" s="54"/>
      <c r="BN825" s="358">
        <v>46136</v>
      </c>
    </row>
    <row r="826" spans="1:66" ht="36" customHeight="1" x14ac:dyDescent="0.3">
      <c r="A826" s="367">
        <f t="shared" si="16"/>
        <v>821</v>
      </c>
      <c r="B826" s="54" t="s">
        <v>2739</v>
      </c>
      <c r="C826" s="367" t="s">
        <v>6</v>
      </c>
      <c r="D826" s="351" t="s">
        <v>2740</v>
      </c>
      <c r="E826" s="45">
        <v>46183</v>
      </c>
      <c r="F826" s="45">
        <v>46183</v>
      </c>
      <c r="G826" s="367"/>
      <c r="H826" s="367"/>
      <c r="I826" s="367" t="s">
        <v>2741</v>
      </c>
      <c r="J826" s="54" t="s">
        <v>1524</v>
      </c>
      <c r="K826" s="48" t="s">
        <v>2728</v>
      </c>
      <c r="L826" s="150" t="s">
        <v>2598</v>
      </c>
      <c r="M826" s="150" t="s">
        <v>65</v>
      </c>
      <c r="N826" s="150" t="s">
        <v>2592</v>
      </c>
      <c r="O826" s="150" t="s">
        <v>2593</v>
      </c>
      <c r="P826" s="367">
        <v>4</v>
      </c>
      <c r="Q826" s="367">
        <v>3.7</v>
      </c>
      <c r="R826" s="367"/>
      <c r="S826" s="367">
        <v>100</v>
      </c>
      <c r="T826" s="367">
        <v>12</v>
      </c>
      <c r="U826" s="367"/>
      <c r="V826" s="367"/>
      <c r="W826" s="367"/>
      <c r="X826" s="367"/>
      <c r="Y826" s="367"/>
      <c r="Z826" s="367" t="s">
        <v>127</v>
      </c>
      <c r="AA826" s="367"/>
      <c r="AB826" s="150"/>
      <c r="AC826" s="48" t="s">
        <v>2666</v>
      </c>
      <c r="AD826" s="150" t="s">
        <v>886</v>
      </c>
      <c r="AE826" s="340">
        <v>46085</v>
      </c>
      <c r="AF826" s="340"/>
      <c r="AG826" s="344">
        <v>46183</v>
      </c>
      <c r="AH826" s="49">
        <v>46183</v>
      </c>
      <c r="AI826" s="266">
        <v>46174</v>
      </c>
      <c r="AJ826" s="150" t="s">
        <v>648</v>
      </c>
      <c r="AK826" s="150" t="s">
        <v>190</v>
      </c>
      <c r="AL826" s="150" t="s">
        <v>239</v>
      </c>
      <c r="AM826" s="150" t="s">
        <v>209</v>
      </c>
      <c r="AN826" s="45">
        <v>46112</v>
      </c>
      <c r="AO826" s="367"/>
      <c r="AP826" s="367"/>
      <c r="AQ826" s="367"/>
      <c r="AR826" s="367"/>
      <c r="AS826" s="367"/>
      <c r="AT826" s="154">
        <v>46137</v>
      </c>
      <c r="AU826" s="154">
        <v>46124</v>
      </c>
      <c r="AV826" s="154">
        <v>46122</v>
      </c>
      <c r="AW826" s="154">
        <v>46115</v>
      </c>
      <c r="AX826" s="154"/>
      <c r="AY826" s="154"/>
      <c r="AZ826" s="154">
        <v>46153</v>
      </c>
      <c r="BA826" s="154"/>
      <c r="BB826" s="152" t="s">
        <v>2604</v>
      </c>
      <c r="BC826" s="152"/>
      <c r="BD826" s="367" t="s">
        <v>1605</v>
      </c>
      <c r="BE826" s="367"/>
      <c r="BF826" s="367"/>
      <c r="BG826" s="367"/>
      <c r="BH826" s="260"/>
      <c r="BI826" s="54"/>
      <c r="BJ826" s="54"/>
      <c r="BK826" s="54"/>
      <c r="BL826" s="54"/>
      <c r="BN826" s="358">
        <v>46136</v>
      </c>
    </row>
    <row r="827" spans="1:66" ht="36" customHeight="1" x14ac:dyDescent="0.3">
      <c r="A827" s="367">
        <f t="shared" si="16"/>
        <v>822</v>
      </c>
      <c r="B827" s="54" t="s">
        <v>2742</v>
      </c>
      <c r="C827" s="367" t="s">
        <v>6</v>
      </c>
      <c r="D827" s="351" t="s">
        <v>2730</v>
      </c>
      <c r="E827" s="45">
        <v>46183</v>
      </c>
      <c r="F827" s="45">
        <v>46183</v>
      </c>
      <c r="G827" s="367"/>
      <c r="H827" s="367"/>
      <c r="I827" s="367" t="s">
        <v>2712</v>
      </c>
      <c r="J827" s="54" t="s">
        <v>1524</v>
      </c>
      <c r="K827" s="48" t="s">
        <v>2728</v>
      </c>
      <c r="L827" s="150" t="s">
        <v>2598</v>
      </c>
      <c r="M827" s="150" t="s">
        <v>65</v>
      </c>
      <c r="N827" s="150" t="s">
        <v>2592</v>
      </c>
      <c r="O827" s="150" t="s">
        <v>2593</v>
      </c>
      <c r="P827" s="367">
        <v>4</v>
      </c>
      <c r="Q827" s="367">
        <v>3.7</v>
      </c>
      <c r="R827" s="367"/>
      <c r="S827" s="367">
        <v>100</v>
      </c>
      <c r="T827" s="367">
        <v>12</v>
      </c>
      <c r="U827" s="367"/>
      <c r="V827" s="367"/>
      <c r="W827" s="367"/>
      <c r="X827" s="367"/>
      <c r="Y827" s="367"/>
      <c r="Z827" s="367" t="s">
        <v>127</v>
      </c>
      <c r="AA827" s="367"/>
      <c r="AB827" s="150"/>
      <c r="AC827" s="48" t="s">
        <v>2713</v>
      </c>
      <c r="AD827" s="150" t="s">
        <v>238</v>
      </c>
      <c r="AE827" s="340">
        <v>46085</v>
      </c>
      <c r="AF827" s="340"/>
      <c r="AG827" s="344">
        <v>46183</v>
      </c>
      <c r="AH827" s="49">
        <v>46184</v>
      </c>
      <c r="AI827" s="266">
        <v>46143</v>
      </c>
      <c r="AJ827" s="150" t="s">
        <v>330</v>
      </c>
      <c r="AK827" s="150" t="s">
        <v>190</v>
      </c>
      <c r="AL827" s="150" t="s">
        <v>239</v>
      </c>
      <c r="AM827" s="150" t="s">
        <v>2086</v>
      </c>
      <c r="AN827" s="45">
        <v>46111</v>
      </c>
      <c r="AO827" s="367"/>
      <c r="AP827" s="367"/>
      <c r="AQ827" s="367"/>
      <c r="AR827" s="367"/>
      <c r="AS827" s="367"/>
      <c r="AT827" s="154">
        <v>46147</v>
      </c>
      <c r="AU827" s="154">
        <v>46129</v>
      </c>
      <c r="AV827" s="154">
        <v>46132</v>
      </c>
      <c r="AW827" s="154">
        <v>46115</v>
      </c>
      <c r="AX827" s="154"/>
      <c r="AY827" s="154"/>
      <c r="AZ827" s="154"/>
      <c r="BA827" s="154"/>
      <c r="BB827" s="152"/>
      <c r="BC827" s="152"/>
      <c r="BD827" s="367" t="s">
        <v>1605</v>
      </c>
      <c r="BE827" s="367"/>
      <c r="BF827" s="367"/>
      <c r="BG827" s="367"/>
      <c r="BH827" s="260"/>
      <c r="BI827" s="54"/>
      <c r="BJ827" s="54"/>
      <c r="BK827" s="54"/>
      <c r="BL827" s="54"/>
      <c r="BM827" s="357">
        <v>46135</v>
      </c>
      <c r="BN827" s="358">
        <v>46136</v>
      </c>
    </row>
    <row r="828" spans="1:66" ht="36" customHeight="1" x14ac:dyDescent="0.3">
      <c r="A828" s="367">
        <f t="shared" si="16"/>
        <v>823</v>
      </c>
      <c r="B828" s="54" t="s">
        <v>2743</v>
      </c>
      <c r="C828" s="367" t="s">
        <v>6</v>
      </c>
      <c r="D828" s="367" t="s">
        <v>262</v>
      </c>
      <c r="E828" s="367"/>
      <c r="F828" s="367"/>
      <c r="G828" s="367"/>
      <c r="H828" s="367"/>
      <c r="I828" s="367"/>
      <c r="J828" s="54" t="s">
        <v>1524</v>
      </c>
      <c r="K828" s="48" t="s">
        <v>2728</v>
      </c>
      <c r="L828" s="150" t="s">
        <v>2598</v>
      </c>
      <c r="M828" s="150" t="s">
        <v>65</v>
      </c>
      <c r="N828" s="150" t="s">
        <v>2592</v>
      </c>
      <c r="O828" s="150" t="s">
        <v>2593</v>
      </c>
      <c r="P828" s="367">
        <v>4</v>
      </c>
      <c r="Q828" s="367">
        <v>3.7</v>
      </c>
      <c r="R828" s="367"/>
      <c r="S828" s="367">
        <v>100</v>
      </c>
      <c r="T828" s="367">
        <v>12</v>
      </c>
      <c r="U828" s="367"/>
      <c r="V828" s="367"/>
      <c r="W828" s="367"/>
      <c r="X828" s="367"/>
      <c r="Y828" s="367"/>
      <c r="Z828" s="367" t="s">
        <v>127</v>
      </c>
      <c r="AA828" s="367"/>
      <c r="AB828" s="150"/>
      <c r="AC828" s="48" t="s">
        <v>2670</v>
      </c>
      <c r="AD828" s="150" t="s">
        <v>2671</v>
      </c>
      <c r="AE828" s="340">
        <v>46085</v>
      </c>
      <c r="AF828" s="340"/>
      <c r="AG828" s="344">
        <v>46174</v>
      </c>
      <c r="AH828" s="49"/>
      <c r="AI828" s="266"/>
      <c r="AJ828" s="150" t="s">
        <v>264</v>
      </c>
      <c r="AK828" s="150" t="s">
        <v>190</v>
      </c>
      <c r="AL828" s="150" t="s">
        <v>191</v>
      </c>
      <c r="AM828" s="150" t="s">
        <v>134</v>
      </c>
      <c r="AN828" s="45">
        <v>46135</v>
      </c>
      <c r="AO828" s="367"/>
      <c r="AP828" s="367"/>
      <c r="AQ828" s="367"/>
      <c r="AR828" s="367"/>
      <c r="AS828" s="367"/>
      <c r="AT828" s="154"/>
      <c r="AU828" s="154"/>
      <c r="AV828" s="154"/>
      <c r="AW828" s="154"/>
      <c r="AX828" s="154"/>
      <c r="AY828" s="154"/>
      <c r="AZ828" s="154"/>
      <c r="BA828" s="154"/>
      <c r="BB828" s="152"/>
      <c r="BC828" s="152"/>
      <c r="BD828" s="367" t="s">
        <v>1605</v>
      </c>
      <c r="BE828" s="367"/>
      <c r="BF828" s="367"/>
      <c r="BG828" s="367"/>
      <c r="BH828" s="260"/>
      <c r="BI828" s="54"/>
      <c r="BJ828" s="54"/>
      <c r="BK828" s="54"/>
      <c r="BL828" s="54"/>
    </row>
    <row r="829" spans="1:66" ht="36" customHeight="1" x14ac:dyDescent="0.3">
      <c r="A829" s="367">
        <f t="shared" si="16"/>
        <v>824</v>
      </c>
      <c r="B829" s="54" t="s">
        <v>2744</v>
      </c>
      <c r="C829" s="367" t="s">
        <v>6</v>
      </c>
      <c r="D829" s="351" t="s">
        <v>2730</v>
      </c>
      <c r="E829" s="45">
        <v>46185</v>
      </c>
      <c r="F829" s="45">
        <v>46193</v>
      </c>
      <c r="G829" s="367"/>
      <c r="H829" s="367"/>
      <c r="I829" s="367" t="s">
        <v>2745</v>
      </c>
      <c r="J829" s="54" t="s">
        <v>1524</v>
      </c>
      <c r="K829" s="48" t="s">
        <v>2728</v>
      </c>
      <c r="L829" s="150" t="s">
        <v>2598</v>
      </c>
      <c r="M829" s="150" t="s">
        <v>65</v>
      </c>
      <c r="N829" s="150" t="s">
        <v>2592</v>
      </c>
      <c r="O829" s="150" t="s">
        <v>2593</v>
      </c>
      <c r="P829" s="367">
        <v>4</v>
      </c>
      <c r="Q829" s="367">
        <v>3.7</v>
      </c>
      <c r="R829" s="367"/>
      <c r="S829" s="367">
        <v>100</v>
      </c>
      <c r="T829" s="367">
        <v>12</v>
      </c>
      <c r="U829" s="367"/>
      <c r="V829" s="367"/>
      <c r="W829" s="367"/>
      <c r="X829" s="367"/>
      <c r="Y829" s="367"/>
      <c r="Z829" s="367" t="s">
        <v>127</v>
      </c>
      <c r="AA829" s="367"/>
      <c r="AB829" s="150" t="s">
        <v>215</v>
      </c>
      <c r="AC829" s="48" t="s">
        <v>2674</v>
      </c>
      <c r="AD829" s="150" t="s">
        <v>1079</v>
      </c>
      <c r="AE829" s="340">
        <v>46085</v>
      </c>
      <c r="AF829" s="340"/>
      <c r="AG829" s="344">
        <v>46193</v>
      </c>
      <c r="AH829" s="49">
        <v>46193</v>
      </c>
      <c r="AI829" s="266">
        <v>46143</v>
      </c>
      <c r="AJ829" s="150" t="s">
        <v>330</v>
      </c>
      <c r="AK829" s="150" t="s">
        <v>161</v>
      </c>
      <c r="AL829" s="150" t="s">
        <v>239</v>
      </c>
      <c r="AM829" s="150" t="s">
        <v>2079</v>
      </c>
      <c r="AN829" s="45">
        <v>46107</v>
      </c>
      <c r="AO829" s="367"/>
      <c r="AP829" s="367"/>
      <c r="AQ829" s="367"/>
      <c r="AR829" s="367"/>
      <c r="AS829" s="367"/>
      <c r="AT829" s="154">
        <v>46134</v>
      </c>
      <c r="AU829" s="359" t="s">
        <v>2600</v>
      </c>
      <c r="AV829" s="154">
        <v>46147</v>
      </c>
      <c r="AW829" s="154">
        <v>46115</v>
      </c>
      <c r="AX829" s="154"/>
      <c r="AY829" s="154"/>
      <c r="AZ829" s="154">
        <v>46153</v>
      </c>
      <c r="BA829" s="154"/>
      <c r="BB829" s="152"/>
      <c r="BC829" s="152"/>
      <c r="BD829" s="367" t="s">
        <v>1605</v>
      </c>
      <c r="BE829" s="367"/>
      <c r="BF829" s="367"/>
      <c r="BG829" s="367"/>
      <c r="BH829" s="260"/>
      <c r="BI829" s="54"/>
      <c r="BJ829" s="54"/>
      <c r="BK829" s="54"/>
      <c r="BL829" s="54"/>
      <c r="BN829" s="358">
        <v>46136</v>
      </c>
    </row>
    <row r="830" spans="1:66" ht="36" customHeight="1" x14ac:dyDescent="0.3">
      <c r="A830" s="367">
        <f t="shared" si="16"/>
        <v>825</v>
      </c>
      <c r="B830" s="54" t="s">
        <v>2746</v>
      </c>
      <c r="C830" s="367" t="s">
        <v>6</v>
      </c>
      <c r="D830" s="351" t="s">
        <v>2740</v>
      </c>
      <c r="E830" s="367"/>
      <c r="F830" s="45">
        <v>46193</v>
      </c>
      <c r="G830" s="367"/>
      <c r="H830" s="367"/>
      <c r="I830" s="367" t="s">
        <v>2741</v>
      </c>
      <c r="J830" s="54" t="s">
        <v>1524</v>
      </c>
      <c r="K830" s="48" t="s">
        <v>2728</v>
      </c>
      <c r="L830" s="150" t="s">
        <v>2598</v>
      </c>
      <c r="M830" s="150" t="s">
        <v>65</v>
      </c>
      <c r="N830" s="150" t="s">
        <v>2592</v>
      </c>
      <c r="O830" s="150" t="s">
        <v>2593</v>
      </c>
      <c r="P830" s="367">
        <v>4</v>
      </c>
      <c r="Q830" s="367">
        <v>3.7</v>
      </c>
      <c r="R830" s="367"/>
      <c r="S830" s="367">
        <v>100</v>
      </c>
      <c r="T830" s="367">
        <v>12</v>
      </c>
      <c r="U830" s="367"/>
      <c r="V830" s="367"/>
      <c r="W830" s="367"/>
      <c r="X830" s="367"/>
      <c r="Y830" s="367"/>
      <c r="Z830" s="367" t="s">
        <v>127</v>
      </c>
      <c r="AA830" s="367"/>
      <c r="AB830" s="150"/>
      <c r="AC830" s="48" t="s">
        <v>2677</v>
      </c>
      <c r="AD830" s="150" t="s">
        <v>886</v>
      </c>
      <c r="AE830" s="340">
        <v>46085</v>
      </c>
      <c r="AF830" s="340"/>
      <c r="AG830" s="344">
        <v>46193</v>
      </c>
      <c r="AH830" s="49">
        <v>46193</v>
      </c>
      <c r="AI830" s="266">
        <v>46157</v>
      </c>
      <c r="AJ830" s="150" t="s">
        <v>548</v>
      </c>
      <c r="AK830" s="150" t="s">
        <v>190</v>
      </c>
      <c r="AL830" s="150" t="s">
        <v>239</v>
      </c>
      <c r="AM830" s="150" t="s">
        <v>2079</v>
      </c>
      <c r="AN830" s="45">
        <v>46112</v>
      </c>
      <c r="AO830" s="367"/>
      <c r="AP830" s="367"/>
      <c r="AQ830" s="367"/>
      <c r="AR830" s="367"/>
      <c r="AS830" s="367"/>
      <c r="AT830" s="154">
        <v>46137</v>
      </c>
      <c r="AU830" s="154">
        <v>46124</v>
      </c>
      <c r="AV830" s="154">
        <v>46122</v>
      </c>
      <c r="AW830" s="154">
        <v>46115</v>
      </c>
      <c r="AX830" s="154"/>
      <c r="AY830" s="154"/>
      <c r="AZ830" s="154">
        <v>46153</v>
      </c>
      <c r="BA830" s="154"/>
      <c r="BB830" s="152" t="s">
        <v>2604</v>
      </c>
      <c r="BC830" s="152"/>
      <c r="BD830" s="367" t="s">
        <v>1605</v>
      </c>
      <c r="BE830" s="367"/>
      <c r="BF830" s="367"/>
      <c r="BG830" s="367"/>
      <c r="BH830" s="260"/>
      <c r="BI830" s="54"/>
      <c r="BJ830" s="54"/>
      <c r="BK830" s="54"/>
      <c r="BL830" s="54"/>
      <c r="BN830" s="358">
        <v>46136</v>
      </c>
    </row>
    <row r="831" spans="1:66" ht="36" customHeight="1" x14ac:dyDescent="0.3">
      <c r="A831" s="367">
        <f t="shared" si="16"/>
        <v>826</v>
      </c>
      <c r="B831" s="54" t="s">
        <v>2747</v>
      </c>
      <c r="C831" s="367" t="s">
        <v>6</v>
      </c>
      <c r="D831" s="351" t="s">
        <v>2740</v>
      </c>
      <c r="E831" s="367"/>
      <c r="F831" s="45">
        <v>46193</v>
      </c>
      <c r="G831" s="367"/>
      <c r="H831" s="367"/>
      <c r="I831" s="367" t="s">
        <v>2741</v>
      </c>
      <c r="J831" s="54" t="s">
        <v>1524</v>
      </c>
      <c r="K831" s="48" t="s">
        <v>2748</v>
      </c>
      <c r="L831" s="150" t="s">
        <v>2591</v>
      </c>
      <c r="M831" s="150" t="s">
        <v>65</v>
      </c>
      <c r="N831" s="150" t="s">
        <v>2592</v>
      </c>
      <c r="O831" s="150" t="s">
        <v>2593</v>
      </c>
      <c r="P831" s="367">
        <v>4</v>
      </c>
      <c r="Q831" s="367">
        <v>3.7</v>
      </c>
      <c r="R831" s="367"/>
      <c r="S831" s="367">
        <v>100</v>
      </c>
      <c r="T831" s="367">
        <v>12</v>
      </c>
      <c r="U831" s="367"/>
      <c r="V831" s="367"/>
      <c r="W831" s="367"/>
      <c r="X831" s="367"/>
      <c r="Y831" s="367"/>
      <c r="Z831" s="367"/>
      <c r="AA831" s="367"/>
      <c r="AB831" s="150"/>
      <c r="AC831" s="48" t="s">
        <v>2681</v>
      </c>
      <c r="AD831" s="150" t="s">
        <v>886</v>
      </c>
      <c r="AE831" s="340">
        <v>46085</v>
      </c>
      <c r="AF831" s="340"/>
      <c r="AG831" s="344">
        <v>46193</v>
      </c>
      <c r="AH831" s="49">
        <v>46198</v>
      </c>
      <c r="AI831" s="266">
        <v>46174</v>
      </c>
      <c r="AJ831" s="150" t="s">
        <v>548</v>
      </c>
      <c r="AK831" s="150" t="s">
        <v>190</v>
      </c>
      <c r="AL831" s="150" t="s">
        <v>239</v>
      </c>
      <c r="AM831" s="150" t="s">
        <v>2079</v>
      </c>
      <c r="AN831" s="45">
        <v>46112</v>
      </c>
      <c r="AO831" s="367"/>
      <c r="AP831" s="367"/>
      <c r="AQ831" s="367"/>
      <c r="AR831" s="367"/>
      <c r="AS831" s="367"/>
      <c r="AT831" s="154">
        <v>46137</v>
      </c>
      <c r="AU831" s="154">
        <v>46124</v>
      </c>
      <c r="AV831" s="154">
        <v>46122</v>
      </c>
      <c r="AW831" s="154">
        <v>46115</v>
      </c>
      <c r="AX831" s="154"/>
      <c r="AY831" s="154"/>
      <c r="AZ831" s="154">
        <v>46153</v>
      </c>
      <c r="BA831" s="154"/>
      <c r="BB831" s="152" t="s">
        <v>2604</v>
      </c>
      <c r="BC831" s="152"/>
      <c r="BD831" s="367" t="s">
        <v>1605</v>
      </c>
      <c r="BE831" s="367"/>
      <c r="BF831" s="367"/>
      <c r="BG831" s="367"/>
      <c r="BH831" s="260"/>
      <c r="BI831" s="54"/>
      <c r="BJ831" s="54"/>
      <c r="BK831" s="54"/>
      <c r="BL831" s="54"/>
      <c r="BM831" s="357">
        <v>46135</v>
      </c>
      <c r="BN831" s="358">
        <v>46136</v>
      </c>
    </row>
    <row r="832" spans="1:66" ht="36" customHeight="1" x14ac:dyDescent="0.3">
      <c r="A832" s="367">
        <f t="shared" si="16"/>
        <v>827</v>
      </c>
      <c r="B832" s="54" t="s">
        <v>2749</v>
      </c>
      <c r="C832" s="367" t="s">
        <v>6</v>
      </c>
      <c r="D832" s="351" t="s">
        <v>2646</v>
      </c>
      <c r="E832" s="45">
        <v>46185</v>
      </c>
      <c r="F832" s="45">
        <v>46193</v>
      </c>
      <c r="G832" s="367"/>
      <c r="H832" s="367"/>
      <c r="I832" s="367"/>
      <c r="J832" s="54" t="s">
        <v>1524</v>
      </c>
      <c r="K832" s="48" t="s">
        <v>2748</v>
      </c>
      <c r="L832" s="150" t="s">
        <v>2591</v>
      </c>
      <c r="M832" s="150" t="s">
        <v>65</v>
      </c>
      <c r="N832" s="150" t="s">
        <v>2592</v>
      </c>
      <c r="O832" s="150" t="s">
        <v>2593</v>
      </c>
      <c r="P832" s="367">
        <v>4</v>
      </c>
      <c r="Q832" s="367">
        <v>3.7</v>
      </c>
      <c r="R832" s="367"/>
      <c r="S832" s="367">
        <v>100</v>
      </c>
      <c r="T832" s="367">
        <v>12</v>
      </c>
      <c r="U832" s="367"/>
      <c r="V832" s="367"/>
      <c r="W832" s="367"/>
      <c r="X832" s="367"/>
      <c r="Y832" s="367"/>
      <c r="Z832" s="367"/>
      <c r="AA832" s="367"/>
      <c r="AB832" s="150" t="s">
        <v>215</v>
      </c>
      <c r="AC832" s="48" t="s">
        <v>2630</v>
      </c>
      <c r="AD832" s="150" t="s">
        <v>1079</v>
      </c>
      <c r="AE832" s="340">
        <v>46085</v>
      </c>
      <c r="AF832" s="340"/>
      <c r="AG832" s="344">
        <v>46193</v>
      </c>
      <c r="AH832" s="49">
        <v>46194</v>
      </c>
      <c r="AI832" s="266">
        <v>46157</v>
      </c>
      <c r="AJ832" s="150" t="s">
        <v>330</v>
      </c>
      <c r="AK832" s="150" t="s">
        <v>161</v>
      </c>
      <c r="AL832" s="150" t="s">
        <v>239</v>
      </c>
      <c r="AM832" s="150" t="s">
        <v>2079</v>
      </c>
      <c r="AN832" s="45">
        <v>46104</v>
      </c>
      <c r="AO832" s="367"/>
      <c r="AP832" s="367"/>
      <c r="AQ832" s="367"/>
      <c r="AR832" s="367"/>
      <c r="AS832" s="367"/>
      <c r="AT832" s="154">
        <v>46134</v>
      </c>
      <c r="AU832" s="359" t="s">
        <v>2600</v>
      </c>
      <c r="AV832" s="154">
        <v>46147</v>
      </c>
      <c r="AW832" s="154">
        <v>46115</v>
      </c>
      <c r="AX832" s="154"/>
      <c r="AY832" s="154"/>
      <c r="AZ832" s="154">
        <v>46153</v>
      </c>
      <c r="BA832" s="154"/>
      <c r="BB832" s="152"/>
      <c r="BC832" s="152"/>
      <c r="BD832" s="367" t="s">
        <v>1605</v>
      </c>
      <c r="BE832" s="367"/>
      <c r="BF832" s="367"/>
      <c r="BG832" s="367"/>
      <c r="BH832" s="260"/>
      <c r="BI832" s="54"/>
      <c r="BJ832" s="54"/>
      <c r="BK832" s="54"/>
      <c r="BL832" s="54"/>
      <c r="BM832" s="357">
        <v>46135</v>
      </c>
      <c r="BN832" s="358">
        <v>46136</v>
      </c>
    </row>
    <row r="833" spans="1:66" ht="36" customHeight="1" x14ac:dyDescent="0.3">
      <c r="A833" s="367">
        <f t="shared" si="16"/>
        <v>828</v>
      </c>
      <c r="B833" s="54" t="s">
        <v>2750</v>
      </c>
      <c r="C833" s="367" t="s">
        <v>6</v>
      </c>
      <c r="D833" s="354" t="s">
        <v>2730</v>
      </c>
      <c r="E833" s="45">
        <v>46185</v>
      </c>
      <c r="F833" s="45">
        <v>46193</v>
      </c>
      <c r="G833" s="367"/>
      <c r="H833" s="367"/>
      <c r="I833" s="367" t="s">
        <v>2751</v>
      </c>
      <c r="J833" s="54" t="s">
        <v>1524</v>
      </c>
      <c r="K833" s="48" t="s">
        <v>2748</v>
      </c>
      <c r="L833" s="150" t="s">
        <v>2591</v>
      </c>
      <c r="M833" s="150" t="s">
        <v>65</v>
      </c>
      <c r="N833" s="150" t="s">
        <v>2592</v>
      </c>
      <c r="O833" s="150" t="s">
        <v>2593</v>
      </c>
      <c r="P833" s="367">
        <v>4</v>
      </c>
      <c r="Q833" s="367">
        <v>3.7</v>
      </c>
      <c r="R833" s="367"/>
      <c r="S833" s="367">
        <v>100</v>
      </c>
      <c r="T833" s="367">
        <v>12</v>
      </c>
      <c r="U833" s="367"/>
      <c r="V833" s="367"/>
      <c r="W833" s="367"/>
      <c r="X833" s="367"/>
      <c r="Y833" s="367"/>
      <c r="Z833" s="367"/>
      <c r="AA833" s="367"/>
      <c r="AB833" s="150"/>
      <c r="AC833" s="48" t="s">
        <v>2633</v>
      </c>
      <c r="AD833" s="150" t="s">
        <v>1121</v>
      </c>
      <c r="AE833" s="340">
        <v>46085</v>
      </c>
      <c r="AF833" s="340"/>
      <c r="AG833" s="344">
        <v>46193</v>
      </c>
      <c r="AH833" s="49">
        <v>46194</v>
      </c>
      <c r="AI833" s="266">
        <v>46174</v>
      </c>
      <c r="AJ833" s="150" t="s">
        <v>330</v>
      </c>
      <c r="AK833" s="150" t="s">
        <v>190</v>
      </c>
      <c r="AL833" s="150" t="s">
        <v>175</v>
      </c>
      <c r="AM833" s="150" t="s">
        <v>2609</v>
      </c>
      <c r="AN833" s="45">
        <v>46129</v>
      </c>
      <c r="AO833" s="367"/>
      <c r="AP833" s="367"/>
      <c r="AQ833" s="367"/>
      <c r="AR833" s="367"/>
      <c r="AS833" s="367"/>
      <c r="AT833" s="154">
        <v>46152</v>
      </c>
      <c r="AU833" s="154">
        <v>46115</v>
      </c>
      <c r="AV833" s="154">
        <v>46148</v>
      </c>
      <c r="AW833" s="154">
        <v>46118</v>
      </c>
      <c r="AX833" s="154"/>
      <c r="AY833" s="154"/>
      <c r="AZ833" s="154">
        <v>46153</v>
      </c>
      <c r="BA833" s="154"/>
      <c r="BB833" s="152"/>
      <c r="BC833" s="152"/>
      <c r="BD833" s="367" t="s">
        <v>1605</v>
      </c>
      <c r="BE833" s="367"/>
      <c r="BF833" s="367"/>
      <c r="BG833" s="367"/>
      <c r="BH833" s="260"/>
      <c r="BI833" s="54"/>
      <c r="BJ833" s="54"/>
      <c r="BK833" s="54"/>
      <c r="BL833" s="54"/>
      <c r="BM833" s="357">
        <v>46135</v>
      </c>
      <c r="BN833" s="358">
        <v>46136</v>
      </c>
    </row>
    <row r="834" spans="1:66" ht="37.950000000000003" customHeight="1" x14ac:dyDescent="0.3">
      <c r="A834" s="367">
        <f t="shared" ref="A834:A941" si="17">ROW(B834)-ROW($B$5)</f>
        <v>829</v>
      </c>
      <c r="B834" s="54" t="s">
        <v>2752</v>
      </c>
      <c r="C834" s="367" t="s">
        <v>6</v>
      </c>
      <c r="D834" s="354" t="s">
        <v>2641</v>
      </c>
      <c r="E834" s="367" t="s">
        <v>2636</v>
      </c>
      <c r="F834" s="45">
        <v>46188</v>
      </c>
      <c r="G834" s="367"/>
      <c r="H834" s="367"/>
      <c r="I834" s="367" t="s">
        <v>2753</v>
      </c>
      <c r="J834" s="54" t="s">
        <v>1524</v>
      </c>
      <c r="K834" s="48" t="s">
        <v>2748</v>
      </c>
      <c r="L834" s="367" t="s">
        <v>2591</v>
      </c>
      <c r="M834" s="150" t="s">
        <v>65</v>
      </c>
      <c r="N834" s="150" t="s">
        <v>2592</v>
      </c>
      <c r="O834" s="150" t="s">
        <v>2593</v>
      </c>
      <c r="P834" s="367">
        <v>4</v>
      </c>
      <c r="Q834" s="367">
        <v>3.7</v>
      </c>
      <c r="R834" s="367"/>
      <c r="S834" s="367">
        <v>100</v>
      </c>
      <c r="T834" s="367">
        <v>12</v>
      </c>
      <c r="U834" s="367"/>
      <c r="V834" s="367" t="s">
        <v>127</v>
      </c>
      <c r="W834" s="367"/>
      <c r="X834" s="150" t="s">
        <v>2638</v>
      </c>
      <c r="Y834" s="367" t="s">
        <v>127</v>
      </c>
      <c r="Z834" s="367"/>
      <c r="AA834" s="367"/>
      <c r="AB834" s="150" t="s">
        <v>215</v>
      </c>
      <c r="AC834" s="48" t="s">
        <v>2639</v>
      </c>
      <c r="AD834" s="150" t="s">
        <v>1150</v>
      </c>
      <c r="AE834" s="340">
        <v>46085</v>
      </c>
      <c r="AF834" s="340"/>
      <c r="AG834" s="344">
        <v>46193</v>
      </c>
      <c r="AH834" s="49">
        <v>46201</v>
      </c>
      <c r="AI834" s="266">
        <v>46143</v>
      </c>
      <c r="AJ834" s="150" t="s">
        <v>548</v>
      </c>
      <c r="AK834" s="150"/>
      <c r="AL834" s="150"/>
      <c r="AM834" s="150" t="s">
        <v>2079</v>
      </c>
      <c r="AN834" s="332"/>
      <c r="AO834" s="367"/>
      <c r="AP834" s="367"/>
      <c r="AQ834" s="367"/>
      <c r="AR834" s="367"/>
      <c r="AS834" s="367"/>
      <c r="AT834" s="154"/>
      <c r="AU834" s="154"/>
      <c r="AV834" s="154"/>
      <c r="AW834" s="154"/>
      <c r="AX834" s="154"/>
      <c r="AY834" s="154"/>
      <c r="AZ834" s="154"/>
      <c r="BA834" s="154"/>
      <c r="BB834" s="152" t="s">
        <v>2468</v>
      </c>
      <c r="BC834" s="152"/>
      <c r="BD834" s="367" t="s">
        <v>1605</v>
      </c>
      <c r="BE834" s="367"/>
      <c r="BF834" s="367"/>
      <c r="BG834" s="367"/>
      <c r="BH834" s="260"/>
      <c r="BL834" s="54"/>
      <c r="BM834" s="357">
        <v>46135</v>
      </c>
      <c r="BN834" s="358">
        <v>46136</v>
      </c>
    </row>
    <row r="835" spans="1:66" ht="37.950000000000003" customHeight="1" x14ac:dyDescent="0.3">
      <c r="A835" s="367">
        <f t="shared" si="17"/>
        <v>830</v>
      </c>
      <c r="B835" s="54" t="s">
        <v>2754</v>
      </c>
      <c r="C835" s="367" t="s">
        <v>6</v>
      </c>
      <c r="D835" s="367" t="s">
        <v>2755</v>
      </c>
      <c r="E835" s="367"/>
      <c r="F835" s="367"/>
      <c r="G835" s="367"/>
      <c r="H835" s="367"/>
      <c r="I835" s="367"/>
      <c r="J835" s="54" t="s">
        <v>1524</v>
      </c>
      <c r="K835" s="48" t="s">
        <v>2756</v>
      </c>
      <c r="L835" s="367" t="s">
        <v>2280</v>
      </c>
      <c r="M835" s="150" t="s">
        <v>120</v>
      </c>
      <c r="N835" s="150" t="s">
        <v>2488</v>
      </c>
      <c r="O835" s="150" t="s">
        <v>2489</v>
      </c>
      <c r="P835" s="367">
        <v>6</v>
      </c>
      <c r="Q835" s="367">
        <v>2.5</v>
      </c>
      <c r="R835" s="367"/>
      <c r="S835" s="367">
        <v>50</v>
      </c>
      <c r="T835" s="367">
        <v>20</v>
      </c>
      <c r="U835" s="367"/>
      <c r="V835" s="367" t="s">
        <v>127</v>
      </c>
      <c r="W835" s="367"/>
      <c r="X835" s="367" t="s">
        <v>150</v>
      </c>
      <c r="Y835" s="367"/>
      <c r="Z835" s="367"/>
      <c r="AA835" s="367" t="s">
        <v>127</v>
      </c>
      <c r="AB835" s="150" t="s">
        <v>215</v>
      </c>
      <c r="AC835" s="48" t="s">
        <v>2757</v>
      </c>
      <c r="AD835" s="150" t="s">
        <v>199</v>
      </c>
      <c r="AE835" s="340">
        <v>46085</v>
      </c>
      <c r="AF835" s="340"/>
      <c r="AG835" s="286">
        <v>46244</v>
      </c>
      <c r="AH835" s="49">
        <v>46233</v>
      </c>
      <c r="AI835" s="266">
        <v>46204</v>
      </c>
      <c r="AJ835" s="150" t="s">
        <v>2334</v>
      </c>
      <c r="AK835" s="150" t="s">
        <v>200</v>
      </c>
      <c r="AL835" s="150" t="s">
        <v>175</v>
      </c>
      <c r="AM835" s="150" t="s">
        <v>209</v>
      </c>
      <c r="AN835" s="45">
        <v>46172</v>
      </c>
      <c r="AO835" s="367"/>
      <c r="AP835" s="367"/>
      <c r="AQ835" s="367"/>
      <c r="AR835" s="367"/>
      <c r="AS835" s="367"/>
      <c r="AT835" s="154">
        <v>46198</v>
      </c>
      <c r="AU835" s="154">
        <v>46171</v>
      </c>
      <c r="AV835" s="154">
        <v>46171</v>
      </c>
      <c r="AW835" s="154"/>
      <c r="AX835" s="154"/>
      <c r="AY835" s="154"/>
      <c r="AZ835" s="154"/>
      <c r="BA835" s="154"/>
      <c r="BB835" s="152" t="s">
        <v>2468</v>
      </c>
      <c r="BC835" s="152"/>
      <c r="BD835" s="367" t="s">
        <v>1605</v>
      </c>
      <c r="BE835" s="367"/>
      <c r="BF835" s="367"/>
      <c r="BG835" s="367"/>
      <c r="BH835" s="260"/>
      <c r="BL835" s="54"/>
      <c r="BM835" s="357">
        <v>46135</v>
      </c>
    </row>
    <row r="836" spans="1:66" ht="37.950000000000003" customHeight="1" x14ac:dyDescent="0.3">
      <c r="A836" s="367">
        <f t="shared" si="17"/>
        <v>831</v>
      </c>
      <c r="B836" s="54" t="s">
        <v>2758</v>
      </c>
      <c r="C836" s="367" t="s">
        <v>6</v>
      </c>
      <c r="D836" s="367" t="s">
        <v>2755</v>
      </c>
      <c r="E836" s="367"/>
      <c r="F836" s="367"/>
      <c r="G836" s="367"/>
      <c r="H836" s="367"/>
      <c r="I836" s="367"/>
      <c r="J836" s="54" t="s">
        <v>1524</v>
      </c>
      <c r="K836" s="48" t="s">
        <v>2756</v>
      </c>
      <c r="L836" s="367" t="s">
        <v>2280</v>
      </c>
      <c r="M836" s="150" t="s">
        <v>120</v>
      </c>
      <c r="N836" s="150" t="s">
        <v>2488</v>
      </c>
      <c r="O836" s="150" t="s">
        <v>2489</v>
      </c>
      <c r="P836" s="367">
        <v>6</v>
      </c>
      <c r="Q836" s="367">
        <v>2.5</v>
      </c>
      <c r="R836" s="367"/>
      <c r="S836" s="367">
        <v>50</v>
      </c>
      <c r="T836" s="367">
        <v>20</v>
      </c>
      <c r="U836" s="367"/>
      <c r="V836" s="367" t="s">
        <v>127</v>
      </c>
      <c r="W836" s="367"/>
      <c r="X836" s="367" t="s">
        <v>150</v>
      </c>
      <c r="Y836" s="367"/>
      <c r="Z836" s="367"/>
      <c r="AA836" s="367"/>
      <c r="AB836" s="150" t="s">
        <v>215</v>
      </c>
      <c r="AC836" s="48" t="s">
        <v>2759</v>
      </c>
      <c r="AD836" s="150" t="s">
        <v>207</v>
      </c>
      <c r="AE836" s="340">
        <v>46085</v>
      </c>
      <c r="AF836" s="340"/>
      <c r="AG836" s="286">
        <v>46244</v>
      </c>
      <c r="AH836" s="49">
        <v>46233</v>
      </c>
      <c r="AI836" s="266">
        <v>46204</v>
      </c>
      <c r="AJ836" s="150" t="s">
        <v>2334</v>
      </c>
      <c r="AK836" s="150" t="s">
        <v>200</v>
      </c>
      <c r="AL836" s="150" t="s">
        <v>175</v>
      </c>
      <c r="AM836" s="150" t="s">
        <v>2086</v>
      </c>
      <c r="AN836" s="45">
        <v>46172</v>
      </c>
      <c r="AO836" s="367"/>
      <c r="AP836" s="367"/>
      <c r="AQ836" s="367"/>
      <c r="AR836" s="367"/>
      <c r="AS836" s="367"/>
      <c r="AT836" s="154">
        <v>46198</v>
      </c>
      <c r="AU836" s="154">
        <v>46171</v>
      </c>
      <c r="AV836" s="154">
        <v>46171</v>
      </c>
      <c r="AW836" s="154"/>
      <c r="AX836" s="154"/>
      <c r="AY836" s="154"/>
      <c r="AZ836" s="154"/>
      <c r="BA836" s="154"/>
      <c r="BB836" s="152"/>
      <c r="BC836" s="152"/>
      <c r="BD836" s="367" t="s">
        <v>1605</v>
      </c>
      <c r="BE836" s="367"/>
      <c r="BF836" s="367"/>
      <c r="BG836" s="367"/>
      <c r="BH836" s="260"/>
      <c r="BL836" s="54"/>
      <c r="BM836" s="357">
        <v>46135</v>
      </c>
    </row>
    <row r="837" spans="1:66" ht="37.950000000000003" customHeight="1" x14ac:dyDescent="0.3">
      <c r="A837" s="367">
        <f t="shared" si="17"/>
        <v>832</v>
      </c>
      <c r="B837" s="331" t="s">
        <v>2760</v>
      </c>
      <c r="C837" s="332" t="s">
        <v>6</v>
      </c>
      <c r="D837" s="367" t="s">
        <v>262</v>
      </c>
      <c r="E837" s="367"/>
      <c r="F837" s="367"/>
      <c r="G837" s="367"/>
      <c r="H837" s="367"/>
      <c r="I837" s="367"/>
      <c r="J837" s="54" t="s">
        <v>1524</v>
      </c>
      <c r="K837" s="48" t="s">
        <v>2383</v>
      </c>
      <c r="L837" s="367" t="s">
        <v>2280</v>
      </c>
      <c r="M837" s="150" t="s">
        <v>65</v>
      </c>
      <c r="N837" s="150" t="s">
        <v>2374</v>
      </c>
      <c r="O837" s="150" t="s">
        <v>2375</v>
      </c>
      <c r="P837" s="367">
        <v>8</v>
      </c>
      <c r="Q837" s="367">
        <v>0.6</v>
      </c>
      <c r="R837" s="367"/>
      <c r="S837" s="367"/>
      <c r="T837" s="367">
        <v>39</v>
      </c>
      <c r="U837" s="367"/>
      <c r="V837" s="367"/>
      <c r="W837" s="367"/>
      <c r="X837" s="367" t="s">
        <v>1111</v>
      </c>
      <c r="Y837" s="367"/>
      <c r="Z837" s="367"/>
      <c r="AA837" s="367" t="s">
        <v>127</v>
      </c>
      <c r="AB837" s="150" t="s">
        <v>215</v>
      </c>
      <c r="AC837" s="48" t="s">
        <v>2761</v>
      </c>
      <c r="AD837" s="150" t="s">
        <v>552</v>
      </c>
      <c r="AE837" s="340">
        <v>46085</v>
      </c>
      <c r="AF837" s="340"/>
      <c r="AG837" s="286"/>
      <c r="AH837" s="49"/>
      <c r="AI837" s="266"/>
      <c r="AJ837" s="150" t="s">
        <v>264</v>
      </c>
      <c r="AK837" s="150"/>
      <c r="AL837" s="150"/>
      <c r="AM837" s="150"/>
      <c r="AN837" s="367"/>
      <c r="AO837" s="367"/>
      <c r="AP837" s="367"/>
      <c r="AQ837" s="367"/>
      <c r="AR837" s="367"/>
      <c r="AS837" s="367"/>
      <c r="AT837" s="154"/>
      <c r="AU837" s="154"/>
      <c r="AV837" s="154"/>
      <c r="AW837" s="154"/>
      <c r="AX837" s="154"/>
      <c r="AY837" s="154"/>
      <c r="AZ837" s="154"/>
      <c r="BA837" s="154"/>
      <c r="BB837" s="152" t="s">
        <v>2762</v>
      </c>
      <c r="BC837" s="152" t="s">
        <v>2763</v>
      </c>
      <c r="BD837" s="367" t="s">
        <v>1605</v>
      </c>
      <c r="BE837" s="367"/>
      <c r="BF837" s="367"/>
      <c r="BG837" s="367"/>
      <c r="BH837" s="260"/>
      <c r="BL837" s="54"/>
    </row>
    <row r="838" spans="1:66" ht="37.950000000000003" customHeight="1" x14ac:dyDescent="0.3">
      <c r="A838" s="367">
        <f t="shared" si="17"/>
        <v>833</v>
      </c>
      <c r="B838" s="331" t="s">
        <v>2764</v>
      </c>
      <c r="C838" s="332" t="s">
        <v>6</v>
      </c>
      <c r="D838" s="367" t="s">
        <v>262</v>
      </c>
      <c r="E838" s="367"/>
      <c r="F838" s="367"/>
      <c r="G838" s="367"/>
      <c r="H838" s="367"/>
      <c r="I838" s="367"/>
      <c r="J838" s="54" t="s">
        <v>1524</v>
      </c>
      <c r="K838" s="48" t="s">
        <v>2383</v>
      </c>
      <c r="L838" s="367" t="s">
        <v>2280</v>
      </c>
      <c r="M838" s="150" t="s">
        <v>65</v>
      </c>
      <c r="N838" s="150" t="s">
        <v>2374</v>
      </c>
      <c r="O838" s="150" t="s">
        <v>2375</v>
      </c>
      <c r="P838" s="367">
        <v>8</v>
      </c>
      <c r="Q838" s="367">
        <v>0.6</v>
      </c>
      <c r="R838" s="367"/>
      <c r="S838" s="367"/>
      <c r="T838" s="367">
        <v>39</v>
      </c>
      <c r="U838" s="367"/>
      <c r="V838" s="367"/>
      <c r="W838" s="367"/>
      <c r="X838" s="367" t="s">
        <v>1111</v>
      </c>
      <c r="Y838" s="367"/>
      <c r="Z838" s="367"/>
      <c r="AA838" s="367"/>
      <c r="AB838" s="150" t="s">
        <v>215</v>
      </c>
      <c r="AC838" s="48" t="s">
        <v>2765</v>
      </c>
      <c r="AD838" s="150" t="s">
        <v>555</v>
      </c>
      <c r="AE838" s="340">
        <v>46085</v>
      </c>
      <c r="AF838" s="340"/>
      <c r="AG838" s="286"/>
      <c r="AH838" s="49"/>
      <c r="AI838" s="266"/>
      <c r="AJ838" s="150" t="s">
        <v>264</v>
      </c>
      <c r="AK838" s="150"/>
      <c r="AL838" s="150"/>
      <c r="AM838" s="150"/>
      <c r="AN838" s="367"/>
      <c r="AO838" s="367"/>
      <c r="AP838" s="367"/>
      <c r="AQ838" s="367"/>
      <c r="AR838" s="367"/>
      <c r="AS838" s="367"/>
      <c r="AT838" s="154"/>
      <c r="AU838" s="154"/>
      <c r="AV838" s="154"/>
      <c r="AW838" s="154"/>
      <c r="AX838" s="154"/>
      <c r="AY838" s="154"/>
      <c r="AZ838" s="154"/>
      <c r="BA838" s="154"/>
      <c r="BB838" s="152" t="s">
        <v>2762</v>
      </c>
      <c r="BC838" s="152" t="s">
        <v>2763</v>
      </c>
      <c r="BD838" s="367" t="s">
        <v>1605</v>
      </c>
      <c r="BE838" s="367"/>
      <c r="BF838" s="367"/>
      <c r="BG838" s="367"/>
      <c r="BH838" s="260"/>
      <c r="BL838" s="54"/>
    </row>
    <row r="839" spans="1:66" ht="37.950000000000003" customHeight="1" x14ac:dyDescent="0.3">
      <c r="A839" s="367">
        <f t="shared" si="17"/>
        <v>834</v>
      </c>
      <c r="B839" s="331" t="s">
        <v>2766</v>
      </c>
      <c r="C839" s="332" t="s">
        <v>6</v>
      </c>
      <c r="D839" s="367" t="s">
        <v>262</v>
      </c>
      <c r="E839" s="367"/>
      <c r="F839" s="367"/>
      <c r="G839" s="367"/>
      <c r="H839" s="367"/>
      <c r="I839" s="367"/>
      <c r="J839" s="54" t="s">
        <v>1524</v>
      </c>
      <c r="K839" s="48" t="s">
        <v>2373</v>
      </c>
      <c r="L839" s="367" t="s">
        <v>2280</v>
      </c>
      <c r="M839" s="150" t="s">
        <v>120</v>
      </c>
      <c r="N839" s="150" t="s">
        <v>2374</v>
      </c>
      <c r="O839" s="150" t="s">
        <v>2375</v>
      </c>
      <c r="P839" s="367">
        <v>8</v>
      </c>
      <c r="Q839" s="367">
        <v>0.6</v>
      </c>
      <c r="R839" s="367"/>
      <c r="S839" s="367"/>
      <c r="T839" s="367">
        <v>39</v>
      </c>
      <c r="U839" s="367"/>
      <c r="V839" s="367"/>
      <c r="W839" s="367"/>
      <c r="X839" s="367" t="s">
        <v>1111</v>
      </c>
      <c r="Y839" s="367"/>
      <c r="Z839" s="367"/>
      <c r="AA839" s="367" t="s">
        <v>127</v>
      </c>
      <c r="AB839" s="150" t="s">
        <v>215</v>
      </c>
      <c r="AC839" s="48" t="s">
        <v>2767</v>
      </c>
      <c r="AD839" s="150" t="s">
        <v>552</v>
      </c>
      <c r="AE839" s="340">
        <v>46085</v>
      </c>
      <c r="AF839" s="340"/>
      <c r="AG839" s="286"/>
      <c r="AH839" s="49"/>
      <c r="AI839" s="266"/>
      <c r="AJ839" s="150" t="s">
        <v>264</v>
      </c>
      <c r="AK839" s="150"/>
      <c r="AL839" s="150"/>
      <c r="AM839" s="150"/>
      <c r="AN839" s="367"/>
      <c r="AO839" s="367"/>
      <c r="AP839" s="367"/>
      <c r="AQ839" s="367"/>
      <c r="AR839" s="367"/>
      <c r="AS839" s="367"/>
      <c r="AT839" s="154"/>
      <c r="AU839" s="154"/>
      <c r="AV839" s="154"/>
      <c r="AW839" s="154"/>
      <c r="AX839" s="154"/>
      <c r="AY839" s="154"/>
      <c r="AZ839" s="154"/>
      <c r="BA839" s="154"/>
      <c r="BB839" s="152" t="s">
        <v>2762</v>
      </c>
      <c r="BC839" s="152" t="s">
        <v>2763</v>
      </c>
      <c r="BD839" s="367" t="s">
        <v>1605</v>
      </c>
      <c r="BE839" s="367"/>
      <c r="BF839" s="367"/>
      <c r="BG839" s="367"/>
      <c r="BH839" s="260"/>
      <c r="BL839" s="54"/>
    </row>
    <row r="840" spans="1:66" ht="37.950000000000003" customHeight="1" x14ac:dyDescent="0.3">
      <c r="A840" s="367">
        <f t="shared" si="17"/>
        <v>835</v>
      </c>
      <c r="B840" s="331" t="s">
        <v>2768</v>
      </c>
      <c r="C840" s="332" t="s">
        <v>6</v>
      </c>
      <c r="D840" s="367" t="s">
        <v>262</v>
      </c>
      <c r="E840" s="367"/>
      <c r="F840" s="367"/>
      <c r="G840" s="367"/>
      <c r="H840" s="367"/>
      <c r="I840" s="367"/>
      <c r="J840" s="54" t="s">
        <v>1524</v>
      </c>
      <c r="K840" s="48" t="s">
        <v>2373</v>
      </c>
      <c r="L840" s="367" t="s">
        <v>2280</v>
      </c>
      <c r="M840" s="150" t="s">
        <v>120</v>
      </c>
      <c r="N840" s="150" t="s">
        <v>2374</v>
      </c>
      <c r="O840" s="150" t="s">
        <v>2375</v>
      </c>
      <c r="P840" s="367">
        <v>8</v>
      </c>
      <c r="Q840" s="367">
        <v>0.6</v>
      </c>
      <c r="R840" s="367"/>
      <c r="S840" s="367"/>
      <c r="T840" s="367">
        <v>39</v>
      </c>
      <c r="U840" s="367"/>
      <c r="V840" s="367"/>
      <c r="W840" s="367"/>
      <c r="X840" s="367" t="s">
        <v>1111</v>
      </c>
      <c r="Y840" s="367"/>
      <c r="Z840" s="367"/>
      <c r="AA840" s="367"/>
      <c r="AB840" s="150" t="s">
        <v>215</v>
      </c>
      <c r="AC840" s="48" t="s">
        <v>2769</v>
      </c>
      <c r="AD840" s="150" t="s">
        <v>555</v>
      </c>
      <c r="AE840" s="340">
        <v>46085</v>
      </c>
      <c r="AF840" s="340"/>
      <c r="AG840" s="286"/>
      <c r="AH840" s="49"/>
      <c r="AI840" s="266"/>
      <c r="AJ840" s="150" t="s">
        <v>264</v>
      </c>
      <c r="AK840" s="150"/>
      <c r="AL840" s="150"/>
      <c r="AM840" s="150"/>
      <c r="AN840" s="367"/>
      <c r="AO840" s="367"/>
      <c r="AP840" s="367"/>
      <c r="AQ840" s="367"/>
      <c r="AR840" s="367"/>
      <c r="AS840" s="367"/>
      <c r="AT840" s="154"/>
      <c r="AU840" s="154"/>
      <c r="AV840" s="154"/>
      <c r="AW840" s="154"/>
      <c r="AX840" s="154"/>
      <c r="AY840" s="154"/>
      <c r="AZ840" s="154"/>
      <c r="BA840" s="154"/>
      <c r="BB840" s="152" t="s">
        <v>2762</v>
      </c>
      <c r="BC840" s="152" t="s">
        <v>2763</v>
      </c>
      <c r="BD840" s="367" t="s">
        <v>1605</v>
      </c>
      <c r="BE840" s="367"/>
      <c r="BF840" s="367"/>
      <c r="BG840" s="367"/>
      <c r="BH840" s="260"/>
      <c r="BL840" s="54"/>
    </row>
    <row r="841" spans="1:66" ht="37.950000000000003" customHeight="1" x14ac:dyDescent="0.3">
      <c r="A841" s="367">
        <f t="shared" si="17"/>
        <v>836</v>
      </c>
      <c r="B841" s="54" t="s">
        <v>2770</v>
      </c>
      <c r="C841" s="367" t="s">
        <v>6</v>
      </c>
      <c r="D841" s="367" t="s">
        <v>2771</v>
      </c>
      <c r="E841" s="367"/>
      <c r="F841" s="367"/>
      <c r="G841" s="367"/>
      <c r="H841" s="367"/>
      <c r="I841" s="367" t="s">
        <v>2772</v>
      </c>
      <c r="J841" s="54" t="s">
        <v>1524</v>
      </c>
      <c r="K841" s="48" t="s">
        <v>2773</v>
      </c>
      <c r="L841" s="367" t="s">
        <v>2280</v>
      </c>
      <c r="M841" s="150" t="s">
        <v>65</v>
      </c>
      <c r="N841" s="150" t="s">
        <v>2374</v>
      </c>
      <c r="O841" s="150" t="s">
        <v>2375</v>
      </c>
      <c r="P841" s="367">
        <v>8</v>
      </c>
      <c r="Q841" s="367">
        <v>0.6</v>
      </c>
      <c r="R841" s="367"/>
      <c r="S841" s="367"/>
      <c r="T841" s="367">
        <v>39</v>
      </c>
      <c r="U841" s="367"/>
      <c r="V841" s="367" t="s">
        <v>127</v>
      </c>
      <c r="W841" s="367"/>
      <c r="X841" s="367" t="s">
        <v>1111</v>
      </c>
      <c r="Y841" s="367"/>
      <c r="Z841" s="367"/>
      <c r="AA841" s="367" t="s">
        <v>127</v>
      </c>
      <c r="AB841" s="150" t="s">
        <v>215</v>
      </c>
      <c r="AC841" s="48" t="s">
        <v>2774</v>
      </c>
      <c r="AD841" s="150" t="s">
        <v>552</v>
      </c>
      <c r="AE841" s="340">
        <v>46085</v>
      </c>
      <c r="AF841" s="340"/>
      <c r="AG841" s="344">
        <v>46157</v>
      </c>
      <c r="AH841" s="49">
        <v>46218</v>
      </c>
      <c r="AI841" s="266">
        <v>46174</v>
      </c>
      <c r="AJ841" s="150" t="s">
        <v>548</v>
      </c>
      <c r="AK841" s="150" t="s">
        <v>200</v>
      </c>
      <c r="AL841" s="150" t="s">
        <v>175</v>
      </c>
      <c r="AM841" s="150" t="s">
        <v>2079</v>
      </c>
      <c r="AN841" s="45">
        <v>46157</v>
      </c>
      <c r="AO841" s="367"/>
      <c r="AP841" s="367"/>
      <c r="AQ841" s="367"/>
      <c r="AR841" s="367"/>
      <c r="AS841" s="367"/>
      <c r="AT841" s="154">
        <v>46167</v>
      </c>
      <c r="AU841" s="154">
        <v>46146</v>
      </c>
      <c r="AV841" s="154">
        <v>46160</v>
      </c>
      <c r="AW841" s="154">
        <v>46118</v>
      </c>
      <c r="AX841" s="154"/>
      <c r="AY841" s="154"/>
      <c r="AZ841" s="154">
        <v>46153</v>
      </c>
      <c r="BA841" s="154"/>
      <c r="BB841" s="152" t="s">
        <v>2762</v>
      </c>
      <c r="BC841" s="152"/>
      <c r="BD841" s="367" t="s">
        <v>1605</v>
      </c>
      <c r="BE841" s="367"/>
      <c r="BF841" s="367"/>
      <c r="BG841" s="367"/>
      <c r="BH841" s="260"/>
      <c r="BL841" s="54" t="s">
        <v>2378</v>
      </c>
      <c r="BM841" s="357">
        <v>46135</v>
      </c>
      <c r="BN841" s="358">
        <v>46136</v>
      </c>
    </row>
    <row r="842" spans="1:66" ht="37.950000000000003" customHeight="1" x14ac:dyDescent="0.3">
      <c r="A842" s="367">
        <f t="shared" si="17"/>
        <v>837</v>
      </c>
      <c r="B842" s="54" t="s">
        <v>2775</v>
      </c>
      <c r="C842" s="367" t="s">
        <v>6</v>
      </c>
      <c r="D842" s="367" t="s">
        <v>2776</v>
      </c>
      <c r="E842" s="367"/>
      <c r="F842" s="367"/>
      <c r="G842" s="367"/>
      <c r="H842" s="367"/>
      <c r="I842" s="367" t="s">
        <v>2777</v>
      </c>
      <c r="J842" s="54" t="s">
        <v>1524</v>
      </c>
      <c r="K842" s="48" t="s">
        <v>2773</v>
      </c>
      <c r="L842" s="367" t="s">
        <v>2280</v>
      </c>
      <c r="M842" s="150" t="s">
        <v>65</v>
      </c>
      <c r="N842" s="150" t="s">
        <v>2374</v>
      </c>
      <c r="O842" s="150" t="s">
        <v>2375</v>
      </c>
      <c r="P842" s="367">
        <v>8</v>
      </c>
      <c r="Q842" s="367">
        <v>0.6</v>
      </c>
      <c r="R842" s="367"/>
      <c r="S842" s="367"/>
      <c r="T842" s="367">
        <v>39</v>
      </c>
      <c r="U842" s="367"/>
      <c r="V842" s="367" t="s">
        <v>127</v>
      </c>
      <c r="W842" s="367"/>
      <c r="X842" s="367" t="s">
        <v>1111</v>
      </c>
      <c r="Y842" s="367"/>
      <c r="Z842" s="367"/>
      <c r="AA842" s="367"/>
      <c r="AB842" s="150" t="s">
        <v>215</v>
      </c>
      <c r="AC842" s="48" t="s">
        <v>2778</v>
      </c>
      <c r="AD842" s="150" t="s">
        <v>555</v>
      </c>
      <c r="AE842" s="340">
        <v>46085</v>
      </c>
      <c r="AF842" s="340"/>
      <c r="AG842" s="344">
        <v>46157</v>
      </c>
      <c r="AH842" s="49">
        <v>46218</v>
      </c>
      <c r="AI842" s="266">
        <v>46174</v>
      </c>
      <c r="AJ842" s="150" t="s">
        <v>548</v>
      </c>
      <c r="AK842" s="150" t="s">
        <v>200</v>
      </c>
      <c r="AL842" s="150" t="s">
        <v>175</v>
      </c>
      <c r="AM842" s="150" t="s">
        <v>2079</v>
      </c>
      <c r="AN842" s="45">
        <v>46157</v>
      </c>
      <c r="AO842" s="367"/>
      <c r="AP842" s="367"/>
      <c r="AQ842" s="367"/>
      <c r="AR842" s="367"/>
      <c r="AS842" s="367"/>
      <c r="AT842" s="154">
        <v>46167</v>
      </c>
      <c r="AU842" s="154">
        <v>46146</v>
      </c>
      <c r="AV842" s="154">
        <v>46160</v>
      </c>
      <c r="AW842" s="154">
        <v>46118</v>
      </c>
      <c r="AX842" s="154"/>
      <c r="AY842" s="154"/>
      <c r="AZ842" s="154">
        <v>46153</v>
      </c>
      <c r="BA842" s="154"/>
      <c r="BB842" s="152" t="s">
        <v>2762</v>
      </c>
      <c r="BC842" s="152"/>
      <c r="BD842" s="367" t="s">
        <v>1605</v>
      </c>
      <c r="BE842" s="367"/>
      <c r="BF842" s="367"/>
      <c r="BG842" s="367"/>
      <c r="BH842" s="260"/>
      <c r="BL842" s="54" t="s">
        <v>2378</v>
      </c>
      <c r="BM842" s="357">
        <v>46135</v>
      </c>
      <c r="BN842" s="358">
        <v>46136</v>
      </c>
    </row>
    <row r="843" spans="1:66" ht="37.950000000000003" customHeight="1" x14ac:dyDescent="0.3">
      <c r="A843" s="367">
        <f t="shared" si="17"/>
        <v>838</v>
      </c>
      <c r="B843" s="54" t="s">
        <v>2779</v>
      </c>
      <c r="C843" s="367" t="s">
        <v>6</v>
      </c>
      <c r="D843" s="367" t="s">
        <v>262</v>
      </c>
      <c r="E843" s="367"/>
      <c r="F843" s="367"/>
      <c r="G843" s="367"/>
      <c r="H843" s="367"/>
      <c r="I843" s="367" t="s">
        <v>2780</v>
      </c>
      <c r="J843" s="54" t="s">
        <v>1524</v>
      </c>
      <c r="K843" s="48" t="s">
        <v>531</v>
      </c>
      <c r="L843" s="367" t="s">
        <v>2280</v>
      </c>
      <c r="M843" s="150" t="s">
        <v>120</v>
      </c>
      <c r="N843" s="150" t="s">
        <v>2374</v>
      </c>
      <c r="O843" s="150" t="s">
        <v>2375</v>
      </c>
      <c r="P843" s="367">
        <v>8</v>
      </c>
      <c r="Q843" s="367">
        <v>0.6</v>
      </c>
      <c r="R843" s="367"/>
      <c r="S843" s="367"/>
      <c r="T843" s="367">
        <v>39</v>
      </c>
      <c r="U843" s="367"/>
      <c r="V843" s="367" t="s">
        <v>127</v>
      </c>
      <c r="W843" s="367"/>
      <c r="X843" s="367" t="s">
        <v>1111</v>
      </c>
      <c r="Y843" s="367"/>
      <c r="Z843" s="367"/>
      <c r="AA843" s="367" t="s">
        <v>127</v>
      </c>
      <c r="AB843" s="150" t="s">
        <v>215</v>
      </c>
      <c r="AC843" s="48" t="s">
        <v>2781</v>
      </c>
      <c r="AD843" s="150" t="s">
        <v>552</v>
      </c>
      <c r="AE843" s="340">
        <v>46085</v>
      </c>
      <c r="AF843" s="340"/>
      <c r="AG843" s="344">
        <v>46147</v>
      </c>
      <c r="AH843" s="49">
        <v>46210</v>
      </c>
      <c r="AI843" s="266">
        <v>46174</v>
      </c>
      <c r="AJ843" s="150" t="s">
        <v>548</v>
      </c>
      <c r="AK843" s="150" t="s">
        <v>200</v>
      </c>
      <c r="AL843" s="150" t="s">
        <v>175</v>
      </c>
      <c r="AM843" s="150" t="s">
        <v>2079</v>
      </c>
      <c r="AN843" s="45">
        <v>46157</v>
      </c>
      <c r="AO843" s="367"/>
      <c r="AP843" s="367"/>
      <c r="AQ843" s="367"/>
      <c r="AR843" s="367"/>
      <c r="AS843" s="367"/>
      <c r="AT843" s="154">
        <v>46167</v>
      </c>
      <c r="AU843" s="154">
        <v>46146</v>
      </c>
      <c r="AV843" s="154">
        <v>46160</v>
      </c>
      <c r="AW843" s="154">
        <v>46135</v>
      </c>
      <c r="AX843" s="154"/>
      <c r="AY843" s="154"/>
      <c r="AZ843" s="154"/>
      <c r="BA843" s="154"/>
      <c r="BB843" s="152" t="s">
        <v>2782</v>
      </c>
      <c r="BC843" s="152"/>
      <c r="BD843" s="367" t="s">
        <v>1605</v>
      </c>
      <c r="BE843" s="367"/>
      <c r="BF843" s="367"/>
      <c r="BG843" s="367"/>
      <c r="BH843" s="260"/>
      <c r="BL843" s="54" t="s">
        <v>2595</v>
      </c>
      <c r="BM843" s="357">
        <v>46135</v>
      </c>
      <c r="BN843" s="358">
        <v>46136</v>
      </c>
    </row>
    <row r="844" spans="1:66" ht="37.950000000000003" customHeight="1" x14ac:dyDescent="0.3">
      <c r="A844" s="367">
        <f t="shared" si="17"/>
        <v>839</v>
      </c>
      <c r="B844" s="54" t="s">
        <v>2783</v>
      </c>
      <c r="C844" s="367" t="s">
        <v>6</v>
      </c>
      <c r="D844" s="367" t="s">
        <v>262</v>
      </c>
      <c r="E844" s="367"/>
      <c r="F844" s="367"/>
      <c r="G844" s="367"/>
      <c r="H844" s="367"/>
      <c r="I844" s="367" t="s">
        <v>2784</v>
      </c>
      <c r="J844" s="54" t="s">
        <v>1524</v>
      </c>
      <c r="K844" s="48" t="s">
        <v>531</v>
      </c>
      <c r="L844" s="367" t="s">
        <v>2280</v>
      </c>
      <c r="M844" s="150" t="s">
        <v>120</v>
      </c>
      <c r="N844" s="150" t="s">
        <v>2374</v>
      </c>
      <c r="O844" s="150" t="s">
        <v>2375</v>
      </c>
      <c r="P844" s="367">
        <v>8</v>
      </c>
      <c r="Q844" s="367">
        <v>0.6</v>
      </c>
      <c r="R844" s="367"/>
      <c r="S844" s="367"/>
      <c r="T844" s="367">
        <v>39</v>
      </c>
      <c r="U844" s="367"/>
      <c r="V844" s="367" t="s">
        <v>127</v>
      </c>
      <c r="W844" s="367"/>
      <c r="X844" s="367" t="s">
        <v>1111</v>
      </c>
      <c r="Y844" s="367"/>
      <c r="Z844" s="367"/>
      <c r="AA844" s="367"/>
      <c r="AB844" s="150" t="s">
        <v>215</v>
      </c>
      <c r="AC844" s="48" t="s">
        <v>2785</v>
      </c>
      <c r="AD844" s="150" t="s">
        <v>555</v>
      </c>
      <c r="AE844" s="340">
        <v>46085</v>
      </c>
      <c r="AF844" s="340"/>
      <c r="AG844" s="344">
        <v>46147</v>
      </c>
      <c r="AH844" s="49">
        <v>46210</v>
      </c>
      <c r="AI844" s="266">
        <v>46174</v>
      </c>
      <c r="AJ844" s="150" t="s">
        <v>548</v>
      </c>
      <c r="AK844" s="150" t="s">
        <v>200</v>
      </c>
      <c r="AL844" s="150" t="s">
        <v>175</v>
      </c>
      <c r="AM844" s="150" t="s">
        <v>2079</v>
      </c>
      <c r="AN844" s="45">
        <v>46157</v>
      </c>
      <c r="AO844" s="367"/>
      <c r="AP844" s="367"/>
      <c r="AQ844" s="367"/>
      <c r="AR844" s="367"/>
      <c r="AS844" s="367"/>
      <c r="AT844" s="154">
        <v>46167</v>
      </c>
      <c r="AU844" s="154">
        <v>46146</v>
      </c>
      <c r="AV844" s="154">
        <v>46160</v>
      </c>
      <c r="AW844" s="154">
        <v>46135</v>
      </c>
      <c r="AX844" s="154"/>
      <c r="AY844" s="154"/>
      <c r="AZ844" s="154"/>
      <c r="BA844" s="154"/>
      <c r="BB844" s="152" t="s">
        <v>2782</v>
      </c>
      <c r="BC844" s="152"/>
      <c r="BD844" s="367" t="s">
        <v>1605</v>
      </c>
      <c r="BE844" s="367"/>
      <c r="BF844" s="367"/>
      <c r="BG844" s="367"/>
      <c r="BH844" s="260"/>
      <c r="BL844" s="54" t="s">
        <v>2595</v>
      </c>
      <c r="BM844" s="357">
        <v>46135</v>
      </c>
      <c r="BN844" s="358">
        <v>46136</v>
      </c>
    </row>
    <row r="845" spans="1:66" ht="37.950000000000003" customHeight="1" x14ac:dyDescent="0.3">
      <c r="A845" s="367">
        <f t="shared" si="17"/>
        <v>840</v>
      </c>
      <c r="B845" s="54" t="s">
        <v>2786</v>
      </c>
      <c r="C845" s="367" t="s">
        <v>6</v>
      </c>
      <c r="D845" s="367" t="s">
        <v>2787</v>
      </c>
      <c r="E845" s="367"/>
      <c r="F845" s="367"/>
      <c r="G845" s="367"/>
      <c r="H845" s="367"/>
      <c r="I845" s="367" t="s">
        <v>2788</v>
      </c>
      <c r="J845" s="54" t="s">
        <v>2789</v>
      </c>
      <c r="K845" s="48" t="s">
        <v>2790</v>
      </c>
      <c r="L845" s="150" t="s">
        <v>2591</v>
      </c>
      <c r="M845" s="150" t="s">
        <v>65</v>
      </c>
      <c r="N845" s="150" t="s">
        <v>2488</v>
      </c>
      <c r="O845" s="150" t="s">
        <v>2489</v>
      </c>
      <c r="P845" s="367">
        <v>8</v>
      </c>
      <c r="Q845" s="367">
        <v>3.1</v>
      </c>
      <c r="R845" s="367"/>
      <c r="S845" s="367">
        <v>100</v>
      </c>
      <c r="T845" s="367">
        <v>14</v>
      </c>
      <c r="U845" s="367"/>
      <c r="V845" s="367" t="s">
        <v>127</v>
      </c>
      <c r="W845" s="367"/>
      <c r="X845" s="367" t="s">
        <v>150</v>
      </c>
      <c r="Y845" s="367"/>
      <c r="Z845" s="367"/>
      <c r="AA845" s="367" t="s">
        <v>127</v>
      </c>
      <c r="AB845" s="150" t="s">
        <v>2562</v>
      </c>
      <c r="AC845" s="48" t="s">
        <v>2791</v>
      </c>
      <c r="AD845" s="150" t="s">
        <v>199</v>
      </c>
      <c r="AE845" s="340">
        <v>46085</v>
      </c>
      <c r="AF845" s="340"/>
      <c r="AG845" s="344">
        <v>46183</v>
      </c>
      <c r="AH845" s="49">
        <v>46157</v>
      </c>
      <c r="AI845" s="266">
        <v>46113</v>
      </c>
      <c r="AJ845" s="150" t="s">
        <v>617</v>
      </c>
      <c r="AK845" s="150" t="s">
        <v>200</v>
      </c>
      <c r="AL845" s="150" t="s">
        <v>175</v>
      </c>
      <c r="AM845" s="150" t="s">
        <v>209</v>
      </c>
      <c r="AN845" s="45">
        <v>46172</v>
      </c>
      <c r="AO845" s="367"/>
      <c r="AP845" s="367"/>
      <c r="AQ845" s="367"/>
      <c r="AR845" s="367"/>
      <c r="AS845" s="367"/>
      <c r="AT845" s="154"/>
      <c r="AU845" s="154"/>
      <c r="AV845" s="154"/>
      <c r="AW845" s="154"/>
      <c r="AX845" s="154"/>
      <c r="AY845" s="154"/>
      <c r="AZ845" s="154"/>
      <c r="BA845" s="154"/>
      <c r="BB845" s="152" t="s">
        <v>2468</v>
      </c>
      <c r="BC845" s="152"/>
      <c r="BD845" s="367" t="s">
        <v>1605</v>
      </c>
      <c r="BE845" s="367"/>
      <c r="BF845" s="367"/>
      <c r="BG845" s="367"/>
      <c r="BH845" s="260"/>
      <c r="BL845" s="54"/>
    </row>
    <row r="846" spans="1:66" ht="37.950000000000003" customHeight="1" x14ac:dyDescent="0.3">
      <c r="A846" s="367">
        <f t="shared" si="17"/>
        <v>841</v>
      </c>
      <c r="B846" s="54" t="s">
        <v>2792</v>
      </c>
      <c r="C846" s="367" t="s">
        <v>6</v>
      </c>
      <c r="D846" s="367" t="s">
        <v>2793</v>
      </c>
      <c r="E846" s="367"/>
      <c r="F846" s="367"/>
      <c r="G846" s="367"/>
      <c r="H846" s="367"/>
      <c r="I846" s="367" t="s">
        <v>2794</v>
      </c>
      <c r="J846" s="54" t="s">
        <v>2789</v>
      </c>
      <c r="K846" s="48" t="s">
        <v>2790</v>
      </c>
      <c r="L846" s="150" t="s">
        <v>2598</v>
      </c>
      <c r="M846" s="150" t="s">
        <v>65</v>
      </c>
      <c r="N846" s="150" t="s">
        <v>2488</v>
      </c>
      <c r="O846" s="150" t="s">
        <v>2489</v>
      </c>
      <c r="P846" s="367">
        <v>8</v>
      </c>
      <c r="Q846" s="367">
        <v>3.1</v>
      </c>
      <c r="R846" s="367"/>
      <c r="S846" s="367">
        <v>100</v>
      </c>
      <c r="T846" s="367">
        <v>14</v>
      </c>
      <c r="U846" s="367"/>
      <c r="V846" s="367"/>
      <c r="W846" s="367"/>
      <c r="X846" s="367"/>
      <c r="Y846" s="367"/>
      <c r="Z846" s="367" t="s">
        <v>127</v>
      </c>
      <c r="AA846" s="367"/>
      <c r="AB846" s="150" t="s">
        <v>215</v>
      </c>
      <c r="AC846" s="48" t="s">
        <v>2795</v>
      </c>
      <c r="AD846" s="150" t="s">
        <v>1079</v>
      </c>
      <c r="AE846" s="340">
        <v>46085</v>
      </c>
      <c r="AF846" s="340"/>
      <c r="AG846" s="344">
        <v>46183</v>
      </c>
      <c r="AH846" s="49">
        <v>46132</v>
      </c>
      <c r="AI846" s="266">
        <v>46127</v>
      </c>
      <c r="AJ846" s="150" t="s">
        <v>617</v>
      </c>
      <c r="AK846" s="150" t="s">
        <v>161</v>
      </c>
      <c r="AL846" s="150" t="s">
        <v>239</v>
      </c>
      <c r="AM846" s="150" t="s">
        <v>2079</v>
      </c>
      <c r="AN846" s="45">
        <v>46107</v>
      </c>
      <c r="AO846" s="367"/>
      <c r="AP846" s="367"/>
      <c r="AQ846" s="367"/>
      <c r="AR846" s="367"/>
      <c r="AS846" s="367"/>
      <c r="AT846" s="154">
        <v>46152</v>
      </c>
      <c r="AU846" s="154"/>
      <c r="AV846" s="154"/>
      <c r="AW846" s="154">
        <v>46134</v>
      </c>
      <c r="AX846" s="154"/>
      <c r="AY846" s="154"/>
      <c r="AZ846" s="154"/>
      <c r="BA846" s="154"/>
      <c r="BB846" s="152"/>
      <c r="BC846" s="152"/>
      <c r="BD846" s="367" t="s">
        <v>1605</v>
      </c>
      <c r="BE846" s="367"/>
      <c r="BF846" s="367"/>
      <c r="BG846" s="367"/>
      <c r="BH846" s="260"/>
      <c r="BL846" s="54"/>
    </row>
    <row r="847" spans="1:66" ht="37.950000000000003" customHeight="1" x14ac:dyDescent="0.3">
      <c r="A847" s="367">
        <f t="shared" si="17"/>
        <v>842</v>
      </c>
      <c r="B847" s="54" t="s">
        <v>2796</v>
      </c>
      <c r="C847" s="367" t="s">
        <v>6</v>
      </c>
      <c r="D847" s="367" t="s">
        <v>2793</v>
      </c>
      <c r="E847" s="45">
        <v>46183</v>
      </c>
      <c r="F847" s="45">
        <v>46183</v>
      </c>
      <c r="G847" s="367"/>
      <c r="H847" s="367"/>
      <c r="I847" s="367"/>
      <c r="J847" s="54" t="s">
        <v>2789</v>
      </c>
      <c r="K847" s="48" t="s">
        <v>2790</v>
      </c>
      <c r="L847" s="150" t="s">
        <v>2598</v>
      </c>
      <c r="M847" s="150" t="s">
        <v>65</v>
      </c>
      <c r="N847" s="150" t="s">
        <v>2488</v>
      </c>
      <c r="O847" s="150" t="s">
        <v>2489</v>
      </c>
      <c r="P847" s="367">
        <v>8</v>
      </c>
      <c r="Q847" s="367">
        <v>3.1</v>
      </c>
      <c r="R847" s="367"/>
      <c r="S847" s="367">
        <v>100</v>
      </c>
      <c r="T847" s="367">
        <v>14</v>
      </c>
      <c r="U847" s="367"/>
      <c r="V847" s="367"/>
      <c r="W847" s="367"/>
      <c r="X847" s="367"/>
      <c r="Y847" s="367"/>
      <c r="Z847" s="367" t="s">
        <v>127</v>
      </c>
      <c r="AA847" s="367"/>
      <c r="AB847" s="150"/>
      <c r="AC847" s="48" t="s">
        <v>2603</v>
      </c>
      <c r="AD847" s="150" t="s">
        <v>886</v>
      </c>
      <c r="AE847" s="340">
        <v>46085</v>
      </c>
      <c r="AF847" s="340"/>
      <c r="AG847" s="344">
        <v>46183</v>
      </c>
      <c r="AH847" s="49">
        <v>46183</v>
      </c>
      <c r="AI847" s="266">
        <v>46174</v>
      </c>
      <c r="AJ847" s="150" t="s">
        <v>330</v>
      </c>
      <c r="AK847" s="150" t="s">
        <v>190</v>
      </c>
      <c r="AL847" s="150" t="s">
        <v>239</v>
      </c>
      <c r="AM847" s="150" t="s">
        <v>2079</v>
      </c>
      <c r="AN847" s="45">
        <v>46112</v>
      </c>
      <c r="AO847" s="367"/>
      <c r="AP847" s="367"/>
      <c r="AQ847" s="367"/>
      <c r="AR847" s="367"/>
      <c r="AS847" s="367"/>
      <c r="AT847" s="154">
        <v>46162</v>
      </c>
      <c r="AU847" s="154">
        <v>46146</v>
      </c>
      <c r="AV847" s="154">
        <v>46146</v>
      </c>
      <c r="AW847" s="154">
        <v>46134</v>
      </c>
      <c r="AX847" s="154"/>
      <c r="AY847" s="154"/>
      <c r="AZ847" s="154">
        <v>46153</v>
      </c>
      <c r="BA847" s="154"/>
      <c r="BB847" s="152" t="s">
        <v>2604</v>
      </c>
      <c r="BC847" s="152"/>
      <c r="BD847" s="367" t="s">
        <v>1605</v>
      </c>
      <c r="BE847" s="367"/>
      <c r="BF847" s="367"/>
      <c r="BG847" s="367"/>
      <c r="BH847" s="260"/>
      <c r="BL847" s="54"/>
      <c r="BN847" s="358">
        <v>46136</v>
      </c>
    </row>
    <row r="848" spans="1:66" ht="37.950000000000003" customHeight="1" x14ac:dyDescent="0.3">
      <c r="A848" s="367">
        <f t="shared" si="17"/>
        <v>843</v>
      </c>
      <c r="B848" s="54" t="s">
        <v>2797</v>
      </c>
      <c r="C848" s="367" t="s">
        <v>6</v>
      </c>
      <c r="D848" s="367" t="s">
        <v>2793</v>
      </c>
      <c r="E848" s="45">
        <v>46183</v>
      </c>
      <c r="F848" s="45">
        <v>46183</v>
      </c>
      <c r="G848" s="367"/>
      <c r="H848" s="367"/>
      <c r="I848" s="367"/>
      <c r="J848" s="54" t="s">
        <v>2789</v>
      </c>
      <c r="K848" s="48" t="s">
        <v>2790</v>
      </c>
      <c r="L848" s="150" t="s">
        <v>2598</v>
      </c>
      <c r="M848" s="150" t="s">
        <v>65</v>
      </c>
      <c r="N848" s="150" t="s">
        <v>2488</v>
      </c>
      <c r="O848" s="150" t="s">
        <v>2489</v>
      </c>
      <c r="P848" s="367">
        <v>8</v>
      </c>
      <c r="Q848" s="367">
        <v>3.1</v>
      </c>
      <c r="R848" s="367"/>
      <c r="S848" s="367">
        <v>100</v>
      </c>
      <c r="T848" s="367">
        <v>14</v>
      </c>
      <c r="U848" s="367"/>
      <c r="V848" s="367"/>
      <c r="W848" s="367"/>
      <c r="X848" s="367"/>
      <c r="Y848" s="367"/>
      <c r="Z848" s="367" t="s">
        <v>127</v>
      </c>
      <c r="AA848" s="367"/>
      <c r="AB848" s="150"/>
      <c r="AC848" s="48" t="s">
        <v>2603</v>
      </c>
      <c r="AD848" s="150" t="s">
        <v>886</v>
      </c>
      <c r="AE848" s="340">
        <v>46085</v>
      </c>
      <c r="AF848" s="340"/>
      <c r="AG848" s="344">
        <v>46183</v>
      </c>
      <c r="AH848" s="49">
        <v>46183</v>
      </c>
      <c r="AI848" s="266">
        <v>46174</v>
      </c>
      <c r="AJ848" s="150" t="s">
        <v>330</v>
      </c>
      <c r="AK848" s="150" t="s">
        <v>190</v>
      </c>
      <c r="AL848" s="150" t="s">
        <v>239</v>
      </c>
      <c r="AM848" s="150" t="s">
        <v>2079</v>
      </c>
      <c r="AN848" s="45">
        <v>46112</v>
      </c>
      <c r="AO848" s="367"/>
      <c r="AP848" s="367"/>
      <c r="AQ848" s="367"/>
      <c r="AR848" s="367"/>
      <c r="AS848" s="367"/>
      <c r="AT848" s="154">
        <v>46162</v>
      </c>
      <c r="AU848" s="154">
        <v>46146</v>
      </c>
      <c r="AV848" s="154">
        <v>46146</v>
      </c>
      <c r="AW848" s="154">
        <v>46134</v>
      </c>
      <c r="AX848" s="154"/>
      <c r="AY848" s="154"/>
      <c r="AZ848" s="154">
        <v>46153</v>
      </c>
      <c r="BA848" s="154"/>
      <c r="BB848" s="152" t="s">
        <v>2604</v>
      </c>
      <c r="BC848" s="152"/>
      <c r="BD848" s="367" t="s">
        <v>1605</v>
      </c>
      <c r="BE848" s="367"/>
      <c r="BF848" s="367"/>
      <c r="BG848" s="367"/>
      <c r="BH848" s="260"/>
      <c r="BL848" s="54"/>
      <c r="BN848" s="358">
        <v>46136</v>
      </c>
    </row>
    <row r="849" spans="1:66" ht="37.950000000000003" customHeight="1" x14ac:dyDescent="0.3">
      <c r="A849" s="367">
        <f t="shared" si="17"/>
        <v>844</v>
      </c>
      <c r="B849" s="54" t="s">
        <v>2798</v>
      </c>
      <c r="C849" s="367" t="s">
        <v>6</v>
      </c>
      <c r="D849" s="367" t="s">
        <v>262</v>
      </c>
      <c r="E849" s="367"/>
      <c r="F849" s="367"/>
      <c r="G849" s="367"/>
      <c r="H849" s="367"/>
      <c r="I849" s="367"/>
      <c r="J849" s="54" t="s">
        <v>2789</v>
      </c>
      <c r="K849" s="48" t="s">
        <v>2790</v>
      </c>
      <c r="L849" s="150" t="s">
        <v>2598</v>
      </c>
      <c r="M849" s="150" t="s">
        <v>65</v>
      </c>
      <c r="N849" s="150" t="s">
        <v>2488</v>
      </c>
      <c r="O849" s="150" t="s">
        <v>2489</v>
      </c>
      <c r="P849" s="367">
        <v>8</v>
      </c>
      <c r="Q849" s="367">
        <v>3.6</v>
      </c>
      <c r="R849" s="367"/>
      <c r="S849" s="367">
        <v>100</v>
      </c>
      <c r="T849" s="367">
        <v>14</v>
      </c>
      <c r="U849" s="367"/>
      <c r="V849" s="367"/>
      <c r="W849" s="367"/>
      <c r="X849" s="367"/>
      <c r="Y849" s="367"/>
      <c r="Z849" s="367" t="s">
        <v>127</v>
      </c>
      <c r="AA849" s="367"/>
      <c r="AB849" s="150"/>
      <c r="AC849" s="48" t="s">
        <v>2608</v>
      </c>
      <c r="AD849" s="150" t="s">
        <v>1121</v>
      </c>
      <c r="AE849" s="340">
        <v>46085</v>
      </c>
      <c r="AF849" s="340"/>
      <c r="AG849" s="344">
        <v>46183</v>
      </c>
      <c r="AH849" s="49">
        <v>46188</v>
      </c>
      <c r="AI849" s="266">
        <v>46113</v>
      </c>
      <c r="AJ849" s="150" t="s">
        <v>617</v>
      </c>
      <c r="AK849" s="150" t="s">
        <v>190</v>
      </c>
      <c r="AL849" s="150" t="s">
        <v>175</v>
      </c>
      <c r="AM849" s="150" t="s">
        <v>2609</v>
      </c>
      <c r="AN849" s="45">
        <v>46120</v>
      </c>
      <c r="AO849" s="367"/>
      <c r="AP849" s="367"/>
      <c r="AQ849" s="367"/>
      <c r="AR849" s="367"/>
      <c r="AS849" s="367"/>
      <c r="AT849" s="154"/>
      <c r="AU849" s="154"/>
      <c r="AV849" s="154"/>
      <c r="AW849" s="154"/>
      <c r="AX849" s="154"/>
      <c r="AY849" s="154"/>
      <c r="AZ849" s="154"/>
      <c r="BA849" s="154"/>
      <c r="BB849" s="152"/>
      <c r="BC849" s="152"/>
      <c r="BD849" s="367" t="s">
        <v>1605</v>
      </c>
      <c r="BE849" s="367"/>
      <c r="BF849" s="367"/>
      <c r="BG849" s="367"/>
      <c r="BH849" s="260"/>
      <c r="BL849" s="54"/>
    </row>
    <row r="850" spans="1:66" ht="37.950000000000003" customHeight="1" x14ac:dyDescent="0.3">
      <c r="A850" s="367">
        <f t="shared" si="17"/>
        <v>845</v>
      </c>
      <c r="B850" s="54" t="s">
        <v>2799</v>
      </c>
      <c r="C850" s="367" t="s">
        <v>6</v>
      </c>
      <c r="D850" s="367" t="s">
        <v>262</v>
      </c>
      <c r="E850" s="367"/>
      <c r="F850" s="367"/>
      <c r="G850" s="367"/>
      <c r="H850" s="367"/>
      <c r="I850" s="367"/>
      <c r="J850" s="54" t="s">
        <v>2789</v>
      </c>
      <c r="K850" s="48" t="s">
        <v>2790</v>
      </c>
      <c r="L850" s="150" t="s">
        <v>2598</v>
      </c>
      <c r="M850" s="150" t="s">
        <v>65</v>
      </c>
      <c r="N850" s="150" t="s">
        <v>2488</v>
      </c>
      <c r="O850" s="150" t="s">
        <v>2489</v>
      </c>
      <c r="P850" s="367">
        <v>8</v>
      </c>
      <c r="Q850" s="367">
        <v>3.6</v>
      </c>
      <c r="R850" s="367"/>
      <c r="S850" s="367">
        <v>100</v>
      </c>
      <c r="T850" s="367">
        <v>14</v>
      </c>
      <c r="U850" s="367"/>
      <c r="V850" s="367"/>
      <c r="W850" s="367"/>
      <c r="X850" s="367"/>
      <c r="Y850" s="367"/>
      <c r="Z850" s="367" t="s">
        <v>127</v>
      </c>
      <c r="AA850" s="367"/>
      <c r="AB850" s="150"/>
      <c r="AC850" s="48" t="s">
        <v>2608</v>
      </c>
      <c r="AD850" s="150" t="s">
        <v>1121</v>
      </c>
      <c r="AE850" s="340">
        <v>46085</v>
      </c>
      <c r="AF850" s="340"/>
      <c r="AG850" s="344">
        <v>46183</v>
      </c>
      <c r="AH850" s="49">
        <v>46188</v>
      </c>
      <c r="AI850" s="266">
        <v>46113</v>
      </c>
      <c r="AJ850" s="150" t="s">
        <v>617</v>
      </c>
      <c r="AK850" s="150" t="s">
        <v>190</v>
      </c>
      <c r="AL850" s="150" t="s">
        <v>175</v>
      </c>
      <c r="AM850" s="150" t="s">
        <v>2609</v>
      </c>
      <c r="AN850" s="45">
        <v>46120</v>
      </c>
      <c r="AO850" s="367"/>
      <c r="AP850" s="367"/>
      <c r="AQ850" s="367"/>
      <c r="AR850" s="367"/>
      <c r="AS850" s="367"/>
      <c r="AT850" s="154"/>
      <c r="AU850" s="154"/>
      <c r="AV850" s="154"/>
      <c r="AW850" s="154"/>
      <c r="AX850" s="154"/>
      <c r="AY850" s="154"/>
      <c r="AZ850" s="154"/>
      <c r="BA850" s="154"/>
      <c r="BB850" s="152"/>
      <c r="BC850" s="152"/>
      <c r="BD850" s="367" t="s">
        <v>1605</v>
      </c>
      <c r="BE850" s="367"/>
      <c r="BF850" s="367"/>
      <c r="BG850" s="367"/>
      <c r="BH850" s="260"/>
      <c r="BL850" s="54"/>
    </row>
    <row r="851" spans="1:66" ht="37.950000000000003" customHeight="1" x14ac:dyDescent="0.3">
      <c r="A851" s="367">
        <f t="shared" si="17"/>
        <v>846</v>
      </c>
      <c r="B851" s="54" t="s">
        <v>2800</v>
      </c>
      <c r="C851" s="367" t="s">
        <v>6</v>
      </c>
      <c r="D851" s="367" t="s">
        <v>2801</v>
      </c>
      <c r="E851" s="45">
        <v>46183</v>
      </c>
      <c r="F851" s="45">
        <v>46186</v>
      </c>
      <c r="G851" s="367"/>
      <c r="H851" s="367"/>
      <c r="I851" s="367"/>
      <c r="J851" s="54" t="s">
        <v>2789</v>
      </c>
      <c r="K851" s="48" t="s">
        <v>2790</v>
      </c>
      <c r="L851" s="150" t="s">
        <v>2598</v>
      </c>
      <c r="M851" s="150" t="s">
        <v>65</v>
      </c>
      <c r="N851" s="150" t="s">
        <v>2488</v>
      </c>
      <c r="O851" s="150" t="s">
        <v>2489</v>
      </c>
      <c r="P851" s="367">
        <v>8</v>
      </c>
      <c r="Q851" s="367">
        <v>3.6</v>
      </c>
      <c r="R851" s="367"/>
      <c r="S851" s="367">
        <v>100</v>
      </c>
      <c r="T851" s="367">
        <v>14</v>
      </c>
      <c r="U851" s="367"/>
      <c r="V851" s="367"/>
      <c r="W851" s="367"/>
      <c r="X851" s="367"/>
      <c r="Y851" s="367"/>
      <c r="Z851" s="367" t="s">
        <v>127</v>
      </c>
      <c r="AA851" s="367"/>
      <c r="AB851" s="150"/>
      <c r="AC851" s="48" t="s">
        <v>2612</v>
      </c>
      <c r="AD851" s="150" t="s">
        <v>886</v>
      </c>
      <c r="AE851" s="340">
        <v>46085</v>
      </c>
      <c r="AF851" s="340">
        <v>46171</v>
      </c>
      <c r="AG851" s="344">
        <v>46183</v>
      </c>
      <c r="AH851" s="49">
        <v>46183</v>
      </c>
      <c r="AI851" s="266">
        <v>46174</v>
      </c>
      <c r="AJ851" s="150" t="s">
        <v>330</v>
      </c>
      <c r="AK851" s="150" t="s">
        <v>190</v>
      </c>
      <c r="AL851" s="150" t="s">
        <v>239</v>
      </c>
      <c r="AM851" s="150" t="s">
        <v>2079</v>
      </c>
      <c r="AN851" s="45">
        <v>46112</v>
      </c>
      <c r="AO851" s="367"/>
      <c r="AP851" s="367"/>
      <c r="AQ851" s="367"/>
      <c r="AR851" s="367"/>
      <c r="AS851" s="367"/>
      <c r="AT851" s="154">
        <v>46152</v>
      </c>
      <c r="AU851" s="154"/>
      <c r="AV851" s="154"/>
      <c r="AW851" s="154">
        <v>46134</v>
      </c>
      <c r="AX851" s="154"/>
      <c r="AY851" s="154"/>
      <c r="AZ851" s="154">
        <v>46153</v>
      </c>
      <c r="BA851" s="154"/>
      <c r="BB851" s="152" t="s">
        <v>2604</v>
      </c>
      <c r="BC851" s="152"/>
      <c r="BD851" s="367" t="s">
        <v>1605</v>
      </c>
      <c r="BE851" s="367"/>
      <c r="BF851" s="367"/>
      <c r="BG851" s="367"/>
      <c r="BH851" s="260"/>
      <c r="BL851" s="54"/>
      <c r="BN851" s="358">
        <v>46136</v>
      </c>
    </row>
    <row r="852" spans="1:66" ht="37.950000000000003" customHeight="1" x14ac:dyDescent="0.3">
      <c r="A852" s="367">
        <f t="shared" si="17"/>
        <v>847</v>
      </c>
      <c r="B852" s="54" t="s">
        <v>2802</v>
      </c>
      <c r="C852" s="367" t="s">
        <v>6</v>
      </c>
      <c r="D852" s="367" t="s">
        <v>2793</v>
      </c>
      <c r="E852" s="367"/>
      <c r="F852" s="367"/>
      <c r="G852" s="367"/>
      <c r="H852" s="367"/>
      <c r="I852" s="367"/>
      <c r="J852" s="54" t="s">
        <v>2789</v>
      </c>
      <c r="K852" s="48" t="s">
        <v>2790</v>
      </c>
      <c r="L852" s="150" t="s">
        <v>2598</v>
      </c>
      <c r="M852" s="150" t="s">
        <v>65</v>
      </c>
      <c r="N852" s="150" t="s">
        <v>2488</v>
      </c>
      <c r="O852" s="150" t="s">
        <v>2489</v>
      </c>
      <c r="P852" s="367">
        <v>8</v>
      </c>
      <c r="Q852" s="367">
        <v>3.6</v>
      </c>
      <c r="R852" s="367"/>
      <c r="S852" s="367">
        <v>100</v>
      </c>
      <c r="T852" s="367">
        <v>14</v>
      </c>
      <c r="U852" s="367"/>
      <c r="V852" s="367"/>
      <c r="W852" s="367"/>
      <c r="X852" s="367"/>
      <c r="Y852" s="367"/>
      <c r="Z852" s="367" t="s">
        <v>127</v>
      </c>
      <c r="AA852" s="367"/>
      <c r="AB852" s="150" t="s">
        <v>215</v>
      </c>
      <c r="AC852" s="48" t="s">
        <v>2803</v>
      </c>
      <c r="AD852" s="150" t="s">
        <v>1079</v>
      </c>
      <c r="AE852" s="340">
        <v>46085</v>
      </c>
      <c r="AF852" s="340"/>
      <c r="AG852" s="344">
        <v>46183</v>
      </c>
      <c r="AH852" s="49">
        <v>46132</v>
      </c>
      <c r="AI852" s="266">
        <v>46127</v>
      </c>
      <c r="AJ852" s="150" t="s">
        <v>617</v>
      </c>
      <c r="AK852" s="150" t="s">
        <v>161</v>
      </c>
      <c r="AL852" s="150" t="s">
        <v>239</v>
      </c>
      <c r="AM852" s="150" t="s">
        <v>2079</v>
      </c>
      <c r="AN852" s="45">
        <v>46107</v>
      </c>
      <c r="AO852" s="367"/>
      <c r="AP852" s="367"/>
      <c r="AQ852" s="367"/>
      <c r="AR852" s="367"/>
      <c r="AS852" s="367"/>
      <c r="AT852" s="154">
        <v>46152</v>
      </c>
      <c r="AU852" s="154"/>
      <c r="AV852" s="154"/>
      <c r="AW852" s="154">
        <v>46134</v>
      </c>
      <c r="AX852" s="154"/>
      <c r="AY852" s="154"/>
      <c r="AZ852" s="154"/>
      <c r="BA852" s="154"/>
      <c r="BB852" s="152"/>
      <c r="BC852" s="152"/>
      <c r="BD852" s="367" t="s">
        <v>1605</v>
      </c>
      <c r="BE852" s="367"/>
      <c r="BF852" s="367"/>
      <c r="BG852" s="367"/>
      <c r="BH852" s="260"/>
      <c r="BL852" s="54"/>
    </row>
    <row r="853" spans="1:66" ht="37.950000000000003" customHeight="1" x14ac:dyDescent="0.3">
      <c r="A853" s="367">
        <f t="shared" si="17"/>
        <v>848</v>
      </c>
      <c r="B853" s="54" t="s">
        <v>2804</v>
      </c>
      <c r="C853" s="367" t="s">
        <v>6</v>
      </c>
      <c r="D853" s="367" t="s">
        <v>262</v>
      </c>
      <c r="E853" s="45">
        <v>46183</v>
      </c>
      <c r="F853" s="45">
        <v>46183</v>
      </c>
      <c r="G853" s="367"/>
      <c r="H853" s="367"/>
      <c r="I853" s="367"/>
      <c r="J853" s="54" t="s">
        <v>2789</v>
      </c>
      <c r="K853" s="48" t="s">
        <v>2790</v>
      </c>
      <c r="L853" s="150" t="s">
        <v>2598</v>
      </c>
      <c r="M853" s="150" t="s">
        <v>65</v>
      </c>
      <c r="N853" s="150" t="s">
        <v>2488</v>
      </c>
      <c r="O853" s="150" t="s">
        <v>2489</v>
      </c>
      <c r="P853" s="367">
        <v>8</v>
      </c>
      <c r="Q853" s="367">
        <v>3.6</v>
      </c>
      <c r="R853" s="367"/>
      <c r="S853" s="367">
        <v>100</v>
      </c>
      <c r="T853" s="367">
        <v>14</v>
      </c>
      <c r="U853" s="367"/>
      <c r="V853" s="367"/>
      <c r="W853" s="367"/>
      <c r="X853" s="367"/>
      <c r="Y853" s="367"/>
      <c r="Z853" s="367" t="s">
        <v>127</v>
      </c>
      <c r="AA853" s="367"/>
      <c r="AB853" s="150"/>
      <c r="AC853" s="48" t="s">
        <v>2805</v>
      </c>
      <c r="AD853" s="150" t="s">
        <v>238</v>
      </c>
      <c r="AE853" s="340">
        <v>46085</v>
      </c>
      <c r="AF853" s="340"/>
      <c r="AG853" s="344">
        <v>46183</v>
      </c>
      <c r="AH853" s="49">
        <v>46184</v>
      </c>
      <c r="AI853" s="266">
        <v>46162</v>
      </c>
      <c r="AJ853" s="150" t="s">
        <v>330</v>
      </c>
      <c r="AK853" s="150" t="s">
        <v>190</v>
      </c>
      <c r="AL853" s="150" t="s">
        <v>239</v>
      </c>
      <c r="AM853" s="150" t="s">
        <v>134</v>
      </c>
      <c r="AN853" s="294">
        <v>46111</v>
      </c>
      <c r="AO853" s="150"/>
      <c r="AP853" s="150"/>
      <c r="AQ853" s="150"/>
      <c r="AR853" s="150"/>
      <c r="AS853" s="150"/>
      <c r="AT853" s="154">
        <v>46152</v>
      </c>
      <c r="AU853" s="154"/>
      <c r="AV853" s="154"/>
      <c r="AW853" s="154">
        <v>46135</v>
      </c>
      <c r="AX853" s="154"/>
      <c r="AY853" s="154"/>
      <c r="AZ853" s="154"/>
      <c r="BA853" s="154"/>
      <c r="BB853" s="152" t="s">
        <v>2806</v>
      </c>
      <c r="BC853" s="152"/>
      <c r="BD853" s="367" t="s">
        <v>1605</v>
      </c>
      <c r="BE853" s="367"/>
      <c r="BF853" s="367"/>
      <c r="BG853" s="367"/>
      <c r="BH853" s="260"/>
      <c r="BL853" s="54"/>
      <c r="BM853" s="357">
        <v>46135</v>
      </c>
      <c r="BN853" s="358">
        <v>46136</v>
      </c>
    </row>
    <row r="854" spans="1:66" ht="37.950000000000003" customHeight="1" x14ac:dyDescent="0.3">
      <c r="A854" s="367">
        <f t="shared" si="17"/>
        <v>849</v>
      </c>
      <c r="B854" s="54" t="s">
        <v>2807</v>
      </c>
      <c r="C854" s="367" t="s">
        <v>6</v>
      </c>
      <c r="D854" s="367" t="s">
        <v>262</v>
      </c>
      <c r="E854" s="367"/>
      <c r="F854" s="367"/>
      <c r="G854" s="367"/>
      <c r="H854" s="367"/>
      <c r="I854" s="367"/>
      <c r="J854" s="54" t="s">
        <v>2789</v>
      </c>
      <c r="K854" s="48" t="s">
        <v>2790</v>
      </c>
      <c r="L854" s="150" t="s">
        <v>2598</v>
      </c>
      <c r="M854" s="150" t="s">
        <v>65</v>
      </c>
      <c r="N854" s="150" t="s">
        <v>2488</v>
      </c>
      <c r="O854" s="150" t="s">
        <v>2489</v>
      </c>
      <c r="P854" s="367">
        <v>8</v>
      </c>
      <c r="Q854" s="367">
        <v>3.6</v>
      </c>
      <c r="R854" s="367"/>
      <c r="S854" s="367">
        <v>100</v>
      </c>
      <c r="T854" s="367">
        <v>14</v>
      </c>
      <c r="U854" s="367"/>
      <c r="V854" s="367" t="s">
        <v>127</v>
      </c>
      <c r="W854" s="367"/>
      <c r="X854" s="367" t="s">
        <v>150</v>
      </c>
      <c r="Y854" s="367"/>
      <c r="Z854" s="367" t="s">
        <v>127</v>
      </c>
      <c r="AA854" s="367"/>
      <c r="AB854" s="150" t="s">
        <v>215</v>
      </c>
      <c r="AC854" s="48" t="s">
        <v>2808</v>
      </c>
      <c r="AD854" s="150" t="s">
        <v>207</v>
      </c>
      <c r="AE854" s="340">
        <v>46085</v>
      </c>
      <c r="AF854" s="340"/>
      <c r="AG854" s="344">
        <v>46218</v>
      </c>
      <c r="AH854" s="49">
        <v>46220</v>
      </c>
      <c r="AI854" s="266">
        <v>46174</v>
      </c>
      <c r="AJ854" s="150" t="s">
        <v>2334</v>
      </c>
      <c r="AK854" s="150" t="s">
        <v>200</v>
      </c>
      <c r="AL854" s="150" t="s">
        <v>175</v>
      </c>
      <c r="AM854" s="150" t="s">
        <v>2086</v>
      </c>
      <c r="AN854" s="45">
        <v>46172</v>
      </c>
      <c r="AO854" s="367"/>
      <c r="AP854" s="367"/>
      <c r="AQ854" s="367"/>
      <c r="AR854" s="367"/>
      <c r="AS854" s="367"/>
      <c r="AT854" s="154">
        <v>46172</v>
      </c>
      <c r="AU854" s="154">
        <v>46148</v>
      </c>
      <c r="AV854" s="154">
        <v>46153</v>
      </c>
      <c r="AW854" s="154">
        <v>46134</v>
      </c>
      <c r="AX854" s="154"/>
      <c r="AY854" s="154"/>
      <c r="AZ854" s="154">
        <v>46153</v>
      </c>
      <c r="BA854" s="154"/>
      <c r="BB854" s="152"/>
      <c r="BC854" s="152"/>
      <c r="BD854" s="367" t="s">
        <v>1605</v>
      </c>
      <c r="BE854" s="367"/>
      <c r="BF854" s="367"/>
      <c r="BG854" s="367"/>
      <c r="BH854" s="260"/>
      <c r="BL854" s="54"/>
      <c r="BM854" s="357">
        <v>46135</v>
      </c>
      <c r="BN854" s="358">
        <v>46136</v>
      </c>
    </row>
    <row r="855" spans="1:66" ht="37.950000000000003" customHeight="1" x14ac:dyDescent="0.3">
      <c r="A855" s="367">
        <f t="shared" si="17"/>
        <v>850</v>
      </c>
      <c r="B855" s="54" t="s">
        <v>2809</v>
      </c>
      <c r="C855" s="367" t="s">
        <v>6</v>
      </c>
      <c r="D855" s="367" t="s">
        <v>2810</v>
      </c>
      <c r="E855" s="367"/>
      <c r="F855" s="367"/>
      <c r="G855" s="367"/>
      <c r="H855" s="367"/>
      <c r="I855" s="367"/>
      <c r="J855" s="54" t="s">
        <v>2789</v>
      </c>
      <c r="K855" s="48" t="s">
        <v>2811</v>
      </c>
      <c r="L855" s="150" t="s">
        <v>2598</v>
      </c>
      <c r="M855" s="150" t="s">
        <v>65</v>
      </c>
      <c r="N855" s="150" t="s">
        <v>2488</v>
      </c>
      <c r="O855" s="150" t="s">
        <v>2489</v>
      </c>
      <c r="P855" s="367">
        <v>8</v>
      </c>
      <c r="Q855" s="367">
        <v>3.5</v>
      </c>
      <c r="R855" s="367"/>
      <c r="S855" s="367">
        <v>100</v>
      </c>
      <c r="T855" s="367">
        <v>14</v>
      </c>
      <c r="U855" s="367"/>
      <c r="V855" s="367" t="s">
        <v>127</v>
      </c>
      <c r="W855" s="367"/>
      <c r="X855" s="367" t="s">
        <v>150</v>
      </c>
      <c r="Y855" s="367"/>
      <c r="Z855" s="367" t="s">
        <v>127</v>
      </c>
      <c r="AA855" s="367"/>
      <c r="AB855" s="150" t="s">
        <v>215</v>
      </c>
      <c r="AC855" s="48" t="s">
        <v>2812</v>
      </c>
      <c r="AD855" s="150" t="s">
        <v>199</v>
      </c>
      <c r="AE855" s="340">
        <v>46085</v>
      </c>
      <c r="AF855" s="340">
        <v>46168</v>
      </c>
      <c r="AG855" s="344">
        <v>46218</v>
      </c>
      <c r="AH855" s="49">
        <v>46220</v>
      </c>
      <c r="AI855" s="266">
        <v>46174</v>
      </c>
      <c r="AJ855" s="150" t="s">
        <v>2334</v>
      </c>
      <c r="AK855" s="150" t="s">
        <v>200</v>
      </c>
      <c r="AL855" s="150" t="s">
        <v>175</v>
      </c>
      <c r="AM855" s="150" t="s">
        <v>209</v>
      </c>
      <c r="AN855" s="45">
        <v>46172</v>
      </c>
      <c r="AO855" s="367"/>
      <c r="AP855" s="367"/>
      <c r="AQ855" s="367"/>
      <c r="AR855" s="367"/>
      <c r="AS855" s="367"/>
      <c r="AT855" s="154">
        <v>46188</v>
      </c>
      <c r="AU855" s="154">
        <v>46148</v>
      </c>
      <c r="AV855" s="154">
        <v>46092</v>
      </c>
      <c r="AW855" s="154">
        <v>46134</v>
      </c>
      <c r="AX855" s="154"/>
      <c r="AY855" s="154"/>
      <c r="AZ855" s="154">
        <v>46153</v>
      </c>
      <c r="BA855" s="154"/>
      <c r="BB855" s="152"/>
      <c r="BC855" s="152"/>
      <c r="BD855" s="367" t="s">
        <v>1605</v>
      </c>
      <c r="BE855" s="367"/>
      <c r="BF855" s="367"/>
      <c r="BG855" s="367"/>
      <c r="BH855" s="260"/>
      <c r="BL855" s="54"/>
      <c r="BM855" s="357">
        <v>46135</v>
      </c>
      <c r="BN855" s="358">
        <v>46136</v>
      </c>
    </row>
    <row r="856" spans="1:66" ht="37.950000000000003" customHeight="1" x14ac:dyDescent="0.3">
      <c r="A856" s="367">
        <f t="shared" si="17"/>
        <v>851</v>
      </c>
      <c r="B856" s="54" t="s">
        <v>2813</v>
      </c>
      <c r="C856" s="367" t="s">
        <v>6</v>
      </c>
      <c r="D856" s="367" t="s">
        <v>2814</v>
      </c>
      <c r="E856" s="45">
        <v>46169</v>
      </c>
      <c r="F856" s="45">
        <v>46171</v>
      </c>
      <c r="G856" s="367"/>
      <c r="H856" s="367"/>
      <c r="I856" s="367"/>
      <c r="J856" s="54" t="s">
        <v>2789</v>
      </c>
      <c r="K856" s="48" t="s">
        <v>2811</v>
      </c>
      <c r="L856" s="150" t="s">
        <v>2598</v>
      </c>
      <c r="M856" s="150" t="s">
        <v>65</v>
      </c>
      <c r="N856" s="150" t="s">
        <v>2488</v>
      </c>
      <c r="O856" s="150" t="s">
        <v>2489</v>
      </c>
      <c r="P856" s="367">
        <v>8</v>
      </c>
      <c r="Q856" s="367">
        <v>3.5</v>
      </c>
      <c r="R856" s="367"/>
      <c r="S856" s="367">
        <v>100</v>
      </c>
      <c r="T856" s="367">
        <v>14</v>
      </c>
      <c r="U856" s="367"/>
      <c r="V856" s="367"/>
      <c r="W856" s="367"/>
      <c r="X856" s="367"/>
      <c r="Y856" s="367"/>
      <c r="Z856" s="367" t="s">
        <v>127</v>
      </c>
      <c r="AA856" s="367"/>
      <c r="AB856" s="150"/>
      <c r="AC856" s="48" t="s">
        <v>2815</v>
      </c>
      <c r="AD856" s="150" t="s">
        <v>169</v>
      </c>
      <c r="AE856" s="340">
        <v>46085</v>
      </c>
      <c r="AF856" s="340"/>
      <c r="AG856" s="344">
        <v>46218</v>
      </c>
      <c r="AH856" s="49">
        <v>46162</v>
      </c>
      <c r="AI856" s="266">
        <v>46143</v>
      </c>
      <c r="AJ856" s="150" t="s">
        <v>648</v>
      </c>
      <c r="AK856" s="150" t="s">
        <v>161</v>
      </c>
      <c r="AL856" s="150"/>
      <c r="AM856" s="150" t="s">
        <v>134</v>
      </c>
      <c r="AN856" s="45">
        <v>46107</v>
      </c>
      <c r="AO856" s="367"/>
      <c r="AP856" s="367"/>
      <c r="AQ856" s="367"/>
      <c r="AR856" s="367"/>
      <c r="AS856" s="367"/>
      <c r="AT856" s="154">
        <v>46157</v>
      </c>
      <c r="AU856" s="154">
        <v>46147</v>
      </c>
      <c r="AV856" s="154">
        <v>46147</v>
      </c>
      <c r="AW856" s="154"/>
      <c r="AX856" s="154"/>
      <c r="AY856" s="154"/>
      <c r="AZ856" s="154"/>
      <c r="BA856" s="154"/>
      <c r="BB856" s="152"/>
      <c r="BC856" s="152"/>
      <c r="BD856" s="367" t="s">
        <v>1605</v>
      </c>
      <c r="BE856" s="367"/>
      <c r="BF856" s="367"/>
      <c r="BG856" s="367"/>
      <c r="BH856" s="260"/>
      <c r="BL856" s="54"/>
      <c r="BM856" s="357">
        <v>46135</v>
      </c>
      <c r="BN856" s="358">
        <v>46136</v>
      </c>
    </row>
    <row r="857" spans="1:66" ht="37.950000000000003" customHeight="1" x14ac:dyDescent="0.3">
      <c r="A857" s="367">
        <f t="shared" si="17"/>
        <v>852</v>
      </c>
      <c r="B857" s="54" t="s">
        <v>2816</v>
      </c>
      <c r="C857" s="367" t="s">
        <v>6</v>
      </c>
      <c r="D857" s="367" t="s">
        <v>262</v>
      </c>
      <c r="E857" s="367"/>
      <c r="F857" s="367"/>
      <c r="G857" s="367"/>
      <c r="H857" s="367"/>
      <c r="I857" s="367"/>
      <c r="J857" s="54" t="s">
        <v>2789</v>
      </c>
      <c r="K857" s="48" t="s">
        <v>2811</v>
      </c>
      <c r="L857" s="367" t="s">
        <v>2598</v>
      </c>
      <c r="M857" s="150" t="s">
        <v>65</v>
      </c>
      <c r="N857" s="150" t="s">
        <v>2488</v>
      </c>
      <c r="O857" s="150" t="s">
        <v>2489</v>
      </c>
      <c r="P857" s="367">
        <v>8</v>
      </c>
      <c r="Q857" s="367">
        <v>3.5</v>
      </c>
      <c r="R857" s="367"/>
      <c r="S857" s="367">
        <v>100</v>
      </c>
      <c r="T857" s="367">
        <v>14</v>
      </c>
      <c r="U857" s="367"/>
      <c r="V857" s="367"/>
      <c r="W857" s="367"/>
      <c r="X857" s="367"/>
      <c r="Y857" s="367"/>
      <c r="Z857" s="367" t="s">
        <v>127</v>
      </c>
      <c r="AA857" s="367"/>
      <c r="AB857" s="150"/>
      <c r="AC857" s="48" t="s">
        <v>2817</v>
      </c>
      <c r="AD857" s="150" t="s">
        <v>169</v>
      </c>
      <c r="AE857" s="340">
        <v>46085</v>
      </c>
      <c r="AF857" s="340"/>
      <c r="AG857" s="344">
        <v>46183</v>
      </c>
      <c r="AH857" s="49">
        <v>46142</v>
      </c>
      <c r="AI857" s="266">
        <v>46122</v>
      </c>
      <c r="AJ857" s="150" t="s">
        <v>617</v>
      </c>
      <c r="AK857" s="150" t="s">
        <v>161</v>
      </c>
      <c r="AL857" s="150"/>
      <c r="AM857" s="150" t="s">
        <v>2086</v>
      </c>
      <c r="AN857" s="45">
        <v>46107</v>
      </c>
      <c r="AO857" s="367"/>
      <c r="AP857" s="367"/>
      <c r="AQ857" s="367"/>
      <c r="AR857" s="367"/>
      <c r="AS857" s="367"/>
      <c r="AT857" s="154"/>
      <c r="AU857" s="154"/>
      <c r="AV857" s="154"/>
      <c r="AW857" s="154"/>
      <c r="AX857" s="154"/>
      <c r="AY857" s="154"/>
      <c r="AZ857" s="154"/>
      <c r="BA857" s="154"/>
      <c r="BB857" s="152"/>
      <c r="BC857" s="152"/>
      <c r="BD857" s="367" t="s">
        <v>1605</v>
      </c>
      <c r="BE857" s="367"/>
      <c r="BF857" s="367"/>
      <c r="BG857" s="367"/>
      <c r="BH857" s="260"/>
      <c r="BL857" s="54"/>
    </row>
    <row r="858" spans="1:66" ht="37.950000000000003" customHeight="1" x14ac:dyDescent="0.3">
      <c r="A858" s="367">
        <f t="shared" si="17"/>
        <v>853</v>
      </c>
      <c r="B858" s="54" t="s">
        <v>2818</v>
      </c>
      <c r="C858" s="367" t="s">
        <v>6</v>
      </c>
      <c r="D858" s="367" t="s">
        <v>2801</v>
      </c>
      <c r="E858" s="367"/>
      <c r="F858" s="367"/>
      <c r="G858" s="367"/>
      <c r="H858" s="367"/>
      <c r="I858" s="367"/>
      <c r="J858" s="54" t="s">
        <v>2789</v>
      </c>
      <c r="K858" s="48" t="s">
        <v>2811</v>
      </c>
      <c r="L858" s="150" t="s">
        <v>2591</v>
      </c>
      <c r="M858" s="150" t="s">
        <v>65</v>
      </c>
      <c r="N858" s="150" t="s">
        <v>2488</v>
      </c>
      <c r="O858" s="150" t="s">
        <v>2489</v>
      </c>
      <c r="P858" s="367">
        <v>8</v>
      </c>
      <c r="Q858" s="367">
        <v>3.5</v>
      </c>
      <c r="R858" s="367"/>
      <c r="S858" s="367">
        <v>100</v>
      </c>
      <c r="T858" s="367">
        <v>14</v>
      </c>
      <c r="U858" s="367"/>
      <c r="V858" s="367"/>
      <c r="W858" s="367"/>
      <c r="X858" s="367"/>
      <c r="Y858" s="367"/>
      <c r="Z858" s="367"/>
      <c r="AA858" s="367"/>
      <c r="AB858" s="150"/>
      <c r="AC858" s="48" t="s">
        <v>2681</v>
      </c>
      <c r="AD858" s="150" t="s">
        <v>886</v>
      </c>
      <c r="AE858" s="340">
        <v>46085</v>
      </c>
      <c r="AF858" s="340">
        <v>46171</v>
      </c>
      <c r="AG858" s="344">
        <v>46218</v>
      </c>
      <c r="AH858" s="49">
        <v>46221</v>
      </c>
      <c r="AI858" s="266">
        <v>46188</v>
      </c>
      <c r="AJ858" s="150" t="s">
        <v>548</v>
      </c>
      <c r="AK858" s="150" t="s">
        <v>190</v>
      </c>
      <c r="AL858" s="150" t="s">
        <v>239</v>
      </c>
      <c r="AM858" s="150" t="s">
        <v>2079</v>
      </c>
      <c r="AN858" s="45">
        <v>46112</v>
      </c>
      <c r="AO858" s="367"/>
      <c r="AP858" s="367"/>
      <c r="AQ858" s="367"/>
      <c r="AR858" s="367"/>
      <c r="AS858" s="367"/>
      <c r="AT858" s="154">
        <v>46152</v>
      </c>
      <c r="AU858" s="154"/>
      <c r="AV858" s="154"/>
      <c r="AW858" s="154">
        <v>46134</v>
      </c>
      <c r="AX858" s="154"/>
      <c r="AY858" s="154"/>
      <c r="AZ858" s="154">
        <v>46153</v>
      </c>
      <c r="BA858" s="154"/>
      <c r="BB858" s="152" t="s">
        <v>2604</v>
      </c>
      <c r="BC858" s="152"/>
      <c r="BD858" s="367" t="s">
        <v>1605</v>
      </c>
      <c r="BE858" s="367"/>
      <c r="BF858" s="367"/>
      <c r="BG858" s="367"/>
      <c r="BH858" s="260"/>
      <c r="BL858" s="54"/>
      <c r="BM858" s="357">
        <v>46135</v>
      </c>
      <c r="BN858" s="358">
        <v>46136</v>
      </c>
    </row>
    <row r="859" spans="1:66" ht="37.950000000000003" customHeight="1" x14ac:dyDescent="0.3">
      <c r="A859" s="367">
        <f t="shared" si="17"/>
        <v>854</v>
      </c>
      <c r="B859" s="54" t="s">
        <v>2819</v>
      </c>
      <c r="C859" s="367" t="s">
        <v>6</v>
      </c>
      <c r="D859" s="367" t="s">
        <v>2793</v>
      </c>
      <c r="E859" s="367"/>
      <c r="F859" s="367"/>
      <c r="G859" s="367"/>
      <c r="H859" s="367"/>
      <c r="I859" s="367"/>
      <c r="J859" s="54" t="s">
        <v>2789</v>
      </c>
      <c r="K859" s="48" t="s">
        <v>2811</v>
      </c>
      <c r="L859" s="150" t="s">
        <v>2591</v>
      </c>
      <c r="M859" s="150" t="s">
        <v>65</v>
      </c>
      <c r="N859" s="150" t="s">
        <v>2488</v>
      </c>
      <c r="O859" s="150" t="s">
        <v>2489</v>
      </c>
      <c r="P859" s="367">
        <v>8</v>
      </c>
      <c r="Q859" s="367">
        <v>3.5</v>
      </c>
      <c r="R859" s="367"/>
      <c r="S859" s="367">
        <v>100</v>
      </c>
      <c r="T859" s="367">
        <v>14</v>
      </c>
      <c r="U859" s="367"/>
      <c r="V859" s="367"/>
      <c r="W859" s="367"/>
      <c r="X859" s="367"/>
      <c r="Y859" s="367"/>
      <c r="Z859" s="367"/>
      <c r="AA859" s="367"/>
      <c r="AB859" s="150" t="s">
        <v>215</v>
      </c>
      <c r="AC859" s="48" t="s">
        <v>2630</v>
      </c>
      <c r="AD859" s="150" t="s">
        <v>1079</v>
      </c>
      <c r="AE859" s="340">
        <v>46085</v>
      </c>
      <c r="AF859" s="340"/>
      <c r="AG859" s="344">
        <v>46183</v>
      </c>
      <c r="AH859" s="49">
        <v>46132</v>
      </c>
      <c r="AI859" s="266">
        <v>46127</v>
      </c>
      <c r="AJ859" s="150" t="s">
        <v>617</v>
      </c>
      <c r="AK859" s="150" t="s">
        <v>161</v>
      </c>
      <c r="AL859" s="150" t="s">
        <v>239</v>
      </c>
      <c r="AM859" s="150" t="s">
        <v>2079</v>
      </c>
      <c r="AN859" s="45">
        <v>46111</v>
      </c>
      <c r="AO859" s="367"/>
      <c r="AP859" s="367"/>
      <c r="AQ859" s="367"/>
      <c r="AR859" s="367"/>
      <c r="AS859" s="367"/>
      <c r="AT859" s="154">
        <v>46152</v>
      </c>
      <c r="AU859" s="154"/>
      <c r="AV859" s="154"/>
      <c r="AW859" s="154">
        <v>46134</v>
      </c>
      <c r="AX859" s="154"/>
      <c r="AY859" s="154"/>
      <c r="AZ859" s="154"/>
      <c r="BA859" s="154"/>
      <c r="BB859" s="152"/>
      <c r="BC859" s="152"/>
      <c r="BD859" s="367" t="s">
        <v>1605</v>
      </c>
      <c r="BE859" s="367"/>
      <c r="BF859" s="367"/>
      <c r="BG859" s="367"/>
      <c r="BH859" s="260"/>
      <c r="BL859" s="54"/>
    </row>
    <row r="860" spans="1:66" ht="37.950000000000003" customHeight="1" x14ac:dyDescent="0.3">
      <c r="A860" s="367">
        <f t="shared" si="17"/>
        <v>855</v>
      </c>
      <c r="B860" s="54" t="s">
        <v>2820</v>
      </c>
      <c r="C860" s="367" t="s">
        <v>6</v>
      </c>
      <c r="D860" s="367" t="s">
        <v>262</v>
      </c>
      <c r="E860" s="367"/>
      <c r="F860" s="367"/>
      <c r="G860" s="367"/>
      <c r="H860" s="367"/>
      <c r="I860" s="367"/>
      <c r="J860" s="54" t="s">
        <v>2789</v>
      </c>
      <c r="K860" s="48" t="s">
        <v>2811</v>
      </c>
      <c r="L860" s="367" t="s">
        <v>2591</v>
      </c>
      <c r="M860" s="150" t="s">
        <v>65</v>
      </c>
      <c r="N860" s="150" t="s">
        <v>2488</v>
      </c>
      <c r="O860" s="150" t="s">
        <v>2489</v>
      </c>
      <c r="P860" s="367">
        <v>8</v>
      </c>
      <c r="Q860" s="367">
        <v>3.5</v>
      </c>
      <c r="R860" s="367"/>
      <c r="S860" s="367">
        <v>100</v>
      </c>
      <c r="T860" s="367">
        <v>14</v>
      </c>
      <c r="U860" s="367"/>
      <c r="V860" s="367"/>
      <c r="W860" s="367"/>
      <c r="X860" s="367"/>
      <c r="Y860" s="367"/>
      <c r="Z860" s="367"/>
      <c r="AA860" s="367"/>
      <c r="AB860" s="150"/>
      <c r="AC860" s="48" t="s">
        <v>2633</v>
      </c>
      <c r="AD860" s="150" t="s">
        <v>1121</v>
      </c>
      <c r="AE860" s="340">
        <v>46085</v>
      </c>
      <c r="AF860" s="340"/>
      <c r="AG860" s="344">
        <v>46183</v>
      </c>
      <c r="AH860" s="49">
        <v>46188</v>
      </c>
      <c r="AI860" s="266">
        <v>46113</v>
      </c>
      <c r="AJ860" s="150" t="s">
        <v>617</v>
      </c>
      <c r="AK860" s="150" t="s">
        <v>190</v>
      </c>
      <c r="AL860" s="150" t="s">
        <v>175</v>
      </c>
      <c r="AM860" s="150" t="s">
        <v>2609</v>
      </c>
      <c r="AN860" s="45">
        <v>46129</v>
      </c>
      <c r="AO860" s="367"/>
      <c r="AP860" s="367"/>
      <c r="AQ860" s="367"/>
      <c r="AR860" s="367"/>
      <c r="AS860" s="367"/>
      <c r="AT860" s="154"/>
      <c r="AU860" s="154"/>
      <c r="AV860" s="154"/>
      <c r="AW860" s="154"/>
      <c r="AX860" s="154"/>
      <c r="AY860" s="154"/>
      <c r="AZ860" s="154"/>
      <c r="BA860" s="154"/>
      <c r="BB860" s="152"/>
      <c r="BC860" s="152"/>
      <c r="BD860" s="367" t="s">
        <v>1605</v>
      </c>
      <c r="BE860" s="367"/>
      <c r="BF860" s="367"/>
      <c r="BG860" s="367"/>
      <c r="BH860" s="260"/>
      <c r="BL860" s="54"/>
    </row>
    <row r="861" spans="1:66" ht="37.950000000000003" customHeight="1" x14ac:dyDescent="0.3">
      <c r="A861" s="367">
        <f t="shared" si="17"/>
        <v>856</v>
      </c>
      <c r="B861" s="54" t="s">
        <v>2821</v>
      </c>
      <c r="C861" s="367" t="s">
        <v>6</v>
      </c>
      <c r="D861" s="367" t="s">
        <v>2822</v>
      </c>
      <c r="E861" s="367"/>
      <c r="F861" s="367"/>
      <c r="G861" s="367"/>
      <c r="H861" s="367"/>
      <c r="I861" s="367"/>
      <c r="J861" s="54" t="s">
        <v>2789</v>
      </c>
      <c r="K861" s="48" t="s">
        <v>2811</v>
      </c>
      <c r="L861" s="367" t="s">
        <v>2591</v>
      </c>
      <c r="M861" s="150" t="s">
        <v>65</v>
      </c>
      <c r="N861" s="150" t="s">
        <v>2488</v>
      </c>
      <c r="O861" s="150" t="s">
        <v>2489</v>
      </c>
      <c r="P861" s="367">
        <v>8</v>
      </c>
      <c r="Q861" s="367">
        <v>3.5</v>
      </c>
      <c r="R861" s="367"/>
      <c r="S861" s="367">
        <v>100</v>
      </c>
      <c r="T861" s="367">
        <v>14</v>
      </c>
      <c r="U861" s="367"/>
      <c r="V861" s="367" t="s">
        <v>127</v>
      </c>
      <c r="W861" s="367"/>
      <c r="X861" s="367" t="s">
        <v>150</v>
      </c>
      <c r="Y861" s="367" t="s">
        <v>127</v>
      </c>
      <c r="Z861" s="367"/>
      <c r="AA861" s="367"/>
      <c r="AB861" s="150" t="s">
        <v>215</v>
      </c>
      <c r="AC861" s="48" t="s">
        <v>2823</v>
      </c>
      <c r="AD861" s="150" t="s">
        <v>152</v>
      </c>
      <c r="AE861" s="340">
        <v>46085</v>
      </c>
      <c r="AF861" s="340">
        <v>46168</v>
      </c>
      <c r="AG861" s="344">
        <v>46218</v>
      </c>
      <c r="AH861" s="49">
        <v>46222</v>
      </c>
      <c r="AI861" s="266">
        <v>46193</v>
      </c>
      <c r="AJ861" s="150" t="s">
        <v>548</v>
      </c>
      <c r="AK861" s="150" t="s">
        <v>200</v>
      </c>
      <c r="AL861" s="150" t="s">
        <v>175</v>
      </c>
      <c r="AM861" s="150" t="s">
        <v>2086</v>
      </c>
      <c r="AN861" s="45">
        <v>46122</v>
      </c>
      <c r="AO861" s="367"/>
      <c r="AP861" s="367"/>
      <c r="AQ861" s="367"/>
      <c r="AR861" s="367"/>
      <c r="AS861" s="367"/>
      <c r="AT861" s="154">
        <v>46167</v>
      </c>
      <c r="AU861" s="154">
        <v>46155</v>
      </c>
      <c r="AV861" s="359" t="s">
        <v>2491</v>
      </c>
      <c r="AW861" s="154">
        <v>46134</v>
      </c>
      <c r="AX861" s="154"/>
      <c r="AY861" s="154"/>
      <c r="AZ861" s="154">
        <v>46153</v>
      </c>
      <c r="BA861" s="154"/>
      <c r="BB861" s="152"/>
      <c r="BC861" s="152" t="s">
        <v>2492</v>
      </c>
      <c r="BD861" s="367" t="s">
        <v>1605</v>
      </c>
      <c r="BE861" s="45"/>
      <c r="BF861" s="367"/>
      <c r="BG861" s="367"/>
      <c r="BH861" s="260"/>
      <c r="BL861" s="54"/>
      <c r="BM861" s="357">
        <v>46135</v>
      </c>
      <c r="BN861" s="358">
        <v>46136</v>
      </c>
    </row>
    <row r="862" spans="1:66" ht="37.950000000000003" customHeight="1" x14ac:dyDescent="0.3">
      <c r="A862" s="367">
        <f t="shared" si="17"/>
        <v>857</v>
      </c>
      <c r="B862" s="54" t="s">
        <v>2824</v>
      </c>
      <c r="C862" s="367" t="s">
        <v>6</v>
      </c>
      <c r="D862" s="367" t="s">
        <v>262</v>
      </c>
      <c r="E862" s="367"/>
      <c r="F862" s="367"/>
      <c r="G862" s="367"/>
      <c r="H862" s="367"/>
      <c r="I862" s="367"/>
      <c r="J862" s="54" t="s">
        <v>2789</v>
      </c>
      <c r="K862" s="48" t="s">
        <v>2825</v>
      </c>
      <c r="L862" s="367" t="s">
        <v>2280</v>
      </c>
      <c r="M862" s="150" t="s">
        <v>120</v>
      </c>
      <c r="N862" s="337" t="s">
        <v>2488</v>
      </c>
      <c r="O862" s="337" t="s">
        <v>2489</v>
      </c>
      <c r="P862" s="367">
        <v>6</v>
      </c>
      <c r="Q862" s="367">
        <v>4</v>
      </c>
      <c r="R862" s="367"/>
      <c r="S862" s="367">
        <v>100</v>
      </c>
      <c r="T862" s="367">
        <v>12.5</v>
      </c>
      <c r="U862" s="367"/>
      <c r="V862" s="367" t="s">
        <v>127</v>
      </c>
      <c r="W862" s="367"/>
      <c r="X862" s="367" t="s">
        <v>150</v>
      </c>
      <c r="Y862" s="367"/>
      <c r="Z862" s="367"/>
      <c r="AA862" s="367" t="s">
        <v>127</v>
      </c>
      <c r="AB862" s="150" t="s">
        <v>2562</v>
      </c>
      <c r="AC862" s="48" t="s">
        <v>2826</v>
      </c>
      <c r="AD862" s="150" t="s">
        <v>199</v>
      </c>
      <c r="AE862" s="340">
        <v>46085</v>
      </c>
      <c r="AF862" s="340"/>
      <c r="AG862" s="344">
        <v>46244</v>
      </c>
      <c r="AH862" s="49">
        <v>46246</v>
      </c>
      <c r="AI862" s="266">
        <v>46204</v>
      </c>
      <c r="AJ862" s="150" t="s">
        <v>2334</v>
      </c>
      <c r="AK862" s="150" t="s">
        <v>200</v>
      </c>
      <c r="AL862" s="150" t="s">
        <v>175</v>
      </c>
      <c r="AM862" s="150" t="s">
        <v>209</v>
      </c>
      <c r="AN862" s="45">
        <v>46172</v>
      </c>
      <c r="AO862" s="367"/>
      <c r="AP862" s="367"/>
      <c r="AQ862" s="367"/>
      <c r="AR862" s="367"/>
      <c r="AS862" s="367"/>
      <c r="AT862" s="154">
        <v>46188</v>
      </c>
      <c r="AU862" s="154">
        <v>46148</v>
      </c>
      <c r="AV862" s="154">
        <v>46149</v>
      </c>
      <c r="AW862" s="154">
        <v>46135</v>
      </c>
      <c r="AX862" s="154"/>
      <c r="AY862" s="154"/>
      <c r="AZ862" s="154">
        <v>46153</v>
      </c>
      <c r="BA862" s="154"/>
      <c r="BB862" s="152" t="s">
        <v>2521</v>
      </c>
      <c r="BC862" s="152"/>
      <c r="BD862" s="367" t="s">
        <v>1605</v>
      </c>
      <c r="BE862" s="367"/>
      <c r="BF862" s="367"/>
      <c r="BG862" s="367"/>
      <c r="BH862" s="260"/>
      <c r="BL862" s="54"/>
      <c r="BM862" s="357">
        <v>46135</v>
      </c>
      <c r="BN862" s="358">
        <v>46136</v>
      </c>
    </row>
    <row r="863" spans="1:66" ht="37.950000000000003" customHeight="1" x14ac:dyDescent="0.3">
      <c r="A863" s="367">
        <f t="shared" si="17"/>
        <v>858</v>
      </c>
      <c r="B863" s="54" t="s">
        <v>2827</v>
      </c>
      <c r="C863" s="367" t="s">
        <v>6</v>
      </c>
      <c r="D863" s="367" t="s">
        <v>2828</v>
      </c>
      <c r="E863" s="367"/>
      <c r="F863" s="367"/>
      <c r="G863" s="367"/>
      <c r="H863" s="367"/>
      <c r="I863" s="367"/>
      <c r="J863" s="54" t="s">
        <v>2789</v>
      </c>
      <c r="K863" s="48" t="s">
        <v>2825</v>
      </c>
      <c r="L863" s="367" t="s">
        <v>2280</v>
      </c>
      <c r="M863" s="150"/>
      <c r="N863" s="337" t="s">
        <v>2488</v>
      </c>
      <c r="O863" s="337" t="s">
        <v>2489</v>
      </c>
      <c r="P863" s="367">
        <v>6</v>
      </c>
      <c r="Q863" s="367">
        <v>4</v>
      </c>
      <c r="R863" s="367"/>
      <c r="S863" s="367">
        <v>100</v>
      </c>
      <c r="T863" s="367">
        <v>12.5</v>
      </c>
      <c r="U863" s="367"/>
      <c r="V863" s="367" t="s">
        <v>127</v>
      </c>
      <c r="W863" s="367"/>
      <c r="X863" s="367" t="s">
        <v>142</v>
      </c>
      <c r="Y863" s="367"/>
      <c r="Z863" s="367" t="s">
        <v>127</v>
      </c>
      <c r="AA863" s="367"/>
      <c r="AB863" s="150" t="s">
        <v>215</v>
      </c>
      <c r="AC863" s="48" t="s">
        <v>2829</v>
      </c>
      <c r="AD863" s="150" t="s">
        <v>1327</v>
      </c>
      <c r="AE863" s="340">
        <v>46085</v>
      </c>
      <c r="AF863" s="340"/>
      <c r="AG863" s="344">
        <v>46244</v>
      </c>
      <c r="AH863" s="49">
        <v>46247</v>
      </c>
      <c r="AI863" s="266">
        <v>46204</v>
      </c>
      <c r="AJ863" s="150" t="s">
        <v>208</v>
      </c>
      <c r="AK863" s="150" t="s">
        <v>161</v>
      </c>
      <c r="AL863" s="150" t="s">
        <v>295</v>
      </c>
      <c r="AM863" s="150" t="s">
        <v>209</v>
      </c>
      <c r="AN863" s="45">
        <v>46156</v>
      </c>
      <c r="AO863" s="367"/>
      <c r="AP863" s="367"/>
      <c r="AQ863" s="367"/>
      <c r="AR863" s="367"/>
      <c r="AS863" s="367"/>
      <c r="AT863" s="154">
        <v>46172</v>
      </c>
      <c r="AU863" s="154"/>
      <c r="AV863" s="154"/>
      <c r="AW863" s="154">
        <v>46164</v>
      </c>
      <c r="AX863" s="154"/>
      <c r="AY863" s="154"/>
      <c r="AZ863" s="154">
        <v>46153</v>
      </c>
      <c r="BA863" s="154"/>
      <c r="BB863" s="152" t="s">
        <v>2830</v>
      </c>
      <c r="BC863" s="152"/>
      <c r="BD863" s="367" t="s">
        <v>1605</v>
      </c>
      <c r="BE863" s="367"/>
      <c r="BF863" s="367"/>
      <c r="BG863" s="367"/>
      <c r="BH863" s="260"/>
      <c r="BL863" s="54"/>
      <c r="BM863" s="357">
        <v>46135</v>
      </c>
      <c r="BN863" s="358">
        <v>46136</v>
      </c>
    </row>
    <row r="864" spans="1:66" ht="37.950000000000003" customHeight="1" x14ac:dyDescent="0.3">
      <c r="A864" s="367">
        <f t="shared" si="17"/>
        <v>859</v>
      </c>
      <c r="B864" s="54" t="s">
        <v>2831</v>
      </c>
      <c r="C864" s="367" t="s">
        <v>6</v>
      </c>
      <c r="D864" s="367" t="s">
        <v>2832</v>
      </c>
      <c r="E864" s="367"/>
      <c r="F864" s="367"/>
      <c r="G864" s="367"/>
      <c r="H864" s="367"/>
      <c r="I864" s="367"/>
      <c r="J864" s="54" t="s">
        <v>2789</v>
      </c>
      <c r="K864" s="48" t="s">
        <v>2825</v>
      </c>
      <c r="L864" s="367" t="s">
        <v>2280</v>
      </c>
      <c r="M864" s="150"/>
      <c r="N864" s="337" t="s">
        <v>2488</v>
      </c>
      <c r="O864" s="337" t="s">
        <v>2489</v>
      </c>
      <c r="P864" s="367">
        <v>6</v>
      </c>
      <c r="Q864" s="367">
        <v>4</v>
      </c>
      <c r="R864" s="367"/>
      <c r="S864" s="367">
        <v>100</v>
      </c>
      <c r="T864" s="367">
        <v>12.5</v>
      </c>
      <c r="U864" s="367"/>
      <c r="V864" s="367" t="s">
        <v>127</v>
      </c>
      <c r="W864" s="367"/>
      <c r="X864" s="367" t="s">
        <v>142</v>
      </c>
      <c r="Y864" s="367"/>
      <c r="Z864" s="367" t="s">
        <v>127</v>
      </c>
      <c r="AA864" s="367"/>
      <c r="AB864" s="150" t="s">
        <v>215</v>
      </c>
      <c r="AC864" s="48" t="s">
        <v>2833</v>
      </c>
      <c r="AD864" s="150" t="s">
        <v>145</v>
      </c>
      <c r="AE864" s="340">
        <v>46085</v>
      </c>
      <c r="AF864" s="340">
        <v>46171</v>
      </c>
      <c r="AG864" s="344">
        <v>46218</v>
      </c>
      <c r="AH864" s="49">
        <v>46221</v>
      </c>
      <c r="AI864" s="266">
        <v>46204</v>
      </c>
      <c r="AJ864" s="150" t="s">
        <v>208</v>
      </c>
      <c r="AK864" s="150" t="s">
        <v>161</v>
      </c>
      <c r="AL864" s="150" t="s">
        <v>295</v>
      </c>
      <c r="AM864" s="150" t="s">
        <v>209</v>
      </c>
      <c r="AN864" s="45">
        <v>46164</v>
      </c>
      <c r="AO864" s="367"/>
      <c r="AP864" s="367"/>
      <c r="AQ864" s="367"/>
      <c r="AR864" s="367"/>
      <c r="AS864" s="367"/>
      <c r="AT864" s="154">
        <v>46172</v>
      </c>
      <c r="AU864" s="154"/>
      <c r="AV864" s="154"/>
      <c r="AW864" s="154">
        <v>46164</v>
      </c>
      <c r="AX864" s="154"/>
      <c r="AY864" s="154"/>
      <c r="AZ864" s="154">
        <v>46153</v>
      </c>
      <c r="BA864" s="154"/>
      <c r="BB864" s="152"/>
      <c r="BC864" s="152"/>
      <c r="BD864" s="367" t="s">
        <v>1605</v>
      </c>
      <c r="BE864" s="367"/>
      <c r="BF864" s="367"/>
      <c r="BG864" s="367"/>
      <c r="BH864" s="260"/>
      <c r="BL864" s="54"/>
      <c r="BM864" s="357">
        <v>46135</v>
      </c>
      <c r="BN864" s="358">
        <v>46136</v>
      </c>
    </row>
    <row r="865" spans="1:66" ht="37.950000000000003" customHeight="1" x14ac:dyDescent="0.3">
      <c r="A865" s="367">
        <f t="shared" si="17"/>
        <v>860</v>
      </c>
      <c r="B865" s="331" t="s">
        <v>2834</v>
      </c>
      <c r="C865" s="367" t="s">
        <v>6</v>
      </c>
      <c r="D865" s="367" t="s">
        <v>262</v>
      </c>
      <c r="E865" s="367"/>
      <c r="F865" s="367"/>
      <c r="G865" s="367"/>
      <c r="H865" s="367"/>
      <c r="I865" s="367"/>
      <c r="J865" s="54" t="s">
        <v>2789</v>
      </c>
      <c r="K865" s="48" t="s">
        <v>2825</v>
      </c>
      <c r="L865" s="367" t="s">
        <v>2280</v>
      </c>
      <c r="M865" s="150"/>
      <c r="N865" s="150" t="s">
        <v>2488</v>
      </c>
      <c r="O865" s="150" t="s">
        <v>2489</v>
      </c>
      <c r="P865" s="367">
        <v>6</v>
      </c>
      <c r="Q865" s="367">
        <v>4</v>
      </c>
      <c r="R865" s="367"/>
      <c r="S865" s="367">
        <v>100</v>
      </c>
      <c r="T865" s="367">
        <v>12.5</v>
      </c>
      <c r="U865" s="367"/>
      <c r="V865" s="367"/>
      <c r="W865" s="367"/>
      <c r="X865" s="367"/>
      <c r="Y865" s="367"/>
      <c r="Z865" s="367"/>
      <c r="AA865" s="367"/>
      <c r="AB865" s="150" t="s">
        <v>215</v>
      </c>
      <c r="AC865" s="48" t="s">
        <v>2835</v>
      </c>
      <c r="AD865" s="150" t="s">
        <v>1079</v>
      </c>
      <c r="AE865" s="340">
        <v>46085</v>
      </c>
      <c r="AF865" s="340"/>
      <c r="AG865" s="344">
        <v>46183</v>
      </c>
      <c r="AH865" s="49">
        <v>46132</v>
      </c>
      <c r="AI865" s="266">
        <v>46113</v>
      </c>
      <c r="AJ865" s="150" t="s">
        <v>617</v>
      </c>
      <c r="AK865" s="150" t="s">
        <v>200</v>
      </c>
      <c r="AL865" s="150" t="s">
        <v>175</v>
      </c>
      <c r="AM865" s="150" t="s">
        <v>134</v>
      </c>
      <c r="AN865" s="348">
        <v>46111</v>
      </c>
      <c r="AO865" s="367"/>
      <c r="AP865" s="367"/>
      <c r="AQ865" s="367"/>
      <c r="AR865" s="367"/>
      <c r="AS865" s="367"/>
      <c r="AT865" s="154"/>
      <c r="AU865" s="154"/>
      <c r="AV865" s="154"/>
      <c r="AW865" s="154"/>
      <c r="AX865" s="154"/>
      <c r="AY865" s="154"/>
      <c r="AZ865" s="154"/>
      <c r="BA865" s="154"/>
      <c r="BB865" s="355" t="s">
        <v>2836</v>
      </c>
      <c r="BC865" s="152"/>
      <c r="BD865" s="367" t="s">
        <v>1605</v>
      </c>
      <c r="BE865" s="367"/>
      <c r="BF865" s="367"/>
      <c r="BG865" s="367"/>
      <c r="BH865" s="260"/>
      <c r="BL865" s="54"/>
    </row>
    <row r="866" spans="1:66" ht="37.950000000000003" customHeight="1" x14ac:dyDescent="0.3">
      <c r="A866" s="367">
        <f t="shared" si="17"/>
        <v>861</v>
      </c>
      <c r="B866" s="54" t="s">
        <v>2837</v>
      </c>
      <c r="C866" s="367" t="s">
        <v>6</v>
      </c>
      <c r="D866" s="367" t="s">
        <v>262</v>
      </c>
      <c r="E866" s="367"/>
      <c r="F866" s="367"/>
      <c r="G866" s="367"/>
      <c r="H866" s="367"/>
      <c r="I866" s="367"/>
      <c r="J866" s="54" t="s">
        <v>2789</v>
      </c>
      <c r="K866" s="48" t="s">
        <v>2825</v>
      </c>
      <c r="L866" s="367" t="s">
        <v>2280</v>
      </c>
      <c r="M866" s="150"/>
      <c r="N866" s="150" t="s">
        <v>2488</v>
      </c>
      <c r="O866" s="150" t="s">
        <v>2489</v>
      </c>
      <c r="P866" s="367">
        <v>6</v>
      </c>
      <c r="Q866" s="367">
        <v>4</v>
      </c>
      <c r="R866" s="367"/>
      <c r="S866" s="367">
        <v>100</v>
      </c>
      <c r="T866" s="367">
        <v>12.5</v>
      </c>
      <c r="U866" s="367"/>
      <c r="V866" s="367"/>
      <c r="W866" s="367"/>
      <c r="X866" s="367"/>
      <c r="Y866" s="367"/>
      <c r="Z866" s="367"/>
      <c r="AA866" s="367"/>
      <c r="AB866" s="150"/>
      <c r="AC866" s="48" t="s">
        <v>2566</v>
      </c>
      <c r="AD866" s="150" t="s">
        <v>238</v>
      </c>
      <c r="AE866" s="340">
        <v>46085</v>
      </c>
      <c r="AF866" s="340"/>
      <c r="AG866" s="344">
        <v>46183</v>
      </c>
      <c r="AH866" s="49">
        <v>46172</v>
      </c>
      <c r="AI866" s="266">
        <v>46143</v>
      </c>
      <c r="AJ866" s="150" t="s">
        <v>617</v>
      </c>
      <c r="AK866" s="150" t="s">
        <v>190</v>
      </c>
      <c r="AL866" s="150" t="s">
        <v>239</v>
      </c>
      <c r="AM866" s="150" t="s">
        <v>2086</v>
      </c>
      <c r="AN866" s="45">
        <v>46111</v>
      </c>
      <c r="AO866" s="367"/>
      <c r="AP866" s="367"/>
      <c r="AQ866" s="367"/>
      <c r="AR866" s="367"/>
      <c r="AS866" s="367"/>
      <c r="AT866" s="154"/>
      <c r="AU866" s="154"/>
      <c r="AV866" s="154"/>
      <c r="AW866" s="154"/>
      <c r="AX866" s="154"/>
      <c r="AY866" s="154"/>
      <c r="AZ866" s="154"/>
      <c r="BA866" s="154"/>
      <c r="BB866" s="152"/>
      <c r="BC866" s="152"/>
      <c r="BD866" s="367" t="s">
        <v>1605</v>
      </c>
      <c r="BE866" s="367"/>
      <c r="BF866" s="367"/>
      <c r="BG866" s="367"/>
      <c r="BH866" s="260"/>
      <c r="BL866" s="54"/>
    </row>
    <row r="867" spans="1:66" ht="37.950000000000003" customHeight="1" x14ac:dyDescent="0.3">
      <c r="A867" s="367">
        <f t="shared" si="17"/>
        <v>862</v>
      </c>
      <c r="B867" s="54" t="s">
        <v>2838</v>
      </c>
      <c r="C867" s="367" t="s">
        <v>6</v>
      </c>
      <c r="D867" s="367" t="s">
        <v>262</v>
      </c>
      <c r="E867" s="367"/>
      <c r="F867" s="367"/>
      <c r="G867" s="367"/>
      <c r="H867" s="367"/>
      <c r="I867" s="367"/>
      <c r="J867" s="54" t="s">
        <v>2789</v>
      </c>
      <c r="K867" s="48" t="s">
        <v>2825</v>
      </c>
      <c r="L867" s="367" t="s">
        <v>2280</v>
      </c>
      <c r="M867" s="150"/>
      <c r="N867" s="150" t="s">
        <v>2488</v>
      </c>
      <c r="O867" s="150" t="s">
        <v>2489</v>
      </c>
      <c r="P867" s="367">
        <v>6</v>
      </c>
      <c r="Q867" s="367">
        <v>4</v>
      </c>
      <c r="R867" s="367"/>
      <c r="S867" s="367">
        <v>100</v>
      </c>
      <c r="T867" s="367">
        <v>12.5</v>
      </c>
      <c r="U867" s="367"/>
      <c r="V867" s="367"/>
      <c r="W867" s="367"/>
      <c r="X867" s="367"/>
      <c r="Y867" s="367"/>
      <c r="Z867" s="367"/>
      <c r="AA867" s="367"/>
      <c r="AB867" s="150" t="s">
        <v>215</v>
      </c>
      <c r="AC867" s="48" t="s">
        <v>2835</v>
      </c>
      <c r="AD867" s="150" t="s">
        <v>1079</v>
      </c>
      <c r="AE867" s="340">
        <v>46085</v>
      </c>
      <c r="AF867" s="340"/>
      <c r="AG867" s="344">
        <v>46183</v>
      </c>
      <c r="AH867" s="49">
        <v>46132</v>
      </c>
      <c r="AI867" s="266">
        <v>46127</v>
      </c>
      <c r="AJ867" s="150" t="s">
        <v>617</v>
      </c>
      <c r="AK867" s="150" t="s">
        <v>161</v>
      </c>
      <c r="AL867" s="150" t="s">
        <v>239</v>
      </c>
      <c r="AM867" s="150" t="s">
        <v>2079</v>
      </c>
      <c r="AN867" s="45">
        <v>46114</v>
      </c>
      <c r="AO867" s="367"/>
      <c r="AP867" s="367"/>
      <c r="AQ867" s="367"/>
      <c r="AR867" s="367"/>
      <c r="AS867" s="367"/>
      <c r="AT867" s="154"/>
      <c r="AU867" s="154"/>
      <c r="AV867" s="154"/>
      <c r="AW867" s="154"/>
      <c r="AX867" s="154"/>
      <c r="AY867" s="154"/>
      <c r="AZ867" s="154"/>
      <c r="BA867" s="154"/>
      <c r="BB867" s="152"/>
      <c r="BC867" s="152"/>
      <c r="BD867" s="367" t="s">
        <v>1605</v>
      </c>
      <c r="BE867" s="367"/>
      <c r="BF867" s="367"/>
      <c r="BG867" s="367"/>
      <c r="BH867" s="260"/>
      <c r="BL867" s="54"/>
    </row>
    <row r="868" spans="1:66" ht="37.950000000000003" customHeight="1" x14ac:dyDescent="0.3">
      <c r="A868" s="367">
        <f t="shared" si="17"/>
        <v>863</v>
      </c>
      <c r="B868" s="54" t="s">
        <v>2839</v>
      </c>
      <c r="C868" s="367" t="s">
        <v>6</v>
      </c>
      <c r="D868" s="367" t="s">
        <v>262</v>
      </c>
      <c r="E868" s="367"/>
      <c r="F868" s="367"/>
      <c r="G868" s="367"/>
      <c r="H868" s="367"/>
      <c r="I868" s="367"/>
      <c r="J868" s="54" t="s">
        <v>2789</v>
      </c>
      <c r="K868" s="48" t="s">
        <v>2825</v>
      </c>
      <c r="L868" s="367" t="s">
        <v>2280</v>
      </c>
      <c r="M868" s="150"/>
      <c r="N868" s="150" t="s">
        <v>2488</v>
      </c>
      <c r="O868" s="150" t="s">
        <v>2489</v>
      </c>
      <c r="P868" s="367">
        <v>6</v>
      </c>
      <c r="Q868" s="367">
        <v>4</v>
      </c>
      <c r="R868" s="367"/>
      <c r="S868" s="367">
        <v>100</v>
      </c>
      <c r="T868" s="367">
        <v>12.5</v>
      </c>
      <c r="U868" s="367"/>
      <c r="V868" s="367"/>
      <c r="W868" s="367"/>
      <c r="X868" s="367"/>
      <c r="Y868" s="367"/>
      <c r="Z868" s="367"/>
      <c r="AA868" s="367"/>
      <c r="AB868" s="150" t="s">
        <v>215</v>
      </c>
      <c r="AC868" s="48" t="s">
        <v>2840</v>
      </c>
      <c r="AD868" s="150" t="s">
        <v>165</v>
      </c>
      <c r="AE868" s="296"/>
      <c r="AF868" s="296"/>
      <c r="AG868" s="286"/>
      <c r="AH868" s="49"/>
      <c r="AI868" s="266"/>
      <c r="AJ868" s="150" t="s">
        <v>617</v>
      </c>
      <c r="AK868" s="150" t="s">
        <v>200</v>
      </c>
      <c r="AL868" s="150" t="s">
        <v>175</v>
      </c>
      <c r="AM868" s="150" t="s">
        <v>134</v>
      </c>
      <c r="AN868" s="348">
        <v>46111</v>
      </c>
      <c r="AO868" s="367"/>
      <c r="AP868" s="367"/>
      <c r="AQ868" s="367"/>
      <c r="AR868" s="367"/>
      <c r="AS868" s="367"/>
      <c r="AT868" s="154"/>
      <c r="AU868" s="154"/>
      <c r="AV868" s="154"/>
      <c r="AW868" s="154"/>
      <c r="AX868" s="154"/>
      <c r="AY868" s="154"/>
      <c r="AZ868" s="154"/>
      <c r="BA868" s="154"/>
      <c r="BB868" s="152"/>
      <c r="BC868" s="152"/>
      <c r="BD868" s="367" t="s">
        <v>1605</v>
      </c>
      <c r="BE868" s="367"/>
      <c r="BF868" s="367"/>
      <c r="BG868" s="367"/>
      <c r="BH868" s="260"/>
      <c r="BL868" s="54"/>
    </row>
    <row r="869" spans="1:66" ht="37.950000000000003" customHeight="1" x14ac:dyDescent="0.3">
      <c r="A869" s="367">
        <f t="shared" si="17"/>
        <v>864</v>
      </c>
      <c r="B869" s="54" t="s">
        <v>2841</v>
      </c>
      <c r="C869" s="367" t="s">
        <v>6</v>
      </c>
      <c r="D869" s="367" t="s">
        <v>262</v>
      </c>
      <c r="E869" s="45">
        <v>46169</v>
      </c>
      <c r="F869" s="45">
        <v>46171</v>
      </c>
      <c r="G869" s="367"/>
      <c r="H869" s="367"/>
      <c r="I869" s="367"/>
      <c r="J869" s="54" t="s">
        <v>2789</v>
      </c>
      <c r="K869" s="48" t="s">
        <v>2825</v>
      </c>
      <c r="L869" s="367" t="s">
        <v>2280</v>
      </c>
      <c r="M869" s="150"/>
      <c r="N869" s="337" t="s">
        <v>2488</v>
      </c>
      <c r="O869" s="337" t="s">
        <v>2489</v>
      </c>
      <c r="P869" s="367">
        <v>6</v>
      </c>
      <c r="Q869" s="367">
        <v>4</v>
      </c>
      <c r="R869" s="367"/>
      <c r="S869" s="367">
        <v>100</v>
      </c>
      <c r="T869" s="367">
        <v>12.5</v>
      </c>
      <c r="U869" s="367"/>
      <c r="V869" s="367"/>
      <c r="W869" s="367"/>
      <c r="X869" s="367"/>
      <c r="Y869" s="367"/>
      <c r="Z869" s="367"/>
      <c r="AA869" s="367"/>
      <c r="AB869" s="150"/>
      <c r="AC869" s="48" t="s">
        <v>2817</v>
      </c>
      <c r="AD869" s="150" t="s">
        <v>169</v>
      </c>
      <c r="AE869" s="340">
        <v>46085</v>
      </c>
      <c r="AF869" s="340"/>
      <c r="AG869" s="344">
        <v>46172</v>
      </c>
      <c r="AH869" s="49">
        <v>46172</v>
      </c>
      <c r="AI869" s="266">
        <v>46143</v>
      </c>
      <c r="AJ869" s="150" t="s">
        <v>648</v>
      </c>
      <c r="AK869" s="150" t="s">
        <v>161</v>
      </c>
      <c r="AL869" s="150"/>
      <c r="AM869" s="150" t="s">
        <v>134</v>
      </c>
      <c r="AN869" s="45">
        <v>46107</v>
      </c>
      <c r="AO869" s="367"/>
      <c r="AP869" s="367"/>
      <c r="AQ869" s="367"/>
      <c r="AR869" s="367"/>
      <c r="AS869" s="367"/>
      <c r="AT869" s="154">
        <v>46157</v>
      </c>
      <c r="AU869" s="154">
        <v>46147</v>
      </c>
      <c r="AV869" s="154">
        <v>46147</v>
      </c>
      <c r="AW869" s="154"/>
      <c r="AX869" s="154"/>
      <c r="AY869" s="154"/>
      <c r="AZ869" s="154"/>
      <c r="BA869" s="154"/>
      <c r="BB869" s="152"/>
      <c r="BC869" s="152"/>
      <c r="BD869" s="367" t="s">
        <v>1605</v>
      </c>
      <c r="BE869" s="367"/>
      <c r="BF869" s="367"/>
      <c r="BG869" s="367"/>
      <c r="BH869" s="260"/>
      <c r="BL869" s="54"/>
      <c r="BM869" s="357">
        <v>46135</v>
      </c>
      <c r="BN869" s="358">
        <v>46136</v>
      </c>
    </row>
    <row r="870" spans="1:66" ht="37.950000000000003" customHeight="1" x14ac:dyDescent="0.3">
      <c r="A870" s="367">
        <f t="shared" si="17"/>
        <v>865</v>
      </c>
      <c r="B870" s="54" t="s">
        <v>2842</v>
      </c>
      <c r="C870" s="367" t="s">
        <v>6</v>
      </c>
      <c r="D870" s="356" t="s">
        <v>2843</v>
      </c>
      <c r="E870" s="367"/>
      <c r="F870" s="367"/>
      <c r="G870" s="367"/>
      <c r="H870" s="367"/>
      <c r="I870" s="367"/>
      <c r="J870" s="54" t="s">
        <v>2789</v>
      </c>
      <c r="K870" s="48" t="s">
        <v>2825</v>
      </c>
      <c r="L870" s="367" t="s">
        <v>2280</v>
      </c>
      <c r="M870" s="150" t="s">
        <v>120</v>
      </c>
      <c r="N870" s="337" t="s">
        <v>2488</v>
      </c>
      <c r="O870" s="337" t="s">
        <v>2489</v>
      </c>
      <c r="P870" s="367">
        <v>6</v>
      </c>
      <c r="Q870" s="367">
        <v>4</v>
      </c>
      <c r="R870" s="367"/>
      <c r="S870" s="367">
        <v>100</v>
      </c>
      <c r="T870" s="367">
        <v>12.5</v>
      </c>
      <c r="U870" s="367"/>
      <c r="V870" s="367" t="s">
        <v>127</v>
      </c>
      <c r="W870" s="367"/>
      <c r="X870" s="367" t="s">
        <v>350</v>
      </c>
      <c r="Y870" s="367"/>
      <c r="Z870" s="367" t="s">
        <v>127</v>
      </c>
      <c r="AA870" s="367"/>
      <c r="AB870" s="150"/>
      <c r="AC870" s="48" t="s">
        <v>2844</v>
      </c>
      <c r="AD870" s="150" t="s">
        <v>357</v>
      </c>
      <c r="AE870" s="340">
        <v>46085</v>
      </c>
      <c r="AF870" s="340">
        <v>46168</v>
      </c>
      <c r="AG870" s="344">
        <v>46172</v>
      </c>
      <c r="AH870" s="49">
        <v>46220</v>
      </c>
      <c r="AI870" s="266">
        <v>46188</v>
      </c>
      <c r="AJ870" s="150" t="s">
        <v>2334</v>
      </c>
      <c r="AK870" s="150" t="s">
        <v>190</v>
      </c>
      <c r="AL870" s="150" t="s">
        <v>295</v>
      </c>
      <c r="AM870" s="150" t="s">
        <v>209</v>
      </c>
      <c r="AN870" s="45">
        <v>46111</v>
      </c>
      <c r="AO870" s="367"/>
      <c r="AP870" s="367"/>
      <c r="AQ870" s="367"/>
      <c r="AR870" s="367"/>
      <c r="AS870" s="367"/>
      <c r="AT870" s="154">
        <v>46183</v>
      </c>
      <c r="AU870" s="154">
        <v>46157</v>
      </c>
      <c r="AV870" s="154">
        <v>46157</v>
      </c>
      <c r="AW870" s="154">
        <v>46134</v>
      </c>
      <c r="AX870" s="154"/>
      <c r="AY870" s="154"/>
      <c r="AZ870" s="154">
        <v>46153</v>
      </c>
      <c r="BA870" s="154"/>
      <c r="BB870" s="152" t="s">
        <v>2845</v>
      </c>
      <c r="BC870" s="152"/>
      <c r="BD870" s="367" t="s">
        <v>1605</v>
      </c>
      <c r="BE870" s="367"/>
      <c r="BF870" s="367"/>
      <c r="BG870" s="367"/>
      <c r="BH870" s="260"/>
      <c r="BL870" s="54"/>
      <c r="BM870" s="357">
        <v>46135</v>
      </c>
      <c r="BN870" s="358">
        <v>46136</v>
      </c>
    </row>
    <row r="871" spans="1:66" ht="37.950000000000003" customHeight="1" x14ac:dyDescent="0.3">
      <c r="A871" s="367">
        <f t="shared" si="17"/>
        <v>866</v>
      </c>
      <c r="B871" s="54" t="s">
        <v>2846</v>
      </c>
      <c r="C871" s="367" t="s">
        <v>6</v>
      </c>
      <c r="D871" s="356" t="s">
        <v>2847</v>
      </c>
      <c r="E871" s="367"/>
      <c r="F871" s="367"/>
      <c r="G871" s="367"/>
      <c r="H871" s="367"/>
      <c r="I871" s="367"/>
      <c r="J871" s="54" t="s">
        <v>2789</v>
      </c>
      <c r="K871" s="48" t="s">
        <v>2848</v>
      </c>
      <c r="L871" s="150" t="s">
        <v>2598</v>
      </c>
      <c r="M871" s="150" t="s">
        <v>65</v>
      </c>
      <c r="N871" s="150" t="s">
        <v>2488</v>
      </c>
      <c r="O871" s="150" t="s">
        <v>2489</v>
      </c>
      <c r="P871" s="367">
        <v>6</v>
      </c>
      <c r="Q871" s="367">
        <v>3</v>
      </c>
      <c r="R871" s="367"/>
      <c r="S871" s="367">
        <v>100</v>
      </c>
      <c r="T871" s="367">
        <v>15</v>
      </c>
      <c r="U871" s="367"/>
      <c r="V871" s="367" t="s">
        <v>127</v>
      </c>
      <c r="W871" s="367"/>
      <c r="X871" s="367" t="s">
        <v>350</v>
      </c>
      <c r="Y871" s="367"/>
      <c r="Z871" s="367" t="s">
        <v>127</v>
      </c>
      <c r="AA871" s="367"/>
      <c r="AB871" s="150" t="s">
        <v>215</v>
      </c>
      <c r="AC871" s="48" t="s">
        <v>2849</v>
      </c>
      <c r="AD871" s="150" t="s">
        <v>352</v>
      </c>
      <c r="AE871" s="340">
        <v>46085</v>
      </c>
      <c r="AF871" s="340">
        <v>46168</v>
      </c>
      <c r="AG871" s="344">
        <v>46203</v>
      </c>
      <c r="AH871" s="49">
        <v>46225</v>
      </c>
      <c r="AI871" s="266">
        <v>46174</v>
      </c>
      <c r="AJ871" s="150" t="s">
        <v>2334</v>
      </c>
      <c r="AK871" s="150" t="s">
        <v>190</v>
      </c>
      <c r="AL871" s="150" t="s">
        <v>175</v>
      </c>
      <c r="AM871" s="150" t="s">
        <v>209</v>
      </c>
      <c r="AN871" s="45">
        <v>46111</v>
      </c>
      <c r="AO871" s="367"/>
      <c r="AP871" s="367"/>
      <c r="AQ871" s="367"/>
      <c r="AR871" s="367"/>
      <c r="AS871" s="367"/>
      <c r="AT871" s="154">
        <v>46183</v>
      </c>
      <c r="AU871" s="154">
        <v>46157</v>
      </c>
      <c r="AV871" s="154">
        <v>46157</v>
      </c>
      <c r="AW871" s="154">
        <v>46134</v>
      </c>
      <c r="AX871" s="154"/>
      <c r="AY871" s="154"/>
      <c r="AZ871" s="154">
        <v>46153</v>
      </c>
      <c r="BA871" s="154"/>
      <c r="BB871" s="152"/>
      <c r="BC871" s="152"/>
      <c r="BD871" s="367" t="s">
        <v>1605</v>
      </c>
      <c r="BE871" s="367"/>
      <c r="BF871" s="367"/>
      <c r="BG871" s="367"/>
      <c r="BH871" s="260"/>
      <c r="BL871" s="54"/>
      <c r="BM871" s="357">
        <v>46135</v>
      </c>
      <c r="BN871" s="358">
        <v>46136</v>
      </c>
    </row>
    <row r="872" spans="1:66" ht="37.950000000000003" customHeight="1" x14ac:dyDescent="0.3">
      <c r="A872" s="367">
        <f t="shared" si="17"/>
        <v>867</v>
      </c>
      <c r="B872" s="54" t="s">
        <v>2850</v>
      </c>
      <c r="C872" s="367" t="s">
        <v>6</v>
      </c>
      <c r="D872" s="367" t="s">
        <v>2679</v>
      </c>
      <c r="E872" s="367"/>
      <c r="F872" s="45">
        <v>46203</v>
      </c>
      <c r="G872" s="367"/>
      <c r="H872" s="367"/>
      <c r="I872" s="367"/>
      <c r="J872" s="54" t="s">
        <v>2789</v>
      </c>
      <c r="K872" s="48" t="s">
        <v>2848</v>
      </c>
      <c r="L872" s="150" t="s">
        <v>2598</v>
      </c>
      <c r="M872" s="150" t="s">
        <v>65</v>
      </c>
      <c r="N872" s="150" t="s">
        <v>2488</v>
      </c>
      <c r="O872" s="150" t="s">
        <v>2489</v>
      </c>
      <c r="P872" s="367">
        <v>6</v>
      </c>
      <c r="Q872" s="367">
        <v>3</v>
      </c>
      <c r="R872" s="367"/>
      <c r="S872" s="367">
        <v>100</v>
      </c>
      <c r="T872" s="367">
        <v>15</v>
      </c>
      <c r="U872" s="367"/>
      <c r="V872" s="367"/>
      <c r="W872" s="367"/>
      <c r="X872" s="367"/>
      <c r="Y872" s="367"/>
      <c r="Z872" s="367"/>
      <c r="AA872" s="367"/>
      <c r="AB872" s="150"/>
      <c r="AC872" s="48" t="s">
        <v>2851</v>
      </c>
      <c r="AD872" s="150" t="s">
        <v>238</v>
      </c>
      <c r="AE872" s="340">
        <v>46085</v>
      </c>
      <c r="AF872" s="340">
        <v>46171</v>
      </c>
      <c r="AG872" s="344">
        <v>46203</v>
      </c>
      <c r="AH872" s="49">
        <v>46204</v>
      </c>
      <c r="AI872" s="266">
        <v>46174</v>
      </c>
      <c r="AJ872" s="150" t="s">
        <v>548</v>
      </c>
      <c r="AK872" s="150" t="s">
        <v>190</v>
      </c>
      <c r="AL872" s="150" t="s">
        <v>239</v>
      </c>
      <c r="AM872" s="150" t="s">
        <v>2086</v>
      </c>
      <c r="AN872" s="45">
        <v>46111</v>
      </c>
      <c r="AO872" s="367"/>
      <c r="AP872" s="367"/>
      <c r="AQ872" s="367"/>
      <c r="AR872" s="367"/>
      <c r="AS872" s="367"/>
      <c r="AT872" s="154">
        <v>46152</v>
      </c>
      <c r="AU872" s="154">
        <v>46153</v>
      </c>
      <c r="AV872" s="154">
        <v>46153</v>
      </c>
      <c r="AW872" s="154">
        <v>46134</v>
      </c>
      <c r="AX872" s="154"/>
      <c r="AY872" s="154"/>
      <c r="AZ872" s="154"/>
      <c r="BA872" s="154"/>
      <c r="BB872" s="152"/>
      <c r="BC872" s="152"/>
      <c r="BD872" s="367" t="s">
        <v>1605</v>
      </c>
      <c r="BE872" s="367"/>
      <c r="BF872" s="367"/>
      <c r="BG872" s="367"/>
      <c r="BH872" s="260"/>
      <c r="BL872" s="54"/>
      <c r="BM872" s="357">
        <v>46135</v>
      </c>
      <c r="BN872" s="358">
        <v>46136</v>
      </c>
    </row>
    <row r="873" spans="1:66" ht="37.950000000000003" customHeight="1" x14ac:dyDescent="0.3">
      <c r="A873" s="367">
        <f t="shared" si="17"/>
        <v>868</v>
      </c>
      <c r="B873" s="54" t="s">
        <v>2852</v>
      </c>
      <c r="C873" s="367" t="s">
        <v>6</v>
      </c>
      <c r="D873" s="356" t="s">
        <v>2847</v>
      </c>
      <c r="E873" s="367"/>
      <c r="F873" s="367"/>
      <c r="G873" s="367"/>
      <c r="H873" s="367"/>
      <c r="I873" s="367"/>
      <c r="J873" s="54" t="s">
        <v>2789</v>
      </c>
      <c r="K873" s="48" t="s">
        <v>2848</v>
      </c>
      <c r="L873" s="150" t="s">
        <v>2598</v>
      </c>
      <c r="M873" s="150" t="s">
        <v>65</v>
      </c>
      <c r="N873" s="150" t="s">
        <v>2488</v>
      </c>
      <c r="O873" s="150" t="s">
        <v>2489</v>
      </c>
      <c r="P873" s="367">
        <v>6</v>
      </c>
      <c r="Q873" s="367">
        <v>3</v>
      </c>
      <c r="R873" s="367"/>
      <c r="S873" s="367">
        <v>100</v>
      </c>
      <c r="T873" s="367">
        <v>15</v>
      </c>
      <c r="U873" s="367"/>
      <c r="V873" s="367" t="s">
        <v>127</v>
      </c>
      <c r="W873" s="367"/>
      <c r="X873" s="367" t="s">
        <v>350</v>
      </c>
      <c r="Y873" s="367"/>
      <c r="Z873" s="367" t="s">
        <v>127</v>
      </c>
      <c r="AA873" s="367"/>
      <c r="AB873" s="150" t="s">
        <v>215</v>
      </c>
      <c r="AC873" s="48" t="s">
        <v>2853</v>
      </c>
      <c r="AD873" s="150" t="s">
        <v>357</v>
      </c>
      <c r="AE873" s="340">
        <v>46085</v>
      </c>
      <c r="AF873" s="340">
        <v>46168</v>
      </c>
      <c r="AG873" s="344">
        <v>46203</v>
      </c>
      <c r="AH873" s="49">
        <v>46230</v>
      </c>
      <c r="AI873" s="266">
        <v>46204</v>
      </c>
      <c r="AJ873" s="150" t="s">
        <v>2334</v>
      </c>
      <c r="AK873" s="150" t="s">
        <v>190</v>
      </c>
      <c r="AL873" s="150" t="s">
        <v>175</v>
      </c>
      <c r="AM873" s="150" t="s">
        <v>209</v>
      </c>
      <c r="AN873" s="45">
        <v>46111</v>
      </c>
      <c r="AO873" s="367"/>
      <c r="AP873" s="367"/>
      <c r="AQ873" s="367"/>
      <c r="AR873" s="367"/>
      <c r="AS873" s="367"/>
      <c r="AT873" s="154">
        <v>46193</v>
      </c>
      <c r="AU873" s="154">
        <v>46157</v>
      </c>
      <c r="AV873" s="154">
        <v>46157</v>
      </c>
      <c r="AW873" s="154">
        <v>46134</v>
      </c>
      <c r="AX873" s="154"/>
      <c r="AY873" s="154"/>
      <c r="AZ873" s="154">
        <v>46153</v>
      </c>
      <c r="BA873" s="154"/>
      <c r="BB873" s="152"/>
      <c r="BC873" s="152"/>
      <c r="BD873" s="367" t="s">
        <v>1605</v>
      </c>
      <c r="BE873" s="367"/>
      <c r="BF873" s="367"/>
      <c r="BG873" s="367"/>
      <c r="BH873" s="260"/>
      <c r="BL873" s="54"/>
      <c r="BM873" s="357">
        <v>46135</v>
      </c>
      <c r="BN873" s="358">
        <v>46136</v>
      </c>
    </row>
    <row r="874" spans="1:66" ht="37.950000000000003" customHeight="1" x14ac:dyDescent="0.3">
      <c r="A874" s="367">
        <f t="shared" si="17"/>
        <v>869</v>
      </c>
      <c r="B874" s="54" t="s">
        <v>2854</v>
      </c>
      <c r="C874" s="367" t="s">
        <v>6</v>
      </c>
      <c r="D874" s="356" t="s">
        <v>2855</v>
      </c>
      <c r="E874" s="367"/>
      <c r="F874" s="367"/>
      <c r="G874" s="367"/>
      <c r="H874" s="367"/>
      <c r="I874" s="367"/>
      <c r="J874" s="54" t="s">
        <v>2789</v>
      </c>
      <c r="K874" s="48" t="s">
        <v>2856</v>
      </c>
      <c r="L874" s="150" t="s">
        <v>2598</v>
      </c>
      <c r="M874" s="150" t="s">
        <v>120</v>
      </c>
      <c r="N874" s="150" t="s">
        <v>2488</v>
      </c>
      <c r="O874" s="150" t="s">
        <v>2489</v>
      </c>
      <c r="P874" s="367">
        <v>6</v>
      </c>
      <c r="Q874" s="367">
        <v>3</v>
      </c>
      <c r="R874" s="367"/>
      <c r="S874" s="367">
        <v>100</v>
      </c>
      <c r="T874" s="367">
        <v>15</v>
      </c>
      <c r="U874" s="367"/>
      <c r="V874" s="367" t="s">
        <v>127</v>
      </c>
      <c r="W874" s="367"/>
      <c r="X874" s="367" t="s">
        <v>350</v>
      </c>
      <c r="Y874" s="367"/>
      <c r="Z874" s="367" t="s">
        <v>127</v>
      </c>
      <c r="AA874" s="367"/>
      <c r="AB874" s="150" t="s">
        <v>215</v>
      </c>
      <c r="AC874" s="48" t="s">
        <v>2857</v>
      </c>
      <c r="AD874" s="150" t="s">
        <v>352</v>
      </c>
      <c r="AE874" s="340">
        <v>46085</v>
      </c>
      <c r="AF874" s="340">
        <v>46168</v>
      </c>
      <c r="AG874" s="344">
        <v>46203</v>
      </c>
      <c r="AH874" s="49">
        <v>46233</v>
      </c>
      <c r="AI874" s="266">
        <v>46204</v>
      </c>
      <c r="AJ874" s="150" t="s">
        <v>2334</v>
      </c>
      <c r="AK874" s="150" t="s">
        <v>190</v>
      </c>
      <c r="AL874" s="150" t="s">
        <v>175</v>
      </c>
      <c r="AM874" s="150" t="s">
        <v>209</v>
      </c>
      <c r="AN874" s="45">
        <v>46111</v>
      </c>
      <c r="AO874" s="367"/>
      <c r="AP874" s="367"/>
      <c r="AQ874" s="367"/>
      <c r="AR874" s="367"/>
      <c r="AS874" s="367"/>
      <c r="AT874" s="154">
        <v>46193</v>
      </c>
      <c r="AU874" s="154">
        <v>46157</v>
      </c>
      <c r="AV874" s="154">
        <v>46157</v>
      </c>
      <c r="AW874" s="154">
        <v>46134</v>
      </c>
      <c r="AX874" s="154"/>
      <c r="AY874" s="154"/>
      <c r="AZ874" s="154">
        <v>46153</v>
      </c>
      <c r="BA874" s="154"/>
      <c r="BB874" s="152"/>
      <c r="BC874" s="152"/>
      <c r="BD874" s="367" t="s">
        <v>1605</v>
      </c>
      <c r="BE874" s="367"/>
      <c r="BF874" s="367"/>
      <c r="BG874" s="367"/>
      <c r="BH874" s="260"/>
      <c r="BL874" s="54"/>
      <c r="BM874" s="357">
        <v>46135</v>
      </c>
      <c r="BN874" s="358">
        <v>46136</v>
      </c>
    </row>
    <row r="875" spans="1:66" ht="37.950000000000003" customHeight="1" x14ac:dyDescent="0.3">
      <c r="A875" s="367">
        <f t="shared" si="17"/>
        <v>870</v>
      </c>
      <c r="B875" s="54" t="s">
        <v>2858</v>
      </c>
      <c r="C875" s="367" t="s">
        <v>6</v>
      </c>
      <c r="D875" s="367" t="s">
        <v>2679</v>
      </c>
      <c r="E875" s="367"/>
      <c r="F875" s="45">
        <v>46203</v>
      </c>
      <c r="G875" s="367"/>
      <c r="H875" s="367"/>
      <c r="I875" s="367"/>
      <c r="J875" s="54" t="s">
        <v>2789</v>
      </c>
      <c r="K875" s="48" t="s">
        <v>2856</v>
      </c>
      <c r="L875" s="150" t="s">
        <v>2598</v>
      </c>
      <c r="M875" s="150" t="s">
        <v>120</v>
      </c>
      <c r="N875" s="150" t="s">
        <v>2488</v>
      </c>
      <c r="O875" s="150" t="s">
        <v>2489</v>
      </c>
      <c r="P875" s="367">
        <v>6</v>
      </c>
      <c r="Q875" s="367">
        <v>3</v>
      </c>
      <c r="R875" s="367"/>
      <c r="S875" s="367">
        <v>100</v>
      </c>
      <c r="T875" s="367">
        <v>15</v>
      </c>
      <c r="U875" s="367"/>
      <c r="V875" s="367"/>
      <c r="W875" s="367"/>
      <c r="X875" s="367"/>
      <c r="Y875" s="367"/>
      <c r="Z875" s="367"/>
      <c r="AA875" s="367"/>
      <c r="AB875" s="150"/>
      <c r="AC875" s="48" t="s">
        <v>2851</v>
      </c>
      <c r="AD875" s="150" t="s">
        <v>238</v>
      </c>
      <c r="AE875" s="340">
        <v>46085</v>
      </c>
      <c r="AF875" s="340">
        <v>46171</v>
      </c>
      <c r="AG875" s="344">
        <v>46203</v>
      </c>
      <c r="AH875" s="49">
        <v>46204</v>
      </c>
      <c r="AI875" s="266">
        <v>46174</v>
      </c>
      <c r="AJ875" s="150" t="s">
        <v>548</v>
      </c>
      <c r="AK875" s="150" t="s">
        <v>190</v>
      </c>
      <c r="AL875" s="150" t="s">
        <v>239</v>
      </c>
      <c r="AM875" s="150" t="s">
        <v>2086</v>
      </c>
      <c r="AN875" s="45">
        <v>46111</v>
      </c>
      <c r="AO875" s="367"/>
      <c r="AP875" s="367"/>
      <c r="AQ875" s="367"/>
      <c r="AR875" s="367"/>
      <c r="AS875" s="367"/>
      <c r="AT875" s="154">
        <v>46152</v>
      </c>
      <c r="AU875" s="154">
        <v>46153</v>
      </c>
      <c r="AV875" s="154">
        <v>46153</v>
      </c>
      <c r="AW875" s="154">
        <v>46134</v>
      </c>
      <c r="AX875" s="154"/>
      <c r="AY875" s="154"/>
      <c r="AZ875" s="154"/>
      <c r="BA875" s="154"/>
      <c r="BB875" s="152"/>
      <c r="BC875" s="152"/>
      <c r="BD875" s="367" t="s">
        <v>1605</v>
      </c>
      <c r="BE875" s="367"/>
      <c r="BF875" s="367"/>
      <c r="BG875" s="367"/>
      <c r="BH875" s="260"/>
      <c r="BL875" s="54"/>
      <c r="BM875" s="357">
        <v>46135</v>
      </c>
      <c r="BN875" s="358">
        <v>46136</v>
      </c>
    </row>
    <row r="876" spans="1:66" ht="37.950000000000003" customHeight="1" x14ac:dyDescent="0.3">
      <c r="A876" s="367">
        <f t="shared" si="17"/>
        <v>871</v>
      </c>
      <c r="B876" s="54" t="s">
        <v>2859</v>
      </c>
      <c r="C876" s="367" t="s">
        <v>6</v>
      </c>
      <c r="D876" s="356" t="s">
        <v>2855</v>
      </c>
      <c r="E876" s="367"/>
      <c r="F876" s="367"/>
      <c r="G876" s="367"/>
      <c r="H876" s="367"/>
      <c r="I876" s="367"/>
      <c r="J876" s="54" t="s">
        <v>2789</v>
      </c>
      <c r="K876" s="48" t="s">
        <v>2856</v>
      </c>
      <c r="L876" s="150" t="s">
        <v>2598</v>
      </c>
      <c r="M876" s="150" t="s">
        <v>120</v>
      </c>
      <c r="N876" s="150" t="s">
        <v>2488</v>
      </c>
      <c r="O876" s="150" t="s">
        <v>2489</v>
      </c>
      <c r="P876" s="367">
        <v>6</v>
      </c>
      <c r="Q876" s="367">
        <v>3</v>
      </c>
      <c r="R876" s="367"/>
      <c r="S876" s="367">
        <v>100</v>
      </c>
      <c r="T876" s="367">
        <v>15</v>
      </c>
      <c r="U876" s="367"/>
      <c r="V876" s="367" t="s">
        <v>127</v>
      </c>
      <c r="W876" s="367"/>
      <c r="X876" s="367" t="s">
        <v>350</v>
      </c>
      <c r="Y876" s="367"/>
      <c r="Z876" s="367" t="s">
        <v>127</v>
      </c>
      <c r="AA876" s="367"/>
      <c r="AB876" s="150" t="s">
        <v>215</v>
      </c>
      <c r="AC876" s="48" t="s">
        <v>2860</v>
      </c>
      <c r="AD876" s="150" t="s">
        <v>357</v>
      </c>
      <c r="AE876" s="340">
        <v>46085</v>
      </c>
      <c r="AF876" s="340">
        <v>46168</v>
      </c>
      <c r="AG876" s="344">
        <v>46203</v>
      </c>
      <c r="AH876" s="49">
        <v>46233</v>
      </c>
      <c r="AI876" s="266">
        <v>46204</v>
      </c>
      <c r="AJ876" s="150" t="s">
        <v>2334</v>
      </c>
      <c r="AK876" s="150" t="s">
        <v>190</v>
      </c>
      <c r="AL876" s="150" t="s">
        <v>175</v>
      </c>
      <c r="AM876" s="150" t="s">
        <v>209</v>
      </c>
      <c r="AN876" s="45">
        <v>46111</v>
      </c>
      <c r="AO876" s="367"/>
      <c r="AP876" s="367"/>
      <c r="AQ876" s="367"/>
      <c r="AR876" s="367"/>
      <c r="AS876" s="367"/>
      <c r="AT876" s="154">
        <v>46193</v>
      </c>
      <c r="AU876" s="154">
        <v>46157</v>
      </c>
      <c r="AV876" s="154">
        <v>46157</v>
      </c>
      <c r="AW876" s="154">
        <v>46134</v>
      </c>
      <c r="AX876" s="154"/>
      <c r="AY876" s="154"/>
      <c r="AZ876" s="154">
        <v>46153</v>
      </c>
      <c r="BA876" s="154"/>
      <c r="BB876" s="152"/>
      <c r="BC876" s="152"/>
      <c r="BD876" s="367" t="s">
        <v>1605</v>
      </c>
      <c r="BE876" s="367"/>
      <c r="BF876" s="367"/>
      <c r="BG876" s="367"/>
      <c r="BH876" s="260"/>
      <c r="BL876" s="54"/>
      <c r="BM876" s="357">
        <v>46135</v>
      </c>
      <c r="BN876" s="358">
        <v>46136</v>
      </c>
    </row>
    <row r="877" spans="1:66" ht="37.950000000000003" customHeight="1" x14ac:dyDescent="0.3">
      <c r="A877" s="367">
        <f t="shared" si="17"/>
        <v>872</v>
      </c>
      <c r="B877" s="54" t="s">
        <v>2861</v>
      </c>
      <c r="C877" s="367" t="s">
        <v>6</v>
      </c>
      <c r="D877" s="356" t="s">
        <v>2862</v>
      </c>
      <c r="E877" s="367"/>
      <c r="F877" s="367"/>
      <c r="G877" s="367"/>
      <c r="H877" s="367"/>
      <c r="I877" s="367"/>
      <c r="J877" s="54" t="s">
        <v>2789</v>
      </c>
      <c r="K877" s="48" t="s">
        <v>2863</v>
      </c>
      <c r="L877" s="150" t="s">
        <v>2280</v>
      </c>
      <c r="M877" s="150" t="s">
        <v>120</v>
      </c>
      <c r="N877" s="337" t="s">
        <v>2488</v>
      </c>
      <c r="O877" s="337" t="s">
        <v>2489</v>
      </c>
      <c r="P877" s="367">
        <v>6</v>
      </c>
      <c r="Q877" s="367">
        <v>3.5</v>
      </c>
      <c r="R877" s="367"/>
      <c r="S877" s="367">
        <v>100</v>
      </c>
      <c r="T877" s="367"/>
      <c r="U877" s="367"/>
      <c r="V877" s="367" t="s">
        <v>127</v>
      </c>
      <c r="W877" s="367"/>
      <c r="X877" s="367" t="s">
        <v>350</v>
      </c>
      <c r="Y877" s="367"/>
      <c r="Z877" s="367" t="s">
        <v>127</v>
      </c>
      <c r="AA877" s="367"/>
      <c r="AB877" s="150" t="s">
        <v>215</v>
      </c>
      <c r="AC877" s="48" t="s">
        <v>2864</v>
      </c>
      <c r="AD877" s="150" t="s">
        <v>352</v>
      </c>
      <c r="AE877" s="340">
        <v>46085</v>
      </c>
      <c r="AF877" s="340">
        <v>46168</v>
      </c>
      <c r="AG877" s="344">
        <v>46218</v>
      </c>
      <c r="AH877" s="49">
        <v>46238</v>
      </c>
      <c r="AI877" s="266">
        <v>46204</v>
      </c>
      <c r="AJ877" s="150" t="s">
        <v>2334</v>
      </c>
      <c r="AK877" s="150" t="s">
        <v>190</v>
      </c>
      <c r="AL877" s="150" t="s">
        <v>175</v>
      </c>
      <c r="AM877" s="150" t="s">
        <v>209</v>
      </c>
      <c r="AN877" s="45">
        <v>46111</v>
      </c>
      <c r="AO877" s="367"/>
      <c r="AP877" s="367"/>
      <c r="AQ877" s="367"/>
      <c r="AR877" s="367"/>
      <c r="AS877" s="367"/>
      <c r="AT877" s="154">
        <v>46193</v>
      </c>
      <c r="AU877" s="154">
        <v>46157</v>
      </c>
      <c r="AV877" s="154">
        <v>46157</v>
      </c>
      <c r="AW877" s="154">
        <v>46134</v>
      </c>
      <c r="AX877" s="154"/>
      <c r="AY877" s="154"/>
      <c r="AZ877" s="154">
        <v>46153</v>
      </c>
      <c r="BA877" s="154"/>
      <c r="BB877" s="152" t="s">
        <v>2845</v>
      </c>
      <c r="BC877" s="152"/>
      <c r="BD877" s="367" t="s">
        <v>1605</v>
      </c>
      <c r="BE877" s="367"/>
      <c r="BF877" s="367"/>
      <c r="BG877" s="367"/>
      <c r="BH877" s="260"/>
      <c r="BL877" s="54"/>
      <c r="BM877" s="357">
        <v>46135</v>
      </c>
      <c r="BN877" s="358">
        <v>46136</v>
      </c>
    </row>
    <row r="878" spans="1:66" ht="37.950000000000003" customHeight="1" x14ac:dyDescent="0.3">
      <c r="A878" s="367">
        <f t="shared" si="17"/>
        <v>873</v>
      </c>
      <c r="B878" s="54" t="s">
        <v>2865</v>
      </c>
      <c r="C878" s="367" t="s">
        <v>6</v>
      </c>
      <c r="D878" s="367" t="s">
        <v>262</v>
      </c>
      <c r="E878" s="367"/>
      <c r="F878" s="367"/>
      <c r="G878" s="367"/>
      <c r="H878" s="367"/>
      <c r="I878" s="367"/>
      <c r="J878" s="54" t="s">
        <v>2789</v>
      </c>
      <c r="K878" s="48" t="s">
        <v>2866</v>
      </c>
      <c r="L878" s="150" t="s">
        <v>2280</v>
      </c>
      <c r="M878" s="150" t="s">
        <v>120</v>
      </c>
      <c r="N878" s="150" t="s">
        <v>2488</v>
      </c>
      <c r="O878" s="150" t="s">
        <v>2489</v>
      </c>
      <c r="P878" s="367">
        <v>6</v>
      </c>
      <c r="Q878" s="367"/>
      <c r="R878" s="367"/>
      <c r="S878" s="367"/>
      <c r="T878" s="367">
        <v>12</v>
      </c>
      <c r="U878" s="367"/>
      <c r="V878" s="367"/>
      <c r="W878" s="367"/>
      <c r="X878" s="367"/>
      <c r="Y878" s="367"/>
      <c r="Z878" s="367"/>
      <c r="AA878" s="367"/>
      <c r="AB878" s="150"/>
      <c r="AC878" s="48" t="s">
        <v>2867</v>
      </c>
      <c r="AD878" s="150" t="s">
        <v>1121</v>
      </c>
      <c r="AE878" s="340">
        <v>46085</v>
      </c>
      <c r="AF878" s="340"/>
      <c r="AG878" s="344">
        <v>46183</v>
      </c>
      <c r="AH878" s="49">
        <v>46188</v>
      </c>
      <c r="AI878" s="266">
        <v>46174</v>
      </c>
      <c r="AJ878" s="150" t="s">
        <v>617</v>
      </c>
      <c r="AK878" s="150" t="s">
        <v>190</v>
      </c>
      <c r="AL878" s="150" t="s">
        <v>175</v>
      </c>
      <c r="AM878" s="150" t="s">
        <v>2609</v>
      </c>
      <c r="AN878" s="45">
        <v>46122</v>
      </c>
      <c r="AO878" s="367"/>
      <c r="AP878" s="367"/>
      <c r="AQ878" s="367"/>
      <c r="AR878" s="367"/>
      <c r="AS878" s="367"/>
      <c r="AT878" s="154"/>
      <c r="AU878" s="154"/>
      <c r="AV878" s="154"/>
      <c r="AW878" s="154"/>
      <c r="AX878" s="154"/>
      <c r="AY878" s="154"/>
      <c r="AZ878" s="154"/>
      <c r="BA878" s="154"/>
      <c r="BB878" s="152"/>
      <c r="BC878" s="152"/>
      <c r="BD878" s="367" t="s">
        <v>1605</v>
      </c>
      <c r="BE878" s="367"/>
      <c r="BF878" s="367"/>
      <c r="BG878" s="367"/>
      <c r="BH878" s="260"/>
      <c r="BL878" s="54"/>
    </row>
    <row r="879" spans="1:66" ht="37.950000000000003" customHeight="1" x14ac:dyDescent="0.3">
      <c r="A879" s="367">
        <f t="shared" si="17"/>
        <v>874</v>
      </c>
      <c r="B879" s="54" t="s">
        <v>2868</v>
      </c>
      <c r="C879" s="367" t="s">
        <v>6</v>
      </c>
      <c r="D879" s="367" t="s">
        <v>262</v>
      </c>
      <c r="E879" s="367"/>
      <c r="F879" s="367"/>
      <c r="G879" s="367"/>
      <c r="H879" s="367"/>
      <c r="I879" s="367"/>
      <c r="J879" s="54" t="s">
        <v>2789</v>
      </c>
      <c r="K879" s="48" t="s">
        <v>2866</v>
      </c>
      <c r="L879" s="150" t="s">
        <v>2280</v>
      </c>
      <c r="M879" s="150" t="s">
        <v>120</v>
      </c>
      <c r="N879" s="337" t="s">
        <v>2488</v>
      </c>
      <c r="O879" s="337" t="s">
        <v>2489</v>
      </c>
      <c r="P879" s="367">
        <v>6</v>
      </c>
      <c r="Q879" s="367"/>
      <c r="R879" s="367"/>
      <c r="S879" s="367"/>
      <c r="T879" s="367">
        <v>12</v>
      </c>
      <c r="U879" s="367"/>
      <c r="V879" s="367" t="s">
        <v>127</v>
      </c>
      <c r="W879" s="367"/>
      <c r="X879" s="367" t="s">
        <v>150</v>
      </c>
      <c r="Y879" s="367"/>
      <c r="Z879" s="367"/>
      <c r="AA879" s="367"/>
      <c r="AB879" s="150" t="s">
        <v>215</v>
      </c>
      <c r="AC879" s="48" t="s">
        <v>2869</v>
      </c>
      <c r="AD879" s="150" t="s">
        <v>207</v>
      </c>
      <c r="AE879" s="340">
        <v>46085</v>
      </c>
      <c r="AF879" s="340"/>
      <c r="AG879" s="344">
        <v>46218</v>
      </c>
      <c r="AH879" s="49">
        <v>46218</v>
      </c>
      <c r="AI879" s="266">
        <v>46204</v>
      </c>
      <c r="AJ879" s="150" t="s">
        <v>2334</v>
      </c>
      <c r="AK879" s="150" t="s">
        <v>200</v>
      </c>
      <c r="AL879" s="150" t="s">
        <v>175</v>
      </c>
      <c r="AM879" s="150" t="s">
        <v>2086</v>
      </c>
      <c r="AN879" s="45">
        <v>46172</v>
      </c>
      <c r="AO879" s="367"/>
      <c r="AP879" s="367"/>
      <c r="AQ879" s="367"/>
      <c r="AR879" s="367"/>
      <c r="AS879" s="367"/>
      <c r="AT879" s="154">
        <v>46188</v>
      </c>
      <c r="AU879" s="154">
        <v>46148</v>
      </c>
      <c r="AV879" s="154">
        <v>46149</v>
      </c>
      <c r="AW879" s="154">
        <v>46135</v>
      </c>
      <c r="AX879" s="154"/>
      <c r="AY879" s="154"/>
      <c r="AZ879" s="154">
        <v>46153</v>
      </c>
      <c r="BA879" s="154"/>
      <c r="BB879" s="152"/>
      <c r="BC879" s="152"/>
      <c r="BD879" s="367" t="s">
        <v>1605</v>
      </c>
      <c r="BE879" s="367"/>
      <c r="BF879" s="367"/>
      <c r="BG879" s="367"/>
      <c r="BH879" s="260"/>
      <c r="BL879" s="54"/>
      <c r="BN879" s="358">
        <v>46136</v>
      </c>
    </row>
    <row r="880" spans="1:66" ht="37.950000000000003" customHeight="1" x14ac:dyDescent="0.3">
      <c r="A880" s="367">
        <f t="shared" si="17"/>
        <v>875</v>
      </c>
      <c r="B880" s="54" t="s">
        <v>2870</v>
      </c>
      <c r="C880" s="367" t="s">
        <v>6</v>
      </c>
      <c r="D880" s="367" t="s">
        <v>2871</v>
      </c>
      <c r="E880" s="367"/>
      <c r="F880" s="367"/>
      <c r="G880" s="367"/>
      <c r="H880" s="367"/>
      <c r="I880" s="367"/>
      <c r="J880" s="54" t="s">
        <v>2872</v>
      </c>
      <c r="K880" s="48" t="s">
        <v>521</v>
      </c>
      <c r="L880" s="150"/>
      <c r="M880" s="150"/>
      <c r="N880" s="150"/>
      <c r="O880" s="150"/>
      <c r="P880" s="367"/>
      <c r="Q880" s="367"/>
      <c r="R880" s="367"/>
      <c r="S880" s="367"/>
      <c r="T880" s="367"/>
      <c r="U880" s="367"/>
      <c r="V880" s="367"/>
      <c r="W880" s="367"/>
      <c r="X880" s="367"/>
      <c r="Y880" s="367"/>
      <c r="Z880" s="367"/>
      <c r="AA880" s="367"/>
      <c r="AB880" s="150"/>
      <c r="AC880" s="48" t="s">
        <v>2873</v>
      </c>
      <c r="AD880" s="150" t="s">
        <v>56</v>
      </c>
      <c r="AE880" s="340">
        <v>46129</v>
      </c>
      <c r="AF880" s="340">
        <v>46164</v>
      </c>
      <c r="AG880" s="286">
        <v>46203</v>
      </c>
      <c r="AH880" s="49">
        <v>46233</v>
      </c>
      <c r="AI880" s="266">
        <v>46204</v>
      </c>
      <c r="AJ880" s="150" t="s">
        <v>2334</v>
      </c>
      <c r="AK880" s="150" t="s">
        <v>200</v>
      </c>
      <c r="AL880" s="150"/>
      <c r="AM880" s="150" t="s">
        <v>134</v>
      </c>
      <c r="AN880" s="367"/>
      <c r="AO880" s="367"/>
      <c r="AP880" s="367"/>
      <c r="AQ880" s="367"/>
      <c r="AR880" s="367"/>
      <c r="AS880" s="367"/>
      <c r="AT880" s="154">
        <v>46203</v>
      </c>
      <c r="AU880" s="154">
        <v>46178</v>
      </c>
      <c r="AV880" s="154">
        <v>46178</v>
      </c>
      <c r="AW880" s="154">
        <v>46170</v>
      </c>
      <c r="AX880" s="154"/>
      <c r="AY880" s="154"/>
      <c r="AZ880" s="154"/>
      <c r="BA880" s="154"/>
      <c r="BB880" s="152" t="s">
        <v>2874</v>
      </c>
      <c r="BC880" s="152"/>
      <c r="BD880" s="367" t="s">
        <v>2455</v>
      </c>
      <c r="BE880" s="367"/>
      <c r="BF880" s="367"/>
      <c r="BG880" s="367"/>
      <c r="BH880" s="260"/>
      <c r="BL880" s="54"/>
    </row>
    <row r="881" spans="1:64" ht="37.950000000000003" customHeight="1" x14ac:dyDescent="0.3">
      <c r="A881" s="367">
        <f t="shared" si="17"/>
        <v>876</v>
      </c>
      <c r="B881" s="54" t="s">
        <v>2875</v>
      </c>
      <c r="C881" s="367" t="s">
        <v>6</v>
      </c>
      <c r="D881" s="367" t="s">
        <v>2871</v>
      </c>
      <c r="E881" s="367"/>
      <c r="F881" s="367"/>
      <c r="G881" s="367"/>
      <c r="H881" s="367"/>
      <c r="I881" s="367"/>
      <c r="J881" s="54" t="s">
        <v>2872</v>
      </c>
      <c r="K881" s="48" t="s">
        <v>521</v>
      </c>
      <c r="L881" s="150"/>
      <c r="M881" s="150"/>
      <c r="N881" s="150"/>
      <c r="O881" s="150"/>
      <c r="P881" s="367"/>
      <c r="Q881" s="367"/>
      <c r="R881" s="367"/>
      <c r="S881" s="367"/>
      <c r="T881" s="367"/>
      <c r="U881" s="367"/>
      <c r="V881" s="367"/>
      <c r="W881" s="367"/>
      <c r="X881" s="367"/>
      <c r="Y881" s="367"/>
      <c r="Z881" s="367"/>
      <c r="AA881" s="367"/>
      <c r="AB881" s="150"/>
      <c r="AC881" s="48" t="s">
        <v>2876</v>
      </c>
      <c r="AD881" s="150" t="s">
        <v>56</v>
      </c>
      <c r="AE881" s="340">
        <v>46129</v>
      </c>
      <c r="AF881" s="340">
        <v>46164</v>
      </c>
      <c r="AG881" s="286">
        <v>46203</v>
      </c>
      <c r="AH881" s="49">
        <v>46233</v>
      </c>
      <c r="AI881" s="266">
        <v>46204</v>
      </c>
      <c r="AJ881" s="150" t="s">
        <v>2334</v>
      </c>
      <c r="AK881" s="150" t="s">
        <v>200</v>
      </c>
      <c r="AL881" s="150"/>
      <c r="AM881" s="150" t="s">
        <v>134</v>
      </c>
      <c r="AN881" s="367"/>
      <c r="AO881" s="367"/>
      <c r="AP881" s="367"/>
      <c r="AQ881" s="367"/>
      <c r="AR881" s="367"/>
      <c r="AS881" s="367"/>
      <c r="AT881" s="154">
        <v>46203</v>
      </c>
      <c r="AU881" s="154">
        <v>46178</v>
      </c>
      <c r="AV881" s="154">
        <v>46178</v>
      </c>
      <c r="AW881" s="154">
        <v>46170</v>
      </c>
      <c r="AX881" s="154"/>
      <c r="AY881" s="154"/>
      <c r="AZ881" s="154"/>
      <c r="BA881" s="154"/>
      <c r="BB881" s="152" t="s">
        <v>2874</v>
      </c>
      <c r="BC881" s="152"/>
      <c r="BD881" s="367" t="s">
        <v>2455</v>
      </c>
      <c r="BE881" s="367"/>
      <c r="BF881" s="367"/>
      <c r="BG881" s="367"/>
      <c r="BH881" s="260"/>
      <c r="BL881" s="54"/>
    </row>
    <row r="882" spans="1:64" ht="37.950000000000003" customHeight="1" x14ac:dyDescent="0.3">
      <c r="A882" s="367">
        <f t="shared" si="17"/>
        <v>877</v>
      </c>
      <c r="B882" s="54" t="s">
        <v>2877</v>
      </c>
      <c r="C882" s="367" t="s">
        <v>6</v>
      </c>
      <c r="D882" s="367" t="s">
        <v>2871</v>
      </c>
      <c r="E882" s="367"/>
      <c r="F882" s="367"/>
      <c r="G882" s="367"/>
      <c r="H882" s="367"/>
      <c r="I882" s="367"/>
      <c r="J882" s="54" t="s">
        <v>2872</v>
      </c>
      <c r="K882" s="48" t="s">
        <v>521</v>
      </c>
      <c r="L882" s="150"/>
      <c r="M882" s="150"/>
      <c r="N882" s="150"/>
      <c r="O882" s="150"/>
      <c r="P882" s="367"/>
      <c r="Q882" s="367"/>
      <c r="R882" s="367"/>
      <c r="S882" s="367"/>
      <c r="T882" s="367"/>
      <c r="U882" s="367"/>
      <c r="V882" s="367"/>
      <c r="W882" s="367"/>
      <c r="X882" s="367"/>
      <c r="Y882" s="367"/>
      <c r="Z882" s="367"/>
      <c r="AA882" s="367"/>
      <c r="AB882" s="150"/>
      <c r="AC882" s="48" t="s">
        <v>2878</v>
      </c>
      <c r="AD882" s="150" t="s">
        <v>56</v>
      </c>
      <c r="AE882" s="340">
        <v>46129</v>
      </c>
      <c r="AF882" s="340">
        <v>46164</v>
      </c>
      <c r="AG882" s="286">
        <v>46203</v>
      </c>
      <c r="AH882" s="49">
        <v>46233</v>
      </c>
      <c r="AI882" s="266">
        <v>46204</v>
      </c>
      <c r="AJ882" s="150" t="s">
        <v>2334</v>
      </c>
      <c r="AK882" s="150" t="s">
        <v>200</v>
      </c>
      <c r="AL882" s="150"/>
      <c r="AM882" s="150" t="s">
        <v>134</v>
      </c>
      <c r="AN882" s="367"/>
      <c r="AO882" s="367"/>
      <c r="AP882" s="367"/>
      <c r="AQ882" s="367"/>
      <c r="AR882" s="367"/>
      <c r="AS882" s="367"/>
      <c r="AT882" s="154">
        <v>46203</v>
      </c>
      <c r="AU882" s="154">
        <v>46178</v>
      </c>
      <c r="AV882" s="154">
        <v>46178</v>
      </c>
      <c r="AW882" s="154">
        <v>46170</v>
      </c>
      <c r="AX882" s="154"/>
      <c r="AY882" s="154"/>
      <c r="AZ882" s="154"/>
      <c r="BA882" s="154"/>
      <c r="BB882" s="152" t="s">
        <v>2874</v>
      </c>
      <c r="BC882" s="152"/>
      <c r="BD882" s="367" t="s">
        <v>2455</v>
      </c>
      <c r="BE882" s="367"/>
      <c r="BF882" s="367"/>
      <c r="BG882" s="367"/>
      <c r="BH882" s="260"/>
      <c r="BL882" s="54"/>
    </row>
    <row r="883" spans="1:64" ht="37.950000000000003" customHeight="1" x14ac:dyDescent="0.3">
      <c r="A883" s="367">
        <f t="shared" si="17"/>
        <v>878</v>
      </c>
      <c r="B883" s="54" t="s">
        <v>2879</v>
      </c>
      <c r="C883" s="367" t="s">
        <v>6</v>
      </c>
      <c r="D883" s="367" t="s">
        <v>2871</v>
      </c>
      <c r="E883" s="367"/>
      <c r="F883" s="367"/>
      <c r="G883" s="367"/>
      <c r="H883" s="367"/>
      <c r="I883" s="367"/>
      <c r="J883" s="54" t="s">
        <v>2872</v>
      </c>
      <c r="K883" s="48" t="s">
        <v>521</v>
      </c>
      <c r="L883" s="150"/>
      <c r="M883" s="150"/>
      <c r="N883" s="150"/>
      <c r="O883" s="150"/>
      <c r="P883" s="367"/>
      <c r="Q883" s="367"/>
      <c r="R883" s="367"/>
      <c r="S883" s="367"/>
      <c r="T883" s="367"/>
      <c r="U883" s="367"/>
      <c r="V883" s="367"/>
      <c r="W883" s="367"/>
      <c r="X883" s="367"/>
      <c r="Y883" s="367"/>
      <c r="Z883" s="367"/>
      <c r="AA883" s="367"/>
      <c r="AB883" s="150"/>
      <c r="AC883" s="48" t="s">
        <v>2880</v>
      </c>
      <c r="AD883" s="150" t="s">
        <v>56</v>
      </c>
      <c r="AE883" s="340">
        <v>46129</v>
      </c>
      <c r="AF883" s="340">
        <v>46164</v>
      </c>
      <c r="AG883" s="286">
        <v>46203</v>
      </c>
      <c r="AH883" s="49">
        <v>46233</v>
      </c>
      <c r="AI883" s="266">
        <v>46204</v>
      </c>
      <c r="AJ883" s="150" t="s">
        <v>2334</v>
      </c>
      <c r="AK883" s="150" t="s">
        <v>200</v>
      </c>
      <c r="AL883" s="150"/>
      <c r="AM883" s="150" t="s">
        <v>134</v>
      </c>
      <c r="AN883" s="367"/>
      <c r="AO883" s="367"/>
      <c r="AP883" s="367"/>
      <c r="AQ883" s="367"/>
      <c r="AR883" s="367"/>
      <c r="AS883" s="367"/>
      <c r="AT883" s="154">
        <v>46203</v>
      </c>
      <c r="AU883" s="154">
        <v>46178</v>
      </c>
      <c r="AV883" s="154">
        <v>46178</v>
      </c>
      <c r="AW883" s="154">
        <v>46170</v>
      </c>
      <c r="AX883" s="154"/>
      <c r="AY883" s="154"/>
      <c r="AZ883" s="154"/>
      <c r="BA883" s="154"/>
      <c r="BB883" s="152" t="s">
        <v>2874</v>
      </c>
      <c r="BC883" s="152"/>
      <c r="BD883" s="367" t="s">
        <v>2455</v>
      </c>
      <c r="BE883" s="367"/>
      <c r="BF883" s="367"/>
      <c r="BG883" s="367"/>
      <c r="BH883" s="260"/>
      <c r="BL883" s="54"/>
    </row>
    <row r="884" spans="1:64" ht="37.950000000000003" customHeight="1" x14ac:dyDescent="0.3">
      <c r="A884" s="367">
        <f t="shared" si="17"/>
        <v>879</v>
      </c>
      <c r="B884" s="54" t="s">
        <v>2881</v>
      </c>
      <c r="C884" s="367" t="s">
        <v>6</v>
      </c>
      <c r="D884" s="367" t="s">
        <v>2871</v>
      </c>
      <c r="E884" s="367"/>
      <c r="F884" s="367"/>
      <c r="G884" s="367"/>
      <c r="H884" s="367"/>
      <c r="I884" s="367"/>
      <c r="J884" s="54" t="s">
        <v>2872</v>
      </c>
      <c r="K884" s="48" t="s">
        <v>521</v>
      </c>
      <c r="L884" s="150"/>
      <c r="M884" s="150"/>
      <c r="N884" s="150"/>
      <c r="O884" s="150"/>
      <c r="P884" s="367"/>
      <c r="Q884" s="367"/>
      <c r="R884" s="367"/>
      <c r="S884" s="367"/>
      <c r="T884" s="367"/>
      <c r="U884" s="367"/>
      <c r="V884" s="367"/>
      <c r="W884" s="367"/>
      <c r="X884" s="367"/>
      <c r="Y884" s="367"/>
      <c r="Z884" s="367"/>
      <c r="AA884" s="367"/>
      <c r="AB884" s="150"/>
      <c r="AC884" s="48" t="s">
        <v>2882</v>
      </c>
      <c r="AD884" s="150" t="s">
        <v>56</v>
      </c>
      <c r="AE884" s="340">
        <v>46129</v>
      </c>
      <c r="AF884" s="340">
        <v>46164</v>
      </c>
      <c r="AG884" s="286">
        <v>46203</v>
      </c>
      <c r="AH884" s="49">
        <v>46233</v>
      </c>
      <c r="AI884" s="266">
        <v>46204</v>
      </c>
      <c r="AJ884" s="150" t="s">
        <v>2334</v>
      </c>
      <c r="AK884" s="150" t="s">
        <v>200</v>
      </c>
      <c r="AL884" s="150"/>
      <c r="AM884" s="150" t="s">
        <v>134</v>
      </c>
      <c r="AN884" s="367"/>
      <c r="AO884" s="367"/>
      <c r="AP884" s="367"/>
      <c r="AQ884" s="367"/>
      <c r="AR884" s="367"/>
      <c r="AS884" s="367"/>
      <c r="AT884" s="154">
        <v>46203</v>
      </c>
      <c r="AU884" s="154">
        <v>46178</v>
      </c>
      <c r="AV884" s="154">
        <v>46178</v>
      </c>
      <c r="AW884" s="154">
        <v>46170</v>
      </c>
      <c r="AX884" s="154"/>
      <c r="AY884" s="154"/>
      <c r="AZ884" s="154"/>
      <c r="BA884" s="154"/>
      <c r="BB884" s="152" t="s">
        <v>2874</v>
      </c>
      <c r="BC884" s="152"/>
      <c r="BD884" s="367" t="s">
        <v>2455</v>
      </c>
      <c r="BE884" s="367"/>
      <c r="BF884" s="367"/>
      <c r="BG884" s="367"/>
      <c r="BH884" s="260"/>
      <c r="BL884" s="54"/>
    </row>
    <row r="885" spans="1:64" ht="37.950000000000003" customHeight="1" x14ac:dyDescent="0.3">
      <c r="A885" s="367">
        <f t="shared" si="17"/>
        <v>880</v>
      </c>
      <c r="B885" s="54" t="s">
        <v>2883</v>
      </c>
      <c r="C885" s="367" t="s">
        <v>6</v>
      </c>
      <c r="D885" s="367" t="s">
        <v>2884</v>
      </c>
      <c r="E885" s="367"/>
      <c r="F885" s="367"/>
      <c r="G885" s="367"/>
      <c r="H885" s="367"/>
      <c r="I885" s="367"/>
      <c r="J885" s="54" t="s">
        <v>2872</v>
      </c>
      <c r="K885" s="48" t="s">
        <v>521</v>
      </c>
      <c r="L885" s="150"/>
      <c r="M885" s="150"/>
      <c r="N885" s="150"/>
      <c r="O885" s="150"/>
      <c r="P885" s="367"/>
      <c r="Q885" s="367"/>
      <c r="R885" s="367"/>
      <c r="S885" s="367"/>
      <c r="T885" s="367"/>
      <c r="U885" s="367"/>
      <c r="V885" s="367"/>
      <c r="W885" s="367"/>
      <c r="X885" s="367"/>
      <c r="Y885" s="367"/>
      <c r="Z885" s="367"/>
      <c r="AA885" s="367"/>
      <c r="AB885" s="150"/>
      <c r="AC885" s="48" t="s">
        <v>2885</v>
      </c>
      <c r="AD885" s="150" t="s">
        <v>56</v>
      </c>
      <c r="AE885" s="340">
        <v>46129</v>
      </c>
      <c r="AF885" s="340">
        <v>46164</v>
      </c>
      <c r="AG885" s="286">
        <v>46203</v>
      </c>
      <c r="AH885" s="49">
        <v>46233</v>
      </c>
      <c r="AI885" s="266">
        <v>46204</v>
      </c>
      <c r="AJ885" s="150" t="s">
        <v>2334</v>
      </c>
      <c r="AK885" s="150" t="s">
        <v>200</v>
      </c>
      <c r="AL885" s="150"/>
      <c r="AM885" s="150" t="s">
        <v>2079</v>
      </c>
      <c r="AN885" s="367"/>
      <c r="AO885" s="367"/>
      <c r="AP885" s="367"/>
      <c r="AQ885" s="367"/>
      <c r="AR885" s="367"/>
      <c r="AS885" s="367"/>
      <c r="AT885" s="154">
        <v>46203</v>
      </c>
      <c r="AU885" s="154">
        <v>46178</v>
      </c>
      <c r="AV885" s="154">
        <v>46178</v>
      </c>
      <c r="AW885" s="154">
        <v>46170</v>
      </c>
      <c r="AX885" s="154"/>
      <c r="AY885" s="154"/>
      <c r="AZ885" s="154"/>
      <c r="BA885" s="154"/>
      <c r="BB885" s="152" t="s">
        <v>2874</v>
      </c>
      <c r="BC885" s="152"/>
      <c r="BD885" s="367" t="s">
        <v>2455</v>
      </c>
      <c r="BE885" s="367"/>
      <c r="BF885" s="367"/>
      <c r="BG885" s="367"/>
      <c r="BH885" s="260"/>
      <c r="BL885" s="54"/>
    </row>
    <row r="886" spans="1:64" ht="37.950000000000003" customHeight="1" x14ac:dyDescent="0.3">
      <c r="A886" s="367">
        <f t="shared" si="17"/>
        <v>881</v>
      </c>
      <c r="B886" s="54" t="s">
        <v>2886</v>
      </c>
      <c r="C886" s="367" t="s">
        <v>6</v>
      </c>
      <c r="D886" s="367" t="s">
        <v>2884</v>
      </c>
      <c r="E886" s="367"/>
      <c r="F886" s="367"/>
      <c r="G886" s="367"/>
      <c r="H886" s="367"/>
      <c r="I886" s="367"/>
      <c r="J886" s="54" t="s">
        <v>2872</v>
      </c>
      <c r="K886" s="48" t="s">
        <v>521</v>
      </c>
      <c r="L886" s="150"/>
      <c r="M886" s="150"/>
      <c r="N886" s="150"/>
      <c r="O886" s="150"/>
      <c r="P886" s="367"/>
      <c r="Q886" s="367"/>
      <c r="R886" s="367"/>
      <c r="S886" s="367"/>
      <c r="T886" s="367"/>
      <c r="U886" s="367"/>
      <c r="V886" s="367"/>
      <c r="W886" s="367"/>
      <c r="X886" s="367"/>
      <c r="Y886" s="367"/>
      <c r="Z886" s="367"/>
      <c r="AA886" s="367"/>
      <c r="AB886" s="150"/>
      <c r="AC886" s="48" t="s">
        <v>2887</v>
      </c>
      <c r="AD886" s="150" t="s">
        <v>56</v>
      </c>
      <c r="AE886" s="340">
        <v>46129</v>
      </c>
      <c r="AF886" s="340">
        <v>46164</v>
      </c>
      <c r="AG886" s="286">
        <v>46203</v>
      </c>
      <c r="AH886" s="49">
        <v>46233</v>
      </c>
      <c r="AI886" s="266">
        <v>46204</v>
      </c>
      <c r="AJ886" s="150" t="s">
        <v>2334</v>
      </c>
      <c r="AK886" s="150" t="s">
        <v>200</v>
      </c>
      <c r="AL886" s="150"/>
      <c r="AM886" s="150" t="s">
        <v>2079</v>
      </c>
      <c r="AN886" s="367"/>
      <c r="AO886" s="367"/>
      <c r="AP886" s="367"/>
      <c r="AQ886" s="367"/>
      <c r="AR886" s="367"/>
      <c r="AS886" s="367"/>
      <c r="AT886" s="154">
        <v>46203</v>
      </c>
      <c r="AU886" s="154">
        <v>46178</v>
      </c>
      <c r="AV886" s="154">
        <v>46178</v>
      </c>
      <c r="AW886" s="154">
        <v>46170</v>
      </c>
      <c r="AX886" s="154"/>
      <c r="AY886" s="154"/>
      <c r="AZ886" s="154"/>
      <c r="BA886" s="154"/>
      <c r="BB886" s="152" t="s">
        <v>2874</v>
      </c>
      <c r="BC886" s="152"/>
      <c r="BD886" s="367" t="s">
        <v>2455</v>
      </c>
      <c r="BE886" s="367"/>
      <c r="BF886" s="367"/>
      <c r="BG886" s="367"/>
      <c r="BH886" s="260"/>
      <c r="BL886" s="54"/>
    </row>
    <row r="887" spans="1:64" ht="37.950000000000003" customHeight="1" x14ac:dyDescent="0.3">
      <c r="A887" s="367">
        <f t="shared" si="17"/>
        <v>882</v>
      </c>
      <c r="B887" s="54" t="s">
        <v>2888</v>
      </c>
      <c r="C887" s="367" t="s">
        <v>6</v>
      </c>
      <c r="D887" s="367" t="s">
        <v>2884</v>
      </c>
      <c r="E887" s="367"/>
      <c r="F887" s="367"/>
      <c r="G887" s="367"/>
      <c r="H887" s="367"/>
      <c r="I887" s="367"/>
      <c r="J887" s="54" t="s">
        <v>2872</v>
      </c>
      <c r="K887" s="48" t="s">
        <v>521</v>
      </c>
      <c r="L887" s="150"/>
      <c r="M887" s="150"/>
      <c r="N887" s="150"/>
      <c r="O887" s="150"/>
      <c r="P887" s="367"/>
      <c r="Q887" s="367"/>
      <c r="R887" s="367"/>
      <c r="S887" s="367"/>
      <c r="T887" s="367"/>
      <c r="U887" s="367"/>
      <c r="V887" s="367"/>
      <c r="W887" s="367"/>
      <c r="X887" s="367"/>
      <c r="Y887" s="367"/>
      <c r="Z887" s="367"/>
      <c r="AA887" s="367"/>
      <c r="AB887" s="150"/>
      <c r="AC887" s="48" t="s">
        <v>2889</v>
      </c>
      <c r="AD887" s="150" t="s">
        <v>56</v>
      </c>
      <c r="AE887" s="340">
        <v>46129</v>
      </c>
      <c r="AF887" s="340">
        <v>46164</v>
      </c>
      <c r="AG887" s="286">
        <v>46203</v>
      </c>
      <c r="AH887" s="49">
        <v>46233</v>
      </c>
      <c r="AI887" s="266">
        <v>46204</v>
      </c>
      <c r="AJ887" s="150" t="s">
        <v>2334</v>
      </c>
      <c r="AK887" s="150" t="s">
        <v>200</v>
      </c>
      <c r="AL887" s="150"/>
      <c r="AM887" s="150" t="s">
        <v>2079</v>
      </c>
      <c r="AN887" s="367"/>
      <c r="AO887" s="367"/>
      <c r="AP887" s="367"/>
      <c r="AQ887" s="367"/>
      <c r="AR887" s="367"/>
      <c r="AS887" s="367"/>
      <c r="AT887" s="154">
        <v>46203</v>
      </c>
      <c r="AU887" s="154">
        <v>46178</v>
      </c>
      <c r="AV887" s="154">
        <v>46178</v>
      </c>
      <c r="AW887" s="154">
        <v>46170</v>
      </c>
      <c r="AX887" s="154"/>
      <c r="AY887" s="154"/>
      <c r="AZ887" s="154"/>
      <c r="BA887" s="154"/>
      <c r="BB887" s="152" t="s">
        <v>2874</v>
      </c>
      <c r="BC887" s="152"/>
      <c r="BD887" s="367" t="s">
        <v>2455</v>
      </c>
      <c r="BE887" s="367"/>
      <c r="BF887" s="367"/>
      <c r="BG887" s="367"/>
      <c r="BH887" s="260"/>
      <c r="BL887" s="54"/>
    </row>
    <row r="888" spans="1:64" ht="37.950000000000003" customHeight="1" x14ac:dyDescent="0.3">
      <c r="A888" s="367">
        <f t="shared" si="17"/>
        <v>883</v>
      </c>
      <c r="B888" s="54" t="s">
        <v>2890</v>
      </c>
      <c r="C888" s="367" t="s">
        <v>6</v>
      </c>
      <c r="D888" s="367" t="s">
        <v>2884</v>
      </c>
      <c r="E888" s="367"/>
      <c r="F888" s="367"/>
      <c r="G888" s="367"/>
      <c r="H888" s="367"/>
      <c r="I888" s="367"/>
      <c r="J888" s="54" t="s">
        <v>2872</v>
      </c>
      <c r="K888" s="48" t="s">
        <v>521</v>
      </c>
      <c r="L888" s="150"/>
      <c r="M888" s="150"/>
      <c r="N888" s="150"/>
      <c r="O888" s="150"/>
      <c r="P888" s="367"/>
      <c r="Q888" s="367"/>
      <c r="R888" s="367"/>
      <c r="S888" s="367"/>
      <c r="T888" s="367"/>
      <c r="U888" s="367"/>
      <c r="V888" s="367"/>
      <c r="W888" s="367"/>
      <c r="X888" s="367"/>
      <c r="Y888" s="367"/>
      <c r="Z888" s="367"/>
      <c r="AA888" s="367"/>
      <c r="AB888" s="150"/>
      <c r="AC888" s="48" t="s">
        <v>2891</v>
      </c>
      <c r="AD888" s="150" t="s">
        <v>56</v>
      </c>
      <c r="AE888" s="340">
        <v>46129</v>
      </c>
      <c r="AF888" s="340">
        <v>46164</v>
      </c>
      <c r="AG888" s="286">
        <v>46203</v>
      </c>
      <c r="AH888" s="49">
        <v>46233</v>
      </c>
      <c r="AI888" s="266">
        <v>46204</v>
      </c>
      <c r="AJ888" s="150" t="s">
        <v>2334</v>
      </c>
      <c r="AK888" s="150" t="s">
        <v>200</v>
      </c>
      <c r="AL888" s="150"/>
      <c r="AM888" s="150" t="s">
        <v>209</v>
      </c>
      <c r="AN888" s="367"/>
      <c r="AO888" s="367"/>
      <c r="AP888" s="367"/>
      <c r="AQ888" s="367"/>
      <c r="AR888" s="367"/>
      <c r="AS888" s="367"/>
      <c r="AT888" s="154">
        <v>46203</v>
      </c>
      <c r="AU888" s="154">
        <v>46178</v>
      </c>
      <c r="AV888" s="154">
        <v>46178</v>
      </c>
      <c r="AW888" s="154">
        <v>46170</v>
      </c>
      <c r="AX888" s="154"/>
      <c r="AY888" s="154"/>
      <c r="AZ888" s="154"/>
      <c r="BA888" s="154"/>
      <c r="BB888" s="152" t="s">
        <v>2874</v>
      </c>
      <c r="BC888" s="152"/>
      <c r="BD888" s="367" t="s">
        <v>2455</v>
      </c>
      <c r="BE888" s="367"/>
      <c r="BF888" s="367"/>
      <c r="BG888" s="367"/>
      <c r="BH888" s="260"/>
      <c r="BL888" s="54"/>
    </row>
    <row r="889" spans="1:64" ht="37.950000000000003" customHeight="1" x14ac:dyDescent="0.3">
      <c r="A889" s="367">
        <f t="shared" si="17"/>
        <v>884</v>
      </c>
      <c r="B889" s="54" t="s">
        <v>2892</v>
      </c>
      <c r="C889" s="367" t="s">
        <v>6</v>
      </c>
      <c r="D889" s="367" t="s">
        <v>2884</v>
      </c>
      <c r="E889" s="367"/>
      <c r="F889" s="367"/>
      <c r="G889" s="367"/>
      <c r="H889" s="367"/>
      <c r="I889" s="367"/>
      <c r="J889" s="54" t="s">
        <v>2872</v>
      </c>
      <c r="K889" s="48" t="s">
        <v>521</v>
      </c>
      <c r="L889" s="150"/>
      <c r="M889" s="150"/>
      <c r="N889" s="150"/>
      <c r="O889" s="150"/>
      <c r="P889" s="367"/>
      <c r="Q889" s="367"/>
      <c r="R889" s="367"/>
      <c r="S889" s="367"/>
      <c r="T889" s="367"/>
      <c r="U889" s="367"/>
      <c r="V889" s="367"/>
      <c r="W889" s="367"/>
      <c r="X889" s="367"/>
      <c r="Y889" s="367"/>
      <c r="Z889" s="367"/>
      <c r="AA889" s="367"/>
      <c r="AB889" s="150"/>
      <c r="AC889" s="48" t="s">
        <v>2893</v>
      </c>
      <c r="AD889" s="150" t="s">
        <v>56</v>
      </c>
      <c r="AE889" s="340">
        <v>46129</v>
      </c>
      <c r="AF889" s="340">
        <v>46164</v>
      </c>
      <c r="AG889" s="286">
        <v>46203</v>
      </c>
      <c r="AH889" s="49">
        <v>46233</v>
      </c>
      <c r="AI889" s="266">
        <v>46204</v>
      </c>
      <c r="AJ889" s="150" t="s">
        <v>2334</v>
      </c>
      <c r="AK889" s="150" t="s">
        <v>200</v>
      </c>
      <c r="AL889" s="150"/>
      <c r="AM889" s="150" t="s">
        <v>209</v>
      </c>
      <c r="AN889" s="367"/>
      <c r="AO889" s="367"/>
      <c r="AP889" s="367"/>
      <c r="AQ889" s="367"/>
      <c r="AR889" s="367"/>
      <c r="AS889" s="367"/>
      <c r="AT889" s="154">
        <v>46203</v>
      </c>
      <c r="AU889" s="154">
        <v>46178</v>
      </c>
      <c r="AV889" s="154">
        <v>46178</v>
      </c>
      <c r="AW889" s="154">
        <v>46170</v>
      </c>
      <c r="AX889" s="154"/>
      <c r="AY889" s="154"/>
      <c r="AZ889" s="154"/>
      <c r="BA889" s="154"/>
      <c r="BB889" s="152" t="s">
        <v>2874</v>
      </c>
      <c r="BC889" s="152"/>
      <c r="BD889" s="367" t="s">
        <v>2455</v>
      </c>
      <c r="BE889" s="367"/>
      <c r="BF889" s="367"/>
      <c r="BG889" s="367"/>
      <c r="BH889" s="260"/>
      <c r="BL889" s="54"/>
    </row>
    <row r="890" spans="1:64" ht="37.950000000000003" customHeight="1" x14ac:dyDescent="0.3">
      <c r="A890" s="367">
        <f t="shared" si="17"/>
        <v>885</v>
      </c>
      <c r="B890" s="54" t="s">
        <v>2894</v>
      </c>
      <c r="C890" s="367" t="s">
        <v>6</v>
      </c>
      <c r="D890" s="367" t="s">
        <v>2895</v>
      </c>
      <c r="E890" s="367"/>
      <c r="F890" s="367"/>
      <c r="G890" s="367"/>
      <c r="H890" s="367"/>
      <c r="I890" s="367"/>
      <c r="J890" s="54" t="s">
        <v>2872</v>
      </c>
      <c r="K890" s="48" t="s">
        <v>521</v>
      </c>
      <c r="L890" s="150"/>
      <c r="M890" s="150"/>
      <c r="N890" s="150"/>
      <c r="O890" s="150"/>
      <c r="P890" s="367"/>
      <c r="Q890" s="367"/>
      <c r="R890" s="367"/>
      <c r="S890" s="367"/>
      <c r="T890" s="367"/>
      <c r="U890" s="367"/>
      <c r="V890" s="367"/>
      <c r="W890" s="367"/>
      <c r="X890" s="367"/>
      <c r="Y890" s="367"/>
      <c r="Z890" s="367"/>
      <c r="AA890" s="367"/>
      <c r="AB890" s="150"/>
      <c r="AC890" s="48" t="s">
        <v>2896</v>
      </c>
      <c r="AD890" s="150" t="s">
        <v>56</v>
      </c>
      <c r="AE890" s="340">
        <v>46129</v>
      </c>
      <c r="AF890" s="340">
        <v>46164</v>
      </c>
      <c r="AG890" s="286">
        <v>46203</v>
      </c>
      <c r="AH890" s="49">
        <v>46264</v>
      </c>
      <c r="AI890" s="266">
        <v>46204</v>
      </c>
      <c r="AJ890" s="150" t="s">
        <v>2334</v>
      </c>
      <c r="AK890" s="150" t="s">
        <v>200</v>
      </c>
      <c r="AL890" s="150"/>
      <c r="AM890" s="150" t="s">
        <v>209</v>
      </c>
      <c r="AN890" s="367"/>
      <c r="AO890" s="367"/>
      <c r="AP890" s="367"/>
      <c r="AQ890" s="367"/>
      <c r="AR890" s="367"/>
      <c r="AS890" s="367"/>
      <c r="AT890" s="154">
        <v>46203</v>
      </c>
      <c r="AU890" s="154">
        <v>46178</v>
      </c>
      <c r="AV890" s="154">
        <v>46178</v>
      </c>
      <c r="AW890" s="154">
        <v>46170</v>
      </c>
      <c r="AX890" s="154"/>
      <c r="AY890" s="154"/>
      <c r="AZ890" s="154"/>
      <c r="BA890" s="154"/>
      <c r="BB890" s="152" t="s">
        <v>2874</v>
      </c>
      <c r="BC890" s="152"/>
      <c r="BD890" s="367" t="s">
        <v>2455</v>
      </c>
      <c r="BE890" s="367"/>
      <c r="BF890" s="367"/>
      <c r="BG890" s="367"/>
      <c r="BH890" s="260"/>
      <c r="BL890" s="54"/>
    </row>
    <row r="891" spans="1:64" ht="37.950000000000003" customHeight="1" x14ac:dyDescent="0.3">
      <c r="A891" s="367">
        <f t="shared" si="17"/>
        <v>886</v>
      </c>
      <c r="B891" s="54" t="s">
        <v>2897</v>
      </c>
      <c r="C891" s="367" t="s">
        <v>6</v>
      </c>
      <c r="D891" s="367" t="s">
        <v>2895</v>
      </c>
      <c r="E891" s="367"/>
      <c r="F891" s="367"/>
      <c r="G891" s="367"/>
      <c r="H891" s="367"/>
      <c r="I891" s="367"/>
      <c r="J891" s="54" t="s">
        <v>2872</v>
      </c>
      <c r="K891" s="48" t="s">
        <v>521</v>
      </c>
      <c r="L891" s="150"/>
      <c r="M891" s="150"/>
      <c r="N891" s="150"/>
      <c r="O891" s="150"/>
      <c r="P891" s="367"/>
      <c r="Q891" s="367"/>
      <c r="R891" s="367"/>
      <c r="S891" s="367"/>
      <c r="T891" s="367"/>
      <c r="U891" s="367"/>
      <c r="V891" s="367"/>
      <c r="W891" s="367"/>
      <c r="X891" s="367"/>
      <c r="Y891" s="367"/>
      <c r="Z891" s="367"/>
      <c r="AA891" s="367"/>
      <c r="AB891" s="150"/>
      <c r="AC891" s="48" t="s">
        <v>2898</v>
      </c>
      <c r="AD891" s="150" t="s">
        <v>56</v>
      </c>
      <c r="AE891" s="340">
        <v>46129</v>
      </c>
      <c r="AF891" s="340">
        <v>46164</v>
      </c>
      <c r="AG891" s="286">
        <v>46203</v>
      </c>
      <c r="AH891" s="49">
        <v>46264</v>
      </c>
      <c r="AI891" s="266">
        <v>46204</v>
      </c>
      <c r="AJ891" s="150" t="s">
        <v>2334</v>
      </c>
      <c r="AK891" s="150" t="s">
        <v>200</v>
      </c>
      <c r="AL891" s="150"/>
      <c r="AM891" s="150" t="s">
        <v>2086</v>
      </c>
      <c r="AN891" s="367"/>
      <c r="AO891" s="367"/>
      <c r="AP891" s="367"/>
      <c r="AQ891" s="367"/>
      <c r="AR891" s="367"/>
      <c r="AS891" s="367"/>
      <c r="AT891" s="154">
        <v>46203</v>
      </c>
      <c r="AU891" s="154">
        <v>46178</v>
      </c>
      <c r="AV891" s="154">
        <v>46178</v>
      </c>
      <c r="AW891" s="154">
        <v>46170</v>
      </c>
      <c r="AX891" s="154"/>
      <c r="AY891" s="154"/>
      <c r="AZ891" s="154"/>
      <c r="BA891" s="154"/>
      <c r="BB891" s="152" t="s">
        <v>2874</v>
      </c>
      <c r="BC891" s="152"/>
      <c r="BD891" s="367" t="s">
        <v>2455</v>
      </c>
      <c r="BE891" s="367"/>
      <c r="BF891" s="367"/>
      <c r="BG891" s="367"/>
      <c r="BH891" s="260"/>
      <c r="BL891" s="54"/>
    </row>
    <row r="892" spans="1:64" ht="37.950000000000003" customHeight="1" x14ac:dyDescent="0.3">
      <c r="A892" s="367">
        <f t="shared" si="17"/>
        <v>887</v>
      </c>
      <c r="B892" s="54" t="s">
        <v>2899</v>
      </c>
      <c r="C892" s="367" t="s">
        <v>6</v>
      </c>
      <c r="D892" s="367" t="s">
        <v>2895</v>
      </c>
      <c r="E892" s="367"/>
      <c r="F892" s="367"/>
      <c r="G892" s="367"/>
      <c r="H892" s="367"/>
      <c r="I892" s="367"/>
      <c r="J892" s="54" t="s">
        <v>2872</v>
      </c>
      <c r="K892" s="48" t="s">
        <v>521</v>
      </c>
      <c r="L892" s="150"/>
      <c r="M892" s="150"/>
      <c r="N892" s="150"/>
      <c r="O892" s="150"/>
      <c r="P892" s="367"/>
      <c r="Q892" s="367"/>
      <c r="R892" s="367"/>
      <c r="S892" s="367"/>
      <c r="T892" s="367"/>
      <c r="U892" s="367"/>
      <c r="V892" s="367"/>
      <c r="W892" s="367"/>
      <c r="X892" s="367"/>
      <c r="Y892" s="367"/>
      <c r="Z892" s="367"/>
      <c r="AA892" s="367"/>
      <c r="AB892" s="150"/>
      <c r="AC892" s="48" t="s">
        <v>2900</v>
      </c>
      <c r="AD892" s="150" t="s">
        <v>56</v>
      </c>
      <c r="AE892" s="340">
        <v>46129</v>
      </c>
      <c r="AF892" s="340">
        <v>46164</v>
      </c>
      <c r="AG892" s="286">
        <v>46203</v>
      </c>
      <c r="AH892" s="49">
        <v>46264</v>
      </c>
      <c r="AI892" s="266">
        <v>46204</v>
      </c>
      <c r="AJ892" s="150" t="s">
        <v>2334</v>
      </c>
      <c r="AK892" s="150" t="s">
        <v>200</v>
      </c>
      <c r="AL892" s="150"/>
      <c r="AM892" s="150" t="s">
        <v>2086</v>
      </c>
      <c r="AN892" s="367"/>
      <c r="AO892" s="367"/>
      <c r="AP892" s="367"/>
      <c r="AQ892" s="367"/>
      <c r="AR892" s="367"/>
      <c r="AS892" s="367"/>
      <c r="AT892" s="154">
        <v>46223</v>
      </c>
      <c r="AU892" s="154">
        <v>46178</v>
      </c>
      <c r="AV892" s="154">
        <v>46178</v>
      </c>
      <c r="AW892" s="154">
        <v>46170</v>
      </c>
      <c r="AX892" s="154"/>
      <c r="AY892" s="154"/>
      <c r="AZ892" s="154"/>
      <c r="BA892" s="154"/>
      <c r="BB892" s="152" t="s">
        <v>2874</v>
      </c>
      <c r="BC892" s="152"/>
      <c r="BD892" s="367" t="s">
        <v>2455</v>
      </c>
      <c r="BE892" s="367"/>
      <c r="BF892" s="367"/>
      <c r="BG892" s="367"/>
      <c r="BH892" s="260"/>
      <c r="BL892" s="54"/>
    </row>
    <row r="893" spans="1:64" ht="37.950000000000003" customHeight="1" x14ac:dyDescent="0.3">
      <c r="A893" s="367">
        <f t="shared" si="17"/>
        <v>888</v>
      </c>
      <c r="B893" s="54" t="s">
        <v>2901</v>
      </c>
      <c r="C893" s="367" t="s">
        <v>6</v>
      </c>
      <c r="D893" s="367" t="s">
        <v>2895</v>
      </c>
      <c r="E893" s="367"/>
      <c r="F893" s="367"/>
      <c r="G893" s="367"/>
      <c r="H893" s="367"/>
      <c r="I893" s="367"/>
      <c r="J893" s="54" t="s">
        <v>2872</v>
      </c>
      <c r="K893" s="48" t="s">
        <v>521</v>
      </c>
      <c r="L893" s="150"/>
      <c r="M893" s="150"/>
      <c r="N893" s="150"/>
      <c r="O893" s="150"/>
      <c r="P893" s="367"/>
      <c r="Q893" s="367"/>
      <c r="R893" s="367"/>
      <c r="S893" s="367"/>
      <c r="T893" s="367"/>
      <c r="U893" s="367"/>
      <c r="V893" s="367"/>
      <c r="W893" s="367"/>
      <c r="X893" s="367"/>
      <c r="Y893" s="367"/>
      <c r="Z893" s="367"/>
      <c r="AA893" s="367"/>
      <c r="AB893" s="150"/>
      <c r="AC893" s="48" t="s">
        <v>2902</v>
      </c>
      <c r="AD893" s="150" t="s">
        <v>56</v>
      </c>
      <c r="AE893" s="340">
        <v>46129</v>
      </c>
      <c r="AF893" s="340">
        <v>46164</v>
      </c>
      <c r="AG893" s="286">
        <v>46203</v>
      </c>
      <c r="AH893" s="49">
        <v>46264</v>
      </c>
      <c r="AI893" s="266">
        <v>46235</v>
      </c>
      <c r="AJ893" s="150" t="s">
        <v>2334</v>
      </c>
      <c r="AK893" s="150" t="s">
        <v>200</v>
      </c>
      <c r="AL893" s="150"/>
      <c r="AM893" s="150" t="s">
        <v>2086</v>
      </c>
      <c r="AN893" s="367"/>
      <c r="AO893" s="367"/>
      <c r="AP893" s="367"/>
      <c r="AQ893" s="367"/>
      <c r="AR893" s="367"/>
      <c r="AS893" s="367"/>
      <c r="AT893" s="154">
        <v>46223</v>
      </c>
      <c r="AU893" s="154">
        <v>46178</v>
      </c>
      <c r="AV893" s="154">
        <v>46178</v>
      </c>
      <c r="AW893" s="154">
        <v>46170</v>
      </c>
      <c r="AX893" s="154"/>
      <c r="AY893" s="154"/>
      <c r="AZ893" s="154"/>
      <c r="BA893" s="154"/>
      <c r="BB893" s="152" t="s">
        <v>2874</v>
      </c>
      <c r="BC893" s="152"/>
      <c r="BD893" s="367" t="s">
        <v>2455</v>
      </c>
      <c r="BE893" s="367"/>
      <c r="BF893" s="367"/>
      <c r="BG893" s="367"/>
      <c r="BH893" s="260"/>
      <c r="BL893" s="54"/>
    </row>
    <row r="894" spans="1:64" ht="37.950000000000003" customHeight="1" x14ac:dyDescent="0.3">
      <c r="A894" s="367">
        <f t="shared" si="17"/>
        <v>889</v>
      </c>
      <c r="B894" s="54" t="s">
        <v>2903</v>
      </c>
      <c r="C894" s="367" t="s">
        <v>6</v>
      </c>
      <c r="D894" s="367" t="s">
        <v>2895</v>
      </c>
      <c r="E894" s="367"/>
      <c r="F894" s="367"/>
      <c r="G894" s="367"/>
      <c r="H894" s="367"/>
      <c r="I894" s="367"/>
      <c r="J894" s="54" t="s">
        <v>2872</v>
      </c>
      <c r="K894" s="48" t="s">
        <v>521</v>
      </c>
      <c r="L894" s="150"/>
      <c r="M894" s="150"/>
      <c r="N894" s="150"/>
      <c r="O894" s="150"/>
      <c r="P894" s="367"/>
      <c r="Q894" s="367"/>
      <c r="R894" s="367"/>
      <c r="S894" s="367"/>
      <c r="T894" s="367"/>
      <c r="U894" s="367"/>
      <c r="V894" s="367"/>
      <c r="W894" s="367"/>
      <c r="X894" s="367"/>
      <c r="Y894" s="367"/>
      <c r="Z894" s="367"/>
      <c r="AA894" s="367"/>
      <c r="AB894" s="150"/>
      <c r="AC894" s="48" t="s">
        <v>2904</v>
      </c>
      <c r="AD894" s="150" t="s">
        <v>56</v>
      </c>
      <c r="AE894" s="340">
        <v>46129</v>
      </c>
      <c r="AF894" s="340">
        <v>46164</v>
      </c>
      <c r="AG894" s="286">
        <v>46203</v>
      </c>
      <c r="AH894" s="49">
        <v>46264</v>
      </c>
      <c r="AI894" s="266">
        <v>46235</v>
      </c>
      <c r="AJ894" s="150" t="s">
        <v>2334</v>
      </c>
      <c r="AK894" s="150" t="s">
        <v>200</v>
      </c>
      <c r="AL894" s="150"/>
      <c r="AM894" s="150" t="s">
        <v>134</v>
      </c>
      <c r="AN894" s="367"/>
      <c r="AO894" s="367"/>
      <c r="AP894" s="367"/>
      <c r="AQ894" s="367"/>
      <c r="AR894" s="367"/>
      <c r="AS894" s="367"/>
      <c r="AT894" s="154">
        <v>46223</v>
      </c>
      <c r="AU894" s="154">
        <v>46178</v>
      </c>
      <c r="AV894" s="154">
        <v>46178</v>
      </c>
      <c r="AW894" s="154">
        <v>46170</v>
      </c>
      <c r="AX894" s="154"/>
      <c r="AY894" s="154"/>
      <c r="AZ894" s="154"/>
      <c r="BA894" s="154"/>
      <c r="BB894" s="152" t="s">
        <v>2874</v>
      </c>
      <c r="BC894" s="152"/>
      <c r="BD894" s="367" t="s">
        <v>2455</v>
      </c>
      <c r="BE894" s="367"/>
      <c r="BF894" s="367"/>
      <c r="BG894" s="367"/>
      <c r="BH894" s="260"/>
      <c r="BL894" s="54"/>
    </row>
    <row r="895" spans="1:64" ht="37.950000000000003" customHeight="1" x14ac:dyDescent="0.3">
      <c r="A895" s="367">
        <f t="shared" si="17"/>
        <v>890</v>
      </c>
      <c r="B895" s="54" t="s">
        <v>2905</v>
      </c>
      <c r="C895" s="367" t="s">
        <v>6</v>
      </c>
      <c r="D895" s="367" t="s">
        <v>2906</v>
      </c>
      <c r="E895" s="367"/>
      <c r="F895" s="367"/>
      <c r="G895" s="367"/>
      <c r="H895" s="367"/>
      <c r="I895" s="367"/>
      <c r="J895" s="54" t="s">
        <v>2872</v>
      </c>
      <c r="K895" s="48" t="s">
        <v>521</v>
      </c>
      <c r="L895" s="150"/>
      <c r="M895" s="150"/>
      <c r="N895" s="150"/>
      <c r="O895" s="150"/>
      <c r="P895" s="367"/>
      <c r="Q895" s="367"/>
      <c r="R895" s="367"/>
      <c r="S895" s="367"/>
      <c r="T895" s="367"/>
      <c r="U895" s="367"/>
      <c r="V895" s="367"/>
      <c r="W895" s="367"/>
      <c r="X895" s="367"/>
      <c r="Y895" s="367"/>
      <c r="Z895" s="367"/>
      <c r="AA895" s="367"/>
      <c r="AB895" s="150"/>
      <c r="AC895" s="48" t="s">
        <v>2907</v>
      </c>
      <c r="AD895" s="150" t="s">
        <v>56</v>
      </c>
      <c r="AE895" s="340">
        <v>46129</v>
      </c>
      <c r="AF895" s="340">
        <v>46164</v>
      </c>
      <c r="AG895" s="286">
        <v>46203</v>
      </c>
      <c r="AH895" s="49">
        <v>46264</v>
      </c>
      <c r="AI895" s="266">
        <v>46235</v>
      </c>
      <c r="AJ895" s="150" t="s">
        <v>2334</v>
      </c>
      <c r="AK895" s="150" t="s">
        <v>200</v>
      </c>
      <c r="AL895" s="150"/>
      <c r="AM895" s="150" t="s">
        <v>134</v>
      </c>
      <c r="AN895" s="367"/>
      <c r="AO895" s="367"/>
      <c r="AP895" s="367"/>
      <c r="AQ895" s="367"/>
      <c r="AR895" s="367"/>
      <c r="AS895" s="367"/>
      <c r="AT895" s="154">
        <v>46223</v>
      </c>
      <c r="AU895" s="154">
        <v>46178</v>
      </c>
      <c r="AV895" s="154">
        <v>46178</v>
      </c>
      <c r="AW895" s="154">
        <v>46170</v>
      </c>
      <c r="AX895" s="154"/>
      <c r="AY895" s="154"/>
      <c r="AZ895" s="154"/>
      <c r="BA895" s="154"/>
      <c r="BB895" s="152" t="s">
        <v>2874</v>
      </c>
      <c r="BC895" s="152"/>
      <c r="BD895" s="367" t="s">
        <v>2455</v>
      </c>
      <c r="BE895" s="367"/>
      <c r="BF895" s="367"/>
      <c r="BG895" s="367"/>
      <c r="BH895" s="260"/>
      <c r="BL895" s="54"/>
    </row>
    <row r="896" spans="1:64" ht="37.950000000000003" customHeight="1" x14ac:dyDescent="0.3">
      <c r="A896" s="367">
        <f t="shared" si="17"/>
        <v>891</v>
      </c>
      <c r="B896" s="54" t="s">
        <v>2908</v>
      </c>
      <c r="C896" s="367" t="s">
        <v>6</v>
      </c>
      <c r="D896" s="367" t="s">
        <v>2906</v>
      </c>
      <c r="E896" s="367"/>
      <c r="F896" s="367"/>
      <c r="G896" s="367"/>
      <c r="H896" s="367"/>
      <c r="I896" s="367"/>
      <c r="J896" s="54" t="s">
        <v>2872</v>
      </c>
      <c r="K896" s="48" t="s">
        <v>521</v>
      </c>
      <c r="L896" s="150"/>
      <c r="M896" s="150"/>
      <c r="N896" s="150"/>
      <c r="O896" s="150"/>
      <c r="P896" s="367"/>
      <c r="Q896" s="367"/>
      <c r="R896" s="367"/>
      <c r="S896" s="367"/>
      <c r="T896" s="367"/>
      <c r="U896" s="367"/>
      <c r="V896" s="367"/>
      <c r="W896" s="367"/>
      <c r="X896" s="367"/>
      <c r="Y896" s="367"/>
      <c r="Z896" s="367"/>
      <c r="AA896" s="367"/>
      <c r="AB896" s="150"/>
      <c r="AC896" s="48" t="s">
        <v>2909</v>
      </c>
      <c r="AD896" s="150" t="s">
        <v>56</v>
      </c>
      <c r="AE896" s="340">
        <v>46129</v>
      </c>
      <c r="AF896" s="340">
        <v>46164</v>
      </c>
      <c r="AG896" s="286">
        <v>46203</v>
      </c>
      <c r="AH896" s="49">
        <v>46264</v>
      </c>
      <c r="AI896" s="266">
        <v>46235</v>
      </c>
      <c r="AJ896" s="150" t="s">
        <v>2334</v>
      </c>
      <c r="AK896" s="150" t="s">
        <v>200</v>
      </c>
      <c r="AL896" s="150"/>
      <c r="AM896" s="150" t="s">
        <v>134</v>
      </c>
      <c r="AN896" s="367"/>
      <c r="AO896" s="367"/>
      <c r="AP896" s="367"/>
      <c r="AQ896" s="367"/>
      <c r="AR896" s="367"/>
      <c r="AS896" s="367"/>
      <c r="AT896" s="154">
        <v>46223</v>
      </c>
      <c r="AU896" s="154">
        <v>46178</v>
      </c>
      <c r="AV896" s="154">
        <v>46178</v>
      </c>
      <c r="AW896" s="154">
        <v>46170</v>
      </c>
      <c r="AX896" s="154"/>
      <c r="AY896" s="154"/>
      <c r="AZ896" s="154"/>
      <c r="BA896" s="154"/>
      <c r="BB896" s="152" t="s">
        <v>2874</v>
      </c>
      <c r="BC896" s="152"/>
      <c r="BD896" s="367" t="s">
        <v>2455</v>
      </c>
      <c r="BE896" s="367"/>
      <c r="BF896" s="367"/>
      <c r="BG896" s="367"/>
      <c r="BH896" s="260"/>
      <c r="BL896" s="54"/>
    </row>
    <row r="897" spans="1:64" ht="37.950000000000003" customHeight="1" x14ac:dyDescent="0.3">
      <c r="A897" s="367">
        <f t="shared" si="17"/>
        <v>892</v>
      </c>
      <c r="B897" s="54" t="s">
        <v>2910</v>
      </c>
      <c r="C897" s="367" t="s">
        <v>6</v>
      </c>
      <c r="D897" s="367" t="s">
        <v>2906</v>
      </c>
      <c r="E897" s="367"/>
      <c r="F897" s="367"/>
      <c r="G897" s="367"/>
      <c r="H897" s="367"/>
      <c r="I897" s="367"/>
      <c r="J897" s="54" t="s">
        <v>2872</v>
      </c>
      <c r="K897" s="48" t="s">
        <v>521</v>
      </c>
      <c r="L897" s="150"/>
      <c r="M897" s="150"/>
      <c r="N897" s="150"/>
      <c r="O897" s="150"/>
      <c r="P897" s="367"/>
      <c r="Q897" s="367"/>
      <c r="R897" s="367"/>
      <c r="S897" s="367"/>
      <c r="T897" s="367"/>
      <c r="U897" s="367"/>
      <c r="V897" s="367"/>
      <c r="W897" s="367"/>
      <c r="X897" s="367"/>
      <c r="Y897" s="367"/>
      <c r="Z897" s="367"/>
      <c r="AA897" s="367"/>
      <c r="AB897" s="150"/>
      <c r="AC897" s="48" t="s">
        <v>2911</v>
      </c>
      <c r="AD897" s="150" t="s">
        <v>56</v>
      </c>
      <c r="AE897" s="340">
        <v>46129</v>
      </c>
      <c r="AF897" s="340">
        <v>46164</v>
      </c>
      <c r="AG897" s="286">
        <v>46203</v>
      </c>
      <c r="AH897" s="49">
        <v>46264</v>
      </c>
      <c r="AI897" s="266">
        <v>46235</v>
      </c>
      <c r="AJ897" s="150" t="s">
        <v>2334</v>
      </c>
      <c r="AK897" s="150" t="s">
        <v>200</v>
      </c>
      <c r="AL897" s="150"/>
      <c r="AM897" s="150" t="s">
        <v>134</v>
      </c>
      <c r="AN897" s="367"/>
      <c r="AO897" s="367"/>
      <c r="AP897" s="367"/>
      <c r="AQ897" s="367"/>
      <c r="AR897" s="367"/>
      <c r="AS897" s="367"/>
      <c r="AT897" s="154">
        <v>46223</v>
      </c>
      <c r="AU897" s="154">
        <v>46178</v>
      </c>
      <c r="AV897" s="154">
        <v>46178</v>
      </c>
      <c r="AW897" s="154">
        <v>46170</v>
      </c>
      <c r="AX897" s="154"/>
      <c r="AY897" s="154"/>
      <c r="AZ897" s="154"/>
      <c r="BA897" s="154"/>
      <c r="BB897" s="152" t="s">
        <v>2874</v>
      </c>
      <c r="BC897" s="152"/>
      <c r="BD897" s="367" t="s">
        <v>2455</v>
      </c>
      <c r="BE897" s="367"/>
      <c r="BF897" s="367"/>
      <c r="BG897" s="367"/>
      <c r="BH897" s="260"/>
      <c r="BL897" s="54"/>
    </row>
    <row r="898" spans="1:64" ht="37.950000000000003" customHeight="1" x14ac:dyDescent="0.3">
      <c r="A898" s="367">
        <f t="shared" si="17"/>
        <v>893</v>
      </c>
      <c r="B898" s="54" t="s">
        <v>2912</v>
      </c>
      <c r="C898" s="367" t="s">
        <v>6</v>
      </c>
      <c r="D898" s="367" t="s">
        <v>2906</v>
      </c>
      <c r="E898" s="367"/>
      <c r="F898" s="367"/>
      <c r="G898" s="367"/>
      <c r="H898" s="367"/>
      <c r="I898" s="367"/>
      <c r="J898" s="54" t="s">
        <v>2872</v>
      </c>
      <c r="K898" s="48" t="s">
        <v>521</v>
      </c>
      <c r="L898" s="150"/>
      <c r="M898" s="150"/>
      <c r="N898" s="150"/>
      <c r="O898" s="150"/>
      <c r="P898" s="367"/>
      <c r="Q898" s="367"/>
      <c r="R898" s="367"/>
      <c r="S898" s="367"/>
      <c r="T898" s="367"/>
      <c r="U898" s="367"/>
      <c r="V898" s="367"/>
      <c r="W898" s="367"/>
      <c r="X898" s="367"/>
      <c r="Y898" s="367"/>
      <c r="Z898" s="367"/>
      <c r="AA898" s="367"/>
      <c r="AB898" s="150"/>
      <c r="AC898" s="48" t="s">
        <v>2913</v>
      </c>
      <c r="AD898" s="150" t="s">
        <v>56</v>
      </c>
      <c r="AE898" s="340">
        <v>46129</v>
      </c>
      <c r="AF898" s="340">
        <v>46164</v>
      </c>
      <c r="AG898" s="286">
        <v>46203</v>
      </c>
      <c r="AH898" s="49">
        <v>46295</v>
      </c>
      <c r="AI898" s="266">
        <v>46266</v>
      </c>
      <c r="AJ898" s="150" t="s">
        <v>2334</v>
      </c>
      <c r="AK898" s="150" t="s">
        <v>200</v>
      </c>
      <c r="AL898" s="150"/>
      <c r="AM898" s="150" t="s">
        <v>134</v>
      </c>
      <c r="AN898" s="367"/>
      <c r="AO898" s="367"/>
      <c r="AP898" s="367"/>
      <c r="AQ898" s="367"/>
      <c r="AR898" s="367"/>
      <c r="AS898" s="367"/>
      <c r="AT898" s="154">
        <v>46223</v>
      </c>
      <c r="AU898" s="154">
        <v>46178</v>
      </c>
      <c r="AV898" s="154">
        <v>46178</v>
      </c>
      <c r="AW898" s="154">
        <v>46170</v>
      </c>
      <c r="AX898" s="154"/>
      <c r="AY898" s="154"/>
      <c r="AZ898" s="154"/>
      <c r="BA898" s="154"/>
      <c r="BB898" s="152" t="s">
        <v>2874</v>
      </c>
      <c r="BC898" s="152"/>
      <c r="BD898" s="367" t="s">
        <v>2455</v>
      </c>
      <c r="BE898" s="367"/>
      <c r="BF898" s="367"/>
      <c r="BG898" s="367"/>
      <c r="BH898" s="260"/>
      <c r="BL898" s="54"/>
    </row>
    <row r="899" spans="1:64" ht="37.950000000000003" customHeight="1" x14ac:dyDescent="0.3">
      <c r="A899" s="367">
        <f t="shared" si="17"/>
        <v>894</v>
      </c>
      <c r="B899" s="54" t="s">
        <v>2914</v>
      </c>
      <c r="C899" s="367" t="s">
        <v>6</v>
      </c>
      <c r="D899" s="367" t="s">
        <v>2906</v>
      </c>
      <c r="E899" s="367"/>
      <c r="F899" s="367"/>
      <c r="G899" s="367"/>
      <c r="H899" s="367"/>
      <c r="I899" s="367"/>
      <c r="J899" s="54" t="s">
        <v>2872</v>
      </c>
      <c r="K899" s="48" t="s">
        <v>521</v>
      </c>
      <c r="L899" s="150"/>
      <c r="M899" s="150"/>
      <c r="N899" s="150"/>
      <c r="O899" s="150"/>
      <c r="P899" s="367"/>
      <c r="Q899" s="367"/>
      <c r="R899" s="367"/>
      <c r="S899" s="367"/>
      <c r="T899" s="367"/>
      <c r="U899" s="367"/>
      <c r="V899" s="367"/>
      <c r="W899" s="367"/>
      <c r="X899" s="367"/>
      <c r="Y899" s="367"/>
      <c r="Z899" s="367"/>
      <c r="AA899" s="367"/>
      <c r="AB899" s="150"/>
      <c r="AC899" s="48" t="s">
        <v>2915</v>
      </c>
      <c r="AD899" s="150" t="s">
        <v>56</v>
      </c>
      <c r="AE899" s="340">
        <v>46129</v>
      </c>
      <c r="AF899" s="340">
        <v>46164</v>
      </c>
      <c r="AG899" s="286">
        <v>46203</v>
      </c>
      <c r="AH899" s="49">
        <v>46295</v>
      </c>
      <c r="AI899" s="266">
        <v>46266</v>
      </c>
      <c r="AJ899" s="150" t="s">
        <v>2334</v>
      </c>
      <c r="AK899" s="150" t="s">
        <v>200</v>
      </c>
      <c r="AL899" s="150"/>
      <c r="AM899" s="150" t="s">
        <v>2079</v>
      </c>
      <c r="AN899" s="367"/>
      <c r="AO899" s="367"/>
      <c r="AP899" s="367"/>
      <c r="AQ899" s="367"/>
      <c r="AR899" s="367"/>
      <c r="AS899" s="367"/>
      <c r="AT899" s="154">
        <v>46223</v>
      </c>
      <c r="AU899" s="154">
        <v>46178</v>
      </c>
      <c r="AV899" s="154">
        <v>46178</v>
      </c>
      <c r="AW899" s="154">
        <v>46170</v>
      </c>
      <c r="AX899" s="154"/>
      <c r="AY899" s="154"/>
      <c r="AZ899" s="154"/>
      <c r="BA899" s="154"/>
      <c r="BB899" s="152" t="s">
        <v>2874</v>
      </c>
      <c r="BC899" s="152"/>
      <c r="BD899" s="367" t="s">
        <v>2455</v>
      </c>
      <c r="BE899" s="367"/>
      <c r="BF899" s="367"/>
      <c r="BG899" s="367"/>
      <c r="BH899" s="260"/>
      <c r="BL899" s="54"/>
    </row>
    <row r="900" spans="1:64" ht="37.950000000000003" customHeight="1" x14ac:dyDescent="0.3">
      <c r="A900" s="367">
        <f t="shared" si="17"/>
        <v>895</v>
      </c>
      <c r="B900" s="54" t="s">
        <v>2916</v>
      </c>
      <c r="C900" s="367" t="s">
        <v>6</v>
      </c>
      <c r="D900" s="367" t="s">
        <v>2917</v>
      </c>
      <c r="E900" s="367"/>
      <c r="F900" s="367"/>
      <c r="G900" s="367"/>
      <c r="H900" s="367"/>
      <c r="I900" s="367"/>
      <c r="J900" s="54" t="s">
        <v>2872</v>
      </c>
      <c r="K900" s="48" t="s">
        <v>521</v>
      </c>
      <c r="L900" s="150"/>
      <c r="M900" s="150"/>
      <c r="N900" s="150"/>
      <c r="O900" s="150"/>
      <c r="P900" s="367"/>
      <c r="Q900" s="367"/>
      <c r="R900" s="367"/>
      <c r="S900" s="367"/>
      <c r="T900" s="367"/>
      <c r="U900" s="367"/>
      <c r="V900" s="367"/>
      <c r="W900" s="367"/>
      <c r="X900" s="367"/>
      <c r="Y900" s="367"/>
      <c r="Z900" s="367"/>
      <c r="AA900" s="367"/>
      <c r="AB900" s="150"/>
      <c r="AC900" s="48" t="s">
        <v>2918</v>
      </c>
      <c r="AD900" s="150" t="s">
        <v>56</v>
      </c>
      <c r="AE900" s="340">
        <v>46129</v>
      </c>
      <c r="AF900" s="340">
        <v>46164</v>
      </c>
      <c r="AG900" s="286">
        <v>46203</v>
      </c>
      <c r="AH900" s="49">
        <v>46295</v>
      </c>
      <c r="AI900" s="266">
        <v>46266</v>
      </c>
      <c r="AJ900" s="150" t="s">
        <v>2334</v>
      </c>
      <c r="AK900" s="150" t="s">
        <v>200</v>
      </c>
      <c r="AL900" s="150"/>
      <c r="AM900" s="150" t="s">
        <v>2079</v>
      </c>
      <c r="AN900" s="367"/>
      <c r="AO900" s="367"/>
      <c r="AP900" s="367"/>
      <c r="AQ900" s="367"/>
      <c r="AR900" s="367"/>
      <c r="AS900" s="367"/>
      <c r="AT900" s="154">
        <v>46223</v>
      </c>
      <c r="AU900" s="154">
        <v>46178</v>
      </c>
      <c r="AV900" s="154">
        <v>46178</v>
      </c>
      <c r="AW900" s="154">
        <v>46170</v>
      </c>
      <c r="AX900" s="154"/>
      <c r="AY900" s="154"/>
      <c r="AZ900" s="154"/>
      <c r="BA900" s="154"/>
      <c r="BB900" s="152" t="s">
        <v>2874</v>
      </c>
      <c r="BC900" s="152"/>
      <c r="BD900" s="367" t="s">
        <v>2455</v>
      </c>
      <c r="BE900" s="367"/>
      <c r="BF900" s="367"/>
      <c r="BG900" s="367"/>
      <c r="BH900" s="260"/>
      <c r="BL900" s="54"/>
    </row>
    <row r="901" spans="1:64" ht="37.950000000000003" customHeight="1" x14ac:dyDescent="0.3">
      <c r="A901" s="367">
        <f t="shared" si="17"/>
        <v>896</v>
      </c>
      <c r="B901" s="54" t="s">
        <v>2919</v>
      </c>
      <c r="C901" s="367" t="s">
        <v>6</v>
      </c>
      <c r="D901" s="367" t="s">
        <v>2917</v>
      </c>
      <c r="E901" s="367"/>
      <c r="F901" s="367"/>
      <c r="G901" s="367"/>
      <c r="H901" s="367"/>
      <c r="I901" s="367"/>
      <c r="J901" s="54" t="s">
        <v>2872</v>
      </c>
      <c r="K901" s="48" t="s">
        <v>521</v>
      </c>
      <c r="L901" s="150"/>
      <c r="M901" s="150"/>
      <c r="N901" s="150"/>
      <c r="O901" s="150"/>
      <c r="P901" s="367"/>
      <c r="Q901" s="367"/>
      <c r="R901" s="367"/>
      <c r="S901" s="367"/>
      <c r="T901" s="367"/>
      <c r="U901" s="367"/>
      <c r="V901" s="367"/>
      <c r="W901" s="367"/>
      <c r="X901" s="367"/>
      <c r="Y901" s="367"/>
      <c r="Z901" s="367"/>
      <c r="AA901" s="367"/>
      <c r="AB901" s="150"/>
      <c r="AC901" s="48" t="s">
        <v>2920</v>
      </c>
      <c r="AD901" s="150" t="s">
        <v>56</v>
      </c>
      <c r="AE901" s="340">
        <v>46129</v>
      </c>
      <c r="AF901" s="340">
        <v>46164</v>
      </c>
      <c r="AG901" s="286">
        <v>46203</v>
      </c>
      <c r="AH901" s="49">
        <v>46295</v>
      </c>
      <c r="AI901" s="266">
        <v>46266</v>
      </c>
      <c r="AJ901" s="150" t="s">
        <v>2334</v>
      </c>
      <c r="AK901" s="150" t="s">
        <v>200</v>
      </c>
      <c r="AL901" s="150"/>
      <c r="AM901" s="150" t="s">
        <v>2079</v>
      </c>
      <c r="AN901" s="367"/>
      <c r="AO901" s="367"/>
      <c r="AP901" s="367"/>
      <c r="AQ901" s="367"/>
      <c r="AR901" s="367"/>
      <c r="AS901" s="367"/>
      <c r="AT901" s="154">
        <v>46223</v>
      </c>
      <c r="AU901" s="154">
        <v>46178</v>
      </c>
      <c r="AV901" s="154">
        <v>46178</v>
      </c>
      <c r="AW901" s="154">
        <v>46170</v>
      </c>
      <c r="AX901" s="154"/>
      <c r="AY901" s="154"/>
      <c r="AZ901" s="154"/>
      <c r="BA901" s="154"/>
      <c r="BB901" s="152" t="s">
        <v>2874</v>
      </c>
      <c r="BC901" s="152"/>
      <c r="BD901" s="367" t="s">
        <v>2455</v>
      </c>
      <c r="BE901" s="367"/>
      <c r="BF901" s="367"/>
      <c r="BG901" s="367"/>
      <c r="BH901" s="260"/>
      <c r="BL901" s="54"/>
    </row>
    <row r="902" spans="1:64" ht="37.950000000000003" customHeight="1" x14ac:dyDescent="0.3">
      <c r="A902" s="367">
        <f t="shared" si="17"/>
        <v>897</v>
      </c>
      <c r="B902" s="54" t="s">
        <v>2921</v>
      </c>
      <c r="C902" s="367" t="s">
        <v>6</v>
      </c>
      <c r="D902" s="367" t="s">
        <v>2917</v>
      </c>
      <c r="E902" s="367"/>
      <c r="F902" s="367"/>
      <c r="G902" s="367"/>
      <c r="H902" s="367"/>
      <c r="I902" s="367"/>
      <c r="J902" s="54" t="s">
        <v>2872</v>
      </c>
      <c r="K902" s="48" t="s">
        <v>521</v>
      </c>
      <c r="L902" s="150"/>
      <c r="M902" s="150"/>
      <c r="N902" s="150"/>
      <c r="O902" s="150"/>
      <c r="P902" s="367"/>
      <c r="Q902" s="367"/>
      <c r="R902" s="367"/>
      <c r="S902" s="367"/>
      <c r="T902" s="367"/>
      <c r="U902" s="367"/>
      <c r="V902" s="367"/>
      <c r="W902" s="367"/>
      <c r="X902" s="367"/>
      <c r="Y902" s="367"/>
      <c r="Z902" s="367"/>
      <c r="AA902" s="367"/>
      <c r="AB902" s="150"/>
      <c r="AC902" s="48" t="s">
        <v>2922</v>
      </c>
      <c r="AD902" s="150" t="s">
        <v>56</v>
      </c>
      <c r="AE902" s="340">
        <v>46129</v>
      </c>
      <c r="AF902" s="340">
        <v>46164</v>
      </c>
      <c r="AG902" s="286">
        <v>46203</v>
      </c>
      <c r="AH902" s="49">
        <v>46295</v>
      </c>
      <c r="AI902" s="266">
        <v>46266</v>
      </c>
      <c r="AJ902" s="150" t="s">
        <v>2334</v>
      </c>
      <c r="AK902" s="150" t="s">
        <v>200</v>
      </c>
      <c r="AL902" s="150"/>
      <c r="AM902" s="150" t="s">
        <v>209</v>
      </c>
      <c r="AN902" s="367"/>
      <c r="AO902" s="367"/>
      <c r="AP902" s="367"/>
      <c r="AQ902" s="367"/>
      <c r="AR902" s="367"/>
      <c r="AS902" s="367"/>
      <c r="AT902" s="154">
        <v>46223</v>
      </c>
      <c r="AU902" s="154">
        <v>46178</v>
      </c>
      <c r="AV902" s="154">
        <v>46178</v>
      </c>
      <c r="AW902" s="154">
        <v>46170</v>
      </c>
      <c r="AX902" s="154"/>
      <c r="AY902" s="154"/>
      <c r="AZ902" s="154"/>
      <c r="BA902" s="154"/>
      <c r="BB902" s="152" t="s">
        <v>2874</v>
      </c>
      <c r="BC902" s="152"/>
      <c r="BD902" s="367" t="s">
        <v>2455</v>
      </c>
      <c r="BE902" s="367"/>
      <c r="BF902" s="367"/>
      <c r="BG902" s="367"/>
      <c r="BH902" s="260"/>
      <c r="BL902" s="54"/>
    </row>
    <row r="903" spans="1:64" ht="37.950000000000003" customHeight="1" x14ac:dyDescent="0.3">
      <c r="A903" s="367">
        <f t="shared" si="17"/>
        <v>898</v>
      </c>
      <c r="B903" s="54" t="s">
        <v>2923</v>
      </c>
      <c r="C903" s="367" t="s">
        <v>6</v>
      </c>
      <c r="D903" s="367" t="s">
        <v>262</v>
      </c>
      <c r="E903" s="367"/>
      <c r="F903" s="367"/>
      <c r="G903" s="367"/>
      <c r="H903" s="367"/>
      <c r="I903" s="367"/>
      <c r="J903" s="54" t="s">
        <v>2872</v>
      </c>
      <c r="K903" s="48" t="s">
        <v>521</v>
      </c>
      <c r="L903" s="150"/>
      <c r="M903" s="150"/>
      <c r="N903" s="150"/>
      <c r="O903" s="150"/>
      <c r="P903" s="367"/>
      <c r="Q903" s="367"/>
      <c r="R903" s="367"/>
      <c r="S903" s="367"/>
      <c r="T903" s="367"/>
      <c r="U903" s="367"/>
      <c r="V903" s="367"/>
      <c r="W903" s="367"/>
      <c r="X903" s="367"/>
      <c r="Y903" s="367"/>
      <c r="Z903" s="367"/>
      <c r="AA903" s="367"/>
      <c r="AB903" s="150"/>
      <c r="AC903" s="48" t="s">
        <v>2924</v>
      </c>
      <c r="AD903" s="150" t="s">
        <v>56</v>
      </c>
      <c r="AE903" s="340"/>
      <c r="AF903" s="340"/>
      <c r="AG903" s="286">
        <v>46203</v>
      </c>
      <c r="AH903" s="49">
        <v>46295</v>
      </c>
      <c r="AI903" s="266">
        <v>46266</v>
      </c>
      <c r="AJ903" s="150" t="s">
        <v>617</v>
      </c>
      <c r="AK903" s="150" t="s">
        <v>200</v>
      </c>
      <c r="AL903" s="150"/>
      <c r="AM903" s="150" t="s">
        <v>134</v>
      </c>
      <c r="AN903" s="367"/>
      <c r="AO903" s="367"/>
      <c r="AP903" s="367"/>
      <c r="AQ903" s="367"/>
      <c r="AR903" s="367"/>
      <c r="AS903" s="367"/>
      <c r="AT903" s="154"/>
      <c r="AU903" s="154"/>
      <c r="AV903" s="154"/>
      <c r="AW903" s="154"/>
      <c r="AX903" s="154"/>
      <c r="AY903" s="154"/>
      <c r="AZ903" s="154"/>
      <c r="BA903" s="154"/>
      <c r="BB903" s="152" t="s">
        <v>2874</v>
      </c>
      <c r="BC903" s="152"/>
      <c r="BD903" s="367" t="s">
        <v>2455</v>
      </c>
      <c r="BE903" s="367"/>
      <c r="BF903" s="367"/>
      <c r="BG903" s="367"/>
      <c r="BH903" s="260"/>
      <c r="BL903" s="54"/>
    </row>
    <row r="904" spans="1:64" ht="37.950000000000003" customHeight="1" x14ac:dyDescent="0.3">
      <c r="A904" s="367">
        <f t="shared" si="17"/>
        <v>899</v>
      </c>
      <c r="B904" s="54" t="s">
        <v>2925</v>
      </c>
      <c r="C904" s="367" t="s">
        <v>6</v>
      </c>
      <c r="D904" s="367" t="s">
        <v>262</v>
      </c>
      <c r="E904" s="367"/>
      <c r="F904" s="367"/>
      <c r="G904" s="367"/>
      <c r="H904" s="367"/>
      <c r="I904" s="367"/>
      <c r="J904" s="54" t="s">
        <v>2872</v>
      </c>
      <c r="K904" s="48" t="s">
        <v>521</v>
      </c>
      <c r="L904" s="150"/>
      <c r="M904" s="150"/>
      <c r="N904" s="150"/>
      <c r="O904" s="150"/>
      <c r="P904" s="367"/>
      <c r="Q904" s="367"/>
      <c r="R904" s="367"/>
      <c r="S904" s="367"/>
      <c r="T904" s="367"/>
      <c r="U904" s="367"/>
      <c r="V904" s="367"/>
      <c r="W904" s="367"/>
      <c r="X904" s="367"/>
      <c r="Y904" s="367"/>
      <c r="Z904" s="367"/>
      <c r="AA904" s="367"/>
      <c r="AB904" s="150"/>
      <c r="AC904" s="48" t="s">
        <v>2926</v>
      </c>
      <c r="AD904" s="150" t="s">
        <v>56</v>
      </c>
      <c r="AE904" s="340"/>
      <c r="AF904" s="340"/>
      <c r="AG904" s="286">
        <v>46233</v>
      </c>
      <c r="AH904" s="49">
        <v>46295</v>
      </c>
      <c r="AI904" s="266">
        <v>46266</v>
      </c>
      <c r="AJ904" s="150" t="s">
        <v>617</v>
      </c>
      <c r="AK904" s="150" t="s">
        <v>200</v>
      </c>
      <c r="AL904" s="150"/>
      <c r="AM904" s="150" t="s">
        <v>134</v>
      </c>
      <c r="AN904" s="367"/>
      <c r="AO904" s="367"/>
      <c r="AP904" s="367"/>
      <c r="AQ904" s="367"/>
      <c r="AR904" s="367"/>
      <c r="AS904" s="367"/>
      <c r="AT904" s="154"/>
      <c r="AU904" s="154"/>
      <c r="AV904" s="154"/>
      <c r="AW904" s="154"/>
      <c r="AX904" s="154"/>
      <c r="AY904" s="154"/>
      <c r="AZ904" s="154"/>
      <c r="BA904" s="154"/>
      <c r="BB904" s="152" t="s">
        <v>2874</v>
      </c>
      <c r="BC904" s="152"/>
      <c r="BD904" s="367" t="s">
        <v>2455</v>
      </c>
      <c r="BE904" s="367"/>
      <c r="BF904" s="367"/>
      <c r="BG904" s="367"/>
      <c r="BH904" s="260"/>
      <c r="BL904" s="54"/>
    </row>
    <row r="905" spans="1:64" ht="37.950000000000003" customHeight="1" x14ac:dyDescent="0.3">
      <c r="A905" s="367">
        <f t="shared" si="17"/>
        <v>900</v>
      </c>
      <c r="B905" s="54" t="s">
        <v>2927</v>
      </c>
      <c r="C905" s="367" t="s">
        <v>6</v>
      </c>
      <c r="D905" s="367" t="s">
        <v>262</v>
      </c>
      <c r="E905" s="367"/>
      <c r="F905" s="367"/>
      <c r="G905" s="367"/>
      <c r="H905" s="367"/>
      <c r="I905" s="367"/>
      <c r="J905" s="54" t="s">
        <v>2872</v>
      </c>
      <c r="K905" s="48" t="s">
        <v>521</v>
      </c>
      <c r="L905" s="150"/>
      <c r="M905" s="150"/>
      <c r="N905" s="150"/>
      <c r="O905" s="150"/>
      <c r="P905" s="367"/>
      <c r="Q905" s="367"/>
      <c r="R905" s="367"/>
      <c r="S905" s="367"/>
      <c r="T905" s="367"/>
      <c r="U905" s="367"/>
      <c r="V905" s="367"/>
      <c r="W905" s="367"/>
      <c r="X905" s="367"/>
      <c r="Y905" s="367"/>
      <c r="Z905" s="367"/>
      <c r="AA905" s="367"/>
      <c r="AB905" s="150"/>
      <c r="AC905" s="48" t="s">
        <v>2928</v>
      </c>
      <c r="AD905" s="150" t="s">
        <v>56</v>
      </c>
      <c r="AE905" s="340"/>
      <c r="AF905" s="340"/>
      <c r="AG905" s="286">
        <v>46233</v>
      </c>
      <c r="AH905" s="49">
        <v>46295</v>
      </c>
      <c r="AI905" s="266">
        <v>46266</v>
      </c>
      <c r="AJ905" s="150" t="s">
        <v>617</v>
      </c>
      <c r="AK905" s="150" t="s">
        <v>200</v>
      </c>
      <c r="AL905" s="150"/>
      <c r="AM905" s="150" t="s">
        <v>134</v>
      </c>
      <c r="AN905" s="367"/>
      <c r="AO905" s="367"/>
      <c r="AP905" s="367"/>
      <c r="AQ905" s="367"/>
      <c r="AR905" s="367"/>
      <c r="AS905" s="367"/>
      <c r="AT905" s="154"/>
      <c r="AU905" s="154"/>
      <c r="AV905" s="154"/>
      <c r="AW905" s="154"/>
      <c r="AX905" s="154"/>
      <c r="AY905" s="154"/>
      <c r="AZ905" s="154"/>
      <c r="BA905" s="154"/>
      <c r="BB905" s="152" t="s">
        <v>2874</v>
      </c>
      <c r="BC905" s="152"/>
      <c r="BD905" s="367" t="s">
        <v>2455</v>
      </c>
      <c r="BE905" s="367"/>
      <c r="BF905" s="367"/>
      <c r="BG905" s="367"/>
      <c r="BH905" s="260"/>
      <c r="BL905" s="54"/>
    </row>
    <row r="906" spans="1:64" ht="37.950000000000003" customHeight="1" x14ac:dyDescent="0.3">
      <c r="A906" s="367">
        <f t="shared" si="17"/>
        <v>901</v>
      </c>
      <c r="B906" s="54" t="s">
        <v>2929</v>
      </c>
      <c r="C906" s="367" t="s">
        <v>6</v>
      </c>
      <c r="D906" s="367" t="s">
        <v>262</v>
      </c>
      <c r="E906" s="367"/>
      <c r="F906" s="367"/>
      <c r="G906" s="367"/>
      <c r="H906" s="367"/>
      <c r="I906" s="367"/>
      <c r="J906" s="54" t="s">
        <v>2872</v>
      </c>
      <c r="K906" s="48" t="s">
        <v>521</v>
      </c>
      <c r="L906" s="150"/>
      <c r="M906" s="150"/>
      <c r="N906" s="150"/>
      <c r="O906" s="150"/>
      <c r="P906" s="367"/>
      <c r="Q906" s="367"/>
      <c r="R906" s="367"/>
      <c r="S906" s="367"/>
      <c r="T906" s="367"/>
      <c r="U906" s="367"/>
      <c r="V906" s="367"/>
      <c r="W906" s="367"/>
      <c r="X906" s="367"/>
      <c r="Y906" s="367"/>
      <c r="Z906" s="367"/>
      <c r="AA906" s="367"/>
      <c r="AB906" s="150"/>
      <c r="AC906" s="48" t="s">
        <v>2930</v>
      </c>
      <c r="AD906" s="150" t="s">
        <v>56</v>
      </c>
      <c r="AE906" s="340"/>
      <c r="AF906" s="340"/>
      <c r="AG906" s="286">
        <v>46233</v>
      </c>
      <c r="AH906" s="49">
        <v>46295</v>
      </c>
      <c r="AI906" s="266">
        <v>46266</v>
      </c>
      <c r="AJ906" s="150" t="s">
        <v>617</v>
      </c>
      <c r="AK906" s="150" t="s">
        <v>200</v>
      </c>
      <c r="AL906" s="150"/>
      <c r="AM906" s="150" t="s">
        <v>134</v>
      </c>
      <c r="AN906" s="367"/>
      <c r="AO906" s="367"/>
      <c r="AP906" s="367"/>
      <c r="AQ906" s="367"/>
      <c r="AR906" s="367"/>
      <c r="AS906" s="367"/>
      <c r="AT906" s="154"/>
      <c r="AU906" s="154"/>
      <c r="AV906" s="154"/>
      <c r="AW906" s="154"/>
      <c r="AX906" s="154"/>
      <c r="AY906" s="154"/>
      <c r="AZ906" s="154"/>
      <c r="BA906" s="154"/>
      <c r="BB906" s="152" t="s">
        <v>2874</v>
      </c>
      <c r="BC906" s="152"/>
      <c r="BD906" s="367" t="s">
        <v>2455</v>
      </c>
      <c r="BE906" s="367"/>
      <c r="BF906" s="367"/>
      <c r="BG906" s="367"/>
      <c r="BH906" s="260"/>
      <c r="BL906" s="54"/>
    </row>
    <row r="907" spans="1:64" ht="37.950000000000003" customHeight="1" x14ac:dyDescent="0.3">
      <c r="A907" s="367">
        <f t="shared" si="17"/>
        <v>902</v>
      </c>
      <c r="B907" s="54" t="s">
        <v>2931</v>
      </c>
      <c r="C907" s="367" t="s">
        <v>6</v>
      </c>
      <c r="D907" s="367" t="s">
        <v>262</v>
      </c>
      <c r="E907" s="367"/>
      <c r="F907" s="367"/>
      <c r="G907" s="367"/>
      <c r="H907" s="367"/>
      <c r="I907" s="367"/>
      <c r="J907" s="54" t="s">
        <v>2872</v>
      </c>
      <c r="K907" s="48" t="s">
        <v>521</v>
      </c>
      <c r="L907" s="150"/>
      <c r="M907" s="150"/>
      <c r="N907" s="150"/>
      <c r="O907" s="150"/>
      <c r="P907" s="367"/>
      <c r="Q907" s="367"/>
      <c r="R907" s="367"/>
      <c r="S907" s="367"/>
      <c r="T907" s="367"/>
      <c r="U907" s="367"/>
      <c r="V907" s="367"/>
      <c r="W907" s="367"/>
      <c r="X907" s="367"/>
      <c r="Y907" s="367"/>
      <c r="Z907" s="367"/>
      <c r="AA907" s="367"/>
      <c r="AB907" s="150"/>
      <c r="AC907" s="48" t="s">
        <v>2932</v>
      </c>
      <c r="AD907" s="150" t="s">
        <v>56</v>
      </c>
      <c r="AE907" s="340"/>
      <c r="AF907" s="340"/>
      <c r="AG907" s="286">
        <v>46295</v>
      </c>
      <c r="AH907" s="49">
        <v>46325</v>
      </c>
      <c r="AI907" s="266">
        <v>46296</v>
      </c>
      <c r="AJ907" s="150" t="s">
        <v>617</v>
      </c>
      <c r="AK907" s="150" t="s">
        <v>200</v>
      </c>
      <c r="AL907" s="150"/>
      <c r="AM907" s="150" t="s">
        <v>134</v>
      </c>
      <c r="AN907" s="367"/>
      <c r="AO907" s="367"/>
      <c r="AP907" s="367"/>
      <c r="AQ907" s="367"/>
      <c r="AR907" s="367"/>
      <c r="AS907" s="367"/>
      <c r="AT907" s="154"/>
      <c r="AU907" s="154"/>
      <c r="AV907" s="154"/>
      <c r="AW907" s="154"/>
      <c r="AX907" s="154"/>
      <c r="AY907" s="154"/>
      <c r="AZ907" s="154"/>
      <c r="BA907" s="154"/>
      <c r="BB907" s="152" t="s">
        <v>2874</v>
      </c>
      <c r="BC907" s="152"/>
      <c r="BD907" s="367" t="s">
        <v>2455</v>
      </c>
      <c r="BE907" s="367"/>
      <c r="BF907" s="367"/>
      <c r="BG907" s="367"/>
      <c r="BH907" s="260"/>
      <c r="BL907" s="54"/>
    </row>
    <row r="908" spans="1:64" ht="37.950000000000003" customHeight="1" x14ac:dyDescent="0.3">
      <c r="A908" s="367">
        <f t="shared" si="17"/>
        <v>903</v>
      </c>
      <c r="B908" s="54" t="s">
        <v>2933</v>
      </c>
      <c r="C908" s="367" t="s">
        <v>6</v>
      </c>
      <c r="D908" s="367" t="s">
        <v>262</v>
      </c>
      <c r="E908" s="367"/>
      <c r="F908" s="367"/>
      <c r="G908" s="367"/>
      <c r="H908" s="367"/>
      <c r="I908" s="367"/>
      <c r="J908" s="54" t="s">
        <v>2872</v>
      </c>
      <c r="K908" s="48" t="s">
        <v>521</v>
      </c>
      <c r="L908" s="150"/>
      <c r="M908" s="150"/>
      <c r="N908" s="150"/>
      <c r="O908" s="150"/>
      <c r="P908" s="367"/>
      <c r="Q908" s="367"/>
      <c r="R908" s="367"/>
      <c r="S908" s="367"/>
      <c r="T908" s="367"/>
      <c r="U908" s="367"/>
      <c r="V908" s="367"/>
      <c r="W908" s="367"/>
      <c r="X908" s="367"/>
      <c r="Y908" s="367"/>
      <c r="Z908" s="367"/>
      <c r="AA908" s="367"/>
      <c r="AB908" s="150"/>
      <c r="AC908" s="48" t="s">
        <v>2934</v>
      </c>
      <c r="AD908" s="150" t="s">
        <v>56</v>
      </c>
      <c r="AE908" s="340"/>
      <c r="AF908" s="340"/>
      <c r="AG908" s="286">
        <v>46295</v>
      </c>
      <c r="AH908" s="49">
        <v>46325</v>
      </c>
      <c r="AI908" s="266">
        <v>46296</v>
      </c>
      <c r="AJ908" s="150" t="s">
        <v>617</v>
      </c>
      <c r="AK908" s="150" t="s">
        <v>200</v>
      </c>
      <c r="AL908" s="150"/>
      <c r="AM908" s="150" t="s">
        <v>134</v>
      </c>
      <c r="AN908" s="367"/>
      <c r="AO908" s="367"/>
      <c r="AP908" s="367"/>
      <c r="AQ908" s="367"/>
      <c r="AR908" s="367"/>
      <c r="AS908" s="367"/>
      <c r="AT908" s="154"/>
      <c r="AU908" s="154"/>
      <c r="AV908" s="154"/>
      <c r="AW908" s="154"/>
      <c r="AX908" s="154"/>
      <c r="AY908" s="154"/>
      <c r="AZ908" s="154"/>
      <c r="BA908" s="154"/>
      <c r="BB908" s="152" t="s">
        <v>2874</v>
      </c>
      <c r="BC908" s="152"/>
      <c r="BD908" s="367" t="s">
        <v>2455</v>
      </c>
      <c r="BE908" s="367"/>
      <c r="BF908" s="367"/>
      <c r="BG908" s="367"/>
      <c r="BH908" s="260"/>
      <c r="BL908" s="54"/>
    </row>
    <row r="909" spans="1:64" ht="37.950000000000003" customHeight="1" x14ac:dyDescent="0.3">
      <c r="A909" s="367">
        <f t="shared" si="17"/>
        <v>904</v>
      </c>
      <c r="B909" s="54" t="s">
        <v>2935</v>
      </c>
      <c r="C909" s="367" t="s">
        <v>6</v>
      </c>
      <c r="D909" s="367" t="s">
        <v>262</v>
      </c>
      <c r="E909" s="367"/>
      <c r="F909" s="367"/>
      <c r="G909" s="367"/>
      <c r="H909" s="367"/>
      <c r="I909" s="367"/>
      <c r="J909" s="54" t="s">
        <v>2872</v>
      </c>
      <c r="K909" s="48" t="s">
        <v>521</v>
      </c>
      <c r="L909" s="150"/>
      <c r="M909" s="150"/>
      <c r="N909" s="150"/>
      <c r="O909" s="150"/>
      <c r="P909" s="367"/>
      <c r="Q909" s="367"/>
      <c r="R909" s="367"/>
      <c r="S909" s="367"/>
      <c r="T909" s="367"/>
      <c r="U909" s="367"/>
      <c r="V909" s="367"/>
      <c r="W909" s="367"/>
      <c r="X909" s="367"/>
      <c r="Y909" s="367"/>
      <c r="Z909" s="367"/>
      <c r="AA909" s="367"/>
      <c r="AB909" s="150"/>
      <c r="AC909" s="48" t="s">
        <v>2936</v>
      </c>
      <c r="AD909" s="150" t="s">
        <v>56</v>
      </c>
      <c r="AE909" s="340"/>
      <c r="AF909" s="340"/>
      <c r="AG909" s="286">
        <v>46295</v>
      </c>
      <c r="AH909" s="49">
        <v>46325</v>
      </c>
      <c r="AI909" s="266">
        <v>46296</v>
      </c>
      <c r="AJ909" s="150" t="s">
        <v>617</v>
      </c>
      <c r="AK909" s="150" t="s">
        <v>200</v>
      </c>
      <c r="AL909" s="150"/>
      <c r="AM909" s="150" t="s">
        <v>134</v>
      </c>
      <c r="AN909" s="367"/>
      <c r="AO909" s="367"/>
      <c r="AP909" s="367"/>
      <c r="AQ909" s="367"/>
      <c r="AR909" s="367"/>
      <c r="AS909" s="367"/>
      <c r="AT909" s="154"/>
      <c r="AU909" s="154"/>
      <c r="AV909" s="154"/>
      <c r="AW909" s="154"/>
      <c r="AX909" s="154"/>
      <c r="AY909" s="154"/>
      <c r="AZ909" s="154"/>
      <c r="BA909" s="154"/>
      <c r="BB909" s="152" t="s">
        <v>2874</v>
      </c>
      <c r="BC909" s="152"/>
      <c r="BD909" s="367" t="s">
        <v>2455</v>
      </c>
      <c r="BE909" s="367"/>
      <c r="BF909" s="367"/>
      <c r="BG909" s="367"/>
      <c r="BH909" s="260"/>
      <c r="BL909" s="54"/>
    </row>
    <row r="910" spans="1:64" ht="37.950000000000003" customHeight="1" x14ac:dyDescent="0.3">
      <c r="A910" s="367">
        <f t="shared" si="17"/>
        <v>905</v>
      </c>
      <c r="B910" s="54" t="s">
        <v>2937</v>
      </c>
      <c r="C910" s="367" t="s">
        <v>6</v>
      </c>
      <c r="D910" s="367" t="s">
        <v>262</v>
      </c>
      <c r="E910" s="367"/>
      <c r="F910" s="367"/>
      <c r="G910" s="367"/>
      <c r="H910" s="367"/>
      <c r="I910" s="367"/>
      <c r="J910" s="54" t="s">
        <v>2872</v>
      </c>
      <c r="K910" s="48" t="s">
        <v>521</v>
      </c>
      <c r="L910" s="150"/>
      <c r="M910" s="150"/>
      <c r="N910" s="150"/>
      <c r="O910" s="150"/>
      <c r="P910" s="367"/>
      <c r="Q910" s="367"/>
      <c r="R910" s="367"/>
      <c r="S910" s="367"/>
      <c r="T910" s="367"/>
      <c r="U910" s="367"/>
      <c r="V910" s="367"/>
      <c r="W910" s="367"/>
      <c r="X910" s="367"/>
      <c r="Y910" s="367"/>
      <c r="Z910" s="367"/>
      <c r="AA910" s="367"/>
      <c r="AB910" s="150"/>
      <c r="AC910" s="48" t="s">
        <v>2938</v>
      </c>
      <c r="AD910" s="150" t="s">
        <v>56</v>
      </c>
      <c r="AE910" s="340"/>
      <c r="AF910" s="340"/>
      <c r="AG910" s="286">
        <v>46295</v>
      </c>
      <c r="AH910" s="49">
        <v>46325</v>
      </c>
      <c r="AI910" s="266">
        <v>46296</v>
      </c>
      <c r="AJ910" s="150" t="s">
        <v>617</v>
      </c>
      <c r="AK910" s="150" t="s">
        <v>200</v>
      </c>
      <c r="AL910" s="150"/>
      <c r="AM910" s="150" t="s">
        <v>134</v>
      </c>
      <c r="AN910" s="367"/>
      <c r="AO910" s="367"/>
      <c r="AP910" s="367"/>
      <c r="AQ910" s="367"/>
      <c r="AR910" s="367"/>
      <c r="AS910" s="367"/>
      <c r="AT910" s="154"/>
      <c r="AU910" s="154"/>
      <c r="AV910" s="154"/>
      <c r="AW910" s="154"/>
      <c r="AX910" s="154"/>
      <c r="AY910" s="154"/>
      <c r="AZ910" s="154"/>
      <c r="BA910" s="154"/>
      <c r="BB910" s="152" t="s">
        <v>2874</v>
      </c>
      <c r="BC910" s="152"/>
      <c r="BD910" s="367" t="s">
        <v>2455</v>
      </c>
      <c r="BE910" s="367"/>
      <c r="BF910" s="367"/>
      <c r="BG910" s="367"/>
      <c r="BH910" s="260"/>
      <c r="BL910" s="54"/>
    </row>
    <row r="911" spans="1:64" ht="37.950000000000003" customHeight="1" x14ac:dyDescent="0.3">
      <c r="A911" s="367">
        <f t="shared" si="17"/>
        <v>906</v>
      </c>
      <c r="B911" s="54" t="s">
        <v>2939</v>
      </c>
      <c r="C911" s="367" t="s">
        <v>6</v>
      </c>
      <c r="D911" s="367" t="s">
        <v>262</v>
      </c>
      <c r="E911" s="367"/>
      <c r="F911" s="367"/>
      <c r="G911" s="367"/>
      <c r="H911" s="367"/>
      <c r="I911" s="367"/>
      <c r="J911" s="54" t="s">
        <v>2872</v>
      </c>
      <c r="K911" s="48" t="s">
        <v>521</v>
      </c>
      <c r="L911" s="150"/>
      <c r="M911" s="150"/>
      <c r="N911" s="150"/>
      <c r="O911" s="150"/>
      <c r="P911" s="367"/>
      <c r="Q911" s="367"/>
      <c r="R911" s="367"/>
      <c r="S911" s="367"/>
      <c r="T911" s="367"/>
      <c r="U911" s="367"/>
      <c r="V911" s="367"/>
      <c r="W911" s="367"/>
      <c r="X911" s="367"/>
      <c r="Y911" s="367"/>
      <c r="Z911" s="367"/>
      <c r="AA911" s="367"/>
      <c r="AB911" s="150"/>
      <c r="AC911" s="48" t="s">
        <v>2940</v>
      </c>
      <c r="AD911" s="150" t="s">
        <v>56</v>
      </c>
      <c r="AE911" s="340"/>
      <c r="AF911" s="340"/>
      <c r="AG911" s="286">
        <v>46295</v>
      </c>
      <c r="AH911" s="49">
        <v>46325</v>
      </c>
      <c r="AI911" s="266">
        <v>46296</v>
      </c>
      <c r="AJ911" s="150" t="s">
        <v>617</v>
      </c>
      <c r="AK911" s="150" t="s">
        <v>200</v>
      </c>
      <c r="AL911" s="150"/>
      <c r="AM911" s="150" t="s">
        <v>134</v>
      </c>
      <c r="AN911" s="367"/>
      <c r="AO911" s="367"/>
      <c r="AP911" s="367"/>
      <c r="AQ911" s="367"/>
      <c r="AR911" s="367"/>
      <c r="AS911" s="367"/>
      <c r="AT911" s="154"/>
      <c r="AU911" s="154"/>
      <c r="AV911" s="154"/>
      <c r="AW911" s="154"/>
      <c r="AX911" s="154"/>
      <c r="AY911" s="154"/>
      <c r="AZ911" s="154"/>
      <c r="BA911" s="154"/>
      <c r="BB911" s="152" t="s">
        <v>2874</v>
      </c>
      <c r="BC911" s="152"/>
      <c r="BD911" s="367" t="s">
        <v>2455</v>
      </c>
      <c r="BE911" s="367"/>
      <c r="BF911" s="367"/>
      <c r="BG911" s="367"/>
      <c r="BH911" s="260"/>
      <c r="BL911" s="54"/>
    </row>
    <row r="912" spans="1:64" ht="37.950000000000003" customHeight="1" x14ac:dyDescent="0.3">
      <c r="A912" s="367">
        <f t="shared" si="17"/>
        <v>907</v>
      </c>
      <c r="B912" s="54" t="s">
        <v>2941</v>
      </c>
      <c r="C912" s="367" t="s">
        <v>6</v>
      </c>
      <c r="D912" s="367" t="s">
        <v>262</v>
      </c>
      <c r="E912" s="367"/>
      <c r="F912" s="367"/>
      <c r="G912" s="367"/>
      <c r="H912" s="367"/>
      <c r="I912" s="367"/>
      <c r="J912" s="54" t="s">
        <v>2872</v>
      </c>
      <c r="K912" s="48" t="s">
        <v>521</v>
      </c>
      <c r="L912" s="150"/>
      <c r="M912" s="150"/>
      <c r="N912" s="150"/>
      <c r="O912" s="150"/>
      <c r="P912" s="367"/>
      <c r="Q912" s="367"/>
      <c r="R912" s="367"/>
      <c r="S912" s="367"/>
      <c r="T912" s="367"/>
      <c r="U912" s="367"/>
      <c r="V912" s="367"/>
      <c r="W912" s="367"/>
      <c r="X912" s="367"/>
      <c r="Y912" s="367"/>
      <c r="Z912" s="367"/>
      <c r="AA912" s="367"/>
      <c r="AB912" s="150"/>
      <c r="AC912" s="48" t="s">
        <v>2942</v>
      </c>
      <c r="AD912" s="150" t="s">
        <v>56</v>
      </c>
      <c r="AE912" s="340"/>
      <c r="AF912" s="340"/>
      <c r="AG912" s="286">
        <v>46295</v>
      </c>
      <c r="AH912" s="49">
        <v>46325</v>
      </c>
      <c r="AI912" s="266">
        <v>46296</v>
      </c>
      <c r="AJ912" s="150" t="s">
        <v>617</v>
      </c>
      <c r="AK912" s="150" t="s">
        <v>200</v>
      </c>
      <c r="AL912" s="150"/>
      <c r="AM912" s="150" t="s">
        <v>134</v>
      </c>
      <c r="AN912" s="367"/>
      <c r="AO912" s="367"/>
      <c r="AP912" s="367"/>
      <c r="AQ912" s="367"/>
      <c r="AR912" s="367"/>
      <c r="AS912" s="367"/>
      <c r="AT912" s="154"/>
      <c r="AU912" s="154"/>
      <c r="AV912" s="154"/>
      <c r="AW912" s="154"/>
      <c r="AX912" s="154"/>
      <c r="AY912" s="154"/>
      <c r="AZ912" s="154"/>
      <c r="BA912" s="154"/>
      <c r="BB912" s="152" t="s">
        <v>2874</v>
      </c>
      <c r="BC912" s="152"/>
      <c r="BD912" s="367" t="s">
        <v>2455</v>
      </c>
      <c r="BE912" s="367"/>
      <c r="BF912" s="367"/>
      <c r="BG912" s="367"/>
      <c r="BH912" s="260"/>
      <c r="BL912" s="54"/>
    </row>
    <row r="913" spans="1:64" ht="37.950000000000003" customHeight="1" x14ac:dyDescent="0.3">
      <c r="A913" s="367">
        <f t="shared" si="17"/>
        <v>908</v>
      </c>
      <c r="B913" s="54" t="s">
        <v>2943</v>
      </c>
      <c r="C913" s="367" t="s">
        <v>6</v>
      </c>
      <c r="D913" s="367" t="s">
        <v>262</v>
      </c>
      <c r="E913" s="367"/>
      <c r="F913" s="367"/>
      <c r="G913" s="367"/>
      <c r="H913" s="367"/>
      <c r="I913" s="367"/>
      <c r="J913" s="54" t="s">
        <v>2872</v>
      </c>
      <c r="K913" s="48" t="s">
        <v>521</v>
      </c>
      <c r="L913" s="150"/>
      <c r="M913" s="150"/>
      <c r="N913" s="150"/>
      <c r="O913" s="150"/>
      <c r="P913" s="367"/>
      <c r="Q913" s="367"/>
      <c r="R913" s="367"/>
      <c r="S913" s="367"/>
      <c r="T913" s="367"/>
      <c r="U913" s="367"/>
      <c r="V913" s="367"/>
      <c r="W913" s="367"/>
      <c r="X913" s="367"/>
      <c r="Y913" s="367"/>
      <c r="Z913" s="367"/>
      <c r="AA913" s="367"/>
      <c r="AB913" s="150"/>
      <c r="AC913" s="48" t="s">
        <v>2944</v>
      </c>
      <c r="AD913" s="150" t="s">
        <v>56</v>
      </c>
      <c r="AE913" s="340"/>
      <c r="AF913" s="340"/>
      <c r="AG913" s="286">
        <v>46295</v>
      </c>
      <c r="AH913" s="49">
        <v>46356</v>
      </c>
      <c r="AI913" s="266">
        <v>46327</v>
      </c>
      <c r="AJ913" s="150" t="s">
        <v>617</v>
      </c>
      <c r="AK913" s="150" t="s">
        <v>200</v>
      </c>
      <c r="AL913" s="150"/>
      <c r="AM913" s="150" t="s">
        <v>134</v>
      </c>
      <c r="AN913" s="367"/>
      <c r="AO913" s="367"/>
      <c r="AP913" s="367"/>
      <c r="AQ913" s="367"/>
      <c r="AR913" s="367"/>
      <c r="AS913" s="367"/>
      <c r="AT913" s="154"/>
      <c r="AU913" s="154"/>
      <c r="AV913" s="154"/>
      <c r="AW913" s="154"/>
      <c r="AX913" s="154"/>
      <c r="AY913" s="154"/>
      <c r="AZ913" s="154"/>
      <c r="BA913" s="154"/>
      <c r="BB913" s="152" t="s">
        <v>2874</v>
      </c>
      <c r="BC913" s="152"/>
      <c r="BD913" s="367" t="s">
        <v>2455</v>
      </c>
      <c r="BE913" s="367"/>
      <c r="BF913" s="367"/>
      <c r="BG913" s="367"/>
      <c r="BH913" s="260"/>
      <c r="BL913" s="54"/>
    </row>
    <row r="914" spans="1:64" ht="37.950000000000003" customHeight="1" x14ac:dyDescent="0.3">
      <c r="A914" s="367">
        <f t="shared" si="17"/>
        <v>909</v>
      </c>
      <c r="B914" s="54" t="s">
        <v>2945</v>
      </c>
      <c r="C914" s="367" t="s">
        <v>6</v>
      </c>
      <c r="D914" s="367" t="s">
        <v>262</v>
      </c>
      <c r="E914" s="367"/>
      <c r="F914" s="367"/>
      <c r="G914" s="367"/>
      <c r="H914" s="367"/>
      <c r="I914" s="367"/>
      <c r="J914" s="54" t="s">
        <v>2872</v>
      </c>
      <c r="K914" s="48" t="s">
        <v>521</v>
      </c>
      <c r="L914" s="150"/>
      <c r="M914" s="150"/>
      <c r="N914" s="150"/>
      <c r="O914" s="150"/>
      <c r="P914" s="367"/>
      <c r="Q914" s="367"/>
      <c r="R914" s="367"/>
      <c r="S914" s="367"/>
      <c r="T914" s="367"/>
      <c r="U914" s="367"/>
      <c r="V914" s="367"/>
      <c r="W914" s="367"/>
      <c r="X914" s="367"/>
      <c r="Y914" s="367"/>
      <c r="Z914" s="367"/>
      <c r="AA914" s="367"/>
      <c r="AB914" s="150"/>
      <c r="AC914" s="48" t="s">
        <v>2944</v>
      </c>
      <c r="AD914" s="150" t="s">
        <v>56</v>
      </c>
      <c r="AE914" s="340"/>
      <c r="AF914" s="340"/>
      <c r="AG914" s="286">
        <v>46295</v>
      </c>
      <c r="AH914" s="49">
        <v>46356</v>
      </c>
      <c r="AI914" s="266">
        <v>46327</v>
      </c>
      <c r="AJ914" s="150" t="s">
        <v>617</v>
      </c>
      <c r="AK914" s="150" t="s">
        <v>200</v>
      </c>
      <c r="AL914" s="150"/>
      <c r="AM914" s="150" t="s">
        <v>134</v>
      </c>
      <c r="AN914" s="367"/>
      <c r="AO914" s="367"/>
      <c r="AP914" s="367"/>
      <c r="AQ914" s="367"/>
      <c r="AR914" s="367"/>
      <c r="AS914" s="367"/>
      <c r="AT914" s="154"/>
      <c r="AU914" s="154"/>
      <c r="AV914" s="154"/>
      <c r="AW914" s="154"/>
      <c r="AX914" s="154"/>
      <c r="AY914" s="154"/>
      <c r="AZ914" s="154"/>
      <c r="BA914" s="154"/>
      <c r="BB914" s="152" t="s">
        <v>2874</v>
      </c>
      <c r="BC914" s="152"/>
      <c r="BD914" s="367" t="s">
        <v>2455</v>
      </c>
      <c r="BE914" s="367"/>
      <c r="BF914" s="367"/>
      <c r="BG914" s="367"/>
      <c r="BH914" s="260"/>
      <c r="BL914" s="54"/>
    </row>
    <row r="915" spans="1:64" ht="37.950000000000003" customHeight="1" x14ac:dyDescent="0.3">
      <c r="A915" s="367">
        <f t="shared" si="17"/>
        <v>910</v>
      </c>
      <c r="B915" s="54" t="s">
        <v>2946</v>
      </c>
      <c r="C915" s="367" t="s">
        <v>6</v>
      </c>
      <c r="D915" s="367" t="s">
        <v>262</v>
      </c>
      <c r="E915" s="367"/>
      <c r="F915" s="367"/>
      <c r="G915" s="367"/>
      <c r="H915" s="367"/>
      <c r="I915" s="367"/>
      <c r="J915" s="54" t="s">
        <v>2872</v>
      </c>
      <c r="K915" s="48" t="s">
        <v>521</v>
      </c>
      <c r="L915" s="150"/>
      <c r="M915" s="150"/>
      <c r="N915" s="150"/>
      <c r="O915" s="150"/>
      <c r="P915" s="367"/>
      <c r="Q915" s="367"/>
      <c r="R915" s="367"/>
      <c r="S915" s="367"/>
      <c r="T915" s="367"/>
      <c r="U915" s="367"/>
      <c r="V915" s="367"/>
      <c r="W915" s="367"/>
      <c r="X915" s="367"/>
      <c r="Y915" s="367"/>
      <c r="Z915" s="367"/>
      <c r="AA915" s="367"/>
      <c r="AB915" s="150"/>
      <c r="AC915" s="48" t="s">
        <v>2947</v>
      </c>
      <c r="AD915" s="150" t="s">
        <v>56</v>
      </c>
      <c r="AE915" s="340"/>
      <c r="AF915" s="340"/>
      <c r="AG915" s="286">
        <v>46295</v>
      </c>
      <c r="AH915" s="49">
        <v>46356</v>
      </c>
      <c r="AI915" s="266">
        <v>46327</v>
      </c>
      <c r="AJ915" s="150" t="s">
        <v>617</v>
      </c>
      <c r="AK915" s="150" t="s">
        <v>200</v>
      </c>
      <c r="AL915" s="150"/>
      <c r="AM915" s="150" t="s">
        <v>134</v>
      </c>
      <c r="AN915" s="367"/>
      <c r="AO915" s="367"/>
      <c r="AP915" s="367"/>
      <c r="AQ915" s="367"/>
      <c r="AR915" s="367"/>
      <c r="AS915" s="367"/>
      <c r="AT915" s="154"/>
      <c r="AU915" s="154"/>
      <c r="AV915" s="154"/>
      <c r="AW915" s="154"/>
      <c r="AX915" s="154"/>
      <c r="AY915" s="154"/>
      <c r="AZ915" s="154"/>
      <c r="BA915" s="154"/>
      <c r="BB915" s="152" t="s">
        <v>2874</v>
      </c>
      <c r="BC915" s="152"/>
      <c r="BD915" s="367" t="s">
        <v>2455</v>
      </c>
      <c r="BE915" s="367"/>
      <c r="BF915" s="367"/>
      <c r="BG915" s="367"/>
      <c r="BH915" s="260"/>
      <c r="BL915" s="54"/>
    </row>
    <row r="916" spans="1:64" ht="37.950000000000003" customHeight="1" x14ac:dyDescent="0.3">
      <c r="A916" s="367">
        <f t="shared" si="17"/>
        <v>911</v>
      </c>
      <c r="B916" s="54" t="s">
        <v>2948</v>
      </c>
      <c r="C916" s="367" t="s">
        <v>6</v>
      </c>
      <c r="D916" s="367" t="s">
        <v>262</v>
      </c>
      <c r="E916" s="367"/>
      <c r="F916" s="367"/>
      <c r="G916" s="367"/>
      <c r="H916" s="367"/>
      <c r="I916" s="367"/>
      <c r="J916" s="54" t="s">
        <v>2872</v>
      </c>
      <c r="K916" s="48" t="s">
        <v>521</v>
      </c>
      <c r="L916" s="150"/>
      <c r="M916" s="150"/>
      <c r="N916" s="150"/>
      <c r="O916" s="150"/>
      <c r="P916" s="367"/>
      <c r="Q916" s="367"/>
      <c r="R916" s="367"/>
      <c r="S916" s="367"/>
      <c r="T916" s="367"/>
      <c r="U916" s="367"/>
      <c r="V916" s="367"/>
      <c r="W916" s="367"/>
      <c r="X916" s="367"/>
      <c r="Y916" s="367"/>
      <c r="Z916" s="367"/>
      <c r="AA916" s="367"/>
      <c r="AB916" s="150"/>
      <c r="AC916" s="48" t="s">
        <v>2949</v>
      </c>
      <c r="AD916" s="150" t="s">
        <v>56</v>
      </c>
      <c r="AE916" s="340"/>
      <c r="AF916" s="340"/>
      <c r="AG916" s="286">
        <v>46356</v>
      </c>
      <c r="AH916" s="49">
        <v>46356</v>
      </c>
      <c r="AI916" s="266">
        <v>46327</v>
      </c>
      <c r="AJ916" s="150" t="s">
        <v>617</v>
      </c>
      <c r="AK916" s="150" t="s">
        <v>200</v>
      </c>
      <c r="AL916" s="150"/>
      <c r="AM916" s="150" t="s">
        <v>134</v>
      </c>
      <c r="AN916" s="367"/>
      <c r="AO916" s="367"/>
      <c r="AP916" s="367"/>
      <c r="AQ916" s="367"/>
      <c r="AR916" s="367"/>
      <c r="AS916" s="367"/>
      <c r="AT916" s="154"/>
      <c r="AU916" s="154"/>
      <c r="AV916" s="154"/>
      <c r="AW916" s="154"/>
      <c r="AX916" s="154"/>
      <c r="AY916" s="154"/>
      <c r="AZ916" s="154"/>
      <c r="BA916" s="154"/>
      <c r="BB916" s="152" t="s">
        <v>2874</v>
      </c>
      <c r="BC916" s="152"/>
      <c r="BD916" s="367" t="s">
        <v>2455</v>
      </c>
      <c r="BE916" s="367"/>
      <c r="BF916" s="367"/>
      <c r="BG916" s="367"/>
      <c r="BH916" s="260"/>
      <c r="BL916" s="54"/>
    </row>
    <row r="917" spans="1:64" ht="37.950000000000003" customHeight="1" x14ac:dyDescent="0.3">
      <c r="A917" s="367">
        <f t="shared" si="17"/>
        <v>912</v>
      </c>
      <c r="B917" s="54" t="s">
        <v>2950</v>
      </c>
      <c r="C917" s="367" t="s">
        <v>6</v>
      </c>
      <c r="D917" s="367" t="s">
        <v>262</v>
      </c>
      <c r="E917" s="367"/>
      <c r="F917" s="367"/>
      <c r="G917" s="367"/>
      <c r="H917" s="367"/>
      <c r="I917" s="367"/>
      <c r="J917" s="54" t="s">
        <v>2872</v>
      </c>
      <c r="K917" s="48" t="s">
        <v>521</v>
      </c>
      <c r="L917" s="150"/>
      <c r="M917" s="150"/>
      <c r="N917" s="150"/>
      <c r="O917" s="150"/>
      <c r="P917" s="367"/>
      <c r="Q917" s="367"/>
      <c r="R917" s="367"/>
      <c r="S917" s="367"/>
      <c r="T917" s="367"/>
      <c r="U917" s="367"/>
      <c r="V917" s="367"/>
      <c r="W917" s="367"/>
      <c r="X917" s="367"/>
      <c r="Y917" s="367"/>
      <c r="Z917" s="367"/>
      <c r="AA917" s="367"/>
      <c r="AB917" s="150"/>
      <c r="AC917" s="48" t="s">
        <v>2951</v>
      </c>
      <c r="AD917" s="150" t="s">
        <v>56</v>
      </c>
      <c r="AE917" s="340"/>
      <c r="AF917" s="340"/>
      <c r="AG917" s="286">
        <v>46443</v>
      </c>
      <c r="AH917" s="49">
        <v>46386</v>
      </c>
      <c r="AI917" s="266">
        <v>46357</v>
      </c>
      <c r="AJ917" s="150" t="s">
        <v>617</v>
      </c>
      <c r="AK917" s="150" t="s">
        <v>200</v>
      </c>
      <c r="AL917" s="150"/>
      <c r="AM917" s="150" t="s">
        <v>134</v>
      </c>
      <c r="AN917" s="367"/>
      <c r="AO917" s="367"/>
      <c r="AP917" s="367"/>
      <c r="AQ917" s="367"/>
      <c r="AR917" s="367"/>
      <c r="AS917" s="367"/>
      <c r="AT917" s="154"/>
      <c r="AU917" s="154"/>
      <c r="AV917" s="154"/>
      <c r="AW917" s="154"/>
      <c r="AX917" s="154"/>
      <c r="AY917" s="154"/>
      <c r="AZ917" s="154"/>
      <c r="BA917" s="154"/>
      <c r="BB917" s="152" t="s">
        <v>2874</v>
      </c>
      <c r="BC917" s="152"/>
      <c r="BD917" s="367" t="s">
        <v>2455</v>
      </c>
      <c r="BE917" s="367"/>
      <c r="BF917" s="367"/>
      <c r="BG917" s="367"/>
      <c r="BH917" s="260"/>
      <c r="BL917" s="54"/>
    </row>
    <row r="918" spans="1:64" ht="37.950000000000003" customHeight="1" x14ac:dyDescent="0.3">
      <c r="A918" s="367">
        <f t="shared" si="17"/>
        <v>913</v>
      </c>
      <c r="B918" s="54" t="s">
        <v>2952</v>
      </c>
      <c r="C918" s="367" t="s">
        <v>6</v>
      </c>
      <c r="D918" s="367" t="s">
        <v>262</v>
      </c>
      <c r="E918" s="367"/>
      <c r="F918" s="367"/>
      <c r="G918" s="367"/>
      <c r="H918" s="367"/>
      <c r="I918" s="367"/>
      <c r="J918" s="54" t="s">
        <v>2872</v>
      </c>
      <c r="K918" s="48" t="s">
        <v>521</v>
      </c>
      <c r="L918" s="150"/>
      <c r="M918" s="150"/>
      <c r="N918" s="150"/>
      <c r="O918" s="150"/>
      <c r="P918" s="367"/>
      <c r="Q918" s="367"/>
      <c r="R918" s="367"/>
      <c r="S918" s="367"/>
      <c r="T918" s="367"/>
      <c r="U918" s="367"/>
      <c r="V918" s="367"/>
      <c r="W918" s="367"/>
      <c r="X918" s="367"/>
      <c r="Y918" s="367"/>
      <c r="Z918" s="367"/>
      <c r="AA918" s="367"/>
      <c r="AB918" s="150"/>
      <c r="AC918" s="48" t="s">
        <v>2953</v>
      </c>
      <c r="AD918" s="150" t="s">
        <v>56</v>
      </c>
      <c r="AE918" s="340"/>
      <c r="AF918" s="340"/>
      <c r="AG918" s="286">
        <v>46443</v>
      </c>
      <c r="AH918" s="49">
        <v>46386</v>
      </c>
      <c r="AI918" s="266">
        <v>46357</v>
      </c>
      <c r="AJ918" s="150" t="s">
        <v>617</v>
      </c>
      <c r="AK918" s="150" t="s">
        <v>200</v>
      </c>
      <c r="AL918" s="150"/>
      <c r="AM918" s="150" t="s">
        <v>134</v>
      </c>
      <c r="AN918" s="367"/>
      <c r="AO918" s="367"/>
      <c r="AP918" s="367"/>
      <c r="AQ918" s="367"/>
      <c r="AR918" s="367"/>
      <c r="AS918" s="367"/>
      <c r="AT918" s="154"/>
      <c r="AU918" s="154"/>
      <c r="AV918" s="154"/>
      <c r="AW918" s="154"/>
      <c r="AX918" s="154"/>
      <c r="AY918" s="154"/>
      <c r="AZ918" s="154"/>
      <c r="BA918" s="154"/>
      <c r="BB918" s="152" t="s">
        <v>2874</v>
      </c>
      <c r="BC918" s="152"/>
      <c r="BD918" s="367" t="s">
        <v>2455</v>
      </c>
      <c r="BE918" s="367"/>
      <c r="BF918" s="367"/>
      <c r="BG918" s="367"/>
      <c r="BH918" s="260"/>
      <c r="BL918" s="54"/>
    </row>
    <row r="919" spans="1:64" ht="37.950000000000003" customHeight="1" x14ac:dyDescent="0.3">
      <c r="A919" s="367">
        <f t="shared" si="17"/>
        <v>914</v>
      </c>
      <c r="B919" s="54" t="s">
        <v>2954</v>
      </c>
      <c r="C919" s="367" t="s">
        <v>6</v>
      </c>
      <c r="D919" s="367" t="s">
        <v>262</v>
      </c>
      <c r="E919" s="367"/>
      <c r="F919" s="367"/>
      <c r="G919" s="367"/>
      <c r="H919" s="367"/>
      <c r="I919" s="367"/>
      <c r="J919" s="54" t="s">
        <v>2872</v>
      </c>
      <c r="K919" s="48" t="s">
        <v>521</v>
      </c>
      <c r="L919" s="150"/>
      <c r="M919" s="150"/>
      <c r="N919" s="150"/>
      <c r="O919" s="150"/>
      <c r="P919" s="367"/>
      <c r="Q919" s="367"/>
      <c r="R919" s="367"/>
      <c r="S919" s="367"/>
      <c r="T919" s="367"/>
      <c r="U919" s="367"/>
      <c r="V919" s="367"/>
      <c r="W919" s="367"/>
      <c r="X919" s="367"/>
      <c r="Y919" s="367"/>
      <c r="Z919" s="367"/>
      <c r="AA919" s="367"/>
      <c r="AB919" s="150"/>
      <c r="AC919" s="48" t="s">
        <v>2955</v>
      </c>
      <c r="AD919" s="150" t="s">
        <v>56</v>
      </c>
      <c r="AE919" s="340"/>
      <c r="AF919" s="340"/>
      <c r="AG919" s="286">
        <v>46443</v>
      </c>
      <c r="AH919" s="49">
        <v>46386</v>
      </c>
      <c r="AI919" s="266">
        <v>46357</v>
      </c>
      <c r="AJ919" s="150" t="s">
        <v>617</v>
      </c>
      <c r="AK919" s="150" t="s">
        <v>200</v>
      </c>
      <c r="AL919" s="150"/>
      <c r="AM919" s="150" t="s">
        <v>134</v>
      </c>
      <c r="AN919" s="367"/>
      <c r="AO919" s="367"/>
      <c r="AP919" s="367"/>
      <c r="AQ919" s="367"/>
      <c r="AR919" s="367"/>
      <c r="AS919" s="367"/>
      <c r="AT919" s="154"/>
      <c r="AU919" s="154"/>
      <c r="AV919" s="154"/>
      <c r="AW919" s="154"/>
      <c r="AX919" s="154"/>
      <c r="AY919" s="154"/>
      <c r="AZ919" s="154"/>
      <c r="BA919" s="154"/>
      <c r="BB919" s="152" t="s">
        <v>2874</v>
      </c>
      <c r="BC919" s="152"/>
      <c r="BD919" s="367" t="s">
        <v>2455</v>
      </c>
      <c r="BE919" s="367"/>
      <c r="BF919" s="367"/>
      <c r="BG919" s="367"/>
      <c r="BH919" s="260"/>
      <c r="BL919" s="54"/>
    </row>
    <row r="920" spans="1:64" ht="37.950000000000003" customHeight="1" x14ac:dyDescent="0.3">
      <c r="A920" s="367">
        <f t="shared" si="17"/>
        <v>915</v>
      </c>
      <c r="B920" s="54" t="s">
        <v>2956</v>
      </c>
      <c r="C920" s="367" t="s">
        <v>6</v>
      </c>
      <c r="D920" s="367" t="s">
        <v>262</v>
      </c>
      <c r="E920" s="367"/>
      <c r="F920" s="367"/>
      <c r="G920" s="367"/>
      <c r="H920" s="367"/>
      <c r="I920" s="367"/>
      <c r="J920" s="54" t="s">
        <v>2872</v>
      </c>
      <c r="K920" s="48" t="s">
        <v>521</v>
      </c>
      <c r="L920" s="150"/>
      <c r="M920" s="150"/>
      <c r="N920" s="150"/>
      <c r="O920" s="150"/>
      <c r="P920" s="367"/>
      <c r="Q920" s="367"/>
      <c r="R920" s="367"/>
      <c r="S920" s="367"/>
      <c r="T920" s="367"/>
      <c r="U920" s="367"/>
      <c r="V920" s="367"/>
      <c r="W920" s="367"/>
      <c r="X920" s="367"/>
      <c r="Y920" s="367"/>
      <c r="Z920" s="367"/>
      <c r="AA920" s="367"/>
      <c r="AB920" s="150"/>
      <c r="AC920" s="48" t="s">
        <v>2957</v>
      </c>
      <c r="AD920" s="150" t="s">
        <v>56</v>
      </c>
      <c r="AE920" s="340"/>
      <c r="AF920" s="340"/>
      <c r="AG920" s="286">
        <v>46443</v>
      </c>
      <c r="AH920" s="49">
        <v>46386</v>
      </c>
      <c r="AI920" s="266">
        <v>46357</v>
      </c>
      <c r="AJ920" s="150" t="s">
        <v>617</v>
      </c>
      <c r="AK920" s="150" t="s">
        <v>200</v>
      </c>
      <c r="AL920" s="150"/>
      <c r="AM920" s="150" t="s">
        <v>134</v>
      </c>
      <c r="AN920" s="367"/>
      <c r="AO920" s="367"/>
      <c r="AP920" s="367"/>
      <c r="AQ920" s="367"/>
      <c r="AR920" s="367"/>
      <c r="AS920" s="367"/>
      <c r="AT920" s="154"/>
      <c r="AU920" s="154"/>
      <c r="AV920" s="154"/>
      <c r="AW920" s="154"/>
      <c r="AX920" s="154"/>
      <c r="AY920" s="154"/>
      <c r="AZ920" s="154"/>
      <c r="BA920" s="154"/>
      <c r="BB920" s="152" t="s">
        <v>2874</v>
      </c>
      <c r="BC920" s="152"/>
      <c r="BD920" s="367" t="s">
        <v>2455</v>
      </c>
      <c r="BE920" s="367"/>
      <c r="BF920" s="367"/>
      <c r="BG920" s="367"/>
      <c r="BH920" s="260"/>
      <c r="BL920" s="54"/>
    </row>
    <row r="921" spans="1:64" ht="37.950000000000003" customHeight="1" x14ac:dyDescent="0.3">
      <c r="A921" s="367">
        <f t="shared" si="17"/>
        <v>916</v>
      </c>
      <c r="B921" s="54" t="s">
        <v>2958</v>
      </c>
      <c r="C921" s="367" t="s">
        <v>6</v>
      </c>
      <c r="D921" s="367" t="s">
        <v>262</v>
      </c>
      <c r="E921" s="367"/>
      <c r="F921" s="367"/>
      <c r="G921" s="367"/>
      <c r="H921" s="367"/>
      <c r="I921" s="367"/>
      <c r="J921" s="54" t="s">
        <v>2872</v>
      </c>
      <c r="K921" s="48" t="s">
        <v>521</v>
      </c>
      <c r="L921" s="150"/>
      <c r="M921" s="150"/>
      <c r="N921" s="150"/>
      <c r="O921" s="150"/>
      <c r="P921" s="367"/>
      <c r="Q921" s="367"/>
      <c r="R921" s="367"/>
      <c r="S921" s="367"/>
      <c r="T921" s="367"/>
      <c r="U921" s="367"/>
      <c r="V921" s="367"/>
      <c r="W921" s="367"/>
      <c r="X921" s="367"/>
      <c r="Y921" s="367"/>
      <c r="Z921" s="367"/>
      <c r="AA921" s="367"/>
      <c r="AB921" s="150"/>
      <c r="AC921" s="48" t="s">
        <v>2959</v>
      </c>
      <c r="AD921" s="150" t="s">
        <v>56</v>
      </c>
      <c r="AE921" s="340"/>
      <c r="AF921" s="340"/>
      <c r="AG921" s="286">
        <v>46443</v>
      </c>
      <c r="AH921" s="49">
        <v>46386</v>
      </c>
      <c r="AI921" s="266">
        <v>46357</v>
      </c>
      <c r="AJ921" s="150" t="s">
        <v>617</v>
      </c>
      <c r="AK921" s="150" t="s">
        <v>200</v>
      </c>
      <c r="AL921" s="150"/>
      <c r="AM921" s="150" t="s">
        <v>134</v>
      </c>
      <c r="AN921" s="367"/>
      <c r="AO921" s="367"/>
      <c r="AP921" s="367"/>
      <c r="AQ921" s="367"/>
      <c r="AR921" s="367"/>
      <c r="AS921" s="367"/>
      <c r="AT921" s="154"/>
      <c r="AU921" s="154"/>
      <c r="AV921" s="154"/>
      <c r="AW921" s="154"/>
      <c r="AX921" s="154"/>
      <c r="AY921" s="154"/>
      <c r="AZ921" s="154"/>
      <c r="BA921" s="154"/>
      <c r="BB921" s="152" t="s">
        <v>2874</v>
      </c>
      <c r="BC921" s="152"/>
      <c r="BD921" s="367" t="s">
        <v>2455</v>
      </c>
      <c r="BE921" s="367"/>
      <c r="BF921" s="367"/>
      <c r="BG921" s="367"/>
      <c r="BH921" s="260"/>
      <c r="BL921" s="54"/>
    </row>
    <row r="922" spans="1:64" ht="37.950000000000003" customHeight="1" x14ac:dyDescent="0.3">
      <c r="A922" s="367">
        <f t="shared" si="17"/>
        <v>917</v>
      </c>
      <c r="B922" s="54" t="s">
        <v>2960</v>
      </c>
      <c r="C922" s="367" t="s">
        <v>6</v>
      </c>
      <c r="D922" s="367" t="s">
        <v>262</v>
      </c>
      <c r="E922" s="367"/>
      <c r="F922" s="367"/>
      <c r="G922" s="367"/>
      <c r="H922" s="367"/>
      <c r="I922" s="367"/>
      <c r="J922" s="54" t="s">
        <v>2872</v>
      </c>
      <c r="K922" s="48" t="s">
        <v>521</v>
      </c>
      <c r="L922" s="150"/>
      <c r="M922" s="150"/>
      <c r="N922" s="150"/>
      <c r="O922" s="150"/>
      <c r="P922" s="367"/>
      <c r="Q922" s="367"/>
      <c r="R922" s="367"/>
      <c r="S922" s="367"/>
      <c r="T922" s="367"/>
      <c r="U922" s="367"/>
      <c r="V922" s="367"/>
      <c r="W922" s="367"/>
      <c r="X922" s="367"/>
      <c r="Y922" s="367"/>
      <c r="Z922" s="367"/>
      <c r="AA922" s="367"/>
      <c r="AB922" s="150"/>
      <c r="AC922" s="48" t="s">
        <v>2961</v>
      </c>
      <c r="AD922" s="150" t="s">
        <v>56</v>
      </c>
      <c r="AE922" s="340"/>
      <c r="AF922" s="340"/>
      <c r="AG922" s="286">
        <v>46443</v>
      </c>
      <c r="AH922" s="49">
        <v>46386</v>
      </c>
      <c r="AI922" s="266">
        <v>46357</v>
      </c>
      <c r="AJ922" s="150" t="s">
        <v>617</v>
      </c>
      <c r="AK922" s="150" t="s">
        <v>200</v>
      </c>
      <c r="AL922" s="150"/>
      <c r="AM922" s="150" t="s">
        <v>134</v>
      </c>
      <c r="AN922" s="367"/>
      <c r="AO922" s="367"/>
      <c r="AP922" s="367"/>
      <c r="AQ922" s="367"/>
      <c r="AR922" s="367"/>
      <c r="AS922" s="367"/>
      <c r="AT922" s="154"/>
      <c r="AU922" s="154"/>
      <c r="AV922" s="154"/>
      <c r="AW922" s="154"/>
      <c r="AX922" s="154"/>
      <c r="AY922" s="154"/>
      <c r="AZ922" s="154"/>
      <c r="BA922" s="154"/>
      <c r="BB922" s="152" t="s">
        <v>2874</v>
      </c>
      <c r="BC922" s="152"/>
      <c r="BD922" s="367" t="s">
        <v>2455</v>
      </c>
      <c r="BE922" s="367"/>
      <c r="BF922" s="367"/>
      <c r="BG922" s="367"/>
      <c r="BH922" s="260"/>
      <c r="BL922" s="54"/>
    </row>
    <row r="923" spans="1:64" ht="37.950000000000003" customHeight="1" x14ac:dyDescent="0.3">
      <c r="A923" s="367">
        <f t="shared" si="17"/>
        <v>918</v>
      </c>
      <c r="B923" s="54" t="s">
        <v>2962</v>
      </c>
      <c r="C923" s="367" t="s">
        <v>6</v>
      </c>
      <c r="D923" s="367" t="s">
        <v>262</v>
      </c>
      <c r="E923" s="367"/>
      <c r="F923" s="367"/>
      <c r="G923" s="367"/>
      <c r="H923" s="367"/>
      <c r="I923" s="367"/>
      <c r="J923" s="54" t="s">
        <v>2963</v>
      </c>
      <c r="K923" s="48" t="s">
        <v>2322</v>
      </c>
      <c r="L923" s="150"/>
      <c r="M923" s="150"/>
      <c r="N923" s="150"/>
      <c r="O923" s="150"/>
      <c r="P923" s="367"/>
      <c r="Q923" s="367"/>
      <c r="R923" s="367"/>
      <c r="S923" s="367"/>
      <c r="T923" s="367"/>
      <c r="U923" s="367"/>
      <c r="V923" s="367"/>
      <c r="W923" s="367"/>
      <c r="X923" s="367"/>
      <c r="Y923" s="367"/>
      <c r="Z923" s="367"/>
      <c r="AA923" s="367"/>
      <c r="AB923" s="150"/>
      <c r="AC923" s="48" t="s">
        <v>2964</v>
      </c>
      <c r="AD923" s="150" t="s">
        <v>2965</v>
      </c>
      <c r="AE923" s="296"/>
      <c r="AF923" s="296"/>
      <c r="AG923" s="286"/>
      <c r="AH923" s="49"/>
      <c r="AI923" s="266"/>
      <c r="AJ923" s="150" t="s">
        <v>264</v>
      </c>
      <c r="AK923" s="150" t="s">
        <v>161</v>
      </c>
      <c r="AL923" s="150"/>
      <c r="AM923" s="150"/>
      <c r="AN923" s="367"/>
      <c r="AO923" s="367"/>
      <c r="AP923" s="367"/>
      <c r="AQ923" s="367"/>
      <c r="AR923" s="367"/>
      <c r="AS923" s="367"/>
      <c r="AT923" s="154"/>
      <c r="AU923" s="154"/>
      <c r="AV923" s="154"/>
      <c r="AW923" s="154"/>
      <c r="AX923" s="154"/>
      <c r="AY923" s="154"/>
      <c r="AZ923" s="154"/>
      <c r="BA923" s="154"/>
      <c r="BB923" s="152"/>
      <c r="BC923" s="152"/>
      <c r="BD923" s="367"/>
      <c r="BE923" s="367"/>
      <c r="BF923" s="367"/>
      <c r="BG923" s="367"/>
      <c r="BH923" s="260"/>
      <c r="BL923" s="54"/>
    </row>
    <row r="924" spans="1:64" ht="37.950000000000003" customHeight="1" x14ac:dyDescent="0.3">
      <c r="A924" s="367">
        <f t="shared" si="17"/>
        <v>919</v>
      </c>
      <c r="B924" s="54" t="s">
        <v>2966</v>
      </c>
      <c r="C924" s="367" t="s">
        <v>6</v>
      </c>
      <c r="D924" s="367" t="s">
        <v>262</v>
      </c>
      <c r="E924" s="367"/>
      <c r="F924" s="367"/>
      <c r="G924" s="367"/>
      <c r="H924" s="367"/>
      <c r="I924" s="367"/>
      <c r="J924" s="54" t="s">
        <v>2967</v>
      </c>
      <c r="K924" s="48" t="s">
        <v>2968</v>
      </c>
      <c r="L924" s="150" t="s">
        <v>660</v>
      </c>
      <c r="M924" s="150" t="s">
        <v>120</v>
      </c>
      <c r="N924" s="150" t="s">
        <v>2488</v>
      </c>
      <c r="O924" s="150" t="s">
        <v>2489</v>
      </c>
      <c r="P924" s="367">
        <v>8</v>
      </c>
      <c r="Q924" s="367">
        <v>3.5</v>
      </c>
      <c r="R924" s="367"/>
      <c r="S924" s="367">
        <v>100</v>
      </c>
      <c r="T924" s="367">
        <v>10</v>
      </c>
      <c r="U924" s="367"/>
      <c r="V924" s="367" t="s">
        <v>127</v>
      </c>
      <c r="W924" s="367"/>
      <c r="X924" s="367" t="s">
        <v>150</v>
      </c>
      <c r="Y924" s="367"/>
      <c r="Z924" s="367" t="s">
        <v>127</v>
      </c>
      <c r="AA924" s="367" t="s">
        <v>127</v>
      </c>
      <c r="AB924" s="150" t="s">
        <v>1096</v>
      </c>
      <c r="AC924" s="48" t="s">
        <v>2969</v>
      </c>
      <c r="AD924" s="150" t="s">
        <v>199</v>
      </c>
      <c r="AE924" s="296">
        <v>46168</v>
      </c>
      <c r="AF924" s="296"/>
      <c r="AG924" s="286"/>
      <c r="AH924" s="49"/>
      <c r="AI924" s="266"/>
      <c r="AJ924" s="150" t="s">
        <v>617</v>
      </c>
      <c r="AK924" s="150" t="s">
        <v>200</v>
      </c>
      <c r="AL924" s="150"/>
      <c r="AM924" s="150"/>
      <c r="AN924" s="367"/>
      <c r="AO924" s="367"/>
      <c r="AP924" s="367"/>
      <c r="AQ924" s="367"/>
      <c r="AR924" s="367"/>
      <c r="AS924" s="367"/>
      <c r="AT924" s="154"/>
      <c r="AU924" s="154"/>
      <c r="AV924" s="154"/>
      <c r="AW924" s="154"/>
      <c r="AX924" s="154"/>
      <c r="AY924" s="154"/>
      <c r="AZ924" s="154"/>
      <c r="BA924" s="154"/>
      <c r="BB924" s="152" t="s">
        <v>2468</v>
      </c>
      <c r="BC924" s="152"/>
      <c r="BD924" s="367"/>
      <c r="BE924" s="367"/>
      <c r="BF924" s="367"/>
      <c r="BG924" s="367"/>
      <c r="BH924" s="260"/>
      <c r="BL924" s="54"/>
    </row>
    <row r="925" spans="1:64" ht="37.950000000000003" customHeight="1" x14ac:dyDescent="0.3">
      <c r="A925" s="367">
        <f t="shared" si="17"/>
        <v>920</v>
      </c>
      <c r="B925" s="54"/>
      <c r="C925" s="367"/>
      <c r="D925" s="367"/>
      <c r="E925" s="367"/>
      <c r="F925" s="367"/>
      <c r="G925" s="367"/>
      <c r="H925" s="367"/>
      <c r="I925" s="367"/>
      <c r="J925" s="54"/>
      <c r="K925" s="48"/>
      <c r="L925" s="150"/>
      <c r="M925" s="150"/>
      <c r="N925" s="150"/>
      <c r="O925" s="150"/>
      <c r="P925" s="367"/>
      <c r="Q925" s="367"/>
      <c r="R925" s="367"/>
      <c r="S925" s="367"/>
      <c r="T925" s="367"/>
      <c r="U925" s="367"/>
      <c r="V925" s="367"/>
      <c r="W925" s="367"/>
      <c r="X925" s="367"/>
      <c r="Y925" s="367"/>
      <c r="Z925" s="367"/>
      <c r="AA925" s="367"/>
      <c r="AB925" s="150"/>
      <c r="AC925" s="48"/>
      <c r="AD925" s="150" t="s">
        <v>361</v>
      </c>
      <c r="AE925" s="296"/>
      <c r="AF925" s="296"/>
      <c r="AG925" s="286"/>
      <c r="AH925" s="49"/>
      <c r="AI925" s="266"/>
      <c r="AJ925" s="150"/>
      <c r="AK925" s="150"/>
      <c r="AL925" s="150"/>
      <c r="AM925" s="150"/>
      <c r="AN925" s="367"/>
      <c r="AO925" s="367"/>
      <c r="AP925" s="367"/>
      <c r="AQ925" s="367"/>
      <c r="AR925" s="367"/>
      <c r="AS925" s="367"/>
      <c r="AT925" s="154"/>
      <c r="AU925" s="154"/>
      <c r="AV925" s="154"/>
      <c r="AW925" s="154"/>
      <c r="AX925" s="154"/>
      <c r="AY925" s="154"/>
      <c r="AZ925" s="154"/>
      <c r="BA925" s="154"/>
      <c r="BB925" s="152"/>
      <c r="BC925" s="152"/>
      <c r="BD925" s="367"/>
      <c r="BE925" s="367"/>
      <c r="BF925" s="367"/>
      <c r="BG925" s="367"/>
      <c r="BH925" s="260"/>
      <c r="BL925" s="54"/>
    </row>
    <row r="926" spans="1:64" ht="37.950000000000003" customHeight="1" x14ac:dyDescent="0.3">
      <c r="A926" s="367">
        <f t="shared" si="17"/>
        <v>921</v>
      </c>
      <c r="B926" s="54" t="s">
        <v>2970</v>
      </c>
      <c r="C926" s="367" t="s">
        <v>5</v>
      </c>
      <c r="D926" s="367" t="s">
        <v>262</v>
      </c>
      <c r="E926" s="367"/>
      <c r="F926" s="367"/>
      <c r="G926" s="367"/>
      <c r="H926" s="367"/>
      <c r="I926" s="367"/>
      <c r="J926" s="54" t="s">
        <v>2971</v>
      </c>
      <c r="K926" s="48" t="s">
        <v>2972</v>
      </c>
      <c r="L926" s="150" t="s">
        <v>1921</v>
      </c>
      <c r="M926" s="150" t="s">
        <v>120</v>
      </c>
      <c r="N926" s="150" t="s">
        <v>127</v>
      </c>
      <c r="O926" s="150"/>
      <c r="P926" s="367"/>
      <c r="Q926" s="367">
        <v>3</v>
      </c>
      <c r="R926" s="367"/>
      <c r="S926" s="367"/>
      <c r="T926" s="367">
        <v>13</v>
      </c>
      <c r="U926" s="367"/>
      <c r="V926" s="367"/>
      <c r="W926" s="367"/>
      <c r="X926" s="367" t="s">
        <v>1752</v>
      </c>
      <c r="Y926" s="367"/>
      <c r="Z926" s="367"/>
      <c r="AA926" s="367"/>
      <c r="AB926" s="150"/>
      <c r="AC926" s="48" t="s">
        <v>2973</v>
      </c>
      <c r="AD926" s="150" t="s">
        <v>814</v>
      </c>
      <c r="AE926" s="296">
        <v>46150</v>
      </c>
      <c r="AF926" s="296"/>
      <c r="AG926" s="286">
        <v>46315</v>
      </c>
      <c r="AH926" s="49">
        <v>46264</v>
      </c>
      <c r="AI926" s="266">
        <v>46235</v>
      </c>
      <c r="AJ926" s="150" t="s">
        <v>617</v>
      </c>
      <c r="AK926" s="150" t="s">
        <v>200</v>
      </c>
      <c r="AL926" s="150"/>
      <c r="AM926" s="150" t="s">
        <v>2079</v>
      </c>
      <c r="AN926" s="367"/>
      <c r="AO926" s="367"/>
      <c r="AP926" s="367"/>
      <c r="AQ926" s="367"/>
      <c r="AR926" s="367"/>
      <c r="AS926" s="367"/>
      <c r="AT926" s="367"/>
      <c r="AU926" s="367"/>
      <c r="AV926" s="367"/>
      <c r="AW926" s="367"/>
      <c r="AX926" s="367"/>
      <c r="AY926" s="367"/>
      <c r="AZ926" s="367"/>
      <c r="BA926" s="367"/>
      <c r="BB926" s="152"/>
      <c r="BC926" s="152"/>
      <c r="BD926" s="367" t="s">
        <v>2455</v>
      </c>
      <c r="BE926" s="367"/>
      <c r="BF926" s="367"/>
      <c r="BG926" s="367"/>
      <c r="BH926" s="260"/>
      <c r="BL926" s="54"/>
    </row>
    <row r="927" spans="1:64" ht="37.950000000000003" customHeight="1" x14ac:dyDescent="0.3">
      <c r="A927" s="367">
        <f t="shared" si="17"/>
        <v>922</v>
      </c>
      <c r="B927" s="54" t="s">
        <v>2974</v>
      </c>
      <c r="C927" s="367" t="s">
        <v>5</v>
      </c>
      <c r="D927" s="367" t="s">
        <v>262</v>
      </c>
      <c r="E927" s="367"/>
      <c r="F927" s="367"/>
      <c r="G927" s="367"/>
      <c r="H927" s="367"/>
      <c r="I927" s="367"/>
      <c r="J927" s="54" t="s">
        <v>2971</v>
      </c>
      <c r="K927" s="48" t="s">
        <v>2972</v>
      </c>
      <c r="L927" s="150" t="s">
        <v>660</v>
      </c>
      <c r="M927" s="150" t="s">
        <v>120</v>
      </c>
      <c r="N927" s="150" t="s">
        <v>127</v>
      </c>
      <c r="O927" s="150"/>
      <c r="P927" s="367"/>
      <c r="Q927" s="367"/>
      <c r="R927" s="367"/>
      <c r="S927" s="367"/>
      <c r="T927" s="367">
        <v>13</v>
      </c>
      <c r="U927" s="367"/>
      <c r="V927" s="367"/>
      <c r="W927" s="367"/>
      <c r="X927" s="367"/>
      <c r="Y927" s="367"/>
      <c r="Z927" s="367" t="s">
        <v>127</v>
      </c>
      <c r="AA927" s="367"/>
      <c r="AB927" s="150"/>
      <c r="AC927" s="48" t="s">
        <v>2975</v>
      </c>
      <c r="AD927" s="150" t="s">
        <v>1612</v>
      </c>
      <c r="AE927" s="296"/>
      <c r="AF927" s="296"/>
      <c r="AG927" s="286">
        <v>46315</v>
      </c>
      <c r="AH927" s="49">
        <v>46264</v>
      </c>
      <c r="AI927" s="266">
        <v>46235</v>
      </c>
      <c r="AJ927" s="150" t="s">
        <v>617</v>
      </c>
      <c r="AK927" s="150" t="s">
        <v>190</v>
      </c>
      <c r="AL927" s="150"/>
      <c r="AM927" s="150" t="s">
        <v>209</v>
      </c>
      <c r="AN927" s="367"/>
      <c r="AO927" s="367"/>
      <c r="AP927" s="367"/>
      <c r="AQ927" s="367"/>
      <c r="AR927" s="367"/>
      <c r="AS927" s="367"/>
      <c r="AT927" s="367"/>
      <c r="AU927" s="367"/>
      <c r="AV927" s="367"/>
      <c r="AW927" s="367"/>
      <c r="AX927" s="367"/>
      <c r="AY927" s="367"/>
      <c r="AZ927" s="367"/>
      <c r="BA927" s="367"/>
      <c r="BB927" s="152"/>
      <c r="BC927" s="152"/>
      <c r="BD927" s="367" t="s">
        <v>2455</v>
      </c>
      <c r="BE927" s="367"/>
      <c r="BF927" s="367"/>
      <c r="BG927" s="367"/>
      <c r="BH927" s="260"/>
      <c r="BL927" s="54"/>
    </row>
    <row r="928" spans="1:64" ht="37.950000000000003" customHeight="1" x14ac:dyDescent="0.3">
      <c r="A928" s="367">
        <f t="shared" si="17"/>
        <v>923</v>
      </c>
      <c r="B928" s="54" t="s">
        <v>2976</v>
      </c>
      <c r="C928" s="367" t="s">
        <v>5</v>
      </c>
      <c r="D928" s="367" t="s">
        <v>262</v>
      </c>
      <c r="E928" s="367"/>
      <c r="F928" s="367"/>
      <c r="G928" s="367"/>
      <c r="H928" s="367"/>
      <c r="I928" s="367"/>
      <c r="J928" s="54" t="s">
        <v>2971</v>
      </c>
      <c r="K928" s="48" t="s">
        <v>2972</v>
      </c>
      <c r="L928" s="150" t="s">
        <v>660</v>
      </c>
      <c r="M928" s="150" t="s">
        <v>120</v>
      </c>
      <c r="N928" s="150" t="s">
        <v>127</v>
      </c>
      <c r="O928" s="150"/>
      <c r="P928" s="367"/>
      <c r="Q928" s="367"/>
      <c r="R928" s="367"/>
      <c r="S928" s="367"/>
      <c r="T928" s="367">
        <v>13</v>
      </c>
      <c r="U928" s="367"/>
      <c r="V928" s="367"/>
      <c r="W928" s="367"/>
      <c r="X928" s="367"/>
      <c r="Y928" s="367"/>
      <c r="Z928" s="367" t="s">
        <v>127</v>
      </c>
      <c r="AA928" s="367"/>
      <c r="AB928" s="150"/>
      <c r="AC928" s="48" t="s">
        <v>2977</v>
      </c>
      <c r="AD928" s="150" t="s">
        <v>1459</v>
      </c>
      <c r="AE928" s="296"/>
      <c r="AF928" s="296"/>
      <c r="AG928" s="286">
        <v>46315</v>
      </c>
      <c r="AH928" s="49">
        <v>46275</v>
      </c>
      <c r="AI928" s="266">
        <v>46266</v>
      </c>
      <c r="AJ928" s="150" t="s">
        <v>617</v>
      </c>
      <c r="AK928" s="150" t="s">
        <v>190</v>
      </c>
      <c r="AL928" s="150"/>
      <c r="AM928" s="150" t="s">
        <v>209</v>
      </c>
      <c r="AN928" s="367"/>
      <c r="AO928" s="367"/>
      <c r="AP928" s="367"/>
      <c r="AQ928" s="367"/>
      <c r="AR928" s="367"/>
      <c r="AS928" s="367"/>
      <c r="AT928" s="367"/>
      <c r="AU928" s="367"/>
      <c r="AV928" s="367"/>
      <c r="AW928" s="367"/>
      <c r="AX928" s="367"/>
      <c r="AY928" s="367"/>
      <c r="AZ928" s="367"/>
      <c r="BA928" s="367"/>
      <c r="BB928" s="152"/>
      <c r="BC928" s="152"/>
      <c r="BD928" s="367" t="s">
        <v>2455</v>
      </c>
      <c r="BE928" s="367"/>
      <c r="BF928" s="367"/>
      <c r="BG928" s="367"/>
      <c r="BH928" s="260"/>
      <c r="BL928" s="54"/>
    </row>
    <row r="929" spans="1:64" ht="37.950000000000003" customHeight="1" x14ac:dyDescent="0.3">
      <c r="A929" s="367">
        <f t="shared" si="17"/>
        <v>924</v>
      </c>
      <c r="B929" s="54" t="s">
        <v>2978</v>
      </c>
      <c r="C929" s="367" t="s">
        <v>5</v>
      </c>
      <c r="D929" s="367" t="s">
        <v>262</v>
      </c>
      <c r="E929" s="367"/>
      <c r="F929" s="367"/>
      <c r="G929" s="367"/>
      <c r="H929" s="367"/>
      <c r="I929" s="367"/>
      <c r="J929" s="54" t="s">
        <v>2971</v>
      </c>
      <c r="K929" s="48" t="s">
        <v>2972</v>
      </c>
      <c r="L929" s="150" t="s">
        <v>660</v>
      </c>
      <c r="M929" s="150" t="s">
        <v>120</v>
      </c>
      <c r="N929" s="150" t="s">
        <v>127</v>
      </c>
      <c r="O929" s="150"/>
      <c r="P929" s="367"/>
      <c r="Q929" s="367"/>
      <c r="R929" s="367"/>
      <c r="S929" s="367"/>
      <c r="T929" s="367">
        <v>13</v>
      </c>
      <c r="U929" s="367"/>
      <c r="V929" s="367"/>
      <c r="W929" s="367"/>
      <c r="X929" s="150" t="s">
        <v>2979</v>
      </c>
      <c r="Y929" s="367"/>
      <c r="Z929" s="367" t="s">
        <v>127</v>
      </c>
      <c r="AA929" s="367"/>
      <c r="AB929" s="150"/>
      <c r="AC929" s="48" t="s">
        <v>2980</v>
      </c>
      <c r="AD929" s="150" t="s">
        <v>819</v>
      </c>
      <c r="AE929" s="296">
        <v>46150</v>
      </c>
      <c r="AF929" s="296"/>
      <c r="AG929" s="286">
        <v>46315</v>
      </c>
      <c r="AH929" s="49">
        <v>46295</v>
      </c>
      <c r="AI929" s="266">
        <v>46266</v>
      </c>
      <c r="AJ929" s="150" t="s">
        <v>617</v>
      </c>
      <c r="AK929" s="150" t="s">
        <v>200</v>
      </c>
      <c r="AL929" s="150"/>
      <c r="AM929" s="150" t="s">
        <v>2086</v>
      </c>
      <c r="AN929" s="367"/>
      <c r="AO929" s="367"/>
      <c r="AP929" s="367"/>
      <c r="AQ929" s="367"/>
      <c r="AR929" s="367"/>
      <c r="AS929" s="367"/>
      <c r="AT929" s="367"/>
      <c r="AU929" s="367"/>
      <c r="AV929" s="367"/>
      <c r="AW929" s="367"/>
      <c r="AX929" s="367"/>
      <c r="AY929" s="367"/>
      <c r="AZ929" s="367"/>
      <c r="BA929" s="367"/>
      <c r="BB929" s="152"/>
      <c r="BC929" s="152"/>
      <c r="BD929" s="367" t="s">
        <v>2455</v>
      </c>
      <c r="BE929" s="367"/>
      <c r="BF929" s="367"/>
      <c r="BG929" s="367"/>
      <c r="BH929" s="260"/>
      <c r="BL929" s="54"/>
    </row>
    <row r="930" spans="1:64" ht="37.950000000000003" customHeight="1" x14ac:dyDescent="0.3">
      <c r="A930" s="367">
        <f t="shared" si="17"/>
        <v>925</v>
      </c>
      <c r="B930" s="54" t="s">
        <v>2981</v>
      </c>
      <c r="C930" s="367" t="s">
        <v>5</v>
      </c>
      <c r="D930" s="367" t="s">
        <v>262</v>
      </c>
      <c r="E930" s="367"/>
      <c r="F930" s="367"/>
      <c r="G930" s="367"/>
      <c r="H930" s="367"/>
      <c r="I930" s="367"/>
      <c r="J930" s="54" t="s">
        <v>2971</v>
      </c>
      <c r="K930" s="48" t="s">
        <v>2982</v>
      </c>
      <c r="L930" s="150" t="s">
        <v>660</v>
      </c>
      <c r="M930" s="150" t="s">
        <v>120</v>
      </c>
      <c r="N930" s="150" t="s">
        <v>127</v>
      </c>
      <c r="O930" s="150"/>
      <c r="P930" s="367"/>
      <c r="Q930" s="367"/>
      <c r="R930" s="367"/>
      <c r="S930" s="367"/>
      <c r="T930" s="367">
        <v>12</v>
      </c>
      <c r="U930" s="367"/>
      <c r="V930" s="367"/>
      <c r="W930" s="367"/>
      <c r="X930" s="150" t="s">
        <v>2983</v>
      </c>
      <c r="Y930" s="367" t="s">
        <v>127</v>
      </c>
      <c r="Z930" s="367"/>
      <c r="AA930" s="367"/>
      <c r="AB930" s="150"/>
      <c r="AC930" s="48" t="s">
        <v>2984</v>
      </c>
      <c r="AD930" s="150" t="s">
        <v>625</v>
      </c>
      <c r="AE930" s="296"/>
      <c r="AF930" s="296"/>
      <c r="AG930" s="286">
        <v>46315</v>
      </c>
      <c r="AH930" s="49">
        <v>46264</v>
      </c>
      <c r="AI930" s="266">
        <v>46235</v>
      </c>
      <c r="AJ930" s="150" t="s">
        <v>617</v>
      </c>
      <c r="AK930" s="150" t="s">
        <v>161</v>
      </c>
      <c r="AL930" s="150"/>
      <c r="AM930" s="150" t="s">
        <v>2086</v>
      </c>
      <c r="AN930" s="45">
        <v>46191</v>
      </c>
      <c r="AO930" s="367"/>
      <c r="AP930" s="367"/>
      <c r="AQ930" s="367"/>
      <c r="AR930" s="367"/>
      <c r="AS930" s="367"/>
      <c r="AT930" s="367"/>
      <c r="AU930" s="367"/>
      <c r="AV930" s="367"/>
      <c r="AW930" s="367"/>
      <c r="AX930" s="367"/>
      <c r="AY930" s="367"/>
      <c r="AZ930" s="367"/>
      <c r="BA930" s="367"/>
      <c r="BB930" s="152"/>
      <c r="BC930" s="152"/>
      <c r="BD930" s="367" t="s">
        <v>2455</v>
      </c>
      <c r="BE930" s="367"/>
      <c r="BF930" s="367"/>
      <c r="BG930" s="367"/>
      <c r="BH930" s="260"/>
      <c r="BL930" s="54"/>
    </row>
    <row r="931" spans="1:64" ht="37.950000000000003" customHeight="1" x14ac:dyDescent="0.3">
      <c r="A931" s="367">
        <f t="shared" si="17"/>
        <v>926</v>
      </c>
      <c r="B931" s="54" t="s">
        <v>2985</v>
      </c>
      <c r="C931" s="367" t="s">
        <v>5</v>
      </c>
      <c r="D931" s="367" t="s">
        <v>262</v>
      </c>
      <c r="E931" s="367"/>
      <c r="F931" s="367"/>
      <c r="G931" s="367"/>
      <c r="H931" s="367"/>
      <c r="I931" s="367"/>
      <c r="J931" s="54" t="s">
        <v>2971</v>
      </c>
      <c r="K931" s="48" t="s">
        <v>2982</v>
      </c>
      <c r="L931" s="150" t="s">
        <v>660</v>
      </c>
      <c r="M931" s="150" t="s">
        <v>120</v>
      </c>
      <c r="N931" s="150" t="s">
        <v>127</v>
      </c>
      <c r="O931" s="150"/>
      <c r="P931" s="367"/>
      <c r="Q931" s="367"/>
      <c r="R931" s="367"/>
      <c r="S931" s="367"/>
      <c r="T931" s="367">
        <v>12</v>
      </c>
      <c r="U931" s="367"/>
      <c r="V931" s="367"/>
      <c r="W931" s="367"/>
      <c r="X931" s="367"/>
      <c r="Y931" s="367"/>
      <c r="Z931" s="367"/>
      <c r="AA931" s="367"/>
      <c r="AB931" s="150"/>
      <c r="AC931" s="48" t="s">
        <v>2986</v>
      </c>
      <c r="AD931" s="150" t="s">
        <v>1662</v>
      </c>
      <c r="AE931" s="296"/>
      <c r="AF931" s="296"/>
      <c r="AG931" s="286">
        <v>46315</v>
      </c>
      <c r="AH931" s="49">
        <v>46264</v>
      </c>
      <c r="AI931" s="266">
        <v>46235</v>
      </c>
      <c r="AJ931" s="150" t="s">
        <v>617</v>
      </c>
      <c r="AK931" s="150" t="s">
        <v>161</v>
      </c>
      <c r="AL931" s="150"/>
      <c r="AM931" s="150" t="s">
        <v>209</v>
      </c>
      <c r="AN931" s="45">
        <v>46197</v>
      </c>
      <c r="AO931" s="367"/>
      <c r="AP931" s="367"/>
      <c r="AQ931" s="367"/>
      <c r="AR931" s="367"/>
      <c r="AS931" s="367"/>
      <c r="AT931" s="367"/>
      <c r="AU931" s="367"/>
      <c r="AV931" s="367"/>
      <c r="AW931" s="367"/>
      <c r="AX931" s="367"/>
      <c r="AY931" s="367"/>
      <c r="AZ931" s="367"/>
      <c r="BA931" s="367"/>
      <c r="BB931" s="152"/>
      <c r="BC931" s="152"/>
      <c r="BD931" s="367" t="s">
        <v>2455</v>
      </c>
      <c r="BE931" s="367"/>
      <c r="BF931" s="367"/>
      <c r="BG931" s="367"/>
      <c r="BH931" s="260"/>
      <c r="BL931" s="54"/>
    </row>
    <row r="932" spans="1:64" ht="37.950000000000003" customHeight="1" x14ac:dyDescent="0.3">
      <c r="A932" s="367">
        <f t="shared" si="17"/>
        <v>927</v>
      </c>
      <c r="B932" s="54" t="s">
        <v>2987</v>
      </c>
      <c r="C932" s="367" t="s">
        <v>5</v>
      </c>
      <c r="D932" s="367" t="s">
        <v>262</v>
      </c>
      <c r="E932" s="367"/>
      <c r="F932" s="367"/>
      <c r="G932" s="367"/>
      <c r="H932" s="367"/>
      <c r="I932" s="367"/>
      <c r="J932" s="54" t="s">
        <v>2971</v>
      </c>
      <c r="K932" s="48" t="s">
        <v>2982</v>
      </c>
      <c r="L932" s="150" t="s">
        <v>660</v>
      </c>
      <c r="M932" s="150" t="s">
        <v>120</v>
      </c>
      <c r="N932" s="150" t="s">
        <v>127</v>
      </c>
      <c r="O932" s="150"/>
      <c r="P932" s="367"/>
      <c r="Q932" s="367"/>
      <c r="R932" s="367"/>
      <c r="S932" s="367"/>
      <c r="T932" s="367">
        <v>12</v>
      </c>
      <c r="U932" s="367"/>
      <c r="V932" s="367"/>
      <c r="W932" s="367"/>
      <c r="X932" s="367" t="s">
        <v>1752</v>
      </c>
      <c r="Y932" s="367"/>
      <c r="Z932" s="367"/>
      <c r="AA932" s="367"/>
      <c r="AB932" s="150"/>
      <c r="AC932" s="48" t="s">
        <v>2988</v>
      </c>
      <c r="AD932" s="150" t="s">
        <v>819</v>
      </c>
      <c r="AE932" s="296">
        <v>46150</v>
      </c>
      <c r="AF932" s="296"/>
      <c r="AG932" s="286">
        <v>46315</v>
      </c>
      <c r="AH932" s="49">
        <v>46295</v>
      </c>
      <c r="AI932" s="266">
        <v>46266</v>
      </c>
      <c r="AJ932" s="150" t="s">
        <v>617</v>
      </c>
      <c r="AK932" s="150" t="s">
        <v>200</v>
      </c>
      <c r="AL932" s="150"/>
      <c r="AM932" s="150" t="s">
        <v>2086</v>
      </c>
      <c r="AN932" s="367"/>
      <c r="AO932" s="367"/>
      <c r="AP932" s="367"/>
      <c r="AQ932" s="367"/>
      <c r="AR932" s="367"/>
      <c r="AS932" s="367"/>
      <c r="AT932" s="367"/>
      <c r="AU932" s="367"/>
      <c r="AV932" s="367"/>
      <c r="AW932" s="367"/>
      <c r="AX932" s="367"/>
      <c r="AY932" s="367"/>
      <c r="AZ932" s="367"/>
      <c r="BA932" s="367"/>
      <c r="BB932" s="152"/>
      <c r="BC932" s="152"/>
      <c r="BD932" s="367" t="s">
        <v>2455</v>
      </c>
      <c r="BE932" s="367"/>
      <c r="BF932" s="367"/>
      <c r="BG932" s="367"/>
      <c r="BH932" s="260"/>
      <c r="BL932" s="54"/>
    </row>
    <row r="933" spans="1:64" ht="37.950000000000003" customHeight="1" x14ac:dyDescent="0.3">
      <c r="A933" s="367">
        <f t="shared" si="17"/>
        <v>928</v>
      </c>
      <c r="B933" s="54" t="s">
        <v>2989</v>
      </c>
      <c r="C933" s="367" t="s">
        <v>5</v>
      </c>
      <c r="D933" s="367" t="s">
        <v>262</v>
      </c>
      <c r="E933" s="367"/>
      <c r="F933" s="367"/>
      <c r="G933" s="367"/>
      <c r="H933" s="367"/>
      <c r="I933" s="367"/>
      <c r="J933" s="54" t="s">
        <v>2990</v>
      </c>
      <c r="K933" s="48" t="s">
        <v>2991</v>
      </c>
      <c r="L933" s="150" t="s">
        <v>660</v>
      </c>
      <c r="M933" s="150" t="s">
        <v>120</v>
      </c>
      <c r="N933" s="150" t="s">
        <v>127</v>
      </c>
      <c r="O933" s="150"/>
      <c r="P933" s="367"/>
      <c r="Q933" s="367">
        <v>2.5</v>
      </c>
      <c r="R933" s="367"/>
      <c r="S933" s="367"/>
      <c r="T933" s="367">
        <v>15</v>
      </c>
      <c r="U933" s="367"/>
      <c r="V933" s="367"/>
      <c r="W933" s="367"/>
      <c r="X933" s="367" t="s">
        <v>1752</v>
      </c>
      <c r="Y933" s="367"/>
      <c r="Z933" s="367"/>
      <c r="AA933" s="367"/>
      <c r="AB933" s="150"/>
      <c r="AC933" s="48" t="s">
        <v>2992</v>
      </c>
      <c r="AD933" s="150" t="s">
        <v>814</v>
      </c>
      <c r="AE933" s="296">
        <v>46150</v>
      </c>
      <c r="AF933" s="296"/>
      <c r="AG933" s="286">
        <v>46315</v>
      </c>
      <c r="AH933" s="49">
        <v>46264</v>
      </c>
      <c r="AI933" s="266">
        <v>46235</v>
      </c>
      <c r="AJ933" s="150" t="s">
        <v>617</v>
      </c>
      <c r="AK933" s="150" t="s">
        <v>200</v>
      </c>
      <c r="AL933" s="150"/>
      <c r="AM933" s="150" t="s">
        <v>2079</v>
      </c>
      <c r="AN933" s="367"/>
      <c r="AO933" s="367"/>
      <c r="AP933" s="367"/>
      <c r="AQ933" s="367"/>
      <c r="AR933" s="367"/>
      <c r="AS933" s="367"/>
      <c r="AT933" s="367"/>
      <c r="AU933" s="367"/>
      <c r="AV933" s="367"/>
      <c r="AW933" s="367"/>
      <c r="AX933" s="367"/>
      <c r="AY933" s="367"/>
      <c r="AZ933" s="367"/>
      <c r="BA933" s="367"/>
      <c r="BB933" s="152"/>
      <c r="BC933" s="152"/>
      <c r="BD933" s="367" t="s">
        <v>2455</v>
      </c>
      <c r="BE933" s="367"/>
      <c r="BF933" s="367"/>
      <c r="BG933" s="367"/>
      <c r="BH933" s="260"/>
      <c r="BL933" s="54"/>
    </row>
    <row r="934" spans="1:64" ht="37.950000000000003" customHeight="1" x14ac:dyDescent="0.3">
      <c r="A934" s="367">
        <f t="shared" si="17"/>
        <v>929</v>
      </c>
      <c r="B934" s="54" t="s">
        <v>2993</v>
      </c>
      <c r="C934" s="367" t="s">
        <v>5</v>
      </c>
      <c r="D934" s="367" t="s">
        <v>262</v>
      </c>
      <c r="E934" s="367"/>
      <c r="F934" s="367"/>
      <c r="G934" s="367"/>
      <c r="H934" s="367"/>
      <c r="I934" s="367"/>
      <c r="J934" s="54" t="s">
        <v>2990</v>
      </c>
      <c r="K934" s="48" t="s">
        <v>2991</v>
      </c>
      <c r="L934" s="150" t="s">
        <v>660</v>
      </c>
      <c r="M934" s="150" t="s">
        <v>120</v>
      </c>
      <c r="N934" s="150" t="s">
        <v>127</v>
      </c>
      <c r="O934" s="150"/>
      <c r="P934" s="367"/>
      <c r="Q934" s="367">
        <v>2.5</v>
      </c>
      <c r="R934" s="367"/>
      <c r="S934" s="367"/>
      <c r="T934" s="367">
        <v>15</v>
      </c>
      <c r="U934" s="367"/>
      <c r="V934" s="367"/>
      <c r="W934" s="367"/>
      <c r="X934" s="367" t="s">
        <v>1752</v>
      </c>
      <c r="Y934" s="367"/>
      <c r="Z934" s="367"/>
      <c r="AA934" s="367"/>
      <c r="AB934" s="150"/>
      <c r="AC934" s="48" t="s">
        <v>2994</v>
      </c>
      <c r="AD934" s="150" t="s">
        <v>819</v>
      </c>
      <c r="AE934" s="296">
        <v>46150</v>
      </c>
      <c r="AF934" s="296"/>
      <c r="AG934" s="286">
        <v>46315</v>
      </c>
      <c r="AH934" s="49">
        <v>46295</v>
      </c>
      <c r="AI934" s="266">
        <v>46266</v>
      </c>
      <c r="AJ934" s="150" t="s">
        <v>617</v>
      </c>
      <c r="AK934" s="150" t="s">
        <v>200</v>
      </c>
      <c r="AL934" s="150"/>
      <c r="AM934" s="150" t="s">
        <v>2086</v>
      </c>
      <c r="AN934" s="367"/>
      <c r="AO934" s="367"/>
      <c r="AP934" s="367"/>
      <c r="AQ934" s="367"/>
      <c r="AR934" s="367"/>
      <c r="AS934" s="367"/>
      <c r="AT934" s="367"/>
      <c r="AU934" s="367"/>
      <c r="AV934" s="367"/>
      <c r="AW934" s="367"/>
      <c r="AX934" s="367"/>
      <c r="AY934" s="367"/>
      <c r="AZ934" s="367"/>
      <c r="BA934" s="367"/>
      <c r="BB934" s="152"/>
      <c r="BC934" s="152"/>
      <c r="BD934" s="367" t="s">
        <v>2455</v>
      </c>
      <c r="BE934" s="367"/>
      <c r="BF934" s="367"/>
      <c r="BG934" s="367"/>
      <c r="BH934" s="260"/>
      <c r="BL934" s="54"/>
    </row>
    <row r="935" spans="1:64" ht="37.950000000000003" customHeight="1" x14ac:dyDescent="0.3">
      <c r="A935" s="367">
        <f t="shared" si="17"/>
        <v>930</v>
      </c>
      <c r="B935" s="54" t="s">
        <v>2995</v>
      </c>
      <c r="C935" s="367" t="s">
        <v>5</v>
      </c>
      <c r="D935" s="367" t="s">
        <v>262</v>
      </c>
      <c r="E935" s="367"/>
      <c r="F935" s="367"/>
      <c r="G935" s="367"/>
      <c r="H935" s="367"/>
      <c r="I935" s="367"/>
      <c r="J935" s="54" t="s">
        <v>2971</v>
      </c>
      <c r="K935" s="48" t="s">
        <v>2996</v>
      </c>
      <c r="L935" s="150" t="s">
        <v>660</v>
      </c>
      <c r="M935" s="150" t="s">
        <v>120</v>
      </c>
      <c r="N935" s="150" t="s">
        <v>127</v>
      </c>
      <c r="O935" s="150"/>
      <c r="P935" s="367"/>
      <c r="Q935" s="367">
        <v>2.5</v>
      </c>
      <c r="R935" s="367"/>
      <c r="S935" s="367"/>
      <c r="T935" s="367">
        <v>15</v>
      </c>
      <c r="U935" s="367"/>
      <c r="V935" s="367"/>
      <c r="W935" s="367"/>
      <c r="X935" s="367" t="s">
        <v>1752</v>
      </c>
      <c r="Y935" s="367"/>
      <c r="Z935" s="367"/>
      <c r="AA935" s="367"/>
      <c r="AB935" s="150"/>
      <c r="AC935" s="48" t="s">
        <v>2997</v>
      </c>
      <c r="AD935" s="150" t="s">
        <v>814</v>
      </c>
      <c r="AE935" s="296">
        <v>46150</v>
      </c>
      <c r="AF935" s="296"/>
      <c r="AG935" s="286">
        <v>46315</v>
      </c>
      <c r="AH935" s="49">
        <v>46264</v>
      </c>
      <c r="AI935" s="266">
        <v>46235</v>
      </c>
      <c r="AJ935" s="150" t="s">
        <v>617</v>
      </c>
      <c r="AK935" s="150" t="s">
        <v>200</v>
      </c>
      <c r="AL935" s="150"/>
      <c r="AM935" s="150" t="s">
        <v>2079</v>
      </c>
      <c r="AN935" s="367"/>
      <c r="AO935" s="367"/>
      <c r="AP935" s="367"/>
      <c r="AQ935" s="367"/>
      <c r="AR935" s="367"/>
      <c r="AS935" s="367"/>
      <c r="AT935" s="367"/>
      <c r="AU935" s="367"/>
      <c r="AV935" s="367"/>
      <c r="AW935" s="367"/>
      <c r="AX935" s="367"/>
      <c r="AY935" s="367"/>
      <c r="AZ935" s="367"/>
      <c r="BA935" s="367"/>
      <c r="BB935" s="152"/>
      <c r="BC935" s="152"/>
      <c r="BD935" s="367" t="s">
        <v>2455</v>
      </c>
      <c r="BE935" s="367"/>
      <c r="BF935" s="367"/>
      <c r="BG935" s="367"/>
      <c r="BH935" s="260"/>
      <c r="BL935" s="54"/>
    </row>
    <row r="936" spans="1:64" ht="37.950000000000003" customHeight="1" x14ac:dyDescent="0.3">
      <c r="A936" s="367">
        <f t="shared" si="17"/>
        <v>931</v>
      </c>
      <c r="B936" s="54" t="s">
        <v>2998</v>
      </c>
      <c r="C936" s="367" t="s">
        <v>5</v>
      </c>
      <c r="D936" s="367" t="s">
        <v>262</v>
      </c>
      <c r="E936" s="367"/>
      <c r="F936" s="367"/>
      <c r="G936" s="367"/>
      <c r="H936" s="367"/>
      <c r="I936" s="367"/>
      <c r="J936" s="54" t="s">
        <v>2971</v>
      </c>
      <c r="K936" s="48" t="s">
        <v>2996</v>
      </c>
      <c r="L936" s="150" t="s">
        <v>660</v>
      </c>
      <c r="M936" s="150" t="s">
        <v>120</v>
      </c>
      <c r="N936" s="150" t="s">
        <v>127</v>
      </c>
      <c r="O936" s="150"/>
      <c r="P936" s="367"/>
      <c r="Q936" s="367">
        <v>2.5</v>
      </c>
      <c r="R936" s="367"/>
      <c r="S936" s="367"/>
      <c r="T936" s="367">
        <v>15</v>
      </c>
      <c r="U936" s="367"/>
      <c r="V936" s="367"/>
      <c r="W936" s="367"/>
      <c r="X936" s="367" t="s">
        <v>1752</v>
      </c>
      <c r="Y936" s="367"/>
      <c r="Z936" s="367"/>
      <c r="AA936" s="367"/>
      <c r="AB936" s="150"/>
      <c r="AC936" s="48" t="s">
        <v>2999</v>
      </c>
      <c r="AD936" s="150" t="s">
        <v>819</v>
      </c>
      <c r="AE936" s="296">
        <v>46150</v>
      </c>
      <c r="AF936" s="296"/>
      <c r="AG936" s="286">
        <v>46315</v>
      </c>
      <c r="AH936" s="49">
        <v>46295</v>
      </c>
      <c r="AI936" s="266">
        <v>46266</v>
      </c>
      <c r="AJ936" s="150" t="s">
        <v>617</v>
      </c>
      <c r="AK936" s="150" t="s">
        <v>200</v>
      </c>
      <c r="AL936" s="150"/>
      <c r="AM936" s="150" t="s">
        <v>2086</v>
      </c>
      <c r="AN936" s="367"/>
      <c r="AO936" s="367"/>
      <c r="AP936" s="367"/>
      <c r="AQ936" s="367"/>
      <c r="AR936" s="367"/>
      <c r="AS936" s="367"/>
      <c r="AT936" s="367"/>
      <c r="AU936" s="367"/>
      <c r="AV936" s="367"/>
      <c r="AW936" s="367"/>
      <c r="AX936" s="367"/>
      <c r="AY936" s="367"/>
      <c r="AZ936" s="367"/>
      <c r="BA936" s="367"/>
      <c r="BB936" s="152"/>
      <c r="BC936" s="152"/>
      <c r="BD936" s="367" t="s">
        <v>2455</v>
      </c>
      <c r="BE936" s="367"/>
      <c r="BF936" s="367"/>
      <c r="BG936" s="367"/>
      <c r="BH936" s="260"/>
      <c r="BL936" s="54"/>
    </row>
    <row r="937" spans="1:64" ht="37.950000000000003" customHeight="1" x14ac:dyDescent="0.3">
      <c r="A937" s="367">
        <f t="shared" si="17"/>
        <v>932</v>
      </c>
      <c r="B937" s="54" t="s">
        <v>3000</v>
      </c>
      <c r="C937" s="367" t="s">
        <v>5</v>
      </c>
      <c r="D937" s="367" t="s">
        <v>262</v>
      </c>
      <c r="E937" s="367"/>
      <c r="F937" s="367"/>
      <c r="G937" s="367"/>
      <c r="H937" s="367"/>
      <c r="I937" s="367"/>
      <c r="J937" s="54" t="s">
        <v>2971</v>
      </c>
      <c r="K937" s="48" t="s">
        <v>3001</v>
      </c>
      <c r="L937" s="150" t="s">
        <v>660</v>
      </c>
      <c r="M937" s="150" t="s">
        <v>120</v>
      </c>
      <c r="N937" s="150" t="s">
        <v>127</v>
      </c>
      <c r="O937" s="150"/>
      <c r="P937" s="367"/>
      <c r="Q937" s="367">
        <v>3</v>
      </c>
      <c r="R937" s="367"/>
      <c r="S937" s="367"/>
      <c r="T937" s="367">
        <v>13</v>
      </c>
      <c r="U937" s="367"/>
      <c r="V937" s="367"/>
      <c r="W937" s="367"/>
      <c r="X937" s="367" t="s">
        <v>1752</v>
      </c>
      <c r="Y937" s="367"/>
      <c r="Z937" s="367"/>
      <c r="AA937" s="367"/>
      <c r="AB937" s="150"/>
      <c r="AC937" s="48" t="s">
        <v>3002</v>
      </c>
      <c r="AD937" s="150" t="s">
        <v>814</v>
      </c>
      <c r="AE937" s="296">
        <v>46150</v>
      </c>
      <c r="AF937" s="296"/>
      <c r="AG937" s="286">
        <v>46315</v>
      </c>
      <c r="AH937" s="49">
        <v>46264</v>
      </c>
      <c r="AI937" s="266">
        <v>46235</v>
      </c>
      <c r="AJ937" s="150" t="s">
        <v>617</v>
      </c>
      <c r="AK937" s="150" t="s">
        <v>200</v>
      </c>
      <c r="AL937" s="150"/>
      <c r="AM937" s="150" t="s">
        <v>2079</v>
      </c>
      <c r="AN937" s="367"/>
      <c r="AO937" s="367"/>
      <c r="AP937" s="367"/>
      <c r="AQ937" s="367"/>
      <c r="AR937" s="367"/>
      <c r="AS937" s="367"/>
      <c r="AT937" s="367"/>
      <c r="AU937" s="367"/>
      <c r="AV937" s="367"/>
      <c r="AW937" s="367"/>
      <c r="AX937" s="367"/>
      <c r="AY937" s="367"/>
      <c r="AZ937" s="367"/>
      <c r="BA937" s="367"/>
      <c r="BB937" s="152"/>
      <c r="BC937" s="152"/>
      <c r="BD937" s="367" t="s">
        <v>2455</v>
      </c>
      <c r="BE937" s="367"/>
      <c r="BF937" s="367"/>
      <c r="BG937" s="367"/>
      <c r="BH937" s="260"/>
      <c r="BL937" s="54"/>
    </row>
    <row r="938" spans="1:64" ht="37.950000000000003" customHeight="1" x14ac:dyDescent="0.3">
      <c r="A938" s="367">
        <f t="shared" si="17"/>
        <v>933</v>
      </c>
      <c r="B938" s="54" t="s">
        <v>3003</v>
      </c>
      <c r="C938" s="367" t="s">
        <v>5</v>
      </c>
      <c r="D938" s="367" t="s">
        <v>262</v>
      </c>
      <c r="E938" s="367"/>
      <c r="F938" s="367"/>
      <c r="G938" s="367"/>
      <c r="H938" s="367"/>
      <c r="I938" s="367"/>
      <c r="J938" s="54" t="s">
        <v>2971</v>
      </c>
      <c r="K938" s="48" t="s">
        <v>3001</v>
      </c>
      <c r="L938" s="150" t="s">
        <v>660</v>
      </c>
      <c r="M938" s="150" t="s">
        <v>120</v>
      </c>
      <c r="N938" s="150" t="s">
        <v>127</v>
      </c>
      <c r="O938" s="150"/>
      <c r="P938" s="367"/>
      <c r="Q938" s="367">
        <v>3</v>
      </c>
      <c r="R938" s="367"/>
      <c r="S938" s="367"/>
      <c r="T938" s="367">
        <v>13</v>
      </c>
      <c r="U938" s="367"/>
      <c r="V938" s="367"/>
      <c r="W938" s="367"/>
      <c r="X938" s="367" t="s">
        <v>1752</v>
      </c>
      <c r="Y938" s="367"/>
      <c r="Z938" s="367"/>
      <c r="AA938" s="367"/>
      <c r="AB938" s="150"/>
      <c r="AC938" s="48" t="s">
        <v>3004</v>
      </c>
      <c r="AD938" s="150" t="s">
        <v>819</v>
      </c>
      <c r="AE938" s="296">
        <v>46150</v>
      </c>
      <c r="AF938" s="296"/>
      <c r="AG938" s="286">
        <v>46315</v>
      </c>
      <c r="AH938" s="49">
        <v>46295</v>
      </c>
      <c r="AI938" s="266">
        <v>46266</v>
      </c>
      <c r="AJ938" s="150" t="s">
        <v>617</v>
      </c>
      <c r="AK938" s="150" t="s">
        <v>200</v>
      </c>
      <c r="AL938" s="150"/>
      <c r="AM938" s="150" t="s">
        <v>2086</v>
      </c>
      <c r="AN938" s="367"/>
      <c r="AO938" s="367"/>
      <c r="AP938" s="367"/>
      <c r="AQ938" s="367"/>
      <c r="AR938" s="367"/>
      <c r="AS938" s="367"/>
      <c r="AT938" s="367"/>
      <c r="AU938" s="367"/>
      <c r="AV938" s="367"/>
      <c r="AW938" s="367"/>
      <c r="AX938" s="367"/>
      <c r="AY938" s="367"/>
      <c r="AZ938" s="367"/>
      <c r="BA938" s="367"/>
      <c r="BB938" s="152"/>
      <c r="BC938" s="152"/>
      <c r="BD938" s="367" t="s">
        <v>2455</v>
      </c>
      <c r="BE938" s="367"/>
      <c r="BF938" s="367"/>
      <c r="BG938" s="367"/>
      <c r="BH938" s="260"/>
      <c r="BL938" s="54"/>
    </row>
    <row r="939" spans="1:64" ht="37.950000000000003" customHeight="1" x14ac:dyDescent="0.3">
      <c r="A939" s="367">
        <f t="shared" si="17"/>
        <v>934</v>
      </c>
      <c r="B939" s="54" t="s">
        <v>3005</v>
      </c>
      <c r="C939" s="367" t="s">
        <v>5</v>
      </c>
      <c r="D939" s="367" t="s">
        <v>262</v>
      </c>
      <c r="E939" s="367"/>
      <c r="F939" s="367"/>
      <c r="G939" s="367"/>
      <c r="H939" s="367"/>
      <c r="I939" s="367"/>
      <c r="J939" s="54" t="s">
        <v>3006</v>
      </c>
      <c r="K939" s="48" t="s">
        <v>3007</v>
      </c>
      <c r="L939" s="150" t="s">
        <v>660</v>
      </c>
      <c r="M939" s="150" t="s">
        <v>65</v>
      </c>
      <c r="N939" s="150" t="s">
        <v>127</v>
      </c>
      <c r="O939" s="150"/>
      <c r="P939" s="367"/>
      <c r="Q939" s="367">
        <v>3</v>
      </c>
      <c r="R939" s="367"/>
      <c r="S939" s="367"/>
      <c r="T939" s="367">
        <v>13</v>
      </c>
      <c r="U939" s="367"/>
      <c r="V939" s="367"/>
      <c r="W939" s="367"/>
      <c r="X939" s="367" t="s">
        <v>1752</v>
      </c>
      <c r="Y939" s="367"/>
      <c r="Z939" s="367"/>
      <c r="AA939" s="367"/>
      <c r="AB939" s="150"/>
      <c r="AC939" s="48" t="s">
        <v>3008</v>
      </c>
      <c r="AD939" s="150" t="s">
        <v>814</v>
      </c>
      <c r="AE939" s="296">
        <v>46150</v>
      </c>
      <c r="AF939" s="296"/>
      <c r="AG939" s="286">
        <v>46315</v>
      </c>
      <c r="AH939" s="49">
        <v>46264</v>
      </c>
      <c r="AI939" s="266">
        <v>46235</v>
      </c>
      <c r="AJ939" s="150" t="s">
        <v>617</v>
      </c>
      <c r="AK939" s="150" t="s">
        <v>200</v>
      </c>
      <c r="AL939" s="150"/>
      <c r="AM939" s="150" t="s">
        <v>2079</v>
      </c>
      <c r="AN939" s="367"/>
      <c r="AO939" s="367"/>
      <c r="AP939" s="367"/>
      <c r="AQ939" s="367"/>
      <c r="AR939" s="367"/>
      <c r="AS939" s="367"/>
      <c r="AT939" s="367"/>
      <c r="AU939" s="367"/>
      <c r="AV939" s="367"/>
      <c r="AW939" s="367"/>
      <c r="AX939" s="367"/>
      <c r="AY939" s="367"/>
      <c r="AZ939" s="367"/>
      <c r="BA939" s="367"/>
      <c r="BB939" s="152"/>
      <c r="BC939" s="152"/>
      <c r="BD939" s="367" t="s">
        <v>2455</v>
      </c>
      <c r="BE939" s="367"/>
      <c r="BF939" s="367"/>
      <c r="BG939" s="367"/>
      <c r="BH939" s="260"/>
      <c r="BL939" s="54"/>
    </row>
    <row r="940" spans="1:64" ht="37.950000000000003" customHeight="1" x14ac:dyDescent="0.3">
      <c r="A940" s="367">
        <f t="shared" si="17"/>
        <v>935</v>
      </c>
      <c r="B940" s="54" t="s">
        <v>3009</v>
      </c>
      <c r="C940" s="367" t="s">
        <v>5</v>
      </c>
      <c r="D940" s="367" t="s">
        <v>262</v>
      </c>
      <c r="E940" s="367"/>
      <c r="F940" s="367"/>
      <c r="G940" s="367"/>
      <c r="H940" s="367"/>
      <c r="I940" s="367"/>
      <c r="J940" s="54" t="s">
        <v>3006</v>
      </c>
      <c r="K940" s="48" t="s">
        <v>3007</v>
      </c>
      <c r="L940" s="150" t="s">
        <v>660</v>
      </c>
      <c r="M940" s="150" t="s">
        <v>65</v>
      </c>
      <c r="N940" s="150" t="s">
        <v>127</v>
      </c>
      <c r="O940" s="150"/>
      <c r="P940" s="367"/>
      <c r="Q940" s="367">
        <v>3</v>
      </c>
      <c r="R940" s="367"/>
      <c r="S940" s="367"/>
      <c r="T940" s="367">
        <v>13</v>
      </c>
      <c r="U940" s="367"/>
      <c r="V940" s="367"/>
      <c r="W940" s="367"/>
      <c r="X940" s="367" t="s">
        <v>1752</v>
      </c>
      <c r="Y940" s="367"/>
      <c r="Z940" s="367"/>
      <c r="AA940" s="367"/>
      <c r="AB940" s="150"/>
      <c r="AC940" s="48" t="s">
        <v>3010</v>
      </c>
      <c r="AD940" s="150" t="s">
        <v>819</v>
      </c>
      <c r="AE940" s="296">
        <v>46150</v>
      </c>
      <c r="AF940" s="296"/>
      <c r="AG940" s="286">
        <v>46315</v>
      </c>
      <c r="AH940" s="49">
        <v>46295</v>
      </c>
      <c r="AI940" s="266">
        <v>46266</v>
      </c>
      <c r="AJ940" s="150" t="s">
        <v>617</v>
      </c>
      <c r="AK940" s="150" t="s">
        <v>200</v>
      </c>
      <c r="AL940" s="150"/>
      <c r="AM940" s="150" t="s">
        <v>2086</v>
      </c>
      <c r="AN940" s="367"/>
      <c r="AO940" s="367"/>
      <c r="AP940" s="367"/>
      <c r="AQ940" s="367"/>
      <c r="AR940" s="367"/>
      <c r="AS940" s="367"/>
      <c r="AT940" s="367"/>
      <c r="AU940" s="367"/>
      <c r="AV940" s="367"/>
      <c r="AW940" s="367"/>
      <c r="AX940" s="367"/>
      <c r="AY940" s="367"/>
      <c r="AZ940" s="367"/>
      <c r="BA940" s="367"/>
      <c r="BB940" s="152"/>
      <c r="BC940" s="152"/>
      <c r="BD940" s="367" t="s">
        <v>2455</v>
      </c>
      <c r="BE940" s="367"/>
      <c r="BF940" s="367"/>
      <c r="BG940" s="367"/>
      <c r="BH940" s="260"/>
      <c r="BL940" s="54"/>
    </row>
    <row r="941" spans="1:64" ht="37.950000000000003" customHeight="1" x14ac:dyDescent="0.3">
      <c r="A941" s="367">
        <f t="shared" si="17"/>
        <v>936</v>
      </c>
      <c r="B941" s="54" t="s">
        <v>3011</v>
      </c>
      <c r="C941" s="367" t="s">
        <v>5</v>
      </c>
      <c r="D941" s="367" t="s">
        <v>262</v>
      </c>
      <c r="E941" s="367"/>
      <c r="F941" s="367"/>
      <c r="G941" s="367"/>
      <c r="H941" s="367"/>
      <c r="I941" s="367"/>
      <c r="J941" s="54" t="s">
        <v>3006</v>
      </c>
      <c r="K941" s="48" t="s">
        <v>3012</v>
      </c>
      <c r="L941" s="150" t="s">
        <v>660</v>
      </c>
      <c r="M941" s="150" t="s">
        <v>65</v>
      </c>
      <c r="N941" s="150" t="s">
        <v>127</v>
      </c>
      <c r="O941" s="150"/>
      <c r="P941" s="367"/>
      <c r="Q941" s="367">
        <v>2</v>
      </c>
      <c r="R941" s="367"/>
      <c r="S941" s="367"/>
      <c r="T941" s="367">
        <v>19</v>
      </c>
      <c r="U941" s="367"/>
      <c r="V941" s="367"/>
      <c r="W941" s="367"/>
      <c r="X941" s="367" t="s">
        <v>1752</v>
      </c>
      <c r="Y941" s="367"/>
      <c r="Z941" s="367"/>
      <c r="AA941" s="367"/>
      <c r="AB941" s="150"/>
      <c r="AC941" s="48" t="s">
        <v>3013</v>
      </c>
      <c r="AD941" s="150" t="s">
        <v>814</v>
      </c>
      <c r="AE941" s="296">
        <v>46150</v>
      </c>
      <c r="AF941" s="296"/>
      <c r="AG941" s="286">
        <v>46315</v>
      </c>
      <c r="AH941" s="49">
        <v>46264</v>
      </c>
      <c r="AI941" s="266">
        <v>46235</v>
      </c>
      <c r="AJ941" s="150" t="s">
        <v>617</v>
      </c>
      <c r="AK941" s="150" t="s">
        <v>200</v>
      </c>
      <c r="AL941" s="150"/>
      <c r="AM941" s="150" t="s">
        <v>2079</v>
      </c>
      <c r="AN941" s="367"/>
      <c r="AO941" s="367"/>
      <c r="AP941" s="367"/>
      <c r="AQ941" s="367"/>
      <c r="AR941" s="367"/>
      <c r="AS941" s="367"/>
      <c r="AT941" s="367"/>
      <c r="AU941" s="367"/>
      <c r="AV941" s="367"/>
      <c r="AW941" s="367"/>
      <c r="AX941" s="367"/>
      <c r="AY941" s="367"/>
      <c r="AZ941" s="367"/>
      <c r="BA941" s="367"/>
      <c r="BB941" s="152"/>
      <c r="BC941" s="152"/>
      <c r="BD941" s="367" t="s">
        <v>2455</v>
      </c>
      <c r="BE941" s="367"/>
      <c r="BF941" s="367"/>
      <c r="BG941" s="367"/>
      <c r="BH941" s="260"/>
      <c r="BL941" s="54"/>
    </row>
    <row r="942" spans="1:64" ht="37.950000000000003" customHeight="1" x14ac:dyDescent="0.3">
      <c r="A942" s="367">
        <f t="shared" ref="A942:A1005" si="18">ROW(B942)-ROW($B$5)</f>
        <v>937</v>
      </c>
      <c r="B942" s="54" t="s">
        <v>3014</v>
      </c>
      <c r="C942" s="367" t="s">
        <v>5</v>
      </c>
      <c r="D942" s="367" t="s">
        <v>262</v>
      </c>
      <c r="E942" s="367"/>
      <c r="F942" s="367"/>
      <c r="G942" s="367"/>
      <c r="H942" s="367"/>
      <c r="I942" s="367"/>
      <c r="J942" s="54" t="s">
        <v>3006</v>
      </c>
      <c r="K942" s="48" t="s">
        <v>3012</v>
      </c>
      <c r="L942" s="150" t="s">
        <v>660</v>
      </c>
      <c r="M942" s="150" t="s">
        <v>65</v>
      </c>
      <c r="N942" s="150" t="s">
        <v>127</v>
      </c>
      <c r="O942" s="150"/>
      <c r="P942" s="367"/>
      <c r="Q942" s="367">
        <v>2</v>
      </c>
      <c r="R942" s="367"/>
      <c r="S942" s="367"/>
      <c r="T942" s="367">
        <v>19</v>
      </c>
      <c r="U942" s="367"/>
      <c r="V942" s="367"/>
      <c r="W942" s="367"/>
      <c r="X942" s="367" t="s">
        <v>1752</v>
      </c>
      <c r="Y942" s="367"/>
      <c r="Z942" s="367"/>
      <c r="AA942" s="367"/>
      <c r="AB942" s="150"/>
      <c r="AC942" s="48" t="s">
        <v>3015</v>
      </c>
      <c r="AD942" s="150" t="s">
        <v>819</v>
      </c>
      <c r="AE942" s="296">
        <v>46150</v>
      </c>
      <c r="AF942" s="296"/>
      <c r="AG942" s="286">
        <v>46315</v>
      </c>
      <c r="AH942" s="49">
        <v>46295</v>
      </c>
      <c r="AI942" s="266">
        <v>46266</v>
      </c>
      <c r="AJ942" s="150" t="s">
        <v>617</v>
      </c>
      <c r="AK942" s="150" t="s">
        <v>200</v>
      </c>
      <c r="AL942" s="150"/>
      <c r="AM942" s="150" t="s">
        <v>2086</v>
      </c>
      <c r="AN942" s="367"/>
      <c r="AO942" s="367"/>
      <c r="AP942" s="367"/>
      <c r="AQ942" s="367"/>
      <c r="AR942" s="367"/>
      <c r="AS942" s="367"/>
      <c r="AT942" s="367"/>
      <c r="AU942" s="367"/>
      <c r="AV942" s="367"/>
      <c r="AW942" s="367"/>
      <c r="AX942" s="367"/>
      <c r="AY942" s="367"/>
      <c r="AZ942" s="367"/>
      <c r="BA942" s="367"/>
      <c r="BB942" s="152"/>
      <c r="BC942" s="152"/>
      <c r="BD942" s="367" t="s">
        <v>2455</v>
      </c>
      <c r="BE942" s="367"/>
      <c r="BF942" s="367"/>
      <c r="BG942" s="367"/>
      <c r="BH942" s="260"/>
      <c r="BL942" s="54"/>
    </row>
    <row r="943" spans="1:64" ht="37.950000000000003" customHeight="1" x14ac:dyDescent="0.3">
      <c r="A943" s="367">
        <f t="shared" si="18"/>
        <v>938</v>
      </c>
      <c r="B943" s="54" t="s">
        <v>3016</v>
      </c>
      <c r="C943" s="367" t="s">
        <v>5</v>
      </c>
      <c r="D943" s="367" t="s">
        <v>262</v>
      </c>
      <c r="E943" s="367"/>
      <c r="F943" s="367"/>
      <c r="G943" s="367"/>
      <c r="H943" s="367"/>
      <c r="I943" s="367"/>
      <c r="J943" s="54" t="s">
        <v>3006</v>
      </c>
      <c r="K943" s="48" t="s">
        <v>3017</v>
      </c>
      <c r="L943" s="150" t="s">
        <v>660</v>
      </c>
      <c r="M943" s="150" t="s">
        <v>65</v>
      </c>
      <c r="N943" s="150"/>
      <c r="O943" s="150"/>
      <c r="P943" s="367"/>
      <c r="Q943" s="367">
        <v>2</v>
      </c>
      <c r="R943" s="367"/>
      <c r="S943" s="367"/>
      <c r="T943" s="367">
        <v>19</v>
      </c>
      <c r="U943" s="367"/>
      <c r="V943" s="367"/>
      <c r="W943" s="367"/>
      <c r="X943" s="367" t="s">
        <v>1752</v>
      </c>
      <c r="Y943" s="367"/>
      <c r="Z943" s="367"/>
      <c r="AA943" s="367"/>
      <c r="AB943" s="150"/>
      <c r="AC943" s="48" t="s">
        <v>3018</v>
      </c>
      <c r="AD943" s="150" t="s">
        <v>814</v>
      </c>
      <c r="AE943" s="296">
        <v>46150</v>
      </c>
      <c r="AF943" s="296"/>
      <c r="AG943" s="286">
        <v>46315</v>
      </c>
      <c r="AH943" s="49">
        <v>46295</v>
      </c>
      <c r="AI943" s="266">
        <v>46266</v>
      </c>
      <c r="AJ943" s="150" t="s">
        <v>617</v>
      </c>
      <c r="AK943" s="150" t="s">
        <v>200</v>
      </c>
      <c r="AL943" s="150"/>
      <c r="AM943" s="150" t="s">
        <v>2079</v>
      </c>
      <c r="AN943" s="367"/>
      <c r="AO943" s="367"/>
      <c r="AP943" s="367"/>
      <c r="AQ943" s="367"/>
      <c r="AR943" s="367"/>
      <c r="AS943" s="367"/>
      <c r="AT943" s="367"/>
      <c r="AU943" s="367"/>
      <c r="AV943" s="367"/>
      <c r="AW943" s="367"/>
      <c r="AX943" s="367"/>
      <c r="AY943" s="367"/>
      <c r="AZ943" s="367"/>
      <c r="BA943" s="367"/>
      <c r="BB943" s="152" t="s">
        <v>3019</v>
      </c>
      <c r="BC943" s="152"/>
      <c r="BD943" s="367" t="s">
        <v>2455</v>
      </c>
      <c r="BE943" s="367"/>
      <c r="BF943" s="367"/>
      <c r="BG943" s="367"/>
      <c r="BH943" s="260"/>
      <c r="BL943" s="54"/>
    </row>
    <row r="944" spans="1:64" ht="37.950000000000003" customHeight="1" x14ac:dyDescent="0.3">
      <c r="A944" s="367">
        <f t="shared" si="18"/>
        <v>939</v>
      </c>
      <c r="B944" s="54" t="s">
        <v>3020</v>
      </c>
      <c r="C944" s="367" t="s">
        <v>5</v>
      </c>
      <c r="D944" s="367" t="s">
        <v>262</v>
      </c>
      <c r="E944" s="367"/>
      <c r="F944" s="367"/>
      <c r="G944" s="367"/>
      <c r="H944" s="367"/>
      <c r="I944" s="367"/>
      <c r="J944" s="54" t="s">
        <v>3006</v>
      </c>
      <c r="K944" s="48" t="s">
        <v>3017</v>
      </c>
      <c r="L944" s="150" t="s">
        <v>660</v>
      </c>
      <c r="M944" s="150" t="s">
        <v>65</v>
      </c>
      <c r="N944" s="150"/>
      <c r="O944" s="150"/>
      <c r="P944" s="367"/>
      <c r="Q944" s="367">
        <v>2</v>
      </c>
      <c r="R944" s="367"/>
      <c r="S944" s="367"/>
      <c r="T944" s="367">
        <v>19</v>
      </c>
      <c r="U944" s="367"/>
      <c r="V944" s="367"/>
      <c r="W944" s="367"/>
      <c r="X944" s="367" t="s">
        <v>1752</v>
      </c>
      <c r="Y944" s="367"/>
      <c r="Z944" s="367"/>
      <c r="AA944" s="367"/>
      <c r="AB944" s="150"/>
      <c r="AC944" s="48" t="s">
        <v>3021</v>
      </c>
      <c r="AD944" s="150" t="s">
        <v>819</v>
      </c>
      <c r="AE944" s="296">
        <v>46150</v>
      </c>
      <c r="AF944" s="296"/>
      <c r="AG944" s="286">
        <v>46315</v>
      </c>
      <c r="AH944" s="49">
        <v>46295</v>
      </c>
      <c r="AI944" s="266">
        <v>46266</v>
      </c>
      <c r="AJ944" s="150" t="s">
        <v>617</v>
      </c>
      <c r="AK944" s="150" t="s">
        <v>200</v>
      </c>
      <c r="AL944" s="150"/>
      <c r="AM944" s="150" t="s">
        <v>2086</v>
      </c>
      <c r="AN944" s="367"/>
      <c r="AO944" s="367"/>
      <c r="AP944" s="367"/>
      <c r="AQ944" s="367"/>
      <c r="AR944" s="367"/>
      <c r="AS944" s="367"/>
      <c r="AT944" s="367"/>
      <c r="AU944" s="367"/>
      <c r="AV944" s="367"/>
      <c r="AW944" s="367"/>
      <c r="AX944" s="367"/>
      <c r="AY944" s="367"/>
      <c r="AZ944" s="367"/>
      <c r="BA944" s="367"/>
      <c r="BB944" s="152"/>
      <c r="BC944" s="152"/>
      <c r="BD944" s="367" t="s">
        <v>2455</v>
      </c>
      <c r="BE944" s="367"/>
      <c r="BF944" s="367"/>
      <c r="BG944" s="367"/>
      <c r="BH944" s="260"/>
      <c r="BL944" s="54"/>
    </row>
    <row r="945" spans="1:64" ht="37.950000000000003" customHeight="1" x14ac:dyDescent="0.3">
      <c r="A945" s="367">
        <f t="shared" si="18"/>
        <v>940</v>
      </c>
      <c r="B945" s="54" t="s">
        <v>3022</v>
      </c>
      <c r="C945" s="367" t="s">
        <v>5</v>
      </c>
      <c r="D945" s="367" t="s">
        <v>262</v>
      </c>
      <c r="E945" s="367"/>
      <c r="F945" s="367"/>
      <c r="G945" s="367"/>
      <c r="H945" s="367"/>
      <c r="I945" s="367"/>
      <c r="J945" s="54" t="s">
        <v>3006</v>
      </c>
      <c r="K945" s="48" t="s">
        <v>3023</v>
      </c>
      <c r="L945" s="150" t="s">
        <v>660</v>
      </c>
      <c r="M945" s="150" t="s">
        <v>120</v>
      </c>
      <c r="N945" s="150"/>
      <c r="O945" s="150"/>
      <c r="P945" s="367"/>
      <c r="Q945" s="367"/>
      <c r="R945" s="367"/>
      <c r="S945" s="367"/>
      <c r="T945" s="367">
        <v>39</v>
      </c>
      <c r="U945" s="367"/>
      <c r="V945" s="367"/>
      <c r="W945" s="367"/>
      <c r="X945" s="367" t="s">
        <v>1752</v>
      </c>
      <c r="Y945" s="367"/>
      <c r="Z945" s="367"/>
      <c r="AA945" s="367"/>
      <c r="AB945" s="150"/>
      <c r="AC945" s="48" t="s">
        <v>3024</v>
      </c>
      <c r="AD945" s="150" t="s">
        <v>814</v>
      </c>
      <c r="AE945" s="296">
        <v>46150</v>
      </c>
      <c r="AF945" s="296"/>
      <c r="AG945" s="286">
        <v>46315</v>
      </c>
      <c r="AH945" s="49">
        <v>46295</v>
      </c>
      <c r="AI945" s="266">
        <v>46266</v>
      </c>
      <c r="AJ945" s="150" t="s">
        <v>617</v>
      </c>
      <c r="AK945" s="150" t="s">
        <v>200</v>
      </c>
      <c r="AL945" s="150"/>
      <c r="AM945" s="150" t="s">
        <v>2079</v>
      </c>
      <c r="AN945" s="367"/>
      <c r="AO945" s="367"/>
      <c r="AP945" s="367"/>
      <c r="AQ945" s="367"/>
      <c r="AR945" s="367"/>
      <c r="AS945" s="367"/>
      <c r="AT945" s="367"/>
      <c r="AU945" s="367"/>
      <c r="AV945" s="367"/>
      <c r="AW945" s="367"/>
      <c r="AX945" s="367"/>
      <c r="AY945" s="367"/>
      <c r="AZ945" s="367"/>
      <c r="BA945" s="367"/>
      <c r="BB945" s="152" t="s">
        <v>3019</v>
      </c>
      <c r="BC945" s="152"/>
      <c r="BD945" s="367" t="s">
        <v>2455</v>
      </c>
      <c r="BE945" s="367"/>
      <c r="BF945" s="367"/>
      <c r="BG945" s="367"/>
      <c r="BH945" s="260"/>
      <c r="BL945" s="54"/>
    </row>
    <row r="946" spans="1:64" ht="37.950000000000003" customHeight="1" x14ac:dyDescent="0.3">
      <c r="A946" s="367">
        <f t="shared" si="18"/>
        <v>941</v>
      </c>
      <c r="B946" s="54" t="s">
        <v>3025</v>
      </c>
      <c r="C946" s="367" t="s">
        <v>5</v>
      </c>
      <c r="D946" s="367" t="s">
        <v>262</v>
      </c>
      <c r="E946" s="367"/>
      <c r="F946" s="367"/>
      <c r="G946" s="367"/>
      <c r="H946" s="367"/>
      <c r="I946" s="367"/>
      <c r="J946" s="54" t="s">
        <v>3006</v>
      </c>
      <c r="K946" s="48" t="s">
        <v>3023</v>
      </c>
      <c r="L946" s="150" t="s">
        <v>660</v>
      </c>
      <c r="M946" s="150" t="s">
        <v>120</v>
      </c>
      <c r="N946" s="150"/>
      <c r="O946" s="150"/>
      <c r="P946" s="367"/>
      <c r="Q946" s="367"/>
      <c r="R946" s="367"/>
      <c r="S946" s="367"/>
      <c r="T946" s="367">
        <v>39</v>
      </c>
      <c r="U946" s="367"/>
      <c r="V946" s="367"/>
      <c r="W946" s="367"/>
      <c r="X946" s="367"/>
      <c r="Y946" s="367"/>
      <c r="Z946" s="367"/>
      <c r="AA946" s="367"/>
      <c r="AB946" s="150" t="s">
        <v>866</v>
      </c>
      <c r="AC946" s="48" t="s">
        <v>3026</v>
      </c>
      <c r="AD946" s="150" t="s">
        <v>1079</v>
      </c>
      <c r="AE946" s="296"/>
      <c r="AF946" s="296"/>
      <c r="AG946" s="286">
        <v>46315</v>
      </c>
      <c r="AH946" s="49">
        <v>46295</v>
      </c>
      <c r="AI946" s="266">
        <v>46266</v>
      </c>
      <c r="AJ946" s="150" t="s">
        <v>617</v>
      </c>
      <c r="AK946" s="150" t="s">
        <v>200</v>
      </c>
      <c r="AL946" s="150"/>
      <c r="AM946" s="150" t="s">
        <v>2079</v>
      </c>
      <c r="AN946" s="367"/>
      <c r="AO946" s="367"/>
      <c r="AP946" s="367"/>
      <c r="AQ946" s="367"/>
      <c r="AR946" s="367"/>
      <c r="AS946" s="367"/>
      <c r="AT946" s="367"/>
      <c r="AU946" s="367"/>
      <c r="AV946" s="367"/>
      <c r="AW946" s="367"/>
      <c r="AX946" s="367"/>
      <c r="AY946" s="367"/>
      <c r="AZ946" s="367"/>
      <c r="BA946" s="367"/>
      <c r="BB946" s="152"/>
      <c r="BC946" s="152"/>
      <c r="BD946" s="367" t="s">
        <v>2455</v>
      </c>
      <c r="BE946" s="367"/>
      <c r="BF946" s="367"/>
      <c r="BG946" s="367"/>
      <c r="BH946" s="260"/>
      <c r="BL946" s="54"/>
    </row>
    <row r="947" spans="1:64" ht="37.950000000000003" customHeight="1" x14ac:dyDescent="0.3">
      <c r="A947" s="367">
        <f t="shared" si="18"/>
        <v>942</v>
      </c>
      <c r="B947" s="54" t="s">
        <v>3027</v>
      </c>
      <c r="C947" s="367" t="s">
        <v>5</v>
      </c>
      <c r="D947" s="367" t="s">
        <v>262</v>
      </c>
      <c r="E947" s="367"/>
      <c r="F947" s="367"/>
      <c r="G947" s="367"/>
      <c r="H947" s="367"/>
      <c r="I947" s="367"/>
      <c r="J947" s="54" t="s">
        <v>3006</v>
      </c>
      <c r="K947" s="48" t="s">
        <v>3023</v>
      </c>
      <c r="L947" s="150" t="s">
        <v>660</v>
      </c>
      <c r="M947" s="150" t="s">
        <v>120</v>
      </c>
      <c r="N947" s="150"/>
      <c r="O947" s="150"/>
      <c r="P947" s="367"/>
      <c r="Q947" s="367"/>
      <c r="R947" s="367"/>
      <c r="S947" s="367"/>
      <c r="T947" s="367">
        <v>39</v>
      </c>
      <c r="U947" s="367"/>
      <c r="V947" s="367"/>
      <c r="W947" s="367"/>
      <c r="X947" s="367" t="s">
        <v>1752</v>
      </c>
      <c r="Y947" s="367"/>
      <c r="Z947" s="367"/>
      <c r="AA947" s="367"/>
      <c r="AB947" s="150"/>
      <c r="AC947" s="48" t="s">
        <v>3028</v>
      </c>
      <c r="AD947" s="150" t="s">
        <v>819</v>
      </c>
      <c r="AE947" s="296">
        <v>46150</v>
      </c>
      <c r="AF947" s="296"/>
      <c r="AG947" s="286">
        <v>46315</v>
      </c>
      <c r="AH947" s="49">
        <v>46295</v>
      </c>
      <c r="AI947" s="266">
        <v>46266</v>
      </c>
      <c r="AJ947" s="150" t="s">
        <v>617</v>
      </c>
      <c r="AK947" s="150" t="s">
        <v>200</v>
      </c>
      <c r="AL947" s="150"/>
      <c r="AM947" s="150" t="s">
        <v>2086</v>
      </c>
      <c r="AN947" s="367"/>
      <c r="AO947" s="367"/>
      <c r="AP947" s="367"/>
      <c r="AQ947" s="367"/>
      <c r="AR947" s="367"/>
      <c r="AS947" s="367"/>
      <c r="AT947" s="367"/>
      <c r="AU947" s="367"/>
      <c r="AV947" s="367"/>
      <c r="AW947" s="367"/>
      <c r="AX947" s="367"/>
      <c r="AY947" s="367"/>
      <c r="AZ947" s="367"/>
      <c r="BA947" s="367"/>
      <c r="BB947" s="152"/>
      <c r="BC947" s="152"/>
      <c r="BD947" s="367" t="s">
        <v>2455</v>
      </c>
      <c r="BE947" s="367"/>
      <c r="BF947" s="367"/>
      <c r="BG947" s="367"/>
      <c r="BH947" s="260"/>
      <c r="BL947" s="54"/>
    </row>
    <row r="948" spans="1:64" ht="37.950000000000003" customHeight="1" x14ac:dyDescent="0.3">
      <c r="A948" s="367">
        <f t="shared" si="18"/>
        <v>943</v>
      </c>
      <c r="B948" s="54" t="s">
        <v>3029</v>
      </c>
      <c r="C948" s="367" t="s">
        <v>5</v>
      </c>
      <c r="D948" s="367" t="s">
        <v>262</v>
      </c>
      <c r="E948" s="367"/>
      <c r="F948" s="367"/>
      <c r="G948" s="367"/>
      <c r="H948" s="367"/>
      <c r="I948" s="367"/>
      <c r="J948" s="54" t="s">
        <v>3006</v>
      </c>
      <c r="K948" s="48" t="s">
        <v>3030</v>
      </c>
      <c r="L948" s="150" t="s">
        <v>660</v>
      </c>
      <c r="M948" s="150" t="s">
        <v>65</v>
      </c>
      <c r="N948" s="150"/>
      <c r="O948" s="150"/>
      <c r="P948" s="367"/>
      <c r="Q948" s="367"/>
      <c r="R948" s="367"/>
      <c r="S948" s="367"/>
      <c r="T948" s="367">
        <v>39</v>
      </c>
      <c r="U948" s="367"/>
      <c r="V948" s="367"/>
      <c r="W948" s="367"/>
      <c r="X948" s="367" t="s">
        <v>1752</v>
      </c>
      <c r="Y948" s="367"/>
      <c r="Z948" s="367"/>
      <c r="AA948" s="367"/>
      <c r="AB948" s="150"/>
      <c r="AC948" s="48" t="s">
        <v>3031</v>
      </c>
      <c r="AD948" s="150" t="s">
        <v>814</v>
      </c>
      <c r="AE948" s="296">
        <v>46150</v>
      </c>
      <c r="AF948" s="296"/>
      <c r="AG948" s="286">
        <v>46315</v>
      </c>
      <c r="AH948" s="49">
        <v>46295</v>
      </c>
      <c r="AI948" s="266">
        <v>46266</v>
      </c>
      <c r="AJ948" s="150" t="s">
        <v>617</v>
      </c>
      <c r="AK948" s="150" t="s">
        <v>200</v>
      </c>
      <c r="AL948" s="150"/>
      <c r="AM948" s="150" t="s">
        <v>2079</v>
      </c>
      <c r="AN948" s="367"/>
      <c r="AO948" s="367"/>
      <c r="AP948" s="367"/>
      <c r="AQ948" s="367"/>
      <c r="AR948" s="367"/>
      <c r="AS948" s="367"/>
      <c r="AT948" s="367"/>
      <c r="AU948" s="367"/>
      <c r="AV948" s="367"/>
      <c r="AW948" s="367"/>
      <c r="AX948" s="367"/>
      <c r="AY948" s="367"/>
      <c r="AZ948" s="367"/>
      <c r="BA948" s="367"/>
      <c r="BB948" s="152" t="s">
        <v>3019</v>
      </c>
      <c r="BC948" s="152"/>
      <c r="BD948" s="367" t="s">
        <v>2455</v>
      </c>
      <c r="BE948" s="367"/>
      <c r="BF948" s="367"/>
      <c r="BG948" s="367"/>
      <c r="BH948" s="260"/>
      <c r="BL948" s="54"/>
    </row>
    <row r="949" spans="1:64" ht="37.950000000000003" customHeight="1" x14ac:dyDescent="0.3">
      <c r="A949" s="367">
        <f t="shared" si="18"/>
        <v>944</v>
      </c>
      <c r="B949" s="54" t="s">
        <v>3032</v>
      </c>
      <c r="C949" s="367" t="s">
        <v>5</v>
      </c>
      <c r="D949" s="367" t="s">
        <v>262</v>
      </c>
      <c r="E949" s="367"/>
      <c r="F949" s="367"/>
      <c r="G949" s="367"/>
      <c r="H949" s="367"/>
      <c r="I949" s="367"/>
      <c r="J949" s="54" t="s">
        <v>3006</v>
      </c>
      <c r="K949" s="48" t="s">
        <v>3030</v>
      </c>
      <c r="L949" s="150" t="s">
        <v>660</v>
      </c>
      <c r="M949" s="150" t="s">
        <v>65</v>
      </c>
      <c r="N949" s="150"/>
      <c r="O949" s="150"/>
      <c r="P949" s="367"/>
      <c r="Q949" s="367"/>
      <c r="R949" s="367"/>
      <c r="S949" s="367"/>
      <c r="T949" s="367">
        <v>39</v>
      </c>
      <c r="U949" s="367"/>
      <c r="V949" s="367"/>
      <c r="W949" s="367"/>
      <c r="X949" s="367"/>
      <c r="Y949" s="367"/>
      <c r="Z949" s="367"/>
      <c r="AA949" s="367"/>
      <c r="AB949" s="150" t="s">
        <v>866</v>
      </c>
      <c r="AC949" s="48" t="s">
        <v>3033</v>
      </c>
      <c r="AD949" s="150" t="s">
        <v>1079</v>
      </c>
      <c r="AE949" s="296"/>
      <c r="AF949" s="296"/>
      <c r="AG949" s="286">
        <v>46315</v>
      </c>
      <c r="AH949" s="49">
        <v>46295</v>
      </c>
      <c r="AI949" s="266">
        <v>46266</v>
      </c>
      <c r="AJ949" s="150" t="s">
        <v>617</v>
      </c>
      <c r="AK949" s="150" t="s">
        <v>200</v>
      </c>
      <c r="AL949" s="150"/>
      <c r="AM949" s="150" t="s">
        <v>2079</v>
      </c>
      <c r="AN949" s="367"/>
      <c r="AO949" s="367"/>
      <c r="AP949" s="367"/>
      <c r="AQ949" s="367"/>
      <c r="AR949" s="367"/>
      <c r="AS949" s="367"/>
      <c r="AT949" s="367"/>
      <c r="AU949" s="367"/>
      <c r="AV949" s="367"/>
      <c r="AW949" s="367"/>
      <c r="AX949" s="367"/>
      <c r="AY949" s="367"/>
      <c r="AZ949" s="367"/>
      <c r="BA949" s="367"/>
      <c r="BB949" s="152"/>
      <c r="BC949" s="152"/>
      <c r="BD949" s="367" t="s">
        <v>2455</v>
      </c>
      <c r="BE949" s="367"/>
      <c r="BF949" s="367"/>
      <c r="BG949" s="367"/>
      <c r="BH949" s="260"/>
      <c r="BL949" s="54"/>
    </row>
    <row r="950" spans="1:64" ht="37.950000000000003" customHeight="1" x14ac:dyDescent="0.3">
      <c r="A950" s="367">
        <f t="shared" si="18"/>
        <v>945</v>
      </c>
      <c r="B950" s="54" t="s">
        <v>3034</v>
      </c>
      <c r="C950" s="367" t="s">
        <v>5</v>
      </c>
      <c r="D950" s="367" t="s">
        <v>262</v>
      </c>
      <c r="E950" s="367"/>
      <c r="F950" s="367"/>
      <c r="G950" s="367"/>
      <c r="H950" s="367"/>
      <c r="I950" s="367"/>
      <c r="J950" s="54" t="s">
        <v>3006</v>
      </c>
      <c r="K950" s="48" t="s">
        <v>3030</v>
      </c>
      <c r="L950" s="150" t="s">
        <v>660</v>
      </c>
      <c r="M950" s="150" t="s">
        <v>65</v>
      </c>
      <c r="N950" s="150"/>
      <c r="O950" s="150"/>
      <c r="P950" s="367"/>
      <c r="Q950" s="367"/>
      <c r="R950" s="367"/>
      <c r="S950" s="367"/>
      <c r="T950" s="367">
        <v>39</v>
      </c>
      <c r="U950" s="367"/>
      <c r="V950" s="367"/>
      <c r="W950" s="367"/>
      <c r="X950" s="367" t="s">
        <v>1752</v>
      </c>
      <c r="Y950" s="367"/>
      <c r="Z950" s="367"/>
      <c r="AA950" s="367"/>
      <c r="AB950" s="150"/>
      <c r="AC950" s="48" t="s">
        <v>3035</v>
      </c>
      <c r="AD950" s="150" t="s">
        <v>819</v>
      </c>
      <c r="AE950" s="296">
        <v>46150</v>
      </c>
      <c r="AF950" s="296"/>
      <c r="AG950" s="286">
        <v>46315</v>
      </c>
      <c r="AH950" s="49">
        <v>46295</v>
      </c>
      <c r="AI950" s="266">
        <v>46266</v>
      </c>
      <c r="AJ950" s="150" t="s">
        <v>617</v>
      </c>
      <c r="AK950" s="150" t="s">
        <v>200</v>
      </c>
      <c r="AL950" s="150"/>
      <c r="AM950" s="150" t="s">
        <v>2086</v>
      </c>
      <c r="AN950" s="367"/>
      <c r="AO950" s="367"/>
      <c r="AP950" s="367"/>
      <c r="AQ950" s="367"/>
      <c r="AR950" s="367"/>
      <c r="AS950" s="367"/>
      <c r="AT950" s="367"/>
      <c r="AU950" s="367"/>
      <c r="AV950" s="367"/>
      <c r="AW950" s="367"/>
      <c r="AX950" s="367"/>
      <c r="AY950" s="367"/>
      <c r="AZ950" s="367"/>
      <c r="BA950" s="367"/>
      <c r="BB950" s="152"/>
      <c r="BC950" s="152"/>
      <c r="BD950" s="367" t="s">
        <v>2455</v>
      </c>
      <c r="BE950" s="367"/>
      <c r="BF950" s="367"/>
      <c r="BG950" s="367"/>
      <c r="BH950" s="260"/>
      <c r="BL950" s="54"/>
    </row>
    <row r="951" spans="1:64" ht="37.950000000000003" customHeight="1" x14ac:dyDescent="0.3">
      <c r="A951" s="367">
        <f t="shared" si="18"/>
        <v>946</v>
      </c>
      <c r="B951" s="331" t="s">
        <v>3036</v>
      </c>
      <c r="C951" s="367" t="s">
        <v>5</v>
      </c>
      <c r="D951" s="367" t="s">
        <v>262</v>
      </c>
      <c r="E951" s="367"/>
      <c r="F951" s="367"/>
      <c r="G951" s="367"/>
      <c r="H951" s="367"/>
      <c r="I951" s="367"/>
      <c r="J951" s="54" t="s">
        <v>3037</v>
      </c>
      <c r="K951" s="365" t="s">
        <v>3038</v>
      </c>
      <c r="L951" s="150" t="s">
        <v>660</v>
      </c>
      <c r="M951" s="150" t="s">
        <v>65</v>
      </c>
      <c r="N951" s="150"/>
      <c r="O951" s="150"/>
      <c r="P951" s="367"/>
      <c r="Q951" s="367">
        <v>1.5</v>
      </c>
      <c r="R951" s="367"/>
      <c r="S951" s="367"/>
      <c r="T951" s="367">
        <v>26</v>
      </c>
      <c r="U951" s="367"/>
      <c r="V951" s="367"/>
      <c r="W951" s="367"/>
      <c r="X951" s="367" t="s">
        <v>1752</v>
      </c>
      <c r="Y951" s="367"/>
      <c r="Z951" s="367"/>
      <c r="AA951" s="367"/>
      <c r="AB951" s="150"/>
      <c r="AC951" s="48" t="s">
        <v>3039</v>
      </c>
      <c r="AD951" s="150" t="s">
        <v>814</v>
      </c>
      <c r="AE951" s="296">
        <v>46150</v>
      </c>
      <c r="AF951" s="296"/>
      <c r="AG951" s="286">
        <v>46315</v>
      </c>
      <c r="AH951" s="49">
        <v>46295</v>
      </c>
      <c r="AI951" s="266">
        <v>46266</v>
      </c>
      <c r="AJ951" s="150" t="s">
        <v>617</v>
      </c>
      <c r="AK951" s="150" t="s">
        <v>200</v>
      </c>
      <c r="AL951" s="150"/>
      <c r="AM951" s="150" t="s">
        <v>2079</v>
      </c>
      <c r="AN951" s="367"/>
      <c r="AO951" s="367"/>
      <c r="AP951" s="367"/>
      <c r="AQ951" s="367"/>
      <c r="AR951" s="367"/>
      <c r="AS951" s="367"/>
      <c r="AT951" s="367"/>
      <c r="AU951" s="367"/>
      <c r="AV951" s="367"/>
      <c r="AW951" s="367"/>
      <c r="AX951" s="367"/>
      <c r="AY951" s="367"/>
      <c r="AZ951" s="367"/>
      <c r="BA951" s="367"/>
      <c r="BB951" s="152"/>
      <c r="BC951" s="152"/>
      <c r="BD951" s="367" t="s">
        <v>2455</v>
      </c>
      <c r="BE951" s="367"/>
      <c r="BF951" s="367"/>
      <c r="BG951" s="367"/>
      <c r="BH951" s="260"/>
      <c r="BL951" s="54"/>
    </row>
    <row r="952" spans="1:64" ht="37.950000000000003" customHeight="1" x14ac:dyDescent="0.3">
      <c r="A952" s="367">
        <f t="shared" si="18"/>
        <v>947</v>
      </c>
      <c r="B952" s="54" t="s">
        <v>3040</v>
      </c>
      <c r="C952" s="367" t="s">
        <v>5</v>
      </c>
      <c r="D952" s="367" t="s">
        <v>262</v>
      </c>
      <c r="E952" s="367"/>
      <c r="F952" s="367"/>
      <c r="G952" s="367"/>
      <c r="H952" s="367"/>
      <c r="I952" s="367"/>
      <c r="J952" s="54" t="s">
        <v>3037</v>
      </c>
      <c r="K952" s="48" t="s">
        <v>3038</v>
      </c>
      <c r="L952" s="150" t="s">
        <v>660</v>
      </c>
      <c r="M952" s="150" t="s">
        <v>65</v>
      </c>
      <c r="N952" s="150"/>
      <c r="O952" s="150"/>
      <c r="P952" s="367"/>
      <c r="Q952" s="367">
        <v>1.5</v>
      </c>
      <c r="R952" s="367"/>
      <c r="S952" s="367"/>
      <c r="T952" s="367">
        <v>26</v>
      </c>
      <c r="U952" s="367"/>
      <c r="V952" s="367"/>
      <c r="W952" s="367"/>
      <c r="X952" s="367" t="s">
        <v>1752</v>
      </c>
      <c r="Y952" s="367"/>
      <c r="Z952" s="367"/>
      <c r="AA952" s="367"/>
      <c r="AB952" s="150"/>
      <c r="AC952" s="48" t="s">
        <v>3041</v>
      </c>
      <c r="AD952" s="150" t="s">
        <v>819</v>
      </c>
      <c r="AE952" s="296">
        <v>46150</v>
      </c>
      <c r="AF952" s="296"/>
      <c r="AG952" s="286">
        <v>46223</v>
      </c>
      <c r="AH952" s="49">
        <v>46213</v>
      </c>
      <c r="AI952" s="266">
        <v>46174</v>
      </c>
      <c r="AJ952" s="150" t="s">
        <v>617</v>
      </c>
      <c r="AK952" s="150" t="s">
        <v>200</v>
      </c>
      <c r="AL952" s="150"/>
      <c r="AM952" s="150" t="s">
        <v>2086</v>
      </c>
      <c r="AN952" s="367"/>
      <c r="AO952" s="367"/>
      <c r="AP952" s="367"/>
      <c r="AQ952" s="367"/>
      <c r="AR952" s="367"/>
      <c r="AS952" s="367"/>
      <c r="AT952" s="367"/>
      <c r="AU952" s="367"/>
      <c r="AV952" s="367"/>
      <c r="AW952" s="367"/>
      <c r="AX952" s="367"/>
      <c r="AY952" s="367"/>
      <c r="AZ952" s="367"/>
      <c r="BA952" s="367"/>
      <c r="BB952" s="152"/>
      <c r="BC952" s="152"/>
      <c r="BD952" s="367" t="s">
        <v>2455</v>
      </c>
      <c r="BE952" s="367"/>
      <c r="BF952" s="367"/>
      <c r="BG952" s="367"/>
      <c r="BH952" s="260"/>
      <c r="BL952" s="54"/>
    </row>
    <row r="953" spans="1:64" ht="37.950000000000003" customHeight="1" x14ac:dyDescent="0.3">
      <c r="A953" s="367">
        <f t="shared" si="18"/>
        <v>948</v>
      </c>
      <c r="B953" s="331" t="s">
        <v>3042</v>
      </c>
      <c r="C953" s="367" t="s">
        <v>5</v>
      </c>
      <c r="D953" s="367" t="s">
        <v>262</v>
      </c>
      <c r="E953" s="367"/>
      <c r="F953" s="367"/>
      <c r="G953" s="367"/>
      <c r="H953" s="367"/>
      <c r="I953" s="367"/>
      <c r="J953" s="54" t="s">
        <v>3037</v>
      </c>
      <c r="K953" s="365" t="s">
        <v>3043</v>
      </c>
      <c r="L953" s="150" t="s">
        <v>660</v>
      </c>
      <c r="M953" s="150" t="s">
        <v>120</v>
      </c>
      <c r="N953" s="150"/>
      <c r="O953" s="150"/>
      <c r="P953" s="367"/>
      <c r="Q953" s="367"/>
      <c r="R953" s="367"/>
      <c r="S953" s="367"/>
      <c r="T953" s="367">
        <v>26</v>
      </c>
      <c r="U953" s="367"/>
      <c r="V953" s="367"/>
      <c r="W953" s="367"/>
      <c r="X953" s="367" t="s">
        <v>1752</v>
      </c>
      <c r="Y953" s="367"/>
      <c r="Z953" s="367" t="s">
        <v>127</v>
      </c>
      <c r="AA953" s="367"/>
      <c r="AB953" s="150"/>
      <c r="AC953" s="48" t="s">
        <v>3044</v>
      </c>
      <c r="AD953" s="150" t="s">
        <v>814</v>
      </c>
      <c r="AE953" s="296">
        <v>46150</v>
      </c>
      <c r="AF953" s="296"/>
      <c r="AG953" s="286">
        <v>46223</v>
      </c>
      <c r="AH953" s="49">
        <v>46213</v>
      </c>
      <c r="AI953" s="266">
        <v>46174</v>
      </c>
      <c r="AJ953" s="150" t="s">
        <v>617</v>
      </c>
      <c r="AK953" s="150" t="s">
        <v>200</v>
      </c>
      <c r="AL953" s="150"/>
      <c r="AM953" s="150" t="s">
        <v>2079</v>
      </c>
      <c r="AN953" s="367"/>
      <c r="AO953" s="367"/>
      <c r="AP953" s="367"/>
      <c r="AQ953" s="367"/>
      <c r="AR953" s="367"/>
      <c r="AS953" s="367"/>
      <c r="AT953" s="367"/>
      <c r="AU953" s="367"/>
      <c r="AV953" s="367"/>
      <c r="AW953" s="367"/>
      <c r="AX953" s="367"/>
      <c r="AY953" s="367"/>
      <c r="AZ953" s="367"/>
      <c r="BA953" s="367"/>
      <c r="BB953" s="152"/>
      <c r="BC953" s="152"/>
      <c r="BD953" s="367" t="s">
        <v>2455</v>
      </c>
      <c r="BE953" s="367"/>
      <c r="BF953" s="367"/>
      <c r="BG953" s="367"/>
      <c r="BH953" s="260"/>
      <c r="BL953" s="54"/>
    </row>
    <row r="954" spans="1:64" ht="37.950000000000003" customHeight="1" x14ac:dyDescent="0.3">
      <c r="A954" s="367">
        <f t="shared" si="18"/>
        <v>949</v>
      </c>
      <c r="B954" s="54" t="s">
        <v>3045</v>
      </c>
      <c r="C954" s="367" t="s">
        <v>5</v>
      </c>
      <c r="D954" s="367" t="s">
        <v>262</v>
      </c>
      <c r="E954" s="367"/>
      <c r="F954" s="367"/>
      <c r="G954" s="367"/>
      <c r="H954" s="367"/>
      <c r="I954" s="367"/>
      <c r="J954" s="54" t="s">
        <v>3037</v>
      </c>
      <c r="K954" s="48" t="s">
        <v>3043</v>
      </c>
      <c r="L954" s="150" t="s">
        <v>1921</v>
      </c>
      <c r="M954" s="150" t="s">
        <v>120</v>
      </c>
      <c r="N954" s="150"/>
      <c r="O954" s="150"/>
      <c r="P954" s="367"/>
      <c r="Q954" s="367"/>
      <c r="R954" s="367"/>
      <c r="S954" s="367"/>
      <c r="T954" s="367">
        <v>26</v>
      </c>
      <c r="U954" s="367"/>
      <c r="V954" s="367"/>
      <c r="W954" s="367"/>
      <c r="X954" s="367" t="s">
        <v>1752</v>
      </c>
      <c r="Y954" s="367"/>
      <c r="Z954" s="367"/>
      <c r="AA954" s="367"/>
      <c r="AB954" s="150"/>
      <c r="AC954" s="48" t="s">
        <v>3046</v>
      </c>
      <c r="AD954" s="150" t="s">
        <v>819</v>
      </c>
      <c r="AE954" s="296">
        <v>46150</v>
      </c>
      <c r="AF954" s="296"/>
      <c r="AG954" s="286">
        <v>46223</v>
      </c>
      <c r="AH954" s="49">
        <v>46213</v>
      </c>
      <c r="AI954" s="266">
        <v>46174</v>
      </c>
      <c r="AJ954" s="150" t="s">
        <v>617</v>
      </c>
      <c r="AK954" s="150" t="s">
        <v>200</v>
      </c>
      <c r="AL954" s="150"/>
      <c r="AM954" s="150" t="s">
        <v>2086</v>
      </c>
      <c r="AN954" s="367"/>
      <c r="AO954" s="367"/>
      <c r="AP954" s="367"/>
      <c r="AQ954" s="367"/>
      <c r="AR954" s="367"/>
      <c r="AS954" s="367"/>
      <c r="AT954" s="367"/>
      <c r="AU954" s="367"/>
      <c r="AV954" s="367"/>
      <c r="AW954" s="367"/>
      <c r="AX954" s="367"/>
      <c r="AY954" s="367"/>
      <c r="AZ954" s="367"/>
      <c r="BA954" s="367"/>
      <c r="BB954" s="152"/>
      <c r="BC954" s="152"/>
      <c r="BD954" s="367" t="s">
        <v>2455</v>
      </c>
      <c r="BE954" s="367"/>
      <c r="BF954" s="367"/>
      <c r="BG954" s="367"/>
      <c r="BH954" s="260"/>
      <c r="BL954" s="54"/>
    </row>
    <row r="955" spans="1:64" ht="37.950000000000003" customHeight="1" x14ac:dyDescent="0.3">
      <c r="A955" s="367">
        <f t="shared" si="18"/>
        <v>950</v>
      </c>
      <c r="B955" s="331" t="s">
        <v>3047</v>
      </c>
      <c r="C955" s="367" t="s">
        <v>5</v>
      </c>
      <c r="D955" s="367" t="s">
        <v>262</v>
      </c>
      <c r="E955" s="367"/>
      <c r="F955" s="367"/>
      <c r="G955" s="367"/>
      <c r="H955" s="367"/>
      <c r="I955" s="367"/>
      <c r="J955" s="54" t="s">
        <v>3037</v>
      </c>
      <c r="K955" s="365" t="s">
        <v>3048</v>
      </c>
      <c r="L955" s="150" t="s">
        <v>660</v>
      </c>
      <c r="M955" s="150" t="s">
        <v>65</v>
      </c>
      <c r="N955" s="150"/>
      <c r="O955" s="150"/>
      <c r="P955" s="367"/>
      <c r="Q955" s="367">
        <v>1.5</v>
      </c>
      <c r="R955" s="367"/>
      <c r="S955" s="367"/>
      <c r="T955" s="367">
        <v>26</v>
      </c>
      <c r="U955" s="367"/>
      <c r="V955" s="367"/>
      <c r="W955" s="367"/>
      <c r="X955" s="367" t="s">
        <v>1752</v>
      </c>
      <c r="Y955" s="367"/>
      <c r="Z955" s="367"/>
      <c r="AA955" s="367"/>
      <c r="AB955" s="150"/>
      <c r="AC955" s="48" t="s">
        <v>3049</v>
      </c>
      <c r="AD955" s="150" t="s">
        <v>814</v>
      </c>
      <c r="AE955" s="296">
        <v>46150</v>
      </c>
      <c r="AF955" s="296"/>
      <c r="AG955" s="286">
        <v>46223</v>
      </c>
      <c r="AH955" s="49">
        <v>46213</v>
      </c>
      <c r="AI955" s="266">
        <v>46174</v>
      </c>
      <c r="AJ955" s="150" t="s">
        <v>617</v>
      </c>
      <c r="AK955" s="150" t="s">
        <v>200</v>
      </c>
      <c r="AL955" s="150"/>
      <c r="AM955" s="150" t="s">
        <v>209</v>
      </c>
      <c r="AN955" s="367"/>
      <c r="AO955" s="367"/>
      <c r="AP955" s="367"/>
      <c r="AQ955" s="367"/>
      <c r="AR955" s="367"/>
      <c r="AS955" s="367"/>
      <c r="AT955" s="367"/>
      <c r="AU955" s="367"/>
      <c r="AV955" s="367"/>
      <c r="AW955" s="367"/>
      <c r="AX955" s="367"/>
      <c r="AY955" s="367"/>
      <c r="AZ955" s="367"/>
      <c r="BA955" s="367"/>
      <c r="BB955" s="152"/>
      <c r="BC955" s="152"/>
      <c r="BD955" s="367" t="s">
        <v>2455</v>
      </c>
      <c r="BE955" s="367"/>
      <c r="BF955" s="367"/>
      <c r="BG955" s="367"/>
      <c r="BH955" s="260"/>
      <c r="BL955" s="54"/>
    </row>
    <row r="956" spans="1:64" ht="37.950000000000003" customHeight="1" x14ac:dyDescent="0.3">
      <c r="A956" s="367">
        <f t="shared" si="18"/>
        <v>951</v>
      </c>
      <c r="B956" s="54" t="s">
        <v>3050</v>
      </c>
      <c r="C956" s="367" t="s">
        <v>5</v>
      </c>
      <c r="D956" s="367" t="s">
        <v>262</v>
      </c>
      <c r="E956" s="367"/>
      <c r="F956" s="367"/>
      <c r="G956" s="367"/>
      <c r="H956" s="367"/>
      <c r="I956" s="367"/>
      <c r="J956" s="54" t="s">
        <v>3037</v>
      </c>
      <c r="K956" s="48" t="s">
        <v>3048</v>
      </c>
      <c r="L956" s="150" t="s">
        <v>660</v>
      </c>
      <c r="M956" s="150" t="s">
        <v>65</v>
      </c>
      <c r="N956" s="150"/>
      <c r="O956" s="150"/>
      <c r="P956" s="367"/>
      <c r="Q956" s="367">
        <v>1.5</v>
      </c>
      <c r="R956" s="367"/>
      <c r="S956" s="367"/>
      <c r="T956" s="367">
        <v>26</v>
      </c>
      <c r="U956" s="367"/>
      <c r="V956" s="367"/>
      <c r="W956" s="367"/>
      <c r="X956" s="367"/>
      <c r="Y956" s="367"/>
      <c r="Z956" s="367"/>
      <c r="AA956" s="367"/>
      <c r="AB956" s="150"/>
      <c r="AC956" s="48" t="s">
        <v>3051</v>
      </c>
      <c r="AD956" s="150" t="s">
        <v>165</v>
      </c>
      <c r="AE956" s="296"/>
      <c r="AF956" s="296"/>
      <c r="AG956" s="286">
        <v>46223</v>
      </c>
      <c r="AH956" s="49">
        <v>46213</v>
      </c>
      <c r="AI956" s="266">
        <v>46204</v>
      </c>
      <c r="AJ956" s="150" t="s">
        <v>617</v>
      </c>
      <c r="AK956" s="150" t="s">
        <v>200</v>
      </c>
      <c r="AL956" s="150"/>
      <c r="AM956" s="150" t="s">
        <v>134</v>
      </c>
      <c r="AN956" s="367"/>
      <c r="AO956" s="367"/>
      <c r="AP956" s="367"/>
      <c r="AQ956" s="367"/>
      <c r="AR956" s="367"/>
      <c r="AS956" s="367"/>
      <c r="AT956" s="367"/>
      <c r="AU956" s="367"/>
      <c r="AV956" s="367"/>
      <c r="AW956" s="367"/>
      <c r="AX956" s="367"/>
      <c r="AY956" s="367"/>
      <c r="AZ956" s="367"/>
      <c r="BA956" s="367"/>
      <c r="BB956" s="152" t="s">
        <v>3052</v>
      </c>
      <c r="BC956" s="152"/>
      <c r="BD956" s="367" t="s">
        <v>2455</v>
      </c>
      <c r="BE956" s="367"/>
      <c r="BF956" s="367"/>
      <c r="BG956" s="367"/>
      <c r="BH956" s="260"/>
      <c r="BL956" s="54"/>
    </row>
    <row r="957" spans="1:64" ht="37.950000000000003" customHeight="1" x14ac:dyDescent="0.3">
      <c r="A957" s="367">
        <f t="shared" si="18"/>
        <v>952</v>
      </c>
      <c r="B957" s="54" t="s">
        <v>3053</v>
      </c>
      <c r="C957" s="367" t="s">
        <v>5</v>
      </c>
      <c r="D957" s="367" t="s">
        <v>262</v>
      </c>
      <c r="E957" s="367"/>
      <c r="F957" s="367"/>
      <c r="G957" s="367"/>
      <c r="H957" s="367"/>
      <c r="I957" s="367"/>
      <c r="J957" s="54" t="s">
        <v>3037</v>
      </c>
      <c r="K957" s="48" t="s">
        <v>3048</v>
      </c>
      <c r="L957" s="150" t="s">
        <v>660</v>
      </c>
      <c r="M957" s="150" t="s">
        <v>65</v>
      </c>
      <c r="N957" s="150"/>
      <c r="O957" s="150"/>
      <c r="P957" s="367"/>
      <c r="Q957" s="367">
        <v>1.5</v>
      </c>
      <c r="R957" s="367"/>
      <c r="S957" s="367"/>
      <c r="T957" s="367">
        <v>26</v>
      </c>
      <c r="U957" s="367"/>
      <c r="V957" s="367"/>
      <c r="W957" s="367"/>
      <c r="X957" s="367"/>
      <c r="Y957" s="367"/>
      <c r="Z957" s="367"/>
      <c r="AA957" s="367"/>
      <c r="AB957" s="150"/>
      <c r="AC957" s="48" t="s">
        <v>3051</v>
      </c>
      <c r="AD957" s="150" t="s">
        <v>165</v>
      </c>
      <c r="AE957" s="296"/>
      <c r="AF957" s="296"/>
      <c r="AG957" s="286">
        <v>46223</v>
      </c>
      <c r="AH957" s="49">
        <v>46213</v>
      </c>
      <c r="AI957" s="266">
        <v>46204</v>
      </c>
      <c r="AJ957" s="150" t="s">
        <v>617</v>
      </c>
      <c r="AK957" s="150" t="s">
        <v>200</v>
      </c>
      <c r="AL957" s="150"/>
      <c r="AM957" s="150" t="s">
        <v>134</v>
      </c>
      <c r="AN957" s="367"/>
      <c r="AO957" s="367"/>
      <c r="AP957" s="367"/>
      <c r="AQ957" s="367"/>
      <c r="AR957" s="367"/>
      <c r="AS957" s="367"/>
      <c r="AT957" s="367"/>
      <c r="AU957" s="367"/>
      <c r="AV957" s="367"/>
      <c r="AW957" s="367"/>
      <c r="AX957" s="367"/>
      <c r="AY957" s="367"/>
      <c r="AZ957" s="367"/>
      <c r="BA957" s="367"/>
      <c r="BB957" s="152" t="s">
        <v>3052</v>
      </c>
      <c r="BC957" s="152"/>
      <c r="BD957" s="367" t="s">
        <v>2455</v>
      </c>
      <c r="BE957" s="367"/>
      <c r="BF957" s="367"/>
      <c r="BG957" s="367"/>
      <c r="BH957" s="260"/>
      <c r="BL957" s="54"/>
    </row>
    <row r="958" spans="1:64" ht="37.950000000000003" customHeight="1" x14ac:dyDescent="0.3">
      <c r="A958" s="367">
        <f t="shared" si="18"/>
        <v>953</v>
      </c>
      <c r="B958" s="54" t="s">
        <v>3054</v>
      </c>
      <c r="C958" s="367" t="s">
        <v>5</v>
      </c>
      <c r="D958" s="367" t="s">
        <v>262</v>
      </c>
      <c r="E958" s="367"/>
      <c r="F958" s="367"/>
      <c r="G958" s="367"/>
      <c r="H958" s="367"/>
      <c r="I958" s="367"/>
      <c r="J958" s="54" t="s">
        <v>3037</v>
      </c>
      <c r="K958" s="48" t="s">
        <v>3048</v>
      </c>
      <c r="L958" s="150" t="s">
        <v>660</v>
      </c>
      <c r="M958" s="150" t="s">
        <v>65</v>
      </c>
      <c r="N958" s="150"/>
      <c r="O958" s="150"/>
      <c r="P958" s="367"/>
      <c r="Q958" s="367">
        <v>1.5</v>
      </c>
      <c r="R958" s="367"/>
      <c r="S958" s="367"/>
      <c r="T958" s="367">
        <v>26</v>
      </c>
      <c r="U958" s="367"/>
      <c r="V958" s="367"/>
      <c r="W958" s="367"/>
      <c r="X958" s="367" t="s">
        <v>1752</v>
      </c>
      <c r="Y958" s="367"/>
      <c r="Z958" s="367"/>
      <c r="AA958" s="367"/>
      <c r="AB958" s="150"/>
      <c r="AC958" s="48" t="s">
        <v>3055</v>
      </c>
      <c r="AD958" s="150" t="s">
        <v>819</v>
      </c>
      <c r="AE958" s="296">
        <v>46150</v>
      </c>
      <c r="AF958" s="296"/>
      <c r="AG958" s="286">
        <v>46223</v>
      </c>
      <c r="AH958" s="49">
        <v>46213</v>
      </c>
      <c r="AI958" s="266">
        <v>46174</v>
      </c>
      <c r="AJ958" s="150" t="s">
        <v>617</v>
      </c>
      <c r="AK958" s="150" t="s">
        <v>200</v>
      </c>
      <c r="AL958" s="150"/>
      <c r="AM958" s="150" t="s">
        <v>2086</v>
      </c>
      <c r="AN958" s="367"/>
      <c r="AO958" s="367"/>
      <c r="AP958" s="367"/>
      <c r="AQ958" s="367"/>
      <c r="AR958" s="367"/>
      <c r="AS958" s="367"/>
      <c r="AT958" s="367"/>
      <c r="AU958" s="367"/>
      <c r="AV958" s="367"/>
      <c r="AW958" s="367"/>
      <c r="AX958" s="367"/>
      <c r="AY958" s="367"/>
      <c r="AZ958" s="367"/>
      <c r="BA958" s="367"/>
      <c r="BB958" s="152"/>
      <c r="BC958" s="152"/>
      <c r="BD958" s="367" t="s">
        <v>2455</v>
      </c>
      <c r="BE958" s="367"/>
      <c r="BF958" s="367"/>
      <c r="BG958" s="367"/>
      <c r="BH958" s="260"/>
      <c r="BL958" s="54"/>
    </row>
    <row r="959" spans="1:64" ht="37.950000000000003" customHeight="1" x14ac:dyDescent="0.3">
      <c r="A959" s="367">
        <f t="shared" si="18"/>
        <v>954</v>
      </c>
      <c r="B959" s="54" t="s">
        <v>3056</v>
      </c>
      <c r="C959" s="367" t="s">
        <v>5</v>
      </c>
      <c r="D959" s="367" t="s">
        <v>262</v>
      </c>
      <c r="E959" s="367"/>
      <c r="F959" s="367"/>
      <c r="G959" s="367"/>
      <c r="H959" s="367"/>
      <c r="I959" s="367"/>
      <c r="J959" s="54" t="s">
        <v>3057</v>
      </c>
      <c r="K959" s="48" t="s">
        <v>3058</v>
      </c>
      <c r="L959" s="150" t="s">
        <v>1921</v>
      </c>
      <c r="M959" s="150" t="s">
        <v>120</v>
      </c>
      <c r="N959" s="150"/>
      <c r="O959" s="150"/>
      <c r="P959" s="367"/>
      <c r="Q959" s="367">
        <v>2</v>
      </c>
      <c r="R959" s="367"/>
      <c r="S959" s="367"/>
      <c r="T959" s="367">
        <v>19</v>
      </c>
      <c r="U959" s="367"/>
      <c r="V959" s="367"/>
      <c r="W959" s="367"/>
      <c r="X959" s="367" t="s">
        <v>1752</v>
      </c>
      <c r="Y959" s="367"/>
      <c r="Z959" s="367"/>
      <c r="AA959" s="367"/>
      <c r="AB959" s="150"/>
      <c r="AC959" s="48" t="s">
        <v>3059</v>
      </c>
      <c r="AD959" s="150" t="s">
        <v>814</v>
      </c>
      <c r="AE959" s="296">
        <v>46150</v>
      </c>
      <c r="AF959" s="296"/>
      <c r="AG959" s="286">
        <v>46223</v>
      </c>
      <c r="AH959" s="49">
        <v>46213</v>
      </c>
      <c r="AI959" s="266">
        <v>46174</v>
      </c>
      <c r="AJ959" s="150" t="s">
        <v>617</v>
      </c>
      <c r="AK959" s="150" t="s">
        <v>200</v>
      </c>
      <c r="AL959" s="150"/>
      <c r="AM959" s="150" t="s">
        <v>2079</v>
      </c>
      <c r="AN959" s="367"/>
      <c r="AO959" s="367"/>
      <c r="AP959" s="367"/>
      <c r="AQ959" s="367"/>
      <c r="AR959" s="367"/>
      <c r="AS959" s="367"/>
      <c r="AT959" s="367"/>
      <c r="AU959" s="367"/>
      <c r="AV959" s="367"/>
      <c r="AW959" s="367"/>
      <c r="AX959" s="367"/>
      <c r="AY959" s="367"/>
      <c r="AZ959" s="367"/>
      <c r="BA959" s="367"/>
      <c r="BB959" s="152"/>
      <c r="BC959" s="152"/>
      <c r="BD959" s="367" t="s">
        <v>2455</v>
      </c>
      <c r="BE959" s="367"/>
      <c r="BF959" s="367"/>
      <c r="BG959" s="367"/>
      <c r="BH959" s="260"/>
      <c r="BL959" s="54"/>
    </row>
    <row r="960" spans="1:64" ht="37.950000000000003" customHeight="1" x14ac:dyDescent="0.3">
      <c r="A960" s="367">
        <f t="shared" si="18"/>
        <v>955</v>
      </c>
      <c r="B960" s="54" t="s">
        <v>3060</v>
      </c>
      <c r="C960" s="367" t="s">
        <v>5</v>
      </c>
      <c r="D960" s="367" t="s">
        <v>262</v>
      </c>
      <c r="E960" s="367"/>
      <c r="F960" s="367"/>
      <c r="G960" s="367"/>
      <c r="H960" s="367"/>
      <c r="I960" s="367"/>
      <c r="J960" s="54" t="s">
        <v>3057</v>
      </c>
      <c r="K960" s="48" t="s">
        <v>3058</v>
      </c>
      <c r="L960" s="150" t="s">
        <v>660</v>
      </c>
      <c r="M960" s="150" t="s">
        <v>120</v>
      </c>
      <c r="N960" s="150"/>
      <c r="O960" s="150"/>
      <c r="P960" s="367"/>
      <c r="Q960" s="367">
        <v>2</v>
      </c>
      <c r="R960" s="367"/>
      <c r="S960" s="367"/>
      <c r="T960" s="367">
        <v>19</v>
      </c>
      <c r="U960" s="367"/>
      <c r="V960" s="367"/>
      <c r="W960" s="367"/>
      <c r="X960" s="367"/>
      <c r="Y960" s="367"/>
      <c r="Z960" s="367" t="s">
        <v>127</v>
      </c>
      <c r="AA960" s="367"/>
      <c r="AB960" s="150"/>
      <c r="AC960" s="48" t="s">
        <v>3061</v>
      </c>
      <c r="AD960" s="150" t="s">
        <v>886</v>
      </c>
      <c r="AE960" s="296"/>
      <c r="AF960" s="296"/>
      <c r="AG960" s="286">
        <v>46315</v>
      </c>
      <c r="AH960" s="49">
        <v>46264</v>
      </c>
      <c r="AI960" s="266">
        <v>46235</v>
      </c>
      <c r="AJ960" s="150" t="s">
        <v>617</v>
      </c>
      <c r="AK960" s="150" t="s">
        <v>190</v>
      </c>
      <c r="AL960" s="150"/>
      <c r="AM960" s="150" t="s">
        <v>2079</v>
      </c>
      <c r="AN960" s="367"/>
      <c r="AO960" s="367"/>
      <c r="AP960" s="367"/>
      <c r="AQ960" s="367"/>
      <c r="AR960" s="367"/>
      <c r="AS960" s="367"/>
      <c r="AT960" s="367"/>
      <c r="AU960" s="367"/>
      <c r="AV960" s="367"/>
      <c r="AW960" s="367"/>
      <c r="AX960" s="367"/>
      <c r="AY960" s="367"/>
      <c r="AZ960" s="367"/>
      <c r="BA960" s="367"/>
      <c r="BB960" s="152"/>
      <c r="BC960" s="152"/>
      <c r="BD960" s="367" t="s">
        <v>2455</v>
      </c>
      <c r="BE960" s="367"/>
      <c r="BF960" s="367"/>
      <c r="BG960" s="367"/>
      <c r="BH960" s="260"/>
      <c r="BL960" s="54"/>
    </row>
    <row r="961" spans="1:64" ht="37.950000000000003" customHeight="1" x14ac:dyDescent="0.3">
      <c r="A961" s="367">
        <f t="shared" si="18"/>
        <v>956</v>
      </c>
      <c r="B961" s="54" t="s">
        <v>3062</v>
      </c>
      <c r="C961" s="367" t="s">
        <v>5</v>
      </c>
      <c r="D961" s="367" t="s">
        <v>262</v>
      </c>
      <c r="E961" s="367"/>
      <c r="F961" s="367"/>
      <c r="G961" s="367"/>
      <c r="H961" s="367"/>
      <c r="I961" s="367"/>
      <c r="J961" s="54" t="s">
        <v>3057</v>
      </c>
      <c r="K961" s="48" t="s">
        <v>3058</v>
      </c>
      <c r="L961" s="150" t="s">
        <v>660</v>
      </c>
      <c r="M961" s="150" t="s">
        <v>120</v>
      </c>
      <c r="N961" s="367"/>
      <c r="O961" s="367"/>
      <c r="P961" s="367"/>
      <c r="Q961" s="367">
        <v>2</v>
      </c>
      <c r="R961" s="367"/>
      <c r="S961" s="367"/>
      <c r="T961" s="367">
        <v>19</v>
      </c>
      <c r="U961" s="367"/>
      <c r="V961" s="367"/>
      <c r="W961" s="367"/>
      <c r="X961" s="367"/>
      <c r="Y961" s="367"/>
      <c r="Z961" s="367" t="s">
        <v>127</v>
      </c>
      <c r="AA961" s="367"/>
      <c r="AB961" s="150"/>
      <c r="AC961" s="48" t="s">
        <v>3063</v>
      </c>
      <c r="AD961" s="150" t="s">
        <v>889</v>
      </c>
      <c r="AE961" s="296"/>
      <c r="AF961" s="296"/>
      <c r="AG961" s="286">
        <v>46315</v>
      </c>
      <c r="AH961" s="49">
        <v>46295</v>
      </c>
      <c r="AI961" s="266">
        <v>46266</v>
      </c>
      <c r="AJ961" s="150" t="s">
        <v>617</v>
      </c>
      <c r="AK961" s="150" t="s">
        <v>161</v>
      </c>
      <c r="AL961" s="150"/>
      <c r="AM961" s="150" t="s">
        <v>2609</v>
      </c>
      <c r="AN961" s="45">
        <v>46187</v>
      </c>
      <c r="AO961" s="367"/>
      <c r="AP961" s="367"/>
      <c r="AQ961" s="367"/>
      <c r="AR961" s="367"/>
      <c r="AS961" s="367"/>
      <c r="AT961" s="367"/>
      <c r="AU961" s="367"/>
      <c r="AV961" s="367"/>
      <c r="AW961" s="367"/>
      <c r="AX961" s="367"/>
      <c r="AY961" s="367"/>
      <c r="AZ961" s="367"/>
      <c r="BA961" s="367"/>
      <c r="BB961" s="152"/>
      <c r="BC961" s="152"/>
      <c r="BD961" s="367" t="s">
        <v>2455</v>
      </c>
      <c r="BE961" s="367"/>
      <c r="BF961" s="367"/>
      <c r="BG961" s="367"/>
      <c r="BH961" s="260"/>
      <c r="BL961" s="54"/>
    </row>
    <row r="962" spans="1:64" ht="37.950000000000003" customHeight="1" x14ac:dyDescent="0.3">
      <c r="A962" s="367">
        <f t="shared" si="18"/>
        <v>957</v>
      </c>
      <c r="B962" s="54" t="s">
        <v>3064</v>
      </c>
      <c r="C962" s="367" t="s">
        <v>5</v>
      </c>
      <c r="D962" s="367" t="s">
        <v>262</v>
      </c>
      <c r="E962" s="367"/>
      <c r="F962" s="367"/>
      <c r="G962" s="367"/>
      <c r="H962" s="367"/>
      <c r="I962" s="367"/>
      <c r="J962" s="54" t="s">
        <v>3057</v>
      </c>
      <c r="K962" s="48" t="s">
        <v>3058</v>
      </c>
      <c r="L962" s="150" t="s">
        <v>660</v>
      </c>
      <c r="M962" s="150" t="s">
        <v>120</v>
      </c>
      <c r="N962" s="367"/>
      <c r="O962" s="367"/>
      <c r="P962" s="367"/>
      <c r="Q962" s="367">
        <v>2</v>
      </c>
      <c r="R962" s="367"/>
      <c r="S962" s="367"/>
      <c r="T962" s="367">
        <v>19</v>
      </c>
      <c r="U962" s="367"/>
      <c r="V962" s="367"/>
      <c r="W962" s="367"/>
      <c r="X962" s="367" t="s">
        <v>1752</v>
      </c>
      <c r="Y962" s="367"/>
      <c r="Z962" s="367" t="s">
        <v>127</v>
      </c>
      <c r="AA962" s="367"/>
      <c r="AB962" s="150"/>
      <c r="AC962" s="48" t="s">
        <v>3065</v>
      </c>
      <c r="AD962" s="150" t="s">
        <v>819</v>
      </c>
      <c r="AE962" s="296">
        <v>46150</v>
      </c>
      <c r="AF962" s="296"/>
      <c r="AG962" s="286">
        <v>46315</v>
      </c>
      <c r="AH962" s="49">
        <v>46295</v>
      </c>
      <c r="AI962" s="266">
        <v>46266</v>
      </c>
      <c r="AJ962" s="150" t="s">
        <v>617</v>
      </c>
      <c r="AK962" s="150" t="s">
        <v>200</v>
      </c>
      <c r="AL962" s="150"/>
      <c r="AM962" s="150" t="s">
        <v>2086</v>
      </c>
      <c r="AN962" s="367"/>
      <c r="AO962" s="367"/>
      <c r="AP962" s="367"/>
      <c r="AQ962" s="367"/>
      <c r="AR962" s="367"/>
      <c r="AS962" s="367"/>
      <c r="AT962" s="367"/>
      <c r="AU962" s="367"/>
      <c r="AV962" s="367"/>
      <c r="AW962" s="367"/>
      <c r="AX962" s="367"/>
      <c r="AY962" s="367"/>
      <c r="AZ962" s="367"/>
      <c r="BA962" s="367"/>
      <c r="BB962" s="152"/>
      <c r="BC962" s="152"/>
      <c r="BD962" s="367" t="s">
        <v>2455</v>
      </c>
      <c r="BE962" s="367"/>
      <c r="BF962" s="367"/>
      <c r="BG962" s="367"/>
      <c r="BH962" s="260"/>
      <c r="BL962" s="54"/>
    </row>
    <row r="963" spans="1:64" ht="37.950000000000003" customHeight="1" x14ac:dyDescent="0.3">
      <c r="A963" s="367">
        <f t="shared" si="18"/>
        <v>958</v>
      </c>
      <c r="B963" s="54" t="s">
        <v>3066</v>
      </c>
      <c r="C963" s="367" t="s">
        <v>5</v>
      </c>
      <c r="D963" s="367" t="s">
        <v>262</v>
      </c>
      <c r="E963" s="367"/>
      <c r="F963" s="367"/>
      <c r="G963" s="367"/>
      <c r="H963" s="367"/>
      <c r="I963" s="367"/>
      <c r="J963" s="54" t="s">
        <v>3057</v>
      </c>
      <c r="K963" s="48" t="s">
        <v>3067</v>
      </c>
      <c r="L963" s="150" t="s">
        <v>1921</v>
      </c>
      <c r="M963" s="150" t="s">
        <v>65</v>
      </c>
      <c r="N963" s="367"/>
      <c r="O963" s="367"/>
      <c r="P963" s="367"/>
      <c r="Q963" s="367">
        <v>2</v>
      </c>
      <c r="R963" s="367"/>
      <c r="S963" s="367"/>
      <c r="T963" s="367">
        <v>19</v>
      </c>
      <c r="U963" s="367"/>
      <c r="V963" s="367"/>
      <c r="W963" s="367"/>
      <c r="X963" s="367" t="s">
        <v>1752</v>
      </c>
      <c r="Y963" s="367"/>
      <c r="Z963" s="367"/>
      <c r="AA963" s="367"/>
      <c r="AB963" s="150"/>
      <c r="AC963" s="48" t="s">
        <v>3068</v>
      </c>
      <c r="AD963" s="150" t="s">
        <v>814</v>
      </c>
      <c r="AE963" s="296">
        <v>46150</v>
      </c>
      <c r="AF963" s="296"/>
      <c r="AG963" s="286">
        <v>46315</v>
      </c>
      <c r="AH963" s="49">
        <v>46295</v>
      </c>
      <c r="AI963" s="266">
        <v>46266</v>
      </c>
      <c r="AJ963" s="150" t="s">
        <v>617</v>
      </c>
      <c r="AK963" s="150" t="s">
        <v>200</v>
      </c>
      <c r="AL963" s="150"/>
      <c r="AM963" s="150" t="s">
        <v>2079</v>
      </c>
      <c r="AN963" s="367"/>
      <c r="AO963" s="367"/>
      <c r="AP963" s="367"/>
      <c r="AQ963" s="367"/>
      <c r="AR963" s="367"/>
      <c r="AS963" s="367"/>
      <c r="AT963" s="367"/>
      <c r="AU963" s="367"/>
      <c r="AV963" s="367"/>
      <c r="AW963" s="367"/>
      <c r="AX963" s="367"/>
      <c r="AY963" s="367"/>
      <c r="AZ963" s="367"/>
      <c r="BA963" s="367"/>
      <c r="BB963" s="152"/>
      <c r="BC963" s="152"/>
      <c r="BD963" s="367" t="s">
        <v>2455</v>
      </c>
      <c r="BE963" s="367"/>
      <c r="BF963" s="367"/>
      <c r="BG963" s="367"/>
      <c r="BH963" s="260"/>
      <c r="BL963" s="54"/>
    </row>
    <row r="964" spans="1:64" ht="37.950000000000003" customHeight="1" x14ac:dyDescent="0.3">
      <c r="A964" s="367">
        <f t="shared" si="18"/>
        <v>959</v>
      </c>
      <c r="B964" s="54" t="s">
        <v>3069</v>
      </c>
      <c r="C964" s="367" t="s">
        <v>5</v>
      </c>
      <c r="D964" s="367" t="s">
        <v>262</v>
      </c>
      <c r="E964" s="367"/>
      <c r="F964" s="367"/>
      <c r="G964" s="367"/>
      <c r="H964" s="367"/>
      <c r="I964" s="367"/>
      <c r="J964" s="54" t="s">
        <v>3057</v>
      </c>
      <c r="K964" s="48" t="s">
        <v>3067</v>
      </c>
      <c r="L964" s="150" t="s">
        <v>660</v>
      </c>
      <c r="M964" s="150" t="s">
        <v>65</v>
      </c>
      <c r="N964" s="367"/>
      <c r="O964" s="367"/>
      <c r="P964" s="367"/>
      <c r="Q964" s="367">
        <v>2</v>
      </c>
      <c r="R964" s="367"/>
      <c r="S964" s="367"/>
      <c r="T964" s="367">
        <v>19</v>
      </c>
      <c r="U964" s="367"/>
      <c r="V964" s="367"/>
      <c r="W964" s="367"/>
      <c r="X964" s="367"/>
      <c r="Y964" s="367"/>
      <c r="Z964" s="367" t="s">
        <v>127</v>
      </c>
      <c r="AA964" s="367"/>
      <c r="AB964" s="150"/>
      <c r="AC964" s="48" t="s">
        <v>3070</v>
      </c>
      <c r="AD964" s="150" t="s">
        <v>886</v>
      </c>
      <c r="AE964" s="296"/>
      <c r="AF964" s="296"/>
      <c r="AG964" s="286">
        <v>46315</v>
      </c>
      <c r="AH964" s="49">
        <v>46264</v>
      </c>
      <c r="AI964" s="266">
        <v>46235</v>
      </c>
      <c r="AJ964" s="150" t="s">
        <v>617</v>
      </c>
      <c r="AK964" s="150" t="s">
        <v>190</v>
      </c>
      <c r="AL964" s="150"/>
      <c r="AM964" s="150" t="s">
        <v>2079</v>
      </c>
      <c r="AN964" s="367"/>
      <c r="AO964" s="367"/>
      <c r="AP964" s="367"/>
      <c r="AQ964" s="367"/>
      <c r="AR964" s="367"/>
      <c r="AS964" s="367"/>
      <c r="AT964" s="367"/>
      <c r="AU964" s="367"/>
      <c r="AV964" s="367"/>
      <c r="AW964" s="367"/>
      <c r="AX964" s="367"/>
      <c r="AY964" s="367"/>
      <c r="AZ964" s="367"/>
      <c r="BA964" s="367"/>
      <c r="BB964" s="152"/>
      <c r="BC964" s="152"/>
      <c r="BD964" s="367" t="s">
        <v>2455</v>
      </c>
      <c r="BE964" s="367"/>
      <c r="BF964" s="367"/>
      <c r="BG964" s="367"/>
      <c r="BH964" s="260"/>
      <c r="BL964" s="54"/>
    </row>
    <row r="965" spans="1:64" ht="37.950000000000003" customHeight="1" x14ac:dyDescent="0.3">
      <c r="A965" s="367">
        <f t="shared" si="18"/>
        <v>960</v>
      </c>
      <c r="B965" s="54" t="s">
        <v>3071</v>
      </c>
      <c r="C965" s="367" t="s">
        <v>5</v>
      </c>
      <c r="D965" s="367" t="s">
        <v>262</v>
      </c>
      <c r="E965" s="367"/>
      <c r="F965" s="367"/>
      <c r="G965" s="367"/>
      <c r="H965" s="367"/>
      <c r="I965" s="367"/>
      <c r="J965" s="54" t="s">
        <v>3057</v>
      </c>
      <c r="K965" s="48" t="s">
        <v>3067</v>
      </c>
      <c r="L965" s="150" t="s">
        <v>660</v>
      </c>
      <c r="M965" s="150" t="s">
        <v>65</v>
      </c>
      <c r="N965" s="367"/>
      <c r="O965" s="367"/>
      <c r="P965" s="367"/>
      <c r="Q965" s="367">
        <v>2</v>
      </c>
      <c r="R965" s="367"/>
      <c r="S965" s="367"/>
      <c r="T965" s="367">
        <v>19</v>
      </c>
      <c r="U965" s="367"/>
      <c r="V965" s="367"/>
      <c r="W965" s="367"/>
      <c r="X965" s="367"/>
      <c r="Y965" s="367"/>
      <c r="Z965" s="367" t="s">
        <v>127</v>
      </c>
      <c r="AA965" s="367"/>
      <c r="AB965" s="150"/>
      <c r="AC965" s="48" t="s">
        <v>3072</v>
      </c>
      <c r="AD965" s="150" t="s">
        <v>889</v>
      </c>
      <c r="AE965" s="296"/>
      <c r="AF965" s="296"/>
      <c r="AG965" s="286">
        <v>46315</v>
      </c>
      <c r="AH965" s="49">
        <v>46295</v>
      </c>
      <c r="AI965" s="266">
        <v>46266</v>
      </c>
      <c r="AJ965" s="150" t="s">
        <v>617</v>
      </c>
      <c r="AK965" s="150" t="s">
        <v>161</v>
      </c>
      <c r="AL965" s="150"/>
      <c r="AM965" s="150" t="s">
        <v>2609</v>
      </c>
      <c r="AN965" s="45">
        <v>46187</v>
      </c>
      <c r="AO965" s="367"/>
      <c r="AP965" s="367"/>
      <c r="AQ965" s="367"/>
      <c r="AR965" s="367"/>
      <c r="AS965" s="367"/>
      <c r="AT965" s="367"/>
      <c r="AU965" s="367"/>
      <c r="AV965" s="367"/>
      <c r="AW965" s="367"/>
      <c r="AX965" s="367"/>
      <c r="AY965" s="367"/>
      <c r="AZ965" s="367"/>
      <c r="BA965" s="367"/>
      <c r="BB965" s="152"/>
      <c r="BC965" s="152"/>
      <c r="BD965" s="367" t="s">
        <v>2455</v>
      </c>
      <c r="BE965" s="367"/>
      <c r="BF965" s="367"/>
      <c r="BG965" s="367"/>
      <c r="BH965" s="260"/>
      <c r="BL965" s="54"/>
    </row>
    <row r="966" spans="1:64" ht="37.950000000000003" customHeight="1" x14ac:dyDescent="0.3">
      <c r="A966" s="367">
        <f t="shared" si="18"/>
        <v>961</v>
      </c>
      <c r="B966" s="54" t="s">
        <v>3073</v>
      </c>
      <c r="C966" s="367" t="s">
        <v>5</v>
      </c>
      <c r="D966" s="367" t="s">
        <v>262</v>
      </c>
      <c r="E966" s="367"/>
      <c r="F966" s="367"/>
      <c r="G966" s="367"/>
      <c r="H966" s="367"/>
      <c r="I966" s="367"/>
      <c r="J966" s="54" t="s">
        <v>3057</v>
      </c>
      <c r="K966" s="48" t="s">
        <v>3067</v>
      </c>
      <c r="L966" s="150" t="s">
        <v>660</v>
      </c>
      <c r="M966" s="150" t="s">
        <v>65</v>
      </c>
      <c r="N966" s="367"/>
      <c r="O966" s="367"/>
      <c r="P966" s="367"/>
      <c r="Q966" s="367">
        <v>2</v>
      </c>
      <c r="R966" s="367"/>
      <c r="S966" s="367"/>
      <c r="T966" s="367">
        <v>19</v>
      </c>
      <c r="U966" s="367"/>
      <c r="V966" s="367"/>
      <c r="W966" s="367"/>
      <c r="X966" s="367" t="s">
        <v>1752</v>
      </c>
      <c r="Y966" s="367"/>
      <c r="Z966" s="367" t="s">
        <v>127</v>
      </c>
      <c r="AA966" s="367"/>
      <c r="AB966" s="150"/>
      <c r="AC966" s="48" t="s">
        <v>3074</v>
      </c>
      <c r="AD966" s="150" t="s">
        <v>819</v>
      </c>
      <c r="AE966" s="296">
        <v>46150</v>
      </c>
      <c r="AF966" s="296"/>
      <c r="AG966" s="286">
        <v>46315</v>
      </c>
      <c r="AH966" s="49">
        <v>46295</v>
      </c>
      <c r="AI966" s="266">
        <v>46266</v>
      </c>
      <c r="AJ966" s="150" t="s">
        <v>617</v>
      </c>
      <c r="AK966" s="150" t="s">
        <v>200</v>
      </c>
      <c r="AL966" s="150"/>
      <c r="AM966" s="150" t="s">
        <v>2086</v>
      </c>
      <c r="AN966" s="367"/>
      <c r="AO966" s="367"/>
      <c r="AP966" s="367"/>
      <c r="AQ966" s="367"/>
      <c r="AR966" s="367"/>
      <c r="AS966" s="367"/>
      <c r="AT966" s="367"/>
      <c r="AU966" s="367"/>
      <c r="AV966" s="367"/>
      <c r="AW966" s="367"/>
      <c r="AX966" s="367"/>
      <c r="AY966" s="367"/>
      <c r="AZ966" s="367"/>
      <c r="BA966" s="367"/>
      <c r="BB966" s="152"/>
      <c r="BC966" s="152"/>
      <c r="BD966" s="367" t="s">
        <v>2455</v>
      </c>
      <c r="BE966" s="367"/>
      <c r="BF966" s="367"/>
      <c r="BG966" s="367"/>
      <c r="BH966" s="260"/>
      <c r="BL966" s="54"/>
    </row>
    <row r="967" spans="1:64" ht="37.950000000000003" customHeight="1" x14ac:dyDescent="0.3">
      <c r="A967" s="367">
        <f t="shared" si="18"/>
        <v>962</v>
      </c>
      <c r="B967" s="54" t="s">
        <v>3075</v>
      </c>
      <c r="C967" s="367" t="s">
        <v>5</v>
      </c>
      <c r="D967" s="367" t="s">
        <v>262</v>
      </c>
      <c r="E967" s="367"/>
      <c r="F967" s="367"/>
      <c r="G967" s="367"/>
      <c r="H967" s="367"/>
      <c r="I967" s="367"/>
      <c r="J967" s="54" t="s">
        <v>3057</v>
      </c>
      <c r="K967" s="48" t="s">
        <v>3076</v>
      </c>
      <c r="L967" s="150" t="s">
        <v>660</v>
      </c>
      <c r="M967" s="150" t="s">
        <v>120</v>
      </c>
      <c r="N967" s="367"/>
      <c r="O967" s="367"/>
      <c r="P967" s="367"/>
      <c r="Q967" s="367"/>
      <c r="R967" s="367"/>
      <c r="S967" s="367"/>
      <c r="T967" s="367">
        <v>22</v>
      </c>
      <c r="U967" s="367"/>
      <c r="V967" s="367"/>
      <c r="W967" s="367"/>
      <c r="X967" s="367" t="s">
        <v>1752</v>
      </c>
      <c r="Y967" s="367"/>
      <c r="Z967" s="367" t="s">
        <v>127</v>
      </c>
      <c r="AA967" s="367"/>
      <c r="AB967" s="150"/>
      <c r="AC967" s="48" t="s">
        <v>3077</v>
      </c>
      <c r="AD967" s="150" t="s">
        <v>814</v>
      </c>
      <c r="AE967" s="296">
        <v>46150</v>
      </c>
      <c r="AF967" s="296"/>
      <c r="AG967" s="286">
        <v>46315</v>
      </c>
      <c r="AH967" s="49">
        <v>46295</v>
      </c>
      <c r="AI967" s="266">
        <v>46266</v>
      </c>
      <c r="AJ967" s="150" t="s">
        <v>617</v>
      </c>
      <c r="AK967" s="150" t="s">
        <v>200</v>
      </c>
      <c r="AL967" s="150"/>
      <c r="AM967" s="150" t="s">
        <v>2079</v>
      </c>
      <c r="AN967" s="367"/>
      <c r="AO967" s="367"/>
      <c r="AP967" s="367"/>
      <c r="AQ967" s="367"/>
      <c r="AR967" s="367"/>
      <c r="AS967" s="367"/>
      <c r="AT967" s="367"/>
      <c r="AU967" s="367"/>
      <c r="AV967" s="367"/>
      <c r="AW967" s="367"/>
      <c r="AX967" s="367"/>
      <c r="AY967" s="367"/>
      <c r="AZ967" s="367"/>
      <c r="BA967" s="367"/>
      <c r="BB967" s="152"/>
      <c r="BC967" s="152"/>
      <c r="BD967" s="367" t="s">
        <v>2455</v>
      </c>
      <c r="BE967" s="367"/>
      <c r="BF967" s="367"/>
      <c r="BG967" s="367"/>
      <c r="BH967" s="260"/>
      <c r="BL967" s="54"/>
    </row>
    <row r="968" spans="1:64" ht="37.950000000000003" customHeight="1" x14ac:dyDescent="0.3">
      <c r="A968" s="367">
        <f t="shared" si="18"/>
        <v>963</v>
      </c>
      <c r="B968" s="54" t="s">
        <v>3078</v>
      </c>
      <c r="C968" s="367" t="s">
        <v>5</v>
      </c>
      <c r="D968" s="367" t="s">
        <v>262</v>
      </c>
      <c r="E968" s="367"/>
      <c r="F968" s="367"/>
      <c r="G968" s="367"/>
      <c r="H968" s="367"/>
      <c r="I968" s="367"/>
      <c r="J968" s="54" t="s">
        <v>3057</v>
      </c>
      <c r="K968" s="48" t="s">
        <v>3076</v>
      </c>
      <c r="L968" s="150" t="s">
        <v>660</v>
      </c>
      <c r="M968" s="150" t="s">
        <v>120</v>
      </c>
      <c r="N968" s="367"/>
      <c r="O968" s="367"/>
      <c r="P968" s="367"/>
      <c r="Q968" s="367"/>
      <c r="R968" s="367"/>
      <c r="S968" s="367"/>
      <c r="T968" s="367">
        <v>22</v>
      </c>
      <c r="U968" s="367"/>
      <c r="V968" s="367"/>
      <c r="W968" s="367"/>
      <c r="X968" s="367"/>
      <c r="Y968" s="367"/>
      <c r="Z968" s="367" t="s">
        <v>127</v>
      </c>
      <c r="AA968" s="367"/>
      <c r="AB968" s="150"/>
      <c r="AC968" s="48" t="s">
        <v>3079</v>
      </c>
      <c r="AD968" s="150" t="s">
        <v>886</v>
      </c>
      <c r="AE968" s="296"/>
      <c r="AF968" s="296"/>
      <c r="AG968" s="286">
        <v>46315</v>
      </c>
      <c r="AH968" s="49">
        <v>46264</v>
      </c>
      <c r="AI968" s="266">
        <v>46235</v>
      </c>
      <c r="AJ968" s="150" t="s">
        <v>617</v>
      </c>
      <c r="AK968" s="150" t="s">
        <v>190</v>
      </c>
      <c r="AL968" s="150"/>
      <c r="AM968" s="150" t="s">
        <v>2079</v>
      </c>
      <c r="AN968" s="367"/>
      <c r="AO968" s="367"/>
      <c r="AP968" s="367"/>
      <c r="AQ968" s="367"/>
      <c r="AR968" s="367"/>
      <c r="AS968" s="367"/>
      <c r="AT968" s="367"/>
      <c r="AU968" s="367"/>
      <c r="AV968" s="367"/>
      <c r="AW968" s="367"/>
      <c r="AX968" s="367"/>
      <c r="AY968" s="367"/>
      <c r="AZ968" s="367"/>
      <c r="BA968" s="367"/>
      <c r="BB968" s="152"/>
      <c r="BC968" s="152"/>
      <c r="BD968" s="367" t="s">
        <v>2455</v>
      </c>
      <c r="BE968" s="367"/>
      <c r="BF968" s="367"/>
      <c r="BG968" s="367"/>
      <c r="BH968" s="260"/>
      <c r="BL968" s="54"/>
    </row>
    <row r="969" spans="1:64" ht="37.950000000000003" customHeight="1" x14ac:dyDescent="0.3">
      <c r="A969" s="367">
        <f t="shared" si="18"/>
        <v>964</v>
      </c>
      <c r="B969" s="54" t="s">
        <v>3080</v>
      </c>
      <c r="C969" s="367" t="s">
        <v>5</v>
      </c>
      <c r="D969" s="367" t="s">
        <v>262</v>
      </c>
      <c r="E969" s="367"/>
      <c r="F969" s="367"/>
      <c r="G969" s="367"/>
      <c r="H969" s="367"/>
      <c r="I969" s="367"/>
      <c r="J969" s="54" t="s">
        <v>3057</v>
      </c>
      <c r="K969" s="48" t="s">
        <v>3076</v>
      </c>
      <c r="L969" s="150" t="s">
        <v>660</v>
      </c>
      <c r="M969" s="150" t="s">
        <v>120</v>
      </c>
      <c r="N969" s="367"/>
      <c r="O969" s="367"/>
      <c r="P969" s="367"/>
      <c r="Q969" s="367"/>
      <c r="R969" s="367"/>
      <c r="S969" s="367"/>
      <c r="T969" s="367">
        <v>22</v>
      </c>
      <c r="U969" s="367"/>
      <c r="V969" s="367"/>
      <c r="W969" s="367"/>
      <c r="X969" s="367" t="s">
        <v>1752</v>
      </c>
      <c r="Y969" s="367"/>
      <c r="Z969" s="367" t="s">
        <v>127</v>
      </c>
      <c r="AA969" s="367"/>
      <c r="AB969" s="150"/>
      <c r="AC969" s="48" t="s">
        <v>3081</v>
      </c>
      <c r="AD969" s="150" t="s">
        <v>819</v>
      </c>
      <c r="AE969" s="296">
        <v>46150</v>
      </c>
      <c r="AF969" s="296"/>
      <c r="AG969" s="286">
        <v>46315</v>
      </c>
      <c r="AH969" s="49">
        <v>46295</v>
      </c>
      <c r="AI969" s="266">
        <v>46266</v>
      </c>
      <c r="AJ969" s="150" t="s">
        <v>617</v>
      </c>
      <c r="AK969" s="150" t="s">
        <v>200</v>
      </c>
      <c r="AL969" s="150"/>
      <c r="AM969" s="150" t="s">
        <v>2086</v>
      </c>
      <c r="AN969" s="367"/>
      <c r="AO969" s="367"/>
      <c r="AP969" s="367"/>
      <c r="AQ969" s="367"/>
      <c r="AR969" s="367"/>
      <c r="AS969" s="367"/>
      <c r="AT969" s="367"/>
      <c r="AU969" s="367"/>
      <c r="AV969" s="367"/>
      <c r="AW969" s="367"/>
      <c r="AX969" s="367"/>
      <c r="AY969" s="367"/>
      <c r="AZ969" s="367"/>
      <c r="BA969" s="367"/>
      <c r="BB969" s="152"/>
      <c r="BC969" s="152"/>
      <c r="BD969" s="367" t="s">
        <v>2455</v>
      </c>
      <c r="BE969" s="367"/>
      <c r="BF969" s="367"/>
      <c r="BG969" s="367"/>
      <c r="BH969" s="260"/>
      <c r="BL969" s="54"/>
    </row>
    <row r="970" spans="1:64" ht="37.950000000000003" customHeight="1" x14ac:dyDescent="0.3">
      <c r="A970" s="367">
        <f t="shared" si="18"/>
        <v>965</v>
      </c>
      <c r="B970" s="54" t="s">
        <v>3082</v>
      </c>
      <c r="C970" s="367" t="s">
        <v>5</v>
      </c>
      <c r="D970" s="367" t="s">
        <v>262</v>
      </c>
      <c r="E970" s="367"/>
      <c r="F970" s="367"/>
      <c r="G970" s="367"/>
      <c r="H970" s="367"/>
      <c r="I970" s="367"/>
      <c r="J970" s="54" t="s">
        <v>3057</v>
      </c>
      <c r="K970" s="48" t="s">
        <v>3083</v>
      </c>
      <c r="L970" s="150" t="s">
        <v>660</v>
      </c>
      <c r="M970" s="150" t="s">
        <v>65</v>
      </c>
      <c r="N970" s="367"/>
      <c r="O970" s="367"/>
      <c r="P970" s="367"/>
      <c r="Q970" s="367"/>
      <c r="R970" s="367"/>
      <c r="S970" s="367"/>
      <c r="T970" s="367">
        <v>22</v>
      </c>
      <c r="U970" s="367"/>
      <c r="V970" s="367"/>
      <c r="W970" s="367"/>
      <c r="X970" s="367" t="s">
        <v>1752</v>
      </c>
      <c r="Y970" s="367"/>
      <c r="Z970" s="367" t="s">
        <v>127</v>
      </c>
      <c r="AA970" s="367"/>
      <c r="AB970" s="150"/>
      <c r="AC970" s="48" t="s">
        <v>3084</v>
      </c>
      <c r="AD970" s="150" t="s">
        <v>814</v>
      </c>
      <c r="AE970" s="296">
        <v>46150</v>
      </c>
      <c r="AF970" s="296"/>
      <c r="AG970" s="286">
        <v>46315</v>
      </c>
      <c r="AH970" s="49">
        <v>46295</v>
      </c>
      <c r="AI970" s="266">
        <v>46266</v>
      </c>
      <c r="AJ970" s="150" t="s">
        <v>617</v>
      </c>
      <c r="AK970" s="150" t="s">
        <v>200</v>
      </c>
      <c r="AL970" s="150"/>
      <c r="AM970" s="150" t="s">
        <v>2079</v>
      </c>
      <c r="AN970" s="367"/>
      <c r="AO970" s="367"/>
      <c r="AP970" s="367"/>
      <c r="AQ970" s="367"/>
      <c r="AR970" s="367"/>
      <c r="AS970" s="367"/>
      <c r="AT970" s="367"/>
      <c r="AU970" s="367"/>
      <c r="AV970" s="367"/>
      <c r="AW970" s="367"/>
      <c r="AX970" s="367"/>
      <c r="AY970" s="367"/>
      <c r="AZ970" s="367"/>
      <c r="BA970" s="367"/>
      <c r="BB970" s="152"/>
      <c r="BC970" s="152"/>
      <c r="BD970" s="367" t="s">
        <v>2455</v>
      </c>
      <c r="BE970" s="367"/>
      <c r="BF970" s="367"/>
      <c r="BG970" s="367"/>
      <c r="BH970" s="260"/>
      <c r="BL970" s="54"/>
    </row>
    <row r="971" spans="1:64" ht="37.950000000000003" customHeight="1" x14ac:dyDescent="0.3">
      <c r="A971" s="367">
        <f t="shared" si="18"/>
        <v>966</v>
      </c>
      <c r="B971" s="54" t="s">
        <v>3085</v>
      </c>
      <c r="C971" s="367" t="s">
        <v>5</v>
      </c>
      <c r="D971" s="367" t="s">
        <v>262</v>
      </c>
      <c r="E971" s="367"/>
      <c r="F971" s="367"/>
      <c r="G971" s="367"/>
      <c r="H971" s="367"/>
      <c r="I971" s="367"/>
      <c r="J971" s="54" t="s">
        <v>3057</v>
      </c>
      <c r="K971" s="48" t="s">
        <v>3083</v>
      </c>
      <c r="L971" s="150" t="s">
        <v>660</v>
      </c>
      <c r="M971" s="150" t="s">
        <v>65</v>
      </c>
      <c r="N971" s="367"/>
      <c r="O971" s="367"/>
      <c r="P971" s="367"/>
      <c r="Q971" s="367"/>
      <c r="R971" s="367"/>
      <c r="S971" s="367"/>
      <c r="T971" s="367">
        <v>22</v>
      </c>
      <c r="U971" s="367"/>
      <c r="V971" s="367"/>
      <c r="W971" s="367"/>
      <c r="X971" s="367"/>
      <c r="Y971" s="367"/>
      <c r="Z971" s="367" t="s">
        <v>127</v>
      </c>
      <c r="AA971" s="367"/>
      <c r="AB971" s="150"/>
      <c r="AC971" s="48" t="s">
        <v>3086</v>
      </c>
      <c r="AD971" s="150" t="s">
        <v>886</v>
      </c>
      <c r="AE971" s="296"/>
      <c r="AF971" s="296"/>
      <c r="AG971" s="286">
        <v>46315</v>
      </c>
      <c r="AH971" s="49">
        <v>46264</v>
      </c>
      <c r="AI971" s="266">
        <v>46235</v>
      </c>
      <c r="AJ971" s="150" t="s">
        <v>617</v>
      </c>
      <c r="AK971" s="150" t="s">
        <v>190</v>
      </c>
      <c r="AL971" s="150"/>
      <c r="AM971" s="150" t="s">
        <v>2079</v>
      </c>
      <c r="AN971" s="367"/>
      <c r="AO971" s="367"/>
      <c r="AP971" s="367"/>
      <c r="AQ971" s="367"/>
      <c r="AR971" s="367"/>
      <c r="AS971" s="367"/>
      <c r="AT971" s="367"/>
      <c r="AU971" s="367"/>
      <c r="AV971" s="367"/>
      <c r="AW971" s="367"/>
      <c r="AX971" s="367"/>
      <c r="AY971" s="367"/>
      <c r="AZ971" s="367"/>
      <c r="BA971" s="367"/>
      <c r="BB971" s="152"/>
      <c r="BC971" s="152"/>
      <c r="BD971" s="367" t="s">
        <v>2455</v>
      </c>
      <c r="BE971" s="367"/>
      <c r="BF971" s="367"/>
      <c r="BG971" s="367"/>
      <c r="BH971" s="260"/>
      <c r="BL971" s="54"/>
    </row>
    <row r="972" spans="1:64" ht="37.950000000000003" customHeight="1" x14ac:dyDescent="0.3">
      <c r="A972" s="367">
        <f t="shared" si="18"/>
        <v>967</v>
      </c>
      <c r="B972" s="54" t="s">
        <v>3087</v>
      </c>
      <c r="C972" s="367" t="s">
        <v>5</v>
      </c>
      <c r="D972" s="367" t="s">
        <v>262</v>
      </c>
      <c r="E972" s="367"/>
      <c r="F972" s="367"/>
      <c r="G972" s="367"/>
      <c r="H972" s="367"/>
      <c r="I972" s="367"/>
      <c r="J972" s="54" t="s">
        <v>3057</v>
      </c>
      <c r="K972" s="48" t="s">
        <v>3083</v>
      </c>
      <c r="L972" s="150" t="s">
        <v>660</v>
      </c>
      <c r="M972" s="150" t="s">
        <v>65</v>
      </c>
      <c r="N972" s="367"/>
      <c r="O972" s="367"/>
      <c r="P972" s="367"/>
      <c r="Q972" s="367"/>
      <c r="R972" s="367"/>
      <c r="S972" s="367"/>
      <c r="T972" s="367">
        <v>22</v>
      </c>
      <c r="U972" s="367"/>
      <c r="V972" s="367"/>
      <c r="W972" s="367"/>
      <c r="X972" s="367" t="s">
        <v>1752</v>
      </c>
      <c r="Y972" s="367"/>
      <c r="Z972" s="367" t="s">
        <v>127</v>
      </c>
      <c r="AA972" s="367"/>
      <c r="AB972" s="150"/>
      <c r="AC972" s="48" t="s">
        <v>3088</v>
      </c>
      <c r="AD972" s="150" t="s">
        <v>819</v>
      </c>
      <c r="AE972" s="296">
        <v>46150</v>
      </c>
      <c r="AF972" s="296"/>
      <c r="AG972" s="286">
        <v>46315</v>
      </c>
      <c r="AH972" s="49">
        <v>46295</v>
      </c>
      <c r="AI972" s="266">
        <v>46266</v>
      </c>
      <c r="AJ972" s="150" t="s">
        <v>617</v>
      </c>
      <c r="AK972" s="150" t="s">
        <v>200</v>
      </c>
      <c r="AL972" s="150"/>
      <c r="AM972" s="150" t="s">
        <v>2086</v>
      </c>
      <c r="AN972" s="367"/>
      <c r="AO972" s="367"/>
      <c r="AP972" s="367"/>
      <c r="AQ972" s="367"/>
      <c r="AR972" s="367"/>
      <c r="AS972" s="367"/>
      <c r="AT972" s="367"/>
      <c r="AU972" s="367"/>
      <c r="AV972" s="367"/>
      <c r="AW972" s="367"/>
      <c r="AX972" s="367"/>
      <c r="AY972" s="367"/>
      <c r="AZ972" s="367"/>
      <c r="BA972" s="367"/>
      <c r="BB972" s="152"/>
      <c r="BC972" s="152"/>
      <c r="BD972" s="367" t="s">
        <v>2455</v>
      </c>
      <c r="BE972" s="367"/>
      <c r="BF972" s="367"/>
      <c r="BG972" s="367"/>
      <c r="BH972" s="260"/>
      <c r="BL972" s="54"/>
    </row>
    <row r="973" spans="1:64" ht="37.950000000000003" customHeight="1" x14ac:dyDescent="0.3">
      <c r="A973" s="367">
        <f t="shared" si="18"/>
        <v>968</v>
      </c>
      <c r="B973" s="54" t="s">
        <v>3089</v>
      </c>
      <c r="C973" s="367" t="s">
        <v>5</v>
      </c>
      <c r="D973" s="367" t="s">
        <v>262</v>
      </c>
      <c r="E973" s="367"/>
      <c r="F973" s="367"/>
      <c r="G973" s="367"/>
      <c r="H973" s="367"/>
      <c r="I973" s="367"/>
      <c r="J973" s="54" t="s">
        <v>3090</v>
      </c>
      <c r="K973" s="48" t="s">
        <v>521</v>
      </c>
      <c r="L973" s="367"/>
      <c r="M973" s="150" t="s">
        <v>120</v>
      </c>
      <c r="N973" s="367"/>
      <c r="O973" s="367"/>
      <c r="P973" s="367"/>
      <c r="Q973" s="367"/>
      <c r="R973" s="367"/>
      <c r="S973" s="367"/>
      <c r="T973" s="367"/>
      <c r="U973" s="367"/>
      <c r="V973" s="367"/>
      <c r="W973" s="367"/>
      <c r="X973" s="367" t="s">
        <v>1752</v>
      </c>
      <c r="Y973" s="367"/>
      <c r="Z973" s="367"/>
      <c r="AA973" s="367"/>
      <c r="AB973" s="150"/>
      <c r="AC973" s="48" t="s">
        <v>3091</v>
      </c>
      <c r="AD973" s="150" t="s">
        <v>55</v>
      </c>
      <c r="AE973" s="296"/>
      <c r="AF973" s="296"/>
      <c r="AG973" s="286">
        <v>46315</v>
      </c>
      <c r="AH973" s="49">
        <v>46233</v>
      </c>
      <c r="AI973" s="266">
        <v>46204</v>
      </c>
      <c r="AJ973" s="150" t="s">
        <v>617</v>
      </c>
      <c r="AK973" s="150" t="s">
        <v>161</v>
      </c>
      <c r="AL973" s="150"/>
      <c r="AM973" s="150" t="s">
        <v>209</v>
      </c>
      <c r="AN973" s="45">
        <v>46135</v>
      </c>
      <c r="AO973" s="367"/>
      <c r="AP973" s="367"/>
      <c r="AQ973" s="367"/>
      <c r="AR973" s="367"/>
      <c r="AS973" s="367"/>
      <c r="AT973" s="367"/>
      <c r="AU973" s="367"/>
      <c r="AV973" s="367"/>
      <c r="AW973" s="367"/>
      <c r="AX973" s="367"/>
      <c r="AY973" s="367"/>
      <c r="AZ973" s="367"/>
      <c r="BA973" s="367"/>
      <c r="BB973" s="152"/>
      <c r="BC973" s="152"/>
      <c r="BD973" s="367" t="s">
        <v>2455</v>
      </c>
      <c r="BE973" s="367"/>
      <c r="BF973" s="367"/>
      <c r="BG973" s="367"/>
      <c r="BH973" s="260"/>
      <c r="BL973" s="54"/>
    </row>
    <row r="974" spans="1:64" ht="37.950000000000003" customHeight="1" x14ac:dyDescent="0.3">
      <c r="A974" s="367">
        <f t="shared" si="18"/>
        <v>969</v>
      </c>
      <c r="B974" s="54" t="s">
        <v>3092</v>
      </c>
      <c r="C974" s="367" t="s">
        <v>5</v>
      </c>
      <c r="D974" s="367" t="s">
        <v>262</v>
      </c>
      <c r="E974" s="367"/>
      <c r="F974" s="367"/>
      <c r="G974" s="367"/>
      <c r="H974" s="367"/>
      <c r="I974" s="367"/>
      <c r="J974" s="54" t="s">
        <v>3090</v>
      </c>
      <c r="K974" s="48" t="s">
        <v>521</v>
      </c>
      <c r="L974" s="367"/>
      <c r="M974" s="150" t="s">
        <v>120</v>
      </c>
      <c r="N974" s="367"/>
      <c r="O974" s="367"/>
      <c r="P974" s="367"/>
      <c r="Q974" s="367"/>
      <c r="R974" s="367"/>
      <c r="S974" s="367"/>
      <c r="T974" s="367"/>
      <c r="U974" s="367"/>
      <c r="V974" s="367"/>
      <c r="W974" s="367"/>
      <c r="X974" s="367" t="s">
        <v>1752</v>
      </c>
      <c r="Y974" s="367"/>
      <c r="Z974" s="367"/>
      <c r="AA974" s="367"/>
      <c r="AB974" s="150"/>
      <c r="AC974" s="48" t="s">
        <v>3091</v>
      </c>
      <c r="AD974" s="150" t="s">
        <v>55</v>
      </c>
      <c r="AE974" s="296"/>
      <c r="AF974" s="296"/>
      <c r="AG974" s="286"/>
      <c r="AH974" s="49">
        <v>46233</v>
      </c>
      <c r="AI974" s="266">
        <v>46204</v>
      </c>
      <c r="AJ974" s="150" t="s">
        <v>617</v>
      </c>
      <c r="AK974" s="150" t="s">
        <v>161</v>
      </c>
      <c r="AL974" s="150"/>
      <c r="AM974" s="150" t="s">
        <v>209</v>
      </c>
      <c r="AN974" s="45">
        <v>46135</v>
      </c>
      <c r="AO974" s="367"/>
      <c r="AP974" s="367"/>
      <c r="AQ974" s="367"/>
      <c r="AR974" s="367"/>
      <c r="AS974" s="367"/>
      <c r="AT974" s="367"/>
      <c r="AU974" s="367"/>
      <c r="AV974" s="367"/>
      <c r="AW974" s="367"/>
      <c r="AX974" s="367"/>
      <c r="AY974" s="367"/>
      <c r="AZ974" s="367"/>
      <c r="BA974" s="367"/>
      <c r="BB974" s="152"/>
      <c r="BC974" s="152"/>
      <c r="BD974" s="367" t="s">
        <v>2455</v>
      </c>
      <c r="BE974" s="367"/>
      <c r="BF974" s="367"/>
      <c r="BG974" s="367"/>
      <c r="BH974" s="260"/>
      <c r="BL974" s="54"/>
    </row>
    <row r="975" spans="1:64" ht="37.950000000000003" customHeight="1" x14ac:dyDescent="0.3">
      <c r="A975" s="367">
        <f t="shared" si="18"/>
        <v>970</v>
      </c>
      <c r="B975" s="54" t="s">
        <v>3093</v>
      </c>
      <c r="C975" s="367" t="s">
        <v>5</v>
      </c>
      <c r="D975" s="367" t="s">
        <v>262</v>
      </c>
      <c r="E975" s="367"/>
      <c r="F975" s="367"/>
      <c r="G975" s="367"/>
      <c r="H975" s="367"/>
      <c r="I975" s="367"/>
      <c r="J975" s="54" t="s">
        <v>3090</v>
      </c>
      <c r="K975" s="48" t="s">
        <v>521</v>
      </c>
      <c r="L975" s="367"/>
      <c r="M975" s="150" t="s">
        <v>120</v>
      </c>
      <c r="N975" s="367"/>
      <c r="O975" s="367"/>
      <c r="P975" s="367"/>
      <c r="Q975" s="367"/>
      <c r="R975" s="367"/>
      <c r="S975" s="367"/>
      <c r="T975" s="367"/>
      <c r="U975" s="367"/>
      <c r="V975" s="367"/>
      <c r="W975" s="367"/>
      <c r="X975" s="367" t="s">
        <v>1752</v>
      </c>
      <c r="Y975" s="367"/>
      <c r="Z975" s="367"/>
      <c r="AA975" s="367"/>
      <c r="AB975" s="150"/>
      <c r="AC975" s="48" t="s">
        <v>3091</v>
      </c>
      <c r="AD975" s="150" t="s">
        <v>55</v>
      </c>
      <c r="AE975" s="296"/>
      <c r="AF975" s="296"/>
      <c r="AG975" s="286"/>
      <c r="AH975" s="49">
        <v>46233</v>
      </c>
      <c r="AI975" s="266">
        <v>46204</v>
      </c>
      <c r="AJ975" s="150" t="s">
        <v>617</v>
      </c>
      <c r="AK975" s="150" t="s">
        <v>161</v>
      </c>
      <c r="AL975" s="150"/>
      <c r="AM975" s="150" t="s">
        <v>209</v>
      </c>
      <c r="AN975" s="45">
        <v>46135</v>
      </c>
      <c r="AO975" s="367"/>
      <c r="AP975" s="367"/>
      <c r="AQ975" s="367"/>
      <c r="AR975" s="367"/>
      <c r="AS975" s="367"/>
      <c r="AT975" s="367"/>
      <c r="AU975" s="367"/>
      <c r="AV975" s="367"/>
      <c r="AW975" s="367"/>
      <c r="AX975" s="367"/>
      <c r="AY975" s="367"/>
      <c r="AZ975" s="367"/>
      <c r="BA975" s="367"/>
      <c r="BB975" s="152"/>
      <c r="BC975" s="152"/>
      <c r="BD975" s="367" t="s">
        <v>2455</v>
      </c>
      <c r="BE975" s="367"/>
      <c r="BF975" s="367"/>
      <c r="BG975" s="367"/>
      <c r="BH975" s="260"/>
      <c r="BL975" s="54"/>
    </row>
    <row r="976" spans="1:64" ht="37.950000000000003" customHeight="1" x14ac:dyDescent="0.3">
      <c r="A976" s="367">
        <f t="shared" si="18"/>
        <v>971</v>
      </c>
      <c r="B976" s="54" t="s">
        <v>3094</v>
      </c>
      <c r="C976" s="367" t="s">
        <v>5</v>
      </c>
      <c r="D976" s="367" t="s">
        <v>262</v>
      </c>
      <c r="E976" s="367"/>
      <c r="F976" s="367"/>
      <c r="G976" s="367"/>
      <c r="H976" s="367"/>
      <c r="I976" s="367"/>
      <c r="J976" s="54" t="s">
        <v>3090</v>
      </c>
      <c r="K976" s="48" t="s">
        <v>521</v>
      </c>
      <c r="L976" s="367"/>
      <c r="M976" s="150" t="s">
        <v>120</v>
      </c>
      <c r="N976" s="367"/>
      <c r="O976" s="367"/>
      <c r="P976" s="367"/>
      <c r="Q976" s="367"/>
      <c r="R976" s="367"/>
      <c r="S976" s="367"/>
      <c r="T976" s="367"/>
      <c r="U976" s="367"/>
      <c r="V976" s="367"/>
      <c r="W976" s="367"/>
      <c r="X976" s="367" t="s">
        <v>1752</v>
      </c>
      <c r="Y976" s="367"/>
      <c r="Z976" s="367"/>
      <c r="AA976" s="367"/>
      <c r="AB976" s="150"/>
      <c r="AC976" s="48" t="s">
        <v>3091</v>
      </c>
      <c r="AD976" s="150" t="s">
        <v>55</v>
      </c>
      <c r="AE976" s="296"/>
      <c r="AF976" s="296"/>
      <c r="AG976" s="286"/>
      <c r="AH976" s="49">
        <v>46233</v>
      </c>
      <c r="AI976" s="266">
        <v>46204</v>
      </c>
      <c r="AJ976" s="150" t="s">
        <v>617</v>
      </c>
      <c r="AK976" s="150" t="s">
        <v>161</v>
      </c>
      <c r="AL976" s="150"/>
      <c r="AM976" s="150" t="s">
        <v>2609</v>
      </c>
      <c r="AN976" s="45">
        <v>46135</v>
      </c>
      <c r="AO976" s="367"/>
      <c r="AP976" s="367"/>
      <c r="AQ976" s="367"/>
      <c r="AR976" s="367"/>
      <c r="AS976" s="367"/>
      <c r="AT976" s="367"/>
      <c r="AU976" s="367"/>
      <c r="AV976" s="367"/>
      <c r="AW976" s="367"/>
      <c r="AX976" s="367"/>
      <c r="AY976" s="367"/>
      <c r="AZ976" s="367"/>
      <c r="BA976" s="367"/>
      <c r="BB976" s="152"/>
      <c r="BC976" s="152"/>
      <c r="BD976" s="367" t="s">
        <v>2455</v>
      </c>
      <c r="BE976" s="367"/>
      <c r="BF976" s="367"/>
      <c r="BG976" s="367"/>
      <c r="BH976" s="260"/>
      <c r="BL976" s="54"/>
    </row>
    <row r="977" spans="1:64" ht="37.950000000000003" customHeight="1" x14ac:dyDescent="0.3">
      <c r="A977" s="367">
        <f t="shared" si="18"/>
        <v>972</v>
      </c>
      <c r="B977" s="54" t="s">
        <v>3095</v>
      </c>
      <c r="C977" s="367" t="s">
        <v>5</v>
      </c>
      <c r="D977" s="367" t="s">
        <v>262</v>
      </c>
      <c r="E977" s="367"/>
      <c r="F977" s="367"/>
      <c r="G977" s="367"/>
      <c r="H977" s="367"/>
      <c r="I977" s="367"/>
      <c r="J977" s="54" t="s">
        <v>3090</v>
      </c>
      <c r="K977" s="48" t="s">
        <v>521</v>
      </c>
      <c r="L977" s="367"/>
      <c r="M977" s="150" t="s">
        <v>120</v>
      </c>
      <c r="N977" s="367"/>
      <c r="O977" s="367"/>
      <c r="P977" s="367"/>
      <c r="Q977" s="367"/>
      <c r="R977" s="367"/>
      <c r="S977" s="367"/>
      <c r="T977" s="367"/>
      <c r="U977" s="367"/>
      <c r="V977" s="367"/>
      <c r="W977" s="367"/>
      <c r="X977" s="367" t="s">
        <v>1752</v>
      </c>
      <c r="Y977" s="367"/>
      <c r="Z977" s="367"/>
      <c r="AA977" s="367"/>
      <c r="AB977" s="150"/>
      <c r="AC977" s="48" t="s">
        <v>3091</v>
      </c>
      <c r="AD977" s="150" t="s">
        <v>55</v>
      </c>
      <c r="AE977" s="296"/>
      <c r="AF977" s="296"/>
      <c r="AG977" s="286"/>
      <c r="AH977" s="49">
        <v>46233</v>
      </c>
      <c r="AI977" s="266">
        <v>46204</v>
      </c>
      <c r="AJ977" s="150" t="s">
        <v>617</v>
      </c>
      <c r="AK977" s="150" t="s">
        <v>161</v>
      </c>
      <c r="AL977" s="150"/>
      <c r="AM977" s="150" t="s">
        <v>2609</v>
      </c>
      <c r="AN977" s="45">
        <v>46135</v>
      </c>
      <c r="AO977" s="367"/>
      <c r="AP977" s="367"/>
      <c r="AQ977" s="367"/>
      <c r="AR977" s="367"/>
      <c r="AS977" s="367"/>
      <c r="AT977" s="367"/>
      <c r="AU977" s="367"/>
      <c r="AV977" s="367"/>
      <c r="AW977" s="367"/>
      <c r="AX977" s="367"/>
      <c r="AY977" s="367"/>
      <c r="AZ977" s="367"/>
      <c r="BA977" s="367"/>
      <c r="BB977" s="152"/>
      <c r="BC977" s="152"/>
      <c r="BD977" s="367" t="s">
        <v>2455</v>
      </c>
      <c r="BE977" s="367"/>
      <c r="BF977" s="367"/>
      <c r="BG977" s="367"/>
      <c r="BH977" s="260"/>
      <c r="BL977" s="54"/>
    </row>
    <row r="978" spans="1:64" ht="37.950000000000003" customHeight="1" x14ac:dyDescent="0.3">
      <c r="A978" s="367">
        <f t="shared" si="18"/>
        <v>973</v>
      </c>
      <c r="B978" s="54" t="s">
        <v>3096</v>
      </c>
      <c r="C978" s="367" t="s">
        <v>5</v>
      </c>
      <c r="D978" s="367" t="s">
        <v>262</v>
      </c>
      <c r="E978" s="367"/>
      <c r="F978" s="367"/>
      <c r="G978" s="367"/>
      <c r="H978" s="367"/>
      <c r="I978" s="367"/>
      <c r="J978" s="54" t="s">
        <v>3090</v>
      </c>
      <c r="K978" s="48" t="s">
        <v>521</v>
      </c>
      <c r="L978" s="367"/>
      <c r="M978" s="150" t="s">
        <v>120</v>
      </c>
      <c r="N978" s="367"/>
      <c r="O978" s="367"/>
      <c r="P978" s="367"/>
      <c r="Q978" s="367"/>
      <c r="R978" s="367"/>
      <c r="S978" s="367"/>
      <c r="T978" s="367"/>
      <c r="U978" s="367"/>
      <c r="V978" s="367"/>
      <c r="W978" s="367"/>
      <c r="X978" s="367" t="s">
        <v>1752</v>
      </c>
      <c r="Y978" s="367"/>
      <c r="Z978" s="367"/>
      <c r="AA978" s="367"/>
      <c r="AB978" s="150"/>
      <c r="AC978" s="48" t="s">
        <v>3091</v>
      </c>
      <c r="AD978" s="150" t="s">
        <v>55</v>
      </c>
      <c r="AE978" s="296"/>
      <c r="AF978" s="296"/>
      <c r="AG978" s="286"/>
      <c r="AH978" s="49">
        <v>46264</v>
      </c>
      <c r="AI978" s="266">
        <v>46235</v>
      </c>
      <c r="AJ978" s="150" t="s">
        <v>617</v>
      </c>
      <c r="AK978" s="150" t="s">
        <v>161</v>
      </c>
      <c r="AL978" s="150"/>
      <c r="AM978" s="150" t="s">
        <v>2609</v>
      </c>
      <c r="AN978" s="45">
        <v>46135</v>
      </c>
      <c r="AO978" s="367"/>
      <c r="AP978" s="367"/>
      <c r="AQ978" s="367"/>
      <c r="AR978" s="367"/>
      <c r="AS978" s="367"/>
      <c r="AT978" s="367"/>
      <c r="AU978" s="367"/>
      <c r="AV978" s="367"/>
      <c r="AW978" s="367"/>
      <c r="AX978" s="367"/>
      <c r="AY978" s="367"/>
      <c r="AZ978" s="367"/>
      <c r="BA978" s="367"/>
      <c r="BB978" s="152"/>
      <c r="BC978" s="152"/>
      <c r="BD978" s="367" t="s">
        <v>2455</v>
      </c>
      <c r="BE978" s="367"/>
      <c r="BF978" s="367"/>
      <c r="BG978" s="367"/>
      <c r="BH978" s="260"/>
      <c r="BL978" s="54"/>
    </row>
    <row r="979" spans="1:64" ht="37.950000000000003" customHeight="1" x14ac:dyDescent="0.3">
      <c r="A979" s="367">
        <f t="shared" si="18"/>
        <v>974</v>
      </c>
      <c r="B979" s="54" t="s">
        <v>3097</v>
      </c>
      <c r="C979" s="367" t="s">
        <v>5</v>
      </c>
      <c r="D979" s="367" t="s">
        <v>262</v>
      </c>
      <c r="E979" s="367"/>
      <c r="F979" s="367"/>
      <c r="G979" s="367"/>
      <c r="H979" s="367"/>
      <c r="I979" s="367"/>
      <c r="J979" s="54" t="s">
        <v>3090</v>
      </c>
      <c r="K979" s="48" t="s">
        <v>521</v>
      </c>
      <c r="L979" s="367"/>
      <c r="M979" s="150" t="s">
        <v>120</v>
      </c>
      <c r="N979" s="367"/>
      <c r="O979" s="367"/>
      <c r="P979" s="367"/>
      <c r="Q979" s="367"/>
      <c r="R979" s="367"/>
      <c r="S979" s="367"/>
      <c r="T979" s="367"/>
      <c r="U979" s="367"/>
      <c r="V979" s="367"/>
      <c r="W979" s="367"/>
      <c r="X979" s="367" t="s">
        <v>1752</v>
      </c>
      <c r="Y979" s="367"/>
      <c r="Z979" s="367"/>
      <c r="AA979" s="367"/>
      <c r="AB979" s="150"/>
      <c r="AC979" s="48" t="s">
        <v>3091</v>
      </c>
      <c r="AD979" s="150" t="s">
        <v>55</v>
      </c>
      <c r="AE979" s="296"/>
      <c r="AF979" s="296"/>
      <c r="AG979" s="286"/>
      <c r="AH979" s="49">
        <v>46264</v>
      </c>
      <c r="AI979" s="266">
        <v>46235</v>
      </c>
      <c r="AJ979" s="150" t="s">
        <v>617</v>
      </c>
      <c r="AK979" s="150" t="s">
        <v>161</v>
      </c>
      <c r="AL979" s="150"/>
      <c r="AM979" s="150" t="s">
        <v>2609</v>
      </c>
      <c r="AN979" s="45">
        <v>46135</v>
      </c>
      <c r="AO979" s="367"/>
      <c r="AP979" s="367"/>
      <c r="AQ979" s="367"/>
      <c r="AR979" s="367"/>
      <c r="AS979" s="367"/>
      <c r="AT979" s="367"/>
      <c r="AU979" s="367"/>
      <c r="AV979" s="367"/>
      <c r="AW979" s="367"/>
      <c r="AX979" s="367"/>
      <c r="AY979" s="367"/>
      <c r="AZ979" s="367"/>
      <c r="BA979" s="367"/>
      <c r="BB979" s="152"/>
      <c r="BC979" s="152"/>
      <c r="BD979" s="367" t="s">
        <v>2455</v>
      </c>
      <c r="BE979" s="367"/>
      <c r="BF979" s="367"/>
      <c r="BG979" s="367"/>
      <c r="BH979" s="260"/>
      <c r="BL979" s="54"/>
    </row>
    <row r="980" spans="1:64" ht="37.950000000000003" customHeight="1" x14ac:dyDescent="0.3">
      <c r="A980" s="367">
        <f t="shared" si="18"/>
        <v>975</v>
      </c>
      <c r="B980" s="54" t="s">
        <v>3098</v>
      </c>
      <c r="C980" s="367" t="s">
        <v>5</v>
      </c>
      <c r="D980" s="367" t="s">
        <v>262</v>
      </c>
      <c r="E980" s="367"/>
      <c r="F980" s="367"/>
      <c r="G980" s="367"/>
      <c r="H980" s="367"/>
      <c r="I980" s="367"/>
      <c r="J980" s="54" t="s">
        <v>3090</v>
      </c>
      <c r="K980" s="48" t="s">
        <v>521</v>
      </c>
      <c r="L980" s="367"/>
      <c r="M980" s="150" t="s">
        <v>120</v>
      </c>
      <c r="N980" s="367"/>
      <c r="O980" s="367"/>
      <c r="P980" s="367"/>
      <c r="Q980" s="367"/>
      <c r="R980" s="367"/>
      <c r="S980" s="367"/>
      <c r="T980" s="367"/>
      <c r="U980" s="367"/>
      <c r="V980" s="367"/>
      <c r="W980" s="367"/>
      <c r="X980" s="367" t="s">
        <v>1752</v>
      </c>
      <c r="Y980" s="367"/>
      <c r="Z980" s="367"/>
      <c r="AA980" s="367"/>
      <c r="AB980" s="150"/>
      <c r="AC980" s="48" t="s">
        <v>3091</v>
      </c>
      <c r="AD980" s="150" t="s">
        <v>55</v>
      </c>
      <c r="AE980" s="296"/>
      <c r="AF980" s="296"/>
      <c r="AG980" s="286"/>
      <c r="AH980" s="49">
        <v>46264</v>
      </c>
      <c r="AI980" s="266">
        <v>46235</v>
      </c>
      <c r="AJ980" s="150" t="s">
        <v>617</v>
      </c>
      <c r="AK980" s="150" t="s">
        <v>161</v>
      </c>
      <c r="AL980" s="150"/>
      <c r="AM980" s="150" t="s">
        <v>209</v>
      </c>
      <c r="AN980" s="45">
        <v>46135</v>
      </c>
      <c r="AO980" s="367"/>
      <c r="AP980" s="367"/>
      <c r="AQ980" s="367"/>
      <c r="AR980" s="367"/>
      <c r="AS980" s="367"/>
      <c r="AT980" s="367"/>
      <c r="AU980" s="367"/>
      <c r="AV980" s="367"/>
      <c r="AW980" s="367"/>
      <c r="AX980" s="367"/>
      <c r="AY980" s="367"/>
      <c r="AZ980" s="367"/>
      <c r="BA980" s="367"/>
      <c r="BB980" s="152"/>
      <c r="BC980" s="152"/>
      <c r="BD980" s="367" t="s">
        <v>2455</v>
      </c>
      <c r="BE980" s="367"/>
      <c r="BF980" s="367"/>
      <c r="BG980" s="367"/>
      <c r="BH980" s="260"/>
      <c r="BL980" s="54"/>
    </row>
    <row r="981" spans="1:64" ht="37.950000000000003" customHeight="1" x14ac:dyDescent="0.3">
      <c r="A981" s="367">
        <f t="shared" si="18"/>
        <v>976</v>
      </c>
      <c r="B981" s="54" t="s">
        <v>3099</v>
      </c>
      <c r="C981" s="367" t="s">
        <v>5</v>
      </c>
      <c r="D981" s="367" t="s">
        <v>262</v>
      </c>
      <c r="E981" s="367"/>
      <c r="F981" s="367"/>
      <c r="G981" s="367"/>
      <c r="H981" s="367"/>
      <c r="I981" s="367"/>
      <c r="J981" s="54" t="s">
        <v>3090</v>
      </c>
      <c r="K981" s="48" t="s">
        <v>521</v>
      </c>
      <c r="L981" s="367"/>
      <c r="M981" s="150" t="s">
        <v>120</v>
      </c>
      <c r="N981" s="367"/>
      <c r="O981" s="367"/>
      <c r="P981" s="367"/>
      <c r="Q981" s="367"/>
      <c r="R981" s="367"/>
      <c r="S981" s="367"/>
      <c r="T981" s="367"/>
      <c r="U981" s="367"/>
      <c r="V981" s="367"/>
      <c r="W981" s="367"/>
      <c r="X981" s="367" t="s">
        <v>1752</v>
      </c>
      <c r="Y981" s="367"/>
      <c r="Z981" s="367"/>
      <c r="AA981" s="367"/>
      <c r="AB981" s="150"/>
      <c r="AC981" s="48" t="s">
        <v>3091</v>
      </c>
      <c r="AD981" s="150" t="s">
        <v>55</v>
      </c>
      <c r="AE981" s="296"/>
      <c r="AF981" s="296"/>
      <c r="AG981" s="286"/>
      <c r="AH981" s="49">
        <v>46264</v>
      </c>
      <c r="AI981" s="266">
        <v>46235</v>
      </c>
      <c r="AJ981" s="150" t="s">
        <v>617</v>
      </c>
      <c r="AK981" s="150" t="s">
        <v>161</v>
      </c>
      <c r="AL981" s="150"/>
      <c r="AM981" s="150" t="s">
        <v>2086</v>
      </c>
      <c r="AN981" s="45">
        <v>46135</v>
      </c>
      <c r="AO981" s="367"/>
      <c r="AP981" s="367"/>
      <c r="AQ981" s="367"/>
      <c r="AR981" s="367"/>
      <c r="AS981" s="367"/>
      <c r="AT981" s="367"/>
      <c r="AU981" s="367"/>
      <c r="AV981" s="367"/>
      <c r="AW981" s="367"/>
      <c r="AX981" s="367"/>
      <c r="AY981" s="367"/>
      <c r="AZ981" s="367"/>
      <c r="BA981" s="367"/>
      <c r="BB981" s="152"/>
      <c r="BC981" s="152"/>
      <c r="BD981" s="367" t="s">
        <v>2455</v>
      </c>
      <c r="BE981" s="367"/>
      <c r="BF981" s="367"/>
      <c r="BG981" s="367"/>
      <c r="BH981" s="260"/>
      <c r="BL981" s="54"/>
    </row>
    <row r="982" spans="1:64" ht="37.950000000000003" customHeight="1" x14ac:dyDescent="0.3">
      <c r="A982" s="367">
        <f t="shared" si="18"/>
        <v>977</v>
      </c>
      <c r="B982" s="54" t="s">
        <v>3100</v>
      </c>
      <c r="C982" s="367" t="s">
        <v>5</v>
      </c>
      <c r="D982" s="367" t="s">
        <v>262</v>
      </c>
      <c r="E982" s="367"/>
      <c r="F982" s="367"/>
      <c r="G982" s="367"/>
      <c r="H982" s="367"/>
      <c r="I982" s="367"/>
      <c r="J982" s="54" t="s">
        <v>3090</v>
      </c>
      <c r="K982" s="48" t="s">
        <v>521</v>
      </c>
      <c r="L982" s="367"/>
      <c r="M982" s="150" t="s">
        <v>120</v>
      </c>
      <c r="N982" s="367"/>
      <c r="O982" s="367"/>
      <c r="P982" s="367"/>
      <c r="Q982" s="367"/>
      <c r="R982" s="367"/>
      <c r="S982" s="367"/>
      <c r="T982" s="367"/>
      <c r="U982" s="367"/>
      <c r="V982" s="367"/>
      <c r="W982" s="367"/>
      <c r="X982" s="367" t="s">
        <v>1752</v>
      </c>
      <c r="Y982" s="367"/>
      <c r="Z982" s="367"/>
      <c r="AA982" s="367"/>
      <c r="AB982" s="150"/>
      <c r="AC982" s="48" t="s">
        <v>3091</v>
      </c>
      <c r="AD982" s="150" t="s">
        <v>55</v>
      </c>
      <c r="AE982" s="296"/>
      <c r="AF982" s="296"/>
      <c r="AG982" s="286"/>
      <c r="AH982" s="49">
        <v>46264</v>
      </c>
      <c r="AI982" s="266">
        <v>46235</v>
      </c>
      <c r="AJ982" s="150" t="s">
        <v>617</v>
      </c>
      <c r="AK982" s="150" t="s">
        <v>161</v>
      </c>
      <c r="AL982" s="150"/>
      <c r="AM982" s="150" t="s">
        <v>2086</v>
      </c>
      <c r="AN982" s="45">
        <v>46135</v>
      </c>
      <c r="AO982" s="367"/>
      <c r="AP982" s="367"/>
      <c r="AQ982" s="367"/>
      <c r="AR982" s="367"/>
      <c r="AS982" s="367"/>
      <c r="AT982" s="367"/>
      <c r="AU982" s="367"/>
      <c r="AV982" s="367"/>
      <c r="AW982" s="367"/>
      <c r="AX982" s="367"/>
      <c r="AY982" s="367"/>
      <c r="AZ982" s="367"/>
      <c r="BA982" s="367"/>
      <c r="BB982" s="152"/>
      <c r="BC982" s="152"/>
      <c r="BD982" s="367" t="s">
        <v>2455</v>
      </c>
      <c r="BE982" s="367"/>
      <c r="BF982" s="367"/>
      <c r="BG982" s="367"/>
      <c r="BH982" s="260"/>
      <c r="BL982" s="54"/>
    </row>
    <row r="983" spans="1:64" ht="37.950000000000003" customHeight="1" x14ac:dyDescent="0.3">
      <c r="A983" s="367">
        <f t="shared" si="18"/>
        <v>978</v>
      </c>
      <c r="B983" s="54" t="s">
        <v>3101</v>
      </c>
      <c r="C983" s="367" t="s">
        <v>5</v>
      </c>
      <c r="D983" s="367" t="s">
        <v>262</v>
      </c>
      <c r="E983" s="367"/>
      <c r="F983" s="367"/>
      <c r="G983" s="367"/>
      <c r="H983" s="367"/>
      <c r="I983" s="367"/>
      <c r="J983" s="54" t="s">
        <v>3090</v>
      </c>
      <c r="K983" s="48" t="s">
        <v>521</v>
      </c>
      <c r="L983" s="367"/>
      <c r="M983" s="150" t="s">
        <v>120</v>
      </c>
      <c r="N983" s="367"/>
      <c r="O983" s="367"/>
      <c r="P983" s="367"/>
      <c r="Q983" s="367"/>
      <c r="R983" s="367"/>
      <c r="S983" s="367"/>
      <c r="T983" s="367"/>
      <c r="U983" s="367"/>
      <c r="V983" s="367"/>
      <c r="W983" s="367"/>
      <c r="X983" s="367" t="s">
        <v>1752</v>
      </c>
      <c r="Y983" s="367"/>
      <c r="Z983" s="367"/>
      <c r="AA983" s="367"/>
      <c r="AB983" s="150"/>
      <c r="AC983" s="48" t="s">
        <v>3091</v>
      </c>
      <c r="AD983" s="150" t="s">
        <v>55</v>
      </c>
      <c r="AE983" s="296"/>
      <c r="AF983" s="296"/>
      <c r="AG983" s="286"/>
      <c r="AH983" s="49">
        <v>46295</v>
      </c>
      <c r="AI983" s="266">
        <v>46266</v>
      </c>
      <c r="AJ983" s="150" t="s">
        <v>617</v>
      </c>
      <c r="AK983" s="150" t="s">
        <v>161</v>
      </c>
      <c r="AL983" s="150"/>
      <c r="AM983" s="150" t="s">
        <v>209</v>
      </c>
      <c r="AN983" s="45">
        <v>46135</v>
      </c>
      <c r="AO983" s="367"/>
      <c r="AP983" s="367"/>
      <c r="AQ983" s="367"/>
      <c r="AR983" s="367"/>
      <c r="AS983" s="367"/>
      <c r="AT983" s="367"/>
      <c r="AU983" s="367"/>
      <c r="AV983" s="367"/>
      <c r="AW983" s="367"/>
      <c r="AX983" s="367"/>
      <c r="AY983" s="367"/>
      <c r="AZ983" s="367"/>
      <c r="BA983" s="367"/>
      <c r="BB983" s="152"/>
      <c r="BC983" s="152"/>
      <c r="BD983" s="367" t="s">
        <v>2455</v>
      </c>
      <c r="BE983" s="367"/>
      <c r="BF983" s="367"/>
      <c r="BG983" s="367"/>
      <c r="BH983" s="260"/>
      <c r="BL983" s="54"/>
    </row>
    <row r="984" spans="1:64" ht="37.950000000000003" customHeight="1" x14ac:dyDescent="0.3">
      <c r="A984" s="367">
        <f t="shared" si="18"/>
        <v>979</v>
      </c>
      <c r="B984" s="54" t="s">
        <v>3102</v>
      </c>
      <c r="C984" s="367" t="s">
        <v>5</v>
      </c>
      <c r="D984" s="367" t="s">
        <v>262</v>
      </c>
      <c r="E984" s="367"/>
      <c r="F984" s="367"/>
      <c r="G984" s="367"/>
      <c r="H984" s="367"/>
      <c r="I984" s="367"/>
      <c r="J984" s="54" t="s">
        <v>3090</v>
      </c>
      <c r="K984" s="48" t="s">
        <v>521</v>
      </c>
      <c r="L984" s="367"/>
      <c r="M984" s="150" t="s">
        <v>120</v>
      </c>
      <c r="N984" s="367"/>
      <c r="O984" s="367"/>
      <c r="P984" s="367"/>
      <c r="Q984" s="367"/>
      <c r="R984" s="367"/>
      <c r="S984" s="367"/>
      <c r="T984" s="367"/>
      <c r="U984" s="367"/>
      <c r="V984" s="367"/>
      <c r="W984" s="367"/>
      <c r="X984" s="367" t="s">
        <v>1752</v>
      </c>
      <c r="Y984" s="367"/>
      <c r="Z984" s="367"/>
      <c r="AA984" s="367"/>
      <c r="AB984" s="150"/>
      <c r="AC984" s="48" t="s">
        <v>3091</v>
      </c>
      <c r="AD984" s="150" t="s">
        <v>55</v>
      </c>
      <c r="AE984" s="296"/>
      <c r="AF984" s="296"/>
      <c r="AG984" s="286"/>
      <c r="AH984" s="49">
        <v>46295</v>
      </c>
      <c r="AI984" s="266">
        <v>46266</v>
      </c>
      <c r="AJ984" s="150" t="s">
        <v>617</v>
      </c>
      <c r="AK984" s="150" t="s">
        <v>161</v>
      </c>
      <c r="AL984" s="150"/>
      <c r="AM984" s="150" t="s">
        <v>2079</v>
      </c>
      <c r="AN984" s="45">
        <v>46135</v>
      </c>
      <c r="AO984" s="367"/>
      <c r="AP984" s="367"/>
      <c r="AQ984" s="367"/>
      <c r="AR984" s="367"/>
      <c r="AS984" s="367"/>
      <c r="AT984" s="367"/>
      <c r="AU984" s="367"/>
      <c r="AV984" s="367"/>
      <c r="AW984" s="367"/>
      <c r="AX984" s="367"/>
      <c r="AY984" s="367"/>
      <c r="AZ984" s="367"/>
      <c r="BA984" s="367"/>
      <c r="BB984" s="152"/>
      <c r="BC984" s="152"/>
      <c r="BD984" s="367" t="s">
        <v>2455</v>
      </c>
      <c r="BE984" s="367"/>
      <c r="BF984" s="367"/>
      <c r="BG984" s="367"/>
      <c r="BH984" s="260"/>
      <c r="BL984" s="54"/>
    </row>
    <row r="985" spans="1:64" ht="37.950000000000003" customHeight="1" x14ac:dyDescent="0.3">
      <c r="A985" s="367">
        <f t="shared" si="18"/>
        <v>980</v>
      </c>
      <c r="B985" s="54" t="s">
        <v>3103</v>
      </c>
      <c r="C985" s="367" t="s">
        <v>5</v>
      </c>
      <c r="D985" s="367" t="s">
        <v>262</v>
      </c>
      <c r="E985" s="367"/>
      <c r="F985" s="367"/>
      <c r="G985" s="367"/>
      <c r="H985" s="367"/>
      <c r="I985" s="367"/>
      <c r="J985" s="54" t="s">
        <v>3090</v>
      </c>
      <c r="K985" s="48" t="s">
        <v>521</v>
      </c>
      <c r="L985" s="367"/>
      <c r="M985" s="150" t="s">
        <v>120</v>
      </c>
      <c r="N985" s="367"/>
      <c r="O985" s="367"/>
      <c r="P985" s="367"/>
      <c r="Q985" s="367"/>
      <c r="R985" s="367"/>
      <c r="S985" s="367"/>
      <c r="T985" s="367"/>
      <c r="U985" s="367"/>
      <c r="V985" s="367"/>
      <c r="W985" s="367"/>
      <c r="X985" s="367" t="s">
        <v>1752</v>
      </c>
      <c r="Y985" s="367"/>
      <c r="Z985" s="367"/>
      <c r="AA985" s="367"/>
      <c r="AB985" s="150"/>
      <c r="AC985" s="48" t="s">
        <v>3091</v>
      </c>
      <c r="AD985" s="150" t="s">
        <v>55</v>
      </c>
      <c r="AE985" s="296"/>
      <c r="AF985" s="296"/>
      <c r="AG985" s="286"/>
      <c r="AH985" s="49">
        <v>46295</v>
      </c>
      <c r="AI985" s="266">
        <v>46266</v>
      </c>
      <c r="AJ985" s="150" t="s">
        <v>617</v>
      </c>
      <c r="AK985" s="150" t="s">
        <v>161</v>
      </c>
      <c r="AL985" s="150"/>
      <c r="AM985" s="150" t="s">
        <v>209</v>
      </c>
      <c r="AN985" s="45">
        <v>46135</v>
      </c>
      <c r="AO985" s="367"/>
      <c r="AP985" s="367"/>
      <c r="AQ985" s="367"/>
      <c r="AR985" s="367"/>
      <c r="AS985" s="367"/>
      <c r="AT985" s="367"/>
      <c r="AU985" s="367"/>
      <c r="AV985" s="367"/>
      <c r="AW985" s="367"/>
      <c r="AX985" s="367"/>
      <c r="AY985" s="367"/>
      <c r="AZ985" s="367"/>
      <c r="BA985" s="367"/>
      <c r="BB985" s="152"/>
      <c r="BC985" s="152"/>
      <c r="BD985" s="367" t="s">
        <v>2455</v>
      </c>
      <c r="BE985" s="367"/>
      <c r="BF985" s="367"/>
      <c r="BG985" s="367"/>
      <c r="BH985" s="260"/>
      <c r="BL985" s="54"/>
    </row>
    <row r="986" spans="1:64" ht="37.950000000000003" customHeight="1" x14ac:dyDescent="0.3">
      <c r="A986" s="367">
        <f t="shared" si="18"/>
        <v>981</v>
      </c>
      <c r="B986" s="54" t="s">
        <v>3104</v>
      </c>
      <c r="C986" s="367" t="s">
        <v>5</v>
      </c>
      <c r="D986" s="367" t="s">
        <v>262</v>
      </c>
      <c r="E986" s="367"/>
      <c r="F986" s="367"/>
      <c r="G986" s="367"/>
      <c r="H986" s="367"/>
      <c r="I986" s="367"/>
      <c r="J986" s="54" t="s">
        <v>3090</v>
      </c>
      <c r="K986" s="48" t="s">
        <v>521</v>
      </c>
      <c r="L986" s="367"/>
      <c r="M986" s="150" t="s">
        <v>120</v>
      </c>
      <c r="N986" s="367"/>
      <c r="O986" s="367"/>
      <c r="P986" s="367"/>
      <c r="Q986" s="367"/>
      <c r="R986" s="367"/>
      <c r="S986" s="367"/>
      <c r="T986" s="367"/>
      <c r="U986" s="367"/>
      <c r="V986" s="367"/>
      <c r="W986" s="367"/>
      <c r="X986" s="367" t="s">
        <v>1752</v>
      </c>
      <c r="Y986" s="367"/>
      <c r="Z986" s="367"/>
      <c r="AA986" s="367"/>
      <c r="AB986" s="150"/>
      <c r="AC986" s="48" t="s">
        <v>3091</v>
      </c>
      <c r="AD986" s="150" t="s">
        <v>55</v>
      </c>
      <c r="AE986" s="296"/>
      <c r="AF986" s="296"/>
      <c r="AG986" s="286"/>
      <c r="AH986" s="49">
        <v>46295</v>
      </c>
      <c r="AI986" s="266">
        <v>46266</v>
      </c>
      <c r="AJ986" s="150" t="s">
        <v>617</v>
      </c>
      <c r="AK986" s="150" t="s">
        <v>161</v>
      </c>
      <c r="AL986" s="150"/>
      <c r="AM986" s="150" t="s">
        <v>2609</v>
      </c>
      <c r="AN986" s="45">
        <v>46135</v>
      </c>
      <c r="AO986" s="367"/>
      <c r="AP986" s="367"/>
      <c r="AQ986" s="367"/>
      <c r="AR986" s="367"/>
      <c r="AS986" s="367"/>
      <c r="AT986" s="367"/>
      <c r="AU986" s="367"/>
      <c r="AV986" s="367"/>
      <c r="AW986" s="367"/>
      <c r="AX986" s="367"/>
      <c r="AY986" s="367"/>
      <c r="AZ986" s="367"/>
      <c r="BA986" s="367"/>
      <c r="BB986" s="152"/>
      <c r="BC986" s="152"/>
      <c r="BD986" s="367" t="s">
        <v>2455</v>
      </c>
      <c r="BE986" s="367"/>
      <c r="BF986" s="367"/>
      <c r="BG986" s="367"/>
      <c r="BH986" s="260"/>
      <c r="BL986" s="54"/>
    </row>
    <row r="987" spans="1:64" ht="37.950000000000003" customHeight="1" x14ac:dyDescent="0.3">
      <c r="A987" s="367">
        <f t="shared" si="18"/>
        <v>982</v>
      </c>
      <c r="B987" s="54" t="s">
        <v>3105</v>
      </c>
      <c r="C987" s="367" t="s">
        <v>5</v>
      </c>
      <c r="D987" s="367" t="s">
        <v>262</v>
      </c>
      <c r="E987" s="367"/>
      <c r="F987" s="367"/>
      <c r="G987" s="367"/>
      <c r="H987" s="367"/>
      <c r="I987" s="367"/>
      <c r="J987" s="54" t="s">
        <v>3090</v>
      </c>
      <c r="K987" s="48" t="s">
        <v>521</v>
      </c>
      <c r="L987" s="367"/>
      <c r="M987" s="150" t="s">
        <v>120</v>
      </c>
      <c r="N987" s="367"/>
      <c r="O987" s="367"/>
      <c r="P987" s="367"/>
      <c r="Q987" s="367"/>
      <c r="R987" s="367"/>
      <c r="S987" s="367"/>
      <c r="T987" s="367"/>
      <c r="U987" s="367"/>
      <c r="V987" s="367"/>
      <c r="W987" s="367"/>
      <c r="X987" s="367" t="s">
        <v>1752</v>
      </c>
      <c r="Y987" s="367"/>
      <c r="Z987" s="367"/>
      <c r="AA987" s="367"/>
      <c r="AB987" s="150"/>
      <c r="AC987" s="48" t="s">
        <v>3091</v>
      </c>
      <c r="AD987" s="150" t="s">
        <v>55</v>
      </c>
      <c r="AE987" s="296"/>
      <c r="AF987" s="296"/>
      <c r="AG987" s="286"/>
      <c r="AH987" s="49">
        <v>46295</v>
      </c>
      <c r="AI987" s="266">
        <v>46266</v>
      </c>
      <c r="AJ987" s="150" t="s">
        <v>617</v>
      </c>
      <c r="AK987" s="150" t="s">
        <v>161</v>
      </c>
      <c r="AL987" s="150"/>
      <c r="AM987" s="150" t="s">
        <v>2609</v>
      </c>
      <c r="AN987" s="45">
        <v>46135</v>
      </c>
      <c r="AO987" s="367"/>
      <c r="AP987" s="367"/>
      <c r="AQ987" s="367"/>
      <c r="AR987" s="367"/>
      <c r="AS987" s="367"/>
      <c r="AT987" s="367"/>
      <c r="AU987" s="367"/>
      <c r="AV987" s="367"/>
      <c r="AW987" s="367"/>
      <c r="AX987" s="367"/>
      <c r="AY987" s="367"/>
      <c r="AZ987" s="367"/>
      <c r="BA987" s="367"/>
      <c r="BB987" s="152"/>
      <c r="BC987" s="152"/>
      <c r="BD987" s="367" t="s">
        <v>2455</v>
      </c>
      <c r="BE987" s="367"/>
      <c r="BF987" s="367"/>
      <c r="BG987" s="367"/>
      <c r="BH987" s="260"/>
      <c r="BL987" s="54"/>
    </row>
    <row r="988" spans="1:64" ht="37.950000000000003" customHeight="1" x14ac:dyDescent="0.3">
      <c r="A988" s="367">
        <f t="shared" si="18"/>
        <v>983</v>
      </c>
      <c r="B988" s="54" t="s">
        <v>3106</v>
      </c>
      <c r="C988" s="367" t="s">
        <v>5</v>
      </c>
      <c r="D988" s="367" t="s">
        <v>262</v>
      </c>
      <c r="E988" s="367"/>
      <c r="F988" s="367"/>
      <c r="G988" s="367"/>
      <c r="H988" s="367"/>
      <c r="I988" s="367"/>
      <c r="J988" s="54" t="s">
        <v>3090</v>
      </c>
      <c r="K988" s="48" t="s">
        <v>521</v>
      </c>
      <c r="L988" s="367"/>
      <c r="M988" s="150" t="s">
        <v>120</v>
      </c>
      <c r="N988" s="367"/>
      <c r="O988" s="367"/>
      <c r="P988" s="367"/>
      <c r="Q988" s="367"/>
      <c r="R988" s="367"/>
      <c r="S988" s="367"/>
      <c r="T988" s="367"/>
      <c r="U988" s="367"/>
      <c r="V988" s="367"/>
      <c r="W988" s="367"/>
      <c r="X988" s="367" t="s">
        <v>1752</v>
      </c>
      <c r="Y988" s="367"/>
      <c r="Z988" s="367"/>
      <c r="AA988" s="367"/>
      <c r="AB988" s="150"/>
      <c r="AC988" s="48" t="s">
        <v>3091</v>
      </c>
      <c r="AD988" s="150" t="s">
        <v>55</v>
      </c>
      <c r="AE988" s="296"/>
      <c r="AF988" s="296"/>
      <c r="AG988" s="286"/>
      <c r="AH988" s="49">
        <v>46295</v>
      </c>
      <c r="AI988" s="266">
        <v>46266</v>
      </c>
      <c r="AJ988" s="150" t="s">
        <v>617</v>
      </c>
      <c r="AK988" s="150" t="s">
        <v>161</v>
      </c>
      <c r="AL988" s="150"/>
      <c r="AM988" s="150" t="s">
        <v>2079</v>
      </c>
      <c r="AN988" s="45">
        <v>46135</v>
      </c>
      <c r="AO988" s="367"/>
      <c r="AP988" s="367"/>
      <c r="AQ988" s="367"/>
      <c r="AR988" s="367"/>
      <c r="AS988" s="367"/>
      <c r="AT988" s="367"/>
      <c r="AU988" s="367"/>
      <c r="AV988" s="367"/>
      <c r="AW988" s="367"/>
      <c r="AX988" s="367"/>
      <c r="AY988" s="367"/>
      <c r="AZ988" s="367"/>
      <c r="BA988" s="367"/>
      <c r="BB988" s="152"/>
      <c r="BC988" s="152"/>
      <c r="BD988" s="367" t="s">
        <v>2455</v>
      </c>
      <c r="BE988" s="367"/>
      <c r="BF988" s="367"/>
      <c r="BG988" s="367"/>
      <c r="BH988" s="260"/>
      <c r="BL988" s="54"/>
    </row>
    <row r="989" spans="1:64" ht="37.950000000000003" customHeight="1" x14ac:dyDescent="0.3">
      <c r="A989" s="367">
        <f t="shared" si="18"/>
        <v>984</v>
      </c>
      <c r="B989" s="54" t="s">
        <v>3107</v>
      </c>
      <c r="C989" s="367" t="s">
        <v>5</v>
      </c>
      <c r="D989" s="367" t="s">
        <v>262</v>
      </c>
      <c r="E989" s="367"/>
      <c r="F989" s="367"/>
      <c r="G989" s="367"/>
      <c r="H989" s="367"/>
      <c r="I989" s="367"/>
      <c r="J989" s="54" t="s">
        <v>3090</v>
      </c>
      <c r="K989" s="48" t="s">
        <v>521</v>
      </c>
      <c r="L989" s="367"/>
      <c r="M989" s="150" t="s">
        <v>120</v>
      </c>
      <c r="N989" s="367"/>
      <c r="O989" s="367"/>
      <c r="P989" s="367"/>
      <c r="Q989" s="367"/>
      <c r="R989" s="367"/>
      <c r="S989" s="367"/>
      <c r="T989" s="367"/>
      <c r="U989" s="367"/>
      <c r="V989" s="367"/>
      <c r="W989" s="367"/>
      <c r="X989" s="367" t="s">
        <v>1752</v>
      </c>
      <c r="Y989" s="367"/>
      <c r="Z989" s="367"/>
      <c r="AA989" s="367"/>
      <c r="AB989" s="150"/>
      <c r="AC989" s="48" t="s">
        <v>3091</v>
      </c>
      <c r="AD989" s="150" t="s">
        <v>55</v>
      </c>
      <c r="AE989" s="296"/>
      <c r="AF989" s="296"/>
      <c r="AG989" s="286"/>
      <c r="AH989" s="49">
        <v>46325</v>
      </c>
      <c r="AI989" s="266">
        <v>46296</v>
      </c>
      <c r="AJ989" s="150" t="s">
        <v>617</v>
      </c>
      <c r="AK989" s="150" t="s">
        <v>161</v>
      </c>
      <c r="AL989" s="150"/>
      <c r="AM989" s="150" t="s">
        <v>2609</v>
      </c>
      <c r="AN989" s="45">
        <v>46135</v>
      </c>
      <c r="AO989" s="367"/>
      <c r="AP989" s="367"/>
      <c r="AQ989" s="367"/>
      <c r="AR989" s="367"/>
      <c r="AS989" s="367"/>
      <c r="AT989" s="367"/>
      <c r="AU989" s="367"/>
      <c r="AV989" s="367"/>
      <c r="AW989" s="367"/>
      <c r="AX989" s="367"/>
      <c r="AY989" s="367"/>
      <c r="AZ989" s="367"/>
      <c r="BA989" s="367"/>
      <c r="BB989" s="152"/>
      <c r="BC989" s="152"/>
      <c r="BD989" s="367" t="s">
        <v>2455</v>
      </c>
      <c r="BE989" s="367"/>
      <c r="BF989" s="367"/>
      <c r="BG989" s="367"/>
      <c r="BH989" s="260"/>
      <c r="BL989" s="54"/>
    </row>
    <row r="990" spans="1:64" ht="37.950000000000003" customHeight="1" x14ac:dyDescent="0.3">
      <c r="A990" s="367">
        <f t="shared" si="18"/>
        <v>985</v>
      </c>
      <c r="B990" s="54" t="s">
        <v>3108</v>
      </c>
      <c r="C990" s="367" t="s">
        <v>5</v>
      </c>
      <c r="D990" s="367" t="s">
        <v>262</v>
      </c>
      <c r="E990" s="367"/>
      <c r="F990" s="367"/>
      <c r="G990" s="367"/>
      <c r="H990" s="367"/>
      <c r="I990" s="367"/>
      <c r="J990" s="54" t="s">
        <v>3090</v>
      </c>
      <c r="K990" s="48" t="s">
        <v>521</v>
      </c>
      <c r="L990" s="367"/>
      <c r="M990" s="150" t="s">
        <v>120</v>
      </c>
      <c r="N990" s="367"/>
      <c r="O990" s="367"/>
      <c r="P990" s="367"/>
      <c r="Q990" s="367"/>
      <c r="R990" s="367"/>
      <c r="S990" s="367"/>
      <c r="T990" s="367"/>
      <c r="U990" s="367"/>
      <c r="V990" s="367"/>
      <c r="W990" s="367"/>
      <c r="X990" s="367" t="s">
        <v>1752</v>
      </c>
      <c r="Y990" s="367"/>
      <c r="Z990" s="367"/>
      <c r="AA990" s="367"/>
      <c r="AB990" s="150"/>
      <c r="AC990" s="48" t="s">
        <v>3091</v>
      </c>
      <c r="AD990" s="150" t="s">
        <v>55</v>
      </c>
      <c r="AE990" s="296"/>
      <c r="AF990" s="296"/>
      <c r="AG990" s="286"/>
      <c r="AH990" s="49">
        <v>46325</v>
      </c>
      <c r="AI990" s="266">
        <v>46296</v>
      </c>
      <c r="AJ990" s="150" t="s">
        <v>617</v>
      </c>
      <c r="AK990" s="150" t="s">
        <v>161</v>
      </c>
      <c r="AL990" s="150"/>
      <c r="AM990" s="150" t="s">
        <v>2609</v>
      </c>
      <c r="AN990" s="45">
        <v>46135</v>
      </c>
      <c r="AO990" s="367"/>
      <c r="AP990" s="367"/>
      <c r="AQ990" s="367"/>
      <c r="AR990" s="367"/>
      <c r="AS990" s="367"/>
      <c r="AT990" s="367"/>
      <c r="AU990" s="367"/>
      <c r="AV990" s="367"/>
      <c r="AW990" s="367"/>
      <c r="AX990" s="367"/>
      <c r="AY990" s="367"/>
      <c r="AZ990" s="367"/>
      <c r="BA990" s="367"/>
      <c r="BB990" s="152"/>
      <c r="BC990" s="152"/>
      <c r="BD990" s="367" t="s">
        <v>2455</v>
      </c>
      <c r="BE990" s="367"/>
      <c r="BF990" s="367"/>
      <c r="BG990" s="367"/>
      <c r="BH990" s="260"/>
      <c r="BL990" s="54"/>
    </row>
    <row r="991" spans="1:64" ht="37.950000000000003" customHeight="1" x14ac:dyDescent="0.3">
      <c r="A991" s="367">
        <f t="shared" si="18"/>
        <v>986</v>
      </c>
      <c r="B991" s="54" t="s">
        <v>3109</v>
      </c>
      <c r="C991" s="367" t="s">
        <v>5</v>
      </c>
      <c r="D991" s="367" t="s">
        <v>262</v>
      </c>
      <c r="E991" s="367"/>
      <c r="F991" s="367"/>
      <c r="G991" s="367"/>
      <c r="H991" s="367"/>
      <c r="I991" s="367"/>
      <c r="J991" s="54" t="s">
        <v>3090</v>
      </c>
      <c r="K991" s="48" t="s">
        <v>521</v>
      </c>
      <c r="L991" s="367"/>
      <c r="M991" s="150" t="s">
        <v>120</v>
      </c>
      <c r="N991" s="367"/>
      <c r="O991" s="367"/>
      <c r="P991" s="367"/>
      <c r="Q991" s="367"/>
      <c r="R991" s="367"/>
      <c r="S991" s="367"/>
      <c r="T991" s="367"/>
      <c r="U991" s="367"/>
      <c r="V991" s="367"/>
      <c r="W991" s="367"/>
      <c r="X991" s="367" t="s">
        <v>1752</v>
      </c>
      <c r="Y991" s="367"/>
      <c r="Z991" s="367"/>
      <c r="AA991" s="367"/>
      <c r="AB991" s="150"/>
      <c r="AC991" s="48" t="s">
        <v>3091</v>
      </c>
      <c r="AD991" s="150" t="s">
        <v>55</v>
      </c>
      <c r="AE991" s="296"/>
      <c r="AF991" s="296"/>
      <c r="AG991" s="286"/>
      <c r="AH991" s="49">
        <v>46325</v>
      </c>
      <c r="AI991" s="266">
        <v>46296</v>
      </c>
      <c r="AJ991" s="150" t="s">
        <v>617</v>
      </c>
      <c r="AK991" s="150" t="s">
        <v>161</v>
      </c>
      <c r="AL991" s="150"/>
      <c r="AM991" s="150" t="s">
        <v>2609</v>
      </c>
      <c r="AN991" s="45">
        <v>46135</v>
      </c>
      <c r="AO991" s="367"/>
      <c r="AP991" s="367"/>
      <c r="AQ991" s="367"/>
      <c r="AR991" s="367"/>
      <c r="AS991" s="367"/>
      <c r="AT991" s="367"/>
      <c r="AU991" s="367"/>
      <c r="AV991" s="367"/>
      <c r="AW991" s="367"/>
      <c r="AX991" s="367"/>
      <c r="AY991" s="367"/>
      <c r="AZ991" s="367"/>
      <c r="BA991" s="367"/>
      <c r="BB991" s="152"/>
      <c r="BC991" s="152"/>
      <c r="BD991" s="367" t="s">
        <v>2455</v>
      </c>
      <c r="BE991" s="367"/>
      <c r="BF991" s="367"/>
      <c r="BG991" s="367"/>
      <c r="BH991" s="260"/>
      <c r="BL991" s="54"/>
    </row>
    <row r="992" spans="1:64" ht="37.950000000000003" customHeight="1" x14ac:dyDescent="0.3">
      <c r="A992" s="367">
        <f t="shared" si="18"/>
        <v>987</v>
      </c>
      <c r="B992" s="54" t="s">
        <v>3110</v>
      </c>
      <c r="C992" s="367" t="s">
        <v>5</v>
      </c>
      <c r="D992" s="367" t="s">
        <v>262</v>
      </c>
      <c r="E992" s="367"/>
      <c r="F992" s="367"/>
      <c r="G992" s="367"/>
      <c r="H992" s="367"/>
      <c r="I992" s="367"/>
      <c r="J992" s="54" t="s">
        <v>3090</v>
      </c>
      <c r="K992" s="48" t="s">
        <v>521</v>
      </c>
      <c r="L992" s="367"/>
      <c r="M992" s="150" t="s">
        <v>120</v>
      </c>
      <c r="N992" s="367"/>
      <c r="O992" s="367"/>
      <c r="P992" s="367"/>
      <c r="Q992" s="367"/>
      <c r="R992" s="367"/>
      <c r="S992" s="367"/>
      <c r="T992" s="367"/>
      <c r="U992" s="367"/>
      <c r="V992" s="367"/>
      <c r="W992" s="367"/>
      <c r="X992" s="367" t="s">
        <v>1752</v>
      </c>
      <c r="Y992" s="367"/>
      <c r="Z992" s="367"/>
      <c r="AA992" s="367"/>
      <c r="AB992" s="150"/>
      <c r="AC992" s="48" t="s">
        <v>3091</v>
      </c>
      <c r="AD992" s="150" t="s">
        <v>55</v>
      </c>
      <c r="AE992" s="296"/>
      <c r="AF992" s="296"/>
      <c r="AG992" s="286"/>
      <c r="AH992" s="49">
        <v>46325</v>
      </c>
      <c r="AI992" s="266">
        <v>46296</v>
      </c>
      <c r="AJ992" s="150" t="s">
        <v>617</v>
      </c>
      <c r="AK992" s="150" t="s">
        <v>161</v>
      </c>
      <c r="AL992" s="150"/>
      <c r="AM992" s="150" t="s">
        <v>209</v>
      </c>
      <c r="AN992" s="45">
        <v>46135</v>
      </c>
      <c r="AO992" s="367"/>
      <c r="AP992" s="367"/>
      <c r="AQ992" s="367"/>
      <c r="AR992" s="367"/>
      <c r="AS992" s="367"/>
      <c r="AT992" s="367"/>
      <c r="AU992" s="367"/>
      <c r="AV992" s="367"/>
      <c r="AW992" s="367"/>
      <c r="AX992" s="367"/>
      <c r="AY992" s="367"/>
      <c r="AZ992" s="367"/>
      <c r="BA992" s="367"/>
      <c r="BB992" s="152"/>
      <c r="BC992" s="152"/>
      <c r="BD992" s="367" t="s">
        <v>2455</v>
      </c>
      <c r="BE992" s="367"/>
      <c r="BF992" s="367"/>
      <c r="BG992" s="367"/>
      <c r="BH992" s="260"/>
      <c r="BL992" s="54"/>
    </row>
    <row r="993" spans="1:64" ht="37.950000000000003" customHeight="1" x14ac:dyDescent="0.3">
      <c r="A993" s="367">
        <f t="shared" si="18"/>
        <v>988</v>
      </c>
      <c r="B993" s="54" t="s">
        <v>3111</v>
      </c>
      <c r="C993" s="367" t="s">
        <v>5</v>
      </c>
      <c r="D993" s="367" t="s">
        <v>262</v>
      </c>
      <c r="E993" s="367"/>
      <c r="F993" s="367"/>
      <c r="G993" s="367"/>
      <c r="H993" s="367"/>
      <c r="I993" s="367"/>
      <c r="J993" s="54" t="s">
        <v>3090</v>
      </c>
      <c r="K993" s="48" t="s">
        <v>521</v>
      </c>
      <c r="L993" s="367"/>
      <c r="M993" s="150" t="s">
        <v>120</v>
      </c>
      <c r="N993" s="367"/>
      <c r="O993" s="367"/>
      <c r="P993" s="367"/>
      <c r="Q993" s="367"/>
      <c r="R993" s="367"/>
      <c r="S993" s="367"/>
      <c r="T993" s="367"/>
      <c r="U993" s="367"/>
      <c r="V993" s="367"/>
      <c r="W993" s="367"/>
      <c r="X993" s="367" t="s">
        <v>1752</v>
      </c>
      <c r="Y993" s="367"/>
      <c r="Z993" s="367"/>
      <c r="AA993" s="367"/>
      <c r="AB993" s="150"/>
      <c r="AC993" s="48" t="s">
        <v>3091</v>
      </c>
      <c r="AD993" s="150" t="s">
        <v>55</v>
      </c>
      <c r="AE993" s="296"/>
      <c r="AF993" s="296"/>
      <c r="AG993" s="286"/>
      <c r="AH993" s="49">
        <v>46325</v>
      </c>
      <c r="AI993" s="266">
        <v>46296</v>
      </c>
      <c r="AJ993" s="150" t="s">
        <v>617</v>
      </c>
      <c r="AK993" s="150" t="s">
        <v>161</v>
      </c>
      <c r="AL993" s="150"/>
      <c r="AM993" s="150" t="s">
        <v>209</v>
      </c>
      <c r="AN993" s="45">
        <v>46135</v>
      </c>
      <c r="AO993" s="367"/>
      <c r="AP993" s="367"/>
      <c r="AQ993" s="367"/>
      <c r="AR993" s="367"/>
      <c r="AS993" s="367"/>
      <c r="AT993" s="367"/>
      <c r="AU993" s="367"/>
      <c r="AV993" s="367"/>
      <c r="AW993" s="367"/>
      <c r="AX993" s="367"/>
      <c r="AY993" s="367"/>
      <c r="AZ993" s="367"/>
      <c r="BA993" s="367"/>
      <c r="BB993" s="152"/>
      <c r="BC993" s="152"/>
      <c r="BD993" s="367" t="s">
        <v>2455</v>
      </c>
      <c r="BE993" s="367"/>
      <c r="BF993" s="367"/>
      <c r="BG993" s="367"/>
      <c r="BH993" s="260"/>
      <c r="BL993" s="54"/>
    </row>
    <row r="994" spans="1:64" ht="37.950000000000003" customHeight="1" x14ac:dyDescent="0.3">
      <c r="A994" s="367">
        <f t="shared" si="18"/>
        <v>989</v>
      </c>
      <c r="B994" s="54" t="s">
        <v>3112</v>
      </c>
      <c r="C994" s="367" t="s">
        <v>5</v>
      </c>
      <c r="D994" s="367" t="s">
        <v>262</v>
      </c>
      <c r="E994" s="367"/>
      <c r="F994" s="367"/>
      <c r="G994" s="367"/>
      <c r="H994" s="367"/>
      <c r="I994" s="367"/>
      <c r="J994" s="54" t="s">
        <v>3090</v>
      </c>
      <c r="K994" s="48" t="s">
        <v>521</v>
      </c>
      <c r="L994" s="367"/>
      <c r="M994" s="150" t="s">
        <v>120</v>
      </c>
      <c r="N994" s="367"/>
      <c r="O994" s="367"/>
      <c r="P994" s="367"/>
      <c r="Q994" s="367"/>
      <c r="R994" s="367"/>
      <c r="S994" s="367"/>
      <c r="T994" s="367"/>
      <c r="U994" s="367"/>
      <c r="V994" s="367"/>
      <c r="W994" s="367"/>
      <c r="X994" s="367" t="s">
        <v>1752</v>
      </c>
      <c r="Y994" s="367"/>
      <c r="Z994" s="367"/>
      <c r="AA994" s="367"/>
      <c r="AB994" s="150"/>
      <c r="AC994" s="48" t="s">
        <v>3091</v>
      </c>
      <c r="AD994" s="150" t="s">
        <v>55</v>
      </c>
      <c r="AE994" s="296"/>
      <c r="AF994" s="296"/>
      <c r="AG994" s="286"/>
      <c r="AH994" s="49">
        <v>46356</v>
      </c>
      <c r="AI994" s="266">
        <v>46327</v>
      </c>
      <c r="AJ994" s="150" t="s">
        <v>617</v>
      </c>
      <c r="AK994" s="150" t="s">
        <v>161</v>
      </c>
      <c r="AL994" s="150"/>
      <c r="AM994" s="150" t="s">
        <v>2079</v>
      </c>
      <c r="AN994" s="45">
        <v>46135</v>
      </c>
      <c r="AO994" s="367"/>
      <c r="AP994" s="367"/>
      <c r="AQ994" s="367"/>
      <c r="AR994" s="367"/>
      <c r="AS994" s="367"/>
      <c r="AT994" s="367"/>
      <c r="AU994" s="367"/>
      <c r="AV994" s="367"/>
      <c r="AW994" s="367"/>
      <c r="AX994" s="367"/>
      <c r="AY994" s="367"/>
      <c r="AZ994" s="367"/>
      <c r="BA994" s="367"/>
      <c r="BB994" s="152"/>
      <c r="BC994" s="152"/>
      <c r="BD994" s="367" t="s">
        <v>2455</v>
      </c>
      <c r="BE994" s="367"/>
      <c r="BF994" s="367"/>
      <c r="BG994" s="367"/>
      <c r="BH994" s="260"/>
      <c r="BL994" s="54"/>
    </row>
    <row r="995" spans="1:64" ht="37.950000000000003" customHeight="1" x14ac:dyDescent="0.3">
      <c r="A995" s="367">
        <f t="shared" si="18"/>
        <v>990</v>
      </c>
      <c r="B995" s="54" t="s">
        <v>3113</v>
      </c>
      <c r="C995" s="367" t="s">
        <v>5</v>
      </c>
      <c r="D995" s="367" t="s">
        <v>262</v>
      </c>
      <c r="E995" s="367"/>
      <c r="F995" s="367"/>
      <c r="G995" s="367"/>
      <c r="H995" s="367"/>
      <c r="I995" s="367"/>
      <c r="J995" s="54" t="s">
        <v>3090</v>
      </c>
      <c r="K995" s="48" t="s">
        <v>521</v>
      </c>
      <c r="L995" s="367"/>
      <c r="M995" s="150" t="s">
        <v>120</v>
      </c>
      <c r="N995" s="367"/>
      <c r="O995" s="367"/>
      <c r="P995" s="367"/>
      <c r="Q995" s="367"/>
      <c r="R995" s="367"/>
      <c r="S995" s="367"/>
      <c r="T995" s="367"/>
      <c r="U995" s="367"/>
      <c r="V995" s="367"/>
      <c r="W995" s="367"/>
      <c r="X995" s="367" t="s">
        <v>1752</v>
      </c>
      <c r="Y995" s="367"/>
      <c r="Z995" s="367"/>
      <c r="AA995" s="367"/>
      <c r="AB995" s="150"/>
      <c r="AC995" s="48" t="s">
        <v>3091</v>
      </c>
      <c r="AD995" s="150" t="s">
        <v>55</v>
      </c>
      <c r="AE995" s="296"/>
      <c r="AF995" s="296"/>
      <c r="AG995" s="286"/>
      <c r="AH995" s="49">
        <v>46356</v>
      </c>
      <c r="AI995" s="266">
        <v>46327</v>
      </c>
      <c r="AJ995" s="150" t="s">
        <v>617</v>
      </c>
      <c r="AK995" s="150" t="s">
        <v>161</v>
      </c>
      <c r="AL995" s="150"/>
      <c r="AM995" s="150" t="s">
        <v>2079</v>
      </c>
      <c r="AN995" s="45">
        <v>46135</v>
      </c>
      <c r="AO995" s="367"/>
      <c r="AP995" s="367"/>
      <c r="AQ995" s="367"/>
      <c r="AR995" s="367"/>
      <c r="AS995" s="367"/>
      <c r="AT995" s="367"/>
      <c r="AU995" s="367"/>
      <c r="AV995" s="367"/>
      <c r="AW995" s="367"/>
      <c r="AX995" s="367"/>
      <c r="AY995" s="367"/>
      <c r="AZ995" s="367"/>
      <c r="BA995" s="367"/>
      <c r="BB995" s="152"/>
      <c r="BC995" s="152"/>
      <c r="BD995" s="367" t="s">
        <v>2455</v>
      </c>
      <c r="BE995" s="367"/>
      <c r="BF995" s="367"/>
      <c r="BG995" s="367"/>
      <c r="BH995" s="260"/>
      <c r="BL995" s="54"/>
    </row>
    <row r="996" spans="1:64" ht="37.950000000000003" customHeight="1" x14ac:dyDescent="0.3">
      <c r="A996" s="367">
        <f t="shared" si="18"/>
        <v>991</v>
      </c>
      <c r="B996" s="54" t="s">
        <v>3114</v>
      </c>
      <c r="C996" s="367" t="s">
        <v>5</v>
      </c>
      <c r="D996" s="367" t="s">
        <v>262</v>
      </c>
      <c r="E996" s="367"/>
      <c r="F996" s="367"/>
      <c r="G996" s="367"/>
      <c r="H996" s="367"/>
      <c r="I996" s="367"/>
      <c r="J996" s="54" t="s">
        <v>3090</v>
      </c>
      <c r="K996" s="48" t="s">
        <v>521</v>
      </c>
      <c r="L996" s="367"/>
      <c r="M996" s="150" t="s">
        <v>120</v>
      </c>
      <c r="N996" s="367"/>
      <c r="O996" s="367"/>
      <c r="P996" s="367"/>
      <c r="Q996" s="367"/>
      <c r="R996" s="367"/>
      <c r="S996" s="367"/>
      <c r="T996" s="367"/>
      <c r="U996" s="367"/>
      <c r="V996" s="367"/>
      <c r="W996" s="367"/>
      <c r="X996" s="367" t="s">
        <v>1752</v>
      </c>
      <c r="Y996" s="367"/>
      <c r="Z996" s="367"/>
      <c r="AA996" s="367"/>
      <c r="AB996" s="150"/>
      <c r="AC996" s="48" t="s">
        <v>3091</v>
      </c>
      <c r="AD996" s="150" t="s">
        <v>55</v>
      </c>
      <c r="AE996" s="296"/>
      <c r="AF996" s="296"/>
      <c r="AG996" s="286"/>
      <c r="AH996" s="49">
        <v>46356</v>
      </c>
      <c r="AI996" s="266">
        <v>46327</v>
      </c>
      <c r="AJ996" s="150" t="s">
        <v>617</v>
      </c>
      <c r="AK996" s="150" t="s">
        <v>161</v>
      </c>
      <c r="AL996" s="150"/>
      <c r="AM996" s="150" t="s">
        <v>2086</v>
      </c>
      <c r="AN996" s="45">
        <v>46135</v>
      </c>
      <c r="AO996" s="367"/>
      <c r="AP996" s="367"/>
      <c r="AQ996" s="367"/>
      <c r="AR996" s="367"/>
      <c r="AS996" s="367"/>
      <c r="AT996" s="367"/>
      <c r="AU996" s="367"/>
      <c r="AV996" s="367"/>
      <c r="AW996" s="367"/>
      <c r="AX996" s="367"/>
      <c r="AY996" s="367"/>
      <c r="AZ996" s="367"/>
      <c r="BA996" s="367"/>
      <c r="BB996" s="152"/>
      <c r="BC996" s="152"/>
      <c r="BD996" s="367" t="s">
        <v>2455</v>
      </c>
      <c r="BE996" s="367"/>
      <c r="BF996" s="367"/>
      <c r="BG996" s="367"/>
      <c r="BH996" s="260"/>
      <c r="BL996" s="54"/>
    </row>
    <row r="997" spans="1:64" ht="37.950000000000003" customHeight="1" x14ac:dyDescent="0.3">
      <c r="A997" s="367">
        <f t="shared" si="18"/>
        <v>992</v>
      </c>
      <c r="B997" s="54" t="s">
        <v>3115</v>
      </c>
      <c r="C997" s="367" t="s">
        <v>5</v>
      </c>
      <c r="D997" s="367" t="s">
        <v>262</v>
      </c>
      <c r="E997" s="367"/>
      <c r="F997" s="367"/>
      <c r="G997" s="367"/>
      <c r="H997" s="367"/>
      <c r="I997" s="367"/>
      <c r="J997" s="54" t="s">
        <v>3090</v>
      </c>
      <c r="K997" s="48" t="s">
        <v>521</v>
      </c>
      <c r="L997" s="367"/>
      <c r="M997" s="150" t="s">
        <v>120</v>
      </c>
      <c r="N997" s="367"/>
      <c r="O997" s="367"/>
      <c r="P997" s="367"/>
      <c r="Q997" s="367"/>
      <c r="R997" s="367"/>
      <c r="S997" s="367"/>
      <c r="T997" s="367"/>
      <c r="U997" s="367"/>
      <c r="V997" s="367"/>
      <c r="W997" s="367"/>
      <c r="X997" s="367" t="s">
        <v>1752</v>
      </c>
      <c r="Y997" s="367"/>
      <c r="Z997" s="367"/>
      <c r="AA997" s="367"/>
      <c r="AB997" s="150"/>
      <c r="AC997" s="48" t="s">
        <v>3091</v>
      </c>
      <c r="AD997" s="150" t="s">
        <v>55</v>
      </c>
      <c r="AE997" s="296"/>
      <c r="AF997" s="296"/>
      <c r="AG997" s="286"/>
      <c r="AH997" s="49">
        <v>46356</v>
      </c>
      <c r="AI997" s="266">
        <v>46327</v>
      </c>
      <c r="AJ997" s="150" t="s">
        <v>617</v>
      </c>
      <c r="AK997" s="150" t="s">
        <v>161</v>
      </c>
      <c r="AL997" s="150"/>
      <c r="AM997" s="150" t="s">
        <v>2086</v>
      </c>
      <c r="AN997" s="45">
        <v>46135</v>
      </c>
      <c r="AO997" s="367"/>
      <c r="AP997" s="367"/>
      <c r="AQ997" s="367"/>
      <c r="AR997" s="367"/>
      <c r="AS997" s="367"/>
      <c r="AT997" s="367"/>
      <c r="AU997" s="367"/>
      <c r="AV997" s="367"/>
      <c r="AW997" s="367"/>
      <c r="AX997" s="367"/>
      <c r="AY997" s="367"/>
      <c r="AZ997" s="367"/>
      <c r="BA997" s="367"/>
      <c r="BB997" s="152"/>
      <c r="BC997" s="152"/>
      <c r="BD997" s="367" t="s">
        <v>2455</v>
      </c>
      <c r="BE997" s="367"/>
      <c r="BF997" s="367"/>
      <c r="BG997" s="367"/>
      <c r="BH997" s="260"/>
      <c r="BL997" s="54"/>
    </row>
    <row r="998" spans="1:64" ht="37.950000000000003" customHeight="1" x14ac:dyDescent="0.3">
      <c r="A998" s="367">
        <f t="shared" si="18"/>
        <v>993</v>
      </c>
      <c r="B998" s="54"/>
      <c r="C998" s="367"/>
      <c r="D998" s="367"/>
      <c r="E998" s="367"/>
      <c r="F998" s="367"/>
      <c r="G998" s="367"/>
      <c r="H998" s="367"/>
      <c r="I998" s="367"/>
      <c r="J998" s="54"/>
      <c r="K998" s="48"/>
      <c r="L998" s="367"/>
      <c r="M998" s="150"/>
      <c r="N998" s="367"/>
      <c r="O998" s="367"/>
      <c r="P998" s="367"/>
      <c r="Q998" s="367"/>
      <c r="R998" s="367"/>
      <c r="S998" s="367"/>
      <c r="T998" s="367"/>
      <c r="U998" s="367"/>
      <c r="V998" s="367"/>
      <c r="W998" s="367"/>
      <c r="X998" s="367"/>
      <c r="Y998" s="367"/>
      <c r="Z998" s="367"/>
      <c r="AA998" s="367"/>
      <c r="AB998" s="150"/>
      <c r="AC998" s="48"/>
      <c r="AD998" s="150" t="s">
        <v>361</v>
      </c>
      <c r="AE998" s="296"/>
      <c r="AF998" s="296"/>
      <c r="AG998" s="286"/>
      <c r="AH998" s="49"/>
      <c r="AI998" s="266"/>
      <c r="AJ998" s="150"/>
      <c r="AK998" s="150"/>
      <c r="AL998" s="150"/>
      <c r="AM998" s="150"/>
      <c r="AN998" s="367"/>
      <c r="AO998" s="367"/>
      <c r="AP998" s="367"/>
      <c r="AQ998" s="367"/>
      <c r="AR998" s="367"/>
      <c r="AS998" s="367"/>
      <c r="AT998" s="367"/>
      <c r="AU998" s="367"/>
      <c r="AV998" s="367"/>
      <c r="AW998" s="367"/>
      <c r="AX998" s="367"/>
      <c r="AY998" s="367"/>
      <c r="AZ998" s="367"/>
      <c r="BA998" s="367"/>
      <c r="BB998" s="152"/>
      <c r="BC998" s="152"/>
      <c r="BD998" s="367"/>
      <c r="BE998" s="367"/>
      <c r="BF998" s="367"/>
      <c r="BG998" s="367"/>
      <c r="BH998" s="260"/>
      <c r="BL998" s="54"/>
    </row>
    <row r="999" spans="1:64" ht="37.950000000000003" customHeight="1" x14ac:dyDescent="0.3">
      <c r="A999" s="367">
        <f t="shared" si="18"/>
        <v>994</v>
      </c>
      <c r="B999" s="54" t="s">
        <v>3116</v>
      </c>
      <c r="C999" s="367" t="s">
        <v>12</v>
      </c>
      <c r="D999" s="367" t="s">
        <v>262</v>
      </c>
      <c r="E999" s="367"/>
      <c r="F999" s="367"/>
      <c r="G999" s="367"/>
      <c r="H999" s="367"/>
      <c r="I999" s="367" t="s">
        <v>3117</v>
      </c>
      <c r="J999" s="48" t="s">
        <v>3118</v>
      </c>
      <c r="K999" s="48" t="s">
        <v>3119</v>
      </c>
      <c r="L999" s="367"/>
      <c r="M999" s="150" t="s">
        <v>120</v>
      </c>
      <c r="N999" s="150" t="s">
        <v>3120</v>
      </c>
      <c r="O999" s="150" t="s">
        <v>3121</v>
      </c>
      <c r="P999" s="367">
        <v>6.5</v>
      </c>
      <c r="Q999" s="367"/>
      <c r="R999" s="367">
        <v>650</v>
      </c>
      <c r="S999" s="367"/>
      <c r="T999" s="367"/>
      <c r="U999" s="367"/>
      <c r="V999" s="367"/>
      <c r="W999" s="367"/>
      <c r="X999" s="367"/>
      <c r="Y999" s="367"/>
      <c r="Z999" s="367"/>
      <c r="AA999" s="367"/>
      <c r="AB999" s="150" t="s">
        <v>215</v>
      </c>
      <c r="AC999" s="48" t="s">
        <v>3122</v>
      </c>
      <c r="AD999" s="150" t="s">
        <v>3123</v>
      </c>
      <c r="AE999" s="296">
        <v>1</v>
      </c>
      <c r="AF999" s="296"/>
      <c r="AG999" s="286">
        <v>46341</v>
      </c>
      <c r="AH999" s="49">
        <v>46264</v>
      </c>
      <c r="AI999" s="266">
        <v>46235</v>
      </c>
      <c r="AJ999" s="150" t="s">
        <v>617</v>
      </c>
      <c r="AK999" s="150"/>
      <c r="AL999" s="150"/>
      <c r="AM999" s="150" t="s">
        <v>209</v>
      </c>
      <c r="AN999" s="367"/>
      <c r="AO999" s="367"/>
      <c r="AP999" s="367"/>
      <c r="AQ999" s="367"/>
      <c r="AR999" s="367"/>
      <c r="AS999" s="367"/>
      <c r="AT999" s="367"/>
      <c r="AU999" s="367"/>
      <c r="AV999" s="367"/>
      <c r="AW999" s="367"/>
      <c r="AX999" s="367"/>
      <c r="AY999" s="367"/>
      <c r="AZ999" s="367"/>
      <c r="BA999" s="367"/>
      <c r="BB999" s="152"/>
      <c r="BC999" s="152"/>
      <c r="BD999" s="367" t="s">
        <v>3124</v>
      </c>
      <c r="BE999" s="367"/>
      <c r="BF999" s="367"/>
      <c r="BG999" s="367"/>
      <c r="BH999" s="260"/>
      <c r="BL999" s="54"/>
    </row>
    <row r="1000" spans="1:64" ht="37.950000000000003" customHeight="1" x14ac:dyDescent="0.3">
      <c r="A1000" s="367">
        <f t="shared" si="18"/>
        <v>995</v>
      </c>
      <c r="B1000" s="54" t="s">
        <v>3125</v>
      </c>
      <c r="C1000" s="367" t="s">
        <v>12</v>
      </c>
      <c r="D1000" s="367" t="s">
        <v>262</v>
      </c>
      <c r="E1000" s="367"/>
      <c r="F1000" s="367"/>
      <c r="G1000" s="367"/>
      <c r="H1000" s="367"/>
      <c r="I1000" s="367" t="s">
        <v>3117</v>
      </c>
      <c r="J1000" s="48" t="s">
        <v>3118</v>
      </c>
      <c r="K1000" s="48" t="s">
        <v>3119</v>
      </c>
      <c r="L1000" s="367"/>
      <c r="M1000" s="150" t="s">
        <v>120</v>
      </c>
      <c r="N1000" s="150" t="s">
        <v>3120</v>
      </c>
      <c r="O1000" s="150" t="s">
        <v>3121</v>
      </c>
      <c r="P1000" s="367">
        <v>6.5</v>
      </c>
      <c r="Q1000" s="367"/>
      <c r="R1000" s="367">
        <v>650</v>
      </c>
      <c r="S1000" s="367"/>
      <c r="T1000" s="367"/>
      <c r="U1000" s="367"/>
      <c r="V1000" s="367"/>
      <c r="W1000" s="367"/>
      <c r="X1000" s="367"/>
      <c r="Y1000" s="367"/>
      <c r="Z1000" s="150" t="s">
        <v>3126</v>
      </c>
      <c r="AA1000" s="367"/>
      <c r="AB1000" s="150" t="s">
        <v>215</v>
      </c>
      <c r="AC1000" s="48" t="s">
        <v>3127</v>
      </c>
      <c r="AD1000" s="150" t="s">
        <v>1592</v>
      </c>
      <c r="AE1000" s="296">
        <v>1</v>
      </c>
      <c r="AF1000" s="296"/>
      <c r="AG1000" s="286">
        <v>46341</v>
      </c>
      <c r="AH1000" s="49">
        <v>46264</v>
      </c>
      <c r="AI1000" s="266">
        <v>46235</v>
      </c>
      <c r="AJ1000" s="150" t="s">
        <v>617</v>
      </c>
      <c r="AK1000" s="150"/>
      <c r="AL1000" s="150"/>
      <c r="AM1000" s="150" t="s">
        <v>209</v>
      </c>
      <c r="AN1000" s="367"/>
      <c r="AO1000" s="367"/>
      <c r="AP1000" s="367"/>
      <c r="AQ1000" s="367"/>
      <c r="AR1000" s="367"/>
      <c r="AS1000" s="367"/>
      <c r="AT1000" s="367"/>
      <c r="AU1000" s="367"/>
      <c r="AV1000" s="367"/>
      <c r="AW1000" s="367"/>
      <c r="AX1000" s="367"/>
      <c r="AY1000" s="367"/>
      <c r="AZ1000" s="367"/>
      <c r="BA1000" s="367"/>
      <c r="BB1000" s="152"/>
      <c r="BC1000" s="152"/>
      <c r="BD1000" s="367" t="s">
        <v>3124</v>
      </c>
      <c r="BE1000" s="367"/>
      <c r="BF1000" s="367"/>
      <c r="BG1000" s="367"/>
      <c r="BH1000" s="260"/>
      <c r="BL1000" s="54"/>
    </row>
    <row r="1001" spans="1:64" ht="37.950000000000003" customHeight="1" x14ac:dyDescent="0.3">
      <c r="A1001" s="367">
        <f t="shared" si="18"/>
        <v>996</v>
      </c>
      <c r="B1001" s="54" t="s">
        <v>3128</v>
      </c>
      <c r="C1001" s="367" t="s">
        <v>12</v>
      </c>
      <c r="D1001" s="367" t="s">
        <v>262</v>
      </c>
      <c r="E1001" s="367"/>
      <c r="F1001" s="367"/>
      <c r="G1001" s="367"/>
      <c r="H1001" s="367"/>
      <c r="I1001" s="367" t="s">
        <v>3117</v>
      </c>
      <c r="J1001" s="48" t="s">
        <v>3118</v>
      </c>
      <c r="K1001" s="48" t="s">
        <v>3129</v>
      </c>
      <c r="L1001" s="367"/>
      <c r="M1001" s="150" t="s">
        <v>120</v>
      </c>
      <c r="N1001" s="150" t="s">
        <v>3120</v>
      </c>
      <c r="O1001" s="150" t="s">
        <v>3121</v>
      </c>
      <c r="P1001" s="367">
        <v>6.5</v>
      </c>
      <c r="Q1001" s="367"/>
      <c r="R1001" s="367">
        <v>640</v>
      </c>
      <c r="S1001" s="367"/>
      <c r="T1001" s="367"/>
      <c r="U1001" s="367"/>
      <c r="V1001" s="367"/>
      <c r="W1001" s="367"/>
      <c r="X1001" s="367"/>
      <c r="Y1001" s="367"/>
      <c r="Z1001" s="150" t="s">
        <v>3126</v>
      </c>
      <c r="AA1001" s="367"/>
      <c r="AB1001" s="150" t="s">
        <v>215</v>
      </c>
      <c r="AC1001" s="48" t="s">
        <v>3130</v>
      </c>
      <c r="AD1001" s="150" t="s">
        <v>555</v>
      </c>
      <c r="AE1001" s="296">
        <v>1</v>
      </c>
      <c r="AF1001" s="296"/>
      <c r="AG1001" s="286">
        <v>46341</v>
      </c>
      <c r="AH1001" s="49">
        <v>46264</v>
      </c>
      <c r="AI1001" s="266">
        <v>46235</v>
      </c>
      <c r="AJ1001" s="150" t="s">
        <v>617</v>
      </c>
      <c r="AK1001" s="150"/>
      <c r="AL1001" s="150"/>
      <c r="AM1001" s="150" t="s">
        <v>209</v>
      </c>
      <c r="AN1001" s="367"/>
      <c r="AO1001" s="367"/>
      <c r="AP1001" s="367"/>
      <c r="AQ1001" s="367"/>
      <c r="AR1001" s="367"/>
      <c r="AS1001" s="367"/>
      <c r="AT1001" s="367"/>
      <c r="AU1001" s="367"/>
      <c r="AV1001" s="367"/>
      <c r="AW1001" s="367"/>
      <c r="AX1001" s="367"/>
      <c r="AY1001" s="367"/>
      <c r="AZ1001" s="367"/>
      <c r="BA1001" s="367"/>
      <c r="BB1001" s="152"/>
      <c r="BC1001" s="152"/>
      <c r="BD1001" s="367" t="s">
        <v>3124</v>
      </c>
      <c r="BE1001" s="367"/>
      <c r="BF1001" s="367"/>
      <c r="BG1001" s="367"/>
      <c r="BH1001" s="260"/>
      <c r="BL1001" s="54"/>
    </row>
    <row r="1002" spans="1:64" ht="37.950000000000003" customHeight="1" x14ac:dyDescent="0.3">
      <c r="A1002" s="367">
        <f t="shared" si="18"/>
        <v>997</v>
      </c>
      <c r="B1002" s="54" t="s">
        <v>3131</v>
      </c>
      <c r="C1002" s="367" t="s">
        <v>12</v>
      </c>
      <c r="D1002" s="367" t="s">
        <v>262</v>
      </c>
      <c r="E1002" s="367"/>
      <c r="F1002" s="367"/>
      <c r="G1002" s="367"/>
      <c r="H1002" s="367"/>
      <c r="I1002" s="367" t="s">
        <v>3117</v>
      </c>
      <c r="J1002" s="48" t="s">
        <v>3118</v>
      </c>
      <c r="K1002" s="48" t="s">
        <v>716</v>
      </c>
      <c r="L1002" s="367"/>
      <c r="M1002" s="150"/>
      <c r="N1002" s="150" t="s">
        <v>3120</v>
      </c>
      <c r="O1002" s="150" t="s">
        <v>3121</v>
      </c>
      <c r="P1002" s="367">
        <v>6.5</v>
      </c>
      <c r="Q1002" s="367"/>
      <c r="R1002" s="367"/>
      <c r="S1002" s="367"/>
      <c r="T1002" s="367"/>
      <c r="U1002" s="367"/>
      <c r="V1002" s="367"/>
      <c r="W1002" s="367"/>
      <c r="X1002" s="367"/>
      <c r="Y1002" s="367"/>
      <c r="Z1002" s="367"/>
      <c r="AA1002" s="367"/>
      <c r="AB1002" s="150" t="s">
        <v>215</v>
      </c>
      <c r="AC1002" s="48" t="s">
        <v>3127</v>
      </c>
      <c r="AD1002" s="150"/>
      <c r="AE1002" s="296"/>
      <c r="AF1002" s="296"/>
      <c r="AG1002" s="286">
        <v>46341</v>
      </c>
      <c r="AH1002" s="49">
        <v>46264</v>
      </c>
      <c r="AI1002" s="266">
        <v>46235</v>
      </c>
      <c r="AJ1002" s="150" t="s">
        <v>617</v>
      </c>
      <c r="AK1002" s="150"/>
      <c r="AL1002" s="150"/>
      <c r="AM1002" s="150" t="s">
        <v>2086</v>
      </c>
      <c r="AN1002" s="367"/>
      <c r="AO1002" s="367"/>
      <c r="AP1002" s="367"/>
      <c r="AQ1002" s="367"/>
      <c r="AR1002" s="367"/>
      <c r="AS1002" s="367"/>
      <c r="AT1002" s="367"/>
      <c r="AU1002" s="367"/>
      <c r="AV1002" s="367"/>
      <c r="AW1002" s="367"/>
      <c r="AX1002" s="367"/>
      <c r="AY1002" s="367"/>
      <c r="AZ1002" s="367"/>
      <c r="BA1002" s="367"/>
      <c r="BB1002" s="152"/>
      <c r="BC1002" s="152"/>
      <c r="BD1002" s="367" t="s">
        <v>3124</v>
      </c>
      <c r="BE1002" s="367"/>
      <c r="BF1002" s="367"/>
      <c r="BG1002" s="367"/>
      <c r="BH1002" s="260"/>
      <c r="BL1002" s="54"/>
    </row>
    <row r="1003" spans="1:64" ht="37.950000000000003" customHeight="1" x14ac:dyDescent="0.3">
      <c r="A1003" s="367">
        <f t="shared" si="18"/>
        <v>998</v>
      </c>
      <c r="B1003" s="54" t="s">
        <v>3132</v>
      </c>
      <c r="C1003" s="367" t="s">
        <v>12</v>
      </c>
      <c r="D1003" s="367" t="s">
        <v>262</v>
      </c>
      <c r="E1003" s="367"/>
      <c r="F1003" s="367"/>
      <c r="G1003" s="367"/>
      <c r="H1003" s="367"/>
      <c r="I1003" s="367" t="s">
        <v>3117</v>
      </c>
      <c r="J1003" s="48" t="s">
        <v>3118</v>
      </c>
      <c r="K1003" s="48" t="s">
        <v>716</v>
      </c>
      <c r="L1003" s="367"/>
      <c r="M1003" s="150"/>
      <c r="N1003" s="150" t="s">
        <v>3120</v>
      </c>
      <c r="O1003" s="150" t="s">
        <v>3121</v>
      </c>
      <c r="P1003" s="367">
        <v>6.5</v>
      </c>
      <c r="Q1003" s="367"/>
      <c r="R1003" s="367">
        <v>660</v>
      </c>
      <c r="S1003" s="367"/>
      <c r="T1003" s="367"/>
      <c r="U1003" s="367"/>
      <c r="V1003" s="367"/>
      <c r="W1003" s="367"/>
      <c r="X1003" s="367"/>
      <c r="Y1003" s="367"/>
      <c r="Z1003" s="367"/>
      <c r="AA1003" s="367"/>
      <c r="AB1003" s="150" t="s">
        <v>215</v>
      </c>
      <c r="AC1003" s="48" t="s">
        <v>3133</v>
      </c>
      <c r="AD1003" s="150"/>
      <c r="AE1003" s="296"/>
      <c r="AF1003" s="296"/>
      <c r="AG1003" s="286">
        <v>46341</v>
      </c>
      <c r="AH1003" s="49">
        <v>46264</v>
      </c>
      <c r="AI1003" s="266">
        <v>46235</v>
      </c>
      <c r="AJ1003" s="150" t="s">
        <v>617</v>
      </c>
      <c r="AK1003" s="150"/>
      <c r="AL1003" s="150"/>
      <c r="AM1003" s="150" t="s">
        <v>2086</v>
      </c>
      <c r="AN1003" s="367"/>
      <c r="AO1003" s="367"/>
      <c r="AP1003" s="367"/>
      <c r="AQ1003" s="367"/>
      <c r="AR1003" s="367"/>
      <c r="AS1003" s="367"/>
      <c r="AT1003" s="367"/>
      <c r="AU1003" s="367"/>
      <c r="AV1003" s="367"/>
      <c r="AW1003" s="367"/>
      <c r="AX1003" s="367"/>
      <c r="AY1003" s="367"/>
      <c r="AZ1003" s="367"/>
      <c r="BA1003" s="367"/>
      <c r="BB1003" s="152" t="s">
        <v>3134</v>
      </c>
      <c r="BC1003" s="152"/>
      <c r="BD1003" s="367" t="s">
        <v>3124</v>
      </c>
      <c r="BE1003" s="367"/>
      <c r="BF1003" s="367"/>
      <c r="BG1003" s="367"/>
      <c r="BH1003" s="260"/>
      <c r="BL1003" s="54"/>
    </row>
    <row r="1004" spans="1:64" ht="37.950000000000003" customHeight="1" x14ac:dyDescent="0.3">
      <c r="A1004" s="367">
        <f t="shared" si="18"/>
        <v>999</v>
      </c>
      <c r="B1004" s="54" t="s">
        <v>3135</v>
      </c>
      <c r="C1004" s="367" t="s">
        <v>12</v>
      </c>
      <c r="D1004" s="367" t="s">
        <v>262</v>
      </c>
      <c r="E1004" s="367"/>
      <c r="F1004" s="367"/>
      <c r="G1004" s="367"/>
      <c r="H1004" s="367"/>
      <c r="I1004" s="367" t="s">
        <v>3117</v>
      </c>
      <c r="J1004" s="48" t="s">
        <v>3118</v>
      </c>
      <c r="K1004" s="48" t="s">
        <v>716</v>
      </c>
      <c r="L1004" s="367"/>
      <c r="M1004" s="150" t="s">
        <v>120</v>
      </c>
      <c r="N1004" s="150" t="s">
        <v>3120</v>
      </c>
      <c r="O1004" s="150" t="s">
        <v>3121</v>
      </c>
      <c r="P1004" s="367">
        <v>6.5</v>
      </c>
      <c r="Q1004" s="367"/>
      <c r="R1004" s="367">
        <v>660</v>
      </c>
      <c r="S1004" s="367"/>
      <c r="T1004" s="367"/>
      <c r="U1004" s="367"/>
      <c r="V1004" s="367"/>
      <c r="W1004" s="367"/>
      <c r="X1004" s="367"/>
      <c r="Y1004" s="150" t="s">
        <v>3136</v>
      </c>
      <c r="Z1004" s="367"/>
      <c r="AA1004" s="367"/>
      <c r="AB1004" s="150" t="s">
        <v>215</v>
      </c>
      <c r="AC1004" s="48" t="s">
        <v>3137</v>
      </c>
      <c r="AD1004" s="150" t="s">
        <v>2427</v>
      </c>
      <c r="AE1004" s="296">
        <v>1</v>
      </c>
      <c r="AF1004" s="296"/>
      <c r="AG1004" s="286">
        <v>46341</v>
      </c>
      <c r="AH1004" s="49">
        <v>46264</v>
      </c>
      <c r="AI1004" s="266">
        <v>46235</v>
      </c>
      <c r="AJ1004" s="150" t="s">
        <v>617</v>
      </c>
      <c r="AK1004" s="150"/>
      <c r="AL1004" s="150"/>
      <c r="AM1004" s="150" t="s">
        <v>209</v>
      </c>
      <c r="AN1004" s="367"/>
      <c r="AO1004" s="367"/>
      <c r="AP1004" s="367"/>
      <c r="AQ1004" s="367"/>
      <c r="AR1004" s="367"/>
      <c r="AS1004" s="367"/>
      <c r="AT1004" s="367"/>
      <c r="AU1004" s="367"/>
      <c r="AV1004" s="367"/>
      <c r="AW1004" s="367"/>
      <c r="AX1004" s="367"/>
      <c r="AY1004" s="367"/>
      <c r="AZ1004" s="367"/>
      <c r="BA1004" s="367"/>
      <c r="BB1004" s="152" t="s">
        <v>3134</v>
      </c>
      <c r="BC1004" s="152"/>
      <c r="BD1004" s="367" t="s">
        <v>3124</v>
      </c>
      <c r="BE1004" s="367"/>
      <c r="BF1004" s="367"/>
      <c r="BG1004" s="367"/>
      <c r="BH1004" s="260"/>
      <c r="BL1004" s="54"/>
    </row>
    <row r="1005" spans="1:64" ht="37.950000000000003" customHeight="1" x14ac:dyDescent="0.3">
      <c r="A1005" s="367">
        <f t="shared" si="18"/>
        <v>1000</v>
      </c>
      <c r="B1005" s="54" t="s">
        <v>3138</v>
      </c>
      <c r="C1005" s="367" t="s">
        <v>12</v>
      </c>
      <c r="D1005" s="367" t="s">
        <v>262</v>
      </c>
      <c r="E1005" s="367"/>
      <c r="F1005" s="367"/>
      <c r="G1005" s="367"/>
      <c r="H1005" s="367"/>
      <c r="I1005" s="367" t="s">
        <v>3117</v>
      </c>
      <c r="J1005" s="48" t="s">
        <v>3139</v>
      </c>
      <c r="K1005" s="48" t="s">
        <v>3140</v>
      </c>
      <c r="L1005" s="367"/>
      <c r="M1005" s="150" t="s">
        <v>120</v>
      </c>
      <c r="N1005" s="150" t="s">
        <v>3120</v>
      </c>
      <c r="O1005" s="150" t="s">
        <v>3121</v>
      </c>
      <c r="P1005" s="367">
        <v>6.5</v>
      </c>
      <c r="Q1005" s="367"/>
      <c r="R1005" s="367">
        <v>660</v>
      </c>
      <c r="S1005" s="367"/>
      <c r="T1005" s="367"/>
      <c r="U1005" s="367"/>
      <c r="V1005" s="367" t="s">
        <v>127</v>
      </c>
      <c r="W1005" s="367"/>
      <c r="X1005" s="367"/>
      <c r="Y1005" s="150" t="s">
        <v>3136</v>
      </c>
      <c r="Z1005" s="367"/>
      <c r="AA1005" s="367"/>
      <c r="AB1005" s="150" t="s">
        <v>215</v>
      </c>
      <c r="AC1005" s="48" t="s">
        <v>3141</v>
      </c>
      <c r="AD1005" s="150" t="s">
        <v>2415</v>
      </c>
      <c r="AE1005" s="296">
        <v>1</v>
      </c>
      <c r="AF1005" s="296"/>
      <c r="AG1005" s="286">
        <v>46341</v>
      </c>
      <c r="AH1005" s="49">
        <v>46264</v>
      </c>
      <c r="AI1005" s="266">
        <v>46235</v>
      </c>
      <c r="AJ1005" s="150" t="s">
        <v>617</v>
      </c>
      <c r="AK1005" s="150"/>
      <c r="AL1005" s="150"/>
      <c r="AM1005" s="150" t="s">
        <v>2086</v>
      </c>
      <c r="AN1005" s="367"/>
      <c r="AO1005" s="367"/>
      <c r="AP1005" s="367"/>
      <c r="AQ1005" s="367"/>
      <c r="AR1005" s="367"/>
      <c r="AS1005" s="367"/>
      <c r="AT1005" s="367"/>
      <c r="AU1005" s="367"/>
      <c r="AV1005" s="367"/>
      <c r="AW1005" s="367"/>
      <c r="AX1005" s="367"/>
      <c r="AY1005" s="367"/>
      <c r="AZ1005" s="367"/>
      <c r="BA1005" s="367"/>
      <c r="BB1005" s="152"/>
      <c r="BC1005" s="152"/>
      <c r="BD1005" s="367" t="s">
        <v>3124</v>
      </c>
      <c r="BE1005" s="367"/>
      <c r="BF1005" s="367"/>
      <c r="BG1005" s="367"/>
      <c r="BH1005" s="260"/>
      <c r="BL1005" s="54"/>
    </row>
    <row r="1006" spans="1:64" ht="37.950000000000003" customHeight="1" x14ac:dyDescent="0.3">
      <c r="A1006" s="367">
        <f t="shared" ref="A1006:A1045" si="19">ROW(B1006)-ROW($B$5)</f>
        <v>1001</v>
      </c>
      <c r="B1006" s="54" t="s">
        <v>3142</v>
      </c>
      <c r="C1006" s="367" t="s">
        <v>12</v>
      </c>
      <c r="D1006" s="367" t="s">
        <v>262</v>
      </c>
      <c r="E1006" s="367"/>
      <c r="F1006" s="367"/>
      <c r="G1006" s="367"/>
      <c r="H1006" s="367"/>
      <c r="I1006" s="367" t="s">
        <v>3117</v>
      </c>
      <c r="J1006" s="48" t="s">
        <v>3139</v>
      </c>
      <c r="K1006" s="48" t="s">
        <v>3140</v>
      </c>
      <c r="L1006" s="367"/>
      <c r="M1006" s="150"/>
      <c r="N1006" s="150" t="s">
        <v>3120</v>
      </c>
      <c r="O1006" s="150" t="s">
        <v>3121</v>
      </c>
      <c r="P1006" s="367">
        <v>6.5</v>
      </c>
      <c r="Q1006" s="367"/>
      <c r="R1006" s="367">
        <v>660</v>
      </c>
      <c r="S1006" s="367"/>
      <c r="T1006" s="367"/>
      <c r="U1006" s="367"/>
      <c r="V1006" s="367"/>
      <c r="W1006" s="367"/>
      <c r="X1006" s="367"/>
      <c r="Y1006" s="367"/>
      <c r="Z1006" s="367"/>
      <c r="AA1006" s="367"/>
      <c r="AB1006" s="150" t="s">
        <v>215</v>
      </c>
      <c r="AC1006" s="48" t="s">
        <v>3143</v>
      </c>
      <c r="AD1006" s="150"/>
      <c r="AE1006" s="296"/>
      <c r="AF1006" s="296"/>
      <c r="AG1006" s="286">
        <v>46341</v>
      </c>
      <c r="AH1006" s="49">
        <v>46264</v>
      </c>
      <c r="AI1006" s="266">
        <v>46235</v>
      </c>
      <c r="AJ1006" s="150" t="s">
        <v>617</v>
      </c>
      <c r="AK1006" s="150"/>
      <c r="AL1006" s="150"/>
      <c r="AM1006" s="150" t="s">
        <v>209</v>
      </c>
      <c r="AN1006" s="367"/>
      <c r="AO1006" s="367"/>
      <c r="AP1006" s="367"/>
      <c r="AQ1006" s="367"/>
      <c r="AR1006" s="367"/>
      <c r="AS1006" s="367"/>
      <c r="AT1006" s="367"/>
      <c r="AU1006" s="367"/>
      <c r="AV1006" s="367"/>
      <c r="AW1006" s="367"/>
      <c r="AX1006" s="367"/>
      <c r="AY1006" s="367"/>
      <c r="AZ1006" s="367"/>
      <c r="BA1006" s="367"/>
      <c r="BB1006" s="152"/>
      <c r="BC1006" s="152"/>
      <c r="BD1006" s="367" t="s">
        <v>3124</v>
      </c>
      <c r="BE1006" s="367"/>
      <c r="BF1006" s="367"/>
      <c r="BG1006" s="367"/>
      <c r="BH1006" s="260"/>
      <c r="BL1006" s="54"/>
    </row>
    <row r="1007" spans="1:64" ht="37.950000000000003" customHeight="1" x14ac:dyDescent="0.3">
      <c r="A1007" s="367">
        <f t="shared" si="19"/>
        <v>1002</v>
      </c>
      <c r="B1007" s="54" t="s">
        <v>3144</v>
      </c>
      <c r="C1007" s="367" t="s">
        <v>12</v>
      </c>
      <c r="D1007" s="367" t="s">
        <v>262</v>
      </c>
      <c r="E1007" s="367"/>
      <c r="F1007" s="367"/>
      <c r="G1007" s="367"/>
      <c r="H1007" s="367"/>
      <c r="I1007" s="367" t="s">
        <v>3117</v>
      </c>
      <c r="J1007" s="48" t="s">
        <v>3139</v>
      </c>
      <c r="K1007" s="48" t="s">
        <v>3140</v>
      </c>
      <c r="L1007" s="367"/>
      <c r="M1007" s="150"/>
      <c r="N1007" s="150" t="s">
        <v>3120</v>
      </c>
      <c r="O1007" s="150" t="s">
        <v>3121</v>
      </c>
      <c r="P1007" s="367">
        <v>6.5</v>
      </c>
      <c r="Q1007" s="367"/>
      <c r="R1007" s="367">
        <v>660</v>
      </c>
      <c r="S1007" s="367"/>
      <c r="T1007" s="367"/>
      <c r="U1007" s="367"/>
      <c r="V1007" s="367"/>
      <c r="W1007" s="367"/>
      <c r="X1007" s="367"/>
      <c r="Y1007" s="367"/>
      <c r="Z1007" s="367"/>
      <c r="AA1007" s="367"/>
      <c r="AB1007" s="150" t="s">
        <v>215</v>
      </c>
      <c r="AC1007" s="48" t="s">
        <v>3127</v>
      </c>
      <c r="AD1007" s="150"/>
      <c r="AE1007" s="296"/>
      <c r="AF1007" s="296"/>
      <c r="AG1007" s="286">
        <v>46341</v>
      </c>
      <c r="AH1007" s="49">
        <v>46264</v>
      </c>
      <c r="AI1007" s="266">
        <v>46235</v>
      </c>
      <c r="AJ1007" s="150" t="s">
        <v>617</v>
      </c>
      <c r="AK1007" s="150"/>
      <c r="AL1007" s="150"/>
      <c r="AM1007" s="150" t="s">
        <v>2086</v>
      </c>
      <c r="AN1007" s="367"/>
      <c r="AO1007" s="367"/>
      <c r="AP1007" s="367"/>
      <c r="AQ1007" s="367"/>
      <c r="AR1007" s="367"/>
      <c r="AS1007" s="367"/>
      <c r="AT1007" s="367"/>
      <c r="AU1007" s="367"/>
      <c r="AV1007" s="367"/>
      <c r="AW1007" s="367"/>
      <c r="AX1007" s="367"/>
      <c r="AY1007" s="367"/>
      <c r="AZ1007" s="367"/>
      <c r="BA1007" s="367"/>
      <c r="BB1007" s="152"/>
      <c r="BC1007" s="152"/>
      <c r="BD1007" s="367" t="s">
        <v>3124</v>
      </c>
      <c r="BE1007" s="367"/>
      <c r="BF1007" s="367"/>
      <c r="BG1007" s="367"/>
      <c r="BH1007" s="260"/>
      <c r="BL1007" s="54"/>
    </row>
    <row r="1008" spans="1:64" ht="37.950000000000003" customHeight="1" x14ac:dyDescent="0.3">
      <c r="A1008" s="367">
        <f t="shared" si="19"/>
        <v>1003</v>
      </c>
      <c r="B1008" s="54" t="s">
        <v>3145</v>
      </c>
      <c r="C1008" s="367" t="s">
        <v>12</v>
      </c>
      <c r="D1008" s="367" t="s">
        <v>262</v>
      </c>
      <c r="E1008" s="367"/>
      <c r="F1008" s="367"/>
      <c r="G1008" s="367"/>
      <c r="H1008" s="367"/>
      <c r="I1008" s="367" t="s">
        <v>3117</v>
      </c>
      <c r="J1008" s="48" t="s">
        <v>3139</v>
      </c>
      <c r="K1008" s="48" t="s">
        <v>3140</v>
      </c>
      <c r="L1008" s="367"/>
      <c r="M1008" s="150"/>
      <c r="N1008" s="150" t="s">
        <v>3120</v>
      </c>
      <c r="O1008" s="150" t="s">
        <v>3121</v>
      </c>
      <c r="P1008" s="367">
        <v>6.5</v>
      </c>
      <c r="Q1008" s="367"/>
      <c r="R1008" s="367">
        <v>660</v>
      </c>
      <c r="S1008" s="367"/>
      <c r="T1008" s="367"/>
      <c r="U1008" s="367"/>
      <c r="V1008" s="367"/>
      <c r="W1008" s="367"/>
      <c r="X1008" s="367"/>
      <c r="Y1008" s="367"/>
      <c r="Z1008" s="367"/>
      <c r="AA1008" s="367"/>
      <c r="AB1008" s="150" t="s">
        <v>215</v>
      </c>
      <c r="AC1008" s="48" t="s">
        <v>3127</v>
      </c>
      <c r="AD1008" s="150"/>
      <c r="AE1008" s="296"/>
      <c r="AF1008" s="296"/>
      <c r="AG1008" s="286">
        <v>46341</v>
      </c>
      <c r="AH1008" s="49">
        <v>46295</v>
      </c>
      <c r="AI1008" s="266">
        <v>46266</v>
      </c>
      <c r="AJ1008" s="150" t="s">
        <v>617</v>
      </c>
      <c r="AK1008" s="150"/>
      <c r="AL1008" s="150"/>
      <c r="AM1008" s="150" t="s">
        <v>209</v>
      </c>
      <c r="AN1008" s="367"/>
      <c r="AO1008" s="367"/>
      <c r="AP1008" s="367"/>
      <c r="AQ1008" s="367"/>
      <c r="AR1008" s="367"/>
      <c r="AS1008" s="367"/>
      <c r="AT1008" s="367"/>
      <c r="AU1008" s="367"/>
      <c r="AV1008" s="367"/>
      <c r="AW1008" s="367"/>
      <c r="AX1008" s="367"/>
      <c r="AY1008" s="367"/>
      <c r="AZ1008" s="367"/>
      <c r="BA1008" s="367"/>
      <c r="BB1008" s="152"/>
      <c r="BC1008" s="152"/>
      <c r="BD1008" s="367" t="s">
        <v>3124</v>
      </c>
      <c r="BE1008" s="367"/>
      <c r="BF1008" s="367"/>
      <c r="BG1008" s="367"/>
      <c r="BH1008" s="260"/>
      <c r="BL1008" s="54"/>
    </row>
    <row r="1009" spans="1:64" ht="37.950000000000003" customHeight="1" x14ac:dyDescent="0.3">
      <c r="A1009" s="367">
        <f t="shared" si="19"/>
        <v>1004</v>
      </c>
      <c r="B1009" s="54" t="s">
        <v>3146</v>
      </c>
      <c r="C1009" s="367" t="s">
        <v>12</v>
      </c>
      <c r="D1009" s="367" t="s">
        <v>262</v>
      </c>
      <c r="E1009" s="367"/>
      <c r="F1009" s="367"/>
      <c r="G1009" s="367"/>
      <c r="H1009" s="367"/>
      <c r="I1009" s="367" t="s">
        <v>3117</v>
      </c>
      <c r="J1009" s="48" t="s">
        <v>3139</v>
      </c>
      <c r="K1009" s="48" t="s">
        <v>3140</v>
      </c>
      <c r="L1009" s="367"/>
      <c r="M1009" s="150" t="s">
        <v>120</v>
      </c>
      <c r="N1009" s="150" t="s">
        <v>3120</v>
      </c>
      <c r="O1009" s="150" t="s">
        <v>3121</v>
      </c>
      <c r="P1009" s="367">
        <v>6.5</v>
      </c>
      <c r="Q1009" s="367"/>
      <c r="R1009" s="367">
        <v>660</v>
      </c>
      <c r="S1009" s="367"/>
      <c r="T1009" s="367"/>
      <c r="U1009" s="367"/>
      <c r="V1009" s="367"/>
      <c r="W1009" s="367"/>
      <c r="X1009" s="367"/>
      <c r="Y1009" s="150" t="s">
        <v>3136</v>
      </c>
      <c r="Z1009" s="367"/>
      <c r="AA1009" s="367"/>
      <c r="AB1009" s="150" t="s">
        <v>215</v>
      </c>
      <c r="AC1009" s="48" t="s">
        <v>3137</v>
      </c>
      <c r="AD1009" s="150" t="s">
        <v>2427</v>
      </c>
      <c r="AE1009" s="296">
        <v>1</v>
      </c>
      <c r="AF1009" s="296"/>
      <c r="AG1009" s="286">
        <v>46341</v>
      </c>
      <c r="AH1009" s="49">
        <v>46295</v>
      </c>
      <c r="AI1009" s="266">
        <v>46266</v>
      </c>
      <c r="AJ1009" s="150" t="s">
        <v>617</v>
      </c>
      <c r="AK1009" s="150"/>
      <c r="AL1009" s="150"/>
      <c r="AM1009" s="150" t="s">
        <v>2609</v>
      </c>
      <c r="AN1009" s="367"/>
      <c r="AO1009" s="367"/>
      <c r="AP1009" s="367"/>
      <c r="AQ1009" s="367"/>
      <c r="AR1009" s="367"/>
      <c r="AS1009" s="367"/>
      <c r="AT1009" s="367"/>
      <c r="AU1009" s="367"/>
      <c r="AV1009" s="367"/>
      <c r="AW1009" s="367"/>
      <c r="AX1009" s="367"/>
      <c r="AY1009" s="367"/>
      <c r="AZ1009" s="367"/>
      <c r="BA1009" s="367"/>
      <c r="BB1009" s="152"/>
      <c r="BC1009" s="152"/>
      <c r="BD1009" s="367" t="s">
        <v>3124</v>
      </c>
      <c r="BE1009" s="367"/>
      <c r="BF1009" s="367"/>
      <c r="BG1009" s="367"/>
      <c r="BH1009" s="260"/>
      <c r="BL1009" s="54"/>
    </row>
    <row r="1010" spans="1:64" ht="37.950000000000003" customHeight="1" x14ac:dyDescent="0.3">
      <c r="A1010" s="367">
        <f t="shared" si="19"/>
        <v>1005</v>
      </c>
      <c r="B1010" s="54" t="s">
        <v>3147</v>
      </c>
      <c r="C1010" s="367" t="s">
        <v>12</v>
      </c>
      <c r="D1010" s="367" t="s">
        <v>262</v>
      </c>
      <c r="E1010" s="367"/>
      <c r="F1010" s="367"/>
      <c r="G1010" s="367"/>
      <c r="H1010" s="367"/>
      <c r="I1010" s="367" t="s">
        <v>3117</v>
      </c>
      <c r="J1010" s="48" t="s">
        <v>3139</v>
      </c>
      <c r="K1010" s="48" t="s">
        <v>3148</v>
      </c>
      <c r="L1010" s="367"/>
      <c r="M1010" s="150" t="s">
        <v>65</v>
      </c>
      <c r="N1010" s="150" t="s">
        <v>3120</v>
      </c>
      <c r="O1010" s="150" t="s">
        <v>3121</v>
      </c>
      <c r="P1010" s="367">
        <v>6.5</v>
      </c>
      <c r="Q1010" s="367"/>
      <c r="R1010" s="367">
        <v>660</v>
      </c>
      <c r="S1010" s="367"/>
      <c r="T1010" s="367"/>
      <c r="U1010" s="367"/>
      <c r="V1010" s="367" t="s">
        <v>127</v>
      </c>
      <c r="W1010" s="367"/>
      <c r="X1010" s="367"/>
      <c r="Y1010" s="367"/>
      <c r="Z1010" s="367"/>
      <c r="AA1010" s="367"/>
      <c r="AB1010" s="150" t="s">
        <v>215</v>
      </c>
      <c r="AC1010" s="48" t="s">
        <v>3141</v>
      </c>
      <c r="AD1010" s="150" t="s">
        <v>2415</v>
      </c>
      <c r="AE1010" s="296">
        <v>1</v>
      </c>
      <c r="AF1010" s="296"/>
      <c r="AG1010" s="286">
        <v>46341</v>
      </c>
      <c r="AH1010" s="49">
        <v>46295</v>
      </c>
      <c r="AI1010" s="266">
        <v>46266</v>
      </c>
      <c r="AJ1010" s="150" t="s">
        <v>617</v>
      </c>
      <c r="AK1010" s="150"/>
      <c r="AL1010" s="150"/>
      <c r="AM1010" s="150" t="s">
        <v>209</v>
      </c>
      <c r="AN1010" s="367"/>
      <c r="AO1010" s="367"/>
      <c r="AP1010" s="367"/>
      <c r="AQ1010" s="367"/>
      <c r="AR1010" s="367"/>
      <c r="AS1010" s="367"/>
      <c r="AT1010" s="367"/>
      <c r="AU1010" s="367"/>
      <c r="AV1010" s="367"/>
      <c r="AW1010" s="367"/>
      <c r="AX1010" s="367"/>
      <c r="AY1010" s="367"/>
      <c r="AZ1010" s="367"/>
      <c r="BA1010" s="367"/>
      <c r="BB1010" s="152"/>
      <c r="BC1010" s="152"/>
      <c r="BD1010" s="367" t="s">
        <v>3124</v>
      </c>
      <c r="BE1010" s="367"/>
      <c r="BF1010" s="367"/>
      <c r="BG1010" s="367"/>
      <c r="BH1010" s="260"/>
      <c r="BL1010" s="54"/>
    </row>
    <row r="1011" spans="1:64" ht="37.950000000000003" customHeight="1" x14ac:dyDescent="0.3">
      <c r="A1011" s="367">
        <f t="shared" si="19"/>
        <v>1006</v>
      </c>
      <c r="B1011" s="54" t="s">
        <v>3149</v>
      </c>
      <c r="C1011" s="367" t="s">
        <v>12</v>
      </c>
      <c r="D1011" s="367" t="s">
        <v>262</v>
      </c>
      <c r="E1011" s="367"/>
      <c r="F1011" s="367"/>
      <c r="G1011" s="367"/>
      <c r="H1011" s="367"/>
      <c r="I1011" s="367" t="s">
        <v>3117</v>
      </c>
      <c r="J1011" s="48" t="s">
        <v>3139</v>
      </c>
      <c r="K1011" s="48" t="s">
        <v>3148</v>
      </c>
      <c r="L1011" s="367"/>
      <c r="M1011" s="150"/>
      <c r="N1011" s="150" t="s">
        <v>3120</v>
      </c>
      <c r="O1011" s="150" t="s">
        <v>3121</v>
      </c>
      <c r="P1011" s="367">
        <v>6.5</v>
      </c>
      <c r="Q1011" s="367"/>
      <c r="R1011" s="367">
        <v>660</v>
      </c>
      <c r="S1011" s="367"/>
      <c r="T1011" s="367"/>
      <c r="U1011" s="367"/>
      <c r="V1011" s="367"/>
      <c r="W1011" s="367"/>
      <c r="X1011" s="367"/>
      <c r="Y1011" s="367"/>
      <c r="Z1011" s="367"/>
      <c r="AA1011" s="367"/>
      <c r="AB1011" s="150" t="s">
        <v>215</v>
      </c>
      <c r="AC1011" s="48" t="s">
        <v>3143</v>
      </c>
      <c r="AD1011" s="150"/>
      <c r="AE1011" s="296"/>
      <c r="AF1011" s="296"/>
      <c r="AG1011" s="286">
        <v>46341</v>
      </c>
      <c r="AH1011" s="49">
        <v>46295</v>
      </c>
      <c r="AI1011" s="266">
        <v>46266</v>
      </c>
      <c r="AJ1011" s="150" t="s">
        <v>617</v>
      </c>
      <c r="AK1011" s="150"/>
      <c r="AL1011" s="150"/>
      <c r="AM1011" s="150" t="s">
        <v>2609</v>
      </c>
      <c r="AN1011" s="367"/>
      <c r="AO1011" s="367"/>
      <c r="AP1011" s="367"/>
      <c r="AQ1011" s="367"/>
      <c r="AR1011" s="367"/>
      <c r="AS1011" s="367"/>
      <c r="AT1011" s="367"/>
      <c r="AU1011" s="367"/>
      <c r="AV1011" s="367"/>
      <c r="AW1011" s="367"/>
      <c r="AX1011" s="367"/>
      <c r="AY1011" s="367"/>
      <c r="AZ1011" s="367"/>
      <c r="BA1011" s="367"/>
      <c r="BB1011" s="152"/>
      <c r="BC1011" s="152"/>
      <c r="BD1011" s="367" t="s">
        <v>3124</v>
      </c>
      <c r="BE1011" s="367"/>
      <c r="BF1011" s="367"/>
      <c r="BG1011" s="367"/>
      <c r="BH1011" s="260"/>
      <c r="BL1011" s="54"/>
    </row>
    <row r="1012" spans="1:64" ht="37.950000000000003" customHeight="1" x14ac:dyDescent="0.3">
      <c r="A1012" s="367">
        <f t="shared" si="19"/>
        <v>1007</v>
      </c>
      <c r="B1012" s="54" t="s">
        <v>3150</v>
      </c>
      <c r="C1012" s="367" t="s">
        <v>12</v>
      </c>
      <c r="D1012" s="367" t="s">
        <v>262</v>
      </c>
      <c r="E1012" s="367"/>
      <c r="F1012" s="367"/>
      <c r="G1012" s="367"/>
      <c r="H1012" s="367"/>
      <c r="I1012" s="367" t="s">
        <v>3117</v>
      </c>
      <c r="J1012" s="48" t="s">
        <v>3139</v>
      </c>
      <c r="K1012" s="48" t="s">
        <v>3148</v>
      </c>
      <c r="L1012" s="367"/>
      <c r="M1012" s="150"/>
      <c r="N1012" s="150" t="s">
        <v>3120</v>
      </c>
      <c r="O1012" s="150" t="s">
        <v>3121</v>
      </c>
      <c r="P1012" s="367">
        <v>6.5</v>
      </c>
      <c r="Q1012" s="367"/>
      <c r="R1012" s="367">
        <v>660</v>
      </c>
      <c r="S1012" s="367"/>
      <c r="T1012" s="367"/>
      <c r="U1012" s="367"/>
      <c r="V1012" s="367"/>
      <c r="W1012" s="367"/>
      <c r="X1012" s="367"/>
      <c r="Y1012" s="367"/>
      <c r="Z1012" s="367"/>
      <c r="AA1012" s="367"/>
      <c r="AB1012" s="150" t="s">
        <v>215</v>
      </c>
      <c r="AC1012" s="48" t="s">
        <v>3127</v>
      </c>
      <c r="AD1012" s="150"/>
      <c r="AE1012" s="296"/>
      <c r="AF1012" s="296"/>
      <c r="AG1012" s="286">
        <v>46341</v>
      </c>
      <c r="AH1012" s="49">
        <v>46295</v>
      </c>
      <c r="AI1012" s="266">
        <v>46266</v>
      </c>
      <c r="AJ1012" s="150" t="s">
        <v>617</v>
      </c>
      <c r="AK1012" s="150"/>
      <c r="AL1012" s="150"/>
      <c r="AM1012" s="150" t="s">
        <v>2609</v>
      </c>
      <c r="AN1012" s="367"/>
      <c r="AO1012" s="367"/>
      <c r="AP1012" s="367"/>
      <c r="AQ1012" s="367"/>
      <c r="AR1012" s="367"/>
      <c r="AS1012" s="367"/>
      <c r="AT1012" s="367"/>
      <c r="AU1012" s="367"/>
      <c r="AV1012" s="367"/>
      <c r="AW1012" s="367"/>
      <c r="AX1012" s="367"/>
      <c r="AY1012" s="367"/>
      <c r="AZ1012" s="367"/>
      <c r="BA1012" s="367"/>
      <c r="BB1012" s="152"/>
      <c r="BC1012" s="152"/>
      <c r="BD1012" s="367" t="s">
        <v>3124</v>
      </c>
      <c r="BE1012" s="367"/>
      <c r="BF1012" s="367"/>
      <c r="BG1012" s="367"/>
      <c r="BH1012" s="260"/>
      <c r="BL1012" s="54"/>
    </row>
    <row r="1013" spans="1:64" ht="37.950000000000003" customHeight="1" x14ac:dyDescent="0.3">
      <c r="A1013" s="367">
        <f t="shared" si="19"/>
        <v>1008</v>
      </c>
      <c r="B1013" s="54" t="s">
        <v>3151</v>
      </c>
      <c r="C1013" s="367" t="s">
        <v>12</v>
      </c>
      <c r="D1013" s="367" t="s">
        <v>262</v>
      </c>
      <c r="E1013" s="367"/>
      <c r="F1013" s="367"/>
      <c r="G1013" s="367"/>
      <c r="H1013" s="367"/>
      <c r="I1013" s="367" t="s">
        <v>3117</v>
      </c>
      <c r="J1013" s="48" t="s">
        <v>3139</v>
      </c>
      <c r="K1013" s="48" t="s">
        <v>3148</v>
      </c>
      <c r="L1013" s="367"/>
      <c r="M1013" s="150"/>
      <c r="N1013" s="150" t="s">
        <v>3120</v>
      </c>
      <c r="O1013" s="150" t="s">
        <v>3121</v>
      </c>
      <c r="P1013" s="367">
        <v>6.5</v>
      </c>
      <c r="Q1013" s="367"/>
      <c r="R1013" s="367">
        <v>660</v>
      </c>
      <c r="S1013" s="367"/>
      <c r="T1013" s="367"/>
      <c r="U1013" s="367"/>
      <c r="V1013" s="367"/>
      <c r="W1013" s="367"/>
      <c r="X1013" s="367"/>
      <c r="Y1013" s="367"/>
      <c r="Z1013" s="367"/>
      <c r="AA1013" s="367"/>
      <c r="AB1013" s="150" t="s">
        <v>215</v>
      </c>
      <c r="AC1013" s="48" t="s">
        <v>3127</v>
      </c>
      <c r="AD1013" s="150"/>
      <c r="AE1013" s="296"/>
      <c r="AF1013" s="296"/>
      <c r="AG1013" s="286">
        <v>46341</v>
      </c>
      <c r="AH1013" s="49">
        <v>46295</v>
      </c>
      <c r="AI1013" s="266">
        <v>46266</v>
      </c>
      <c r="AJ1013" s="150" t="s">
        <v>617</v>
      </c>
      <c r="AK1013" s="150"/>
      <c r="AL1013" s="150"/>
      <c r="AM1013" s="150" t="s">
        <v>2086</v>
      </c>
      <c r="AN1013" s="367"/>
      <c r="AO1013" s="367"/>
      <c r="AP1013" s="367"/>
      <c r="AQ1013" s="367"/>
      <c r="AR1013" s="367"/>
      <c r="AS1013" s="367"/>
      <c r="AT1013" s="367"/>
      <c r="AU1013" s="367"/>
      <c r="AV1013" s="367"/>
      <c r="AW1013" s="367"/>
      <c r="AX1013" s="367"/>
      <c r="AY1013" s="367"/>
      <c r="AZ1013" s="367"/>
      <c r="BA1013" s="367"/>
      <c r="BB1013" s="152"/>
      <c r="BC1013" s="152"/>
      <c r="BD1013" s="367" t="s">
        <v>3124</v>
      </c>
      <c r="BE1013" s="367"/>
      <c r="BF1013" s="367"/>
      <c r="BG1013" s="367"/>
      <c r="BH1013" s="260"/>
      <c r="BL1013" s="54"/>
    </row>
    <row r="1014" spans="1:64" ht="37.950000000000003" customHeight="1" x14ac:dyDescent="0.3">
      <c r="A1014" s="367">
        <f t="shared" si="19"/>
        <v>1009</v>
      </c>
      <c r="B1014" s="54" t="s">
        <v>3152</v>
      </c>
      <c r="C1014" s="367" t="s">
        <v>12</v>
      </c>
      <c r="D1014" s="367" t="s">
        <v>262</v>
      </c>
      <c r="E1014" s="367"/>
      <c r="F1014" s="367"/>
      <c r="G1014" s="367"/>
      <c r="H1014" s="367"/>
      <c r="I1014" s="367" t="s">
        <v>3117</v>
      </c>
      <c r="J1014" s="48" t="s">
        <v>3139</v>
      </c>
      <c r="K1014" s="48" t="s">
        <v>3148</v>
      </c>
      <c r="L1014" s="367"/>
      <c r="M1014" s="150" t="s">
        <v>65</v>
      </c>
      <c r="N1014" s="150" t="s">
        <v>3120</v>
      </c>
      <c r="O1014" s="150" t="s">
        <v>3121</v>
      </c>
      <c r="P1014" s="367">
        <v>6.5</v>
      </c>
      <c r="Q1014" s="367"/>
      <c r="R1014" s="367">
        <v>660</v>
      </c>
      <c r="S1014" s="367"/>
      <c r="T1014" s="367"/>
      <c r="U1014" s="367"/>
      <c r="V1014" s="367"/>
      <c r="W1014" s="367"/>
      <c r="X1014" s="367"/>
      <c r="Y1014" s="367"/>
      <c r="Z1014" s="367"/>
      <c r="AA1014" s="367"/>
      <c r="AB1014" s="150" t="s">
        <v>215</v>
      </c>
      <c r="AC1014" s="48" t="s">
        <v>3153</v>
      </c>
      <c r="AD1014" s="150"/>
      <c r="AE1014" s="296"/>
      <c r="AF1014" s="296"/>
      <c r="AG1014" s="286">
        <v>46341</v>
      </c>
      <c r="AH1014" s="49">
        <v>46295</v>
      </c>
      <c r="AI1014" s="266">
        <v>46266</v>
      </c>
      <c r="AJ1014" s="150" t="s">
        <v>617</v>
      </c>
      <c r="AK1014" s="150"/>
      <c r="AL1014" s="150"/>
      <c r="AM1014" s="150" t="s">
        <v>209</v>
      </c>
      <c r="AN1014" s="367"/>
      <c r="AO1014" s="367"/>
      <c r="AP1014" s="367"/>
      <c r="AQ1014" s="367"/>
      <c r="AR1014" s="367"/>
      <c r="AS1014" s="367"/>
      <c r="AT1014" s="367"/>
      <c r="AU1014" s="367"/>
      <c r="AV1014" s="367"/>
      <c r="AW1014" s="367"/>
      <c r="AX1014" s="367"/>
      <c r="AY1014" s="367"/>
      <c r="AZ1014" s="367"/>
      <c r="BA1014" s="367"/>
      <c r="BB1014" s="152"/>
      <c r="BC1014" s="152"/>
      <c r="BD1014" s="367" t="s">
        <v>3124</v>
      </c>
      <c r="BE1014" s="367"/>
      <c r="BF1014" s="367"/>
      <c r="BG1014" s="367"/>
      <c r="BH1014" s="260"/>
      <c r="BL1014" s="54"/>
    </row>
    <row r="1015" spans="1:64" ht="37.950000000000003" customHeight="1" x14ac:dyDescent="0.3">
      <c r="A1015" s="367">
        <f t="shared" si="19"/>
        <v>1010</v>
      </c>
      <c r="B1015" s="54" t="s">
        <v>3154</v>
      </c>
      <c r="C1015" s="367" t="s">
        <v>12</v>
      </c>
      <c r="D1015" s="367" t="s">
        <v>262</v>
      </c>
      <c r="E1015" s="367"/>
      <c r="F1015" s="367"/>
      <c r="G1015" s="367"/>
      <c r="H1015" s="367"/>
      <c r="I1015" s="367" t="s">
        <v>3117</v>
      </c>
      <c r="J1015" s="48" t="s">
        <v>3155</v>
      </c>
      <c r="K1015" s="48" t="s">
        <v>3156</v>
      </c>
      <c r="L1015" s="367"/>
      <c r="M1015" s="150" t="s">
        <v>120</v>
      </c>
      <c r="N1015" s="150" t="s">
        <v>3120</v>
      </c>
      <c r="O1015" s="150" t="s">
        <v>3121</v>
      </c>
      <c r="P1015" s="367">
        <v>6.5</v>
      </c>
      <c r="Q1015" s="367"/>
      <c r="R1015" s="367">
        <v>650</v>
      </c>
      <c r="S1015" s="367"/>
      <c r="T1015" s="367"/>
      <c r="U1015" s="367" t="s">
        <v>127</v>
      </c>
      <c r="V1015" s="367"/>
      <c r="W1015" s="367"/>
      <c r="X1015" s="367"/>
      <c r="Y1015" s="150" t="s">
        <v>3136</v>
      </c>
      <c r="Z1015" s="367"/>
      <c r="AA1015" s="367"/>
      <c r="AB1015" s="150" t="s">
        <v>215</v>
      </c>
      <c r="AC1015" s="48" t="s">
        <v>3157</v>
      </c>
      <c r="AD1015" s="150" t="s">
        <v>555</v>
      </c>
      <c r="AE1015" s="296">
        <v>1</v>
      </c>
      <c r="AF1015" s="296"/>
      <c r="AG1015" s="286">
        <v>46341</v>
      </c>
      <c r="AH1015" s="49">
        <v>46295</v>
      </c>
      <c r="AI1015" s="266">
        <v>46266</v>
      </c>
      <c r="AJ1015" s="150" t="s">
        <v>617</v>
      </c>
      <c r="AK1015" s="150"/>
      <c r="AL1015" s="150"/>
      <c r="AM1015" s="150" t="s">
        <v>2086</v>
      </c>
      <c r="AN1015" s="367"/>
      <c r="AO1015" s="367"/>
      <c r="AP1015" s="367"/>
      <c r="AQ1015" s="367"/>
      <c r="AR1015" s="367"/>
      <c r="AS1015" s="367"/>
      <c r="AT1015" s="367"/>
      <c r="AU1015" s="367"/>
      <c r="AV1015" s="367"/>
      <c r="AW1015" s="367"/>
      <c r="AX1015" s="367"/>
      <c r="AY1015" s="367"/>
      <c r="AZ1015" s="367"/>
      <c r="BA1015" s="367"/>
      <c r="BB1015" s="152"/>
      <c r="BC1015" s="152"/>
      <c r="BD1015" s="367" t="s">
        <v>3124</v>
      </c>
      <c r="BE1015" s="367"/>
      <c r="BF1015" s="367"/>
      <c r="BG1015" s="367"/>
      <c r="BH1015" s="260"/>
      <c r="BL1015" s="54"/>
    </row>
    <row r="1016" spans="1:64" ht="37.950000000000003" customHeight="1" x14ac:dyDescent="0.3">
      <c r="A1016" s="367">
        <f t="shared" si="19"/>
        <v>1011</v>
      </c>
      <c r="B1016" s="54" t="s">
        <v>3158</v>
      </c>
      <c r="C1016" s="367" t="s">
        <v>12</v>
      </c>
      <c r="D1016" s="367" t="s">
        <v>262</v>
      </c>
      <c r="E1016" s="367"/>
      <c r="F1016" s="367"/>
      <c r="G1016" s="367"/>
      <c r="H1016" s="367"/>
      <c r="I1016" s="367" t="s">
        <v>3117</v>
      </c>
      <c r="J1016" s="48" t="s">
        <v>3155</v>
      </c>
      <c r="K1016" s="48" t="s">
        <v>3159</v>
      </c>
      <c r="L1016" s="367"/>
      <c r="M1016" s="150" t="s">
        <v>120</v>
      </c>
      <c r="N1016" s="150" t="s">
        <v>3120</v>
      </c>
      <c r="O1016" s="150" t="s">
        <v>3121</v>
      </c>
      <c r="P1016" s="367">
        <v>6.5</v>
      </c>
      <c r="Q1016" s="367"/>
      <c r="R1016" s="367">
        <v>650</v>
      </c>
      <c r="S1016" s="367"/>
      <c r="T1016" s="367"/>
      <c r="U1016" s="367"/>
      <c r="V1016" s="367"/>
      <c r="W1016" s="367"/>
      <c r="X1016" s="367"/>
      <c r="Y1016" s="367"/>
      <c r="Z1016" s="367"/>
      <c r="AA1016" s="367"/>
      <c r="AB1016" s="150" t="s">
        <v>3160</v>
      </c>
      <c r="AC1016" s="48" t="s">
        <v>3161</v>
      </c>
      <c r="AD1016" s="150" t="s">
        <v>552</v>
      </c>
      <c r="AE1016" s="296">
        <v>1</v>
      </c>
      <c r="AF1016" s="296"/>
      <c r="AG1016" s="286">
        <v>46341</v>
      </c>
      <c r="AH1016" s="49">
        <v>46295</v>
      </c>
      <c r="AI1016" s="266">
        <v>46266</v>
      </c>
      <c r="AJ1016" s="150" t="s">
        <v>617</v>
      </c>
      <c r="AK1016" s="150"/>
      <c r="AL1016" s="150"/>
      <c r="AM1016" s="150" t="s">
        <v>2609</v>
      </c>
      <c r="AN1016" s="367"/>
      <c r="AO1016" s="367"/>
      <c r="AP1016" s="367"/>
      <c r="AQ1016" s="367"/>
      <c r="AR1016" s="367"/>
      <c r="AS1016" s="367"/>
      <c r="AT1016" s="367"/>
      <c r="AU1016" s="367"/>
      <c r="AV1016" s="367"/>
      <c r="AW1016" s="367"/>
      <c r="AX1016" s="367"/>
      <c r="AY1016" s="367"/>
      <c r="AZ1016" s="367"/>
      <c r="BA1016" s="367"/>
      <c r="BB1016" s="152"/>
      <c r="BC1016" s="152"/>
      <c r="BD1016" s="367" t="s">
        <v>3124</v>
      </c>
      <c r="BE1016" s="367"/>
      <c r="BF1016" s="367"/>
      <c r="BG1016" s="367"/>
      <c r="BH1016" s="260"/>
      <c r="BL1016" s="54"/>
    </row>
    <row r="1017" spans="1:64" ht="37.950000000000003" customHeight="1" x14ac:dyDescent="0.3">
      <c r="A1017" s="367">
        <f t="shared" si="19"/>
        <v>1012</v>
      </c>
      <c r="B1017" s="54" t="s">
        <v>3162</v>
      </c>
      <c r="C1017" s="367" t="s">
        <v>12</v>
      </c>
      <c r="D1017" s="367" t="s">
        <v>262</v>
      </c>
      <c r="E1017" s="367"/>
      <c r="F1017" s="367"/>
      <c r="G1017" s="367"/>
      <c r="H1017" s="367"/>
      <c r="I1017" s="367" t="s">
        <v>3117</v>
      </c>
      <c r="J1017" s="48" t="s">
        <v>3155</v>
      </c>
      <c r="K1017" s="48" t="s">
        <v>3159</v>
      </c>
      <c r="L1017" s="367"/>
      <c r="M1017" s="150" t="s">
        <v>120</v>
      </c>
      <c r="N1017" s="150" t="s">
        <v>3120</v>
      </c>
      <c r="O1017" s="150" t="s">
        <v>3121</v>
      </c>
      <c r="P1017" s="367">
        <v>6.5</v>
      </c>
      <c r="Q1017" s="367"/>
      <c r="R1017" s="367">
        <v>650</v>
      </c>
      <c r="S1017" s="367"/>
      <c r="T1017" s="367"/>
      <c r="U1017" s="367"/>
      <c r="V1017" s="367"/>
      <c r="W1017" s="367"/>
      <c r="X1017" s="367"/>
      <c r="Y1017" s="367"/>
      <c r="Z1017" s="367"/>
      <c r="AA1017" s="367"/>
      <c r="AB1017" s="150" t="s">
        <v>215</v>
      </c>
      <c r="AC1017" s="48" t="s">
        <v>3163</v>
      </c>
      <c r="AD1017" s="150" t="s">
        <v>555</v>
      </c>
      <c r="AE1017" s="296">
        <v>1</v>
      </c>
      <c r="AF1017" s="296"/>
      <c r="AG1017" s="286">
        <v>46341</v>
      </c>
      <c r="AH1017" s="49">
        <v>46295</v>
      </c>
      <c r="AI1017" s="266">
        <v>46266</v>
      </c>
      <c r="AJ1017" s="150" t="s">
        <v>617</v>
      </c>
      <c r="AK1017" s="150"/>
      <c r="AL1017" s="150"/>
      <c r="AM1017" s="150" t="s">
        <v>2609</v>
      </c>
      <c r="AN1017" s="367"/>
      <c r="AO1017" s="367"/>
      <c r="AP1017" s="367"/>
      <c r="AQ1017" s="367"/>
      <c r="AR1017" s="367"/>
      <c r="AS1017" s="367"/>
      <c r="AT1017" s="367"/>
      <c r="AU1017" s="367"/>
      <c r="AV1017" s="367"/>
      <c r="AW1017" s="367"/>
      <c r="AX1017" s="367"/>
      <c r="AY1017" s="367"/>
      <c r="AZ1017" s="367"/>
      <c r="BA1017" s="367"/>
      <c r="BB1017" s="152"/>
      <c r="BC1017" s="152"/>
      <c r="BD1017" s="367" t="s">
        <v>3124</v>
      </c>
      <c r="BE1017" s="367"/>
      <c r="BF1017" s="367"/>
      <c r="BG1017" s="367"/>
      <c r="BH1017" s="260"/>
      <c r="BL1017" s="54"/>
    </row>
    <row r="1018" spans="1:64" ht="37.950000000000003" customHeight="1" x14ac:dyDescent="0.3">
      <c r="A1018" s="367">
        <f t="shared" si="19"/>
        <v>1013</v>
      </c>
      <c r="B1018" s="54" t="s">
        <v>3164</v>
      </c>
      <c r="C1018" s="367" t="s">
        <v>12</v>
      </c>
      <c r="D1018" s="367" t="s">
        <v>262</v>
      </c>
      <c r="E1018" s="367"/>
      <c r="F1018" s="367"/>
      <c r="G1018" s="367"/>
      <c r="H1018" s="367"/>
      <c r="I1018" s="367" t="s">
        <v>3117</v>
      </c>
      <c r="J1018" s="48" t="s">
        <v>3155</v>
      </c>
      <c r="K1018" s="48" t="s">
        <v>3165</v>
      </c>
      <c r="L1018" s="367"/>
      <c r="M1018" s="150" t="s">
        <v>120</v>
      </c>
      <c r="N1018" s="150" t="s">
        <v>3120</v>
      </c>
      <c r="O1018" s="150" t="s">
        <v>3121</v>
      </c>
      <c r="P1018" s="367">
        <v>6.5</v>
      </c>
      <c r="Q1018" s="367"/>
      <c r="R1018" s="367">
        <v>650</v>
      </c>
      <c r="S1018" s="367"/>
      <c r="T1018" s="367"/>
      <c r="U1018" s="367" t="s">
        <v>127</v>
      </c>
      <c r="V1018" s="367"/>
      <c r="W1018" s="367"/>
      <c r="X1018" s="367"/>
      <c r="Y1018" s="367"/>
      <c r="Z1018" s="367"/>
      <c r="AA1018" s="367"/>
      <c r="AB1018" s="150" t="s">
        <v>215</v>
      </c>
      <c r="AC1018" s="48" t="s">
        <v>3157</v>
      </c>
      <c r="AD1018" s="150" t="s">
        <v>555</v>
      </c>
      <c r="AE1018" s="296">
        <v>1</v>
      </c>
      <c r="AF1018" s="296"/>
      <c r="AG1018" s="286">
        <v>46341</v>
      </c>
      <c r="AH1018" s="49">
        <v>46295</v>
      </c>
      <c r="AI1018" s="266">
        <v>46266</v>
      </c>
      <c r="AJ1018" s="150" t="s">
        <v>617</v>
      </c>
      <c r="AK1018" s="150"/>
      <c r="AL1018" s="150"/>
      <c r="AM1018" s="150" t="s">
        <v>2609</v>
      </c>
      <c r="AN1018" s="367"/>
      <c r="AO1018" s="367"/>
      <c r="AP1018" s="367"/>
      <c r="AQ1018" s="367"/>
      <c r="AR1018" s="367"/>
      <c r="AS1018" s="367"/>
      <c r="AT1018" s="367"/>
      <c r="AU1018" s="367"/>
      <c r="AV1018" s="367"/>
      <c r="AW1018" s="367"/>
      <c r="AX1018" s="367"/>
      <c r="AY1018" s="367"/>
      <c r="AZ1018" s="367"/>
      <c r="BA1018" s="367"/>
      <c r="BB1018" s="152"/>
      <c r="BC1018" s="152"/>
      <c r="BD1018" s="367" t="s">
        <v>3124</v>
      </c>
      <c r="BE1018" s="367"/>
      <c r="BF1018" s="367"/>
      <c r="BG1018" s="367"/>
      <c r="BH1018" s="260"/>
      <c r="BL1018" s="54"/>
    </row>
    <row r="1019" spans="1:64" ht="37.950000000000003" customHeight="1" x14ac:dyDescent="0.3">
      <c r="A1019" s="367">
        <f t="shared" si="19"/>
        <v>1014</v>
      </c>
      <c r="B1019" s="54" t="s">
        <v>3166</v>
      </c>
      <c r="C1019" s="367" t="s">
        <v>12</v>
      </c>
      <c r="D1019" s="367" t="s">
        <v>262</v>
      </c>
      <c r="E1019" s="367"/>
      <c r="F1019" s="367"/>
      <c r="G1019" s="367"/>
      <c r="H1019" s="367"/>
      <c r="I1019" s="367" t="s">
        <v>3117</v>
      </c>
      <c r="J1019" s="48" t="s">
        <v>3167</v>
      </c>
      <c r="K1019" s="48" t="s">
        <v>3168</v>
      </c>
      <c r="L1019" s="367"/>
      <c r="M1019" s="150" t="s">
        <v>120</v>
      </c>
      <c r="N1019" s="150" t="s">
        <v>3120</v>
      </c>
      <c r="O1019" s="150" t="s">
        <v>3121</v>
      </c>
      <c r="P1019" s="367">
        <v>6.5</v>
      </c>
      <c r="Q1019" s="367"/>
      <c r="R1019" s="367">
        <v>760</v>
      </c>
      <c r="S1019" s="367"/>
      <c r="T1019" s="367"/>
      <c r="U1019" s="367"/>
      <c r="V1019" s="367"/>
      <c r="W1019" s="367"/>
      <c r="X1019" s="367"/>
      <c r="Y1019" s="367"/>
      <c r="Z1019" s="367"/>
      <c r="AA1019" s="367"/>
      <c r="AB1019" s="150" t="s">
        <v>215</v>
      </c>
      <c r="AC1019" s="48" t="s">
        <v>3157</v>
      </c>
      <c r="AD1019" s="150"/>
      <c r="AE1019" s="296"/>
      <c r="AF1019" s="296"/>
      <c r="AG1019" s="286">
        <v>46341</v>
      </c>
      <c r="AH1019" s="49">
        <v>46295</v>
      </c>
      <c r="AI1019" s="266">
        <v>46266</v>
      </c>
      <c r="AJ1019" s="150" t="s">
        <v>617</v>
      </c>
      <c r="AK1019" s="150"/>
      <c r="AL1019" s="150"/>
      <c r="AM1019" s="150" t="s">
        <v>2609</v>
      </c>
      <c r="AN1019" s="367"/>
      <c r="AO1019" s="367"/>
      <c r="AP1019" s="367"/>
      <c r="AQ1019" s="367"/>
      <c r="AR1019" s="367"/>
      <c r="AS1019" s="367"/>
      <c r="AT1019" s="367"/>
      <c r="AU1019" s="367"/>
      <c r="AV1019" s="367"/>
      <c r="AW1019" s="367"/>
      <c r="AX1019" s="367"/>
      <c r="AY1019" s="367"/>
      <c r="AZ1019" s="367"/>
      <c r="BA1019" s="367"/>
      <c r="BB1019" s="152" t="s">
        <v>3134</v>
      </c>
      <c r="BC1019" s="152"/>
      <c r="BD1019" s="367" t="s">
        <v>3124</v>
      </c>
      <c r="BE1019" s="367"/>
      <c r="BF1019" s="367"/>
      <c r="BG1019" s="367"/>
      <c r="BH1019" s="260"/>
      <c r="BL1019" s="54"/>
    </row>
    <row r="1020" spans="1:64" ht="37.950000000000003" customHeight="1" x14ac:dyDescent="0.3">
      <c r="A1020" s="367">
        <f t="shared" si="19"/>
        <v>1015</v>
      </c>
      <c r="B1020" s="54" t="s">
        <v>3169</v>
      </c>
      <c r="C1020" s="367" t="s">
        <v>12</v>
      </c>
      <c r="D1020" s="367" t="s">
        <v>262</v>
      </c>
      <c r="E1020" s="367"/>
      <c r="F1020" s="367"/>
      <c r="G1020" s="367"/>
      <c r="H1020" s="367"/>
      <c r="I1020" s="367" t="s">
        <v>3117</v>
      </c>
      <c r="J1020" s="48" t="s">
        <v>3167</v>
      </c>
      <c r="K1020" s="48" t="s">
        <v>3170</v>
      </c>
      <c r="L1020" s="367"/>
      <c r="M1020" s="150" t="s">
        <v>65</v>
      </c>
      <c r="N1020" s="150" t="s">
        <v>3120</v>
      </c>
      <c r="O1020" s="150" t="s">
        <v>3121</v>
      </c>
      <c r="P1020" s="367">
        <v>6.5</v>
      </c>
      <c r="Q1020" s="367"/>
      <c r="R1020" s="367">
        <v>760</v>
      </c>
      <c r="S1020" s="367"/>
      <c r="T1020" s="367"/>
      <c r="U1020" s="367" t="s">
        <v>127</v>
      </c>
      <c r="V1020" s="367"/>
      <c r="W1020" s="367"/>
      <c r="X1020" s="367"/>
      <c r="Y1020" s="367"/>
      <c r="Z1020" s="367"/>
      <c r="AA1020" s="367"/>
      <c r="AB1020" s="150" t="s">
        <v>215</v>
      </c>
      <c r="AC1020" s="48" t="s">
        <v>3157</v>
      </c>
      <c r="AD1020" s="150"/>
      <c r="AE1020" s="296"/>
      <c r="AF1020" s="296"/>
      <c r="AG1020" s="286">
        <v>46341</v>
      </c>
      <c r="AH1020" s="49">
        <v>46295</v>
      </c>
      <c r="AI1020" s="266">
        <v>46266</v>
      </c>
      <c r="AJ1020" s="150" t="s">
        <v>617</v>
      </c>
      <c r="AK1020" s="150"/>
      <c r="AL1020" s="150"/>
      <c r="AM1020" s="150" t="s">
        <v>2609</v>
      </c>
      <c r="AN1020" s="367"/>
      <c r="AO1020" s="367"/>
      <c r="AP1020" s="367"/>
      <c r="AQ1020" s="367"/>
      <c r="AR1020" s="367"/>
      <c r="AS1020" s="367"/>
      <c r="AT1020" s="367"/>
      <c r="AU1020" s="367"/>
      <c r="AV1020" s="367"/>
      <c r="AW1020" s="367"/>
      <c r="AX1020" s="367"/>
      <c r="AY1020" s="367"/>
      <c r="AZ1020" s="367"/>
      <c r="BA1020" s="367"/>
      <c r="BB1020" s="152" t="s">
        <v>3134</v>
      </c>
      <c r="BC1020" s="152"/>
      <c r="BD1020" s="367" t="s">
        <v>3124</v>
      </c>
      <c r="BE1020" s="367"/>
      <c r="BF1020" s="367"/>
      <c r="BG1020" s="367"/>
      <c r="BH1020" s="260"/>
      <c r="BL1020" s="54"/>
    </row>
    <row r="1021" spans="1:64" ht="37.950000000000003" customHeight="1" x14ac:dyDescent="0.3">
      <c r="A1021" s="367">
        <f t="shared" si="19"/>
        <v>1016</v>
      </c>
      <c r="B1021" s="54" t="s">
        <v>3171</v>
      </c>
      <c r="C1021" s="367" t="s">
        <v>12</v>
      </c>
      <c r="D1021" s="367" t="s">
        <v>262</v>
      </c>
      <c r="E1021" s="367"/>
      <c r="F1021" s="367"/>
      <c r="G1021" s="367"/>
      <c r="H1021" s="367"/>
      <c r="I1021" s="367" t="s">
        <v>3117</v>
      </c>
      <c r="J1021" s="48" t="s">
        <v>3167</v>
      </c>
      <c r="K1021" s="48" t="s">
        <v>3172</v>
      </c>
      <c r="L1021" s="367"/>
      <c r="M1021" s="150" t="s">
        <v>120</v>
      </c>
      <c r="N1021" s="150" t="s">
        <v>3120</v>
      </c>
      <c r="O1021" s="150" t="s">
        <v>3121</v>
      </c>
      <c r="P1021" s="367">
        <v>6.5</v>
      </c>
      <c r="Q1021" s="367"/>
      <c r="R1021" s="367">
        <v>800</v>
      </c>
      <c r="S1021" s="367"/>
      <c r="T1021" s="367"/>
      <c r="U1021" s="367" t="s">
        <v>127</v>
      </c>
      <c r="V1021" s="367" t="s">
        <v>127</v>
      </c>
      <c r="W1021" s="367"/>
      <c r="X1021" s="367"/>
      <c r="Y1021" s="367"/>
      <c r="Z1021" s="367"/>
      <c r="AA1021" s="367"/>
      <c r="AB1021" s="150" t="s">
        <v>215</v>
      </c>
      <c r="AC1021" s="48" t="s">
        <v>3173</v>
      </c>
      <c r="AD1021" s="150"/>
      <c r="AE1021" s="296"/>
      <c r="AF1021" s="296"/>
      <c r="AG1021" s="286">
        <v>46341</v>
      </c>
      <c r="AH1021" s="49">
        <v>46325</v>
      </c>
      <c r="AI1021" s="266">
        <v>46296</v>
      </c>
      <c r="AJ1021" s="150" t="s">
        <v>617</v>
      </c>
      <c r="AK1021" s="150"/>
      <c r="AL1021" s="150"/>
      <c r="AM1021" s="150" t="s">
        <v>2079</v>
      </c>
      <c r="AN1021" s="367"/>
      <c r="AO1021" s="367"/>
      <c r="AP1021" s="367"/>
      <c r="AQ1021" s="367"/>
      <c r="AR1021" s="367"/>
      <c r="AS1021" s="367"/>
      <c r="AT1021" s="367"/>
      <c r="AU1021" s="367"/>
      <c r="AV1021" s="367"/>
      <c r="AW1021" s="367"/>
      <c r="AX1021" s="367"/>
      <c r="AY1021" s="367"/>
      <c r="AZ1021" s="367"/>
      <c r="BA1021" s="367"/>
      <c r="BB1021" s="152" t="s">
        <v>3134</v>
      </c>
      <c r="BC1021" s="152"/>
      <c r="BD1021" s="367" t="s">
        <v>3124</v>
      </c>
      <c r="BE1021" s="367"/>
      <c r="BF1021" s="367"/>
      <c r="BG1021" s="367"/>
      <c r="BH1021" s="260"/>
      <c r="BL1021" s="54"/>
    </row>
    <row r="1022" spans="1:64" ht="37.950000000000003" customHeight="1" x14ac:dyDescent="0.3">
      <c r="A1022" s="367">
        <f t="shared" si="19"/>
        <v>1017</v>
      </c>
      <c r="B1022" s="54" t="s">
        <v>3174</v>
      </c>
      <c r="C1022" s="367" t="s">
        <v>12</v>
      </c>
      <c r="D1022" s="367" t="s">
        <v>262</v>
      </c>
      <c r="E1022" s="367"/>
      <c r="F1022" s="367"/>
      <c r="G1022" s="367"/>
      <c r="H1022" s="367"/>
      <c r="I1022" s="367" t="s">
        <v>3117</v>
      </c>
      <c r="J1022" s="48" t="s">
        <v>3167</v>
      </c>
      <c r="K1022" s="48" t="s">
        <v>3172</v>
      </c>
      <c r="L1022" s="367"/>
      <c r="M1022" s="150" t="s">
        <v>120</v>
      </c>
      <c r="N1022" s="150" t="s">
        <v>3120</v>
      </c>
      <c r="O1022" s="150" t="s">
        <v>3121</v>
      </c>
      <c r="P1022" s="367">
        <v>6.5</v>
      </c>
      <c r="Q1022" s="367"/>
      <c r="R1022" s="367">
        <v>800</v>
      </c>
      <c r="S1022" s="367"/>
      <c r="T1022" s="367"/>
      <c r="U1022" s="367"/>
      <c r="V1022" s="367"/>
      <c r="W1022" s="367"/>
      <c r="X1022" s="367"/>
      <c r="Y1022" s="367"/>
      <c r="Z1022" s="367"/>
      <c r="AA1022" s="367"/>
      <c r="AB1022" s="150" t="s">
        <v>215</v>
      </c>
      <c r="AC1022" s="48" t="s">
        <v>3175</v>
      </c>
      <c r="AD1022" s="150"/>
      <c r="AE1022" s="296"/>
      <c r="AF1022" s="296"/>
      <c r="AG1022" s="286">
        <v>46341</v>
      </c>
      <c r="AH1022" s="49">
        <v>46325</v>
      </c>
      <c r="AI1022" s="266">
        <v>46296</v>
      </c>
      <c r="AJ1022" s="150" t="s">
        <v>617</v>
      </c>
      <c r="AK1022" s="150"/>
      <c r="AL1022" s="150"/>
      <c r="AM1022" s="150" t="s">
        <v>209</v>
      </c>
      <c r="AN1022" s="367"/>
      <c r="AO1022" s="367"/>
      <c r="AP1022" s="367"/>
      <c r="AQ1022" s="367"/>
      <c r="AR1022" s="367"/>
      <c r="AS1022" s="367"/>
      <c r="AT1022" s="367"/>
      <c r="AU1022" s="367"/>
      <c r="AV1022" s="367"/>
      <c r="AW1022" s="367"/>
      <c r="AX1022" s="367"/>
      <c r="AY1022" s="367"/>
      <c r="AZ1022" s="367"/>
      <c r="BA1022" s="367"/>
      <c r="BB1022" s="152" t="s">
        <v>3134</v>
      </c>
      <c r="BC1022" s="152"/>
      <c r="BD1022" s="367" t="s">
        <v>3124</v>
      </c>
      <c r="BE1022" s="367"/>
      <c r="BF1022" s="367"/>
      <c r="BG1022" s="367"/>
      <c r="BH1022" s="260"/>
      <c r="BL1022" s="54"/>
    </row>
    <row r="1023" spans="1:64" ht="37.950000000000003" customHeight="1" x14ac:dyDescent="0.3">
      <c r="A1023" s="367">
        <f t="shared" si="19"/>
        <v>1018</v>
      </c>
      <c r="B1023" s="54" t="s">
        <v>3176</v>
      </c>
      <c r="C1023" s="367" t="s">
        <v>12</v>
      </c>
      <c r="D1023" s="367" t="s">
        <v>262</v>
      </c>
      <c r="E1023" s="367"/>
      <c r="F1023" s="367"/>
      <c r="G1023" s="367"/>
      <c r="H1023" s="367"/>
      <c r="I1023" s="367" t="s">
        <v>3117</v>
      </c>
      <c r="J1023" s="48" t="s">
        <v>3167</v>
      </c>
      <c r="K1023" s="48" t="s">
        <v>3172</v>
      </c>
      <c r="L1023" s="367"/>
      <c r="M1023" s="150" t="s">
        <v>120</v>
      </c>
      <c r="N1023" s="150" t="s">
        <v>3120</v>
      </c>
      <c r="O1023" s="150" t="s">
        <v>3121</v>
      </c>
      <c r="P1023" s="367">
        <v>6.5</v>
      </c>
      <c r="Q1023" s="367"/>
      <c r="R1023" s="367">
        <v>800</v>
      </c>
      <c r="S1023" s="367"/>
      <c r="T1023" s="367"/>
      <c r="U1023" s="367" t="s">
        <v>127</v>
      </c>
      <c r="V1023" s="367"/>
      <c r="W1023" s="367"/>
      <c r="X1023" s="367"/>
      <c r="Y1023" s="367"/>
      <c r="Z1023" s="367"/>
      <c r="AA1023" s="367"/>
      <c r="AB1023" s="150" t="s">
        <v>215</v>
      </c>
      <c r="AC1023" s="48" t="s">
        <v>3177</v>
      </c>
      <c r="AD1023" s="150"/>
      <c r="AE1023" s="296"/>
      <c r="AF1023" s="296"/>
      <c r="AG1023" s="286">
        <v>46341</v>
      </c>
      <c r="AH1023" s="49">
        <v>46325</v>
      </c>
      <c r="AI1023" s="266">
        <v>46296</v>
      </c>
      <c r="AJ1023" s="150" t="s">
        <v>617</v>
      </c>
      <c r="AK1023" s="150"/>
      <c r="AL1023" s="150"/>
      <c r="AM1023" s="150" t="s">
        <v>2079</v>
      </c>
      <c r="AN1023" s="367"/>
      <c r="AO1023" s="367"/>
      <c r="AP1023" s="367"/>
      <c r="AQ1023" s="367"/>
      <c r="AR1023" s="367"/>
      <c r="AS1023" s="367"/>
      <c r="AT1023" s="367"/>
      <c r="AU1023" s="367"/>
      <c r="AV1023" s="367"/>
      <c r="AW1023" s="367"/>
      <c r="AX1023" s="367"/>
      <c r="AY1023" s="367"/>
      <c r="AZ1023" s="367"/>
      <c r="BA1023" s="367"/>
      <c r="BB1023" s="152" t="s">
        <v>3134</v>
      </c>
      <c r="BC1023" s="152"/>
      <c r="BD1023" s="367" t="s">
        <v>3124</v>
      </c>
      <c r="BE1023" s="367"/>
      <c r="BF1023" s="367"/>
      <c r="BG1023" s="367"/>
      <c r="BH1023" s="260"/>
      <c r="BL1023" s="54"/>
    </row>
    <row r="1024" spans="1:64" ht="37.950000000000003" customHeight="1" x14ac:dyDescent="0.3">
      <c r="A1024" s="367">
        <f t="shared" si="19"/>
        <v>1019</v>
      </c>
      <c r="B1024" s="54" t="s">
        <v>3178</v>
      </c>
      <c r="C1024" s="367" t="s">
        <v>12</v>
      </c>
      <c r="D1024" s="367" t="s">
        <v>262</v>
      </c>
      <c r="E1024" s="367"/>
      <c r="F1024" s="367"/>
      <c r="G1024" s="367"/>
      <c r="H1024" s="367"/>
      <c r="I1024" s="367" t="s">
        <v>3117</v>
      </c>
      <c r="J1024" s="48" t="s">
        <v>3167</v>
      </c>
      <c r="K1024" s="48" t="s">
        <v>3179</v>
      </c>
      <c r="L1024" s="367"/>
      <c r="M1024" s="150" t="s">
        <v>65</v>
      </c>
      <c r="N1024" s="150" t="s">
        <v>3120</v>
      </c>
      <c r="O1024" s="150" t="s">
        <v>3121</v>
      </c>
      <c r="P1024" s="367">
        <v>6.5</v>
      </c>
      <c r="Q1024" s="367"/>
      <c r="R1024" s="367">
        <v>680</v>
      </c>
      <c r="S1024" s="367"/>
      <c r="T1024" s="367"/>
      <c r="U1024" s="367" t="s">
        <v>127</v>
      </c>
      <c r="V1024" s="367" t="s">
        <v>127</v>
      </c>
      <c r="W1024" s="367"/>
      <c r="X1024" s="367"/>
      <c r="Y1024" s="367"/>
      <c r="Z1024" s="367"/>
      <c r="AA1024" s="367"/>
      <c r="AB1024" s="150" t="s">
        <v>215</v>
      </c>
      <c r="AC1024" s="48" t="s">
        <v>3173</v>
      </c>
      <c r="AD1024" s="150"/>
      <c r="AE1024" s="296"/>
      <c r="AF1024" s="296"/>
      <c r="AG1024" s="286">
        <v>46341</v>
      </c>
      <c r="AH1024" s="49">
        <v>46325</v>
      </c>
      <c r="AI1024" s="266">
        <v>46296</v>
      </c>
      <c r="AJ1024" s="150" t="s">
        <v>617</v>
      </c>
      <c r="AK1024" s="150"/>
      <c r="AL1024" s="150"/>
      <c r="AM1024" s="150" t="s">
        <v>2079</v>
      </c>
      <c r="AN1024" s="367"/>
      <c r="AO1024" s="367"/>
      <c r="AP1024" s="367"/>
      <c r="AQ1024" s="367"/>
      <c r="AR1024" s="367"/>
      <c r="AS1024" s="367"/>
      <c r="AT1024" s="367"/>
      <c r="AU1024" s="367"/>
      <c r="AV1024" s="367"/>
      <c r="AW1024" s="367"/>
      <c r="AX1024" s="367"/>
      <c r="AY1024" s="367"/>
      <c r="AZ1024" s="367"/>
      <c r="BA1024" s="367"/>
      <c r="BB1024" s="152" t="s">
        <v>3134</v>
      </c>
      <c r="BC1024" s="152"/>
      <c r="BD1024" s="367" t="s">
        <v>3124</v>
      </c>
      <c r="BE1024" s="367"/>
      <c r="BF1024" s="367"/>
      <c r="BG1024" s="367"/>
      <c r="BH1024" s="260"/>
      <c r="BL1024" s="54"/>
    </row>
    <row r="1025" spans="1:64" ht="37.950000000000003" customHeight="1" x14ac:dyDescent="0.3">
      <c r="A1025" s="367">
        <f t="shared" si="19"/>
        <v>1020</v>
      </c>
      <c r="B1025" s="54" t="s">
        <v>3180</v>
      </c>
      <c r="C1025" s="367" t="s">
        <v>12</v>
      </c>
      <c r="D1025" s="367" t="s">
        <v>262</v>
      </c>
      <c r="E1025" s="367"/>
      <c r="F1025" s="367"/>
      <c r="G1025" s="367"/>
      <c r="H1025" s="367"/>
      <c r="I1025" s="367" t="s">
        <v>3117</v>
      </c>
      <c r="J1025" s="48" t="s">
        <v>3167</v>
      </c>
      <c r="K1025" s="48" t="s">
        <v>3179</v>
      </c>
      <c r="L1025" s="367"/>
      <c r="M1025" s="150" t="s">
        <v>65</v>
      </c>
      <c r="N1025" s="150" t="s">
        <v>3120</v>
      </c>
      <c r="O1025" s="150" t="s">
        <v>3121</v>
      </c>
      <c r="P1025" s="367">
        <v>6.5</v>
      </c>
      <c r="Q1025" s="367"/>
      <c r="R1025" s="367">
        <v>635</v>
      </c>
      <c r="S1025" s="367"/>
      <c r="T1025" s="367"/>
      <c r="U1025" s="367"/>
      <c r="V1025" s="367"/>
      <c r="W1025" s="367"/>
      <c r="X1025" s="367"/>
      <c r="Y1025" s="367"/>
      <c r="Z1025" s="367"/>
      <c r="AA1025" s="367"/>
      <c r="AB1025" s="150" t="s">
        <v>215</v>
      </c>
      <c r="AC1025" s="48" t="s">
        <v>3175</v>
      </c>
      <c r="AD1025" s="150"/>
      <c r="AE1025" s="296"/>
      <c r="AF1025" s="296"/>
      <c r="AG1025" s="286">
        <v>46341</v>
      </c>
      <c r="AH1025" s="49">
        <v>46325</v>
      </c>
      <c r="AI1025" s="266">
        <v>46296</v>
      </c>
      <c r="AJ1025" s="150" t="s">
        <v>617</v>
      </c>
      <c r="AK1025" s="150"/>
      <c r="AL1025" s="150"/>
      <c r="AM1025" s="150" t="s">
        <v>2079</v>
      </c>
      <c r="AN1025" s="367"/>
      <c r="AO1025" s="367"/>
      <c r="AP1025" s="367"/>
      <c r="AQ1025" s="367"/>
      <c r="AR1025" s="367"/>
      <c r="AS1025" s="367"/>
      <c r="AT1025" s="367"/>
      <c r="AU1025" s="367"/>
      <c r="AV1025" s="367"/>
      <c r="AW1025" s="367"/>
      <c r="AX1025" s="367"/>
      <c r="AY1025" s="367"/>
      <c r="AZ1025" s="367"/>
      <c r="BA1025" s="367"/>
      <c r="BB1025" s="152" t="s">
        <v>3134</v>
      </c>
      <c r="BC1025" s="152"/>
      <c r="BD1025" s="367" t="s">
        <v>3124</v>
      </c>
      <c r="BE1025" s="367"/>
      <c r="BF1025" s="367"/>
      <c r="BG1025" s="367"/>
      <c r="BH1025" s="260"/>
      <c r="BL1025" s="54"/>
    </row>
    <row r="1026" spans="1:64" ht="37.950000000000003" customHeight="1" x14ac:dyDescent="0.3">
      <c r="A1026" s="367">
        <f t="shared" si="19"/>
        <v>1021</v>
      </c>
      <c r="B1026" s="54" t="s">
        <v>3181</v>
      </c>
      <c r="C1026" s="367" t="s">
        <v>12</v>
      </c>
      <c r="D1026" s="367" t="s">
        <v>262</v>
      </c>
      <c r="E1026" s="367"/>
      <c r="F1026" s="367"/>
      <c r="G1026" s="367"/>
      <c r="H1026" s="367"/>
      <c r="I1026" s="367" t="s">
        <v>3117</v>
      </c>
      <c r="J1026" s="48" t="s">
        <v>3167</v>
      </c>
      <c r="K1026" s="48" t="s">
        <v>3179</v>
      </c>
      <c r="L1026" s="367"/>
      <c r="M1026" s="150" t="s">
        <v>65</v>
      </c>
      <c r="N1026" s="150" t="s">
        <v>3120</v>
      </c>
      <c r="O1026" s="150" t="s">
        <v>3121</v>
      </c>
      <c r="P1026" s="367">
        <v>6.5</v>
      </c>
      <c r="Q1026" s="367"/>
      <c r="R1026" s="367">
        <v>635</v>
      </c>
      <c r="S1026" s="367"/>
      <c r="T1026" s="367"/>
      <c r="U1026" s="367"/>
      <c r="V1026" s="367"/>
      <c r="W1026" s="367"/>
      <c r="X1026" s="367"/>
      <c r="Y1026" s="367"/>
      <c r="Z1026" s="367"/>
      <c r="AA1026" s="367"/>
      <c r="AB1026" s="150" t="s">
        <v>215</v>
      </c>
      <c r="AC1026" s="48" t="s">
        <v>3177</v>
      </c>
      <c r="AD1026" s="150"/>
      <c r="AE1026" s="296"/>
      <c r="AF1026" s="296"/>
      <c r="AG1026" s="286">
        <v>46341</v>
      </c>
      <c r="AH1026" s="49">
        <v>46325</v>
      </c>
      <c r="AI1026" s="266">
        <v>46296</v>
      </c>
      <c r="AJ1026" s="150" t="s">
        <v>617</v>
      </c>
      <c r="AK1026" s="150"/>
      <c r="AL1026" s="150"/>
      <c r="AM1026" s="150" t="s">
        <v>2079</v>
      </c>
      <c r="AN1026" s="367"/>
      <c r="AO1026" s="367"/>
      <c r="AP1026" s="367"/>
      <c r="AQ1026" s="367"/>
      <c r="AR1026" s="367"/>
      <c r="AS1026" s="367"/>
      <c r="AT1026" s="367"/>
      <c r="AU1026" s="367"/>
      <c r="AV1026" s="367"/>
      <c r="AW1026" s="367"/>
      <c r="AX1026" s="367"/>
      <c r="AY1026" s="367"/>
      <c r="AZ1026" s="367"/>
      <c r="BA1026" s="367"/>
      <c r="BB1026" s="152" t="s">
        <v>3134</v>
      </c>
      <c r="BC1026" s="152"/>
      <c r="BD1026" s="367" t="s">
        <v>3124</v>
      </c>
      <c r="BE1026" s="367"/>
      <c r="BF1026" s="367"/>
      <c r="BG1026" s="367"/>
      <c r="BH1026" s="260"/>
      <c r="BL1026" s="54"/>
    </row>
    <row r="1027" spans="1:64" ht="37.950000000000003" customHeight="1" x14ac:dyDescent="0.3">
      <c r="A1027" s="367">
        <f t="shared" si="19"/>
        <v>1022</v>
      </c>
      <c r="B1027" s="54" t="s">
        <v>3182</v>
      </c>
      <c r="C1027" s="367" t="s">
        <v>12</v>
      </c>
      <c r="D1027" s="367" t="s">
        <v>262</v>
      </c>
      <c r="E1027" s="367"/>
      <c r="F1027" s="367"/>
      <c r="G1027" s="367"/>
      <c r="H1027" s="367"/>
      <c r="I1027" s="367" t="s">
        <v>3117</v>
      </c>
      <c r="J1027" s="48" t="s">
        <v>3167</v>
      </c>
      <c r="K1027" s="48" t="s">
        <v>3183</v>
      </c>
      <c r="L1027" s="367"/>
      <c r="M1027" s="150" t="s">
        <v>120</v>
      </c>
      <c r="N1027" s="150" t="s">
        <v>3120</v>
      </c>
      <c r="O1027" s="150" t="s">
        <v>3121</v>
      </c>
      <c r="P1027" s="367">
        <v>6.5</v>
      </c>
      <c r="Q1027" s="367"/>
      <c r="R1027" s="367">
        <v>635</v>
      </c>
      <c r="S1027" s="367"/>
      <c r="T1027" s="367"/>
      <c r="U1027" s="367" t="s">
        <v>127</v>
      </c>
      <c r="V1027" s="367"/>
      <c r="W1027" s="367"/>
      <c r="X1027" s="367"/>
      <c r="Y1027" s="367"/>
      <c r="Z1027" s="367"/>
      <c r="AA1027" s="367"/>
      <c r="AB1027" s="150" t="s">
        <v>215</v>
      </c>
      <c r="AC1027" s="48" t="s">
        <v>3173</v>
      </c>
      <c r="AD1027" s="150"/>
      <c r="AE1027" s="296"/>
      <c r="AF1027" s="296"/>
      <c r="AG1027" s="286">
        <v>46341</v>
      </c>
      <c r="AH1027" s="49">
        <v>46325</v>
      </c>
      <c r="AI1027" s="266">
        <v>46296</v>
      </c>
      <c r="AJ1027" s="150" t="s">
        <v>617</v>
      </c>
      <c r="AK1027" s="150"/>
      <c r="AL1027" s="150"/>
      <c r="AM1027" s="150" t="s">
        <v>209</v>
      </c>
      <c r="AN1027" s="367"/>
      <c r="AO1027" s="367"/>
      <c r="AP1027" s="367"/>
      <c r="AQ1027" s="367"/>
      <c r="AR1027" s="367"/>
      <c r="AS1027" s="367"/>
      <c r="AT1027" s="367"/>
      <c r="AU1027" s="367"/>
      <c r="AV1027" s="367"/>
      <c r="AW1027" s="367"/>
      <c r="AX1027" s="367"/>
      <c r="AY1027" s="367"/>
      <c r="AZ1027" s="367"/>
      <c r="BA1027" s="367"/>
      <c r="BB1027" s="152" t="s">
        <v>3134</v>
      </c>
      <c r="BC1027" s="152"/>
      <c r="BD1027" s="367" t="s">
        <v>3124</v>
      </c>
      <c r="BE1027" s="367"/>
      <c r="BF1027" s="367"/>
      <c r="BG1027" s="367"/>
      <c r="BH1027" s="260"/>
      <c r="BL1027" s="54"/>
    </row>
    <row r="1028" spans="1:64" ht="37.950000000000003" customHeight="1" x14ac:dyDescent="0.3">
      <c r="A1028" s="367">
        <f t="shared" si="19"/>
        <v>1023</v>
      </c>
      <c r="B1028" s="54" t="s">
        <v>3184</v>
      </c>
      <c r="C1028" s="367" t="s">
        <v>12</v>
      </c>
      <c r="D1028" s="367" t="s">
        <v>262</v>
      </c>
      <c r="E1028" s="367"/>
      <c r="F1028" s="367"/>
      <c r="G1028" s="367"/>
      <c r="H1028" s="367"/>
      <c r="I1028" s="367" t="s">
        <v>3117</v>
      </c>
      <c r="J1028" s="48" t="s">
        <v>3167</v>
      </c>
      <c r="K1028" s="48" t="s">
        <v>3183</v>
      </c>
      <c r="L1028" s="367"/>
      <c r="M1028" s="150" t="s">
        <v>120</v>
      </c>
      <c r="N1028" s="150" t="s">
        <v>3120</v>
      </c>
      <c r="O1028" s="150" t="s">
        <v>3121</v>
      </c>
      <c r="P1028" s="367">
        <v>6.5</v>
      </c>
      <c r="Q1028" s="367"/>
      <c r="R1028" s="367">
        <v>635</v>
      </c>
      <c r="S1028" s="367"/>
      <c r="T1028" s="367"/>
      <c r="U1028" s="367"/>
      <c r="V1028" s="367"/>
      <c r="W1028" s="367"/>
      <c r="X1028" s="367"/>
      <c r="Y1028" s="367"/>
      <c r="Z1028" s="367"/>
      <c r="AA1028" s="367"/>
      <c r="AB1028" s="150" t="s">
        <v>215</v>
      </c>
      <c r="AC1028" s="48" t="s">
        <v>3175</v>
      </c>
      <c r="AD1028" s="150"/>
      <c r="AE1028" s="296"/>
      <c r="AF1028" s="296"/>
      <c r="AG1028" s="286">
        <v>46341</v>
      </c>
      <c r="AH1028" s="49">
        <v>46325</v>
      </c>
      <c r="AI1028" s="266">
        <v>46296</v>
      </c>
      <c r="AJ1028" s="150" t="s">
        <v>617</v>
      </c>
      <c r="AK1028" s="150"/>
      <c r="AL1028" s="150"/>
      <c r="AM1028" s="150" t="s">
        <v>209</v>
      </c>
      <c r="AN1028" s="367"/>
      <c r="AO1028" s="367"/>
      <c r="AP1028" s="367"/>
      <c r="AQ1028" s="367"/>
      <c r="AR1028" s="367"/>
      <c r="AS1028" s="367"/>
      <c r="AT1028" s="367"/>
      <c r="AU1028" s="367"/>
      <c r="AV1028" s="367"/>
      <c r="AW1028" s="367"/>
      <c r="AX1028" s="367"/>
      <c r="AY1028" s="367"/>
      <c r="AZ1028" s="367"/>
      <c r="BA1028" s="367"/>
      <c r="BB1028" s="152" t="s">
        <v>3134</v>
      </c>
      <c r="BC1028" s="152"/>
      <c r="BD1028" s="367" t="s">
        <v>3124</v>
      </c>
      <c r="BE1028" s="367"/>
      <c r="BF1028" s="367"/>
      <c r="BG1028" s="367"/>
      <c r="BH1028" s="260"/>
      <c r="BL1028" s="54"/>
    </row>
    <row r="1029" spans="1:64" ht="37.950000000000003" customHeight="1" x14ac:dyDescent="0.3">
      <c r="A1029" s="367">
        <f t="shared" si="19"/>
        <v>1024</v>
      </c>
      <c r="B1029" s="54" t="s">
        <v>3185</v>
      </c>
      <c r="C1029" s="367" t="s">
        <v>12</v>
      </c>
      <c r="D1029" s="367" t="s">
        <v>262</v>
      </c>
      <c r="E1029" s="367"/>
      <c r="F1029" s="367"/>
      <c r="G1029" s="367"/>
      <c r="H1029" s="367"/>
      <c r="I1029" s="367" t="s">
        <v>3117</v>
      </c>
      <c r="J1029" s="48" t="s">
        <v>3167</v>
      </c>
      <c r="K1029" s="48" t="s">
        <v>3183</v>
      </c>
      <c r="L1029" s="367"/>
      <c r="M1029" s="150" t="s">
        <v>120</v>
      </c>
      <c r="N1029" s="150" t="s">
        <v>3120</v>
      </c>
      <c r="O1029" s="150" t="s">
        <v>3121</v>
      </c>
      <c r="P1029" s="367">
        <v>6.5</v>
      </c>
      <c r="Q1029" s="367"/>
      <c r="R1029" s="367">
        <v>635</v>
      </c>
      <c r="S1029" s="367"/>
      <c r="T1029" s="367"/>
      <c r="U1029" s="367" t="s">
        <v>127</v>
      </c>
      <c r="V1029" s="367"/>
      <c r="W1029" s="367"/>
      <c r="X1029" s="367"/>
      <c r="Y1029" s="367"/>
      <c r="Z1029" s="367"/>
      <c r="AA1029" s="367"/>
      <c r="AB1029" s="150" t="s">
        <v>215</v>
      </c>
      <c r="AC1029" s="48" t="s">
        <v>3177</v>
      </c>
      <c r="AD1029" s="150"/>
      <c r="AE1029" s="296"/>
      <c r="AF1029" s="296"/>
      <c r="AG1029" s="286">
        <v>46341</v>
      </c>
      <c r="AH1029" s="49">
        <v>46325</v>
      </c>
      <c r="AI1029" s="266">
        <v>46296</v>
      </c>
      <c r="AJ1029" s="150" t="s">
        <v>617</v>
      </c>
      <c r="AK1029" s="150"/>
      <c r="AL1029" s="150"/>
      <c r="AM1029" s="150" t="s">
        <v>209</v>
      </c>
      <c r="AN1029" s="367"/>
      <c r="AO1029" s="367"/>
      <c r="AP1029" s="367"/>
      <c r="AQ1029" s="367"/>
      <c r="AR1029" s="367"/>
      <c r="AS1029" s="367"/>
      <c r="AT1029" s="367"/>
      <c r="AU1029" s="367"/>
      <c r="AV1029" s="367"/>
      <c r="AW1029" s="367"/>
      <c r="AX1029" s="367"/>
      <c r="AY1029" s="367"/>
      <c r="AZ1029" s="367"/>
      <c r="BA1029" s="367"/>
      <c r="BB1029" s="152" t="s">
        <v>3134</v>
      </c>
      <c r="BC1029" s="152"/>
      <c r="BD1029" s="367" t="s">
        <v>3124</v>
      </c>
      <c r="BE1029" s="367"/>
      <c r="BF1029" s="367"/>
      <c r="BG1029" s="367"/>
      <c r="BH1029" s="260"/>
      <c r="BL1029" s="54"/>
    </row>
    <row r="1030" spans="1:64" ht="37.950000000000003" customHeight="1" x14ac:dyDescent="0.3">
      <c r="A1030" s="367">
        <f t="shared" si="19"/>
        <v>1025</v>
      </c>
      <c r="B1030" s="54" t="s">
        <v>3186</v>
      </c>
      <c r="C1030" s="367" t="s">
        <v>12</v>
      </c>
      <c r="D1030" s="367" t="s">
        <v>262</v>
      </c>
      <c r="E1030" s="367"/>
      <c r="F1030" s="367"/>
      <c r="G1030" s="367"/>
      <c r="H1030" s="367"/>
      <c r="I1030" s="367" t="s">
        <v>3117</v>
      </c>
      <c r="J1030" s="48" t="s">
        <v>3167</v>
      </c>
      <c r="K1030" s="48" t="s">
        <v>3187</v>
      </c>
      <c r="L1030" s="367"/>
      <c r="M1030" s="150" t="s">
        <v>120</v>
      </c>
      <c r="N1030" s="150" t="s">
        <v>3120</v>
      </c>
      <c r="O1030" s="150" t="s">
        <v>3121</v>
      </c>
      <c r="P1030" s="367">
        <v>6.5</v>
      </c>
      <c r="Q1030" s="367"/>
      <c r="R1030" s="367">
        <v>650</v>
      </c>
      <c r="S1030" s="367"/>
      <c r="T1030" s="367"/>
      <c r="U1030" s="367"/>
      <c r="V1030" s="367"/>
      <c r="W1030" s="367"/>
      <c r="X1030" s="367"/>
      <c r="Y1030" s="367"/>
      <c r="Z1030" s="367"/>
      <c r="AA1030" s="367"/>
      <c r="AB1030" s="150" t="s">
        <v>215</v>
      </c>
      <c r="AC1030" s="48" t="s">
        <v>3157</v>
      </c>
      <c r="AD1030" s="150" t="s">
        <v>207</v>
      </c>
      <c r="AE1030" s="296">
        <v>1</v>
      </c>
      <c r="AF1030" s="296"/>
      <c r="AG1030" s="286">
        <v>46341</v>
      </c>
      <c r="AH1030" s="49">
        <v>46325</v>
      </c>
      <c r="AI1030" s="266">
        <v>46296</v>
      </c>
      <c r="AJ1030" s="150" t="s">
        <v>617</v>
      </c>
      <c r="AK1030" s="150"/>
      <c r="AL1030" s="150"/>
      <c r="AM1030" s="150" t="s">
        <v>2079</v>
      </c>
      <c r="AN1030" s="367"/>
      <c r="AO1030" s="367"/>
      <c r="AP1030" s="367"/>
      <c r="AQ1030" s="367"/>
      <c r="AR1030" s="367"/>
      <c r="AS1030" s="367"/>
      <c r="AT1030" s="367"/>
      <c r="AU1030" s="367"/>
      <c r="AV1030" s="367"/>
      <c r="AW1030" s="367"/>
      <c r="AX1030" s="367"/>
      <c r="AY1030" s="367"/>
      <c r="AZ1030" s="367"/>
      <c r="BA1030" s="367"/>
      <c r="BB1030" s="152" t="s">
        <v>3134</v>
      </c>
      <c r="BC1030" s="152"/>
      <c r="BD1030" s="367" t="s">
        <v>3124</v>
      </c>
      <c r="BE1030" s="367"/>
      <c r="BF1030" s="367"/>
      <c r="BG1030" s="367"/>
      <c r="BH1030" s="260"/>
      <c r="BL1030" s="54"/>
    </row>
    <row r="1031" spans="1:64" ht="37.950000000000003" customHeight="1" x14ac:dyDescent="0.3">
      <c r="A1031" s="367">
        <f t="shared" si="19"/>
        <v>1026</v>
      </c>
      <c r="B1031" s="54" t="s">
        <v>3188</v>
      </c>
      <c r="C1031" s="367" t="s">
        <v>12</v>
      </c>
      <c r="D1031" s="367" t="s">
        <v>262</v>
      </c>
      <c r="E1031" s="367"/>
      <c r="F1031" s="367"/>
      <c r="G1031" s="367"/>
      <c r="H1031" s="367"/>
      <c r="I1031" s="367" t="s">
        <v>3117</v>
      </c>
      <c r="J1031" s="48" t="s">
        <v>3189</v>
      </c>
      <c r="K1031" s="48" t="s">
        <v>3190</v>
      </c>
      <c r="L1031" s="367"/>
      <c r="M1031" s="150" t="s">
        <v>65</v>
      </c>
      <c r="N1031" s="150" t="s">
        <v>3120</v>
      </c>
      <c r="O1031" s="150" t="s">
        <v>3121</v>
      </c>
      <c r="P1031" s="367">
        <v>6.5</v>
      </c>
      <c r="Q1031" s="367"/>
      <c r="R1031" s="367">
        <v>650</v>
      </c>
      <c r="S1031" s="367"/>
      <c r="T1031" s="367"/>
      <c r="U1031" s="367" t="s">
        <v>127</v>
      </c>
      <c r="V1031" s="367" t="s">
        <v>127</v>
      </c>
      <c r="W1031" s="367"/>
      <c r="X1031" s="367"/>
      <c r="Y1031" s="367"/>
      <c r="Z1031" s="367"/>
      <c r="AA1031" s="367"/>
      <c r="AB1031" s="150" t="s">
        <v>3160</v>
      </c>
      <c r="AC1031" s="48" t="s">
        <v>3191</v>
      </c>
      <c r="AD1031" s="150" t="s">
        <v>552</v>
      </c>
      <c r="AE1031" s="296">
        <v>1</v>
      </c>
      <c r="AF1031" s="296"/>
      <c r="AG1031" s="286">
        <v>46341</v>
      </c>
      <c r="AH1031" s="49">
        <v>46341</v>
      </c>
      <c r="AI1031" s="266">
        <v>46327</v>
      </c>
      <c r="AJ1031" s="150" t="s">
        <v>617</v>
      </c>
      <c r="AK1031" s="150"/>
      <c r="AL1031" s="150"/>
      <c r="AM1031" s="150" t="s">
        <v>2609</v>
      </c>
      <c r="AN1031" s="367"/>
      <c r="AO1031" s="367"/>
      <c r="AP1031" s="367"/>
      <c r="AQ1031" s="367"/>
      <c r="AR1031" s="367"/>
      <c r="AS1031" s="367"/>
      <c r="AT1031" s="367"/>
      <c r="AU1031" s="367"/>
      <c r="AV1031" s="367"/>
      <c r="AW1031" s="367"/>
      <c r="AX1031" s="367"/>
      <c r="AY1031" s="367"/>
      <c r="AZ1031" s="367"/>
      <c r="BA1031" s="367"/>
      <c r="BB1031" s="152"/>
      <c r="BC1031" s="152"/>
      <c r="BD1031" s="367" t="s">
        <v>3124</v>
      </c>
      <c r="BE1031" s="367"/>
      <c r="BF1031" s="367"/>
      <c r="BG1031" s="367"/>
      <c r="BH1031" s="260"/>
      <c r="BL1031" s="54"/>
    </row>
    <row r="1032" spans="1:64" ht="37.950000000000003" customHeight="1" x14ac:dyDescent="0.3">
      <c r="A1032" s="367">
        <f t="shared" si="19"/>
        <v>1027</v>
      </c>
      <c r="B1032" s="54" t="s">
        <v>3192</v>
      </c>
      <c r="C1032" s="367" t="s">
        <v>12</v>
      </c>
      <c r="D1032" s="367" t="s">
        <v>262</v>
      </c>
      <c r="E1032" s="367"/>
      <c r="F1032" s="367"/>
      <c r="G1032" s="367"/>
      <c r="H1032" s="367"/>
      <c r="I1032" s="367" t="s">
        <v>3117</v>
      </c>
      <c r="J1032" s="48" t="s">
        <v>3189</v>
      </c>
      <c r="K1032" s="48" t="s">
        <v>3190</v>
      </c>
      <c r="L1032" s="367"/>
      <c r="M1032" s="150" t="s">
        <v>65</v>
      </c>
      <c r="N1032" s="150" t="s">
        <v>3120</v>
      </c>
      <c r="O1032" s="150" t="s">
        <v>3121</v>
      </c>
      <c r="P1032" s="367">
        <v>6.5</v>
      </c>
      <c r="Q1032" s="367"/>
      <c r="R1032" s="367">
        <v>650</v>
      </c>
      <c r="S1032" s="367"/>
      <c r="T1032" s="367"/>
      <c r="U1032" s="367" t="s">
        <v>127</v>
      </c>
      <c r="V1032" s="367"/>
      <c r="W1032" s="367"/>
      <c r="X1032" s="367"/>
      <c r="Y1032" s="367"/>
      <c r="Z1032" s="367"/>
      <c r="AA1032" s="367"/>
      <c r="AB1032" s="150" t="s">
        <v>215</v>
      </c>
      <c r="AC1032" s="48" t="s">
        <v>3163</v>
      </c>
      <c r="AD1032" s="150" t="s">
        <v>555</v>
      </c>
      <c r="AE1032" s="296">
        <v>1</v>
      </c>
      <c r="AF1032" s="296"/>
      <c r="AG1032" s="286">
        <v>46341</v>
      </c>
      <c r="AH1032" s="49">
        <v>46341</v>
      </c>
      <c r="AI1032" s="266">
        <v>46327</v>
      </c>
      <c r="AJ1032" s="150" t="s">
        <v>617</v>
      </c>
      <c r="AK1032" s="150"/>
      <c r="AL1032" s="150"/>
      <c r="AM1032" s="150" t="s">
        <v>209</v>
      </c>
      <c r="AN1032" s="367"/>
      <c r="AO1032" s="367"/>
      <c r="AP1032" s="367"/>
      <c r="AQ1032" s="367"/>
      <c r="AR1032" s="367"/>
      <c r="AS1032" s="367"/>
      <c r="AT1032" s="367"/>
      <c r="AU1032" s="367"/>
      <c r="AV1032" s="367"/>
      <c r="AW1032" s="367"/>
      <c r="AX1032" s="367"/>
      <c r="AY1032" s="367"/>
      <c r="AZ1032" s="367"/>
      <c r="BA1032" s="367"/>
      <c r="BB1032" s="152"/>
      <c r="BC1032" s="152"/>
      <c r="BD1032" s="367" t="s">
        <v>3124</v>
      </c>
      <c r="BE1032" s="367"/>
      <c r="BF1032" s="367"/>
      <c r="BG1032" s="367"/>
      <c r="BH1032" s="260"/>
      <c r="BL1032" s="54"/>
    </row>
    <row r="1033" spans="1:64" ht="37.950000000000003" customHeight="1" x14ac:dyDescent="0.3">
      <c r="A1033" s="367">
        <f t="shared" si="19"/>
        <v>1028</v>
      </c>
      <c r="B1033" s="54" t="s">
        <v>3193</v>
      </c>
      <c r="C1033" s="367" t="s">
        <v>12</v>
      </c>
      <c r="D1033" s="367" t="s">
        <v>262</v>
      </c>
      <c r="E1033" s="367"/>
      <c r="F1033" s="367"/>
      <c r="G1033" s="367"/>
      <c r="H1033" s="367"/>
      <c r="I1033" s="367" t="s">
        <v>3117</v>
      </c>
      <c r="J1033" s="48" t="s">
        <v>3194</v>
      </c>
      <c r="K1033" s="48" t="s">
        <v>3195</v>
      </c>
      <c r="L1033" s="367"/>
      <c r="M1033" s="150" t="s">
        <v>120</v>
      </c>
      <c r="N1033" s="150" t="s">
        <v>3120</v>
      </c>
      <c r="O1033" s="150" t="s">
        <v>3121</v>
      </c>
      <c r="P1033" s="367">
        <v>6.5</v>
      </c>
      <c r="Q1033" s="367"/>
      <c r="R1033" s="367">
        <v>650</v>
      </c>
      <c r="S1033" s="367"/>
      <c r="T1033" s="367"/>
      <c r="U1033" s="367" t="s">
        <v>127</v>
      </c>
      <c r="V1033" s="367" t="s">
        <v>127</v>
      </c>
      <c r="W1033" s="367"/>
      <c r="X1033" s="367"/>
      <c r="Y1033" s="367"/>
      <c r="Z1033" s="367"/>
      <c r="AA1033" s="367"/>
      <c r="AB1033" s="150" t="s">
        <v>215</v>
      </c>
      <c r="AC1033" s="48" t="s">
        <v>3191</v>
      </c>
      <c r="AD1033" s="150" t="s">
        <v>552</v>
      </c>
      <c r="AE1033" s="296">
        <v>1</v>
      </c>
      <c r="AF1033" s="296"/>
      <c r="AG1033" s="286">
        <v>46341</v>
      </c>
      <c r="AH1033" s="49">
        <v>46341</v>
      </c>
      <c r="AI1033" s="266">
        <v>46327</v>
      </c>
      <c r="AJ1033" s="150" t="s">
        <v>617</v>
      </c>
      <c r="AK1033" s="150"/>
      <c r="AL1033" s="150"/>
      <c r="AM1033" s="150" t="s">
        <v>209</v>
      </c>
      <c r="AN1033" s="367"/>
      <c r="AO1033" s="367"/>
      <c r="AP1033" s="367"/>
      <c r="AQ1033" s="367"/>
      <c r="AR1033" s="367"/>
      <c r="AS1033" s="367"/>
      <c r="AT1033" s="367"/>
      <c r="AU1033" s="367"/>
      <c r="AV1033" s="367"/>
      <c r="AW1033" s="367"/>
      <c r="AX1033" s="367"/>
      <c r="AY1033" s="367"/>
      <c r="AZ1033" s="367"/>
      <c r="BA1033" s="367"/>
      <c r="BB1033" s="152"/>
      <c r="BC1033" s="152"/>
      <c r="BD1033" s="367" t="s">
        <v>3124</v>
      </c>
      <c r="BE1033" s="367"/>
      <c r="BF1033" s="367"/>
      <c r="BG1033" s="367"/>
      <c r="BH1033" s="260"/>
      <c r="BL1033" s="54"/>
    </row>
    <row r="1034" spans="1:64" ht="37.950000000000003" customHeight="1" x14ac:dyDescent="0.3">
      <c r="A1034" s="367">
        <f t="shared" si="19"/>
        <v>1029</v>
      </c>
      <c r="B1034" s="54" t="s">
        <v>3196</v>
      </c>
      <c r="C1034" s="367" t="s">
        <v>12</v>
      </c>
      <c r="D1034" s="367" t="s">
        <v>262</v>
      </c>
      <c r="E1034" s="367"/>
      <c r="F1034" s="367"/>
      <c r="G1034" s="367"/>
      <c r="H1034" s="367"/>
      <c r="I1034" s="367" t="s">
        <v>3117</v>
      </c>
      <c r="J1034" s="48" t="s">
        <v>3194</v>
      </c>
      <c r="K1034" s="48" t="s">
        <v>3195</v>
      </c>
      <c r="L1034" s="367"/>
      <c r="M1034" s="150" t="s">
        <v>120</v>
      </c>
      <c r="N1034" s="150" t="s">
        <v>3120</v>
      </c>
      <c r="O1034" s="150" t="s">
        <v>3121</v>
      </c>
      <c r="P1034" s="367">
        <v>6.5</v>
      </c>
      <c r="Q1034" s="367"/>
      <c r="R1034" s="367">
        <v>650</v>
      </c>
      <c r="S1034" s="367"/>
      <c r="T1034" s="367"/>
      <c r="U1034" s="367"/>
      <c r="V1034" s="367"/>
      <c r="W1034" s="367"/>
      <c r="X1034" s="367"/>
      <c r="Y1034" s="367"/>
      <c r="Z1034" s="150" t="s">
        <v>3197</v>
      </c>
      <c r="AA1034" s="367"/>
      <c r="AB1034" s="150" t="s">
        <v>215</v>
      </c>
      <c r="AC1034" s="48" t="s">
        <v>3198</v>
      </c>
      <c r="AD1034" s="150" t="s">
        <v>555</v>
      </c>
      <c r="AE1034" s="296">
        <v>1</v>
      </c>
      <c r="AF1034" s="296"/>
      <c r="AG1034" s="286">
        <v>46341</v>
      </c>
      <c r="AH1034" s="49">
        <v>46341</v>
      </c>
      <c r="AI1034" s="266">
        <v>46327</v>
      </c>
      <c r="AJ1034" s="150" t="s">
        <v>617</v>
      </c>
      <c r="AK1034" s="150"/>
      <c r="AL1034" s="150"/>
      <c r="AM1034" s="150" t="s">
        <v>209</v>
      </c>
      <c r="AN1034" s="367"/>
      <c r="AO1034" s="367"/>
      <c r="AP1034" s="367"/>
      <c r="AQ1034" s="367"/>
      <c r="AR1034" s="367"/>
      <c r="AS1034" s="367"/>
      <c r="AT1034" s="367"/>
      <c r="AU1034" s="367"/>
      <c r="AV1034" s="367"/>
      <c r="AW1034" s="367"/>
      <c r="AX1034" s="367"/>
      <c r="AY1034" s="367"/>
      <c r="AZ1034" s="367"/>
      <c r="BA1034" s="367"/>
      <c r="BB1034" s="152"/>
      <c r="BC1034" s="152"/>
      <c r="BD1034" s="367" t="s">
        <v>3124</v>
      </c>
      <c r="BE1034" s="367"/>
      <c r="BF1034" s="367"/>
      <c r="BG1034" s="367"/>
      <c r="BH1034" s="260"/>
      <c r="BL1034" s="54"/>
    </row>
    <row r="1035" spans="1:64" ht="37.950000000000003" customHeight="1" x14ac:dyDescent="0.3">
      <c r="A1035" s="367">
        <f t="shared" si="19"/>
        <v>1030</v>
      </c>
      <c r="B1035" s="54" t="s">
        <v>3199</v>
      </c>
      <c r="C1035" s="367" t="s">
        <v>12</v>
      </c>
      <c r="D1035" s="367" t="s">
        <v>262</v>
      </c>
      <c r="E1035" s="367"/>
      <c r="F1035" s="367"/>
      <c r="G1035" s="367"/>
      <c r="H1035" s="367"/>
      <c r="I1035" s="367" t="s">
        <v>3117</v>
      </c>
      <c r="J1035" s="48" t="s">
        <v>3194</v>
      </c>
      <c r="K1035" s="48" t="s">
        <v>3200</v>
      </c>
      <c r="L1035" s="367"/>
      <c r="M1035" s="150" t="s">
        <v>120</v>
      </c>
      <c r="N1035" s="150" t="s">
        <v>3120</v>
      </c>
      <c r="O1035" s="150" t="s">
        <v>3121</v>
      </c>
      <c r="P1035" s="367">
        <v>6.5</v>
      </c>
      <c r="Q1035" s="367"/>
      <c r="R1035" s="367">
        <v>760</v>
      </c>
      <c r="S1035" s="367"/>
      <c r="T1035" s="367"/>
      <c r="U1035" s="367"/>
      <c r="V1035" s="367"/>
      <c r="W1035" s="367"/>
      <c r="X1035" s="367"/>
      <c r="Y1035" s="367"/>
      <c r="Z1035" s="367"/>
      <c r="AA1035" s="367"/>
      <c r="AB1035" s="150" t="s">
        <v>215</v>
      </c>
      <c r="AC1035" s="48" t="s">
        <v>3201</v>
      </c>
      <c r="AD1035" s="150"/>
      <c r="AE1035" s="296"/>
      <c r="AF1035" s="296"/>
      <c r="AG1035" s="286">
        <v>46341</v>
      </c>
      <c r="AH1035" s="49">
        <v>46341</v>
      </c>
      <c r="AI1035" s="266">
        <v>46327</v>
      </c>
      <c r="AJ1035" s="150" t="s">
        <v>617</v>
      </c>
      <c r="AK1035" s="150"/>
      <c r="AL1035" s="150"/>
      <c r="AM1035" s="150" t="s">
        <v>2609</v>
      </c>
      <c r="AN1035" s="367"/>
      <c r="AO1035" s="367"/>
      <c r="AP1035" s="367"/>
      <c r="AQ1035" s="367"/>
      <c r="AR1035" s="367"/>
      <c r="AS1035" s="367"/>
      <c r="AT1035" s="367"/>
      <c r="AU1035" s="367"/>
      <c r="AV1035" s="367"/>
      <c r="AW1035" s="367"/>
      <c r="AX1035" s="367"/>
      <c r="AY1035" s="367"/>
      <c r="AZ1035" s="367"/>
      <c r="BA1035" s="367"/>
      <c r="BB1035" s="152"/>
      <c r="BC1035" s="152"/>
      <c r="BD1035" s="367" t="s">
        <v>3124</v>
      </c>
      <c r="BE1035" s="367"/>
      <c r="BF1035" s="367"/>
      <c r="BG1035" s="367"/>
      <c r="BH1035" s="260"/>
      <c r="BL1035" s="54"/>
    </row>
    <row r="1036" spans="1:64" ht="37.950000000000003" customHeight="1" x14ac:dyDescent="0.3">
      <c r="A1036" s="367">
        <f t="shared" si="19"/>
        <v>1031</v>
      </c>
      <c r="B1036" s="54" t="s">
        <v>3202</v>
      </c>
      <c r="C1036" s="367" t="s">
        <v>12</v>
      </c>
      <c r="D1036" s="367" t="s">
        <v>262</v>
      </c>
      <c r="E1036" s="367"/>
      <c r="F1036" s="367"/>
      <c r="G1036" s="367"/>
      <c r="H1036" s="367"/>
      <c r="I1036" s="367" t="s">
        <v>3117</v>
      </c>
      <c r="J1036" s="48" t="s">
        <v>3194</v>
      </c>
      <c r="K1036" s="48" t="s">
        <v>3203</v>
      </c>
      <c r="L1036" s="367"/>
      <c r="M1036" s="150" t="s">
        <v>65</v>
      </c>
      <c r="N1036" s="150" t="s">
        <v>3120</v>
      </c>
      <c r="O1036" s="150" t="s">
        <v>3121</v>
      </c>
      <c r="P1036" s="367">
        <v>6.5</v>
      </c>
      <c r="Q1036" s="367"/>
      <c r="R1036" s="367">
        <v>760</v>
      </c>
      <c r="S1036" s="367"/>
      <c r="T1036" s="367"/>
      <c r="U1036" s="367"/>
      <c r="V1036" s="367" t="s">
        <v>127</v>
      </c>
      <c r="W1036" s="367"/>
      <c r="X1036" s="367"/>
      <c r="Y1036" s="367"/>
      <c r="Z1036" s="367"/>
      <c r="AA1036" s="367"/>
      <c r="AB1036" s="150" t="s">
        <v>215</v>
      </c>
      <c r="AC1036" s="48" t="s">
        <v>3204</v>
      </c>
      <c r="AD1036" s="150" t="s">
        <v>199</v>
      </c>
      <c r="AE1036" s="296">
        <v>1</v>
      </c>
      <c r="AF1036" s="296"/>
      <c r="AG1036" s="286">
        <v>46341</v>
      </c>
      <c r="AH1036" s="49">
        <v>46341</v>
      </c>
      <c r="AI1036" s="266">
        <v>46327</v>
      </c>
      <c r="AJ1036" s="150" t="s">
        <v>617</v>
      </c>
      <c r="AK1036" s="150"/>
      <c r="AL1036" s="150"/>
      <c r="AM1036" s="150" t="s">
        <v>2609</v>
      </c>
      <c r="AN1036" s="367"/>
      <c r="AO1036" s="367"/>
      <c r="AP1036" s="367"/>
      <c r="AQ1036" s="367"/>
      <c r="AR1036" s="367"/>
      <c r="AS1036" s="367"/>
      <c r="AT1036" s="367"/>
      <c r="AU1036" s="367"/>
      <c r="AV1036" s="367"/>
      <c r="AW1036" s="367"/>
      <c r="AX1036" s="367"/>
      <c r="AY1036" s="367"/>
      <c r="AZ1036" s="367"/>
      <c r="BA1036" s="367"/>
      <c r="BB1036" s="152"/>
      <c r="BC1036" s="152"/>
      <c r="BD1036" s="367" t="s">
        <v>3124</v>
      </c>
      <c r="BE1036" s="367"/>
      <c r="BF1036" s="367"/>
      <c r="BG1036" s="367"/>
      <c r="BH1036" s="260"/>
      <c r="BL1036" s="54"/>
    </row>
    <row r="1037" spans="1:64" ht="37.950000000000003" customHeight="1" x14ac:dyDescent="0.3">
      <c r="A1037" s="367">
        <f t="shared" si="19"/>
        <v>1032</v>
      </c>
      <c r="B1037" s="54" t="s">
        <v>3205</v>
      </c>
      <c r="C1037" s="367" t="s">
        <v>12</v>
      </c>
      <c r="D1037" s="367" t="s">
        <v>262</v>
      </c>
      <c r="E1037" s="367"/>
      <c r="F1037" s="367"/>
      <c r="G1037" s="367"/>
      <c r="H1037" s="367"/>
      <c r="I1037" s="367" t="s">
        <v>3117</v>
      </c>
      <c r="J1037" s="48" t="s">
        <v>3194</v>
      </c>
      <c r="K1037" s="48" t="s">
        <v>3203</v>
      </c>
      <c r="L1037" s="367"/>
      <c r="M1037" s="150" t="s">
        <v>65</v>
      </c>
      <c r="N1037" s="150" t="s">
        <v>3120</v>
      </c>
      <c r="O1037" s="150" t="s">
        <v>3121</v>
      </c>
      <c r="P1037" s="367">
        <v>6.5</v>
      </c>
      <c r="Q1037" s="367"/>
      <c r="R1037" s="367">
        <v>760</v>
      </c>
      <c r="S1037" s="367"/>
      <c r="T1037" s="367"/>
      <c r="U1037" s="367"/>
      <c r="V1037" s="367"/>
      <c r="W1037" s="367"/>
      <c r="X1037" s="367"/>
      <c r="Y1037" s="367"/>
      <c r="Z1037" s="367"/>
      <c r="AA1037" s="367"/>
      <c r="AB1037" s="150" t="s">
        <v>215</v>
      </c>
      <c r="AC1037" s="48" t="s">
        <v>3157</v>
      </c>
      <c r="AD1037" s="150" t="s">
        <v>207</v>
      </c>
      <c r="AE1037" s="296">
        <v>1</v>
      </c>
      <c r="AF1037" s="296"/>
      <c r="AG1037" s="286">
        <v>46341</v>
      </c>
      <c r="AH1037" s="49">
        <v>46341</v>
      </c>
      <c r="AI1037" s="266">
        <v>46327</v>
      </c>
      <c r="AJ1037" s="150" t="s">
        <v>617</v>
      </c>
      <c r="AK1037" s="150"/>
      <c r="AL1037" s="150"/>
      <c r="AM1037" s="150" t="s">
        <v>2609</v>
      </c>
      <c r="AN1037" s="367"/>
      <c r="AO1037" s="367"/>
      <c r="AP1037" s="367"/>
      <c r="AQ1037" s="367"/>
      <c r="AR1037" s="367"/>
      <c r="AS1037" s="367"/>
      <c r="AT1037" s="367"/>
      <c r="AU1037" s="367"/>
      <c r="AV1037" s="367"/>
      <c r="AW1037" s="367"/>
      <c r="AX1037" s="367"/>
      <c r="AY1037" s="367"/>
      <c r="AZ1037" s="367"/>
      <c r="BA1037" s="367"/>
      <c r="BB1037" s="152"/>
      <c r="BC1037" s="152"/>
      <c r="BD1037" s="367" t="s">
        <v>3124</v>
      </c>
      <c r="BE1037" s="367"/>
      <c r="BF1037" s="367"/>
      <c r="BG1037" s="367"/>
      <c r="BH1037" s="260"/>
      <c r="BL1037" s="54"/>
    </row>
    <row r="1038" spans="1:64" ht="37.950000000000003" customHeight="1" x14ac:dyDescent="0.3">
      <c r="A1038" s="367">
        <f t="shared" si="19"/>
        <v>1033</v>
      </c>
      <c r="B1038" s="54" t="s">
        <v>3206</v>
      </c>
      <c r="C1038" s="367" t="s">
        <v>12</v>
      </c>
      <c r="D1038" s="367" t="s">
        <v>262</v>
      </c>
      <c r="E1038" s="367"/>
      <c r="F1038" s="367"/>
      <c r="G1038" s="367"/>
      <c r="H1038" s="367"/>
      <c r="I1038" s="367" t="s">
        <v>3117</v>
      </c>
      <c r="J1038" s="48" t="s">
        <v>3207</v>
      </c>
      <c r="K1038" s="48" t="s">
        <v>3208</v>
      </c>
      <c r="L1038" s="367"/>
      <c r="M1038" s="150" t="s">
        <v>65</v>
      </c>
      <c r="N1038" s="150" t="s">
        <v>3120</v>
      </c>
      <c r="O1038" s="150" t="s">
        <v>3121</v>
      </c>
      <c r="P1038" s="367">
        <v>6.5</v>
      </c>
      <c r="Q1038" s="367"/>
      <c r="R1038" s="367">
        <v>660</v>
      </c>
      <c r="S1038" s="367"/>
      <c r="T1038" s="367"/>
      <c r="U1038" s="367"/>
      <c r="V1038" s="367" t="s">
        <v>127</v>
      </c>
      <c r="W1038" s="367"/>
      <c r="X1038" s="367"/>
      <c r="Y1038" s="150" t="s">
        <v>3136</v>
      </c>
      <c r="Z1038" s="367"/>
      <c r="AA1038" s="367"/>
      <c r="AB1038" s="150" t="s">
        <v>215</v>
      </c>
      <c r="AC1038" s="48" t="s">
        <v>3209</v>
      </c>
      <c r="AD1038" s="150" t="s">
        <v>3210</v>
      </c>
      <c r="AE1038" s="296">
        <v>1</v>
      </c>
      <c r="AF1038" s="296"/>
      <c r="AG1038" s="286">
        <v>46341</v>
      </c>
      <c r="AH1038" s="49">
        <v>46341</v>
      </c>
      <c r="AI1038" s="266">
        <v>46327</v>
      </c>
      <c r="AJ1038" s="150" t="s">
        <v>617</v>
      </c>
      <c r="AK1038" s="150"/>
      <c r="AL1038" s="150"/>
      <c r="AM1038" s="150" t="s">
        <v>2609</v>
      </c>
      <c r="AN1038" s="367"/>
      <c r="AO1038" s="367"/>
      <c r="AP1038" s="367"/>
      <c r="AQ1038" s="367"/>
      <c r="AR1038" s="367"/>
      <c r="AS1038" s="367"/>
      <c r="AT1038" s="367"/>
      <c r="AU1038" s="367"/>
      <c r="AV1038" s="367"/>
      <c r="AW1038" s="367"/>
      <c r="AX1038" s="367"/>
      <c r="AY1038" s="367"/>
      <c r="AZ1038" s="367"/>
      <c r="BA1038" s="367"/>
      <c r="BB1038" s="152" t="s">
        <v>3134</v>
      </c>
      <c r="BC1038" s="152"/>
      <c r="BD1038" s="367" t="s">
        <v>3124</v>
      </c>
      <c r="BE1038" s="367"/>
      <c r="BF1038" s="367"/>
      <c r="BG1038" s="367"/>
      <c r="BH1038" s="260"/>
      <c r="BL1038" s="54"/>
    </row>
    <row r="1039" spans="1:64" ht="37.950000000000003" customHeight="1" x14ac:dyDescent="0.3">
      <c r="A1039" s="367">
        <f t="shared" si="19"/>
        <v>1034</v>
      </c>
      <c r="B1039" s="54" t="s">
        <v>3211</v>
      </c>
      <c r="C1039" s="367" t="s">
        <v>12</v>
      </c>
      <c r="D1039" s="367" t="s">
        <v>262</v>
      </c>
      <c r="E1039" s="367"/>
      <c r="F1039" s="367"/>
      <c r="G1039" s="367"/>
      <c r="H1039" s="367"/>
      <c r="I1039" s="367" t="s">
        <v>3117</v>
      </c>
      <c r="J1039" s="48" t="s">
        <v>3207</v>
      </c>
      <c r="K1039" s="48" t="s">
        <v>3208</v>
      </c>
      <c r="L1039" s="367"/>
      <c r="M1039" s="150" t="s">
        <v>65</v>
      </c>
      <c r="N1039" s="150" t="s">
        <v>3120</v>
      </c>
      <c r="O1039" s="150" t="s">
        <v>3121</v>
      </c>
      <c r="P1039" s="367">
        <v>6.5</v>
      </c>
      <c r="Q1039" s="367"/>
      <c r="R1039" s="367">
        <v>660</v>
      </c>
      <c r="S1039" s="367"/>
      <c r="T1039" s="367"/>
      <c r="U1039" s="367"/>
      <c r="V1039" s="367"/>
      <c r="W1039" s="367"/>
      <c r="X1039" s="367"/>
      <c r="Y1039" s="367"/>
      <c r="Z1039" s="367"/>
      <c r="AA1039" s="367"/>
      <c r="AB1039" s="150" t="s">
        <v>215</v>
      </c>
      <c r="AC1039" s="48" t="s">
        <v>3127</v>
      </c>
      <c r="AD1039" s="150" t="s">
        <v>1592</v>
      </c>
      <c r="AE1039" s="296">
        <v>1</v>
      </c>
      <c r="AF1039" s="296"/>
      <c r="AG1039" s="286">
        <v>46341</v>
      </c>
      <c r="AH1039" s="49">
        <v>46341</v>
      </c>
      <c r="AI1039" s="266">
        <v>46327</v>
      </c>
      <c r="AJ1039" s="150" t="s">
        <v>617</v>
      </c>
      <c r="AK1039" s="150"/>
      <c r="AL1039" s="150"/>
      <c r="AM1039" s="150" t="s">
        <v>2609</v>
      </c>
      <c r="AN1039" s="367"/>
      <c r="AO1039" s="367"/>
      <c r="AP1039" s="367"/>
      <c r="AQ1039" s="367"/>
      <c r="AR1039" s="367"/>
      <c r="AS1039" s="367"/>
      <c r="AT1039" s="367"/>
      <c r="AU1039" s="367"/>
      <c r="AV1039" s="367"/>
      <c r="AW1039" s="367"/>
      <c r="AX1039" s="367"/>
      <c r="AY1039" s="367"/>
      <c r="AZ1039" s="367"/>
      <c r="BA1039" s="367"/>
      <c r="BB1039" s="152" t="s">
        <v>3134</v>
      </c>
      <c r="BC1039" s="152"/>
      <c r="BD1039" s="367" t="s">
        <v>3124</v>
      </c>
      <c r="BE1039" s="367"/>
      <c r="BF1039" s="367"/>
      <c r="BG1039" s="367"/>
      <c r="BH1039" s="260"/>
      <c r="BL1039" s="54"/>
    </row>
    <row r="1040" spans="1:64" ht="37.950000000000003" customHeight="1" x14ac:dyDescent="0.3">
      <c r="A1040" s="367">
        <f t="shared" si="19"/>
        <v>1035</v>
      </c>
      <c r="B1040" s="54" t="s">
        <v>3212</v>
      </c>
      <c r="C1040" s="367" t="s">
        <v>12</v>
      </c>
      <c r="D1040" s="367" t="s">
        <v>262</v>
      </c>
      <c r="E1040" s="367"/>
      <c r="F1040" s="367"/>
      <c r="G1040" s="367"/>
      <c r="H1040" s="367"/>
      <c r="I1040" s="367" t="s">
        <v>3117</v>
      </c>
      <c r="J1040" s="48" t="s">
        <v>3207</v>
      </c>
      <c r="K1040" s="48" t="s">
        <v>3208</v>
      </c>
      <c r="L1040" s="367"/>
      <c r="M1040" s="150" t="s">
        <v>65</v>
      </c>
      <c r="N1040" s="150" t="s">
        <v>3120</v>
      </c>
      <c r="O1040" s="150" t="s">
        <v>3121</v>
      </c>
      <c r="P1040" s="367">
        <v>6.5</v>
      </c>
      <c r="Q1040" s="367"/>
      <c r="R1040" s="367">
        <v>660</v>
      </c>
      <c r="S1040" s="367"/>
      <c r="T1040" s="367"/>
      <c r="U1040" s="367" t="s">
        <v>127</v>
      </c>
      <c r="V1040" s="367"/>
      <c r="W1040" s="367"/>
      <c r="X1040" s="367"/>
      <c r="Y1040" s="150" t="s">
        <v>3136</v>
      </c>
      <c r="Z1040" s="367"/>
      <c r="AA1040" s="367"/>
      <c r="AB1040" s="150" t="s">
        <v>215</v>
      </c>
      <c r="AC1040" s="48" t="s">
        <v>3209</v>
      </c>
      <c r="AD1040" s="150" t="s">
        <v>3213</v>
      </c>
      <c r="AE1040" s="296">
        <v>1</v>
      </c>
      <c r="AF1040" s="296"/>
      <c r="AG1040" s="286">
        <v>46341</v>
      </c>
      <c r="AH1040" s="49">
        <v>46341</v>
      </c>
      <c r="AI1040" s="266">
        <v>46327</v>
      </c>
      <c r="AJ1040" s="150" t="s">
        <v>617</v>
      </c>
      <c r="AK1040" s="150"/>
      <c r="AL1040" s="150"/>
      <c r="AM1040" s="150" t="s">
        <v>2609</v>
      </c>
      <c r="AN1040" s="367"/>
      <c r="AO1040" s="367"/>
      <c r="AP1040" s="367"/>
      <c r="AQ1040" s="367"/>
      <c r="AR1040" s="367"/>
      <c r="AS1040" s="367"/>
      <c r="AT1040" s="367"/>
      <c r="AU1040" s="367"/>
      <c r="AV1040" s="367"/>
      <c r="AW1040" s="367"/>
      <c r="AX1040" s="367"/>
      <c r="AY1040" s="367"/>
      <c r="AZ1040" s="367"/>
      <c r="BA1040" s="367"/>
      <c r="BB1040" s="152" t="s">
        <v>3134</v>
      </c>
      <c r="BC1040" s="152"/>
      <c r="BD1040" s="367" t="s">
        <v>3124</v>
      </c>
      <c r="BE1040" s="367"/>
      <c r="BF1040" s="367"/>
      <c r="BG1040" s="367"/>
      <c r="BH1040" s="260"/>
      <c r="BL1040" s="54"/>
    </row>
    <row r="1041" spans="1:64" ht="37.950000000000003" customHeight="1" x14ac:dyDescent="0.3">
      <c r="A1041" s="367">
        <f t="shared" si="19"/>
        <v>1036</v>
      </c>
      <c r="B1041" s="54" t="s">
        <v>3214</v>
      </c>
      <c r="C1041" s="367" t="s">
        <v>12</v>
      </c>
      <c r="D1041" s="367" t="s">
        <v>262</v>
      </c>
      <c r="E1041" s="367"/>
      <c r="F1041" s="367"/>
      <c r="G1041" s="367"/>
      <c r="H1041" s="367"/>
      <c r="I1041" s="367" t="s">
        <v>3117</v>
      </c>
      <c r="J1041" s="48" t="s">
        <v>3215</v>
      </c>
      <c r="K1041" s="48" t="s">
        <v>3216</v>
      </c>
      <c r="L1041" s="367"/>
      <c r="M1041" s="150" t="s">
        <v>120</v>
      </c>
      <c r="N1041" s="150" t="s">
        <v>3120</v>
      </c>
      <c r="O1041" s="150" t="s">
        <v>3121</v>
      </c>
      <c r="P1041" s="367">
        <v>6.5</v>
      </c>
      <c r="Q1041" s="367"/>
      <c r="R1041" s="367">
        <v>760</v>
      </c>
      <c r="S1041" s="367"/>
      <c r="T1041" s="367"/>
      <c r="U1041" s="367" t="s">
        <v>127</v>
      </c>
      <c r="V1041" s="367" t="s">
        <v>127</v>
      </c>
      <c r="W1041" s="367"/>
      <c r="X1041" s="367"/>
      <c r="Y1041" s="150" t="s">
        <v>3136</v>
      </c>
      <c r="Z1041" s="367"/>
      <c r="AA1041" s="367"/>
      <c r="AB1041" s="150" t="s">
        <v>215</v>
      </c>
      <c r="AC1041" s="48" t="s">
        <v>3209</v>
      </c>
      <c r="AD1041" s="150" t="s">
        <v>3210</v>
      </c>
      <c r="AE1041" s="296">
        <v>1</v>
      </c>
      <c r="AF1041" s="296"/>
      <c r="AG1041" s="286">
        <v>46341</v>
      </c>
      <c r="AH1041" s="49">
        <v>46341</v>
      </c>
      <c r="AI1041" s="266">
        <v>46327</v>
      </c>
      <c r="AJ1041" s="150" t="s">
        <v>617</v>
      </c>
      <c r="AK1041" s="150"/>
      <c r="AL1041" s="150"/>
      <c r="AM1041" s="150" t="s">
        <v>209</v>
      </c>
      <c r="AN1041" s="367"/>
      <c r="AO1041" s="367"/>
      <c r="AP1041" s="367"/>
      <c r="AQ1041" s="367"/>
      <c r="AR1041" s="367"/>
      <c r="AS1041" s="367"/>
      <c r="AT1041" s="367"/>
      <c r="AU1041" s="367"/>
      <c r="AV1041" s="367"/>
      <c r="AW1041" s="367"/>
      <c r="AX1041" s="367"/>
      <c r="AY1041" s="367"/>
      <c r="AZ1041" s="367"/>
      <c r="BA1041" s="367"/>
      <c r="BB1041" s="152"/>
      <c r="BC1041" s="152"/>
      <c r="BD1041" s="367" t="s">
        <v>3124</v>
      </c>
      <c r="BE1041" s="367"/>
      <c r="BF1041" s="367"/>
      <c r="BG1041" s="367"/>
      <c r="BH1041" s="260"/>
      <c r="BL1041" s="54"/>
    </row>
    <row r="1042" spans="1:64" ht="37.950000000000003" customHeight="1" x14ac:dyDescent="0.3">
      <c r="A1042" s="367">
        <f t="shared" si="19"/>
        <v>1037</v>
      </c>
      <c r="B1042" s="54" t="s">
        <v>3217</v>
      </c>
      <c r="C1042" s="367" t="s">
        <v>12</v>
      </c>
      <c r="D1042" s="367" t="s">
        <v>262</v>
      </c>
      <c r="E1042" s="367"/>
      <c r="F1042" s="367"/>
      <c r="G1042" s="367"/>
      <c r="H1042" s="367"/>
      <c r="I1042" s="367" t="s">
        <v>3117</v>
      </c>
      <c r="J1042" s="48" t="s">
        <v>3215</v>
      </c>
      <c r="K1042" s="48" t="s">
        <v>3216</v>
      </c>
      <c r="L1042" s="367"/>
      <c r="M1042" s="150" t="s">
        <v>120</v>
      </c>
      <c r="N1042" s="367"/>
      <c r="O1042" s="367"/>
      <c r="P1042" s="367"/>
      <c r="Q1042" s="367"/>
      <c r="R1042" s="367"/>
      <c r="S1042" s="367"/>
      <c r="T1042" s="367"/>
      <c r="U1042" s="367"/>
      <c r="V1042" s="367"/>
      <c r="W1042" s="367"/>
      <c r="X1042" s="367"/>
      <c r="Y1042" s="367"/>
      <c r="Z1042" s="367"/>
      <c r="AA1042" s="367"/>
      <c r="AB1042" s="150"/>
      <c r="AC1042" s="48" t="s">
        <v>3218</v>
      </c>
      <c r="AD1042" s="150"/>
      <c r="AE1042" s="296"/>
      <c r="AF1042" s="296"/>
      <c r="AG1042" s="286">
        <v>46341</v>
      </c>
      <c r="AH1042" s="49">
        <v>46341</v>
      </c>
      <c r="AI1042" s="266">
        <v>46327</v>
      </c>
      <c r="AJ1042" s="150" t="s">
        <v>617</v>
      </c>
      <c r="AK1042" s="150"/>
      <c r="AL1042" s="150"/>
      <c r="AM1042" s="150" t="s">
        <v>209</v>
      </c>
      <c r="AN1042" s="367"/>
      <c r="AO1042" s="367"/>
      <c r="AP1042" s="367"/>
      <c r="AQ1042" s="367"/>
      <c r="AR1042" s="367"/>
      <c r="AS1042" s="367"/>
      <c r="AT1042" s="367"/>
      <c r="AU1042" s="367"/>
      <c r="AV1042" s="367"/>
      <c r="AW1042" s="367"/>
      <c r="AX1042" s="367"/>
      <c r="AY1042" s="367"/>
      <c r="AZ1042" s="367"/>
      <c r="BA1042" s="367"/>
      <c r="BB1042" s="152"/>
      <c r="BC1042" s="152"/>
      <c r="BD1042" s="367" t="s">
        <v>3124</v>
      </c>
      <c r="BE1042" s="367"/>
      <c r="BF1042" s="367"/>
      <c r="BG1042" s="367"/>
      <c r="BH1042" s="260"/>
      <c r="BL1042" s="54"/>
    </row>
    <row r="1043" spans="1:64" ht="37.950000000000003" customHeight="1" x14ac:dyDescent="0.3">
      <c r="A1043" s="367">
        <f t="shared" si="19"/>
        <v>1038</v>
      </c>
      <c r="B1043" s="54" t="s">
        <v>3219</v>
      </c>
      <c r="C1043" s="367" t="s">
        <v>12</v>
      </c>
      <c r="D1043" s="367" t="s">
        <v>262</v>
      </c>
      <c r="E1043" s="367"/>
      <c r="F1043" s="367"/>
      <c r="G1043" s="367"/>
      <c r="H1043" s="367"/>
      <c r="I1043" s="367" t="s">
        <v>3117</v>
      </c>
      <c r="J1043" s="48" t="s">
        <v>3215</v>
      </c>
      <c r="K1043" s="48" t="s">
        <v>3220</v>
      </c>
      <c r="L1043" s="367"/>
      <c r="M1043" s="150" t="s">
        <v>65</v>
      </c>
      <c r="N1043" s="150" t="s">
        <v>3120</v>
      </c>
      <c r="O1043" s="150" t="s">
        <v>3121</v>
      </c>
      <c r="P1043" s="367">
        <v>6.5</v>
      </c>
      <c r="Q1043" s="367"/>
      <c r="R1043" s="367">
        <v>760</v>
      </c>
      <c r="S1043" s="367"/>
      <c r="T1043" s="367"/>
      <c r="U1043" s="367" t="s">
        <v>127</v>
      </c>
      <c r="V1043" s="367" t="s">
        <v>127</v>
      </c>
      <c r="W1043" s="367"/>
      <c r="X1043" s="367"/>
      <c r="Y1043" s="150" t="s">
        <v>3136</v>
      </c>
      <c r="Z1043" s="367"/>
      <c r="AA1043" s="367"/>
      <c r="AB1043" s="150" t="s">
        <v>215</v>
      </c>
      <c r="AC1043" s="48" t="s">
        <v>3221</v>
      </c>
      <c r="AD1043" s="150" t="s">
        <v>3210</v>
      </c>
      <c r="AE1043" s="296">
        <v>1</v>
      </c>
      <c r="AF1043" s="296"/>
      <c r="AG1043" s="286">
        <v>46341</v>
      </c>
      <c r="AH1043" s="49">
        <v>46341</v>
      </c>
      <c r="AI1043" s="266">
        <v>46327</v>
      </c>
      <c r="AJ1043" s="150" t="s">
        <v>617</v>
      </c>
      <c r="AK1043" s="150"/>
      <c r="AL1043" s="150"/>
      <c r="AM1043" s="150" t="s">
        <v>209</v>
      </c>
      <c r="AN1043" s="367"/>
      <c r="AO1043" s="367"/>
      <c r="AP1043" s="367"/>
      <c r="AQ1043" s="367"/>
      <c r="AR1043" s="367"/>
      <c r="AS1043" s="367"/>
      <c r="AT1043" s="367"/>
      <c r="AU1043" s="367"/>
      <c r="AV1043" s="367"/>
      <c r="AW1043" s="367"/>
      <c r="AX1043" s="367"/>
      <c r="AY1043" s="367"/>
      <c r="AZ1043" s="367"/>
      <c r="BA1043" s="367"/>
      <c r="BB1043" s="152"/>
      <c r="BC1043" s="152"/>
      <c r="BD1043" s="367" t="s">
        <v>3124</v>
      </c>
      <c r="BE1043" s="367"/>
      <c r="BF1043" s="367"/>
      <c r="BG1043" s="367"/>
      <c r="BH1043" s="260"/>
      <c r="BL1043" s="54"/>
    </row>
    <row r="1044" spans="1:64" ht="37.950000000000003" customHeight="1" x14ac:dyDescent="0.3">
      <c r="A1044" s="367">
        <f t="shared" si="19"/>
        <v>1039</v>
      </c>
      <c r="B1044" s="54" t="s">
        <v>3222</v>
      </c>
      <c r="C1044" s="367" t="s">
        <v>12</v>
      </c>
      <c r="D1044" s="367" t="s">
        <v>262</v>
      </c>
      <c r="E1044" s="367"/>
      <c r="F1044" s="367"/>
      <c r="G1044" s="367"/>
      <c r="H1044" s="367"/>
      <c r="I1044" s="367" t="s">
        <v>3117</v>
      </c>
      <c r="J1044" s="48" t="s">
        <v>3215</v>
      </c>
      <c r="K1044" s="48" t="s">
        <v>3220</v>
      </c>
      <c r="L1044" s="367"/>
      <c r="M1044" s="150" t="s">
        <v>65</v>
      </c>
      <c r="N1044" s="150" t="s">
        <v>3120</v>
      </c>
      <c r="O1044" s="150" t="s">
        <v>3121</v>
      </c>
      <c r="P1044" s="367">
        <v>6.5</v>
      </c>
      <c r="Q1044" s="367"/>
      <c r="R1044" s="367">
        <v>760</v>
      </c>
      <c r="S1044" s="367"/>
      <c r="T1044" s="367"/>
      <c r="U1044" s="367"/>
      <c r="V1044" s="367"/>
      <c r="W1044" s="367"/>
      <c r="X1044" s="367"/>
      <c r="Y1044" s="367"/>
      <c r="Z1044" s="150" t="s">
        <v>3197</v>
      </c>
      <c r="AA1044" s="367"/>
      <c r="AB1044" s="150" t="s">
        <v>215</v>
      </c>
      <c r="AC1044" s="48" t="s">
        <v>3127</v>
      </c>
      <c r="AD1044" s="150"/>
      <c r="AE1044" s="296"/>
      <c r="AF1044" s="296"/>
      <c r="AG1044" s="286">
        <v>46341</v>
      </c>
      <c r="AH1044" s="49">
        <v>46341</v>
      </c>
      <c r="AI1044" s="266">
        <v>46327</v>
      </c>
      <c r="AJ1044" s="150" t="s">
        <v>617</v>
      </c>
      <c r="AK1044" s="150"/>
      <c r="AL1044" s="150"/>
      <c r="AM1044" s="150" t="s">
        <v>209</v>
      </c>
      <c r="AN1044" s="367"/>
      <c r="AO1044" s="367"/>
      <c r="AP1044" s="367"/>
      <c r="AQ1044" s="367"/>
      <c r="AR1044" s="367"/>
      <c r="AS1044" s="367"/>
      <c r="AT1044" s="367"/>
      <c r="AU1044" s="367"/>
      <c r="AV1044" s="367"/>
      <c r="AW1044" s="367"/>
      <c r="AX1044" s="367"/>
      <c r="AY1044" s="367"/>
      <c r="AZ1044" s="367"/>
      <c r="BA1044" s="367"/>
      <c r="BB1044" s="152"/>
      <c r="BC1044" s="152"/>
      <c r="BD1044" s="367" t="s">
        <v>3124</v>
      </c>
      <c r="BE1044" s="367"/>
      <c r="BF1044" s="367"/>
      <c r="BG1044" s="367"/>
      <c r="BH1044" s="260"/>
      <c r="BL1044" s="54"/>
    </row>
    <row r="1045" spans="1:64" ht="37.950000000000003" customHeight="1" x14ac:dyDescent="0.3">
      <c r="A1045" s="367">
        <f t="shared" si="19"/>
        <v>1040</v>
      </c>
      <c r="B1045" s="54" t="s">
        <v>3223</v>
      </c>
      <c r="C1045" s="367" t="s">
        <v>12</v>
      </c>
      <c r="D1045" s="367" t="s">
        <v>262</v>
      </c>
      <c r="E1045" s="367"/>
      <c r="F1045" s="367"/>
      <c r="G1045" s="367"/>
      <c r="H1045" s="367"/>
      <c r="I1045" s="367" t="s">
        <v>3117</v>
      </c>
      <c r="J1045" s="48" t="s">
        <v>3215</v>
      </c>
      <c r="K1045" s="48" t="s">
        <v>3220</v>
      </c>
      <c r="L1045" s="367"/>
      <c r="M1045" s="150" t="s">
        <v>65</v>
      </c>
      <c r="N1045" s="367"/>
      <c r="O1045" s="367"/>
      <c r="P1045" s="367"/>
      <c r="Q1045" s="367"/>
      <c r="R1045" s="367"/>
      <c r="S1045" s="367"/>
      <c r="T1045" s="367"/>
      <c r="U1045" s="367"/>
      <c r="V1045" s="367"/>
      <c r="W1045" s="367"/>
      <c r="X1045" s="367"/>
      <c r="Y1045" s="367"/>
      <c r="Z1045" s="367"/>
      <c r="AA1045" s="367"/>
      <c r="AB1045" s="150"/>
      <c r="AC1045" s="48" t="s">
        <v>3218</v>
      </c>
      <c r="AD1045" s="150"/>
      <c r="AE1045" s="296"/>
      <c r="AF1045" s="296"/>
      <c r="AG1045" s="286">
        <v>46341</v>
      </c>
      <c r="AH1045" s="49">
        <v>46341</v>
      </c>
      <c r="AI1045" s="266">
        <v>46327</v>
      </c>
      <c r="AJ1045" s="150" t="s">
        <v>617</v>
      </c>
      <c r="AK1045" s="150"/>
      <c r="AL1045" s="150"/>
      <c r="AM1045" s="150" t="s">
        <v>209</v>
      </c>
      <c r="AN1045" s="367"/>
      <c r="AO1045" s="367"/>
      <c r="AP1045" s="367"/>
      <c r="AQ1045" s="367"/>
      <c r="AR1045" s="367"/>
      <c r="AS1045" s="367"/>
      <c r="AT1045" s="367"/>
      <c r="AU1045" s="367"/>
      <c r="AV1045" s="367"/>
      <c r="AW1045" s="367"/>
      <c r="AX1045" s="367"/>
      <c r="AY1045" s="367"/>
      <c r="AZ1045" s="367"/>
      <c r="BA1045" s="367"/>
      <c r="BB1045" s="152"/>
      <c r="BC1045" s="152"/>
      <c r="BD1045" s="367" t="s">
        <v>3124</v>
      </c>
      <c r="BE1045" s="367"/>
      <c r="BF1045" s="367"/>
      <c r="BG1045" s="367"/>
      <c r="BH1045" s="260"/>
      <c r="BL1045" s="54"/>
    </row>
    <row r="1046" spans="1:64" ht="37.950000000000003" customHeight="1" x14ac:dyDescent="0.3">
      <c r="A1046" s="367">
        <f t="shared" ref="A1046:A1109" si="20">ROW(B1046)-ROW($B$5)</f>
        <v>1041</v>
      </c>
      <c r="B1046" s="54" t="s">
        <v>3224</v>
      </c>
      <c r="C1046" s="367" t="s">
        <v>12</v>
      </c>
      <c r="D1046" s="367" t="s">
        <v>262</v>
      </c>
      <c r="E1046" s="367"/>
      <c r="F1046" s="367"/>
      <c r="G1046" s="367"/>
      <c r="H1046" s="367"/>
      <c r="I1046" s="367" t="s">
        <v>3117</v>
      </c>
      <c r="J1046" s="48" t="s">
        <v>3215</v>
      </c>
      <c r="K1046" s="48" t="s">
        <v>3200</v>
      </c>
      <c r="L1046" s="367"/>
      <c r="M1046" s="150" t="s">
        <v>120</v>
      </c>
      <c r="N1046" s="367"/>
      <c r="O1046" s="367"/>
      <c r="P1046" s="367"/>
      <c r="Q1046" s="367"/>
      <c r="R1046" s="367"/>
      <c r="S1046" s="367"/>
      <c r="T1046" s="367"/>
      <c r="U1046" s="367"/>
      <c r="V1046" s="367"/>
      <c r="W1046" s="367"/>
      <c r="X1046" s="367"/>
      <c r="Y1046" s="367"/>
      <c r="Z1046" s="367"/>
      <c r="AA1046" s="367"/>
      <c r="AB1046" s="150"/>
      <c r="AC1046" s="48" t="s">
        <v>3225</v>
      </c>
      <c r="AD1046" s="150"/>
      <c r="AE1046" s="296"/>
      <c r="AF1046" s="296"/>
      <c r="AG1046" s="286">
        <v>46341</v>
      </c>
      <c r="AH1046" s="49">
        <v>46341</v>
      </c>
      <c r="AI1046" s="266">
        <v>46327</v>
      </c>
      <c r="AJ1046" s="150" t="s">
        <v>617</v>
      </c>
      <c r="AK1046" s="150"/>
      <c r="AL1046" s="150"/>
      <c r="AM1046" s="150" t="s">
        <v>209</v>
      </c>
      <c r="AN1046" s="367"/>
      <c r="AO1046" s="367"/>
      <c r="AP1046" s="367"/>
      <c r="AQ1046" s="367"/>
      <c r="AR1046" s="367"/>
      <c r="AS1046" s="367"/>
      <c r="AT1046" s="367"/>
      <c r="AU1046" s="367"/>
      <c r="AV1046" s="367"/>
      <c r="AW1046" s="367"/>
      <c r="AX1046" s="367"/>
      <c r="AY1046" s="367"/>
      <c r="AZ1046" s="367"/>
      <c r="BA1046" s="367"/>
      <c r="BB1046" s="152"/>
      <c r="BC1046" s="152"/>
      <c r="BD1046" s="367" t="s">
        <v>3124</v>
      </c>
      <c r="BE1046" s="367"/>
      <c r="BF1046" s="367"/>
      <c r="BG1046" s="367"/>
      <c r="BH1046" s="260"/>
      <c r="BL1046" s="54"/>
    </row>
    <row r="1047" spans="1:64" ht="37.950000000000003" customHeight="1" x14ac:dyDescent="0.3">
      <c r="A1047" s="367">
        <f t="shared" si="20"/>
        <v>1042</v>
      </c>
      <c r="B1047" s="54"/>
      <c r="C1047" s="367"/>
      <c r="D1047" s="367"/>
      <c r="E1047" s="367"/>
      <c r="F1047" s="367"/>
      <c r="G1047" s="367"/>
      <c r="H1047" s="367"/>
      <c r="I1047" s="367"/>
      <c r="J1047" s="54"/>
      <c r="K1047" s="48"/>
      <c r="L1047" s="367"/>
      <c r="M1047" s="150"/>
      <c r="N1047" s="367"/>
      <c r="O1047" s="367"/>
      <c r="P1047" s="367"/>
      <c r="Q1047" s="367"/>
      <c r="R1047" s="367"/>
      <c r="S1047" s="367"/>
      <c r="T1047" s="367"/>
      <c r="U1047" s="367"/>
      <c r="V1047" s="367"/>
      <c r="W1047" s="367"/>
      <c r="X1047" s="367"/>
      <c r="Y1047" s="367"/>
      <c r="Z1047" s="367"/>
      <c r="AA1047" s="367"/>
      <c r="AB1047" s="150"/>
      <c r="AC1047" s="48"/>
      <c r="AD1047" s="150"/>
      <c r="AE1047" s="296"/>
      <c r="AF1047" s="296"/>
      <c r="AG1047" s="286"/>
      <c r="AH1047" s="49"/>
      <c r="AI1047" s="266"/>
      <c r="AJ1047" s="150"/>
      <c r="AK1047" s="150"/>
      <c r="AL1047" s="150"/>
      <c r="AM1047" s="150"/>
      <c r="AN1047" s="367"/>
      <c r="AO1047" s="367"/>
      <c r="AP1047" s="367"/>
      <c r="AQ1047" s="367"/>
      <c r="AR1047" s="367"/>
      <c r="AS1047" s="367"/>
      <c r="AT1047" s="367"/>
      <c r="AU1047" s="367"/>
      <c r="AV1047" s="367"/>
      <c r="AW1047" s="367"/>
      <c r="AX1047" s="367"/>
      <c r="AY1047" s="367"/>
      <c r="AZ1047" s="367"/>
      <c r="BA1047" s="367"/>
      <c r="BB1047" s="152"/>
      <c r="BC1047" s="152"/>
      <c r="BD1047" s="367"/>
      <c r="BE1047" s="367"/>
      <c r="BF1047" s="367"/>
      <c r="BG1047" s="367"/>
      <c r="BH1047" s="260"/>
      <c r="BL1047" s="54"/>
    </row>
    <row r="1048" spans="1:64" ht="37.950000000000003" customHeight="1" x14ac:dyDescent="0.3">
      <c r="A1048" s="367">
        <f t="shared" si="20"/>
        <v>1043</v>
      </c>
      <c r="B1048" s="54" t="s">
        <v>3226</v>
      </c>
      <c r="C1048" s="367" t="s">
        <v>3227</v>
      </c>
      <c r="D1048" s="367" t="s">
        <v>262</v>
      </c>
      <c r="E1048" s="367"/>
      <c r="F1048" s="367"/>
      <c r="G1048" s="367"/>
      <c r="H1048" s="367"/>
      <c r="I1048" s="150" t="s">
        <v>3228</v>
      </c>
      <c r="J1048" s="48" t="s">
        <v>3229</v>
      </c>
      <c r="K1048" s="48" t="s">
        <v>3230</v>
      </c>
      <c r="L1048" s="367" t="s">
        <v>3231</v>
      </c>
      <c r="M1048" s="150" t="s">
        <v>120</v>
      </c>
      <c r="N1048" s="150" t="s">
        <v>3232</v>
      </c>
      <c r="O1048" s="150" t="s">
        <v>3233</v>
      </c>
      <c r="P1048" s="367">
        <v>1</v>
      </c>
      <c r="Q1048" s="367" t="s">
        <v>3234</v>
      </c>
      <c r="R1048" s="367"/>
      <c r="S1048" s="367"/>
      <c r="T1048" s="367" t="s">
        <v>3235</v>
      </c>
      <c r="U1048" s="367"/>
      <c r="V1048" s="367" t="s">
        <v>127</v>
      </c>
      <c r="W1048" s="367"/>
      <c r="X1048" s="367" t="s">
        <v>3236</v>
      </c>
      <c r="Y1048" s="367" t="s">
        <v>127</v>
      </c>
      <c r="Z1048" s="367"/>
      <c r="AA1048" s="367" t="s">
        <v>127</v>
      </c>
      <c r="AB1048" s="150" t="s">
        <v>215</v>
      </c>
      <c r="AC1048" s="48" t="s">
        <v>3237</v>
      </c>
      <c r="AD1048" s="150" t="s">
        <v>2415</v>
      </c>
      <c r="AE1048" s="296"/>
      <c r="AF1048" s="296"/>
      <c r="AG1048" s="286">
        <v>46508</v>
      </c>
      <c r="AH1048" s="49">
        <v>46471</v>
      </c>
      <c r="AI1048" s="266">
        <v>46419</v>
      </c>
      <c r="AJ1048" s="150" t="s">
        <v>617</v>
      </c>
      <c r="AK1048" s="150"/>
      <c r="AL1048" s="150"/>
      <c r="AM1048" s="150"/>
      <c r="AN1048" s="367"/>
      <c r="AO1048" s="367"/>
      <c r="AP1048" s="367"/>
      <c r="AQ1048" s="367"/>
      <c r="AR1048" s="367"/>
      <c r="AS1048" s="367"/>
      <c r="AT1048" s="367"/>
      <c r="AU1048" s="367"/>
      <c r="AV1048" s="367"/>
      <c r="AW1048" s="367"/>
      <c r="AX1048" s="367"/>
      <c r="AY1048" s="367"/>
      <c r="AZ1048" s="367"/>
      <c r="BA1048" s="367"/>
      <c r="BB1048" s="152" t="s">
        <v>3238</v>
      </c>
      <c r="BC1048" s="152"/>
      <c r="BD1048" s="367" t="s">
        <v>816</v>
      </c>
      <c r="BE1048" s="367"/>
      <c r="BF1048" s="367"/>
      <c r="BG1048" s="367"/>
      <c r="BH1048" s="260"/>
      <c r="BL1048" s="54"/>
    </row>
    <row r="1049" spans="1:64" ht="37.950000000000003" customHeight="1" x14ac:dyDescent="0.3">
      <c r="A1049" s="367">
        <f t="shared" si="20"/>
        <v>1044</v>
      </c>
      <c r="B1049" s="54" t="s">
        <v>3239</v>
      </c>
      <c r="C1049" s="367" t="s">
        <v>3227</v>
      </c>
      <c r="D1049" s="367" t="s">
        <v>262</v>
      </c>
      <c r="E1049" s="367"/>
      <c r="F1049" s="367"/>
      <c r="G1049" s="367"/>
      <c r="H1049" s="367"/>
      <c r="I1049" s="150" t="s">
        <v>3228</v>
      </c>
      <c r="J1049" s="48" t="s">
        <v>3229</v>
      </c>
      <c r="K1049" s="48" t="s">
        <v>3230</v>
      </c>
      <c r="L1049" s="367" t="s">
        <v>3231</v>
      </c>
      <c r="M1049" s="150" t="s">
        <v>120</v>
      </c>
      <c r="N1049" s="150" t="s">
        <v>3232</v>
      </c>
      <c r="O1049" s="150" t="s">
        <v>3233</v>
      </c>
      <c r="P1049" s="367">
        <v>1</v>
      </c>
      <c r="Q1049" s="367" t="s">
        <v>3234</v>
      </c>
      <c r="R1049" s="367"/>
      <c r="S1049" s="367"/>
      <c r="T1049" s="367" t="s">
        <v>3235</v>
      </c>
      <c r="U1049" s="367"/>
      <c r="V1049" s="367"/>
      <c r="W1049" s="367"/>
      <c r="X1049" s="367"/>
      <c r="Y1049" s="367"/>
      <c r="Z1049" s="367"/>
      <c r="AA1049" s="367"/>
      <c r="AB1049" s="150"/>
      <c r="AC1049" s="48" t="s">
        <v>3240</v>
      </c>
      <c r="AD1049" s="150" t="s">
        <v>169</v>
      </c>
      <c r="AE1049" s="296"/>
      <c r="AF1049" s="296"/>
      <c r="AG1049" s="286">
        <v>46508</v>
      </c>
      <c r="AH1049" s="49">
        <v>46471</v>
      </c>
      <c r="AI1049" s="266">
        <v>46447</v>
      </c>
      <c r="AJ1049" s="150" t="s">
        <v>617</v>
      </c>
      <c r="AK1049" s="150"/>
      <c r="AL1049" s="150"/>
      <c r="AM1049" s="150"/>
      <c r="AN1049" s="367"/>
      <c r="AO1049" s="367"/>
      <c r="AP1049" s="367"/>
      <c r="AQ1049" s="367"/>
      <c r="AR1049" s="367"/>
      <c r="AS1049" s="367"/>
      <c r="AT1049" s="367"/>
      <c r="AU1049" s="367"/>
      <c r="AV1049" s="367"/>
      <c r="AW1049" s="367"/>
      <c r="AX1049" s="367"/>
      <c r="AY1049" s="367"/>
      <c r="AZ1049" s="367"/>
      <c r="BA1049" s="367"/>
      <c r="BB1049" s="152"/>
      <c r="BC1049" s="152"/>
      <c r="BD1049" s="367" t="s">
        <v>816</v>
      </c>
      <c r="BE1049" s="367"/>
      <c r="BF1049" s="367"/>
      <c r="BG1049" s="367"/>
      <c r="BH1049" s="260"/>
      <c r="BL1049" s="54"/>
    </row>
    <row r="1050" spans="1:64" ht="37.950000000000003" customHeight="1" x14ac:dyDescent="0.3">
      <c r="A1050" s="367">
        <f t="shared" si="20"/>
        <v>1045</v>
      </c>
      <c r="B1050" s="54" t="s">
        <v>3241</v>
      </c>
      <c r="C1050" s="367" t="s">
        <v>3227</v>
      </c>
      <c r="D1050" s="367" t="s">
        <v>262</v>
      </c>
      <c r="E1050" s="367"/>
      <c r="F1050" s="367"/>
      <c r="G1050" s="367"/>
      <c r="H1050" s="367"/>
      <c r="I1050" s="150" t="s">
        <v>3228</v>
      </c>
      <c r="J1050" s="48" t="s">
        <v>3229</v>
      </c>
      <c r="K1050" s="48" t="s">
        <v>3242</v>
      </c>
      <c r="L1050" s="367" t="s">
        <v>3243</v>
      </c>
      <c r="M1050" s="150" t="s">
        <v>65</v>
      </c>
      <c r="N1050" s="150" t="s">
        <v>3232</v>
      </c>
      <c r="O1050" s="150" t="s">
        <v>3233</v>
      </c>
      <c r="P1050" s="367">
        <v>1</v>
      </c>
      <c r="Q1050" s="367" t="s">
        <v>3234</v>
      </c>
      <c r="R1050" s="367"/>
      <c r="S1050" s="367"/>
      <c r="T1050" s="367" t="s">
        <v>3235</v>
      </c>
      <c r="U1050" s="367"/>
      <c r="V1050" s="367"/>
      <c r="W1050" s="367"/>
      <c r="X1050" s="367"/>
      <c r="Y1050" s="367"/>
      <c r="Z1050" s="367" t="s">
        <v>127</v>
      </c>
      <c r="AA1050" s="367"/>
      <c r="AB1050" s="150"/>
      <c r="AC1050" s="48" t="s">
        <v>3244</v>
      </c>
      <c r="AD1050" s="150" t="s">
        <v>169</v>
      </c>
      <c r="AE1050" s="296"/>
      <c r="AF1050" s="296"/>
      <c r="AG1050" s="286">
        <v>46508</v>
      </c>
      <c r="AH1050" s="49">
        <v>46471</v>
      </c>
      <c r="AI1050" s="266">
        <v>46447</v>
      </c>
      <c r="AJ1050" s="150" t="s">
        <v>617</v>
      </c>
      <c r="AK1050" s="150"/>
      <c r="AL1050" s="150"/>
      <c r="AM1050" s="150"/>
      <c r="AN1050" s="367"/>
      <c r="AO1050" s="367"/>
      <c r="AP1050" s="367"/>
      <c r="AQ1050" s="367"/>
      <c r="AR1050" s="367"/>
      <c r="AS1050" s="367"/>
      <c r="AT1050" s="367"/>
      <c r="AU1050" s="367"/>
      <c r="AV1050" s="367"/>
      <c r="AW1050" s="367"/>
      <c r="AX1050" s="367"/>
      <c r="AY1050" s="367"/>
      <c r="AZ1050" s="367"/>
      <c r="BA1050" s="367"/>
      <c r="BB1050" s="152"/>
      <c r="BC1050" s="152"/>
      <c r="BD1050" s="367" t="s">
        <v>816</v>
      </c>
      <c r="BE1050" s="367"/>
      <c r="BF1050" s="367"/>
      <c r="BG1050" s="367"/>
      <c r="BH1050" s="260"/>
      <c r="BL1050" s="54"/>
    </row>
    <row r="1051" spans="1:64" ht="37.950000000000003" customHeight="1" x14ac:dyDescent="0.3">
      <c r="A1051" s="367">
        <f t="shared" si="20"/>
        <v>1046</v>
      </c>
      <c r="B1051" s="54" t="s">
        <v>3245</v>
      </c>
      <c r="C1051" s="367" t="s">
        <v>3227</v>
      </c>
      <c r="D1051" s="367" t="s">
        <v>262</v>
      </c>
      <c r="E1051" s="367"/>
      <c r="F1051" s="367"/>
      <c r="G1051" s="367"/>
      <c r="H1051" s="367"/>
      <c r="I1051" s="150" t="s">
        <v>3228</v>
      </c>
      <c r="J1051" s="48" t="s">
        <v>3229</v>
      </c>
      <c r="K1051" s="48" t="s">
        <v>3242</v>
      </c>
      <c r="L1051" s="367" t="s">
        <v>3243</v>
      </c>
      <c r="M1051" s="150" t="s">
        <v>65</v>
      </c>
      <c r="N1051" s="150" t="s">
        <v>3232</v>
      </c>
      <c r="O1051" s="150" t="s">
        <v>3233</v>
      </c>
      <c r="P1051" s="367">
        <v>1</v>
      </c>
      <c r="Q1051" s="367" t="s">
        <v>3234</v>
      </c>
      <c r="R1051" s="367"/>
      <c r="S1051" s="367"/>
      <c r="T1051" s="367" t="s">
        <v>3235</v>
      </c>
      <c r="U1051" s="367"/>
      <c r="V1051" s="367"/>
      <c r="W1051" s="367"/>
      <c r="X1051" s="367"/>
      <c r="Y1051" s="367"/>
      <c r="Z1051" s="367" t="s">
        <v>127</v>
      </c>
      <c r="AA1051" s="367"/>
      <c r="AB1051" s="150"/>
      <c r="AC1051" s="48" t="s">
        <v>3244</v>
      </c>
      <c r="AD1051" s="150" t="s">
        <v>169</v>
      </c>
      <c r="AE1051" s="296"/>
      <c r="AF1051" s="296"/>
      <c r="AG1051" s="286">
        <v>46508</v>
      </c>
      <c r="AH1051" s="49">
        <v>46471</v>
      </c>
      <c r="AI1051" s="266">
        <v>46447</v>
      </c>
      <c r="AJ1051" s="150" t="s">
        <v>617</v>
      </c>
      <c r="AK1051" s="150"/>
      <c r="AL1051" s="150"/>
      <c r="AM1051" s="150"/>
      <c r="AN1051" s="367"/>
      <c r="AO1051" s="367"/>
      <c r="AP1051" s="367"/>
      <c r="AQ1051" s="367"/>
      <c r="AR1051" s="367"/>
      <c r="AS1051" s="367"/>
      <c r="AT1051" s="367"/>
      <c r="AU1051" s="367"/>
      <c r="AV1051" s="367"/>
      <c r="AW1051" s="367"/>
      <c r="AX1051" s="367"/>
      <c r="AY1051" s="367"/>
      <c r="AZ1051" s="367"/>
      <c r="BA1051" s="367"/>
      <c r="BB1051" s="152"/>
      <c r="BC1051" s="152"/>
      <c r="BD1051" s="367" t="s">
        <v>816</v>
      </c>
      <c r="BE1051" s="367"/>
      <c r="BF1051" s="367"/>
      <c r="BG1051" s="367"/>
      <c r="BH1051" s="260"/>
      <c r="BL1051" s="54"/>
    </row>
    <row r="1052" spans="1:64" ht="37.950000000000003" customHeight="1" x14ac:dyDescent="0.3">
      <c r="A1052" s="367">
        <f t="shared" si="20"/>
        <v>1047</v>
      </c>
      <c r="B1052" s="54" t="s">
        <v>3246</v>
      </c>
      <c r="C1052" s="367" t="s">
        <v>3227</v>
      </c>
      <c r="D1052" s="367" t="s">
        <v>262</v>
      </c>
      <c r="E1052" s="367"/>
      <c r="F1052" s="367"/>
      <c r="G1052" s="367"/>
      <c r="H1052" s="367"/>
      <c r="I1052" s="150" t="s">
        <v>3228</v>
      </c>
      <c r="J1052" s="48" t="s">
        <v>3229</v>
      </c>
      <c r="K1052" s="48" t="s">
        <v>3242</v>
      </c>
      <c r="L1052" s="367" t="s">
        <v>3243</v>
      </c>
      <c r="M1052" s="150" t="s">
        <v>65</v>
      </c>
      <c r="N1052" s="150" t="s">
        <v>3232</v>
      </c>
      <c r="O1052" s="150" t="s">
        <v>3233</v>
      </c>
      <c r="P1052" s="367">
        <v>1</v>
      </c>
      <c r="Q1052" s="367" t="s">
        <v>3234</v>
      </c>
      <c r="R1052" s="367"/>
      <c r="S1052" s="367"/>
      <c r="T1052" s="367" t="s">
        <v>3235</v>
      </c>
      <c r="U1052" s="367"/>
      <c r="V1052" s="367"/>
      <c r="W1052" s="367"/>
      <c r="X1052" s="367"/>
      <c r="Y1052" s="367"/>
      <c r="Z1052" s="367" t="s">
        <v>127</v>
      </c>
      <c r="AA1052" s="367"/>
      <c r="AB1052" s="150"/>
      <c r="AC1052" s="48" t="s">
        <v>3247</v>
      </c>
      <c r="AD1052" s="150" t="s">
        <v>238</v>
      </c>
      <c r="AE1052" s="296"/>
      <c r="AF1052" s="296"/>
      <c r="AG1052" s="286">
        <v>46508</v>
      </c>
      <c r="AH1052" s="49">
        <v>46471</v>
      </c>
      <c r="AI1052" s="266">
        <v>46447</v>
      </c>
      <c r="AJ1052" s="150" t="s">
        <v>617</v>
      </c>
      <c r="AK1052" s="150"/>
      <c r="AL1052" s="150"/>
      <c r="AM1052" s="150"/>
      <c r="AN1052" s="367"/>
      <c r="AO1052" s="367"/>
      <c r="AP1052" s="367"/>
      <c r="AQ1052" s="367"/>
      <c r="AR1052" s="367"/>
      <c r="AS1052" s="367"/>
      <c r="AT1052" s="367"/>
      <c r="AU1052" s="367"/>
      <c r="AV1052" s="367"/>
      <c r="AW1052" s="367"/>
      <c r="AX1052" s="367"/>
      <c r="AY1052" s="367"/>
      <c r="AZ1052" s="367"/>
      <c r="BA1052" s="367"/>
      <c r="BB1052" s="152"/>
      <c r="BC1052" s="152"/>
      <c r="BD1052" s="367" t="s">
        <v>816</v>
      </c>
      <c r="BE1052" s="367"/>
      <c r="BF1052" s="367"/>
      <c r="BG1052" s="367"/>
      <c r="BH1052" s="260"/>
      <c r="BL1052" s="54"/>
    </row>
    <row r="1053" spans="1:64" ht="37.950000000000003" customHeight="1" x14ac:dyDescent="0.3">
      <c r="A1053" s="367">
        <f t="shared" si="20"/>
        <v>1048</v>
      </c>
      <c r="B1053" s="54" t="s">
        <v>3248</v>
      </c>
      <c r="C1053" s="367" t="s">
        <v>3227</v>
      </c>
      <c r="D1053" s="367" t="s">
        <v>262</v>
      </c>
      <c r="E1053" s="367"/>
      <c r="F1053" s="367"/>
      <c r="G1053" s="367"/>
      <c r="H1053" s="367"/>
      <c r="I1053" s="150" t="s">
        <v>3228</v>
      </c>
      <c r="J1053" s="48" t="s">
        <v>3229</v>
      </c>
      <c r="K1053" s="48" t="s">
        <v>3242</v>
      </c>
      <c r="L1053" s="367" t="s">
        <v>3243</v>
      </c>
      <c r="M1053" s="150" t="s">
        <v>65</v>
      </c>
      <c r="N1053" s="150" t="s">
        <v>3232</v>
      </c>
      <c r="O1053" s="150" t="s">
        <v>3233</v>
      </c>
      <c r="P1053" s="367">
        <v>1</v>
      </c>
      <c r="Q1053" s="367" t="s">
        <v>3234</v>
      </c>
      <c r="R1053" s="367"/>
      <c r="S1053" s="367"/>
      <c r="T1053" s="367" t="s">
        <v>3235</v>
      </c>
      <c r="U1053" s="367"/>
      <c r="V1053" s="367"/>
      <c r="W1053" s="367"/>
      <c r="X1053" s="367"/>
      <c r="Y1053" s="367"/>
      <c r="Z1053" s="367" t="s">
        <v>127</v>
      </c>
      <c r="AA1053" s="367"/>
      <c r="AB1053" s="150"/>
      <c r="AC1053" s="48" t="s">
        <v>3244</v>
      </c>
      <c r="AD1053" s="150" t="s">
        <v>169</v>
      </c>
      <c r="AE1053" s="296"/>
      <c r="AF1053" s="296"/>
      <c r="AG1053" s="286">
        <v>46508</v>
      </c>
      <c r="AH1053" s="49">
        <v>46471</v>
      </c>
      <c r="AI1053" s="266">
        <v>46447</v>
      </c>
      <c r="AJ1053" s="150" t="s">
        <v>617</v>
      </c>
      <c r="AK1053" s="150"/>
      <c r="AL1053" s="150"/>
      <c r="AM1053" s="150"/>
      <c r="AN1053" s="367"/>
      <c r="AO1053" s="367"/>
      <c r="AP1053" s="367"/>
      <c r="AQ1053" s="367"/>
      <c r="AR1053" s="367"/>
      <c r="AS1053" s="367"/>
      <c r="AT1053" s="367"/>
      <c r="AU1053" s="367"/>
      <c r="AV1053" s="367"/>
      <c r="AW1053" s="367"/>
      <c r="AX1053" s="367"/>
      <c r="AY1053" s="367"/>
      <c r="AZ1053" s="367"/>
      <c r="BA1053" s="367"/>
      <c r="BB1053" s="152"/>
      <c r="BC1053" s="152"/>
      <c r="BD1053" s="367" t="s">
        <v>816</v>
      </c>
      <c r="BE1053" s="367"/>
      <c r="BF1053" s="367"/>
      <c r="BG1053" s="367"/>
      <c r="BH1053" s="260"/>
      <c r="BL1053" s="54"/>
    </row>
    <row r="1054" spans="1:64" ht="37.950000000000003" customHeight="1" x14ac:dyDescent="0.3">
      <c r="A1054" s="367">
        <f t="shared" si="20"/>
        <v>1049</v>
      </c>
      <c r="B1054" s="54" t="s">
        <v>3249</v>
      </c>
      <c r="C1054" s="367" t="s">
        <v>3227</v>
      </c>
      <c r="D1054" s="367" t="s">
        <v>262</v>
      </c>
      <c r="E1054" s="367"/>
      <c r="F1054" s="367"/>
      <c r="G1054" s="367"/>
      <c r="H1054" s="367"/>
      <c r="I1054" s="150" t="s">
        <v>3228</v>
      </c>
      <c r="J1054" s="48" t="s">
        <v>3229</v>
      </c>
      <c r="K1054" s="48" t="s">
        <v>3242</v>
      </c>
      <c r="L1054" s="367" t="s">
        <v>3243</v>
      </c>
      <c r="M1054" s="150" t="s">
        <v>65</v>
      </c>
      <c r="N1054" s="150" t="s">
        <v>3232</v>
      </c>
      <c r="O1054" s="150" t="s">
        <v>3233</v>
      </c>
      <c r="P1054" s="367">
        <v>1</v>
      </c>
      <c r="Q1054" s="367" t="s">
        <v>3234</v>
      </c>
      <c r="R1054" s="367"/>
      <c r="S1054" s="367"/>
      <c r="T1054" s="367" t="s">
        <v>3235</v>
      </c>
      <c r="U1054" s="367"/>
      <c r="V1054" s="367"/>
      <c r="W1054" s="367"/>
      <c r="X1054" s="367"/>
      <c r="Y1054" s="367"/>
      <c r="Z1054" s="367" t="s">
        <v>127</v>
      </c>
      <c r="AA1054" s="367"/>
      <c r="AB1054" s="150"/>
      <c r="AC1054" s="48" t="s">
        <v>3250</v>
      </c>
      <c r="AD1054" s="150" t="s">
        <v>3251</v>
      </c>
      <c r="AE1054" s="296"/>
      <c r="AF1054" s="296"/>
      <c r="AG1054" s="286">
        <v>46508</v>
      </c>
      <c r="AH1054" s="49">
        <v>46471</v>
      </c>
      <c r="AI1054" s="266">
        <v>46447</v>
      </c>
      <c r="AJ1054" s="150" t="s">
        <v>617</v>
      </c>
      <c r="AK1054" s="150"/>
      <c r="AL1054" s="150"/>
      <c r="AM1054" s="150"/>
      <c r="AN1054" s="367"/>
      <c r="AO1054" s="367"/>
      <c r="AP1054" s="367"/>
      <c r="AQ1054" s="367"/>
      <c r="AR1054" s="367"/>
      <c r="AS1054" s="367"/>
      <c r="AT1054" s="367"/>
      <c r="AU1054" s="367"/>
      <c r="AV1054" s="367"/>
      <c r="AW1054" s="367"/>
      <c r="AX1054" s="367"/>
      <c r="AY1054" s="367"/>
      <c r="AZ1054" s="367"/>
      <c r="BA1054" s="367"/>
      <c r="BB1054" s="152"/>
      <c r="BC1054" s="152"/>
      <c r="BD1054" s="367" t="s">
        <v>816</v>
      </c>
      <c r="BE1054" s="367"/>
      <c r="BF1054" s="367"/>
      <c r="BG1054" s="367"/>
      <c r="BH1054" s="260"/>
      <c r="BL1054" s="54"/>
    </row>
    <row r="1055" spans="1:64" ht="37.950000000000003" customHeight="1" x14ac:dyDescent="0.3">
      <c r="A1055" s="367">
        <f t="shared" si="20"/>
        <v>1050</v>
      </c>
      <c r="B1055" s="54" t="s">
        <v>3252</v>
      </c>
      <c r="C1055" s="367" t="s">
        <v>3227</v>
      </c>
      <c r="D1055" s="367" t="s">
        <v>262</v>
      </c>
      <c r="E1055" s="367"/>
      <c r="F1055" s="367"/>
      <c r="G1055" s="367"/>
      <c r="H1055" s="367"/>
      <c r="I1055" s="150" t="s">
        <v>3228</v>
      </c>
      <c r="J1055" s="48" t="s">
        <v>3229</v>
      </c>
      <c r="K1055" s="48" t="s">
        <v>3242</v>
      </c>
      <c r="L1055" s="367" t="s">
        <v>3243</v>
      </c>
      <c r="M1055" s="150" t="s">
        <v>65</v>
      </c>
      <c r="N1055" s="150" t="s">
        <v>3232</v>
      </c>
      <c r="O1055" s="150" t="s">
        <v>3233</v>
      </c>
      <c r="P1055" s="367">
        <v>1</v>
      </c>
      <c r="Q1055" s="367" t="s">
        <v>3234</v>
      </c>
      <c r="R1055" s="367"/>
      <c r="S1055" s="367"/>
      <c r="T1055" s="367" t="s">
        <v>3235</v>
      </c>
      <c r="U1055" s="367"/>
      <c r="V1055" s="367"/>
      <c r="W1055" s="367"/>
      <c r="X1055" s="367"/>
      <c r="Y1055" s="367"/>
      <c r="Z1055" s="367" t="s">
        <v>127</v>
      </c>
      <c r="AA1055" s="367"/>
      <c r="AB1055" s="150"/>
      <c r="AC1055" s="48" t="s">
        <v>3250</v>
      </c>
      <c r="AD1055" s="150" t="s">
        <v>3251</v>
      </c>
      <c r="AE1055" s="296"/>
      <c r="AF1055" s="296"/>
      <c r="AG1055" s="286">
        <v>46508</v>
      </c>
      <c r="AH1055" s="49">
        <v>46471</v>
      </c>
      <c r="AI1055" s="266">
        <v>46447</v>
      </c>
      <c r="AJ1055" s="150" t="s">
        <v>617</v>
      </c>
      <c r="AK1055" s="150"/>
      <c r="AL1055" s="150"/>
      <c r="AM1055" s="150"/>
      <c r="AN1055" s="367"/>
      <c r="AO1055" s="367"/>
      <c r="AP1055" s="367"/>
      <c r="AQ1055" s="367"/>
      <c r="AR1055" s="367"/>
      <c r="AS1055" s="367"/>
      <c r="AT1055" s="367"/>
      <c r="AU1055" s="367"/>
      <c r="AV1055" s="367"/>
      <c r="AW1055" s="367"/>
      <c r="AX1055" s="367"/>
      <c r="AY1055" s="367"/>
      <c r="AZ1055" s="367"/>
      <c r="BA1055" s="367"/>
      <c r="BB1055" s="152"/>
      <c r="BC1055" s="152"/>
      <c r="BD1055" s="367" t="s">
        <v>816</v>
      </c>
      <c r="BE1055" s="367"/>
      <c r="BF1055" s="367"/>
      <c r="BG1055" s="367"/>
      <c r="BH1055" s="260"/>
      <c r="BL1055" s="54"/>
    </row>
    <row r="1056" spans="1:64" ht="37.950000000000003" customHeight="1" x14ac:dyDescent="0.3">
      <c r="A1056" s="367">
        <f t="shared" si="20"/>
        <v>1051</v>
      </c>
      <c r="B1056" s="54" t="s">
        <v>3253</v>
      </c>
      <c r="C1056" s="367" t="s">
        <v>3227</v>
      </c>
      <c r="D1056" s="367" t="s">
        <v>262</v>
      </c>
      <c r="E1056" s="367"/>
      <c r="F1056" s="367"/>
      <c r="G1056" s="367"/>
      <c r="H1056" s="367"/>
      <c r="I1056" s="150" t="s">
        <v>3228</v>
      </c>
      <c r="J1056" s="48" t="s">
        <v>3229</v>
      </c>
      <c r="K1056" s="48" t="s">
        <v>3254</v>
      </c>
      <c r="L1056" s="367" t="s">
        <v>3243</v>
      </c>
      <c r="M1056" s="150" t="s">
        <v>120</v>
      </c>
      <c r="N1056" s="150" t="s">
        <v>3232</v>
      </c>
      <c r="O1056" s="150" t="s">
        <v>3233</v>
      </c>
      <c r="P1056" s="367">
        <v>1</v>
      </c>
      <c r="Q1056" s="367" t="s">
        <v>3234</v>
      </c>
      <c r="R1056" s="367"/>
      <c r="S1056" s="367"/>
      <c r="T1056" s="367" t="s">
        <v>3235</v>
      </c>
      <c r="U1056" s="367"/>
      <c r="V1056" s="367"/>
      <c r="W1056" s="367"/>
      <c r="X1056" s="367"/>
      <c r="Y1056" s="367"/>
      <c r="Z1056" s="367" t="s">
        <v>127</v>
      </c>
      <c r="AA1056" s="367"/>
      <c r="AB1056" s="150"/>
      <c r="AC1056" s="48" t="s">
        <v>3255</v>
      </c>
      <c r="AD1056" s="150" t="s">
        <v>3256</v>
      </c>
      <c r="AE1056" s="296"/>
      <c r="AF1056" s="296"/>
      <c r="AG1056" s="286">
        <v>46508</v>
      </c>
      <c r="AH1056" s="49">
        <v>46471</v>
      </c>
      <c r="AI1056" s="266">
        <v>46447</v>
      </c>
      <c r="AJ1056" s="150" t="s">
        <v>617</v>
      </c>
      <c r="AK1056" s="150"/>
      <c r="AL1056" s="150"/>
      <c r="AM1056" s="150"/>
      <c r="AN1056" s="367"/>
      <c r="AO1056" s="367"/>
      <c r="AP1056" s="367"/>
      <c r="AQ1056" s="367"/>
      <c r="AR1056" s="367"/>
      <c r="AS1056" s="367"/>
      <c r="AT1056" s="367"/>
      <c r="AU1056" s="367"/>
      <c r="AV1056" s="367"/>
      <c r="AW1056" s="367"/>
      <c r="AX1056" s="367"/>
      <c r="AY1056" s="367"/>
      <c r="AZ1056" s="367"/>
      <c r="BA1056" s="367"/>
      <c r="BB1056" s="152"/>
      <c r="BC1056" s="152"/>
      <c r="BD1056" s="367" t="s">
        <v>816</v>
      </c>
      <c r="BE1056" s="367"/>
      <c r="BF1056" s="367"/>
      <c r="BG1056" s="367"/>
      <c r="BH1056" s="260"/>
      <c r="BL1056" s="54"/>
    </row>
    <row r="1057" spans="1:64" ht="37.950000000000003" customHeight="1" x14ac:dyDescent="0.3">
      <c r="A1057" s="367">
        <f t="shared" si="20"/>
        <v>1052</v>
      </c>
      <c r="B1057" s="54" t="s">
        <v>3257</v>
      </c>
      <c r="C1057" s="367" t="s">
        <v>3227</v>
      </c>
      <c r="D1057" s="367" t="s">
        <v>262</v>
      </c>
      <c r="E1057" s="367"/>
      <c r="F1057" s="367"/>
      <c r="G1057" s="367"/>
      <c r="H1057" s="367"/>
      <c r="I1057" s="150" t="s">
        <v>3228</v>
      </c>
      <c r="J1057" s="48" t="s">
        <v>3229</v>
      </c>
      <c r="K1057" s="48" t="s">
        <v>3254</v>
      </c>
      <c r="L1057" s="367" t="s">
        <v>3243</v>
      </c>
      <c r="M1057" s="150" t="s">
        <v>120</v>
      </c>
      <c r="N1057" s="150" t="s">
        <v>3232</v>
      </c>
      <c r="O1057" s="150" t="s">
        <v>3233</v>
      </c>
      <c r="P1057" s="367">
        <v>1</v>
      </c>
      <c r="Q1057" s="367" t="s">
        <v>3234</v>
      </c>
      <c r="R1057" s="367"/>
      <c r="S1057" s="367"/>
      <c r="T1057" s="367" t="s">
        <v>3235</v>
      </c>
      <c r="U1057" s="367"/>
      <c r="V1057" s="367"/>
      <c r="W1057" s="367"/>
      <c r="X1057" s="367"/>
      <c r="Y1057" s="367"/>
      <c r="Z1057" s="367" t="s">
        <v>127</v>
      </c>
      <c r="AA1057" s="367"/>
      <c r="AB1057" s="150"/>
      <c r="AC1057" s="48" t="s">
        <v>3258</v>
      </c>
      <c r="AD1057" s="150" t="s">
        <v>169</v>
      </c>
      <c r="AE1057" s="296"/>
      <c r="AF1057" s="296"/>
      <c r="AG1057" s="286">
        <v>46508</v>
      </c>
      <c r="AH1057" s="49">
        <v>46471</v>
      </c>
      <c r="AI1057" s="266">
        <v>46447</v>
      </c>
      <c r="AJ1057" s="150" t="s">
        <v>617</v>
      </c>
      <c r="AK1057" s="150"/>
      <c r="AL1057" s="150"/>
      <c r="AM1057" s="150"/>
      <c r="AN1057" s="367"/>
      <c r="AO1057" s="367"/>
      <c r="AP1057" s="367"/>
      <c r="AQ1057" s="367"/>
      <c r="AR1057" s="367"/>
      <c r="AS1057" s="367"/>
      <c r="AT1057" s="367"/>
      <c r="AU1057" s="367"/>
      <c r="AV1057" s="367"/>
      <c r="AW1057" s="367"/>
      <c r="AX1057" s="367"/>
      <c r="AY1057" s="367"/>
      <c r="AZ1057" s="367"/>
      <c r="BA1057" s="367"/>
      <c r="BB1057" s="152"/>
      <c r="BC1057" s="152"/>
      <c r="BD1057" s="367" t="s">
        <v>816</v>
      </c>
      <c r="BE1057" s="367"/>
      <c r="BF1057" s="367"/>
      <c r="BG1057" s="367"/>
      <c r="BH1057" s="260"/>
      <c r="BL1057" s="54"/>
    </row>
    <row r="1058" spans="1:64" ht="37.950000000000003" customHeight="1" x14ac:dyDescent="0.3">
      <c r="A1058" s="367">
        <f t="shared" si="20"/>
        <v>1053</v>
      </c>
      <c r="B1058" s="54" t="s">
        <v>3259</v>
      </c>
      <c r="C1058" s="367" t="s">
        <v>3227</v>
      </c>
      <c r="D1058" s="367" t="s">
        <v>262</v>
      </c>
      <c r="E1058" s="367"/>
      <c r="F1058" s="367"/>
      <c r="G1058" s="367"/>
      <c r="H1058" s="367"/>
      <c r="I1058" s="150" t="s">
        <v>3228</v>
      </c>
      <c r="J1058" s="48" t="s">
        <v>3229</v>
      </c>
      <c r="K1058" s="48" t="s">
        <v>3254</v>
      </c>
      <c r="L1058" s="367" t="s">
        <v>3243</v>
      </c>
      <c r="M1058" s="150" t="s">
        <v>120</v>
      </c>
      <c r="N1058" s="150" t="s">
        <v>3232</v>
      </c>
      <c r="O1058" s="150" t="s">
        <v>3233</v>
      </c>
      <c r="P1058" s="367">
        <v>1</v>
      </c>
      <c r="Q1058" s="367" t="s">
        <v>3234</v>
      </c>
      <c r="R1058" s="367"/>
      <c r="S1058" s="367"/>
      <c r="T1058" s="367" t="s">
        <v>3235</v>
      </c>
      <c r="U1058" s="367"/>
      <c r="V1058" s="367"/>
      <c r="W1058" s="367"/>
      <c r="X1058" s="367"/>
      <c r="Y1058" s="367"/>
      <c r="Z1058" s="367" t="s">
        <v>127</v>
      </c>
      <c r="AA1058" s="367"/>
      <c r="AB1058" s="150"/>
      <c r="AC1058" s="48" t="s">
        <v>3258</v>
      </c>
      <c r="AD1058" s="150" t="s">
        <v>169</v>
      </c>
      <c r="AE1058" s="296"/>
      <c r="AF1058" s="296"/>
      <c r="AG1058" s="286">
        <v>46508</v>
      </c>
      <c r="AH1058" s="49">
        <v>46471</v>
      </c>
      <c r="AI1058" s="266">
        <v>46447</v>
      </c>
      <c r="AJ1058" s="150" t="s">
        <v>617</v>
      </c>
      <c r="AK1058" s="150"/>
      <c r="AL1058" s="150"/>
      <c r="AM1058" s="150"/>
      <c r="AN1058" s="367"/>
      <c r="AO1058" s="367"/>
      <c r="AP1058" s="367"/>
      <c r="AQ1058" s="367"/>
      <c r="AR1058" s="367"/>
      <c r="AS1058" s="367"/>
      <c r="AT1058" s="367"/>
      <c r="AU1058" s="367"/>
      <c r="AV1058" s="367"/>
      <c r="AW1058" s="367"/>
      <c r="AX1058" s="367"/>
      <c r="AY1058" s="367"/>
      <c r="AZ1058" s="367"/>
      <c r="BA1058" s="367"/>
      <c r="BB1058" s="152"/>
      <c r="BC1058" s="152"/>
      <c r="BD1058" s="367" t="s">
        <v>816</v>
      </c>
      <c r="BE1058" s="367"/>
      <c r="BF1058" s="367"/>
      <c r="BG1058" s="367"/>
      <c r="BH1058" s="260"/>
      <c r="BL1058" s="54"/>
    </row>
    <row r="1059" spans="1:64" ht="37.950000000000003" customHeight="1" x14ac:dyDescent="0.3">
      <c r="A1059" s="367">
        <f t="shared" si="20"/>
        <v>1054</v>
      </c>
      <c r="B1059" s="54" t="s">
        <v>3260</v>
      </c>
      <c r="C1059" s="367" t="s">
        <v>3227</v>
      </c>
      <c r="D1059" s="367" t="s">
        <v>262</v>
      </c>
      <c r="E1059" s="367"/>
      <c r="F1059" s="367"/>
      <c r="G1059" s="367"/>
      <c r="H1059" s="367"/>
      <c r="I1059" s="150" t="s">
        <v>3228</v>
      </c>
      <c r="J1059" s="48" t="s">
        <v>3229</v>
      </c>
      <c r="K1059" s="48" t="s">
        <v>3254</v>
      </c>
      <c r="L1059" s="367" t="s">
        <v>3243</v>
      </c>
      <c r="M1059" s="150" t="s">
        <v>120</v>
      </c>
      <c r="N1059" s="150" t="s">
        <v>3232</v>
      </c>
      <c r="O1059" s="150" t="s">
        <v>3233</v>
      </c>
      <c r="P1059" s="367">
        <v>1</v>
      </c>
      <c r="Q1059" s="367" t="s">
        <v>3234</v>
      </c>
      <c r="R1059" s="367"/>
      <c r="S1059" s="367"/>
      <c r="T1059" s="367" t="s">
        <v>3235</v>
      </c>
      <c r="U1059" s="367"/>
      <c r="V1059" s="367"/>
      <c r="W1059" s="367"/>
      <c r="X1059" s="367"/>
      <c r="Y1059" s="367"/>
      <c r="Z1059" s="367" t="s">
        <v>127</v>
      </c>
      <c r="AA1059" s="367"/>
      <c r="AB1059" s="150"/>
      <c r="AC1059" s="48" t="s">
        <v>3261</v>
      </c>
      <c r="AD1059" s="150" t="s">
        <v>238</v>
      </c>
      <c r="AE1059" s="296"/>
      <c r="AF1059" s="296"/>
      <c r="AG1059" s="286">
        <v>46508</v>
      </c>
      <c r="AH1059" s="49">
        <v>46471</v>
      </c>
      <c r="AI1059" s="266">
        <v>46447</v>
      </c>
      <c r="AJ1059" s="150" t="s">
        <v>617</v>
      </c>
      <c r="AK1059" s="150"/>
      <c r="AL1059" s="150"/>
      <c r="AM1059" s="150"/>
      <c r="AN1059" s="367"/>
      <c r="AO1059" s="367"/>
      <c r="AP1059" s="367"/>
      <c r="AQ1059" s="367"/>
      <c r="AR1059" s="367"/>
      <c r="AS1059" s="367"/>
      <c r="AT1059" s="367"/>
      <c r="AU1059" s="367"/>
      <c r="AV1059" s="367"/>
      <c r="AW1059" s="367"/>
      <c r="AX1059" s="367"/>
      <c r="AY1059" s="367"/>
      <c r="AZ1059" s="367"/>
      <c r="BA1059" s="367"/>
      <c r="BB1059" s="152"/>
      <c r="BC1059" s="152"/>
      <c r="BD1059" s="367" t="s">
        <v>816</v>
      </c>
      <c r="BE1059" s="367"/>
      <c r="BF1059" s="367"/>
      <c r="BG1059" s="367"/>
      <c r="BH1059" s="260"/>
      <c r="BL1059" s="54"/>
    </row>
    <row r="1060" spans="1:64" ht="37.950000000000003" customHeight="1" x14ac:dyDescent="0.3">
      <c r="A1060" s="367">
        <f t="shared" si="20"/>
        <v>1055</v>
      </c>
      <c r="B1060" s="54" t="s">
        <v>3262</v>
      </c>
      <c r="C1060" s="367" t="s">
        <v>3227</v>
      </c>
      <c r="D1060" s="367" t="s">
        <v>262</v>
      </c>
      <c r="E1060" s="367"/>
      <c r="F1060" s="367"/>
      <c r="G1060" s="367"/>
      <c r="H1060" s="367"/>
      <c r="I1060" s="150" t="s">
        <v>3228</v>
      </c>
      <c r="J1060" s="48" t="s">
        <v>3229</v>
      </c>
      <c r="K1060" s="48" t="s">
        <v>3254</v>
      </c>
      <c r="L1060" s="367" t="s">
        <v>3243</v>
      </c>
      <c r="M1060" s="150" t="s">
        <v>120</v>
      </c>
      <c r="N1060" s="150" t="s">
        <v>3232</v>
      </c>
      <c r="O1060" s="150" t="s">
        <v>3233</v>
      </c>
      <c r="P1060" s="367">
        <v>1</v>
      </c>
      <c r="Q1060" s="367" t="s">
        <v>3234</v>
      </c>
      <c r="R1060" s="367"/>
      <c r="S1060" s="367"/>
      <c r="T1060" s="367" t="s">
        <v>3235</v>
      </c>
      <c r="U1060" s="367"/>
      <c r="V1060" s="367"/>
      <c r="W1060" s="367"/>
      <c r="X1060" s="367"/>
      <c r="Y1060" s="367"/>
      <c r="Z1060" s="367" t="s">
        <v>127</v>
      </c>
      <c r="AA1060" s="367"/>
      <c r="AB1060" s="150"/>
      <c r="AC1060" s="48" t="s">
        <v>3258</v>
      </c>
      <c r="AD1060" s="150" t="s">
        <v>169</v>
      </c>
      <c r="AE1060" s="296"/>
      <c r="AF1060" s="296"/>
      <c r="AG1060" s="286">
        <v>46508</v>
      </c>
      <c r="AH1060" s="49">
        <v>46471</v>
      </c>
      <c r="AI1060" s="266">
        <v>46447</v>
      </c>
      <c r="AJ1060" s="150" t="s">
        <v>617</v>
      </c>
      <c r="AK1060" s="150"/>
      <c r="AL1060" s="150"/>
      <c r="AM1060" s="150"/>
      <c r="AN1060" s="367"/>
      <c r="AO1060" s="367"/>
      <c r="AP1060" s="367"/>
      <c r="AQ1060" s="367"/>
      <c r="AR1060" s="367"/>
      <c r="AS1060" s="367"/>
      <c r="AT1060" s="367"/>
      <c r="AU1060" s="367"/>
      <c r="AV1060" s="367"/>
      <c r="AW1060" s="367"/>
      <c r="AX1060" s="367"/>
      <c r="AY1060" s="367"/>
      <c r="AZ1060" s="367"/>
      <c r="BA1060" s="367"/>
      <c r="BB1060" s="152"/>
      <c r="BC1060" s="152"/>
      <c r="BD1060" s="367" t="s">
        <v>816</v>
      </c>
      <c r="BE1060" s="367"/>
      <c r="BF1060" s="367"/>
      <c r="BG1060" s="367"/>
      <c r="BH1060" s="260"/>
      <c r="BL1060" s="54"/>
    </row>
    <row r="1061" spans="1:64" ht="37.950000000000003" customHeight="1" x14ac:dyDescent="0.3">
      <c r="A1061" s="367">
        <f t="shared" si="20"/>
        <v>1056</v>
      </c>
      <c r="B1061" s="54" t="s">
        <v>3263</v>
      </c>
      <c r="C1061" s="367" t="s">
        <v>3227</v>
      </c>
      <c r="D1061" s="367" t="s">
        <v>262</v>
      </c>
      <c r="E1061" s="367"/>
      <c r="F1061" s="367"/>
      <c r="G1061" s="367"/>
      <c r="H1061" s="367"/>
      <c r="I1061" s="150" t="s">
        <v>3228</v>
      </c>
      <c r="J1061" s="48" t="s">
        <v>3229</v>
      </c>
      <c r="K1061" s="48" t="s">
        <v>3254</v>
      </c>
      <c r="L1061" s="367" t="s">
        <v>3243</v>
      </c>
      <c r="M1061" s="150" t="s">
        <v>120</v>
      </c>
      <c r="N1061" s="150" t="s">
        <v>3232</v>
      </c>
      <c r="O1061" s="150" t="s">
        <v>3233</v>
      </c>
      <c r="P1061" s="367">
        <v>1</v>
      </c>
      <c r="Q1061" s="367" t="s">
        <v>3234</v>
      </c>
      <c r="R1061" s="367"/>
      <c r="S1061" s="367"/>
      <c r="T1061" s="367" t="s">
        <v>3235</v>
      </c>
      <c r="U1061" s="367"/>
      <c r="V1061" s="367"/>
      <c r="W1061" s="367"/>
      <c r="X1061" s="367"/>
      <c r="Y1061" s="367"/>
      <c r="Z1061" s="367" t="s">
        <v>127</v>
      </c>
      <c r="AA1061" s="367"/>
      <c r="AB1061" s="150"/>
      <c r="AC1061" s="48" t="s">
        <v>3264</v>
      </c>
      <c r="AD1061" s="150" t="s">
        <v>3251</v>
      </c>
      <c r="AE1061" s="296"/>
      <c r="AF1061" s="296"/>
      <c r="AG1061" s="286">
        <v>46508</v>
      </c>
      <c r="AH1061" s="49">
        <v>46471</v>
      </c>
      <c r="AI1061" s="266">
        <v>46447</v>
      </c>
      <c r="AJ1061" s="150" t="s">
        <v>617</v>
      </c>
      <c r="AK1061" s="150"/>
      <c r="AL1061" s="150"/>
      <c r="AM1061" s="150"/>
      <c r="AN1061" s="367"/>
      <c r="AO1061" s="367"/>
      <c r="AP1061" s="367"/>
      <c r="AQ1061" s="367"/>
      <c r="AR1061" s="367"/>
      <c r="AS1061" s="367"/>
      <c r="AT1061" s="367"/>
      <c r="AU1061" s="367"/>
      <c r="AV1061" s="367"/>
      <c r="AW1061" s="367"/>
      <c r="AX1061" s="367"/>
      <c r="AY1061" s="367"/>
      <c r="AZ1061" s="367"/>
      <c r="BA1061" s="367"/>
      <c r="BB1061" s="152"/>
      <c r="BC1061" s="152"/>
      <c r="BD1061" s="367" t="s">
        <v>816</v>
      </c>
      <c r="BE1061" s="367"/>
      <c r="BF1061" s="367"/>
      <c r="BG1061" s="367"/>
      <c r="BH1061" s="260"/>
      <c r="BL1061" s="54"/>
    </row>
    <row r="1062" spans="1:64" ht="37.950000000000003" customHeight="1" x14ac:dyDescent="0.3">
      <c r="A1062" s="367">
        <f t="shared" si="20"/>
        <v>1057</v>
      </c>
      <c r="B1062" s="54" t="s">
        <v>3265</v>
      </c>
      <c r="C1062" s="367" t="s">
        <v>3227</v>
      </c>
      <c r="D1062" s="367" t="s">
        <v>262</v>
      </c>
      <c r="E1062" s="367"/>
      <c r="F1062" s="367"/>
      <c r="G1062" s="367"/>
      <c r="H1062" s="367"/>
      <c r="I1062" s="150" t="s">
        <v>3228</v>
      </c>
      <c r="J1062" s="48" t="s">
        <v>3229</v>
      </c>
      <c r="K1062" s="48" t="s">
        <v>3254</v>
      </c>
      <c r="L1062" s="367" t="s">
        <v>3243</v>
      </c>
      <c r="M1062" s="150" t="s">
        <v>120</v>
      </c>
      <c r="N1062" s="150" t="s">
        <v>3232</v>
      </c>
      <c r="O1062" s="150" t="s">
        <v>3233</v>
      </c>
      <c r="P1062" s="367">
        <v>1</v>
      </c>
      <c r="Q1062" s="367" t="s">
        <v>3234</v>
      </c>
      <c r="R1062" s="367"/>
      <c r="S1062" s="367"/>
      <c r="T1062" s="367" t="s">
        <v>3235</v>
      </c>
      <c r="U1062" s="367"/>
      <c r="V1062" s="367"/>
      <c r="W1062" s="367"/>
      <c r="X1062" s="367"/>
      <c r="Y1062" s="367"/>
      <c r="Z1062" s="367" t="s">
        <v>127</v>
      </c>
      <c r="AA1062" s="367"/>
      <c r="AB1062" s="150"/>
      <c r="AC1062" s="48" t="s">
        <v>3264</v>
      </c>
      <c r="AD1062" s="150" t="s">
        <v>3251</v>
      </c>
      <c r="AE1062" s="296"/>
      <c r="AF1062" s="296"/>
      <c r="AG1062" s="286">
        <v>46508</v>
      </c>
      <c r="AH1062" s="49">
        <v>46471</v>
      </c>
      <c r="AI1062" s="266">
        <v>46447</v>
      </c>
      <c r="AJ1062" s="150" t="s">
        <v>617</v>
      </c>
      <c r="AK1062" s="150"/>
      <c r="AL1062" s="150"/>
      <c r="AM1062" s="150"/>
      <c r="AN1062" s="367"/>
      <c r="AO1062" s="367"/>
      <c r="AP1062" s="367"/>
      <c r="AQ1062" s="367"/>
      <c r="AR1062" s="367"/>
      <c r="AS1062" s="367"/>
      <c r="AT1062" s="367"/>
      <c r="AU1062" s="367"/>
      <c r="AV1062" s="367"/>
      <c r="AW1062" s="367"/>
      <c r="AX1062" s="367"/>
      <c r="AY1062" s="367"/>
      <c r="AZ1062" s="367"/>
      <c r="BA1062" s="367"/>
      <c r="BB1062" s="152"/>
      <c r="BC1062" s="152"/>
      <c r="BD1062" s="367" t="s">
        <v>816</v>
      </c>
      <c r="BE1062" s="367"/>
      <c r="BF1062" s="367"/>
      <c r="BG1062" s="367"/>
      <c r="BH1062" s="260"/>
      <c r="BL1062" s="54"/>
    </row>
    <row r="1063" spans="1:64" ht="37.950000000000003" customHeight="1" x14ac:dyDescent="0.3">
      <c r="A1063" s="367">
        <f t="shared" si="20"/>
        <v>1058</v>
      </c>
      <c r="B1063" s="54" t="s">
        <v>3266</v>
      </c>
      <c r="C1063" s="367" t="s">
        <v>3227</v>
      </c>
      <c r="D1063" s="367" t="s">
        <v>262</v>
      </c>
      <c r="E1063" s="367"/>
      <c r="F1063" s="367"/>
      <c r="G1063" s="367"/>
      <c r="H1063" s="367"/>
      <c r="I1063" s="150" t="s">
        <v>3228</v>
      </c>
      <c r="J1063" s="48" t="s">
        <v>3229</v>
      </c>
      <c r="K1063" s="48" t="s">
        <v>3267</v>
      </c>
      <c r="L1063" s="367" t="s">
        <v>3243</v>
      </c>
      <c r="M1063" s="150" t="s">
        <v>120</v>
      </c>
      <c r="N1063" s="150" t="s">
        <v>3232</v>
      </c>
      <c r="O1063" s="150" t="s">
        <v>3233</v>
      </c>
      <c r="P1063" s="367">
        <v>1</v>
      </c>
      <c r="Q1063" s="367" t="s">
        <v>3234</v>
      </c>
      <c r="R1063" s="367"/>
      <c r="S1063" s="367"/>
      <c r="T1063" s="367" t="s">
        <v>3235</v>
      </c>
      <c r="U1063" s="367"/>
      <c r="V1063" s="367"/>
      <c r="W1063" s="367"/>
      <c r="X1063" s="367"/>
      <c r="Y1063" s="367"/>
      <c r="Z1063" s="367" t="s">
        <v>127</v>
      </c>
      <c r="AA1063" s="367"/>
      <c r="AB1063" s="150"/>
      <c r="AC1063" s="48" t="s">
        <v>3268</v>
      </c>
      <c r="AD1063" s="150" t="s">
        <v>3256</v>
      </c>
      <c r="AE1063" s="296"/>
      <c r="AF1063" s="296"/>
      <c r="AG1063" s="286">
        <v>46508</v>
      </c>
      <c r="AH1063" s="49">
        <v>46471</v>
      </c>
      <c r="AI1063" s="266">
        <v>46419</v>
      </c>
      <c r="AJ1063" s="150" t="s">
        <v>617</v>
      </c>
      <c r="AK1063" s="150"/>
      <c r="AL1063" s="150"/>
      <c r="AM1063" s="150"/>
      <c r="AN1063" s="367"/>
      <c r="AO1063" s="367"/>
      <c r="AP1063" s="367"/>
      <c r="AQ1063" s="367"/>
      <c r="AR1063" s="367"/>
      <c r="AS1063" s="367"/>
      <c r="AT1063" s="367"/>
      <c r="AU1063" s="367"/>
      <c r="AV1063" s="367"/>
      <c r="AW1063" s="367"/>
      <c r="AX1063" s="367"/>
      <c r="AY1063" s="367"/>
      <c r="AZ1063" s="367"/>
      <c r="BA1063" s="367"/>
      <c r="BB1063" s="152"/>
      <c r="BC1063" s="152"/>
      <c r="BD1063" s="367" t="s">
        <v>816</v>
      </c>
      <c r="BE1063" s="367"/>
      <c r="BF1063" s="367"/>
      <c r="BG1063" s="367"/>
      <c r="BH1063" s="260"/>
      <c r="BL1063" s="54"/>
    </row>
    <row r="1064" spans="1:64" ht="37.950000000000003" customHeight="1" x14ac:dyDescent="0.3">
      <c r="A1064" s="367">
        <f t="shared" si="20"/>
        <v>1059</v>
      </c>
      <c r="B1064" s="54" t="s">
        <v>3269</v>
      </c>
      <c r="C1064" s="367" t="s">
        <v>3227</v>
      </c>
      <c r="D1064" s="367" t="s">
        <v>262</v>
      </c>
      <c r="E1064" s="367"/>
      <c r="F1064" s="367"/>
      <c r="G1064" s="367"/>
      <c r="H1064" s="367"/>
      <c r="I1064" s="150" t="s">
        <v>3228</v>
      </c>
      <c r="J1064" s="48" t="s">
        <v>3229</v>
      </c>
      <c r="K1064" s="48" t="s">
        <v>3267</v>
      </c>
      <c r="L1064" s="367" t="s">
        <v>3243</v>
      </c>
      <c r="M1064" s="150" t="s">
        <v>120</v>
      </c>
      <c r="N1064" s="150" t="s">
        <v>3232</v>
      </c>
      <c r="O1064" s="150" t="s">
        <v>3233</v>
      </c>
      <c r="P1064" s="367">
        <v>1</v>
      </c>
      <c r="Q1064" s="367" t="s">
        <v>3234</v>
      </c>
      <c r="R1064" s="367"/>
      <c r="S1064" s="367"/>
      <c r="T1064" s="367" t="s">
        <v>3235</v>
      </c>
      <c r="U1064" s="367"/>
      <c r="V1064" s="367"/>
      <c r="W1064" s="367"/>
      <c r="X1064" s="367"/>
      <c r="Y1064" s="367"/>
      <c r="Z1064" s="367" t="s">
        <v>127</v>
      </c>
      <c r="AA1064" s="367"/>
      <c r="AB1064" s="150"/>
      <c r="AC1064" s="48" t="s">
        <v>3270</v>
      </c>
      <c r="AD1064" s="150" t="s">
        <v>169</v>
      </c>
      <c r="AE1064" s="296"/>
      <c r="AF1064" s="296"/>
      <c r="AG1064" s="286">
        <v>46447</v>
      </c>
      <c r="AH1064" s="49">
        <v>46446</v>
      </c>
      <c r="AI1064" s="266">
        <v>46357</v>
      </c>
      <c r="AJ1064" s="150" t="s">
        <v>617</v>
      </c>
      <c r="AK1064" s="150"/>
      <c r="AL1064" s="150"/>
      <c r="AM1064" s="150"/>
      <c r="AN1064" s="367"/>
      <c r="AO1064" s="367"/>
      <c r="AP1064" s="367"/>
      <c r="AQ1064" s="367"/>
      <c r="AR1064" s="367"/>
      <c r="AS1064" s="367"/>
      <c r="AT1064" s="367"/>
      <c r="AU1064" s="367"/>
      <c r="AV1064" s="367"/>
      <c r="AW1064" s="367"/>
      <c r="AX1064" s="367"/>
      <c r="AY1064" s="367"/>
      <c r="AZ1064" s="367"/>
      <c r="BA1064" s="367"/>
      <c r="BB1064" s="152"/>
      <c r="BC1064" s="152"/>
      <c r="BD1064" s="367" t="s">
        <v>816</v>
      </c>
      <c r="BE1064" s="367"/>
      <c r="BF1064" s="367"/>
      <c r="BG1064" s="367"/>
      <c r="BH1064" s="260"/>
      <c r="BL1064" s="54"/>
    </row>
    <row r="1065" spans="1:64" ht="37.950000000000003" customHeight="1" x14ac:dyDescent="0.3">
      <c r="A1065" s="367">
        <f t="shared" si="20"/>
        <v>1060</v>
      </c>
      <c r="B1065" s="54" t="s">
        <v>3271</v>
      </c>
      <c r="C1065" s="367" t="s">
        <v>3227</v>
      </c>
      <c r="D1065" s="367" t="s">
        <v>262</v>
      </c>
      <c r="E1065" s="367"/>
      <c r="F1065" s="367"/>
      <c r="G1065" s="367"/>
      <c r="H1065" s="367"/>
      <c r="I1065" s="150" t="s">
        <v>3228</v>
      </c>
      <c r="J1065" s="48" t="s">
        <v>3229</v>
      </c>
      <c r="K1065" s="48" t="s">
        <v>3267</v>
      </c>
      <c r="L1065" s="367" t="s">
        <v>3243</v>
      </c>
      <c r="M1065" s="150" t="s">
        <v>120</v>
      </c>
      <c r="N1065" s="150" t="s">
        <v>3232</v>
      </c>
      <c r="O1065" s="150" t="s">
        <v>3233</v>
      </c>
      <c r="P1065" s="367">
        <v>1</v>
      </c>
      <c r="Q1065" s="367" t="s">
        <v>3234</v>
      </c>
      <c r="R1065" s="367"/>
      <c r="S1065" s="367"/>
      <c r="T1065" s="367" t="s">
        <v>3235</v>
      </c>
      <c r="U1065" s="367"/>
      <c r="V1065" s="367"/>
      <c r="W1065" s="367"/>
      <c r="X1065" s="367"/>
      <c r="Y1065" s="367"/>
      <c r="Z1065" s="367" t="s">
        <v>127</v>
      </c>
      <c r="AA1065" s="367"/>
      <c r="AB1065" s="150"/>
      <c r="AC1065" s="48" t="s">
        <v>3270</v>
      </c>
      <c r="AD1065" s="150" t="s">
        <v>169</v>
      </c>
      <c r="AE1065" s="296"/>
      <c r="AF1065" s="296"/>
      <c r="AG1065" s="286">
        <v>46447</v>
      </c>
      <c r="AH1065" s="49">
        <v>46381</v>
      </c>
      <c r="AI1065" s="266">
        <v>46327</v>
      </c>
      <c r="AJ1065" s="150" t="s">
        <v>617</v>
      </c>
      <c r="AK1065" s="150"/>
      <c r="AL1065" s="150"/>
      <c r="AM1065" s="150"/>
      <c r="AN1065" s="367"/>
      <c r="AO1065" s="367"/>
      <c r="AP1065" s="367"/>
      <c r="AQ1065" s="367"/>
      <c r="AR1065" s="367"/>
      <c r="AS1065" s="367"/>
      <c r="AT1065" s="367"/>
      <c r="AU1065" s="367"/>
      <c r="AV1065" s="367"/>
      <c r="AW1065" s="367"/>
      <c r="AX1065" s="367"/>
      <c r="AY1065" s="367"/>
      <c r="AZ1065" s="367"/>
      <c r="BA1065" s="367"/>
      <c r="BB1065" s="152"/>
      <c r="BC1065" s="152"/>
      <c r="BD1065" s="367" t="s">
        <v>816</v>
      </c>
      <c r="BE1065" s="367"/>
      <c r="BF1065" s="367"/>
      <c r="BG1065" s="367"/>
      <c r="BH1065" s="260"/>
      <c r="BL1065" s="54"/>
    </row>
    <row r="1066" spans="1:64" ht="37.950000000000003" customHeight="1" x14ac:dyDescent="0.3">
      <c r="A1066" s="367">
        <f t="shared" si="20"/>
        <v>1061</v>
      </c>
      <c r="B1066" s="54" t="s">
        <v>3272</v>
      </c>
      <c r="C1066" s="367" t="s">
        <v>3227</v>
      </c>
      <c r="D1066" s="367" t="s">
        <v>262</v>
      </c>
      <c r="E1066" s="367"/>
      <c r="F1066" s="367"/>
      <c r="G1066" s="367"/>
      <c r="H1066" s="367"/>
      <c r="I1066" s="150" t="s">
        <v>3228</v>
      </c>
      <c r="J1066" s="48" t="s">
        <v>3229</v>
      </c>
      <c r="K1066" s="48" t="s">
        <v>3267</v>
      </c>
      <c r="L1066" s="367" t="s">
        <v>3243</v>
      </c>
      <c r="M1066" s="150" t="s">
        <v>120</v>
      </c>
      <c r="N1066" s="150" t="s">
        <v>3232</v>
      </c>
      <c r="O1066" s="150" t="s">
        <v>3233</v>
      </c>
      <c r="P1066" s="367">
        <v>1</v>
      </c>
      <c r="Q1066" s="367" t="s">
        <v>3234</v>
      </c>
      <c r="R1066" s="367"/>
      <c r="S1066" s="367"/>
      <c r="T1066" s="367" t="s">
        <v>3235</v>
      </c>
      <c r="U1066" s="367"/>
      <c r="V1066" s="367"/>
      <c r="W1066" s="367"/>
      <c r="X1066" s="367"/>
      <c r="Y1066" s="367"/>
      <c r="Z1066" s="367" t="s">
        <v>127</v>
      </c>
      <c r="AA1066" s="367"/>
      <c r="AB1066" s="150"/>
      <c r="AC1066" s="48" t="s">
        <v>3273</v>
      </c>
      <c r="AD1066" s="150" t="s">
        <v>238</v>
      </c>
      <c r="AE1066" s="296"/>
      <c r="AF1066" s="296"/>
      <c r="AG1066" s="286">
        <v>46447</v>
      </c>
      <c r="AH1066" s="49">
        <v>46381</v>
      </c>
      <c r="AI1066" s="266">
        <v>46327</v>
      </c>
      <c r="AJ1066" s="150" t="s">
        <v>617</v>
      </c>
      <c r="AK1066" s="150"/>
      <c r="AL1066" s="150"/>
      <c r="AM1066" s="150"/>
      <c r="AN1066" s="367"/>
      <c r="AO1066" s="367"/>
      <c r="AP1066" s="367"/>
      <c r="AQ1066" s="367"/>
      <c r="AR1066" s="367"/>
      <c r="AS1066" s="367"/>
      <c r="AT1066" s="367"/>
      <c r="AU1066" s="367"/>
      <c r="AV1066" s="367"/>
      <c r="AW1066" s="367"/>
      <c r="AX1066" s="367"/>
      <c r="AY1066" s="367"/>
      <c r="AZ1066" s="367"/>
      <c r="BA1066" s="367"/>
      <c r="BB1066" s="152"/>
      <c r="BC1066" s="152"/>
      <c r="BD1066" s="367" t="s">
        <v>816</v>
      </c>
      <c r="BE1066" s="367"/>
      <c r="BF1066" s="367"/>
      <c r="BG1066" s="367"/>
      <c r="BH1066" s="260"/>
      <c r="BL1066" s="54"/>
    </row>
    <row r="1067" spans="1:64" ht="37.950000000000003" customHeight="1" x14ac:dyDescent="0.3">
      <c r="A1067" s="367">
        <f t="shared" si="20"/>
        <v>1062</v>
      </c>
      <c r="B1067" s="54" t="s">
        <v>3274</v>
      </c>
      <c r="C1067" s="367" t="s">
        <v>3227</v>
      </c>
      <c r="D1067" s="367" t="s">
        <v>262</v>
      </c>
      <c r="E1067" s="367"/>
      <c r="F1067" s="367"/>
      <c r="G1067" s="367"/>
      <c r="H1067" s="367"/>
      <c r="I1067" s="150" t="s">
        <v>3228</v>
      </c>
      <c r="J1067" s="48" t="s">
        <v>3229</v>
      </c>
      <c r="K1067" s="48" t="s">
        <v>3267</v>
      </c>
      <c r="L1067" s="367" t="s">
        <v>3243</v>
      </c>
      <c r="M1067" s="150" t="s">
        <v>120</v>
      </c>
      <c r="N1067" s="150" t="s">
        <v>3232</v>
      </c>
      <c r="O1067" s="150" t="s">
        <v>3233</v>
      </c>
      <c r="P1067" s="367">
        <v>1</v>
      </c>
      <c r="Q1067" s="367" t="s">
        <v>3234</v>
      </c>
      <c r="R1067" s="367"/>
      <c r="S1067" s="367"/>
      <c r="T1067" s="367" t="s">
        <v>3235</v>
      </c>
      <c r="U1067" s="367"/>
      <c r="V1067" s="367"/>
      <c r="W1067" s="367"/>
      <c r="X1067" s="367" t="s">
        <v>1678</v>
      </c>
      <c r="Y1067" s="367"/>
      <c r="Z1067" s="367" t="s">
        <v>127</v>
      </c>
      <c r="AA1067" s="367"/>
      <c r="AB1067" s="150" t="s">
        <v>215</v>
      </c>
      <c r="AC1067" s="48" t="s">
        <v>3275</v>
      </c>
      <c r="AD1067" s="150" t="s">
        <v>2427</v>
      </c>
      <c r="AE1067" s="296"/>
      <c r="AF1067" s="296"/>
      <c r="AG1067" s="286">
        <v>46447</v>
      </c>
      <c r="AH1067" s="49">
        <v>46412</v>
      </c>
      <c r="AI1067" s="266">
        <v>46357</v>
      </c>
      <c r="AJ1067" s="150" t="s">
        <v>617</v>
      </c>
      <c r="AK1067" s="150"/>
      <c r="AL1067" s="150"/>
      <c r="AM1067" s="150"/>
      <c r="AN1067" s="367"/>
      <c r="AO1067" s="367"/>
      <c r="AP1067" s="367"/>
      <c r="AQ1067" s="367"/>
      <c r="AR1067" s="367"/>
      <c r="AS1067" s="367"/>
      <c r="AT1067" s="367"/>
      <c r="AU1067" s="367"/>
      <c r="AV1067" s="367"/>
      <c r="AW1067" s="367"/>
      <c r="AX1067" s="367"/>
      <c r="AY1067" s="367"/>
      <c r="AZ1067" s="367"/>
      <c r="BA1067" s="367"/>
      <c r="BB1067" s="152"/>
      <c r="BC1067" s="152"/>
      <c r="BD1067" s="367" t="s">
        <v>816</v>
      </c>
      <c r="BE1067" s="367"/>
      <c r="BF1067" s="367"/>
      <c r="BG1067" s="367"/>
      <c r="BH1067" s="260"/>
      <c r="BL1067" s="54"/>
    </row>
    <row r="1068" spans="1:64" ht="37.950000000000003" customHeight="1" x14ac:dyDescent="0.3">
      <c r="A1068" s="367">
        <f t="shared" si="20"/>
        <v>1063</v>
      </c>
      <c r="B1068" s="54" t="s">
        <v>3276</v>
      </c>
      <c r="C1068" s="367" t="s">
        <v>3227</v>
      </c>
      <c r="D1068" s="367" t="s">
        <v>262</v>
      </c>
      <c r="E1068" s="367"/>
      <c r="F1068" s="367"/>
      <c r="G1068" s="367"/>
      <c r="H1068" s="367"/>
      <c r="I1068" s="150" t="s">
        <v>3228</v>
      </c>
      <c r="J1068" s="48" t="s">
        <v>3277</v>
      </c>
      <c r="K1068" s="48" t="s">
        <v>3278</v>
      </c>
      <c r="L1068" s="367" t="s">
        <v>3231</v>
      </c>
      <c r="M1068" s="150" t="s">
        <v>65</v>
      </c>
      <c r="N1068" s="150" t="s">
        <v>3232</v>
      </c>
      <c r="O1068" s="150" t="s">
        <v>3233</v>
      </c>
      <c r="P1068" s="367">
        <v>1</v>
      </c>
      <c r="Q1068" s="367" t="s">
        <v>3234</v>
      </c>
      <c r="R1068" s="367"/>
      <c r="S1068" s="367"/>
      <c r="T1068" s="367" t="s">
        <v>3235</v>
      </c>
      <c r="U1068" s="367"/>
      <c r="V1068" s="367" t="s">
        <v>127</v>
      </c>
      <c r="W1068" s="367"/>
      <c r="X1068" s="367" t="s">
        <v>3236</v>
      </c>
      <c r="Y1068" s="367" t="s">
        <v>127</v>
      </c>
      <c r="Z1068" s="367"/>
      <c r="AA1068" s="367" t="s">
        <v>127</v>
      </c>
      <c r="AB1068" s="150" t="s">
        <v>215</v>
      </c>
      <c r="AC1068" s="48" t="s">
        <v>3279</v>
      </c>
      <c r="AD1068" s="150" t="s">
        <v>2415</v>
      </c>
      <c r="AE1068" s="296"/>
      <c r="AF1068" s="296"/>
      <c r="AG1068" s="286">
        <v>46447</v>
      </c>
      <c r="AH1068" s="49">
        <v>46381</v>
      </c>
      <c r="AI1068" s="266">
        <v>46327</v>
      </c>
      <c r="AJ1068" s="150" t="s">
        <v>617</v>
      </c>
      <c r="AK1068" s="150"/>
      <c r="AL1068" s="150"/>
      <c r="AM1068" s="150"/>
      <c r="AN1068" s="367"/>
      <c r="AO1068" s="367"/>
      <c r="AP1068" s="367"/>
      <c r="AQ1068" s="367"/>
      <c r="AR1068" s="367"/>
      <c r="AS1068" s="367"/>
      <c r="AT1068" s="367"/>
      <c r="AU1068" s="367"/>
      <c r="AV1068" s="367"/>
      <c r="AW1068" s="367"/>
      <c r="AX1068" s="367"/>
      <c r="AY1068" s="367"/>
      <c r="AZ1068" s="367"/>
      <c r="BA1068" s="367"/>
      <c r="BB1068" s="152"/>
      <c r="BC1068" s="152"/>
      <c r="BD1068" s="367" t="s">
        <v>816</v>
      </c>
      <c r="BE1068" s="367"/>
      <c r="BF1068" s="367"/>
      <c r="BG1068" s="367"/>
      <c r="BH1068" s="260"/>
      <c r="BL1068" s="54"/>
    </row>
    <row r="1069" spans="1:64" ht="37.950000000000003" customHeight="1" x14ac:dyDescent="0.3">
      <c r="A1069" s="367">
        <f t="shared" si="20"/>
        <v>1064</v>
      </c>
      <c r="B1069" s="54" t="s">
        <v>3280</v>
      </c>
      <c r="C1069" s="367" t="s">
        <v>3227</v>
      </c>
      <c r="D1069" s="367" t="s">
        <v>262</v>
      </c>
      <c r="E1069" s="367"/>
      <c r="F1069" s="367"/>
      <c r="G1069" s="367"/>
      <c r="H1069" s="367"/>
      <c r="I1069" s="150" t="s">
        <v>3228</v>
      </c>
      <c r="J1069" s="48" t="s">
        <v>3277</v>
      </c>
      <c r="K1069" s="48" t="s">
        <v>3278</v>
      </c>
      <c r="L1069" s="367" t="s">
        <v>3231</v>
      </c>
      <c r="M1069" s="150" t="s">
        <v>65</v>
      </c>
      <c r="N1069" s="150" t="s">
        <v>3232</v>
      </c>
      <c r="O1069" s="150" t="s">
        <v>3233</v>
      </c>
      <c r="P1069" s="367">
        <v>1</v>
      </c>
      <c r="Q1069" s="367" t="s">
        <v>3234</v>
      </c>
      <c r="R1069" s="367"/>
      <c r="S1069" s="367"/>
      <c r="T1069" s="367" t="s">
        <v>3235</v>
      </c>
      <c r="U1069" s="367"/>
      <c r="V1069" s="367"/>
      <c r="W1069" s="367"/>
      <c r="X1069" s="367"/>
      <c r="Y1069" s="367"/>
      <c r="Z1069" s="367"/>
      <c r="AA1069" s="367"/>
      <c r="AB1069" s="150"/>
      <c r="AC1069" s="48" t="s">
        <v>3281</v>
      </c>
      <c r="AD1069" s="150" t="s">
        <v>169</v>
      </c>
      <c r="AE1069" s="296"/>
      <c r="AF1069" s="296"/>
      <c r="AG1069" s="286">
        <v>46447</v>
      </c>
      <c r="AH1069" s="49">
        <v>46412</v>
      </c>
      <c r="AI1069" s="266">
        <v>46357</v>
      </c>
      <c r="AJ1069" s="150" t="s">
        <v>617</v>
      </c>
      <c r="AK1069" s="150"/>
      <c r="AL1069" s="150"/>
      <c r="AM1069" s="150"/>
      <c r="AN1069" s="367"/>
      <c r="AO1069" s="367"/>
      <c r="AP1069" s="367"/>
      <c r="AQ1069" s="367"/>
      <c r="AR1069" s="367"/>
      <c r="AS1069" s="367"/>
      <c r="AT1069" s="367"/>
      <c r="AU1069" s="367"/>
      <c r="AV1069" s="367"/>
      <c r="AW1069" s="367"/>
      <c r="AX1069" s="367"/>
      <c r="AY1069" s="367"/>
      <c r="AZ1069" s="367"/>
      <c r="BA1069" s="367"/>
      <c r="BB1069" s="152"/>
      <c r="BC1069" s="152"/>
      <c r="BD1069" s="367" t="s">
        <v>816</v>
      </c>
      <c r="BE1069" s="367"/>
      <c r="BF1069" s="367"/>
      <c r="BG1069" s="367"/>
      <c r="BH1069" s="260"/>
      <c r="BL1069" s="54"/>
    </row>
    <row r="1070" spans="1:64" ht="37.950000000000003" customHeight="1" x14ac:dyDescent="0.3">
      <c r="A1070" s="367">
        <f t="shared" si="20"/>
        <v>1065</v>
      </c>
      <c r="B1070" s="54" t="s">
        <v>3282</v>
      </c>
      <c r="C1070" s="367" t="s">
        <v>3227</v>
      </c>
      <c r="D1070" s="367" t="s">
        <v>262</v>
      </c>
      <c r="E1070" s="367"/>
      <c r="F1070" s="367"/>
      <c r="G1070" s="367"/>
      <c r="H1070" s="367"/>
      <c r="I1070" s="150" t="s">
        <v>3228</v>
      </c>
      <c r="J1070" s="48" t="s">
        <v>3277</v>
      </c>
      <c r="K1070" s="48" t="s">
        <v>3283</v>
      </c>
      <c r="L1070" s="367" t="s">
        <v>3243</v>
      </c>
      <c r="M1070" s="150" t="s">
        <v>65</v>
      </c>
      <c r="N1070" s="150" t="s">
        <v>3232</v>
      </c>
      <c r="O1070" s="150" t="s">
        <v>3233</v>
      </c>
      <c r="P1070" s="367">
        <v>1</v>
      </c>
      <c r="Q1070" s="367" t="s">
        <v>3234</v>
      </c>
      <c r="R1070" s="367"/>
      <c r="S1070" s="367"/>
      <c r="T1070" s="367" t="s">
        <v>3235</v>
      </c>
      <c r="U1070" s="367"/>
      <c r="V1070" s="367"/>
      <c r="W1070" s="367"/>
      <c r="X1070" s="367"/>
      <c r="Y1070" s="367"/>
      <c r="Z1070" s="367" t="s">
        <v>127</v>
      </c>
      <c r="AA1070" s="367"/>
      <c r="AB1070" s="150"/>
      <c r="AC1070" s="48" t="s">
        <v>3284</v>
      </c>
      <c r="AD1070" s="150" t="s">
        <v>3256</v>
      </c>
      <c r="AE1070" s="296"/>
      <c r="AF1070" s="296"/>
      <c r="AG1070" s="286">
        <v>46447</v>
      </c>
      <c r="AH1070" s="49">
        <v>46446</v>
      </c>
      <c r="AI1070" s="266">
        <v>46357</v>
      </c>
      <c r="AJ1070" s="150" t="s">
        <v>617</v>
      </c>
      <c r="AK1070" s="150"/>
      <c r="AL1070" s="150"/>
      <c r="AM1070" s="150"/>
      <c r="AN1070" s="367"/>
      <c r="AO1070" s="367"/>
      <c r="AP1070" s="367"/>
      <c r="AQ1070" s="367"/>
      <c r="AR1070" s="367"/>
      <c r="AS1070" s="367"/>
      <c r="AT1070" s="367"/>
      <c r="AU1070" s="367"/>
      <c r="AV1070" s="367"/>
      <c r="AW1070" s="367"/>
      <c r="AX1070" s="367"/>
      <c r="AY1070" s="367"/>
      <c r="AZ1070" s="367"/>
      <c r="BA1070" s="367"/>
      <c r="BB1070" s="152"/>
      <c r="BC1070" s="152"/>
      <c r="BD1070" s="367" t="s">
        <v>816</v>
      </c>
      <c r="BE1070" s="367"/>
      <c r="BF1070" s="367"/>
      <c r="BG1070" s="367"/>
      <c r="BH1070" s="260"/>
      <c r="BL1070" s="54"/>
    </row>
    <row r="1071" spans="1:64" ht="37.950000000000003" customHeight="1" x14ac:dyDescent="0.3">
      <c r="A1071" s="367">
        <f t="shared" si="20"/>
        <v>1066</v>
      </c>
      <c r="B1071" s="54" t="s">
        <v>3285</v>
      </c>
      <c r="C1071" s="367" t="s">
        <v>3227</v>
      </c>
      <c r="D1071" s="367" t="s">
        <v>262</v>
      </c>
      <c r="E1071" s="367"/>
      <c r="F1071" s="367"/>
      <c r="G1071" s="367"/>
      <c r="H1071" s="367"/>
      <c r="I1071" s="150" t="s">
        <v>3228</v>
      </c>
      <c r="J1071" s="48" t="s">
        <v>3277</v>
      </c>
      <c r="K1071" s="48" t="s">
        <v>3283</v>
      </c>
      <c r="L1071" s="367" t="s">
        <v>3243</v>
      </c>
      <c r="M1071" s="150" t="s">
        <v>65</v>
      </c>
      <c r="N1071" s="150" t="s">
        <v>3232</v>
      </c>
      <c r="O1071" s="150" t="s">
        <v>3233</v>
      </c>
      <c r="P1071" s="367">
        <v>1</v>
      </c>
      <c r="Q1071" s="367" t="s">
        <v>3234</v>
      </c>
      <c r="R1071" s="367"/>
      <c r="S1071" s="367"/>
      <c r="T1071" s="367" t="s">
        <v>3235</v>
      </c>
      <c r="U1071" s="367"/>
      <c r="V1071" s="367"/>
      <c r="W1071" s="367"/>
      <c r="X1071" s="367"/>
      <c r="Y1071" s="367"/>
      <c r="Z1071" s="367" t="s">
        <v>127</v>
      </c>
      <c r="AA1071" s="367"/>
      <c r="AB1071" s="150"/>
      <c r="AC1071" s="48" t="s">
        <v>3286</v>
      </c>
      <c r="AD1071" s="150" t="s">
        <v>169</v>
      </c>
      <c r="AE1071" s="296"/>
      <c r="AF1071" s="296"/>
      <c r="AG1071" s="286">
        <v>46508</v>
      </c>
      <c r="AH1071" s="49">
        <v>46471</v>
      </c>
      <c r="AI1071" s="266">
        <v>46419</v>
      </c>
      <c r="AJ1071" s="150" t="s">
        <v>617</v>
      </c>
      <c r="AK1071" s="150"/>
      <c r="AL1071" s="150"/>
      <c r="AM1071" s="150"/>
      <c r="AN1071" s="367"/>
      <c r="AO1071" s="367"/>
      <c r="AP1071" s="367"/>
      <c r="AQ1071" s="367"/>
      <c r="AR1071" s="367"/>
      <c r="AS1071" s="367"/>
      <c r="AT1071" s="367"/>
      <c r="AU1071" s="367"/>
      <c r="AV1071" s="367"/>
      <c r="AW1071" s="367"/>
      <c r="AX1071" s="367"/>
      <c r="AY1071" s="367"/>
      <c r="AZ1071" s="367"/>
      <c r="BA1071" s="367"/>
      <c r="BB1071" s="152"/>
      <c r="BC1071" s="152"/>
      <c r="BD1071" s="367" t="s">
        <v>816</v>
      </c>
      <c r="BE1071" s="367"/>
      <c r="BF1071" s="367"/>
      <c r="BG1071" s="367"/>
      <c r="BH1071" s="260"/>
      <c r="BL1071" s="54"/>
    </row>
    <row r="1072" spans="1:64" ht="37.950000000000003" customHeight="1" x14ac:dyDescent="0.3">
      <c r="A1072" s="367">
        <f t="shared" si="20"/>
        <v>1067</v>
      </c>
      <c r="B1072" s="54" t="s">
        <v>3287</v>
      </c>
      <c r="C1072" s="367" t="s">
        <v>3227</v>
      </c>
      <c r="D1072" s="367" t="s">
        <v>262</v>
      </c>
      <c r="E1072" s="367"/>
      <c r="F1072" s="367"/>
      <c r="G1072" s="367"/>
      <c r="H1072" s="367"/>
      <c r="I1072" s="150" t="s">
        <v>3228</v>
      </c>
      <c r="J1072" s="48" t="s">
        <v>3277</v>
      </c>
      <c r="K1072" s="48" t="s">
        <v>3283</v>
      </c>
      <c r="L1072" s="367" t="s">
        <v>3243</v>
      </c>
      <c r="M1072" s="150" t="s">
        <v>65</v>
      </c>
      <c r="N1072" s="150" t="s">
        <v>3232</v>
      </c>
      <c r="O1072" s="150" t="s">
        <v>3233</v>
      </c>
      <c r="P1072" s="367">
        <v>1</v>
      </c>
      <c r="Q1072" s="367" t="s">
        <v>3234</v>
      </c>
      <c r="R1072" s="367"/>
      <c r="S1072" s="367"/>
      <c r="T1072" s="367" t="s">
        <v>3235</v>
      </c>
      <c r="U1072" s="367"/>
      <c r="V1072" s="367"/>
      <c r="W1072" s="367"/>
      <c r="X1072" s="367"/>
      <c r="Y1072" s="367"/>
      <c r="Z1072" s="367" t="s">
        <v>127</v>
      </c>
      <c r="AA1072" s="367"/>
      <c r="AB1072" s="150"/>
      <c r="AC1072" s="48" t="s">
        <v>3286</v>
      </c>
      <c r="AD1072" s="150" t="s">
        <v>169</v>
      </c>
      <c r="AE1072" s="296"/>
      <c r="AF1072" s="296"/>
      <c r="AG1072" s="286">
        <v>46508</v>
      </c>
      <c r="AH1072" s="49">
        <v>46471</v>
      </c>
      <c r="AI1072" s="266">
        <v>46447</v>
      </c>
      <c r="AJ1072" s="150" t="s">
        <v>617</v>
      </c>
      <c r="AK1072" s="150"/>
      <c r="AL1072" s="150"/>
      <c r="AM1072" s="150"/>
      <c r="AN1072" s="367"/>
      <c r="AO1072" s="367"/>
      <c r="AP1072" s="367"/>
      <c r="AQ1072" s="367"/>
      <c r="AR1072" s="367"/>
      <c r="AS1072" s="367"/>
      <c r="AT1072" s="367"/>
      <c r="AU1072" s="367"/>
      <c r="AV1072" s="367"/>
      <c r="AW1072" s="367"/>
      <c r="AX1072" s="367"/>
      <c r="AY1072" s="367"/>
      <c r="AZ1072" s="367"/>
      <c r="BA1072" s="367"/>
      <c r="BB1072" s="152"/>
      <c r="BC1072" s="152"/>
      <c r="BD1072" s="367" t="s">
        <v>816</v>
      </c>
      <c r="BE1072" s="367"/>
      <c r="BF1072" s="367"/>
      <c r="BG1072" s="367"/>
      <c r="BH1072" s="260"/>
      <c r="BL1072" s="54"/>
    </row>
    <row r="1073" spans="1:64" ht="37.950000000000003" customHeight="1" x14ac:dyDescent="0.3">
      <c r="A1073" s="367">
        <f t="shared" si="20"/>
        <v>1068</v>
      </c>
      <c r="B1073" s="54" t="s">
        <v>3288</v>
      </c>
      <c r="C1073" s="367" t="s">
        <v>3227</v>
      </c>
      <c r="D1073" s="367" t="s">
        <v>262</v>
      </c>
      <c r="E1073" s="367"/>
      <c r="F1073" s="367"/>
      <c r="G1073" s="367"/>
      <c r="H1073" s="367"/>
      <c r="I1073" s="150" t="s">
        <v>3228</v>
      </c>
      <c r="J1073" s="48" t="s">
        <v>3277</v>
      </c>
      <c r="K1073" s="48" t="s">
        <v>3283</v>
      </c>
      <c r="L1073" s="367" t="s">
        <v>3243</v>
      </c>
      <c r="M1073" s="150" t="s">
        <v>65</v>
      </c>
      <c r="N1073" s="150" t="s">
        <v>3232</v>
      </c>
      <c r="O1073" s="150" t="s">
        <v>3233</v>
      </c>
      <c r="P1073" s="367">
        <v>1</v>
      </c>
      <c r="Q1073" s="367" t="s">
        <v>3234</v>
      </c>
      <c r="R1073" s="367"/>
      <c r="S1073" s="367"/>
      <c r="T1073" s="367" t="s">
        <v>3235</v>
      </c>
      <c r="U1073" s="367"/>
      <c r="V1073" s="367"/>
      <c r="W1073" s="367"/>
      <c r="X1073" s="367"/>
      <c r="Y1073" s="367"/>
      <c r="Z1073" s="367" t="s">
        <v>127</v>
      </c>
      <c r="AA1073" s="367"/>
      <c r="AB1073" s="150"/>
      <c r="AC1073" s="48" t="s">
        <v>3289</v>
      </c>
      <c r="AD1073" s="150" t="s">
        <v>238</v>
      </c>
      <c r="AE1073" s="296"/>
      <c r="AF1073" s="296"/>
      <c r="AG1073" s="286">
        <v>46508</v>
      </c>
      <c r="AH1073" s="49">
        <v>46471</v>
      </c>
      <c r="AI1073" s="266">
        <v>46447</v>
      </c>
      <c r="AJ1073" s="150" t="s">
        <v>617</v>
      </c>
      <c r="AK1073" s="150"/>
      <c r="AL1073" s="150"/>
      <c r="AM1073" s="150"/>
      <c r="AN1073" s="367"/>
      <c r="AO1073" s="367"/>
      <c r="AP1073" s="367"/>
      <c r="AQ1073" s="367"/>
      <c r="AR1073" s="367"/>
      <c r="AS1073" s="367"/>
      <c r="AT1073" s="367"/>
      <c r="AU1073" s="367"/>
      <c r="AV1073" s="367"/>
      <c r="AW1073" s="367"/>
      <c r="AX1073" s="367"/>
      <c r="AY1073" s="367"/>
      <c r="AZ1073" s="367"/>
      <c r="BA1073" s="367"/>
      <c r="BB1073" s="152"/>
      <c r="BC1073" s="152"/>
      <c r="BD1073" s="367" t="s">
        <v>816</v>
      </c>
      <c r="BE1073" s="367"/>
      <c r="BF1073" s="367"/>
      <c r="BG1073" s="367"/>
      <c r="BH1073" s="260"/>
      <c r="BL1073" s="54"/>
    </row>
    <row r="1074" spans="1:64" ht="37.950000000000003" customHeight="1" x14ac:dyDescent="0.3">
      <c r="A1074" s="367">
        <f t="shared" si="20"/>
        <v>1069</v>
      </c>
      <c r="B1074" s="54" t="s">
        <v>3290</v>
      </c>
      <c r="C1074" s="367" t="s">
        <v>3227</v>
      </c>
      <c r="D1074" s="367" t="s">
        <v>262</v>
      </c>
      <c r="E1074" s="367"/>
      <c r="F1074" s="367"/>
      <c r="G1074" s="367"/>
      <c r="H1074" s="367"/>
      <c r="I1074" s="150" t="s">
        <v>3228</v>
      </c>
      <c r="J1074" s="48" t="s">
        <v>3277</v>
      </c>
      <c r="K1074" s="48" t="s">
        <v>3283</v>
      </c>
      <c r="L1074" s="367" t="s">
        <v>3243</v>
      </c>
      <c r="M1074" s="150" t="s">
        <v>65</v>
      </c>
      <c r="N1074" s="150" t="s">
        <v>3232</v>
      </c>
      <c r="O1074" s="150" t="s">
        <v>3233</v>
      </c>
      <c r="P1074" s="367">
        <v>1</v>
      </c>
      <c r="Q1074" s="367" t="s">
        <v>3234</v>
      </c>
      <c r="R1074" s="367"/>
      <c r="S1074" s="367"/>
      <c r="T1074" s="367" t="s">
        <v>3235</v>
      </c>
      <c r="U1074" s="367"/>
      <c r="V1074" s="367"/>
      <c r="W1074" s="367"/>
      <c r="X1074" s="367"/>
      <c r="Y1074" s="367"/>
      <c r="Z1074" s="367" t="s">
        <v>127</v>
      </c>
      <c r="AA1074" s="367"/>
      <c r="AB1074" s="150"/>
      <c r="AC1074" s="48" t="s">
        <v>3286</v>
      </c>
      <c r="AD1074" s="150" t="s">
        <v>169</v>
      </c>
      <c r="AE1074" s="296"/>
      <c r="AF1074" s="296"/>
      <c r="AG1074" s="286">
        <v>46508</v>
      </c>
      <c r="AH1074" s="49">
        <v>46471</v>
      </c>
      <c r="AI1074" s="266">
        <v>46447</v>
      </c>
      <c r="AJ1074" s="150" t="s">
        <v>617</v>
      </c>
      <c r="AK1074" s="150"/>
      <c r="AL1074" s="150"/>
      <c r="AM1074" s="150"/>
      <c r="AN1074" s="367"/>
      <c r="AO1074" s="367"/>
      <c r="AP1074" s="367"/>
      <c r="AQ1074" s="367"/>
      <c r="AR1074" s="367"/>
      <c r="AS1074" s="367"/>
      <c r="AT1074" s="367"/>
      <c r="AU1074" s="367"/>
      <c r="AV1074" s="367"/>
      <c r="AW1074" s="367"/>
      <c r="AX1074" s="367"/>
      <c r="AY1074" s="367"/>
      <c r="AZ1074" s="367"/>
      <c r="BA1074" s="367"/>
      <c r="BB1074" s="152"/>
      <c r="BC1074" s="152"/>
      <c r="BD1074" s="367" t="s">
        <v>816</v>
      </c>
      <c r="BE1074" s="367"/>
      <c r="BF1074" s="367"/>
      <c r="BG1074" s="367"/>
      <c r="BH1074" s="260"/>
      <c r="BL1074" s="54"/>
    </row>
    <row r="1075" spans="1:64" ht="37.950000000000003" customHeight="1" x14ac:dyDescent="0.3">
      <c r="A1075" s="367">
        <f t="shared" si="20"/>
        <v>1070</v>
      </c>
      <c r="B1075" s="54" t="s">
        <v>3291</v>
      </c>
      <c r="C1075" s="367" t="s">
        <v>3227</v>
      </c>
      <c r="D1075" s="367" t="s">
        <v>262</v>
      </c>
      <c r="E1075" s="367"/>
      <c r="F1075" s="367"/>
      <c r="G1075" s="367"/>
      <c r="H1075" s="367"/>
      <c r="I1075" s="150" t="s">
        <v>3228</v>
      </c>
      <c r="J1075" s="48" t="s">
        <v>3277</v>
      </c>
      <c r="K1075" s="48" t="s">
        <v>3283</v>
      </c>
      <c r="L1075" s="367" t="s">
        <v>3243</v>
      </c>
      <c r="M1075" s="150" t="s">
        <v>65</v>
      </c>
      <c r="N1075" s="150" t="s">
        <v>3232</v>
      </c>
      <c r="O1075" s="150" t="s">
        <v>3233</v>
      </c>
      <c r="P1075" s="367">
        <v>1</v>
      </c>
      <c r="Q1075" s="367" t="s">
        <v>3234</v>
      </c>
      <c r="R1075" s="367"/>
      <c r="S1075" s="367"/>
      <c r="T1075" s="367" t="s">
        <v>3235</v>
      </c>
      <c r="U1075" s="367"/>
      <c r="V1075" s="367"/>
      <c r="W1075" s="367"/>
      <c r="X1075" s="367"/>
      <c r="Y1075" s="367"/>
      <c r="Z1075" s="367" t="s">
        <v>127</v>
      </c>
      <c r="AA1075" s="367"/>
      <c r="AB1075" s="150"/>
      <c r="AC1075" s="48" t="s">
        <v>3292</v>
      </c>
      <c r="AD1075" s="150" t="s">
        <v>3251</v>
      </c>
      <c r="AE1075" s="296"/>
      <c r="AF1075" s="296"/>
      <c r="AG1075" s="286">
        <v>46508</v>
      </c>
      <c r="AH1075" s="49">
        <v>46471</v>
      </c>
      <c r="AI1075" s="266">
        <v>46447</v>
      </c>
      <c r="AJ1075" s="150" t="s">
        <v>617</v>
      </c>
      <c r="AK1075" s="150"/>
      <c r="AL1075" s="150"/>
      <c r="AM1075" s="150"/>
      <c r="AN1075" s="367"/>
      <c r="AO1075" s="367"/>
      <c r="AP1075" s="367"/>
      <c r="AQ1075" s="367"/>
      <c r="AR1075" s="367"/>
      <c r="AS1075" s="367"/>
      <c r="AT1075" s="367"/>
      <c r="AU1075" s="367"/>
      <c r="AV1075" s="367"/>
      <c r="AW1075" s="367"/>
      <c r="AX1075" s="367"/>
      <c r="AY1075" s="367"/>
      <c r="AZ1075" s="367"/>
      <c r="BA1075" s="367"/>
      <c r="BB1075" s="152"/>
      <c r="BC1075" s="152"/>
      <c r="BD1075" s="367" t="s">
        <v>816</v>
      </c>
      <c r="BE1075" s="367"/>
      <c r="BF1075" s="367"/>
      <c r="BG1075" s="367"/>
      <c r="BH1075" s="260"/>
      <c r="BL1075" s="54"/>
    </row>
    <row r="1076" spans="1:64" ht="37.950000000000003" customHeight="1" x14ac:dyDescent="0.3">
      <c r="A1076" s="367">
        <f t="shared" si="20"/>
        <v>1071</v>
      </c>
      <c r="B1076" s="54" t="s">
        <v>3293</v>
      </c>
      <c r="C1076" s="367" t="s">
        <v>3227</v>
      </c>
      <c r="D1076" s="367" t="s">
        <v>262</v>
      </c>
      <c r="E1076" s="367"/>
      <c r="F1076" s="367"/>
      <c r="G1076" s="367"/>
      <c r="H1076" s="367"/>
      <c r="I1076" s="150" t="s">
        <v>3228</v>
      </c>
      <c r="J1076" s="48" t="s">
        <v>3277</v>
      </c>
      <c r="K1076" s="48" t="s">
        <v>3283</v>
      </c>
      <c r="L1076" s="367" t="s">
        <v>3243</v>
      </c>
      <c r="M1076" s="150" t="s">
        <v>65</v>
      </c>
      <c r="N1076" s="150" t="s">
        <v>3232</v>
      </c>
      <c r="O1076" s="150" t="s">
        <v>3233</v>
      </c>
      <c r="P1076" s="367">
        <v>1</v>
      </c>
      <c r="Q1076" s="367" t="s">
        <v>3234</v>
      </c>
      <c r="R1076" s="367"/>
      <c r="S1076" s="367"/>
      <c r="T1076" s="367" t="s">
        <v>3235</v>
      </c>
      <c r="U1076" s="367"/>
      <c r="V1076" s="367"/>
      <c r="W1076" s="367"/>
      <c r="X1076" s="367"/>
      <c r="Y1076" s="367"/>
      <c r="Z1076" s="367" t="s">
        <v>127</v>
      </c>
      <c r="AA1076" s="367"/>
      <c r="AB1076" s="150"/>
      <c r="AC1076" s="48" t="s">
        <v>3292</v>
      </c>
      <c r="AD1076" s="150" t="s">
        <v>3251</v>
      </c>
      <c r="AE1076" s="296"/>
      <c r="AF1076" s="296"/>
      <c r="AG1076" s="286">
        <v>46508</v>
      </c>
      <c r="AH1076" s="49">
        <v>46471</v>
      </c>
      <c r="AI1076" s="266">
        <v>46447</v>
      </c>
      <c r="AJ1076" s="150" t="s">
        <v>617</v>
      </c>
      <c r="AK1076" s="150"/>
      <c r="AL1076" s="150"/>
      <c r="AM1076" s="150"/>
      <c r="AN1076" s="367"/>
      <c r="AO1076" s="367"/>
      <c r="AP1076" s="367"/>
      <c r="AQ1076" s="367"/>
      <c r="AR1076" s="367"/>
      <c r="AS1076" s="367"/>
      <c r="AT1076" s="367"/>
      <c r="AU1076" s="367"/>
      <c r="AV1076" s="367"/>
      <c r="AW1076" s="367"/>
      <c r="AX1076" s="367"/>
      <c r="AY1076" s="367"/>
      <c r="AZ1076" s="367"/>
      <c r="BA1076" s="367"/>
      <c r="BB1076" s="152"/>
      <c r="BC1076" s="152"/>
      <c r="BD1076" s="367" t="s">
        <v>816</v>
      </c>
      <c r="BE1076" s="367"/>
      <c r="BF1076" s="367"/>
      <c r="BG1076" s="367"/>
      <c r="BH1076" s="260"/>
      <c r="BL1076" s="54"/>
    </row>
    <row r="1077" spans="1:64" ht="37.950000000000003" customHeight="1" x14ac:dyDescent="0.3">
      <c r="A1077" s="367">
        <f t="shared" si="20"/>
        <v>1072</v>
      </c>
      <c r="B1077" s="54" t="s">
        <v>3294</v>
      </c>
      <c r="C1077" s="367" t="s">
        <v>3227</v>
      </c>
      <c r="D1077" s="367" t="s">
        <v>262</v>
      </c>
      <c r="E1077" s="367"/>
      <c r="F1077" s="367"/>
      <c r="G1077" s="367"/>
      <c r="H1077" s="367"/>
      <c r="I1077" s="150" t="s">
        <v>3228</v>
      </c>
      <c r="J1077" s="48" t="s">
        <v>3277</v>
      </c>
      <c r="K1077" s="48" t="s">
        <v>3295</v>
      </c>
      <c r="L1077" s="367" t="s">
        <v>3243</v>
      </c>
      <c r="M1077" s="150" t="s">
        <v>120</v>
      </c>
      <c r="N1077" s="150" t="s">
        <v>3232</v>
      </c>
      <c r="O1077" s="150" t="s">
        <v>3233</v>
      </c>
      <c r="P1077" s="367">
        <v>1</v>
      </c>
      <c r="Q1077" s="367" t="s">
        <v>3234</v>
      </c>
      <c r="R1077" s="367"/>
      <c r="S1077" s="367"/>
      <c r="T1077" s="367" t="s">
        <v>3235</v>
      </c>
      <c r="U1077" s="367"/>
      <c r="V1077" s="367"/>
      <c r="W1077" s="367"/>
      <c r="X1077" s="367"/>
      <c r="Y1077" s="367"/>
      <c r="Z1077" s="367" t="s">
        <v>127</v>
      </c>
      <c r="AA1077" s="367"/>
      <c r="AB1077" s="150"/>
      <c r="AC1077" s="48" t="s">
        <v>3296</v>
      </c>
      <c r="AD1077" s="150" t="s">
        <v>169</v>
      </c>
      <c r="AE1077" s="296"/>
      <c r="AF1077" s="296"/>
      <c r="AG1077" s="286">
        <v>46508</v>
      </c>
      <c r="AH1077" s="49">
        <v>46471</v>
      </c>
      <c r="AI1077" s="266">
        <v>46419</v>
      </c>
      <c r="AJ1077" s="150" t="s">
        <v>617</v>
      </c>
      <c r="AK1077" s="150"/>
      <c r="AL1077" s="150"/>
      <c r="AM1077" s="150"/>
      <c r="AN1077" s="367"/>
      <c r="AO1077" s="367"/>
      <c r="AP1077" s="367"/>
      <c r="AQ1077" s="367"/>
      <c r="AR1077" s="367"/>
      <c r="AS1077" s="367"/>
      <c r="AT1077" s="367"/>
      <c r="AU1077" s="367"/>
      <c r="AV1077" s="367"/>
      <c r="AW1077" s="367"/>
      <c r="AX1077" s="367"/>
      <c r="AY1077" s="367"/>
      <c r="AZ1077" s="367"/>
      <c r="BA1077" s="367"/>
      <c r="BB1077" s="152"/>
      <c r="BC1077" s="152"/>
      <c r="BD1077" s="367" t="s">
        <v>816</v>
      </c>
      <c r="BE1077" s="367"/>
      <c r="BF1077" s="367"/>
      <c r="BG1077" s="367"/>
      <c r="BH1077" s="260"/>
      <c r="BL1077" s="54"/>
    </row>
    <row r="1078" spans="1:64" ht="37.950000000000003" customHeight="1" x14ac:dyDescent="0.3">
      <c r="A1078" s="367">
        <f t="shared" si="20"/>
        <v>1073</v>
      </c>
      <c r="B1078" s="54" t="s">
        <v>3297</v>
      </c>
      <c r="C1078" s="367" t="s">
        <v>3227</v>
      </c>
      <c r="D1078" s="367" t="s">
        <v>262</v>
      </c>
      <c r="E1078" s="367"/>
      <c r="F1078" s="367"/>
      <c r="G1078" s="367"/>
      <c r="H1078" s="367"/>
      <c r="I1078" s="150" t="s">
        <v>3228</v>
      </c>
      <c r="J1078" s="48" t="s">
        <v>3277</v>
      </c>
      <c r="K1078" s="48" t="s">
        <v>3295</v>
      </c>
      <c r="L1078" s="367" t="s">
        <v>3243</v>
      </c>
      <c r="M1078" s="150" t="s">
        <v>120</v>
      </c>
      <c r="N1078" s="150" t="s">
        <v>3232</v>
      </c>
      <c r="O1078" s="150" t="s">
        <v>3233</v>
      </c>
      <c r="P1078" s="367">
        <v>1</v>
      </c>
      <c r="Q1078" s="367" t="s">
        <v>3234</v>
      </c>
      <c r="R1078" s="367"/>
      <c r="S1078" s="367"/>
      <c r="T1078" s="367" t="s">
        <v>3235</v>
      </c>
      <c r="U1078" s="367"/>
      <c r="V1078" s="367"/>
      <c r="W1078" s="367"/>
      <c r="X1078" s="367"/>
      <c r="Y1078" s="367"/>
      <c r="Z1078" s="367" t="s">
        <v>127</v>
      </c>
      <c r="AA1078" s="367"/>
      <c r="AB1078" s="150"/>
      <c r="AC1078" s="48" t="s">
        <v>3296</v>
      </c>
      <c r="AD1078" s="150" t="s">
        <v>169</v>
      </c>
      <c r="AE1078" s="296"/>
      <c r="AF1078" s="296"/>
      <c r="AG1078" s="286">
        <v>46569</v>
      </c>
      <c r="AH1078" s="49">
        <v>46563</v>
      </c>
      <c r="AI1078" s="266">
        <v>46539</v>
      </c>
      <c r="AJ1078" s="150" t="s">
        <v>617</v>
      </c>
      <c r="AK1078" s="150"/>
      <c r="AL1078" s="150"/>
      <c r="AM1078" s="150"/>
      <c r="AN1078" s="367"/>
      <c r="AO1078" s="367"/>
      <c r="AP1078" s="367"/>
      <c r="AQ1078" s="367"/>
      <c r="AR1078" s="367"/>
      <c r="AS1078" s="367"/>
      <c r="AT1078" s="367"/>
      <c r="AU1078" s="367"/>
      <c r="AV1078" s="367"/>
      <c r="AW1078" s="367"/>
      <c r="AX1078" s="367"/>
      <c r="AY1078" s="367"/>
      <c r="AZ1078" s="367"/>
      <c r="BA1078" s="367"/>
      <c r="BB1078" s="152"/>
      <c r="BC1078" s="152"/>
      <c r="BD1078" s="367" t="s">
        <v>816</v>
      </c>
      <c r="BE1078" s="367"/>
      <c r="BF1078" s="367"/>
      <c r="BG1078" s="367"/>
      <c r="BH1078" s="260"/>
      <c r="BL1078" s="54"/>
    </row>
    <row r="1079" spans="1:64" ht="37.950000000000003" customHeight="1" x14ac:dyDescent="0.3">
      <c r="A1079" s="367">
        <f t="shared" si="20"/>
        <v>1074</v>
      </c>
      <c r="B1079" s="54" t="s">
        <v>3298</v>
      </c>
      <c r="C1079" s="367" t="s">
        <v>3227</v>
      </c>
      <c r="D1079" s="367" t="s">
        <v>262</v>
      </c>
      <c r="E1079" s="367"/>
      <c r="F1079" s="367"/>
      <c r="G1079" s="367"/>
      <c r="H1079" s="367"/>
      <c r="I1079" s="150" t="s">
        <v>3228</v>
      </c>
      <c r="J1079" s="48" t="s">
        <v>3277</v>
      </c>
      <c r="K1079" s="48" t="s">
        <v>3295</v>
      </c>
      <c r="L1079" s="367" t="s">
        <v>3243</v>
      </c>
      <c r="M1079" s="150" t="s">
        <v>120</v>
      </c>
      <c r="N1079" s="150" t="s">
        <v>3232</v>
      </c>
      <c r="O1079" s="150" t="s">
        <v>3233</v>
      </c>
      <c r="P1079" s="367">
        <v>1</v>
      </c>
      <c r="Q1079" s="367" t="s">
        <v>3234</v>
      </c>
      <c r="R1079" s="367"/>
      <c r="S1079" s="367"/>
      <c r="T1079" s="367" t="s">
        <v>3235</v>
      </c>
      <c r="U1079" s="367"/>
      <c r="V1079" s="367"/>
      <c r="W1079" s="367"/>
      <c r="X1079" s="367"/>
      <c r="Y1079" s="367"/>
      <c r="Z1079" s="367" t="s">
        <v>127</v>
      </c>
      <c r="AA1079" s="367"/>
      <c r="AB1079" s="150"/>
      <c r="AC1079" s="48" t="s">
        <v>3299</v>
      </c>
      <c r="AD1079" s="150" t="s">
        <v>238</v>
      </c>
      <c r="AE1079" s="296"/>
      <c r="AF1079" s="296"/>
      <c r="AG1079" s="286">
        <v>46569</v>
      </c>
      <c r="AH1079" s="49">
        <v>46563</v>
      </c>
      <c r="AI1079" s="266">
        <v>46539</v>
      </c>
      <c r="AJ1079" s="150" t="s">
        <v>617</v>
      </c>
      <c r="AK1079" s="150"/>
      <c r="AL1079" s="150"/>
      <c r="AM1079" s="150"/>
      <c r="AN1079" s="367"/>
      <c r="AO1079" s="367"/>
      <c r="AP1079" s="367"/>
      <c r="AQ1079" s="367"/>
      <c r="AR1079" s="367"/>
      <c r="AS1079" s="367"/>
      <c r="AT1079" s="367"/>
      <c r="AU1079" s="367"/>
      <c r="AV1079" s="367"/>
      <c r="AW1079" s="367"/>
      <c r="AX1079" s="367"/>
      <c r="AY1079" s="367"/>
      <c r="AZ1079" s="367"/>
      <c r="BA1079" s="367"/>
      <c r="BB1079" s="152"/>
      <c r="BC1079" s="152"/>
      <c r="BD1079" s="367" t="s">
        <v>816</v>
      </c>
      <c r="BE1079" s="367"/>
      <c r="BF1079" s="367"/>
      <c r="BG1079" s="367"/>
      <c r="BH1079" s="260"/>
      <c r="BL1079" s="54"/>
    </row>
    <row r="1080" spans="1:64" ht="37.950000000000003" customHeight="1" x14ac:dyDescent="0.3">
      <c r="A1080" s="367">
        <f t="shared" si="20"/>
        <v>1075</v>
      </c>
      <c r="B1080" s="54" t="s">
        <v>3300</v>
      </c>
      <c r="C1080" s="367" t="s">
        <v>3227</v>
      </c>
      <c r="D1080" s="367" t="s">
        <v>262</v>
      </c>
      <c r="E1080" s="367"/>
      <c r="F1080" s="367"/>
      <c r="G1080" s="367"/>
      <c r="H1080" s="367"/>
      <c r="I1080" s="150" t="s">
        <v>3228</v>
      </c>
      <c r="J1080" s="48" t="s">
        <v>3277</v>
      </c>
      <c r="K1080" s="48" t="s">
        <v>3295</v>
      </c>
      <c r="L1080" s="367" t="s">
        <v>3243</v>
      </c>
      <c r="M1080" s="150" t="s">
        <v>120</v>
      </c>
      <c r="N1080" s="150" t="s">
        <v>3232</v>
      </c>
      <c r="O1080" s="150" t="s">
        <v>3233</v>
      </c>
      <c r="P1080" s="367">
        <v>1</v>
      </c>
      <c r="Q1080" s="367" t="s">
        <v>3234</v>
      </c>
      <c r="R1080" s="367"/>
      <c r="S1080" s="367"/>
      <c r="T1080" s="367" t="s">
        <v>3235</v>
      </c>
      <c r="U1080" s="367"/>
      <c r="V1080" s="367"/>
      <c r="W1080" s="367"/>
      <c r="X1080" s="367"/>
      <c r="Y1080" s="367"/>
      <c r="Z1080" s="367" t="s">
        <v>127</v>
      </c>
      <c r="AA1080" s="367"/>
      <c r="AB1080" s="150"/>
      <c r="AC1080" s="48" t="s">
        <v>3296</v>
      </c>
      <c r="AD1080" s="150" t="s">
        <v>169</v>
      </c>
      <c r="AE1080" s="296"/>
      <c r="AF1080" s="296"/>
      <c r="AG1080" s="286">
        <v>46569</v>
      </c>
      <c r="AH1080" s="49">
        <v>46563</v>
      </c>
      <c r="AI1080" s="266">
        <v>46539</v>
      </c>
      <c r="AJ1080" s="150" t="s">
        <v>617</v>
      </c>
      <c r="AK1080" s="150"/>
      <c r="AL1080" s="150"/>
      <c r="AM1080" s="150"/>
      <c r="AN1080" s="367"/>
      <c r="AO1080" s="367"/>
      <c r="AP1080" s="367"/>
      <c r="AQ1080" s="367"/>
      <c r="AR1080" s="367"/>
      <c r="AS1080" s="367"/>
      <c r="AT1080" s="367"/>
      <c r="AU1080" s="367"/>
      <c r="AV1080" s="367"/>
      <c r="AW1080" s="367"/>
      <c r="AX1080" s="367"/>
      <c r="AY1080" s="367"/>
      <c r="AZ1080" s="367"/>
      <c r="BA1080" s="367"/>
      <c r="BB1080" s="152"/>
      <c r="BC1080" s="152"/>
      <c r="BD1080" s="367" t="s">
        <v>816</v>
      </c>
      <c r="BE1080" s="367"/>
      <c r="BF1080" s="367"/>
      <c r="BG1080" s="367"/>
      <c r="BH1080" s="260"/>
      <c r="BL1080" s="54"/>
    </row>
    <row r="1081" spans="1:64" ht="37.950000000000003" customHeight="1" x14ac:dyDescent="0.3">
      <c r="A1081" s="367">
        <f t="shared" si="20"/>
        <v>1076</v>
      </c>
      <c r="B1081" s="54" t="s">
        <v>3301</v>
      </c>
      <c r="C1081" s="367" t="s">
        <v>3227</v>
      </c>
      <c r="D1081" s="367" t="s">
        <v>262</v>
      </c>
      <c r="E1081" s="367"/>
      <c r="F1081" s="367"/>
      <c r="G1081" s="367"/>
      <c r="H1081" s="367"/>
      <c r="I1081" s="150" t="s">
        <v>3228</v>
      </c>
      <c r="J1081" s="48" t="s">
        <v>3277</v>
      </c>
      <c r="K1081" s="48" t="s">
        <v>3295</v>
      </c>
      <c r="L1081" s="367" t="s">
        <v>3243</v>
      </c>
      <c r="M1081" s="150" t="s">
        <v>120</v>
      </c>
      <c r="N1081" s="150" t="s">
        <v>3232</v>
      </c>
      <c r="O1081" s="150" t="s">
        <v>3233</v>
      </c>
      <c r="P1081" s="367">
        <v>1</v>
      </c>
      <c r="Q1081" s="367" t="s">
        <v>3234</v>
      </c>
      <c r="R1081" s="367"/>
      <c r="S1081" s="367"/>
      <c r="T1081" s="367" t="s">
        <v>3235</v>
      </c>
      <c r="U1081" s="367"/>
      <c r="V1081" s="367"/>
      <c r="W1081" s="367"/>
      <c r="X1081" s="367"/>
      <c r="Y1081" s="367"/>
      <c r="Z1081" s="367" t="s">
        <v>127</v>
      </c>
      <c r="AA1081" s="367"/>
      <c r="AB1081" s="150"/>
      <c r="AC1081" s="48" t="s">
        <v>3302</v>
      </c>
      <c r="AD1081" s="150" t="s">
        <v>3251</v>
      </c>
      <c r="AE1081" s="296"/>
      <c r="AF1081" s="296"/>
      <c r="AG1081" s="286">
        <v>46569</v>
      </c>
      <c r="AH1081" s="49">
        <v>46563</v>
      </c>
      <c r="AI1081" s="266">
        <v>46539</v>
      </c>
      <c r="AJ1081" s="150" t="s">
        <v>617</v>
      </c>
      <c r="AK1081" s="150"/>
      <c r="AL1081" s="150"/>
      <c r="AM1081" s="150"/>
      <c r="AN1081" s="367"/>
      <c r="AO1081" s="367"/>
      <c r="AP1081" s="367"/>
      <c r="AQ1081" s="367"/>
      <c r="AR1081" s="367"/>
      <c r="AS1081" s="367"/>
      <c r="AT1081" s="367"/>
      <c r="AU1081" s="367"/>
      <c r="AV1081" s="367"/>
      <c r="AW1081" s="367"/>
      <c r="AX1081" s="367"/>
      <c r="AY1081" s="367"/>
      <c r="AZ1081" s="367"/>
      <c r="BA1081" s="367"/>
      <c r="BB1081" s="152"/>
      <c r="BC1081" s="152"/>
      <c r="BD1081" s="367" t="s">
        <v>816</v>
      </c>
      <c r="BE1081" s="367"/>
      <c r="BF1081" s="367"/>
      <c r="BG1081" s="367"/>
      <c r="BH1081" s="260"/>
      <c r="BL1081" s="54"/>
    </row>
    <row r="1082" spans="1:64" ht="37.950000000000003" customHeight="1" x14ac:dyDescent="0.3">
      <c r="A1082" s="367">
        <f t="shared" si="20"/>
        <v>1077</v>
      </c>
      <c r="B1082" s="54" t="s">
        <v>3303</v>
      </c>
      <c r="C1082" s="367" t="s">
        <v>3227</v>
      </c>
      <c r="D1082" s="367" t="s">
        <v>262</v>
      </c>
      <c r="E1082" s="367"/>
      <c r="F1082" s="367"/>
      <c r="G1082" s="367"/>
      <c r="H1082" s="367"/>
      <c r="I1082" s="150" t="s">
        <v>3228</v>
      </c>
      <c r="J1082" s="48" t="s">
        <v>3277</v>
      </c>
      <c r="K1082" s="48" t="s">
        <v>3295</v>
      </c>
      <c r="L1082" s="367" t="s">
        <v>3243</v>
      </c>
      <c r="M1082" s="150" t="s">
        <v>120</v>
      </c>
      <c r="N1082" s="150" t="s">
        <v>3232</v>
      </c>
      <c r="O1082" s="150" t="s">
        <v>3233</v>
      </c>
      <c r="P1082" s="367">
        <v>1</v>
      </c>
      <c r="Q1082" s="367" t="s">
        <v>3234</v>
      </c>
      <c r="R1082" s="367"/>
      <c r="S1082" s="367"/>
      <c r="T1082" s="367" t="s">
        <v>3235</v>
      </c>
      <c r="U1082" s="367"/>
      <c r="V1082" s="367"/>
      <c r="W1082" s="367"/>
      <c r="X1082" s="367"/>
      <c r="Y1082" s="367"/>
      <c r="Z1082" s="367" t="s">
        <v>127</v>
      </c>
      <c r="AA1082" s="367"/>
      <c r="AB1082" s="150"/>
      <c r="AC1082" s="48" t="s">
        <v>3302</v>
      </c>
      <c r="AD1082" s="150" t="s">
        <v>3251</v>
      </c>
      <c r="AE1082" s="296"/>
      <c r="AF1082" s="296"/>
      <c r="AG1082" s="286">
        <v>46569</v>
      </c>
      <c r="AH1082" s="49">
        <v>46563</v>
      </c>
      <c r="AI1082" s="266">
        <v>46539</v>
      </c>
      <c r="AJ1082" s="150" t="s">
        <v>617</v>
      </c>
      <c r="AK1082" s="150"/>
      <c r="AL1082" s="150"/>
      <c r="AM1082" s="150"/>
      <c r="AN1082" s="367"/>
      <c r="AO1082" s="367"/>
      <c r="AP1082" s="367"/>
      <c r="AQ1082" s="367"/>
      <c r="AR1082" s="367"/>
      <c r="AS1082" s="367"/>
      <c r="AT1082" s="367"/>
      <c r="AU1082" s="367"/>
      <c r="AV1082" s="367"/>
      <c r="AW1082" s="367"/>
      <c r="AX1082" s="367"/>
      <c r="AY1082" s="367"/>
      <c r="AZ1082" s="367"/>
      <c r="BA1082" s="367"/>
      <c r="BB1082" s="152"/>
      <c r="BC1082" s="152"/>
      <c r="BD1082" s="367" t="s">
        <v>816</v>
      </c>
      <c r="BE1082" s="367"/>
      <c r="BF1082" s="367"/>
      <c r="BG1082" s="367"/>
      <c r="BH1082" s="260"/>
      <c r="BL1082" s="54"/>
    </row>
    <row r="1083" spans="1:64" ht="37.950000000000003" customHeight="1" x14ac:dyDescent="0.3">
      <c r="A1083" s="367">
        <f t="shared" si="20"/>
        <v>1078</v>
      </c>
      <c r="B1083" s="54" t="s">
        <v>3304</v>
      </c>
      <c r="C1083" s="367" t="s">
        <v>3227</v>
      </c>
      <c r="D1083" s="367" t="s">
        <v>262</v>
      </c>
      <c r="E1083" s="367"/>
      <c r="F1083" s="367"/>
      <c r="G1083" s="367"/>
      <c r="H1083" s="367"/>
      <c r="I1083" s="150" t="s">
        <v>3228</v>
      </c>
      <c r="J1083" s="48" t="s">
        <v>3277</v>
      </c>
      <c r="K1083" s="48" t="s">
        <v>3305</v>
      </c>
      <c r="L1083" s="367" t="s">
        <v>3243</v>
      </c>
      <c r="M1083" s="150" t="s">
        <v>65</v>
      </c>
      <c r="N1083" s="150" t="s">
        <v>3232</v>
      </c>
      <c r="O1083" s="150" t="s">
        <v>3233</v>
      </c>
      <c r="P1083" s="367">
        <v>1</v>
      </c>
      <c r="Q1083" s="367" t="s">
        <v>3234</v>
      </c>
      <c r="R1083" s="367"/>
      <c r="S1083" s="367"/>
      <c r="T1083" s="367" t="s">
        <v>3235</v>
      </c>
      <c r="U1083" s="367"/>
      <c r="V1083" s="367"/>
      <c r="W1083" s="367"/>
      <c r="X1083" s="367"/>
      <c r="Y1083" s="367"/>
      <c r="Z1083" s="367" t="s">
        <v>127</v>
      </c>
      <c r="AA1083" s="367"/>
      <c r="AB1083" s="150"/>
      <c r="AC1083" s="48" t="s">
        <v>3306</v>
      </c>
      <c r="AD1083" s="150" t="s">
        <v>3256</v>
      </c>
      <c r="AE1083" s="296"/>
      <c r="AF1083" s="296"/>
      <c r="AG1083" s="286">
        <v>46569</v>
      </c>
      <c r="AH1083" s="49">
        <v>46563</v>
      </c>
      <c r="AI1083" s="266">
        <v>46539</v>
      </c>
      <c r="AJ1083" s="150" t="s">
        <v>617</v>
      </c>
      <c r="AK1083" s="150"/>
      <c r="AL1083" s="150"/>
      <c r="AM1083" s="150"/>
      <c r="AN1083" s="367"/>
      <c r="AO1083" s="367"/>
      <c r="AP1083" s="367"/>
      <c r="AQ1083" s="367"/>
      <c r="AR1083" s="367"/>
      <c r="AS1083" s="367"/>
      <c r="AT1083" s="367"/>
      <c r="AU1083" s="367"/>
      <c r="AV1083" s="367"/>
      <c r="AW1083" s="367"/>
      <c r="AX1083" s="367"/>
      <c r="AY1083" s="367"/>
      <c r="AZ1083" s="367"/>
      <c r="BA1083" s="367"/>
      <c r="BB1083" s="152"/>
      <c r="BC1083" s="152"/>
      <c r="BD1083" s="367" t="s">
        <v>816</v>
      </c>
      <c r="BE1083" s="367"/>
      <c r="BF1083" s="367"/>
      <c r="BG1083" s="367"/>
      <c r="BH1083" s="260"/>
      <c r="BL1083" s="54"/>
    </row>
    <row r="1084" spans="1:64" ht="37.950000000000003" customHeight="1" x14ac:dyDescent="0.3">
      <c r="A1084" s="367">
        <f t="shared" si="20"/>
        <v>1079</v>
      </c>
      <c r="B1084" s="54" t="s">
        <v>3307</v>
      </c>
      <c r="C1084" s="367" t="s">
        <v>3227</v>
      </c>
      <c r="D1084" s="367" t="s">
        <v>262</v>
      </c>
      <c r="E1084" s="367"/>
      <c r="F1084" s="367"/>
      <c r="G1084" s="367"/>
      <c r="H1084" s="367"/>
      <c r="I1084" s="150" t="s">
        <v>3228</v>
      </c>
      <c r="J1084" s="48" t="s">
        <v>3277</v>
      </c>
      <c r="K1084" s="48" t="s">
        <v>3305</v>
      </c>
      <c r="L1084" s="367" t="s">
        <v>3243</v>
      </c>
      <c r="M1084" s="150" t="s">
        <v>65</v>
      </c>
      <c r="N1084" s="150" t="s">
        <v>3232</v>
      </c>
      <c r="O1084" s="150" t="s">
        <v>3233</v>
      </c>
      <c r="P1084" s="367">
        <v>1</v>
      </c>
      <c r="Q1084" s="367" t="s">
        <v>3234</v>
      </c>
      <c r="R1084" s="367"/>
      <c r="S1084" s="367"/>
      <c r="T1084" s="367" t="s">
        <v>3235</v>
      </c>
      <c r="U1084" s="367"/>
      <c r="V1084" s="367"/>
      <c r="W1084" s="367"/>
      <c r="X1084" s="367"/>
      <c r="Y1084" s="367"/>
      <c r="Z1084" s="367" t="s">
        <v>127</v>
      </c>
      <c r="AA1084" s="367"/>
      <c r="AB1084" s="150"/>
      <c r="AC1084" s="48" t="s">
        <v>3308</v>
      </c>
      <c r="AD1084" s="150" t="s">
        <v>169</v>
      </c>
      <c r="AE1084" s="296"/>
      <c r="AF1084" s="296"/>
      <c r="AG1084" s="286">
        <v>46569</v>
      </c>
      <c r="AH1084" s="49">
        <v>46563</v>
      </c>
      <c r="AI1084" s="266">
        <v>46539</v>
      </c>
      <c r="AJ1084" s="150" t="s">
        <v>617</v>
      </c>
      <c r="AK1084" s="150"/>
      <c r="AL1084" s="150"/>
      <c r="AM1084" s="150"/>
      <c r="AN1084" s="367"/>
      <c r="AO1084" s="367"/>
      <c r="AP1084" s="367"/>
      <c r="AQ1084" s="367"/>
      <c r="AR1084" s="367"/>
      <c r="AS1084" s="367"/>
      <c r="AT1084" s="367"/>
      <c r="AU1084" s="367"/>
      <c r="AV1084" s="367"/>
      <c r="AW1084" s="367"/>
      <c r="AX1084" s="367"/>
      <c r="AY1084" s="367"/>
      <c r="AZ1084" s="367"/>
      <c r="BA1084" s="367"/>
      <c r="BB1084" s="152"/>
      <c r="BC1084" s="152"/>
      <c r="BD1084" s="367" t="s">
        <v>816</v>
      </c>
      <c r="BE1084" s="367"/>
      <c r="BF1084" s="367"/>
      <c r="BG1084" s="367"/>
      <c r="BH1084" s="260"/>
      <c r="BL1084" s="54"/>
    </row>
    <row r="1085" spans="1:64" ht="37.950000000000003" customHeight="1" x14ac:dyDescent="0.3">
      <c r="A1085" s="367">
        <f t="shared" si="20"/>
        <v>1080</v>
      </c>
      <c r="B1085" s="54" t="s">
        <v>3309</v>
      </c>
      <c r="C1085" s="367" t="s">
        <v>3227</v>
      </c>
      <c r="D1085" s="367" t="s">
        <v>262</v>
      </c>
      <c r="E1085" s="367"/>
      <c r="F1085" s="367"/>
      <c r="G1085" s="367"/>
      <c r="H1085" s="367"/>
      <c r="I1085" s="150" t="s">
        <v>3228</v>
      </c>
      <c r="J1085" s="48" t="s">
        <v>3277</v>
      </c>
      <c r="K1085" s="48" t="s">
        <v>3305</v>
      </c>
      <c r="L1085" s="367" t="s">
        <v>3243</v>
      </c>
      <c r="M1085" s="150" t="s">
        <v>65</v>
      </c>
      <c r="N1085" s="150" t="s">
        <v>3232</v>
      </c>
      <c r="O1085" s="150" t="s">
        <v>3233</v>
      </c>
      <c r="P1085" s="367">
        <v>1</v>
      </c>
      <c r="Q1085" s="367" t="s">
        <v>3234</v>
      </c>
      <c r="R1085" s="367"/>
      <c r="S1085" s="367"/>
      <c r="T1085" s="367" t="s">
        <v>3235</v>
      </c>
      <c r="U1085" s="367"/>
      <c r="V1085" s="367"/>
      <c r="W1085" s="367"/>
      <c r="X1085" s="367"/>
      <c r="Y1085" s="367"/>
      <c r="Z1085" s="367" t="s">
        <v>127</v>
      </c>
      <c r="AA1085" s="367"/>
      <c r="AB1085" s="150"/>
      <c r="AC1085" s="48" t="s">
        <v>3308</v>
      </c>
      <c r="AD1085" s="150" t="s">
        <v>169</v>
      </c>
      <c r="AE1085" s="296"/>
      <c r="AF1085" s="296"/>
      <c r="AG1085" s="286">
        <v>46631</v>
      </c>
      <c r="AH1085" s="49">
        <v>46624</v>
      </c>
      <c r="AI1085" s="266">
        <v>46569</v>
      </c>
      <c r="AJ1085" s="150" t="s">
        <v>617</v>
      </c>
      <c r="AK1085" s="150"/>
      <c r="AL1085" s="150"/>
      <c r="AM1085" s="150"/>
      <c r="AN1085" s="367"/>
      <c r="AO1085" s="367"/>
      <c r="AP1085" s="367"/>
      <c r="AQ1085" s="367"/>
      <c r="AR1085" s="367"/>
      <c r="AS1085" s="367"/>
      <c r="AT1085" s="367"/>
      <c r="AU1085" s="367"/>
      <c r="AV1085" s="367"/>
      <c r="AW1085" s="367"/>
      <c r="AX1085" s="367"/>
      <c r="AY1085" s="367"/>
      <c r="AZ1085" s="367"/>
      <c r="BA1085" s="367"/>
      <c r="BB1085" s="152"/>
      <c r="BC1085" s="152"/>
      <c r="BD1085" s="367" t="s">
        <v>816</v>
      </c>
      <c r="BE1085" s="367"/>
      <c r="BF1085" s="367"/>
      <c r="BG1085" s="367"/>
      <c r="BH1085" s="260"/>
      <c r="BL1085" s="54"/>
    </row>
    <row r="1086" spans="1:64" ht="37.950000000000003" customHeight="1" x14ac:dyDescent="0.3">
      <c r="A1086" s="367">
        <f t="shared" si="20"/>
        <v>1081</v>
      </c>
      <c r="B1086" s="54" t="s">
        <v>3310</v>
      </c>
      <c r="C1086" s="367" t="s">
        <v>3227</v>
      </c>
      <c r="D1086" s="367" t="s">
        <v>262</v>
      </c>
      <c r="E1086" s="367"/>
      <c r="F1086" s="367"/>
      <c r="G1086" s="367"/>
      <c r="H1086" s="367"/>
      <c r="I1086" s="150" t="s">
        <v>3228</v>
      </c>
      <c r="J1086" s="48" t="s">
        <v>3277</v>
      </c>
      <c r="K1086" s="48" t="s">
        <v>3305</v>
      </c>
      <c r="L1086" s="367" t="s">
        <v>3243</v>
      </c>
      <c r="M1086" s="150" t="s">
        <v>65</v>
      </c>
      <c r="N1086" s="150" t="s">
        <v>3232</v>
      </c>
      <c r="O1086" s="150" t="s">
        <v>3233</v>
      </c>
      <c r="P1086" s="367">
        <v>1</v>
      </c>
      <c r="Q1086" s="367" t="s">
        <v>3234</v>
      </c>
      <c r="R1086" s="367"/>
      <c r="S1086" s="367"/>
      <c r="T1086" s="367" t="s">
        <v>3235</v>
      </c>
      <c r="U1086" s="367"/>
      <c r="V1086" s="367"/>
      <c r="W1086" s="367"/>
      <c r="X1086" s="367"/>
      <c r="Y1086" s="367"/>
      <c r="Z1086" s="367" t="s">
        <v>127</v>
      </c>
      <c r="AA1086" s="367"/>
      <c r="AB1086" s="150"/>
      <c r="AC1086" s="48" t="s">
        <v>3311</v>
      </c>
      <c r="AD1086" s="150" t="s">
        <v>238</v>
      </c>
      <c r="AE1086" s="296"/>
      <c r="AF1086" s="296"/>
      <c r="AG1086" s="286">
        <v>46631</v>
      </c>
      <c r="AH1086" s="49">
        <v>46624</v>
      </c>
      <c r="AI1086" s="266">
        <v>46569</v>
      </c>
      <c r="AJ1086" s="150" t="s">
        <v>617</v>
      </c>
      <c r="AK1086" s="150"/>
      <c r="AL1086" s="150"/>
      <c r="AM1086" s="150"/>
      <c r="AN1086" s="367"/>
      <c r="AO1086" s="367"/>
      <c r="AP1086" s="367"/>
      <c r="AQ1086" s="367"/>
      <c r="AR1086" s="367"/>
      <c r="AS1086" s="367"/>
      <c r="AT1086" s="367"/>
      <c r="AU1086" s="367"/>
      <c r="AV1086" s="367"/>
      <c r="AW1086" s="367"/>
      <c r="AX1086" s="367"/>
      <c r="AY1086" s="367"/>
      <c r="AZ1086" s="367"/>
      <c r="BA1086" s="367"/>
      <c r="BB1086" s="152"/>
      <c r="BC1086" s="152"/>
      <c r="BD1086" s="367" t="s">
        <v>816</v>
      </c>
      <c r="BE1086" s="367"/>
      <c r="BF1086" s="367"/>
      <c r="BG1086" s="367"/>
      <c r="BH1086" s="260"/>
      <c r="BL1086" s="54"/>
    </row>
    <row r="1087" spans="1:64" ht="37.950000000000003" customHeight="1" x14ac:dyDescent="0.3">
      <c r="A1087" s="367">
        <f t="shared" si="20"/>
        <v>1082</v>
      </c>
      <c r="B1087" s="54" t="s">
        <v>3312</v>
      </c>
      <c r="C1087" s="367" t="s">
        <v>3227</v>
      </c>
      <c r="D1087" s="367" t="s">
        <v>262</v>
      </c>
      <c r="E1087" s="367"/>
      <c r="F1087" s="367"/>
      <c r="G1087" s="367"/>
      <c r="H1087" s="367"/>
      <c r="I1087" s="150" t="s">
        <v>3228</v>
      </c>
      <c r="J1087" s="48" t="s">
        <v>3277</v>
      </c>
      <c r="K1087" s="48" t="s">
        <v>3305</v>
      </c>
      <c r="L1087" s="367" t="s">
        <v>3243</v>
      </c>
      <c r="M1087" s="150" t="s">
        <v>65</v>
      </c>
      <c r="N1087" s="150" t="s">
        <v>3232</v>
      </c>
      <c r="O1087" s="150" t="s">
        <v>3233</v>
      </c>
      <c r="P1087" s="367">
        <v>1</v>
      </c>
      <c r="Q1087" s="367" t="s">
        <v>3234</v>
      </c>
      <c r="R1087" s="367"/>
      <c r="S1087" s="367"/>
      <c r="T1087" s="367" t="s">
        <v>3235</v>
      </c>
      <c r="U1087" s="367"/>
      <c r="V1087" s="367"/>
      <c r="W1087" s="367"/>
      <c r="X1087" s="367" t="s">
        <v>1678</v>
      </c>
      <c r="Y1087" s="367"/>
      <c r="Z1087" s="367" t="s">
        <v>127</v>
      </c>
      <c r="AA1087" s="367"/>
      <c r="AB1087" s="150" t="s">
        <v>215</v>
      </c>
      <c r="AC1087" s="48" t="s">
        <v>3313</v>
      </c>
      <c r="AD1087" s="150" t="s">
        <v>2427</v>
      </c>
      <c r="AE1087" s="296"/>
      <c r="AF1087" s="296"/>
      <c r="AG1087" s="286">
        <v>46631</v>
      </c>
      <c r="AH1087" s="49">
        <v>46624</v>
      </c>
      <c r="AI1087" s="266">
        <v>46569</v>
      </c>
      <c r="AJ1087" s="150" t="s">
        <v>617</v>
      </c>
      <c r="AK1087" s="150"/>
      <c r="AL1087" s="150"/>
      <c r="AM1087" s="150"/>
      <c r="AN1087" s="367"/>
      <c r="AO1087" s="367"/>
      <c r="AP1087" s="367"/>
      <c r="AQ1087" s="367"/>
      <c r="AR1087" s="367"/>
      <c r="AS1087" s="367"/>
      <c r="AT1087" s="367"/>
      <c r="AU1087" s="367"/>
      <c r="AV1087" s="367"/>
      <c r="AW1087" s="367"/>
      <c r="AX1087" s="367"/>
      <c r="AY1087" s="367"/>
      <c r="AZ1087" s="367"/>
      <c r="BA1087" s="367"/>
      <c r="BB1087" s="152"/>
      <c r="BC1087" s="152"/>
      <c r="BD1087" s="367" t="s">
        <v>816</v>
      </c>
      <c r="BE1087" s="367"/>
      <c r="BF1087" s="367"/>
      <c r="BG1087" s="367"/>
      <c r="BH1087" s="260"/>
      <c r="BL1087" s="54"/>
    </row>
    <row r="1088" spans="1:64" ht="37.950000000000003" customHeight="1" x14ac:dyDescent="0.3">
      <c r="A1088" s="367">
        <f t="shared" si="20"/>
        <v>1083</v>
      </c>
      <c r="B1088" s="54" t="s">
        <v>3314</v>
      </c>
      <c r="C1088" s="367" t="s">
        <v>3227</v>
      </c>
      <c r="D1088" s="367" t="s">
        <v>262</v>
      </c>
      <c r="E1088" s="367"/>
      <c r="F1088" s="367"/>
      <c r="G1088" s="367"/>
      <c r="H1088" s="367"/>
      <c r="I1088" s="150" t="s">
        <v>3228</v>
      </c>
      <c r="J1088" s="48" t="s">
        <v>3315</v>
      </c>
      <c r="K1088" s="48" t="s">
        <v>3316</v>
      </c>
      <c r="L1088" s="367" t="s">
        <v>3231</v>
      </c>
      <c r="M1088" s="150" t="s">
        <v>120</v>
      </c>
      <c r="N1088" s="150" t="s">
        <v>3232</v>
      </c>
      <c r="O1088" s="150" t="s">
        <v>3233</v>
      </c>
      <c r="P1088" s="367">
        <v>1</v>
      </c>
      <c r="Q1088" s="367" t="s">
        <v>3234</v>
      </c>
      <c r="R1088" s="367"/>
      <c r="S1088" s="367"/>
      <c r="T1088" s="367" t="s">
        <v>3235</v>
      </c>
      <c r="U1088" s="367"/>
      <c r="V1088" s="367"/>
      <c r="W1088" s="367"/>
      <c r="X1088" s="367" t="s">
        <v>3236</v>
      </c>
      <c r="Y1088" s="367" t="s">
        <v>127</v>
      </c>
      <c r="Z1088" s="367"/>
      <c r="AA1088" s="367"/>
      <c r="AB1088" s="150" t="s">
        <v>215</v>
      </c>
      <c r="AC1088" s="48" t="s">
        <v>3317</v>
      </c>
      <c r="AD1088" s="150" t="s">
        <v>2415</v>
      </c>
      <c r="AE1088" s="296"/>
      <c r="AF1088" s="296"/>
      <c r="AG1088" s="286">
        <v>46631</v>
      </c>
      <c r="AH1088" s="49">
        <v>46624</v>
      </c>
      <c r="AI1088" s="266">
        <v>46569</v>
      </c>
      <c r="AJ1088" s="150" t="s">
        <v>617</v>
      </c>
      <c r="AK1088" s="150"/>
      <c r="AL1088" s="150"/>
      <c r="AM1088" s="150"/>
      <c r="AN1088" s="367"/>
      <c r="AO1088" s="367"/>
      <c r="AP1088" s="367"/>
      <c r="AQ1088" s="367"/>
      <c r="AR1088" s="367"/>
      <c r="AS1088" s="367"/>
      <c r="AT1088" s="367"/>
      <c r="AU1088" s="367"/>
      <c r="AV1088" s="367"/>
      <c r="AW1088" s="367"/>
      <c r="AX1088" s="367"/>
      <c r="AY1088" s="367"/>
      <c r="AZ1088" s="367"/>
      <c r="BA1088" s="367"/>
      <c r="BB1088" s="152"/>
      <c r="BC1088" s="152"/>
      <c r="BD1088" s="367" t="s">
        <v>816</v>
      </c>
      <c r="BE1088" s="367"/>
      <c r="BF1088" s="367"/>
      <c r="BG1088" s="367"/>
      <c r="BH1088" s="260"/>
      <c r="BL1088" s="54"/>
    </row>
    <row r="1089" spans="1:64" ht="37.950000000000003" customHeight="1" x14ac:dyDescent="0.3">
      <c r="A1089" s="367">
        <f t="shared" si="20"/>
        <v>1084</v>
      </c>
      <c r="B1089" s="54" t="s">
        <v>3318</v>
      </c>
      <c r="C1089" s="367" t="s">
        <v>3227</v>
      </c>
      <c r="D1089" s="367" t="s">
        <v>262</v>
      </c>
      <c r="E1089" s="367"/>
      <c r="F1089" s="367"/>
      <c r="G1089" s="367"/>
      <c r="H1089" s="367"/>
      <c r="I1089" s="150" t="s">
        <v>3228</v>
      </c>
      <c r="J1089" s="48" t="s">
        <v>3315</v>
      </c>
      <c r="K1089" s="48" t="s">
        <v>3316</v>
      </c>
      <c r="L1089" s="367" t="s">
        <v>3231</v>
      </c>
      <c r="M1089" s="150" t="s">
        <v>120</v>
      </c>
      <c r="N1089" s="150" t="s">
        <v>3232</v>
      </c>
      <c r="O1089" s="150" t="s">
        <v>3233</v>
      </c>
      <c r="P1089" s="367">
        <v>1</v>
      </c>
      <c r="Q1089" s="367" t="s">
        <v>3234</v>
      </c>
      <c r="R1089" s="367"/>
      <c r="S1089" s="367"/>
      <c r="T1089" s="367" t="s">
        <v>3235</v>
      </c>
      <c r="U1089" s="367"/>
      <c r="V1089" s="367"/>
      <c r="W1089" s="367"/>
      <c r="X1089" s="367"/>
      <c r="Y1089" s="367"/>
      <c r="Z1089" s="367"/>
      <c r="AA1089" s="367"/>
      <c r="AB1089" s="150"/>
      <c r="AC1089" s="48" t="s">
        <v>3319</v>
      </c>
      <c r="AD1089" s="150" t="s">
        <v>169</v>
      </c>
      <c r="AE1089" s="296"/>
      <c r="AF1089" s="296"/>
      <c r="AG1089" s="286">
        <v>46631</v>
      </c>
      <c r="AH1089" s="49">
        <v>46624</v>
      </c>
      <c r="AI1089" s="266">
        <v>46569</v>
      </c>
      <c r="AJ1089" s="150" t="s">
        <v>617</v>
      </c>
      <c r="AK1089" s="150"/>
      <c r="AL1089" s="150"/>
      <c r="AM1089" s="150"/>
      <c r="AN1089" s="367"/>
      <c r="AO1089" s="367"/>
      <c r="AP1089" s="367"/>
      <c r="AQ1089" s="367"/>
      <c r="AR1089" s="367"/>
      <c r="AS1089" s="367"/>
      <c r="AT1089" s="367"/>
      <c r="AU1089" s="367"/>
      <c r="AV1089" s="367"/>
      <c r="AW1089" s="367"/>
      <c r="AX1089" s="367"/>
      <c r="AY1089" s="367"/>
      <c r="AZ1089" s="367"/>
      <c r="BA1089" s="367"/>
      <c r="BB1089" s="152"/>
      <c r="BC1089" s="152"/>
      <c r="BD1089" s="367" t="s">
        <v>816</v>
      </c>
      <c r="BE1089" s="367"/>
      <c r="BF1089" s="367"/>
      <c r="BG1089" s="367"/>
      <c r="BH1089" s="260"/>
      <c r="BL1089" s="54"/>
    </row>
    <row r="1090" spans="1:64" ht="37.950000000000003" customHeight="1" x14ac:dyDescent="0.3">
      <c r="A1090" s="367">
        <f t="shared" si="20"/>
        <v>1085</v>
      </c>
      <c r="B1090" s="54" t="s">
        <v>3320</v>
      </c>
      <c r="C1090" s="367" t="s">
        <v>3227</v>
      </c>
      <c r="D1090" s="367" t="s">
        <v>262</v>
      </c>
      <c r="E1090" s="367"/>
      <c r="F1090" s="367"/>
      <c r="G1090" s="367"/>
      <c r="H1090" s="367"/>
      <c r="I1090" s="150" t="s">
        <v>3228</v>
      </c>
      <c r="J1090" s="48" t="s">
        <v>3315</v>
      </c>
      <c r="K1090" s="48" t="s">
        <v>3321</v>
      </c>
      <c r="L1090" s="367" t="s">
        <v>3243</v>
      </c>
      <c r="M1090" s="150" t="s">
        <v>120</v>
      </c>
      <c r="N1090" s="150" t="s">
        <v>3232</v>
      </c>
      <c r="O1090" s="150" t="s">
        <v>3233</v>
      </c>
      <c r="P1090" s="367">
        <v>1</v>
      </c>
      <c r="Q1090" s="367" t="s">
        <v>3234</v>
      </c>
      <c r="R1090" s="367"/>
      <c r="S1090" s="367"/>
      <c r="T1090" s="367" t="s">
        <v>3235</v>
      </c>
      <c r="U1090" s="367"/>
      <c r="V1090" s="367"/>
      <c r="W1090" s="367"/>
      <c r="X1090" s="367"/>
      <c r="Y1090" s="367"/>
      <c r="Z1090" s="367" t="s">
        <v>127</v>
      </c>
      <c r="AA1090" s="367"/>
      <c r="AB1090" s="150"/>
      <c r="AC1090" s="48" t="s">
        <v>3322</v>
      </c>
      <c r="AD1090" s="150" t="s">
        <v>169</v>
      </c>
      <c r="AE1090" s="296"/>
      <c r="AF1090" s="296"/>
      <c r="AG1090" s="286">
        <v>46631</v>
      </c>
      <c r="AH1090" s="49">
        <v>46624</v>
      </c>
      <c r="AI1090" s="266">
        <v>46569</v>
      </c>
      <c r="AJ1090" s="150" t="s">
        <v>617</v>
      </c>
      <c r="AK1090" s="150"/>
      <c r="AL1090" s="150"/>
      <c r="AM1090" s="150"/>
      <c r="AN1090" s="367"/>
      <c r="AO1090" s="367"/>
      <c r="AP1090" s="367"/>
      <c r="AQ1090" s="367"/>
      <c r="AR1090" s="367"/>
      <c r="AS1090" s="367"/>
      <c r="AT1090" s="367"/>
      <c r="AU1090" s="367"/>
      <c r="AV1090" s="367"/>
      <c r="AW1090" s="367"/>
      <c r="AX1090" s="367"/>
      <c r="AY1090" s="367"/>
      <c r="AZ1090" s="367"/>
      <c r="BA1090" s="367"/>
      <c r="BB1090" s="152"/>
      <c r="BC1090" s="152"/>
      <c r="BD1090" s="367" t="s">
        <v>816</v>
      </c>
      <c r="BE1090" s="367"/>
      <c r="BF1090" s="367"/>
      <c r="BG1090" s="367"/>
      <c r="BH1090" s="260"/>
      <c r="BL1090" s="54"/>
    </row>
    <row r="1091" spans="1:64" ht="37.950000000000003" customHeight="1" x14ac:dyDescent="0.3">
      <c r="A1091" s="367">
        <f t="shared" si="20"/>
        <v>1086</v>
      </c>
      <c r="B1091" s="54" t="s">
        <v>3323</v>
      </c>
      <c r="C1091" s="367" t="s">
        <v>3227</v>
      </c>
      <c r="D1091" s="367" t="s">
        <v>262</v>
      </c>
      <c r="E1091" s="367"/>
      <c r="F1091" s="367"/>
      <c r="G1091" s="367"/>
      <c r="H1091" s="367"/>
      <c r="I1091" s="150" t="s">
        <v>3228</v>
      </c>
      <c r="J1091" s="48" t="s">
        <v>3315</v>
      </c>
      <c r="K1091" s="48" t="s">
        <v>3321</v>
      </c>
      <c r="L1091" s="367" t="s">
        <v>3243</v>
      </c>
      <c r="M1091" s="150" t="s">
        <v>120</v>
      </c>
      <c r="N1091" s="150" t="s">
        <v>3232</v>
      </c>
      <c r="O1091" s="150" t="s">
        <v>3233</v>
      </c>
      <c r="P1091" s="367">
        <v>1</v>
      </c>
      <c r="Q1091" s="367" t="s">
        <v>3234</v>
      </c>
      <c r="R1091" s="367"/>
      <c r="S1091" s="367"/>
      <c r="T1091" s="367" t="s">
        <v>3235</v>
      </c>
      <c r="U1091" s="367"/>
      <c r="V1091" s="367"/>
      <c r="W1091" s="367"/>
      <c r="X1091" s="367"/>
      <c r="Y1091" s="367"/>
      <c r="Z1091" s="367" t="s">
        <v>127</v>
      </c>
      <c r="AA1091" s="367"/>
      <c r="AB1091" s="150"/>
      <c r="AC1091" s="48" t="s">
        <v>3324</v>
      </c>
      <c r="AD1091" s="150" t="s">
        <v>238</v>
      </c>
      <c r="AE1091" s="296"/>
      <c r="AF1091" s="296"/>
      <c r="AG1091" s="286">
        <v>46631</v>
      </c>
      <c r="AH1091" s="49">
        <v>46624</v>
      </c>
      <c r="AI1091" s="266">
        <v>46569</v>
      </c>
      <c r="AJ1091" s="150" t="s">
        <v>617</v>
      </c>
      <c r="AK1091" s="150"/>
      <c r="AL1091" s="150"/>
      <c r="AM1091" s="150"/>
      <c r="AN1091" s="367"/>
      <c r="AO1091" s="367"/>
      <c r="AP1091" s="367"/>
      <c r="AQ1091" s="367"/>
      <c r="AR1091" s="367"/>
      <c r="AS1091" s="367"/>
      <c r="AT1091" s="367"/>
      <c r="AU1091" s="367"/>
      <c r="AV1091" s="367"/>
      <c r="AW1091" s="367"/>
      <c r="AX1091" s="367"/>
      <c r="AY1091" s="367"/>
      <c r="AZ1091" s="367"/>
      <c r="BA1091" s="367"/>
      <c r="BB1091" s="152"/>
      <c r="BC1091" s="152"/>
      <c r="BD1091" s="367" t="s">
        <v>816</v>
      </c>
      <c r="BE1091" s="367"/>
      <c r="BF1091" s="367"/>
      <c r="BG1091" s="367"/>
      <c r="BH1091" s="260"/>
      <c r="BL1091" s="54"/>
    </row>
    <row r="1092" spans="1:64" ht="37.950000000000003" customHeight="1" x14ac:dyDescent="0.3">
      <c r="A1092" s="367">
        <f t="shared" si="20"/>
        <v>1087</v>
      </c>
      <c r="B1092" s="54" t="s">
        <v>3325</v>
      </c>
      <c r="C1092" s="367" t="s">
        <v>3227</v>
      </c>
      <c r="D1092" s="367" t="s">
        <v>262</v>
      </c>
      <c r="E1092" s="367"/>
      <c r="F1092" s="367"/>
      <c r="G1092" s="367"/>
      <c r="H1092" s="367"/>
      <c r="I1092" s="150" t="s">
        <v>3228</v>
      </c>
      <c r="J1092" s="48" t="s">
        <v>3315</v>
      </c>
      <c r="K1092" s="48" t="s">
        <v>3321</v>
      </c>
      <c r="L1092" s="367" t="s">
        <v>3243</v>
      </c>
      <c r="M1092" s="150" t="s">
        <v>120</v>
      </c>
      <c r="N1092" s="150" t="s">
        <v>3232</v>
      </c>
      <c r="O1092" s="150" t="s">
        <v>3233</v>
      </c>
      <c r="P1092" s="367">
        <v>1</v>
      </c>
      <c r="Q1092" s="367" t="s">
        <v>3234</v>
      </c>
      <c r="R1092" s="367"/>
      <c r="S1092" s="367"/>
      <c r="T1092" s="367" t="s">
        <v>3235</v>
      </c>
      <c r="U1092" s="367"/>
      <c r="V1092" s="367"/>
      <c r="W1092" s="367"/>
      <c r="X1092" s="367"/>
      <c r="Y1092" s="367"/>
      <c r="Z1092" s="367" t="s">
        <v>127</v>
      </c>
      <c r="AA1092" s="367"/>
      <c r="AB1092" s="150"/>
      <c r="AC1092" s="48" t="s">
        <v>3322</v>
      </c>
      <c r="AD1092" s="150" t="s">
        <v>169</v>
      </c>
      <c r="AE1092" s="296"/>
      <c r="AF1092" s="296"/>
      <c r="AG1092" s="286">
        <v>46661</v>
      </c>
      <c r="AH1092" s="49">
        <v>46655</v>
      </c>
      <c r="AI1092" s="266">
        <v>46600</v>
      </c>
      <c r="AJ1092" s="150" t="s">
        <v>617</v>
      </c>
      <c r="AK1092" s="150"/>
      <c r="AL1092" s="150"/>
      <c r="AM1092" s="150"/>
      <c r="AN1092" s="367"/>
      <c r="AO1092" s="367"/>
      <c r="AP1092" s="367"/>
      <c r="AQ1092" s="367"/>
      <c r="AR1092" s="367"/>
      <c r="AS1092" s="367"/>
      <c r="AT1092" s="367"/>
      <c r="AU1092" s="367"/>
      <c r="AV1092" s="367"/>
      <c r="AW1092" s="367"/>
      <c r="AX1092" s="367"/>
      <c r="AY1092" s="367"/>
      <c r="AZ1092" s="367"/>
      <c r="BA1092" s="367"/>
      <c r="BB1092" s="152"/>
      <c r="BC1092" s="152"/>
      <c r="BD1092" s="367" t="s">
        <v>816</v>
      </c>
      <c r="BE1092" s="367"/>
      <c r="BF1092" s="367"/>
      <c r="BG1092" s="367"/>
      <c r="BH1092" s="260"/>
      <c r="BL1092" s="54"/>
    </row>
    <row r="1093" spans="1:64" ht="37.950000000000003" customHeight="1" x14ac:dyDescent="0.3">
      <c r="A1093" s="367">
        <f t="shared" si="20"/>
        <v>1088</v>
      </c>
      <c r="B1093" s="54" t="s">
        <v>3326</v>
      </c>
      <c r="C1093" s="367" t="s">
        <v>3227</v>
      </c>
      <c r="D1093" s="367" t="s">
        <v>262</v>
      </c>
      <c r="E1093" s="367"/>
      <c r="F1093" s="367"/>
      <c r="G1093" s="367"/>
      <c r="H1093" s="367"/>
      <c r="I1093" s="150" t="s">
        <v>3228</v>
      </c>
      <c r="J1093" s="48" t="s">
        <v>3315</v>
      </c>
      <c r="K1093" s="48" t="s">
        <v>3321</v>
      </c>
      <c r="L1093" s="367" t="s">
        <v>3243</v>
      </c>
      <c r="M1093" s="150" t="s">
        <v>120</v>
      </c>
      <c r="N1093" s="150" t="s">
        <v>3232</v>
      </c>
      <c r="O1093" s="150" t="s">
        <v>3233</v>
      </c>
      <c r="P1093" s="367">
        <v>1</v>
      </c>
      <c r="Q1093" s="367" t="s">
        <v>3234</v>
      </c>
      <c r="R1093" s="367"/>
      <c r="S1093" s="367"/>
      <c r="T1093" s="367" t="s">
        <v>3235</v>
      </c>
      <c r="U1093" s="367"/>
      <c r="V1093" s="367"/>
      <c r="W1093" s="367"/>
      <c r="X1093" s="367"/>
      <c r="Y1093" s="367"/>
      <c r="Z1093" s="367" t="s">
        <v>127</v>
      </c>
      <c r="AA1093" s="367"/>
      <c r="AB1093" s="150"/>
      <c r="AC1093" s="48" t="s">
        <v>3327</v>
      </c>
      <c r="AD1093" s="150" t="s">
        <v>3251</v>
      </c>
      <c r="AE1093" s="296"/>
      <c r="AF1093" s="296"/>
      <c r="AG1093" s="286">
        <v>46661</v>
      </c>
      <c r="AH1093" s="49">
        <v>46655</v>
      </c>
      <c r="AI1093" s="266">
        <v>46600</v>
      </c>
      <c r="AJ1093" s="150" t="s">
        <v>617</v>
      </c>
      <c r="AK1093" s="150"/>
      <c r="AL1093" s="150"/>
      <c r="AM1093" s="150"/>
      <c r="AN1093" s="367"/>
      <c r="AO1093" s="367"/>
      <c r="AP1093" s="367"/>
      <c r="AQ1093" s="367"/>
      <c r="AR1093" s="367"/>
      <c r="AS1093" s="367"/>
      <c r="AT1093" s="367"/>
      <c r="AU1093" s="367"/>
      <c r="AV1093" s="367"/>
      <c r="AW1093" s="367"/>
      <c r="AX1093" s="367"/>
      <c r="AY1093" s="367"/>
      <c r="AZ1093" s="367"/>
      <c r="BA1093" s="367"/>
      <c r="BB1093" s="152"/>
      <c r="BC1093" s="152"/>
      <c r="BD1093" s="367" t="s">
        <v>816</v>
      </c>
      <c r="BE1093" s="367"/>
      <c r="BF1093" s="367"/>
      <c r="BG1093" s="367"/>
      <c r="BH1093" s="260"/>
      <c r="BL1093" s="54"/>
    </row>
    <row r="1094" spans="1:64" ht="37.950000000000003" customHeight="1" x14ac:dyDescent="0.3">
      <c r="A1094" s="367">
        <f t="shared" si="20"/>
        <v>1089</v>
      </c>
      <c r="B1094" s="54" t="s">
        <v>3328</v>
      </c>
      <c r="C1094" s="367" t="s">
        <v>3227</v>
      </c>
      <c r="D1094" s="367" t="s">
        <v>262</v>
      </c>
      <c r="E1094" s="367"/>
      <c r="F1094" s="367"/>
      <c r="G1094" s="367"/>
      <c r="H1094" s="367"/>
      <c r="I1094" s="150" t="s">
        <v>3228</v>
      </c>
      <c r="J1094" s="48" t="s">
        <v>3315</v>
      </c>
      <c r="K1094" s="48" t="s">
        <v>3321</v>
      </c>
      <c r="L1094" s="367" t="s">
        <v>3243</v>
      </c>
      <c r="M1094" s="150" t="s">
        <v>120</v>
      </c>
      <c r="N1094" s="150" t="s">
        <v>3232</v>
      </c>
      <c r="O1094" s="150" t="s">
        <v>3233</v>
      </c>
      <c r="P1094" s="367">
        <v>1</v>
      </c>
      <c r="Q1094" s="367" t="s">
        <v>3234</v>
      </c>
      <c r="R1094" s="367"/>
      <c r="S1094" s="367"/>
      <c r="T1094" s="367" t="s">
        <v>3235</v>
      </c>
      <c r="U1094" s="367"/>
      <c r="V1094" s="367"/>
      <c r="W1094" s="367"/>
      <c r="X1094" s="367"/>
      <c r="Y1094" s="367"/>
      <c r="Z1094" s="367" t="s">
        <v>127</v>
      </c>
      <c r="AA1094" s="367"/>
      <c r="AB1094" s="150"/>
      <c r="AC1094" s="48" t="s">
        <v>3327</v>
      </c>
      <c r="AD1094" s="150" t="s">
        <v>3251</v>
      </c>
      <c r="AE1094" s="296"/>
      <c r="AF1094" s="296"/>
      <c r="AG1094" s="286">
        <v>46661</v>
      </c>
      <c r="AH1094" s="49">
        <v>46655</v>
      </c>
      <c r="AI1094" s="266">
        <v>46600</v>
      </c>
      <c r="AJ1094" s="150" t="s">
        <v>617</v>
      </c>
      <c r="AK1094" s="150"/>
      <c r="AL1094" s="150"/>
      <c r="AM1094" s="150"/>
      <c r="AN1094" s="367"/>
      <c r="AO1094" s="367"/>
      <c r="AP1094" s="367"/>
      <c r="AQ1094" s="367"/>
      <c r="AR1094" s="367"/>
      <c r="AS1094" s="367"/>
      <c r="AT1094" s="367"/>
      <c r="AU1094" s="367"/>
      <c r="AV1094" s="367"/>
      <c r="AW1094" s="367"/>
      <c r="AX1094" s="367"/>
      <c r="AY1094" s="367"/>
      <c r="AZ1094" s="367"/>
      <c r="BA1094" s="367"/>
      <c r="BB1094" s="152"/>
      <c r="BC1094" s="152"/>
      <c r="BD1094" s="367" t="s">
        <v>816</v>
      </c>
      <c r="BE1094" s="367"/>
      <c r="BF1094" s="367"/>
      <c r="BG1094" s="367"/>
      <c r="BH1094" s="260"/>
      <c r="BL1094" s="54"/>
    </row>
    <row r="1095" spans="1:64" ht="37.950000000000003" customHeight="1" x14ac:dyDescent="0.3">
      <c r="A1095" s="367">
        <f t="shared" si="20"/>
        <v>1090</v>
      </c>
      <c r="B1095" s="54" t="s">
        <v>3329</v>
      </c>
      <c r="C1095" s="367" t="s">
        <v>3227</v>
      </c>
      <c r="D1095" s="367" t="s">
        <v>262</v>
      </c>
      <c r="E1095" s="367"/>
      <c r="F1095" s="367"/>
      <c r="G1095" s="367"/>
      <c r="H1095" s="367"/>
      <c r="I1095" s="150" t="s">
        <v>3228</v>
      </c>
      <c r="J1095" s="48" t="s">
        <v>3315</v>
      </c>
      <c r="K1095" s="48" t="s">
        <v>3330</v>
      </c>
      <c r="L1095" s="367" t="s">
        <v>3243</v>
      </c>
      <c r="M1095" s="150" t="s">
        <v>120</v>
      </c>
      <c r="N1095" s="150" t="s">
        <v>3232</v>
      </c>
      <c r="O1095" s="150" t="s">
        <v>3233</v>
      </c>
      <c r="P1095" s="367">
        <v>1</v>
      </c>
      <c r="Q1095" s="367" t="s">
        <v>3234</v>
      </c>
      <c r="R1095" s="367"/>
      <c r="S1095" s="367"/>
      <c r="T1095" s="367" t="s">
        <v>3235</v>
      </c>
      <c r="U1095" s="367"/>
      <c r="V1095" s="367"/>
      <c r="W1095" s="367"/>
      <c r="X1095" s="367"/>
      <c r="Y1095" s="367"/>
      <c r="Z1095" s="367" t="s">
        <v>127</v>
      </c>
      <c r="AA1095" s="367"/>
      <c r="AB1095" s="150"/>
      <c r="AC1095" s="48" t="s">
        <v>3331</v>
      </c>
      <c r="AD1095" s="150" t="s">
        <v>169</v>
      </c>
      <c r="AE1095" s="296"/>
      <c r="AF1095" s="296"/>
      <c r="AG1095" s="286">
        <v>46661</v>
      </c>
      <c r="AH1095" s="49">
        <v>46655</v>
      </c>
      <c r="AI1095" s="266">
        <v>46600</v>
      </c>
      <c r="AJ1095" s="150" t="s">
        <v>617</v>
      </c>
      <c r="AK1095" s="150"/>
      <c r="AL1095" s="150"/>
      <c r="AM1095" s="150"/>
      <c r="AN1095" s="367"/>
      <c r="AO1095" s="367"/>
      <c r="AP1095" s="367"/>
      <c r="AQ1095" s="367"/>
      <c r="AR1095" s="367"/>
      <c r="AS1095" s="367"/>
      <c r="AT1095" s="367"/>
      <c r="AU1095" s="367"/>
      <c r="AV1095" s="367"/>
      <c r="AW1095" s="367"/>
      <c r="AX1095" s="367"/>
      <c r="AY1095" s="367"/>
      <c r="AZ1095" s="367"/>
      <c r="BA1095" s="367"/>
      <c r="BB1095" s="152"/>
      <c r="BC1095" s="152"/>
      <c r="BD1095" s="367" t="s">
        <v>816</v>
      </c>
      <c r="BE1095" s="367"/>
      <c r="BF1095" s="367"/>
      <c r="BG1095" s="367"/>
      <c r="BH1095" s="260"/>
      <c r="BL1095" s="54"/>
    </row>
    <row r="1096" spans="1:64" ht="37.950000000000003" customHeight="1" x14ac:dyDescent="0.3">
      <c r="A1096" s="367">
        <f t="shared" si="20"/>
        <v>1091</v>
      </c>
      <c r="B1096" s="54" t="s">
        <v>3332</v>
      </c>
      <c r="C1096" s="367" t="s">
        <v>3227</v>
      </c>
      <c r="D1096" s="367" t="s">
        <v>262</v>
      </c>
      <c r="E1096" s="367"/>
      <c r="F1096" s="367"/>
      <c r="G1096" s="367"/>
      <c r="H1096" s="367"/>
      <c r="I1096" s="150" t="s">
        <v>3228</v>
      </c>
      <c r="J1096" s="48" t="s">
        <v>3315</v>
      </c>
      <c r="K1096" s="48" t="s">
        <v>3330</v>
      </c>
      <c r="L1096" s="367" t="s">
        <v>3243</v>
      </c>
      <c r="M1096" s="150" t="s">
        <v>120</v>
      </c>
      <c r="N1096" s="150" t="s">
        <v>3232</v>
      </c>
      <c r="O1096" s="150" t="s">
        <v>3233</v>
      </c>
      <c r="P1096" s="367">
        <v>1</v>
      </c>
      <c r="Q1096" s="367" t="s">
        <v>3234</v>
      </c>
      <c r="R1096" s="367"/>
      <c r="S1096" s="367"/>
      <c r="T1096" s="367" t="s">
        <v>3235</v>
      </c>
      <c r="U1096" s="367"/>
      <c r="V1096" s="367"/>
      <c r="W1096" s="367"/>
      <c r="X1096" s="367"/>
      <c r="Y1096" s="367"/>
      <c r="Z1096" s="367" t="s">
        <v>127</v>
      </c>
      <c r="AA1096" s="367"/>
      <c r="AB1096" s="150"/>
      <c r="AC1096" s="48" t="s">
        <v>3331</v>
      </c>
      <c r="AD1096" s="150" t="s">
        <v>169</v>
      </c>
      <c r="AE1096" s="296"/>
      <c r="AF1096" s="296"/>
      <c r="AG1096" s="286">
        <v>46661</v>
      </c>
      <c r="AH1096" s="49">
        <v>46655</v>
      </c>
      <c r="AI1096" s="266">
        <v>46600</v>
      </c>
      <c r="AJ1096" s="150" t="s">
        <v>617</v>
      </c>
      <c r="AK1096" s="150"/>
      <c r="AL1096" s="150"/>
      <c r="AM1096" s="150"/>
      <c r="AN1096" s="367"/>
      <c r="AO1096" s="367"/>
      <c r="AP1096" s="367"/>
      <c r="AQ1096" s="367"/>
      <c r="AR1096" s="367"/>
      <c r="AS1096" s="367"/>
      <c r="AT1096" s="367"/>
      <c r="AU1096" s="367"/>
      <c r="AV1096" s="367"/>
      <c r="AW1096" s="367"/>
      <c r="AX1096" s="367"/>
      <c r="AY1096" s="367"/>
      <c r="AZ1096" s="367"/>
      <c r="BA1096" s="367"/>
      <c r="BB1096" s="152"/>
      <c r="BC1096" s="152"/>
      <c r="BD1096" s="367" t="s">
        <v>816</v>
      </c>
      <c r="BE1096" s="367"/>
      <c r="BF1096" s="367"/>
      <c r="BG1096" s="367"/>
      <c r="BH1096" s="260"/>
      <c r="BL1096" s="54"/>
    </row>
    <row r="1097" spans="1:64" ht="37.950000000000003" customHeight="1" x14ac:dyDescent="0.3">
      <c r="A1097" s="367">
        <f t="shared" si="20"/>
        <v>1092</v>
      </c>
      <c r="B1097" s="54" t="s">
        <v>3333</v>
      </c>
      <c r="C1097" s="367" t="s">
        <v>3227</v>
      </c>
      <c r="D1097" s="367" t="s">
        <v>262</v>
      </c>
      <c r="E1097" s="367"/>
      <c r="F1097" s="367"/>
      <c r="G1097" s="367"/>
      <c r="H1097" s="367"/>
      <c r="I1097" s="150" t="s">
        <v>3228</v>
      </c>
      <c r="J1097" s="48" t="s">
        <v>3315</v>
      </c>
      <c r="K1097" s="48" t="s">
        <v>3330</v>
      </c>
      <c r="L1097" s="367" t="s">
        <v>3243</v>
      </c>
      <c r="M1097" s="150" t="s">
        <v>120</v>
      </c>
      <c r="N1097" s="150" t="s">
        <v>3232</v>
      </c>
      <c r="O1097" s="150" t="s">
        <v>3233</v>
      </c>
      <c r="P1097" s="367">
        <v>1</v>
      </c>
      <c r="Q1097" s="367" t="s">
        <v>3234</v>
      </c>
      <c r="R1097" s="367"/>
      <c r="S1097" s="367"/>
      <c r="T1097" s="367" t="s">
        <v>3235</v>
      </c>
      <c r="U1097" s="367"/>
      <c r="V1097" s="367"/>
      <c r="W1097" s="367"/>
      <c r="X1097" s="367"/>
      <c r="Y1097" s="367"/>
      <c r="Z1097" s="367" t="s">
        <v>127</v>
      </c>
      <c r="AA1097" s="367"/>
      <c r="AB1097" s="150"/>
      <c r="AC1097" s="48" t="s">
        <v>3334</v>
      </c>
      <c r="AD1097" s="150" t="s">
        <v>238</v>
      </c>
      <c r="AE1097" s="296"/>
      <c r="AF1097" s="296"/>
      <c r="AG1097" s="286">
        <v>46661</v>
      </c>
      <c r="AH1097" s="49">
        <v>46655</v>
      </c>
      <c r="AI1097" s="266">
        <v>46600</v>
      </c>
      <c r="AJ1097" s="150" t="s">
        <v>617</v>
      </c>
      <c r="AK1097" s="150"/>
      <c r="AL1097" s="150"/>
      <c r="AM1097" s="150"/>
      <c r="AN1097" s="367"/>
      <c r="AO1097" s="367"/>
      <c r="AP1097" s="367"/>
      <c r="AQ1097" s="367"/>
      <c r="AR1097" s="367"/>
      <c r="AS1097" s="367"/>
      <c r="AT1097" s="367"/>
      <c r="AU1097" s="367"/>
      <c r="AV1097" s="367"/>
      <c r="AW1097" s="367"/>
      <c r="AX1097" s="367"/>
      <c r="AY1097" s="367"/>
      <c r="AZ1097" s="367"/>
      <c r="BA1097" s="367"/>
      <c r="BB1097" s="152"/>
      <c r="BC1097" s="152"/>
      <c r="BD1097" s="367" t="s">
        <v>816</v>
      </c>
      <c r="BE1097" s="367"/>
      <c r="BF1097" s="367"/>
      <c r="BG1097" s="367"/>
      <c r="BH1097" s="260"/>
      <c r="BL1097" s="54"/>
    </row>
    <row r="1098" spans="1:64" ht="37.950000000000003" customHeight="1" x14ac:dyDescent="0.3">
      <c r="A1098" s="367">
        <f t="shared" si="20"/>
        <v>1093</v>
      </c>
      <c r="B1098" s="54" t="s">
        <v>3335</v>
      </c>
      <c r="C1098" s="367" t="s">
        <v>3227</v>
      </c>
      <c r="D1098" s="367" t="s">
        <v>262</v>
      </c>
      <c r="E1098" s="367"/>
      <c r="F1098" s="367"/>
      <c r="G1098" s="367"/>
      <c r="H1098" s="367"/>
      <c r="I1098" s="150" t="s">
        <v>3228</v>
      </c>
      <c r="J1098" s="48" t="s">
        <v>3315</v>
      </c>
      <c r="K1098" s="48" t="s">
        <v>3330</v>
      </c>
      <c r="L1098" s="367" t="s">
        <v>3243</v>
      </c>
      <c r="M1098" s="150" t="s">
        <v>120</v>
      </c>
      <c r="N1098" s="150" t="s">
        <v>3232</v>
      </c>
      <c r="O1098" s="150" t="s">
        <v>3233</v>
      </c>
      <c r="P1098" s="367">
        <v>1</v>
      </c>
      <c r="Q1098" s="367" t="s">
        <v>3234</v>
      </c>
      <c r="R1098" s="367"/>
      <c r="S1098" s="367"/>
      <c r="T1098" s="367" t="s">
        <v>3235</v>
      </c>
      <c r="U1098" s="367"/>
      <c r="V1098" s="367"/>
      <c r="W1098" s="367"/>
      <c r="X1098" s="367" t="s">
        <v>1678</v>
      </c>
      <c r="Y1098" s="367"/>
      <c r="Z1098" s="367" t="s">
        <v>127</v>
      </c>
      <c r="AA1098" s="367"/>
      <c r="AB1098" s="150" t="s">
        <v>215</v>
      </c>
      <c r="AC1098" s="48" t="s">
        <v>3313</v>
      </c>
      <c r="AD1098" s="150" t="s">
        <v>2427</v>
      </c>
      <c r="AE1098" s="296"/>
      <c r="AF1098" s="296"/>
      <c r="AG1098" s="286">
        <v>46661</v>
      </c>
      <c r="AH1098" s="49">
        <v>46655</v>
      </c>
      <c r="AI1098" s="266">
        <v>46600</v>
      </c>
      <c r="AJ1098" s="150" t="s">
        <v>617</v>
      </c>
      <c r="AK1098" s="150"/>
      <c r="AL1098" s="150"/>
      <c r="AM1098" s="150"/>
      <c r="AN1098" s="367"/>
      <c r="AO1098" s="367"/>
      <c r="AP1098" s="367"/>
      <c r="AQ1098" s="367"/>
      <c r="AR1098" s="367"/>
      <c r="AS1098" s="367"/>
      <c r="AT1098" s="367"/>
      <c r="AU1098" s="367"/>
      <c r="AV1098" s="367"/>
      <c r="AW1098" s="367"/>
      <c r="AX1098" s="367"/>
      <c r="AY1098" s="367"/>
      <c r="AZ1098" s="367"/>
      <c r="BA1098" s="367"/>
      <c r="BB1098" s="152"/>
      <c r="BC1098" s="152"/>
      <c r="BD1098" s="367" t="s">
        <v>816</v>
      </c>
      <c r="BE1098" s="367"/>
      <c r="BF1098" s="367"/>
      <c r="BG1098" s="367"/>
      <c r="BH1098" s="260"/>
      <c r="BL1098" s="54"/>
    </row>
    <row r="1099" spans="1:64" ht="37.950000000000003" customHeight="1" x14ac:dyDescent="0.3">
      <c r="A1099" s="367">
        <f t="shared" si="20"/>
        <v>1094</v>
      </c>
      <c r="B1099" s="54" t="s">
        <v>3336</v>
      </c>
      <c r="C1099" s="367" t="s">
        <v>3227</v>
      </c>
      <c r="D1099" s="367" t="s">
        <v>262</v>
      </c>
      <c r="E1099" s="367"/>
      <c r="F1099" s="367"/>
      <c r="G1099" s="367"/>
      <c r="H1099" s="367"/>
      <c r="I1099" s="150" t="s">
        <v>3337</v>
      </c>
      <c r="J1099" s="48"/>
      <c r="K1099" s="48" t="s">
        <v>3338</v>
      </c>
      <c r="L1099" s="367" t="s">
        <v>3243</v>
      </c>
      <c r="M1099" s="150" t="s">
        <v>120</v>
      </c>
      <c r="N1099" s="150" t="s">
        <v>3232</v>
      </c>
      <c r="O1099" s="150" t="s">
        <v>3233</v>
      </c>
      <c r="P1099" s="367">
        <v>1</v>
      </c>
      <c r="Q1099" s="367" t="s">
        <v>3234</v>
      </c>
      <c r="R1099" s="367"/>
      <c r="S1099" s="367"/>
      <c r="T1099" s="367" t="s">
        <v>3235</v>
      </c>
      <c r="U1099" s="367"/>
      <c r="V1099" s="367"/>
      <c r="W1099" s="367"/>
      <c r="X1099" s="367" t="s">
        <v>1678</v>
      </c>
      <c r="Y1099" s="367"/>
      <c r="Z1099" s="367" t="s">
        <v>127</v>
      </c>
      <c r="AA1099" s="367" t="s">
        <v>127</v>
      </c>
      <c r="AB1099" s="150" t="s">
        <v>215</v>
      </c>
      <c r="AC1099" s="48" t="s">
        <v>3339</v>
      </c>
      <c r="AD1099" s="150" t="s">
        <v>2415</v>
      </c>
      <c r="AE1099" s="296"/>
      <c r="AF1099" s="296"/>
      <c r="AG1099" s="286">
        <v>46447</v>
      </c>
      <c r="AH1099" s="49">
        <v>46443</v>
      </c>
      <c r="AI1099" s="266">
        <v>46357</v>
      </c>
      <c r="AJ1099" s="150" t="s">
        <v>617</v>
      </c>
      <c r="AK1099" s="150"/>
      <c r="AL1099" s="150"/>
      <c r="AM1099" s="150"/>
      <c r="AN1099" s="367"/>
      <c r="AO1099" s="367"/>
      <c r="AP1099" s="367"/>
      <c r="AQ1099" s="367"/>
      <c r="AR1099" s="367"/>
      <c r="AS1099" s="367"/>
      <c r="AT1099" s="367"/>
      <c r="AU1099" s="367"/>
      <c r="AV1099" s="367"/>
      <c r="AW1099" s="367"/>
      <c r="AX1099" s="367"/>
      <c r="AY1099" s="367"/>
      <c r="AZ1099" s="367"/>
      <c r="BA1099" s="367"/>
      <c r="BB1099" s="152"/>
      <c r="BC1099" s="152"/>
      <c r="BD1099" s="367" t="s">
        <v>816</v>
      </c>
      <c r="BE1099" s="367"/>
      <c r="BF1099" s="367"/>
      <c r="BG1099" s="367"/>
      <c r="BH1099" s="260"/>
      <c r="BL1099" s="54"/>
    </row>
    <row r="1100" spans="1:64" ht="37.950000000000003" customHeight="1" x14ac:dyDescent="0.3">
      <c r="A1100" s="367">
        <f t="shared" si="20"/>
        <v>1095</v>
      </c>
      <c r="B1100" s="54" t="s">
        <v>3340</v>
      </c>
      <c r="C1100" s="367" t="s">
        <v>3227</v>
      </c>
      <c r="D1100" s="367" t="s">
        <v>262</v>
      </c>
      <c r="E1100" s="367"/>
      <c r="F1100" s="367"/>
      <c r="G1100" s="367"/>
      <c r="H1100" s="367"/>
      <c r="I1100" s="150" t="s">
        <v>3337</v>
      </c>
      <c r="J1100" s="48"/>
      <c r="K1100" s="48" t="s">
        <v>3338</v>
      </c>
      <c r="L1100" s="367" t="s">
        <v>3231</v>
      </c>
      <c r="M1100" s="150" t="s">
        <v>120</v>
      </c>
      <c r="N1100" s="150" t="s">
        <v>3232</v>
      </c>
      <c r="O1100" s="150" t="s">
        <v>3233</v>
      </c>
      <c r="P1100" s="367">
        <v>1</v>
      </c>
      <c r="Q1100" s="367" t="s">
        <v>3234</v>
      </c>
      <c r="R1100" s="367"/>
      <c r="S1100" s="367"/>
      <c r="T1100" s="367" t="s">
        <v>3235</v>
      </c>
      <c r="U1100" s="367"/>
      <c r="V1100" s="367"/>
      <c r="W1100" s="367"/>
      <c r="X1100" s="367"/>
      <c r="Y1100" s="367"/>
      <c r="Z1100" s="367"/>
      <c r="AA1100" s="367"/>
      <c r="AB1100" s="150"/>
      <c r="AC1100" s="48" t="s">
        <v>3341</v>
      </c>
      <c r="AD1100" s="150" t="s">
        <v>169</v>
      </c>
      <c r="AE1100" s="296"/>
      <c r="AF1100" s="296"/>
      <c r="AG1100" s="286">
        <v>46447</v>
      </c>
      <c r="AH1100" s="49">
        <v>46381</v>
      </c>
      <c r="AI1100" s="266">
        <v>46327</v>
      </c>
      <c r="AJ1100" s="150" t="s">
        <v>617</v>
      </c>
      <c r="AK1100" s="150"/>
      <c r="AL1100" s="150"/>
      <c r="AM1100" s="150"/>
      <c r="AN1100" s="367"/>
      <c r="AO1100" s="367"/>
      <c r="AP1100" s="367"/>
      <c r="AQ1100" s="367"/>
      <c r="AR1100" s="367"/>
      <c r="AS1100" s="367"/>
      <c r="AT1100" s="367"/>
      <c r="AU1100" s="367"/>
      <c r="AV1100" s="367"/>
      <c r="AW1100" s="367"/>
      <c r="AX1100" s="367"/>
      <c r="AY1100" s="367"/>
      <c r="AZ1100" s="367"/>
      <c r="BA1100" s="367"/>
      <c r="BB1100" s="152"/>
      <c r="BC1100" s="152"/>
      <c r="BD1100" s="367" t="s">
        <v>816</v>
      </c>
      <c r="BE1100" s="367"/>
      <c r="BF1100" s="367"/>
      <c r="BG1100" s="367"/>
      <c r="BH1100" s="260"/>
      <c r="BL1100" s="54"/>
    </row>
    <row r="1101" spans="1:64" ht="37.950000000000003" customHeight="1" x14ac:dyDescent="0.3">
      <c r="A1101" s="367">
        <f t="shared" si="20"/>
        <v>1096</v>
      </c>
      <c r="B1101" s="54" t="s">
        <v>3342</v>
      </c>
      <c r="C1101" s="367" t="s">
        <v>3227</v>
      </c>
      <c r="D1101" s="367" t="s">
        <v>262</v>
      </c>
      <c r="E1101" s="367"/>
      <c r="F1101" s="367"/>
      <c r="G1101" s="367"/>
      <c r="H1101" s="367"/>
      <c r="I1101" s="150" t="s">
        <v>3337</v>
      </c>
      <c r="J1101" s="48"/>
      <c r="K1101" s="48" t="s">
        <v>3338</v>
      </c>
      <c r="L1101" s="367" t="s">
        <v>3231</v>
      </c>
      <c r="M1101" s="150" t="s">
        <v>120</v>
      </c>
      <c r="N1101" s="150" t="s">
        <v>3232</v>
      </c>
      <c r="O1101" s="150" t="s">
        <v>3233</v>
      </c>
      <c r="P1101" s="367">
        <v>1</v>
      </c>
      <c r="Q1101" s="367" t="s">
        <v>3234</v>
      </c>
      <c r="R1101" s="367"/>
      <c r="S1101" s="367"/>
      <c r="T1101" s="367" t="s">
        <v>3235</v>
      </c>
      <c r="U1101" s="367"/>
      <c r="V1101" s="367"/>
      <c r="W1101" s="367"/>
      <c r="X1101" s="367"/>
      <c r="Y1101" s="367"/>
      <c r="Z1101" s="367"/>
      <c r="AA1101" s="367"/>
      <c r="AB1101" s="150"/>
      <c r="AC1101" s="48" t="s">
        <v>3341</v>
      </c>
      <c r="AD1101" s="150" t="s">
        <v>169</v>
      </c>
      <c r="AE1101" s="296"/>
      <c r="AF1101" s="296"/>
      <c r="AG1101" s="286">
        <v>46447</v>
      </c>
      <c r="AH1101" s="49">
        <v>46381</v>
      </c>
      <c r="AI1101" s="266">
        <v>46327</v>
      </c>
      <c r="AJ1101" s="150" t="s">
        <v>617</v>
      </c>
      <c r="AK1101" s="150"/>
      <c r="AL1101" s="150"/>
      <c r="AM1101" s="150"/>
      <c r="AN1101" s="367"/>
      <c r="AO1101" s="367"/>
      <c r="AP1101" s="367"/>
      <c r="AQ1101" s="367"/>
      <c r="AR1101" s="367"/>
      <c r="AS1101" s="367"/>
      <c r="AT1101" s="367"/>
      <c r="AU1101" s="367"/>
      <c r="AV1101" s="367"/>
      <c r="AW1101" s="367"/>
      <c r="AX1101" s="367"/>
      <c r="AY1101" s="367"/>
      <c r="AZ1101" s="367"/>
      <c r="BA1101" s="367"/>
      <c r="BB1101" s="152"/>
      <c r="BC1101" s="152"/>
      <c r="BD1101" s="367" t="s">
        <v>816</v>
      </c>
      <c r="BE1101" s="367"/>
      <c r="BF1101" s="367"/>
      <c r="BG1101" s="367"/>
      <c r="BH1101" s="260"/>
      <c r="BL1101" s="54"/>
    </row>
    <row r="1102" spans="1:64" ht="37.950000000000003" customHeight="1" x14ac:dyDescent="0.3">
      <c r="A1102" s="367">
        <f t="shared" si="20"/>
        <v>1097</v>
      </c>
      <c r="B1102" s="54" t="s">
        <v>3343</v>
      </c>
      <c r="C1102" s="367" t="s">
        <v>3227</v>
      </c>
      <c r="D1102" s="367" t="s">
        <v>262</v>
      </c>
      <c r="E1102" s="367"/>
      <c r="F1102" s="367"/>
      <c r="G1102" s="367"/>
      <c r="H1102" s="367"/>
      <c r="I1102" s="150" t="s">
        <v>3337</v>
      </c>
      <c r="J1102" s="48"/>
      <c r="K1102" s="48" t="s">
        <v>3338</v>
      </c>
      <c r="L1102" s="367" t="s">
        <v>3231</v>
      </c>
      <c r="M1102" s="150" t="s">
        <v>120</v>
      </c>
      <c r="N1102" s="150" t="s">
        <v>3232</v>
      </c>
      <c r="O1102" s="150" t="s">
        <v>3233</v>
      </c>
      <c r="P1102" s="367">
        <v>1</v>
      </c>
      <c r="Q1102" s="367" t="s">
        <v>3234</v>
      </c>
      <c r="R1102" s="367"/>
      <c r="S1102" s="367"/>
      <c r="T1102" s="367" t="s">
        <v>3235</v>
      </c>
      <c r="U1102" s="367"/>
      <c r="V1102" s="367"/>
      <c r="W1102" s="367"/>
      <c r="X1102" s="367"/>
      <c r="Y1102" s="367"/>
      <c r="Z1102" s="367"/>
      <c r="AA1102" s="367"/>
      <c r="AB1102" s="150"/>
      <c r="AC1102" s="48" t="s">
        <v>3341</v>
      </c>
      <c r="AD1102" s="150" t="s">
        <v>169</v>
      </c>
      <c r="AE1102" s="296"/>
      <c r="AF1102" s="296"/>
      <c r="AG1102" s="286">
        <v>46447</v>
      </c>
      <c r="AH1102" s="49">
        <v>46412</v>
      </c>
      <c r="AI1102" s="266">
        <v>46357</v>
      </c>
      <c r="AJ1102" s="150" t="s">
        <v>617</v>
      </c>
      <c r="AK1102" s="150"/>
      <c r="AL1102" s="150"/>
      <c r="AM1102" s="150"/>
      <c r="AN1102" s="367"/>
      <c r="AO1102" s="367"/>
      <c r="AP1102" s="367"/>
      <c r="AQ1102" s="367"/>
      <c r="AR1102" s="367"/>
      <c r="AS1102" s="367"/>
      <c r="AT1102" s="367"/>
      <c r="AU1102" s="367"/>
      <c r="AV1102" s="367"/>
      <c r="AW1102" s="367"/>
      <c r="AX1102" s="367"/>
      <c r="AY1102" s="367"/>
      <c r="AZ1102" s="367"/>
      <c r="BA1102" s="367"/>
      <c r="BB1102" s="152"/>
      <c r="BC1102" s="152"/>
      <c r="BD1102" s="367" t="s">
        <v>816</v>
      </c>
      <c r="BE1102" s="367"/>
      <c r="BF1102" s="367"/>
      <c r="BG1102" s="367"/>
      <c r="BH1102" s="260"/>
      <c r="BL1102" s="54"/>
    </row>
    <row r="1103" spans="1:64" ht="37.950000000000003" customHeight="1" x14ac:dyDescent="0.3">
      <c r="A1103" s="367">
        <f t="shared" si="20"/>
        <v>1098</v>
      </c>
      <c r="B1103" s="54" t="s">
        <v>3344</v>
      </c>
      <c r="C1103" s="367" t="s">
        <v>3227</v>
      </c>
      <c r="D1103" s="367" t="s">
        <v>262</v>
      </c>
      <c r="E1103" s="367"/>
      <c r="F1103" s="367"/>
      <c r="G1103" s="367"/>
      <c r="H1103" s="367"/>
      <c r="I1103" s="150" t="s">
        <v>3337</v>
      </c>
      <c r="J1103" s="48"/>
      <c r="K1103" s="48" t="s">
        <v>3338</v>
      </c>
      <c r="L1103" s="367" t="s">
        <v>3231</v>
      </c>
      <c r="M1103" s="150" t="s">
        <v>120</v>
      </c>
      <c r="N1103" s="150" t="s">
        <v>3232</v>
      </c>
      <c r="O1103" s="150" t="s">
        <v>3233</v>
      </c>
      <c r="P1103" s="367">
        <v>1</v>
      </c>
      <c r="Q1103" s="367" t="s">
        <v>3234</v>
      </c>
      <c r="R1103" s="367"/>
      <c r="S1103" s="367"/>
      <c r="T1103" s="367" t="s">
        <v>3235</v>
      </c>
      <c r="U1103" s="367"/>
      <c r="V1103" s="367"/>
      <c r="W1103" s="367"/>
      <c r="X1103" s="367"/>
      <c r="Y1103" s="367"/>
      <c r="Z1103" s="367"/>
      <c r="AA1103" s="367"/>
      <c r="AB1103" s="150"/>
      <c r="AC1103" s="48" t="s">
        <v>3345</v>
      </c>
      <c r="AD1103" s="150" t="s">
        <v>238</v>
      </c>
      <c r="AE1103" s="296"/>
      <c r="AF1103" s="296"/>
      <c r="AG1103" s="286">
        <v>46447</v>
      </c>
      <c r="AH1103" s="49">
        <v>46412</v>
      </c>
      <c r="AI1103" s="266">
        <v>46357</v>
      </c>
      <c r="AJ1103" s="150" t="s">
        <v>617</v>
      </c>
      <c r="AK1103" s="150"/>
      <c r="AL1103" s="150"/>
      <c r="AM1103" s="150"/>
      <c r="AN1103" s="367"/>
      <c r="AO1103" s="367"/>
      <c r="AP1103" s="367"/>
      <c r="AQ1103" s="367"/>
      <c r="AR1103" s="367"/>
      <c r="AS1103" s="367"/>
      <c r="AT1103" s="367"/>
      <c r="AU1103" s="367"/>
      <c r="AV1103" s="367"/>
      <c r="AW1103" s="367"/>
      <c r="AX1103" s="367"/>
      <c r="AY1103" s="367"/>
      <c r="AZ1103" s="367"/>
      <c r="BA1103" s="367"/>
      <c r="BB1103" s="152"/>
      <c r="BC1103" s="152"/>
      <c r="BD1103" s="367" t="s">
        <v>816</v>
      </c>
      <c r="BE1103" s="367"/>
      <c r="BF1103" s="367"/>
      <c r="BG1103" s="367"/>
      <c r="BH1103" s="260"/>
      <c r="BL1103" s="54"/>
    </row>
    <row r="1104" spans="1:64" ht="37.950000000000003" customHeight="1" x14ac:dyDescent="0.3">
      <c r="A1104" s="367">
        <f t="shared" si="20"/>
        <v>1099</v>
      </c>
      <c r="B1104" s="54" t="s">
        <v>3346</v>
      </c>
      <c r="C1104" s="367" t="s">
        <v>3227</v>
      </c>
      <c r="D1104" s="367" t="s">
        <v>262</v>
      </c>
      <c r="E1104" s="367"/>
      <c r="F1104" s="367"/>
      <c r="G1104" s="367"/>
      <c r="H1104" s="367"/>
      <c r="I1104" s="150" t="s">
        <v>3337</v>
      </c>
      <c r="J1104" s="48"/>
      <c r="K1104" s="48" t="s">
        <v>3338</v>
      </c>
      <c r="L1104" s="367" t="s">
        <v>3231</v>
      </c>
      <c r="M1104" s="150" t="s">
        <v>120</v>
      </c>
      <c r="N1104" s="150" t="s">
        <v>3232</v>
      </c>
      <c r="O1104" s="150" t="s">
        <v>3233</v>
      </c>
      <c r="P1104" s="367">
        <v>1</v>
      </c>
      <c r="Q1104" s="367" t="s">
        <v>3234</v>
      </c>
      <c r="R1104" s="367"/>
      <c r="S1104" s="367"/>
      <c r="T1104" s="367" t="s">
        <v>3235</v>
      </c>
      <c r="U1104" s="367"/>
      <c r="V1104" s="367"/>
      <c r="W1104" s="367"/>
      <c r="X1104" s="367"/>
      <c r="Y1104" s="367"/>
      <c r="Z1104" s="367"/>
      <c r="AA1104" s="367"/>
      <c r="AB1104" s="150"/>
      <c r="AC1104" s="48" t="s">
        <v>3347</v>
      </c>
      <c r="AD1104" s="150" t="s">
        <v>3251</v>
      </c>
      <c r="AE1104" s="296"/>
      <c r="AF1104" s="296"/>
      <c r="AG1104" s="286">
        <v>46447</v>
      </c>
      <c r="AH1104" s="49">
        <v>46412</v>
      </c>
      <c r="AI1104" s="266">
        <v>46357</v>
      </c>
      <c r="AJ1104" s="150" t="s">
        <v>617</v>
      </c>
      <c r="AK1104" s="150"/>
      <c r="AL1104" s="150"/>
      <c r="AM1104" s="150"/>
      <c r="AN1104" s="367"/>
      <c r="AO1104" s="367"/>
      <c r="AP1104" s="367"/>
      <c r="AQ1104" s="367"/>
      <c r="AR1104" s="367"/>
      <c r="AS1104" s="367"/>
      <c r="AT1104" s="367"/>
      <c r="AU1104" s="367"/>
      <c r="AV1104" s="367"/>
      <c r="AW1104" s="367"/>
      <c r="AX1104" s="367"/>
      <c r="AY1104" s="367"/>
      <c r="AZ1104" s="367"/>
      <c r="BA1104" s="367"/>
      <c r="BB1104" s="152"/>
      <c r="BC1104" s="152"/>
      <c r="BD1104" s="367" t="s">
        <v>816</v>
      </c>
      <c r="BE1104" s="367"/>
      <c r="BF1104" s="367"/>
      <c r="BG1104" s="367"/>
      <c r="BH1104" s="260"/>
      <c r="BL1104" s="54"/>
    </row>
    <row r="1105" spans="1:64" ht="37.950000000000003" customHeight="1" x14ac:dyDescent="0.3">
      <c r="A1105" s="367">
        <f t="shared" si="20"/>
        <v>1100</v>
      </c>
      <c r="B1105" s="54" t="s">
        <v>3348</v>
      </c>
      <c r="C1105" s="367" t="s">
        <v>3227</v>
      </c>
      <c r="D1105" s="367" t="s">
        <v>262</v>
      </c>
      <c r="E1105" s="367"/>
      <c r="F1105" s="367"/>
      <c r="G1105" s="367"/>
      <c r="H1105" s="367"/>
      <c r="I1105" s="150" t="s">
        <v>3337</v>
      </c>
      <c r="J1105" s="48"/>
      <c r="K1105" s="48" t="s">
        <v>3338</v>
      </c>
      <c r="L1105" s="367" t="s">
        <v>3231</v>
      </c>
      <c r="M1105" s="150" t="s">
        <v>120</v>
      </c>
      <c r="N1105" s="150" t="s">
        <v>3232</v>
      </c>
      <c r="O1105" s="150" t="s">
        <v>3233</v>
      </c>
      <c r="P1105" s="367">
        <v>1</v>
      </c>
      <c r="Q1105" s="367" t="s">
        <v>3234</v>
      </c>
      <c r="R1105" s="367"/>
      <c r="S1105" s="367"/>
      <c r="T1105" s="367" t="s">
        <v>3235</v>
      </c>
      <c r="U1105" s="367"/>
      <c r="V1105" s="367"/>
      <c r="W1105" s="367"/>
      <c r="X1105" s="367" t="s">
        <v>3236</v>
      </c>
      <c r="Y1105" s="367" t="s">
        <v>127</v>
      </c>
      <c r="Z1105" s="367"/>
      <c r="AA1105" s="367"/>
      <c r="AB1105" s="150" t="s">
        <v>215</v>
      </c>
      <c r="AC1105" s="48" t="s">
        <v>3349</v>
      </c>
      <c r="AD1105" s="150" t="s">
        <v>2427</v>
      </c>
      <c r="AE1105" s="296"/>
      <c r="AF1105" s="296"/>
      <c r="AG1105" s="286">
        <v>46419</v>
      </c>
      <c r="AH1105" s="49">
        <v>46381</v>
      </c>
      <c r="AI1105" s="266">
        <v>46327</v>
      </c>
      <c r="AJ1105" s="150" t="s">
        <v>617</v>
      </c>
      <c r="AK1105" s="150"/>
      <c r="AL1105" s="150"/>
      <c r="AM1105" s="150"/>
      <c r="AN1105" s="367"/>
      <c r="AO1105" s="367"/>
      <c r="AP1105" s="367"/>
      <c r="AQ1105" s="367"/>
      <c r="AR1105" s="367"/>
      <c r="AS1105" s="367"/>
      <c r="AT1105" s="367"/>
      <c r="AU1105" s="367"/>
      <c r="AV1105" s="367"/>
      <c r="AW1105" s="367"/>
      <c r="AX1105" s="367"/>
      <c r="AY1105" s="367"/>
      <c r="AZ1105" s="367"/>
      <c r="BA1105" s="367"/>
      <c r="BB1105" s="152" t="s">
        <v>3350</v>
      </c>
      <c r="BC1105" s="152"/>
      <c r="BD1105" s="367" t="s">
        <v>816</v>
      </c>
      <c r="BE1105" s="367"/>
      <c r="BF1105" s="367"/>
      <c r="BG1105" s="367"/>
      <c r="BH1105" s="260"/>
      <c r="BL1105" s="54"/>
    </row>
    <row r="1106" spans="1:64" ht="37.950000000000003" customHeight="1" x14ac:dyDescent="0.3">
      <c r="A1106" s="367">
        <f t="shared" si="20"/>
        <v>1101</v>
      </c>
      <c r="B1106" s="54" t="s">
        <v>3351</v>
      </c>
      <c r="C1106" s="367" t="s">
        <v>3227</v>
      </c>
      <c r="D1106" s="367" t="s">
        <v>262</v>
      </c>
      <c r="E1106" s="367"/>
      <c r="F1106" s="367"/>
      <c r="G1106" s="367"/>
      <c r="H1106" s="367"/>
      <c r="I1106" s="150" t="s">
        <v>3337</v>
      </c>
      <c r="J1106" s="48"/>
      <c r="K1106" s="48" t="s">
        <v>2622</v>
      </c>
      <c r="L1106" s="367" t="s">
        <v>3243</v>
      </c>
      <c r="M1106" s="150" t="s">
        <v>65</v>
      </c>
      <c r="N1106" s="150" t="s">
        <v>3232</v>
      </c>
      <c r="O1106" s="150" t="s">
        <v>3233</v>
      </c>
      <c r="P1106" s="367">
        <v>1</v>
      </c>
      <c r="Q1106" s="367" t="s">
        <v>3234</v>
      </c>
      <c r="R1106" s="367"/>
      <c r="S1106" s="367"/>
      <c r="T1106" s="367" t="s">
        <v>3235</v>
      </c>
      <c r="U1106" s="367"/>
      <c r="V1106" s="367"/>
      <c r="W1106" s="367"/>
      <c r="X1106" s="367" t="s">
        <v>1678</v>
      </c>
      <c r="Y1106" s="367"/>
      <c r="Z1106" s="367" t="s">
        <v>127</v>
      </c>
      <c r="AA1106" s="367" t="s">
        <v>127</v>
      </c>
      <c r="AB1106" s="150" t="s">
        <v>215</v>
      </c>
      <c r="AC1106" s="48" t="s">
        <v>3352</v>
      </c>
      <c r="AD1106" s="150" t="s">
        <v>2415</v>
      </c>
      <c r="AE1106" s="296"/>
      <c r="AF1106" s="296"/>
      <c r="AG1106" s="286">
        <v>46419</v>
      </c>
      <c r="AH1106" s="49">
        <v>46381</v>
      </c>
      <c r="AI1106" s="266">
        <v>46327</v>
      </c>
      <c r="AJ1106" s="150" t="s">
        <v>617</v>
      </c>
      <c r="AK1106" s="150"/>
      <c r="AL1106" s="150"/>
      <c r="AM1106" s="150"/>
      <c r="AN1106" s="367"/>
      <c r="AO1106" s="367"/>
      <c r="AP1106" s="367"/>
      <c r="AQ1106" s="367"/>
      <c r="AR1106" s="367"/>
      <c r="AS1106" s="367"/>
      <c r="AT1106" s="367"/>
      <c r="AU1106" s="367"/>
      <c r="AV1106" s="367"/>
      <c r="AW1106" s="367"/>
      <c r="AX1106" s="367"/>
      <c r="AY1106" s="367"/>
      <c r="AZ1106" s="367"/>
      <c r="BA1106" s="367"/>
      <c r="BB1106" s="152"/>
      <c r="BC1106" s="152"/>
      <c r="BD1106" s="367" t="s">
        <v>816</v>
      </c>
      <c r="BE1106" s="367"/>
      <c r="BF1106" s="367"/>
      <c r="BG1106" s="367"/>
      <c r="BH1106" s="260"/>
      <c r="BL1106" s="54"/>
    </row>
    <row r="1107" spans="1:64" ht="37.950000000000003" customHeight="1" x14ac:dyDescent="0.3">
      <c r="A1107" s="367">
        <f t="shared" si="20"/>
        <v>1102</v>
      </c>
      <c r="B1107" s="54" t="s">
        <v>3353</v>
      </c>
      <c r="C1107" s="367" t="s">
        <v>3227</v>
      </c>
      <c r="D1107" s="367" t="s">
        <v>262</v>
      </c>
      <c r="E1107" s="367"/>
      <c r="F1107" s="367"/>
      <c r="G1107" s="367"/>
      <c r="H1107" s="367"/>
      <c r="I1107" s="150" t="s">
        <v>3337</v>
      </c>
      <c r="J1107" s="48"/>
      <c r="K1107" s="48" t="s">
        <v>2622</v>
      </c>
      <c r="L1107" s="367" t="s">
        <v>3231</v>
      </c>
      <c r="M1107" s="150" t="s">
        <v>65</v>
      </c>
      <c r="N1107" s="150" t="s">
        <v>3232</v>
      </c>
      <c r="O1107" s="150" t="s">
        <v>3233</v>
      </c>
      <c r="P1107" s="367">
        <v>1</v>
      </c>
      <c r="Q1107" s="367" t="s">
        <v>3234</v>
      </c>
      <c r="R1107" s="367"/>
      <c r="S1107" s="367"/>
      <c r="T1107" s="367" t="s">
        <v>3235</v>
      </c>
      <c r="U1107" s="367"/>
      <c r="V1107" s="367"/>
      <c r="W1107" s="367"/>
      <c r="X1107" s="367"/>
      <c r="Y1107" s="367"/>
      <c r="Z1107" s="367"/>
      <c r="AA1107" s="367"/>
      <c r="AB1107" s="150"/>
      <c r="AC1107" s="48" t="s">
        <v>3354</v>
      </c>
      <c r="AD1107" s="150" t="s">
        <v>169</v>
      </c>
      <c r="AE1107" s="296"/>
      <c r="AF1107" s="296"/>
      <c r="AG1107" s="286">
        <v>46419</v>
      </c>
      <c r="AH1107" s="49">
        <v>46381</v>
      </c>
      <c r="AI1107" s="266">
        <v>46327</v>
      </c>
      <c r="AJ1107" s="150" t="s">
        <v>617</v>
      </c>
      <c r="AK1107" s="150"/>
      <c r="AL1107" s="150"/>
      <c r="AM1107" s="150"/>
      <c r="AN1107" s="367"/>
      <c r="AO1107" s="367"/>
      <c r="AP1107" s="367"/>
      <c r="AQ1107" s="367"/>
      <c r="AR1107" s="367"/>
      <c r="AS1107" s="367"/>
      <c r="AT1107" s="367"/>
      <c r="AU1107" s="367"/>
      <c r="AV1107" s="367"/>
      <c r="AW1107" s="367"/>
      <c r="AX1107" s="367"/>
      <c r="AY1107" s="367"/>
      <c r="AZ1107" s="367"/>
      <c r="BA1107" s="367"/>
      <c r="BB1107" s="152"/>
      <c r="BC1107" s="152"/>
      <c r="BD1107" s="367" t="s">
        <v>816</v>
      </c>
      <c r="BE1107" s="367"/>
      <c r="BF1107" s="367"/>
      <c r="BG1107" s="367"/>
      <c r="BH1107" s="260"/>
      <c r="BL1107" s="54"/>
    </row>
    <row r="1108" spans="1:64" ht="37.950000000000003" customHeight="1" x14ac:dyDescent="0.3">
      <c r="A1108" s="367">
        <f t="shared" si="20"/>
        <v>1103</v>
      </c>
      <c r="B1108" s="54" t="s">
        <v>3355</v>
      </c>
      <c r="C1108" s="367" t="s">
        <v>3227</v>
      </c>
      <c r="D1108" s="367" t="s">
        <v>262</v>
      </c>
      <c r="E1108" s="367"/>
      <c r="F1108" s="367"/>
      <c r="G1108" s="367"/>
      <c r="H1108" s="367"/>
      <c r="I1108" s="150" t="s">
        <v>3337</v>
      </c>
      <c r="J1108" s="48"/>
      <c r="K1108" s="48" t="s">
        <v>2622</v>
      </c>
      <c r="L1108" s="367" t="s">
        <v>3231</v>
      </c>
      <c r="M1108" s="150" t="s">
        <v>65</v>
      </c>
      <c r="N1108" s="150" t="s">
        <v>3232</v>
      </c>
      <c r="O1108" s="150" t="s">
        <v>3233</v>
      </c>
      <c r="P1108" s="367">
        <v>1</v>
      </c>
      <c r="Q1108" s="367" t="s">
        <v>3234</v>
      </c>
      <c r="R1108" s="367"/>
      <c r="S1108" s="367"/>
      <c r="T1108" s="367" t="s">
        <v>3235</v>
      </c>
      <c r="U1108" s="367"/>
      <c r="V1108" s="367"/>
      <c r="W1108" s="367"/>
      <c r="X1108" s="367"/>
      <c r="Y1108" s="367"/>
      <c r="Z1108" s="367"/>
      <c r="AA1108" s="367"/>
      <c r="AB1108" s="150"/>
      <c r="AC1108" s="48" t="s">
        <v>3354</v>
      </c>
      <c r="AD1108" s="150" t="s">
        <v>169</v>
      </c>
      <c r="AE1108" s="296"/>
      <c r="AF1108" s="296"/>
      <c r="AG1108" s="286">
        <v>46478</v>
      </c>
      <c r="AH1108" s="49">
        <v>46412</v>
      </c>
      <c r="AI1108" s="266">
        <v>46388</v>
      </c>
      <c r="AJ1108" s="150" t="s">
        <v>617</v>
      </c>
      <c r="AK1108" s="150"/>
      <c r="AL1108" s="150"/>
      <c r="AM1108" s="150"/>
      <c r="AN1108" s="367"/>
      <c r="AO1108" s="367"/>
      <c r="AP1108" s="367"/>
      <c r="AQ1108" s="367"/>
      <c r="AR1108" s="367"/>
      <c r="AS1108" s="367"/>
      <c r="AT1108" s="367"/>
      <c r="AU1108" s="367"/>
      <c r="AV1108" s="367"/>
      <c r="AW1108" s="367"/>
      <c r="AX1108" s="367"/>
      <c r="AY1108" s="367"/>
      <c r="AZ1108" s="367"/>
      <c r="BA1108" s="367"/>
      <c r="BB1108" s="152"/>
      <c r="BC1108" s="152"/>
      <c r="BD1108" s="367" t="s">
        <v>816</v>
      </c>
      <c r="BE1108" s="367"/>
      <c r="BF1108" s="367"/>
      <c r="BG1108" s="367"/>
      <c r="BH1108" s="260"/>
      <c r="BL1108" s="54"/>
    </row>
    <row r="1109" spans="1:64" ht="37.950000000000003" customHeight="1" x14ac:dyDescent="0.3">
      <c r="A1109" s="367">
        <f t="shared" si="20"/>
        <v>1104</v>
      </c>
      <c r="B1109" s="54" t="s">
        <v>3356</v>
      </c>
      <c r="C1109" s="367" t="s">
        <v>3227</v>
      </c>
      <c r="D1109" s="367" t="s">
        <v>262</v>
      </c>
      <c r="E1109" s="367"/>
      <c r="F1109" s="367"/>
      <c r="G1109" s="367"/>
      <c r="H1109" s="367"/>
      <c r="I1109" s="150" t="s">
        <v>3337</v>
      </c>
      <c r="J1109" s="48"/>
      <c r="K1109" s="48" t="s">
        <v>2622</v>
      </c>
      <c r="L1109" s="367" t="s">
        <v>3231</v>
      </c>
      <c r="M1109" s="150" t="s">
        <v>65</v>
      </c>
      <c r="N1109" s="150" t="s">
        <v>3232</v>
      </c>
      <c r="O1109" s="150" t="s">
        <v>3233</v>
      </c>
      <c r="P1109" s="367">
        <v>1</v>
      </c>
      <c r="Q1109" s="367" t="s">
        <v>3234</v>
      </c>
      <c r="R1109" s="367"/>
      <c r="S1109" s="367"/>
      <c r="T1109" s="367" t="s">
        <v>3235</v>
      </c>
      <c r="U1109" s="367"/>
      <c r="V1109" s="367"/>
      <c r="W1109" s="367"/>
      <c r="X1109" s="367"/>
      <c r="Y1109" s="367"/>
      <c r="Z1109" s="367"/>
      <c r="AA1109" s="367"/>
      <c r="AB1109" s="150"/>
      <c r="AC1109" s="48" t="s">
        <v>3354</v>
      </c>
      <c r="AD1109" s="150" t="s">
        <v>169</v>
      </c>
      <c r="AE1109" s="296"/>
      <c r="AF1109" s="296"/>
      <c r="AG1109" s="286">
        <v>46478</v>
      </c>
      <c r="AH1109" s="49">
        <v>46443</v>
      </c>
      <c r="AI1109" s="266">
        <v>46388</v>
      </c>
      <c r="AJ1109" s="150" t="s">
        <v>617</v>
      </c>
      <c r="AK1109" s="150"/>
      <c r="AL1109" s="150"/>
      <c r="AM1109" s="150"/>
      <c r="AN1109" s="367"/>
      <c r="AO1109" s="367"/>
      <c r="AP1109" s="367"/>
      <c r="AQ1109" s="367"/>
      <c r="AR1109" s="367"/>
      <c r="AS1109" s="367"/>
      <c r="AT1109" s="367"/>
      <c r="AU1109" s="367"/>
      <c r="AV1109" s="367"/>
      <c r="AW1109" s="367"/>
      <c r="AX1109" s="367"/>
      <c r="AY1109" s="367"/>
      <c r="AZ1109" s="367"/>
      <c r="BA1109" s="367"/>
      <c r="BB1109" s="152"/>
      <c r="BC1109" s="152"/>
      <c r="BD1109" s="367" t="s">
        <v>816</v>
      </c>
      <c r="BE1109" s="367"/>
      <c r="BF1109" s="367"/>
      <c r="BG1109" s="367"/>
      <c r="BH1109" s="260"/>
      <c r="BL1109" s="54"/>
    </row>
    <row r="1110" spans="1:64" ht="37.950000000000003" customHeight="1" x14ac:dyDescent="0.3">
      <c r="A1110" s="367">
        <f t="shared" ref="A1110:A1173" si="21">ROW(B1110)-ROW($B$5)</f>
        <v>1105</v>
      </c>
      <c r="B1110" s="54" t="s">
        <v>3357</v>
      </c>
      <c r="C1110" s="367" t="s">
        <v>3227</v>
      </c>
      <c r="D1110" s="367" t="s">
        <v>262</v>
      </c>
      <c r="E1110" s="367"/>
      <c r="F1110" s="367"/>
      <c r="G1110" s="367"/>
      <c r="H1110" s="367"/>
      <c r="I1110" s="150" t="s">
        <v>3337</v>
      </c>
      <c r="J1110" s="48"/>
      <c r="K1110" s="48" t="s">
        <v>2622</v>
      </c>
      <c r="L1110" s="367" t="s">
        <v>3231</v>
      </c>
      <c r="M1110" s="150" t="s">
        <v>65</v>
      </c>
      <c r="N1110" s="150" t="s">
        <v>3232</v>
      </c>
      <c r="O1110" s="150" t="s">
        <v>3233</v>
      </c>
      <c r="P1110" s="367">
        <v>1</v>
      </c>
      <c r="Q1110" s="367" t="s">
        <v>3234</v>
      </c>
      <c r="R1110" s="367"/>
      <c r="S1110" s="367"/>
      <c r="T1110" s="367" t="s">
        <v>3235</v>
      </c>
      <c r="U1110" s="367"/>
      <c r="V1110" s="367"/>
      <c r="W1110" s="367"/>
      <c r="X1110" s="367"/>
      <c r="Y1110" s="367"/>
      <c r="Z1110" s="367"/>
      <c r="AA1110" s="367"/>
      <c r="AB1110" s="150"/>
      <c r="AC1110" s="48" t="s">
        <v>3358</v>
      </c>
      <c r="AD1110" s="150" t="s">
        <v>238</v>
      </c>
      <c r="AE1110" s="296"/>
      <c r="AF1110" s="296"/>
      <c r="AG1110" s="286">
        <v>46447</v>
      </c>
      <c r="AH1110" s="49">
        <v>46443</v>
      </c>
      <c r="AI1110" s="266">
        <v>46357</v>
      </c>
      <c r="AJ1110" s="150" t="s">
        <v>617</v>
      </c>
      <c r="AK1110" s="150"/>
      <c r="AL1110" s="150"/>
      <c r="AM1110" s="150"/>
      <c r="AN1110" s="367"/>
      <c r="AO1110" s="367"/>
      <c r="AP1110" s="367"/>
      <c r="AQ1110" s="367"/>
      <c r="AR1110" s="367"/>
      <c r="AS1110" s="367"/>
      <c r="AT1110" s="367"/>
      <c r="AU1110" s="367"/>
      <c r="AV1110" s="367"/>
      <c r="AW1110" s="367"/>
      <c r="AX1110" s="367"/>
      <c r="AY1110" s="367"/>
      <c r="AZ1110" s="367"/>
      <c r="BA1110" s="367"/>
      <c r="BB1110" s="152"/>
      <c r="BC1110" s="152"/>
      <c r="BD1110" s="367" t="s">
        <v>816</v>
      </c>
      <c r="BE1110" s="367"/>
      <c r="BF1110" s="367"/>
      <c r="BG1110" s="367"/>
      <c r="BH1110" s="260"/>
      <c r="BL1110" s="54"/>
    </row>
    <row r="1111" spans="1:64" ht="37.950000000000003" customHeight="1" x14ac:dyDescent="0.3">
      <c r="A1111" s="367">
        <f t="shared" si="21"/>
        <v>1106</v>
      </c>
      <c r="B1111" s="54" t="s">
        <v>3359</v>
      </c>
      <c r="C1111" s="367" t="s">
        <v>3227</v>
      </c>
      <c r="D1111" s="367" t="s">
        <v>262</v>
      </c>
      <c r="E1111" s="367"/>
      <c r="F1111" s="367"/>
      <c r="G1111" s="367"/>
      <c r="H1111" s="367"/>
      <c r="I1111" s="150" t="s">
        <v>3337</v>
      </c>
      <c r="J1111" s="48"/>
      <c r="K1111" s="48" t="s">
        <v>2622</v>
      </c>
      <c r="L1111" s="367" t="s">
        <v>3231</v>
      </c>
      <c r="M1111" s="150" t="s">
        <v>65</v>
      </c>
      <c r="N1111" s="150" t="s">
        <v>3232</v>
      </c>
      <c r="O1111" s="150" t="s">
        <v>3233</v>
      </c>
      <c r="P1111" s="367">
        <v>1</v>
      </c>
      <c r="Q1111" s="367" t="s">
        <v>3234</v>
      </c>
      <c r="R1111" s="367"/>
      <c r="S1111" s="367"/>
      <c r="T1111" s="367" t="s">
        <v>3235</v>
      </c>
      <c r="U1111" s="367"/>
      <c r="V1111" s="367"/>
      <c r="W1111" s="367"/>
      <c r="X1111" s="367"/>
      <c r="Y1111" s="367"/>
      <c r="Z1111" s="367"/>
      <c r="AA1111" s="367"/>
      <c r="AB1111" s="150"/>
      <c r="AC1111" s="48" t="s">
        <v>3360</v>
      </c>
      <c r="AD1111" s="150" t="s">
        <v>3251</v>
      </c>
      <c r="AE1111" s="296"/>
      <c r="AF1111" s="296"/>
      <c r="AG1111" s="286">
        <v>46447</v>
      </c>
      <c r="AH1111" s="49">
        <v>46381</v>
      </c>
      <c r="AI1111" s="266">
        <v>46327</v>
      </c>
      <c r="AJ1111" s="150" t="s">
        <v>617</v>
      </c>
      <c r="AK1111" s="150"/>
      <c r="AL1111" s="150"/>
      <c r="AM1111" s="150"/>
      <c r="AN1111" s="367"/>
      <c r="AO1111" s="367"/>
      <c r="AP1111" s="367"/>
      <c r="AQ1111" s="367"/>
      <c r="AR1111" s="367"/>
      <c r="AS1111" s="367"/>
      <c r="AT1111" s="367"/>
      <c r="AU1111" s="367"/>
      <c r="AV1111" s="367"/>
      <c r="AW1111" s="367"/>
      <c r="AX1111" s="367"/>
      <c r="AY1111" s="367"/>
      <c r="AZ1111" s="367"/>
      <c r="BA1111" s="367"/>
      <c r="BB1111" s="152"/>
      <c r="BC1111" s="152"/>
      <c r="BD1111" s="367" t="s">
        <v>816</v>
      </c>
      <c r="BE1111" s="367"/>
      <c r="BF1111" s="367"/>
      <c r="BG1111" s="367"/>
      <c r="BH1111" s="260"/>
      <c r="BL1111" s="54"/>
    </row>
    <row r="1112" spans="1:64" ht="37.950000000000003" customHeight="1" x14ac:dyDescent="0.3">
      <c r="A1112" s="367">
        <f t="shared" si="21"/>
        <v>1107</v>
      </c>
      <c r="B1112" s="54" t="s">
        <v>3361</v>
      </c>
      <c r="C1112" s="367" t="s">
        <v>3227</v>
      </c>
      <c r="D1112" s="367" t="s">
        <v>262</v>
      </c>
      <c r="E1112" s="367"/>
      <c r="F1112" s="367"/>
      <c r="G1112" s="367"/>
      <c r="H1112" s="367"/>
      <c r="I1112" s="150" t="s">
        <v>3337</v>
      </c>
      <c r="J1112" s="48"/>
      <c r="K1112" s="48" t="s">
        <v>2622</v>
      </c>
      <c r="L1112" s="367" t="s">
        <v>3231</v>
      </c>
      <c r="M1112" s="150" t="s">
        <v>65</v>
      </c>
      <c r="N1112" s="150" t="s">
        <v>3232</v>
      </c>
      <c r="O1112" s="150" t="s">
        <v>3233</v>
      </c>
      <c r="P1112" s="367">
        <v>1</v>
      </c>
      <c r="Q1112" s="367" t="s">
        <v>3234</v>
      </c>
      <c r="R1112" s="367"/>
      <c r="S1112" s="367"/>
      <c r="T1112" s="367" t="s">
        <v>3235</v>
      </c>
      <c r="U1112" s="367"/>
      <c r="V1112" s="367"/>
      <c r="W1112" s="367"/>
      <c r="X1112" s="367" t="s">
        <v>3236</v>
      </c>
      <c r="Y1112" s="367" t="s">
        <v>127</v>
      </c>
      <c r="Z1112" s="367"/>
      <c r="AA1112" s="367"/>
      <c r="AB1112" s="150" t="s">
        <v>215</v>
      </c>
      <c r="AC1112" s="48" t="s">
        <v>3362</v>
      </c>
      <c r="AD1112" s="150" t="s">
        <v>2427</v>
      </c>
      <c r="AE1112" s="296"/>
      <c r="AF1112" s="296"/>
      <c r="AG1112" s="286">
        <v>46447</v>
      </c>
      <c r="AH1112" s="49">
        <v>46381</v>
      </c>
      <c r="AI1112" s="266">
        <v>46327</v>
      </c>
      <c r="AJ1112" s="150" t="s">
        <v>617</v>
      </c>
      <c r="AK1112" s="150"/>
      <c r="AL1112" s="150"/>
      <c r="AM1112" s="150"/>
      <c r="AN1112" s="367"/>
      <c r="AO1112" s="367"/>
      <c r="AP1112" s="367"/>
      <c r="AQ1112" s="367"/>
      <c r="AR1112" s="367"/>
      <c r="AS1112" s="367"/>
      <c r="AT1112" s="367"/>
      <c r="AU1112" s="367"/>
      <c r="AV1112" s="367"/>
      <c r="AW1112" s="367"/>
      <c r="AX1112" s="367"/>
      <c r="AY1112" s="367"/>
      <c r="AZ1112" s="367"/>
      <c r="BA1112" s="367"/>
      <c r="BB1112" s="152" t="s">
        <v>3350</v>
      </c>
      <c r="BC1112" s="152"/>
      <c r="BD1112" s="367" t="s">
        <v>816</v>
      </c>
      <c r="BE1112" s="367"/>
      <c r="BF1112" s="367"/>
      <c r="BG1112" s="367"/>
      <c r="BH1112" s="260"/>
      <c r="BL1112" s="54"/>
    </row>
    <row r="1113" spans="1:64" ht="37.950000000000003" customHeight="1" x14ac:dyDescent="0.3">
      <c r="A1113" s="367">
        <f t="shared" si="21"/>
        <v>1108</v>
      </c>
      <c r="B1113" s="54" t="s">
        <v>3363</v>
      </c>
      <c r="C1113" s="367" t="s">
        <v>3227</v>
      </c>
      <c r="D1113" s="367" t="s">
        <v>262</v>
      </c>
      <c r="E1113" s="367"/>
      <c r="F1113" s="367"/>
      <c r="G1113" s="367"/>
      <c r="H1113" s="367"/>
      <c r="I1113" s="150" t="s">
        <v>3337</v>
      </c>
      <c r="J1113" s="48"/>
      <c r="K1113" s="48" t="s">
        <v>3364</v>
      </c>
      <c r="L1113" s="367" t="s">
        <v>3243</v>
      </c>
      <c r="M1113" s="150" t="s">
        <v>120</v>
      </c>
      <c r="N1113" s="150" t="s">
        <v>3232</v>
      </c>
      <c r="O1113" s="150" t="s">
        <v>3233</v>
      </c>
      <c r="P1113" s="367">
        <v>1</v>
      </c>
      <c r="Q1113" s="367" t="s">
        <v>3234</v>
      </c>
      <c r="R1113" s="367"/>
      <c r="S1113" s="367"/>
      <c r="T1113" s="367" t="s">
        <v>3235</v>
      </c>
      <c r="U1113" s="367"/>
      <c r="V1113" s="367"/>
      <c r="W1113" s="367"/>
      <c r="X1113" s="367" t="s">
        <v>1678</v>
      </c>
      <c r="Y1113" s="367"/>
      <c r="Z1113" s="367" t="s">
        <v>127</v>
      </c>
      <c r="AA1113" s="367" t="s">
        <v>127</v>
      </c>
      <c r="AB1113" s="150" t="s">
        <v>215</v>
      </c>
      <c r="AC1113" s="48" t="s">
        <v>3339</v>
      </c>
      <c r="AD1113" s="150" t="s">
        <v>2415</v>
      </c>
      <c r="AE1113" s="296"/>
      <c r="AF1113" s="296"/>
      <c r="AG1113" s="286">
        <v>46447</v>
      </c>
      <c r="AH1113" s="49">
        <v>46412</v>
      </c>
      <c r="AI1113" s="266">
        <v>46357</v>
      </c>
      <c r="AJ1113" s="150" t="s">
        <v>617</v>
      </c>
      <c r="AK1113" s="150"/>
      <c r="AL1113" s="150"/>
      <c r="AM1113" s="150"/>
      <c r="AN1113" s="367"/>
      <c r="AO1113" s="367"/>
      <c r="AP1113" s="367"/>
      <c r="AQ1113" s="367"/>
      <c r="AR1113" s="367"/>
      <c r="AS1113" s="367"/>
      <c r="AT1113" s="367"/>
      <c r="AU1113" s="367"/>
      <c r="AV1113" s="367"/>
      <c r="AW1113" s="367"/>
      <c r="AX1113" s="367"/>
      <c r="AY1113" s="367"/>
      <c r="AZ1113" s="367"/>
      <c r="BA1113" s="367"/>
      <c r="BB1113" s="152"/>
      <c r="BC1113" s="152"/>
      <c r="BD1113" s="367" t="s">
        <v>816</v>
      </c>
      <c r="BE1113" s="367"/>
      <c r="BF1113" s="367"/>
      <c r="BG1113" s="367"/>
      <c r="BH1113" s="260"/>
      <c r="BL1113" s="54"/>
    </row>
    <row r="1114" spans="1:64" ht="37.950000000000003" customHeight="1" x14ac:dyDescent="0.3">
      <c r="A1114" s="367">
        <f t="shared" si="21"/>
        <v>1109</v>
      </c>
      <c r="B1114" s="54" t="s">
        <v>3365</v>
      </c>
      <c r="C1114" s="367" t="s">
        <v>3227</v>
      </c>
      <c r="D1114" s="367" t="s">
        <v>262</v>
      </c>
      <c r="E1114" s="367"/>
      <c r="F1114" s="367"/>
      <c r="G1114" s="367"/>
      <c r="H1114" s="367"/>
      <c r="I1114" s="150" t="s">
        <v>3337</v>
      </c>
      <c r="J1114" s="48"/>
      <c r="K1114" s="48" t="s">
        <v>3364</v>
      </c>
      <c r="L1114" s="367" t="s">
        <v>3231</v>
      </c>
      <c r="M1114" s="150" t="s">
        <v>120</v>
      </c>
      <c r="N1114" s="150" t="s">
        <v>3232</v>
      </c>
      <c r="O1114" s="150" t="s">
        <v>3233</v>
      </c>
      <c r="P1114" s="367">
        <v>1</v>
      </c>
      <c r="Q1114" s="367" t="s">
        <v>3234</v>
      </c>
      <c r="R1114" s="367"/>
      <c r="S1114" s="367"/>
      <c r="T1114" s="367" t="s">
        <v>3235</v>
      </c>
      <c r="U1114" s="367"/>
      <c r="V1114" s="367"/>
      <c r="W1114" s="367"/>
      <c r="X1114" s="367"/>
      <c r="Y1114" s="367"/>
      <c r="Z1114" s="367"/>
      <c r="AA1114" s="367"/>
      <c r="AB1114" s="150"/>
      <c r="AC1114" s="48" t="s">
        <v>3341</v>
      </c>
      <c r="AD1114" s="150" t="s">
        <v>169</v>
      </c>
      <c r="AE1114" s="296"/>
      <c r="AF1114" s="296"/>
      <c r="AG1114" s="286">
        <v>46447</v>
      </c>
      <c r="AH1114" s="49">
        <v>46412</v>
      </c>
      <c r="AI1114" s="266">
        <v>46357</v>
      </c>
      <c r="AJ1114" s="150" t="s">
        <v>617</v>
      </c>
      <c r="AK1114" s="150"/>
      <c r="AL1114" s="150"/>
      <c r="AM1114" s="150"/>
      <c r="AN1114" s="367"/>
      <c r="AO1114" s="367"/>
      <c r="AP1114" s="367"/>
      <c r="AQ1114" s="367"/>
      <c r="AR1114" s="367"/>
      <c r="AS1114" s="367"/>
      <c r="AT1114" s="367"/>
      <c r="AU1114" s="367"/>
      <c r="AV1114" s="367"/>
      <c r="AW1114" s="367"/>
      <c r="AX1114" s="367"/>
      <c r="AY1114" s="367"/>
      <c r="AZ1114" s="367"/>
      <c r="BA1114" s="367"/>
      <c r="BB1114" s="152"/>
      <c r="BC1114" s="152"/>
      <c r="BD1114" s="367" t="s">
        <v>816</v>
      </c>
      <c r="BE1114" s="367"/>
      <c r="BF1114" s="367"/>
      <c r="BG1114" s="367"/>
      <c r="BH1114" s="260"/>
      <c r="BL1114" s="54"/>
    </row>
    <row r="1115" spans="1:64" ht="37.950000000000003" customHeight="1" x14ac:dyDescent="0.3">
      <c r="A1115" s="367">
        <f t="shared" si="21"/>
        <v>1110</v>
      </c>
      <c r="B1115" s="54" t="s">
        <v>3366</v>
      </c>
      <c r="C1115" s="367" t="s">
        <v>3227</v>
      </c>
      <c r="D1115" s="367" t="s">
        <v>262</v>
      </c>
      <c r="E1115" s="367"/>
      <c r="F1115" s="367"/>
      <c r="G1115" s="367"/>
      <c r="H1115" s="367"/>
      <c r="I1115" s="150" t="s">
        <v>3337</v>
      </c>
      <c r="J1115" s="48"/>
      <c r="K1115" s="48" t="s">
        <v>3364</v>
      </c>
      <c r="L1115" s="367" t="s">
        <v>3231</v>
      </c>
      <c r="M1115" s="150" t="s">
        <v>120</v>
      </c>
      <c r="N1115" s="150" t="s">
        <v>3232</v>
      </c>
      <c r="O1115" s="150" t="s">
        <v>3233</v>
      </c>
      <c r="P1115" s="367">
        <v>1</v>
      </c>
      <c r="Q1115" s="367" t="s">
        <v>3234</v>
      </c>
      <c r="R1115" s="367"/>
      <c r="S1115" s="367"/>
      <c r="T1115" s="367" t="s">
        <v>3235</v>
      </c>
      <c r="U1115" s="367"/>
      <c r="V1115" s="367"/>
      <c r="W1115" s="367"/>
      <c r="X1115" s="367"/>
      <c r="Y1115" s="367"/>
      <c r="Z1115" s="367"/>
      <c r="AA1115" s="367"/>
      <c r="AB1115" s="150"/>
      <c r="AC1115" s="48" t="s">
        <v>3341</v>
      </c>
      <c r="AD1115" s="150" t="s">
        <v>169</v>
      </c>
      <c r="AE1115" s="296"/>
      <c r="AF1115" s="296"/>
      <c r="AG1115" s="286">
        <v>46447</v>
      </c>
      <c r="AH1115" s="49">
        <v>46412</v>
      </c>
      <c r="AI1115" s="266">
        <v>46357</v>
      </c>
      <c r="AJ1115" s="150" t="s">
        <v>617</v>
      </c>
      <c r="AK1115" s="150"/>
      <c r="AL1115" s="150"/>
      <c r="AM1115" s="150"/>
      <c r="AN1115" s="367"/>
      <c r="AO1115" s="367"/>
      <c r="AP1115" s="367"/>
      <c r="AQ1115" s="367"/>
      <c r="AR1115" s="367"/>
      <c r="AS1115" s="367"/>
      <c r="AT1115" s="367"/>
      <c r="AU1115" s="367"/>
      <c r="AV1115" s="367"/>
      <c r="AW1115" s="367"/>
      <c r="AX1115" s="367"/>
      <c r="AY1115" s="367"/>
      <c r="AZ1115" s="367"/>
      <c r="BA1115" s="367"/>
      <c r="BB1115" s="152"/>
      <c r="BC1115" s="152"/>
      <c r="BD1115" s="367" t="s">
        <v>816</v>
      </c>
      <c r="BE1115" s="367"/>
      <c r="BF1115" s="367"/>
      <c r="BG1115" s="367"/>
      <c r="BH1115" s="260"/>
      <c r="BL1115" s="54"/>
    </row>
    <row r="1116" spans="1:64" ht="37.950000000000003" customHeight="1" x14ac:dyDescent="0.3">
      <c r="A1116" s="367">
        <f t="shared" si="21"/>
        <v>1111</v>
      </c>
      <c r="B1116" s="54" t="s">
        <v>3367</v>
      </c>
      <c r="C1116" s="367" t="s">
        <v>3227</v>
      </c>
      <c r="D1116" s="367" t="s">
        <v>262</v>
      </c>
      <c r="E1116" s="367"/>
      <c r="F1116" s="367"/>
      <c r="G1116" s="367"/>
      <c r="H1116" s="367"/>
      <c r="I1116" s="150" t="s">
        <v>3337</v>
      </c>
      <c r="J1116" s="48"/>
      <c r="K1116" s="48" t="s">
        <v>3364</v>
      </c>
      <c r="L1116" s="367" t="s">
        <v>3231</v>
      </c>
      <c r="M1116" s="150" t="s">
        <v>120</v>
      </c>
      <c r="N1116" s="150" t="s">
        <v>3232</v>
      </c>
      <c r="O1116" s="150" t="s">
        <v>3233</v>
      </c>
      <c r="P1116" s="367">
        <v>1</v>
      </c>
      <c r="Q1116" s="367" t="s">
        <v>3234</v>
      </c>
      <c r="R1116" s="367"/>
      <c r="S1116" s="367"/>
      <c r="T1116" s="367" t="s">
        <v>3235</v>
      </c>
      <c r="U1116" s="367"/>
      <c r="V1116" s="367"/>
      <c r="W1116" s="367"/>
      <c r="X1116" s="367"/>
      <c r="Y1116" s="367"/>
      <c r="Z1116" s="367"/>
      <c r="AA1116" s="367"/>
      <c r="AB1116" s="150"/>
      <c r="AC1116" s="48" t="s">
        <v>3341</v>
      </c>
      <c r="AD1116" s="150" t="s">
        <v>169</v>
      </c>
      <c r="AE1116" s="296"/>
      <c r="AF1116" s="296"/>
      <c r="AG1116" s="286">
        <v>46419</v>
      </c>
      <c r="AH1116" s="49">
        <v>46381</v>
      </c>
      <c r="AI1116" s="266">
        <v>46327</v>
      </c>
      <c r="AJ1116" s="150" t="s">
        <v>617</v>
      </c>
      <c r="AK1116" s="150"/>
      <c r="AL1116" s="150"/>
      <c r="AM1116" s="150"/>
      <c r="AN1116" s="367"/>
      <c r="AO1116" s="367"/>
      <c r="AP1116" s="367"/>
      <c r="AQ1116" s="367"/>
      <c r="AR1116" s="367"/>
      <c r="AS1116" s="367"/>
      <c r="AT1116" s="367"/>
      <c r="AU1116" s="367"/>
      <c r="AV1116" s="367"/>
      <c r="AW1116" s="367"/>
      <c r="AX1116" s="367"/>
      <c r="AY1116" s="367"/>
      <c r="AZ1116" s="367"/>
      <c r="BA1116" s="367"/>
      <c r="BB1116" s="152"/>
      <c r="BC1116" s="152"/>
      <c r="BD1116" s="367" t="s">
        <v>816</v>
      </c>
      <c r="BE1116" s="367"/>
      <c r="BF1116" s="367"/>
      <c r="BG1116" s="367"/>
      <c r="BH1116" s="260"/>
      <c r="BL1116" s="54"/>
    </row>
    <row r="1117" spans="1:64" ht="37.950000000000003" customHeight="1" x14ac:dyDescent="0.3">
      <c r="A1117" s="367">
        <f t="shared" si="21"/>
        <v>1112</v>
      </c>
      <c r="B1117" s="54" t="s">
        <v>3368</v>
      </c>
      <c r="C1117" s="367" t="s">
        <v>3227</v>
      </c>
      <c r="D1117" s="367" t="s">
        <v>262</v>
      </c>
      <c r="E1117" s="367"/>
      <c r="F1117" s="367"/>
      <c r="G1117" s="367"/>
      <c r="H1117" s="367"/>
      <c r="I1117" s="150" t="s">
        <v>3337</v>
      </c>
      <c r="J1117" s="48"/>
      <c r="K1117" s="48" t="s">
        <v>3364</v>
      </c>
      <c r="L1117" s="367" t="s">
        <v>3231</v>
      </c>
      <c r="M1117" s="150" t="s">
        <v>120</v>
      </c>
      <c r="N1117" s="150" t="s">
        <v>3232</v>
      </c>
      <c r="O1117" s="150" t="s">
        <v>3233</v>
      </c>
      <c r="P1117" s="367">
        <v>1</v>
      </c>
      <c r="Q1117" s="367" t="s">
        <v>3234</v>
      </c>
      <c r="R1117" s="367"/>
      <c r="S1117" s="367"/>
      <c r="T1117" s="367" t="s">
        <v>3235</v>
      </c>
      <c r="U1117" s="367"/>
      <c r="V1117" s="367"/>
      <c r="W1117" s="367"/>
      <c r="X1117" s="367"/>
      <c r="Y1117" s="367"/>
      <c r="Z1117" s="367"/>
      <c r="AA1117" s="367"/>
      <c r="AB1117" s="150"/>
      <c r="AC1117" s="48" t="s">
        <v>3345</v>
      </c>
      <c r="AD1117" s="150" t="s">
        <v>238</v>
      </c>
      <c r="AE1117" s="296"/>
      <c r="AF1117" s="296"/>
      <c r="AG1117" s="286">
        <v>46419</v>
      </c>
      <c r="AH1117" s="49">
        <v>46381</v>
      </c>
      <c r="AI1117" s="266">
        <v>46327</v>
      </c>
      <c r="AJ1117" s="150" t="s">
        <v>617</v>
      </c>
      <c r="AK1117" s="150"/>
      <c r="AL1117" s="150"/>
      <c r="AM1117" s="150"/>
      <c r="AN1117" s="367"/>
      <c r="AO1117" s="367"/>
      <c r="AP1117" s="367"/>
      <c r="AQ1117" s="367"/>
      <c r="AR1117" s="367"/>
      <c r="AS1117" s="367"/>
      <c r="AT1117" s="367"/>
      <c r="AU1117" s="367"/>
      <c r="AV1117" s="367"/>
      <c r="AW1117" s="367"/>
      <c r="AX1117" s="367"/>
      <c r="AY1117" s="367"/>
      <c r="AZ1117" s="367"/>
      <c r="BA1117" s="367"/>
      <c r="BB1117" s="152"/>
      <c r="BC1117" s="152"/>
      <c r="BD1117" s="367" t="s">
        <v>816</v>
      </c>
      <c r="BE1117" s="367"/>
      <c r="BF1117" s="367"/>
      <c r="BG1117" s="367"/>
      <c r="BH1117" s="260"/>
      <c r="BL1117" s="54"/>
    </row>
    <row r="1118" spans="1:64" ht="37.950000000000003" customHeight="1" x14ac:dyDescent="0.3">
      <c r="A1118" s="367">
        <f t="shared" si="21"/>
        <v>1113</v>
      </c>
      <c r="B1118" s="54" t="s">
        <v>3369</v>
      </c>
      <c r="C1118" s="367" t="s">
        <v>3227</v>
      </c>
      <c r="D1118" s="367" t="s">
        <v>262</v>
      </c>
      <c r="E1118" s="367"/>
      <c r="F1118" s="367"/>
      <c r="G1118" s="367"/>
      <c r="H1118" s="367"/>
      <c r="I1118" s="150" t="s">
        <v>3337</v>
      </c>
      <c r="J1118" s="48"/>
      <c r="K1118" s="48" t="s">
        <v>3364</v>
      </c>
      <c r="L1118" s="367" t="s">
        <v>3231</v>
      </c>
      <c r="M1118" s="150" t="s">
        <v>120</v>
      </c>
      <c r="N1118" s="150" t="s">
        <v>3232</v>
      </c>
      <c r="O1118" s="150" t="s">
        <v>3233</v>
      </c>
      <c r="P1118" s="367">
        <v>1</v>
      </c>
      <c r="Q1118" s="367" t="s">
        <v>3234</v>
      </c>
      <c r="R1118" s="367"/>
      <c r="S1118" s="367"/>
      <c r="T1118" s="367" t="s">
        <v>3235</v>
      </c>
      <c r="U1118" s="367"/>
      <c r="V1118" s="367"/>
      <c r="W1118" s="367"/>
      <c r="X1118" s="367"/>
      <c r="Y1118" s="367"/>
      <c r="Z1118" s="367"/>
      <c r="AA1118" s="367"/>
      <c r="AB1118" s="150"/>
      <c r="AC1118" s="48" t="s">
        <v>3347</v>
      </c>
      <c r="AD1118" s="150" t="s">
        <v>3251</v>
      </c>
      <c r="AE1118" s="296"/>
      <c r="AF1118" s="296"/>
      <c r="AG1118" s="286">
        <v>46419</v>
      </c>
      <c r="AH1118" s="49">
        <v>46381</v>
      </c>
      <c r="AI1118" s="266">
        <v>46327</v>
      </c>
      <c r="AJ1118" s="150" t="s">
        <v>617</v>
      </c>
      <c r="AK1118" s="150"/>
      <c r="AL1118" s="150"/>
      <c r="AM1118" s="150"/>
      <c r="AN1118" s="367"/>
      <c r="AO1118" s="367"/>
      <c r="AP1118" s="367"/>
      <c r="AQ1118" s="367"/>
      <c r="AR1118" s="367"/>
      <c r="AS1118" s="367"/>
      <c r="AT1118" s="367"/>
      <c r="AU1118" s="367"/>
      <c r="AV1118" s="367"/>
      <c r="AW1118" s="367"/>
      <c r="AX1118" s="367"/>
      <c r="AY1118" s="367"/>
      <c r="AZ1118" s="367"/>
      <c r="BA1118" s="367"/>
      <c r="BB1118" s="152"/>
      <c r="BC1118" s="152"/>
      <c r="BD1118" s="367" t="s">
        <v>816</v>
      </c>
      <c r="BE1118" s="367"/>
      <c r="BF1118" s="367"/>
      <c r="BG1118" s="367"/>
      <c r="BH1118" s="260"/>
      <c r="BL1118" s="54"/>
    </row>
    <row r="1119" spans="1:64" ht="37.950000000000003" customHeight="1" x14ac:dyDescent="0.3">
      <c r="A1119" s="367">
        <f t="shared" si="21"/>
        <v>1114</v>
      </c>
      <c r="B1119" s="54" t="s">
        <v>3370</v>
      </c>
      <c r="C1119" s="367" t="s">
        <v>3227</v>
      </c>
      <c r="D1119" s="367" t="s">
        <v>262</v>
      </c>
      <c r="E1119" s="367"/>
      <c r="F1119" s="367"/>
      <c r="G1119" s="367"/>
      <c r="H1119" s="367"/>
      <c r="I1119" s="150" t="s">
        <v>3337</v>
      </c>
      <c r="J1119" s="48"/>
      <c r="K1119" s="48" t="s">
        <v>3364</v>
      </c>
      <c r="L1119" s="367" t="s">
        <v>3231</v>
      </c>
      <c r="M1119" s="150" t="s">
        <v>120</v>
      </c>
      <c r="N1119" s="150" t="s">
        <v>3232</v>
      </c>
      <c r="O1119" s="150" t="s">
        <v>3233</v>
      </c>
      <c r="P1119" s="367">
        <v>1</v>
      </c>
      <c r="Q1119" s="367" t="s">
        <v>3234</v>
      </c>
      <c r="R1119" s="367"/>
      <c r="S1119" s="367"/>
      <c r="T1119" s="367" t="s">
        <v>3235</v>
      </c>
      <c r="U1119" s="367"/>
      <c r="V1119" s="367"/>
      <c r="W1119" s="367"/>
      <c r="X1119" s="367" t="s">
        <v>3236</v>
      </c>
      <c r="Y1119" s="367" t="s">
        <v>127</v>
      </c>
      <c r="Z1119" s="367"/>
      <c r="AA1119" s="367"/>
      <c r="AB1119" s="150" t="s">
        <v>215</v>
      </c>
      <c r="AC1119" s="48" t="s">
        <v>3349</v>
      </c>
      <c r="AD1119" s="150" t="s">
        <v>2427</v>
      </c>
      <c r="AE1119" s="296"/>
      <c r="AF1119" s="296"/>
      <c r="AG1119" s="286">
        <v>46478</v>
      </c>
      <c r="AH1119" s="49">
        <v>46412</v>
      </c>
      <c r="AI1119" s="266">
        <v>46388</v>
      </c>
      <c r="AJ1119" s="150" t="s">
        <v>617</v>
      </c>
      <c r="AK1119" s="150"/>
      <c r="AL1119" s="150"/>
      <c r="AM1119" s="150"/>
      <c r="AN1119" s="367"/>
      <c r="AO1119" s="367"/>
      <c r="AP1119" s="367"/>
      <c r="AQ1119" s="367"/>
      <c r="AR1119" s="367"/>
      <c r="AS1119" s="367"/>
      <c r="AT1119" s="367"/>
      <c r="AU1119" s="367"/>
      <c r="AV1119" s="367"/>
      <c r="AW1119" s="367"/>
      <c r="AX1119" s="367"/>
      <c r="AY1119" s="367"/>
      <c r="AZ1119" s="367"/>
      <c r="BA1119" s="367"/>
      <c r="BB1119" s="152" t="s">
        <v>3350</v>
      </c>
      <c r="BC1119" s="152"/>
      <c r="BD1119" s="367" t="s">
        <v>816</v>
      </c>
      <c r="BE1119" s="367"/>
      <c r="BF1119" s="367"/>
      <c r="BG1119" s="367"/>
      <c r="BH1119" s="260"/>
      <c r="BL1119" s="54"/>
    </row>
    <row r="1120" spans="1:64" ht="37.950000000000003" customHeight="1" x14ac:dyDescent="0.3">
      <c r="A1120" s="367">
        <f t="shared" si="21"/>
        <v>1115</v>
      </c>
      <c r="B1120" s="54" t="s">
        <v>3371</v>
      </c>
      <c r="C1120" s="367" t="s">
        <v>3227</v>
      </c>
      <c r="D1120" s="367" t="s">
        <v>262</v>
      </c>
      <c r="E1120" s="367"/>
      <c r="F1120" s="367"/>
      <c r="G1120" s="367"/>
      <c r="H1120" s="367"/>
      <c r="I1120" s="150"/>
      <c r="J1120" s="48"/>
      <c r="K1120" s="48"/>
      <c r="L1120" s="367"/>
      <c r="M1120" s="150"/>
      <c r="N1120" s="367"/>
      <c r="O1120" s="367"/>
      <c r="P1120" s="367"/>
      <c r="Q1120" s="367"/>
      <c r="R1120" s="367"/>
      <c r="S1120" s="367"/>
      <c r="T1120" s="367"/>
      <c r="U1120" s="367"/>
      <c r="V1120" s="367"/>
      <c r="W1120" s="367"/>
      <c r="X1120" s="367"/>
      <c r="Y1120" s="367"/>
      <c r="Z1120" s="367"/>
      <c r="AA1120" s="367"/>
      <c r="AB1120" s="150"/>
      <c r="AC1120" s="48"/>
      <c r="AD1120" s="150"/>
      <c r="AE1120" s="296"/>
      <c r="AF1120" s="296"/>
      <c r="AG1120" s="286">
        <v>46478</v>
      </c>
      <c r="AH1120" s="49">
        <v>46443</v>
      </c>
      <c r="AI1120" s="266">
        <v>46388</v>
      </c>
      <c r="AJ1120" s="150" t="s">
        <v>617</v>
      </c>
      <c r="AK1120" s="150"/>
      <c r="AL1120" s="150"/>
      <c r="AM1120" s="150"/>
      <c r="AN1120" s="367"/>
      <c r="AO1120" s="367"/>
      <c r="AP1120" s="367"/>
      <c r="AQ1120" s="367"/>
      <c r="AR1120" s="367"/>
      <c r="AS1120" s="367"/>
      <c r="AT1120" s="367"/>
      <c r="AU1120" s="367"/>
      <c r="AV1120" s="367"/>
      <c r="AW1120" s="367"/>
      <c r="AX1120" s="367"/>
      <c r="AY1120" s="367"/>
      <c r="AZ1120" s="367"/>
      <c r="BA1120" s="367"/>
      <c r="BB1120" s="152"/>
      <c r="BC1120" s="152"/>
      <c r="BD1120" s="367" t="s">
        <v>816</v>
      </c>
      <c r="BE1120" s="367"/>
      <c r="BF1120" s="367"/>
      <c r="BG1120" s="367"/>
      <c r="BH1120" s="260"/>
      <c r="BL1120" s="54"/>
    </row>
    <row r="1121" spans="1:64" ht="37.950000000000003" customHeight="1" x14ac:dyDescent="0.3">
      <c r="A1121" s="367">
        <f t="shared" si="21"/>
        <v>1116</v>
      </c>
      <c r="B1121" s="54" t="s">
        <v>3372</v>
      </c>
      <c r="C1121" s="367" t="s">
        <v>3227</v>
      </c>
      <c r="D1121" s="367" t="s">
        <v>262</v>
      </c>
      <c r="E1121" s="367"/>
      <c r="F1121" s="367"/>
      <c r="G1121" s="367"/>
      <c r="H1121" s="367"/>
      <c r="I1121" s="150"/>
      <c r="J1121" s="48"/>
      <c r="K1121" s="48" t="s">
        <v>1056</v>
      </c>
      <c r="L1121" s="367"/>
      <c r="M1121" s="150"/>
      <c r="N1121" s="367"/>
      <c r="O1121" s="367"/>
      <c r="P1121" s="367"/>
      <c r="Q1121" s="367"/>
      <c r="R1121" s="367"/>
      <c r="S1121" s="367"/>
      <c r="T1121" s="367"/>
      <c r="U1121" s="367"/>
      <c r="V1121" s="367"/>
      <c r="W1121" s="367"/>
      <c r="X1121" s="367"/>
      <c r="Y1121" s="367"/>
      <c r="Z1121" s="367"/>
      <c r="AA1121" s="367"/>
      <c r="AB1121" s="150"/>
      <c r="AC1121" s="48" t="s">
        <v>3373</v>
      </c>
      <c r="AD1121" s="150" t="s">
        <v>2415</v>
      </c>
      <c r="AE1121" s="296"/>
      <c r="AF1121" s="296"/>
      <c r="AG1121" s="286">
        <v>46508</v>
      </c>
      <c r="AH1121" s="49">
        <v>46471</v>
      </c>
      <c r="AI1121" s="266">
        <v>46419</v>
      </c>
      <c r="AJ1121" s="150" t="s">
        <v>617</v>
      </c>
      <c r="AK1121" s="150"/>
      <c r="AL1121" s="150"/>
      <c r="AM1121" s="150"/>
      <c r="AN1121" s="367"/>
      <c r="AO1121" s="367"/>
      <c r="AP1121" s="367"/>
      <c r="AQ1121" s="367"/>
      <c r="AR1121" s="367"/>
      <c r="AS1121" s="367"/>
      <c r="AT1121" s="367"/>
      <c r="AU1121" s="367"/>
      <c r="AV1121" s="367"/>
      <c r="AW1121" s="367"/>
      <c r="AX1121" s="367"/>
      <c r="AY1121" s="367"/>
      <c r="AZ1121" s="367"/>
      <c r="BA1121" s="367"/>
      <c r="BB1121" s="152"/>
      <c r="BC1121" s="152"/>
      <c r="BD1121" s="367" t="s">
        <v>816</v>
      </c>
      <c r="BE1121" s="367"/>
      <c r="BF1121" s="367"/>
      <c r="BG1121" s="367"/>
      <c r="BH1121" s="260"/>
      <c r="BL1121" s="54"/>
    </row>
    <row r="1122" spans="1:64" ht="37.950000000000003" customHeight="1" x14ac:dyDescent="0.3">
      <c r="A1122" s="367">
        <f t="shared" si="21"/>
        <v>1117</v>
      </c>
      <c r="B1122" s="54" t="s">
        <v>3374</v>
      </c>
      <c r="C1122" s="367" t="s">
        <v>3227</v>
      </c>
      <c r="D1122" s="367" t="s">
        <v>262</v>
      </c>
      <c r="E1122" s="367"/>
      <c r="F1122" s="367"/>
      <c r="G1122" s="367"/>
      <c r="H1122" s="367"/>
      <c r="I1122" s="150"/>
      <c r="J1122" s="48"/>
      <c r="K1122" s="48" t="s">
        <v>1056</v>
      </c>
      <c r="L1122" s="367"/>
      <c r="M1122" s="150"/>
      <c r="N1122" s="367"/>
      <c r="O1122" s="367"/>
      <c r="P1122" s="367"/>
      <c r="Q1122" s="367"/>
      <c r="R1122" s="367"/>
      <c r="S1122" s="367"/>
      <c r="T1122" s="367"/>
      <c r="U1122" s="367"/>
      <c r="V1122" s="367"/>
      <c r="W1122" s="367"/>
      <c r="X1122" s="367"/>
      <c r="Y1122" s="367"/>
      <c r="Z1122" s="367"/>
      <c r="AA1122" s="367"/>
      <c r="AB1122" s="150"/>
      <c r="AC1122" s="48" t="s">
        <v>3375</v>
      </c>
      <c r="AD1122" s="150" t="s">
        <v>169</v>
      </c>
      <c r="AE1122" s="296"/>
      <c r="AF1122" s="296"/>
      <c r="AG1122" s="286">
        <v>46508</v>
      </c>
      <c r="AH1122" s="49">
        <v>46471</v>
      </c>
      <c r="AI1122" s="266">
        <v>46447</v>
      </c>
      <c r="AJ1122" s="150" t="s">
        <v>617</v>
      </c>
      <c r="AK1122" s="150"/>
      <c r="AL1122" s="150"/>
      <c r="AM1122" s="150"/>
      <c r="AN1122" s="367"/>
      <c r="AO1122" s="367"/>
      <c r="AP1122" s="367"/>
      <c r="AQ1122" s="367"/>
      <c r="AR1122" s="367"/>
      <c r="AS1122" s="367"/>
      <c r="AT1122" s="367"/>
      <c r="AU1122" s="367"/>
      <c r="AV1122" s="367"/>
      <c r="AW1122" s="367"/>
      <c r="AX1122" s="367"/>
      <c r="AY1122" s="367"/>
      <c r="AZ1122" s="367"/>
      <c r="BA1122" s="367"/>
      <c r="BB1122" s="152"/>
      <c r="BC1122" s="152"/>
      <c r="BD1122" s="367" t="s">
        <v>816</v>
      </c>
      <c r="BE1122" s="367"/>
      <c r="BF1122" s="367"/>
      <c r="BG1122" s="367"/>
      <c r="BH1122" s="260"/>
      <c r="BL1122" s="54"/>
    </row>
    <row r="1123" spans="1:64" ht="37.950000000000003" customHeight="1" x14ac:dyDescent="0.3">
      <c r="A1123" s="367">
        <f t="shared" si="21"/>
        <v>1118</v>
      </c>
      <c r="B1123" s="54" t="s">
        <v>3376</v>
      </c>
      <c r="C1123" s="367" t="s">
        <v>3227</v>
      </c>
      <c r="D1123" s="367" t="s">
        <v>262</v>
      </c>
      <c r="E1123" s="367"/>
      <c r="F1123" s="367"/>
      <c r="G1123" s="367"/>
      <c r="H1123" s="367"/>
      <c r="I1123" s="150"/>
      <c r="J1123" s="48"/>
      <c r="K1123" s="48" t="s">
        <v>1056</v>
      </c>
      <c r="L1123" s="367"/>
      <c r="M1123" s="150"/>
      <c r="N1123" s="367"/>
      <c r="O1123" s="367"/>
      <c r="P1123" s="367"/>
      <c r="Q1123" s="367"/>
      <c r="R1123" s="367"/>
      <c r="S1123" s="367"/>
      <c r="T1123" s="367"/>
      <c r="U1123" s="367"/>
      <c r="V1123" s="367"/>
      <c r="W1123" s="367"/>
      <c r="X1123" s="367"/>
      <c r="Y1123" s="367"/>
      <c r="Z1123" s="367"/>
      <c r="AA1123" s="367"/>
      <c r="AB1123" s="150"/>
      <c r="AC1123" s="48" t="s">
        <v>3377</v>
      </c>
      <c r="AD1123" s="150" t="s">
        <v>2427</v>
      </c>
      <c r="AE1123" s="296"/>
      <c r="AF1123" s="296"/>
      <c r="AG1123" s="286">
        <v>46508</v>
      </c>
      <c r="AH1123" s="49">
        <v>46471</v>
      </c>
      <c r="AI1123" s="266">
        <v>46419</v>
      </c>
      <c r="AJ1123" s="150" t="s">
        <v>617</v>
      </c>
      <c r="AK1123" s="150"/>
      <c r="AL1123" s="150"/>
      <c r="AM1123" s="150"/>
      <c r="AN1123" s="367"/>
      <c r="AO1123" s="367"/>
      <c r="AP1123" s="367"/>
      <c r="AQ1123" s="367"/>
      <c r="AR1123" s="367"/>
      <c r="AS1123" s="367"/>
      <c r="AT1123" s="367"/>
      <c r="AU1123" s="367"/>
      <c r="AV1123" s="367"/>
      <c r="AW1123" s="367"/>
      <c r="AX1123" s="367"/>
      <c r="AY1123" s="367"/>
      <c r="AZ1123" s="367"/>
      <c r="BA1123" s="367"/>
      <c r="BB1123" s="152"/>
      <c r="BC1123" s="152"/>
      <c r="BD1123" s="367" t="s">
        <v>816</v>
      </c>
      <c r="BE1123" s="367"/>
      <c r="BF1123" s="367"/>
      <c r="BG1123" s="367"/>
      <c r="BH1123" s="260"/>
      <c r="BL1123" s="54"/>
    </row>
    <row r="1124" spans="1:64" ht="37.950000000000003" customHeight="1" x14ac:dyDescent="0.3">
      <c r="A1124" s="367">
        <f t="shared" si="21"/>
        <v>1119</v>
      </c>
      <c r="B1124" s="54" t="s">
        <v>3378</v>
      </c>
      <c r="C1124" s="367" t="s">
        <v>3227</v>
      </c>
      <c r="D1124" s="367" t="s">
        <v>262</v>
      </c>
      <c r="E1124" s="367"/>
      <c r="F1124" s="367"/>
      <c r="G1124" s="367"/>
      <c r="H1124" s="367"/>
      <c r="I1124" s="150"/>
      <c r="J1124" s="48"/>
      <c r="K1124" s="48" t="s">
        <v>1067</v>
      </c>
      <c r="L1124" s="367"/>
      <c r="M1124" s="150"/>
      <c r="N1124" s="367"/>
      <c r="O1124" s="367"/>
      <c r="P1124" s="367"/>
      <c r="Q1124" s="367"/>
      <c r="R1124" s="367"/>
      <c r="S1124" s="367"/>
      <c r="T1124" s="367"/>
      <c r="U1124" s="367"/>
      <c r="V1124" s="367"/>
      <c r="W1124" s="367"/>
      <c r="X1124" s="367"/>
      <c r="Y1124" s="367"/>
      <c r="Z1124" s="367"/>
      <c r="AA1124" s="367"/>
      <c r="AB1124" s="150"/>
      <c r="AC1124" s="48" t="s">
        <v>3379</v>
      </c>
      <c r="AD1124" s="150" t="s">
        <v>2415</v>
      </c>
      <c r="AE1124" s="296"/>
      <c r="AF1124" s="296"/>
      <c r="AG1124" s="286">
        <v>46600</v>
      </c>
      <c r="AH1124" s="49">
        <v>46593</v>
      </c>
      <c r="AI1124" s="266">
        <v>46539</v>
      </c>
      <c r="AJ1124" s="150" t="s">
        <v>617</v>
      </c>
      <c r="AK1124" s="150"/>
      <c r="AL1124" s="150"/>
      <c r="AM1124" s="150"/>
      <c r="AN1124" s="367"/>
      <c r="AO1124" s="367"/>
      <c r="AP1124" s="367"/>
      <c r="AQ1124" s="367"/>
      <c r="AR1124" s="367"/>
      <c r="AS1124" s="367"/>
      <c r="AT1124" s="367"/>
      <c r="AU1124" s="367"/>
      <c r="AV1124" s="367"/>
      <c r="AW1124" s="367"/>
      <c r="AX1124" s="367"/>
      <c r="AY1124" s="367"/>
      <c r="AZ1124" s="367"/>
      <c r="BA1124" s="367"/>
      <c r="BB1124" s="152"/>
      <c r="BC1124" s="152"/>
      <c r="BD1124" s="367" t="s">
        <v>816</v>
      </c>
      <c r="BE1124" s="367"/>
      <c r="BF1124" s="367"/>
      <c r="BG1124" s="367"/>
      <c r="BH1124" s="260"/>
      <c r="BL1124" s="54"/>
    </row>
    <row r="1125" spans="1:64" ht="37.950000000000003" customHeight="1" x14ac:dyDescent="0.3">
      <c r="A1125" s="367">
        <f t="shared" si="21"/>
        <v>1120</v>
      </c>
      <c r="B1125" s="54" t="s">
        <v>3380</v>
      </c>
      <c r="C1125" s="367" t="s">
        <v>3227</v>
      </c>
      <c r="D1125" s="367" t="s">
        <v>262</v>
      </c>
      <c r="E1125" s="367"/>
      <c r="F1125" s="367"/>
      <c r="G1125" s="367"/>
      <c r="H1125" s="367"/>
      <c r="I1125" s="150"/>
      <c r="J1125" s="48"/>
      <c r="K1125" s="48" t="s">
        <v>1067</v>
      </c>
      <c r="L1125" s="367"/>
      <c r="M1125" s="150"/>
      <c r="N1125" s="367"/>
      <c r="O1125" s="367"/>
      <c r="P1125" s="367"/>
      <c r="Q1125" s="367"/>
      <c r="R1125" s="367"/>
      <c r="S1125" s="367"/>
      <c r="T1125" s="367"/>
      <c r="U1125" s="367"/>
      <c r="V1125" s="367"/>
      <c r="W1125" s="367"/>
      <c r="X1125" s="367"/>
      <c r="Y1125" s="367"/>
      <c r="Z1125" s="367"/>
      <c r="AA1125" s="367"/>
      <c r="AB1125" s="150"/>
      <c r="AC1125" s="48" t="s">
        <v>3381</v>
      </c>
      <c r="AD1125" s="150" t="s">
        <v>169</v>
      </c>
      <c r="AE1125" s="296"/>
      <c r="AF1125" s="296"/>
      <c r="AG1125" s="286">
        <v>46600</v>
      </c>
      <c r="AH1125" s="49">
        <v>46593</v>
      </c>
      <c r="AI1125" s="266">
        <v>46539</v>
      </c>
      <c r="AJ1125" s="150" t="s">
        <v>617</v>
      </c>
      <c r="AK1125" s="150"/>
      <c r="AL1125" s="150"/>
      <c r="AM1125" s="150"/>
      <c r="AN1125" s="367"/>
      <c r="AO1125" s="367"/>
      <c r="AP1125" s="367"/>
      <c r="AQ1125" s="367"/>
      <c r="AR1125" s="367"/>
      <c r="AS1125" s="367"/>
      <c r="AT1125" s="367"/>
      <c r="AU1125" s="367"/>
      <c r="AV1125" s="367"/>
      <c r="AW1125" s="367"/>
      <c r="AX1125" s="367"/>
      <c r="AY1125" s="367"/>
      <c r="AZ1125" s="367"/>
      <c r="BA1125" s="367"/>
      <c r="BB1125" s="152"/>
      <c r="BC1125" s="152"/>
      <c r="BD1125" s="367" t="s">
        <v>816</v>
      </c>
      <c r="BE1125" s="367"/>
      <c r="BF1125" s="367"/>
      <c r="BG1125" s="367"/>
      <c r="BH1125" s="260"/>
      <c r="BL1125" s="54"/>
    </row>
    <row r="1126" spans="1:64" ht="37.950000000000003" customHeight="1" x14ac:dyDescent="0.3">
      <c r="A1126" s="367">
        <f t="shared" si="21"/>
        <v>1121</v>
      </c>
      <c r="B1126" s="54" t="s">
        <v>3382</v>
      </c>
      <c r="C1126" s="367" t="s">
        <v>3227</v>
      </c>
      <c r="D1126" s="367" t="s">
        <v>262</v>
      </c>
      <c r="E1126" s="367"/>
      <c r="F1126" s="367"/>
      <c r="G1126" s="367"/>
      <c r="H1126" s="367"/>
      <c r="I1126" s="150"/>
      <c r="J1126" s="48"/>
      <c r="K1126" s="48" t="s">
        <v>1067</v>
      </c>
      <c r="L1126" s="367"/>
      <c r="M1126" s="150"/>
      <c r="N1126" s="367"/>
      <c r="O1126" s="367"/>
      <c r="P1126" s="367"/>
      <c r="Q1126" s="367"/>
      <c r="R1126" s="367"/>
      <c r="S1126" s="367"/>
      <c r="T1126" s="367"/>
      <c r="U1126" s="367"/>
      <c r="V1126" s="367"/>
      <c r="W1126" s="367"/>
      <c r="X1126" s="367"/>
      <c r="Y1126" s="367" t="s">
        <v>127</v>
      </c>
      <c r="Z1126" s="367"/>
      <c r="AA1126" s="367"/>
      <c r="AB1126" s="150"/>
      <c r="AC1126" s="48" t="s">
        <v>3383</v>
      </c>
      <c r="AD1126" s="150" t="s">
        <v>2427</v>
      </c>
      <c r="AE1126" s="296"/>
      <c r="AF1126" s="296"/>
      <c r="AG1126" s="286">
        <v>46600</v>
      </c>
      <c r="AH1126" s="49">
        <v>46593</v>
      </c>
      <c r="AI1126" s="266">
        <v>46539</v>
      </c>
      <c r="AJ1126" s="150" t="s">
        <v>617</v>
      </c>
      <c r="AK1126" s="150"/>
      <c r="AL1126" s="150"/>
      <c r="AM1126" s="150"/>
      <c r="AN1126" s="367"/>
      <c r="AO1126" s="367"/>
      <c r="AP1126" s="367"/>
      <c r="AQ1126" s="367"/>
      <c r="AR1126" s="367"/>
      <c r="AS1126" s="367"/>
      <c r="AT1126" s="367"/>
      <c r="AU1126" s="367"/>
      <c r="AV1126" s="367"/>
      <c r="AW1126" s="367"/>
      <c r="AX1126" s="367"/>
      <c r="AY1126" s="367"/>
      <c r="AZ1126" s="367"/>
      <c r="BA1126" s="367"/>
      <c r="BB1126" s="152"/>
      <c r="BC1126" s="152"/>
      <c r="BD1126" s="367" t="s">
        <v>816</v>
      </c>
      <c r="BE1126" s="367"/>
      <c r="BF1126" s="367"/>
      <c r="BG1126" s="367"/>
      <c r="BH1126" s="260"/>
      <c r="BL1126" s="54"/>
    </row>
    <row r="1127" spans="1:64" ht="37.950000000000003" customHeight="1" x14ac:dyDescent="0.3">
      <c r="A1127" s="367">
        <f t="shared" si="21"/>
        <v>1122</v>
      </c>
      <c r="B1127" s="54" t="s">
        <v>3384</v>
      </c>
      <c r="C1127" s="367" t="s">
        <v>3227</v>
      </c>
      <c r="D1127" s="367" t="s">
        <v>262</v>
      </c>
      <c r="E1127" s="367"/>
      <c r="F1127" s="367"/>
      <c r="G1127" s="367"/>
      <c r="H1127" s="367"/>
      <c r="I1127" s="150"/>
      <c r="J1127" s="48"/>
      <c r="K1127" s="48" t="s">
        <v>3385</v>
      </c>
      <c r="L1127" s="367"/>
      <c r="M1127" s="150"/>
      <c r="N1127" s="367"/>
      <c r="O1127" s="367"/>
      <c r="P1127" s="367"/>
      <c r="Q1127" s="367"/>
      <c r="R1127" s="367"/>
      <c r="S1127" s="367"/>
      <c r="T1127" s="367"/>
      <c r="U1127" s="367"/>
      <c r="V1127" s="367"/>
      <c r="W1127" s="367"/>
      <c r="X1127" s="367"/>
      <c r="Y1127" s="367" t="s">
        <v>127</v>
      </c>
      <c r="Z1127" s="367"/>
      <c r="AA1127" s="367"/>
      <c r="AB1127" s="150"/>
      <c r="AC1127" s="48" t="s">
        <v>3386</v>
      </c>
      <c r="AD1127" s="150" t="s">
        <v>2415</v>
      </c>
      <c r="AE1127" s="296"/>
      <c r="AF1127" s="296"/>
      <c r="AG1127" s="286">
        <v>46478</v>
      </c>
      <c r="AH1127" s="49">
        <v>46443</v>
      </c>
      <c r="AI1127" s="266">
        <v>46388</v>
      </c>
      <c r="AJ1127" s="150" t="s">
        <v>617</v>
      </c>
      <c r="AK1127" s="150"/>
      <c r="AL1127" s="150"/>
      <c r="AM1127" s="150"/>
      <c r="AN1127" s="367"/>
      <c r="AO1127" s="367"/>
      <c r="AP1127" s="367"/>
      <c r="AQ1127" s="367"/>
      <c r="AR1127" s="367"/>
      <c r="AS1127" s="367"/>
      <c r="AT1127" s="367"/>
      <c r="AU1127" s="367"/>
      <c r="AV1127" s="367"/>
      <c r="AW1127" s="367"/>
      <c r="AX1127" s="367"/>
      <c r="AY1127" s="367"/>
      <c r="AZ1127" s="367"/>
      <c r="BA1127" s="367"/>
      <c r="BB1127" s="152"/>
      <c r="BC1127" s="152"/>
      <c r="BD1127" s="367" t="s">
        <v>816</v>
      </c>
      <c r="BE1127" s="367"/>
      <c r="BF1127" s="367"/>
      <c r="BG1127" s="367"/>
      <c r="BH1127" s="260"/>
      <c r="BL1127" s="54"/>
    </row>
    <row r="1128" spans="1:64" ht="37.950000000000003" customHeight="1" x14ac:dyDescent="0.3">
      <c r="A1128" s="367">
        <f t="shared" si="21"/>
        <v>1123</v>
      </c>
      <c r="B1128" s="54" t="s">
        <v>3387</v>
      </c>
      <c r="C1128" s="367" t="s">
        <v>3227</v>
      </c>
      <c r="D1128" s="367" t="s">
        <v>262</v>
      </c>
      <c r="E1128" s="367"/>
      <c r="F1128" s="367"/>
      <c r="G1128" s="367"/>
      <c r="H1128" s="367"/>
      <c r="I1128" s="150"/>
      <c r="J1128" s="48"/>
      <c r="K1128" s="48" t="s">
        <v>3385</v>
      </c>
      <c r="L1128" s="367"/>
      <c r="M1128" s="150"/>
      <c r="N1128" s="367"/>
      <c r="O1128" s="367"/>
      <c r="P1128" s="367"/>
      <c r="Q1128" s="367"/>
      <c r="R1128" s="367"/>
      <c r="S1128" s="367"/>
      <c r="T1128" s="367"/>
      <c r="U1128" s="367"/>
      <c r="V1128" s="367"/>
      <c r="W1128" s="367"/>
      <c r="X1128" s="367"/>
      <c r="Y1128" s="367"/>
      <c r="Z1128" s="367"/>
      <c r="AA1128" s="367"/>
      <c r="AB1128" s="150"/>
      <c r="AC1128" s="48" t="s">
        <v>3388</v>
      </c>
      <c r="AD1128" s="150" t="s">
        <v>169</v>
      </c>
      <c r="AE1128" s="296"/>
      <c r="AF1128" s="296"/>
      <c r="AG1128" s="286">
        <v>46478</v>
      </c>
      <c r="AH1128" s="49">
        <v>46412</v>
      </c>
      <c r="AI1128" s="266">
        <v>46388</v>
      </c>
      <c r="AJ1128" s="150" t="s">
        <v>617</v>
      </c>
      <c r="AK1128" s="150"/>
      <c r="AL1128" s="150"/>
      <c r="AM1128" s="150"/>
      <c r="AN1128" s="367"/>
      <c r="AO1128" s="367"/>
      <c r="AP1128" s="367"/>
      <c r="AQ1128" s="367"/>
      <c r="AR1128" s="367"/>
      <c r="AS1128" s="367"/>
      <c r="AT1128" s="367"/>
      <c r="AU1128" s="367"/>
      <c r="AV1128" s="367"/>
      <c r="AW1128" s="367"/>
      <c r="AX1128" s="367"/>
      <c r="AY1128" s="367"/>
      <c r="AZ1128" s="367"/>
      <c r="BA1128" s="367"/>
      <c r="BB1128" s="152"/>
      <c r="BC1128" s="152"/>
      <c r="BD1128" s="367" t="s">
        <v>816</v>
      </c>
      <c r="BE1128" s="367"/>
      <c r="BF1128" s="367"/>
      <c r="BG1128" s="367"/>
      <c r="BH1128" s="260"/>
      <c r="BL1128" s="54"/>
    </row>
    <row r="1129" spans="1:64" ht="37.950000000000003" customHeight="1" x14ac:dyDescent="0.3">
      <c r="A1129" s="367">
        <f t="shared" si="21"/>
        <v>1124</v>
      </c>
      <c r="B1129" s="54" t="s">
        <v>3389</v>
      </c>
      <c r="C1129" s="367" t="s">
        <v>3227</v>
      </c>
      <c r="D1129" s="367" t="s">
        <v>262</v>
      </c>
      <c r="E1129" s="367"/>
      <c r="F1129" s="367"/>
      <c r="G1129" s="367"/>
      <c r="H1129" s="367"/>
      <c r="I1129" s="150"/>
      <c r="J1129" s="48"/>
      <c r="K1129" s="48" t="s">
        <v>3385</v>
      </c>
      <c r="L1129" s="367"/>
      <c r="M1129" s="150"/>
      <c r="N1129" s="367"/>
      <c r="O1129" s="367"/>
      <c r="P1129" s="367"/>
      <c r="Q1129" s="367"/>
      <c r="R1129" s="367"/>
      <c r="S1129" s="367"/>
      <c r="T1129" s="367"/>
      <c r="U1129" s="367"/>
      <c r="V1129" s="367"/>
      <c r="W1129" s="367"/>
      <c r="X1129" s="367"/>
      <c r="Y1129" s="367"/>
      <c r="Z1129" s="367"/>
      <c r="AA1129" s="367"/>
      <c r="AB1129" s="150"/>
      <c r="AC1129" s="48" t="s">
        <v>3388</v>
      </c>
      <c r="AD1129" s="150" t="s">
        <v>169</v>
      </c>
      <c r="AE1129" s="296"/>
      <c r="AF1129" s="296"/>
      <c r="AG1129" s="286">
        <v>46478</v>
      </c>
      <c r="AH1129" s="49">
        <v>46412</v>
      </c>
      <c r="AI1129" s="266">
        <v>46388</v>
      </c>
      <c r="AJ1129" s="150" t="s">
        <v>617</v>
      </c>
      <c r="AK1129" s="150"/>
      <c r="AL1129" s="150"/>
      <c r="AM1129" s="150"/>
      <c r="AN1129" s="367"/>
      <c r="AO1129" s="367"/>
      <c r="AP1129" s="367"/>
      <c r="AQ1129" s="367"/>
      <c r="AR1129" s="367"/>
      <c r="AS1129" s="367"/>
      <c r="AT1129" s="367"/>
      <c r="AU1129" s="367"/>
      <c r="AV1129" s="367"/>
      <c r="AW1129" s="367"/>
      <c r="AX1129" s="367"/>
      <c r="AY1129" s="367"/>
      <c r="AZ1129" s="367"/>
      <c r="BA1129" s="367"/>
      <c r="BB1129" s="152"/>
      <c r="BC1129" s="152"/>
      <c r="BD1129" s="367" t="s">
        <v>816</v>
      </c>
      <c r="BE1129" s="367"/>
      <c r="BF1129" s="367"/>
      <c r="BG1129" s="367"/>
      <c r="BH1129" s="260"/>
      <c r="BL1129" s="54"/>
    </row>
    <row r="1130" spans="1:64" ht="37.950000000000003" customHeight="1" x14ac:dyDescent="0.3">
      <c r="A1130" s="367">
        <f t="shared" si="21"/>
        <v>1125</v>
      </c>
      <c r="B1130" s="54" t="s">
        <v>3390</v>
      </c>
      <c r="C1130" s="367" t="s">
        <v>3227</v>
      </c>
      <c r="D1130" s="367" t="s">
        <v>262</v>
      </c>
      <c r="E1130" s="367"/>
      <c r="F1130" s="367"/>
      <c r="G1130" s="367"/>
      <c r="H1130" s="367"/>
      <c r="I1130" s="150"/>
      <c r="J1130" s="48"/>
      <c r="K1130" s="48" t="s">
        <v>3385</v>
      </c>
      <c r="L1130" s="367"/>
      <c r="M1130" s="150"/>
      <c r="N1130" s="367"/>
      <c r="O1130" s="367"/>
      <c r="P1130" s="367"/>
      <c r="Q1130" s="367"/>
      <c r="R1130" s="367"/>
      <c r="S1130" s="367"/>
      <c r="T1130" s="367"/>
      <c r="U1130" s="367"/>
      <c r="V1130" s="367"/>
      <c r="W1130" s="367"/>
      <c r="X1130" s="367"/>
      <c r="Y1130" s="367" t="s">
        <v>127</v>
      </c>
      <c r="Z1130" s="367"/>
      <c r="AA1130" s="367"/>
      <c r="AB1130" s="150"/>
      <c r="AC1130" s="48" t="s">
        <v>3391</v>
      </c>
      <c r="AD1130" s="150" t="s">
        <v>2427</v>
      </c>
      <c r="AE1130" s="296"/>
      <c r="AF1130" s="296"/>
      <c r="AG1130" s="286">
        <v>46478</v>
      </c>
      <c r="AH1130" s="49">
        <v>46443</v>
      </c>
      <c r="AI1130" s="266">
        <v>46388</v>
      </c>
      <c r="AJ1130" s="150" t="s">
        <v>617</v>
      </c>
      <c r="AK1130" s="150"/>
      <c r="AL1130" s="150"/>
      <c r="AM1130" s="150"/>
      <c r="AN1130" s="367"/>
      <c r="AO1130" s="367"/>
      <c r="AP1130" s="367"/>
      <c r="AQ1130" s="367"/>
      <c r="AR1130" s="367"/>
      <c r="AS1130" s="367"/>
      <c r="AT1130" s="367"/>
      <c r="AU1130" s="367"/>
      <c r="AV1130" s="367"/>
      <c r="AW1130" s="367"/>
      <c r="AX1130" s="367"/>
      <c r="AY1130" s="367"/>
      <c r="AZ1130" s="367"/>
      <c r="BA1130" s="367"/>
      <c r="BB1130" s="152"/>
      <c r="BC1130" s="152"/>
      <c r="BD1130" s="367" t="s">
        <v>816</v>
      </c>
      <c r="BE1130" s="367"/>
      <c r="BF1130" s="367"/>
      <c r="BG1130" s="367"/>
      <c r="BH1130" s="260"/>
      <c r="BL1130" s="54"/>
    </row>
    <row r="1131" spans="1:64" ht="37.950000000000003" customHeight="1" x14ac:dyDescent="0.3">
      <c r="A1131" s="367">
        <f t="shared" si="21"/>
        <v>1126</v>
      </c>
      <c r="B1131" s="54" t="s">
        <v>3392</v>
      </c>
      <c r="C1131" s="367" t="s">
        <v>3227</v>
      </c>
      <c r="D1131" s="367" t="s">
        <v>262</v>
      </c>
      <c r="E1131" s="367"/>
      <c r="F1131" s="367"/>
      <c r="G1131" s="367"/>
      <c r="H1131" s="367"/>
      <c r="I1131" s="150"/>
      <c r="J1131" s="48"/>
      <c r="K1131" s="48" t="s">
        <v>3393</v>
      </c>
      <c r="L1131" s="367"/>
      <c r="M1131" s="150"/>
      <c r="N1131" s="367"/>
      <c r="O1131" s="367"/>
      <c r="P1131" s="367"/>
      <c r="Q1131" s="367"/>
      <c r="R1131" s="367"/>
      <c r="S1131" s="367"/>
      <c r="T1131" s="367"/>
      <c r="U1131" s="367"/>
      <c r="V1131" s="367"/>
      <c r="W1131" s="367"/>
      <c r="X1131" s="367"/>
      <c r="Y1131" s="367"/>
      <c r="Z1131" s="367"/>
      <c r="AA1131" s="367"/>
      <c r="AB1131" s="150"/>
      <c r="AC1131" s="48" t="s">
        <v>3394</v>
      </c>
      <c r="AD1131" s="150" t="s">
        <v>169</v>
      </c>
      <c r="AE1131" s="296"/>
      <c r="AF1131" s="296"/>
      <c r="AG1131" s="286">
        <v>46419</v>
      </c>
      <c r="AH1131" s="49">
        <v>46381</v>
      </c>
      <c r="AI1131" s="266">
        <v>46327</v>
      </c>
      <c r="AJ1131" s="150" t="s">
        <v>617</v>
      </c>
      <c r="AK1131" s="150"/>
      <c r="AL1131" s="150"/>
      <c r="AM1131" s="150"/>
      <c r="AN1131" s="367"/>
      <c r="AO1131" s="367"/>
      <c r="AP1131" s="367"/>
      <c r="AQ1131" s="367"/>
      <c r="AR1131" s="367"/>
      <c r="AS1131" s="367"/>
      <c r="AT1131" s="367"/>
      <c r="AU1131" s="367"/>
      <c r="AV1131" s="367"/>
      <c r="AW1131" s="367"/>
      <c r="AX1131" s="367"/>
      <c r="AY1131" s="367"/>
      <c r="AZ1131" s="367"/>
      <c r="BA1131" s="367"/>
      <c r="BB1131" s="152"/>
      <c r="BC1131" s="152"/>
      <c r="BD1131" s="367" t="s">
        <v>816</v>
      </c>
      <c r="BE1131" s="367"/>
      <c r="BF1131" s="367"/>
      <c r="BG1131" s="367"/>
      <c r="BH1131" s="260"/>
      <c r="BL1131" s="54"/>
    </row>
    <row r="1132" spans="1:64" ht="37.950000000000003" customHeight="1" x14ac:dyDescent="0.3">
      <c r="A1132" s="367">
        <f t="shared" si="21"/>
        <v>1127</v>
      </c>
      <c r="B1132" s="54" t="s">
        <v>3395</v>
      </c>
      <c r="C1132" s="367" t="s">
        <v>3227</v>
      </c>
      <c r="D1132" s="367" t="s">
        <v>262</v>
      </c>
      <c r="E1132" s="367"/>
      <c r="F1132" s="367"/>
      <c r="G1132" s="367"/>
      <c r="H1132" s="367"/>
      <c r="I1132" s="150"/>
      <c r="J1132" s="48"/>
      <c r="K1132" s="48" t="s">
        <v>3393</v>
      </c>
      <c r="L1132" s="367"/>
      <c r="M1132" s="150"/>
      <c r="N1132" s="367"/>
      <c r="O1132" s="367"/>
      <c r="P1132" s="367"/>
      <c r="Q1132" s="367"/>
      <c r="R1132" s="367"/>
      <c r="S1132" s="367"/>
      <c r="T1132" s="367"/>
      <c r="U1132" s="367"/>
      <c r="V1132" s="367"/>
      <c r="W1132" s="367"/>
      <c r="X1132" s="367"/>
      <c r="Y1132" s="367"/>
      <c r="Z1132" s="367"/>
      <c r="AA1132" s="367"/>
      <c r="AB1132" s="150"/>
      <c r="AC1132" s="48" t="s">
        <v>3394</v>
      </c>
      <c r="AD1132" s="150" t="s">
        <v>169</v>
      </c>
      <c r="AE1132" s="296"/>
      <c r="AF1132" s="296"/>
      <c r="AG1132" s="286">
        <v>46600</v>
      </c>
      <c r="AH1132" s="49">
        <v>46593</v>
      </c>
      <c r="AI1132" s="266">
        <v>46539</v>
      </c>
      <c r="AJ1132" s="150" t="s">
        <v>617</v>
      </c>
      <c r="AK1132" s="150"/>
      <c r="AL1132" s="150"/>
      <c r="AM1132" s="150"/>
      <c r="AN1132" s="367"/>
      <c r="AO1132" s="367"/>
      <c r="AP1132" s="367"/>
      <c r="AQ1132" s="367"/>
      <c r="AR1132" s="367"/>
      <c r="AS1132" s="367"/>
      <c r="AT1132" s="367"/>
      <c r="AU1132" s="367"/>
      <c r="AV1132" s="367"/>
      <c r="AW1132" s="367"/>
      <c r="AX1132" s="367"/>
      <c r="AY1132" s="367"/>
      <c r="AZ1132" s="367"/>
      <c r="BA1132" s="367"/>
      <c r="BB1132" s="152"/>
      <c r="BC1132" s="152"/>
      <c r="BD1132" s="367" t="s">
        <v>816</v>
      </c>
      <c r="BE1132" s="367"/>
      <c r="BF1132" s="367"/>
      <c r="BG1132" s="367"/>
      <c r="BH1132" s="260"/>
      <c r="BL1132" s="54"/>
    </row>
    <row r="1133" spans="1:64" ht="37.950000000000003" customHeight="1" x14ac:dyDescent="0.3">
      <c r="A1133" s="367">
        <f t="shared" si="21"/>
        <v>1128</v>
      </c>
      <c r="B1133" s="54" t="s">
        <v>3396</v>
      </c>
      <c r="C1133" s="367" t="s">
        <v>3227</v>
      </c>
      <c r="D1133" s="367" t="s">
        <v>262</v>
      </c>
      <c r="E1133" s="367"/>
      <c r="F1133" s="367"/>
      <c r="G1133" s="367"/>
      <c r="H1133" s="367"/>
      <c r="I1133" s="150"/>
      <c r="J1133" s="48"/>
      <c r="K1133" s="48" t="s">
        <v>3397</v>
      </c>
      <c r="L1133" s="367"/>
      <c r="M1133" s="150"/>
      <c r="N1133" s="367"/>
      <c r="O1133" s="367"/>
      <c r="P1133" s="367"/>
      <c r="Q1133" s="367"/>
      <c r="R1133" s="367"/>
      <c r="S1133" s="367"/>
      <c r="T1133" s="367"/>
      <c r="U1133" s="367"/>
      <c r="V1133" s="367"/>
      <c r="W1133" s="367"/>
      <c r="X1133" s="367"/>
      <c r="Y1133" s="367"/>
      <c r="Z1133" s="367"/>
      <c r="AA1133" s="367"/>
      <c r="AB1133" s="150"/>
      <c r="AC1133" s="48" t="s">
        <v>3398</v>
      </c>
      <c r="AD1133" s="150" t="s">
        <v>1075</v>
      </c>
      <c r="AE1133" s="296"/>
      <c r="AF1133" s="296"/>
      <c r="AG1133" s="286">
        <v>46447</v>
      </c>
      <c r="AH1133" s="49">
        <v>46412</v>
      </c>
      <c r="AI1133" s="266">
        <v>46357</v>
      </c>
      <c r="AJ1133" s="150" t="s">
        <v>617</v>
      </c>
      <c r="AK1133" s="150"/>
      <c r="AL1133" s="150"/>
      <c r="AM1133" s="150" t="s">
        <v>134</v>
      </c>
      <c r="AN1133" s="367"/>
      <c r="AO1133" s="367"/>
      <c r="AP1133" s="367"/>
      <c r="AQ1133" s="367"/>
      <c r="AR1133" s="367"/>
      <c r="AS1133" s="367"/>
      <c r="AT1133" s="367"/>
      <c r="AU1133" s="367"/>
      <c r="AV1133" s="367"/>
      <c r="AW1133" s="367"/>
      <c r="AX1133" s="367"/>
      <c r="AY1133" s="367"/>
      <c r="AZ1133" s="367"/>
      <c r="BA1133" s="367"/>
      <c r="BB1133" s="152"/>
      <c r="BC1133" s="152"/>
      <c r="BD1133" s="367" t="s">
        <v>816</v>
      </c>
      <c r="BE1133" s="367"/>
      <c r="BF1133" s="367"/>
      <c r="BG1133" s="367"/>
      <c r="BH1133" s="260"/>
      <c r="BL1133" s="54"/>
    </row>
    <row r="1134" spans="1:64" ht="37.950000000000003" customHeight="1" x14ac:dyDescent="0.3">
      <c r="A1134" s="367">
        <f t="shared" si="21"/>
        <v>1129</v>
      </c>
      <c r="B1134" s="54" t="s">
        <v>3399</v>
      </c>
      <c r="C1134" s="367" t="s">
        <v>3227</v>
      </c>
      <c r="D1134" s="367" t="s">
        <v>262</v>
      </c>
      <c r="E1134" s="367"/>
      <c r="F1134" s="367"/>
      <c r="G1134" s="367"/>
      <c r="H1134" s="367"/>
      <c r="I1134" s="150"/>
      <c r="J1134" s="48"/>
      <c r="K1134" s="48" t="s">
        <v>3400</v>
      </c>
      <c r="L1134" s="367"/>
      <c r="M1134" s="150"/>
      <c r="N1134" s="367"/>
      <c r="O1134" s="367"/>
      <c r="P1134" s="367"/>
      <c r="Q1134" s="367"/>
      <c r="R1134" s="367"/>
      <c r="S1134" s="367"/>
      <c r="T1134" s="367"/>
      <c r="U1134" s="367"/>
      <c r="V1134" s="367"/>
      <c r="W1134" s="367"/>
      <c r="X1134" s="367"/>
      <c r="Y1134" s="367"/>
      <c r="Z1134" s="367"/>
      <c r="AA1134" s="367"/>
      <c r="AB1134" s="150"/>
      <c r="AC1134" s="48" t="s">
        <v>3401</v>
      </c>
      <c r="AD1134" s="150" t="s">
        <v>169</v>
      </c>
      <c r="AE1134" s="296"/>
      <c r="AF1134" s="296"/>
      <c r="AG1134" s="286">
        <v>46447</v>
      </c>
      <c r="AH1134" s="49">
        <v>46381</v>
      </c>
      <c r="AI1134" s="266">
        <v>46327</v>
      </c>
      <c r="AJ1134" s="150" t="s">
        <v>617</v>
      </c>
      <c r="AK1134" s="150"/>
      <c r="AL1134" s="150"/>
      <c r="AM1134" s="150"/>
      <c r="AN1134" s="367"/>
      <c r="AO1134" s="367"/>
      <c r="AP1134" s="367"/>
      <c r="AQ1134" s="367"/>
      <c r="AR1134" s="367"/>
      <c r="AS1134" s="367"/>
      <c r="AT1134" s="367"/>
      <c r="AU1134" s="367"/>
      <c r="AV1134" s="367"/>
      <c r="AW1134" s="367"/>
      <c r="AX1134" s="367"/>
      <c r="AY1134" s="367"/>
      <c r="AZ1134" s="367"/>
      <c r="BA1134" s="367"/>
      <c r="BB1134" s="152"/>
      <c r="BC1134" s="152"/>
      <c r="BD1134" s="367" t="s">
        <v>816</v>
      </c>
      <c r="BE1134" s="367"/>
      <c r="BF1134" s="367"/>
      <c r="BG1134" s="367"/>
      <c r="BH1134" s="260"/>
      <c r="BL1134" s="54"/>
    </row>
    <row r="1135" spans="1:64" ht="37.950000000000003" customHeight="1" x14ac:dyDescent="0.3">
      <c r="A1135" s="367">
        <f t="shared" si="21"/>
        <v>1130</v>
      </c>
      <c r="B1135" s="54" t="s">
        <v>3402</v>
      </c>
      <c r="C1135" s="367" t="s">
        <v>3227</v>
      </c>
      <c r="D1135" s="367" t="s">
        <v>262</v>
      </c>
      <c r="E1135" s="367"/>
      <c r="F1135" s="367"/>
      <c r="G1135" s="367"/>
      <c r="H1135" s="367"/>
      <c r="I1135" s="150"/>
      <c r="J1135" s="48"/>
      <c r="K1135" s="48" t="s">
        <v>3400</v>
      </c>
      <c r="L1135" s="367"/>
      <c r="M1135" s="150"/>
      <c r="N1135" s="367"/>
      <c r="O1135" s="367"/>
      <c r="P1135" s="367"/>
      <c r="Q1135" s="367"/>
      <c r="R1135" s="367"/>
      <c r="S1135" s="367"/>
      <c r="T1135" s="367"/>
      <c r="U1135" s="367"/>
      <c r="V1135" s="367"/>
      <c r="W1135" s="367"/>
      <c r="X1135" s="367"/>
      <c r="Y1135" s="367"/>
      <c r="Z1135" s="367"/>
      <c r="AA1135" s="367"/>
      <c r="AB1135" s="150"/>
      <c r="AC1135" s="48" t="s">
        <v>3403</v>
      </c>
      <c r="AD1135" s="150" t="s">
        <v>238</v>
      </c>
      <c r="AE1135" s="296"/>
      <c r="AF1135" s="296"/>
      <c r="AG1135" s="286">
        <v>46447</v>
      </c>
      <c r="AH1135" s="49">
        <v>46412</v>
      </c>
      <c r="AI1135" s="266">
        <v>46357</v>
      </c>
      <c r="AJ1135" s="150" t="s">
        <v>617</v>
      </c>
      <c r="AK1135" s="150"/>
      <c r="AL1135" s="150"/>
      <c r="AM1135" s="150"/>
      <c r="AN1135" s="367"/>
      <c r="AO1135" s="367"/>
      <c r="AP1135" s="367"/>
      <c r="AQ1135" s="367"/>
      <c r="AR1135" s="367"/>
      <c r="AS1135" s="367"/>
      <c r="AT1135" s="367"/>
      <c r="AU1135" s="367"/>
      <c r="AV1135" s="367"/>
      <c r="AW1135" s="367"/>
      <c r="AX1135" s="367"/>
      <c r="AY1135" s="367"/>
      <c r="AZ1135" s="367"/>
      <c r="BA1135" s="367"/>
      <c r="BB1135" s="152"/>
      <c r="BC1135" s="152"/>
      <c r="BD1135" s="367" t="s">
        <v>816</v>
      </c>
      <c r="BE1135" s="367"/>
      <c r="BF1135" s="367"/>
      <c r="BG1135" s="367"/>
      <c r="BH1135" s="260"/>
      <c r="BL1135" s="54"/>
    </row>
    <row r="1136" spans="1:64" ht="37.950000000000003" customHeight="1" x14ac:dyDescent="0.3">
      <c r="A1136" s="367">
        <f t="shared" si="21"/>
        <v>1131</v>
      </c>
      <c r="B1136" s="54" t="s">
        <v>3404</v>
      </c>
      <c r="C1136" s="367" t="s">
        <v>3227</v>
      </c>
      <c r="D1136" s="367" t="s">
        <v>262</v>
      </c>
      <c r="E1136" s="367"/>
      <c r="F1136" s="367"/>
      <c r="G1136" s="367"/>
      <c r="H1136" s="367"/>
      <c r="I1136" s="150"/>
      <c r="J1136" s="48"/>
      <c r="K1136" s="48" t="s">
        <v>3400</v>
      </c>
      <c r="L1136" s="367"/>
      <c r="M1136" s="150"/>
      <c r="N1136" s="367"/>
      <c r="O1136" s="367"/>
      <c r="P1136" s="367"/>
      <c r="Q1136" s="367"/>
      <c r="R1136" s="367"/>
      <c r="S1136" s="367"/>
      <c r="T1136" s="367"/>
      <c r="U1136" s="367"/>
      <c r="V1136" s="367"/>
      <c r="W1136" s="367"/>
      <c r="X1136" s="367"/>
      <c r="Y1136" s="367"/>
      <c r="Z1136" s="367"/>
      <c r="AA1136" s="367"/>
      <c r="AB1136" s="150"/>
      <c r="AC1136" s="48" t="s">
        <v>3405</v>
      </c>
      <c r="AD1136" s="150" t="s">
        <v>2427</v>
      </c>
      <c r="AE1136" s="296"/>
      <c r="AF1136" s="296"/>
      <c r="AG1136" s="286">
        <v>46447</v>
      </c>
      <c r="AH1136" s="49">
        <v>46443</v>
      </c>
      <c r="AI1136" s="266">
        <v>46357</v>
      </c>
      <c r="AJ1136" s="150" t="s">
        <v>617</v>
      </c>
      <c r="AK1136" s="150"/>
      <c r="AL1136" s="150"/>
      <c r="AM1136" s="150"/>
      <c r="AN1136" s="367"/>
      <c r="AO1136" s="367"/>
      <c r="AP1136" s="367"/>
      <c r="AQ1136" s="367"/>
      <c r="AR1136" s="367"/>
      <c r="AS1136" s="367"/>
      <c r="AT1136" s="367"/>
      <c r="AU1136" s="367"/>
      <c r="AV1136" s="367"/>
      <c r="AW1136" s="367"/>
      <c r="AX1136" s="367"/>
      <c r="AY1136" s="367"/>
      <c r="AZ1136" s="367"/>
      <c r="BA1136" s="367"/>
      <c r="BB1136" s="152"/>
      <c r="BC1136" s="152"/>
      <c r="BD1136" s="367" t="s">
        <v>816</v>
      </c>
      <c r="BE1136" s="367"/>
      <c r="BF1136" s="367"/>
      <c r="BG1136" s="367"/>
      <c r="BH1136" s="260"/>
      <c r="BL1136" s="54"/>
    </row>
    <row r="1137" spans="1:64" ht="37.950000000000003" customHeight="1" x14ac:dyDescent="0.3">
      <c r="A1137" s="367">
        <f t="shared" si="21"/>
        <v>1132</v>
      </c>
      <c r="B1137" s="54" t="s">
        <v>3406</v>
      </c>
      <c r="C1137" s="367" t="s">
        <v>3227</v>
      </c>
      <c r="D1137" s="367" t="s">
        <v>262</v>
      </c>
      <c r="E1137" s="367"/>
      <c r="F1137" s="367"/>
      <c r="G1137" s="367"/>
      <c r="H1137" s="367"/>
      <c r="I1137" s="150"/>
      <c r="J1137" s="48"/>
      <c r="K1137" s="48" t="s">
        <v>3407</v>
      </c>
      <c r="L1137" s="367"/>
      <c r="M1137" s="150"/>
      <c r="N1137" s="367"/>
      <c r="O1137" s="367"/>
      <c r="P1137" s="367"/>
      <c r="Q1137" s="367"/>
      <c r="R1137" s="367"/>
      <c r="S1137" s="367"/>
      <c r="T1137" s="367"/>
      <c r="U1137" s="367"/>
      <c r="V1137" s="367"/>
      <c r="W1137" s="367"/>
      <c r="X1137" s="367"/>
      <c r="Y1137" s="367"/>
      <c r="Z1137" s="367"/>
      <c r="AA1137" s="367"/>
      <c r="AB1137" s="150"/>
      <c r="AC1137" s="48" t="s">
        <v>3408</v>
      </c>
      <c r="AD1137" s="150" t="s">
        <v>169</v>
      </c>
      <c r="AE1137" s="296"/>
      <c r="AF1137" s="296"/>
      <c r="AG1137" s="286">
        <v>46631</v>
      </c>
      <c r="AH1137" s="49">
        <v>46624</v>
      </c>
      <c r="AI1137" s="266">
        <v>46569</v>
      </c>
      <c r="AJ1137" s="150" t="s">
        <v>617</v>
      </c>
      <c r="AK1137" s="150"/>
      <c r="AL1137" s="150"/>
      <c r="AM1137" s="150"/>
      <c r="AN1137" s="367"/>
      <c r="AO1137" s="367"/>
      <c r="AP1137" s="367"/>
      <c r="AQ1137" s="367"/>
      <c r="AR1137" s="367"/>
      <c r="AS1137" s="367"/>
      <c r="AT1137" s="367"/>
      <c r="AU1137" s="367"/>
      <c r="AV1137" s="367"/>
      <c r="AW1137" s="367"/>
      <c r="AX1137" s="367"/>
      <c r="AY1137" s="367"/>
      <c r="AZ1137" s="367"/>
      <c r="BA1137" s="367"/>
      <c r="BB1137" s="152"/>
      <c r="BC1137" s="152"/>
      <c r="BD1137" s="367" t="s">
        <v>816</v>
      </c>
      <c r="BE1137" s="367"/>
      <c r="BF1137" s="367"/>
      <c r="BG1137" s="367"/>
      <c r="BH1137" s="260"/>
      <c r="BL1137" s="54"/>
    </row>
    <row r="1138" spans="1:64" ht="37.950000000000003" customHeight="1" x14ac:dyDescent="0.3">
      <c r="A1138" s="367">
        <f t="shared" si="21"/>
        <v>1133</v>
      </c>
      <c r="B1138" s="54" t="s">
        <v>3409</v>
      </c>
      <c r="C1138" s="367" t="s">
        <v>3227</v>
      </c>
      <c r="D1138" s="367" t="s">
        <v>262</v>
      </c>
      <c r="E1138" s="367"/>
      <c r="F1138" s="367"/>
      <c r="G1138" s="367"/>
      <c r="H1138" s="367"/>
      <c r="I1138" s="150"/>
      <c r="J1138" s="48"/>
      <c r="K1138" s="48" t="s">
        <v>3407</v>
      </c>
      <c r="L1138" s="367"/>
      <c r="M1138" s="150"/>
      <c r="N1138" s="367"/>
      <c r="O1138" s="367"/>
      <c r="P1138" s="367"/>
      <c r="Q1138" s="367"/>
      <c r="R1138" s="367"/>
      <c r="S1138" s="367"/>
      <c r="T1138" s="367"/>
      <c r="U1138" s="367"/>
      <c r="V1138" s="367"/>
      <c r="W1138" s="367"/>
      <c r="X1138" s="367"/>
      <c r="Y1138" s="367"/>
      <c r="Z1138" s="367"/>
      <c r="AA1138" s="367"/>
      <c r="AB1138" s="150"/>
      <c r="AC1138" s="48" t="s">
        <v>3410</v>
      </c>
      <c r="AD1138" s="150" t="s">
        <v>238</v>
      </c>
      <c r="AE1138" s="296"/>
      <c r="AF1138" s="296"/>
      <c r="AG1138" s="286">
        <v>46631</v>
      </c>
      <c r="AH1138" s="49">
        <v>46624</v>
      </c>
      <c r="AI1138" s="266">
        <v>46569</v>
      </c>
      <c r="AJ1138" s="150" t="s">
        <v>617</v>
      </c>
      <c r="AK1138" s="150"/>
      <c r="AL1138" s="150"/>
      <c r="AM1138" s="150"/>
      <c r="AN1138" s="367"/>
      <c r="AO1138" s="367"/>
      <c r="AP1138" s="367"/>
      <c r="AQ1138" s="367"/>
      <c r="AR1138" s="367"/>
      <c r="AS1138" s="367"/>
      <c r="AT1138" s="367"/>
      <c r="AU1138" s="367"/>
      <c r="AV1138" s="367"/>
      <c r="AW1138" s="367"/>
      <c r="AX1138" s="367"/>
      <c r="AY1138" s="367"/>
      <c r="AZ1138" s="367"/>
      <c r="BA1138" s="367"/>
      <c r="BB1138" s="152"/>
      <c r="BC1138" s="152"/>
      <c r="BD1138" s="367" t="s">
        <v>816</v>
      </c>
      <c r="BE1138" s="367"/>
      <c r="BF1138" s="367"/>
      <c r="BG1138" s="367"/>
      <c r="BH1138" s="260"/>
      <c r="BL1138" s="54"/>
    </row>
    <row r="1139" spans="1:64" ht="37.950000000000003" customHeight="1" x14ac:dyDescent="0.3">
      <c r="A1139" s="367">
        <f t="shared" si="21"/>
        <v>1134</v>
      </c>
      <c r="B1139" s="54" t="s">
        <v>3411</v>
      </c>
      <c r="C1139" s="367" t="s">
        <v>3227</v>
      </c>
      <c r="D1139" s="367" t="s">
        <v>262</v>
      </c>
      <c r="E1139" s="367"/>
      <c r="F1139" s="367"/>
      <c r="G1139" s="367"/>
      <c r="H1139" s="367"/>
      <c r="I1139" s="150"/>
      <c r="J1139" s="48"/>
      <c r="K1139" s="48" t="s">
        <v>3407</v>
      </c>
      <c r="L1139" s="367"/>
      <c r="M1139" s="150"/>
      <c r="N1139" s="367"/>
      <c r="O1139" s="367"/>
      <c r="P1139" s="367"/>
      <c r="Q1139" s="367"/>
      <c r="R1139" s="367"/>
      <c r="S1139" s="367"/>
      <c r="T1139" s="367"/>
      <c r="U1139" s="367"/>
      <c r="V1139" s="367"/>
      <c r="W1139" s="367"/>
      <c r="X1139" s="367"/>
      <c r="Y1139" s="367" t="s">
        <v>127</v>
      </c>
      <c r="Z1139" s="367"/>
      <c r="AA1139" s="367"/>
      <c r="AB1139" s="150"/>
      <c r="AC1139" s="48" t="s">
        <v>3412</v>
      </c>
      <c r="AD1139" s="150" t="s">
        <v>2427</v>
      </c>
      <c r="AE1139" s="296"/>
      <c r="AF1139" s="296"/>
      <c r="AG1139" s="286">
        <v>46631</v>
      </c>
      <c r="AH1139" s="49">
        <v>46624</v>
      </c>
      <c r="AI1139" s="266">
        <v>46569</v>
      </c>
      <c r="AJ1139" s="150" t="s">
        <v>617</v>
      </c>
      <c r="AK1139" s="150"/>
      <c r="AL1139" s="150"/>
      <c r="AM1139" s="150"/>
      <c r="AN1139" s="367"/>
      <c r="AO1139" s="367"/>
      <c r="AP1139" s="367"/>
      <c r="AQ1139" s="367"/>
      <c r="AR1139" s="367"/>
      <c r="AS1139" s="367"/>
      <c r="AT1139" s="367"/>
      <c r="AU1139" s="367"/>
      <c r="AV1139" s="367"/>
      <c r="AW1139" s="367"/>
      <c r="AX1139" s="367"/>
      <c r="AY1139" s="367"/>
      <c r="AZ1139" s="367"/>
      <c r="BA1139" s="367"/>
      <c r="BB1139" s="152"/>
      <c r="BC1139" s="152"/>
      <c r="BD1139" s="367" t="s">
        <v>816</v>
      </c>
      <c r="BE1139" s="367"/>
      <c r="BF1139" s="367"/>
      <c r="BG1139" s="367"/>
      <c r="BH1139" s="260"/>
      <c r="BL1139" s="54"/>
    </row>
    <row r="1140" spans="1:64" ht="37.950000000000003" customHeight="1" x14ac:dyDescent="0.3">
      <c r="A1140" s="367">
        <f t="shared" si="21"/>
        <v>1135</v>
      </c>
      <c r="B1140" s="54" t="s">
        <v>3413</v>
      </c>
      <c r="C1140" s="367" t="s">
        <v>3227</v>
      </c>
      <c r="D1140" s="367" t="s">
        <v>262</v>
      </c>
      <c r="E1140" s="367"/>
      <c r="F1140" s="367"/>
      <c r="G1140" s="367"/>
      <c r="H1140" s="367"/>
      <c r="I1140" s="150"/>
      <c r="J1140" s="48"/>
      <c r="K1140" s="48" t="s">
        <v>2546</v>
      </c>
      <c r="L1140" s="367"/>
      <c r="M1140" s="150"/>
      <c r="N1140" s="367"/>
      <c r="O1140" s="367"/>
      <c r="P1140" s="367"/>
      <c r="Q1140" s="367"/>
      <c r="R1140" s="367"/>
      <c r="S1140" s="367"/>
      <c r="T1140" s="367"/>
      <c r="U1140" s="367"/>
      <c r="V1140" s="367"/>
      <c r="W1140" s="367"/>
      <c r="X1140" s="367"/>
      <c r="Y1140" s="367" t="s">
        <v>127</v>
      </c>
      <c r="Z1140" s="367"/>
      <c r="AA1140" s="367"/>
      <c r="AB1140" s="150"/>
      <c r="AC1140" s="48" t="s">
        <v>3414</v>
      </c>
      <c r="AD1140" s="150" t="s">
        <v>2415</v>
      </c>
      <c r="AE1140" s="296"/>
      <c r="AF1140" s="296"/>
      <c r="AG1140" s="286">
        <v>46478</v>
      </c>
      <c r="AH1140" s="49">
        <v>46443</v>
      </c>
      <c r="AI1140" s="266">
        <v>46388</v>
      </c>
      <c r="AJ1140" s="150" t="s">
        <v>617</v>
      </c>
      <c r="AK1140" s="150"/>
      <c r="AL1140" s="150"/>
      <c r="AM1140" s="150"/>
      <c r="AN1140" s="367"/>
      <c r="AO1140" s="367"/>
      <c r="AP1140" s="367"/>
      <c r="AQ1140" s="367"/>
      <c r="AR1140" s="367"/>
      <c r="AS1140" s="367"/>
      <c r="AT1140" s="367"/>
      <c r="AU1140" s="367"/>
      <c r="AV1140" s="367"/>
      <c r="AW1140" s="367"/>
      <c r="AX1140" s="367"/>
      <c r="AY1140" s="367"/>
      <c r="AZ1140" s="367"/>
      <c r="BA1140" s="367"/>
      <c r="BB1140" s="152"/>
      <c r="BC1140" s="152"/>
      <c r="BD1140" s="367" t="s">
        <v>816</v>
      </c>
      <c r="BE1140" s="367"/>
      <c r="BF1140" s="367"/>
      <c r="BG1140" s="367"/>
      <c r="BH1140" s="260"/>
      <c r="BL1140" s="54"/>
    </row>
    <row r="1141" spans="1:64" ht="37.950000000000003" customHeight="1" x14ac:dyDescent="0.3">
      <c r="A1141" s="367">
        <f t="shared" si="21"/>
        <v>1136</v>
      </c>
      <c r="B1141" s="54" t="s">
        <v>3415</v>
      </c>
      <c r="C1141" s="367" t="s">
        <v>3227</v>
      </c>
      <c r="D1141" s="367" t="s">
        <v>262</v>
      </c>
      <c r="E1141" s="367"/>
      <c r="F1141" s="367"/>
      <c r="G1141" s="367"/>
      <c r="H1141" s="367"/>
      <c r="I1141" s="150"/>
      <c r="J1141" s="48"/>
      <c r="K1141" s="48" t="s">
        <v>2546</v>
      </c>
      <c r="L1141" s="367"/>
      <c r="M1141" s="150"/>
      <c r="N1141" s="367"/>
      <c r="O1141" s="367"/>
      <c r="P1141" s="367"/>
      <c r="Q1141" s="367"/>
      <c r="R1141" s="367"/>
      <c r="S1141" s="367"/>
      <c r="T1141" s="367"/>
      <c r="U1141" s="367"/>
      <c r="V1141" s="367"/>
      <c r="W1141" s="367"/>
      <c r="X1141" s="367"/>
      <c r="Y1141" s="367"/>
      <c r="Z1141" s="367"/>
      <c r="AA1141" s="367"/>
      <c r="AB1141" s="150"/>
      <c r="AC1141" s="48" t="s">
        <v>3416</v>
      </c>
      <c r="AD1141" s="150" t="s">
        <v>169</v>
      </c>
      <c r="AE1141" s="296"/>
      <c r="AF1141" s="296"/>
      <c r="AG1141" s="286">
        <v>46478</v>
      </c>
      <c r="AH1141" s="49">
        <v>46412</v>
      </c>
      <c r="AI1141" s="266">
        <v>46388</v>
      </c>
      <c r="AJ1141" s="150" t="s">
        <v>617</v>
      </c>
      <c r="AK1141" s="150"/>
      <c r="AL1141" s="150"/>
      <c r="AM1141" s="150"/>
      <c r="AN1141" s="367"/>
      <c r="AO1141" s="367"/>
      <c r="AP1141" s="367"/>
      <c r="AQ1141" s="367"/>
      <c r="AR1141" s="367"/>
      <c r="AS1141" s="367"/>
      <c r="AT1141" s="367"/>
      <c r="AU1141" s="367"/>
      <c r="AV1141" s="367"/>
      <c r="AW1141" s="367"/>
      <c r="AX1141" s="367"/>
      <c r="AY1141" s="367"/>
      <c r="AZ1141" s="367"/>
      <c r="BA1141" s="367"/>
      <c r="BB1141" s="152"/>
      <c r="BC1141" s="152"/>
      <c r="BD1141" s="367" t="s">
        <v>816</v>
      </c>
      <c r="BE1141" s="367"/>
      <c r="BF1141" s="367"/>
      <c r="BG1141" s="367"/>
      <c r="BH1141" s="260"/>
      <c r="BL1141" s="54"/>
    </row>
    <row r="1142" spans="1:64" ht="37.950000000000003" customHeight="1" x14ac:dyDescent="0.3">
      <c r="A1142" s="367">
        <f t="shared" si="21"/>
        <v>1137</v>
      </c>
      <c r="B1142" s="54" t="s">
        <v>3417</v>
      </c>
      <c r="C1142" s="367" t="s">
        <v>3227</v>
      </c>
      <c r="D1142" s="367" t="s">
        <v>262</v>
      </c>
      <c r="E1142" s="367"/>
      <c r="F1142" s="367"/>
      <c r="G1142" s="367"/>
      <c r="H1142" s="367"/>
      <c r="I1142" s="150"/>
      <c r="J1142" s="48"/>
      <c r="K1142" s="48" t="s">
        <v>2546</v>
      </c>
      <c r="L1142" s="367"/>
      <c r="M1142" s="150"/>
      <c r="N1142" s="367"/>
      <c r="O1142" s="367"/>
      <c r="P1142" s="367"/>
      <c r="Q1142" s="367"/>
      <c r="R1142" s="367"/>
      <c r="S1142" s="367"/>
      <c r="T1142" s="367"/>
      <c r="U1142" s="367"/>
      <c r="V1142" s="367"/>
      <c r="W1142" s="367"/>
      <c r="X1142" s="367"/>
      <c r="Y1142" s="367"/>
      <c r="Z1142" s="367"/>
      <c r="AA1142" s="367"/>
      <c r="AB1142" s="150"/>
      <c r="AC1142" s="48" t="s">
        <v>3416</v>
      </c>
      <c r="AD1142" s="150" t="s">
        <v>169</v>
      </c>
      <c r="AE1142" s="296"/>
      <c r="AF1142" s="296"/>
      <c r="AG1142" s="286">
        <v>46478</v>
      </c>
      <c r="AH1142" s="49">
        <v>46412</v>
      </c>
      <c r="AI1142" s="266">
        <v>46388</v>
      </c>
      <c r="AJ1142" s="150" t="s">
        <v>617</v>
      </c>
      <c r="AK1142" s="150"/>
      <c r="AL1142" s="150"/>
      <c r="AM1142" s="150"/>
      <c r="AN1142" s="367"/>
      <c r="AO1142" s="367"/>
      <c r="AP1142" s="367"/>
      <c r="AQ1142" s="367"/>
      <c r="AR1142" s="367"/>
      <c r="AS1142" s="367"/>
      <c r="AT1142" s="367"/>
      <c r="AU1142" s="367"/>
      <c r="AV1142" s="367"/>
      <c r="AW1142" s="367"/>
      <c r="AX1142" s="367"/>
      <c r="AY1142" s="367"/>
      <c r="AZ1142" s="367"/>
      <c r="BA1142" s="367"/>
      <c r="BB1142" s="152"/>
      <c r="BC1142" s="152"/>
      <c r="BD1142" s="367" t="s">
        <v>816</v>
      </c>
      <c r="BE1142" s="367"/>
      <c r="BF1142" s="367"/>
      <c r="BG1142" s="367"/>
      <c r="BH1142" s="260"/>
      <c r="BL1142" s="54"/>
    </row>
    <row r="1143" spans="1:64" ht="37.950000000000003" customHeight="1" x14ac:dyDescent="0.3">
      <c r="A1143" s="367">
        <f t="shared" si="21"/>
        <v>1138</v>
      </c>
      <c r="B1143" s="54" t="s">
        <v>3418</v>
      </c>
      <c r="C1143" s="367" t="s">
        <v>3227</v>
      </c>
      <c r="D1143" s="367" t="s">
        <v>262</v>
      </c>
      <c r="E1143" s="367"/>
      <c r="F1143" s="367"/>
      <c r="G1143" s="367"/>
      <c r="H1143" s="367"/>
      <c r="I1143" s="150"/>
      <c r="J1143" s="48"/>
      <c r="K1143" s="48" t="s">
        <v>2546</v>
      </c>
      <c r="L1143" s="367"/>
      <c r="M1143" s="150"/>
      <c r="N1143" s="367"/>
      <c r="O1143" s="367"/>
      <c r="P1143" s="367"/>
      <c r="Q1143" s="367"/>
      <c r="R1143" s="367"/>
      <c r="S1143" s="367"/>
      <c r="T1143" s="367"/>
      <c r="U1143" s="367"/>
      <c r="V1143" s="367"/>
      <c r="W1143" s="367"/>
      <c r="X1143" s="367"/>
      <c r="Y1143" s="367"/>
      <c r="Z1143" s="367"/>
      <c r="AA1143" s="367"/>
      <c r="AB1143" s="150"/>
      <c r="AC1143" s="48" t="s">
        <v>3419</v>
      </c>
      <c r="AD1143" s="150" t="s">
        <v>238</v>
      </c>
      <c r="AE1143" s="296"/>
      <c r="AF1143" s="296"/>
      <c r="AG1143" s="286">
        <v>46478</v>
      </c>
      <c r="AH1143" s="49">
        <v>46412</v>
      </c>
      <c r="AI1143" s="266">
        <v>46388</v>
      </c>
      <c r="AJ1143" s="150" t="s">
        <v>617</v>
      </c>
      <c r="AK1143" s="150"/>
      <c r="AL1143" s="150"/>
      <c r="AM1143" s="150"/>
      <c r="AN1143" s="367"/>
      <c r="AO1143" s="367"/>
      <c r="AP1143" s="367"/>
      <c r="AQ1143" s="367"/>
      <c r="AR1143" s="367"/>
      <c r="AS1143" s="367"/>
      <c r="AT1143" s="367"/>
      <c r="AU1143" s="367"/>
      <c r="AV1143" s="367"/>
      <c r="AW1143" s="367"/>
      <c r="AX1143" s="367"/>
      <c r="AY1143" s="367"/>
      <c r="AZ1143" s="367"/>
      <c r="BA1143" s="367"/>
      <c r="BB1143" s="152"/>
      <c r="BC1143" s="152"/>
      <c r="BD1143" s="367" t="s">
        <v>816</v>
      </c>
      <c r="BE1143" s="367"/>
      <c r="BF1143" s="367"/>
      <c r="BG1143" s="367"/>
      <c r="BH1143" s="260"/>
      <c r="BL1143" s="54"/>
    </row>
    <row r="1144" spans="1:64" ht="37.950000000000003" customHeight="1" x14ac:dyDescent="0.3">
      <c r="A1144" s="367">
        <f t="shared" si="21"/>
        <v>1139</v>
      </c>
      <c r="B1144" s="54" t="s">
        <v>3420</v>
      </c>
      <c r="C1144" s="367" t="s">
        <v>3227</v>
      </c>
      <c r="D1144" s="367" t="s">
        <v>262</v>
      </c>
      <c r="E1144" s="367"/>
      <c r="F1144" s="367"/>
      <c r="G1144" s="367"/>
      <c r="H1144" s="367"/>
      <c r="I1144" s="150"/>
      <c r="J1144" s="48"/>
      <c r="K1144" s="48" t="s">
        <v>2546</v>
      </c>
      <c r="L1144" s="367"/>
      <c r="M1144" s="150"/>
      <c r="N1144" s="367"/>
      <c r="O1144" s="367"/>
      <c r="P1144" s="367"/>
      <c r="Q1144" s="367"/>
      <c r="R1144" s="367"/>
      <c r="S1144" s="367"/>
      <c r="T1144" s="367"/>
      <c r="U1144" s="367"/>
      <c r="V1144" s="367"/>
      <c r="W1144" s="367"/>
      <c r="X1144" s="367"/>
      <c r="Y1144" s="367" t="s">
        <v>127</v>
      </c>
      <c r="Z1144" s="367"/>
      <c r="AA1144" s="367"/>
      <c r="AB1144" s="150"/>
      <c r="AC1144" s="48" t="s">
        <v>3421</v>
      </c>
      <c r="AD1144" s="150" t="s">
        <v>2427</v>
      </c>
      <c r="AE1144" s="296"/>
      <c r="AF1144" s="296"/>
      <c r="AG1144" s="286">
        <v>46478</v>
      </c>
      <c r="AH1144" s="49">
        <v>46443</v>
      </c>
      <c r="AI1144" s="266">
        <v>46388</v>
      </c>
      <c r="AJ1144" s="150" t="s">
        <v>617</v>
      </c>
      <c r="AK1144" s="150"/>
      <c r="AL1144" s="150"/>
      <c r="AM1144" s="150"/>
      <c r="AN1144" s="367"/>
      <c r="AO1144" s="367"/>
      <c r="AP1144" s="367"/>
      <c r="AQ1144" s="367"/>
      <c r="AR1144" s="367"/>
      <c r="AS1144" s="367"/>
      <c r="AT1144" s="367"/>
      <c r="AU1144" s="367"/>
      <c r="AV1144" s="367"/>
      <c r="AW1144" s="367"/>
      <c r="AX1144" s="367"/>
      <c r="AY1144" s="367"/>
      <c r="AZ1144" s="367"/>
      <c r="BA1144" s="367"/>
      <c r="BB1144" s="152"/>
      <c r="BC1144" s="152"/>
      <c r="BD1144" s="367" t="s">
        <v>816</v>
      </c>
      <c r="BE1144" s="367"/>
      <c r="BF1144" s="367"/>
      <c r="BG1144" s="367"/>
      <c r="BH1144" s="260"/>
      <c r="BL1144" s="54"/>
    </row>
    <row r="1145" spans="1:64" ht="37.950000000000003" customHeight="1" x14ac:dyDescent="0.3">
      <c r="A1145" s="367">
        <f t="shared" si="21"/>
        <v>1140</v>
      </c>
      <c r="B1145" s="54" t="s">
        <v>3422</v>
      </c>
      <c r="C1145" s="367" t="s">
        <v>3227</v>
      </c>
      <c r="D1145" s="367" t="s">
        <v>262</v>
      </c>
      <c r="E1145" s="367"/>
      <c r="F1145" s="367"/>
      <c r="G1145" s="367"/>
      <c r="H1145" s="367"/>
      <c r="I1145" s="150"/>
      <c r="J1145" s="48"/>
      <c r="K1145" s="48" t="s">
        <v>3423</v>
      </c>
      <c r="L1145" s="367"/>
      <c r="M1145" s="150"/>
      <c r="N1145" s="367"/>
      <c r="O1145" s="367"/>
      <c r="P1145" s="367"/>
      <c r="Q1145" s="367"/>
      <c r="R1145" s="367"/>
      <c r="S1145" s="367"/>
      <c r="T1145" s="367"/>
      <c r="U1145" s="367"/>
      <c r="V1145" s="367"/>
      <c r="W1145" s="367"/>
      <c r="X1145" s="367"/>
      <c r="Y1145" s="367"/>
      <c r="Z1145" s="367"/>
      <c r="AA1145" s="367"/>
      <c r="AB1145" s="150"/>
      <c r="AC1145" s="48" t="s">
        <v>3424</v>
      </c>
      <c r="AD1145" s="150" t="s">
        <v>169</v>
      </c>
      <c r="AE1145" s="296"/>
      <c r="AF1145" s="296"/>
      <c r="AG1145" s="286">
        <v>46569</v>
      </c>
      <c r="AH1145" s="49">
        <v>46563</v>
      </c>
      <c r="AI1145" s="266">
        <v>46539</v>
      </c>
      <c r="AJ1145" s="150" t="s">
        <v>617</v>
      </c>
      <c r="AK1145" s="150"/>
      <c r="AL1145" s="150"/>
      <c r="AM1145" s="150"/>
      <c r="AN1145" s="367"/>
      <c r="AO1145" s="367"/>
      <c r="AP1145" s="367"/>
      <c r="AQ1145" s="367"/>
      <c r="AR1145" s="367"/>
      <c r="AS1145" s="367"/>
      <c r="AT1145" s="367"/>
      <c r="AU1145" s="367"/>
      <c r="AV1145" s="367"/>
      <c r="AW1145" s="367"/>
      <c r="AX1145" s="367"/>
      <c r="AY1145" s="367"/>
      <c r="AZ1145" s="367"/>
      <c r="BA1145" s="367"/>
      <c r="BB1145" s="152"/>
      <c r="BC1145" s="152"/>
      <c r="BD1145" s="367" t="s">
        <v>816</v>
      </c>
      <c r="BE1145" s="367"/>
      <c r="BF1145" s="367"/>
      <c r="BG1145" s="367"/>
      <c r="BH1145" s="260"/>
      <c r="BL1145" s="54"/>
    </row>
    <row r="1146" spans="1:64" ht="37.950000000000003" customHeight="1" x14ac:dyDescent="0.3">
      <c r="A1146" s="367">
        <f t="shared" si="21"/>
        <v>1141</v>
      </c>
      <c r="B1146" s="54" t="s">
        <v>3425</v>
      </c>
      <c r="C1146" s="367" t="s">
        <v>3227</v>
      </c>
      <c r="D1146" s="367" t="s">
        <v>262</v>
      </c>
      <c r="E1146" s="367"/>
      <c r="F1146" s="367"/>
      <c r="G1146" s="367"/>
      <c r="H1146" s="367"/>
      <c r="I1146" s="150"/>
      <c r="J1146" s="48"/>
      <c r="K1146" s="48" t="s">
        <v>3423</v>
      </c>
      <c r="L1146" s="367"/>
      <c r="M1146" s="150"/>
      <c r="N1146" s="367"/>
      <c r="O1146" s="367"/>
      <c r="P1146" s="367"/>
      <c r="Q1146" s="367"/>
      <c r="R1146" s="367"/>
      <c r="S1146" s="367"/>
      <c r="T1146" s="367"/>
      <c r="U1146" s="367"/>
      <c r="V1146" s="367"/>
      <c r="W1146" s="367"/>
      <c r="X1146" s="367"/>
      <c r="Y1146" s="367"/>
      <c r="Z1146" s="367"/>
      <c r="AA1146" s="367"/>
      <c r="AB1146" s="150"/>
      <c r="AC1146" s="48" t="s">
        <v>3424</v>
      </c>
      <c r="AD1146" s="150" t="s">
        <v>169</v>
      </c>
      <c r="AE1146" s="296"/>
      <c r="AF1146" s="296"/>
      <c r="AG1146" s="286">
        <v>46569</v>
      </c>
      <c r="AH1146" s="49">
        <v>46563</v>
      </c>
      <c r="AI1146" s="266">
        <v>46539</v>
      </c>
      <c r="AJ1146" s="150" t="s">
        <v>617</v>
      </c>
      <c r="AK1146" s="150"/>
      <c r="AL1146" s="150"/>
      <c r="AM1146" s="150"/>
      <c r="AN1146" s="367"/>
      <c r="AO1146" s="367"/>
      <c r="AP1146" s="367"/>
      <c r="AQ1146" s="367"/>
      <c r="AR1146" s="367"/>
      <c r="AS1146" s="367"/>
      <c r="AT1146" s="367"/>
      <c r="AU1146" s="367"/>
      <c r="AV1146" s="367"/>
      <c r="AW1146" s="367"/>
      <c r="AX1146" s="367"/>
      <c r="AY1146" s="367"/>
      <c r="AZ1146" s="367"/>
      <c r="BA1146" s="367"/>
      <c r="BB1146" s="152"/>
      <c r="BC1146" s="152"/>
      <c r="BD1146" s="367" t="s">
        <v>816</v>
      </c>
      <c r="BE1146" s="367"/>
      <c r="BF1146" s="367"/>
      <c r="BG1146" s="367"/>
      <c r="BH1146" s="260"/>
      <c r="BL1146" s="54"/>
    </row>
    <row r="1147" spans="1:64" ht="37.950000000000003" customHeight="1" x14ac:dyDescent="0.3">
      <c r="A1147" s="367">
        <f t="shared" si="21"/>
        <v>1142</v>
      </c>
      <c r="B1147" s="54" t="s">
        <v>3426</v>
      </c>
      <c r="C1147" s="367" t="s">
        <v>3227</v>
      </c>
      <c r="D1147" s="367" t="s">
        <v>262</v>
      </c>
      <c r="E1147" s="367"/>
      <c r="F1147" s="367"/>
      <c r="G1147" s="367"/>
      <c r="H1147" s="367"/>
      <c r="I1147" s="150"/>
      <c r="J1147" s="48"/>
      <c r="K1147" s="48" t="s">
        <v>3423</v>
      </c>
      <c r="L1147" s="367"/>
      <c r="M1147" s="150"/>
      <c r="N1147" s="367"/>
      <c r="O1147" s="367"/>
      <c r="P1147" s="367"/>
      <c r="Q1147" s="367"/>
      <c r="R1147" s="367"/>
      <c r="S1147" s="367"/>
      <c r="T1147" s="367"/>
      <c r="U1147" s="367"/>
      <c r="V1147" s="367"/>
      <c r="W1147" s="367"/>
      <c r="X1147" s="367"/>
      <c r="Y1147" s="367"/>
      <c r="Z1147" s="367"/>
      <c r="AA1147" s="367"/>
      <c r="AB1147" s="150"/>
      <c r="AC1147" s="48" t="s">
        <v>3427</v>
      </c>
      <c r="AD1147" s="150" t="s">
        <v>238</v>
      </c>
      <c r="AE1147" s="296"/>
      <c r="AF1147" s="296"/>
      <c r="AG1147" s="286">
        <v>46569</v>
      </c>
      <c r="AH1147" s="49">
        <v>46563</v>
      </c>
      <c r="AI1147" s="266">
        <v>46539</v>
      </c>
      <c r="AJ1147" s="150" t="s">
        <v>617</v>
      </c>
      <c r="AK1147" s="150"/>
      <c r="AL1147" s="150"/>
      <c r="AM1147" s="150"/>
      <c r="AN1147" s="367"/>
      <c r="AO1147" s="367"/>
      <c r="AP1147" s="367"/>
      <c r="AQ1147" s="367"/>
      <c r="AR1147" s="367"/>
      <c r="AS1147" s="367"/>
      <c r="AT1147" s="367"/>
      <c r="AU1147" s="367"/>
      <c r="AV1147" s="367"/>
      <c r="AW1147" s="367"/>
      <c r="AX1147" s="367"/>
      <c r="AY1147" s="367"/>
      <c r="AZ1147" s="367"/>
      <c r="BA1147" s="367"/>
      <c r="BB1147" s="152"/>
      <c r="BC1147" s="152"/>
      <c r="BD1147" s="367" t="s">
        <v>816</v>
      </c>
      <c r="BE1147" s="367"/>
      <c r="BF1147" s="367"/>
      <c r="BG1147" s="367"/>
      <c r="BH1147" s="260"/>
      <c r="BL1147" s="54"/>
    </row>
    <row r="1148" spans="1:64" ht="37.950000000000003" customHeight="1" x14ac:dyDescent="0.3">
      <c r="A1148" s="367">
        <f t="shared" si="21"/>
        <v>1143</v>
      </c>
      <c r="B1148" s="54" t="s">
        <v>3428</v>
      </c>
      <c r="C1148" s="367" t="s">
        <v>3227</v>
      </c>
      <c r="D1148" s="367" t="s">
        <v>262</v>
      </c>
      <c r="E1148" s="367"/>
      <c r="F1148" s="367"/>
      <c r="G1148" s="367"/>
      <c r="H1148" s="367"/>
      <c r="I1148" s="150"/>
      <c r="J1148" s="48"/>
      <c r="K1148" s="48" t="s">
        <v>3423</v>
      </c>
      <c r="L1148" s="367"/>
      <c r="M1148" s="150"/>
      <c r="N1148" s="367"/>
      <c r="O1148" s="367"/>
      <c r="P1148" s="367"/>
      <c r="Q1148" s="367"/>
      <c r="R1148" s="367"/>
      <c r="S1148" s="367"/>
      <c r="T1148" s="367"/>
      <c r="U1148" s="367"/>
      <c r="V1148" s="367"/>
      <c r="W1148" s="367"/>
      <c r="X1148" s="367"/>
      <c r="Y1148" s="367" t="s">
        <v>127</v>
      </c>
      <c r="Z1148" s="367"/>
      <c r="AA1148" s="367"/>
      <c r="AB1148" s="150"/>
      <c r="AC1148" s="48" t="s">
        <v>3429</v>
      </c>
      <c r="AD1148" s="150" t="s">
        <v>2427</v>
      </c>
      <c r="AE1148" s="296"/>
      <c r="AF1148" s="296"/>
      <c r="AG1148" s="286">
        <v>46569</v>
      </c>
      <c r="AH1148" s="49">
        <v>46563</v>
      </c>
      <c r="AI1148" s="266">
        <v>46539</v>
      </c>
      <c r="AJ1148" s="150" t="s">
        <v>617</v>
      </c>
      <c r="AK1148" s="150"/>
      <c r="AL1148" s="150"/>
      <c r="AM1148" s="150"/>
      <c r="AN1148" s="367"/>
      <c r="AO1148" s="367"/>
      <c r="AP1148" s="367"/>
      <c r="AQ1148" s="367"/>
      <c r="AR1148" s="367"/>
      <c r="AS1148" s="367"/>
      <c r="AT1148" s="367"/>
      <c r="AU1148" s="367"/>
      <c r="AV1148" s="367"/>
      <c r="AW1148" s="367"/>
      <c r="AX1148" s="367"/>
      <c r="AY1148" s="367"/>
      <c r="AZ1148" s="367"/>
      <c r="BA1148" s="367"/>
      <c r="BB1148" s="152"/>
      <c r="BC1148" s="152"/>
      <c r="BD1148" s="367" t="s">
        <v>816</v>
      </c>
      <c r="BE1148" s="367"/>
      <c r="BF1148" s="367"/>
      <c r="BG1148" s="367"/>
      <c r="BH1148" s="260"/>
      <c r="BL1148" s="54"/>
    </row>
    <row r="1149" spans="1:64" ht="37.950000000000003" customHeight="1" x14ac:dyDescent="0.3">
      <c r="A1149" s="367">
        <f t="shared" si="21"/>
        <v>1144</v>
      </c>
      <c r="B1149" s="54" t="s">
        <v>3430</v>
      </c>
      <c r="C1149" s="367" t="s">
        <v>3227</v>
      </c>
      <c r="D1149" s="367" t="s">
        <v>262</v>
      </c>
      <c r="E1149" s="367"/>
      <c r="F1149" s="367"/>
      <c r="G1149" s="367"/>
      <c r="H1149" s="367"/>
      <c r="I1149" s="150"/>
      <c r="J1149" s="48"/>
      <c r="K1149" s="48" t="s">
        <v>3431</v>
      </c>
      <c r="L1149" s="367"/>
      <c r="M1149" s="150"/>
      <c r="N1149" s="367"/>
      <c r="O1149" s="367"/>
      <c r="P1149" s="367"/>
      <c r="Q1149" s="367"/>
      <c r="R1149" s="367"/>
      <c r="S1149" s="367"/>
      <c r="T1149" s="367"/>
      <c r="U1149" s="367"/>
      <c r="V1149" s="367"/>
      <c r="W1149" s="367"/>
      <c r="X1149" s="367"/>
      <c r="Y1149" s="367"/>
      <c r="Z1149" s="367"/>
      <c r="AA1149" s="367"/>
      <c r="AB1149" s="150"/>
      <c r="AC1149" s="48" t="s">
        <v>3432</v>
      </c>
      <c r="AD1149" s="150" t="s">
        <v>169</v>
      </c>
      <c r="AE1149" s="296"/>
      <c r="AF1149" s="296"/>
      <c r="AG1149" s="286">
        <v>46631</v>
      </c>
      <c r="AH1149" s="49">
        <v>46624</v>
      </c>
      <c r="AI1149" s="266">
        <v>46569</v>
      </c>
      <c r="AJ1149" s="150" t="s">
        <v>617</v>
      </c>
      <c r="AK1149" s="150"/>
      <c r="AL1149" s="150"/>
      <c r="AM1149" s="150"/>
      <c r="AN1149" s="367"/>
      <c r="AO1149" s="367"/>
      <c r="AP1149" s="367"/>
      <c r="AQ1149" s="367"/>
      <c r="AR1149" s="367"/>
      <c r="AS1149" s="367"/>
      <c r="AT1149" s="367"/>
      <c r="AU1149" s="367"/>
      <c r="AV1149" s="367"/>
      <c r="AW1149" s="367"/>
      <c r="AX1149" s="367"/>
      <c r="AY1149" s="367"/>
      <c r="AZ1149" s="367"/>
      <c r="BA1149" s="367"/>
      <c r="BB1149" s="152"/>
      <c r="BC1149" s="152"/>
      <c r="BD1149" s="367" t="s">
        <v>816</v>
      </c>
      <c r="BE1149" s="367"/>
      <c r="BF1149" s="367"/>
      <c r="BG1149" s="367"/>
      <c r="BH1149" s="260"/>
      <c r="BL1149" s="54"/>
    </row>
    <row r="1150" spans="1:64" ht="37.950000000000003" customHeight="1" x14ac:dyDescent="0.3">
      <c r="A1150" s="367">
        <f t="shared" si="21"/>
        <v>1145</v>
      </c>
      <c r="B1150" s="54" t="s">
        <v>3433</v>
      </c>
      <c r="C1150" s="367" t="s">
        <v>3227</v>
      </c>
      <c r="D1150" s="367" t="s">
        <v>262</v>
      </c>
      <c r="E1150" s="367"/>
      <c r="F1150" s="367"/>
      <c r="G1150" s="367"/>
      <c r="H1150" s="367"/>
      <c r="I1150" s="150"/>
      <c r="J1150" s="48"/>
      <c r="K1150" s="48" t="s">
        <v>3431</v>
      </c>
      <c r="L1150" s="367"/>
      <c r="M1150" s="150"/>
      <c r="N1150" s="367"/>
      <c r="O1150" s="367"/>
      <c r="P1150" s="367"/>
      <c r="Q1150" s="367"/>
      <c r="R1150" s="367"/>
      <c r="S1150" s="367"/>
      <c r="T1150" s="367"/>
      <c r="U1150" s="367"/>
      <c r="V1150" s="367"/>
      <c r="W1150" s="367"/>
      <c r="X1150" s="367"/>
      <c r="Y1150" s="367"/>
      <c r="Z1150" s="367"/>
      <c r="AA1150" s="367"/>
      <c r="AB1150" s="150"/>
      <c r="AC1150" s="48" t="s">
        <v>3432</v>
      </c>
      <c r="AD1150" s="150" t="s">
        <v>169</v>
      </c>
      <c r="AE1150" s="296"/>
      <c r="AF1150" s="296"/>
      <c r="AG1150" s="286">
        <v>46631</v>
      </c>
      <c r="AH1150" s="49">
        <v>46624</v>
      </c>
      <c r="AI1150" s="266">
        <v>46569</v>
      </c>
      <c r="AJ1150" s="150" t="s">
        <v>617</v>
      </c>
      <c r="AK1150" s="150"/>
      <c r="AL1150" s="150"/>
      <c r="AM1150" s="150"/>
      <c r="AN1150" s="367"/>
      <c r="AO1150" s="367"/>
      <c r="AP1150" s="367"/>
      <c r="AQ1150" s="367"/>
      <c r="AR1150" s="367"/>
      <c r="AS1150" s="367"/>
      <c r="AT1150" s="367"/>
      <c r="AU1150" s="367"/>
      <c r="AV1150" s="367"/>
      <c r="AW1150" s="367"/>
      <c r="AX1150" s="367"/>
      <c r="AY1150" s="367"/>
      <c r="AZ1150" s="367"/>
      <c r="BA1150" s="367"/>
      <c r="BB1150" s="152"/>
      <c r="BC1150" s="152"/>
      <c r="BD1150" s="367" t="s">
        <v>816</v>
      </c>
      <c r="BE1150" s="367"/>
      <c r="BF1150" s="367"/>
      <c r="BG1150" s="367"/>
      <c r="BH1150" s="260"/>
      <c r="BL1150" s="54"/>
    </row>
    <row r="1151" spans="1:64" ht="37.950000000000003" customHeight="1" x14ac:dyDescent="0.3">
      <c r="A1151" s="367">
        <f t="shared" si="21"/>
        <v>1146</v>
      </c>
      <c r="B1151" s="54" t="s">
        <v>3434</v>
      </c>
      <c r="C1151" s="367" t="s">
        <v>3227</v>
      </c>
      <c r="D1151" s="367" t="s">
        <v>262</v>
      </c>
      <c r="E1151" s="367"/>
      <c r="F1151" s="367"/>
      <c r="G1151" s="367"/>
      <c r="H1151" s="367"/>
      <c r="I1151" s="150"/>
      <c r="J1151" s="48"/>
      <c r="K1151" s="48" t="s">
        <v>3431</v>
      </c>
      <c r="L1151" s="367"/>
      <c r="M1151" s="150"/>
      <c r="N1151" s="367"/>
      <c r="O1151" s="367"/>
      <c r="P1151" s="367"/>
      <c r="Q1151" s="367"/>
      <c r="R1151" s="367"/>
      <c r="S1151" s="367"/>
      <c r="T1151" s="367"/>
      <c r="U1151" s="367"/>
      <c r="V1151" s="367"/>
      <c r="W1151" s="367"/>
      <c r="X1151" s="367"/>
      <c r="Y1151" s="367"/>
      <c r="Z1151" s="367"/>
      <c r="AA1151" s="367"/>
      <c r="AB1151" s="150"/>
      <c r="AC1151" s="48" t="s">
        <v>3435</v>
      </c>
      <c r="AD1151" s="150" t="s">
        <v>238</v>
      </c>
      <c r="AE1151" s="296"/>
      <c r="AF1151" s="296"/>
      <c r="AG1151" s="286">
        <v>46631</v>
      </c>
      <c r="AH1151" s="49">
        <v>46624</v>
      </c>
      <c r="AI1151" s="266">
        <v>46569</v>
      </c>
      <c r="AJ1151" s="150" t="s">
        <v>617</v>
      </c>
      <c r="AK1151" s="150"/>
      <c r="AL1151" s="150"/>
      <c r="AM1151" s="150"/>
      <c r="AN1151" s="367"/>
      <c r="AO1151" s="367"/>
      <c r="AP1151" s="367"/>
      <c r="AQ1151" s="367"/>
      <c r="AR1151" s="367"/>
      <c r="AS1151" s="367"/>
      <c r="AT1151" s="367"/>
      <c r="AU1151" s="367"/>
      <c r="AV1151" s="367"/>
      <c r="AW1151" s="367"/>
      <c r="AX1151" s="367"/>
      <c r="AY1151" s="367"/>
      <c r="AZ1151" s="367"/>
      <c r="BA1151" s="367"/>
      <c r="BB1151" s="152"/>
      <c r="BC1151" s="152"/>
      <c r="BD1151" s="367" t="s">
        <v>816</v>
      </c>
      <c r="BE1151" s="367"/>
      <c r="BF1151" s="367"/>
      <c r="BG1151" s="367"/>
      <c r="BH1151" s="260"/>
      <c r="BL1151" s="54"/>
    </row>
    <row r="1152" spans="1:64" ht="37.950000000000003" customHeight="1" x14ac:dyDescent="0.3">
      <c r="A1152" s="367">
        <f t="shared" si="21"/>
        <v>1147</v>
      </c>
      <c r="B1152" s="54" t="s">
        <v>3436</v>
      </c>
      <c r="C1152" s="367" t="s">
        <v>3227</v>
      </c>
      <c r="D1152" s="367" t="s">
        <v>262</v>
      </c>
      <c r="E1152" s="367"/>
      <c r="F1152" s="367"/>
      <c r="G1152" s="367"/>
      <c r="H1152" s="367"/>
      <c r="I1152" s="150"/>
      <c r="J1152" s="48"/>
      <c r="K1152" s="48" t="s">
        <v>3431</v>
      </c>
      <c r="L1152" s="367"/>
      <c r="M1152" s="150"/>
      <c r="N1152" s="367"/>
      <c r="O1152" s="367"/>
      <c r="P1152" s="367"/>
      <c r="Q1152" s="367"/>
      <c r="R1152" s="367"/>
      <c r="S1152" s="367"/>
      <c r="T1152" s="367"/>
      <c r="U1152" s="367"/>
      <c r="V1152" s="367"/>
      <c r="W1152" s="367"/>
      <c r="X1152" s="367"/>
      <c r="Y1152" s="367" t="s">
        <v>127</v>
      </c>
      <c r="Z1152" s="367"/>
      <c r="AA1152" s="367"/>
      <c r="AB1152" s="150"/>
      <c r="AC1152" s="48" t="s">
        <v>3437</v>
      </c>
      <c r="AD1152" s="150" t="s">
        <v>2427</v>
      </c>
      <c r="AE1152" s="296"/>
      <c r="AF1152" s="296"/>
      <c r="AG1152" s="286">
        <v>46631</v>
      </c>
      <c r="AH1152" s="49">
        <v>46624</v>
      </c>
      <c r="AI1152" s="266">
        <v>46569</v>
      </c>
      <c r="AJ1152" s="150" t="s">
        <v>617</v>
      </c>
      <c r="AK1152" s="150"/>
      <c r="AL1152" s="150"/>
      <c r="AM1152" s="150"/>
      <c r="AN1152" s="367"/>
      <c r="AO1152" s="367"/>
      <c r="AP1152" s="367"/>
      <c r="AQ1152" s="367"/>
      <c r="AR1152" s="367"/>
      <c r="AS1152" s="367"/>
      <c r="AT1152" s="367"/>
      <c r="AU1152" s="367"/>
      <c r="AV1152" s="367"/>
      <c r="AW1152" s="367"/>
      <c r="AX1152" s="367"/>
      <c r="AY1152" s="367"/>
      <c r="AZ1152" s="367"/>
      <c r="BA1152" s="367"/>
      <c r="BB1152" s="152"/>
      <c r="BC1152" s="152"/>
      <c r="BD1152" s="367" t="s">
        <v>816</v>
      </c>
      <c r="BE1152" s="367"/>
      <c r="BF1152" s="367"/>
      <c r="BG1152" s="367"/>
      <c r="BH1152" s="260"/>
      <c r="BL1152" s="54"/>
    </row>
    <row r="1153" spans="1:64" ht="37.950000000000003" customHeight="1" x14ac:dyDescent="0.3">
      <c r="A1153" s="367">
        <f t="shared" si="21"/>
        <v>1148</v>
      </c>
      <c r="B1153" s="54" t="s">
        <v>3438</v>
      </c>
      <c r="C1153" s="367" t="s">
        <v>3227</v>
      </c>
      <c r="D1153" s="367" t="s">
        <v>262</v>
      </c>
      <c r="E1153" s="367"/>
      <c r="F1153" s="367"/>
      <c r="G1153" s="367"/>
      <c r="H1153" s="367"/>
      <c r="I1153" s="150"/>
      <c r="J1153" s="48"/>
      <c r="K1153" s="48" t="s">
        <v>3439</v>
      </c>
      <c r="L1153" s="367"/>
      <c r="M1153" s="150"/>
      <c r="N1153" s="367"/>
      <c r="O1153" s="367"/>
      <c r="P1153" s="367"/>
      <c r="Q1153" s="367"/>
      <c r="R1153" s="367"/>
      <c r="S1153" s="367"/>
      <c r="T1153" s="367"/>
      <c r="U1153" s="367"/>
      <c r="V1153" s="367"/>
      <c r="W1153" s="367"/>
      <c r="X1153" s="367"/>
      <c r="Y1153" s="367"/>
      <c r="Z1153" s="367"/>
      <c r="AA1153" s="367"/>
      <c r="AB1153" s="150"/>
      <c r="AC1153" s="48" t="s">
        <v>3440</v>
      </c>
      <c r="AD1153" s="150" t="s">
        <v>3441</v>
      </c>
      <c r="AE1153" s="296"/>
      <c r="AF1153" s="296"/>
      <c r="AG1153" s="286">
        <v>46508</v>
      </c>
      <c r="AH1153" s="49">
        <v>46502</v>
      </c>
      <c r="AI1153" s="266">
        <v>46447</v>
      </c>
      <c r="AJ1153" s="150" t="s">
        <v>617</v>
      </c>
      <c r="AK1153" s="150"/>
      <c r="AL1153" s="150"/>
      <c r="AM1153" s="150" t="s">
        <v>134</v>
      </c>
      <c r="AN1153" s="367"/>
      <c r="AO1153" s="367"/>
      <c r="AP1153" s="367"/>
      <c r="AQ1153" s="367"/>
      <c r="AR1153" s="367"/>
      <c r="AS1153" s="367"/>
      <c r="AT1153" s="367"/>
      <c r="AU1153" s="367"/>
      <c r="AV1153" s="367"/>
      <c r="AW1153" s="367"/>
      <c r="AX1153" s="367"/>
      <c r="AY1153" s="367"/>
      <c r="AZ1153" s="367"/>
      <c r="BA1153" s="367"/>
      <c r="BB1153" s="152"/>
      <c r="BC1153" s="152"/>
      <c r="BD1153" s="367" t="s">
        <v>816</v>
      </c>
      <c r="BE1153" s="367"/>
      <c r="BF1153" s="367"/>
      <c r="BG1153" s="367"/>
      <c r="BH1153" s="260"/>
      <c r="BL1153" s="54"/>
    </row>
    <row r="1154" spans="1:64" ht="37.950000000000003" customHeight="1" x14ac:dyDescent="0.3">
      <c r="A1154" s="367">
        <f t="shared" si="21"/>
        <v>1149</v>
      </c>
      <c r="B1154" s="54" t="s">
        <v>3442</v>
      </c>
      <c r="C1154" s="367" t="s">
        <v>3227</v>
      </c>
      <c r="D1154" s="367" t="s">
        <v>262</v>
      </c>
      <c r="E1154" s="367"/>
      <c r="F1154" s="367"/>
      <c r="G1154" s="367"/>
      <c r="H1154" s="367"/>
      <c r="I1154" s="150"/>
      <c r="J1154" s="48"/>
      <c r="K1154" s="48" t="s">
        <v>3439</v>
      </c>
      <c r="L1154" s="367"/>
      <c r="M1154" s="150"/>
      <c r="N1154" s="367"/>
      <c r="O1154" s="367"/>
      <c r="P1154" s="367"/>
      <c r="Q1154" s="367"/>
      <c r="R1154" s="367"/>
      <c r="S1154" s="367"/>
      <c r="T1154" s="367"/>
      <c r="U1154" s="367"/>
      <c r="V1154" s="367"/>
      <c r="W1154" s="367"/>
      <c r="X1154" s="367"/>
      <c r="Y1154" s="367"/>
      <c r="Z1154" s="367"/>
      <c r="AA1154" s="367"/>
      <c r="AB1154" s="150"/>
      <c r="AC1154" s="48" t="s">
        <v>3443</v>
      </c>
      <c r="AD1154" s="150" t="s">
        <v>3444</v>
      </c>
      <c r="AE1154" s="296"/>
      <c r="AF1154" s="296"/>
      <c r="AG1154" s="286">
        <v>46508</v>
      </c>
      <c r="AH1154" s="49">
        <v>46502</v>
      </c>
      <c r="AI1154" s="266">
        <v>46447</v>
      </c>
      <c r="AJ1154" s="150" t="s">
        <v>617</v>
      </c>
      <c r="AK1154" s="150"/>
      <c r="AL1154" s="150"/>
      <c r="AM1154" s="150" t="s">
        <v>134</v>
      </c>
      <c r="AN1154" s="367"/>
      <c r="AO1154" s="367"/>
      <c r="AP1154" s="367"/>
      <c r="AQ1154" s="367"/>
      <c r="AR1154" s="367"/>
      <c r="AS1154" s="367"/>
      <c r="AT1154" s="367"/>
      <c r="AU1154" s="367"/>
      <c r="AV1154" s="367"/>
      <c r="AW1154" s="367"/>
      <c r="AX1154" s="367"/>
      <c r="AY1154" s="367"/>
      <c r="AZ1154" s="367"/>
      <c r="BA1154" s="367"/>
      <c r="BB1154" s="152"/>
      <c r="BC1154" s="152"/>
      <c r="BD1154" s="367" t="s">
        <v>816</v>
      </c>
      <c r="BE1154" s="367"/>
      <c r="BF1154" s="367"/>
      <c r="BG1154" s="367"/>
      <c r="BH1154" s="260"/>
      <c r="BL1154" s="54"/>
    </row>
    <row r="1155" spans="1:64" ht="37.950000000000003" customHeight="1" x14ac:dyDescent="0.3">
      <c r="A1155" s="367">
        <f t="shared" si="21"/>
        <v>1150</v>
      </c>
      <c r="B1155" s="54" t="s">
        <v>3445</v>
      </c>
      <c r="C1155" s="367" t="s">
        <v>3227</v>
      </c>
      <c r="D1155" s="367" t="s">
        <v>262</v>
      </c>
      <c r="E1155" s="367"/>
      <c r="F1155" s="367"/>
      <c r="G1155" s="367"/>
      <c r="H1155" s="367"/>
      <c r="I1155" s="150"/>
      <c r="J1155" s="48"/>
      <c r="K1155" s="48" t="s">
        <v>521</v>
      </c>
      <c r="L1155" s="367"/>
      <c r="M1155" s="150"/>
      <c r="N1155" s="367"/>
      <c r="O1155" s="367"/>
      <c r="P1155" s="367"/>
      <c r="Q1155" s="367"/>
      <c r="R1155" s="367"/>
      <c r="S1155" s="367"/>
      <c r="T1155" s="367"/>
      <c r="U1155" s="367"/>
      <c r="V1155" s="367"/>
      <c r="W1155" s="367"/>
      <c r="X1155" s="367"/>
      <c r="Y1155" s="367"/>
      <c r="Z1155" s="367"/>
      <c r="AA1155" s="367"/>
      <c r="AB1155" s="150"/>
      <c r="AC1155" s="48" t="s">
        <v>3446</v>
      </c>
      <c r="AD1155" s="150" t="s">
        <v>56</v>
      </c>
      <c r="AE1155" s="296"/>
      <c r="AF1155" s="296"/>
      <c r="AG1155" s="286">
        <v>46478</v>
      </c>
      <c r="AH1155" s="49">
        <v>46471</v>
      </c>
      <c r="AI1155" s="266">
        <v>46388</v>
      </c>
      <c r="AJ1155" s="150" t="s">
        <v>617</v>
      </c>
      <c r="AK1155" s="150"/>
      <c r="AL1155" s="150"/>
      <c r="AM1155" s="150" t="s">
        <v>134</v>
      </c>
      <c r="AN1155" s="367"/>
      <c r="AO1155" s="367"/>
      <c r="AP1155" s="367"/>
      <c r="AQ1155" s="367"/>
      <c r="AR1155" s="367"/>
      <c r="AS1155" s="367"/>
      <c r="AT1155" s="367"/>
      <c r="AU1155" s="367"/>
      <c r="AV1155" s="367"/>
      <c r="AW1155" s="367"/>
      <c r="AX1155" s="367"/>
      <c r="AY1155" s="367"/>
      <c r="AZ1155" s="367"/>
      <c r="BA1155" s="367"/>
      <c r="BB1155" s="152"/>
      <c r="BC1155" s="152"/>
      <c r="BD1155" s="367" t="s">
        <v>816</v>
      </c>
      <c r="BE1155" s="367"/>
      <c r="BF1155" s="367"/>
      <c r="BG1155" s="367"/>
      <c r="BH1155" s="260"/>
      <c r="BL1155" s="54"/>
    </row>
    <row r="1156" spans="1:64" ht="37.950000000000003" customHeight="1" x14ac:dyDescent="0.3">
      <c r="A1156" s="367">
        <f t="shared" si="21"/>
        <v>1151</v>
      </c>
      <c r="B1156" s="54" t="s">
        <v>3447</v>
      </c>
      <c r="C1156" s="367" t="s">
        <v>3227</v>
      </c>
      <c r="D1156" s="367" t="s">
        <v>262</v>
      </c>
      <c r="E1156" s="367"/>
      <c r="F1156" s="367"/>
      <c r="G1156" s="367"/>
      <c r="H1156" s="367"/>
      <c r="I1156" s="150"/>
      <c r="J1156" s="48"/>
      <c r="K1156" s="48" t="s">
        <v>521</v>
      </c>
      <c r="L1156" s="367"/>
      <c r="M1156" s="150"/>
      <c r="N1156" s="367"/>
      <c r="O1156" s="367"/>
      <c r="P1156" s="367"/>
      <c r="Q1156" s="367"/>
      <c r="R1156" s="367"/>
      <c r="S1156" s="367"/>
      <c r="T1156" s="367"/>
      <c r="U1156" s="367"/>
      <c r="V1156" s="367"/>
      <c r="W1156" s="367"/>
      <c r="X1156" s="367"/>
      <c r="Y1156" s="367"/>
      <c r="Z1156" s="367"/>
      <c r="AA1156" s="367"/>
      <c r="AB1156" s="150"/>
      <c r="AC1156" s="48" t="s">
        <v>3446</v>
      </c>
      <c r="AD1156" s="150" t="s">
        <v>56</v>
      </c>
      <c r="AE1156" s="296"/>
      <c r="AF1156" s="296"/>
      <c r="AG1156" s="286">
        <v>46478</v>
      </c>
      <c r="AH1156" s="49">
        <v>46471</v>
      </c>
      <c r="AI1156" s="266">
        <v>46388</v>
      </c>
      <c r="AJ1156" s="150" t="s">
        <v>617</v>
      </c>
      <c r="AK1156" s="150"/>
      <c r="AL1156" s="150"/>
      <c r="AM1156" s="150" t="s">
        <v>134</v>
      </c>
      <c r="AN1156" s="367"/>
      <c r="AO1156" s="367"/>
      <c r="AP1156" s="367"/>
      <c r="AQ1156" s="367"/>
      <c r="AR1156" s="367"/>
      <c r="AS1156" s="367"/>
      <c r="AT1156" s="367"/>
      <c r="AU1156" s="367"/>
      <c r="AV1156" s="367"/>
      <c r="AW1156" s="367"/>
      <c r="AX1156" s="367"/>
      <c r="AY1156" s="367"/>
      <c r="AZ1156" s="367"/>
      <c r="BA1156" s="367"/>
      <c r="BB1156" s="152"/>
      <c r="BC1156" s="152"/>
      <c r="BD1156" s="367" t="s">
        <v>816</v>
      </c>
      <c r="BE1156" s="367"/>
      <c r="BF1156" s="367"/>
      <c r="BG1156" s="367"/>
      <c r="BH1156" s="260"/>
      <c r="BL1156" s="54"/>
    </row>
    <row r="1157" spans="1:64" ht="37.950000000000003" customHeight="1" x14ac:dyDescent="0.3">
      <c r="A1157" s="367">
        <f t="shared" si="21"/>
        <v>1152</v>
      </c>
      <c r="B1157" s="54" t="s">
        <v>3448</v>
      </c>
      <c r="C1157" s="367" t="s">
        <v>3227</v>
      </c>
      <c r="D1157" s="367" t="s">
        <v>262</v>
      </c>
      <c r="E1157" s="367"/>
      <c r="F1157" s="367"/>
      <c r="G1157" s="367"/>
      <c r="H1157" s="367"/>
      <c r="I1157" s="150"/>
      <c r="J1157" s="48"/>
      <c r="K1157" s="48" t="s">
        <v>521</v>
      </c>
      <c r="L1157" s="367"/>
      <c r="M1157" s="150"/>
      <c r="N1157" s="367"/>
      <c r="O1157" s="367"/>
      <c r="P1157" s="367"/>
      <c r="Q1157" s="367"/>
      <c r="R1157" s="367"/>
      <c r="S1157" s="367"/>
      <c r="T1157" s="367"/>
      <c r="U1157" s="367"/>
      <c r="V1157" s="367"/>
      <c r="W1157" s="367"/>
      <c r="X1157" s="367"/>
      <c r="Y1157" s="367"/>
      <c r="Z1157" s="367"/>
      <c r="AA1157" s="367"/>
      <c r="AB1157" s="150"/>
      <c r="AC1157" s="48" t="s">
        <v>3446</v>
      </c>
      <c r="AD1157" s="150" t="s">
        <v>56</v>
      </c>
      <c r="AE1157" s="296"/>
      <c r="AF1157" s="296"/>
      <c r="AG1157" s="286">
        <v>46478</v>
      </c>
      <c r="AH1157" s="49">
        <v>46471</v>
      </c>
      <c r="AI1157" s="266">
        <v>46388</v>
      </c>
      <c r="AJ1157" s="150" t="s">
        <v>617</v>
      </c>
      <c r="AK1157" s="150"/>
      <c r="AL1157" s="150"/>
      <c r="AM1157" s="150" t="s">
        <v>134</v>
      </c>
      <c r="AN1157" s="367"/>
      <c r="AO1157" s="367"/>
      <c r="AP1157" s="367"/>
      <c r="AQ1157" s="367"/>
      <c r="AR1157" s="367"/>
      <c r="AS1157" s="367"/>
      <c r="AT1157" s="367"/>
      <c r="AU1157" s="367"/>
      <c r="AV1157" s="367"/>
      <c r="AW1157" s="367"/>
      <c r="AX1157" s="367"/>
      <c r="AY1157" s="367"/>
      <c r="AZ1157" s="367"/>
      <c r="BA1157" s="367"/>
      <c r="BB1157" s="152"/>
      <c r="BC1157" s="152"/>
      <c r="BD1157" s="367" t="s">
        <v>816</v>
      </c>
      <c r="BE1157" s="367"/>
      <c r="BF1157" s="367"/>
      <c r="BG1157" s="367"/>
      <c r="BH1157" s="260"/>
      <c r="BL1157" s="54"/>
    </row>
    <row r="1158" spans="1:64" ht="37.950000000000003" customHeight="1" x14ac:dyDescent="0.3">
      <c r="A1158" s="367">
        <f t="shared" si="21"/>
        <v>1153</v>
      </c>
      <c r="B1158" s="54" t="s">
        <v>3449</v>
      </c>
      <c r="C1158" s="367" t="s">
        <v>3227</v>
      </c>
      <c r="D1158" s="367" t="s">
        <v>262</v>
      </c>
      <c r="E1158" s="367"/>
      <c r="F1158" s="367"/>
      <c r="G1158" s="367"/>
      <c r="H1158" s="367"/>
      <c r="I1158" s="150"/>
      <c r="J1158" s="48"/>
      <c r="K1158" s="48" t="s">
        <v>521</v>
      </c>
      <c r="L1158" s="367"/>
      <c r="M1158" s="150"/>
      <c r="N1158" s="367"/>
      <c r="O1158" s="367"/>
      <c r="P1158" s="367"/>
      <c r="Q1158" s="367"/>
      <c r="R1158" s="367"/>
      <c r="S1158" s="367"/>
      <c r="T1158" s="367"/>
      <c r="U1158" s="367"/>
      <c r="V1158" s="367"/>
      <c r="W1158" s="367"/>
      <c r="X1158" s="367"/>
      <c r="Y1158" s="367"/>
      <c r="Z1158" s="367"/>
      <c r="AA1158" s="367"/>
      <c r="AB1158" s="150"/>
      <c r="AC1158" s="48" t="s">
        <v>3446</v>
      </c>
      <c r="AD1158" s="150" t="s">
        <v>56</v>
      </c>
      <c r="AE1158" s="296"/>
      <c r="AF1158" s="296"/>
      <c r="AG1158" s="286">
        <v>46478</v>
      </c>
      <c r="AH1158" s="49">
        <v>46471</v>
      </c>
      <c r="AI1158" s="266">
        <v>46419</v>
      </c>
      <c r="AJ1158" s="150" t="s">
        <v>617</v>
      </c>
      <c r="AK1158" s="150"/>
      <c r="AL1158" s="150"/>
      <c r="AM1158" s="150" t="s">
        <v>134</v>
      </c>
      <c r="AN1158" s="367"/>
      <c r="AO1158" s="367"/>
      <c r="AP1158" s="367"/>
      <c r="AQ1158" s="367"/>
      <c r="AR1158" s="367"/>
      <c r="AS1158" s="367"/>
      <c r="AT1158" s="367"/>
      <c r="AU1158" s="367"/>
      <c r="AV1158" s="367"/>
      <c r="AW1158" s="367"/>
      <c r="AX1158" s="367"/>
      <c r="AY1158" s="367"/>
      <c r="AZ1158" s="367"/>
      <c r="BA1158" s="367"/>
      <c r="BB1158" s="152"/>
      <c r="BC1158" s="152"/>
      <c r="BD1158" s="367" t="s">
        <v>816</v>
      </c>
      <c r="BE1158" s="367"/>
      <c r="BF1158" s="367"/>
      <c r="BG1158" s="367"/>
      <c r="BH1158" s="260"/>
      <c r="BL1158" s="54"/>
    </row>
    <row r="1159" spans="1:64" ht="37.950000000000003" customHeight="1" x14ac:dyDescent="0.3">
      <c r="A1159" s="367">
        <f t="shared" si="21"/>
        <v>1154</v>
      </c>
      <c r="B1159" s="54" t="s">
        <v>3450</v>
      </c>
      <c r="C1159" s="367" t="s">
        <v>3227</v>
      </c>
      <c r="D1159" s="367" t="s">
        <v>262</v>
      </c>
      <c r="E1159" s="367"/>
      <c r="F1159" s="367"/>
      <c r="G1159" s="367"/>
      <c r="H1159" s="367"/>
      <c r="I1159" s="150"/>
      <c r="J1159" s="48"/>
      <c r="K1159" s="48" t="s">
        <v>521</v>
      </c>
      <c r="L1159" s="367"/>
      <c r="M1159" s="150"/>
      <c r="N1159" s="367"/>
      <c r="O1159" s="367"/>
      <c r="P1159" s="367"/>
      <c r="Q1159" s="367"/>
      <c r="R1159" s="367"/>
      <c r="S1159" s="367"/>
      <c r="T1159" s="367"/>
      <c r="U1159" s="367"/>
      <c r="V1159" s="367"/>
      <c r="W1159" s="367"/>
      <c r="X1159" s="367"/>
      <c r="Y1159" s="367"/>
      <c r="Z1159" s="367"/>
      <c r="AA1159" s="367"/>
      <c r="AB1159" s="150"/>
      <c r="AC1159" s="48" t="s">
        <v>3446</v>
      </c>
      <c r="AD1159" s="150" t="s">
        <v>56</v>
      </c>
      <c r="AE1159" s="296"/>
      <c r="AF1159" s="296"/>
      <c r="AG1159" s="286">
        <v>46478</v>
      </c>
      <c r="AH1159" s="49">
        <v>46471</v>
      </c>
      <c r="AI1159" s="266">
        <v>46419</v>
      </c>
      <c r="AJ1159" s="150" t="s">
        <v>617</v>
      </c>
      <c r="AK1159" s="150"/>
      <c r="AL1159" s="150"/>
      <c r="AM1159" s="150" t="s">
        <v>134</v>
      </c>
      <c r="AN1159" s="367"/>
      <c r="AO1159" s="367"/>
      <c r="AP1159" s="367"/>
      <c r="AQ1159" s="367"/>
      <c r="AR1159" s="367"/>
      <c r="AS1159" s="367"/>
      <c r="AT1159" s="367"/>
      <c r="AU1159" s="367"/>
      <c r="AV1159" s="367"/>
      <c r="AW1159" s="367"/>
      <c r="AX1159" s="367"/>
      <c r="AY1159" s="367"/>
      <c r="AZ1159" s="367"/>
      <c r="BA1159" s="367"/>
      <c r="BB1159" s="152"/>
      <c r="BC1159" s="152"/>
      <c r="BD1159" s="367" t="s">
        <v>816</v>
      </c>
      <c r="BE1159" s="367"/>
      <c r="BF1159" s="367"/>
      <c r="BG1159" s="367"/>
      <c r="BH1159" s="260"/>
      <c r="BL1159" s="54"/>
    </row>
    <row r="1160" spans="1:64" ht="37.950000000000003" customHeight="1" x14ac:dyDescent="0.3">
      <c r="A1160" s="367">
        <f t="shared" si="21"/>
        <v>1155</v>
      </c>
      <c r="B1160" s="54" t="s">
        <v>3451</v>
      </c>
      <c r="C1160" s="367" t="s">
        <v>3227</v>
      </c>
      <c r="D1160" s="367" t="s">
        <v>262</v>
      </c>
      <c r="E1160" s="367"/>
      <c r="F1160" s="367"/>
      <c r="G1160" s="367"/>
      <c r="H1160" s="367"/>
      <c r="I1160" s="150"/>
      <c r="J1160" s="48"/>
      <c r="K1160" s="48" t="s">
        <v>521</v>
      </c>
      <c r="L1160" s="367"/>
      <c r="M1160" s="150"/>
      <c r="N1160" s="367"/>
      <c r="O1160" s="367"/>
      <c r="P1160" s="367"/>
      <c r="Q1160" s="367"/>
      <c r="R1160" s="367"/>
      <c r="S1160" s="367"/>
      <c r="T1160" s="367"/>
      <c r="U1160" s="367"/>
      <c r="V1160" s="367"/>
      <c r="W1160" s="367"/>
      <c r="X1160" s="367"/>
      <c r="Y1160" s="367"/>
      <c r="Z1160" s="367"/>
      <c r="AA1160" s="367"/>
      <c r="AB1160" s="150"/>
      <c r="AC1160" s="48" t="s">
        <v>3446</v>
      </c>
      <c r="AD1160" s="150" t="s">
        <v>56</v>
      </c>
      <c r="AE1160" s="296"/>
      <c r="AF1160" s="296"/>
      <c r="AG1160" s="286">
        <v>46508</v>
      </c>
      <c r="AH1160" s="49">
        <v>46502</v>
      </c>
      <c r="AI1160" s="266">
        <v>46447</v>
      </c>
      <c r="AJ1160" s="150" t="s">
        <v>617</v>
      </c>
      <c r="AK1160" s="150"/>
      <c r="AL1160" s="150"/>
      <c r="AM1160" s="150" t="s">
        <v>134</v>
      </c>
      <c r="AN1160" s="367"/>
      <c r="AO1160" s="367"/>
      <c r="AP1160" s="367"/>
      <c r="AQ1160" s="367"/>
      <c r="AR1160" s="367"/>
      <c r="AS1160" s="367"/>
      <c r="AT1160" s="367"/>
      <c r="AU1160" s="367"/>
      <c r="AV1160" s="367"/>
      <c r="AW1160" s="367"/>
      <c r="AX1160" s="367"/>
      <c r="AY1160" s="367"/>
      <c r="AZ1160" s="367"/>
      <c r="BA1160" s="367"/>
      <c r="BB1160" s="152"/>
      <c r="BC1160" s="152"/>
      <c r="BD1160" s="367" t="s">
        <v>816</v>
      </c>
      <c r="BE1160" s="367"/>
      <c r="BF1160" s="367"/>
      <c r="BG1160" s="367"/>
      <c r="BH1160" s="260"/>
      <c r="BL1160" s="54"/>
    </row>
    <row r="1161" spans="1:64" ht="37.950000000000003" customHeight="1" x14ac:dyDescent="0.3">
      <c r="A1161" s="367">
        <f t="shared" si="21"/>
        <v>1156</v>
      </c>
      <c r="B1161" s="54" t="s">
        <v>3452</v>
      </c>
      <c r="C1161" s="367" t="s">
        <v>3227</v>
      </c>
      <c r="D1161" s="367" t="s">
        <v>262</v>
      </c>
      <c r="E1161" s="367"/>
      <c r="F1161" s="367"/>
      <c r="G1161" s="367"/>
      <c r="H1161" s="367"/>
      <c r="I1161" s="150"/>
      <c r="J1161" s="48"/>
      <c r="K1161" s="48" t="s">
        <v>521</v>
      </c>
      <c r="L1161" s="367"/>
      <c r="M1161" s="150"/>
      <c r="N1161" s="367"/>
      <c r="O1161" s="367"/>
      <c r="P1161" s="367"/>
      <c r="Q1161" s="367"/>
      <c r="R1161" s="367"/>
      <c r="S1161" s="367"/>
      <c r="T1161" s="367"/>
      <c r="U1161" s="367"/>
      <c r="V1161" s="367"/>
      <c r="W1161" s="367"/>
      <c r="X1161" s="367"/>
      <c r="Y1161" s="367"/>
      <c r="Z1161" s="367"/>
      <c r="AA1161" s="367"/>
      <c r="AB1161" s="150"/>
      <c r="AC1161" s="48" t="s">
        <v>3446</v>
      </c>
      <c r="AD1161" s="150" t="s">
        <v>56</v>
      </c>
      <c r="AE1161" s="296"/>
      <c r="AF1161" s="296"/>
      <c r="AG1161" s="286">
        <v>46508</v>
      </c>
      <c r="AH1161" s="49">
        <v>46502</v>
      </c>
      <c r="AI1161" s="266">
        <v>46447</v>
      </c>
      <c r="AJ1161" s="150" t="s">
        <v>617</v>
      </c>
      <c r="AK1161" s="150"/>
      <c r="AL1161" s="150"/>
      <c r="AM1161" s="150" t="s">
        <v>134</v>
      </c>
      <c r="AN1161" s="367"/>
      <c r="AO1161" s="367"/>
      <c r="AP1161" s="367"/>
      <c r="AQ1161" s="367"/>
      <c r="AR1161" s="367"/>
      <c r="AS1161" s="367"/>
      <c r="AT1161" s="367"/>
      <c r="AU1161" s="367"/>
      <c r="AV1161" s="367"/>
      <c r="AW1161" s="367"/>
      <c r="AX1161" s="367"/>
      <c r="AY1161" s="367"/>
      <c r="AZ1161" s="367"/>
      <c r="BA1161" s="367"/>
      <c r="BB1161" s="152"/>
      <c r="BC1161" s="152"/>
      <c r="BD1161" s="367" t="s">
        <v>816</v>
      </c>
      <c r="BE1161" s="367"/>
      <c r="BF1161" s="367"/>
      <c r="BG1161" s="367"/>
      <c r="BH1161" s="260"/>
      <c r="BL1161" s="54"/>
    </row>
    <row r="1162" spans="1:64" ht="37.950000000000003" customHeight="1" x14ac:dyDescent="0.3">
      <c r="A1162" s="367">
        <f t="shared" si="21"/>
        <v>1157</v>
      </c>
      <c r="B1162" s="54" t="s">
        <v>3453</v>
      </c>
      <c r="C1162" s="367" t="s">
        <v>3227</v>
      </c>
      <c r="D1162" s="367" t="s">
        <v>262</v>
      </c>
      <c r="E1162" s="367"/>
      <c r="F1162" s="367"/>
      <c r="G1162" s="367"/>
      <c r="H1162" s="367"/>
      <c r="I1162" s="150"/>
      <c r="J1162" s="48"/>
      <c r="K1162" s="48" t="s">
        <v>521</v>
      </c>
      <c r="L1162" s="367"/>
      <c r="M1162" s="150"/>
      <c r="N1162" s="367"/>
      <c r="O1162" s="367"/>
      <c r="P1162" s="367"/>
      <c r="Q1162" s="367"/>
      <c r="R1162" s="367"/>
      <c r="S1162" s="367"/>
      <c r="T1162" s="367"/>
      <c r="U1162" s="367"/>
      <c r="V1162" s="367"/>
      <c r="W1162" s="367"/>
      <c r="X1162" s="367"/>
      <c r="Y1162" s="367"/>
      <c r="Z1162" s="367"/>
      <c r="AA1162" s="367"/>
      <c r="AB1162" s="150"/>
      <c r="AC1162" s="48" t="s">
        <v>3446</v>
      </c>
      <c r="AD1162" s="150" t="s">
        <v>56</v>
      </c>
      <c r="AE1162" s="296"/>
      <c r="AF1162" s="296"/>
      <c r="AG1162" s="286">
        <v>46508</v>
      </c>
      <c r="AH1162" s="49">
        <v>46502</v>
      </c>
      <c r="AI1162" s="266">
        <v>46447</v>
      </c>
      <c r="AJ1162" s="150" t="s">
        <v>617</v>
      </c>
      <c r="AK1162" s="150"/>
      <c r="AL1162" s="150"/>
      <c r="AM1162" s="150" t="s">
        <v>134</v>
      </c>
      <c r="AN1162" s="367"/>
      <c r="AO1162" s="367"/>
      <c r="AP1162" s="367"/>
      <c r="AQ1162" s="367"/>
      <c r="AR1162" s="367"/>
      <c r="AS1162" s="367"/>
      <c r="AT1162" s="367"/>
      <c r="AU1162" s="367"/>
      <c r="AV1162" s="367"/>
      <c r="AW1162" s="367"/>
      <c r="AX1162" s="367"/>
      <c r="AY1162" s="367"/>
      <c r="AZ1162" s="367"/>
      <c r="BA1162" s="367"/>
      <c r="BB1162" s="152"/>
      <c r="BC1162" s="152"/>
      <c r="BD1162" s="367" t="s">
        <v>816</v>
      </c>
      <c r="BE1162" s="367"/>
      <c r="BF1162" s="367"/>
      <c r="BG1162" s="367"/>
      <c r="BH1162" s="260"/>
      <c r="BL1162" s="54"/>
    </row>
    <row r="1163" spans="1:64" ht="37.950000000000003" customHeight="1" x14ac:dyDescent="0.3">
      <c r="A1163" s="367">
        <f t="shared" si="21"/>
        <v>1158</v>
      </c>
      <c r="B1163" s="54" t="s">
        <v>3454</v>
      </c>
      <c r="C1163" s="367" t="s">
        <v>3227</v>
      </c>
      <c r="D1163" s="367" t="s">
        <v>262</v>
      </c>
      <c r="E1163" s="367"/>
      <c r="F1163" s="367"/>
      <c r="G1163" s="367"/>
      <c r="H1163" s="367"/>
      <c r="I1163" s="150"/>
      <c r="J1163" s="48"/>
      <c r="K1163" s="48" t="s">
        <v>521</v>
      </c>
      <c r="L1163" s="367"/>
      <c r="M1163" s="150"/>
      <c r="N1163" s="367"/>
      <c r="O1163" s="367"/>
      <c r="P1163" s="367"/>
      <c r="Q1163" s="367"/>
      <c r="R1163" s="367"/>
      <c r="S1163" s="367"/>
      <c r="T1163" s="367"/>
      <c r="U1163" s="367"/>
      <c r="V1163" s="367"/>
      <c r="W1163" s="367"/>
      <c r="X1163" s="367"/>
      <c r="Y1163" s="367"/>
      <c r="Z1163" s="367"/>
      <c r="AA1163" s="367"/>
      <c r="AB1163" s="150"/>
      <c r="AC1163" s="48" t="s">
        <v>3446</v>
      </c>
      <c r="AD1163" s="150" t="s">
        <v>56</v>
      </c>
      <c r="AE1163" s="296"/>
      <c r="AF1163" s="296"/>
      <c r="AG1163" s="286">
        <v>46508</v>
      </c>
      <c r="AH1163" s="49">
        <v>46502</v>
      </c>
      <c r="AI1163" s="266">
        <v>46447</v>
      </c>
      <c r="AJ1163" s="150" t="s">
        <v>617</v>
      </c>
      <c r="AK1163" s="150"/>
      <c r="AL1163" s="150"/>
      <c r="AM1163" s="150" t="s">
        <v>134</v>
      </c>
      <c r="AN1163" s="367"/>
      <c r="AO1163" s="367"/>
      <c r="AP1163" s="367"/>
      <c r="AQ1163" s="367"/>
      <c r="AR1163" s="367"/>
      <c r="AS1163" s="367"/>
      <c r="AT1163" s="367"/>
      <c r="AU1163" s="367"/>
      <c r="AV1163" s="367"/>
      <c r="AW1163" s="367"/>
      <c r="AX1163" s="367"/>
      <c r="AY1163" s="367"/>
      <c r="AZ1163" s="367"/>
      <c r="BA1163" s="367"/>
      <c r="BB1163" s="152"/>
      <c r="BC1163" s="152"/>
      <c r="BD1163" s="367" t="s">
        <v>816</v>
      </c>
      <c r="BE1163" s="367"/>
      <c r="BF1163" s="367"/>
      <c r="BG1163" s="367"/>
      <c r="BH1163" s="260"/>
      <c r="BL1163" s="54"/>
    </row>
    <row r="1164" spans="1:64" ht="37.950000000000003" customHeight="1" x14ac:dyDescent="0.3">
      <c r="A1164" s="367">
        <f t="shared" si="21"/>
        <v>1159</v>
      </c>
      <c r="B1164" s="54" t="s">
        <v>3455</v>
      </c>
      <c r="C1164" s="367" t="s">
        <v>3227</v>
      </c>
      <c r="D1164" s="367" t="s">
        <v>262</v>
      </c>
      <c r="E1164" s="367"/>
      <c r="F1164" s="367"/>
      <c r="G1164" s="367"/>
      <c r="H1164" s="367"/>
      <c r="I1164" s="150"/>
      <c r="J1164" s="48"/>
      <c r="K1164" s="48" t="s">
        <v>521</v>
      </c>
      <c r="L1164" s="367"/>
      <c r="M1164" s="150"/>
      <c r="N1164" s="367"/>
      <c r="O1164" s="367"/>
      <c r="P1164" s="367"/>
      <c r="Q1164" s="367"/>
      <c r="R1164" s="367"/>
      <c r="S1164" s="367"/>
      <c r="T1164" s="367"/>
      <c r="U1164" s="367"/>
      <c r="V1164" s="367"/>
      <c r="W1164" s="367"/>
      <c r="X1164" s="367"/>
      <c r="Y1164" s="367"/>
      <c r="Z1164" s="367"/>
      <c r="AA1164" s="367"/>
      <c r="AB1164" s="150"/>
      <c r="AC1164" s="48" t="s">
        <v>3446</v>
      </c>
      <c r="AD1164" s="150" t="s">
        <v>56</v>
      </c>
      <c r="AE1164" s="296"/>
      <c r="AF1164" s="296"/>
      <c r="AG1164" s="286">
        <v>46508</v>
      </c>
      <c r="AH1164" s="49">
        <v>46502</v>
      </c>
      <c r="AI1164" s="266">
        <v>46447</v>
      </c>
      <c r="AJ1164" s="150" t="s">
        <v>617</v>
      </c>
      <c r="AK1164" s="150"/>
      <c r="AL1164" s="150"/>
      <c r="AM1164" s="150" t="s">
        <v>134</v>
      </c>
      <c r="AN1164" s="367"/>
      <c r="AO1164" s="367"/>
      <c r="AP1164" s="367"/>
      <c r="AQ1164" s="367"/>
      <c r="AR1164" s="367"/>
      <c r="AS1164" s="367"/>
      <c r="AT1164" s="367"/>
      <c r="AU1164" s="367"/>
      <c r="AV1164" s="367"/>
      <c r="AW1164" s="367"/>
      <c r="AX1164" s="367"/>
      <c r="AY1164" s="367"/>
      <c r="AZ1164" s="367"/>
      <c r="BA1164" s="367"/>
      <c r="BB1164" s="152"/>
      <c r="BC1164" s="152"/>
      <c r="BD1164" s="367" t="s">
        <v>816</v>
      </c>
      <c r="BE1164" s="367"/>
      <c r="BF1164" s="367"/>
      <c r="BG1164" s="367"/>
      <c r="BH1164" s="260"/>
      <c r="BL1164" s="54"/>
    </row>
    <row r="1165" spans="1:64" ht="37.950000000000003" customHeight="1" x14ac:dyDescent="0.3">
      <c r="A1165" s="367">
        <f t="shared" si="21"/>
        <v>1160</v>
      </c>
      <c r="B1165" s="54" t="s">
        <v>3456</v>
      </c>
      <c r="C1165" s="367" t="s">
        <v>3227</v>
      </c>
      <c r="D1165" s="367" t="s">
        <v>262</v>
      </c>
      <c r="E1165" s="367"/>
      <c r="F1165" s="367"/>
      <c r="G1165" s="367"/>
      <c r="H1165" s="367"/>
      <c r="I1165" s="150"/>
      <c r="J1165" s="48"/>
      <c r="K1165" s="48" t="s">
        <v>521</v>
      </c>
      <c r="L1165" s="367"/>
      <c r="M1165" s="150"/>
      <c r="N1165" s="367"/>
      <c r="O1165" s="367"/>
      <c r="P1165" s="367"/>
      <c r="Q1165" s="367"/>
      <c r="R1165" s="367"/>
      <c r="S1165" s="367"/>
      <c r="T1165" s="367"/>
      <c r="U1165" s="367"/>
      <c r="V1165" s="367"/>
      <c r="W1165" s="367"/>
      <c r="X1165" s="367"/>
      <c r="Y1165" s="367"/>
      <c r="Z1165" s="367"/>
      <c r="AA1165" s="367"/>
      <c r="AB1165" s="150"/>
      <c r="AC1165" s="48" t="s">
        <v>3446</v>
      </c>
      <c r="AD1165" s="150" t="s">
        <v>56</v>
      </c>
      <c r="AE1165" s="296"/>
      <c r="AF1165" s="296"/>
      <c r="AG1165" s="286">
        <v>46539</v>
      </c>
      <c r="AH1165" s="49">
        <v>46532</v>
      </c>
      <c r="AI1165" s="266">
        <v>46478</v>
      </c>
      <c r="AJ1165" s="150" t="s">
        <v>617</v>
      </c>
      <c r="AK1165" s="150"/>
      <c r="AL1165" s="150"/>
      <c r="AM1165" s="150" t="s">
        <v>134</v>
      </c>
      <c r="AN1165" s="367"/>
      <c r="AO1165" s="367"/>
      <c r="AP1165" s="367"/>
      <c r="AQ1165" s="367"/>
      <c r="AR1165" s="367"/>
      <c r="AS1165" s="367"/>
      <c r="AT1165" s="367"/>
      <c r="AU1165" s="367"/>
      <c r="AV1165" s="367"/>
      <c r="AW1165" s="367"/>
      <c r="AX1165" s="367"/>
      <c r="AY1165" s="367"/>
      <c r="AZ1165" s="367"/>
      <c r="BA1165" s="367"/>
      <c r="BB1165" s="152"/>
      <c r="BC1165" s="152"/>
      <c r="BD1165" s="367" t="s">
        <v>816</v>
      </c>
      <c r="BE1165" s="367"/>
      <c r="BF1165" s="367"/>
      <c r="BG1165" s="367"/>
      <c r="BH1165" s="260"/>
      <c r="BL1165" s="54"/>
    </row>
    <row r="1166" spans="1:64" ht="37.950000000000003" customHeight="1" x14ac:dyDescent="0.3">
      <c r="A1166" s="367">
        <f t="shared" si="21"/>
        <v>1161</v>
      </c>
      <c r="B1166" s="54" t="s">
        <v>3457</v>
      </c>
      <c r="C1166" s="367" t="s">
        <v>3227</v>
      </c>
      <c r="D1166" s="367" t="s">
        <v>262</v>
      </c>
      <c r="E1166" s="367"/>
      <c r="F1166" s="367"/>
      <c r="G1166" s="367"/>
      <c r="H1166" s="367"/>
      <c r="I1166" s="150"/>
      <c r="J1166" s="48"/>
      <c r="K1166" s="48" t="s">
        <v>521</v>
      </c>
      <c r="L1166" s="367"/>
      <c r="M1166" s="150"/>
      <c r="N1166" s="367"/>
      <c r="O1166" s="367"/>
      <c r="P1166" s="367"/>
      <c r="Q1166" s="367"/>
      <c r="R1166" s="367"/>
      <c r="S1166" s="367"/>
      <c r="T1166" s="367"/>
      <c r="U1166" s="367"/>
      <c r="V1166" s="367"/>
      <c r="W1166" s="367"/>
      <c r="X1166" s="367"/>
      <c r="Y1166" s="367"/>
      <c r="Z1166" s="367"/>
      <c r="AA1166" s="367"/>
      <c r="AB1166" s="150"/>
      <c r="AC1166" s="48" t="s">
        <v>3446</v>
      </c>
      <c r="AD1166" s="150" t="s">
        <v>56</v>
      </c>
      <c r="AE1166" s="296"/>
      <c r="AF1166" s="296"/>
      <c r="AG1166" s="286">
        <v>46539</v>
      </c>
      <c r="AH1166" s="49">
        <v>46532</v>
      </c>
      <c r="AI1166" s="266">
        <v>46478</v>
      </c>
      <c r="AJ1166" s="150" t="s">
        <v>617</v>
      </c>
      <c r="AK1166" s="150"/>
      <c r="AL1166" s="150"/>
      <c r="AM1166" s="150" t="s">
        <v>134</v>
      </c>
      <c r="AN1166" s="367"/>
      <c r="AO1166" s="367"/>
      <c r="AP1166" s="367"/>
      <c r="AQ1166" s="367"/>
      <c r="AR1166" s="367"/>
      <c r="AS1166" s="367"/>
      <c r="AT1166" s="367"/>
      <c r="AU1166" s="367"/>
      <c r="AV1166" s="367"/>
      <c r="AW1166" s="367"/>
      <c r="AX1166" s="367"/>
      <c r="AY1166" s="367"/>
      <c r="AZ1166" s="367"/>
      <c r="BA1166" s="367"/>
      <c r="BB1166" s="152"/>
      <c r="BC1166" s="152"/>
      <c r="BD1166" s="367" t="s">
        <v>816</v>
      </c>
      <c r="BE1166" s="367"/>
      <c r="BF1166" s="367"/>
      <c r="BG1166" s="367"/>
      <c r="BH1166" s="260"/>
      <c r="BL1166" s="54"/>
    </row>
    <row r="1167" spans="1:64" ht="37.950000000000003" customHeight="1" x14ac:dyDescent="0.3">
      <c r="A1167" s="367">
        <f t="shared" si="21"/>
        <v>1162</v>
      </c>
      <c r="B1167" s="54" t="s">
        <v>3458</v>
      </c>
      <c r="C1167" s="367" t="s">
        <v>3227</v>
      </c>
      <c r="D1167" s="367" t="s">
        <v>262</v>
      </c>
      <c r="E1167" s="367"/>
      <c r="F1167" s="367"/>
      <c r="G1167" s="367"/>
      <c r="H1167" s="367"/>
      <c r="I1167" s="150"/>
      <c r="J1167" s="48"/>
      <c r="K1167" s="48" t="s">
        <v>521</v>
      </c>
      <c r="L1167" s="367"/>
      <c r="M1167" s="150"/>
      <c r="N1167" s="367"/>
      <c r="O1167" s="367"/>
      <c r="P1167" s="367"/>
      <c r="Q1167" s="367"/>
      <c r="R1167" s="367"/>
      <c r="S1167" s="367"/>
      <c r="T1167" s="367"/>
      <c r="U1167" s="367"/>
      <c r="V1167" s="367"/>
      <c r="W1167" s="367"/>
      <c r="X1167" s="367"/>
      <c r="Y1167" s="367"/>
      <c r="Z1167" s="367"/>
      <c r="AA1167" s="367"/>
      <c r="AB1167" s="150"/>
      <c r="AC1167" s="48" t="s">
        <v>3446</v>
      </c>
      <c r="AD1167" s="150" t="s">
        <v>56</v>
      </c>
      <c r="AE1167" s="296"/>
      <c r="AF1167" s="296"/>
      <c r="AG1167" s="286">
        <v>46539</v>
      </c>
      <c r="AH1167" s="49">
        <v>46532</v>
      </c>
      <c r="AI1167" s="266">
        <v>46478</v>
      </c>
      <c r="AJ1167" s="150" t="s">
        <v>617</v>
      </c>
      <c r="AK1167" s="150"/>
      <c r="AL1167" s="150"/>
      <c r="AM1167" s="150" t="s">
        <v>134</v>
      </c>
      <c r="AN1167" s="367"/>
      <c r="AO1167" s="367"/>
      <c r="AP1167" s="367"/>
      <c r="AQ1167" s="367"/>
      <c r="AR1167" s="367"/>
      <c r="AS1167" s="367"/>
      <c r="AT1167" s="367"/>
      <c r="AU1167" s="367"/>
      <c r="AV1167" s="367"/>
      <c r="AW1167" s="367"/>
      <c r="AX1167" s="367"/>
      <c r="AY1167" s="367"/>
      <c r="AZ1167" s="367"/>
      <c r="BA1167" s="367"/>
      <c r="BB1167" s="152"/>
      <c r="BC1167" s="152"/>
      <c r="BD1167" s="367" t="s">
        <v>816</v>
      </c>
      <c r="BE1167" s="367"/>
      <c r="BF1167" s="367"/>
      <c r="BG1167" s="367"/>
      <c r="BH1167" s="260"/>
      <c r="BL1167" s="54"/>
    </row>
    <row r="1168" spans="1:64" ht="37.950000000000003" customHeight="1" x14ac:dyDescent="0.3">
      <c r="A1168" s="367">
        <f t="shared" si="21"/>
        <v>1163</v>
      </c>
      <c r="B1168" s="54" t="s">
        <v>3459</v>
      </c>
      <c r="C1168" s="367" t="s">
        <v>3227</v>
      </c>
      <c r="D1168" s="367" t="s">
        <v>262</v>
      </c>
      <c r="E1168" s="367"/>
      <c r="F1168" s="367"/>
      <c r="G1168" s="367"/>
      <c r="H1168" s="367"/>
      <c r="I1168" s="150"/>
      <c r="J1168" s="48"/>
      <c r="K1168" s="48" t="s">
        <v>521</v>
      </c>
      <c r="L1168" s="367"/>
      <c r="M1168" s="150"/>
      <c r="N1168" s="367"/>
      <c r="O1168" s="367"/>
      <c r="P1168" s="367"/>
      <c r="Q1168" s="367"/>
      <c r="R1168" s="367"/>
      <c r="S1168" s="367"/>
      <c r="T1168" s="367"/>
      <c r="U1168" s="367"/>
      <c r="V1168" s="367"/>
      <c r="W1168" s="367"/>
      <c r="X1168" s="367"/>
      <c r="Y1168" s="367"/>
      <c r="Z1168" s="367"/>
      <c r="AA1168" s="367"/>
      <c r="AB1168" s="150"/>
      <c r="AC1168" s="48" t="s">
        <v>3446</v>
      </c>
      <c r="AD1168" s="150" t="s">
        <v>56</v>
      </c>
      <c r="AE1168" s="296"/>
      <c r="AF1168" s="296"/>
      <c r="AG1168" s="286">
        <v>46539</v>
      </c>
      <c r="AH1168" s="49">
        <v>46532</v>
      </c>
      <c r="AI1168" s="266">
        <v>46478</v>
      </c>
      <c r="AJ1168" s="150" t="s">
        <v>617</v>
      </c>
      <c r="AK1168" s="150"/>
      <c r="AL1168" s="150"/>
      <c r="AM1168" s="150" t="s">
        <v>134</v>
      </c>
      <c r="AN1168" s="367"/>
      <c r="AO1168" s="367"/>
      <c r="AP1168" s="367"/>
      <c r="AQ1168" s="367"/>
      <c r="AR1168" s="367"/>
      <c r="AS1168" s="367"/>
      <c r="AT1168" s="367"/>
      <c r="AU1168" s="367"/>
      <c r="AV1168" s="367"/>
      <c r="AW1168" s="367"/>
      <c r="AX1168" s="367"/>
      <c r="AY1168" s="367"/>
      <c r="AZ1168" s="367"/>
      <c r="BA1168" s="367"/>
      <c r="BB1168" s="152"/>
      <c r="BC1168" s="152"/>
      <c r="BD1168" s="367" t="s">
        <v>816</v>
      </c>
      <c r="BE1168" s="367"/>
      <c r="BF1168" s="367"/>
      <c r="BG1168" s="367"/>
      <c r="BH1168" s="260"/>
      <c r="BL1168" s="54"/>
    </row>
    <row r="1169" spans="1:64" ht="37.950000000000003" customHeight="1" x14ac:dyDescent="0.3">
      <c r="A1169" s="367">
        <f t="shared" si="21"/>
        <v>1164</v>
      </c>
      <c r="B1169" s="54" t="s">
        <v>3460</v>
      </c>
      <c r="C1169" s="367" t="s">
        <v>3227</v>
      </c>
      <c r="D1169" s="367" t="s">
        <v>262</v>
      </c>
      <c r="E1169" s="367"/>
      <c r="F1169" s="367"/>
      <c r="G1169" s="367"/>
      <c r="H1169" s="367"/>
      <c r="I1169" s="150"/>
      <c r="J1169" s="48"/>
      <c r="K1169" s="48" t="s">
        <v>521</v>
      </c>
      <c r="L1169" s="367"/>
      <c r="M1169" s="150"/>
      <c r="N1169" s="367"/>
      <c r="O1169" s="367"/>
      <c r="P1169" s="367"/>
      <c r="Q1169" s="367"/>
      <c r="R1169" s="367"/>
      <c r="S1169" s="367"/>
      <c r="T1169" s="367"/>
      <c r="U1169" s="367"/>
      <c r="V1169" s="367"/>
      <c r="W1169" s="367"/>
      <c r="X1169" s="367"/>
      <c r="Y1169" s="367"/>
      <c r="Z1169" s="367"/>
      <c r="AA1169" s="367"/>
      <c r="AB1169" s="150"/>
      <c r="AC1169" s="48" t="s">
        <v>3446</v>
      </c>
      <c r="AD1169" s="150" t="s">
        <v>56</v>
      </c>
      <c r="AE1169" s="296"/>
      <c r="AF1169" s="296"/>
      <c r="AG1169" s="286">
        <v>46539</v>
      </c>
      <c r="AH1169" s="49">
        <v>46532</v>
      </c>
      <c r="AI1169" s="266">
        <v>46508</v>
      </c>
      <c r="AJ1169" s="150" t="s">
        <v>617</v>
      </c>
      <c r="AK1169" s="150"/>
      <c r="AL1169" s="150"/>
      <c r="AM1169" s="150" t="s">
        <v>134</v>
      </c>
      <c r="AN1169" s="367"/>
      <c r="AO1169" s="367"/>
      <c r="AP1169" s="367"/>
      <c r="AQ1169" s="367"/>
      <c r="AR1169" s="367"/>
      <c r="AS1169" s="367"/>
      <c r="AT1169" s="367"/>
      <c r="AU1169" s="367"/>
      <c r="AV1169" s="367"/>
      <c r="AW1169" s="367"/>
      <c r="AX1169" s="367"/>
      <c r="AY1169" s="367"/>
      <c r="AZ1169" s="367"/>
      <c r="BA1169" s="367"/>
      <c r="BB1169" s="152"/>
      <c r="BC1169" s="152"/>
      <c r="BD1169" s="367" t="s">
        <v>816</v>
      </c>
      <c r="BE1169" s="367"/>
      <c r="BF1169" s="367"/>
      <c r="BG1169" s="367"/>
      <c r="BH1169" s="260"/>
      <c r="BL1169" s="54"/>
    </row>
    <row r="1170" spans="1:64" ht="37.950000000000003" customHeight="1" x14ac:dyDescent="0.3">
      <c r="A1170" s="367">
        <f t="shared" si="21"/>
        <v>1165</v>
      </c>
      <c r="B1170" s="54" t="s">
        <v>3461</v>
      </c>
      <c r="C1170" s="367" t="s">
        <v>3227</v>
      </c>
      <c r="D1170" s="367" t="s">
        <v>262</v>
      </c>
      <c r="E1170" s="367"/>
      <c r="F1170" s="367"/>
      <c r="G1170" s="367"/>
      <c r="H1170" s="367"/>
      <c r="I1170" s="150"/>
      <c r="J1170" s="48"/>
      <c r="K1170" s="48" t="s">
        <v>521</v>
      </c>
      <c r="L1170" s="367"/>
      <c r="M1170" s="150"/>
      <c r="N1170" s="367"/>
      <c r="O1170" s="367"/>
      <c r="P1170" s="367"/>
      <c r="Q1170" s="367"/>
      <c r="R1170" s="367"/>
      <c r="S1170" s="367"/>
      <c r="T1170" s="367"/>
      <c r="U1170" s="367"/>
      <c r="V1170" s="367"/>
      <c r="W1170" s="367"/>
      <c r="X1170" s="367"/>
      <c r="Y1170" s="367"/>
      <c r="Z1170" s="367"/>
      <c r="AA1170" s="367"/>
      <c r="AB1170" s="150"/>
      <c r="AC1170" s="48" t="s">
        <v>3446</v>
      </c>
      <c r="AD1170" s="150" t="s">
        <v>56</v>
      </c>
      <c r="AE1170" s="296"/>
      <c r="AF1170" s="296"/>
      <c r="AG1170" s="286">
        <v>46539</v>
      </c>
      <c r="AH1170" s="49">
        <v>46532</v>
      </c>
      <c r="AI1170" s="266">
        <v>46508</v>
      </c>
      <c r="AJ1170" s="150" t="s">
        <v>617</v>
      </c>
      <c r="AK1170" s="150"/>
      <c r="AL1170" s="150"/>
      <c r="AM1170" s="150" t="s">
        <v>134</v>
      </c>
      <c r="AN1170" s="367"/>
      <c r="AO1170" s="367"/>
      <c r="AP1170" s="367"/>
      <c r="AQ1170" s="367"/>
      <c r="AR1170" s="367"/>
      <c r="AS1170" s="367"/>
      <c r="AT1170" s="367"/>
      <c r="AU1170" s="367"/>
      <c r="AV1170" s="367"/>
      <c r="AW1170" s="367"/>
      <c r="AX1170" s="367"/>
      <c r="AY1170" s="367"/>
      <c r="AZ1170" s="367"/>
      <c r="BA1170" s="367"/>
      <c r="BB1170" s="152"/>
      <c r="BC1170" s="152"/>
      <c r="BD1170" s="367"/>
      <c r="BE1170" s="367"/>
      <c r="BF1170" s="367"/>
      <c r="BG1170" s="367"/>
      <c r="BH1170" s="260"/>
      <c r="BL1170" s="54"/>
    </row>
    <row r="1171" spans="1:64" ht="37.950000000000003" customHeight="1" x14ac:dyDescent="0.3">
      <c r="A1171" s="367">
        <f t="shared" si="21"/>
        <v>1166</v>
      </c>
      <c r="B1171" s="54" t="s">
        <v>3462</v>
      </c>
      <c r="C1171" s="367" t="s">
        <v>3227</v>
      </c>
      <c r="D1171" s="367" t="s">
        <v>262</v>
      </c>
      <c r="E1171" s="367"/>
      <c r="F1171" s="367"/>
      <c r="G1171" s="367"/>
      <c r="H1171" s="367"/>
      <c r="I1171" s="150"/>
      <c r="J1171" s="48"/>
      <c r="K1171" s="48" t="s">
        <v>521</v>
      </c>
      <c r="L1171" s="367"/>
      <c r="M1171" s="150"/>
      <c r="N1171" s="367"/>
      <c r="O1171" s="367"/>
      <c r="P1171" s="367"/>
      <c r="Q1171" s="367"/>
      <c r="R1171" s="367"/>
      <c r="S1171" s="367"/>
      <c r="T1171" s="367"/>
      <c r="U1171" s="367"/>
      <c r="V1171" s="367"/>
      <c r="W1171" s="367"/>
      <c r="X1171" s="367"/>
      <c r="Y1171" s="367"/>
      <c r="Z1171" s="367"/>
      <c r="AA1171" s="367"/>
      <c r="AB1171" s="150"/>
      <c r="AC1171" s="48" t="s">
        <v>3446</v>
      </c>
      <c r="AD1171" s="150" t="s">
        <v>56</v>
      </c>
      <c r="AE1171" s="296"/>
      <c r="AF1171" s="296"/>
      <c r="AG1171" s="286">
        <v>46539</v>
      </c>
      <c r="AH1171" s="49">
        <v>46532</v>
      </c>
      <c r="AI1171" s="266">
        <v>46508</v>
      </c>
      <c r="AJ1171" s="150" t="s">
        <v>617</v>
      </c>
      <c r="AK1171" s="150"/>
      <c r="AL1171" s="150"/>
      <c r="AM1171" s="150" t="s">
        <v>134</v>
      </c>
      <c r="AN1171" s="367"/>
      <c r="AO1171" s="367"/>
      <c r="AP1171" s="367"/>
      <c r="AQ1171" s="367"/>
      <c r="AR1171" s="367"/>
      <c r="AS1171" s="367"/>
      <c r="AT1171" s="367"/>
      <c r="AU1171" s="367"/>
      <c r="AV1171" s="367"/>
      <c r="AW1171" s="367"/>
      <c r="AX1171" s="367"/>
      <c r="AY1171" s="367"/>
      <c r="AZ1171" s="367"/>
      <c r="BA1171" s="367"/>
      <c r="BB1171" s="152"/>
      <c r="BC1171" s="152"/>
      <c r="BD1171" s="367"/>
      <c r="BE1171" s="367"/>
      <c r="BF1171" s="367"/>
      <c r="BG1171" s="367"/>
      <c r="BH1171" s="260"/>
      <c r="BL1171" s="54"/>
    </row>
    <row r="1172" spans="1:64" ht="37.950000000000003" customHeight="1" x14ac:dyDescent="0.3">
      <c r="A1172" s="367">
        <f t="shared" si="21"/>
        <v>1167</v>
      </c>
      <c r="B1172" s="54" t="s">
        <v>3463</v>
      </c>
      <c r="C1172" s="367" t="s">
        <v>3227</v>
      </c>
      <c r="D1172" s="367" t="s">
        <v>262</v>
      </c>
      <c r="E1172" s="367"/>
      <c r="F1172" s="367"/>
      <c r="G1172" s="367"/>
      <c r="H1172" s="367"/>
      <c r="I1172" s="150"/>
      <c r="J1172" s="48"/>
      <c r="K1172" s="48" t="s">
        <v>521</v>
      </c>
      <c r="L1172" s="367"/>
      <c r="M1172" s="150"/>
      <c r="N1172" s="367"/>
      <c r="O1172" s="367"/>
      <c r="P1172" s="367"/>
      <c r="Q1172" s="367"/>
      <c r="R1172" s="367"/>
      <c r="S1172" s="367"/>
      <c r="T1172" s="367"/>
      <c r="U1172" s="367"/>
      <c r="V1172" s="367"/>
      <c r="W1172" s="367"/>
      <c r="X1172" s="367"/>
      <c r="Y1172" s="367"/>
      <c r="Z1172" s="367"/>
      <c r="AA1172" s="367"/>
      <c r="AB1172" s="150"/>
      <c r="AC1172" s="48" t="s">
        <v>3446</v>
      </c>
      <c r="AD1172" s="150" t="s">
        <v>56</v>
      </c>
      <c r="AE1172" s="296"/>
      <c r="AF1172" s="296"/>
      <c r="AG1172" s="286">
        <v>46539</v>
      </c>
      <c r="AH1172" s="49">
        <v>46532</v>
      </c>
      <c r="AI1172" s="266">
        <v>46508</v>
      </c>
      <c r="AJ1172" s="150" t="s">
        <v>617</v>
      </c>
      <c r="AK1172" s="150"/>
      <c r="AL1172" s="150"/>
      <c r="AM1172" s="150" t="s">
        <v>134</v>
      </c>
      <c r="AN1172" s="367"/>
      <c r="AO1172" s="367"/>
      <c r="AP1172" s="367"/>
      <c r="AQ1172" s="367"/>
      <c r="AR1172" s="367"/>
      <c r="AS1172" s="367"/>
      <c r="AT1172" s="367"/>
      <c r="AU1172" s="367"/>
      <c r="AV1172" s="367"/>
      <c r="AW1172" s="367"/>
      <c r="AX1172" s="367"/>
      <c r="AY1172" s="367"/>
      <c r="AZ1172" s="367"/>
      <c r="BA1172" s="367"/>
      <c r="BB1172" s="152"/>
      <c r="BC1172" s="152"/>
      <c r="BD1172" s="367"/>
      <c r="BE1172" s="367"/>
      <c r="BF1172" s="367"/>
      <c r="BG1172" s="367"/>
      <c r="BH1172" s="260"/>
      <c r="BL1172" s="54"/>
    </row>
    <row r="1173" spans="1:64" ht="37.950000000000003" customHeight="1" x14ac:dyDescent="0.3">
      <c r="A1173" s="367">
        <f t="shared" si="21"/>
        <v>1168</v>
      </c>
      <c r="B1173" s="54" t="s">
        <v>3464</v>
      </c>
      <c r="C1173" s="367" t="s">
        <v>3227</v>
      </c>
      <c r="D1173" s="367" t="s">
        <v>262</v>
      </c>
      <c r="E1173" s="367"/>
      <c r="F1173" s="367"/>
      <c r="G1173" s="367"/>
      <c r="H1173" s="367"/>
      <c r="I1173" s="150"/>
      <c r="J1173" s="48"/>
      <c r="K1173" s="48" t="s">
        <v>521</v>
      </c>
      <c r="L1173" s="367"/>
      <c r="M1173" s="150"/>
      <c r="N1173" s="367"/>
      <c r="O1173" s="367"/>
      <c r="P1173" s="367"/>
      <c r="Q1173" s="367"/>
      <c r="R1173" s="367"/>
      <c r="S1173" s="367"/>
      <c r="T1173" s="367"/>
      <c r="U1173" s="367"/>
      <c r="V1173" s="367"/>
      <c r="W1173" s="367"/>
      <c r="X1173" s="367"/>
      <c r="Y1173" s="367"/>
      <c r="Z1173" s="367"/>
      <c r="AA1173" s="367"/>
      <c r="AB1173" s="150"/>
      <c r="AC1173" s="48" t="s">
        <v>3446</v>
      </c>
      <c r="AD1173" s="150" t="s">
        <v>56</v>
      </c>
      <c r="AE1173" s="296"/>
      <c r="AF1173" s="296"/>
      <c r="AG1173" s="286">
        <v>46539</v>
      </c>
      <c r="AH1173" s="49">
        <v>46532</v>
      </c>
      <c r="AI1173" s="266">
        <v>46508</v>
      </c>
      <c r="AJ1173" s="150" t="s">
        <v>617</v>
      </c>
      <c r="AK1173" s="150"/>
      <c r="AL1173" s="150"/>
      <c r="AM1173" s="150"/>
      <c r="AN1173" s="367"/>
      <c r="AO1173" s="367"/>
      <c r="AP1173" s="367"/>
      <c r="AQ1173" s="367"/>
      <c r="AR1173" s="367"/>
      <c r="AS1173" s="367"/>
      <c r="AT1173" s="367"/>
      <c r="AU1173" s="367"/>
      <c r="AV1173" s="367"/>
      <c r="AW1173" s="367"/>
      <c r="AX1173" s="367"/>
      <c r="AY1173" s="367"/>
      <c r="AZ1173" s="367"/>
      <c r="BA1173" s="367"/>
      <c r="BB1173" s="152"/>
      <c r="BC1173" s="152"/>
      <c r="BD1173" s="367"/>
      <c r="BE1173" s="367"/>
      <c r="BF1173" s="367"/>
      <c r="BG1173" s="367"/>
      <c r="BH1173" s="260"/>
      <c r="BL1173" s="54"/>
    </row>
    <row r="1174" spans="1:64" ht="37.950000000000003" customHeight="1" x14ac:dyDescent="0.3">
      <c r="A1174" s="367">
        <f t="shared" ref="A1174:A1237" si="22">ROW(B1174)-ROW($B$5)</f>
        <v>1169</v>
      </c>
      <c r="B1174" s="54" t="s">
        <v>3465</v>
      </c>
      <c r="C1174" s="367" t="s">
        <v>3227</v>
      </c>
      <c r="D1174" s="367" t="s">
        <v>262</v>
      </c>
      <c r="E1174" s="367"/>
      <c r="F1174" s="367"/>
      <c r="G1174" s="367"/>
      <c r="H1174" s="367"/>
      <c r="I1174" s="150"/>
      <c r="J1174" s="48"/>
      <c r="K1174" s="48" t="s">
        <v>521</v>
      </c>
      <c r="L1174" s="367"/>
      <c r="M1174" s="150"/>
      <c r="N1174" s="367"/>
      <c r="O1174" s="367"/>
      <c r="P1174" s="367"/>
      <c r="Q1174" s="367"/>
      <c r="R1174" s="367"/>
      <c r="S1174" s="367"/>
      <c r="T1174" s="367"/>
      <c r="U1174" s="367"/>
      <c r="V1174" s="367"/>
      <c r="W1174" s="367"/>
      <c r="X1174" s="367"/>
      <c r="Y1174" s="367"/>
      <c r="Z1174" s="367"/>
      <c r="AA1174" s="367"/>
      <c r="AB1174" s="150"/>
      <c r="AC1174" s="48" t="s">
        <v>3446</v>
      </c>
      <c r="AD1174" s="150" t="s">
        <v>56</v>
      </c>
      <c r="AE1174" s="296"/>
      <c r="AF1174" s="296"/>
      <c r="AG1174" s="286">
        <v>46539</v>
      </c>
      <c r="AH1174" s="49">
        <v>46532</v>
      </c>
      <c r="AI1174" s="266">
        <v>46508</v>
      </c>
      <c r="AJ1174" s="150" t="s">
        <v>617</v>
      </c>
      <c r="AK1174" s="150"/>
      <c r="AL1174" s="150"/>
      <c r="AM1174" s="150"/>
      <c r="AN1174" s="367"/>
      <c r="AO1174" s="367"/>
      <c r="AP1174" s="367"/>
      <c r="AQ1174" s="367"/>
      <c r="AR1174" s="367"/>
      <c r="AS1174" s="367"/>
      <c r="AT1174" s="367"/>
      <c r="AU1174" s="367"/>
      <c r="AV1174" s="367"/>
      <c r="AW1174" s="367"/>
      <c r="AX1174" s="367"/>
      <c r="AY1174" s="367"/>
      <c r="AZ1174" s="367"/>
      <c r="BA1174" s="367"/>
      <c r="BB1174" s="152"/>
      <c r="BC1174" s="152"/>
      <c r="BD1174" s="367"/>
      <c r="BE1174" s="367"/>
      <c r="BF1174" s="367"/>
      <c r="BG1174" s="367"/>
      <c r="BH1174" s="260"/>
      <c r="BL1174" s="54"/>
    </row>
    <row r="1175" spans="1:64" ht="37.950000000000003" customHeight="1" x14ac:dyDescent="0.3">
      <c r="A1175" s="367">
        <f t="shared" si="22"/>
        <v>1170</v>
      </c>
      <c r="B1175" s="54" t="s">
        <v>3466</v>
      </c>
      <c r="C1175" s="367" t="s">
        <v>3227</v>
      </c>
      <c r="D1175" s="367" t="s">
        <v>262</v>
      </c>
      <c r="E1175" s="367"/>
      <c r="F1175" s="367"/>
      <c r="G1175" s="367"/>
      <c r="H1175" s="367"/>
      <c r="I1175" s="150"/>
      <c r="J1175" s="48"/>
      <c r="K1175" s="48" t="s">
        <v>521</v>
      </c>
      <c r="L1175" s="367"/>
      <c r="M1175" s="150"/>
      <c r="N1175" s="367"/>
      <c r="O1175" s="367"/>
      <c r="P1175" s="367"/>
      <c r="Q1175" s="367"/>
      <c r="R1175" s="367"/>
      <c r="S1175" s="367"/>
      <c r="T1175" s="367"/>
      <c r="U1175" s="367"/>
      <c r="V1175" s="367"/>
      <c r="W1175" s="367"/>
      <c r="X1175" s="367"/>
      <c r="Y1175" s="367"/>
      <c r="Z1175" s="367"/>
      <c r="AA1175" s="367"/>
      <c r="AB1175" s="150"/>
      <c r="AC1175" s="48" t="s">
        <v>3446</v>
      </c>
      <c r="AD1175" s="150" t="s">
        <v>56</v>
      </c>
      <c r="AE1175" s="296"/>
      <c r="AF1175" s="296"/>
      <c r="AG1175" s="286">
        <v>46569</v>
      </c>
      <c r="AH1175" s="49">
        <v>46563</v>
      </c>
      <c r="AI1175" s="266">
        <v>46539</v>
      </c>
      <c r="AJ1175" s="150" t="s">
        <v>617</v>
      </c>
      <c r="AK1175" s="150"/>
      <c r="AL1175" s="150"/>
      <c r="AM1175" s="150" t="s">
        <v>134</v>
      </c>
      <c r="AN1175" s="367"/>
      <c r="AO1175" s="367"/>
      <c r="AP1175" s="367"/>
      <c r="AQ1175" s="367"/>
      <c r="AR1175" s="367"/>
      <c r="AS1175" s="367"/>
      <c r="AT1175" s="367"/>
      <c r="AU1175" s="367"/>
      <c r="AV1175" s="367"/>
      <c r="AW1175" s="367"/>
      <c r="AX1175" s="367"/>
      <c r="AY1175" s="367"/>
      <c r="AZ1175" s="367"/>
      <c r="BA1175" s="367"/>
      <c r="BB1175" s="152"/>
      <c r="BC1175" s="152"/>
      <c r="BD1175" s="367"/>
      <c r="BE1175" s="367"/>
      <c r="BF1175" s="367"/>
      <c r="BG1175" s="367"/>
      <c r="BH1175" s="260"/>
      <c r="BL1175" s="54"/>
    </row>
    <row r="1176" spans="1:64" ht="37.950000000000003" customHeight="1" x14ac:dyDescent="0.3">
      <c r="A1176" s="367">
        <f t="shared" si="22"/>
        <v>1171</v>
      </c>
      <c r="B1176" s="54" t="s">
        <v>3467</v>
      </c>
      <c r="C1176" s="367" t="s">
        <v>3227</v>
      </c>
      <c r="D1176" s="367" t="s">
        <v>262</v>
      </c>
      <c r="E1176" s="367"/>
      <c r="F1176" s="367"/>
      <c r="G1176" s="367"/>
      <c r="H1176" s="367"/>
      <c r="I1176" s="150"/>
      <c r="J1176" s="48"/>
      <c r="K1176" s="48" t="s">
        <v>521</v>
      </c>
      <c r="L1176" s="367"/>
      <c r="M1176" s="150"/>
      <c r="N1176" s="367"/>
      <c r="O1176" s="367"/>
      <c r="P1176" s="367"/>
      <c r="Q1176" s="367"/>
      <c r="R1176" s="367"/>
      <c r="S1176" s="367"/>
      <c r="T1176" s="367"/>
      <c r="U1176" s="367"/>
      <c r="V1176" s="367"/>
      <c r="W1176" s="367"/>
      <c r="X1176" s="367"/>
      <c r="Y1176" s="367"/>
      <c r="Z1176" s="367"/>
      <c r="AA1176" s="367"/>
      <c r="AB1176" s="150"/>
      <c r="AC1176" s="48" t="s">
        <v>3446</v>
      </c>
      <c r="AD1176" s="150" t="s">
        <v>56</v>
      </c>
      <c r="AE1176" s="296"/>
      <c r="AF1176" s="296"/>
      <c r="AG1176" s="286">
        <v>46569</v>
      </c>
      <c r="AH1176" s="49">
        <v>46563</v>
      </c>
      <c r="AI1176" s="266">
        <v>46539</v>
      </c>
      <c r="AJ1176" s="150" t="s">
        <v>617</v>
      </c>
      <c r="AK1176" s="150"/>
      <c r="AL1176" s="150"/>
      <c r="AM1176" s="150" t="s">
        <v>134</v>
      </c>
      <c r="AN1176" s="367"/>
      <c r="AO1176" s="367"/>
      <c r="AP1176" s="367"/>
      <c r="AQ1176" s="367"/>
      <c r="AR1176" s="367"/>
      <c r="AS1176" s="367"/>
      <c r="AT1176" s="367"/>
      <c r="AU1176" s="367"/>
      <c r="AV1176" s="367"/>
      <c r="AW1176" s="367"/>
      <c r="AX1176" s="367"/>
      <c r="AY1176" s="367"/>
      <c r="AZ1176" s="367"/>
      <c r="BA1176" s="367"/>
      <c r="BB1176" s="152"/>
      <c r="BC1176" s="152"/>
      <c r="BD1176" s="367"/>
      <c r="BE1176" s="367"/>
      <c r="BF1176" s="367"/>
      <c r="BG1176" s="367"/>
      <c r="BH1176" s="260"/>
      <c r="BL1176" s="54"/>
    </row>
    <row r="1177" spans="1:64" ht="37.950000000000003" customHeight="1" x14ac:dyDescent="0.3">
      <c r="A1177" s="367">
        <f t="shared" si="22"/>
        <v>1172</v>
      </c>
      <c r="B1177" s="54" t="s">
        <v>3468</v>
      </c>
      <c r="C1177" s="367" t="s">
        <v>3227</v>
      </c>
      <c r="D1177" s="367" t="s">
        <v>262</v>
      </c>
      <c r="E1177" s="367"/>
      <c r="F1177" s="367"/>
      <c r="G1177" s="367"/>
      <c r="H1177" s="367"/>
      <c r="I1177" s="150"/>
      <c r="J1177" s="48"/>
      <c r="K1177" s="48" t="s">
        <v>521</v>
      </c>
      <c r="L1177" s="367"/>
      <c r="M1177" s="150"/>
      <c r="N1177" s="367"/>
      <c r="O1177" s="367"/>
      <c r="P1177" s="367"/>
      <c r="Q1177" s="367"/>
      <c r="R1177" s="367"/>
      <c r="S1177" s="367"/>
      <c r="T1177" s="367"/>
      <c r="U1177" s="367"/>
      <c r="V1177" s="367"/>
      <c r="W1177" s="367"/>
      <c r="X1177" s="367"/>
      <c r="Y1177" s="367"/>
      <c r="Z1177" s="367"/>
      <c r="AA1177" s="367"/>
      <c r="AB1177" s="150"/>
      <c r="AC1177" s="48" t="s">
        <v>3446</v>
      </c>
      <c r="AD1177" s="150" t="s">
        <v>56</v>
      </c>
      <c r="AE1177" s="296"/>
      <c r="AF1177" s="296"/>
      <c r="AG1177" s="286">
        <v>46569</v>
      </c>
      <c r="AH1177" s="49">
        <v>46563</v>
      </c>
      <c r="AI1177" s="266">
        <v>46539</v>
      </c>
      <c r="AJ1177" s="150" t="s">
        <v>617</v>
      </c>
      <c r="AK1177" s="150"/>
      <c r="AL1177" s="150"/>
      <c r="AM1177" s="150" t="s">
        <v>134</v>
      </c>
      <c r="AN1177" s="367"/>
      <c r="AO1177" s="367"/>
      <c r="AP1177" s="367"/>
      <c r="AQ1177" s="367"/>
      <c r="AR1177" s="367"/>
      <c r="AS1177" s="367"/>
      <c r="AT1177" s="367"/>
      <c r="AU1177" s="367"/>
      <c r="AV1177" s="367"/>
      <c r="AW1177" s="367"/>
      <c r="AX1177" s="367"/>
      <c r="AY1177" s="367"/>
      <c r="AZ1177" s="367"/>
      <c r="BA1177" s="367"/>
      <c r="BB1177" s="152"/>
      <c r="BC1177" s="152"/>
      <c r="BD1177" s="367"/>
      <c r="BE1177" s="367"/>
      <c r="BF1177" s="367"/>
      <c r="BG1177" s="367"/>
      <c r="BH1177" s="260"/>
      <c r="BL1177" s="54"/>
    </row>
    <row r="1178" spans="1:64" ht="37.950000000000003" customHeight="1" x14ac:dyDescent="0.3">
      <c r="A1178" s="367">
        <f t="shared" si="22"/>
        <v>1173</v>
      </c>
      <c r="B1178" s="54" t="s">
        <v>3469</v>
      </c>
      <c r="C1178" s="367" t="s">
        <v>3227</v>
      </c>
      <c r="D1178" s="367" t="s">
        <v>262</v>
      </c>
      <c r="E1178" s="367"/>
      <c r="F1178" s="367"/>
      <c r="G1178" s="367"/>
      <c r="H1178" s="367"/>
      <c r="I1178" s="150"/>
      <c r="J1178" s="48"/>
      <c r="K1178" s="48" t="s">
        <v>521</v>
      </c>
      <c r="L1178" s="367"/>
      <c r="M1178" s="150"/>
      <c r="N1178" s="367"/>
      <c r="O1178" s="367"/>
      <c r="P1178" s="367"/>
      <c r="Q1178" s="367"/>
      <c r="R1178" s="367"/>
      <c r="S1178" s="367"/>
      <c r="T1178" s="367"/>
      <c r="U1178" s="367"/>
      <c r="V1178" s="367"/>
      <c r="W1178" s="367"/>
      <c r="X1178" s="367"/>
      <c r="Y1178" s="367"/>
      <c r="Z1178" s="367"/>
      <c r="AA1178" s="367"/>
      <c r="AB1178" s="150"/>
      <c r="AC1178" s="48" t="s">
        <v>3446</v>
      </c>
      <c r="AD1178" s="150" t="s">
        <v>56</v>
      </c>
      <c r="AE1178" s="296"/>
      <c r="AF1178" s="296"/>
      <c r="AG1178" s="286">
        <v>46569</v>
      </c>
      <c r="AH1178" s="49">
        <v>46563</v>
      </c>
      <c r="AI1178" s="266">
        <v>46539</v>
      </c>
      <c r="AJ1178" s="150" t="s">
        <v>617</v>
      </c>
      <c r="AK1178" s="150"/>
      <c r="AL1178" s="150"/>
      <c r="AM1178" s="150" t="s">
        <v>134</v>
      </c>
      <c r="AN1178" s="367"/>
      <c r="AO1178" s="367"/>
      <c r="AP1178" s="367"/>
      <c r="AQ1178" s="367"/>
      <c r="AR1178" s="367"/>
      <c r="AS1178" s="367"/>
      <c r="AT1178" s="367"/>
      <c r="AU1178" s="367"/>
      <c r="AV1178" s="367"/>
      <c r="AW1178" s="367"/>
      <c r="AX1178" s="367"/>
      <c r="AY1178" s="367"/>
      <c r="AZ1178" s="367"/>
      <c r="BA1178" s="367"/>
      <c r="BB1178" s="152"/>
      <c r="BC1178" s="152"/>
      <c r="BD1178" s="367"/>
      <c r="BE1178" s="367"/>
      <c r="BF1178" s="367"/>
      <c r="BG1178" s="367"/>
      <c r="BH1178" s="260"/>
      <c r="BL1178" s="54"/>
    </row>
    <row r="1179" spans="1:64" ht="37.950000000000003" customHeight="1" x14ac:dyDescent="0.3">
      <c r="A1179" s="367">
        <f t="shared" si="22"/>
        <v>1174</v>
      </c>
      <c r="B1179" s="54" t="s">
        <v>3470</v>
      </c>
      <c r="C1179" s="367" t="s">
        <v>3227</v>
      </c>
      <c r="D1179" s="367" t="s">
        <v>262</v>
      </c>
      <c r="E1179" s="367"/>
      <c r="F1179" s="367"/>
      <c r="G1179" s="367"/>
      <c r="H1179" s="367"/>
      <c r="I1179" s="150"/>
      <c r="J1179" s="48"/>
      <c r="K1179" s="48" t="s">
        <v>521</v>
      </c>
      <c r="L1179" s="367"/>
      <c r="M1179" s="150"/>
      <c r="N1179" s="367"/>
      <c r="O1179" s="367"/>
      <c r="P1179" s="367"/>
      <c r="Q1179" s="367"/>
      <c r="R1179" s="367"/>
      <c r="S1179" s="367"/>
      <c r="T1179" s="367"/>
      <c r="U1179" s="367"/>
      <c r="V1179" s="367"/>
      <c r="W1179" s="367"/>
      <c r="X1179" s="367"/>
      <c r="Y1179" s="367"/>
      <c r="Z1179" s="367"/>
      <c r="AA1179" s="367"/>
      <c r="AB1179" s="150"/>
      <c r="AC1179" s="48" t="s">
        <v>3446</v>
      </c>
      <c r="AD1179" s="150" t="s">
        <v>56</v>
      </c>
      <c r="AE1179" s="296"/>
      <c r="AF1179" s="296"/>
      <c r="AG1179" s="286">
        <v>46569</v>
      </c>
      <c r="AH1179" s="49">
        <v>46563</v>
      </c>
      <c r="AI1179" s="266">
        <v>46539</v>
      </c>
      <c r="AJ1179" s="150" t="s">
        <v>617</v>
      </c>
      <c r="AK1179" s="150"/>
      <c r="AL1179" s="150"/>
      <c r="AM1179" s="150" t="s">
        <v>134</v>
      </c>
      <c r="AN1179" s="367"/>
      <c r="AO1179" s="367"/>
      <c r="AP1179" s="367"/>
      <c r="AQ1179" s="367"/>
      <c r="AR1179" s="367"/>
      <c r="AS1179" s="367"/>
      <c r="AT1179" s="367"/>
      <c r="AU1179" s="367"/>
      <c r="AV1179" s="367"/>
      <c r="AW1179" s="367"/>
      <c r="AX1179" s="367"/>
      <c r="AY1179" s="367"/>
      <c r="AZ1179" s="367"/>
      <c r="BA1179" s="367"/>
      <c r="BB1179" s="152"/>
      <c r="BC1179" s="152"/>
      <c r="BD1179" s="367"/>
      <c r="BE1179" s="367"/>
      <c r="BF1179" s="367"/>
      <c r="BG1179" s="367"/>
      <c r="BH1179" s="260"/>
      <c r="BL1179" s="54"/>
    </row>
    <row r="1180" spans="1:64" ht="37.950000000000003" customHeight="1" x14ac:dyDescent="0.3">
      <c r="A1180" s="367">
        <f t="shared" si="22"/>
        <v>1175</v>
      </c>
      <c r="B1180" s="54" t="s">
        <v>3471</v>
      </c>
      <c r="C1180" s="367" t="s">
        <v>3227</v>
      </c>
      <c r="D1180" s="367" t="s">
        <v>262</v>
      </c>
      <c r="E1180" s="367"/>
      <c r="F1180" s="367"/>
      <c r="G1180" s="367"/>
      <c r="H1180" s="367"/>
      <c r="I1180" s="150"/>
      <c r="J1180" s="48"/>
      <c r="K1180" s="48" t="s">
        <v>521</v>
      </c>
      <c r="L1180" s="367"/>
      <c r="M1180" s="150"/>
      <c r="N1180" s="367"/>
      <c r="O1180" s="367"/>
      <c r="P1180" s="367"/>
      <c r="Q1180" s="367"/>
      <c r="R1180" s="367"/>
      <c r="S1180" s="367"/>
      <c r="T1180" s="367"/>
      <c r="U1180" s="367"/>
      <c r="V1180" s="367"/>
      <c r="W1180" s="367"/>
      <c r="X1180" s="367"/>
      <c r="Y1180" s="367"/>
      <c r="Z1180" s="367"/>
      <c r="AA1180" s="367"/>
      <c r="AB1180" s="150"/>
      <c r="AC1180" s="48" t="s">
        <v>3446</v>
      </c>
      <c r="AD1180" s="150" t="s">
        <v>56</v>
      </c>
      <c r="AE1180" s="296"/>
      <c r="AF1180" s="296"/>
      <c r="AG1180" s="286">
        <v>46569</v>
      </c>
      <c r="AH1180" s="49">
        <v>46563</v>
      </c>
      <c r="AI1180" s="266">
        <v>46539</v>
      </c>
      <c r="AJ1180" s="150" t="s">
        <v>617</v>
      </c>
      <c r="AK1180" s="150"/>
      <c r="AL1180" s="150"/>
      <c r="AM1180" s="150"/>
      <c r="AN1180" s="367"/>
      <c r="AO1180" s="367"/>
      <c r="AP1180" s="367"/>
      <c r="AQ1180" s="367"/>
      <c r="AR1180" s="367"/>
      <c r="AS1180" s="367"/>
      <c r="AT1180" s="367"/>
      <c r="AU1180" s="367"/>
      <c r="AV1180" s="367"/>
      <c r="AW1180" s="367"/>
      <c r="AX1180" s="367"/>
      <c r="AY1180" s="367"/>
      <c r="AZ1180" s="367"/>
      <c r="BA1180" s="367"/>
      <c r="BB1180" s="152"/>
      <c r="BC1180" s="152"/>
      <c r="BD1180" s="367"/>
      <c r="BE1180" s="367"/>
      <c r="BF1180" s="367"/>
      <c r="BG1180" s="367"/>
      <c r="BH1180" s="260"/>
      <c r="BL1180" s="54"/>
    </row>
    <row r="1181" spans="1:64" ht="37.950000000000003" customHeight="1" x14ac:dyDescent="0.3">
      <c r="A1181" s="367">
        <f t="shared" si="22"/>
        <v>1176</v>
      </c>
      <c r="B1181" s="54" t="s">
        <v>3472</v>
      </c>
      <c r="C1181" s="367" t="s">
        <v>3227</v>
      </c>
      <c r="D1181" s="367" t="s">
        <v>262</v>
      </c>
      <c r="E1181" s="367"/>
      <c r="F1181" s="367"/>
      <c r="G1181" s="367"/>
      <c r="H1181" s="367"/>
      <c r="I1181" s="150"/>
      <c r="J1181" s="48"/>
      <c r="K1181" s="48" t="s">
        <v>521</v>
      </c>
      <c r="L1181" s="367"/>
      <c r="M1181" s="150"/>
      <c r="N1181" s="367"/>
      <c r="O1181" s="367"/>
      <c r="P1181" s="367"/>
      <c r="Q1181" s="367"/>
      <c r="R1181" s="367"/>
      <c r="S1181" s="367"/>
      <c r="T1181" s="367"/>
      <c r="U1181" s="367"/>
      <c r="V1181" s="367"/>
      <c r="W1181" s="367"/>
      <c r="X1181" s="367"/>
      <c r="Y1181" s="367"/>
      <c r="Z1181" s="367"/>
      <c r="AA1181" s="367"/>
      <c r="AB1181" s="150"/>
      <c r="AC1181" s="48" t="s">
        <v>3446</v>
      </c>
      <c r="AD1181" s="150" t="s">
        <v>56</v>
      </c>
      <c r="AE1181" s="296"/>
      <c r="AF1181" s="296"/>
      <c r="AG1181" s="286">
        <v>46569</v>
      </c>
      <c r="AH1181" s="49">
        <v>46563</v>
      </c>
      <c r="AI1181" s="266">
        <v>46539</v>
      </c>
      <c r="AJ1181" s="150" t="s">
        <v>617</v>
      </c>
      <c r="AK1181" s="150"/>
      <c r="AL1181" s="150"/>
      <c r="AM1181" s="150"/>
      <c r="AN1181" s="367"/>
      <c r="AO1181" s="367"/>
      <c r="AP1181" s="367"/>
      <c r="AQ1181" s="367"/>
      <c r="AR1181" s="367"/>
      <c r="AS1181" s="367"/>
      <c r="AT1181" s="367"/>
      <c r="AU1181" s="367"/>
      <c r="AV1181" s="367"/>
      <c r="AW1181" s="367"/>
      <c r="AX1181" s="367"/>
      <c r="AY1181" s="367"/>
      <c r="AZ1181" s="367"/>
      <c r="BA1181" s="367"/>
      <c r="BB1181" s="152"/>
      <c r="BC1181" s="152"/>
      <c r="BD1181" s="367"/>
      <c r="BE1181" s="367"/>
      <c r="BF1181" s="367"/>
      <c r="BG1181" s="367"/>
      <c r="BH1181" s="260"/>
      <c r="BL1181" s="54"/>
    </row>
    <row r="1182" spans="1:64" ht="37.950000000000003" customHeight="1" x14ac:dyDescent="0.3">
      <c r="A1182" s="367">
        <f t="shared" si="22"/>
        <v>1177</v>
      </c>
      <c r="B1182" s="54" t="s">
        <v>3473</v>
      </c>
      <c r="C1182" s="367" t="s">
        <v>3227</v>
      </c>
      <c r="D1182" s="367" t="s">
        <v>262</v>
      </c>
      <c r="E1182" s="367"/>
      <c r="F1182" s="367"/>
      <c r="G1182" s="367"/>
      <c r="H1182" s="367"/>
      <c r="I1182" s="150"/>
      <c r="J1182" s="48"/>
      <c r="K1182" s="48" t="s">
        <v>521</v>
      </c>
      <c r="L1182" s="367"/>
      <c r="M1182" s="150"/>
      <c r="N1182" s="367"/>
      <c r="O1182" s="367"/>
      <c r="P1182" s="367"/>
      <c r="Q1182" s="367"/>
      <c r="R1182" s="367"/>
      <c r="S1182" s="367"/>
      <c r="T1182" s="367"/>
      <c r="U1182" s="367"/>
      <c r="V1182" s="367"/>
      <c r="W1182" s="367"/>
      <c r="X1182" s="367"/>
      <c r="Y1182" s="367"/>
      <c r="Z1182" s="367"/>
      <c r="AA1182" s="367"/>
      <c r="AB1182" s="150"/>
      <c r="AC1182" s="48" t="s">
        <v>3446</v>
      </c>
      <c r="AD1182" s="150" t="s">
        <v>56</v>
      </c>
      <c r="AE1182" s="296"/>
      <c r="AF1182" s="296"/>
      <c r="AG1182" s="286">
        <v>46569</v>
      </c>
      <c r="AH1182" s="49">
        <v>46563</v>
      </c>
      <c r="AI1182" s="266">
        <v>46539</v>
      </c>
      <c r="AJ1182" s="150" t="s">
        <v>617</v>
      </c>
      <c r="AK1182" s="150"/>
      <c r="AL1182" s="150"/>
      <c r="AM1182" s="150"/>
      <c r="AN1182" s="367"/>
      <c r="AO1182" s="367"/>
      <c r="AP1182" s="367"/>
      <c r="AQ1182" s="367"/>
      <c r="AR1182" s="367"/>
      <c r="AS1182" s="367"/>
      <c r="AT1182" s="367"/>
      <c r="AU1182" s="367"/>
      <c r="AV1182" s="367"/>
      <c r="AW1182" s="367"/>
      <c r="AX1182" s="367"/>
      <c r="AY1182" s="367"/>
      <c r="AZ1182" s="367"/>
      <c r="BA1182" s="367"/>
      <c r="BB1182" s="152"/>
      <c r="BC1182" s="152"/>
      <c r="BD1182" s="367"/>
      <c r="BE1182" s="367"/>
      <c r="BF1182" s="367"/>
      <c r="BG1182" s="367"/>
      <c r="BH1182" s="260"/>
      <c r="BL1182" s="54"/>
    </row>
    <row r="1183" spans="1:64" ht="37.950000000000003" customHeight="1" x14ac:dyDescent="0.3">
      <c r="A1183" s="367">
        <f t="shared" si="22"/>
        <v>1178</v>
      </c>
      <c r="B1183" s="54" t="s">
        <v>3474</v>
      </c>
      <c r="C1183" s="367" t="s">
        <v>3227</v>
      </c>
      <c r="D1183" s="367" t="s">
        <v>262</v>
      </c>
      <c r="E1183" s="367"/>
      <c r="F1183" s="367"/>
      <c r="G1183" s="367"/>
      <c r="H1183" s="367"/>
      <c r="I1183" s="150"/>
      <c r="J1183" s="48"/>
      <c r="K1183" s="48" t="s">
        <v>521</v>
      </c>
      <c r="L1183" s="367"/>
      <c r="M1183" s="150"/>
      <c r="N1183" s="367"/>
      <c r="O1183" s="367"/>
      <c r="P1183" s="367"/>
      <c r="Q1183" s="367"/>
      <c r="R1183" s="367"/>
      <c r="S1183" s="367"/>
      <c r="T1183" s="367"/>
      <c r="U1183" s="367"/>
      <c r="V1183" s="367"/>
      <c r="W1183" s="367"/>
      <c r="X1183" s="367"/>
      <c r="Y1183" s="367"/>
      <c r="Z1183" s="367"/>
      <c r="AA1183" s="367"/>
      <c r="AB1183" s="150"/>
      <c r="AC1183" s="48" t="s">
        <v>3446</v>
      </c>
      <c r="AD1183" s="150" t="s">
        <v>56</v>
      </c>
      <c r="AE1183" s="296"/>
      <c r="AF1183" s="296"/>
      <c r="AG1183" s="286">
        <v>46569</v>
      </c>
      <c r="AH1183" s="49">
        <v>46563</v>
      </c>
      <c r="AI1183" s="266">
        <v>46539</v>
      </c>
      <c r="AJ1183" s="150" t="s">
        <v>617</v>
      </c>
      <c r="AK1183" s="150"/>
      <c r="AL1183" s="150"/>
      <c r="AM1183" s="150"/>
      <c r="AN1183" s="367"/>
      <c r="AO1183" s="367"/>
      <c r="AP1183" s="367"/>
      <c r="AQ1183" s="367"/>
      <c r="AR1183" s="367"/>
      <c r="AS1183" s="367"/>
      <c r="AT1183" s="367"/>
      <c r="AU1183" s="367"/>
      <c r="AV1183" s="367"/>
      <c r="AW1183" s="367"/>
      <c r="AX1183" s="367"/>
      <c r="AY1183" s="367"/>
      <c r="AZ1183" s="367"/>
      <c r="BA1183" s="367"/>
      <c r="BB1183" s="152"/>
      <c r="BC1183" s="152"/>
      <c r="BD1183" s="367"/>
      <c r="BE1183" s="367"/>
      <c r="BF1183" s="367"/>
      <c r="BG1183" s="367"/>
      <c r="BH1183" s="260"/>
      <c r="BL1183" s="54"/>
    </row>
    <row r="1184" spans="1:64" ht="37.950000000000003" customHeight="1" x14ac:dyDescent="0.3">
      <c r="A1184" s="367">
        <f t="shared" si="22"/>
        <v>1179</v>
      </c>
      <c r="B1184" s="54" t="s">
        <v>3475</v>
      </c>
      <c r="C1184" s="367" t="s">
        <v>3227</v>
      </c>
      <c r="D1184" s="367" t="s">
        <v>262</v>
      </c>
      <c r="E1184" s="367"/>
      <c r="F1184" s="367"/>
      <c r="G1184" s="367"/>
      <c r="H1184" s="367"/>
      <c r="I1184" s="150"/>
      <c r="J1184" s="48"/>
      <c r="K1184" s="48" t="s">
        <v>521</v>
      </c>
      <c r="L1184" s="367"/>
      <c r="M1184" s="150"/>
      <c r="N1184" s="367"/>
      <c r="O1184" s="367"/>
      <c r="P1184" s="367"/>
      <c r="Q1184" s="367"/>
      <c r="R1184" s="367"/>
      <c r="S1184" s="367"/>
      <c r="T1184" s="367"/>
      <c r="U1184" s="367"/>
      <c r="V1184" s="367"/>
      <c r="W1184" s="367"/>
      <c r="X1184" s="367"/>
      <c r="Y1184" s="367"/>
      <c r="Z1184" s="367"/>
      <c r="AA1184" s="367"/>
      <c r="AB1184" s="150"/>
      <c r="AC1184" s="48" t="s">
        <v>3446</v>
      </c>
      <c r="AD1184" s="150" t="s">
        <v>56</v>
      </c>
      <c r="AE1184" s="296"/>
      <c r="AF1184" s="296"/>
      <c r="AG1184" s="286">
        <v>46569</v>
      </c>
      <c r="AH1184" s="49">
        <v>46563</v>
      </c>
      <c r="AI1184" s="266">
        <v>46539</v>
      </c>
      <c r="AJ1184" s="150" t="s">
        <v>617</v>
      </c>
      <c r="AK1184" s="150"/>
      <c r="AL1184" s="150"/>
      <c r="AM1184" s="150"/>
      <c r="AN1184" s="367"/>
      <c r="AO1184" s="367"/>
      <c r="AP1184" s="367"/>
      <c r="AQ1184" s="367"/>
      <c r="AR1184" s="367"/>
      <c r="AS1184" s="367"/>
      <c r="AT1184" s="367"/>
      <c r="AU1184" s="367"/>
      <c r="AV1184" s="367"/>
      <c r="AW1184" s="367"/>
      <c r="AX1184" s="367"/>
      <c r="AY1184" s="367"/>
      <c r="AZ1184" s="367"/>
      <c r="BA1184" s="367"/>
      <c r="BB1184" s="152"/>
      <c r="BC1184" s="152"/>
      <c r="BD1184" s="367"/>
      <c r="BE1184" s="367"/>
      <c r="BF1184" s="367"/>
      <c r="BG1184" s="367"/>
      <c r="BH1184" s="260"/>
      <c r="BL1184" s="54"/>
    </row>
    <row r="1185" spans="1:64" ht="37.950000000000003" customHeight="1" x14ac:dyDescent="0.3">
      <c r="A1185" s="367">
        <f t="shared" si="22"/>
        <v>1180</v>
      </c>
      <c r="B1185" s="54" t="s">
        <v>3476</v>
      </c>
      <c r="C1185" s="367" t="s">
        <v>3227</v>
      </c>
      <c r="D1185" s="367" t="s">
        <v>262</v>
      </c>
      <c r="E1185" s="367"/>
      <c r="F1185" s="367"/>
      <c r="G1185" s="367"/>
      <c r="H1185" s="367"/>
      <c r="I1185" s="150"/>
      <c r="J1185" s="48"/>
      <c r="K1185" s="48" t="s">
        <v>521</v>
      </c>
      <c r="L1185" s="367"/>
      <c r="M1185" s="150"/>
      <c r="N1185" s="367"/>
      <c r="O1185" s="367"/>
      <c r="P1185" s="367"/>
      <c r="Q1185" s="367"/>
      <c r="R1185" s="367"/>
      <c r="S1185" s="367"/>
      <c r="T1185" s="367"/>
      <c r="U1185" s="367"/>
      <c r="V1185" s="367"/>
      <c r="W1185" s="367"/>
      <c r="X1185" s="367"/>
      <c r="Y1185" s="367"/>
      <c r="Z1185" s="367"/>
      <c r="AA1185" s="367"/>
      <c r="AB1185" s="150"/>
      <c r="AC1185" s="48" t="s">
        <v>3446</v>
      </c>
      <c r="AD1185" s="150" t="s">
        <v>56</v>
      </c>
      <c r="AE1185" s="296"/>
      <c r="AF1185" s="296"/>
      <c r="AG1185" s="286">
        <v>46600</v>
      </c>
      <c r="AH1185" s="49">
        <v>46593</v>
      </c>
      <c r="AI1185" s="266">
        <v>46569</v>
      </c>
      <c r="AJ1185" s="150" t="s">
        <v>617</v>
      </c>
      <c r="AK1185" s="150"/>
      <c r="AL1185" s="150"/>
      <c r="AM1185" s="150" t="s">
        <v>134</v>
      </c>
      <c r="AN1185" s="367"/>
      <c r="AO1185" s="367"/>
      <c r="AP1185" s="367"/>
      <c r="AQ1185" s="367"/>
      <c r="AR1185" s="367"/>
      <c r="AS1185" s="367"/>
      <c r="AT1185" s="367"/>
      <c r="AU1185" s="367"/>
      <c r="AV1185" s="367"/>
      <c r="AW1185" s="367"/>
      <c r="AX1185" s="367"/>
      <c r="AY1185" s="367"/>
      <c r="AZ1185" s="367"/>
      <c r="BA1185" s="367"/>
      <c r="BB1185" s="152"/>
      <c r="BC1185" s="152"/>
      <c r="BD1185" s="367"/>
      <c r="BE1185" s="367"/>
      <c r="BF1185" s="367"/>
      <c r="BG1185" s="367"/>
      <c r="BH1185" s="260"/>
      <c r="BL1185" s="54"/>
    </row>
    <row r="1186" spans="1:64" ht="37.950000000000003" customHeight="1" x14ac:dyDescent="0.3">
      <c r="A1186" s="367">
        <f t="shared" si="22"/>
        <v>1181</v>
      </c>
      <c r="B1186" s="54" t="s">
        <v>3477</v>
      </c>
      <c r="C1186" s="367" t="s">
        <v>3227</v>
      </c>
      <c r="D1186" s="367" t="s">
        <v>262</v>
      </c>
      <c r="E1186" s="367"/>
      <c r="F1186" s="367"/>
      <c r="G1186" s="367"/>
      <c r="H1186" s="367"/>
      <c r="I1186" s="150"/>
      <c r="J1186" s="48"/>
      <c r="K1186" s="48" t="s">
        <v>521</v>
      </c>
      <c r="L1186" s="367"/>
      <c r="M1186" s="150"/>
      <c r="N1186" s="367"/>
      <c r="O1186" s="367"/>
      <c r="P1186" s="367"/>
      <c r="Q1186" s="367"/>
      <c r="R1186" s="367"/>
      <c r="S1186" s="367"/>
      <c r="T1186" s="367"/>
      <c r="U1186" s="367"/>
      <c r="V1186" s="367"/>
      <c r="W1186" s="367"/>
      <c r="X1186" s="367"/>
      <c r="Y1186" s="367"/>
      <c r="Z1186" s="367"/>
      <c r="AA1186" s="367"/>
      <c r="AB1186" s="150"/>
      <c r="AC1186" s="48" t="s">
        <v>3446</v>
      </c>
      <c r="AD1186" s="150" t="s">
        <v>56</v>
      </c>
      <c r="AE1186" s="296"/>
      <c r="AF1186" s="296"/>
      <c r="AG1186" s="286">
        <v>46600</v>
      </c>
      <c r="AH1186" s="49">
        <v>46593</v>
      </c>
      <c r="AI1186" s="266">
        <v>46569</v>
      </c>
      <c r="AJ1186" s="150" t="s">
        <v>617</v>
      </c>
      <c r="AK1186" s="150"/>
      <c r="AL1186" s="150"/>
      <c r="AM1186" s="150" t="s">
        <v>134</v>
      </c>
      <c r="AN1186" s="367"/>
      <c r="AO1186" s="367"/>
      <c r="AP1186" s="367"/>
      <c r="AQ1186" s="367"/>
      <c r="AR1186" s="367"/>
      <c r="AS1186" s="367"/>
      <c r="AT1186" s="367"/>
      <c r="AU1186" s="367"/>
      <c r="AV1186" s="367"/>
      <c r="AW1186" s="367"/>
      <c r="AX1186" s="367"/>
      <c r="AY1186" s="367"/>
      <c r="AZ1186" s="367"/>
      <c r="BA1186" s="367"/>
      <c r="BB1186" s="152"/>
      <c r="BC1186" s="152"/>
      <c r="BD1186" s="367"/>
      <c r="BE1186" s="367"/>
      <c r="BF1186" s="367"/>
      <c r="BG1186" s="367"/>
      <c r="BH1186" s="260"/>
      <c r="BL1186" s="54"/>
    </row>
    <row r="1187" spans="1:64" ht="37.950000000000003" customHeight="1" x14ac:dyDescent="0.3">
      <c r="A1187" s="367">
        <f t="shared" si="22"/>
        <v>1182</v>
      </c>
      <c r="B1187" s="54" t="s">
        <v>3478</v>
      </c>
      <c r="C1187" s="367" t="s">
        <v>3227</v>
      </c>
      <c r="D1187" s="367" t="s">
        <v>262</v>
      </c>
      <c r="E1187" s="367"/>
      <c r="F1187" s="367"/>
      <c r="G1187" s="367"/>
      <c r="H1187" s="367"/>
      <c r="I1187" s="150"/>
      <c r="J1187" s="48"/>
      <c r="K1187" s="48" t="s">
        <v>521</v>
      </c>
      <c r="L1187" s="367"/>
      <c r="M1187" s="150"/>
      <c r="N1187" s="367"/>
      <c r="O1187" s="367"/>
      <c r="P1187" s="367"/>
      <c r="Q1187" s="367"/>
      <c r="R1187" s="367"/>
      <c r="S1187" s="367"/>
      <c r="T1187" s="367"/>
      <c r="U1187" s="367"/>
      <c r="V1187" s="367"/>
      <c r="W1187" s="367"/>
      <c r="X1187" s="367"/>
      <c r="Y1187" s="367"/>
      <c r="Z1187" s="367"/>
      <c r="AA1187" s="367"/>
      <c r="AB1187" s="150"/>
      <c r="AC1187" s="48" t="s">
        <v>3446</v>
      </c>
      <c r="AD1187" s="150" t="s">
        <v>56</v>
      </c>
      <c r="AE1187" s="296"/>
      <c r="AF1187" s="296"/>
      <c r="AG1187" s="286">
        <v>46600</v>
      </c>
      <c r="AH1187" s="49">
        <v>46593</v>
      </c>
      <c r="AI1187" s="266">
        <v>46569</v>
      </c>
      <c r="AJ1187" s="150" t="s">
        <v>617</v>
      </c>
      <c r="AK1187" s="150"/>
      <c r="AL1187" s="150"/>
      <c r="AM1187" s="150" t="s">
        <v>134</v>
      </c>
      <c r="AN1187" s="367"/>
      <c r="AO1187" s="367"/>
      <c r="AP1187" s="367"/>
      <c r="AQ1187" s="367"/>
      <c r="AR1187" s="367"/>
      <c r="AS1187" s="367"/>
      <c r="AT1187" s="367"/>
      <c r="AU1187" s="367"/>
      <c r="AV1187" s="367"/>
      <c r="AW1187" s="367"/>
      <c r="AX1187" s="367"/>
      <c r="AY1187" s="367"/>
      <c r="AZ1187" s="367"/>
      <c r="BA1187" s="367"/>
      <c r="BB1187" s="152"/>
      <c r="BC1187" s="152"/>
      <c r="BD1187" s="367"/>
      <c r="BE1187" s="367"/>
      <c r="BF1187" s="367"/>
      <c r="BG1187" s="367"/>
      <c r="BH1187" s="260"/>
      <c r="BL1187" s="54"/>
    </row>
    <row r="1188" spans="1:64" ht="37.950000000000003" customHeight="1" x14ac:dyDescent="0.3">
      <c r="A1188" s="367">
        <f t="shared" si="22"/>
        <v>1183</v>
      </c>
      <c r="B1188" s="54" t="s">
        <v>3479</v>
      </c>
      <c r="C1188" s="367" t="s">
        <v>3227</v>
      </c>
      <c r="D1188" s="367" t="s">
        <v>262</v>
      </c>
      <c r="E1188" s="367"/>
      <c r="F1188" s="367"/>
      <c r="G1188" s="367"/>
      <c r="H1188" s="367"/>
      <c r="I1188" s="150"/>
      <c r="J1188" s="48"/>
      <c r="K1188" s="48" t="s">
        <v>521</v>
      </c>
      <c r="L1188" s="367"/>
      <c r="M1188" s="150"/>
      <c r="N1188" s="367"/>
      <c r="O1188" s="367"/>
      <c r="P1188" s="367"/>
      <c r="Q1188" s="367"/>
      <c r="R1188" s="367"/>
      <c r="S1188" s="367"/>
      <c r="T1188" s="367"/>
      <c r="U1188" s="367"/>
      <c r="V1188" s="367"/>
      <c r="W1188" s="367"/>
      <c r="X1188" s="367"/>
      <c r="Y1188" s="367"/>
      <c r="Z1188" s="367"/>
      <c r="AA1188" s="367"/>
      <c r="AB1188" s="150"/>
      <c r="AC1188" s="48" t="s">
        <v>3446</v>
      </c>
      <c r="AD1188" s="150" t="s">
        <v>56</v>
      </c>
      <c r="AE1188" s="296"/>
      <c r="AF1188" s="296"/>
      <c r="AG1188" s="286">
        <v>46600</v>
      </c>
      <c r="AH1188" s="49">
        <v>46593</v>
      </c>
      <c r="AI1188" s="266">
        <v>46569</v>
      </c>
      <c r="AJ1188" s="150" t="s">
        <v>617</v>
      </c>
      <c r="AK1188" s="150"/>
      <c r="AL1188" s="150"/>
      <c r="AM1188" s="150" t="s">
        <v>134</v>
      </c>
      <c r="AN1188" s="367"/>
      <c r="AO1188" s="367"/>
      <c r="AP1188" s="367"/>
      <c r="AQ1188" s="367"/>
      <c r="AR1188" s="367"/>
      <c r="AS1188" s="367"/>
      <c r="AT1188" s="367"/>
      <c r="AU1188" s="367"/>
      <c r="AV1188" s="367"/>
      <c r="AW1188" s="367"/>
      <c r="AX1188" s="367"/>
      <c r="AY1188" s="367"/>
      <c r="AZ1188" s="367"/>
      <c r="BA1188" s="367"/>
      <c r="BB1188" s="152"/>
      <c r="BC1188" s="152"/>
      <c r="BD1188" s="367"/>
      <c r="BE1188" s="367"/>
      <c r="BF1188" s="367"/>
      <c r="BG1188" s="367"/>
      <c r="BH1188" s="260"/>
      <c r="BL1188" s="54"/>
    </row>
    <row r="1189" spans="1:64" ht="37.950000000000003" customHeight="1" x14ac:dyDescent="0.3">
      <c r="A1189" s="367">
        <f t="shared" si="22"/>
        <v>1184</v>
      </c>
      <c r="B1189" s="54" t="s">
        <v>3480</v>
      </c>
      <c r="C1189" s="367" t="s">
        <v>3227</v>
      </c>
      <c r="D1189" s="367" t="s">
        <v>262</v>
      </c>
      <c r="E1189" s="367"/>
      <c r="F1189" s="367"/>
      <c r="G1189" s="367"/>
      <c r="H1189" s="367"/>
      <c r="I1189" s="150"/>
      <c r="J1189" s="48"/>
      <c r="K1189" s="48" t="s">
        <v>521</v>
      </c>
      <c r="L1189" s="367"/>
      <c r="M1189" s="150"/>
      <c r="N1189" s="367"/>
      <c r="O1189" s="367"/>
      <c r="P1189" s="367"/>
      <c r="Q1189" s="367"/>
      <c r="R1189" s="367"/>
      <c r="S1189" s="367"/>
      <c r="T1189" s="367"/>
      <c r="U1189" s="367"/>
      <c r="V1189" s="367"/>
      <c r="W1189" s="367"/>
      <c r="X1189" s="367"/>
      <c r="Y1189" s="367"/>
      <c r="Z1189" s="367"/>
      <c r="AA1189" s="367"/>
      <c r="AB1189" s="150"/>
      <c r="AC1189" s="48" t="s">
        <v>3446</v>
      </c>
      <c r="AD1189" s="150" t="s">
        <v>56</v>
      </c>
      <c r="AE1189" s="296"/>
      <c r="AF1189" s="296"/>
      <c r="AG1189" s="286">
        <v>46600</v>
      </c>
      <c r="AH1189" s="49">
        <v>46593</v>
      </c>
      <c r="AI1189" s="266">
        <v>46569</v>
      </c>
      <c r="AJ1189" s="150" t="s">
        <v>617</v>
      </c>
      <c r="AK1189" s="150"/>
      <c r="AL1189" s="150"/>
      <c r="AM1189" s="150" t="s">
        <v>134</v>
      </c>
      <c r="AN1189" s="367"/>
      <c r="AO1189" s="367"/>
      <c r="AP1189" s="367"/>
      <c r="AQ1189" s="367"/>
      <c r="AR1189" s="367"/>
      <c r="AS1189" s="367"/>
      <c r="AT1189" s="367"/>
      <c r="AU1189" s="367"/>
      <c r="AV1189" s="367"/>
      <c r="AW1189" s="367"/>
      <c r="AX1189" s="367"/>
      <c r="AY1189" s="367"/>
      <c r="AZ1189" s="367"/>
      <c r="BA1189" s="367"/>
      <c r="BB1189" s="152"/>
      <c r="BC1189" s="152"/>
      <c r="BD1189" s="367"/>
      <c r="BE1189" s="367"/>
      <c r="BF1189" s="367"/>
      <c r="BG1189" s="367"/>
      <c r="BH1189" s="260"/>
      <c r="BL1189" s="54"/>
    </row>
    <row r="1190" spans="1:64" ht="37.950000000000003" customHeight="1" x14ac:dyDescent="0.3">
      <c r="A1190" s="367">
        <f t="shared" si="22"/>
        <v>1185</v>
      </c>
      <c r="B1190" s="54" t="s">
        <v>3481</v>
      </c>
      <c r="C1190" s="367" t="s">
        <v>3227</v>
      </c>
      <c r="D1190" s="367" t="s">
        <v>262</v>
      </c>
      <c r="E1190" s="367"/>
      <c r="F1190" s="367"/>
      <c r="G1190" s="367"/>
      <c r="H1190" s="367"/>
      <c r="I1190" s="150"/>
      <c r="J1190" s="48"/>
      <c r="K1190" s="48" t="s">
        <v>521</v>
      </c>
      <c r="L1190" s="367"/>
      <c r="M1190" s="150"/>
      <c r="N1190" s="367"/>
      <c r="O1190" s="367"/>
      <c r="P1190" s="367"/>
      <c r="Q1190" s="367"/>
      <c r="R1190" s="367"/>
      <c r="S1190" s="367"/>
      <c r="T1190" s="367"/>
      <c r="U1190" s="367"/>
      <c r="V1190" s="367"/>
      <c r="W1190" s="367"/>
      <c r="X1190" s="367"/>
      <c r="Y1190" s="367"/>
      <c r="Z1190" s="367"/>
      <c r="AA1190" s="367"/>
      <c r="AB1190" s="150"/>
      <c r="AC1190" s="48" t="s">
        <v>3446</v>
      </c>
      <c r="AD1190" s="150" t="s">
        <v>56</v>
      </c>
      <c r="AE1190" s="296"/>
      <c r="AF1190" s="296"/>
      <c r="AG1190" s="286">
        <v>46600</v>
      </c>
      <c r="AH1190" s="49">
        <v>46593</v>
      </c>
      <c r="AI1190" s="266">
        <v>46569</v>
      </c>
      <c r="AJ1190" s="150" t="s">
        <v>617</v>
      </c>
      <c r="AK1190" s="150"/>
      <c r="AL1190" s="150"/>
      <c r="AM1190" s="150"/>
      <c r="AN1190" s="367"/>
      <c r="AO1190" s="367"/>
      <c r="AP1190" s="367"/>
      <c r="AQ1190" s="367"/>
      <c r="AR1190" s="367"/>
      <c r="AS1190" s="367"/>
      <c r="AT1190" s="367"/>
      <c r="AU1190" s="367"/>
      <c r="AV1190" s="367"/>
      <c r="AW1190" s="367"/>
      <c r="AX1190" s="367"/>
      <c r="AY1190" s="367"/>
      <c r="AZ1190" s="367"/>
      <c r="BA1190" s="367"/>
      <c r="BB1190" s="152"/>
      <c r="BC1190" s="152"/>
      <c r="BD1190" s="367"/>
      <c r="BE1190" s="367"/>
      <c r="BF1190" s="367"/>
      <c r="BG1190" s="367"/>
      <c r="BH1190" s="260"/>
      <c r="BL1190" s="54"/>
    </row>
    <row r="1191" spans="1:64" ht="37.950000000000003" customHeight="1" x14ac:dyDescent="0.3">
      <c r="A1191" s="367">
        <f t="shared" si="22"/>
        <v>1186</v>
      </c>
      <c r="B1191" s="54" t="s">
        <v>3482</v>
      </c>
      <c r="C1191" s="367" t="s">
        <v>3227</v>
      </c>
      <c r="D1191" s="367" t="s">
        <v>262</v>
      </c>
      <c r="E1191" s="367"/>
      <c r="F1191" s="367"/>
      <c r="G1191" s="367"/>
      <c r="H1191" s="367"/>
      <c r="I1191" s="150"/>
      <c r="J1191" s="48"/>
      <c r="K1191" s="48" t="s">
        <v>521</v>
      </c>
      <c r="L1191" s="367"/>
      <c r="M1191" s="150"/>
      <c r="N1191" s="367"/>
      <c r="O1191" s="367"/>
      <c r="P1191" s="367"/>
      <c r="Q1191" s="367"/>
      <c r="R1191" s="367"/>
      <c r="S1191" s="367"/>
      <c r="T1191" s="367"/>
      <c r="U1191" s="367"/>
      <c r="V1191" s="367"/>
      <c r="W1191" s="367"/>
      <c r="X1191" s="367"/>
      <c r="Y1191" s="367"/>
      <c r="Z1191" s="367"/>
      <c r="AA1191" s="367"/>
      <c r="AB1191" s="150"/>
      <c r="AC1191" s="48" t="s">
        <v>3446</v>
      </c>
      <c r="AD1191" s="150" t="s">
        <v>56</v>
      </c>
      <c r="AE1191" s="296"/>
      <c r="AF1191" s="296"/>
      <c r="AG1191" s="286">
        <v>46600</v>
      </c>
      <c r="AH1191" s="49">
        <v>46593</v>
      </c>
      <c r="AI1191" s="266">
        <v>46569</v>
      </c>
      <c r="AJ1191" s="150" t="s">
        <v>617</v>
      </c>
      <c r="AK1191" s="150"/>
      <c r="AL1191" s="150"/>
      <c r="AM1191" s="150"/>
      <c r="AN1191" s="367"/>
      <c r="AO1191" s="367"/>
      <c r="AP1191" s="367"/>
      <c r="AQ1191" s="367"/>
      <c r="AR1191" s="367"/>
      <c r="AS1191" s="367"/>
      <c r="AT1191" s="367"/>
      <c r="AU1191" s="367"/>
      <c r="AV1191" s="367"/>
      <c r="AW1191" s="367"/>
      <c r="AX1191" s="367"/>
      <c r="AY1191" s="367"/>
      <c r="AZ1191" s="367"/>
      <c r="BA1191" s="367"/>
      <c r="BB1191" s="152"/>
      <c r="BC1191" s="152"/>
      <c r="BD1191" s="367"/>
      <c r="BE1191" s="367"/>
      <c r="BF1191" s="367"/>
      <c r="BG1191" s="367"/>
      <c r="BH1191" s="260"/>
      <c r="BL1191" s="54"/>
    </row>
    <row r="1192" spans="1:64" ht="37.950000000000003" customHeight="1" x14ac:dyDescent="0.3">
      <c r="A1192" s="367">
        <f t="shared" si="22"/>
        <v>1187</v>
      </c>
      <c r="B1192" s="54" t="s">
        <v>3483</v>
      </c>
      <c r="C1192" s="367" t="s">
        <v>3227</v>
      </c>
      <c r="D1192" s="367" t="s">
        <v>262</v>
      </c>
      <c r="E1192" s="367"/>
      <c r="F1192" s="367"/>
      <c r="G1192" s="367"/>
      <c r="H1192" s="367"/>
      <c r="I1192" s="150"/>
      <c r="J1192" s="48"/>
      <c r="K1192" s="48" t="s">
        <v>521</v>
      </c>
      <c r="L1192" s="367"/>
      <c r="M1192" s="150"/>
      <c r="N1192" s="367"/>
      <c r="O1192" s="367"/>
      <c r="P1192" s="367"/>
      <c r="Q1192" s="367"/>
      <c r="R1192" s="367"/>
      <c r="S1192" s="367"/>
      <c r="T1192" s="367"/>
      <c r="U1192" s="367"/>
      <c r="V1192" s="367"/>
      <c r="W1192" s="367"/>
      <c r="X1192" s="367"/>
      <c r="Y1192" s="367"/>
      <c r="Z1192" s="367"/>
      <c r="AA1192" s="367"/>
      <c r="AB1192" s="150"/>
      <c r="AC1192" s="48" t="s">
        <v>3446</v>
      </c>
      <c r="AD1192" s="150" t="s">
        <v>56</v>
      </c>
      <c r="AE1192" s="296"/>
      <c r="AF1192" s="296"/>
      <c r="AG1192" s="286">
        <v>46600</v>
      </c>
      <c r="AH1192" s="49">
        <v>46593</v>
      </c>
      <c r="AI1192" s="266">
        <v>46569</v>
      </c>
      <c r="AJ1192" s="150" t="s">
        <v>617</v>
      </c>
      <c r="AK1192" s="150"/>
      <c r="AL1192" s="150"/>
      <c r="AM1192" s="150"/>
      <c r="AN1192" s="367"/>
      <c r="AO1192" s="367"/>
      <c r="AP1192" s="367"/>
      <c r="AQ1192" s="367"/>
      <c r="AR1192" s="367"/>
      <c r="AS1192" s="367"/>
      <c r="AT1192" s="367"/>
      <c r="AU1192" s="367"/>
      <c r="AV1192" s="367"/>
      <c r="AW1192" s="367"/>
      <c r="AX1192" s="367"/>
      <c r="AY1192" s="367"/>
      <c r="AZ1192" s="367"/>
      <c r="BA1192" s="367"/>
      <c r="BB1192" s="152"/>
      <c r="BC1192" s="152"/>
      <c r="BD1192" s="367"/>
      <c r="BE1192" s="367"/>
      <c r="BF1192" s="367"/>
      <c r="BG1192" s="367"/>
      <c r="BH1192" s="260"/>
      <c r="BL1192" s="54"/>
    </row>
    <row r="1193" spans="1:64" ht="37.950000000000003" customHeight="1" x14ac:dyDescent="0.3">
      <c r="A1193" s="367">
        <f t="shared" si="22"/>
        <v>1188</v>
      </c>
      <c r="B1193" s="54" t="s">
        <v>3484</v>
      </c>
      <c r="C1193" s="367" t="s">
        <v>3227</v>
      </c>
      <c r="D1193" s="367" t="s">
        <v>262</v>
      </c>
      <c r="E1193" s="367"/>
      <c r="F1193" s="367"/>
      <c r="G1193" s="367"/>
      <c r="H1193" s="367"/>
      <c r="I1193" s="150"/>
      <c r="J1193" s="48"/>
      <c r="K1193" s="48" t="s">
        <v>521</v>
      </c>
      <c r="L1193" s="367"/>
      <c r="M1193" s="150"/>
      <c r="N1193" s="367"/>
      <c r="O1193" s="367"/>
      <c r="P1193" s="367"/>
      <c r="Q1193" s="367"/>
      <c r="R1193" s="367"/>
      <c r="S1193" s="367"/>
      <c r="T1193" s="367"/>
      <c r="U1193" s="367"/>
      <c r="V1193" s="367"/>
      <c r="W1193" s="367"/>
      <c r="X1193" s="367"/>
      <c r="Y1193" s="367"/>
      <c r="Z1193" s="367"/>
      <c r="AA1193" s="367"/>
      <c r="AB1193" s="150"/>
      <c r="AC1193" s="48" t="s">
        <v>3446</v>
      </c>
      <c r="AD1193" s="150" t="s">
        <v>56</v>
      </c>
      <c r="AE1193" s="296"/>
      <c r="AF1193" s="296"/>
      <c r="AG1193" s="286">
        <v>46600</v>
      </c>
      <c r="AH1193" s="49">
        <v>46593</v>
      </c>
      <c r="AI1193" s="266">
        <v>46569</v>
      </c>
      <c r="AJ1193" s="150" t="s">
        <v>617</v>
      </c>
      <c r="AK1193" s="150"/>
      <c r="AL1193" s="150"/>
      <c r="AM1193" s="150"/>
      <c r="AN1193" s="367"/>
      <c r="AO1193" s="367"/>
      <c r="AP1193" s="367"/>
      <c r="AQ1193" s="367"/>
      <c r="AR1193" s="367"/>
      <c r="AS1193" s="367"/>
      <c r="AT1193" s="367"/>
      <c r="AU1193" s="367"/>
      <c r="AV1193" s="367"/>
      <c r="AW1193" s="367"/>
      <c r="AX1193" s="367"/>
      <c r="AY1193" s="367"/>
      <c r="AZ1193" s="367"/>
      <c r="BA1193" s="367"/>
      <c r="BB1193" s="152"/>
      <c r="BC1193" s="152"/>
      <c r="BD1193" s="367"/>
      <c r="BE1193" s="367"/>
      <c r="BF1193" s="367"/>
      <c r="BG1193" s="367"/>
      <c r="BH1193" s="260"/>
      <c r="BL1193" s="54"/>
    </row>
    <row r="1194" spans="1:64" ht="37.950000000000003" customHeight="1" x14ac:dyDescent="0.3">
      <c r="A1194" s="367">
        <f t="shared" si="22"/>
        <v>1189</v>
      </c>
      <c r="B1194" s="54" t="s">
        <v>3485</v>
      </c>
      <c r="C1194" s="367" t="s">
        <v>3227</v>
      </c>
      <c r="D1194" s="367" t="s">
        <v>262</v>
      </c>
      <c r="E1194" s="367"/>
      <c r="F1194" s="367"/>
      <c r="G1194" s="367"/>
      <c r="H1194" s="367"/>
      <c r="I1194" s="150"/>
      <c r="J1194" s="48"/>
      <c r="K1194" s="48" t="s">
        <v>521</v>
      </c>
      <c r="L1194" s="367"/>
      <c r="M1194" s="150"/>
      <c r="N1194" s="367"/>
      <c r="O1194" s="367"/>
      <c r="P1194" s="367"/>
      <c r="Q1194" s="367"/>
      <c r="R1194" s="367"/>
      <c r="S1194" s="367"/>
      <c r="T1194" s="367"/>
      <c r="U1194" s="367"/>
      <c r="V1194" s="367"/>
      <c r="W1194" s="367"/>
      <c r="X1194" s="367"/>
      <c r="Y1194" s="367"/>
      <c r="Z1194" s="367"/>
      <c r="AA1194" s="367"/>
      <c r="AB1194" s="150"/>
      <c r="AC1194" s="48" t="s">
        <v>3446</v>
      </c>
      <c r="AD1194" s="150" t="s">
        <v>56</v>
      </c>
      <c r="AE1194" s="296"/>
      <c r="AF1194" s="296"/>
      <c r="AG1194" s="286">
        <v>46600</v>
      </c>
      <c r="AH1194" s="49">
        <v>46593</v>
      </c>
      <c r="AI1194" s="266">
        <v>46569</v>
      </c>
      <c r="AJ1194" s="150" t="s">
        <v>617</v>
      </c>
      <c r="AK1194" s="150"/>
      <c r="AL1194" s="150"/>
      <c r="AM1194" s="150"/>
      <c r="AN1194" s="367"/>
      <c r="AO1194" s="367"/>
      <c r="AP1194" s="367"/>
      <c r="AQ1194" s="367"/>
      <c r="AR1194" s="367"/>
      <c r="AS1194" s="367"/>
      <c r="AT1194" s="367"/>
      <c r="AU1194" s="367"/>
      <c r="AV1194" s="367"/>
      <c r="AW1194" s="367"/>
      <c r="AX1194" s="367"/>
      <c r="AY1194" s="367"/>
      <c r="AZ1194" s="367"/>
      <c r="BA1194" s="367"/>
      <c r="BB1194" s="152"/>
      <c r="BC1194" s="152"/>
      <c r="BD1194" s="367"/>
      <c r="BE1194" s="367"/>
      <c r="BF1194" s="367"/>
      <c r="BG1194" s="367"/>
      <c r="BH1194" s="260"/>
      <c r="BL1194" s="54"/>
    </row>
    <row r="1195" spans="1:64" ht="37.950000000000003" customHeight="1" x14ac:dyDescent="0.3">
      <c r="A1195" s="367">
        <f t="shared" si="22"/>
        <v>1190</v>
      </c>
      <c r="B1195" s="54" t="s">
        <v>3486</v>
      </c>
      <c r="C1195" s="367" t="s">
        <v>3227</v>
      </c>
      <c r="D1195" s="367" t="s">
        <v>262</v>
      </c>
      <c r="E1195" s="367"/>
      <c r="F1195" s="367"/>
      <c r="G1195" s="367"/>
      <c r="H1195" s="367"/>
      <c r="I1195" s="150"/>
      <c r="J1195" s="48"/>
      <c r="K1195" s="48" t="s">
        <v>521</v>
      </c>
      <c r="L1195" s="367"/>
      <c r="M1195" s="150"/>
      <c r="N1195" s="367"/>
      <c r="O1195" s="367"/>
      <c r="P1195" s="367"/>
      <c r="Q1195" s="367"/>
      <c r="R1195" s="367"/>
      <c r="S1195" s="367"/>
      <c r="T1195" s="367"/>
      <c r="U1195" s="367"/>
      <c r="V1195" s="367"/>
      <c r="W1195" s="367"/>
      <c r="X1195" s="367"/>
      <c r="Y1195" s="367"/>
      <c r="Z1195" s="367"/>
      <c r="AA1195" s="367"/>
      <c r="AB1195" s="150"/>
      <c r="AC1195" s="48" t="s">
        <v>3446</v>
      </c>
      <c r="AD1195" s="150" t="s">
        <v>56</v>
      </c>
      <c r="AE1195" s="296"/>
      <c r="AF1195" s="296"/>
      <c r="AG1195" s="286">
        <v>46631</v>
      </c>
      <c r="AH1195" s="49">
        <v>46624</v>
      </c>
      <c r="AI1195" s="266">
        <v>46569</v>
      </c>
      <c r="AJ1195" s="150" t="s">
        <v>617</v>
      </c>
      <c r="AK1195" s="150"/>
      <c r="AL1195" s="150"/>
      <c r="AM1195" s="150"/>
      <c r="AN1195" s="367"/>
      <c r="AO1195" s="367"/>
      <c r="AP1195" s="367"/>
      <c r="AQ1195" s="367"/>
      <c r="AR1195" s="367"/>
      <c r="AS1195" s="367"/>
      <c r="AT1195" s="367"/>
      <c r="AU1195" s="367"/>
      <c r="AV1195" s="367"/>
      <c r="AW1195" s="367"/>
      <c r="AX1195" s="367"/>
      <c r="AY1195" s="367"/>
      <c r="AZ1195" s="367"/>
      <c r="BA1195" s="367"/>
      <c r="BB1195" s="152"/>
      <c r="BC1195" s="152"/>
      <c r="BD1195" s="367"/>
      <c r="BE1195" s="367"/>
      <c r="BF1195" s="367"/>
      <c r="BG1195" s="367"/>
      <c r="BH1195" s="260"/>
      <c r="BL1195" s="54"/>
    </row>
    <row r="1196" spans="1:64" ht="37.950000000000003" customHeight="1" x14ac:dyDescent="0.3">
      <c r="A1196" s="367">
        <f t="shared" si="22"/>
        <v>1191</v>
      </c>
      <c r="B1196" s="54" t="s">
        <v>3487</v>
      </c>
      <c r="C1196" s="367" t="s">
        <v>3227</v>
      </c>
      <c r="D1196" s="367" t="s">
        <v>262</v>
      </c>
      <c r="E1196" s="367"/>
      <c r="F1196" s="367"/>
      <c r="G1196" s="367"/>
      <c r="H1196" s="367"/>
      <c r="I1196" s="150"/>
      <c r="J1196" s="48"/>
      <c r="K1196" s="48" t="s">
        <v>521</v>
      </c>
      <c r="L1196" s="367"/>
      <c r="M1196" s="150"/>
      <c r="N1196" s="367"/>
      <c r="O1196" s="367"/>
      <c r="P1196" s="367"/>
      <c r="Q1196" s="367"/>
      <c r="R1196" s="367"/>
      <c r="S1196" s="367"/>
      <c r="T1196" s="367"/>
      <c r="U1196" s="367"/>
      <c r="V1196" s="367"/>
      <c r="W1196" s="367"/>
      <c r="X1196" s="367"/>
      <c r="Y1196" s="367"/>
      <c r="Z1196" s="367"/>
      <c r="AA1196" s="367"/>
      <c r="AB1196" s="150"/>
      <c r="AC1196" s="48" t="s">
        <v>3446</v>
      </c>
      <c r="AD1196" s="150" t="s">
        <v>56</v>
      </c>
      <c r="AE1196" s="296"/>
      <c r="AF1196" s="296"/>
      <c r="AG1196" s="286">
        <v>46631</v>
      </c>
      <c r="AH1196" s="49">
        <v>46624</v>
      </c>
      <c r="AI1196" s="266">
        <v>46569</v>
      </c>
      <c r="AJ1196" s="150" t="s">
        <v>617</v>
      </c>
      <c r="AK1196" s="150"/>
      <c r="AL1196" s="150"/>
      <c r="AM1196" s="150"/>
      <c r="AN1196" s="367"/>
      <c r="AO1196" s="367"/>
      <c r="AP1196" s="367"/>
      <c r="AQ1196" s="367"/>
      <c r="AR1196" s="367"/>
      <c r="AS1196" s="367"/>
      <c r="AT1196" s="367"/>
      <c r="AU1196" s="367"/>
      <c r="AV1196" s="367"/>
      <c r="AW1196" s="367"/>
      <c r="AX1196" s="367"/>
      <c r="AY1196" s="367"/>
      <c r="AZ1196" s="367"/>
      <c r="BA1196" s="367"/>
      <c r="BB1196" s="152"/>
      <c r="BC1196" s="152"/>
      <c r="BD1196" s="367"/>
      <c r="BE1196" s="367"/>
      <c r="BF1196" s="367"/>
      <c r="BG1196" s="367"/>
      <c r="BH1196" s="260"/>
      <c r="BL1196" s="54"/>
    </row>
    <row r="1197" spans="1:64" ht="37.950000000000003" customHeight="1" x14ac:dyDescent="0.3">
      <c r="A1197" s="367">
        <f t="shared" si="22"/>
        <v>1192</v>
      </c>
      <c r="B1197" s="54" t="s">
        <v>3488</v>
      </c>
      <c r="C1197" s="367" t="s">
        <v>3227</v>
      </c>
      <c r="D1197" s="367" t="s">
        <v>262</v>
      </c>
      <c r="E1197" s="367"/>
      <c r="F1197" s="367"/>
      <c r="G1197" s="367"/>
      <c r="H1197" s="367"/>
      <c r="I1197" s="150"/>
      <c r="J1197" s="48"/>
      <c r="K1197" s="48" t="s">
        <v>521</v>
      </c>
      <c r="L1197" s="367"/>
      <c r="M1197" s="150"/>
      <c r="N1197" s="367"/>
      <c r="O1197" s="367"/>
      <c r="P1197" s="367"/>
      <c r="Q1197" s="367"/>
      <c r="R1197" s="367"/>
      <c r="S1197" s="367"/>
      <c r="T1197" s="367"/>
      <c r="U1197" s="367"/>
      <c r="V1197" s="367"/>
      <c r="W1197" s="367"/>
      <c r="X1197" s="367"/>
      <c r="Y1197" s="367"/>
      <c r="Z1197" s="367"/>
      <c r="AA1197" s="367"/>
      <c r="AB1197" s="150"/>
      <c r="AC1197" s="48" t="s">
        <v>3446</v>
      </c>
      <c r="AD1197" s="150" t="s">
        <v>56</v>
      </c>
      <c r="AE1197" s="296"/>
      <c r="AF1197" s="296"/>
      <c r="AG1197" s="286">
        <v>46631</v>
      </c>
      <c r="AH1197" s="49">
        <v>46624</v>
      </c>
      <c r="AI1197" s="266">
        <v>46569</v>
      </c>
      <c r="AJ1197" s="150" t="s">
        <v>617</v>
      </c>
      <c r="AK1197" s="150"/>
      <c r="AL1197" s="150"/>
      <c r="AM1197" s="150"/>
      <c r="AN1197" s="367"/>
      <c r="AO1197" s="367"/>
      <c r="AP1197" s="367"/>
      <c r="AQ1197" s="367"/>
      <c r="AR1197" s="367"/>
      <c r="AS1197" s="367"/>
      <c r="AT1197" s="367"/>
      <c r="AU1197" s="367"/>
      <c r="AV1197" s="367"/>
      <c r="AW1197" s="367"/>
      <c r="AX1197" s="367"/>
      <c r="AY1197" s="367"/>
      <c r="AZ1197" s="367"/>
      <c r="BA1197" s="367"/>
      <c r="BB1197" s="152"/>
      <c r="BC1197" s="152"/>
      <c r="BD1197" s="367"/>
      <c r="BE1197" s="367"/>
      <c r="BF1197" s="367"/>
      <c r="BG1197" s="367"/>
      <c r="BH1197" s="260"/>
      <c r="BL1197" s="54"/>
    </row>
    <row r="1198" spans="1:64" ht="37.950000000000003" customHeight="1" x14ac:dyDescent="0.3">
      <c r="A1198" s="367">
        <f t="shared" si="22"/>
        <v>1193</v>
      </c>
      <c r="B1198" s="54" t="s">
        <v>3489</v>
      </c>
      <c r="C1198" s="367" t="s">
        <v>3227</v>
      </c>
      <c r="D1198" s="367" t="s">
        <v>262</v>
      </c>
      <c r="E1198" s="367"/>
      <c r="F1198" s="367"/>
      <c r="G1198" s="367"/>
      <c r="H1198" s="367"/>
      <c r="I1198" s="150"/>
      <c r="J1198" s="48"/>
      <c r="K1198" s="48" t="s">
        <v>521</v>
      </c>
      <c r="L1198" s="367"/>
      <c r="M1198" s="150"/>
      <c r="N1198" s="367"/>
      <c r="O1198" s="367"/>
      <c r="P1198" s="367"/>
      <c r="Q1198" s="367"/>
      <c r="R1198" s="367"/>
      <c r="S1198" s="367"/>
      <c r="T1198" s="367"/>
      <c r="U1198" s="367"/>
      <c r="V1198" s="367"/>
      <c r="W1198" s="367"/>
      <c r="X1198" s="367"/>
      <c r="Y1198" s="367"/>
      <c r="Z1198" s="367"/>
      <c r="AA1198" s="367"/>
      <c r="AB1198" s="150"/>
      <c r="AC1198" s="48" t="s">
        <v>3446</v>
      </c>
      <c r="AD1198" s="150" t="s">
        <v>56</v>
      </c>
      <c r="AE1198" s="296"/>
      <c r="AF1198" s="296"/>
      <c r="AG1198" s="286">
        <v>46631</v>
      </c>
      <c r="AH1198" s="49">
        <v>46624</v>
      </c>
      <c r="AI1198" s="266">
        <v>46569</v>
      </c>
      <c r="AJ1198" s="150" t="s">
        <v>617</v>
      </c>
      <c r="AK1198" s="150"/>
      <c r="AL1198" s="150"/>
      <c r="AM1198" s="150"/>
      <c r="AN1198" s="367"/>
      <c r="AO1198" s="367"/>
      <c r="AP1198" s="367"/>
      <c r="AQ1198" s="367"/>
      <c r="AR1198" s="367"/>
      <c r="AS1198" s="367"/>
      <c r="AT1198" s="367"/>
      <c r="AU1198" s="367"/>
      <c r="AV1198" s="367"/>
      <c r="AW1198" s="367"/>
      <c r="AX1198" s="367"/>
      <c r="AY1198" s="367"/>
      <c r="AZ1198" s="367"/>
      <c r="BA1198" s="367"/>
      <c r="BB1198" s="152"/>
      <c r="BC1198" s="152"/>
      <c r="BD1198" s="367"/>
      <c r="BE1198" s="367"/>
      <c r="BF1198" s="367"/>
      <c r="BG1198" s="367"/>
      <c r="BH1198" s="260"/>
      <c r="BL1198" s="54"/>
    </row>
    <row r="1199" spans="1:64" ht="37.950000000000003" customHeight="1" x14ac:dyDescent="0.3">
      <c r="A1199" s="367">
        <f t="shared" si="22"/>
        <v>1194</v>
      </c>
      <c r="B1199" s="54" t="s">
        <v>3490</v>
      </c>
      <c r="C1199" s="367" t="s">
        <v>3227</v>
      </c>
      <c r="D1199" s="367" t="s">
        <v>262</v>
      </c>
      <c r="E1199" s="367"/>
      <c r="F1199" s="367"/>
      <c r="G1199" s="367"/>
      <c r="H1199" s="367"/>
      <c r="I1199" s="150"/>
      <c r="J1199" s="48"/>
      <c r="K1199" s="48" t="s">
        <v>521</v>
      </c>
      <c r="L1199" s="367"/>
      <c r="M1199" s="150"/>
      <c r="N1199" s="367"/>
      <c r="O1199" s="367"/>
      <c r="P1199" s="367"/>
      <c r="Q1199" s="367"/>
      <c r="R1199" s="367"/>
      <c r="S1199" s="367"/>
      <c r="T1199" s="367"/>
      <c r="U1199" s="367"/>
      <c r="V1199" s="367"/>
      <c r="W1199" s="367"/>
      <c r="X1199" s="367"/>
      <c r="Y1199" s="367"/>
      <c r="Z1199" s="367"/>
      <c r="AA1199" s="367"/>
      <c r="AB1199" s="150"/>
      <c r="AC1199" s="48" t="s">
        <v>3446</v>
      </c>
      <c r="AD1199" s="150" t="s">
        <v>56</v>
      </c>
      <c r="AE1199" s="296"/>
      <c r="AF1199" s="296"/>
      <c r="AG1199" s="286">
        <v>46631</v>
      </c>
      <c r="AH1199" s="49">
        <v>46624</v>
      </c>
      <c r="AI1199" s="266">
        <v>46569</v>
      </c>
      <c r="AJ1199" s="150" t="s">
        <v>617</v>
      </c>
      <c r="AK1199" s="150"/>
      <c r="AL1199" s="150"/>
      <c r="AM1199" s="150"/>
      <c r="AN1199" s="367"/>
      <c r="AO1199" s="367"/>
      <c r="AP1199" s="367"/>
      <c r="AQ1199" s="367"/>
      <c r="AR1199" s="367"/>
      <c r="AS1199" s="367"/>
      <c r="AT1199" s="367"/>
      <c r="AU1199" s="367"/>
      <c r="AV1199" s="367"/>
      <c r="AW1199" s="367"/>
      <c r="AX1199" s="367"/>
      <c r="AY1199" s="367"/>
      <c r="AZ1199" s="367"/>
      <c r="BA1199" s="367"/>
      <c r="BB1199" s="152"/>
      <c r="BC1199" s="152"/>
      <c r="BD1199" s="367"/>
      <c r="BE1199" s="367"/>
      <c r="BF1199" s="367"/>
      <c r="BG1199" s="367"/>
      <c r="BH1199" s="260"/>
      <c r="BL1199" s="54"/>
    </row>
    <row r="1200" spans="1:64" ht="37.950000000000003" customHeight="1" x14ac:dyDescent="0.3">
      <c r="A1200" s="367">
        <f t="shared" si="22"/>
        <v>1195</v>
      </c>
      <c r="B1200" s="54" t="s">
        <v>3491</v>
      </c>
      <c r="C1200" s="367" t="s">
        <v>3227</v>
      </c>
      <c r="D1200" s="367" t="s">
        <v>262</v>
      </c>
      <c r="E1200" s="367"/>
      <c r="F1200" s="367"/>
      <c r="G1200" s="367"/>
      <c r="H1200" s="367"/>
      <c r="I1200" s="150"/>
      <c r="J1200" s="48"/>
      <c r="K1200" s="48" t="s">
        <v>521</v>
      </c>
      <c r="L1200" s="367"/>
      <c r="M1200" s="150"/>
      <c r="N1200" s="367"/>
      <c r="O1200" s="367"/>
      <c r="P1200" s="367"/>
      <c r="Q1200" s="367"/>
      <c r="R1200" s="367"/>
      <c r="S1200" s="367"/>
      <c r="T1200" s="367"/>
      <c r="U1200" s="367"/>
      <c r="V1200" s="367"/>
      <c r="W1200" s="367"/>
      <c r="X1200" s="367"/>
      <c r="Y1200" s="367"/>
      <c r="Z1200" s="367"/>
      <c r="AA1200" s="367"/>
      <c r="AB1200" s="150"/>
      <c r="AC1200" s="48" t="s">
        <v>3446</v>
      </c>
      <c r="AD1200" s="150" t="s">
        <v>56</v>
      </c>
      <c r="AE1200" s="296"/>
      <c r="AF1200" s="296"/>
      <c r="AG1200" s="286">
        <v>46631</v>
      </c>
      <c r="AH1200" s="49">
        <v>46624</v>
      </c>
      <c r="AI1200" s="266">
        <v>46600</v>
      </c>
      <c r="AJ1200" s="150" t="s">
        <v>617</v>
      </c>
      <c r="AK1200" s="150"/>
      <c r="AL1200" s="150"/>
      <c r="AM1200" s="150"/>
      <c r="AN1200" s="367"/>
      <c r="AO1200" s="367"/>
      <c r="AP1200" s="367"/>
      <c r="AQ1200" s="367"/>
      <c r="AR1200" s="367"/>
      <c r="AS1200" s="367"/>
      <c r="AT1200" s="367"/>
      <c r="AU1200" s="367"/>
      <c r="AV1200" s="367"/>
      <c r="AW1200" s="367"/>
      <c r="AX1200" s="367"/>
      <c r="AY1200" s="367"/>
      <c r="AZ1200" s="367"/>
      <c r="BA1200" s="367"/>
      <c r="BB1200" s="152"/>
      <c r="BC1200" s="152"/>
      <c r="BD1200" s="367"/>
      <c r="BE1200" s="367"/>
      <c r="BF1200" s="367"/>
      <c r="BG1200" s="367"/>
      <c r="BH1200" s="260"/>
      <c r="BL1200" s="54"/>
    </row>
    <row r="1201" spans="1:64" ht="37.950000000000003" customHeight="1" x14ac:dyDescent="0.3">
      <c r="A1201" s="367">
        <f t="shared" si="22"/>
        <v>1196</v>
      </c>
      <c r="B1201" s="54" t="s">
        <v>3492</v>
      </c>
      <c r="C1201" s="367" t="s">
        <v>3227</v>
      </c>
      <c r="D1201" s="367" t="s">
        <v>262</v>
      </c>
      <c r="E1201" s="367"/>
      <c r="F1201" s="367"/>
      <c r="G1201" s="367"/>
      <c r="H1201" s="367"/>
      <c r="I1201" s="150"/>
      <c r="J1201" s="48"/>
      <c r="K1201" s="48" t="s">
        <v>521</v>
      </c>
      <c r="L1201" s="367"/>
      <c r="M1201" s="150"/>
      <c r="N1201" s="367"/>
      <c r="O1201" s="367"/>
      <c r="P1201" s="367"/>
      <c r="Q1201" s="367"/>
      <c r="R1201" s="367"/>
      <c r="S1201" s="367"/>
      <c r="T1201" s="367"/>
      <c r="U1201" s="367"/>
      <c r="V1201" s="367"/>
      <c r="W1201" s="367"/>
      <c r="X1201" s="367"/>
      <c r="Y1201" s="367"/>
      <c r="Z1201" s="367"/>
      <c r="AA1201" s="367"/>
      <c r="AB1201" s="150"/>
      <c r="AC1201" s="48" t="s">
        <v>3446</v>
      </c>
      <c r="AD1201" s="150" t="s">
        <v>56</v>
      </c>
      <c r="AE1201" s="296"/>
      <c r="AF1201" s="296"/>
      <c r="AG1201" s="286">
        <v>46631</v>
      </c>
      <c r="AH1201" s="49">
        <v>46624</v>
      </c>
      <c r="AI1201" s="266">
        <v>46600</v>
      </c>
      <c r="AJ1201" s="150" t="s">
        <v>617</v>
      </c>
      <c r="AK1201" s="150"/>
      <c r="AL1201" s="150"/>
      <c r="AM1201" s="150"/>
      <c r="AN1201" s="367"/>
      <c r="AO1201" s="367"/>
      <c r="AP1201" s="367"/>
      <c r="AQ1201" s="367"/>
      <c r="AR1201" s="367"/>
      <c r="AS1201" s="367"/>
      <c r="AT1201" s="367"/>
      <c r="AU1201" s="367"/>
      <c r="AV1201" s="367"/>
      <c r="AW1201" s="367"/>
      <c r="AX1201" s="367"/>
      <c r="AY1201" s="367"/>
      <c r="AZ1201" s="367"/>
      <c r="BA1201" s="367"/>
      <c r="BB1201" s="152"/>
      <c r="BC1201" s="152"/>
      <c r="BD1201" s="367"/>
      <c r="BE1201" s="367"/>
      <c r="BF1201" s="367"/>
      <c r="BG1201" s="367"/>
      <c r="BH1201" s="260"/>
      <c r="BL1201" s="54"/>
    </row>
    <row r="1202" spans="1:64" ht="37.950000000000003" customHeight="1" x14ac:dyDescent="0.3">
      <c r="A1202" s="367">
        <f t="shared" si="22"/>
        <v>1197</v>
      </c>
      <c r="B1202" s="54" t="s">
        <v>3493</v>
      </c>
      <c r="C1202" s="367" t="s">
        <v>3227</v>
      </c>
      <c r="D1202" s="367" t="s">
        <v>262</v>
      </c>
      <c r="E1202" s="367"/>
      <c r="F1202" s="367"/>
      <c r="G1202" s="367"/>
      <c r="H1202" s="367"/>
      <c r="I1202" s="150"/>
      <c r="J1202" s="48"/>
      <c r="K1202" s="48" t="s">
        <v>521</v>
      </c>
      <c r="L1202" s="367"/>
      <c r="M1202" s="150"/>
      <c r="N1202" s="367"/>
      <c r="O1202" s="367"/>
      <c r="P1202" s="367"/>
      <c r="Q1202" s="367"/>
      <c r="R1202" s="367"/>
      <c r="S1202" s="367"/>
      <c r="T1202" s="367"/>
      <c r="U1202" s="367"/>
      <c r="V1202" s="367"/>
      <c r="W1202" s="367"/>
      <c r="X1202" s="367"/>
      <c r="Y1202" s="367"/>
      <c r="Z1202" s="367"/>
      <c r="AA1202" s="367"/>
      <c r="AB1202" s="150"/>
      <c r="AC1202" s="48" t="s">
        <v>3446</v>
      </c>
      <c r="AD1202" s="150" t="s">
        <v>56</v>
      </c>
      <c r="AE1202" s="296"/>
      <c r="AF1202" s="296"/>
      <c r="AG1202" s="286">
        <v>46631</v>
      </c>
      <c r="AH1202" s="49">
        <v>46624</v>
      </c>
      <c r="AI1202" s="266">
        <v>46600</v>
      </c>
      <c r="AJ1202" s="150" t="s">
        <v>617</v>
      </c>
      <c r="AK1202" s="150"/>
      <c r="AL1202" s="150"/>
      <c r="AM1202" s="150"/>
      <c r="AN1202" s="367"/>
      <c r="AO1202" s="367"/>
      <c r="AP1202" s="367"/>
      <c r="AQ1202" s="367"/>
      <c r="AR1202" s="367"/>
      <c r="AS1202" s="367"/>
      <c r="AT1202" s="367"/>
      <c r="AU1202" s="367"/>
      <c r="AV1202" s="367"/>
      <c r="AW1202" s="367"/>
      <c r="AX1202" s="367"/>
      <c r="AY1202" s="367"/>
      <c r="AZ1202" s="367"/>
      <c r="BA1202" s="367"/>
      <c r="BB1202" s="152"/>
      <c r="BC1202" s="152"/>
      <c r="BD1202" s="367"/>
      <c r="BE1202" s="367"/>
      <c r="BF1202" s="367"/>
      <c r="BG1202" s="367"/>
      <c r="BH1202" s="260"/>
      <c r="BL1202" s="54"/>
    </row>
    <row r="1203" spans="1:64" ht="37.950000000000003" customHeight="1" x14ac:dyDescent="0.3">
      <c r="A1203" s="367">
        <f t="shared" si="22"/>
        <v>1198</v>
      </c>
      <c r="B1203" s="54" t="s">
        <v>3494</v>
      </c>
      <c r="C1203" s="367" t="s">
        <v>3227</v>
      </c>
      <c r="D1203" s="367" t="s">
        <v>262</v>
      </c>
      <c r="E1203" s="367"/>
      <c r="F1203" s="367"/>
      <c r="G1203" s="367"/>
      <c r="H1203" s="367"/>
      <c r="I1203" s="150"/>
      <c r="J1203" s="48"/>
      <c r="K1203" s="48" t="s">
        <v>521</v>
      </c>
      <c r="L1203" s="367"/>
      <c r="M1203" s="150"/>
      <c r="N1203" s="367"/>
      <c r="O1203" s="367"/>
      <c r="P1203" s="367"/>
      <c r="Q1203" s="367"/>
      <c r="R1203" s="367"/>
      <c r="S1203" s="367"/>
      <c r="T1203" s="367"/>
      <c r="U1203" s="367"/>
      <c r="V1203" s="367"/>
      <c r="W1203" s="367"/>
      <c r="X1203" s="367"/>
      <c r="Y1203" s="367"/>
      <c r="Z1203" s="367"/>
      <c r="AA1203" s="367"/>
      <c r="AB1203" s="150"/>
      <c r="AC1203" s="48" t="s">
        <v>3446</v>
      </c>
      <c r="AD1203" s="150" t="s">
        <v>56</v>
      </c>
      <c r="AE1203" s="296"/>
      <c r="AF1203" s="296"/>
      <c r="AG1203" s="286">
        <v>46631</v>
      </c>
      <c r="AH1203" s="49">
        <v>46624</v>
      </c>
      <c r="AI1203" s="266">
        <v>46600</v>
      </c>
      <c r="AJ1203" s="150" t="s">
        <v>617</v>
      </c>
      <c r="AK1203" s="150"/>
      <c r="AL1203" s="150"/>
      <c r="AM1203" s="150"/>
      <c r="AN1203" s="367"/>
      <c r="AO1203" s="367"/>
      <c r="AP1203" s="367"/>
      <c r="AQ1203" s="367"/>
      <c r="AR1203" s="367"/>
      <c r="AS1203" s="367"/>
      <c r="AT1203" s="367"/>
      <c r="AU1203" s="367"/>
      <c r="AV1203" s="367"/>
      <c r="AW1203" s="367"/>
      <c r="AX1203" s="367"/>
      <c r="AY1203" s="367"/>
      <c r="AZ1203" s="367"/>
      <c r="BA1203" s="367"/>
      <c r="BB1203" s="152"/>
      <c r="BC1203" s="152"/>
      <c r="BD1203" s="367"/>
      <c r="BE1203" s="367"/>
      <c r="BF1203" s="367"/>
      <c r="BG1203" s="367"/>
      <c r="BH1203" s="260"/>
      <c r="BL1203" s="54"/>
    </row>
    <row r="1204" spans="1:64" ht="37.950000000000003" customHeight="1" x14ac:dyDescent="0.3">
      <c r="A1204" s="367">
        <f t="shared" si="22"/>
        <v>1199</v>
      </c>
      <c r="B1204" s="54" t="s">
        <v>3495</v>
      </c>
      <c r="C1204" s="367" t="s">
        <v>3227</v>
      </c>
      <c r="D1204" s="367" t="s">
        <v>262</v>
      </c>
      <c r="E1204" s="367"/>
      <c r="F1204" s="367"/>
      <c r="G1204" s="367"/>
      <c r="H1204" s="367"/>
      <c r="I1204" s="150"/>
      <c r="J1204" s="48"/>
      <c r="K1204" s="48" t="s">
        <v>521</v>
      </c>
      <c r="L1204" s="367"/>
      <c r="M1204" s="150"/>
      <c r="N1204" s="367"/>
      <c r="O1204" s="367"/>
      <c r="P1204" s="367"/>
      <c r="Q1204" s="367"/>
      <c r="R1204" s="367"/>
      <c r="S1204" s="367"/>
      <c r="T1204" s="367"/>
      <c r="U1204" s="367"/>
      <c r="V1204" s="367"/>
      <c r="W1204" s="367"/>
      <c r="X1204" s="367"/>
      <c r="Y1204" s="367"/>
      <c r="Z1204" s="367"/>
      <c r="AA1204" s="367"/>
      <c r="AB1204" s="150"/>
      <c r="AC1204" s="48" t="s">
        <v>3446</v>
      </c>
      <c r="AD1204" s="150" t="s">
        <v>56</v>
      </c>
      <c r="AE1204" s="296"/>
      <c r="AF1204" s="296"/>
      <c r="AG1204" s="286">
        <v>46631</v>
      </c>
      <c r="AH1204" s="49">
        <v>46624</v>
      </c>
      <c r="AI1204" s="266">
        <v>46600</v>
      </c>
      <c r="AJ1204" s="150" t="s">
        <v>617</v>
      </c>
      <c r="AK1204" s="150"/>
      <c r="AL1204" s="150"/>
      <c r="AM1204" s="150"/>
      <c r="AN1204" s="367"/>
      <c r="AO1204" s="367"/>
      <c r="AP1204" s="367"/>
      <c r="AQ1204" s="367"/>
      <c r="AR1204" s="367"/>
      <c r="AS1204" s="367"/>
      <c r="AT1204" s="367"/>
      <c r="AU1204" s="367"/>
      <c r="AV1204" s="367"/>
      <c r="AW1204" s="367"/>
      <c r="AX1204" s="367"/>
      <c r="AY1204" s="367"/>
      <c r="AZ1204" s="367"/>
      <c r="BA1204" s="367"/>
      <c r="BB1204" s="152"/>
      <c r="BC1204" s="152"/>
      <c r="BD1204" s="367"/>
      <c r="BE1204" s="367"/>
      <c r="BF1204" s="367"/>
      <c r="BG1204" s="367"/>
      <c r="BH1204" s="260"/>
      <c r="BL1204" s="54"/>
    </row>
    <row r="1205" spans="1:64" ht="37.950000000000003" customHeight="1" x14ac:dyDescent="0.3">
      <c r="A1205" s="367">
        <f t="shared" si="22"/>
        <v>1200</v>
      </c>
      <c r="B1205" s="54" t="s">
        <v>3496</v>
      </c>
      <c r="C1205" s="367" t="s">
        <v>3227</v>
      </c>
      <c r="D1205" s="367" t="s">
        <v>262</v>
      </c>
      <c r="E1205" s="367"/>
      <c r="F1205" s="367"/>
      <c r="G1205" s="367"/>
      <c r="H1205" s="367"/>
      <c r="I1205" s="150"/>
      <c r="J1205" s="48"/>
      <c r="K1205" s="48" t="s">
        <v>3497</v>
      </c>
      <c r="L1205" s="367"/>
      <c r="M1205" s="150"/>
      <c r="N1205" s="367"/>
      <c r="O1205" s="367"/>
      <c r="P1205" s="367"/>
      <c r="Q1205" s="367"/>
      <c r="R1205" s="367"/>
      <c r="S1205" s="367"/>
      <c r="T1205" s="367"/>
      <c r="U1205" s="367"/>
      <c r="V1205" s="367"/>
      <c r="W1205" s="367"/>
      <c r="X1205" s="367"/>
      <c r="Y1205" s="367"/>
      <c r="Z1205" s="367"/>
      <c r="AA1205" s="367"/>
      <c r="AB1205" s="150"/>
      <c r="AC1205" s="48" t="s">
        <v>3498</v>
      </c>
      <c r="AD1205" s="150" t="s">
        <v>2415</v>
      </c>
      <c r="AE1205" s="296"/>
      <c r="AF1205" s="296"/>
      <c r="AG1205" s="286">
        <v>46478</v>
      </c>
      <c r="AH1205" s="49">
        <v>46471</v>
      </c>
      <c r="AI1205" s="266">
        <v>46388</v>
      </c>
      <c r="AJ1205" s="150" t="s">
        <v>617</v>
      </c>
      <c r="AK1205" s="150"/>
      <c r="AL1205" s="150"/>
      <c r="AM1205" s="150"/>
      <c r="AN1205" s="367"/>
      <c r="AO1205" s="367"/>
      <c r="AP1205" s="367"/>
      <c r="AQ1205" s="367"/>
      <c r="AR1205" s="367"/>
      <c r="AS1205" s="367"/>
      <c r="AT1205" s="367"/>
      <c r="AU1205" s="367"/>
      <c r="AV1205" s="367"/>
      <c r="AW1205" s="367"/>
      <c r="AX1205" s="367"/>
      <c r="AY1205" s="367"/>
      <c r="AZ1205" s="367"/>
      <c r="BA1205" s="367"/>
      <c r="BB1205" s="152"/>
      <c r="BC1205" s="152"/>
      <c r="BD1205" s="367"/>
      <c r="BE1205" s="367"/>
      <c r="BF1205" s="367"/>
      <c r="BG1205" s="367"/>
      <c r="BH1205" s="260"/>
      <c r="BL1205" s="54"/>
    </row>
    <row r="1206" spans="1:64" ht="37.950000000000003" customHeight="1" x14ac:dyDescent="0.3">
      <c r="A1206" s="367">
        <f t="shared" si="22"/>
        <v>1201</v>
      </c>
      <c r="B1206" s="54" t="s">
        <v>3499</v>
      </c>
      <c r="C1206" s="367" t="s">
        <v>3227</v>
      </c>
      <c r="D1206" s="367" t="s">
        <v>262</v>
      </c>
      <c r="E1206" s="367"/>
      <c r="F1206" s="367"/>
      <c r="G1206" s="367"/>
      <c r="H1206" s="367"/>
      <c r="I1206" s="150"/>
      <c r="J1206" s="48"/>
      <c r="K1206" s="48" t="s">
        <v>3497</v>
      </c>
      <c r="L1206" s="367"/>
      <c r="M1206" s="150"/>
      <c r="N1206" s="367"/>
      <c r="O1206" s="367"/>
      <c r="P1206" s="367"/>
      <c r="Q1206" s="367"/>
      <c r="R1206" s="367"/>
      <c r="S1206" s="367"/>
      <c r="T1206" s="367"/>
      <c r="U1206" s="367"/>
      <c r="V1206" s="367"/>
      <c r="W1206" s="367"/>
      <c r="X1206" s="367"/>
      <c r="Y1206" s="367"/>
      <c r="Z1206" s="367"/>
      <c r="AA1206" s="367"/>
      <c r="AB1206" s="150"/>
      <c r="AC1206" s="48" t="s">
        <v>3500</v>
      </c>
      <c r="AD1206" s="150" t="s">
        <v>169</v>
      </c>
      <c r="AE1206" s="296"/>
      <c r="AF1206" s="296"/>
      <c r="AG1206" s="286">
        <v>46478</v>
      </c>
      <c r="AH1206" s="49">
        <v>46412</v>
      </c>
      <c r="AI1206" s="266">
        <v>46388</v>
      </c>
      <c r="AJ1206" s="150" t="s">
        <v>617</v>
      </c>
      <c r="AK1206" s="150"/>
      <c r="AL1206" s="150"/>
      <c r="AM1206" s="150"/>
      <c r="AN1206" s="367"/>
      <c r="AO1206" s="367"/>
      <c r="AP1206" s="367"/>
      <c r="AQ1206" s="367"/>
      <c r="AR1206" s="367"/>
      <c r="AS1206" s="367"/>
      <c r="AT1206" s="367"/>
      <c r="AU1206" s="367"/>
      <c r="AV1206" s="367"/>
      <c r="AW1206" s="367"/>
      <c r="AX1206" s="367"/>
      <c r="AY1206" s="367"/>
      <c r="AZ1206" s="367"/>
      <c r="BA1206" s="367"/>
      <c r="BB1206" s="152"/>
      <c r="BC1206" s="152"/>
      <c r="BD1206" s="367"/>
      <c r="BE1206" s="367"/>
      <c r="BF1206" s="367"/>
      <c r="BG1206" s="367"/>
      <c r="BH1206" s="260"/>
      <c r="BL1206" s="54"/>
    </row>
    <row r="1207" spans="1:64" ht="37.950000000000003" customHeight="1" x14ac:dyDescent="0.3">
      <c r="A1207" s="367">
        <f t="shared" si="22"/>
        <v>1202</v>
      </c>
      <c r="B1207" s="54" t="s">
        <v>3501</v>
      </c>
      <c r="C1207" s="367" t="s">
        <v>3227</v>
      </c>
      <c r="D1207" s="367" t="s">
        <v>262</v>
      </c>
      <c r="E1207" s="367"/>
      <c r="F1207" s="367"/>
      <c r="G1207" s="367"/>
      <c r="H1207" s="367"/>
      <c r="I1207" s="150"/>
      <c r="J1207" s="48"/>
      <c r="K1207" s="48" t="s">
        <v>3497</v>
      </c>
      <c r="L1207" s="367"/>
      <c r="M1207" s="150"/>
      <c r="N1207" s="367"/>
      <c r="O1207" s="367"/>
      <c r="P1207" s="367"/>
      <c r="Q1207" s="367"/>
      <c r="R1207" s="367"/>
      <c r="S1207" s="367"/>
      <c r="T1207" s="367"/>
      <c r="U1207" s="367"/>
      <c r="V1207" s="367"/>
      <c r="W1207" s="367"/>
      <c r="X1207" s="367"/>
      <c r="Y1207" s="367"/>
      <c r="Z1207" s="367"/>
      <c r="AA1207" s="367"/>
      <c r="AB1207" s="150"/>
      <c r="AC1207" s="48" t="s">
        <v>3500</v>
      </c>
      <c r="AD1207" s="150" t="s">
        <v>169</v>
      </c>
      <c r="AE1207" s="296"/>
      <c r="AF1207" s="296"/>
      <c r="AG1207" s="286">
        <v>46478</v>
      </c>
      <c r="AH1207" s="49">
        <v>46412</v>
      </c>
      <c r="AI1207" s="266">
        <v>46388</v>
      </c>
      <c r="AJ1207" s="150" t="s">
        <v>617</v>
      </c>
      <c r="AK1207" s="150"/>
      <c r="AL1207" s="150"/>
      <c r="AM1207" s="150"/>
      <c r="AN1207" s="367"/>
      <c r="AO1207" s="367"/>
      <c r="AP1207" s="367"/>
      <c r="AQ1207" s="367"/>
      <c r="AR1207" s="367"/>
      <c r="AS1207" s="367"/>
      <c r="AT1207" s="367"/>
      <c r="AU1207" s="367"/>
      <c r="AV1207" s="367"/>
      <c r="AW1207" s="367"/>
      <c r="AX1207" s="367"/>
      <c r="AY1207" s="367"/>
      <c r="AZ1207" s="367"/>
      <c r="BA1207" s="367"/>
      <c r="BB1207" s="152"/>
      <c r="BC1207" s="152"/>
      <c r="BD1207" s="367"/>
      <c r="BE1207" s="367"/>
      <c r="BF1207" s="367"/>
      <c r="BG1207" s="367"/>
      <c r="BH1207" s="260"/>
      <c r="BL1207" s="54"/>
    </row>
    <row r="1208" spans="1:64" ht="37.950000000000003" customHeight="1" x14ac:dyDescent="0.3">
      <c r="A1208" s="367">
        <f t="shared" si="22"/>
        <v>1203</v>
      </c>
      <c r="B1208" s="54" t="s">
        <v>3502</v>
      </c>
      <c r="C1208" s="367" t="s">
        <v>3227</v>
      </c>
      <c r="D1208" s="367" t="s">
        <v>262</v>
      </c>
      <c r="E1208" s="367"/>
      <c r="F1208" s="367"/>
      <c r="G1208" s="367"/>
      <c r="H1208" s="367"/>
      <c r="I1208" s="150"/>
      <c r="J1208" s="48"/>
      <c r="K1208" s="48" t="s">
        <v>3497</v>
      </c>
      <c r="L1208" s="367"/>
      <c r="M1208" s="150"/>
      <c r="N1208" s="367"/>
      <c r="O1208" s="367"/>
      <c r="P1208" s="367"/>
      <c r="Q1208" s="367"/>
      <c r="R1208" s="367"/>
      <c r="S1208" s="367"/>
      <c r="T1208" s="367"/>
      <c r="U1208" s="367"/>
      <c r="V1208" s="367"/>
      <c r="W1208" s="367"/>
      <c r="X1208" s="367"/>
      <c r="Y1208" s="367"/>
      <c r="Z1208" s="367"/>
      <c r="AA1208" s="367"/>
      <c r="AB1208" s="150"/>
      <c r="AC1208" s="48" t="s">
        <v>3500</v>
      </c>
      <c r="AD1208" s="150" t="s">
        <v>169</v>
      </c>
      <c r="AE1208" s="296"/>
      <c r="AF1208" s="296"/>
      <c r="AG1208" s="286">
        <v>46478</v>
      </c>
      <c r="AH1208" s="49">
        <v>46412</v>
      </c>
      <c r="AI1208" s="266">
        <v>46388</v>
      </c>
      <c r="AJ1208" s="150" t="s">
        <v>617</v>
      </c>
      <c r="AK1208" s="150"/>
      <c r="AL1208" s="150"/>
      <c r="AM1208" s="150"/>
      <c r="AN1208" s="367"/>
      <c r="AO1208" s="367"/>
      <c r="AP1208" s="367"/>
      <c r="AQ1208" s="367"/>
      <c r="AR1208" s="367"/>
      <c r="AS1208" s="367"/>
      <c r="AT1208" s="367"/>
      <c r="AU1208" s="367"/>
      <c r="AV1208" s="367"/>
      <c r="AW1208" s="367"/>
      <c r="AX1208" s="367"/>
      <c r="AY1208" s="367"/>
      <c r="AZ1208" s="367"/>
      <c r="BA1208" s="367"/>
      <c r="BB1208" s="152"/>
      <c r="BC1208" s="152"/>
      <c r="BD1208" s="367"/>
      <c r="BE1208" s="367"/>
      <c r="BF1208" s="367"/>
      <c r="BG1208" s="367"/>
      <c r="BH1208" s="260"/>
      <c r="BL1208" s="54"/>
    </row>
    <row r="1209" spans="1:64" ht="37.950000000000003" customHeight="1" x14ac:dyDescent="0.3">
      <c r="A1209" s="367">
        <f t="shared" si="22"/>
        <v>1204</v>
      </c>
      <c r="B1209" s="54" t="s">
        <v>3503</v>
      </c>
      <c r="C1209" s="367" t="s">
        <v>3227</v>
      </c>
      <c r="D1209" s="367" t="s">
        <v>262</v>
      </c>
      <c r="E1209" s="367"/>
      <c r="F1209" s="367"/>
      <c r="G1209" s="367"/>
      <c r="H1209" s="367"/>
      <c r="I1209" s="150"/>
      <c r="J1209" s="48"/>
      <c r="K1209" s="48" t="s">
        <v>3497</v>
      </c>
      <c r="L1209" s="367"/>
      <c r="M1209" s="150"/>
      <c r="N1209" s="367"/>
      <c r="O1209" s="367"/>
      <c r="P1209" s="367"/>
      <c r="Q1209" s="367"/>
      <c r="R1209" s="367"/>
      <c r="S1209" s="367"/>
      <c r="T1209" s="367"/>
      <c r="U1209" s="367"/>
      <c r="V1209" s="367"/>
      <c r="W1209" s="367"/>
      <c r="X1209" s="367"/>
      <c r="Y1209" s="367"/>
      <c r="Z1209" s="367"/>
      <c r="AA1209" s="367"/>
      <c r="AB1209" s="150"/>
      <c r="AC1209" s="48" t="s">
        <v>3504</v>
      </c>
      <c r="AD1209" s="150" t="s">
        <v>238</v>
      </c>
      <c r="AE1209" s="296"/>
      <c r="AF1209" s="296"/>
      <c r="AG1209" s="286">
        <v>46478</v>
      </c>
      <c r="AH1209" s="49">
        <v>46412</v>
      </c>
      <c r="AI1209" s="266">
        <v>46388</v>
      </c>
      <c r="AJ1209" s="150" t="s">
        <v>617</v>
      </c>
      <c r="AK1209" s="150"/>
      <c r="AL1209" s="150"/>
      <c r="AM1209" s="150"/>
      <c r="AN1209" s="367"/>
      <c r="AO1209" s="367"/>
      <c r="AP1209" s="367"/>
      <c r="AQ1209" s="367"/>
      <c r="AR1209" s="367"/>
      <c r="AS1209" s="367"/>
      <c r="AT1209" s="367"/>
      <c r="AU1209" s="367"/>
      <c r="AV1209" s="367"/>
      <c r="AW1209" s="367"/>
      <c r="AX1209" s="367"/>
      <c r="AY1209" s="367"/>
      <c r="AZ1209" s="367"/>
      <c r="BA1209" s="367"/>
      <c r="BB1209" s="152"/>
      <c r="BC1209" s="152"/>
      <c r="BD1209" s="367"/>
      <c r="BE1209" s="367"/>
      <c r="BF1209" s="367"/>
      <c r="BG1209" s="367"/>
      <c r="BH1209" s="260"/>
      <c r="BL1209" s="54"/>
    </row>
    <row r="1210" spans="1:64" ht="37.950000000000003" customHeight="1" x14ac:dyDescent="0.3">
      <c r="A1210" s="367">
        <f t="shared" si="22"/>
        <v>1205</v>
      </c>
      <c r="B1210" s="54" t="s">
        <v>3505</v>
      </c>
      <c r="C1210" s="367" t="s">
        <v>3227</v>
      </c>
      <c r="D1210" s="367" t="s">
        <v>262</v>
      </c>
      <c r="E1210" s="367"/>
      <c r="F1210" s="367"/>
      <c r="G1210" s="367"/>
      <c r="H1210" s="367"/>
      <c r="I1210" s="150"/>
      <c r="J1210" s="48"/>
      <c r="K1210" s="48" t="s">
        <v>3497</v>
      </c>
      <c r="L1210" s="367"/>
      <c r="M1210" s="150"/>
      <c r="N1210" s="367"/>
      <c r="O1210" s="367"/>
      <c r="P1210" s="367"/>
      <c r="Q1210" s="367"/>
      <c r="R1210" s="367"/>
      <c r="S1210" s="367"/>
      <c r="T1210" s="367"/>
      <c r="U1210" s="367"/>
      <c r="V1210" s="367"/>
      <c r="W1210" s="367"/>
      <c r="X1210" s="367"/>
      <c r="Y1210" s="367"/>
      <c r="Z1210" s="367"/>
      <c r="AA1210" s="367"/>
      <c r="AB1210" s="150"/>
      <c r="AC1210" s="48" t="s">
        <v>3506</v>
      </c>
      <c r="AD1210" s="150" t="s">
        <v>2427</v>
      </c>
      <c r="AE1210" s="296"/>
      <c r="AF1210" s="296"/>
      <c r="AG1210" s="286">
        <v>46478</v>
      </c>
      <c r="AH1210" s="49">
        <v>46471</v>
      </c>
      <c r="AI1210" s="266">
        <v>46419</v>
      </c>
      <c r="AJ1210" s="150" t="s">
        <v>617</v>
      </c>
      <c r="AK1210" s="150"/>
      <c r="AL1210" s="150"/>
      <c r="AM1210" s="150"/>
      <c r="AN1210" s="367"/>
      <c r="AO1210" s="367"/>
      <c r="AP1210" s="367"/>
      <c r="AQ1210" s="367"/>
      <c r="AR1210" s="367"/>
      <c r="AS1210" s="367"/>
      <c r="AT1210" s="367"/>
      <c r="AU1210" s="367"/>
      <c r="AV1210" s="367"/>
      <c r="AW1210" s="367"/>
      <c r="AX1210" s="367"/>
      <c r="AY1210" s="367"/>
      <c r="AZ1210" s="367"/>
      <c r="BA1210" s="367"/>
      <c r="BB1210" s="152"/>
      <c r="BC1210" s="152"/>
      <c r="BD1210" s="367"/>
      <c r="BE1210" s="367"/>
      <c r="BF1210" s="367"/>
      <c r="BG1210" s="367"/>
      <c r="BH1210" s="260"/>
      <c r="BL1210" s="54"/>
    </row>
    <row r="1211" spans="1:64" ht="37.950000000000003" customHeight="1" x14ac:dyDescent="0.3">
      <c r="A1211" s="367">
        <f t="shared" si="22"/>
        <v>1206</v>
      </c>
      <c r="B1211" s="54" t="s">
        <v>3507</v>
      </c>
      <c r="C1211" s="367" t="s">
        <v>3227</v>
      </c>
      <c r="D1211" s="367" t="s">
        <v>262</v>
      </c>
      <c r="E1211" s="367"/>
      <c r="F1211" s="367"/>
      <c r="G1211" s="367"/>
      <c r="H1211" s="367"/>
      <c r="I1211" s="150"/>
      <c r="J1211" s="48"/>
      <c r="K1211" s="48" t="s">
        <v>3508</v>
      </c>
      <c r="L1211" s="367"/>
      <c r="M1211" s="150"/>
      <c r="N1211" s="367"/>
      <c r="O1211" s="367"/>
      <c r="P1211" s="367"/>
      <c r="Q1211" s="367"/>
      <c r="R1211" s="367"/>
      <c r="S1211" s="367"/>
      <c r="T1211" s="367"/>
      <c r="U1211" s="367"/>
      <c r="V1211" s="367"/>
      <c r="W1211" s="367"/>
      <c r="X1211" s="367"/>
      <c r="Y1211" s="367"/>
      <c r="Z1211" s="367"/>
      <c r="AA1211" s="367"/>
      <c r="AB1211" s="150"/>
      <c r="AC1211" s="48" t="s">
        <v>3509</v>
      </c>
      <c r="AD1211" s="150" t="s">
        <v>2415</v>
      </c>
      <c r="AE1211" s="296"/>
      <c r="AF1211" s="296"/>
      <c r="AG1211" s="286">
        <v>46478</v>
      </c>
      <c r="AH1211" s="49">
        <v>46471</v>
      </c>
      <c r="AI1211" s="266">
        <v>46419</v>
      </c>
      <c r="AJ1211" s="150" t="s">
        <v>617</v>
      </c>
      <c r="AK1211" s="150"/>
      <c r="AL1211" s="150"/>
      <c r="AM1211" s="150"/>
      <c r="AN1211" s="367"/>
      <c r="AO1211" s="367"/>
      <c r="AP1211" s="367"/>
      <c r="AQ1211" s="367"/>
      <c r="AR1211" s="367"/>
      <c r="AS1211" s="367"/>
      <c r="AT1211" s="367"/>
      <c r="AU1211" s="367"/>
      <c r="AV1211" s="367"/>
      <c r="AW1211" s="367"/>
      <c r="AX1211" s="367"/>
      <c r="AY1211" s="367"/>
      <c r="AZ1211" s="367"/>
      <c r="BA1211" s="367"/>
      <c r="BB1211" s="152"/>
      <c r="BC1211" s="152"/>
      <c r="BD1211" s="367"/>
      <c r="BE1211" s="367"/>
      <c r="BF1211" s="367"/>
      <c r="BG1211" s="367"/>
      <c r="BH1211" s="260"/>
      <c r="BL1211" s="54"/>
    </row>
    <row r="1212" spans="1:64" ht="37.950000000000003" customHeight="1" x14ac:dyDescent="0.3">
      <c r="A1212" s="367">
        <f t="shared" si="22"/>
        <v>1207</v>
      </c>
      <c r="B1212" s="54" t="s">
        <v>3510</v>
      </c>
      <c r="C1212" s="367" t="s">
        <v>3227</v>
      </c>
      <c r="D1212" s="367" t="s">
        <v>262</v>
      </c>
      <c r="E1212" s="367"/>
      <c r="F1212" s="367"/>
      <c r="G1212" s="367"/>
      <c r="H1212" s="367"/>
      <c r="I1212" s="150"/>
      <c r="J1212" s="48"/>
      <c r="K1212" s="48" t="s">
        <v>3508</v>
      </c>
      <c r="L1212" s="367"/>
      <c r="M1212" s="150"/>
      <c r="N1212" s="367"/>
      <c r="O1212" s="367"/>
      <c r="P1212" s="367"/>
      <c r="Q1212" s="367"/>
      <c r="R1212" s="367"/>
      <c r="S1212" s="367"/>
      <c r="T1212" s="367"/>
      <c r="U1212" s="367"/>
      <c r="V1212" s="367"/>
      <c r="W1212" s="367"/>
      <c r="X1212" s="367"/>
      <c r="Y1212" s="367"/>
      <c r="Z1212" s="367"/>
      <c r="AA1212" s="367"/>
      <c r="AB1212" s="150"/>
      <c r="AC1212" s="48" t="s">
        <v>3511</v>
      </c>
      <c r="AD1212" s="150" t="s">
        <v>2427</v>
      </c>
      <c r="AE1212" s="296"/>
      <c r="AF1212" s="296"/>
      <c r="AG1212" s="286">
        <v>46478</v>
      </c>
      <c r="AH1212" s="49">
        <v>46471</v>
      </c>
      <c r="AI1212" s="266">
        <v>46419</v>
      </c>
      <c r="AJ1212" s="150" t="s">
        <v>617</v>
      </c>
      <c r="AK1212" s="150"/>
      <c r="AL1212" s="150"/>
      <c r="AM1212" s="150"/>
      <c r="AN1212" s="367"/>
      <c r="AO1212" s="367"/>
      <c r="AP1212" s="367"/>
      <c r="AQ1212" s="367"/>
      <c r="AR1212" s="367"/>
      <c r="AS1212" s="367"/>
      <c r="AT1212" s="367"/>
      <c r="AU1212" s="367"/>
      <c r="AV1212" s="367"/>
      <c r="AW1212" s="367"/>
      <c r="AX1212" s="367"/>
      <c r="AY1212" s="367"/>
      <c r="AZ1212" s="367"/>
      <c r="BA1212" s="367"/>
      <c r="BB1212" s="152"/>
      <c r="BC1212" s="152"/>
      <c r="BD1212" s="367"/>
      <c r="BE1212" s="367"/>
      <c r="BF1212" s="367"/>
      <c r="BG1212" s="367"/>
      <c r="BH1212" s="260"/>
      <c r="BL1212" s="54"/>
    </row>
    <row r="1213" spans="1:64" ht="37.950000000000003" customHeight="1" x14ac:dyDescent="0.3">
      <c r="A1213" s="367">
        <f t="shared" si="22"/>
        <v>1208</v>
      </c>
      <c r="B1213" s="54" t="s">
        <v>3512</v>
      </c>
      <c r="C1213" s="367" t="s">
        <v>3227</v>
      </c>
      <c r="D1213" s="367" t="s">
        <v>262</v>
      </c>
      <c r="E1213" s="367"/>
      <c r="F1213" s="367"/>
      <c r="G1213" s="367"/>
      <c r="H1213" s="367"/>
      <c r="I1213" s="150"/>
      <c r="J1213" s="48"/>
      <c r="K1213" s="48" t="s">
        <v>3513</v>
      </c>
      <c r="L1213" s="367"/>
      <c r="M1213" s="150"/>
      <c r="N1213" s="367"/>
      <c r="O1213" s="367"/>
      <c r="P1213" s="367"/>
      <c r="Q1213" s="367"/>
      <c r="R1213" s="367"/>
      <c r="S1213" s="367"/>
      <c r="T1213" s="367"/>
      <c r="U1213" s="367"/>
      <c r="V1213" s="367"/>
      <c r="W1213" s="367"/>
      <c r="X1213" s="367"/>
      <c r="Y1213" s="367"/>
      <c r="Z1213" s="367"/>
      <c r="AA1213" s="367"/>
      <c r="AB1213" s="150"/>
      <c r="AC1213" s="48" t="s">
        <v>3514</v>
      </c>
      <c r="AD1213" s="150" t="s">
        <v>2415</v>
      </c>
      <c r="AE1213" s="296"/>
      <c r="AF1213" s="296"/>
      <c r="AG1213" s="286">
        <v>46508</v>
      </c>
      <c r="AH1213" s="49">
        <v>46502</v>
      </c>
      <c r="AI1213" s="266">
        <v>46447</v>
      </c>
      <c r="AJ1213" s="150" t="s">
        <v>617</v>
      </c>
      <c r="AK1213" s="150"/>
      <c r="AL1213" s="150"/>
      <c r="AM1213" s="150"/>
      <c r="AN1213" s="367"/>
      <c r="AO1213" s="367"/>
      <c r="AP1213" s="367"/>
      <c r="AQ1213" s="367"/>
      <c r="AR1213" s="367"/>
      <c r="AS1213" s="367"/>
      <c r="AT1213" s="367"/>
      <c r="AU1213" s="367"/>
      <c r="AV1213" s="367"/>
      <c r="AW1213" s="367"/>
      <c r="AX1213" s="367"/>
      <c r="AY1213" s="367"/>
      <c r="AZ1213" s="367"/>
      <c r="BA1213" s="367"/>
      <c r="BB1213" s="152"/>
      <c r="BC1213" s="152"/>
      <c r="BD1213" s="367"/>
      <c r="BE1213" s="367"/>
      <c r="BF1213" s="367"/>
      <c r="BG1213" s="367"/>
      <c r="BH1213" s="260"/>
      <c r="BL1213" s="54"/>
    </row>
    <row r="1214" spans="1:64" ht="37.950000000000003" customHeight="1" x14ac:dyDescent="0.3">
      <c r="A1214" s="367">
        <f t="shared" si="22"/>
        <v>1209</v>
      </c>
      <c r="B1214" s="54" t="s">
        <v>3515</v>
      </c>
      <c r="C1214" s="367" t="s">
        <v>3227</v>
      </c>
      <c r="D1214" s="367" t="s">
        <v>262</v>
      </c>
      <c r="E1214" s="367"/>
      <c r="F1214" s="367"/>
      <c r="G1214" s="367"/>
      <c r="H1214" s="367"/>
      <c r="I1214" s="150"/>
      <c r="J1214" s="48"/>
      <c r="K1214" s="48" t="s">
        <v>3513</v>
      </c>
      <c r="L1214" s="367"/>
      <c r="M1214" s="150"/>
      <c r="N1214" s="367"/>
      <c r="O1214" s="367"/>
      <c r="P1214" s="367"/>
      <c r="Q1214" s="367"/>
      <c r="R1214" s="367"/>
      <c r="S1214" s="367"/>
      <c r="T1214" s="367"/>
      <c r="U1214" s="367"/>
      <c r="V1214" s="367"/>
      <c r="W1214" s="367"/>
      <c r="X1214" s="367"/>
      <c r="Y1214" s="367"/>
      <c r="Z1214" s="367"/>
      <c r="AA1214" s="367"/>
      <c r="AB1214" s="150"/>
      <c r="AC1214" s="48" t="s">
        <v>3516</v>
      </c>
      <c r="AD1214" s="150" t="s">
        <v>169</v>
      </c>
      <c r="AE1214" s="296"/>
      <c r="AF1214" s="296"/>
      <c r="AG1214" s="286">
        <v>46508</v>
      </c>
      <c r="AH1214" s="49">
        <v>46502</v>
      </c>
      <c r="AI1214" s="266">
        <v>46447</v>
      </c>
      <c r="AJ1214" s="150" t="s">
        <v>617</v>
      </c>
      <c r="AK1214" s="150"/>
      <c r="AL1214" s="150"/>
      <c r="AM1214" s="150"/>
      <c r="AN1214" s="367"/>
      <c r="AO1214" s="367"/>
      <c r="AP1214" s="367"/>
      <c r="AQ1214" s="367"/>
      <c r="AR1214" s="367"/>
      <c r="AS1214" s="367"/>
      <c r="AT1214" s="367"/>
      <c r="AU1214" s="367"/>
      <c r="AV1214" s="367"/>
      <c r="AW1214" s="367"/>
      <c r="AX1214" s="367"/>
      <c r="AY1214" s="367"/>
      <c r="AZ1214" s="367"/>
      <c r="BA1214" s="367"/>
      <c r="BB1214" s="152"/>
      <c r="BC1214" s="152"/>
      <c r="BD1214" s="367"/>
      <c r="BE1214" s="367"/>
      <c r="BF1214" s="367"/>
      <c r="BG1214" s="367"/>
      <c r="BH1214" s="260"/>
      <c r="BL1214" s="54"/>
    </row>
    <row r="1215" spans="1:64" ht="37.950000000000003" customHeight="1" x14ac:dyDescent="0.3">
      <c r="A1215" s="367">
        <f t="shared" si="22"/>
        <v>1210</v>
      </c>
      <c r="B1215" s="54" t="s">
        <v>3517</v>
      </c>
      <c r="C1215" s="367" t="s">
        <v>3227</v>
      </c>
      <c r="D1215" s="367" t="s">
        <v>262</v>
      </c>
      <c r="E1215" s="367"/>
      <c r="F1215" s="367"/>
      <c r="G1215" s="367"/>
      <c r="H1215" s="367"/>
      <c r="I1215" s="150"/>
      <c r="J1215" s="48"/>
      <c r="K1215" s="48" t="s">
        <v>3513</v>
      </c>
      <c r="L1215" s="367"/>
      <c r="M1215" s="150"/>
      <c r="N1215" s="367"/>
      <c r="O1215" s="367"/>
      <c r="P1215" s="367"/>
      <c r="Q1215" s="367"/>
      <c r="R1215" s="367"/>
      <c r="S1215" s="367"/>
      <c r="T1215" s="367"/>
      <c r="U1215" s="367"/>
      <c r="V1215" s="367"/>
      <c r="W1215" s="367"/>
      <c r="X1215" s="367"/>
      <c r="Y1215" s="367"/>
      <c r="Z1215" s="367"/>
      <c r="AA1215" s="367"/>
      <c r="AB1215" s="150"/>
      <c r="AC1215" s="48" t="s">
        <v>3516</v>
      </c>
      <c r="AD1215" s="150" t="s">
        <v>169</v>
      </c>
      <c r="AE1215" s="296"/>
      <c r="AF1215" s="296"/>
      <c r="AG1215" s="286">
        <v>46508</v>
      </c>
      <c r="AH1215" s="49">
        <v>46502</v>
      </c>
      <c r="AI1215" s="266">
        <v>46447</v>
      </c>
      <c r="AJ1215" s="150" t="s">
        <v>617</v>
      </c>
      <c r="AK1215" s="150"/>
      <c r="AL1215" s="150"/>
      <c r="AM1215" s="150"/>
      <c r="AN1215" s="367"/>
      <c r="AO1215" s="367"/>
      <c r="AP1215" s="367"/>
      <c r="AQ1215" s="367"/>
      <c r="AR1215" s="367"/>
      <c r="AS1215" s="367"/>
      <c r="AT1215" s="367"/>
      <c r="AU1215" s="367"/>
      <c r="AV1215" s="367"/>
      <c r="AW1215" s="367"/>
      <c r="AX1215" s="367"/>
      <c r="AY1215" s="367"/>
      <c r="AZ1215" s="367"/>
      <c r="BA1215" s="367"/>
      <c r="BB1215" s="152"/>
      <c r="BC1215" s="152"/>
      <c r="BD1215" s="367"/>
      <c r="BE1215" s="367"/>
      <c r="BF1215" s="367"/>
      <c r="BG1215" s="367"/>
      <c r="BH1215" s="260"/>
      <c r="BL1215" s="54"/>
    </row>
    <row r="1216" spans="1:64" ht="37.950000000000003" customHeight="1" x14ac:dyDescent="0.3">
      <c r="A1216" s="367">
        <f t="shared" si="22"/>
        <v>1211</v>
      </c>
      <c r="B1216" s="54" t="s">
        <v>3518</v>
      </c>
      <c r="C1216" s="367" t="s">
        <v>3227</v>
      </c>
      <c r="D1216" s="367" t="s">
        <v>262</v>
      </c>
      <c r="E1216" s="367"/>
      <c r="F1216" s="367"/>
      <c r="G1216" s="367"/>
      <c r="H1216" s="367"/>
      <c r="I1216" s="150"/>
      <c r="J1216" s="48"/>
      <c r="K1216" s="48" t="s">
        <v>3513</v>
      </c>
      <c r="L1216" s="367"/>
      <c r="M1216" s="150"/>
      <c r="N1216" s="367"/>
      <c r="O1216" s="367"/>
      <c r="P1216" s="367"/>
      <c r="Q1216" s="367"/>
      <c r="R1216" s="367"/>
      <c r="S1216" s="367"/>
      <c r="T1216" s="367"/>
      <c r="U1216" s="367"/>
      <c r="V1216" s="367"/>
      <c r="W1216" s="367"/>
      <c r="X1216" s="367"/>
      <c r="Y1216" s="367"/>
      <c r="Z1216" s="367"/>
      <c r="AA1216" s="367"/>
      <c r="AB1216" s="150"/>
      <c r="AC1216" s="48" t="s">
        <v>3519</v>
      </c>
      <c r="AD1216" s="150" t="s">
        <v>238</v>
      </c>
      <c r="AE1216" s="296"/>
      <c r="AF1216" s="296"/>
      <c r="AG1216" s="286">
        <v>46508</v>
      </c>
      <c r="AH1216" s="49">
        <v>46502</v>
      </c>
      <c r="AI1216" s="266">
        <v>46447</v>
      </c>
      <c r="AJ1216" s="150" t="s">
        <v>617</v>
      </c>
      <c r="AK1216" s="150"/>
      <c r="AL1216" s="150"/>
      <c r="AM1216" s="150"/>
      <c r="AN1216" s="367"/>
      <c r="AO1216" s="367"/>
      <c r="AP1216" s="367"/>
      <c r="AQ1216" s="367"/>
      <c r="AR1216" s="367"/>
      <c r="AS1216" s="367"/>
      <c r="AT1216" s="367"/>
      <c r="AU1216" s="367"/>
      <c r="AV1216" s="367"/>
      <c r="AW1216" s="367"/>
      <c r="AX1216" s="367"/>
      <c r="AY1216" s="367"/>
      <c r="AZ1216" s="367"/>
      <c r="BA1216" s="367"/>
      <c r="BB1216" s="152"/>
      <c r="BC1216" s="152"/>
      <c r="BD1216" s="367"/>
      <c r="BE1216" s="367"/>
      <c r="BF1216" s="367"/>
      <c r="BG1216" s="367"/>
      <c r="BH1216" s="260"/>
      <c r="BL1216" s="54"/>
    </row>
    <row r="1217" spans="1:64" ht="37.950000000000003" customHeight="1" x14ac:dyDescent="0.3">
      <c r="A1217" s="367">
        <f t="shared" si="22"/>
        <v>1212</v>
      </c>
      <c r="B1217" s="54" t="s">
        <v>3520</v>
      </c>
      <c r="C1217" s="367" t="s">
        <v>3227</v>
      </c>
      <c r="D1217" s="367" t="s">
        <v>262</v>
      </c>
      <c r="E1217" s="367"/>
      <c r="F1217" s="367"/>
      <c r="G1217" s="367"/>
      <c r="H1217" s="367"/>
      <c r="I1217" s="150"/>
      <c r="J1217" s="48"/>
      <c r="K1217" s="48" t="s">
        <v>3513</v>
      </c>
      <c r="L1217" s="367"/>
      <c r="M1217" s="150"/>
      <c r="N1217" s="367"/>
      <c r="O1217" s="367"/>
      <c r="P1217" s="367"/>
      <c r="Q1217" s="367"/>
      <c r="R1217" s="367"/>
      <c r="S1217" s="367"/>
      <c r="T1217" s="367"/>
      <c r="U1217" s="367"/>
      <c r="V1217" s="367"/>
      <c r="W1217" s="367"/>
      <c r="X1217" s="367"/>
      <c r="Y1217" s="367"/>
      <c r="Z1217" s="367"/>
      <c r="AA1217" s="367"/>
      <c r="AB1217" s="150"/>
      <c r="AC1217" s="48" t="s">
        <v>3521</v>
      </c>
      <c r="AD1217" s="150" t="s">
        <v>2427</v>
      </c>
      <c r="AE1217" s="296"/>
      <c r="AF1217" s="296"/>
      <c r="AG1217" s="286">
        <v>46508</v>
      </c>
      <c r="AH1217" s="49">
        <v>46502</v>
      </c>
      <c r="AI1217" s="266">
        <v>46447</v>
      </c>
      <c r="AJ1217" s="150" t="s">
        <v>617</v>
      </c>
      <c r="AK1217" s="150"/>
      <c r="AL1217" s="150"/>
      <c r="AM1217" s="150"/>
      <c r="AN1217" s="367"/>
      <c r="AO1217" s="367"/>
      <c r="AP1217" s="367"/>
      <c r="AQ1217" s="367"/>
      <c r="AR1217" s="367"/>
      <c r="AS1217" s="367"/>
      <c r="AT1217" s="367"/>
      <c r="AU1217" s="367"/>
      <c r="AV1217" s="367"/>
      <c r="AW1217" s="367"/>
      <c r="AX1217" s="367"/>
      <c r="AY1217" s="367"/>
      <c r="AZ1217" s="367"/>
      <c r="BA1217" s="367"/>
      <c r="BB1217" s="152"/>
      <c r="BC1217" s="152"/>
      <c r="BD1217" s="367"/>
      <c r="BE1217" s="367"/>
      <c r="BF1217" s="367"/>
      <c r="BG1217" s="367"/>
      <c r="BH1217" s="260"/>
      <c r="BL1217" s="54"/>
    </row>
    <row r="1218" spans="1:64" ht="37.950000000000003" customHeight="1" x14ac:dyDescent="0.3">
      <c r="A1218" s="367">
        <f t="shared" si="22"/>
        <v>1213</v>
      </c>
      <c r="B1218" s="54" t="s">
        <v>3522</v>
      </c>
      <c r="C1218" s="367" t="s">
        <v>3227</v>
      </c>
      <c r="D1218" s="367" t="s">
        <v>262</v>
      </c>
      <c r="E1218" s="367"/>
      <c r="F1218" s="367"/>
      <c r="G1218" s="367"/>
      <c r="H1218" s="367"/>
      <c r="I1218" s="150"/>
      <c r="J1218" s="48"/>
      <c r="K1218" s="48" t="s">
        <v>3523</v>
      </c>
      <c r="L1218" s="367"/>
      <c r="M1218" s="150"/>
      <c r="N1218" s="367"/>
      <c r="O1218" s="367"/>
      <c r="P1218" s="367"/>
      <c r="Q1218" s="367"/>
      <c r="R1218" s="367"/>
      <c r="S1218" s="367"/>
      <c r="T1218" s="367"/>
      <c r="U1218" s="367"/>
      <c r="V1218" s="367"/>
      <c r="W1218" s="367"/>
      <c r="X1218" s="367"/>
      <c r="Y1218" s="367"/>
      <c r="Z1218" s="367"/>
      <c r="AA1218" s="367"/>
      <c r="AB1218" s="150"/>
      <c r="AC1218" s="48" t="s">
        <v>3524</v>
      </c>
      <c r="AD1218" s="150" t="s">
        <v>2415</v>
      </c>
      <c r="AE1218" s="296"/>
      <c r="AF1218" s="296"/>
      <c r="AG1218" s="286">
        <v>46447</v>
      </c>
      <c r="AH1218" s="49">
        <v>46443</v>
      </c>
      <c r="AI1218" s="266">
        <v>46357</v>
      </c>
      <c r="AJ1218" s="150" t="s">
        <v>617</v>
      </c>
      <c r="AK1218" s="150"/>
      <c r="AL1218" s="150"/>
      <c r="AM1218" s="150"/>
      <c r="AN1218" s="367"/>
      <c r="AO1218" s="367"/>
      <c r="AP1218" s="367"/>
      <c r="AQ1218" s="367"/>
      <c r="AR1218" s="367"/>
      <c r="AS1218" s="367"/>
      <c r="AT1218" s="367"/>
      <c r="AU1218" s="367"/>
      <c r="AV1218" s="367"/>
      <c r="AW1218" s="367"/>
      <c r="AX1218" s="367"/>
      <c r="AY1218" s="367"/>
      <c r="AZ1218" s="367"/>
      <c r="BA1218" s="367"/>
      <c r="BB1218" s="152"/>
      <c r="BC1218" s="152"/>
      <c r="BD1218" s="367"/>
      <c r="BE1218" s="367"/>
      <c r="BF1218" s="367"/>
      <c r="BG1218" s="367"/>
      <c r="BH1218" s="260"/>
      <c r="BL1218" s="54"/>
    </row>
    <row r="1219" spans="1:64" ht="37.950000000000003" customHeight="1" x14ac:dyDescent="0.3">
      <c r="A1219" s="367">
        <f t="shared" si="22"/>
        <v>1214</v>
      </c>
      <c r="B1219" s="54" t="s">
        <v>3525</v>
      </c>
      <c r="C1219" s="367" t="s">
        <v>3227</v>
      </c>
      <c r="D1219" s="367" t="s">
        <v>262</v>
      </c>
      <c r="E1219" s="367"/>
      <c r="F1219" s="367"/>
      <c r="G1219" s="367"/>
      <c r="H1219" s="367"/>
      <c r="I1219" s="150"/>
      <c r="J1219" s="48"/>
      <c r="K1219" s="48" t="s">
        <v>3523</v>
      </c>
      <c r="L1219" s="367"/>
      <c r="M1219" s="150"/>
      <c r="N1219" s="367"/>
      <c r="O1219" s="367"/>
      <c r="P1219" s="367"/>
      <c r="Q1219" s="367"/>
      <c r="R1219" s="367"/>
      <c r="S1219" s="367"/>
      <c r="T1219" s="367"/>
      <c r="U1219" s="367"/>
      <c r="V1219" s="367"/>
      <c r="W1219" s="367"/>
      <c r="X1219" s="367"/>
      <c r="Y1219" s="367"/>
      <c r="Z1219" s="367"/>
      <c r="AA1219" s="367"/>
      <c r="AB1219" s="150"/>
      <c r="AC1219" s="48" t="s">
        <v>3526</v>
      </c>
      <c r="AD1219" s="150" t="s">
        <v>169</v>
      </c>
      <c r="AE1219" s="296"/>
      <c r="AF1219" s="296"/>
      <c r="AG1219" s="286">
        <v>46447</v>
      </c>
      <c r="AH1219" s="49">
        <v>46381</v>
      </c>
      <c r="AI1219" s="266">
        <v>46327</v>
      </c>
      <c r="AJ1219" s="150" t="s">
        <v>617</v>
      </c>
      <c r="AK1219" s="150"/>
      <c r="AL1219" s="150"/>
      <c r="AM1219" s="150"/>
      <c r="AN1219" s="367"/>
      <c r="AO1219" s="367"/>
      <c r="AP1219" s="367"/>
      <c r="AQ1219" s="367"/>
      <c r="AR1219" s="367"/>
      <c r="AS1219" s="367"/>
      <c r="AT1219" s="367"/>
      <c r="AU1219" s="367"/>
      <c r="AV1219" s="367"/>
      <c r="AW1219" s="367"/>
      <c r="AX1219" s="367"/>
      <c r="AY1219" s="367"/>
      <c r="AZ1219" s="367"/>
      <c r="BA1219" s="367"/>
      <c r="BB1219" s="152"/>
      <c r="BC1219" s="152"/>
      <c r="BD1219" s="367"/>
      <c r="BE1219" s="367"/>
      <c r="BF1219" s="367"/>
      <c r="BG1219" s="367"/>
      <c r="BH1219" s="260"/>
      <c r="BL1219" s="54"/>
    </row>
    <row r="1220" spans="1:64" ht="37.950000000000003" customHeight="1" x14ac:dyDescent="0.3">
      <c r="A1220" s="367">
        <f t="shared" si="22"/>
        <v>1215</v>
      </c>
      <c r="B1220" s="54" t="s">
        <v>3527</v>
      </c>
      <c r="C1220" s="367" t="s">
        <v>3227</v>
      </c>
      <c r="D1220" s="367" t="s">
        <v>262</v>
      </c>
      <c r="E1220" s="367"/>
      <c r="F1220" s="367"/>
      <c r="G1220" s="367"/>
      <c r="H1220" s="367"/>
      <c r="I1220" s="150"/>
      <c r="J1220" s="48"/>
      <c r="K1220" s="48" t="s">
        <v>3523</v>
      </c>
      <c r="L1220" s="367"/>
      <c r="M1220" s="150"/>
      <c r="N1220" s="367"/>
      <c r="O1220" s="367"/>
      <c r="P1220" s="367"/>
      <c r="Q1220" s="367"/>
      <c r="R1220" s="367"/>
      <c r="S1220" s="367"/>
      <c r="T1220" s="367"/>
      <c r="U1220" s="367"/>
      <c r="V1220" s="367"/>
      <c r="W1220" s="367"/>
      <c r="X1220" s="367"/>
      <c r="Y1220" s="367"/>
      <c r="Z1220" s="367"/>
      <c r="AA1220" s="367"/>
      <c r="AB1220" s="150"/>
      <c r="AC1220" s="48" t="s">
        <v>3526</v>
      </c>
      <c r="AD1220" s="150" t="s">
        <v>169</v>
      </c>
      <c r="AE1220" s="296"/>
      <c r="AF1220" s="296"/>
      <c r="AG1220" s="286">
        <v>46447</v>
      </c>
      <c r="AH1220" s="49">
        <v>46381</v>
      </c>
      <c r="AI1220" s="266">
        <v>46327</v>
      </c>
      <c r="AJ1220" s="150" t="s">
        <v>617</v>
      </c>
      <c r="AK1220" s="150"/>
      <c r="AL1220" s="150"/>
      <c r="AM1220" s="150"/>
      <c r="AN1220" s="367"/>
      <c r="AO1220" s="367"/>
      <c r="AP1220" s="367"/>
      <c r="AQ1220" s="367"/>
      <c r="AR1220" s="367"/>
      <c r="AS1220" s="367"/>
      <c r="AT1220" s="367"/>
      <c r="AU1220" s="367"/>
      <c r="AV1220" s="367"/>
      <c r="AW1220" s="367"/>
      <c r="AX1220" s="367"/>
      <c r="AY1220" s="367"/>
      <c r="AZ1220" s="367"/>
      <c r="BA1220" s="367"/>
      <c r="BB1220" s="152"/>
      <c r="BC1220" s="152"/>
      <c r="BD1220" s="367"/>
      <c r="BE1220" s="367"/>
      <c r="BF1220" s="367"/>
      <c r="BG1220" s="367"/>
      <c r="BH1220" s="260"/>
      <c r="BL1220" s="54"/>
    </row>
    <row r="1221" spans="1:64" ht="37.950000000000003" customHeight="1" x14ac:dyDescent="0.3">
      <c r="A1221" s="367">
        <f t="shared" si="22"/>
        <v>1216</v>
      </c>
      <c r="B1221" s="54" t="s">
        <v>3528</v>
      </c>
      <c r="C1221" s="367" t="s">
        <v>3227</v>
      </c>
      <c r="D1221" s="367" t="s">
        <v>262</v>
      </c>
      <c r="E1221" s="367"/>
      <c r="F1221" s="367"/>
      <c r="G1221" s="367"/>
      <c r="H1221" s="367"/>
      <c r="I1221" s="150"/>
      <c r="J1221" s="48"/>
      <c r="K1221" s="48" t="s">
        <v>3523</v>
      </c>
      <c r="L1221" s="367"/>
      <c r="M1221" s="150"/>
      <c r="N1221" s="367"/>
      <c r="O1221" s="367"/>
      <c r="P1221" s="367"/>
      <c r="Q1221" s="367"/>
      <c r="R1221" s="367"/>
      <c r="S1221" s="367"/>
      <c r="T1221" s="367"/>
      <c r="U1221" s="367"/>
      <c r="V1221" s="367"/>
      <c r="W1221" s="367"/>
      <c r="X1221" s="367"/>
      <c r="Y1221" s="367"/>
      <c r="Z1221" s="367"/>
      <c r="AA1221" s="367"/>
      <c r="AB1221" s="150"/>
      <c r="AC1221" s="48" t="s">
        <v>3529</v>
      </c>
      <c r="AD1221" s="150" t="s">
        <v>238</v>
      </c>
      <c r="AE1221" s="296"/>
      <c r="AF1221" s="296"/>
      <c r="AG1221" s="286">
        <v>46447</v>
      </c>
      <c r="AH1221" s="49">
        <v>46412</v>
      </c>
      <c r="AI1221" s="266">
        <v>46357</v>
      </c>
      <c r="AJ1221" s="150" t="s">
        <v>617</v>
      </c>
      <c r="AK1221" s="150"/>
      <c r="AL1221" s="150"/>
      <c r="AM1221" s="150"/>
      <c r="AN1221" s="367"/>
      <c r="AO1221" s="367"/>
      <c r="AP1221" s="367"/>
      <c r="AQ1221" s="367"/>
      <c r="AR1221" s="367"/>
      <c r="AS1221" s="367"/>
      <c r="AT1221" s="367"/>
      <c r="AU1221" s="367"/>
      <c r="AV1221" s="367"/>
      <c r="AW1221" s="367"/>
      <c r="AX1221" s="367"/>
      <c r="AY1221" s="367"/>
      <c r="AZ1221" s="367"/>
      <c r="BA1221" s="367"/>
      <c r="BB1221" s="152"/>
      <c r="BC1221" s="152"/>
      <c r="BD1221" s="367"/>
      <c r="BE1221" s="367"/>
      <c r="BF1221" s="367"/>
      <c r="BG1221" s="367"/>
      <c r="BH1221" s="260"/>
      <c r="BL1221" s="54"/>
    </row>
    <row r="1222" spans="1:64" ht="37.950000000000003" customHeight="1" x14ac:dyDescent="0.3">
      <c r="A1222" s="367">
        <f t="shared" si="22"/>
        <v>1217</v>
      </c>
      <c r="B1222" s="54" t="s">
        <v>3530</v>
      </c>
      <c r="C1222" s="367" t="s">
        <v>3227</v>
      </c>
      <c r="D1222" s="367" t="s">
        <v>262</v>
      </c>
      <c r="E1222" s="367"/>
      <c r="F1222" s="367"/>
      <c r="G1222" s="367"/>
      <c r="H1222" s="367"/>
      <c r="I1222" s="150"/>
      <c r="J1222" s="48"/>
      <c r="K1222" s="48" t="s">
        <v>3523</v>
      </c>
      <c r="L1222" s="367"/>
      <c r="M1222" s="150"/>
      <c r="N1222" s="367"/>
      <c r="O1222" s="367"/>
      <c r="P1222" s="367"/>
      <c r="Q1222" s="367"/>
      <c r="R1222" s="367"/>
      <c r="S1222" s="367"/>
      <c r="T1222" s="367"/>
      <c r="U1222" s="367"/>
      <c r="V1222" s="367"/>
      <c r="W1222" s="367"/>
      <c r="X1222" s="367"/>
      <c r="Y1222" s="367"/>
      <c r="Z1222" s="367"/>
      <c r="AA1222" s="367"/>
      <c r="AB1222" s="150"/>
      <c r="AC1222" s="48" t="s">
        <v>3531</v>
      </c>
      <c r="AD1222" s="150" t="s">
        <v>2427</v>
      </c>
      <c r="AE1222" s="296"/>
      <c r="AF1222" s="296"/>
      <c r="AG1222" s="286">
        <v>46447</v>
      </c>
      <c r="AH1222" s="49">
        <v>46443</v>
      </c>
      <c r="AI1222" s="266">
        <v>46357</v>
      </c>
      <c r="AJ1222" s="150" t="s">
        <v>617</v>
      </c>
      <c r="AK1222" s="150"/>
      <c r="AL1222" s="150"/>
      <c r="AM1222" s="150"/>
      <c r="AN1222" s="367"/>
      <c r="AO1222" s="367"/>
      <c r="AP1222" s="367"/>
      <c r="AQ1222" s="367"/>
      <c r="AR1222" s="367"/>
      <c r="AS1222" s="367"/>
      <c r="AT1222" s="367"/>
      <c r="AU1222" s="367"/>
      <c r="AV1222" s="367"/>
      <c r="AW1222" s="367"/>
      <c r="AX1222" s="367"/>
      <c r="AY1222" s="367"/>
      <c r="AZ1222" s="367"/>
      <c r="BA1222" s="367"/>
      <c r="BB1222" s="152"/>
      <c r="BC1222" s="152"/>
      <c r="BD1222" s="367"/>
      <c r="BE1222" s="367"/>
      <c r="BF1222" s="367"/>
      <c r="BG1222" s="367"/>
      <c r="BH1222" s="260"/>
      <c r="BL1222" s="54"/>
    </row>
    <row r="1223" spans="1:64" ht="37.950000000000003" customHeight="1" x14ac:dyDescent="0.3">
      <c r="A1223" s="367">
        <f t="shared" si="22"/>
        <v>1218</v>
      </c>
      <c r="B1223" s="54" t="s">
        <v>3532</v>
      </c>
      <c r="C1223" s="367" t="s">
        <v>3227</v>
      </c>
      <c r="D1223" s="367" t="s">
        <v>262</v>
      </c>
      <c r="E1223" s="367"/>
      <c r="F1223" s="367"/>
      <c r="G1223" s="367"/>
      <c r="H1223" s="367"/>
      <c r="I1223" s="150"/>
      <c r="J1223" s="48"/>
      <c r="K1223" s="48" t="s">
        <v>3533</v>
      </c>
      <c r="L1223" s="367"/>
      <c r="M1223" s="150"/>
      <c r="N1223" s="367"/>
      <c r="O1223" s="367"/>
      <c r="P1223" s="367"/>
      <c r="Q1223" s="367"/>
      <c r="R1223" s="367"/>
      <c r="S1223" s="367"/>
      <c r="T1223" s="367"/>
      <c r="U1223" s="367"/>
      <c r="V1223" s="367"/>
      <c r="W1223" s="367"/>
      <c r="X1223" s="367"/>
      <c r="Y1223" s="367"/>
      <c r="Z1223" s="367"/>
      <c r="AA1223" s="367"/>
      <c r="AB1223" s="150"/>
      <c r="AC1223" s="48" t="s">
        <v>3443</v>
      </c>
      <c r="AD1223" s="150" t="s">
        <v>2427</v>
      </c>
      <c r="AE1223" s="296"/>
      <c r="AF1223" s="296"/>
      <c r="AG1223" s="286">
        <v>46478</v>
      </c>
      <c r="AH1223" s="49">
        <v>46471</v>
      </c>
      <c r="AI1223" s="266">
        <v>46419</v>
      </c>
      <c r="AJ1223" s="150" t="s">
        <v>617</v>
      </c>
      <c r="AK1223" s="150"/>
      <c r="AL1223" s="150"/>
      <c r="AM1223" s="150"/>
      <c r="AN1223" s="367"/>
      <c r="AO1223" s="367"/>
      <c r="AP1223" s="367"/>
      <c r="AQ1223" s="367"/>
      <c r="AR1223" s="367"/>
      <c r="AS1223" s="367"/>
      <c r="AT1223" s="367"/>
      <c r="AU1223" s="367"/>
      <c r="AV1223" s="367"/>
      <c r="AW1223" s="367"/>
      <c r="AX1223" s="367"/>
      <c r="AY1223" s="367"/>
      <c r="AZ1223" s="367"/>
      <c r="BA1223" s="367"/>
      <c r="BB1223" s="152"/>
      <c r="BC1223" s="152"/>
      <c r="BD1223" s="367"/>
      <c r="BE1223" s="367"/>
      <c r="BF1223" s="367"/>
      <c r="BG1223" s="367"/>
      <c r="BH1223" s="260"/>
      <c r="BL1223" s="54"/>
    </row>
    <row r="1224" spans="1:64" ht="37.950000000000003" customHeight="1" x14ac:dyDescent="0.3">
      <c r="A1224" s="367">
        <f t="shared" si="22"/>
        <v>1219</v>
      </c>
      <c r="B1224" s="54" t="s">
        <v>3534</v>
      </c>
      <c r="C1224" s="367" t="s">
        <v>3227</v>
      </c>
      <c r="D1224" s="367" t="s">
        <v>262</v>
      </c>
      <c r="E1224" s="367"/>
      <c r="F1224" s="367"/>
      <c r="G1224" s="367"/>
      <c r="H1224" s="367"/>
      <c r="I1224" s="150"/>
      <c r="J1224" s="48"/>
      <c r="K1224" s="48" t="s">
        <v>3533</v>
      </c>
      <c r="L1224" s="367"/>
      <c r="M1224" s="150"/>
      <c r="N1224" s="367"/>
      <c r="O1224" s="367"/>
      <c r="P1224" s="367"/>
      <c r="Q1224" s="367"/>
      <c r="R1224" s="367"/>
      <c r="S1224" s="367"/>
      <c r="T1224" s="367"/>
      <c r="U1224" s="367"/>
      <c r="V1224" s="367"/>
      <c r="W1224" s="367"/>
      <c r="X1224" s="367"/>
      <c r="Y1224" s="367"/>
      <c r="Z1224" s="367"/>
      <c r="AA1224" s="367"/>
      <c r="AB1224" s="150"/>
      <c r="AC1224" s="48" t="s">
        <v>3440</v>
      </c>
      <c r="AD1224" s="150" t="s">
        <v>3441</v>
      </c>
      <c r="AE1224" s="296"/>
      <c r="AF1224" s="296"/>
      <c r="AG1224" s="286">
        <v>46478</v>
      </c>
      <c r="AH1224" s="49">
        <v>46471</v>
      </c>
      <c r="AI1224" s="266">
        <v>46419</v>
      </c>
      <c r="AJ1224" s="150" t="s">
        <v>617</v>
      </c>
      <c r="AK1224" s="150"/>
      <c r="AL1224" s="150"/>
      <c r="AM1224" s="150" t="s">
        <v>134</v>
      </c>
      <c r="AN1224" s="367"/>
      <c r="AO1224" s="367"/>
      <c r="AP1224" s="367"/>
      <c r="AQ1224" s="367"/>
      <c r="AR1224" s="367"/>
      <c r="AS1224" s="367"/>
      <c r="AT1224" s="367"/>
      <c r="AU1224" s="367"/>
      <c r="AV1224" s="367"/>
      <c r="AW1224" s="367"/>
      <c r="AX1224" s="367"/>
      <c r="AY1224" s="367"/>
      <c r="AZ1224" s="367"/>
      <c r="BA1224" s="367"/>
      <c r="BB1224" s="152"/>
      <c r="BC1224" s="152"/>
      <c r="BD1224" s="367"/>
      <c r="BE1224" s="367"/>
      <c r="BF1224" s="367"/>
      <c r="BG1224" s="367"/>
      <c r="BH1224" s="260"/>
      <c r="BL1224" s="54"/>
    </row>
    <row r="1225" spans="1:64" ht="37.950000000000003" customHeight="1" x14ac:dyDescent="0.3">
      <c r="A1225" s="367">
        <f t="shared" si="22"/>
        <v>1220</v>
      </c>
      <c r="B1225" s="54" t="s">
        <v>3535</v>
      </c>
      <c r="C1225" s="367" t="s">
        <v>3227</v>
      </c>
      <c r="D1225" s="367" t="s">
        <v>262</v>
      </c>
      <c r="E1225" s="367"/>
      <c r="F1225" s="367"/>
      <c r="G1225" s="367"/>
      <c r="H1225" s="367"/>
      <c r="I1225" s="150"/>
      <c r="J1225" s="48"/>
      <c r="K1225" s="48" t="s">
        <v>3536</v>
      </c>
      <c r="L1225" s="367"/>
      <c r="M1225" s="150"/>
      <c r="N1225" s="367"/>
      <c r="O1225" s="367"/>
      <c r="P1225" s="367"/>
      <c r="Q1225" s="367"/>
      <c r="R1225" s="367"/>
      <c r="S1225" s="367"/>
      <c r="T1225" s="367"/>
      <c r="U1225" s="367"/>
      <c r="V1225" s="367"/>
      <c r="W1225" s="367"/>
      <c r="X1225" s="367"/>
      <c r="Y1225" s="367"/>
      <c r="Z1225" s="367"/>
      <c r="AA1225" s="367"/>
      <c r="AB1225" s="150"/>
      <c r="AC1225" s="48" t="s">
        <v>3537</v>
      </c>
      <c r="AD1225" s="150" t="s">
        <v>2415</v>
      </c>
      <c r="AE1225" s="296"/>
      <c r="AF1225" s="296"/>
      <c r="AG1225" s="286">
        <v>46539</v>
      </c>
      <c r="AH1225" s="49">
        <v>46532</v>
      </c>
      <c r="AI1225" s="266">
        <v>46478</v>
      </c>
      <c r="AJ1225" s="150" t="s">
        <v>617</v>
      </c>
      <c r="AK1225" s="150"/>
      <c r="AL1225" s="150"/>
      <c r="AM1225" s="150"/>
      <c r="AN1225" s="367"/>
      <c r="AO1225" s="367"/>
      <c r="AP1225" s="367"/>
      <c r="AQ1225" s="367"/>
      <c r="AR1225" s="367"/>
      <c r="AS1225" s="367"/>
      <c r="AT1225" s="367"/>
      <c r="AU1225" s="367"/>
      <c r="AV1225" s="367"/>
      <c r="AW1225" s="367"/>
      <c r="AX1225" s="367"/>
      <c r="AY1225" s="367"/>
      <c r="AZ1225" s="367"/>
      <c r="BA1225" s="367"/>
      <c r="BB1225" s="152"/>
      <c r="BC1225" s="152"/>
      <c r="BD1225" s="367"/>
      <c r="BE1225" s="367"/>
      <c r="BF1225" s="367"/>
      <c r="BG1225" s="367"/>
      <c r="BH1225" s="260"/>
      <c r="BL1225" s="54"/>
    </row>
    <row r="1226" spans="1:64" ht="37.950000000000003" customHeight="1" x14ac:dyDescent="0.3">
      <c r="A1226" s="367">
        <f t="shared" si="22"/>
        <v>1221</v>
      </c>
      <c r="B1226" s="54" t="s">
        <v>3538</v>
      </c>
      <c r="C1226" s="367" t="s">
        <v>3227</v>
      </c>
      <c r="D1226" s="367" t="s">
        <v>262</v>
      </c>
      <c r="E1226" s="367"/>
      <c r="F1226" s="367"/>
      <c r="G1226" s="367"/>
      <c r="H1226" s="367"/>
      <c r="I1226" s="150"/>
      <c r="J1226" s="48"/>
      <c r="K1226" s="48" t="s">
        <v>3536</v>
      </c>
      <c r="L1226" s="367"/>
      <c r="M1226" s="150"/>
      <c r="N1226" s="367"/>
      <c r="O1226" s="367"/>
      <c r="P1226" s="367"/>
      <c r="Q1226" s="367"/>
      <c r="R1226" s="367"/>
      <c r="S1226" s="367"/>
      <c r="T1226" s="367"/>
      <c r="U1226" s="367"/>
      <c r="V1226" s="367"/>
      <c r="W1226" s="367"/>
      <c r="X1226" s="367"/>
      <c r="Y1226" s="367"/>
      <c r="Z1226" s="367"/>
      <c r="AA1226" s="367"/>
      <c r="AB1226" s="150"/>
      <c r="AC1226" s="48" t="s">
        <v>3539</v>
      </c>
      <c r="AD1226" s="150" t="s">
        <v>169</v>
      </c>
      <c r="AE1226" s="296"/>
      <c r="AF1226" s="296"/>
      <c r="AG1226" s="286">
        <v>46539</v>
      </c>
      <c r="AH1226" s="49">
        <v>46532</v>
      </c>
      <c r="AI1226" s="266">
        <v>46508</v>
      </c>
      <c r="AJ1226" s="150" t="s">
        <v>617</v>
      </c>
      <c r="AK1226" s="150"/>
      <c r="AL1226" s="150"/>
      <c r="AM1226" s="150"/>
      <c r="AN1226" s="367"/>
      <c r="AO1226" s="367"/>
      <c r="AP1226" s="367"/>
      <c r="AQ1226" s="367"/>
      <c r="AR1226" s="367"/>
      <c r="AS1226" s="367"/>
      <c r="AT1226" s="367"/>
      <c r="AU1226" s="367"/>
      <c r="AV1226" s="367"/>
      <c r="AW1226" s="367"/>
      <c r="AX1226" s="367"/>
      <c r="AY1226" s="367"/>
      <c r="AZ1226" s="367"/>
      <c r="BA1226" s="367"/>
      <c r="BB1226" s="152"/>
      <c r="BC1226" s="152"/>
      <c r="BD1226" s="367"/>
      <c r="BE1226" s="367"/>
      <c r="BF1226" s="367"/>
      <c r="BG1226" s="367"/>
      <c r="BH1226" s="260"/>
      <c r="BL1226" s="54"/>
    </row>
    <row r="1227" spans="1:64" ht="37.950000000000003" customHeight="1" x14ac:dyDescent="0.3">
      <c r="A1227" s="367">
        <f t="shared" si="22"/>
        <v>1222</v>
      </c>
      <c r="B1227" s="54" t="s">
        <v>3540</v>
      </c>
      <c r="C1227" s="367" t="s">
        <v>3227</v>
      </c>
      <c r="D1227" s="367" t="s">
        <v>262</v>
      </c>
      <c r="E1227" s="367"/>
      <c r="F1227" s="367"/>
      <c r="G1227" s="367"/>
      <c r="H1227" s="367"/>
      <c r="I1227" s="150"/>
      <c r="J1227" s="48"/>
      <c r="K1227" s="48" t="s">
        <v>3536</v>
      </c>
      <c r="L1227" s="367"/>
      <c r="M1227" s="150"/>
      <c r="N1227" s="367"/>
      <c r="O1227" s="367"/>
      <c r="P1227" s="367"/>
      <c r="Q1227" s="367"/>
      <c r="R1227" s="367"/>
      <c r="S1227" s="367"/>
      <c r="T1227" s="367"/>
      <c r="U1227" s="367"/>
      <c r="V1227" s="367"/>
      <c r="W1227" s="367"/>
      <c r="X1227" s="367"/>
      <c r="Y1227" s="367"/>
      <c r="Z1227" s="367"/>
      <c r="AA1227" s="367"/>
      <c r="AB1227" s="150"/>
      <c r="AC1227" s="48" t="s">
        <v>3541</v>
      </c>
      <c r="AD1227" s="150" t="s">
        <v>238</v>
      </c>
      <c r="AE1227" s="296"/>
      <c r="AF1227" s="296"/>
      <c r="AG1227" s="286">
        <v>46539</v>
      </c>
      <c r="AH1227" s="49">
        <v>46532</v>
      </c>
      <c r="AI1227" s="266">
        <v>46478</v>
      </c>
      <c r="AJ1227" s="150" t="s">
        <v>617</v>
      </c>
      <c r="AK1227" s="150"/>
      <c r="AL1227" s="150"/>
      <c r="AM1227" s="150"/>
      <c r="AN1227" s="367"/>
      <c r="AO1227" s="367"/>
      <c r="AP1227" s="367"/>
      <c r="AQ1227" s="367"/>
      <c r="AR1227" s="367"/>
      <c r="AS1227" s="367"/>
      <c r="AT1227" s="367"/>
      <c r="AU1227" s="367"/>
      <c r="AV1227" s="367"/>
      <c r="AW1227" s="367"/>
      <c r="AX1227" s="367"/>
      <c r="AY1227" s="367"/>
      <c r="AZ1227" s="367"/>
      <c r="BA1227" s="367"/>
      <c r="BB1227" s="152"/>
      <c r="BC1227" s="152"/>
      <c r="BD1227" s="367"/>
      <c r="BE1227" s="367"/>
      <c r="BF1227" s="367"/>
      <c r="BG1227" s="367"/>
      <c r="BH1227" s="260"/>
      <c r="BL1227" s="54"/>
    </row>
    <row r="1228" spans="1:64" ht="37.950000000000003" customHeight="1" x14ac:dyDescent="0.3">
      <c r="A1228" s="367">
        <f t="shared" si="22"/>
        <v>1223</v>
      </c>
      <c r="B1228" s="54" t="s">
        <v>3542</v>
      </c>
      <c r="C1228" s="367" t="s">
        <v>3227</v>
      </c>
      <c r="D1228" s="367" t="s">
        <v>262</v>
      </c>
      <c r="E1228" s="367"/>
      <c r="F1228" s="367"/>
      <c r="G1228" s="367"/>
      <c r="H1228" s="367"/>
      <c r="I1228" s="150"/>
      <c r="J1228" s="48"/>
      <c r="K1228" s="48" t="s">
        <v>3536</v>
      </c>
      <c r="L1228" s="367"/>
      <c r="M1228" s="150"/>
      <c r="N1228" s="367"/>
      <c r="O1228" s="367"/>
      <c r="P1228" s="367"/>
      <c r="Q1228" s="367"/>
      <c r="R1228" s="367"/>
      <c r="S1228" s="367"/>
      <c r="T1228" s="367"/>
      <c r="U1228" s="367"/>
      <c r="V1228" s="367"/>
      <c r="W1228" s="367"/>
      <c r="X1228" s="367"/>
      <c r="Y1228" s="367"/>
      <c r="Z1228" s="367"/>
      <c r="AA1228" s="367"/>
      <c r="AB1228" s="150"/>
      <c r="AC1228" s="48" t="s">
        <v>3543</v>
      </c>
      <c r="AD1228" s="150" t="s">
        <v>2427</v>
      </c>
      <c r="AE1228" s="296"/>
      <c r="AF1228" s="296"/>
      <c r="AG1228" s="286">
        <v>46539</v>
      </c>
      <c r="AH1228" s="49">
        <v>46532</v>
      </c>
      <c r="AI1228" s="266">
        <v>46478</v>
      </c>
      <c r="AJ1228" s="150" t="s">
        <v>617</v>
      </c>
      <c r="AK1228" s="150"/>
      <c r="AL1228" s="150"/>
      <c r="AM1228" s="150"/>
      <c r="AN1228" s="367"/>
      <c r="AO1228" s="367"/>
      <c r="AP1228" s="367"/>
      <c r="AQ1228" s="367"/>
      <c r="AR1228" s="367"/>
      <c r="AS1228" s="367"/>
      <c r="AT1228" s="367"/>
      <c r="AU1228" s="367"/>
      <c r="AV1228" s="367"/>
      <c r="AW1228" s="367"/>
      <c r="AX1228" s="367"/>
      <c r="AY1228" s="367"/>
      <c r="AZ1228" s="367"/>
      <c r="BA1228" s="367"/>
      <c r="BB1228" s="152"/>
      <c r="BC1228" s="152"/>
      <c r="BD1228" s="367"/>
      <c r="BE1228" s="367"/>
      <c r="BF1228" s="367"/>
      <c r="BG1228" s="367"/>
      <c r="BH1228" s="260"/>
      <c r="BL1228" s="54"/>
    </row>
    <row r="1229" spans="1:64" ht="37.950000000000003" customHeight="1" x14ac:dyDescent="0.3">
      <c r="A1229" s="367">
        <f t="shared" si="22"/>
        <v>1224</v>
      </c>
      <c r="B1229" s="54" t="s">
        <v>3544</v>
      </c>
      <c r="C1229" s="367" t="s">
        <v>3227</v>
      </c>
      <c r="D1229" s="367" t="s">
        <v>262</v>
      </c>
      <c r="E1229" s="367"/>
      <c r="F1229" s="367"/>
      <c r="G1229" s="367"/>
      <c r="H1229" s="367"/>
      <c r="I1229" s="150"/>
      <c r="J1229" s="48"/>
      <c r="K1229" s="48" t="s">
        <v>3545</v>
      </c>
      <c r="L1229" s="367"/>
      <c r="M1229" s="150"/>
      <c r="N1229" s="367"/>
      <c r="O1229" s="367"/>
      <c r="P1229" s="367"/>
      <c r="Q1229" s="367"/>
      <c r="R1229" s="367"/>
      <c r="S1229" s="367"/>
      <c r="T1229" s="367"/>
      <c r="U1229" s="367"/>
      <c r="V1229" s="367"/>
      <c r="W1229" s="367"/>
      <c r="X1229" s="367"/>
      <c r="Y1229" s="367"/>
      <c r="Z1229" s="367"/>
      <c r="AA1229" s="367"/>
      <c r="AB1229" s="150"/>
      <c r="AC1229" s="48" t="s">
        <v>3546</v>
      </c>
      <c r="AD1229" s="150" t="s">
        <v>2415</v>
      </c>
      <c r="AE1229" s="296"/>
      <c r="AF1229" s="296"/>
      <c r="AG1229" s="286">
        <v>46508</v>
      </c>
      <c r="AH1229" s="49">
        <v>46502</v>
      </c>
      <c r="AI1229" s="266">
        <v>46447</v>
      </c>
      <c r="AJ1229" s="150" t="s">
        <v>617</v>
      </c>
      <c r="AK1229" s="150"/>
      <c r="AL1229" s="150"/>
      <c r="AM1229" s="150"/>
      <c r="AN1229" s="367"/>
      <c r="AO1229" s="367"/>
      <c r="AP1229" s="367"/>
      <c r="AQ1229" s="367"/>
      <c r="AR1229" s="367"/>
      <c r="AS1229" s="367"/>
      <c r="AT1229" s="367"/>
      <c r="AU1229" s="367"/>
      <c r="AV1229" s="367"/>
      <c r="AW1229" s="367"/>
      <c r="AX1229" s="367"/>
      <c r="AY1229" s="367"/>
      <c r="AZ1229" s="367"/>
      <c r="BA1229" s="367"/>
      <c r="BB1229" s="152"/>
      <c r="BC1229" s="152"/>
      <c r="BD1229" s="367"/>
      <c r="BE1229" s="367"/>
      <c r="BF1229" s="367"/>
      <c r="BG1229" s="367"/>
      <c r="BH1229" s="260"/>
      <c r="BL1229" s="54"/>
    </row>
    <row r="1230" spans="1:64" ht="37.950000000000003" customHeight="1" x14ac:dyDescent="0.3">
      <c r="A1230" s="367">
        <f t="shared" si="22"/>
        <v>1225</v>
      </c>
      <c r="B1230" s="54" t="s">
        <v>3547</v>
      </c>
      <c r="C1230" s="367" t="s">
        <v>3227</v>
      </c>
      <c r="D1230" s="367" t="s">
        <v>262</v>
      </c>
      <c r="E1230" s="367"/>
      <c r="F1230" s="367"/>
      <c r="G1230" s="367"/>
      <c r="H1230" s="367"/>
      <c r="I1230" s="150"/>
      <c r="J1230" s="48"/>
      <c r="K1230" s="48" t="s">
        <v>3545</v>
      </c>
      <c r="L1230" s="367"/>
      <c r="M1230" s="150"/>
      <c r="N1230" s="367"/>
      <c r="O1230" s="367"/>
      <c r="P1230" s="367"/>
      <c r="Q1230" s="367"/>
      <c r="R1230" s="367"/>
      <c r="S1230" s="367"/>
      <c r="T1230" s="367"/>
      <c r="U1230" s="367"/>
      <c r="V1230" s="367"/>
      <c r="W1230" s="367"/>
      <c r="X1230" s="367"/>
      <c r="Y1230" s="367"/>
      <c r="Z1230" s="367"/>
      <c r="AA1230" s="367"/>
      <c r="AB1230" s="150"/>
      <c r="AC1230" s="48" t="s">
        <v>3548</v>
      </c>
      <c r="AD1230" s="150" t="s">
        <v>2427</v>
      </c>
      <c r="AE1230" s="296"/>
      <c r="AF1230" s="296"/>
      <c r="AG1230" s="286">
        <v>46508</v>
      </c>
      <c r="AH1230" s="49">
        <v>46502</v>
      </c>
      <c r="AI1230" s="266">
        <v>46447</v>
      </c>
      <c r="AJ1230" s="150" t="s">
        <v>617</v>
      </c>
      <c r="AK1230" s="150"/>
      <c r="AL1230" s="150"/>
      <c r="AM1230" s="150"/>
      <c r="AN1230" s="367"/>
      <c r="AO1230" s="367"/>
      <c r="AP1230" s="367"/>
      <c r="AQ1230" s="367"/>
      <c r="AR1230" s="367"/>
      <c r="AS1230" s="367"/>
      <c r="AT1230" s="367"/>
      <c r="AU1230" s="367"/>
      <c r="AV1230" s="367"/>
      <c r="AW1230" s="367"/>
      <c r="AX1230" s="367"/>
      <c r="AY1230" s="367"/>
      <c r="AZ1230" s="367"/>
      <c r="BA1230" s="367"/>
      <c r="BB1230" s="152"/>
      <c r="BC1230" s="152"/>
      <c r="BD1230" s="367"/>
      <c r="BE1230" s="367"/>
      <c r="BF1230" s="367"/>
      <c r="BG1230" s="367"/>
      <c r="BH1230" s="260"/>
      <c r="BL1230" s="54"/>
    </row>
    <row r="1231" spans="1:64" ht="37.950000000000003" customHeight="1" x14ac:dyDescent="0.3">
      <c r="A1231" s="367">
        <f t="shared" si="22"/>
        <v>1226</v>
      </c>
      <c r="B1231" s="54" t="s">
        <v>3549</v>
      </c>
      <c r="C1231" s="367" t="s">
        <v>3227</v>
      </c>
      <c r="D1231" s="367" t="s">
        <v>262</v>
      </c>
      <c r="E1231" s="367"/>
      <c r="F1231" s="367"/>
      <c r="G1231" s="367"/>
      <c r="H1231" s="367"/>
      <c r="I1231" s="150"/>
      <c r="J1231" s="48"/>
      <c r="K1231" s="48" t="s">
        <v>3550</v>
      </c>
      <c r="L1231" s="367"/>
      <c r="M1231" s="150"/>
      <c r="N1231" s="367"/>
      <c r="O1231" s="367"/>
      <c r="P1231" s="367"/>
      <c r="Q1231" s="367"/>
      <c r="R1231" s="367"/>
      <c r="S1231" s="367"/>
      <c r="T1231" s="367"/>
      <c r="U1231" s="367"/>
      <c r="V1231" s="367"/>
      <c r="W1231" s="367"/>
      <c r="X1231" s="367"/>
      <c r="Y1231" s="367"/>
      <c r="Z1231" s="367"/>
      <c r="AA1231" s="367"/>
      <c r="AB1231" s="150"/>
      <c r="AC1231" s="48" t="s">
        <v>3551</v>
      </c>
      <c r="AD1231" s="150" t="s">
        <v>2415</v>
      </c>
      <c r="AE1231" s="296"/>
      <c r="AF1231" s="296"/>
      <c r="AG1231" s="286">
        <v>46447</v>
      </c>
      <c r="AH1231" s="49">
        <v>46443</v>
      </c>
      <c r="AI1231" s="266">
        <v>46357</v>
      </c>
      <c r="AJ1231" s="150" t="s">
        <v>617</v>
      </c>
      <c r="AK1231" s="150"/>
      <c r="AL1231" s="150"/>
      <c r="AM1231" s="150"/>
      <c r="AN1231" s="367"/>
      <c r="AO1231" s="367"/>
      <c r="AP1231" s="367"/>
      <c r="AQ1231" s="367"/>
      <c r="AR1231" s="367"/>
      <c r="AS1231" s="367"/>
      <c r="AT1231" s="367"/>
      <c r="AU1231" s="367"/>
      <c r="AV1231" s="367"/>
      <c r="AW1231" s="367"/>
      <c r="AX1231" s="367"/>
      <c r="AY1231" s="367"/>
      <c r="AZ1231" s="367"/>
      <c r="BA1231" s="367"/>
      <c r="BB1231" s="152"/>
      <c r="BC1231" s="152"/>
      <c r="BD1231" s="367"/>
      <c r="BE1231" s="367"/>
      <c r="BF1231" s="367"/>
      <c r="BG1231" s="367"/>
      <c r="BH1231" s="260"/>
      <c r="BL1231" s="54"/>
    </row>
    <row r="1232" spans="1:64" ht="37.950000000000003" customHeight="1" x14ac:dyDescent="0.3">
      <c r="A1232" s="367">
        <f t="shared" si="22"/>
        <v>1227</v>
      </c>
      <c r="B1232" s="54" t="s">
        <v>3552</v>
      </c>
      <c r="C1232" s="367" t="s">
        <v>3227</v>
      </c>
      <c r="D1232" s="367" t="s">
        <v>262</v>
      </c>
      <c r="E1232" s="367"/>
      <c r="F1232" s="367"/>
      <c r="G1232" s="367"/>
      <c r="H1232" s="367"/>
      <c r="I1232" s="150"/>
      <c r="J1232" s="48"/>
      <c r="K1232" s="48" t="s">
        <v>3550</v>
      </c>
      <c r="L1232" s="367"/>
      <c r="M1232" s="150"/>
      <c r="N1232" s="367"/>
      <c r="O1232" s="367"/>
      <c r="P1232" s="367"/>
      <c r="Q1232" s="367"/>
      <c r="R1232" s="367"/>
      <c r="S1232" s="367"/>
      <c r="T1232" s="367"/>
      <c r="U1232" s="367"/>
      <c r="V1232" s="367"/>
      <c r="W1232" s="367"/>
      <c r="X1232" s="367"/>
      <c r="Y1232" s="367"/>
      <c r="Z1232" s="367"/>
      <c r="AA1232" s="367"/>
      <c r="AB1232" s="150"/>
      <c r="AC1232" s="48" t="s">
        <v>3553</v>
      </c>
      <c r="AD1232" s="150" t="s">
        <v>2427</v>
      </c>
      <c r="AE1232" s="296"/>
      <c r="AF1232" s="296"/>
      <c r="AG1232" s="286">
        <v>46447</v>
      </c>
      <c r="AH1232" s="49">
        <v>46443</v>
      </c>
      <c r="AI1232" s="266">
        <v>46357</v>
      </c>
      <c r="AJ1232" s="150" t="s">
        <v>617</v>
      </c>
      <c r="AK1232" s="150"/>
      <c r="AL1232" s="150"/>
      <c r="AM1232" s="150"/>
      <c r="AN1232" s="367"/>
      <c r="AO1232" s="367"/>
      <c r="AP1232" s="367"/>
      <c r="AQ1232" s="367"/>
      <c r="AR1232" s="367"/>
      <c r="AS1232" s="367"/>
      <c r="AT1232" s="367"/>
      <c r="AU1232" s="367"/>
      <c r="AV1232" s="367"/>
      <c r="AW1232" s="367"/>
      <c r="AX1232" s="367"/>
      <c r="AY1232" s="367"/>
      <c r="AZ1232" s="367"/>
      <c r="BA1232" s="367"/>
      <c r="BB1232" s="152"/>
      <c r="BC1232" s="152"/>
      <c r="BD1232" s="367"/>
      <c r="BE1232" s="367"/>
      <c r="BF1232" s="367"/>
      <c r="BG1232" s="367"/>
      <c r="BH1232" s="260"/>
      <c r="BL1232" s="54"/>
    </row>
    <row r="1233" spans="1:64" ht="37.950000000000003" customHeight="1" x14ac:dyDescent="0.3">
      <c r="A1233" s="367">
        <f t="shared" si="22"/>
        <v>1228</v>
      </c>
      <c r="B1233" s="54" t="s">
        <v>3554</v>
      </c>
      <c r="C1233" s="367" t="s">
        <v>3227</v>
      </c>
      <c r="D1233" s="367" t="s">
        <v>262</v>
      </c>
      <c r="E1233" s="367"/>
      <c r="F1233" s="367"/>
      <c r="G1233" s="367"/>
      <c r="H1233" s="367"/>
      <c r="I1233" s="150"/>
      <c r="J1233" s="48"/>
      <c r="K1233" s="48" t="s">
        <v>3555</v>
      </c>
      <c r="L1233" s="367"/>
      <c r="M1233" s="150"/>
      <c r="N1233" s="367"/>
      <c r="O1233" s="367"/>
      <c r="P1233" s="367"/>
      <c r="Q1233" s="367"/>
      <c r="R1233" s="367"/>
      <c r="S1233" s="367"/>
      <c r="T1233" s="367"/>
      <c r="U1233" s="367"/>
      <c r="V1233" s="367"/>
      <c r="W1233" s="367"/>
      <c r="X1233" s="367"/>
      <c r="Y1233" s="367"/>
      <c r="Z1233" s="367"/>
      <c r="AA1233" s="367"/>
      <c r="AB1233" s="150"/>
      <c r="AC1233" s="48" t="s">
        <v>3556</v>
      </c>
      <c r="AD1233" s="150" t="s">
        <v>2415</v>
      </c>
      <c r="AE1233" s="296"/>
      <c r="AF1233" s="296"/>
      <c r="AG1233" s="286">
        <v>46539</v>
      </c>
      <c r="AH1233" s="49">
        <v>46532</v>
      </c>
      <c r="AI1233" s="266">
        <v>46478</v>
      </c>
      <c r="AJ1233" s="150" t="s">
        <v>617</v>
      </c>
      <c r="AK1233" s="150"/>
      <c r="AL1233" s="150"/>
      <c r="AM1233" s="150"/>
      <c r="AN1233" s="367"/>
      <c r="AO1233" s="367"/>
      <c r="AP1233" s="367"/>
      <c r="AQ1233" s="367"/>
      <c r="AR1233" s="367"/>
      <c r="AS1233" s="367"/>
      <c r="AT1233" s="367"/>
      <c r="AU1233" s="367"/>
      <c r="AV1233" s="367"/>
      <c r="AW1233" s="367"/>
      <c r="AX1233" s="367"/>
      <c r="AY1233" s="367"/>
      <c r="AZ1233" s="367"/>
      <c r="BA1233" s="367"/>
      <c r="BB1233" s="152"/>
      <c r="BC1233" s="152"/>
      <c r="BD1233" s="367"/>
      <c r="BE1233" s="367"/>
      <c r="BF1233" s="367"/>
      <c r="BG1233" s="367"/>
      <c r="BH1233" s="260"/>
      <c r="BL1233" s="54"/>
    </row>
    <row r="1234" spans="1:64" ht="37.950000000000003" customHeight="1" x14ac:dyDescent="0.3">
      <c r="A1234" s="367">
        <f t="shared" si="22"/>
        <v>1229</v>
      </c>
      <c r="B1234" s="54" t="s">
        <v>3557</v>
      </c>
      <c r="C1234" s="367" t="s">
        <v>3227</v>
      </c>
      <c r="D1234" s="367" t="s">
        <v>262</v>
      </c>
      <c r="E1234" s="367"/>
      <c r="F1234" s="367"/>
      <c r="G1234" s="367"/>
      <c r="H1234" s="367"/>
      <c r="I1234" s="150"/>
      <c r="J1234" s="48"/>
      <c r="K1234" s="48" t="s">
        <v>3555</v>
      </c>
      <c r="L1234" s="367"/>
      <c r="M1234" s="150"/>
      <c r="N1234" s="367"/>
      <c r="O1234" s="367"/>
      <c r="P1234" s="367"/>
      <c r="Q1234" s="367"/>
      <c r="R1234" s="367"/>
      <c r="S1234" s="367"/>
      <c r="T1234" s="367"/>
      <c r="U1234" s="367"/>
      <c r="V1234" s="367"/>
      <c r="W1234" s="367"/>
      <c r="X1234" s="367"/>
      <c r="Y1234" s="367"/>
      <c r="Z1234" s="367"/>
      <c r="AA1234" s="367"/>
      <c r="AB1234" s="150"/>
      <c r="AC1234" s="48" t="s">
        <v>3558</v>
      </c>
      <c r="AD1234" s="150" t="s">
        <v>2427</v>
      </c>
      <c r="AE1234" s="296"/>
      <c r="AF1234" s="296"/>
      <c r="AG1234" s="286">
        <v>46539</v>
      </c>
      <c r="AH1234" s="49">
        <v>46532</v>
      </c>
      <c r="AI1234" s="266">
        <v>46478</v>
      </c>
      <c r="AJ1234" s="150" t="s">
        <v>617</v>
      </c>
      <c r="AK1234" s="150"/>
      <c r="AL1234" s="150"/>
      <c r="AM1234" s="150"/>
      <c r="AN1234" s="367"/>
      <c r="AO1234" s="367"/>
      <c r="AP1234" s="367"/>
      <c r="AQ1234" s="367"/>
      <c r="AR1234" s="367"/>
      <c r="AS1234" s="367"/>
      <c r="AT1234" s="367"/>
      <c r="AU1234" s="367"/>
      <c r="AV1234" s="367"/>
      <c r="AW1234" s="367"/>
      <c r="AX1234" s="367"/>
      <c r="AY1234" s="367"/>
      <c r="AZ1234" s="367"/>
      <c r="BA1234" s="367"/>
      <c r="BB1234" s="152"/>
      <c r="BC1234" s="152"/>
      <c r="BD1234" s="367"/>
      <c r="BE1234" s="367"/>
      <c r="BF1234" s="367"/>
      <c r="BG1234" s="367"/>
      <c r="BH1234" s="260"/>
      <c r="BL1234" s="54"/>
    </row>
    <row r="1235" spans="1:64" ht="37.950000000000003" customHeight="1" x14ac:dyDescent="0.3">
      <c r="A1235" s="367">
        <f t="shared" si="22"/>
        <v>1230</v>
      </c>
      <c r="B1235" s="54" t="s">
        <v>3559</v>
      </c>
      <c r="C1235" s="367" t="s">
        <v>3227</v>
      </c>
      <c r="D1235" s="367" t="s">
        <v>262</v>
      </c>
      <c r="E1235" s="367"/>
      <c r="F1235" s="367"/>
      <c r="G1235" s="367"/>
      <c r="H1235" s="367"/>
      <c r="I1235" s="150"/>
      <c r="J1235" s="48"/>
      <c r="K1235" s="48" t="s">
        <v>3560</v>
      </c>
      <c r="L1235" s="367"/>
      <c r="M1235" s="150"/>
      <c r="N1235" s="367"/>
      <c r="O1235" s="367"/>
      <c r="P1235" s="367"/>
      <c r="Q1235" s="367"/>
      <c r="R1235" s="367"/>
      <c r="S1235" s="367"/>
      <c r="T1235" s="367"/>
      <c r="U1235" s="367"/>
      <c r="V1235" s="367"/>
      <c r="W1235" s="367"/>
      <c r="X1235" s="367"/>
      <c r="Y1235" s="367"/>
      <c r="Z1235" s="367"/>
      <c r="AA1235" s="367"/>
      <c r="AB1235" s="150"/>
      <c r="AC1235" s="48" t="s">
        <v>3561</v>
      </c>
      <c r="AD1235" s="150" t="s">
        <v>2415</v>
      </c>
      <c r="AE1235" s="296"/>
      <c r="AF1235" s="296"/>
      <c r="AG1235" s="286">
        <v>46478</v>
      </c>
      <c r="AH1235" s="49">
        <v>46471</v>
      </c>
      <c r="AI1235" s="266">
        <v>46419</v>
      </c>
      <c r="AJ1235" s="150" t="s">
        <v>617</v>
      </c>
      <c r="AK1235" s="150"/>
      <c r="AL1235" s="150"/>
      <c r="AM1235" s="150"/>
      <c r="AN1235" s="367"/>
      <c r="AO1235" s="367"/>
      <c r="AP1235" s="367"/>
      <c r="AQ1235" s="367"/>
      <c r="AR1235" s="367"/>
      <c r="AS1235" s="367"/>
      <c r="AT1235" s="367"/>
      <c r="AU1235" s="367"/>
      <c r="AV1235" s="367"/>
      <c r="AW1235" s="367"/>
      <c r="AX1235" s="367"/>
      <c r="AY1235" s="367"/>
      <c r="AZ1235" s="367"/>
      <c r="BA1235" s="367"/>
      <c r="BB1235" s="152"/>
      <c r="BC1235" s="152"/>
      <c r="BD1235" s="367"/>
      <c r="BE1235" s="367"/>
      <c r="BF1235" s="367"/>
      <c r="BG1235" s="367"/>
      <c r="BH1235" s="260"/>
      <c r="BL1235" s="54"/>
    </row>
    <row r="1236" spans="1:64" ht="37.950000000000003" customHeight="1" x14ac:dyDescent="0.3">
      <c r="A1236" s="367">
        <f t="shared" si="22"/>
        <v>1231</v>
      </c>
      <c r="B1236" s="54" t="s">
        <v>3562</v>
      </c>
      <c r="C1236" s="367" t="s">
        <v>3227</v>
      </c>
      <c r="D1236" s="367" t="s">
        <v>262</v>
      </c>
      <c r="E1236" s="367"/>
      <c r="F1236" s="367"/>
      <c r="G1236" s="367"/>
      <c r="H1236" s="367"/>
      <c r="I1236" s="150"/>
      <c r="J1236" s="48"/>
      <c r="K1236" s="48" t="s">
        <v>3560</v>
      </c>
      <c r="L1236" s="367"/>
      <c r="M1236" s="150"/>
      <c r="N1236" s="367"/>
      <c r="O1236" s="367"/>
      <c r="P1236" s="367"/>
      <c r="Q1236" s="367"/>
      <c r="R1236" s="367"/>
      <c r="S1236" s="367"/>
      <c r="T1236" s="367"/>
      <c r="U1236" s="367"/>
      <c r="V1236" s="367"/>
      <c r="W1236" s="367"/>
      <c r="X1236" s="367"/>
      <c r="Y1236" s="367"/>
      <c r="Z1236" s="367"/>
      <c r="AA1236" s="367"/>
      <c r="AB1236" s="150"/>
      <c r="AC1236" s="48" t="s">
        <v>3563</v>
      </c>
      <c r="AD1236" s="150" t="s">
        <v>2427</v>
      </c>
      <c r="AE1236" s="296"/>
      <c r="AF1236" s="296"/>
      <c r="AG1236" s="286">
        <v>46478</v>
      </c>
      <c r="AH1236" s="49">
        <v>46471</v>
      </c>
      <c r="AI1236" s="266">
        <v>46419</v>
      </c>
      <c r="AJ1236" s="150" t="s">
        <v>617</v>
      </c>
      <c r="AK1236" s="150"/>
      <c r="AL1236" s="150"/>
      <c r="AM1236" s="150"/>
      <c r="AN1236" s="367"/>
      <c r="AO1236" s="367"/>
      <c r="AP1236" s="367"/>
      <c r="AQ1236" s="367"/>
      <c r="AR1236" s="367"/>
      <c r="AS1236" s="367"/>
      <c r="AT1236" s="367"/>
      <c r="AU1236" s="367"/>
      <c r="AV1236" s="367"/>
      <c r="AW1236" s="367"/>
      <c r="AX1236" s="367"/>
      <c r="AY1236" s="367"/>
      <c r="AZ1236" s="367"/>
      <c r="BA1236" s="367"/>
      <c r="BB1236" s="152"/>
      <c r="BC1236" s="152"/>
      <c r="BD1236" s="367"/>
      <c r="BE1236" s="367"/>
      <c r="BF1236" s="367"/>
      <c r="BG1236" s="367"/>
      <c r="BH1236" s="260"/>
      <c r="BL1236" s="54"/>
    </row>
    <row r="1237" spans="1:64" ht="37.950000000000003" customHeight="1" x14ac:dyDescent="0.3">
      <c r="A1237" s="367">
        <f t="shared" si="22"/>
        <v>1232</v>
      </c>
      <c r="B1237" s="54" t="s">
        <v>3564</v>
      </c>
      <c r="C1237" s="367" t="s">
        <v>3227</v>
      </c>
      <c r="D1237" s="367" t="s">
        <v>262</v>
      </c>
      <c r="E1237" s="367"/>
      <c r="F1237" s="367"/>
      <c r="G1237" s="367"/>
      <c r="H1237" s="367"/>
      <c r="I1237" s="150"/>
      <c r="J1237" s="48"/>
      <c r="K1237" s="48" t="s">
        <v>3565</v>
      </c>
      <c r="L1237" s="367"/>
      <c r="M1237" s="150"/>
      <c r="N1237" s="367"/>
      <c r="O1237" s="367"/>
      <c r="P1237" s="367"/>
      <c r="Q1237" s="367"/>
      <c r="R1237" s="367"/>
      <c r="S1237" s="367"/>
      <c r="T1237" s="367"/>
      <c r="U1237" s="367"/>
      <c r="V1237" s="367"/>
      <c r="W1237" s="367"/>
      <c r="X1237" s="367"/>
      <c r="Y1237" s="367"/>
      <c r="Z1237" s="367"/>
      <c r="AA1237" s="367"/>
      <c r="AB1237" s="150"/>
      <c r="AC1237" s="48" t="s">
        <v>3566</v>
      </c>
      <c r="AD1237" s="150" t="s">
        <v>2415</v>
      </c>
      <c r="AE1237" s="296"/>
      <c r="AF1237" s="296"/>
      <c r="AG1237" s="286">
        <v>46539</v>
      </c>
      <c r="AH1237" s="49">
        <v>46532</v>
      </c>
      <c r="AI1237" s="266">
        <v>46478</v>
      </c>
      <c r="AJ1237" s="150" t="s">
        <v>617</v>
      </c>
      <c r="AK1237" s="150"/>
      <c r="AL1237" s="150"/>
      <c r="AM1237" s="150"/>
      <c r="AN1237" s="367"/>
      <c r="AO1237" s="367"/>
      <c r="AP1237" s="367"/>
      <c r="AQ1237" s="367"/>
      <c r="AR1237" s="367"/>
      <c r="AS1237" s="367"/>
      <c r="AT1237" s="367"/>
      <c r="AU1237" s="367"/>
      <c r="AV1237" s="367"/>
      <c r="AW1237" s="367"/>
      <c r="AX1237" s="367"/>
      <c r="AY1237" s="367"/>
      <c r="AZ1237" s="367"/>
      <c r="BA1237" s="367"/>
      <c r="BB1237" s="152"/>
      <c r="BC1237" s="152"/>
      <c r="BD1237" s="367"/>
      <c r="BE1237" s="367"/>
      <c r="BF1237" s="367"/>
      <c r="BG1237" s="367"/>
      <c r="BH1237" s="260"/>
      <c r="BL1237" s="54"/>
    </row>
    <row r="1238" spans="1:64" ht="37.950000000000003" customHeight="1" x14ac:dyDescent="0.3">
      <c r="A1238" s="367">
        <f t="shared" ref="A1238:A1301" si="23">ROW(B1238)-ROW($B$5)</f>
        <v>1233</v>
      </c>
      <c r="B1238" s="54" t="s">
        <v>3567</v>
      </c>
      <c r="C1238" s="367" t="s">
        <v>3227</v>
      </c>
      <c r="D1238" s="367" t="s">
        <v>262</v>
      </c>
      <c r="E1238" s="367"/>
      <c r="F1238" s="367"/>
      <c r="G1238" s="367"/>
      <c r="H1238" s="367"/>
      <c r="I1238" s="150"/>
      <c r="J1238" s="48"/>
      <c r="K1238" s="48" t="s">
        <v>3565</v>
      </c>
      <c r="L1238" s="367"/>
      <c r="M1238" s="150"/>
      <c r="N1238" s="367"/>
      <c r="O1238" s="367"/>
      <c r="P1238" s="367"/>
      <c r="Q1238" s="367"/>
      <c r="R1238" s="367"/>
      <c r="S1238" s="367"/>
      <c r="T1238" s="367"/>
      <c r="U1238" s="367"/>
      <c r="V1238" s="367"/>
      <c r="W1238" s="367"/>
      <c r="X1238" s="367"/>
      <c r="Y1238" s="367"/>
      <c r="Z1238" s="367"/>
      <c r="AA1238" s="367"/>
      <c r="AB1238" s="150"/>
      <c r="AC1238" s="48" t="s">
        <v>3568</v>
      </c>
      <c r="AD1238" s="150" t="s">
        <v>2427</v>
      </c>
      <c r="AE1238" s="296"/>
      <c r="AF1238" s="296"/>
      <c r="AG1238" s="286">
        <v>46539</v>
      </c>
      <c r="AH1238" s="49">
        <v>46532</v>
      </c>
      <c r="AI1238" s="266">
        <v>46478</v>
      </c>
      <c r="AJ1238" s="150" t="s">
        <v>617</v>
      </c>
      <c r="AK1238" s="150"/>
      <c r="AL1238" s="150"/>
      <c r="AM1238" s="150"/>
      <c r="AN1238" s="367"/>
      <c r="AO1238" s="367"/>
      <c r="AP1238" s="367"/>
      <c r="AQ1238" s="367"/>
      <c r="AR1238" s="367"/>
      <c r="AS1238" s="367"/>
      <c r="AT1238" s="367"/>
      <c r="AU1238" s="367"/>
      <c r="AV1238" s="367"/>
      <c r="AW1238" s="367"/>
      <c r="AX1238" s="367"/>
      <c r="AY1238" s="367"/>
      <c r="AZ1238" s="367"/>
      <c r="BA1238" s="367"/>
      <c r="BB1238" s="152"/>
      <c r="BC1238" s="152"/>
      <c r="BD1238" s="367"/>
      <c r="BE1238" s="367"/>
      <c r="BF1238" s="367"/>
      <c r="BG1238" s="367"/>
      <c r="BH1238" s="260"/>
      <c r="BL1238" s="54"/>
    </row>
    <row r="1239" spans="1:64" ht="37.950000000000003" customHeight="1" x14ac:dyDescent="0.3">
      <c r="A1239" s="367">
        <f t="shared" si="23"/>
        <v>1234</v>
      </c>
      <c r="B1239" s="54" t="s">
        <v>3569</v>
      </c>
      <c r="C1239" s="367" t="s">
        <v>3227</v>
      </c>
      <c r="D1239" s="367" t="s">
        <v>262</v>
      </c>
      <c r="E1239" s="367"/>
      <c r="F1239" s="367"/>
      <c r="G1239" s="367"/>
      <c r="H1239" s="367"/>
      <c r="I1239" s="150"/>
      <c r="J1239" s="48"/>
      <c r="K1239" s="48" t="s">
        <v>3570</v>
      </c>
      <c r="L1239" s="367"/>
      <c r="M1239" s="150"/>
      <c r="N1239" s="367"/>
      <c r="O1239" s="367"/>
      <c r="P1239" s="367"/>
      <c r="Q1239" s="367"/>
      <c r="R1239" s="367"/>
      <c r="S1239" s="367"/>
      <c r="T1239" s="367"/>
      <c r="U1239" s="367"/>
      <c r="V1239" s="367"/>
      <c r="W1239" s="367"/>
      <c r="X1239" s="367"/>
      <c r="Y1239" s="367"/>
      <c r="Z1239" s="367"/>
      <c r="AA1239" s="367"/>
      <c r="AB1239" s="150"/>
      <c r="AC1239" s="48" t="s">
        <v>3571</v>
      </c>
      <c r="AD1239" s="150" t="s">
        <v>2415</v>
      </c>
      <c r="AE1239" s="296"/>
      <c r="AF1239" s="296"/>
      <c r="AG1239" s="286">
        <v>46569</v>
      </c>
      <c r="AH1239" s="49">
        <v>46563</v>
      </c>
      <c r="AI1239" s="266">
        <v>46539</v>
      </c>
      <c r="AJ1239" s="150" t="s">
        <v>617</v>
      </c>
      <c r="AK1239" s="150"/>
      <c r="AL1239" s="150"/>
      <c r="AM1239" s="150"/>
      <c r="AN1239" s="367"/>
      <c r="AO1239" s="367"/>
      <c r="AP1239" s="367"/>
      <c r="AQ1239" s="367"/>
      <c r="AR1239" s="367"/>
      <c r="AS1239" s="367"/>
      <c r="AT1239" s="367"/>
      <c r="AU1239" s="367"/>
      <c r="AV1239" s="367"/>
      <c r="AW1239" s="367"/>
      <c r="AX1239" s="367"/>
      <c r="AY1239" s="367"/>
      <c r="AZ1239" s="367"/>
      <c r="BA1239" s="367"/>
      <c r="BB1239" s="152"/>
      <c r="BC1239" s="152"/>
      <c r="BD1239" s="367"/>
      <c r="BE1239" s="367"/>
      <c r="BF1239" s="367"/>
      <c r="BG1239" s="367"/>
      <c r="BH1239" s="260"/>
      <c r="BL1239" s="54"/>
    </row>
    <row r="1240" spans="1:64" ht="37.950000000000003" customHeight="1" x14ac:dyDescent="0.3">
      <c r="A1240" s="367">
        <f t="shared" si="23"/>
        <v>1235</v>
      </c>
      <c r="B1240" s="54" t="s">
        <v>3572</v>
      </c>
      <c r="C1240" s="367" t="s">
        <v>3227</v>
      </c>
      <c r="D1240" s="367" t="s">
        <v>262</v>
      </c>
      <c r="E1240" s="367"/>
      <c r="F1240" s="367"/>
      <c r="G1240" s="367"/>
      <c r="H1240" s="367"/>
      <c r="I1240" s="150"/>
      <c r="J1240" s="48"/>
      <c r="K1240" s="48" t="s">
        <v>3570</v>
      </c>
      <c r="L1240" s="367"/>
      <c r="M1240" s="150"/>
      <c r="N1240" s="367"/>
      <c r="O1240" s="367"/>
      <c r="P1240" s="367"/>
      <c r="Q1240" s="367"/>
      <c r="R1240" s="367"/>
      <c r="S1240" s="367"/>
      <c r="T1240" s="367"/>
      <c r="U1240" s="367"/>
      <c r="V1240" s="367"/>
      <c r="W1240" s="367"/>
      <c r="X1240" s="367"/>
      <c r="Y1240" s="367"/>
      <c r="Z1240" s="367"/>
      <c r="AA1240" s="367"/>
      <c r="AB1240" s="150"/>
      <c r="AC1240" s="48" t="s">
        <v>3573</v>
      </c>
      <c r="AD1240" s="150" t="s">
        <v>2427</v>
      </c>
      <c r="AE1240" s="296"/>
      <c r="AF1240" s="296"/>
      <c r="AG1240" s="286">
        <v>46569</v>
      </c>
      <c r="AH1240" s="49">
        <v>46563</v>
      </c>
      <c r="AI1240" s="266">
        <v>46539</v>
      </c>
      <c r="AJ1240" s="150" t="s">
        <v>617</v>
      </c>
      <c r="AK1240" s="150"/>
      <c r="AL1240" s="150"/>
      <c r="AM1240" s="150"/>
      <c r="AN1240" s="367"/>
      <c r="AO1240" s="367"/>
      <c r="AP1240" s="367"/>
      <c r="AQ1240" s="367"/>
      <c r="AR1240" s="367"/>
      <c r="AS1240" s="367"/>
      <c r="AT1240" s="367"/>
      <c r="AU1240" s="367"/>
      <c r="AV1240" s="367"/>
      <c r="AW1240" s="367"/>
      <c r="AX1240" s="367"/>
      <c r="AY1240" s="367"/>
      <c r="AZ1240" s="367"/>
      <c r="BA1240" s="367"/>
      <c r="BB1240" s="152"/>
      <c r="BC1240" s="152"/>
      <c r="BD1240" s="367"/>
      <c r="BE1240" s="367"/>
      <c r="BF1240" s="367"/>
      <c r="BG1240" s="367"/>
      <c r="BH1240" s="260"/>
      <c r="BL1240" s="54"/>
    </row>
    <row r="1241" spans="1:64" ht="37.950000000000003" customHeight="1" x14ac:dyDescent="0.3">
      <c r="A1241" s="367">
        <f t="shared" si="23"/>
        <v>1236</v>
      </c>
      <c r="B1241" s="54" t="s">
        <v>3574</v>
      </c>
      <c r="C1241" s="367" t="s">
        <v>3227</v>
      </c>
      <c r="D1241" s="367" t="s">
        <v>262</v>
      </c>
      <c r="E1241" s="367"/>
      <c r="F1241" s="367"/>
      <c r="G1241" s="367"/>
      <c r="H1241" s="367"/>
      <c r="I1241" s="150"/>
      <c r="J1241" s="48"/>
      <c r="K1241" s="48" t="s">
        <v>3575</v>
      </c>
      <c r="L1241" s="367"/>
      <c r="M1241" s="150"/>
      <c r="N1241" s="367"/>
      <c r="O1241" s="367"/>
      <c r="P1241" s="367"/>
      <c r="Q1241" s="367"/>
      <c r="R1241" s="367"/>
      <c r="S1241" s="367"/>
      <c r="T1241" s="367"/>
      <c r="U1241" s="367"/>
      <c r="V1241" s="367"/>
      <c r="W1241" s="367"/>
      <c r="X1241" s="367"/>
      <c r="Y1241" s="367"/>
      <c r="Z1241" s="367"/>
      <c r="AA1241" s="367"/>
      <c r="AB1241" s="150"/>
      <c r="AC1241" s="48" t="s">
        <v>3576</v>
      </c>
      <c r="AD1241" s="150" t="s">
        <v>2415</v>
      </c>
      <c r="AE1241" s="296"/>
      <c r="AF1241" s="296"/>
      <c r="AG1241" s="286">
        <v>46600</v>
      </c>
      <c r="AH1241" s="49">
        <v>46593</v>
      </c>
      <c r="AI1241" s="266">
        <v>46539</v>
      </c>
      <c r="AJ1241" s="150" t="s">
        <v>617</v>
      </c>
      <c r="AK1241" s="150"/>
      <c r="AL1241" s="150"/>
      <c r="AM1241" s="150"/>
      <c r="AN1241" s="367"/>
      <c r="AO1241" s="367"/>
      <c r="AP1241" s="367"/>
      <c r="AQ1241" s="367"/>
      <c r="AR1241" s="367"/>
      <c r="AS1241" s="367"/>
      <c r="AT1241" s="367"/>
      <c r="AU1241" s="367"/>
      <c r="AV1241" s="367"/>
      <c r="AW1241" s="367"/>
      <c r="AX1241" s="367"/>
      <c r="AY1241" s="367"/>
      <c r="AZ1241" s="367"/>
      <c r="BA1241" s="367"/>
      <c r="BB1241" s="152"/>
      <c r="BC1241" s="152"/>
      <c r="BD1241" s="367"/>
      <c r="BE1241" s="367"/>
      <c r="BF1241" s="367"/>
      <c r="BG1241" s="367"/>
      <c r="BH1241" s="260"/>
      <c r="BL1241" s="54"/>
    </row>
    <row r="1242" spans="1:64" ht="37.950000000000003" customHeight="1" x14ac:dyDescent="0.3">
      <c r="A1242" s="367">
        <f t="shared" si="23"/>
        <v>1237</v>
      </c>
      <c r="B1242" s="54" t="s">
        <v>3577</v>
      </c>
      <c r="C1242" s="367" t="s">
        <v>3227</v>
      </c>
      <c r="D1242" s="367" t="s">
        <v>262</v>
      </c>
      <c r="E1242" s="367"/>
      <c r="F1242" s="367"/>
      <c r="G1242" s="367"/>
      <c r="H1242" s="367"/>
      <c r="I1242" s="150"/>
      <c r="J1242" s="48"/>
      <c r="K1242" s="48" t="s">
        <v>3575</v>
      </c>
      <c r="L1242" s="367"/>
      <c r="M1242" s="150"/>
      <c r="N1242" s="367"/>
      <c r="O1242" s="367"/>
      <c r="P1242" s="367"/>
      <c r="Q1242" s="367"/>
      <c r="R1242" s="367"/>
      <c r="S1242" s="367"/>
      <c r="T1242" s="367"/>
      <c r="U1242" s="367"/>
      <c r="V1242" s="367"/>
      <c r="W1242" s="367"/>
      <c r="X1242" s="367"/>
      <c r="Y1242" s="367"/>
      <c r="Z1242" s="367"/>
      <c r="AA1242" s="367"/>
      <c r="AB1242" s="150"/>
      <c r="AC1242" s="48" t="s">
        <v>3578</v>
      </c>
      <c r="AD1242" s="150" t="s">
        <v>2427</v>
      </c>
      <c r="AE1242" s="296"/>
      <c r="AF1242" s="296"/>
      <c r="AG1242" s="286">
        <v>46600</v>
      </c>
      <c r="AH1242" s="49">
        <v>46593</v>
      </c>
      <c r="AI1242" s="266">
        <v>46539</v>
      </c>
      <c r="AJ1242" s="150" t="s">
        <v>617</v>
      </c>
      <c r="AK1242" s="150"/>
      <c r="AL1242" s="150"/>
      <c r="AM1242" s="150"/>
      <c r="AN1242" s="367"/>
      <c r="AO1242" s="367"/>
      <c r="AP1242" s="367"/>
      <c r="AQ1242" s="367"/>
      <c r="AR1242" s="367"/>
      <c r="AS1242" s="367"/>
      <c r="AT1242" s="367"/>
      <c r="AU1242" s="367"/>
      <c r="AV1242" s="367"/>
      <c r="AW1242" s="367"/>
      <c r="AX1242" s="367"/>
      <c r="AY1242" s="367"/>
      <c r="AZ1242" s="367"/>
      <c r="BA1242" s="367"/>
      <c r="BB1242" s="152"/>
      <c r="BC1242" s="152"/>
      <c r="BD1242" s="367"/>
      <c r="BE1242" s="367"/>
      <c r="BF1242" s="367"/>
      <c r="BG1242" s="367"/>
      <c r="BH1242" s="260"/>
      <c r="BL1242" s="54"/>
    </row>
    <row r="1243" spans="1:64" ht="37.950000000000003" customHeight="1" x14ac:dyDescent="0.3">
      <c r="A1243" s="367">
        <f t="shared" si="23"/>
        <v>1238</v>
      </c>
      <c r="B1243" s="54" t="s">
        <v>3579</v>
      </c>
      <c r="C1243" s="367" t="s">
        <v>3227</v>
      </c>
      <c r="D1243" s="367" t="s">
        <v>262</v>
      </c>
      <c r="E1243" s="367"/>
      <c r="F1243" s="367"/>
      <c r="G1243" s="367"/>
      <c r="H1243" s="367"/>
      <c r="I1243" s="150"/>
      <c r="J1243" s="48"/>
      <c r="K1243" s="48" t="s">
        <v>3580</v>
      </c>
      <c r="L1243" s="367"/>
      <c r="M1243" s="150"/>
      <c r="N1243" s="367"/>
      <c r="O1243" s="367"/>
      <c r="P1243" s="367"/>
      <c r="Q1243" s="367"/>
      <c r="R1243" s="367"/>
      <c r="S1243" s="367"/>
      <c r="T1243" s="367"/>
      <c r="U1243" s="367"/>
      <c r="V1243" s="367"/>
      <c r="W1243" s="367"/>
      <c r="X1243" s="367"/>
      <c r="Y1243" s="367"/>
      <c r="Z1243" s="367"/>
      <c r="AA1243" s="367"/>
      <c r="AB1243" s="150"/>
      <c r="AC1243" s="48" t="s">
        <v>3581</v>
      </c>
      <c r="AD1243" s="150" t="s">
        <v>2415</v>
      </c>
      <c r="AE1243" s="296"/>
      <c r="AF1243" s="296"/>
      <c r="AG1243" s="286">
        <v>46631</v>
      </c>
      <c r="AH1243" s="49">
        <v>46624</v>
      </c>
      <c r="AI1243" s="266">
        <v>46569</v>
      </c>
      <c r="AJ1243" s="150" t="s">
        <v>617</v>
      </c>
      <c r="AK1243" s="150"/>
      <c r="AL1243" s="150"/>
      <c r="AM1243" s="150"/>
      <c r="AN1243" s="367"/>
      <c r="AO1243" s="367"/>
      <c r="AP1243" s="367"/>
      <c r="AQ1243" s="367"/>
      <c r="AR1243" s="367"/>
      <c r="AS1243" s="367"/>
      <c r="AT1243" s="367"/>
      <c r="AU1243" s="367"/>
      <c r="AV1243" s="367"/>
      <c r="AW1243" s="367"/>
      <c r="AX1243" s="367"/>
      <c r="AY1243" s="367"/>
      <c r="AZ1243" s="367"/>
      <c r="BA1243" s="367"/>
      <c r="BB1243" s="152"/>
      <c r="BC1243" s="152"/>
      <c r="BD1243" s="367"/>
      <c r="BE1243" s="367"/>
      <c r="BF1243" s="367"/>
      <c r="BG1243" s="367"/>
      <c r="BH1243" s="260"/>
      <c r="BL1243" s="54"/>
    </row>
    <row r="1244" spans="1:64" ht="37.950000000000003" customHeight="1" x14ac:dyDescent="0.3">
      <c r="A1244" s="367">
        <f t="shared" si="23"/>
        <v>1239</v>
      </c>
      <c r="B1244" s="54" t="s">
        <v>3582</v>
      </c>
      <c r="C1244" s="367" t="s">
        <v>3227</v>
      </c>
      <c r="D1244" s="367" t="s">
        <v>262</v>
      </c>
      <c r="E1244" s="367"/>
      <c r="F1244" s="367"/>
      <c r="G1244" s="367"/>
      <c r="H1244" s="367"/>
      <c r="I1244" s="150"/>
      <c r="J1244" s="48"/>
      <c r="K1244" s="48" t="s">
        <v>3580</v>
      </c>
      <c r="L1244" s="367"/>
      <c r="M1244" s="150"/>
      <c r="N1244" s="367"/>
      <c r="O1244" s="367"/>
      <c r="P1244" s="367"/>
      <c r="Q1244" s="367"/>
      <c r="R1244" s="367"/>
      <c r="S1244" s="367"/>
      <c r="T1244" s="367"/>
      <c r="U1244" s="367"/>
      <c r="V1244" s="367"/>
      <c r="W1244" s="367"/>
      <c r="X1244" s="367"/>
      <c r="Y1244" s="367"/>
      <c r="Z1244" s="367"/>
      <c r="AA1244" s="367"/>
      <c r="AB1244" s="150"/>
      <c r="AC1244" s="48" t="s">
        <v>3583</v>
      </c>
      <c r="AD1244" s="150" t="s">
        <v>2427</v>
      </c>
      <c r="AE1244" s="296"/>
      <c r="AF1244" s="296"/>
      <c r="AG1244" s="286">
        <v>46631</v>
      </c>
      <c r="AH1244" s="49">
        <v>46624</v>
      </c>
      <c r="AI1244" s="266">
        <v>46569</v>
      </c>
      <c r="AJ1244" s="150" t="s">
        <v>617</v>
      </c>
      <c r="AK1244" s="150"/>
      <c r="AL1244" s="150"/>
      <c r="AM1244" s="150"/>
      <c r="AN1244" s="367"/>
      <c r="AO1244" s="367"/>
      <c r="AP1244" s="367"/>
      <c r="AQ1244" s="367"/>
      <c r="AR1244" s="367"/>
      <c r="AS1244" s="367"/>
      <c r="AT1244" s="367"/>
      <c r="AU1244" s="367"/>
      <c r="AV1244" s="367"/>
      <c r="AW1244" s="367"/>
      <c r="AX1244" s="367"/>
      <c r="AY1244" s="367"/>
      <c r="AZ1244" s="367"/>
      <c r="BA1244" s="367"/>
      <c r="BB1244" s="152"/>
      <c r="BC1244" s="152"/>
      <c r="BD1244" s="367"/>
      <c r="BE1244" s="367"/>
      <c r="BF1244" s="367"/>
      <c r="BG1244" s="367"/>
      <c r="BH1244" s="260"/>
      <c r="BL1244" s="54"/>
    </row>
    <row r="1245" spans="1:64" ht="37.950000000000003" customHeight="1" x14ac:dyDescent="0.3">
      <c r="A1245" s="367">
        <f t="shared" si="23"/>
        <v>1240</v>
      </c>
      <c r="B1245" s="54" t="s">
        <v>3584</v>
      </c>
      <c r="C1245" s="367" t="s">
        <v>3227</v>
      </c>
      <c r="D1245" s="367" t="s">
        <v>262</v>
      </c>
      <c r="E1245" s="367"/>
      <c r="F1245" s="367"/>
      <c r="G1245" s="367"/>
      <c r="H1245" s="367"/>
      <c r="I1245" s="150"/>
      <c r="J1245" s="48"/>
      <c r="K1245" s="48" t="s">
        <v>3585</v>
      </c>
      <c r="L1245" s="367"/>
      <c r="M1245" s="150"/>
      <c r="N1245" s="367"/>
      <c r="O1245" s="367"/>
      <c r="P1245" s="367"/>
      <c r="Q1245" s="367"/>
      <c r="R1245" s="367"/>
      <c r="S1245" s="367"/>
      <c r="T1245" s="367"/>
      <c r="U1245" s="367"/>
      <c r="V1245" s="367"/>
      <c r="W1245" s="367"/>
      <c r="X1245" s="367"/>
      <c r="Y1245" s="367"/>
      <c r="Z1245" s="367"/>
      <c r="AA1245" s="367"/>
      <c r="AB1245" s="150"/>
      <c r="AC1245" s="48" t="s">
        <v>3586</v>
      </c>
      <c r="AD1245" s="150" t="s">
        <v>2415</v>
      </c>
      <c r="AE1245" s="296"/>
      <c r="AF1245" s="296"/>
      <c r="AG1245" s="286">
        <v>46478</v>
      </c>
      <c r="AH1245" s="49">
        <v>46471</v>
      </c>
      <c r="AI1245" s="266">
        <v>46419</v>
      </c>
      <c r="AJ1245" s="150" t="s">
        <v>617</v>
      </c>
      <c r="AK1245" s="150"/>
      <c r="AL1245" s="150"/>
      <c r="AM1245" s="150"/>
      <c r="AN1245" s="367"/>
      <c r="AO1245" s="367"/>
      <c r="AP1245" s="367"/>
      <c r="AQ1245" s="367"/>
      <c r="AR1245" s="367"/>
      <c r="AS1245" s="367"/>
      <c r="AT1245" s="367"/>
      <c r="AU1245" s="367"/>
      <c r="AV1245" s="367"/>
      <c r="AW1245" s="367"/>
      <c r="AX1245" s="367"/>
      <c r="AY1245" s="367"/>
      <c r="AZ1245" s="367"/>
      <c r="BA1245" s="367"/>
      <c r="BB1245" s="152"/>
      <c r="BC1245" s="152"/>
      <c r="BD1245" s="367"/>
      <c r="BE1245" s="367"/>
      <c r="BF1245" s="367"/>
      <c r="BG1245" s="367"/>
      <c r="BH1245" s="260"/>
      <c r="BL1245" s="54"/>
    </row>
    <row r="1246" spans="1:64" ht="37.950000000000003" customHeight="1" x14ac:dyDescent="0.3">
      <c r="A1246" s="367">
        <f t="shared" si="23"/>
        <v>1241</v>
      </c>
      <c r="B1246" s="54" t="s">
        <v>3587</v>
      </c>
      <c r="C1246" s="367" t="s">
        <v>3227</v>
      </c>
      <c r="D1246" s="367" t="s">
        <v>262</v>
      </c>
      <c r="E1246" s="367"/>
      <c r="F1246" s="367"/>
      <c r="G1246" s="367"/>
      <c r="H1246" s="367"/>
      <c r="I1246" s="150"/>
      <c r="J1246" s="48"/>
      <c r="K1246" s="48" t="s">
        <v>3585</v>
      </c>
      <c r="L1246" s="367"/>
      <c r="M1246" s="150"/>
      <c r="N1246" s="367"/>
      <c r="O1246" s="367"/>
      <c r="P1246" s="367"/>
      <c r="Q1246" s="367"/>
      <c r="R1246" s="367"/>
      <c r="S1246" s="367"/>
      <c r="T1246" s="367"/>
      <c r="U1246" s="367"/>
      <c r="V1246" s="367"/>
      <c r="W1246" s="367"/>
      <c r="X1246" s="367"/>
      <c r="Y1246" s="367"/>
      <c r="Z1246" s="367"/>
      <c r="AA1246" s="367"/>
      <c r="AB1246" s="150"/>
      <c r="AC1246" s="48" t="s">
        <v>3588</v>
      </c>
      <c r="AD1246" s="150" t="s">
        <v>3589</v>
      </c>
      <c r="AE1246" s="296"/>
      <c r="AF1246" s="296"/>
      <c r="AG1246" s="286">
        <v>46478</v>
      </c>
      <c r="AH1246" s="49">
        <v>46471</v>
      </c>
      <c r="AI1246" s="266">
        <v>46419</v>
      </c>
      <c r="AJ1246" s="150" t="s">
        <v>617</v>
      </c>
      <c r="AK1246" s="150"/>
      <c r="AL1246" s="150"/>
      <c r="AM1246" s="150"/>
      <c r="AN1246" s="367"/>
      <c r="AO1246" s="367"/>
      <c r="AP1246" s="367"/>
      <c r="AQ1246" s="367"/>
      <c r="AR1246" s="367"/>
      <c r="AS1246" s="367"/>
      <c r="AT1246" s="367"/>
      <c r="AU1246" s="367"/>
      <c r="AV1246" s="367"/>
      <c r="AW1246" s="367"/>
      <c r="AX1246" s="367"/>
      <c r="AY1246" s="367"/>
      <c r="AZ1246" s="367"/>
      <c r="BA1246" s="367"/>
      <c r="BB1246" s="152"/>
      <c r="BC1246" s="152"/>
      <c r="BD1246" s="367"/>
      <c r="BE1246" s="367"/>
      <c r="BF1246" s="367"/>
      <c r="BG1246" s="367"/>
      <c r="BH1246" s="260"/>
      <c r="BL1246" s="54"/>
    </row>
    <row r="1247" spans="1:64" ht="37.950000000000003" customHeight="1" x14ac:dyDescent="0.3">
      <c r="A1247" s="367">
        <f t="shared" si="23"/>
        <v>1242</v>
      </c>
      <c r="B1247" s="54" t="s">
        <v>3590</v>
      </c>
      <c r="C1247" s="367" t="s">
        <v>3227</v>
      </c>
      <c r="D1247" s="367" t="s">
        <v>262</v>
      </c>
      <c r="E1247" s="367"/>
      <c r="F1247" s="367"/>
      <c r="G1247" s="367"/>
      <c r="H1247" s="367"/>
      <c r="I1247" s="150"/>
      <c r="J1247" s="48"/>
      <c r="K1247" s="48" t="s">
        <v>3585</v>
      </c>
      <c r="L1247" s="367"/>
      <c r="M1247" s="150"/>
      <c r="N1247" s="367"/>
      <c r="O1247" s="367"/>
      <c r="P1247" s="367"/>
      <c r="Q1247" s="367"/>
      <c r="R1247" s="367"/>
      <c r="S1247" s="367"/>
      <c r="T1247" s="367"/>
      <c r="U1247" s="367"/>
      <c r="V1247" s="367"/>
      <c r="W1247" s="367"/>
      <c r="X1247" s="367"/>
      <c r="Y1247" s="367"/>
      <c r="Z1247" s="367"/>
      <c r="AA1247" s="367"/>
      <c r="AB1247" s="150"/>
      <c r="AC1247" s="48" t="s">
        <v>3588</v>
      </c>
      <c r="AD1247" s="150" t="s">
        <v>3589</v>
      </c>
      <c r="AE1247" s="296"/>
      <c r="AF1247" s="296"/>
      <c r="AG1247" s="286">
        <v>46478</v>
      </c>
      <c r="AH1247" s="49">
        <v>46471</v>
      </c>
      <c r="AI1247" s="266">
        <v>46419</v>
      </c>
      <c r="AJ1247" s="150" t="s">
        <v>617</v>
      </c>
      <c r="AK1247" s="150"/>
      <c r="AL1247" s="150"/>
      <c r="AM1247" s="150"/>
      <c r="AN1247" s="367"/>
      <c r="AO1247" s="367"/>
      <c r="AP1247" s="367"/>
      <c r="AQ1247" s="367"/>
      <c r="AR1247" s="367"/>
      <c r="AS1247" s="367"/>
      <c r="AT1247" s="367"/>
      <c r="AU1247" s="367"/>
      <c r="AV1247" s="367"/>
      <c r="AW1247" s="367"/>
      <c r="AX1247" s="367"/>
      <c r="AY1247" s="367"/>
      <c r="AZ1247" s="367"/>
      <c r="BA1247" s="367"/>
      <c r="BB1247" s="152"/>
      <c r="BC1247" s="152"/>
      <c r="BD1247" s="367"/>
      <c r="BE1247" s="367"/>
      <c r="BF1247" s="367"/>
      <c r="BG1247" s="367"/>
      <c r="BH1247" s="260"/>
      <c r="BL1247" s="54"/>
    </row>
    <row r="1248" spans="1:64" ht="37.950000000000003" customHeight="1" x14ac:dyDescent="0.3">
      <c r="A1248" s="367">
        <f t="shared" si="23"/>
        <v>1243</v>
      </c>
      <c r="B1248" s="54" t="s">
        <v>3591</v>
      </c>
      <c r="C1248" s="367" t="s">
        <v>3227</v>
      </c>
      <c r="D1248" s="367" t="s">
        <v>262</v>
      </c>
      <c r="E1248" s="367"/>
      <c r="F1248" s="367"/>
      <c r="G1248" s="367"/>
      <c r="H1248" s="367"/>
      <c r="I1248" s="150"/>
      <c r="J1248" s="48"/>
      <c r="K1248" s="48" t="s">
        <v>3585</v>
      </c>
      <c r="L1248" s="367"/>
      <c r="M1248" s="150"/>
      <c r="N1248" s="367"/>
      <c r="O1248" s="367"/>
      <c r="P1248" s="367"/>
      <c r="Q1248" s="367"/>
      <c r="R1248" s="367"/>
      <c r="S1248" s="367"/>
      <c r="T1248" s="367"/>
      <c r="U1248" s="367"/>
      <c r="V1248" s="367"/>
      <c r="W1248" s="367"/>
      <c r="X1248" s="367"/>
      <c r="Y1248" s="367"/>
      <c r="Z1248" s="367"/>
      <c r="AA1248" s="367"/>
      <c r="AB1248" s="150"/>
      <c r="AC1248" s="48" t="s">
        <v>3592</v>
      </c>
      <c r="AD1248" s="150" t="s">
        <v>2427</v>
      </c>
      <c r="AE1248" s="296"/>
      <c r="AF1248" s="296"/>
      <c r="AG1248" s="286">
        <v>46478</v>
      </c>
      <c r="AH1248" s="49">
        <v>46471</v>
      </c>
      <c r="AI1248" s="266">
        <v>46419</v>
      </c>
      <c r="AJ1248" s="150" t="s">
        <v>617</v>
      </c>
      <c r="AK1248" s="150"/>
      <c r="AL1248" s="150"/>
      <c r="AM1248" s="150"/>
      <c r="AN1248" s="367"/>
      <c r="AO1248" s="367"/>
      <c r="AP1248" s="367"/>
      <c r="AQ1248" s="367"/>
      <c r="AR1248" s="367"/>
      <c r="AS1248" s="367"/>
      <c r="AT1248" s="367"/>
      <c r="AU1248" s="367"/>
      <c r="AV1248" s="367"/>
      <c r="AW1248" s="367"/>
      <c r="AX1248" s="367"/>
      <c r="AY1248" s="367"/>
      <c r="AZ1248" s="367"/>
      <c r="BA1248" s="367"/>
      <c r="BB1248" s="152"/>
      <c r="BC1248" s="152"/>
      <c r="BD1248" s="367"/>
      <c r="BE1248" s="367"/>
      <c r="BF1248" s="367"/>
      <c r="BG1248" s="367"/>
      <c r="BH1248" s="260"/>
      <c r="BL1248" s="54"/>
    </row>
    <row r="1249" spans="1:64" ht="37.950000000000003" customHeight="1" x14ac:dyDescent="0.3">
      <c r="A1249" s="367">
        <f t="shared" si="23"/>
        <v>1244</v>
      </c>
      <c r="B1249" s="54" t="s">
        <v>3593</v>
      </c>
      <c r="C1249" s="367" t="s">
        <v>3227</v>
      </c>
      <c r="D1249" s="367" t="s">
        <v>262</v>
      </c>
      <c r="E1249" s="367"/>
      <c r="F1249" s="367"/>
      <c r="G1249" s="367"/>
      <c r="H1249" s="367"/>
      <c r="I1249" s="150"/>
      <c r="J1249" s="48"/>
      <c r="K1249" s="48" t="s">
        <v>3594</v>
      </c>
      <c r="L1249" s="367"/>
      <c r="M1249" s="150"/>
      <c r="N1249" s="367"/>
      <c r="O1249" s="367"/>
      <c r="P1249" s="367"/>
      <c r="Q1249" s="367"/>
      <c r="R1249" s="367"/>
      <c r="S1249" s="367"/>
      <c r="T1249" s="367"/>
      <c r="U1249" s="367"/>
      <c r="V1249" s="367"/>
      <c r="W1249" s="367"/>
      <c r="X1249" s="367"/>
      <c r="Y1249" s="367"/>
      <c r="Z1249" s="367"/>
      <c r="AA1249" s="367"/>
      <c r="AB1249" s="150"/>
      <c r="AC1249" s="48" t="s">
        <v>3595</v>
      </c>
      <c r="AD1249" s="150" t="s">
        <v>2415</v>
      </c>
      <c r="AE1249" s="296"/>
      <c r="AF1249" s="296"/>
      <c r="AG1249" s="286">
        <v>46508</v>
      </c>
      <c r="AH1249" s="49">
        <v>46502</v>
      </c>
      <c r="AI1249" s="266">
        <v>46447</v>
      </c>
      <c r="AJ1249" s="150" t="s">
        <v>617</v>
      </c>
      <c r="AK1249" s="150"/>
      <c r="AL1249" s="150"/>
      <c r="AM1249" s="150"/>
      <c r="AN1249" s="367"/>
      <c r="AO1249" s="367"/>
      <c r="AP1249" s="367"/>
      <c r="AQ1249" s="367"/>
      <c r="AR1249" s="367"/>
      <c r="AS1249" s="367"/>
      <c r="AT1249" s="367"/>
      <c r="AU1249" s="367"/>
      <c r="AV1249" s="367"/>
      <c r="AW1249" s="367"/>
      <c r="AX1249" s="367"/>
      <c r="AY1249" s="367"/>
      <c r="AZ1249" s="367"/>
      <c r="BA1249" s="367"/>
      <c r="BB1249" s="152"/>
      <c r="BC1249" s="152"/>
      <c r="BD1249" s="367"/>
      <c r="BE1249" s="367"/>
      <c r="BF1249" s="367"/>
      <c r="BG1249" s="367"/>
      <c r="BH1249" s="260"/>
      <c r="BL1249" s="54"/>
    </row>
    <row r="1250" spans="1:64" ht="37.950000000000003" customHeight="1" x14ac:dyDescent="0.3">
      <c r="A1250" s="367">
        <f t="shared" si="23"/>
        <v>1245</v>
      </c>
      <c r="B1250" s="54" t="s">
        <v>3596</v>
      </c>
      <c r="C1250" s="367" t="s">
        <v>3227</v>
      </c>
      <c r="D1250" s="367" t="s">
        <v>262</v>
      </c>
      <c r="E1250" s="367"/>
      <c r="F1250" s="367"/>
      <c r="G1250" s="367"/>
      <c r="H1250" s="367"/>
      <c r="I1250" s="150"/>
      <c r="J1250" s="48"/>
      <c r="K1250" s="48" t="s">
        <v>3594</v>
      </c>
      <c r="L1250" s="367"/>
      <c r="M1250" s="150"/>
      <c r="N1250" s="367"/>
      <c r="O1250" s="367"/>
      <c r="P1250" s="367"/>
      <c r="Q1250" s="367"/>
      <c r="R1250" s="367"/>
      <c r="S1250" s="367"/>
      <c r="T1250" s="367"/>
      <c r="U1250" s="367"/>
      <c r="V1250" s="367"/>
      <c r="W1250" s="367"/>
      <c r="X1250" s="367"/>
      <c r="Y1250" s="367"/>
      <c r="Z1250" s="367"/>
      <c r="AA1250" s="367"/>
      <c r="AB1250" s="150"/>
      <c r="AC1250" s="48" t="s">
        <v>3597</v>
      </c>
      <c r="AD1250" s="150" t="s">
        <v>169</v>
      </c>
      <c r="AE1250" s="296"/>
      <c r="AF1250" s="296"/>
      <c r="AG1250" s="286">
        <v>46508</v>
      </c>
      <c r="AH1250" s="49">
        <v>46502</v>
      </c>
      <c r="AI1250" s="266">
        <v>46447</v>
      </c>
      <c r="AJ1250" s="150" t="s">
        <v>617</v>
      </c>
      <c r="AK1250" s="150"/>
      <c r="AL1250" s="150"/>
      <c r="AM1250" s="150"/>
      <c r="AN1250" s="367"/>
      <c r="AO1250" s="367"/>
      <c r="AP1250" s="367"/>
      <c r="AQ1250" s="367"/>
      <c r="AR1250" s="367"/>
      <c r="AS1250" s="367"/>
      <c r="AT1250" s="367"/>
      <c r="AU1250" s="367"/>
      <c r="AV1250" s="367"/>
      <c r="AW1250" s="367"/>
      <c r="AX1250" s="367"/>
      <c r="AY1250" s="367"/>
      <c r="AZ1250" s="367"/>
      <c r="BA1250" s="367"/>
      <c r="BB1250" s="152"/>
      <c r="BC1250" s="152"/>
      <c r="BD1250" s="367"/>
      <c r="BE1250" s="367"/>
      <c r="BF1250" s="367"/>
      <c r="BG1250" s="367"/>
      <c r="BH1250" s="260"/>
      <c r="BL1250" s="54"/>
    </row>
    <row r="1251" spans="1:64" ht="37.950000000000003" customHeight="1" x14ac:dyDescent="0.3">
      <c r="A1251" s="367">
        <f t="shared" si="23"/>
        <v>1246</v>
      </c>
      <c r="B1251" s="54" t="s">
        <v>3598</v>
      </c>
      <c r="C1251" s="367" t="s">
        <v>3227</v>
      </c>
      <c r="D1251" s="367" t="s">
        <v>262</v>
      </c>
      <c r="E1251" s="367"/>
      <c r="F1251" s="367"/>
      <c r="G1251" s="367"/>
      <c r="H1251" s="367"/>
      <c r="I1251" s="150"/>
      <c r="J1251" s="48"/>
      <c r="K1251" s="48" t="s">
        <v>3594</v>
      </c>
      <c r="L1251" s="367"/>
      <c r="M1251" s="150"/>
      <c r="N1251" s="367"/>
      <c r="O1251" s="367"/>
      <c r="P1251" s="367"/>
      <c r="Q1251" s="367"/>
      <c r="R1251" s="367"/>
      <c r="S1251" s="367"/>
      <c r="T1251" s="367"/>
      <c r="U1251" s="367"/>
      <c r="V1251" s="367"/>
      <c r="W1251" s="367"/>
      <c r="X1251" s="367"/>
      <c r="Y1251" s="367"/>
      <c r="Z1251" s="367"/>
      <c r="AA1251" s="367"/>
      <c r="AB1251" s="150"/>
      <c r="AC1251" s="48" t="s">
        <v>3597</v>
      </c>
      <c r="AD1251" s="150" t="s">
        <v>169</v>
      </c>
      <c r="AE1251" s="296"/>
      <c r="AF1251" s="296"/>
      <c r="AG1251" s="286">
        <v>46508</v>
      </c>
      <c r="AH1251" s="49">
        <v>46502</v>
      </c>
      <c r="AI1251" s="266">
        <v>46447</v>
      </c>
      <c r="AJ1251" s="150" t="s">
        <v>617</v>
      </c>
      <c r="AK1251" s="150"/>
      <c r="AL1251" s="150"/>
      <c r="AM1251" s="150"/>
      <c r="AN1251" s="367"/>
      <c r="AO1251" s="367"/>
      <c r="AP1251" s="367"/>
      <c r="AQ1251" s="367"/>
      <c r="AR1251" s="367"/>
      <c r="AS1251" s="367"/>
      <c r="AT1251" s="367"/>
      <c r="AU1251" s="367"/>
      <c r="AV1251" s="367"/>
      <c r="AW1251" s="367"/>
      <c r="AX1251" s="367"/>
      <c r="AY1251" s="367"/>
      <c r="AZ1251" s="367"/>
      <c r="BA1251" s="367"/>
      <c r="BB1251" s="152"/>
      <c r="BC1251" s="152"/>
      <c r="BD1251" s="367"/>
      <c r="BE1251" s="367"/>
      <c r="BF1251" s="367"/>
      <c r="BG1251" s="367"/>
      <c r="BH1251" s="260"/>
      <c r="BL1251" s="54"/>
    </row>
    <row r="1252" spans="1:64" ht="37.950000000000003" customHeight="1" x14ac:dyDescent="0.3">
      <c r="A1252" s="367">
        <f t="shared" si="23"/>
        <v>1247</v>
      </c>
      <c r="B1252" s="54" t="s">
        <v>3599</v>
      </c>
      <c r="C1252" s="367" t="s">
        <v>3227</v>
      </c>
      <c r="D1252" s="367" t="s">
        <v>262</v>
      </c>
      <c r="E1252" s="367"/>
      <c r="F1252" s="367"/>
      <c r="G1252" s="367"/>
      <c r="H1252" s="367"/>
      <c r="I1252" s="150"/>
      <c r="J1252" s="48"/>
      <c r="K1252" s="48" t="s">
        <v>3594</v>
      </c>
      <c r="L1252" s="367"/>
      <c r="M1252" s="150"/>
      <c r="N1252" s="367"/>
      <c r="O1252" s="367"/>
      <c r="P1252" s="367"/>
      <c r="Q1252" s="367"/>
      <c r="R1252" s="367"/>
      <c r="S1252" s="367"/>
      <c r="T1252" s="367"/>
      <c r="U1252" s="367"/>
      <c r="V1252" s="367"/>
      <c r="W1252" s="367"/>
      <c r="X1252" s="367"/>
      <c r="Y1252" s="367"/>
      <c r="Z1252" s="367"/>
      <c r="AA1252" s="367"/>
      <c r="AB1252" s="150"/>
      <c r="AC1252" s="48" t="s">
        <v>3600</v>
      </c>
      <c r="AD1252" s="150" t="s">
        <v>238</v>
      </c>
      <c r="AE1252" s="296"/>
      <c r="AF1252" s="296"/>
      <c r="AG1252" s="286">
        <v>46508</v>
      </c>
      <c r="AH1252" s="49">
        <v>46502</v>
      </c>
      <c r="AI1252" s="266">
        <v>46447</v>
      </c>
      <c r="AJ1252" s="150" t="s">
        <v>617</v>
      </c>
      <c r="AK1252" s="150"/>
      <c r="AL1252" s="150"/>
      <c r="AM1252" s="150"/>
      <c r="AN1252" s="367"/>
      <c r="AO1252" s="367"/>
      <c r="AP1252" s="367"/>
      <c r="AQ1252" s="367"/>
      <c r="AR1252" s="367"/>
      <c r="AS1252" s="367"/>
      <c r="AT1252" s="367"/>
      <c r="AU1252" s="367"/>
      <c r="AV1252" s="367"/>
      <c r="AW1252" s="367"/>
      <c r="AX1252" s="367"/>
      <c r="AY1252" s="367"/>
      <c r="AZ1252" s="367"/>
      <c r="BA1252" s="367"/>
      <c r="BB1252" s="152"/>
      <c r="BC1252" s="152"/>
      <c r="BD1252" s="367"/>
      <c r="BE1252" s="367"/>
      <c r="BF1252" s="367"/>
      <c r="BG1252" s="367"/>
      <c r="BH1252" s="260"/>
      <c r="BL1252" s="54"/>
    </row>
    <row r="1253" spans="1:64" ht="37.950000000000003" customHeight="1" x14ac:dyDescent="0.3">
      <c r="A1253" s="367">
        <f t="shared" si="23"/>
        <v>1248</v>
      </c>
      <c r="B1253" s="54" t="s">
        <v>3601</v>
      </c>
      <c r="C1253" s="367" t="s">
        <v>3227</v>
      </c>
      <c r="D1253" s="367" t="s">
        <v>262</v>
      </c>
      <c r="E1253" s="367"/>
      <c r="F1253" s="367"/>
      <c r="G1253" s="367"/>
      <c r="H1253" s="367"/>
      <c r="I1253" s="150"/>
      <c r="J1253" s="48"/>
      <c r="K1253" s="48" t="s">
        <v>3594</v>
      </c>
      <c r="L1253" s="367"/>
      <c r="M1253" s="150"/>
      <c r="N1253" s="367"/>
      <c r="O1253" s="367"/>
      <c r="P1253" s="367"/>
      <c r="Q1253" s="367"/>
      <c r="R1253" s="367"/>
      <c r="S1253" s="367"/>
      <c r="T1253" s="367"/>
      <c r="U1253" s="367"/>
      <c r="V1253" s="367"/>
      <c r="W1253" s="367"/>
      <c r="X1253" s="367"/>
      <c r="Y1253" s="367"/>
      <c r="Z1253" s="367"/>
      <c r="AA1253" s="367"/>
      <c r="AB1253" s="150"/>
      <c r="AC1253" s="48" t="s">
        <v>3602</v>
      </c>
      <c r="AD1253" s="150" t="s">
        <v>2427</v>
      </c>
      <c r="AE1253" s="296"/>
      <c r="AF1253" s="296"/>
      <c r="AG1253" s="286">
        <v>46508</v>
      </c>
      <c r="AH1253" s="49">
        <v>46502</v>
      </c>
      <c r="AI1253" s="266">
        <v>46447</v>
      </c>
      <c r="AJ1253" s="150" t="s">
        <v>617</v>
      </c>
      <c r="AK1253" s="150"/>
      <c r="AL1253" s="150"/>
      <c r="AM1253" s="150"/>
      <c r="AN1253" s="367"/>
      <c r="AO1253" s="367"/>
      <c r="AP1253" s="367"/>
      <c r="AQ1253" s="367"/>
      <c r="AR1253" s="367"/>
      <c r="AS1253" s="367"/>
      <c r="AT1253" s="367"/>
      <c r="AU1253" s="367"/>
      <c r="AV1253" s="367"/>
      <c r="AW1253" s="367"/>
      <c r="AX1253" s="367"/>
      <c r="AY1253" s="367"/>
      <c r="AZ1253" s="367"/>
      <c r="BA1253" s="367"/>
      <c r="BB1253" s="152"/>
      <c r="BC1253" s="152"/>
      <c r="BD1253" s="367"/>
      <c r="BE1253" s="367"/>
      <c r="BF1253" s="367"/>
      <c r="BG1253" s="367"/>
      <c r="BH1253" s="260"/>
      <c r="BL1253" s="54"/>
    </row>
    <row r="1254" spans="1:64" ht="37.950000000000003" customHeight="1" x14ac:dyDescent="0.3">
      <c r="A1254" s="367">
        <f t="shared" si="23"/>
        <v>1249</v>
      </c>
      <c r="B1254" s="54" t="s">
        <v>3603</v>
      </c>
      <c r="C1254" s="367" t="s">
        <v>3227</v>
      </c>
      <c r="D1254" s="367" t="s">
        <v>262</v>
      </c>
      <c r="E1254" s="367"/>
      <c r="F1254" s="367"/>
      <c r="G1254" s="367"/>
      <c r="H1254" s="367"/>
      <c r="I1254" s="150"/>
      <c r="J1254" s="48"/>
      <c r="K1254" s="48" t="s">
        <v>3604</v>
      </c>
      <c r="L1254" s="367"/>
      <c r="M1254" s="150"/>
      <c r="N1254" s="367"/>
      <c r="O1254" s="367"/>
      <c r="P1254" s="367"/>
      <c r="Q1254" s="367"/>
      <c r="R1254" s="367"/>
      <c r="S1254" s="367"/>
      <c r="T1254" s="367"/>
      <c r="U1254" s="367"/>
      <c r="V1254" s="367"/>
      <c r="W1254" s="367"/>
      <c r="X1254" s="367"/>
      <c r="Y1254" s="367"/>
      <c r="Z1254" s="367"/>
      <c r="AA1254" s="367"/>
      <c r="AB1254" s="150"/>
      <c r="AC1254" s="48" t="s">
        <v>3605</v>
      </c>
      <c r="AD1254" s="150" t="s">
        <v>2415</v>
      </c>
      <c r="AE1254" s="296"/>
      <c r="AF1254" s="296"/>
      <c r="AG1254" s="286">
        <v>46600</v>
      </c>
      <c r="AH1254" s="49">
        <v>46593</v>
      </c>
      <c r="AI1254" s="266">
        <v>46539</v>
      </c>
      <c r="AJ1254" s="150" t="s">
        <v>617</v>
      </c>
      <c r="AK1254" s="150"/>
      <c r="AL1254" s="150"/>
      <c r="AM1254" s="150"/>
      <c r="AN1254" s="367"/>
      <c r="AO1254" s="367"/>
      <c r="AP1254" s="367"/>
      <c r="AQ1254" s="367"/>
      <c r="AR1254" s="367"/>
      <c r="AS1254" s="367"/>
      <c r="AT1254" s="367"/>
      <c r="AU1254" s="367"/>
      <c r="AV1254" s="367"/>
      <c r="AW1254" s="367"/>
      <c r="AX1254" s="367"/>
      <c r="AY1254" s="367"/>
      <c r="AZ1254" s="367"/>
      <c r="BA1254" s="367"/>
      <c r="BB1254" s="152"/>
      <c r="BC1254" s="152"/>
      <c r="BD1254" s="367"/>
      <c r="BE1254" s="367"/>
      <c r="BF1254" s="367"/>
      <c r="BG1254" s="367"/>
      <c r="BH1254" s="260"/>
      <c r="BL1254" s="54"/>
    </row>
    <row r="1255" spans="1:64" ht="37.950000000000003" customHeight="1" x14ac:dyDescent="0.3">
      <c r="A1255" s="367">
        <f t="shared" si="23"/>
        <v>1250</v>
      </c>
      <c r="B1255" s="54" t="s">
        <v>3606</v>
      </c>
      <c r="C1255" s="367" t="s">
        <v>3227</v>
      </c>
      <c r="D1255" s="367" t="s">
        <v>262</v>
      </c>
      <c r="E1255" s="367"/>
      <c r="F1255" s="367"/>
      <c r="G1255" s="367"/>
      <c r="H1255" s="367"/>
      <c r="I1255" s="150"/>
      <c r="J1255" s="48"/>
      <c r="K1255" s="48" t="s">
        <v>3604</v>
      </c>
      <c r="L1255" s="367"/>
      <c r="M1255" s="150"/>
      <c r="N1255" s="367"/>
      <c r="O1255" s="367"/>
      <c r="P1255" s="367"/>
      <c r="Q1255" s="367"/>
      <c r="R1255" s="367"/>
      <c r="S1255" s="367"/>
      <c r="T1255" s="367"/>
      <c r="U1255" s="367"/>
      <c r="V1255" s="367"/>
      <c r="W1255" s="367"/>
      <c r="X1255" s="367"/>
      <c r="Y1255" s="367"/>
      <c r="Z1255" s="367"/>
      <c r="AA1255" s="367"/>
      <c r="AB1255" s="150"/>
      <c r="AC1255" s="48" t="s">
        <v>3607</v>
      </c>
      <c r="AD1255" s="150" t="s">
        <v>169</v>
      </c>
      <c r="AE1255" s="296"/>
      <c r="AF1255" s="296"/>
      <c r="AG1255" s="286">
        <v>46600</v>
      </c>
      <c r="AH1255" s="49">
        <v>46593</v>
      </c>
      <c r="AI1255" s="266">
        <v>46539</v>
      </c>
      <c r="AJ1255" s="150" t="s">
        <v>617</v>
      </c>
      <c r="AK1255" s="150"/>
      <c r="AL1255" s="150"/>
      <c r="AM1255" s="150"/>
      <c r="AN1255" s="367"/>
      <c r="AO1255" s="367"/>
      <c r="AP1255" s="367"/>
      <c r="AQ1255" s="367"/>
      <c r="AR1255" s="367"/>
      <c r="AS1255" s="367"/>
      <c r="AT1255" s="367"/>
      <c r="AU1255" s="367"/>
      <c r="AV1255" s="367"/>
      <c r="AW1255" s="367"/>
      <c r="AX1255" s="367"/>
      <c r="AY1255" s="367"/>
      <c r="AZ1255" s="367"/>
      <c r="BA1255" s="367"/>
      <c r="BB1255" s="152"/>
      <c r="BC1255" s="152"/>
      <c r="BD1255" s="367"/>
      <c r="BE1255" s="367"/>
      <c r="BF1255" s="367"/>
      <c r="BG1255" s="367"/>
      <c r="BH1255" s="260"/>
      <c r="BL1255" s="54"/>
    </row>
    <row r="1256" spans="1:64" ht="37.950000000000003" customHeight="1" x14ac:dyDescent="0.3">
      <c r="A1256" s="367">
        <f t="shared" si="23"/>
        <v>1251</v>
      </c>
      <c r="B1256" s="54" t="s">
        <v>3608</v>
      </c>
      <c r="C1256" s="367" t="s">
        <v>3227</v>
      </c>
      <c r="D1256" s="367" t="s">
        <v>262</v>
      </c>
      <c r="E1256" s="367"/>
      <c r="F1256" s="367"/>
      <c r="G1256" s="367"/>
      <c r="H1256" s="367"/>
      <c r="I1256" s="150"/>
      <c r="J1256" s="48"/>
      <c r="K1256" s="48" t="s">
        <v>3604</v>
      </c>
      <c r="L1256" s="367"/>
      <c r="M1256" s="150"/>
      <c r="N1256" s="367"/>
      <c r="O1256" s="367"/>
      <c r="P1256" s="367"/>
      <c r="Q1256" s="367"/>
      <c r="R1256" s="367"/>
      <c r="S1256" s="367"/>
      <c r="T1256" s="367"/>
      <c r="U1256" s="367"/>
      <c r="V1256" s="367"/>
      <c r="W1256" s="367"/>
      <c r="X1256" s="367"/>
      <c r="Y1256" s="367"/>
      <c r="Z1256" s="367"/>
      <c r="AA1256" s="367"/>
      <c r="AB1256" s="150"/>
      <c r="AC1256" s="48" t="s">
        <v>3607</v>
      </c>
      <c r="AD1256" s="150" t="s">
        <v>169</v>
      </c>
      <c r="AE1256" s="296"/>
      <c r="AF1256" s="296"/>
      <c r="AG1256" s="286">
        <v>46600</v>
      </c>
      <c r="AH1256" s="49">
        <v>46593</v>
      </c>
      <c r="AI1256" s="266">
        <v>46539</v>
      </c>
      <c r="AJ1256" s="150" t="s">
        <v>617</v>
      </c>
      <c r="AK1256" s="150"/>
      <c r="AL1256" s="150"/>
      <c r="AM1256" s="150"/>
      <c r="AN1256" s="367"/>
      <c r="AO1256" s="367"/>
      <c r="AP1256" s="367"/>
      <c r="AQ1256" s="367"/>
      <c r="AR1256" s="367"/>
      <c r="AS1256" s="367"/>
      <c r="AT1256" s="367"/>
      <c r="AU1256" s="367"/>
      <c r="AV1256" s="367"/>
      <c r="AW1256" s="367"/>
      <c r="AX1256" s="367"/>
      <c r="AY1256" s="367"/>
      <c r="AZ1256" s="367"/>
      <c r="BA1256" s="367"/>
      <c r="BB1256" s="152"/>
      <c r="BC1256" s="152"/>
      <c r="BD1256" s="367"/>
      <c r="BE1256" s="367"/>
      <c r="BF1256" s="367"/>
      <c r="BG1256" s="367"/>
      <c r="BH1256" s="260"/>
      <c r="BL1256" s="54"/>
    </row>
    <row r="1257" spans="1:64" ht="37.950000000000003" customHeight="1" x14ac:dyDescent="0.3">
      <c r="A1257" s="367">
        <f t="shared" si="23"/>
        <v>1252</v>
      </c>
      <c r="B1257" s="54" t="s">
        <v>3609</v>
      </c>
      <c r="C1257" s="367" t="s">
        <v>3227</v>
      </c>
      <c r="D1257" s="367" t="s">
        <v>262</v>
      </c>
      <c r="E1257" s="367"/>
      <c r="F1257" s="367"/>
      <c r="G1257" s="367"/>
      <c r="H1257" s="367"/>
      <c r="I1257" s="150"/>
      <c r="J1257" s="48"/>
      <c r="K1257" s="48" t="s">
        <v>3604</v>
      </c>
      <c r="L1257" s="367"/>
      <c r="M1257" s="150"/>
      <c r="N1257" s="367"/>
      <c r="O1257" s="367"/>
      <c r="P1257" s="367"/>
      <c r="Q1257" s="367"/>
      <c r="R1257" s="367"/>
      <c r="S1257" s="367"/>
      <c r="T1257" s="367"/>
      <c r="U1257" s="367"/>
      <c r="V1257" s="367"/>
      <c r="W1257" s="367"/>
      <c r="X1257" s="367"/>
      <c r="Y1257" s="367"/>
      <c r="Z1257" s="367"/>
      <c r="AA1257" s="367"/>
      <c r="AB1257" s="150"/>
      <c r="AC1257" s="48" t="s">
        <v>3610</v>
      </c>
      <c r="AD1257" s="150" t="s">
        <v>238</v>
      </c>
      <c r="AE1257" s="296"/>
      <c r="AF1257" s="296"/>
      <c r="AG1257" s="286">
        <v>46600</v>
      </c>
      <c r="AH1257" s="49">
        <v>46593</v>
      </c>
      <c r="AI1257" s="266">
        <v>46539</v>
      </c>
      <c r="AJ1257" s="150" t="s">
        <v>617</v>
      </c>
      <c r="AK1257" s="150"/>
      <c r="AL1257" s="150"/>
      <c r="AM1257" s="150"/>
      <c r="AN1257" s="367"/>
      <c r="AO1257" s="367"/>
      <c r="AP1257" s="367"/>
      <c r="AQ1257" s="367"/>
      <c r="AR1257" s="367"/>
      <c r="AS1257" s="367"/>
      <c r="AT1257" s="367"/>
      <c r="AU1257" s="367"/>
      <c r="AV1257" s="367"/>
      <c r="AW1257" s="367"/>
      <c r="AX1257" s="367"/>
      <c r="AY1257" s="367"/>
      <c r="AZ1257" s="367"/>
      <c r="BA1257" s="367"/>
      <c r="BB1257" s="152"/>
      <c r="BC1257" s="152"/>
      <c r="BD1257" s="367"/>
      <c r="BE1257" s="367"/>
      <c r="BF1257" s="367"/>
      <c r="BG1257" s="367"/>
      <c r="BH1257" s="260"/>
      <c r="BL1257" s="54"/>
    </row>
    <row r="1258" spans="1:64" ht="37.950000000000003" customHeight="1" x14ac:dyDescent="0.3">
      <c r="A1258" s="367">
        <f t="shared" si="23"/>
        <v>1253</v>
      </c>
      <c r="B1258" s="54" t="s">
        <v>3611</v>
      </c>
      <c r="C1258" s="367" t="s">
        <v>3227</v>
      </c>
      <c r="D1258" s="367" t="s">
        <v>262</v>
      </c>
      <c r="E1258" s="367"/>
      <c r="F1258" s="367"/>
      <c r="G1258" s="367"/>
      <c r="H1258" s="367"/>
      <c r="I1258" s="150"/>
      <c r="J1258" s="48"/>
      <c r="K1258" s="48" t="s">
        <v>3604</v>
      </c>
      <c r="L1258" s="367"/>
      <c r="M1258" s="150"/>
      <c r="N1258" s="367"/>
      <c r="O1258" s="367"/>
      <c r="P1258" s="367"/>
      <c r="Q1258" s="367"/>
      <c r="R1258" s="367"/>
      <c r="S1258" s="367"/>
      <c r="T1258" s="367"/>
      <c r="U1258" s="367"/>
      <c r="V1258" s="367"/>
      <c r="W1258" s="367"/>
      <c r="X1258" s="367"/>
      <c r="Y1258" s="367"/>
      <c r="Z1258" s="367"/>
      <c r="AA1258" s="367"/>
      <c r="AB1258" s="150"/>
      <c r="AC1258" s="48" t="s">
        <v>3612</v>
      </c>
      <c r="AD1258" s="150" t="s">
        <v>2427</v>
      </c>
      <c r="AE1258" s="296"/>
      <c r="AF1258" s="296"/>
      <c r="AG1258" s="286">
        <v>46600</v>
      </c>
      <c r="AH1258" s="49">
        <v>46593</v>
      </c>
      <c r="AI1258" s="266">
        <v>46539</v>
      </c>
      <c r="AJ1258" s="150" t="s">
        <v>617</v>
      </c>
      <c r="AK1258" s="150"/>
      <c r="AL1258" s="150"/>
      <c r="AM1258" s="150"/>
      <c r="AN1258" s="367"/>
      <c r="AO1258" s="367"/>
      <c r="AP1258" s="367"/>
      <c r="AQ1258" s="367"/>
      <c r="AR1258" s="367"/>
      <c r="AS1258" s="367"/>
      <c r="AT1258" s="367"/>
      <c r="AU1258" s="367"/>
      <c r="AV1258" s="367"/>
      <c r="AW1258" s="367"/>
      <c r="AX1258" s="367"/>
      <c r="AY1258" s="367"/>
      <c r="AZ1258" s="367"/>
      <c r="BA1258" s="367"/>
      <c r="BB1258" s="152"/>
      <c r="BC1258" s="152"/>
      <c r="BD1258" s="367"/>
      <c r="BE1258" s="367"/>
      <c r="BF1258" s="367"/>
      <c r="BG1258" s="367"/>
      <c r="BH1258" s="260"/>
      <c r="BL1258" s="54"/>
    </row>
    <row r="1259" spans="1:64" ht="37.950000000000003" customHeight="1" x14ac:dyDescent="0.3">
      <c r="A1259" s="367">
        <f t="shared" si="23"/>
        <v>1254</v>
      </c>
      <c r="B1259" s="54" t="s">
        <v>3613</v>
      </c>
      <c r="C1259" s="367" t="s">
        <v>3227</v>
      </c>
      <c r="D1259" s="367" t="s">
        <v>262</v>
      </c>
      <c r="E1259" s="367"/>
      <c r="F1259" s="367"/>
      <c r="G1259" s="367"/>
      <c r="H1259" s="367"/>
      <c r="I1259" s="150"/>
      <c r="J1259" s="48"/>
      <c r="K1259" s="48" t="s">
        <v>3614</v>
      </c>
      <c r="L1259" s="367"/>
      <c r="M1259" s="150"/>
      <c r="N1259" s="367"/>
      <c r="O1259" s="367"/>
      <c r="P1259" s="367"/>
      <c r="Q1259" s="367"/>
      <c r="R1259" s="367"/>
      <c r="S1259" s="367"/>
      <c r="T1259" s="367"/>
      <c r="U1259" s="367"/>
      <c r="V1259" s="367"/>
      <c r="W1259" s="367"/>
      <c r="X1259" s="367"/>
      <c r="Y1259" s="367"/>
      <c r="Z1259" s="367"/>
      <c r="AA1259" s="367"/>
      <c r="AB1259" s="150"/>
      <c r="AC1259" s="48" t="s">
        <v>3615</v>
      </c>
      <c r="AD1259" s="150" t="s">
        <v>2415</v>
      </c>
      <c r="AE1259" s="296"/>
      <c r="AF1259" s="296"/>
      <c r="AG1259" s="286">
        <v>46508</v>
      </c>
      <c r="AH1259" s="49">
        <v>46502</v>
      </c>
      <c r="AI1259" s="266">
        <v>46447</v>
      </c>
      <c r="AJ1259" s="150" t="s">
        <v>617</v>
      </c>
      <c r="AK1259" s="150"/>
      <c r="AL1259" s="150"/>
      <c r="AM1259" s="150"/>
      <c r="AN1259" s="367"/>
      <c r="AO1259" s="367"/>
      <c r="AP1259" s="367"/>
      <c r="AQ1259" s="367"/>
      <c r="AR1259" s="367"/>
      <c r="AS1259" s="367"/>
      <c r="AT1259" s="367"/>
      <c r="AU1259" s="367"/>
      <c r="AV1259" s="367"/>
      <c r="AW1259" s="367"/>
      <c r="AX1259" s="367"/>
      <c r="AY1259" s="367"/>
      <c r="AZ1259" s="367"/>
      <c r="BA1259" s="367"/>
      <c r="BB1259" s="152"/>
      <c r="BC1259" s="152"/>
      <c r="BD1259" s="367"/>
      <c r="BE1259" s="367"/>
      <c r="BF1259" s="367"/>
      <c r="BG1259" s="367"/>
      <c r="BH1259" s="260"/>
      <c r="BL1259" s="54"/>
    </row>
    <row r="1260" spans="1:64" ht="37.950000000000003" customHeight="1" x14ac:dyDescent="0.3">
      <c r="A1260" s="367">
        <f t="shared" si="23"/>
        <v>1255</v>
      </c>
      <c r="B1260" s="54" t="s">
        <v>3616</v>
      </c>
      <c r="C1260" s="367" t="s">
        <v>3227</v>
      </c>
      <c r="D1260" s="367" t="s">
        <v>262</v>
      </c>
      <c r="E1260" s="367"/>
      <c r="F1260" s="367"/>
      <c r="G1260" s="367"/>
      <c r="H1260" s="367"/>
      <c r="I1260" s="150"/>
      <c r="J1260" s="48"/>
      <c r="K1260" s="48" t="s">
        <v>3614</v>
      </c>
      <c r="L1260" s="367"/>
      <c r="M1260" s="150"/>
      <c r="N1260" s="367"/>
      <c r="O1260" s="367"/>
      <c r="P1260" s="367"/>
      <c r="Q1260" s="367"/>
      <c r="R1260" s="367"/>
      <c r="S1260" s="367"/>
      <c r="T1260" s="367"/>
      <c r="U1260" s="367"/>
      <c r="V1260" s="367"/>
      <c r="W1260" s="367"/>
      <c r="X1260" s="367"/>
      <c r="Y1260" s="367"/>
      <c r="Z1260" s="367"/>
      <c r="AA1260" s="367"/>
      <c r="AB1260" s="150"/>
      <c r="AC1260" s="48" t="s">
        <v>3617</v>
      </c>
      <c r="AD1260" s="150" t="s">
        <v>169</v>
      </c>
      <c r="AE1260" s="296"/>
      <c r="AF1260" s="296"/>
      <c r="AG1260" s="286">
        <v>46508</v>
      </c>
      <c r="AH1260" s="49">
        <v>46502</v>
      </c>
      <c r="AI1260" s="266">
        <v>46447</v>
      </c>
      <c r="AJ1260" s="150" t="s">
        <v>617</v>
      </c>
      <c r="AK1260" s="150"/>
      <c r="AL1260" s="150"/>
      <c r="AM1260" s="150"/>
      <c r="AN1260" s="367"/>
      <c r="AO1260" s="367"/>
      <c r="AP1260" s="367"/>
      <c r="AQ1260" s="367"/>
      <c r="AR1260" s="367"/>
      <c r="AS1260" s="367"/>
      <c r="AT1260" s="367"/>
      <c r="AU1260" s="367"/>
      <c r="AV1260" s="367"/>
      <c r="AW1260" s="367"/>
      <c r="AX1260" s="367"/>
      <c r="AY1260" s="367"/>
      <c r="AZ1260" s="367"/>
      <c r="BA1260" s="367"/>
      <c r="BB1260" s="152"/>
      <c r="BC1260" s="152"/>
      <c r="BD1260" s="367"/>
      <c r="BE1260" s="367"/>
      <c r="BF1260" s="367"/>
      <c r="BG1260" s="367"/>
      <c r="BH1260" s="260"/>
      <c r="BL1260" s="54"/>
    </row>
    <row r="1261" spans="1:64" ht="37.950000000000003" customHeight="1" x14ac:dyDescent="0.3">
      <c r="A1261" s="367">
        <f t="shared" si="23"/>
        <v>1256</v>
      </c>
      <c r="B1261" s="54" t="s">
        <v>3618</v>
      </c>
      <c r="C1261" s="367" t="s">
        <v>3227</v>
      </c>
      <c r="D1261" s="367" t="s">
        <v>262</v>
      </c>
      <c r="E1261" s="367"/>
      <c r="F1261" s="367"/>
      <c r="G1261" s="367"/>
      <c r="H1261" s="367"/>
      <c r="I1261" s="150"/>
      <c r="J1261" s="48"/>
      <c r="K1261" s="48" t="s">
        <v>3614</v>
      </c>
      <c r="L1261" s="367"/>
      <c r="M1261" s="150"/>
      <c r="N1261" s="367"/>
      <c r="O1261" s="367"/>
      <c r="P1261" s="367"/>
      <c r="Q1261" s="367"/>
      <c r="R1261" s="367"/>
      <c r="S1261" s="367"/>
      <c r="T1261" s="367"/>
      <c r="U1261" s="367"/>
      <c r="V1261" s="367"/>
      <c r="W1261" s="367"/>
      <c r="X1261" s="367"/>
      <c r="Y1261" s="367"/>
      <c r="Z1261" s="367"/>
      <c r="AA1261" s="367"/>
      <c r="AB1261" s="150"/>
      <c r="AC1261" s="48" t="s">
        <v>3619</v>
      </c>
      <c r="AD1261" s="150" t="s">
        <v>3589</v>
      </c>
      <c r="AE1261" s="296"/>
      <c r="AF1261" s="296"/>
      <c r="AG1261" s="286">
        <v>46508</v>
      </c>
      <c r="AH1261" s="49">
        <v>46502</v>
      </c>
      <c r="AI1261" s="266">
        <v>46447</v>
      </c>
      <c r="AJ1261" s="150" t="s">
        <v>617</v>
      </c>
      <c r="AK1261" s="150"/>
      <c r="AL1261" s="150"/>
      <c r="AM1261" s="150"/>
      <c r="AN1261" s="367"/>
      <c r="AO1261" s="367"/>
      <c r="AP1261" s="367"/>
      <c r="AQ1261" s="367"/>
      <c r="AR1261" s="367"/>
      <c r="AS1261" s="367"/>
      <c r="AT1261" s="367"/>
      <c r="AU1261" s="367"/>
      <c r="AV1261" s="367"/>
      <c r="AW1261" s="367"/>
      <c r="AX1261" s="367"/>
      <c r="AY1261" s="367"/>
      <c r="AZ1261" s="367"/>
      <c r="BA1261" s="367"/>
      <c r="BB1261" s="152"/>
      <c r="BC1261" s="152"/>
      <c r="BD1261" s="367"/>
      <c r="BE1261" s="367"/>
      <c r="BF1261" s="367"/>
      <c r="BG1261" s="367"/>
      <c r="BH1261" s="260"/>
      <c r="BL1261" s="54"/>
    </row>
    <row r="1262" spans="1:64" ht="37.950000000000003" customHeight="1" x14ac:dyDescent="0.3">
      <c r="A1262" s="367">
        <f t="shared" si="23"/>
        <v>1257</v>
      </c>
      <c r="B1262" s="54" t="s">
        <v>3620</v>
      </c>
      <c r="C1262" s="367" t="s">
        <v>3227</v>
      </c>
      <c r="D1262" s="367" t="s">
        <v>262</v>
      </c>
      <c r="E1262" s="367"/>
      <c r="F1262" s="367"/>
      <c r="G1262" s="367"/>
      <c r="H1262" s="367"/>
      <c r="I1262" s="150"/>
      <c r="J1262" s="48"/>
      <c r="K1262" s="48" t="s">
        <v>3614</v>
      </c>
      <c r="L1262" s="367"/>
      <c r="M1262" s="150"/>
      <c r="N1262" s="367"/>
      <c r="O1262" s="367"/>
      <c r="P1262" s="367"/>
      <c r="Q1262" s="367"/>
      <c r="R1262" s="367"/>
      <c r="S1262" s="367"/>
      <c r="T1262" s="367"/>
      <c r="U1262" s="367"/>
      <c r="V1262" s="367"/>
      <c r="W1262" s="367"/>
      <c r="X1262" s="367"/>
      <c r="Y1262" s="367"/>
      <c r="Z1262" s="367"/>
      <c r="AA1262" s="367"/>
      <c r="AB1262" s="150"/>
      <c r="AC1262" s="48" t="s">
        <v>3619</v>
      </c>
      <c r="AD1262" s="150" t="s">
        <v>3589</v>
      </c>
      <c r="AE1262" s="296"/>
      <c r="AF1262" s="296"/>
      <c r="AG1262" s="286">
        <v>46508</v>
      </c>
      <c r="AH1262" s="49">
        <v>46502</v>
      </c>
      <c r="AI1262" s="266">
        <v>46447</v>
      </c>
      <c r="AJ1262" s="150" t="s">
        <v>617</v>
      </c>
      <c r="AK1262" s="150"/>
      <c r="AL1262" s="150"/>
      <c r="AM1262" s="150"/>
      <c r="AN1262" s="367"/>
      <c r="AO1262" s="367"/>
      <c r="AP1262" s="367"/>
      <c r="AQ1262" s="367"/>
      <c r="AR1262" s="367"/>
      <c r="AS1262" s="367"/>
      <c r="AT1262" s="367"/>
      <c r="AU1262" s="367"/>
      <c r="AV1262" s="367"/>
      <c r="AW1262" s="367"/>
      <c r="AX1262" s="367"/>
      <c r="AY1262" s="367"/>
      <c r="AZ1262" s="367"/>
      <c r="BA1262" s="367"/>
      <c r="BB1262" s="152"/>
      <c r="BC1262" s="152"/>
      <c r="BD1262" s="367"/>
      <c r="BE1262" s="367"/>
      <c r="BF1262" s="367"/>
      <c r="BG1262" s="367"/>
      <c r="BH1262" s="260"/>
      <c r="BL1262" s="54"/>
    </row>
    <row r="1263" spans="1:64" ht="37.950000000000003" customHeight="1" x14ac:dyDescent="0.3">
      <c r="A1263" s="367">
        <f t="shared" si="23"/>
        <v>1258</v>
      </c>
      <c r="B1263" s="54" t="s">
        <v>3621</v>
      </c>
      <c r="C1263" s="367" t="s">
        <v>3227</v>
      </c>
      <c r="D1263" s="367" t="s">
        <v>262</v>
      </c>
      <c r="E1263" s="367"/>
      <c r="F1263" s="367"/>
      <c r="G1263" s="367"/>
      <c r="H1263" s="367"/>
      <c r="I1263" s="150"/>
      <c r="J1263" s="48"/>
      <c r="K1263" s="48" t="s">
        <v>3614</v>
      </c>
      <c r="L1263" s="367"/>
      <c r="M1263" s="150"/>
      <c r="N1263" s="367"/>
      <c r="O1263" s="367"/>
      <c r="P1263" s="367"/>
      <c r="Q1263" s="367"/>
      <c r="R1263" s="367"/>
      <c r="S1263" s="367"/>
      <c r="T1263" s="367"/>
      <c r="U1263" s="367"/>
      <c r="V1263" s="367"/>
      <c r="W1263" s="367"/>
      <c r="X1263" s="367"/>
      <c r="Y1263" s="367"/>
      <c r="Z1263" s="367"/>
      <c r="AA1263" s="367"/>
      <c r="AB1263" s="150"/>
      <c r="AC1263" s="48" t="s">
        <v>3617</v>
      </c>
      <c r="AD1263" s="150" t="s">
        <v>169</v>
      </c>
      <c r="AE1263" s="296"/>
      <c r="AF1263" s="296"/>
      <c r="AG1263" s="286">
        <v>46508</v>
      </c>
      <c r="AH1263" s="49">
        <v>46502</v>
      </c>
      <c r="AI1263" s="266">
        <v>46447</v>
      </c>
      <c r="AJ1263" s="150" t="s">
        <v>617</v>
      </c>
      <c r="AK1263" s="150"/>
      <c r="AL1263" s="150"/>
      <c r="AM1263" s="150"/>
      <c r="AN1263" s="367"/>
      <c r="AO1263" s="367"/>
      <c r="AP1263" s="367"/>
      <c r="AQ1263" s="367"/>
      <c r="AR1263" s="367"/>
      <c r="AS1263" s="367"/>
      <c r="AT1263" s="367"/>
      <c r="AU1263" s="367"/>
      <c r="AV1263" s="367"/>
      <c r="AW1263" s="367"/>
      <c r="AX1263" s="367"/>
      <c r="AY1263" s="367"/>
      <c r="AZ1263" s="367"/>
      <c r="BA1263" s="367"/>
      <c r="BB1263" s="152"/>
      <c r="BC1263" s="152"/>
      <c r="BD1263" s="367"/>
      <c r="BE1263" s="367"/>
      <c r="BF1263" s="367"/>
      <c r="BG1263" s="367"/>
      <c r="BH1263" s="260"/>
      <c r="BL1263" s="54"/>
    </row>
    <row r="1264" spans="1:64" ht="37.950000000000003" customHeight="1" x14ac:dyDescent="0.3">
      <c r="A1264" s="367">
        <f t="shared" si="23"/>
        <v>1259</v>
      </c>
      <c r="B1264" s="54" t="s">
        <v>3622</v>
      </c>
      <c r="C1264" s="367" t="s">
        <v>3227</v>
      </c>
      <c r="D1264" s="367" t="s">
        <v>262</v>
      </c>
      <c r="E1264" s="367"/>
      <c r="F1264" s="367"/>
      <c r="G1264" s="367"/>
      <c r="H1264" s="367"/>
      <c r="I1264" s="150"/>
      <c r="J1264" s="48"/>
      <c r="K1264" s="48" t="s">
        <v>3614</v>
      </c>
      <c r="L1264" s="367"/>
      <c r="M1264" s="150"/>
      <c r="N1264" s="367"/>
      <c r="O1264" s="367"/>
      <c r="P1264" s="367"/>
      <c r="Q1264" s="367"/>
      <c r="R1264" s="367"/>
      <c r="S1264" s="367"/>
      <c r="T1264" s="367"/>
      <c r="U1264" s="367"/>
      <c r="V1264" s="367"/>
      <c r="W1264" s="367"/>
      <c r="X1264" s="367"/>
      <c r="Y1264" s="367"/>
      <c r="Z1264" s="367"/>
      <c r="AA1264" s="367"/>
      <c r="AB1264" s="150"/>
      <c r="AC1264" s="48" t="s">
        <v>3619</v>
      </c>
      <c r="AD1264" s="150" t="s">
        <v>3589</v>
      </c>
      <c r="AE1264" s="296"/>
      <c r="AF1264" s="296"/>
      <c r="AG1264" s="286">
        <v>46508</v>
      </c>
      <c r="AH1264" s="49">
        <v>46502</v>
      </c>
      <c r="AI1264" s="266">
        <v>46447</v>
      </c>
      <c r="AJ1264" s="150" t="s">
        <v>617</v>
      </c>
      <c r="AK1264" s="150"/>
      <c r="AL1264" s="150"/>
      <c r="AM1264" s="150"/>
      <c r="AN1264" s="367"/>
      <c r="AO1264" s="367"/>
      <c r="AP1264" s="367"/>
      <c r="AQ1264" s="367"/>
      <c r="AR1264" s="367"/>
      <c r="AS1264" s="367"/>
      <c r="AT1264" s="367"/>
      <c r="AU1264" s="367"/>
      <c r="AV1264" s="367"/>
      <c r="AW1264" s="367"/>
      <c r="AX1264" s="367"/>
      <c r="AY1264" s="367"/>
      <c r="AZ1264" s="367"/>
      <c r="BA1264" s="367"/>
      <c r="BB1264" s="152"/>
      <c r="BC1264" s="152"/>
      <c r="BD1264" s="367"/>
      <c r="BE1264" s="367"/>
      <c r="BF1264" s="367"/>
      <c r="BG1264" s="367"/>
      <c r="BH1264" s="260"/>
      <c r="BL1264" s="54"/>
    </row>
    <row r="1265" spans="1:64" ht="37.950000000000003" customHeight="1" x14ac:dyDescent="0.3">
      <c r="A1265" s="367">
        <f t="shared" si="23"/>
        <v>1260</v>
      </c>
      <c r="B1265" s="54" t="s">
        <v>3623</v>
      </c>
      <c r="C1265" s="367" t="s">
        <v>3227</v>
      </c>
      <c r="D1265" s="367" t="s">
        <v>262</v>
      </c>
      <c r="E1265" s="367"/>
      <c r="F1265" s="367"/>
      <c r="G1265" s="367"/>
      <c r="H1265" s="367"/>
      <c r="I1265" s="150"/>
      <c r="J1265" s="48"/>
      <c r="K1265" s="48" t="s">
        <v>3614</v>
      </c>
      <c r="L1265" s="367"/>
      <c r="M1265" s="150"/>
      <c r="N1265" s="367"/>
      <c r="O1265" s="367"/>
      <c r="P1265" s="367"/>
      <c r="Q1265" s="367"/>
      <c r="R1265" s="367"/>
      <c r="S1265" s="367"/>
      <c r="T1265" s="367"/>
      <c r="U1265" s="367"/>
      <c r="V1265" s="367"/>
      <c r="W1265" s="367"/>
      <c r="X1265" s="367"/>
      <c r="Y1265" s="367"/>
      <c r="Z1265" s="367"/>
      <c r="AA1265" s="367"/>
      <c r="AB1265" s="150"/>
      <c r="AC1265" s="48" t="s">
        <v>3624</v>
      </c>
      <c r="AD1265" s="150" t="s">
        <v>2427</v>
      </c>
      <c r="AE1265" s="296"/>
      <c r="AF1265" s="296"/>
      <c r="AG1265" s="286">
        <v>46508</v>
      </c>
      <c r="AH1265" s="49">
        <v>46502</v>
      </c>
      <c r="AI1265" s="266">
        <v>46447</v>
      </c>
      <c r="AJ1265" s="150" t="s">
        <v>617</v>
      </c>
      <c r="AK1265" s="150"/>
      <c r="AL1265" s="150"/>
      <c r="AM1265" s="150"/>
      <c r="AN1265" s="367"/>
      <c r="AO1265" s="367"/>
      <c r="AP1265" s="367"/>
      <c r="AQ1265" s="367"/>
      <c r="AR1265" s="367"/>
      <c r="AS1265" s="367"/>
      <c r="AT1265" s="367"/>
      <c r="AU1265" s="367"/>
      <c r="AV1265" s="367"/>
      <c r="AW1265" s="367"/>
      <c r="AX1265" s="367"/>
      <c r="AY1265" s="367"/>
      <c r="AZ1265" s="367"/>
      <c r="BA1265" s="367"/>
      <c r="BB1265" s="152"/>
      <c r="BC1265" s="152"/>
      <c r="BD1265" s="367"/>
      <c r="BE1265" s="367"/>
      <c r="BF1265" s="367"/>
      <c r="BG1265" s="367"/>
      <c r="BH1265" s="260"/>
      <c r="BL1265" s="54"/>
    </row>
    <row r="1266" spans="1:64" ht="37.950000000000003" customHeight="1" x14ac:dyDescent="0.3">
      <c r="A1266" s="367">
        <f t="shared" si="23"/>
        <v>1261</v>
      </c>
      <c r="B1266" s="54" t="s">
        <v>3625</v>
      </c>
      <c r="C1266" s="367" t="s">
        <v>3227</v>
      </c>
      <c r="D1266" s="367" t="s">
        <v>262</v>
      </c>
      <c r="E1266" s="367"/>
      <c r="F1266" s="367"/>
      <c r="G1266" s="367"/>
      <c r="H1266" s="367"/>
      <c r="I1266" s="150"/>
      <c r="J1266" s="48"/>
      <c r="K1266" s="48" t="s">
        <v>3626</v>
      </c>
      <c r="L1266" s="367"/>
      <c r="M1266" s="150"/>
      <c r="N1266" s="367"/>
      <c r="O1266" s="367"/>
      <c r="P1266" s="367"/>
      <c r="Q1266" s="367"/>
      <c r="R1266" s="367"/>
      <c r="S1266" s="367"/>
      <c r="T1266" s="367"/>
      <c r="U1266" s="367"/>
      <c r="V1266" s="367"/>
      <c r="W1266" s="367"/>
      <c r="X1266" s="367"/>
      <c r="Y1266" s="367"/>
      <c r="Z1266" s="367"/>
      <c r="AA1266" s="367"/>
      <c r="AB1266" s="150"/>
      <c r="AC1266" s="48" t="s">
        <v>3627</v>
      </c>
      <c r="AD1266" s="150" t="s">
        <v>2415</v>
      </c>
      <c r="AE1266" s="296"/>
      <c r="AF1266" s="296"/>
      <c r="AG1266" s="286">
        <v>46600</v>
      </c>
      <c r="AH1266" s="49">
        <v>46593</v>
      </c>
      <c r="AI1266" s="266">
        <v>46539</v>
      </c>
      <c r="AJ1266" s="150" t="s">
        <v>617</v>
      </c>
      <c r="AK1266" s="150"/>
      <c r="AL1266" s="150"/>
      <c r="AM1266" s="150"/>
      <c r="AN1266" s="367"/>
      <c r="AO1266" s="367"/>
      <c r="AP1266" s="367"/>
      <c r="AQ1266" s="367"/>
      <c r="AR1266" s="367"/>
      <c r="AS1266" s="367"/>
      <c r="AT1266" s="367"/>
      <c r="AU1266" s="367"/>
      <c r="AV1266" s="367"/>
      <c r="AW1266" s="367"/>
      <c r="AX1266" s="367"/>
      <c r="AY1266" s="367"/>
      <c r="AZ1266" s="367"/>
      <c r="BA1266" s="367"/>
      <c r="BB1266" s="152"/>
      <c r="BC1266" s="152"/>
      <c r="BD1266" s="367"/>
      <c r="BE1266" s="367"/>
      <c r="BF1266" s="367"/>
      <c r="BG1266" s="367"/>
      <c r="BH1266" s="260"/>
      <c r="BL1266" s="54"/>
    </row>
    <row r="1267" spans="1:64" ht="37.950000000000003" customHeight="1" x14ac:dyDescent="0.3">
      <c r="A1267" s="367">
        <f t="shared" si="23"/>
        <v>1262</v>
      </c>
      <c r="B1267" s="54" t="s">
        <v>3628</v>
      </c>
      <c r="C1267" s="367" t="s">
        <v>3227</v>
      </c>
      <c r="D1267" s="367" t="s">
        <v>262</v>
      </c>
      <c r="E1267" s="367"/>
      <c r="F1267" s="367"/>
      <c r="G1267" s="367"/>
      <c r="H1267" s="367"/>
      <c r="I1267" s="150"/>
      <c r="J1267" s="48"/>
      <c r="K1267" s="48" t="s">
        <v>3626</v>
      </c>
      <c r="L1267" s="367"/>
      <c r="M1267" s="150"/>
      <c r="N1267" s="367"/>
      <c r="O1267" s="367"/>
      <c r="P1267" s="367"/>
      <c r="Q1267" s="367"/>
      <c r="R1267" s="367"/>
      <c r="S1267" s="367"/>
      <c r="T1267" s="367"/>
      <c r="U1267" s="367"/>
      <c r="V1267" s="367"/>
      <c r="W1267" s="367"/>
      <c r="X1267" s="367"/>
      <c r="Y1267" s="367"/>
      <c r="Z1267" s="367"/>
      <c r="AA1267" s="367"/>
      <c r="AB1267" s="150"/>
      <c r="AC1267" s="48" t="s">
        <v>3629</v>
      </c>
      <c r="AD1267" s="150" t="s">
        <v>169</v>
      </c>
      <c r="AE1267" s="296"/>
      <c r="AF1267" s="296"/>
      <c r="AG1267" s="286">
        <v>46600</v>
      </c>
      <c r="AH1267" s="49">
        <v>46593</v>
      </c>
      <c r="AI1267" s="266">
        <v>46539</v>
      </c>
      <c r="AJ1267" s="150" t="s">
        <v>617</v>
      </c>
      <c r="AK1267" s="150"/>
      <c r="AL1267" s="150"/>
      <c r="AM1267" s="150"/>
      <c r="AN1267" s="367"/>
      <c r="AO1267" s="367"/>
      <c r="AP1267" s="367"/>
      <c r="AQ1267" s="367"/>
      <c r="AR1267" s="367"/>
      <c r="AS1267" s="367"/>
      <c r="AT1267" s="367"/>
      <c r="AU1267" s="367"/>
      <c r="AV1267" s="367"/>
      <c r="AW1267" s="367"/>
      <c r="AX1267" s="367"/>
      <c r="AY1267" s="367"/>
      <c r="AZ1267" s="367"/>
      <c r="BA1267" s="367"/>
      <c r="BB1267" s="152"/>
      <c r="BC1267" s="152"/>
      <c r="BD1267" s="367"/>
      <c r="BE1267" s="367"/>
      <c r="BF1267" s="367"/>
      <c r="BG1267" s="367"/>
      <c r="BH1267" s="260"/>
      <c r="BL1267" s="54"/>
    </row>
    <row r="1268" spans="1:64" ht="37.950000000000003" customHeight="1" x14ac:dyDescent="0.3">
      <c r="A1268" s="367">
        <f t="shared" si="23"/>
        <v>1263</v>
      </c>
      <c r="B1268" s="54" t="s">
        <v>3630</v>
      </c>
      <c r="C1268" s="367" t="s">
        <v>3227</v>
      </c>
      <c r="D1268" s="367" t="s">
        <v>262</v>
      </c>
      <c r="E1268" s="367"/>
      <c r="F1268" s="367"/>
      <c r="G1268" s="367"/>
      <c r="H1268" s="367"/>
      <c r="I1268" s="150"/>
      <c r="J1268" s="48"/>
      <c r="K1268" s="48" t="s">
        <v>3626</v>
      </c>
      <c r="L1268" s="367"/>
      <c r="M1268" s="150"/>
      <c r="N1268" s="367"/>
      <c r="O1268" s="367"/>
      <c r="P1268" s="367"/>
      <c r="Q1268" s="367"/>
      <c r="R1268" s="367"/>
      <c r="S1268" s="367"/>
      <c r="T1268" s="367"/>
      <c r="U1268" s="367"/>
      <c r="V1268" s="367"/>
      <c r="W1268" s="367"/>
      <c r="X1268" s="367"/>
      <c r="Y1268" s="367"/>
      <c r="Z1268" s="367"/>
      <c r="AA1268" s="367"/>
      <c r="AB1268" s="150"/>
      <c r="AC1268" s="48" t="s">
        <v>3631</v>
      </c>
      <c r="AD1268" s="150" t="s">
        <v>3589</v>
      </c>
      <c r="AE1268" s="296"/>
      <c r="AF1268" s="296"/>
      <c r="AG1268" s="286">
        <v>46600</v>
      </c>
      <c r="AH1268" s="49">
        <v>46593</v>
      </c>
      <c r="AI1268" s="266">
        <v>46539</v>
      </c>
      <c r="AJ1268" s="150" t="s">
        <v>617</v>
      </c>
      <c r="AK1268" s="150"/>
      <c r="AL1268" s="150"/>
      <c r="AM1268" s="150"/>
      <c r="AN1268" s="367"/>
      <c r="AO1268" s="367"/>
      <c r="AP1268" s="367"/>
      <c r="AQ1268" s="367"/>
      <c r="AR1268" s="367"/>
      <c r="AS1268" s="367"/>
      <c r="AT1268" s="367"/>
      <c r="AU1268" s="367"/>
      <c r="AV1268" s="367"/>
      <c r="AW1268" s="367"/>
      <c r="AX1268" s="367"/>
      <c r="AY1268" s="367"/>
      <c r="AZ1268" s="367"/>
      <c r="BA1268" s="367"/>
      <c r="BB1268" s="152"/>
      <c r="BC1268" s="152"/>
      <c r="BD1268" s="367"/>
      <c r="BE1268" s="367"/>
      <c r="BF1268" s="367"/>
      <c r="BG1268" s="367"/>
      <c r="BH1268" s="260"/>
      <c r="BL1268" s="54"/>
    </row>
    <row r="1269" spans="1:64" ht="37.950000000000003" customHeight="1" x14ac:dyDescent="0.3">
      <c r="A1269" s="367">
        <f t="shared" si="23"/>
        <v>1264</v>
      </c>
      <c r="B1269" s="54" t="s">
        <v>3632</v>
      </c>
      <c r="C1269" s="367" t="s">
        <v>3227</v>
      </c>
      <c r="D1269" s="367" t="s">
        <v>262</v>
      </c>
      <c r="E1269" s="367"/>
      <c r="F1269" s="367"/>
      <c r="G1269" s="367"/>
      <c r="H1269" s="367"/>
      <c r="I1269" s="150"/>
      <c r="J1269" s="48"/>
      <c r="K1269" s="48" t="s">
        <v>3626</v>
      </c>
      <c r="L1269" s="367"/>
      <c r="M1269" s="150"/>
      <c r="N1269" s="367"/>
      <c r="O1269" s="367"/>
      <c r="P1269" s="367"/>
      <c r="Q1269" s="367"/>
      <c r="R1269" s="367"/>
      <c r="S1269" s="367"/>
      <c r="T1269" s="367"/>
      <c r="U1269" s="367"/>
      <c r="V1269" s="367"/>
      <c r="W1269" s="367"/>
      <c r="X1269" s="367"/>
      <c r="Y1269" s="367"/>
      <c r="Z1269" s="367"/>
      <c r="AA1269" s="367"/>
      <c r="AB1269" s="150"/>
      <c r="AC1269" s="48" t="s">
        <v>3631</v>
      </c>
      <c r="AD1269" s="150" t="s">
        <v>3589</v>
      </c>
      <c r="AE1269" s="296"/>
      <c r="AF1269" s="296"/>
      <c r="AG1269" s="286">
        <v>46600</v>
      </c>
      <c r="AH1269" s="49">
        <v>46593</v>
      </c>
      <c r="AI1269" s="266">
        <v>46539</v>
      </c>
      <c r="AJ1269" s="150" t="s">
        <v>617</v>
      </c>
      <c r="AK1269" s="150"/>
      <c r="AL1269" s="150"/>
      <c r="AM1269" s="150"/>
      <c r="AN1269" s="367"/>
      <c r="AO1269" s="367"/>
      <c r="AP1269" s="367"/>
      <c r="AQ1269" s="367"/>
      <c r="AR1269" s="367"/>
      <c r="AS1269" s="367"/>
      <c r="AT1269" s="367"/>
      <c r="AU1269" s="367"/>
      <c r="AV1269" s="367"/>
      <c r="AW1269" s="367"/>
      <c r="AX1269" s="367"/>
      <c r="AY1269" s="367"/>
      <c r="AZ1269" s="367"/>
      <c r="BA1269" s="367"/>
      <c r="BB1269" s="152"/>
      <c r="BC1269" s="152"/>
      <c r="BD1269" s="367"/>
      <c r="BE1269" s="367"/>
      <c r="BF1269" s="367"/>
      <c r="BG1269" s="367"/>
      <c r="BH1269" s="260"/>
      <c r="BL1269" s="54"/>
    </row>
    <row r="1270" spans="1:64" ht="37.950000000000003" customHeight="1" x14ac:dyDescent="0.3">
      <c r="A1270" s="367">
        <f t="shared" si="23"/>
        <v>1265</v>
      </c>
      <c r="B1270" s="54" t="s">
        <v>3633</v>
      </c>
      <c r="C1270" s="367" t="s">
        <v>3227</v>
      </c>
      <c r="D1270" s="367" t="s">
        <v>262</v>
      </c>
      <c r="E1270" s="367"/>
      <c r="F1270" s="367"/>
      <c r="G1270" s="367"/>
      <c r="H1270" s="367"/>
      <c r="I1270" s="150"/>
      <c r="J1270" s="48"/>
      <c r="K1270" s="48" t="s">
        <v>3626</v>
      </c>
      <c r="L1270" s="367"/>
      <c r="M1270" s="150"/>
      <c r="N1270" s="367"/>
      <c r="O1270" s="367"/>
      <c r="P1270" s="367"/>
      <c r="Q1270" s="367"/>
      <c r="R1270" s="367"/>
      <c r="S1270" s="367"/>
      <c r="T1270" s="367"/>
      <c r="U1270" s="367"/>
      <c r="V1270" s="367"/>
      <c r="W1270" s="367"/>
      <c r="X1270" s="367"/>
      <c r="Y1270" s="367"/>
      <c r="Z1270" s="367"/>
      <c r="AA1270" s="367"/>
      <c r="AB1270" s="150"/>
      <c r="AC1270" s="48" t="s">
        <v>3629</v>
      </c>
      <c r="AD1270" s="150" t="s">
        <v>169</v>
      </c>
      <c r="AE1270" s="296"/>
      <c r="AF1270" s="296"/>
      <c r="AG1270" s="286">
        <v>46600</v>
      </c>
      <c r="AH1270" s="49">
        <v>46593</v>
      </c>
      <c r="AI1270" s="266">
        <v>46539</v>
      </c>
      <c r="AJ1270" s="150" t="s">
        <v>617</v>
      </c>
      <c r="AK1270" s="150"/>
      <c r="AL1270" s="150"/>
      <c r="AM1270" s="150"/>
      <c r="AN1270" s="367"/>
      <c r="AO1270" s="367"/>
      <c r="AP1270" s="367"/>
      <c r="AQ1270" s="367"/>
      <c r="AR1270" s="367"/>
      <c r="AS1270" s="367"/>
      <c r="AT1270" s="367"/>
      <c r="AU1270" s="367"/>
      <c r="AV1270" s="367"/>
      <c r="AW1270" s="367"/>
      <c r="AX1270" s="367"/>
      <c r="AY1270" s="367"/>
      <c r="AZ1270" s="367"/>
      <c r="BA1270" s="367"/>
      <c r="BB1270" s="152"/>
      <c r="BC1270" s="152"/>
      <c r="BD1270" s="367"/>
      <c r="BE1270" s="367"/>
      <c r="BF1270" s="367"/>
      <c r="BG1270" s="367"/>
      <c r="BH1270" s="260"/>
      <c r="BL1270" s="54"/>
    </row>
    <row r="1271" spans="1:64" ht="37.950000000000003" customHeight="1" x14ac:dyDescent="0.3">
      <c r="A1271" s="367">
        <f t="shared" si="23"/>
        <v>1266</v>
      </c>
      <c r="B1271" s="54" t="s">
        <v>3634</v>
      </c>
      <c r="C1271" s="367" t="s">
        <v>3227</v>
      </c>
      <c r="D1271" s="367" t="s">
        <v>262</v>
      </c>
      <c r="E1271" s="367"/>
      <c r="F1271" s="367"/>
      <c r="G1271" s="367"/>
      <c r="H1271" s="367"/>
      <c r="I1271" s="150"/>
      <c r="J1271" s="48"/>
      <c r="K1271" s="48" t="s">
        <v>3626</v>
      </c>
      <c r="L1271" s="367"/>
      <c r="M1271" s="150"/>
      <c r="N1271" s="367"/>
      <c r="O1271" s="367"/>
      <c r="P1271" s="367"/>
      <c r="Q1271" s="367"/>
      <c r="R1271" s="367"/>
      <c r="S1271" s="367"/>
      <c r="T1271" s="367"/>
      <c r="U1271" s="367"/>
      <c r="V1271" s="367"/>
      <c r="W1271" s="367"/>
      <c r="X1271" s="367"/>
      <c r="Y1271" s="367"/>
      <c r="Z1271" s="367"/>
      <c r="AA1271" s="367"/>
      <c r="AB1271" s="150"/>
      <c r="AC1271" s="48" t="s">
        <v>3631</v>
      </c>
      <c r="AD1271" s="150" t="s">
        <v>3589</v>
      </c>
      <c r="AE1271" s="296"/>
      <c r="AF1271" s="296"/>
      <c r="AG1271" s="286">
        <v>46600</v>
      </c>
      <c r="AH1271" s="49">
        <v>46593</v>
      </c>
      <c r="AI1271" s="266">
        <v>46539</v>
      </c>
      <c r="AJ1271" s="150" t="s">
        <v>617</v>
      </c>
      <c r="AK1271" s="150"/>
      <c r="AL1271" s="150"/>
      <c r="AM1271" s="150"/>
      <c r="AN1271" s="367"/>
      <c r="AO1271" s="367"/>
      <c r="AP1271" s="367"/>
      <c r="AQ1271" s="367"/>
      <c r="AR1271" s="367"/>
      <c r="AS1271" s="367"/>
      <c r="AT1271" s="367"/>
      <c r="AU1271" s="367"/>
      <c r="AV1271" s="367"/>
      <c r="AW1271" s="367"/>
      <c r="AX1271" s="367"/>
      <c r="AY1271" s="367"/>
      <c r="AZ1271" s="367"/>
      <c r="BA1271" s="367"/>
      <c r="BB1271" s="152"/>
      <c r="BC1271" s="152"/>
      <c r="BD1271" s="367"/>
      <c r="BE1271" s="367"/>
      <c r="BF1271" s="367"/>
      <c r="BG1271" s="367"/>
      <c r="BH1271" s="260"/>
      <c r="BL1271" s="54"/>
    </row>
    <row r="1272" spans="1:64" ht="37.950000000000003" customHeight="1" x14ac:dyDescent="0.3">
      <c r="A1272" s="367">
        <f t="shared" si="23"/>
        <v>1267</v>
      </c>
      <c r="B1272" s="54" t="s">
        <v>3635</v>
      </c>
      <c r="C1272" s="367" t="s">
        <v>3227</v>
      </c>
      <c r="D1272" s="367" t="s">
        <v>262</v>
      </c>
      <c r="E1272" s="367"/>
      <c r="F1272" s="367"/>
      <c r="G1272" s="367"/>
      <c r="H1272" s="367"/>
      <c r="I1272" s="150"/>
      <c r="J1272" s="48"/>
      <c r="K1272" s="48" t="s">
        <v>3626</v>
      </c>
      <c r="L1272" s="367"/>
      <c r="M1272" s="150"/>
      <c r="N1272" s="367"/>
      <c r="O1272" s="367"/>
      <c r="P1272" s="367"/>
      <c r="Q1272" s="367"/>
      <c r="R1272" s="367"/>
      <c r="S1272" s="367"/>
      <c r="T1272" s="367"/>
      <c r="U1272" s="367"/>
      <c r="V1272" s="367"/>
      <c r="W1272" s="367"/>
      <c r="X1272" s="367"/>
      <c r="Y1272" s="367"/>
      <c r="Z1272" s="367"/>
      <c r="AA1272" s="367"/>
      <c r="AB1272" s="150"/>
      <c r="AC1272" s="48" t="s">
        <v>3636</v>
      </c>
      <c r="AD1272" s="150" t="s">
        <v>2427</v>
      </c>
      <c r="AE1272" s="296"/>
      <c r="AF1272" s="296"/>
      <c r="AG1272" s="286">
        <v>46600</v>
      </c>
      <c r="AH1272" s="49">
        <v>46593</v>
      </c>
      <c r="AI1272" s="266">
        <v>46539</v>
      </c>
      <c r="AJ1272" s="150" t="s">
        <v>617</v>
      </c>
      <c r="AK1272" s="150"/>
      <c r="AL1272" s="150"/>
      <c r="AM1272" s="150"/>
      <c r="AN1272" s="367"/>
      <c r="AO1272" s="367"/>
      <c r="AP1272" s="367"/>
      <c r="AQ1272" s="367"/>
      <c r="AR1272" s="367"/>
      <c r="AS1272" s="367"/>
      <c r="AT1272" s="367"/>
      <c r="AU1272" s="367"/>
      <c r="AV1272" s="367"/>
      <c r="AW1272" s="367"/>
      <c r="AX1272" s="367"/>
      <c r="AY1272" s="367"/>
      <c r="AZ1272" s="367"/>
      <c r="BA1272" s="367"/>
      <c r="BB1272" s="152"/>
      <c r="BC1272" s="152"/>
      <c r="BD1272" s="367"/>
      <c r="BE1272" s="367"/>
      <c r="BF1272" s="367"/>
      <c r="BG1272" s="367"/>
      <c r="BH1272" s="260"/>
      <c r="BL1272" s="54"/>
    </row>
    <row r="1273" spans="1:64" ht="37.950000000000003" customHeight="1" x14ac:dyDescent="0.3">
      <c r="A1273" s="367">
        <f t="shared" si="23"/>
        <v>1268</v>
      </c>
      <c r="B1273" s="54" t="s">
        <v>3637</v>
      </c>
      <c r="C1273" s="367" t="s">
        <v>3227</v>
      </c>
      <c r="D1273" s="367" t="s">
        <v>262</v>
      </c>
      <c r="E1273" s="367"/>
      <c r="F1273" s="367"/>
      <c r="G1273" s="367"/>
      <c r="H1273" s="367"/>
      <c r="I1273" s="150"/>
      <c r="J1273" s="48"/>
      <c r="K1273" s="48" t="s">
        <v>3638</v>
      </c>
      <c r="L1273" s="367"/>
      <c r="M1273" s="150"/>
      <c r="N1273" s="367"/>
      <c r="O1273" s="367"/>
      <c r="P1273" s="367"/>
      <c r="Q1273" s="367"/>
      <c r="R1273" s="367"/>
      <c r="S1273" s="367"/>
      <c r="T1273" s="367"/>
      <c r="U1273" s="367"/>
      <c r="V1273" s="367"/>
      <c r="W1273" s="367"/>
      <c r="X1273" s="367"/>
      <c r="Y1273" s="367"/>
      <c r="Z1273" s="367"/>
      <c r="AA1273" s="367"/>
      <c r="AB1273" s="150"/>
      <c r="AC1273" s="48" t="s">
        <v>3639</v>
      </c>
      <c r="AD1273" s="150" t="s">
        <v>2415</v>
      </c>
      <c r="AE1273" s="296"/>
      <c r="AF1273" s="296"/>
      <c r="AG1273" s="286">
        <v>46508</v>
      </c>
      <c r="AH1273" s="49">
        <v>46502</v>
      </c>
      <c r="AI1273" s="266">
        <v>46447</v>
      </c>
      <c r="AJ1273" s="150" t="s">
        <v>617</v>
      </c>
      <c r="AK1273" s="150"/>
      <c r="AL1273" s="150"/>
      <c r="AM1273" s="150"/>
      <c r="AN1273" s="367"/>
      <c r="AO1273" s="367"/>
      <c r="AP1273" s="367"/>
      <c r="AQ1273" s="367"/>
      <c r="AR1273" s="367"/>
      <c r="AS1273" s="367"/>
      <c r="AT1273" s="367"/>
      <c r="AU1273" s="367"/>
      <c r="AV1273" s="367"/>
      <c r="AW1273" s="367"/>
      <c r="AX1273" s="367"/>
      <c r="AY1273" s="367"/>
      <c r="AZ1273" s="367"/>
      <c r="BA1273" s="367"/>
      <c r="BB1273" s="152"/>
      <c r="BC1273" s="152"/>
      <c r="BD1273" s="367"/>
      <c r="BE1273" s="367"/>
      <c r="BF1273" s="367"/>
      <c r="BG1273" s="367"/>
      <c r="BH1273" s="260"/>
      <c r="BL1273" s="54"/>
    </row>
    <row r="1274" spans="1:64" ht="37.950000000000003" customHeight="1" x14ac:dyDescent="0.3">
      <c r="A1274" s="367">
        <f t="shared" si="23"/>
        <v>1269</v>
      </c>
      <c r="B1274" s="54" t="s">
        <v>3640</v>
      </c>
      <c r="C1274" s="367" t="s">
        <v>3227</v>
      </c>
      <c r="D1274" s="367" t="s">
        <v>262</v>
      </c>
      <c r="E1274" s="367"/>
      <c r="F1274" s="367"/>
      <c r="G1274" s="367"/>
      <c r="H1274" s="367"/>
      <c r="I1274" s="150"/>
      <c r="J1274" s="48"/>
      <c r="K1274" s="48" t="s">
        <v>3638</v>
      </c>
      <c r="L1274" s="367"/>
      <c r="M1274" s="150"/>
      <c r="N1274" s="367"/>
      <c r="O1274" s="367"/>
      <c r="P1274" s="367"/>
      <c r="Q1274" s="367"/>
      <c r="R1274" s="367"/>
      <c r="S1274" s="367"/>
      <c r="T1274" s="367"/>
      <c r="U1274" s="367"/>
      <c r="V1274" s="367"/>
      <c r="W1274" s="367"/>
      <c r="X1274" s="367"/>
      <c r="Y1274" s="367"/>
      <c r="Z1274" s="367"/>
      <c r="AA1274" s="367"/>
      <c r="AB1274" s="150"/>
      <c r="AC1274" s="48" t="s">
        <v>3641</v>
      </c>
      <c r="AD1274" s="150" t="s">
        <v>169</v>
      </c>
      <c r="AE1274" s="296"/>
      <c r="AF1274" s="296"/>
      <c r="AG1274" s="286">
        <v>46508</v>
      </c>
      <c r="AH1274" s="49">
        <v>46502</v>
      </c>
      <c r="AI1274" s="266">
        <v>46447</v>
      </c>
      <c r="AJ1274" s="150" t="s">
        <v>617</v>
      </c>
      <c r="AK1274" s="150"/>
      <c r="AL1274" s="150"/>
      <c r="AM1274" s="150"/>
      <c r="AN1274" s="367"/>
      <c r="AO1274" s="367"/>
      <c r="AP1274" s="367"/>
      <c r="AQ1274" s="367"/>
      <c r="AR1274" s="367"/>
      <c r="AS1274" s="367"/>
      <c r="AT1274" s="367"/>
      <c r="AU1274" s="367"/>
      <c r="AV1274" s="367"/>
      <c r="AW1274" s="367"/>
      <c r="AX1274" s="367"/>
      <c r="AY1274" s="367"/>
      <c r="AZ1274" s="367"/>
      <c r="BA1274" s="367"/>
      <c r="BB1274" s="152"/>
      <c r="BC1274" s="152"/>
      <c r="BD1274" s="367"/>
      <c r="BE1274" s="367"/>
      <c r="BF1274" s="367"/>
      <c r="BG1274" s="367"/>
      <c r="BH1274" s="260"/>
      <c r="BL1274" s="54"/>
    </row>
    <row r="1275" spans="1:64" ht="37.950000000000003" customHeight="1" x14ac:dyDescent="0.3">
      <c r="A1275" s="367">
        <f t="shared" si="23"/>
        <v>1270</v>
      </c>
      <c r="B1275" s="54" t="s">
        <v>3642</v>
      </c>
      <c r="C1275" s="367" t="s">
        <v>3227</v>
      </c>
      <c r="D1275" s="367" t="s">
        <v>262</v>
      </c>
      <c r="E1275" s="367"/>
      <c r="F1275" s="367"/>
      <c r="G1275" s="367"/>
      <c r="H1275" s="367"/>
      <c r="I1275" s="150"/>
      <c r="J1275" s="48"/>
      <c r="K1275" s="48" t="s">
        <v>3638</v>
      </c>
      <c r="L1275" s="367"/>
      <c r="M1275" s="150"/>
      <c r="N1275" s="367"/>
      <c r="O1275" s="367"/>
      <c r="P1275" s="367"/>
      <c r="Q1275" s="367"/>
      <c r="R1275" s="367"/>
      <c r="S1275" s="367"/>
      <c r="T1275" s="367"/>
      <c r="U1275" s="367"/>
      <c r="V1275" s="367"/>
      <c r="W1275" s="367"/>
      <c r="X1275" s="367"/>
      <c r="Y1275" s="367"/>
      <c r="Z1275" s="367"/>
      <c r="AA1275" s="367"/>
      <c r="AB1275" s="150"/>
      <c r="AC1275" s="48" t="s">
        <v>3643</v>
      </c>
      <c r="AD1275" s="150" t="s">
        <v>238</v>
      </c>
      <c r="AE1275" s="296"/>
      <c r="AF1275" s="296"/>
      <c r="AG1275" s="286">
        <v>46508</v>
      </c>
      <c r="AH1275" s="49">
        <v>46502</v>
      </c>
      <c r="AI1275" s="266">
        <v>46447</v>
      </c>
      <c r="AJ1275" s="150" t="s">
        <v>617</v>
      </c>
      <c r="AK1275" s="150"/>
      <c r="AL1275" s="150"/>
      <c r="AM1275" s="150"/>
      <c r="AN1275" s="367"/>
      <c r="AO1275" s="367"/>
      <c r="AP1275" s="367"/>
      <c r="AQ1275" s="367"/>
      <c r="AR1275" s="367"/>
      <c r="AS1275" s="367"/>
      <c r="AT1275" s="367"/>
      <c r="AU1275" s="367"/>
      <c r="AV1275" s="367"/>
      <c r="AW1275" s="367"/>
      <c r="AX1275" s="367"/>
      <c r="AY1275" s="367"/>
      <c r="AZ1275" s="367"/>
      <c r="BA1275" s="367"/>
      <c r="BB1275" s="152"/>
      <c r="BC1275" s="152"/>
      <c r="BD1275" s="367"/>
      <c r="BE1275" s="367"/>
      <c r="BF1275" s="367"/>
      <c r="BG1275" s="367"/>
      <c r="BH1275" s="260"/>
      <c r="BL1275" s="54"/>
    </row>
    <row r="1276" spans="1:64" ht="37.950000000000003" customHeight="1" x14ac:dyDescent="0.3">
      <c r="A1276" s="367">
        <f t="shared" si="23"/>
        <v>1271</v>
      </c>
      <c r="B1276" s="54" t="s">
        <v>3644</v>
      </c>
      <c r="C1276" s="367" t="s">
        <v>3227</v>
      </c>
      <c r="D1276" s="367" t="s">
        <v>262</v>
      </c>
      <c r="E1276" s="367"/>
      <c r="F1276" s="367"/>
      <c r="G1276" s="367"/>
      <c r="H1276" s="367"/>
      <c r="I1276" s="150"/>
      <c r="J1276" s="48"/>
      <c r="K1276" s="48" t="s">
        <v>3638</v>
      </c>
      <c r="L1276" s="367"/>
      <c r="M1276" s="150"/>
      <c r="N1276" s="367"/>
      <c r="O1276" s="367"/>
      <c r="P1276" s="367"/>
      <c r="Q1276" s="367"/>
      <c r="R1276" s="367"/>
      <c r="S1276" s="367"/>
      <c r="T1276" s="367"/>
      <c r="U1276" s="367"/>
      <c r="V1276" s="367"/>
      <c r="W1276" s="367"/>
      <c r="X1276" s="367"/>
      <c r="Y1276" s="367"/>
      <c r="Z1276" s="367"/>
      <c r="AA1276" s="367"/>
      <c r="AB1276" s="150"/>
      <c r="AC1276" s="48" t="s">
        <v>3643</v>
      </c>
      <c r="AD1276" s="150" t="s">
        <v>238</v>
      </c>
      <c r="AE1276" s="296"/>
      <c r="AF1276" s="296"/>
      <c r="AG1276" s="286">
        <v>46508</v>
      </c>
      <c r="AH1276" s="49">
        <v>46502</v>
      </c>
      <c r="AI1276" s="266">
        <v>46447</v>
      </c>
      <c r="AJ1276" s="150" t="s">
        <v>617</v>
      </c>
      <c r="AK1276" s="150"/>
      <c r="AL1276" s="150"/>
      <c r="AM1276" s="150"/>
      <c r="AN1276" s="367"/>
      <c r="AO1276" s="367"/>
      <c r="AP1276" s="367"/>
      <c r="AQ1276" s="367"/>
      <c r="AR1276" s="367"/>
      <c r="AS1276" s="367"/>
      <c r="AT1276" s="367"/>
      <c r="AU1276" s="367"/>
      <c r="AV1276" s="367"/>
      <c r="AW1276" s="367"/>
      <c r="AX1276" s="367"/>
      <c r="AY1276" s="367"/>
      <c r="AZ1276" s="367"/>
      <c r="BA1276" s="367"/>
      <c r="BB1276" s="152"/>
      <c r="BC1276" s="152"/>
      <c r="BD1276" s="367"/>
      <c r="BE1276" s="367"/>
      <c r="BF1276" s="367"/>
      <c r="BG1276" s="367"/>
      <c r="BH1276" s="260"/>
      <c r="BL1276" s="54"/>
    </row>
    <row r="1277" spans="1:64" ht="37.950000000000003" customHeight="1" x14ac:dyDescent="0.3">
      <c r="A1277" s="367">
        <f t="shared" si="23"/>
        <v>1272</v>
      </c>
      <c r="B1277" s="54" t="s">
        <v>3645</v>
      </c>
      <c r="C1277" s="367" t="s">
        <v>3227</v>
      </c>
      <c r="D1277" s="367" t="s">
        <v>262</v>
      </c>
      <c r="E1277" s="367"/>
      <c r="F1277" s="367"/>
      <c r="G1277" s="367"/>
      <c r="H1277" s="367"/>
      <c r="I1277" s="150"/>
      <c r="J1277" s="48"/>
      <c r="K1277" s="48" t="s">
        <v>3638</v>
      </c>
      <c r="L1277" s="367"/>
      <c r="M1277" s="150"/>
      <c r="N1277" s="367"/>
      <c r="O1277" s="367"/>
      <c r="P1277" s="367"/>
      <c r="Q1277" s="367"/>
      <c r="R1277" s="367"/>
      <c r="S1277" s="367"/>
      <c r="T1277" s="367"/>
      <c r="U1277" s="367"/>
      <c r="V1277" s="367"/>
      <c r="W1277" s="367"/>
      <c r="X1277" s="367"/>
      <c r="Y1277" s="367"/>
      <c r="Z1277" s="367"/>
      <c r="AA1277" s="367"/>
      <c r="AB1277" s="150"/>
      <c r="AC1277" s="48" t="s">
        <v>3646</v>
      </c>
      <c r="AD1277" s="150" t="s">
        <v>2427</v>
      </c>
      <c r="AE1277" s="296"/>
      <c r="AF1277" s="296"/>
      <c r="AG1277" s="286">
        <v>46508</v>
      </c>
      <c r="AH1277" s="49">
        <v>46502</v>
      </c>
      <c r="AI1277" s="266">
        <v>46447</v>
      </c>
      <c r="AJ1277" s="150" t="s">
        <v>617</v>
      </c>
      <c r="AK1277" s="150"/>
      <c r="AL1277" s="150"/>
      <c r="AM1277" s="150"/>
      <c r="AN1277" s="367"/>
      <c r="AO1277" s="367"/>
      <c r="AP1277" s="367"/>
      <c r="AQ1277" s="367"/>
      <c r="AR1277" s="367"/>
      <c r="AS1277" s="367"/>
      <c r="AT1277" s="367"/>
      <c r="AU1277" s="367"/>
      <c r="AV1277" s="367"/>
      <c r="AW1277" s="367"/>
      <c r="AX1277" s="367"/>
      <c r="AY1277" s="367"/>
      <c r="AZ1277" s="367"/>
      <c r="BA1277" s="367"/>
      <c r="BB1277" s="152"/>
      <c r="BC1277" s="152"/>
      <c r="BD1277" s="367"/>
      <c r="BE1277" s="367"/>
      <c r="BF1277" s="367"/>
      <c r="BG1277" s="367"/>
      <c r="BH1277" s="260"/>
      <c r="BL1277" s="54"/>
    </row>
    <row r="1278" spans="1:64" ht="37.950000000000003" customHeight="1" x14ac:dyDescent="0.3">
      <c r="A1278" s="367">
        <f t="shared" si="23"/>
        <v>1273</v>
      </c>
      <c r="B1278" s="54" t="s">
        <v>3647</v>
      </c>
      <c r="C1278" s="367" t="s">
        <v>3227</v>
      </c>
      <c r="D1278" s="367" t="s">
        <v>262</v>
      </c>
      <c r="E1278" s="367"/>
      <c r="F1278" s="367"/>
      <c r="G1278" s="367"/>
      <c r="H1278" s="367"/>
      <c r="I1278" s="150"/>
      <c r="J1278" s="48"/>
      <c r="K1278" s="48" t="s">
        <v>3648</v>
      </c>
      <c r="L1278" s="367"/>
      <c r="M1278" s="150"/>
      <c r="N1278" s="367"/>
      <c r="O1278" s="367"/>
      <c r="P1278" s="367"/>
      <c r="Q1278" s="367"/>
      <c r="R1278" s="367"/>
      <c r="S1278" s="367"/>
      <c r="T1278" s="367"/>
      <c r="U1278" s="367"/>
      <c r="V1278" s="367"/>
      <c r="W1278" s="367"/>
      <c r="X1278" s="367"/>
      <c r="Y1278" s="367"/>
      <c r="Z1278" s="367"/>
      <c r="AA1278" s="367"/>
      <c r="AB1278" s="150"/>
      <c r="AC1278" s="48" t="s">
        <v>3649</v>
      </c>
      <c r="AD1278" s="150" t="s">
        <v>2415</v>
      </c>
      <c r="AE1278" s="296"/>
      <c r="AF1278" s="296"/>
      <c r="AG1278" s="286">
        <v>46569</v>
      </c>
      <c r="AH1278" s="49">
        <v>46563</v>
      </c>
      <c r="AI1278" s="266">
        <v>46539</v>
      </c>
      <c r="AJ1278" s="150" t="s">
        <v>617</v>
      </c>
      <c r="AK1278" s="150"/>
      <c r="AL1278" s="150"/>
      <c r="AM1278" s="150"/>
      <c r="AN1278" s="367"/>
      <c r="AO1278" s="367"/>
      <c r="AP1278" s="367"/>
      <c r="AQ1278" s="367"/>
      <c r="AR1278" s="367"/>
      <c r="AS1278" s="367"/>
      <c r="AT1278" s="367"/>
      <c r="AU1278" s="367"/>
      <c r="AV1278" s="367"/>
      <c r="AW1278" s="367"/>
      <c r="AX1278" s="367"/>
      <c r="AY1278" s="367"/>
      <c r="AZ1278" s="367"/>
      <c r="BA1278" s="367"/>
      <c r="BB1278" s="152"/>
      <c r="BC1278" s="152"/>
      <c r="BD1278" s="367"/>
      <c r="BE1278" s="367"/>
      <c r="BF1278" s="367"/>
      <c r="BG1278" s="367"/>
      <c r="BH1278" s="260"/>
      <c r="BL1278" s="54"/>
    </row>
    <row r="1279" spans="1:64" ht="37.950000000000003" customHeight="1" x14ac:dyDescent="0.3">
      <c r="A1279" s="367">
        <f t="shared" si="23"/>
        <v>1274</v>
      </c>
      <c r="B1279" s="54" t="s">
        <v>3650</v>
      </c>
      <c r="C1279" s="367" t="s">
        <v>3227</v>
      </c>
      <c r="D1279" s="367" t="s">
        <v>262</v>
      </c>
      <c r="E1279" s="367"/>
      <c r="F1279" s="367"/>
      <c r="G1279" s="367"/>
      <c r="H1279" s="367"/>
      <c r="I1279" s="150"/>
      <c r="J1279" s="48"/>
      <c r="K1279" s="48" t="s">
        <v>3648</v>
      </c>
      <c r="L1279" s="367"/>
      <c r="M1279" s="150"/>
      <c r="N1279" s="367"/>
      <c r="O1279" s="367"/>
      <c r="P1279" s="367"/>
      <c r="Q1279" s="367"/>
      <c r="R1279" s="367"/>
      <c r="S1279" s="367"/>
      <c r="T1279" s="367"/>
      <c r="U1279" s="367"/>
      <c r="V1279" s="367"/>
      <c r="W1279" s="367"/>
      <c r="X1279" s="367"/>
      <c r="Y1279" s="367"/>
      <c r="Z1279" s="367"/>
      <c r="AA1279" s="367"/>
      <c r="AB1279" s="150"/>
      <c r="AC1279" s="48" t="s">
        <v>3651</v>
      </c>
      <c r="AD1279" s="150" t="s">
        <v>169</v>
      </c>
      <c r="AE1279" s="296"/>
      <c r="AF1279" s="296"/>
      <c r="AG1279" s="286">
        <v>46569</v>
      </c>
      <c r="AH1279" s="49">
        <v>46563</v>
      </c>
      <c r="AI1279" s="266">
        <v>46539</v>
      </c>
      <c r="AJ1279" s="150" t="s">
        <v>617</v>
      </c>
      <c r="AK1279" s="150"/>
      <c r="AL1279" s="150"/>
      <c r="AM1279" s="150"/>
      <c r="AN1279" s="367"/>
      <c r="AO1279" s="367"/>
      <c r="AP1279" s="367"/>
      <c r="AQ1279" s="367"/>
      <c r="AR1279" s="367"/>
      <c r="AS1279" s="367"/>
      <c r="AT1279" s="367"/>
      <c r="AU1279" s="367"/>
      <c r="AV1279" s="367"/>
      <c r="AW1279" s="367"/>
      <c r="AX1279" s="367"/>
      <c r="AY1279" s="367"/>
      <c r="AZ1279" s="367"/>
      <c r="BA1279" s="367"/>
      <c r="BB1279" s="152"/>
      <c r="BC1279" s="152"/>
      <c r="BD1279" s="367"/>
      <c r="BE1279" s="367"/>
      <c r="BF1279" s="367"/>
      <c r="BG1279" s="367"/>
      <c r="BH1279" s="260"/>
      <c r="BL1279" s="54"/>
    </row>
    <row r="1280" spans="1:64" ht="37.950000000000003" customHeight="1" x14ac:dyDescent="0.3">
      <c r="A1280" s="367">
        <f t="shared" si="23"/>
        <v>1275</v>
      </c>
      <c r="B1280" s="54" t="s">
        <v>3652</v>
      </c>
      <c r="C1280" s="367" t="s">
        <v>3227</v>
      </c>
      <c r="D1280" s="367" t="s">
        <v>262</v>
      </c>
      <c r="E1280" s="367"/>
      <c r="F1280" s="367"/>
      <c r="G1280" s="367"/>
      <c r="H1280" s="367"/>
      <c r="I1280" s="150"/>
      <c r="J1280" s="48"/>
      <c r="K1280" s="48" t="s">
        <v>3648</v>
      </c>
      <c r="L1280" s="367"/>
      <c r="M1280" s="150"/>
      <c r="N1280" s="367"/>
      <c r="O1280" s="367"/>
      <c r="P1280" s="367"/>
      <c r="Q1280" s="367"/>
      <c r="R1280" s="367"/>
      <c r="S1280" s="367"/>
      <c r="T1280" s="367"/>
      <c r="U1280" s="367"/>
      <c r="V1280" s="367"/>
      <c r="W1280" s="367"/>
      <c r="X1280" s="367"/>
      <c r="Y1280" s="367"/>
      <c r="Z1280" s="367"/>
      <c r="AA1280" s="367"/>
      <c r="AB1280" s="150"/>
      <c r="AC1280" s="48" t="s">
        <v>3653</v>
      </c>
      <c r="AD1280" s="150" t="s">
        <v>238</v>
      </c>
      <c r="AE1280" s="296"/>
      <c r="AF1280" s="296"/>
      <c r="AG1280" s="286">
        <v>46569</v>
      </c>
      <c r="AH1280" s="49">
        <v>46563</v>
      </c>
      <c r="AI1280" s="266">
        <v>46539</v>
      </c>
      <c r="AJ1280" s="150" t="s">
        <v>617</v>
      </c>
      <c r="AK1280" s="150"/>
      <c r="AL1280" s="150"/>
      <c r="AM1280" s="150"/>
      <c r="AN1280" s="367"/>
      <c r="AO1280" s="367"/>
      <c r="AP1280" s="367"/>
      <c r="AQ1280" s="367"/>
      <c r="AR1280" s="367"/>
      <c r="AS1280" s="367"/>
      <c r="AT1280" s="367"/>
      <c r="AU1280" s="367"/>
      <c r="AV1280" s="367"/>
      <c r="AW1280" s="367"/>
      <c r="AX1280" s="367"/>
      <c r="AY1280" s="367"/>
      <c r="AZ1280" s="367"/>
      <c r="BA1280" s="367"/>
      <c r="BB1280" s="152"/>
      <c r="BC1280" s="152"/>
      <c r="BD1280" s="367"/>
      <c r="BE1280" s="367"/>
      <c r="BF1280" s="367"/>
      <c r="BG1280" s="367"/>
      <c r="BH1280" s="260"/>
      <c r="BL1280" s="54"/>
    </row>
    <row r="1281" spans="1:64" ht="37.950000000000003" customHeight="1" x14ac:dyDescent="0.3">
      <c r="A1281" s="367">
        <f t="shared" si="23"/>
        <v>1276</v>
      </c>
      <c r="B1281" s="54" t="s">
        <v>3654</v>
      </c>
      <c r="C1281" s="367" t="s">
        <v>3227</v>
      </c>
      <c r="D1281" s="367" t="s">
        <v>262</v>
      </c>
      <c r="E1281" s="367"/>
      <c r="F1281" s="367"/>
      <c r="G1281" s="367"/>
      <c r="H1281" s="367"/>
      <c r="I1281" s="150"/>
      <c r="J1281" s="48"/>
      <c r="K1281" s="48" t="s">
        <v>3648</v>
      </c>
      <c r="L1281" s="367"/>
      <c r="M1281" s="150"/>
      <c r="N1281" s="367"/>
      <c r="O1281" s="367"/>
      <c r="P1281" s="367"/>
      <c r="Q1281" s="367"/>
      <c r="R1281" s="367"/>
      <c r="S1281" s="367"/>
      <c r="T1281" s="367"/>
      <c r="U1281" s="367"/>
      <c r="V1281" s="367"/>
      <c r="W1281" s="367"/>
      <c r="X1281" s="367"/>
      <c r="Y1281" s="367"/>
      <c r="Z1281" s="367"/>
      <c r="AA1281" s="367"/>
      <c r="AB1281" s="150"/>
      <c r="AC1281" s="48" t="s">
        <v>3653</v>
      </c>
      <c r="AD1281" s="150" t="s">
        <v>238</v>
      </c>
      <c r="AE1281" s="296"/>
      <c r="AF1281" s="296"/>
      <c r="AG1281" s="286">
        <v>46569</v>
      </c>
      <c r="AH1281" s="49">
        <v>46563</v>
      </c>
      <c r="AI1281" s="266">
        <v>46539</v>
      </c>
      <c r="AJ1281" s="150" t="s">
        <v>617</v>
      </c>
      <c r="AK1281" s="150"/>
      <c r="AL1281" s="150"/>
      <c r="AM1281" s="150"/>
      <c r="AN1281" s="367"/>
      <c r="AO1281" s="367"/>
      <c r="AP1281" s="367"/>
      <c r="AQ1281" s="367"/>
      <c r="AR1281" s="367"/>
      <c r="AS1281" s="367"/>
      <c r="AT1281" s="367"/>
      <c r="AU1281" s="367"/>
      <c r="AV1281" s="367"/>
      <c r="AW1281" s="367"/>
      <c r="AX1281" s="367"/>
      <c r="AY1281" s="367"/>
      <c r="AZ1281" s="367"/>
      <c r="BA1281" s="367"/>
      <c r="BB1281" s="152"/>
      <c r="BC1281" s="152"/>
      <c r="BD1281" s="367"/>
      <c r="BE1281" s="367"/>
      <c r="BF1281" s="367"/>
      <c r="BG1281" s="367"/>
      <c r="BH1281" s="260"/>
      <c r="BL1281" s="54"/>
    </row>
    <row r="1282" spans="1:64" ht="37.950000000000003" customHeight="1" x14ac:dyDescent="0.3">
      <c r="A1282" s="367">
        <f t="shared" si="23"/>
        <v>1277</v>
      </c>
      <c r="B1282" s="54" t="s">
        <v>3655</v>
      </c>
      <c r="C1282" s="367" t="s">
        <v>3227</v>
      </c>
      <c r="D1282" s="367" t="s">
        <v>262</v>
      </c>
      <c r="E1282" s="367"/>
      <c r="F1282" s="367"/>
      <c r="G1282" s="367"/>
      <c r="H1282" s="367"/>
      <c r="I1282" s="150"/>
      <c r="J1282" s="48"/>
      <c r="K1282" s="48" t="s">
        <v>3648</v>
      </c>
      <c r="L1282" s="367"/>
      <c r="M1282" s="150"/>
      <c r="N1282" s="367"/>
      <c r="O1282" s="367"/>
      <c r="P1282" s="367"/>
      <c r="Q1282" s="367"/>
      <c r="R1282" s="367"/>
      <c r="S1282" s="367"/>
      <c r="T1282" s="367"/>
      <c r="U1282" s="367"/>
      <c r="V1282" s="367"/>
      <c r="W1282" s="367"/>
      <c r="X1282" s="367"/>
      <c r="Y1282" s="367"/>
      <c r="Z1282" s="367"/>
      <c r="AA1282" s="367"/>
      <c r="AB1282" s="150"/>
      <c r="AC1282" s="48" t="s">
        <v>3656</v>
      </c>
      <c r="AD1282" s="150" t="s">
        <v>2427</v>
      </c>
      <c r="AE1282" s="296"/>
      <c r="AF1282" s="296"/>
      <c r="AG1282" s="286">
        <v>46569</v>
      </c>
      <c r="AH1282" s="49">
        <v>46563</v>
      </c>
      <c r="AI1282" s="266">
        <v>46539</v>
      </c>
      <c r="AJ1282" s="150" t="s">
        <v>617</v>
      </c>
      <c r="AK1282" s="150"/>
      <c r="AL1282" s="150"/>
      <c r="AM1282" s="150"/>
      <c r="AN1282" s="367"/>
      <c r="AO1282" s="367"/>
      <c r="AP1282" s="367"/>
      <c r="AQ1282" s="367"/>
      <c r="AR1282" s="367"/>
      <c r="AS1282" s="367"/>
      <c r="AT1282" s="367"/>
      <c r="AU1282" s="367"/>
      <c r="AV1282" s="367"/>
      <c r="AW1282" s="367"/>
      <c r="AX1282" s="367"/>
      <c r="AY1282" s="367"/>
      <c r="AZ1282" s="367"/>
      <c r="BA1282" s="367"/>
      <c r="BB1282" s="152"/>
      <c r="BC1282" s="152"/>
      <c r="BD1282" s="367"/>
      <c r="BE1282" s="367"/>
      <c r="BF1282" s="367"/>
      <c r="BG1282" s="367"/>
      <c r="BH1282" s="260"/>
      <c r="BL1282" s="54"/>
    </row>
    <row r="1283" spans="1:64" ht="37.950000000000003" customHeight="1" x14ac:dyDescent="0.3">
      <c r="A1283" s="367">
        <f t="shared" si="23"/>
        <v>1278</v>
      </c>
      <c r="B1283" s="54" t="s">
        <v>3657</v>
      </c>
      <c r="C1283" s="367" t="s">
        <v>3227</v>
      </c>
      <c r="D1283" s="367" t="s">
        <v>262</v>
      </c>
      <c r="E1283" s="367"/>
      <c r="F1283" s="367"/>
      <c r="G1283" s="367"/>
      <c r="H1283" s="367"/>
      <c r="I1283" s="150"/>
      <c r="J1283" s="48"/>
      <c r="K1283" s="48" t="s">
        <v>3658</v>
      </c>
      <c r="L1283" s="367"/>
      <c r="M1283" s="150"/>
      <c r="N1283" s="367"/>
      <c r="O1283" s="367"/>
      <c r="P1283" s="367"/>
      <c r="Q1283" s="367"/>
      <c r="R1283" s="367"/>
      <c r="S1283" s="367"/>
      <c r="T1283" s="367"/>
      <c r="U1283" s="367"/>
      <c r="V1283" s="367"/>
      <c r="W1283" s="367"/>
      <c r="X1283" s="367"/>
      <c r="Y1283" s="367"/>
      <c r="Z1283" s="367"/>
      <c r="AA1283" s="367"/>
      <c r="AB1283" s="150"/>
      <c r="AC1283" s="48" t="s">
        <v>3659</v>
      </c>
      <c r="AD1283" s="150" t="s">
        <v>2415</v>
      </c>
      <c r="AE1283" s="296"/>
      <c r="AF1283" s="296"/>
      <c r="AG1283" s="286">
        <v>46508</v>
      </c>
      <c r="AH1283" s="49">
        <v>46502</v>
      </c>
      <c r="AI1283" s="266">
        <v>46447</v>
      </c>
      <c r="AJ1283" s="150" t="s">
        <v>617</v>
      </c>
      <c r="AK1283" s="150"/>
      <c r="AL1283" s="150"/>
      <c r="AM1283" s="150"/>
      <c r="AN1283" s="367"/>
      <c r="AO1283" s="367"/>
      <c r="AP1283" s="367"/>
      <c r="AQ1283" s="367"/>
      <c r="AR1283" s="367"/>
      <c r="AS1283" s="367"/>
      <c r="AT1283" s="367"/>
      <c r="AU1283" s="367"/>
      <c r="AV1283" s="367"/>
      <c r="AW1283" s="367"/>
      <c r="AX1283" s="367"/>
      <c r="AY1283" s="367"/>
      <c r="AZ1283" s="367"/>
      <c r="BA1283" s="367"/>
      <c r="BB1283" s="152"/>
      <c r="BC1283" s="152"/>
      <c r="BD1283" s="367"/>
      <c r="BE1283" s="367"/>
      <c r="BF1283" s="367"/>
      <c r="BG1283" s="367"/>
      <c r="BH1283" s="260"/>
      <c r="BL1283" s="54"/>
    </row>
    <row r="1284" spans="1:64" ht="37.950000000000003" customHeight="1" x14ac:dyDescent="0.3">
      <c r="A1284" s="367">
        <f t="shared" si="23"/>
        <v>1279</v>
      </c>
      <c r="B1284" s="54" t="s">
        <v>3660</v>
      </c>
      <c r="C1284" s="367" t="s">
        <v>3227</v>
      </c>
      <c r="D1284" s="367" t="s">
        <v>262</v>
      </c>
      <c r="E1284" s="367"/>
      <c r="F1284" s="367"/>
      <c r="G1284" s="367"/>
      <c r="H1284" s="367"/>
      <c r="I1284" s="150"/>
      <c r="J1284" s="48"/>
      <c r="K1284" s="48" t="s">
        <v>3658</v>
      </c>
      <c r="L1284" s="367"/>
      <c r="M1284" s="150"/>
      <c r="N1284" s="367"/>
      <c r="O1284" s="367"/>
      <c r="P1284" s="367"/>
      <c r="Q1284" s="367"/>
      <c r="R1284" s="367"/>
      <c r="S1284" s="367"/>
      <c r="T1284" s="367"/>
      <c r="U1284" s="367"/>
      <c r="V1284" s="367"/>
      <c r="W1284" s="367"/>
      <c r="X1284" s="367"/>
      <c r="Y1284" s="367"/>
      <c r="Z1284" s="367"/>
      <c r="AA1284" s="367"/>
      <c r="AB1284" s="150"/>
      <c r="AC1284" s="48" t="s">
        <v>3661</v>
      </c>
      <c r="AD1284" s="150" t="s">
        <v>169</v>
      </c>
      <c r="AE1284" s="296"/>
      <c r="AF1284" s="296"/>
      <c r="AG1284" s="286">
        <v>46508</v>
      </c>
      <c r="AH1284" s="49">
        <v>46502</v>
      </c>
      <c r="AI1284" s="266">
        <v>46447</v>
      </c>
      <c r="AJ1284" s="150" t="s">
        <v>617</v>
      </c>
      <c r="AK1284" s="150"/>
      <c r="AL1284" s="150"/>
      <c r="AM1284" s="150"/>
      <c r="AN1284" s="367"/>
      <c r="AO1284" s="367"/>
      <c r="AP1284" s="367"/>
      <c r="AQ1284" s="367"/>
      <c r="AR1284" s="367"/>
      <c r="AS1284" s="367"/>
      <c r="AT1284" s="367"/>
      <c r="AU1284" s="367"/>
      <c r="AV1284" s="367"/>
      <c r="AW1284" s="367"/>
      <c r="AX1284" s="367"/>
      <c r="AY1284" s="367"/>
      <c r="AZ1284" s="367"/>
      <c r="BA1284" s="367"/>
      <c r="BB1284" s="152"/>
      <c r="BC1284" s="152"/>
      <c r="BD1284" s="367"/>
      <c r="BE1284" s="367"/>
      <c r="BF1284" s="367"/>
      <c r="BG1284" s="367"/>
      <c r="BH1284" s="260"/>
      <c r="BL1284" s="54"/>
    </row>
    <row r="1285" spans="1:64" ht="37.950000000000003" customHeight="1" x14ac:dyDescent="0.3">
      <c r="A1285" s="367">
        <f t="shared" si="23"/>
        <v>1280</v>
      </c>
      <c r="B1285" s="54" t="s">
        <v>3662</v>
      </c>
      <c r="C1285" s="367" t="s">
        <v>3227</v>
      </c>
      <c r="D1285" s="367" t="s">
        <v>262</v>
      </c>
      <c r="E1285" s="367"/>
      <c r="F1285" s="367"/>
      <c r="G1285" s="367"/>
      <c r="H1285" s="367"/>
      <c r="I1285" s="150"/>
      <c r="J1285" s="48"/>
      <c r="K1285" s="48" t="s">
        <v>3663</v>
      </c>
      <c r="L1285" s="367"/>
      <c r="M1285" s="150"/>
      <c r="N1285" s="367"/>
      <c r="O1285" s="367"/>
      <c r="P1285" s="367"/>
      <c r="Q1285" s="367"/>
      <c r="R1285" s="367"/>
      <c r="S1285" s="367"/>
      <c r="T1285" s="367"/>
      <c r="U1285" s="367"/>
      <c r="V1285" s="367"/>
      <c r="W1285" s="367"/>
      <c r="X1285" s="367"/>
      <c r="Y1285" s="367"/>
      <c r="Z1285" s="367"/>
      <c r="AA1285" s="367"/>
      <c r="AB1285" s="150"/>
      <c r="AC1285" s="48" t="s">
        <v>3664</v>
      </c>
      <c r="AD1285" s="150" t="s">
        <v>3589</v>
      </c>
      <c r="AE1285" s="296"/>
      <c r="AF1285" s="296"/>
      <c r="AG1285" s="286">
        <v>46508</v>
      </c>
      <c r="AH1285" s="49">
        <v>46502</v>
      </c>
      <c r="AI1285" s="266">
        <v>46447</v>
      </c>
      <c r="AJ1285" s="150" t="s">
        <v>617</v>
      </c>
      <c r="AK1285" s="150"/>
      <c r="AL1285" s="150"/>
      <c r="AM1285" s="150"/>
      <c r="AN1285" s="367"/>
      <c r="AO1285" s="367"/>
      <c r="AP1285" s="367"/>
      <c r="AQ1285" s="367"/>
      <c r="AR1285" s="367"/>
      <c r="AS1285" s="367"/>
      <c r="AT1285" s="367"/>
      <c r="AU1285" s="367"/>
      <c r="AV1285" s="367"/>
      <c r="AW1285" s="367"/>
      <c r="AX1285" s="367"/>
      <c r="AY1285" s="367"/>
      <c r="AZ1285" s="367"/>
      <c r="BA1285" s="367"/>
      <c r="BB1285" s="152"/>
      <c r="BC1285" s="152"/>
      <c r="BD1285" s="367"/>
      <c r="BE1285" s="367"/>
      <c r="BF1285" s="367"/>
      <c r="BG1285" s="367"/>
      <c r="BH1285" s="260"/>
      <c r="BL1285" s="54"/>
    </row>
    <row r="1286" spans="1:64" ht="37.950000000000003" customHeight="1" x14ac:dyDescent="0.3">
      <c r="A1286" s="367">
        <f t="shared" si="23"/>
        <v>1281</v>
      </c>
      <c r="B1286" s="54" t="s">
        <v>3665</v>
      </c>
      <c r="C1286" s="367" t="s">
        <v>3227</v>
      </c>
      <c r="D1286" s="367" t="s">
        <v>262</v>
      </c>
      <c r="E1286" s="367"/>
      <c r="F1286" s="367"/>
      <c r="G1286" s="367"/>
      <c r="H1286" s="367"/>
      <c r="I1286" s="150"/>
      <c r="J1286" s="48"/>
      <c r="K1286" s="48" t="s">
        <v>3666</v>
      </c>
      <c r="L1286" s="367"/>
      <c r="M1286" s="150"/>
      <c r="N1286" s="367"/>
      <c r="O1286" s="367"/>
      <c r="P1286" s="367"/>
      <c r="Q1286" s="367"/>
      <c r="R1286" s="367"/>
      <c r="S1286" s="367"/>
      <c r="T1286" s="367"/>
      <c r="U1286" s="367"/>
      <c r="V1286" s="367"/>
      <c r="W1286" s="367"/>
      <c r="X1286" s="367"/>
      <c r="Y1286" s="367"/>
      <c r="Z1286" s="367"/>
      <c r="AA1286" s="367"/>
      <c r="AB1286" s="150"/>
      <c r="AC1286" s="48" t="s">
        <v>3667</v>
      </c>
      <c r="AD1286" s="150" t="s">
        <v>3589</v>
      </c>
      <c r="AE1286" s="296"/>
      <c r="AF1286" s="296"/>
      <c r="AG1286" s="286">
        <v>46508</v>
      </c>
      <c r="AH1286" s="49">
        <v>46502</v>
      </c>
      <c r="AI1286" s="266">
        <v>46447</v>
      </c>
      <c r="AJ1286" s="150" t="s">
        <v>617</v>
      </c>
      <c r="AK1286" s="150"/>
      <c r="AL1286" s="150"/>
      <c r="AM1286" s="150"/>
      <c r="AN1286" s="367"/>
      <c r="AO1286" s="367"/>
      <c r="AP1286" s="367"/>
      <c r="AQ1286" s="367"/>
      <c r="AR1286" s="367"/>
      <c r="AS1286" s="367"/>
      <c r="AT1286" s="367"/>
      <c r="AU1286" s="367"/>
      <c r="AV1286" s="367"/>
      <c r="AW1286" s="367"/>
      <c r="AX1286" s="367"/>
      <c r="AY1286" s="367"/>
      <c r="AZ1286" s="367"/>
      <c r="BA1286" s="367"/>
      <c r="BB1286" s="152"/>
      <c r="BC1286" s="152"/>
      <c r="BD1286" s="367"/>
      <c r="BE1286" s="367"/>
      <c r="BF1286" s="367"/>
      <c r="BG1286" s="367"/>
      <c r="BH1286" s="260"/>
      <c r="BL1286" s="54"/>
    </row>
    <row r="1287" spans="1:64" ht="37.950000000000003" customHeight="1" x14ac:dyDescent="0.3">
      <c r="A1287" s="367">
        <f t="shared" si="23"/>
        <v>1282</v>
      </c>
      <c r="B1287" s="54" t="s">
        <v>3668</v>
      </c>
      <c r="C1287" s="367" t="s">
        <v>3227</v>
      </c>
      <c r="D1287" s="367" t="s">
        <v>262</v>
      </c>
      <c r="E1287" s="367"/>
      <c r="F1287" s="367"/>
      <c r="G1287" s="367"/>
      <c r="H1287" s="367"/>
      <c r="I1287" s="150"/>
      <c r="J1287" s="48"/>
      <c r="K1287" s="48" t="s">
        <v>3666</v>
      </c>
      <c r="L1287" s="367"/>
      <c r="M1287" s="150"/>
      <c r="N1287" s="367"/>
      <c r="O1287" s="367"/>
      <c r="P1287" s="367"/>
      <c r="Q1287" s="367"/>
      <c r="R1287" s="367"/>
      <c r="S1287" s="367"/>
      <c r="T1287" s="367"/>
      <c r="U1287" s="367"/>
      <c r="V1287" s="367"/>
      <c r="W1287" s="367"/>
      <c r="X1287" s="367"/>
      <c r="Y1287" s="367"/>
      <c r="Z1287" s="367"/>
      <c r="AA1287" s="367"/>
      <c r="AB1287" s="150"/>
      <c r="AC1287" s="48" t="s">
        <v>3669</v>
      </c>
      <c r="AD1287" s="150" t="s">
        <v>2427</v>
      </c>
      <c r="AE1287" s="296"/>
      <c r="AF1287" s="296"/>
      <c r="AG1287" s="286">
        <v>46508</v>
      </c>
      <c r="AH1287" s="49">
        <v>46502</v>
      </c>
      <c r="AI1287" s="266">
        <v>46447</v>
      </c>
      <c r="AJ1287" s="150" t="s">
        <v>617</v>
      </c>
      <c r="AK1287" s="150"/>
      <c r="AL1287" s="150"/>
      <c r="AM1287" s="150"/>
      <c r="AN1287" s="367"/>
      <c r="AO1287" s="367"/>
      <c r="AP1287" s="367"/>
      <c r="AQ1287" s="367"/>
      <c r="AR1287" s="367"/>
      <c r="AS1287" s="367"/>
      <c r="AT1287" s="367"/>
      <c r="AU1287" s="367"/>
      <c r="AV1287" s="367"/>
      <c r="AW1287" s="367"/>
      <c r="AX1287" s="367"/>
      <c r="AY1287" s="367"/>
      <c r="AZ1287" s="367"/>
      <c r="BA1287" s="367"/>
      <c r="BB1287" s="152"/>
      <c r="BC1287" s="152"/>
      <c r="BD1287" s="367"/>
      <c r="BE1287" s="367"/>
      <c r="BF1287" s="367"/>
      <c r="BG1287" s="367"/>
      <c r="BH1287" s="260"/>
      <c r="BL1287" s="54"/>
    </row>
    <row r="1288" spans="1:64" ht="37.950000000000003" customHeight="1" x14ac:dyDescent="0.3">
      <c r="A1288" s="367">
        <f t="shared" si="23"/>
        <v>1283</v>
      </c>
      <c r="B1288" s="54" t="s">
        <v>3670</v>
      </c>
      <c r="C1288" s="367" t="s">
        <v>3227</v>
      </c>
      <c r="D1288" s="367" t="s">
        <v>262</v>
      </c>
      <c r="E1288" s="367"/>
      <c r="F1288" s="367"/>
      <c r="G1288" s="367"/>
      <c r="H1288" s="367"/>
      <c r="I1288" s="150"/>
      <c r="J1288" s="48"/>
      <c r="K1288" s="48" t="s">
        <v>3671</v>
      </c>
      <c r="L1288" s="367"/>
      <c r="M1288" s="150"/>
      <c r="N1288" s="367"/>
      <c r="O1288" s="367"/>
      <c r="P1288" s="367"/>
      <c r="Q1288" s="367"/>
      <c r="R1288" s="367"/>
      <c r="S1288" s="367"/>
      <c r="T1288" s="367"/>
      <c r="U1288" s="367"/>
      <c r="V1288" s="367"/>
      <c r="W1288" s="367"/>
      <c r="X1288" s="367"/>
      <c r="Y1288" s="367"/>
      <c r="Z1288" s="367"/>
      <c r="AA1288" s="367"/>
      <c r="AB1288" s="150"/>
      <c r="AC1288" s="48" t="s">
        <v>3672</v>
      </c>
      <c r="AD1288" s="150" t="s">
        <v>2415</v>
      </c>
      <c r="AE1288" s="296"/>
      <c r="AF1288" s="296"/>
      <c r="AG1288" s="286">
        <v>46508</v>
      </c>
      <c r="AH1288" s="49">
        <v>46502</v>
      </c>
      <c r="AI1288" s="266">
        <v>46447</v>
      </c>
      <c r="AJ1288" s="150" t="s">
        <v>617</v>
      </c>
      <c r="AK1288" s="150"/>
      <c r="AL1288" s="150"/>
      <c r="AM1288" s="150"/>
      <c r="AN1288" s="367"/>
      <c r="AO1288" s="367"/>
      <c r="AP1288" s="367"/>
      <c r="AQ1288" s="367"/>
      <c r="AR1288" s="367"/>
      <c r="AS1288" s="367"/>
      <c r="AT1288" s="367"/>
      <c r="AU1288" s="367"/>
      <c r="AV1288" s="367"/>
      <c r="AW1288" s="367"/>
      <c r="AX1288" s="367"/>
      <c r="AY1288" s="367"/>
      <c r="AZ1288" s="367"/>
      <c r="BA1288" s="367"/>
      <c r="BB1288" s="152"/>
      <c r="BC1288" s="152"/>
      <c r="BD1288" s="367"/>
      <c r="BE1288" s="367"/>
      <c r="BF1288" s="367"/>
      <c r="BG1288" s="367"/>
      <c r="BH1288" s="260"/>
      <c r="BL1288" s="54"/>
    </row>
    <row r="1289" spans="1:64" ht="37.950000000000003" customHeight="1" x14ac:dyDescent="0.3">
      <c r="A1289" s="367">
        <f t="shared" si="23"/>
        <v>1284</v>
      </c>
      <c r="B1289" s="54" t="s">
        <v>3673</v>
      </c>
      <c r="C1289" s="367" t="s">
        <v>3227</v>
      </c>
      <c r="D1289" s="367" t="s">
        <v>262</v>
      </c>
      <c r="E1289" s="367"/>
      <c r="F1289" s="367"/>
      <c r="G1289" s="367"/>
      <c r="H1289" s="367"/>
      <c r="I1289" s="150"/>
      <c r="J1289" s="48"/>
      <c r="K1289" s="48" t="s">
        <v>3671</v>
      </c>
      <c r="L1289" s="367"/>
      <c r="M1289" s="150"/>
      <c r="N1289" s="367"/>
      <c r="O1289" s="367"/>
      <c r="P1289" s="367"/>
      <c r="Q1289" s="367"/>
      <c r="R1289" s="367"/>
      <c r="S1289" s="367"/>
      <c r="T1289" s="367"/>
      <c r="U1289" s="367"/>
      <c r="V1289" s="367"/>
      <c r="W1289" s="367"/>
      <c r="X1289" s="367"/>
      <c r="Y1289" s="367"/>
      <c r="Z1289" s="367"/>
      <c r="AA1289" s="367"/>
      <c r="AB1289" s="150"/>
      <c r="AC1289" s="48" t="s">
        <v>3674</v>
      </c>
      <c r="AD1289" s="150" t="s">
        <v>169</v>
      </c>
      <c r="AE1289" s="296"/>
      <c r="AF1289" s="296"/>
      <c r="AG1289" s="286">
        <v>46508</v>
      </c>
      <c r="AH1289" s="49">
        <v>46502</v>
      </c>
      <c r="AI1289" s="266">
        <v>46447</v>
      </c>
      <c r="AJ1289" s="150" t="s">
        <v>617</v>
      </c>
      <c r="AK1289" s="150"/>
      <c r="AL1289" s="150"/>
      <c r="AM1289" s="150"/>
      <c r="AN1289" s="367"/>
      <c r="AO1289" s="367"/>
      <c r="AP1289" s="367"/>
      <c r="AQ1289" s="367"/>
      <c r="AR1289" s="367"/>
      <c r="AS1289" s="367"/>
      <c r="AT1289" s="367"/>
      <c r="AU1289" s="367"/>
      <c r="AV1289" s="367"/>
      <c r="AW1289" s="367"/>
      <c r="AX1289" s="367"/>
      <c r="AY1289" s="367"/>
      <c r="AZ1289" s="367"/>
      <c r="BA1289" s="367"/>
      <c r="BB1289" s="152"/>
      <c r="BC1289" s="152"/>
      <c r="BD1289" s="367"/>
      <c r="BE1289" s="367"/>
      <c r="BF1289" s="367"/>
      <c r="BG1289" s="367"/>
      <c r="BH1289" s="260"/>
      <c r="BL1289" s="54"/>
    </row>
    <row r="1290" spans="1:64" ht="37.950000000000003" customHeight="1" x14ac:dyDescent="0.3">
      <c r="A1290" s="367">
        <f t="shared" si="23"/>
        <v>1285</v>
      </c>
      <c r="B1290" s="54" t="s">
        <v>3675</v>
      </c>
      <c r="C1290" s="367" t="s">
        <v>3227</v>
      </c>
      <c r="D1290" s="367" t="s">
        <v>262</v>
      </c>
      <c r="E1290" s="367"/>
      <c r="F1290" s="367"/>
      <c r="G1290" s="367"/>
      <c r="H1290" s="367"/>
      <c r="I1290" s="150"/>
      <c r="J1290" s="48"/>
      <c r="K1290" s="48" t="s">
        <v>3671</v>
      </c>
      <c r="L1290" s="367"/>
      <c r="M1290" s="150"/>
      <c r="N1290" s="367"/>
      <c r="O1290" s="367"/>
      <c r="P1290" s="367"/>
      <c r="Q1290" s="367"/>
      <c r="R1290" s="367"/>
      <c r="S1290" s="367"/>
      <c r="T1290" s="367"/>
      <c r="U1290" s="367"/>
      <c r="V1290" s="367"/>
      <c r="W1290" s="367"/>
      <c r="X1290" s="367"/>
      <c r="Y1290" s="367"/>
      <c r="Z1290" s="367"/>
      <c r="AA1290" s="367"/>
      <c r="AB1290" s="150"/>
      <c r="AC1290" s="48" t="s">
        <v>3676</v>
      </c>
      <c r="AD1290" s="150" t="s">
        <v>238</v>
      </c>
      <c r="AE1290" s="296"/>
      <c r="AF1290" s="296"/>
      <c r="AG1290" s="286">
        <v>46508</v>
      </c>
      <c r="AH1290" s="49">
        <v>46502</v>
      </c>
      <c r="AI1290" s="266">
        <v>46447</v>
      </c>
      <c r="AJ1290" s="150" t="s">
        <v>617</v>
      </c>
      <c r="AK1290" s="150"/>
      <c r="AL1290" s="150"/>
      <c r="AM1290" s="150"/>
      <c r="AN1290" s="367"/>
      <c r="AO1290" s="367"/>
      <c r="AP1290" s="367"/>
      <c r="AQ1290" s="367"/>
      <c r="AR1290" s="367"/>
      <c r="AS1290" s="367"/>
      <c r="AT1290" s="367"/>
      <c r="AU1290" s="367"/>
      <c r="AV1290" s="367"/>
      <c r="AW1290" s="367"/>
      <c r="AX1290" s="367"/>
      <c r="AY1290" s="367"/>
      <c r="AZ1290" s="367"/>
      <c r="BA1290" s="367"/>
      <c r="BB1290" s="152"/>
      <c r="BC1290" s="152"/>
      <c r="BD1290" s="367"/>
      <c r="BE1290" s="367"/>
      <c r="BF1290" s="367"/>
      <c r="BG1290" s="367"/>
      <c r="BH1290" s="260"/>
      <c r="BL1290" s="54"/>
    </row>
    <row r="1291" spans="1:64" ht="37.950000000000003" customHeight="1" x14ac:dyDescent="0.3">
      <c r="A1291" s="367">
        <f t="shared" si="23"/>
        <v>1286</v>
      </c>
      <c r="B1291" s="54" t="s">
        <v>3677</v>
      </c>
      <c r="C1291" s="367" t="s">
        <v>3227</v>
      </c>
      <c r="D1291" s="367" t="s">
        <v>262</v>
      </c>
      <c r="E1291" s="367"/>
      <c r="F1291" s="367"/>
      <c r="G1291" s="367"/>
      <c r="H1291" s="367"/>
      <c r="I1291" s="150"/>
      <c r="J1291" s="48"/>
      <c r="K1291" s="48" t="s">
        <v>3671</v>
      </c>
      <c r="L1291" s="367"/>
      <c r="M1291" s="150"/>
      <c r="N1291" s="367"/>
      <c r="O1291" s="367"/>
      <c r="P1291" s="367"/>
      <c r="Q1291" s="367"/>
      <c r="R1291" s="367"/>
      <c r="S1291" s="367"/>
      <c r="T1291" s="367"/>
      <c r="U1291" s="367"/>
      <c r="V1291" s="367"/>
      <c r="W1291" s="367"/>
      <c r="X1291" s="367"/>
      <c r="Y1291" s="367"/>
      <c r="Z1291" s="367"/>
      <c r="AA1291" s="367"/>
      <c r="AB1291" s="150"/>
      <c r="AC1291" s="48" t="s">
        <v>3678</v>
      </c>
      <c r="AD1291" s="150" t="s">
        <v>2427</v>
      </c>
      <c r="AE1291" s="296"/>
      <c r="AF1291" s="296"/>
      <c r="AG1291" s="286">
        <v>46508</v>
      </c>
      <c r="AH1291" s="49">
        <v>46502</v>
      </c>
      <c r="AI1291" s="266">
        <v>46447</v>
      </c>
      <c r="AJ1291" s="150" t="s">
        <v>617</v>
      </c>
      <c r="AK1291" s="150"/>
      <c r="AL1291" s="150"/>
      <c r="AM1291" s="150"/>
      <c r="AN1291" s="367"/>
      <c r="AO1291" s="367"/>
      <c r="AP1291" s="367"/>
      <c r="AQ1291" s="367"/>
      <c r="AR1291" s="367"/>
      <c r="AS1291" s="367"/>
      <c r="AT1291" s="367"/>
      <c r="AU1291" s="367"/>
      <c r="AV1291" s="367"/>
      <c r="AW1291" s="367"/>
      <c r="AX1291" s="367"/>
      <c r="AY1291" s="367"/>
      <c r="AZ1291" s="367"/>
      <c r="BA1291" s="367"/>
      <c r="BB1291" s="152"/>
      <c r="BC1291" s="152"/>
      <c r="BD1291" s="367"/>
      <c r="BE1291" s="367"/>
      <c r="BF1291" s="367"/>
      <c r="BG1291" s="367"/>
      <c r="BH1291" s="260"/>
      <c r="BL1291" s="54"/>
    </row>
    <row r="1292" spans="1:64" ht="37.950000000000003" customHeight="1" x14ac:dyDescent="0.3">
      <c r="A1292" s="367">
        <f t="shared" si="23"/>
        <v>1287</v>
      </c>
      <c r="B1292" s="54" t="s">
        <v>3679</v>
      </c>
      <c r="C1292" s="367" t="s">
        <v>3227</v>
      </c>
      <c r="D1292" s="367" t="s">
        <v>262</v>
      </c>
      <c r="E1292" s="367"/>
      <c r="F1292" s="367"/>
      <c r="G1292" s="367"/>
      <c r="H1292" s="367"/>
      <c r="I1292" s="150"/>
      <c r="J1292" s="48"/>
      <c r="K1292" s="48" t="s">
        <v>3671</v>
      </c>
      <c r="L1292" s="367"/>
      <c r="M1292" s="150"/>
      <c r="N1292" s="367"/>
      <c r="O1292" s="367"/>
      <c r="P1292" s="367"/>
      <c r="Q1292" s="367"/>
      <c r="R1292" s="367"/>
      <c r="S1292" s="367"/>
      <c r="T1292" s="367"/>
      <c r="U1292" s="367"/>
      <c r="V1292" s="367"/>
      <c r="W1292" s="367"/>
      <c r="X1292" s="367"/>
      <c r="Y1292" s="367"/>
      <c r="Z1292" s="367"/>
      <c r="AA1292" s="367"/>
      <c r="AB1292" s="150"/>
      <c r="AC1292" s="48" t="s">
        <v>3676</v>
      </c>
      <c r="AD1292" s="150" t="s">
        <v>238</v>
      </c>
      <c r="AE1292" s="296"/>
      <c r="AF1292" s="296"/>
      <c r="AG1292" s="286">
        <v>46600</v>
      </c>
      <c r="AH1292" s="49">
        <v>46593</v>
      </c>
      <c r="AI1292" s="266">
        <v>46539</v>
      </c>
      <c r="AJ1292" s="150" t="s">
        <v>617</v>
      </c>
      <c r="AK1292" s="150"/>
      <c r="AL1292" s="150"/>
      <c r="AM1292" s="150"/>
      <c r="AN1292" s="367"/>
      <c r="AO1292" s="367"/>
      <c r="AP1292" s="367"/>
      <c r="AQ1292" s="367"/>
      <c r="AR1292" s="367"/>
      <c r="AS1292" s="367"/>
      <c r="AT1292" s="367"/>
      <c r="AU1292" s="367"/>
      <c r="AV1292" s="367"/>
      <c r="AW1292" s="367"/>
      <c r="AX1292" s="367"/>
      <c r="AY1292" s="367"/>
      <c r="AZ1292" s="367"/>
      <c r="BA1292" s="367"/>
      <c r="BB1292" s="152"/>
      <c r="BC1292" s="152"/>
      <c r="BD1292" s="367"/>
      <c r="BE1292" s="367"/>
      <c r="BF1292" s="367"/>
      <c r="BG1292" s="367"/>
      <c r="BH1292" s="260"/>
      <c r="BL1292" s="54"/>
    </row>
    <row r="1293" spans="1:64" ht="37.950000000000003" customHeight="1" x14ac:dyDescent="0.3">
      <c r="A1293" s="367">
        <f t="shared" si="23"/>
        <v>1288</v>
      </c>
      <c r="B1293" s="54" t="s">
        <v>3680</v>
      </c>
      <c r="C1293" s="367" t="s">
        <v>3227</v>
      </c>
      <c r="D1293" s="367" t="s">
        <v>262</v>
      </c>
      <c r="E1293" s="367"/>
      <c r="F1293" s="367"/>
      <c r="G1293" s="367"/>
      <c r="H1293" s="367"/>
      <c r="I1293" s="150"/>
      <c r="J1293" s="48"/>
      <c r="K1293" s="48" t="s">
        <v>3671</v>
      </c>
      <c r="L1293" s="367"/>
      <c r="M1293" s="150"/>
      <c r="N1293" s="367"/>
      <c r="O1293" s="367"/>
      <c r="P1293" s="367"/>
      <c r="Q1293" s="367"/>
      <c r="R1293" s="367"/>
      <c r="S1293" s="367"/>
      <c r="T1293" s="367"/>
      <c r="U1293" s="367"/>
      <c r="V1293" s="367"/>
      <c r="W1293" s="367"/>
      <c r="X1293" s="367"/>
      <c r="Y1293" s="367"/>
      <c r="Z1293" s="367"/>
      <c r="AA1293" s="367"/>
      <c r="AB1293" s="150"/>
      <c r="AC1293" s="48" t="s">
        <v>3678</v>
      </c>
      <c r="AD1293" s="150" t="s">
        <v>2427</v>
      </c>
      <c r="AE1293" s="296"/>
      <c r="AF1293" s="296"/>
      <c r="AG1293" s="286">
        <v>46600</v>
      </c>
      <c r="AH1293" s="49">
        <v>46593</v>
      </c>
      <c r="AI1293" s="266">
        <v>46539</v>
      </c>
      <c r="AJ1293" s="150" t="s">
        <v>617</v>
      </c>
      <c r="AK1293" s="150"/>
      <c r="AL1293" s="150"/>
      <c r="AM1293" s="150"/>
      <c r="AN1293" s="367"/>
      <c r="AO1293" s="367"/>
      <c r="AP1293" s="367"/>
      <c r="AQ1293" s="367"/>
      <c r="AR1293" s="367"/>
      <c r="AS1293" s="367"/>
      <c r="AT1293" s="367"/>
      <c r="AU1293" s="367"/>
      <c r="AV1293" s="367"/>
      <c r="AW1293" s="367"/>
      <c r="AX1293" s="367"/>
      <c r="AY1293" s="367"/>
      <c r="AZ1293" s="367"/>
      <c r="BA1293" s="367"/>
      <c r="BB1293" s="152"/>
      <c r="BC1293" s="152"/>
      <c r="BD1293" s="367"/>
      <c r="BE1293" s="367"/>
      <c r="BF1293" s="367"/>
      <c r="BG1293" s="367"/>
      <c r="BH1293" s="260"/>
      <c r="BL1293" s="54"/>
    </row>
    <row r="1294" spans="1:64" ht="37.950000000000003" customHeight="1" x14ac:dyDescent="0.3">
      <c r="A1294" s="367">
        <f t="shared" si="23"/>
        <v>1289</v>
      </c>
      <c r="B1294" s="54" t="s">
        <v>3681</v>
      </c>
      <c r="C1294" s="367" t="s">
        <v>3227</v>
      </c>
      <c r="D1294" s="367" t="s">
        <v>262</v>
      </c>
      <c r="E1294" s="367"/>
      <c r="F1294" s="367"/>
      <c r="G1294" s="367"/>
      <c r="H1294" s="367"/>
      <c r="I1294" s="150"/>
      <c r="J1294" s="48"/>
      <c r="K1294" s="48" t="s">
        <v>3682</v>
      </c>
      <c r="L1294" s="367"/>
      <c r="M1294" s="150"/>
      <c r="N1294" s="367"/>
      <c r="O1294" s="367"/>
      <c r="P1294" s="367"/>
      <c r="Q1294" s="367"/>
      <c r="R1294" s="367"/>
      <c r="S1294" s="367"/>
      <c r="T1294" s="367"/>
      <c r="U1294" s="367"/>
      <c r="V1294" s="367"/>
      <c r="W1294" s="367"/>
      <c r="X1294" s="367"/>
      <c r="Y1294" s="367"/>
      <c r="Z1294" s="367"/>
      <c r="AA1294" s="367"/>
      <c r="AB1294" s="150"/>
      <c r="AC1294" s="48" t="s">
        <v>3683</v>
      </c>
      <c r="AD1294" s="150" t="s">
        <v>3251</v>
      </c>
      <c r="AE1294" s="296"/>
      <c r="AF1294" s="296"/>
      <c r="AG1294" s="286">
        <v>46508</v>
      </c>
      <c r="AH1294" s="49">
        <v>46502</v>
      </c>
      <c r="AI1294" s="266">
        <v>46447</v>
      </c>
      <c r="AJ1294" s="150" t="s">
        <v>617</v>
      </c>
      <c r="AK1294" s="150"/>
      <c r="AL1294" s="150"/>
      <c r="AM1294" s="150"/>
      <c r="AN1294" s="367"/>
      <c r="AO1294" s="367"/>
      <c r="AP1294" s="367"/>
      <c r="AQ1294" s="367"/>
      <c r="AR1294" s="367"/>
      <c r="AS1294" s="367"/>
      <c r="AT1294" s="367"/>
      <c r="AU1294" s="367"/>
      <c r="AV1294" s="367"/>
      <c r="AW1294" s="367"/>
      <c r="AX1294" s="367"/>
      <c r="AY1294" s="367"/>
      <c r="AZ1294" s="367"/>
      <c r="BA1294" s="367"/>
      <c r="BB1294" s="152"/>
      <c r="BC1294" s="152"/>
      <c r="BD1294" s="367"/>
      <c r="BE1294" s="367"/>
      <c r="BF1294" s="367"/>
      <c r="BG1294" s="367"/>
      <c r="BH1294" s="260"/>
      <c r="BL1294" s="54"/>
    </row>
    <row r="1295" spans="1:64" ht="37.950000000000003" customHeight="1" x14ac:dyDescent="0.3">
      <c r="A1295" s="367">
        <f t="shared" si="23"/>
        <v>1290</v>
      </c>
      <c r="B1295" s="54" t="s">
        <v>3684</v>
      </c>
      <c r="C1295" s="367" t="s">
        <v>3227</v>
      </c>
      <c r="D1295" s="367" t="s">
        <v>262</v>
      </c>
      <c r="E1295" s="367"/>
      <c r="F1295" s="367"/>
      <c r="G1295" s="367"/>
      <c r="H1295" s="367"/>
      <c r="I1295" s="150"/>
      <c r="J1295" s="48"/>
      <c r="K1295" s="48" t="s">
        <v>3682</v>
      </c>
      <c r="L1295" s="367"/>
      <c r="M1295" s="150"/>
      <c r="N1295" s="367"/>
      <c r="O1295" s="367"/>
      <c r="P1295" s="367"/>
      <c r="Q1295" s="367"/>
      <c r="R1295" s="367"/>
      <c r="S1295" s="367"/>
      <c r="T1295" s="367"/>
      <c r="U1295" s="367"/>
      <c r="V1295" s="367"/>
      <c r="W1295" s="367"/>
      <c r="X1295" s="367"/>
      <c r="Y1295" s="367"/>
      <c r="Z1295" s="367"/>
      <c r="AA1295" s="367"/>
      <c r="AB1295" s="150"/>
      <c r="AC1295" s="48" t="s">
        <v>3685</v>
      </c>
      <c r="AD1295" s="150" t="s">
        <v>2427</v>
      </c>
      <c r="AE1295" s="296"/>
      <c r="AF1295" s="296"/>
      <c r="AG1295" s="286">
        <v>46508</v>
      </c>
      <c r="AH1295" s="49">
        <v>46502</v>
      </c>
      <c r="AI1295" s="266">
        <v>46447</v>
      </c>
      <c r="AJ1295" s="150" t="s">
        <v>617</v>
      </c>
      <c r="AK1295" s="150"/>
      <c r="AL1295" s="150"/>
      <c r="AM1295" s="150"/>
      <c r="AN1295" s="367"/>
      <c r="AO1295" s="367"/>
      <c r="AP1295" s="367"/>
      <c r="AQ1295" s="367"/>
      <c r="AR1295" s="367"/>
      <c r="AS1295" s="367"/>
      <c r="AT1295" s="367"/>
      <c r="AU1295" s="367"/>
      <c r="AV1295" s="367"/>
      <c r="AW1295" s="367"/>
      <c r="AX1295" s="367"/>
      <c r="AY1295" s="367"/>
      <c r="AZ1295" s="367"/>
      <c r="BA1295" s="367"/>
      <c r="BB1295" s="152"/>
      <c r="BC1295" s="152"/>
      <c r="BD1295" s="367"/>
      <c r="BE1295" s="367"/>
      <c r="BF1295" s="367"/>
      <c r="BG1295" s="367"/>
      <c r="BH1295" s="260"/>
      <c r="BL1295" s="54"/>
    </row>
    <row r="1296" spans="1:64" ht="37.950000000000003" customHeight="1" x14ac:dyDescent="0.3">
      <c r="A1296" s="367">
        <f t="shared" si="23"/>
        <v>1291</v>
      </c>
      <c r="B1296" s="54" t="s">
        <v>3686</v>
      </c>
      <c r="C1296" s="367" t="s">
        <v>3227</v>
      </c>
      <c r="D1296" s="367" t="s">
        <v>262</v>
      </c>
      <c r="E1296" s="367"/>
      <c r="F1296" s="367"/>
      <c r="G1296" s="367"/>
      <c r="H1296" s="367"/>
      <c r="I1296" s="150"/>
      <c r="J1296" s="48"/>
      <c r="K1296" s="48" t="s">
        <v>3687</v>
      </c>
      <c r="L1296" s="367"/>
      <c r="M1296" s="150"/>
      <c r="N1296" s="367"/>
      <c r="O1296" s="367"/>
      <c r="P1296" s="367"/>
      <c r="Q1296" s="367"/>
      <c r="R1296" s="367"/>
      <c r="S1296" s="367"/>
      <c r="T1296" s="367"/>
      <c r="U1296" s="367"/>
      <c r="V1296" s="367"/>
      <c r="W1296" s="367"/>
      <c r="X1296" s="367"/>
      <c r="Y1296" s="367"/>
      <c r="Z1296" s="367"/>
      <c r="AA1296" s="367"/>
      <c r="AB1296" s="150"/>
      <c r="AC1296" s="48" t="s">
        <v>3688</v>
      </c>
      <c r="AD1296" s="150" t="s">
        <v>2415</v>
      </c>
      <c r="AE1296" s="296"/>
      <c r="AF1296" s="296"/>
      <c r="AG1296" s="286">
        <v>46508</v>
      </c>
      <c r="AH1296" s="49">
        <v>46502</v>
      </c>
      <c r="AI1296" s="266">
        <v>46447</v>
      </c>
      <c r="AJ1296" s="150" t="s">
        <v>617</v>
      </c>
      <c r="AK1296" s="150"/>
      <c r="AL1296" s="150"/>
      <c r="AM1296" s="150"/>
      <c r="AN1296" s="367"/>
      <c r="AO1296" s="367"/>
      <c r="AP1296" s="367"/>
      <c r="AQ1296" s="367"/>
      <c r="AR1296" s="367"/>
      <c r="AS1296" s="367"/>
      <c r="AT1296" s="367"/>
      <c r="AU1296" s="367"/>
      <c r="AV1296" s="367"/>
      <c r="AW1296" s="367"/>
      <c r="AX1296" s="367"/>
      <c r="AY1296" s="367"/>
      <c r="AZ1296" s="367"/>
      <c r="BA1296" s="367"/>
      <c r="BB1296" s="152"/>
      <c r="BC1296" s="152"/>
      <c r="BD1296" s="367"/>
      <c r="BE1296" s="367"/>
      <c r="BF1296" s="367"/>
      <c r="BG1296" s="367"/>
      <c r="BH1296" s="260"/>
      <c r="BL1296" s="54"/>
    </row>
    <row r="1297" spans="1:64" ht="37.950000000000003" customHeight="1" x14ac:dyDescent="0.3">
      <c r="A1297" s="367">
        <f t="shared" si="23"/>
        <v>1292</v>
      </c>
      <c r="B1297" s="54" t="s">
        <v>3689</v>
      </c>
      <c r="C1297" s="367" t="s">
        <v>3227</v>
      </c>
      <c r="D1297" s="367" t="s">
        <v>262</v>
      </c>
      <c r="E1297" s="367"/>
      <c r="F1297" s="367"/>
      <c r="G1297" s="367"/>
      <c r="H1297" s="367"/>
      <c r="I1297" s="150"/>
      <c r="J1297" s="48"/>
      <c r="K1297" s="48" t="s">
        <v>3687</v>
      </c>
      <c r="L1297" s="367"/>
      <c r="M1297" s="150"/>
      <c r="N1297" s="367"/>
      <c r="O1297" s="367"/>
      <c r="P1297" s="367"/>
      <c r="Q1297" s="367"/>
      <c r="R1297" s="367"/>
      <c r="S1297" s="367"/>
      <c r="T1297" s="367"/>
      <c r="U1297" s="367"/>
      <c r="V1297" s="367"/>
      <c r="W1297" s="367"/>
      <c r="X1297" s="367"/>
      <c r="Y1297" s="367"/>
      <c r="Z1297" s="367"/>
      <c r="AA1297" s="367"/>
      <c r="AB1297" s="150"/>
      <c r="AC1297" s="48" t="s">
        <v>3690</v>
      </c>
      <c r="AD1297" s="150" t="s">
        <v>2427</v>
      </c>
      <c r="AE1297" s="296"/>
      <c r="AF1297" s="296"/>
      <c r="AG1297" s="286">
        <v>46508</v>
      </c>
      <c r="AH1297" s="49">
        <v>46502</v>
      </c>
      <c r="AI1297" s="266">
        <v>46447</v>
      </c>
      <c r="AJ1297" s="150" t="s">
        <v>617</v>
      </c>
      <c r="AK1297" s="150"/>
      <c r="AL1297" s="150"/>
      <c r="AM1297" s="150"/>
      <c r="AN1297" s="367"/>
      <c r="AO1297" s="367"/>
      <c r="AP1297" s="367"/>
      <c r="AQ1297" s="367"/>
      <c r="AR1297" s="367"/>
      <c r="AS1297" s="367"/>
      <c r="AT1297" s="367"/>
      <c r="AU1297" s="367"/>
      <c r="AV1297" s="367"/>
      <c r="AW1297" s="367"/>
      <c r="AX1297" s="367"/>
      <c r="AY1297" s="367"/>
      <c r="AZ1297" s="367"/>
      <c r="BA1297" s="367"/>
      <c r="BB1297" s="152"/>
      <c r="BC1297" s="152"/>
      <c r="BD1297" s="367"/>
      <c r="BE1297" s="367"/>
      <c r="BF1297" s="367"/>
      <c r="BG1297" s="367"/>
      <c r="BH1297" s="260"/>
      <c r="BL1297" s="54"/>
    </row>
    <row r="1298" spans="1:64" ht="37.950000000000003" customHeight="1" x14ac:dyDescent="0.3">
      <c r="A1298" s="367">
        <f t="shared" si="23"/>
        <v>1293</v>
      </c>
      <c r="B1298" s="54" t="s">
        <v>3691</v>
      </c>
      <c r="C1298" s="367" t="s">
        <v>3227</v>
      </c>
      <c r="D1298" s="367" t="s">
        <v>262</v>
      </c>
      <c r="E1298" s="367"/>
      <c r="F1298" s="367"/>
      <c r="G1298" s="367"/>
      <c r="H1298" s="367"/>
      <c r="I1298" s="150"/>
      <c r="J1298" s="48"/>
      <c r="K1298" s="48" t="s">
        <v>3692</v>
      </c>
      <c r="L1298" s="367"/>
      <c r="M1298" s="150"/>
      <c r="N1298" s="367"/>
      <c r="O1298" s="367"/>
      <c r="P1298" s="367"/>
      <c r="Q1298" s="367"/>
      <c r="R1298" s="367"/>
      <c r="S1298" s="367"/>
      <c r="T1298" s="367"/>
      <c r="U1298" s="367"/>
      <c r="V1298" s="367"/>
      <c r="W1298" s="367"/>
      <c r="X1298" s="367"/>
      <c r="Y1298" s="367"/>
      <c r="Z1298" s="367"/>
      <c r="AA1298" s="367"/>
      <c r="AB1298" s="150"/>
      <c r="AC1298" s="48" t="s">
        <v>3693</v>
      </c>
      <c r="AD1298" s="150" t="s">
        <v>2415</v>
      </c>
      <c r="AE1298" s="296"/>
      <c r="AF1298" s="296"/>
      <c r="AG1298" s="286">
        <v>46631</v>
      </c>
      <c r="AH1298" s="49">
        <v>46624</v>
      </c>
      <c r="AI1298" s="266">
        <v>46569</v>
      </c>
      <c r="AJ1298" s="150" t="s">
        <v>617</v>
      </c>
      <c r="AK1298" s="150"/>
      <c r="AL1298" s="150"/>
      <c r="AM1298" s="150"/>
      <c r="AN1298" s="367"/>
      <c r="AO1298" s="367"/>
      <c r="AP1298" s="367"/>
      <c r="AQ1298" s="367"/>
      <c r="AR1298" s="367"/>
      <c r="AS1298" s="367"/>
      <c r="AT1298" s="367"/>
      <c r="AU1298" s="367"/>
      <c r="AV1298" s="367"/>
      <c r="AW1298" s="367"/>
      <c r="AX1298" s="367"/>
      <c r="AY1298" s="367"/>
      <c r="AZ1298" s="367"/>
      <c r="BA1298" s="367"/>
      <c r="BB1298" s="152"/>
      <c r="BC1298" s="152"/>
      <c r="BD1298" s="367"/>
      <c r="BE1298" s="367"/>
      <c r="BF1298" s="367"/>
      <c r="BG1298" s="367"/>
      <c r="BH1298" s="260"/>
      <c r="BL1298" s="54"/>
    </row>
    <row r="1299" spans="1:64" ht="37.950000000000003" customHeight="1" x14ac:dyDescent="0.3">
      <c r="A1299" s="367">
        <f t="shared" si="23"/>
        <v>1294</v>
      </c>
      <c r="B1299" s="54" t="s">
        <v>3694</v>
      </c>
      <c r="C1299" s="367" t="s">
        <v>3227</v>
      </c>
      <c r="D1299" s="367" t="s">
        <v>262</v>
      </c>
      <c r="E1299" s="367"/>
      <c r="F1299" s="367"/>
      <c r="G1299" s="367"/>
      <c r="H1299" s="367"/>
      <c r="I1299" s="150"/>
      <c r="J1299" s="48"/>
      <c r="K1299" s="48" t="s">
        <v>3692</v>
      </c>
      <c r="L1299" s="367"/>
      <c r="M1299" s="150"/>
      <c r="N1299" s="367"/>
      <c r="O1299" s="367"/>
      <c r="P1299" s="367"/>
      <c r="Q1299" s="367"/>
      <c r="R1299" s="367"/>
      <c r="S1299" s="367"/>
      <c r="T1299" s="367"/>
      <c r="U1299" s="367"/>
      <c r="V1299" s="367"/>
      <c r="W1299" s="367"/>
      <c r="X1299" s="367"/>
      <c r="Y1299" s="367"/>
      <c r="Z1299" s="367"/>
      <c r="AA1299" s="367"/>
      <c r="AB1299" s="150"/>
      <c r="AC1299" s="48" t="s">
        <v>3695</v>
      </c>
      <c r="AD1299" s="150" t="s">
        <v>2427</v>
      </c>
      <c r="AE1299" s="296"/>
      <c r="AF1299" s="296"/>
      <c r="AG1299" s="286">
        <v>46631</v>
      </c>
      <c r="AH1299" s="49">
        <v>46624</v>
      </c>
      <c r="AI1299" s="266">
        <v>46569</v>
      </c>
      <c r="AJ1299" s="150" t="s">
        <v>617</v>
      </c>
      <c r="AK1299" s="150"/>
      <c r="AL1299" s="150"/>
      <c r="AM1299" s="150"/>
      <c r="AN1299" s="367"/>
      <c r="AO1299" s="367"/>
      <c r="AP1299" s="367"/>
      <c r="AQ1299" s="367"/>
      <c r="AR1299" s="367"/>
      <c r="AS1299" s="367"/>
      <c r="AT1299" s="367"/>
      <c r="AU1299" s="367"/>
      <c r="AV1299" s="367"/>
      <c r="AW1299" s="367"/>
      <c r="AX1299" s="367"/>
      <c r="AY1299" s="367"/>
      <c r="AZ1299" s="367"/>
      <c r="BA1299" s="367"/>
      <c r="BB1299" s="152"/>
      <c r="BC1299" s="152"/>
      <c r="BD1299" s="367"/>
      <c r="BE1299" s="367"/>
      <c r="BF1299" s="367"/>
      <c r="BG1299" s="367"/>
      <c r="BH1299" s="260"/>
      <c r="BL1299" s="54"/>
    </row>
    <row r="1300" spans="1:64" ht="37.950000000000003" customHeight="1" x14ac:dyDescent="0.3">
      <c r="A1300" s="367">
        <f t="shared" si="23"/>
        <v>1295</v>
      </c>
      <c r="B1300" s="54" t="s">
        <v>3696</v>
      </c>
      <c r="C1300" s="367" t="s">
        <v>3227</v>
      </c>
      <c r="D1300" s="367" t="s">
        <v>262</v>
      </c>
      <c r="E1300" s="367"/>
      <c r="F1300" s="367"/>
      <c r="G1300" s="367"/>
      <c r="H1300" s="367"/>
      <c r="I1300" s="150"/>
      <c r="J1300" s="48"/>
      <c r="K1300" s="48" t="s">
        <v>550</v>
      </c>
      <c r="L1300" s="367"/>
      <c r="M1300" s="150"/>
      <c r="N1300" s="367"/>
      <c r="O1300" s="367"/>
      <c r="P1300" s="367"/>
      <c r="Q1300" s="367"/>
      <c r="R1300" s="367"/>
      <c r="S1300" s="367"/>
      <c r="T1300" s="367"/>
      <c r="U1300" s="367"/>
      <c r="V1300" s="367"/>
      <c r="W1300" s="367"/>
      <c r="X1300" s="367"/>
      <c r="Y1300" s="367"/>
      <c r="Z1300" s="367"/>
      <c r="AA1300" s="367"/>
      <c r="AB1300" s="150"/>
      <c r="AC1300" s="48" t="s">
        <v>3697</v>
      </c>
      <c r="AD1300" s="150" t="s">
        <v>2415</v>
      </c>
      <c r="AE1300" s="296"/>
      <c r="AF1300" s="296"/>
      <c r="AG1300" s="286">
        <v>46539</v>
      </c>
      <c r="AH1300" s="49">
        <v>46532</v>
      </c>
      <c r="AI1300" s="266">
        <v>46478</v>
      </c>
      <c r="AJ1300" s="150" t="s">
        <v>617</v>
      </c>
      <c r="AK1300" s="150"/>
      <c r="AL1300" s="150"/>
      <c r="AM1300" s="150"/>
      <c r="AN1300" s="367"/>
      <c r="AO1300" s="367"/>
      <c r="AP1300" s="367"/>
      <c r="AQ1300" s="367"/>
      <c r="AR1300" s="367"/>
      <c r="AS1300" s="367"/>
      <c r="AT1300" s="367"/>
      <c r="AU1300" s="367"/>
      <c r="AV1300" s="367"/>
      <c r="AW1300" s="367"/>
      <c r="AX1300" s="367"/>
      <c r="AY1300" s="367"/>
      <c r="AZ1300" s="367"/>
      <c r="BA1300" s="367"/>
      <c r="BB1300" s="152"/>
      <c r="BC1300" s="152"/>
      <c r="BD1300" s="367"/>
      <c r="BE1300" s="367"/>
      <c r="BF1300" s="367"/>
      <c r="BG1300" s="367"/>
      <c r="BH1300" s="260"/>
      <c r="BL1300" s="54"/>
    </row>
    <row r="1301" spans="1:64" ht="37.950000000000003" customHeight="1" x14ac:dyDescent="0.3">
      <c r="A1301" s="367">
        <f t="shared" si="23"/>
        <v>1296</v>
      </c>
      <c r="B1301" s="54" t="s">
        <v>3698</v>
      </c>
      <c r="C1301" s="367" t="s">
        <v>3227</v>
      </c>
      <c r="D1301" s="367" t="s">
        <v>262</v>
      </c>
      <c r="E1301" s="367"/>
      <c r="F1301" s="367"/>
      <c r="G1301" s="367"/>
      <c r="H1301" s="367"/>
      <c r="I1301" s="150"/>
      <c r="J1301" s="48"/>
      <c r="K1301" s="48" t="s">
        <v>550</v>
      </c>
      <c r="L1301" s="367"/>
      <c r="M1301" s="150"/>
      <c r="N1301" s="367"/>
      <c r="O1301" s="367"/>
      <c r="P1301" s="367"/>
      <c r="Q1301" s="367"/>
      <c r="R1301" s="367"/>
      <c r="S1301" s="367"/>
      <c r="T1301" s="367"/>
      <c r="U1301" s="367"/>
      <c r="V1301" s="367"/>
      <c r="W1301" s="367"/>
      <c r="X1301" s="367"/>
      <c r="Y1301" s="367"/>
      <c r="Z1301" s="367"/>
      <c r="AA1301" s="367"/>
      <c r="AB1301" s="150"/>
      <c r="AC1301" s="48" t="s">
        <v>3699</v>
      </c>
      <c r="AD1301" s="150" t="s">
        <v>2427</v>
      </c>
      <c r="AE1301" s="296"/>
      <c r="AF1301" s="296"/>
      <c r="AG1301" s="286">
        <v>46539</v>
      </c>
      <c r="AH1301" s="49">
        <v>46532</v>
      </c>
      <c r="AI1301" s="266">
        <v>46478</v>
      </c>
      <c r="AJ1301" s="150" t="s">
        <v>617</v>
      </c>
      <c r="AK1301" s="150"/>
      <c r="AL1301" s="150"/>
      <c r="AM1301" s="150"/>
      <c r="AN1301" s="367"/>
      <c r="AO1301" s="367"/>
      <c r="AP1301" s="367"/>
      <c r="AQ1301" s="367"/>
      <c r="AR1301" s="367"/>
      <c r="AS1301" s="367"/>
      <c r="AT1301" s="367"/>
      <c r="AU1301" s="367"/>
      <c r="AV1301" s="367"/>
      <c r="AW1301" s="367"/>
      <c r="AX1301" s="367"/>
      <c r="AY1301" s="367"/>
      <c r="AZ1301" s="367"/>
      <c r="BA1301" s="367"/>
      <c r="BB1301" s="152"/>
      <c r="BC1301" s="152"/>
      <c r="BD1301" s="367"/>
      <c r="BE1301" s="367"/>
      <c r="BF1301" s="367"/>
      <c r="BG1301" s="367"/>
      <c r="BH1301" s="260"/>
      <c r="BL1301" s="54"/>
    </row>
    <row r="1302" spans="1:64" ht="37.950000000000003" customHeight="1" x14ac:dyDescent="0.3">
      <c r="A1302" s="367">
        <f t="shared" ref="A1302:A1365" si="24">ROW(B1302)-ROW($B$5)</f>
        <v>1297</v>
      </c>
      <c r="B1302" s="54" t="s">
        <v>3700</v>
      </c>
      <c r="C1302" s="367" t="s">
        <v>3227</v>
      </c>
      <c r="D1302" s="367" t="s">
        <v>262</v>
      </c>
      <c r="E1302" s="367"/>
      <c r="F1302" s="367"/>
      <c r="G1302" s="367"/>
      <c r="H1302" s="367"/>
      <c r="I1302" s="150"/>
      <c r="J1302" s="48"/>
      <c r="K1302" s="48" t="s">
        <v>3701</v>
      </c>
      <c r="L1302" s="367"/>
      <c r="M1302" s="150"/>
      <c r="N1302" s="367"/>
      <c r="O1302" s="367"/>
      <c r="P1302" s="367"/>
      <c r="Q1302" s="367"/>
      <c r="R1302" s="367"/>
      <c r="S1302" s="367"/>
      <c r="T1302" s="367"/>
      <c r="U1302" s="367"/>
      <c r="V1302" s="367"/>
      <c r="W1302" s="367"/>
      <c r="X1302" s="367"/>
      <c r="Y1302" s="367"/>
      <c r="Z1302" s="367"/>
      <c r="AA1302" s="367"/>
      <c r="AB1302" s="150"/>
      <c r="AC1302" s="48" t="s">
        <v>3702</v>
      </c>
      <c r="AD1302" s="150" t="s">
        <v>2415</v>
      </c>
      <c r="AE1302" s="296"/>
      <c r="AF1302" s="296"/>
      <c r="AG1302" s="286">
        <v>46539</v>
      </c>
      <c r="AH1302" s="49">
        <v>46532</v>
      </c>
      <c r="AI1302" s="266">
        <v>46478</v>
      </c>
      <c r="AJ1302" s="150" t="s">
        <v>617</v>
      </c>
      <c r="AK1302" s="150"/>
      <c r="AL1302" s="150"/>
      <c r="AM1302" s="150"/>
      <c r="AN1302" s="367"/>
      <c r="AO1302" s="367"/>
      <c r="AP1302" s="367"/>
      <c r="AQ1302" s="367"/>
      <c r="AR1302" s="367"/>
      <c r="AS1302" s="367"/>
      <c r="AT1302" s="367"/>
      <c r="AU1302" s="367"/>
      <c r="AV1302" s="367"/>
      <c r="AW1302" s="367"/>
      <c r="AX1302" s="367"/>
      <c r="AY1302" s="367"/>
      <c r="AZ1302" s="367"/>
      <c r="BA1302" s="367"/>
      <c r="BB1302" s="152"/>
      <c r="BC1302" s="152"/>
      <c r="BD1302" s="367"/>
      <c r="BE1302" s="367"/>
      <c r="BF1302" s="367"/>
      <c r="BG1302" s="367"/>
      <c r="BH1302" s="260"/>
      <c r="BL1302" s="54"/>
    </row>
    <row r="1303" spans="1:64" ht="37.950000000000003" customHeight="1" x14ac:dyDescent="0.3">
      <c r="A1303" s="367">
        <f t="shared" si="24"/>
        <v>1298</v>
      </c>
      <c r="B1303" s="54" t="s">
        <v>3703</v>
      </c>
      <c r="C1303" s="367" t="s">
        <v>3227</v>
      </c>
      <c r="D1303" s="367" t="s">
        <v>262</v>
      </c>
      <c r="E1303" s="367"/>
      <c r="F1303" s="367"/>
      <c r="G1303" s="367"/>
      <c r="H1303" s="367"/>
      <c r="I1303" s="150"/>
      <c r="J1303" s="48"/>
      <c r="K1303" s="48" t="s">
        <v>3701</v>
      </c>
      <c r="L1303" s="367"/>
      <c r="M1303" s="150"/>
      <c r="N1303" s="367"/>
      <c r="O1303" s="367"/>
      <c r="P1303" s="367"/>
      <c r="Q1303" s="367"/>
      <c r="R1303" s="367"/>
      <c r="S1303" s="367"/>
      <c r="T1303" s="367"/>
      <c r="U1303" s="367"/>
      <c r="V1303" s="367"/>
      <c r="W1303" s="367"/>
      <c r="X1303" s="367"/>
      <c r="Y1303" s="367"/>
      <c r="Z1303" s="367"/>
      <c r="AA1303" s="367"/>
      <c r="AB1303" s="150"/>
      <c r="AC1303" s="48" t="s">
        <v>3704</v>
      </c>
      <c r="AD1303" s="150" t="s">
        <v>2427</v>
      </c>
      <c r="AE1303" s="296"/>
      <c r="AF1303" s="296"/>
      <c r="AG1303" s="286">
        <v>46539</v>
      </c>
      <c r="AH1303" s="49">
        <v>46532</v>
      </c>
      <c r="AI1303" s="266">
        <v>46478</v>
      </c>
      <c r="AJ1303" s="150" t="s">
        <v>617</v>
      </c>
      <c r="AK1303" s="150"/>
      <c r="AL1303" s="150"/>
      <c r="AM1303" s="150"/>
      <c r="AN1303" s="367"/>
      <c r="AO1303" s="367"/>
      <c r="AP1303" s="367"/>
      <c r="AQ1303" s="367"/>
      <c r="AR1303" s="367"/>
      <c r="AS1303" s="367"/>
      <c r="AT1303" s="367"/>
      <c r="AU1303" s="367"/>
      <c r="AV1303" s="367"/>
      <c r="AW1303" s="367"/>
      <c r="AX1303" s="367"/>
      <c r="AY1303" s="367"/>
      <c r="AZ1303" s="367"/>
      <c r="BA1303" s="367"/>
      <c r="BB1303" s="152"/>
      <c r="BC1303" s="152"/>
      <c r="BD1303" s="367"/>
      <c r="BE1303" s="367"/>
      <c r="BF1303" s="367"/>
      <c r="BG1303" s="367"/>
      <c r="BH1303" s="260"/>
      <c r="BL1303" s="54"/>
    </row>
    <row r="1304" spans="1:64" ht="37.950000000000003" customHeight="1" x14ac:dyDescent="0.3">
      <c r="A1304" s="367">
        <f t="shared" si="24"/>
        <v>1299</v>
      </c>
      <c r="B1304" s="54" t="s">
        <v>3705</v>
      </c>
      <c r="C1304" s="367" t="s">
        <v>3227</v>
      </c>
      <c r="D1304" s="367" t="s">
        <v>262</v>
      </c>
      <c r="E1304" s="367"/>
      <c r="F1304" s="367"/>
      <c r="G1304" s="367"/>
      <c r="H1304" s="367"/>
      <c r="I1304" s="150"/>
      <c r="J1304" s="48"/>
      <c r="K1304" s="48" t="s">
        <v>3706</v>
      </c>
      <c r="L1304" s="367"/>
      <c r="M1304" s="150"/>
      <c r="N1304" s="367"/>
      <c r="O1304" s="367"/>
      <c r="P1304" s="367"/>
      <c r="Q1304" s="367"/>
      <c r="R1304" s="367"/>
      <c r="S1304" s="367"/>
      <c r="T1304" s="367"/>
      <c r="U1304" s="367"/>
      <c r="V1304" s="367"/>
      <c r="W1304" s="367"/>
      <c r="X1304" s="367"/>
      <c r="Y1304" s="367"/>
      <c r="Z1304" s="367"/>
      <c r="AA1304" s="367"/>
      <c r="AB1304" s="150"/>
      <c r="AC1304" s="48" t="s">
        <v>3707</v>
      </c>
      <c r="AD1304" s="150" t="s">
        <v>2415</v>
      </c>
      <c r="AE1304" s="296"/>
      <c r="AF1304" s="296"/>
      <c r="AG1304" s="286">
        <v>46631</v>
      </c>
      <c r="AH1304" s="49">
        <v>46624</v>
      </c>
      <c r="AI1304" s="266">
        <v>46569</v>
      </c>
      <c r="AJ1304" s="150" t="s">
        <v>617</v>
      </c>
      <c r="AK1304" s="150"/>
      <c r="AL1304" s="150"/>
      <c r="AM1304" s="150"/>
      <c r="AN1304" s="367"/>
      <c r="AO1304" s="367"/>
      <c r="AP1304" s="367"/>
      <c r="AQ1304" s="367"/>
      <c r="AR1304" s="367"/>
      <c r="AS1304" s="367"/>
      <c r="AT1304" s="367"/>
      <c r="AU1304" s="367"/>
      <c r="AV1304" s="367"/>
      <c r="AW1304" s="367"/>
      <c r="AX1304" s="367"/>
      <c r="AY1304" s="367"/>
      <c r="AZ1304" s="367"/>
      <c r="BA1304" s="367"/>
      <c r="BB1304" s="152"/>
      <c r="BC1304" s="152"/>
      <c r="BD1304" s="367"/>
      <c r="BE1304" s="367"/>
      <c r="BF1304" s="367"/>
      <c r="BG1304" s="367"/>
      <c r="BH1304" s="260"/>
      <c r="BL1304" s="54"/>
    </row>
    <row r="1305" spans="1:64" ht="37.950000000000003" customHeight="1" x14ac:dyDescent="0.3">
      <c r="A1305" s="367">
        <f t="shared" si="24"/>
        <v>1300</v>
      </c>
      <c r="B1305" s="54" t="s">
        <v>3708</v>
      </c>
      <c r="C1305" s="367" t="s">
        <v>3227</v>
      </c>
      <c r="D1305" s="367" t="s">
        <v>262</v>
      </c>
      <c r="E1305" s="367"/>
      <c r="F1305" s="367"/>
      <c r="G1305" s="367"/>
      <c r="H1305" s="367"/>
      <c r="I1305" s="150"/>
      <c r="J1305" s="48"/>
      <c r="K1305" s="48" t="s">
        <v>3706</v>
      </c>
      <c r="L1305" s="367"/>
      <c r="M1305" s="150"/>
      <c r="N1305" s="367"/>
      <c r="O1305" s="367"/>
      <c r="P1305" s="367"/>
      <c r="Q1305" s="367"/>
      <c r="R1305" s="367"/>
      <c r="S1305" s="367"/>
      <c r="T1305" s="367"/>
      <c r="U1305" s="367"/>
      <c r="V1305" s="367"/>
      <c r="W1305" s="367"/>
      <c r="X1305" s="367"/>
      <c r="Y1305" s="367"/>
      <c r="Z1305" s="367"/>
      <c r="AA1305" s="367"/>
      <c r="AB1305" s="150"/>
      <c r="AC1305" s="48" t="s">
        <v>3709</v>
      </c>
      <c r="AD1305" s="150" t="s">
        <v>2427</v>
      </c>
      <c r="AE1305" s="296"/>
      <c r="AF1305" s="296"/>
      <c r="AG1305" s="286">
        <v>46631</v>
      </c>
      <c r="AH1305" s="49">
        <v>46624</v>
      </c>
      <c r="AI1305" s="266">
        <v>46569</v>
      </c>
      <c r="AJ1305" s="150" t="s">
        <v>617</v>
      </c>
      <c r="AK1305" s="150"/>
      <c r="AL1305" s="150"/>
      <c r="AM1305" s="150"/>
      <c r="AN1305" s="367"/>
      <c r="AO1305" s="367"/>
      <c r="AP1305" s="367"/>
      <c r="AQ1305" s="367"/>
      <c r="AR1305" s="367"/>
      <c r="AS1305" s="367"/>
      <c r="AT1305" s="367"/>
      <c r="AU1305" s="367"/>
      <c r="AV1305" s="367"/>
      <c r="AW1305" s="367"/>
      <c r="AX1305" s="367"/>
      <c r="AY1305" s="367"/>
      <c r="AZ1305" s="367"/>
      <c r="BA1305" s="367"/>
      <c r="BB1305" s="152"/>
      <c r="BC1305" s="152"/>
      <c r="BD1305" s="367"/>
      <c r="BE1305" s="367"/>
      <c r="BF1305" s="367"/>
      <c r="BG1305" s="367"/>
      <c r="BH1305" s="260"/>
      <c r="BL1305" s="54"/>
    </row>
    <row r="1306" spans="1:64" ht="37.950000000000003" customHeight="1" x14ac:dyDescent="0.3">
      <c r="A1306" s="367">
        <f t="shared" si="24"/>
        <v>1301</v>
      </c>
      <c r="B1306" s="54"/>
      <c r="C1306" s="367"/>
      <c r="D1306" s="367"/>
      <c r="E1306" s="367"/>
      <c r="F1306" s="367"/>
      <c r="G1306" s="367"/>
      <c r="H1306" s="367"/>
      <c r="I1306" s="367"/>
      <c r="J1306" s="54"/>
      <c r="K1306" s="48"/>
      <c r="L1306" s="367"/>
      <c r="M1306" s="150"/>
      <c r="N1306" s="367"/>
      <c r="O1306" s="367"/>
      <c r="P1306" s="367"/>
      <c r="Q1306" s="367"/>
      <c r="R1306" s="367"/>
      <c r="S1306" s="367"/>
      <c r="T1306" s="367"/>
      <c r="U1306" s="367"/>
      <c r="V1306" s="367"/>
      <c r="W1306" s="367"/>
      <c r="X1306" s="367"/>
      <c r="Y1306" s="367"/>
      <c r="Z1306" s="367"/>
      <c r="AA1306" s="367"/>
      <c r="AB1306" s="150"/>
      <c r="AC1306" s="48"/>
      <c r="AD1306" s="150" t="s">
        <v>42</v>
      </c>
      <c r="AE1306" s="296"/>
      <c r="AF1306" s="296"/>
      <c r="AG1306" s="286"/>
      <c r="AH1306" s="49"/>
      <c r="AI1306" s="266"/>
      <c r="AJ1306" s="150"/>
      <c r="AK1306" s="150"/>
      <c r="AL1306" s="150"/>
      <c r="AM1306" s="150"/>
      <c r="AN1306" s="367"/>
      <c r="AO1306" s="367"/>
      <c r="AP1306" s="367"/>
      <c r="AQ1306" s="367"/>
      <c r="AR1306" s="367"/>
      <c r="AS1306" s="367"/>
      <c r="AT1306" s="367"/>
      <c r="AU1306" s="367"/>
      <c r="AV1306" s="367"/>
      <c r="AW1306" s="367"/>
      <c r="AX1306" s="367"/>
      <c r="AY1306" s="367"/>
      <c r="AZ1306" s="367"/>
      <c r="BA1306" s="367"/>
      <c r="BB1306" s="152"/>
      <c r="BC1306" s="152"/>
      <c r="BD1306" s="367"/>
      <c r="BE1306" s="367"/>
      <c r="BF1306" s="367"/>
      <c r="BG1306" s="367"/>
      <c r="BH1306" s="260"/>
      <c r="BL1306" s="54"/>
    </row>
    <row r="1307" spans="1:64" ht="37.950000000000003" customHeight="1" x14ac:dyDescent="0.3">
      <c r="A1307" s="367">
        <f t="shared" si="24"/>
        <v>1302</v>
      </c>
      <c r="B1307" s="54" t="s">
        <v>3710</v>
      </c>
      <c r="C1307" s="367" t="s">
        <v>6</v>
      </c>
      <c r="D1307" s="367" t="s">
        <v>3711</v>
      </c>
      <c r="E1307" s="367"/>
      <c r="F1307" s="367"/>
      <c r="G1307" s="367"/>
      <c r="H1307" s="367"/>
      <c r="I1307" s="367"/>
      <c r="J1307" s="54" t="s">
        <v>6</v>
      </c>
      <c r="K1307" s="48" t="s">
        <v>2367</v>
      </c>
      <c r="L1307" s="367"/>
      <c r="M1307" s="150"/>
      <c r="N1307" s="367"/>
      <c r="O1307" s="367"/>
      <c r="P1307" s="367"/>
      <c r="Q1307" s="367"/>
      <c r="R1307" s="367"/>
      <c r="S1307" s="367"/>
      <c r="T1307" s="367"/>
      <c r="U1307" s="367"/>
      <c r="V1307" s="367"/>
      <c r="W1307" s="367"/>
      <c r="X1307" s="367"/>
      <c r="Y1307" s="367"/>
      <c r="Z1307" s="367"/>
      <c r="AA1307" s="367"/>
      <c r="AB1307" s="150"/>
      <c r="AC1307" s="48" t="s">
        <v>3712</v>
      </c>
      <c r="AD1307" s="150" t="s">
        <v>2248</v>
      </c>
      <c r="AE1307" s="296">
        <v>46127</v>
      </c>
      <c r="AF1307" s="296"/>
      <c r="AG1307" s="286">
        <v>46233</v>
      </c>
      <c r="AH1307" s="49">
        <v>46204</v>
      </c>
      <c r="AI1307" s="266"/>
      <c r="AJ1307" s="150" t="s">
        <v>2334</v>
      </c>
      <c r="AK1307" s="150"/>
      <c r="AL1307" s="150"/>
      <c r="AM1307" s="150" t="s">
        <v>134</v>
      </c>
      <c r="AN1307" s="367"/>
      <c r="AO1307" s="367"/>
      <c r="AP1307" s="367"/>
      <c r="AQ1307" s="367"/>
      <c r="AR1307" s="367"/>
      <c r="AS1307" s="367"/>
      <c r="AT1307" s="45">
        <v>46208</v>
      </c>
      <c r="AU1307" s="45">
        <v>46181</v>
      </c>
      <c r="AV1307" s="45">
        <v>46181</v>
      </c>
      <c r="AW1307" s="45">
        <v>46181</v>
      </c>
      <c r="AX1307" s="367"/>
      <c r="AY1307" s="367"/>
      <c r="AZ1307" s="367"/>
      <c r="BA1307" s="367"/>
      <c r="BB1307" s="152" t="s">
        <v>3713</v>
      </c>
      <c r="BC1307" s="152"/>
      <c r="BD1307" s="367"/>
      <c r="BE1307" s="367"/>
      <c r="BF1307" s="367"/>
      <c r="BG1307" s="367"/>
      <c r="BH1307" s="260"/>
      <c r="BL1307" s="54"/>
    </row>
    <row r="1308" spans="1:64" ht="37.950000000000003" customHeight="1" x14ac:dyDescent="0.3">
      <c r="A1308" s="367">
        <f t="shared" si="24"/>
        <v>1303</v>
      </c>
      <c r="B1308" s="54" t="s">
        <v>3714</v>
      </c>
      <c r="C1308" s="367" t="s">
        <v>6</v>
      </c>
      <c r="D1308" s="367" t="s">
        <v>3711</v>
      </c>
      <c r="E1308" s="367"/>
      <c r="F1308" s="367"/>
      <c r="G1308" s="367"/>
      <c r="H1308" s="367"/>
      <c r="I1308" s="367"/>
      <c r="J1308" s="54" t="s">
        <v>6</v>
      </c>
      <c r="K1308" s="48" t="s">
        <v>2367</v>
      </c>
      <c r="L1308" s="367"/>
      <c r="M1308" s="150"/>
      <c r="N1308" s="367"/>
      <c r="O1308" s="367"/>
      <c r="P1308" s="367"/>
      <c r="Q1308" s="367"/>
      <c r="R1308" s="367"/>
      <c r="S1308" s="367"/>
      <c r="T1308" s="367"/>
      <c r="U1308" s="367"/>
      <c r="V1308" s="367"/>
      <c r="W1308" s="367"/>
      <c r="X1308" s="367"/>
      <c r="Y1308" s="367"/>
      <c r="Z1308" s="367"/>
      <c r="AA1308" s="367"/>
      <c r="AB1308" s="150"/>
      <c r="AC1308" s="48" t="s">
        <v>3715</v>
      </c>
      <c r="AD1308" s="150" t="s">
        <v>2248</v>
      </c>
      <c r="AE1308" s="296">
        <v>46127</v>
      </c>
      <c r="AF1308" s="296"/>
      <c r="AG1308" s="286">
        <v>46233</v>
      </c>
      <c r="AH1308" s="49">
        <v>46204</v>
      </c>
      <c r="AI1308" s="266"/>
      <c r="AJ1308" s="150" t="s">
        <v>2334</v>
      </c>
      <c r="AK1308" s="150"/>
      <c r="AL1308" s="150"/>
      <c r="AM1308" s="150" t="s">
        <v>134</v>
      </c>
      <c r="AN1308" s="367"/>
      <c r="AO1308" s="367"/>
      <c r="AP1308" s="367"/>
      <c r="AQ1308" s="367"/>
      <c r="AR1308" s="367"/>
      <c r="AS1308" s="367"/>
      <c r="AT1308" s="45">
        <v>46208</v>
      </c>
      <c r="AU1308" s="45">
        <v>46181</v>
      </c>
      <c r="AV1308" s="45">
        <v>46181</v>
      </c>
      <c r="AW1308" s="45">
        <v>46181</v>
      </c>
      <c r="AX1308" s="367"/>
      <c r="AY1308" s="367"/>
      <c r="AZ1308" s="367"/>
      <c r="BA1308" s="367"/>
      <c r="BB1308" s="152" t="s">
        <v>3713</v>
      </c>
      <c r="BC1308" s="152"/>
      <c r="BD1308" s="367"/>
      <c r="BE1308" s="367"/>
      <c r="BF1308" s="367"/>
      <c r="BG1308" s="367"/>
      <c r="BH1308" s="260"/>
      <c r="BL1308" s="54"/>
    </row>
    <row r="1309" spans="1:64" ht="37.950000000000003" customHeight="1" x14ac:dyDescent="0.3">
      <c r="A1309" s="367">
        <f t="shared" si="24"/>
        <v>1304</v>
      </c>
      <c r="B1309" s="54" t="s">
        <v>3716</v>
      </c>
      <c r="C1309" s="367" t="s">
        <v>6</v>
      </c>
      <c r="D1309" s="367" t="s">
        <v>262</v>
      </c>
      <c r="E1309" s="367"/>
      <c r="F1309" s="367"/>
      <c r="G1309" s="367"/>
      <c r="H1309" s="367"/>
      <c r="I1309" s="367"/>
      <c r="J1309" s="54" t="s">
        <v>6</v>
      </c>
      <c r="K1309" s="48" t="s">
        <v>2367</v>
      </c>
      <c r="L1309" s="367"/>
      <c r="M1309" s="150"/>
      <c r="N1309" s="367"/>
      <c r="O1309" s="367"/>
      <c r="P1309" s="367"/>
      <c r="Q1309" s="367"/>
      <c r="R1309" s="367"/>
      <c r="S1309" s="367"/>
      <c r="T1309" s="367"/>
      <c r="U1309" s="367"/>
      <c r="V1309" s="367"/>
      <c r="W1309" s="367"/>
      <c r="X1309" s="367"/>
      <c r="Y1309" s="367"/>
      <c r="Z1309" s="367"/>
      <c r="AA1309" s="367"/>
      <c r="AB1309" s="150"/>
      <c r="AC1309" s="48" t="s">
        <v>3717</v>
      </c>
      <c r="AD1309" s="150" t="s">
        <v>2248</v>
      </c>
      <c r="AE1309" s="296">
        <v>46189</v>
      </c>
      <c r="AF1309" s="296"/>
      <c r="AG1309" s="286">
        <v>46275</v>
      </c>
      <c r="AH1309" s="49">
        <v>46204</v>
      </c>
      <c r="AI1309" s="266"/>
      <c r="AJ1309" s="150" t="s">
        <v>617</v>
      </c>
      <c r="AK1309" s="150"/>
      <c r="AL1309" s="150"/>
      <c r="AM1309" s="150" t="s">
        <v>134</v>
      </c>
      <c r="AN1309" s="367"/>
      <c r="AO1309" s="367"/>
      <c r="AP1309" s="367"/>
      <c r="AQ1309" s="367"/>
      <c r="AR1309" s="367"/>
      <c r="AS1309" s="367"/>
      <c r="AT1309" s="367"/>
      <c r="AU1309" s="367"/>
      <c r="AV1309" s="367"/>
      <c r="AW1309" s="367"/>
      <c r="AX1309" s="367"/>
      <c r="AY1309" s="367"/>
      <c r="AZ1309" s="367"/>
      <c r="BA1309" s="367"/>
      <c r="BB1309" s="152"/>
      <c r="BC1309" s="152"/>
      <c r="BD1309" s="367"/>
      <c r="BE1309" s="367"/>
      <c r="BF1309" s="367"/>
      <c r="BG1309" s="367"/>
      <c r="BH1309" s="260"/>
      <c r="BL1309" s="54"/>
    </row>
    <row r="1310" spans="1:64" ht="37.950000000000003" customHeight="1" x14ac:dyDescent="0.3">
      <c r="A1310" s="367">
        <f t="shared" si="24"/>
        <v>1305</v>
      </c>
      <c r="B1310" s="54" t="s">
        <v>3718</v>
      </c>
      <c r="C1310" s="367" t="s">
        <v>6</v>
      </c>
      <c r="D1310" s="367" t="s">
        <v>262</v>
      </c>
      <c r="E1310" s="367"/>
      <c r="F1310" s="367"/>
      <c r="G1310" s="367"/>
      <c r="H1310" s="367"/>
      <c r="I1310" s="367"/>
      <c r="J1310" s="54" t="s">
        <v>6</v>
      </c>
      <c r="K1310" s="48" t="s">
        <v>2367</v>
      </c>
      <c r="L1310" s="367"/>
      <c r="M1310" s="150"/>
      <c r="N1310" s="367"/>
      <c r="O1310" s="367"/>
      <c r="P1310" s="367"/>
      <c r="Q1310" s="367"/>
      <c r="R1310" s="367"/>
      <c r="S1310" s="367"/>
      <c r="T1310" s="367"/>
      <c r="U1310" s="367"/>
      <c r="V1310" s="367"/>
      <c r="W1310" s="367"/>
      <c r="X1310" s="367"/>
      <c r="Y1310" s="367"/>
      <c r="Z1310" s="367"/>
      <c r="AA1310" s="367"/>
      <c r="AB1310" s="150"/>
      <c r="AC1310" s="48" t="s">
        <v>3719</v>
      </c>
      <c r="AD1310" s="150" t="s">
        <v>2248</v>
      </c>
      <c r="AE1310" s="296"/>
      <c r="AF1310" s="296"/>
      <c r="AG1310" s="286">
        <v>46295</v>
      </c>
      <c r="AH1310" s="49">
        <v>46235</v>
      </c>
      <c r="AI1310" s="266"/>
      <c r="AJ1310" s="150" t="s">
        <v>617</v>
      </c>
      <c r="AK1310" s="150"/>
      <c r="AL1310" s="150"/>
      <c r="AM1310" s="150" t="s">
        <v>134</v>
      </c>
      <c r="AN1310" s="367"/>
      <c r="AO1310" s="367"/>
      <c r="AP1310" s="367"/>
      <c r="AQ1310" s="367"/>
      <c r="AR1310" s="367"/>
      <c r="AS1310" s="367"/>
      <c r="AT1310" s="367"/>
      <c r="AU1310" s="367"/>
      <c r="AV1310" s="367"/>
      <c r="AW1310" s="367"/>
      <c r="AX1310" s="367"/>
      <c r="AY1310" s="367"/>
      <c r="AZ1310" s="367"/>
      <c r="BA1310" s="367"/>
      <c r="BB1310" s="152"/>
      <c r="BC1310" s="152"/>
      <c r="BD1310" s="367"/>
      <c r="BE1310" s="367"/>
      <c r="BF1310" s="367"/>
      <c r="BG1310" s="367"/>
      <c r="BH1310" s="260"/>
      <c r="BL1310" s="54"/>
    </row>
    <row r="1311" spans="1:64" ht="37.950000000000003" customHeight="1" x14ac:dyDescent="0.3">
      <c r="A1311" s="367">
        <f t="shared" si="24"/>
        <v>1306</v>
      </c>
      <c r="B1311" s="54" t="s">
        <v>3720</v>
      </c>
      <c r="C1311" s="367" t="s">
        <v>6</v>
      </c>
      <c r="D1311" s="367" t="s">
        <v>262</v>
      </c>
      <c r="E1311" s="367"/>
      <c r="F1311" s="367"/>
      <c r="G1311" s="367"/>
      <c r="H1311" s="367"/>
      <c r="I1311" s="367"/>
      <c r="J1311" s="54" t="s">
        <v>6</v>
      </c>
      <c r="K1311" s="48" t="s">
        <v>2367</v>
      </c>
      <c r="L1311" s="367"/>
      <c r="M1311" s="150"/>
      <c r="N1311" s="367"/>
      <c r="O1311" s="367"/>
      <c r="P1311" s="367"/>
      <c r="Q1311" s="367"/>
      <c r="R1311" s="367"/>
      <c r="S1311" s="367"/>
      <c r="T1311" s="367"/>
      <c r="U1311" s="367"/>
      <c r="V1311" s="367"/>
      <c r="W1311" s="367"/>
      <c r="X1311" s="367"/>
      <c r="Y1311" s="367"/>
      <c r="Z1311" s="367"/>
      <c r="AA1311" s="367"/>
      <c r="AB1311" s="150"/>
      <c r="AC1311" s="48" t="s">
        <v>3721</v>
      </c>
      <c r="AD1311" s="150" t="s">
        <v>2248</v>
      </c>
      <c r="AE1311" s="296"/>
      <c r="AF1311" s="296"/>
      <c r="AG1311" s="286">
        <v>46295</v>
      </c>
      <c r="AH1311" s="49">
        <v>46235</v>
      </c>
      <c r="AI1311" s="266"/>
      <c r="AJ1311" s="150" t="s">
        <v>617</v>
      </c>
      <c r="AK1311" s="150"/>
      <c r="AL1311" s="150"/>
      <c r="AM1311" s="150" t="s">
        <v>134</v>
      </c>
      <c r="AN1311" s="367"/>
      <c r="AO1311" s="367"/>
      <c r="AP1311" s="367"/>
      <c r="AQ1311" s="367"/>
      <c r="AR1311" s="367"/>
      <c r="AS1311" s="367"/>
      <c r="AT1311" s="367"/>
      <c r="AU1311" s="367"/>
      <c r="AV1311" s="367"/>
      <c r="AW1311" s="367"/>
      <c r="AX1311" s="367"/>
      <c r="AY1311" s="367"/>
      <c r="AZ1311" s="367"/>
      <c r="BA1311" s="367"/>
      <c r="BB1311" s="152"/>
      <c r="BC1311" s="152"/>
      <c r="BD1311" s="367"/>
      <c r="BE1311" s="367"/>
      <c r="BF1311" s="367"/>
      <c r="BG1311" s="367"/>
      <c r="BH1311" s="260"/>
      <c r="BL1311" s="54"/>
    </row>
    <row r="1312" spans="1:64" ht="37.950000000000003" customHeight="1" x14ac:dyDescent="0.3">
      <c r="A1312" s="367">
        <f t="shared" si="24"/>
        <v>1307</v>
      </c>
      <c r="B1312" s="54" t="s">
        <v>3722</v>
      </c>
      <c r="C1312" s="367" t="s">
        <v>6</v>
      </c>
      <c r="D1312" s="367" t="s">
        <v>262</v>
      </c>
      <c r="E1312" s="367"/>
      <c r="F1312" s="367"/>
      <c r="G1312" s="367"/>
      <c r="H1312" s="367"/>
      <c r="I1312" s="367"/>
      <c r="J1312" s="54" t="s">
        <v>6</v>
      </c>
      <c r="K1312" s="48" t="s">
        <v>2367</v>
      </c>
      <c r="L1312" s="367"/>
      <c r="M1312" s="150"/>
      <c r="N1312" s="367"/>
      <c r="O1312" s="367"/>
      <c r="P1312" s="367"/>
      <c r="Q1312" s="367"/>
      <c r="R1312" s="367"/>
      <c r="S1312" s="367"/>
      <c r="T1312" s="367"/>
      <c r="U1312" s="367"/>
      <c r="V1312" s="367"/>
      <c r="W1312" s="367"/>
      <c r="X1312" s="367"/>
      <c r="Y1312" s="367"/>
      <c r="Z1312" s="367"/>
      <c r="AA1312" s="367"/>
      <c r="AB1312" s="150"/>
      <c r="AC1312" s="48" t="s">
        <v>3723</v>
      </c>
      <c r="AD1312" s="150" t="s">
        <v>2248</v>
      </c>
      <c r="AE1312" s="296"/>
      <c r="AF1312" s="296"/>
      <c r="AG1312" s="286">
        <v>46295</v>
      </c>
      <c r="AH1312" s="49">
        <v>46235</v>
      </c>
      <c r="AI1312" s="266"/>
      <c r="AJ1312" s="150" t="s">
        <v>617</v>
      </c>
      <c r="AK1312" s="150"/>
      <c r="AL1312" s="150"/>
      <c r="AM1312" s="150" t="s">
        <v>134</v>
      </c>
      <c r="AN1312" s="367"/>
      <c r="AO1312" s="367"/>
      <c r="AP1312" s="367"/>
      <c r="AQ1312" s="367"/>
      <c r="AR1312" s="367"/>
      <c r="AS1312" s="367"/>
      <c r="AT1312" s="367"/>
      <c r="AU1312" s="367"/>
      <c r="AV1312" s="367"/>
      <c r="AW1312" s="367"/>
      <c r="AX1312" s="367"/>
      <c r="AY1312" s="367"/>
      <c r="AZ1312" s="367"/>
      <c r="BA1312" s="367"/>
      <c r="BB1312" s="152"/>
      <c r="BC1312" s="152"/>
      <c r="BD1312" s="367"/>
      <c r="BE1312" s="367"/>
      <c r="BF1312" s="367"/>
      <c r="BG1312" s="367"/>
      <c r="BH1312" s="260"/>
      <c r="BL1312" s="54"/>
    </row>
    <row r="1313" spans="1:66" ht="37.950000000000003" customHeight="1" x14ac:dyDescent="0.3">
      <c r="A1313" s="367">
        <f t="shared" si="24"/>
        <v>1308</v>
      </c>
      <c r="B1313" s="54" t="s">
        <v>3724</v>
      </c>
      <c r="C1313" s="367" t="s">
        <v>6</v>
      </c>
      <c r="D1313" s="353" t="s">
        <v>2700</v>
      </c>
      <c r="E1313" s="367"/>
      <c r="F1313" s="367"/>
      <c r="G1313" s="367"/>
      <c r="H1313" s="367"/>
      <c r="I1313" s="367"/>
      <c r="J1313" s="54" t="s">
        <v>6</v>
      </c>
      <c r="K1313" s="48" t="s">
        <v>2643</v>
      </c>
      <c r="L1313" s="150" t="s">
        <v>2598</v>
      </c>
      <c r="M1313" s="150" t="s">
        <v>120</v>
      </c>
      <c r="N1313" s="150" t="s">
        <v>2592</v>
      </c>
      <c r="O1313" s="150" t="s">
        <v>2593</v>
      </c>
      <c r="P1313" s="367">
        <v>4</v>
      </c>
      <c r="Q1313" s="367">
        <v>3.7</v>
      </c>
      <c r="R1313" s="367"/>
      <c r="S1313" s="367">
        <v>100</v>
      </c>
      <c r="T1313" s="367">
        <v>12</v>
      </c>
      <c r="U1313" s="367"/>
      <c r="V1313" s="367"/>
      <c r="W1313" s="367"/>
      <c r="X1313" s="367"/>
      <c r="Y1313" s="367"/>
      <c r="Z1313" s="367" t="s">
        <v>127</v>
      </c>
      <c r="AA1313" s="367"/>
      <c r="AB1313" s="150"/>
      <c r="AC1313" s="48" t="s">
        <v>3725</v>
      </c>
      <c r="AD1313" s="150" t="s">
        <v>3251</v>
      </c>
      <c r="AE1313" s="296">
        <v>46093</v>
      </c>
      <c r="AF1313" s="296"/>
      <c r="AG1313" s="286">
        <v>46157</v>
      </c>
      <c r="AH1313" s="49">
        <v>46157</v>
      </c>
      <c r="AI1313" s="266">
        <v>46143</v>
      </c>
      <c r="AJ1313" s="150" t="s">
        <v>617</v>
      </c>
      <c r="AK1313" s="150" t="s">
        <v>190</v>
      </c>
      <c r="AL1313" s="150" t="s">
        <v>175</v>
      </c>
      <c r="AM1313" s="150" t="s">
        <v>2609</v>
      </c>
      <c r="AN1313" s="367"/>
      <c r="AO1313" s="367"/>
      <c r="AP1313" s="367"/>
      <c r="AQ1313" s="367"/>
      <c r="AR1313" s="367"/>
      <c r="AS1313" s="367"/>
      <c r="AT1313" s="45">
        <v>46134</v>
      </c>
      <c r="AU1313" s="367"/>
      <c r="AV1313" s="367"/>
      <c r="AW1313" s="45">
        <v>46118</v>
      </c>
      <c r="AX1313" s="367"/>
      <c r="AY1313" s="367"/>
      <c r="AZ1313" s="367"/>
      <c r="BA1313" s="367"/>
      <c r="BB1313" s="152"/>
      <c r="BC1313" s="152"/>
      <c r="BD1313" s="367" t="s">
        <v>1605</v>
      </c>
      <c r="BE1313" s="367"/>
      <c r="BF1313" s="367"/>
      <c r="BG1313" s="367"/>
      <c r="BH1313" s="260"/>
      <c r="BL1313" s="54"/>
    </row>
    <row r="1314" spans="1:66" ht="37.950000000000003" customHeight="1" x14ac:dyDescent="0.3">
      <c r="A1314" s="367">
        <f t="shared" si="24"/>
        <v>1309</v>
      </c>
      <c r="B1314" s="54" t="s">
        <v>3726</v>
      </c>
      <c r="C1314" s="367" t="s">
        <v>6</v>
      </c>
      <c r="D1314" s="353" t="s">
        <v>2700</v>
      </c>
      <c r="E1314" s="367"/>
      <c r="F1314" s="367"/>
      <c r="G1314" s="367"/>
      <c r="H1314" s="367"/>
      <c r="I1314" s="367"/>
      <c r="J1314" s="54" t="s">
        <v>6</v>
      </c>
      <c r="K1314" s="48" t="s">
        <v>2643</v>
      </c>
      <c r="L1314" s="150" t="s">
        <v>2598</v>
      </c>
      <c r="M1314" s="150" t="s">
        <v>120</v>
      </c>
      <c r="N1314" s="150" t="s">
        <v>2592</v>
      </c>
      <c r="O1314" s="150" t="s">
        <v>2593</v>
      </c>
      <c r="P1314" s="367">
        <v>4</v>
      </c>
      <c r="Q1314" s="367">
        <v>3.7</v>
      </c>
      <c r="R1314" s="367"/>
      <c r="S1314" s="367">
        <v>100</v>
      </c>
      <c r="T1314" s="367">
        <v>12</v>
      </c>
      <c r="U1314" s="367"/>
      <c r="V1314" s="367"/>
      <c r="W1314" s="367"/>
      <c r="X1314" s="367"/>
      <c r="Y1314" s="367"/>
      <c r="Z1314" s="367" t="s">
        <v>127</v>
      </c>
      <c r="AA1314" s="367"/>
      <c r="AB1314" s="150"/>
      <c r="AC1314" s="48" t="s">
        <v>3725</v>
      </c>
      <c r="AD1314" s="150" t="s">
        <v>3251</v>
      </c>
      <c r="AE1314" s="296">
        <v>46093</v>
      </c>
      <c r="AF1314" s="296"/>
      <c r="AG1314" s="286">
        <v>46157</v>
      </c>
      <c r="AH1314" s="49">
        <v>46157</v>
      </c>
      <c r="AI1314" s="266">
        <v>46143</v>
      </c>
      <c r="AJ1314" s="150" t="s">
        <v>617</v>
      </c>
      <c r="AK1314" s="150" t="s">
        <v>190</v>
      </c>
      <c r="AL1314" s="150" t="s">
        <v>175</v>
      </c>
      <c r="AM1314" s="150" t="s">
        <v>2609</v>
      </c>
      <c r="AN1314" s="367"/>
      <c r="AO1314" s="367"/>
      <c r="AP1314" s="367"/>
      <c r="AQ1314" s="367"/>
      <c r="AR1314" s="367"/>
      <c r="AS1314" s="367"/>
      <c r="AT1314" s="45">
        <v>46134</v>
      </c>
      <c r="AU1314" s="367"/>
      <c r="AV1314" s="367"/>
      <c r="AW1314" s="45">
        <v>46118</v>
      </c>
      <c r="AX1314" s="367"/>
      <c r="AY1314" s="367"/>
      <c r="AZ1314" s="367"/>
      <c r="BA1314" s="367"/>
      <c r="BB1314" s="152"/>
      <c r="BC1314" s="152"/>
      <c r="BD1314" s="367" t="s">
        <v>1605</v>
      </c>
      <c r="BE1314" s="367"/>
      <c r="BF1314" s="367"/>
      <c r="BG1314" s="367"/>
      <c r="BH1314" s="260"/>
      <c r="BL1314" s="54"/>
    </row>
    <row r="1315" spans="1:66" ht="37.950000000000003" customHeight="1" x14ac:dyDescent="0.3">
      <c r="A1315" s="367">
        <f t="shared" si="24"/>
        <v>1310</v>
      </c>
      <c r="B1315" s="54" t="s">
        <v>3727</v>
      </c>
      <c r="C1315" s="367" t="s">
        <v>6</v>
      </c>
      <c r="D1315" s="351" t="s">
        <v>2683</v>
      </c>
      <c r="E1315" s="45">
        <v>46183</v>
      </c>
      <c r="F1315" s="45">
        <v>46186</v>
      </c>
      <c r="G1315" s="367"/>
      <c r="H1315" s="367"/>
      <c r="I1315" s="367"/>
      <c r="J1315" s="54" t="s">
        <v>6</v>
      </c>
      <c r="K1315" s="48" t="s">
        <v>2643</v>
      </c>
      <c r="L1315" s="150" t="s">
        <v>2598</v>
      </c>
      <c r="M1315" s="150" t="s">
        <v>120</v>
      </c>
      <c r="N1315" s="150" t="s">
        <v>2592</v>
      </c>
      <c r="O1315" s="150" t="s">
        <v>2593</v>
      </c>
      <c r="P1315" s="367">
        <v>4</v>
      </c>
      <c r="Q1315" s="367">
        <v>3.7</v>
      </c>
      <c r="R1315" s="367"/>
      <c r="S1315" s="367">
        <v>100</v>
      </c>
      <c r="T1315" s="367">
        <v>12</v>
      </c>
      <c r="U1315" s="367"/>
      <c r="V1315" s="367"/>
      <c r="W1315" s="367"/>
      <c r="X1315" s="367"/>
      <c r="Y1315" s="367"/>
      <c r="Z1315" s="367" t="s">
        <v>127</v>
      </c>
      <c r="AA1315" s="367"/>
      <c r="AB1315" s="150"/>
      <c r="AC1315" s="48" t="s">
        <v>3725</v>
      </c>
      <c r="AD1315" s="150" t="s">
        <v>3251</v>
      </c>
      <c r="AE1315" s="296">
        <v>46093</v>
      </c>
      <c r="AF1315" s="296">
        <v>46162</v>
      </c>
      <c r="AG1315" s="286">
        <v>46172</v>
      </c>
      <c r="AH1315" s="49">
        <v>46188</v>
      </c>
      <c r="AI1315" s="266">
        <v>46143</v>
      </c>
      <c r="AJ1315" s="150" t="s">
        <v>330</v>
      </c>
      <c r="AK1315" s="150" t="s">
        <v>190</v>
      </c>
      <c r="AL1315" s="150" t="s">
        <v>175</v>
      </c>
      <c r="AM1315" s="150" t="s">
        <v>2609</v>
      </c>
      <c r="AN1315" s="367"/>
      <c r="AO1315" s="367"/>
      <c r="AP1315" s="367"/>
      <c r="AQ1315" s="367"/>
      <c r="AR1315" s="367"/>
      <c r="AS1315" s="367"/>
      <c r="AT1315" s="45">
        <v>46134</v>
      </c>
      <c r="AU1315" s="45">
        <v>46122</v>
      </c>
      <c r="AV1315" s="45">
        <v>46125</v>
      </c>
      <c r="AW1315" s="45">
        <v>46118</v>
      </c>
      <c r="AX1315" s="367"/>
      <c r="AY1315" s="367"/>
      <c r="AZ1315" s="45">
        <v>46153</v>
      </c>
      <c r="BA1315" s="45"/>
      <c r="BB1315" s="152"/>
      <c r="BC1315" s="152"/>
      <c r="BD1315" s="367" t="s">
        <v>1605</v>
      </c>
      <c r="BE1315" s="367"/>
      <c r="BF1315" s="367"/>
      <c r="BG1315" s="367"/>
      <c r="BH1315" s="260"/>
      <c r="BL1315" s="54"/>
      <c r="BM1315" s="357">
        <v>46135</v>
      </c>
      <c r="BN1315" s="358">
        <v>46136</v>
      </c>
    </row>
    <row r="1316" spans="1:66" ht="37.950000000000003" customHeight="1" x14ac:dyDescent="0.3">
      <c r="A1316" s="367">
        <f t="shared" si="24"/>
        <v>1311</v>
      </c>
      <c r="B1316" s="54" t="s">
        <v>3728</v>
      </c>
      <c r="C1316" s="367" t="s">
        <v>6</v>
      </c>
      <c r="D1316" s="367" t="s">
        <v>262</v>
      </c>
      <c r="E1316" s="367"/>
      <c r="F1316" s="367"/>
      <c r="G1316" s="367"/>
      <c r="H1316" s="367"/>
      <c r="I1316" s="367"/>
      <c r="J1316" s="54" t="s">
        <v>6</v>
      </c>
      <c r="K1316" s="48" t="s">
        <v>2693</v>
      </c>
      <c r="L1316" s="367"/>
      <c r="M1316" s="150"/>
      <c r="N1316" s="367"/>
      <c r="O1316" s="367"/>
      <c r="P1316" s="367"/>
      <c r="Q1316" s="367"/>
      <c r="R1316" s="367"/>
      <c r="S1316" s="367"/>
      <c r="T1316" s="367"/>
      <c r="U1316" s="367"/>
      <c r="V1316" s="367"/>
      <c r="W1316" s="367"/>
      <c r="X1316" s="367"/>
      <c r="Y1316" s="367"/>
      <c r="Z1316" s="367"/>
      <c r="AA1316" s="367"/>
      <c r="AB1316" s="150"/>
      <c r="AC1316" s="48" t="s">
        <v>3725</v>
      </c>
      <c r="AD1316" s="150" t="s">
        <v>3251</v>
      </c>
      <c r="AE1316" s="296">
        <v>46093</v>
      </c>
      <c r="AF1316" s="296"/>
      <c r="AG1316" s="286"/>
      <c r="AH1316" s="49"/>
      <c r="AI1316" s="266"/>
      <c r="AJ1316" s="150" t="s">
        <v>617</v>
      </c>
      <c r="AK1316" s="150"/>
      <c r="AL1316" s="150"/>
      <c r="AM1316" s="150"/>
      <c r="AN1316" s="367"/>
      <c r="AO1316" s="367"/>
      <c r="AP1316" s="367"/>
      <c r="AQ1316" s="367"/>
      <c r="AR1316" s="367"/>
      <c r="AS1316" s="367"/>
      <c r="AT1316" s="367"/>
      <c r="AU1316" s="367"/>
      <c r="AV1316" s="367"/>
      <c r="AW1316" s="367"/>
      <c r="AX1316" s="367"/>
      <c r="AY1316" s="367"/>
      <c r="AZ1316" s="367"/>
      <c r="BA1316" s="367"/>
      <c r="BB1316" s="152"/>
      <c r="BC1316" s="152"/>
      <c r="BD1316" s="367" t="s">
        <v>1605</v>
      </c>
      <c r="BE1316" s="367"/>
      <c r="BF1316" s="367"/>
      <c r="BG1316" s="367"/>
      <c r="BH1316" s="260"/>
      <c r="BL1316" s="54"/>
    </row>
    <row r="1317" spans="1:66" ht="37.950000000000003" customHeight="1" x14ac:dyDescent="0.3">
      <c r="A1317" s="367">
        <f t="shared" si="24"/>
        <v>1312</v>
      </c>
      <c r="B1317" s="54" t="s">
        <v>3729</v>
      </c>
      <c r="C1317" s="367" t="s">
        <v>6</v>
      </c>
      <c r="D1317" s="367" t="s">
        <v>262</v>
      </c>
      <c r="E1317" s="367"/>
      <c r="F1317" s="367"/>
      <c r="G1317" s="367"/>
      <c r="H1317" s="367"/>
      <c r="I1317" s="367"/>
      <c r="J1317" s="54" t="s">
        <v>6</v>
      </c>
      <c r="K1317" s="48" t="s">
        <v>2693</v>
      </c>
      <c r="L1317" s="367"/>
      <c r="M1317" s="150"/>
      <c r="N1317" s="367"/>
      <c r="O1317" s="367"/>
      <c r="P1317" s="367"/>
      <c r="Q1317" s="367"/>
      <c r="R1317" s="367"/>
      <c r="S1317" s="367"/>
      <c r="T1317" s="367"/>
      <c r="U1317" s="367"/>
      <c r="V1317" s="367"/>
      <c r="W1317" s="367"/>
      <c r="X1317" s="367"/>
      <c r="Y1317" s="367"/>
      <c r="Z1317" s="367"/>
      <c r="AA1317" s="367"/>
      <c r="AB1317" s="150"/>
      <c r="AC1317" s="48" t="s">
        <v>3725</v>
      </c>
      <c r="AD1317" s="150" t="s">
        <v>3251</v>
      </c>
      <c r="AE1317" s="296">
        <v>46093</v>
      </c>
      <c r="AF1317" s="296"/>
      <c r="AG1317" s="286"/>
      <c r="AH1317" s="49"/>
      <c r="AI1317" s="266"/>
      <c r="AJ1317" s="150" t="s">
        <v>617</v>
      </c>
      <c r="AK1317" s="150"/>
      <c r="AL1317" s="150"/>
      <c r="AM1317" s="150"/>
      <c r="AN1317" s="367"/>
      <c r="AO1317" s="367"/>
      <c r="AP1317" s="367"/>
      <c r="AQ1317" s="367"/>
      <c r="AR1317" s="367"/>
      <c r="AS1317" s="367"/>
      <c r="AT1317" s="367"/>
      <c r="AU1317" s="367"/>
      <c r="AV1317" s="367"/>
      <c r="AW1317" s="367"/>
      <c r="AX1317" s="367"/>
      <c r="AY1317" s="367"/>
      <c r="AZ1317" s="367"/>
      <c r="BA1317" s="367"/>
      <c r="BB1317" s="152"/>
      <c r="BC1317" s="152"/>
      <c r="BD1317" s="367" t="s">
        <v>1605</v>
      </c>
      <c r="BE1317" s="367"/>
      <c r="BF1317" s="367"/>
      <c r="BG1317" s="367"/>
      <c r="BH1317" s="260"/>
      <c r="BL1317" s="54"/>
    </row>
    <row r="1318" spans="1:66" ht="37.950000000000003" customHeight="1" x14ac:dyDescent="0.3">
      <c r="A1318" s="367">
        <f t="shared" si="24"/>
        <v>1313</v>
      </c>
      <c r="B1318" s="54" t="s">
        <v>3730</v>
      </c>
      <c r="C1318" s="367" t="s">
        <v>6</v>
      </c>
      <c r="D1318" s="367" t="s">
        <v>262</v>
      </c>
      <c r="E1318" s="367"/>
      <c r="F1318" s="367"/>
      <c r="G1318" s="367"/>
      <c r="H1318" s="367"/>
      <c r="I1318" s="367"/>
      <c r="J1318" s="54" t="s">
        <v>6</v>
      </c>
      <c r="K1318" s="48" t="s">
        <v>2693</v>
      </c>
      <c r="L1318" s="367"/>
      <c r="M1318" s="150"/>
      <c r="N1318" s="367"/>
      <c r="O1318" s="367"/>
      <c r="P1318" s="367"/>
      <c r="Q1318" s="367"/>
      <c r="R1318" s="367"/>
      <c r="S1318" s="367"/>
      <c r="T1318" s="367"/>
      <c r="U1318" s="367"/>
      <c r="V1318" s="367"/>
      <c r="W1318" s="367"/>
      <c r="X1318" s="367"/>
      <c r="Y1318" s="367"/>
      <c r="Z1318" s="367"/>
      <c r="AA1318" s="367"/>
      <c r="AB1318" s="150"/>
      <c r="AC1318" s="48" t="s">
        <v>3725</v>
      </c>
      <c r="AD1318" s="150" t="s">
        <v>3251</v>
      </c>
      <c r="AE1318" s="296">
        <v>46093</v>
      </c>
      <c r="AF1318" s="296"/>
      <c r="AG1318" s="286"/>
      <c r="AH1318" s="49"/>
      <c r="AI1318" s="266"/>
      <c r="AJ1318" s="150" t="s">
        <v>617</v>
      </c>
      <c r="AK1318" s="150"/>
      <c r="AL1318" s="150"/>
      <c r="AM1318" s="150"/>
      <c r="AN1318" s="367"/>
      <c r="AO1318" s="367"/>
      <c r="AP1318" s="367"/>
      <c r="AQ1318" s="367"/>
      <c r="AR1318" s="367"/>
      <c r="AS1318" s="367"/>
      <c r="AT1318" s="367"/>
      <c r="AU1318" s="367"/>
      <c r="AV1318" s="367"/>
      <c r="AW1318" s="367"/>
      <c r="AX1318" s="367"/>
      <c r="AY1318" s="367"/>
      <c r="AZ1318" s="367"/>
      <c r="BA1318" s="367"/>
      <c r="BB1318" s="152"/>
      <c r="BC1318" s="152"/>
      <c r="BD1318" s="367" t="s">
        <v>1605</v>
      </c>
      <c r="BE1318" s="367"/>
      <c r="BF1318" s="367"/>
      <c r="BG1318" s="367"/>
      <c r="BH1318" s="260"/>
      <c r="BL1318" s="54"/>
    </row>
    <row r="1319" spans="1:66" ht="37.950000000000003" customHeight="1" x14ac:dyDescent="0.3">
      <c r="A1319" s="367">
        <f t="shared" si="24"/>
        <v>1314</v>
      </c>
      <c r="B1319" s="54" t="s">
        <v>3731</v>
      </c>
      <c r="C1319" s="367" t="s">
        <v>6</v>
      </c>
      <c r="D1319" s="367" t="s">
        <v>262</v>
      </c>
      <c r="E1319" s="367"/>
      <c r="F1319" s="367"/>
      <c r="G1319" s="367"/>
      <c r="H1319" s="367"/>
      <c r="I1319" s="367"/>
      <c r="J1319" s="54" t="s">
        <v>6</v>
      </c>
      <c r="K1319" s="48" t="s">
        <v>2728</v>
      </c>
      <c r="L1319" s="367"/>
      <c r="M1319" s="150"/>
      <c r="N1319" s="367"/>
      <c r="O1319" s="367"/>
      <c r="P1319" s="367"/>
      <c r="Q1319" s="367"/>
      <c r="R1319" s="367"/>
      <c r="S1319" s="367"/>
      <c r="T1319" s="367"/>
      <c r="U1319" s="367"/>
      <c r="V1319" s="367"/>
      <c r="W1319" s="367"/>
      <c r="X1319" s="367"/>
      <c r="Y1319" s="367"/>
      <c r="Z1319" s="367"/>
      <c r="AA1319" s="367"/>
      <c r="AB1319" s="150"/>
      <c r="AC1319" s="48" t="s">
        <v>3725</v>
      </c>
      <c r="AD1319" s="150" t="s">
        <v>3251</v>
      </c>
      <c r="AE1319" s="296">
        <v>46093</v>
      </c>
      <c r="AF1319" s="296"/>
      <c r="AG1319" s="286"/>
      <c r="AH1319" s="49"/>
      <c r="AI1319" s="266"/>
      <c r="AJ1319" s="150" t="s">
        <v>617</v>
      </c>
      <c r="AK1319" s="150"/>
      <c r="AL1319" s="150"/>
      <c r="AM1319" s="150"/>
      <c r="AN1319" s="367"/>
      <c r="AO1319" s="367"/>
      <c r="AP1319" s="367"/>
      <c r="AQ1319" s="367"/>
      <c r="AR1319" s="367"/>
      <c r="AS1319" s="367"/>
      <c r="AT1319" s="367"/>
      <c r="AU1319" s="367"/>
      <c r="AV1319" s="367"/>
      <c r="AW1319" s="367"/>
      <c r="AX1319" s="367"/>
      <c r="AY1319" s="367"/>
      <c r="AZ1319" s="367"/>
      <c r="BA1319" s="367"/>
      <c r="BB1319" s="152"/>
      <c r="BC1319" s="152"/>
      <c r="BD1319" s="367" t="s">
        <v>1605</v>
      </c>
      <c r="BE1319" s="367"/>
      <c r="BF1319" s="367"/>
      <c r="BG1319" s="367"/>
      <c r="BH1319" s="260"/>
      <c r="BL1319" s="54"/>
    </row>
    <row r="1320" spans="1:66" ht="37.950000000000003" customHeight="1" x14ac:dyDescent="0.3">
      <c r="A1320" s="367">
        <f t="shared" si="24"/>
        <v>1315</v>
      </c>
      <c r="B1320" s="54" t="s">
        <v>3732</v>
      </c>
      <c r="C1320" s="367" t="s">
        <v>6</v>
      </c>
      <c r="D1320" s="367" t="s">
        <v>262</v>
      </c>
      <c r="E1320" s="367"/>
      <c r="F1320" s="367"/>
      <c r="G1320" s="367"/>
      <c r="H1320" s="367"/>
      <c r="I1320" s="367"/>
      <c r="J1320" s="54" t="s">
        <v>6</v>
      </c>
      <c r="K1320" s="48" t="s">
        <v>2728</v>
      </c>
      <c r="L1320" s="367"/>
      <c r="M1320" s="150"/>
      <c r="N1320" s="367"/>
      <c r="O1320" s="367"/>
      <c r="P1320" s="367"/>
      <c r="Q1320" s="367"/>
      <c r="R1320" s="367"/>
      <c r="S1320" s="367"/>
      <c r="T1320" s="367"/>
      <c r="U1320" s="367"/>
      <c r="V1320" s="367"/>
      <c r="W1320" s="367"/>
      <c r="X1320" s="367"/>
      <c r="Y1320" s="367"/>
      <c r="Z1320" s="367"/>
      <c r="AA1320" s="367"/>
      <c r="AB1320" s="150"/>
      <c r="AC1320" s="48" t="s">
        <v>3725</v>
      </c>
      <c r="AD1320" s="150" t="s">
        <v>3251</v>
      </c>
      <c r="AE1320" s="296">
        <v>46093</v>
      </c>
      <c r="AF1320" s="296"/>
      <c r="AG1320" s="286"/>
      <c r="AH1320" s="49"/>
      <c r="AI1320" s="266"/>
      <c r="AJ1320" s="150" t="s">
        <v>617</v>
      </c>
      <c r="AK1320" s="150"/>
      <c r="AL1320" s="150"/>
      <c r="AM1320" s="150"/>
      <c r="AN1320" s="367"/>
      <c r="AO1320" s="367"/>
      <c r="AP1320" s="367"/>
      <c r="AQ1320" s="367"/>
      <c r="AR1320" s="367"/>
      <c r="AS1320" s="367"/>
      <c r="AT1320" s="367"/>
      <c r="AU1320" s="367"/>
      <c r="AV1320" s="367"/>
      <c r="AW1320" s="367"/>
      <c r="AX1320" s="367"/>
      <c r="AY1320" s="367"/>
      <c r="AZ1320" s="367"/>
      <c r="BA1320" s="367"/>
      <c r="BB1320" s="152"/>
      <c r="BC1320" s="152"/>
      <c r="BD1320" s="367" t="s">
        <v>1605</v>
      </c>
      <c r="BE1320" s="367"/>
      <c r="BF1320" s="367"/>
      <c r="BG1320" s="367"/>
      <c r="BH1320" s="260"/>
      <c r="BL1320" s="54"/>
    </row>
    <row r="1321" spans="1:66" ht="37.950000000000003" customHeight="1" x14ac:dyDescent="0.3">
      <c r="A1321" s="367">
        <f t="shared" si="24"/>
        <v>1316</v>
      </c>
      <c r="B1321" s="54" t="s">
        <v>3733</v>
      </c>
      <c r="C1321" s="367" t="s">
        <v>6</v>
      </c>
      <c r="D1321" s="367" t="s">
        <v>262</v>
      </c>
      <c r="E1321" s="367"/>
      <c r="F1321" s="367"/>
      <c r="G1321" s="367"/>
      <c r="H1321" s="367"/>
      <c r="I1321" s="367"/>
      <c r="J1321" s="54" t="s">
        <v>6</v>
      </c>
      <c r="K1321" s="48" t="s">
        <v>2728</v>
      </c>
      <c r="L1321" s="367"/>
      <c r="M1321" s="150"/>
      <c r="N1321" s="367"/>
      <c r="O1321" s="367"/>
      <c r="P1321" s="367"/>
      <c r="Q1321" s="367"/>
      <c r="R1321" s="367"/>
      <c r="S1321" s="367"/>
      <c r="T1321" s="367"/>
      <c r="U1321" s="367"/>
      <c r="V1321" s="367"/>
      <c r="W1321" s="367"/>
      <c r="X1321" s="367"/>
      <c r="Y1321" s="367"/>
      <c r="Z1321" s="367"/>
      <c r="AA1321" s="367"/>
      <c r="AB1321" s="150"/>
      <c r="AC1321" s="48" t="s">
        <v>3725</v>
      </c>
      <c r="AD1321" s="150" t="s">
        <v>3251</v>
      </c>
      <c r="AE1321" s="296">
        <v>46093</v>
      </c>
      <c r="AF1321" s="296"/>
      <c r="AG1321" s="286"/>
      <c r="AH1321" s="49"/>
      <c r="AI1321" s="266"/>
      <c r="AJ1321" s="150" t="s">
        <v>617</v>
      </c>
      <c r="AK1321" s="150"/>
      <c r="AL1321" s="150"/>
      <c r="AM1321" s="150"/>
      <c r="AN1321" s="367"/>
      <c r="AO1321" s="367"/>
      <c r="AP1321" s="367"/>
      <c r="AQ1321" s="367"/>
      <c r="AR1321" s="367"/>
      <c r="AS1321" s="367"/>
      <c r="AT1321" s="367"/>
      <c r="AU1321" s="367"/>
      <c r="AV1321" s="367"/>
      <c r="AW1321" s="367"/>
      <c r="AX1321" s="367"/>
      <c r="AY1321" s="367"/>
      <c r="AZ1321" s="367"/>
      <c r="BA1321" s="367"/>
      <c r="BB1321" s="152"/>
      <c r="BC1321" s="152"/>
      <c r="BD1321" s="367" t="s">
        <v>1605</v>
      </c>
      <c r="BE1321" s="367"/>
      <c r="BF1321" s="367"/>
      <c r="BG1321" s="367"/>
      <c r="BH1321" s="260"/>
      <c r="BL1321" s="54"/>
    </row>
    <row r="1322" spans="1:66" ht="37.950000000000003" customHeight="1" x14ac:dyDescent="0.3">
      <c r="A1322" s="367">
        <f t="shared" si="24"/>
        <v>1317</v>
      </c>
      <c r="B1322" s="54" t="s">
        <v>3734</v>
      </c>
      <c r="C1322" s="367" t="s">
        <v>3735</v>
      </c>
      <c r="D1322" s="367" t="s">
        <v>262</v>
      </c>
      <c r="E1322" s="367"/>
      <c r="F1322" s="367"/>
      <c r="G1322" s="367"/>
      <c r="H1322" s="367"/>
      <c r="I1322" s="367"/>
      <c r="J1322" s="54" t="s">
        <v>3735</v>
      </c>
      <c r="K1322" s="48" t="s">
        <v>521</v>
      </c>
      <c r="L1322" s="367"/>
      <c r="M1322" s="150"/>
      <c r="N1322" s="367"/>
      <c r="O1322" s="367"/>
      <c r="P1322" s="367"/>
      <c r="Q1322" s="367"/>
      <c r="R1322" s="367"/>
      <c r="S1322" s="367"/>
      <c r="T1322" s="367"/>
      <c r="U1322" s="367"/>
      <c r="V1322" s="367"/>
      <c r="W1322" s="367"/>
      <c r="X1322" s="367"/>
      <c r="Y1322" s="367"/>
      <c r="Z1322" s="367"/>
      <c r="AA1322" s="367"/>
      <c r="AB1322" s="150"/>
      <c r="AC1322" s="48" t="s">
        <v>3736</v>
      </c>
      <c r="AD1322" s="150" t="s">
        <v>56</v>
      </c>
      <c r="AE1322" s="296"/>
      <c r="AF1322" s="296"/>
      <c r="AG1322" s="286"/>
      <c r="AH1322" s="49"/>
      <c r="AI1322" s="266"/>
      <c r="AJ1322" s="150"/>
      <c r="AK1322" s="150"/>
      <c r="AL1322" s="150"/>
      <c r="AM1322" s="150"/>
      <c r="AN1322" s="367"/>
      <c r="AO1322" s="367"/>
      <c r="AP1322" s="367"/>
      <c r="AQ1322" s="367"/>
      <c r="AR1322" s="367"/>
      <c r="AS1322" s="367"/>
      <c r="AT1322" s="367"/>
      <c r="AU1322" s="367"/>
      <c r="AV1322" s="367"/>
      <c r="AW1322" s="367"/>
      <c r="AX1322" s="367"/>
      <c r="AY1322" s="367"/>
      <c r="AZ1322" s="367"/>
      <c r="BA1322" s="367"/>
      <c r="BB1322" s="152"/>
      <c r="BC1322" s="152"/>
      <c r="BD1322" s="367"/>
      <c r="BE1322" s="367"/>
      <c r="BF1322" s="367"/>
      <c r="BG1322" s="367"/>
      <c r="BH1322" s="260"/>
      <c r="BL1322" s="54"/>
    </row>
    <row r="1323" spans="1:66" ht="37.950000000000003" customHeight="1" x14ac:dyDescent="0.3">
      <c r="A1323" s="367">
        <f t="shared" si="24"/>
        <v>1318</v>
      </c>
      <c r="B1323" s="54" t="s">
        <v>3737</v>
      </c>
      <c r="C1323" s="367" t="s">
        <v>6</v>
      </c>
      <c r="D1323" s="367" t="s">
        <v>262</v>
      </c>
      <c r="E1323" s="367"/>
      <c r="F1323" s="367"/>
      <c r="G1323" s="367"/>
      <c r="H1323" s="367"/>
      <c r="I1323" s="367"/>
      <c r="J1323" s="54" t="s">
        <v>2298</v>
      </c>
      <c r="K1323" s="48" t="s">
        <v>3738</v>
      </c>
      <c r="L1323" s="367" t="s">
        <v>2280</v>
      </c>
      <c r="M1323" s="150" t="s">
        <v>65</v>
      </c>
      <c r="N1323" s="150" t="s">
        <v>2488</v>
      </c>
      <c r="O1323" s="150" t="s">
        <v>2489</v>
      </c>
      <c r="P1323" s="367">
        <v>8</v>
      </c>
      <c r="Q1323" s="367">
        <v>4</v>
      </c>
      <c r="R1323" s="367"/>
      <c r="S1323" s="367">
        <v>50</v>
      </c>
      <c r="T1323" s="367">
        <v>8</v>
      </c>
      <c r="U1323" s="367"/>
      <c r="V1323" s="367"/>
      <c r="W1323" s="367"/>
      <c r="X1323" s="150" t="s">
        <v>3739</v>
      </c>
      <c r="Y1323" s="367"/>
      <c r="Z1323" s="367"/>
      <c r="AA1323" s="367" t="s">
        <v>127</v>
      </c>
      <c r="AB1323" s="150"/>
      <c r="AC1323" s="48" t="s">
        <v>3740</v>
      </c>
      <c r="AD1323" s="150" t="s">
        <v>2543</v>
      </c>
      <c r="AE1323" s="296"/>
      <c r="AF1323" s="296"/>
      <c r="AG1323" s="344">
        <v>46218</v>
      </c>
      <c r="AH1323" s="49">
        <v>46203</v>
      </c>
      <c r="AI1323" s="266">
        <v>46174</v>
      </c>
      <c r="AJ1323" s="150" t="s">
        <v>617</v>
      </c>
      <c r="AK1323" s="150"/>
      <c r="AL1323" s="150"/>
      <c r="AM1323" s="150"/>
      <c r="AN1323" s="367"/>
      <c r="AO1323" s="367"/>
      <c r="AP1323" s="367"/>
      <c r="AQ1323" s="367"/>
      <c r="AR1323" s="367"/>
      <c r="AS1323" s="367"/>
      <c r="AT1323" s="367"/>
      <c r="AU1323" s="367"/>
      <c r="AV1323" s="367"/>
      <c r="AW1323" s="367"/>
      <c r="AX1323" s="367"/>
      <c r="AY1323" s="367"/>
      <c r="AZ1323" s="367"/>
      <c r="BA1323" s="367"/>
      <c r="BB1323" s="152"/>
      <c r="BC1323" s="152"/>
      <c r="BD1323" s="367" t="s">
        <v>2455</v>
      </c>
      <c r="BE1323" s="367"/>
      <c r="BF1323" s="367"/>
      <c r="BG1323" s="367"/>
      <c r="BH1323" s="260"/>
      <c r="BL1323" s="54"/>
    </row>
    <row r="1324" spans="1:66" ht="37.950000000000003" customHeight="1" x14ac:dyDescent="0.3">
      <c r="A1324" s="367">
        <f t="shared" si="24"/>
        <v>1319</v>
      </c>
      <c r="B1324" s="54" t="s">
        <v>3741</v>
      </c>
      <c r="C1324" s="367" t="s">
        <v>6</v>
      </c>
      <c r="D1324" s="367" t="s">
        <v>262</v>
      </c>
      <c r="E1324" s="367"/>
      <c r="F1324" s="367"/>
      <c r="G1324" s="367"/>
      <c r="H1324" s="367"/>
      <c r="I1324" s="367"/>
      <c r="J1324" s="54" t="s">
        <v>2298</v>
      </c>
      <c r="K1324" s="48" t="s">
        <v>3738</v>
      </c>
      <c r="L1324" s="367" t="s">
        <v>2280</v>
      </c>
      <c r="M1324" s="150" t="s">
        <v>65</v>
      </c>
      <c r="N1324" s="150" t="s">
        <v>2488</v>
      </c>
      <c r="O1324" s="150" t="s">
        <v>2489</v>
      </c>
      <c r="P1324" s="367">
        <v>8</v>
      </c>
      <c r="Q1324" s="367">
        <v>4</v>
      </c>
      <c r="R1324" s="367"/>
      <c r="S1324" s="367">
        <v>50</v>
      </c>
      <c r="T1324" s="367">
        <v>8</v>
      </c>
      <c r="U1324" s="367"/>
      <c r="V1324" s="367"/>
      <c r="W1324" s="367"/>
      <c r="X1324" s="150" t="s">
        <v>3739</v>
      </c>
      <c r="Y1324" s="367"/>
      <c r="Z1324" s="367"/>
      <c r="AA1324" s="367"/>
      <c r="AB1324" s="150"/>
      <c r="AC1324" s="48" t="s">
        <v>3742</v>
      </c>
      <c r="AD1324" s="150" t="s">
        <v>2543</v>
      </c>
      <c r="AE1324" s="296"/>
      <c r="AF1324" s="296"/>
      <c r="AG1324" s="344">
        <v>46218</v>
      </c>
      <c r="AH1324" s="49">
        <v>46203</v>
      </c>
      <c r="AI1324" s="266">
        <v>46174</v>
      </c>
      <c r="AJ1324" s="150" t="s">
        <v>617</v>
      </c>
      <c r="AK1324" s="150"/>
      <c r="AL1324" s="150"/>
      <c r="AM1324" s="150"/>
      <c r="AN1324" s="367"/>
      <c r="AO1324" s="367"/>
      <c r="AP1324" s="367"/>
      <c r="AQ1324" s="367"/>
      <c r="AR1324" s="367"/>
      <c r="AS1324" s="367"/>
      <c r="AT1324" s="367"/>
      <c r="AU1324" s="367"/>
      <c r="AV1324" s="367"/>
      <c r="AW1324" s="367"/>
      <c r="AX1324" s="367"/>
      <c r="AY1324" s="367"/>
      <c r="AZ1324" s="367"/>
      <c r="BA1324" s="367"/>
      <c r="BB1324" s="152"/>
      <c r="BC1324" s="152"/>
      <c r="BD1324" s="367" t="s">
        <v>2455</v>
      </c>
      <c r="BE1324" s="367"/>
      <c r="BF1324" s="367"/>
      <c r="BG1324" s="367"/>
      <c r="BH1324" s="260"/>
      <c r="BL1324" s="54"/>
    </row>
    <row r="1325" spans="1:66" ht="37.950000000000003" customHeight="1" x14ac:dyDescent="0.3">
      <c r="A1325" s="367">
        <f t="shared" si="24"/>
        <v>1320</v>
      </c>
      <c r="B1325" s="54" t="s">
        <v>3743</v>
      </c>
      <c r="C1325" s="367" t="s">
        <v>5</v>
      </c>
      <c r="D1325" s="367" t="s">
        <v>262</v>
      </c>
      <c r="E1325" s="367"/>
      <c r="F1325" s="367"/>
      <c r="G1325" s="367"/>
      <c r="H1325" s="367"/>
      <c r="I1325" s="367"/>
      <c r="J1325" s="54"/>
      <c r="K1325" s="48"/>
      <c r="L1325" s="367"/>
      <c r="M1325" s="150"/>
      <c r="N1325" s="367"/>
      <c r="O1325" s="367"/>
      <c r="P1325" s="367"/>
      <c r="Q1325" s="367"/>
      <c r="R1325" s="367"/>
      <c r="S1325" s="367"/>
      <c r="T1325" s="367"/>
      <c r="U1325" s="367"/>
      <c r="V1325" s="367"/>
      <c r="W1325" s="367"/>
      <c r="X1325" s="367"/>
      <c r="Y1325" s="367"/>
      <c r="Z1325" s="367"/>
      <c r="AA1325" s="367"/>
      <c r="AB1325" s="150"/>
      <c r="AC1325" s="48" t="s">
        <v>3744</v>
      </c>
      <c r="AD1325" s="150" t="s">
        <v>2235</v>
      </c>
      <c r="AE1325" s="296">
        <v>46156</v>
      </c>
      <c r="AF1325" s="296"/>
      <c r="AG1325" s="286"/>
      <c r="AH1325" s="49"/>
      <c r="AI1325" s="266"/>
      <c r="AJ1325" s="150"/>
      <c r="AK1325" s="150"/>
      <c r="AL1325" s="150"/>
      <c r="AM1325" s="150"/>
      <c r="AN1325" s="367"/>
      <c r="AO1325" s="367"/>
      <c r="AP1325" s="367"/>
      <c r="AQ1325" s="367"/>
      <c r="AR1325" s="367"/>
      <c r="AS1325" s="367"/>
      <c r="AT1325" s="367"/>
      <c r="AU1325" s="367"/>
      <c r="AV1325" s="367"/>
      <c r="AW1325" s="367"/>
      <c r="AX1325" s="367"/>
      <c r="AY1325" s="367"/>
      <c r="AZ1325" s="367"/>
      <c r="BA1325" s="367"/>
      <c r="BB1325" s="152"/>
      <c r="BC1325" s="152"/>
      <c r="BD1325" s="367"/>
      <c r="BE1325" s="367"/>
      <c r="BF1325" s="367"/>
      <c r="BG1325" s="367"/>
      <c r="BH1325" s="260"/>
      <c r="BL1325" s="54"/>
    </row>
    <row r="1326" spans="1:66" ht="37.950000000000003" customHeight="1" x14ac:dyDescent="0.3">
      <c r="A1326" s="367">
        <f t="shared" si="24"/>
        <v>1321</v>
      </c>
      <c r="B1326" s="54"/>
      <c r="C1326" s="367"/>
      <c r="D1326" s="367"/>
      <c r="E1326" s="367"/>
      <c r="F1326" s="367"/>
      <c r="G1326" s="367"/>
      <c r="H1326" s="367"/>
      <c r="I1326" s="367"/>
      <c r="J1326" s="54"/>
      <c r="K1326" s="48"/>
      <c r="L1326" s="367"/>
      <c r="M1326" s="150"/>
      <c r="N1326" s="367"/>
      <c r="O1326" s="367"/>
      <c r="P1326" s="367"/>
      <c r="Q1326" s="367"/>
      <c r="R1326" s="367"/>
      <c r="S1326" s="367"/>
      <c r="T1326" s="367"/>
      <c r="U1326" s="367"/>
      <c r="V1326" s="367"/>
      <c r="W1326" s="367"/>
      <c r="X1326" s="367"/>
      <c r="Y1326" s="367"/>
      <c r="Z1326" s="367"/>
      <c r="AA1326" s="367"/>
      <c r="AB1326" s="150"/>
      <c r="AC1326" s="48"/>
      <c r="AD1326" s="150"/>
      <c r="AE1326" s="296"/>
      <c r="AF1326" s="296"/>
      <c r="AG1326" s="286"/>
      <c r="AH1326" s="49"/>
      <c r="AI1326" s="266"/>
      <c r="AJ1326" s="150" t="s">
        <v>617</v>
      </c>
      <c r="AK1326" s="150"/>
      <c r="AL1326" s="150"/>
      <c r="AM1326" s="150"/>
      <c r="AN1326" s="367"/>
      <c r="AO1326" s="367"/>
      <c r="AP1326" s="367"/>
      <c r="AQ1326" s="367"/>
      <c r="AR1326" s="367"/>
      <c r="AS1326" s="367"/>
      <c r="AT1326" s="367"/>
      <c r="AU1326" s="367"/>
      <c r="AV1326" s="367"/>
      <c r="AW1326" s="367"/>
      <c r="AX1326" s="367"/>
      <c r="AY1326" s="367"/>
      <c r="AZ1326" s="367"/>
      <c r="BA1326" s="367"/>
      <c r="BB1326" s="152"/>
      <c r="BC1326" s="152"/>
      <c r="BD1326" s="367"/>
      <c r="BE1326" s="367"/>
      <c r="BF1326" s="367"/>
      <c r="BG1326" s="367"/>
      <c r="BH1326" s="260"/>
      <c r="BL1326" s="54"/>
    </row>
    <row r="1327" spans="1:66" ht="37.950000000000003" customHeight="1" x14ac:dyDescent="0.3">
      <c r="A1327" s="367">
        <f t="shared" si="24"/>
        <v>1322</v>
      </c>
      <c r="B1327" s="54"/>
      <c r="C1327" s="367"/>
      <c r="D1327" s="367"/>
      <c r="E1327" s="367"/>
      <c r="F1327" s="367"/>
      <c r="G1327" s="367"/>
      <c r="H1327" s="367"/>
      <c r="I1327" s="367"/>
      <c r="J1327" s="54"/>
      <c r="K1327" s="48"/>
      <c r="L1327" s="367"/>
      <c r="M1327" s="150"/>
      <c r="N1327" s="367"/>
      <c r="O1327" s="367"/>
      <c r="P1327" s="367"/>
      <c r="Q1327" s="367"/>
      <c r="R1327" s="367"/>
      <c r="S1327" s="367"/>
      <c r="T1327" s="367"/>
      <c r="U1327" s="367"/>
      <c r="V1327" s="367"/>
      <c r="W1327" s="367"/>
      <c r="X1327" s="367"/>
      <c r="Y1327" s="367"/>
      <c r="Z1327" s="367"/>
      <c r="AA1327" s="367"/>
      <c r="AB1327" s="150"/>
      <c r="AC1327" s="48"/>
      <c r="AD1327" s="150"/>
      <c r="AE1327" s="296"/>
      <c r="AF1327" s="296"/>
      <c r="AG1327" s="286"/>
      <c r="AH1327" s="49"/>
      <c r="AI1327" s="266"/>
      <c r="AJ1327" s="150"/>
      <c r="AK1327" s="150"/>
      <c r="AL1327" s="150"/>
      <c r="AM1327" s="150"/>
      <c r="AN1327" s="367"/>
      <c r="AO1327" s="367"/>
      <c r="AP1327" s="367"/>
      <c r="AQ1327" s="367"/>
      <c r="AR1327" s="367"/>
      <c r="AS1327" s="367"/>
      <c r="AT1327" s="367"/>
      <c r="AU1327" s="367"/>
      <c r="AV1327" s="367"/>
      <c r="AW1327" s="367"/>
      <c r="AX1327" s="367"/>
      <c r="AY1327" s="367"/>
      <c r="AZ1327" s="367"/>
      <c r="BA1327" s="367"/>
      <c r="BB1327" s="152"/>
      <c r="BC1327" s="152"/>
      <c r="BD1327" s="367"/>
      <c r="BE1327" s="367"/>
      <c r="BF1327" s="367"/>
      <c r="BG1327" s="367"/>
      <c r="BH1327" s="260"/>
      <c r="BL1327" s="54"/>
    </row>
    <row r="1328" spans="1:66" ht="37.950000000000003" customHeight="1" x14ac:dyDescent="0.3">
      <c r="A1328" s="367">
        <f t="shared" si="24"/>
        <v>1323</v>
      </c>
      <c r="B1328" s="54" t="s">
        <v>3745</v>
      </c>
      <c r="C1328" s="367" t="s">
        <v>6</v>
      </c>
      <c r="D1328" s="367" t="s">
        <v>262</v>
      </c>
      <c r="E1328" s="367"/>
      <c r="F1328" s="367"/>
      <c r="G1328" s="367"/>
      <c r="H1328" s="367"/>
      <c r="I1328" s="367"/>
      <c r="J1328" s="54" t="s">
        <v>1524</v>
      </c>
      <c r="K1328" s="48" t="s">
        <v>802</v>
      </c>
      <c r="L1328" s="367"/>
      <c r="M1328" s="150"/>
      <c r="N1328" s="367"/>
      <c r="O1328" s="367"/>
      <c r="P1328" s="367"/>
      <c r="Q1328" s="367"/>
      <c r="R1328" s="367"/>
      <c r="S1328" s="367"/>
      <c r="T1328" s="367"/>
      <c r="U1328" s="367"/>
      <c r="V1328" s="367"/>
      <c r="W1328" s="367"/>
      <c r="X1328" s="367"/>
      <c r="Y1328" s="367"/>
      <c r="Z1328" s="367"/>
      <c r="AA1328" s="367"/>
      <c r="AB1328" s="150"/>
      <c r="AC1328" s="48" t="s">
        <v>3746</v>
      </c>
      <c r="AD1328" s="150" t="s">
        <v>3251</v>
      </c>
      <c r="AE1328" s="296">
        <v>46157</v>
      </c>
      <c r="AF1328" s="296"/>
      <c r="AG1328" s="286"/>
      <c r="AH1328" s="49"/>
      <c r="AI1328" s="266"/>
      <c r="AJ1328" s="150" t="s">
        <v>617</v>
      </c>
      <c r="AK1328" s="150"/>
      <c r="AL1328" s="150"/>
      <c r="AM1328" s="150"/>
      <c r="AN1328" s="367"/>
      <c r="AO1328" s="367"/>
      <c r="AP1328" s="367"/>
      <c r="AQ1328" s="367"/>
      <c r="AR1328" s="367"/>
      <c r="AS1328" s="367"/>
      <c r="AT1328" s="367"/>
      <c r="AU1328" s="367"/>
      <c r="AV1328" s="367"/>
      <c r="AW1328" s="367"/>
      <c r="AX1328" s="367"/>
      <c r="AY1328" s="367"/>
      <c r="AZ1328" s="367"/>
      <c r="BA1328" s="367"/>
      <c r="BB1328" s="152"/>
      <c r="BC1328" s="152"/>
      <c r="BD1328" s="367" t="s">
        <v>2455</v>
      </c>
      <c r="BE1328" s="367"/>
      <c r="BF1328" s="367"/>
      <c r="BG1328" s="367"/>
      <c r="BH1328" s="260"/>
      <c r="BL1328" s="54"/>
    </row>
    <row r="1329" spans="1:64" ht="37.950000000000003" customHeight="1" x14ac:dyDescent="0.3">
      <c r="A1329" s="367">
        <f t="shared" si="24"/>
        <v>1324</v>
      </c>
      <c r="B1329" s="54" t="s">
        <v>3747</v>
      </c>
      <c r="C1329" s="367" t="s">
        <v>6</v>
      </c>
      <c r="D1329" s="367" t="s">
        <v>262</v>
      </c>
      <c r="E1329" s="367"/>
      <c r="F1329" s="367"/>
      <c r="G1329" s="367"/>
      <c r="H1329" s="367"/>
      <c r="I1329" s="367"/>
      <c r="J1329" s="54" t="s">
        <v>1524</v>
      </c>
      <c r="K1329" s="48" t="s">
        <v>802</v>
      </c>
      <c r="L1329" s="367"/>
      <c r="M1329" s="150"/>
      <c r="N1329" s="367"/>
      <c r="O1329" s="367"/>
      <c r="P1329" s="367"/>
      <c r="Q1329" s="367"/>
      <c r="R1329" s="367"/>
      <c r="S1329" s="367"/>
      <c r="T1329" s="367"/>
      <c r="U1329" s="367"/>
      <c r="V1329" s="367"/>
      <c r="W1329" s="367"/>
      <c r="X1329" s="367"/>
      <c r="Y1329" s="367"/>
      <c r="Z1329" s="367"/>
      <c r="AA1329" s="367"/>
      <c r="AB1329" s="150"/>
      <c r="AC1329" s="48" t="s">
        <v>3748</v>
      </c>
      <c r="AD1329" s="150" t="s">
        <v>3251</v>
      </c>
      <c r="AE1329" s="296">
        <v>46157</v>
      </c>
      <c r="AF1329" s="296"/>
      <c r="AG1329" s="286"/>
      <c r="AH1329" s="49"/>
      <c r="AI1329" s="266"/>
      <c r="AJ1329" s="150" t="s">
        <v>617</v>
      </c>
      <c r="AK1329" s="150"/>
      <c r="AL1329" s="150"/>
      <c r="AM1329" s="150"/>
      <c r="AN1329" s="367"/>
      <c r="AO1329" s="367"/>
      <c r="AP1329" s="367"/>
      <c r="AQ1329" s="367"/>
      <c r="AR1329" s="367"/>
      <c r="AS1329" s="367"/>
      <c r="AT1329" s="367"/>
      <c r="AU1329" s="367"/>
      <c r="AV1329" s="367"/>
      <c r="AW1329" s="367"/>
      <c r="AX1329" s="367"/>
      <c r="AY1329" s="367"/>
      <c r="AZ1329" s="367"/>
      <c r="BA1329" s="367"/>
      <c r="BB1329" s="152"/>
      <c r="BC1329" s="152"/>
      <c r="BD1329" s="367" t="s">
        <v>2455</v>
      </c>
      <c r="BE1329" s="367"/>
      <c r="BF1329" s="367"/>
      <c r="BG1329" s="367"/>
      <c r="BH1329" s="260"/>
      <c r="BL1329" s="54"/>
    </row>
    <row r="1330" spans="1:64" ht="37.950000000000003" customHeight="1" x14ac:dyDescent="0.3">
      <c r="A1330" s="367">
        <f t="shared" si="24"/>
        <v>1325</v>
      </c>
      <c r="B1330" s="54" t="s">
        <v>3749</v>
      </c>
      <c r="C1330" s="367" t="s">
        <v>6</v>
      </c>
      <c r="D1330" s="367" t="s">
        <v>262</v>
      </c>
      <c r="E1330" s="367"/>
      <c r="F1330" s="367"/>
      <c r="G1330" s="367"/>
      <c r="H1330" s="367"/>
      <c r="I1330" s="367"/>
      <c r="J1330" s="54" t="s">
        <v>1524</v>
      </c>
      <c r="K1330" s="48" t="s">
        <v>802</v>
      </c>
      <c r="L1330" s="367"/>
      <c r="M1330" s="150"/>
      <c r="N1330" s="367"/>
      <c r="O1330" s="367"/>
      <c r="P1330" s="367"/>
      <c r="Q1330" s="367"/>
      <c r="R1330" s="367"/>
      <c r="S1330" s="367"/>
      <c r="T1330" s="367"/>
      <c r="U1330" s="367"/>
      <c r="V1330" s="367"/>
      <c r="W1330" s="367"/>
      <c r="X1330" s="367"/>
      <c r="Y1330" s="367"/>
      <c r="Z1330" s="367"/>
      <c r="AA1330" s="367"/>
      <c r="AB1330" s="150"/>
      <c r="AC1330" s="48" t="s">
        <v>3750</v>
      </c>
      <c r="AD1330" s="150" t="s">
        <v>1163</v>
      </c>
      <c r="AE1330" s="296">
        <v>46157</v>
      </c>
      <c r="AF1330" s="296"/>
      <c r="AG1330" s="286"/>
      <c r="AH1330" s="49"/>
      <c r="AI1330" s="266"/>
      <c r="AJ1330" s="150" t="s">
        <v>617</v>
      </c>
      <c r="AK1330" s="150"/>
      <c r="AL1330" s="150"/>
      <c r="AM1330" s="150"/>
      <c r="AN1330" s="367"/>
      <c r="AO1330" s="367"/>
      <c r="AP1330" s="367"/>
      <c r="AQ1330" s="367"/>
      <c r="AR1330" s="367"/>
      <c r="AS1330" s="367"/>
      <c r="AT1330" s="367"/>
      <c r="AU1330" s="367"/>
      <c r="AV1330" s="367"/>
      <c r="AW1330" s="367"/>
      <c r="AX1330" s="367"/>
      <c r="AY1330" s="367"/>
      <c r="AZ1330" s="367"/>
      <c r="BA1330" s="367"/>
      <c r="BB1330" s="152"/>
      <c r="BC1330" s="152"/>
      <c r="BD1330" s="367" t="s">
        <v>2455</v>
      </c>
      <c r="BE1330" s="367"/>
      <c r="BF1330" s="367"/>
      <c r="BG1330" s="367"/>
      <c r="BH1330" s="260"/>
      <c r="BL1330" s="54"/>
    </row>
    <row r="1331" spans="1:64" ht="37.950000000000003" customHeight="1" x14ac:dyDescent="0.3">
      <c r="A1331" s="367">
        <f t="shared" si="24"/>
        <v>1326</v>
      </c>
      <c r="B1331" s="54" t="s">
        <v>3751</v>
      </c>
      <c r="C1331" s="367" t="s">
        <v>6</v>
      </c>
      <c r="D1331" s="367" t="s">
        <v>262</v>
      </c>
      <c r="E1331" s="367"/>
      <c r="F1331" s="367"/>
      <c r="G1331" s="367"/>
      <c r="H1331" s="367"/>
      <c r="I1331" s="367"/>
      <c r="J1331" s="54" t="s">
        <v>1524</v>
      </c>
      <c r="K1331" s="48" t="s">
        <v>802</v>
      </c>
      <c r="L1331" s="367"/>
      <c r="M1331" s="150"/>
      <c r="N1331" s="367"/>
      <c r="O1331" s="367"/>
      <c r="P1331" s="367"/>
      <c r="Q1331" s="367"/>
      <c r="R1331" s="367"/>
      <c r="S1331" s="367"/>
      <c r="T1331" s="367"/>
      <c r="U1331" s="367"/>
      <c r="V1331" s="367"/>
      <c r="W1331" s="367"/>
      <c r="X1331" s="367"/>
      <c r="Y1331" s="367"/>
      <c r="Z1331" s="367"/>
      <c r="AA1331" s="367"/>
      <c r="AB1331" s="150"/>
      <c r="AC1331" s="48" t="s">
        <v>3752</v>
      </c>
      <c r="AD1331" s="150" t="s">
        <v>1079</v>
      </c>
      <c r="AE1331" s="296">
        <v>46157</v>
      </c>
      <c r="AF1331" s="296"/>
      <c r="AG1331" s="286"/>
      <c r="AH1331" s="49"/>
      <c r="AI1331" s="266"/>
      <c r="AJ1331" s="150" t="s">
        <v>617</v>
      </c>
      <c r="AK1331" s="150"/>
      <c r="AL1331" s="150"/>
      <c r="AM1331" s="150"/>
      <c r="AN1331" s="367"/>
      <c r="AO1331" s="367"/>
      <c r="AP1331" s="367"/>
      <c r="AQ1331" s="367"/>
      <c r="AR1331" s="367"/>
      <c r="AS1331" s="367"/>
      <c r="AT1331" s="367"/>
      <c r="AU1331" s="367"/>
      <c r="AV1331" s="367"/>
      <c r="AW1331" s="367"/>
      <c r="AX1331" s="367"/>
      <c r="AY1331" s="367"/>
      <c r="AZ1331" s="367"/>
      <c r="BA1331" s="367"/>
      <c r="BB1331" s="152"/>
      <c r="BC1331" s="152"/>
      <c r="BD1331" s="367" t="s">
        <v>2455</v>
      </c>
      <c r="BE1331" s="367"/>
      <c r="BF1331" s="367"/>
      <c r="BG1331" s="367"/>
      <c r="BH1331" s="260"/>
      <c r="BL1331" s="54"/>
    </row>
    <row r="1332" spans="1:64" ht="37.950000000000003" customHeight="1" x14ac:dyDescent="0.3">
      <c r="A1332" s="367">
        <f t="shared" si="24"/>
        <v>1327</v>
      </c>
      <c r="B1332" s="54" t="s">
        <v>3753</v>
      </c>
      <c r="C1332" s="367" t="s">
        <v>5</v>
      </c>
      <c r="D1332" s="367" t="s">
        <v>262</v>
      </c>
      <c r="E1332" s="367"/>
      <c r="F1332" s="367"/>
      <c r="G1332" s="367"/>
      <c r="H1332" s="367"/>
      <c r="I1332" s="367"/>
      <c r="J1332" s="54" t="s">
        <v>3754</v>
      </c>
      <c r="K1332" s="48" t="s">
        <v>3755</v>
      </c>
      <c r="L1332" s="367" t="s">
        <v>3756</v>
      </c>
      <c r="M1332" s="150" t="s">
        <v>120</v>
      </c>
      <c r="N1332" s="367"/>
      <c r="O1332" s="367"/>
      <c r="P1332" s="367"/>
      <c r="Q1332" s="367"/>
      <c r="R1332" s="367"/>
      <c r="S1332" s="367"/>
      <c r="T1332" s="367"/>
      <c r="U1332" s="367"/>
      <c r="V1332" s="367"/>
      <c r="W1332" s="367"/>
      <c r="X1332" s="150" t="s">
        <v>3757</v>
      </c>
      <c r="Y1332" s="367"/>
      <c r="Z1332" s="367"/>
      <c r="AA1332" s="367"/>
      <c r="AB1332" s="150"/>
      <c r="AC1332" s="48" t="s">
        <v>3758</v>
      </c>
      <c r="AD1332" s="150" t="s">
        <v>814</v>
      </c>
      <c r="AE1332" s="296">
        <v>46114</v>
      </c>
      <c r="AF1332" s="296"/>
      <c r="AG1332" s="286"/>
      <c r="AH1332" s="49"/>
      <c r="AI1332" s="266"/>
      <c r="AJ1332" s="150"/>
      <c r="AK1332" s="150"/>
      <c r="AL1332" s="150"/>
      <c r="AM1332" s="150"/>
      <c r="AN1332" s="367"/>
      <c r="AO1332" s="367"/>
      <c r="AP1332" s="367"/>
      <c r="AQ1332" s="367"/>
      <c r="AR1332" s="367"/>
      <c r="AS1332" s="367"/>
      <c r="AT1332" s="367"/>
      <c r="AU1332" s="367"/>
      <c r="AV1332" s="367"/>
      <c r="AW1332" s="367"/>
      <c r="AX1332" s="367"/>
      <c r="AY1332" s="367"/>
      <c r="AZ1332" s="367"/>
      <c r="BA1332" s="367"/>
      <c r="BB1332" s="152"/>
      <c r="BC1332" s="152"/>
      <c r="BD1332" s="367"/>
      <c r="BE1332" s="367"/>
      <c r="BF1332" s="367"/>
      <c r="BG1332" s="367"/>
      <c r="BH1332" s="260"/>
      <c r="BL1332" s="54"/>
    </row>
    <row r="1333" spans="1:64" ht="37.950000000000003" customHeight="1" x14ac:dyDescent="0.3">
      <c r="A1333" s="367">
        <f t="shared" si="24"/>
        <v>1328</v>
      </c>
      <c r="B1333" s="54" t="s">
        <v>3759</v>
      </c>
      <c r="C1333" s="367" t="s">
        <v>5</v>
      </c>
      <c r="D1333" s="367" t="s">
        <v>262</v>
      </c>
      <c r="E1333" s="367"/>
      <c r="F1333" s="367"/>
      <c r="G1333" s="367"/>
      <c r="H1333" s="367"/>
      <c r="I1333" s="367"/>
      <c r="J1333" s="54" t="s">
        <v>3754</v>
      </c>
      <c r="K1333" s="48" t="s">
        <v>3755</v>
      </c>
      <c r="L1333" s="367" t="s">
        <v>3756</v>
      </c>
      <c r="M1333" s="150" t="s">
        <v>120</v>
      </c>
      <c r="N1333" s="367"/>
      <c r="O1333" s="367"/>
      <c r="P1333" s="367"/>
      <c r="Q1333" s="367"/>
      <c r="R1333" s="367"/>
      <c r="S1333" s="367"/>
      <c r="T1333" s="367"/>
      <c r="U1333" s="367"/>
      <c r="V1333" s="367"/>
      <c r="W1333" s="367"/>
      <c r="X1333" s="150" t="s">
        <v>3757</v>
      </c>
      <c r="Y1333" s="367"/>
      <c r="Z1333" s="367"/>
      <c r="AA1333" s="367"/>
      <c r="AB1333" s="150"/>
      <c r="AC1333" s="48" t="s">
        <v>3760</v>
      </c>
      <c r="AD1333" s="150" t="s">
        <v>819</v>
      </c>
      <c r="AE1333" s="296">
        <v>46114</v>
      </c>
      <c r="AF1333" s="296"/>
      <c r="AG1333" s="286"/>
      <c r="AH1333" s="49"/>
      <c r="AI1333" s="266"/>
      <c r="AJ1333" s="150"/>
      <c r="AK1333" s="150"/>
      <c r="AL1333" s="150"/>
      <c r="AM1333" s="150"/>
      <c r="AN1333" s="367"/>
      <c r="AO1333" s="367"/>
      <c r="AP1333" s="367"/>
      <c r="AQ1333" s="367"/>
      <c r="AR1333" s="367"/>
      <c r="AS1333" s="367"/>
      <c r="AT1333" s="367"/>
      <c r="AU1333" s="367"/>
      <c r="AV1333" s="367"/>
      <c r="AW1333" s="367"/>
      <c r="AX1333" s="367"/>
      <c r="AY1333" s="367"/>
      <c r="AZ1333" s="367"/>
      <c r="BA1333" s="367"/>
      <c r="BB1333" s="152"/>
      <c r="BC1333" s="152"/>
      <c r="BD1333" s="367"/>
      <c r="BE1333" s="367"/>
      <c r="BF1333" s="367"/>
      <c r="BG1333" s="367"/>
      <c r="BH1333" s="260"/>
      <c r="BL1333" s="54"/>
    </row>
    <row r="1334" spans="1:64" ht="37.950000000000003" customHeight="1" x14ac:dyDescent="0.3">
      <c r="A1334" s="367">
        <f t="shared" si="24"/>
        <v>1329</v>
      </c>
      <c r="B1334" s="54" t="s">
        <v>3761</v>
      </c>
      <c r="C1334" s="367" t="s">
        <v>5</v>
      </c>
      <c r="D1334" s="367" t="s">
        <v>262</v>
      </c>
      <c r="E1334" s="367"/>
      <c r="F1334" s="367"/>
      <c r="G1334" s="367"/>
      <c r="H1334" s="367"/>
      <c r="I1334" s="367"/>
      <c r="J1334" s="54" t="s">
        <v>3754</v>
      </c>
      <c r="K1334" s="48" t="s">
        <v>3762</v>
      </c>
      <c r="L1334" s="367" t="s">
        <v>3756</v>
      </c>
      <c r="M1334" s="150" t="s">
        <v>120</v>
      </c>
      <c r="N1334" s="367"/>
      <c r="O1334" s="367"/>
      <c r="P1334" s="367"/>
      <c r="Q1334" s="367"/>
      <c r="R1334" s="367"/>
      <c r="S1334" s="367"/>
      <c r="T1334" s="367"/>
      <c r="U1334" s="367"/>
      <c r="V1334" s="367"/>
      <c r="W1334" s="367"/>
      <c r="X1334" s="150" t="s">
        <v>3757</v>
      </c>
      <c r="Y1334" s="367"/>
      <c r="Z1334" s="367"/>
      <c r="AA1334" s="367"/>
      <c r="AB1334" s="150"/>
      <c r="AC1334" s="48" t="s">
        <v>3763</v>
      </c>
      <c r="AD1334" s="150" t="s">
        <v>814</v>
      </c>
      <c r="AE1334" s="296">
        <v>46114</v>
      </c>
      <c r="AF1334" s="296"/>
      <c r="AG1334" s="286"/>
      <c r="AH1334" s="49"/>
      <c r="AI1334" s="266"/>
      <c r="AJ1334" s="150"/>
      <c r="AK1334" s="150"/>
      <c r="AL1334" s="150"/>
      <c r="AM1334" s="150"/>
      <c r="AN1334" s="367"/>
      <c r="AO1334" s="367"/>
      <c r="AP1334" s="367"/>
      <c r="AQ1334" s="367"/>
      <c r="AR1334" s="367"/>
      <c r="AS1334" s="367"/>
      <c r="AT1334" s="367"/>
      <c r="AU1334" s="367"/>
      <c r="AV1334" s="367"/>
      <c r="AW1334" s="367"/>
      <c r="AX1334" s="367"/>
      <c r="AY1334" s="367"/>
      <c r="AZ1334" s="367"/>
      <c r="BA1334" s="367"/>
      <c r="BB1334" s="152"/>
      <c r="BC1334" s="152"/>
      <c r="BD1334" s="367"/>
      <c r="BE1334" s="367"/>
      <c r="BF1334" s="367"/>
      <c r="BG1334" s="367"/>
      <c r="BH1334" s="260"/>
      <c r="BL1334" s="54"/>
    </row>
    <row r="1335" spans="1:64" ht="37.950000000000003" customHeight="1" x14ac:dyDescent="0.3">
      <c r="A1335" s="367">
        <f t="shared" si="24"/>
        <v>1330</v>
      </c>
      <c r="B1335" s="54" t="s">
        <v>3764</v>
      </c>
      <c r="C1335" s="367" t="s">
        <v>5</v>
      </c>
      <c r="D1335" s="367" t="s">
        <v>262</v>
      </c>
      <c r="E1335" s="367"/>
      <c r="F1335" s="367"/>
      <c r="G1335" s="367"/>
      <c r="H1335" s="367"/>
      <c r="I1335" s="367"/>
      <c r="J1335" s="54" t="s">
        <v>3754</v>
      </c>
      <c r="K1335" s="48" t="s">
        <v>3762</v>
      </c>
      <c r="L1335" s="367" t="s">
        <v>3756</v>
      </c>
      <c r="M1335" s="150" t="s">
        <v>120</v>
      </c>
      <c r="N1335" s="367"/>
      <c r="O1335" s="367"/>
      <c r="P1335" s="367"/>
      <c r="Q1335" s="367"/>
      <c r="R1335" s="367"/>
      <c r="S1335" s="367"/>
      <c r="T1335" s="367"/>
      <c r="U1335" s="367"/>
      <c r="V1335" s="367"/>
      <c r="W1335" s="367"/>
      <c r="X1335" s="150" t="s">
        <v>3757</v>
      </c>
      <c r="Y1335" s="367"/>
      <c r="Z1335" s="367"/>
      <c r="AA1335" s="367"/>
      <c r="AB1335" s="150"/>
      <c r="AC1335" s="48" t="s">
        <v>3765</v>
      </c>
      <c r="AD1335" s="150" t="s">
        <v>819</v>
      </c>
      <c r="AE1335" s="296">
        <v>46114</v>
      </c>
      <c r="AF1335" s="296"/>
      <c r="AG1335" s="286"/>
      <c r="AH1335" s="49"/>
      <c r="AI1335" s="266"/>
      <c r="AJ1335" s="150"/>
      <c r="AK1335" s="150"/>
      <c r="AL1335" s="150"/>
      <c r="AM1335" s="150"/>
      <c r="AN1335" s="367"/>
      <c r="AO1335" s="367"/>
      <c r="AP1335" s="367"/>
      <c r="AQ1335" s="367"/>
      <c r="AR1335" s="367"/>
      <c r="AS1335" s="367"/>
      <c r="AT1335" s="367"/>
      <c r="AU1335" s="367"/>
      <c r="AV1335" s="367"/>
      <c r="AW1335" s="367"/>
      <c r="AX1335" s="367"/>
      <c r="AY1335" s="367"/>
      <c r="AZ1335" s="367"/>
      <c r="BA1335" s="367"/>
      <c r="BB1335" s="152"/>
      <c r="BC1335" s="152"/>
      <c r="BD1335" s="367"/>
      <c r="BE1335" s="367"/>
      <c r="BF1335" s="367"/>
      <c r="BG1335" s="367"/>
      <c r="BH1335" s="260"/>
      <c r="BL1335" s="54"/>
    </row>
    <row r="1336" spans="1:64" ht="37.950000000000003" customHeight="1" x14ac:dyDescent="0.3">
      <c r="A1336" s="367" t="s">
        <v>59</v>
      </c>
      <c r="B1336" s="54" t="s">
        <v>3766</v>
      </c>
      <c r="C1336" s="367" t="s">
        <v>5</v>
      </c>
      <c r="D1336" s="367" t="s">
        <v>262</v>
      </c>
      <c r="E1336" s="367"/>
      <c r="F1336" s="367"/>
      <c r="G1336" s="367"/>
      <c r="H1336" s="367"/>
      <c r="I1336" s="367"/>
      <c r="J1336" s="54" t="s">
        <v>3754</v>
      </c>
      <c r="K1336" s="48" t="s">
        <v>3767</v>
      </c>
      <c r="L1336" s="367" t="s">
        <v>3756</v>
      </c>
      <c r="M1336" s="150" t="s">
        <v>120</v>
      </c>
      <c r="N1336" s="367"/>
      <c r="O1336" s="367"/>
      <c r="P1336" s="367"/>
      <c r="Q1336" s="367"/>
      <c r="R1336" s="367"/>
      <c r="S1336" s="367"/>
      <c r="T1336" s="367"/>
      <c r="U1336" s="367"/>
      <c r="V1336" s="367"/>
      <c r="W1336" s="367"/>
      <c r="X1336" s="150" t="s">
        <v>3757</v>
      </c>
      <c r="Y1336" s="367"/>
      <c r="Z1336" s="367"/>
      <c r="AA1336" s="367"/>
      <c r="AB1336" s="150"/>
      <c r="AC1336" s="48" t="s">
        <v>3768</v>
      </c>
      <c r="AD1336" s="150" t="s">
        <v>814</v>
      </c>
      <c r="AE1336" s="296">
        <v>46114</v>
      </c>
      <c r="AF1336" s="296"/>
      <c r="AG1336" s="286"/>
      <c r="AH1336" s="49"/>
      <c r="AI1336" s="266"/>
      <c r="AJ1336" s="150"/>
      <c r="AK1336" s="150"/>
      <c r="AL1336" s="150"/>
      <c r="AM1336" s="150"/>
      <c r="AN1336" s="367"/>
      <c r="AO1336" s="367"/>
      <c r="AP1336" s="367"/>
      <c r="AQ1336" s="367"/>
      <c r="AR1336" s="367"/>
      <c r="AS1336" s="367"/>
      <c r="AT1336" s="367"/>
      <c r="AU1336" s="367"/>
      <c r="AV1336" s="367"/>
      <c r="AW1336" s="367"/>
      <c r="AX1336" s="367"/>
      <c r="AY1336" s="367"/>
      <c r="AZ1336" s="367"/>
      <c r="BA1336" s="367"/>
      <c r="BB1336" s="152"/>
      <c r="BC1336" s="152"/>
      <c r="BD1336" s="367"/>
      <c r="BE1336" s="367"/>
      <c r="BF1336" s="367"/>
      <c r="BG1336" s="367"/>
      <c r="BH1336" s="260"/>
      <c r="BL1336" s="54"/>
    </row>
    <row r="1337" spans="1:64" ht="37.950000000000003" customHeight="1" x14ac:dyDescent="0.3">
      <c r="A1337" s="367">
        <f t="shared" si="24"/>
        <v>1332</v>
      </c>
      <c r="B1337" s="54" t="s">
        <v>3769</v>
      </c>
      <c r="C1337" s="367" t="s">
        <v>5</v>
      </c>
      <c r="D1337" s="367" t="s">
        <v>262</v>
      </c>
      <c r="E1337" s="367"/>
      <c r="F1337" s="367"/>
      <c r="G1337" s="367"/>
      <c r="H1337" s="367"/>
      <c r="I1337" s="367"/>
      <c r="J1337" s="54" t="s">
        <v>3754</v>
      </c>
      <c r="K1337" s="48" t="s">
        <v>3767</v>
      </c>
      <c r="L1337" s="367" t="s">
        <v>3756</v>
      </c>
      <c r="M1337" s="150" t="s">
        <v>120</v>
      </c>
      <c r="N1337" s="367"/>
      <c r="O1337" s="367"/>
      <c r="P1337" s="367"/>
      <c r="Q1337" s="367"/>
      <c r="R1337" s="367"/>
      <c r="S1337" s="367"/>
      <c r="T1337" s="367"/>
      <c r="U1337" s="367"/>
      <c r="V1337" s="367"/>
      <c r="W1337" s="367"/>
      <c r="X1337" s="150" t="s">
        <v>3757</v>
      </c>
      <c r="Y1337" s="367"/>
      <c r="Z1337" s="367"/>
      <c r="AA1337" s="367"/>
      <c r="AB1337" s="150"/>
      <c r="AC1337" s="48" t="s">
        <v>3770</v>
      </c>
      <c r="AD1337" s="150" t="s">
        <v>819</v>
      </c>
      <c r="AE1337" s="296">
        <v>46114</v>
      </c>
      <c r="AF1337" s="296"/>
      <c r="AG1337" s="286"/>
      <c r="AH1337" s="49"/>
      <c r="AI1337" s="266"/>
      <c r="AJ1337" s="150"/>
      <c r="AK1337" s="150"/>
      <c r="AL1337" s="150"/>
      <c r="AM1337" s="150"/>
      <c r="AN1337" s="367"/>
      <c r="AO1337" s="367"/>
      <c r="AP1337" s="367"/>
      <c r="AQ1337" s="367"/>
      <c r="AR1337" s="367"/>
      <c r="AS1337" s="367"/>
      <c r="AT1337" s="367"/>
      <c r="AU1337" s="367"/>
      <c r="AV1337" s="367"/>
      <c r="AW1337" s="367"/>
      <c r="AX1337" s="367"/>
      <c r="AY1337" s="367"/>
      <c r="AZ1337" s="367"/>
      <c r="BA1337" s="367"/>
      <c r="BB1337" s="152"/>
      <c r="BC1337" s="152"/>
      <c r="BD1337" s="367"/>
      <c r="BE1337" s="367"/>
      <c r="BF1337" s="367"/>
      <c r="BG1337" s="367"/>
      <c r="BH1337" s="260"/>
      <c r="BL1337" s="54"/>
    </row>
    <row r="1338" spans="1:64" ht="37.950000000000003" customHeight="1" x14ac:dyDescent="0.3">
      <c r="A1338" s="367">
        <f t="shared" si="24"/>
        <v>1333</v>
      </c>
      <c r="B1338" s="54" t="s">
        <v>3771</v>
      </c>
      <c r="C1338" s="367" t="s">
        <v>2</v>
      </c>
      <c r="D1338" s="367" t="s">
        <v>262</v>
      </c>
      <c r="E1338" s="367"/>
      <c r="F1338" s="367"/>
      <c r="G1338" s="367"/>
      <c r="H1338" s="367"/>
      <c r="I1338" s="367"/>
      <c r="J1338" s="54"/>
      <c r="K1338" s="48" t="s">
        <v>3533</v>
      </c>
      <c r="L1338" s="367"/>
      <c r="M1338" s="150"/>
      <c r="N1338" s="367"/>
      <c r="O1338" s="367"/>
      <c r="P1338" s="367"/>
      <c r="Q1338" s="367"/>
      <c r="R1338" s="367"/>
      <c r="S1338" s="367"/>
      <c r="T1338" s="367"/>
      <c r="U1338" s="367" t="s">
        <v>127</v>
      </c>
      <c r="V1338" s="367" t="s">
        <v>127</v>
      </c>
      <c r="W1338" s="367"/>
      <c r="X1338" s="367" t="s">
        <v>2368</v>
      </c>
      <c r="Y1338" s="367"/>
      <c r="Z1338" s="367"/>
      <c r="AA1338" s="367" t="s">
        <v>127</v>
      </c>
      <c r="AB1338" s="150"/>
      <c r="AC1338" s="48" t="s">
        <v>3772</v>
      </c>
      <c r="AD1338" s="150" t="s">
        <v>552</v>
      </c>
      <c r="AE1338" s="296">
        <v>46121</v>
      </c>
      <c r="AF1338" s="296"/>
      <c r="AG1338" s="286">
        <v>46223</v>
      </c>
      <c r="AH1338" s="49"/>
      <c r="AI1338" s="266">
        <v>46204</v>
      </c>
      <c r="AJ1338" s="150" t="s">
        <v>617</v>
      </c>
      <c r="AK1338" s="150"/>
      <c r="AL1338" s="150"/>
      <c r="AM1338" s="150"/>
      <c r="AN1338" s="367"/>
      <c r="AO1338" s="367"/>
      <c r="AP1338" s="367"/>
      <c r="AQ1338" s="367"/>
      <c r="AR1338" s="367"/>
      <c r="AS1338" s="367"/>
      <c r="AT1338" s="367"/>
      <c r="AU1338" s="367"/>
      <c r="AV1338" s="367"/>
      <c r="AW1338" s="367"/>
      <c r="AX1338" s="367"/>
      <c r="AY1338" s="367"/>
      <c r="AZ1338" s="367"/>
      <c r="BA1338" s="367"/>
      <c r="BB1338" s="152"/>
      <c r="BC1338" s="152"/>
      <c r="BD1338" s="367"/>
      <c r="BE1338" s="367"/>
      <c r="BF1338" s="367"/>
      <c r="BG1338" s="367"/>
      <c r="BH1338" s="260"/>
      <c r="BL1338" s="54"/>
    </row>
    <row r="1339" spans="1:64" ht="37.950000000000003" customHeight="1" x14ac:dyDescent="0.3">
      <c r="A1339" s="367">
        <f t="shared" si="24"/>
        <v>1334</v>
      </c>
      <c r="B1339" s="54" t="s">
        <v>3773</v>
      </c>
      <c r="C1339" s="367" t="s">
        <v>2</v>
      </c>
      <c r="D1339" s="367" t="s">
        <v>262</v>
      </c>
      <c r="E1339" s="367"/>
      <c r="F1339" s="367"/>
      <c r="G1339" s="367"/>
      <c r="H1339" s="367"/>
      <c r="I1339" s="367"/>
      <c r="J1339" s="54"/>
      <c r="K1339" s="48" t="s">
        <v>3533</v>
      </c>
      <c r="L1339" s="367"/>
      <c r="M1339" s="150"/>
      <c r="N1339" s="367"/>
      <c r="O1339" s="367"/>
      <c r="P1339" s="367"/>
      <c r="Q1339" s="367"/>
      <c r="R1339" s="367"/>
      <c r="S1339" s="367"/>
      <c r="T1339" s="367"/>
      <c r="U1339" s="367" t="s">
        <v>127</v>
      </c>
      <c r="V1339" s="367" t="s">
        <v>127</v>
      </c>
      <c r="W1339" s="367"/>
      <c r="X1339" s="367" t="s">
        <v>2368</v>
      </c>
      <c r="Y1339" s="367"/>
      <c r="Z1339" s="367"/>
      <c r="AA1339" s="367"/>
      <c r="AB1339" s="150"/>
      <c r="AC1339" s="48" t="s">
        <v>3774</v>
      </c>
      <c r="AD1339" s="150" t="s">
        <v>555</v>
      </c>
      <c r="AE1339" s="296">
        <v>46121</v>
      </c>
      <c r="AF1339" s="296"/>
      <c r="AG1339" s="286">
        <v>46223</v>
      </c>
      <c r="AH1339" s="49"/>
      <c r="AI1339" s="266">
        <v>46204</v>
      </c>
      <c r="AJ1339" s="150" t="s">
        <v>617</v>
      </c>
      <c r="AK1339" s="150"/>
      <c r="AL1339" s="150"/>
      <c r="AM1339" s="150"/>
      <c r="AN1339" s="367"/>
      <c r="AO1339" s="367"/>
      <c r="AP1339" s="367"/>
      <c r="AQ1339" s="367"/>
      <c r="AR1339" s="367"/>
      <c r="AS1339" s="367"/>
      <c r="AT1339" s="367"/>
      <c r="AU1339" s="367"/>
      <c r="AV1339" s="367"/>
      <c r="AW1339" s="367"/>
      <c r="AX1339" s="367"/>
      <c r="AY1339" s="367"/>
      <c r="AZ1339" s="367"/>
      <c r="BA1339" s="367"/>
      <c r="BB1339" s="152"/>
      <c r="BC1339" s="152"/>
      <c r="BD1339" s="367"/>
      <c r="BE1339" s="367"/>
      <c r="BF1339" s="367"/>
      <c r="BG1339" s="367"/>
      <c r="BH1339" s="260"/>
      <c r="BL1339" s="54"/>
    </row>
    <row r="1340" spans="1:64" ht="37.950000000000003" customHeight="1" x14ac:dyDescent="0.3">
      <c r="A1340" s="367">
        <f t="shared" si="24"/>
        <v>1335</v>
      </c>
      <c r="B1340" s="54" t="s">
        <v>3775</v>
      </c>
      <c r="C1340" s="367" t="s">
        <v>6</v>
      </c>
      <c r="D1340" s="367" t="s">
        <v>262</v>
      </c>
      <c r="E1340" s="367"/>
      <c r="F1340" s="367"/>
      <c r="G1340" s="367"/>
      <c r="H1340" s="367"/>
      <c r="I1340" s="367"/>
      <c r="J1340" s="54" t="s">
        <v>3776</v>
      </c>
      <c r="K1340" s="48" t="s">
        <v>1816</v>
      </c>
      <c r="L1340" s="367"/>
      <c r="M1340" s="150"/>
      <c r="N1340" s="367"/>
      <c r="O1340" s="367"/>
      <c r="P1340" s="367"/>
      <c r="Q1340" s="367"/>
      <c r="R1340" s="367"/>
      <c r="S1340" s="367"/>
      <c r="T1340" s="367"/>
      <c r="U1340" s="367"/>
      <c r="V1340" s="367"/>
      <c r="W1340" s="367"/>
      <c r="X1340" s="367"/>
      <c r="Y1340" s="367"/>
      <c r="Z1340" s="367"/>
      <c r="AA1340" s="367"/>
      <c r="AB1340" s="150"/>
      <c r="AC1340" s="48" t="s">
        <v>3777</v>
      </c>
      <c r="AD1340" s="150" t="s">
        <v>3778</v>
      </c>
      <c r="AE1340" s="296">
        <v>46126</v>
      </c>
      <c r="AF1340" s="296"/>
      <c r="AG1340" s="286"/>
      <c r="AH1340" s="49"/>
      <c r="AI1340" s="266"/>
      <c r="AJ1340" s="150" t="s">
        <v>617</v>
      </c>
      <c r="AK1340" s="150"/>
      <c r="AL1340" s="150"/>
      <c r="AM1340" s="150"/>
      <c r="AN1340" s="367"/>
      <c r="AO1340" s="367"/>
      <c r="AP1340" s="367"/>
      <c r="AQ1340" s="367"/>
      <c r="AR1340" s="367"/>
      <c r="AS1340" s="367"/>
      <c r="AT1340" s="367"/>
      <c r="AU1340" s="367"/>
      <c r="AV1340" s="367"/>
      <c r="AW1340" s="367"/>
      <c r="AX1340" s="367"/>
      <c r="AY1340" s="367"/>
      <c r="AZ1340" s="367"/>
      <c r="BA1340" s="367"/>
      <c r="BB1340" s="152" t="s">
        <v>3779</v>
      </c>
      <c r="BC1340" s="152"/>
      <c r="BD1340" s="367" t="s">
        <v>2455</v>
      </c>
      <c r="BE1340" s="367"/>
      <c r="BF1340" s="367"/>
      <c r="BG1340" s="367"/>
      <c r="BH1340" s="260"/>
      <c r="BL1340" s="54"/>
    </row>
    <row r="1341" spans="1:64" ht="37.950000000000003" customHeight="1" x14ac:dyDescent="0.3">
      <c r="A1341" s="367">
        <f t="shared" si="24"/>
        <v>1336</v>
      </c>
      <c r="B1341" s="54" t="s">
        <v>3780</v>
      </c>
      <c r="C1341" s="367" t="s">
        <v>6</v>
      </c>
      <c r="D1341" s="367" t="s">
        <v>262</v>
      </c>
      <c r="E1341" s="367"/>
      <c r="F1341" s="367"/>
      <c r="G1341" s="367"/>
      <c r="H1341" s="367"/>
      <c r="I1341" s="367"/>
      <c r="J1341" s="54" t="s">
        <v>3776</v>
      </c>
      <c r="K1341" s="48" t="s">
        <v>1816</v>
      </c>
      <c r="L1341" s="367"/>
      <c r="M1341" s="150"/>
      <c r="N1341" s="367"/>
      <c r="O1341" s="367"/>
      <c r="P1341" s="367"/>
      <c r="Q1341" s="367"/>
      <c r="R1341" s="367"/>
      <c r="S1341" s="367"/>
      <c r="T1341" s="367"/>
      <c r="U1341" s="367"/>
      <c r="V1341" s="367"/>
      <c r="W1341" s="367"/>
      <c r="X1341" s="367"/>
      <c r="Y1341" s="367"/>
      <c r="Z1341" s="367"/>
      <c r="AA1341" s="367"/>
      <c r="AB1341" s="150"/>
      <c r="AC1341" s="48" t="s">
        <v>3777</v>
      </c>
      <c r="AD1341" s="150" t="s">
        <v>3778</v>
      </c>
      <c r="AE1341" s="296">
        <v>46129</v>
      </c>
      <c r="AF1341" s="296"/>
      <c r="AG1341" s="286"/>
      <c r="AH1341" s="49"/>
      <c r="AI1341" s="266"/>
      <c r="AJ1341" s="150" t="s">
        <v>617</v>
      </c>
      <c r="AK1341" s="150"/>
      <c r="AL1341" s="150"/>
      <c r="AM1341" s="150"/>
      <c r="AN1341" s="367"/>
      <c r="AO1341" s="367"/>
      <c r="AP1341" s="367"/>
      <c r="AQ1341" s="367"/>
      <c r="AR1341" s="367"/>
      <c r="AS1341" s="367"/>
      <c r="AT1341" s="367"/>
      <c r="AU1341" s="367"/>
      <c r="AV1341" s="367"/>
      <c r="AW1341" s="367"/>
      <c r="AX1341" s="367"/>
      <c r="AY1341" s="367"/>
      <c r="AZ1341" s="367"/>
      <c r="BA1341" s="367"/>
      <c r="BB1341" s="152"/>
      <c r="BC1341" s="152"/>
      <c r="BD1341" s="367" t="s">
        <v>2455</v>
      </c>
      <c r="BE1341" s="367"/>
      <c r="BF1341" s="367"/>
      <c r="BG1341" s="367"/>
      <c r="BH1341" s="260"/>
      <c r="BL1341" s="54"/>
    </row>
    <row r="1342" spans="1:64" ht="37.950000000000003" customHeight="1" x14ac:dyDescent="0.3">
      <c r="A1342" s="367">
        <f t="shared" si="24"/>
        <v>1337</v>
      </c>
      <c r="B1342" s="54" t="s">
        <v>3781</v>
      </c>
      <c r="C1342" s="367" t="s">
        <v>2</v>
      </c>
      <c r="D1342" s="367" t="s">
        <v>3782</v>
      </c>
      <c r="E1342" s="367"/>
      <c r="F1342" s="367"/>
      <c r="G1342" s="367"/>
      <c r="H1342" s="367"/>
      <c r="I1342" s="367"/>
      <c r="J1342" s="54"/>
      <c r="K1342" s="48" t="s">
        <v>3783</v>
      </c>
      <c r="L1342" s="367" t="s">
        <v>2280</v>
      </c>
      <c r="M1342" s="150" t="s">
        <v>65</v>
      </c>
      <c r="N1342" s="150" t="s">
        <v>3784</v>
      </c>
      <c r="O1342" s="150" t="s">
        <v>3785</v>
      </c>
      <c r="P1342" s="367">
        <v>2</v>
      </c>
      <c r="Q1342" s="367"/>
      <c r="R1342" s="367">
        <v>800</v>
      </c>
      <c r="S1342" s="367"/>
      <c r="T1342" s="367"/>
      <c r="U1342" s="367" t="s">
        <v>127</v>
      </c>
      <c r="V1342" s="367" t="s">
        <v>127</v>
      </c>
      <c r="W1342" s="367"/>
      <c r="X1342" s="367" t="s">
        <v>2368</v>
      </c>
      <c r="Y1342" s="367"/>
      <c r="Z1342" s="367"/>
      <c r="AA1342" s="367" t="s">
        <v>127</v>
      </c>
      <c r="AB1342" s="150"/>
      <c r="AC1342" s="48" t="s">
        <v>3786</v>
      </c>
      <c r="AD1342" s="150" t="s">
        <v>552</v>
      </c>
      <c r="AE1342" s="296">
        <v>46146</v>
      </c>
      <c r="AF1342" s="296">
        <v>46185</v>
      </c>
      <c r="AG1342" s="286">
        <v>46340</v>
      </c>
      <c r="AH1342" s="49">
        <v>46295</v>
      </c>
      <c r="AI1342" s="266">
        <v>46266</v>
      </c>
      <c r="AJ1342" s="150" t="s">
        <v>2334</v>
      </c>
      <c r="AK1342" s="150" t="s">
        <v>200</v>
      </c>
      <c r="AL1342" s="150" t="s">
        <v>191</v>
      </c>
      <c r="AM1342" s="150" t="s">
        <v>134</v>
      </c>
      <c r="AN1342" s="367"/>
      <c r="AO1342" s="367"/>
      <c r="AP1342" s="367"/>
      <c r="AQ1342" s="367"/>
      <c r="AR1342" s="367"/>
      <c r="AS1342" s="367"/>
      <c r="AT1342" s="45">
        <v>46244</v>
      </c>
      <c r="AU1342" s="367"/>
      <c r="AV1342" s="367"/>
      <c r="AW1342" s="45">
        <v>46185</v>
      </c>
      <c r="AX1342" s="367"/>
      <c r="AY1342" s="367"/>
      <c r="AZ1342" s="367"/>
      <c r="BA1342" s="367"/>
      <c r="BB1342" s="152" t="s">
        <v>3787</v>
      </c>
      <c r="BC1342" s="152"/>
      <c r="BD1342" s="367"/>
      <c r="BE1342" s="367"/>
      <c r="BF1342" s="367"/>
      <c r="BG1342" s="367"/>
      <c r="BH1342" s="260"/>
      <c r="BL1342" s="54"/>
    </row>
    <row r="1343" spans="1:64" ht="37.950000000000003" customHeight="1" x14ac:dyDescent="0.3">
      <c r="A1343" s="367">
        <f t="shared" si="24"/>
        <v>1338</v>
      </c>
      <c r="B1343" s="54" t="s">
        <v>3788</v>
      </c>
      <c r="C1343" s="367" t="s">
        <v>2</v>
      </c>
      <c r="D1343" s="367" t="s">
        <v>3782</v>
      </c>
      <c r="E1343" s="367"/>
      <c r="F1343" s="367"/>
      <c r="G1343" s="367"/>
      <c r="H1343" s="367"/>
      <c r="I1343" s="367"/>
      <c r="J1343" s="54"/>
      <c r="K1343" s="48" t="s">
        <v>3783</v>
      </c>
      <c r="L1343" s="367" t="s">
        <v>2280</v>
      </c>
      <c r="M1343" s="150" t="s">
        <v>65</v>
      </c>
      <c r="N1343" s="150" t="s">
        <v>3784</v>
      </c>
      <c r="O1343" s="150" t="s">
        <v>3785</v>
      </c>
      <c r="P1343" s="367">
        <v>2</v>
      </c>
      <c r="Q1343" s="367"/>
      <c r="R1343" s="367">
        <v>800</v>
      </c>
      <c r="S1343" s="367"/>
      <c r="T1343" s="367"/>
      <c r="U1343" s="367" t="s">
        <v>127</v>
      </c>
      <c r="V1343" s="367" t="s">
        <v>127</v>
      </c>
      <c r="W1343" s="367"/>
      <c r="X1343" s="367" t="s">
        <v>2368</v>
      </c>
      <c r="Y1343" s="367"/>
      <c r="Z1343" s="367"/>
      <c r="AA1343" s="367"/>
      <c r="AB1343" s="150" t="s">
        <v>215</v>
      </c>
      <c r="AC1343" s="48" t="s">
        <v>3789</v>
      </c>
      <c r="AD1343" s="150" t="s">
        <v>555</v>
      </c>
      <c r="AE1343" s="296">
        <v>46146</v>
      </c>
      <c r="AF1343" s="296">
        <v>46185</v>
      </c>
      <c r="AG1343" s="286">
        <v>46340</v>
      </c>
      <c r="AH1343" s="49">
        <v>46295</v>
      </c>
      <c r="AI1343" s="266">
        <v>46266</v>
      </c>
      <c r="AJ1343" s="150" t="s">
        <v>2334</v>
      </c>
      <c r="AK1343" s="150" t="s">
        <v>200</v>
      </c>
      <c r="AL1343" s="150" t="s">
        <v>191</v>
      </c>
      <c r="AM1343" s="150" t="s">
        <v>134</v>
      </c>
      <c r="AN1343" s="367"/>
      <c r="AO1343" s="367"/>
      <c r="AP1343" s="367"/>
      <c r="AQ1343" s="367"/>
      <c r="AR1343" s="367"/>
      <c r="AS1343" s="367"/>
      <c r="AT1343" s="45">
        <v>46244</v>
      </c>
      <c r="AU1343" s="367"/>
      <c r="AV1343" s="367"/>
      <c r="AW1343" s="45">
        <v>46185</v>
      </c>
      <c r="AX1343" s="367"/>
      <c r="AY1343" s="367"/>
      <c r="AZ1343" s="367"/>
      <c r="BA1343" s="367"/>
      <c r="BB1343" s="152" t="s">
        <v>3787</v>
      </c>
      <c r="BC1343" s="152"/>
      <c r="BD1343" s="367"/>
      <c r="BE1343" s="367"/>
      <c r="BF1343" s="367"/>
      <c r="BG1343" s="367"/>
      <c r="BH1343" s="260"/>
      <c r="BL1343" s="54"/>
    </row>
    <row r="1344" spans="1:64" ht="37.950000000000003" customHeight="1" x14ac:dyDescent="0.3">
      <c r="A1344" s="367">
        <f t="shared" si="24"/>
        <v>1339</v>
      </c>
      <c r="B1344" s="54" t="s">
        <v>3790</v>
      </c>
      <c r="C1344" s="367" t="s">
        <v>5</v>
      </c>
      <c r="D1344" s="367" t="s">
        <v>262</v>
      </c>
      <c r="E1344" s="367"/>
      <c r="F1344" s="367"/>
      <c r="G1344" s="367"/>
      <c r="H1344" s="367"/>
      <c r="I1344" s="367"/>
      <c r="J1344" s="54" t="s">
        <v>1946</v>
      </c>
      <c r="K1344" s="48" t="s">
        <v>3791</v>
      </c>
      <c r="L1344" s="367" t="s">
        <v>660</v>
      </c>
      <c r="M1344" s="150" t="s">
        <v>120</v>
      </c>
      <c r="N1344" s="367"/>
      <c r="O1344" s="367"/>
      <c r="P1344" s="367"/>
      <c r="Q1344" s="367">
        <v>2</v>
      </c>
      <c r="R1344" s="367"/>
      <c r="S1344" s="367"/>
      <c r="T1344" s="367">
        <v>19</v>
      </c>
      <c r="U1344" s="367"/>
      <c r="V1344" s="367"/>
      <c r="W1344" s="367"/>
      <c r="X1344" s="367" t="s">
        <v>1752</v>
      </c>
      <c r="Y1344" s="367"/>
      <c r="Z1344" s="367"/>
      <c r="AA1344" s="367"/>
      <c r="AB1344" s="150"/>
      <c r="AC1344" s="48" t="s">
        <v>1961</v>
      </c>
      <c r="AD1344" s="150" t="s">
        <v>814</v>
      </c>
      <c r="AE1344" s="296">
        <v>46147</v>
      </c>
      <c r="AF1344" s="296"/>
      <c r="AG1344" s="286"/>
      <c r="AH1344" s="49"/>
      <c r="AI1344" s="266"/>
      <c r="AJ1344" s="150"/>
      <c r="AK1344" s="150"/>
      <c r="AL1344" s="150"/>
      <c r="AM1344" s="150"/>
      <c r="AN1344" s="367"/>
      <c r="AO1344" s="367"/>
      <c r="AP1344" s="367"/>
      <c r="AQ1344" s="367"/>
      <c r="AR1344" s="367"/>
      <c r="AS1344" s="367"/>
      <c r="AT1344" s="367"/>
      <c r="AU1344" s="367"/>
      <c r="AV1344" s="367"/>
      <c r="AW1344" s="367"/>
      <c r="AX1344" s="367"/>
      <c r="AY1344" s="367"/>
      <c r="AZ1344" s="367"/>
      <c r="BA1344" s="367"/>
      <c r="BB1344" s="152"/>
      <c r="BC1344" s="152"/>
      <c r="BD1344" s="367"/>
      <c r="BE1344" s="367"/>
      <c r="BF1344" s="367"/>
      <c r="BG1344" s="367"/>
      <c r="BH1344" s="260"/>
      <c r="BL1344" s="54"/>
    </row>
    <row r="1345" spans="1:64" ht="37.950000000000003" customHeight="1" x14ac:dyDescent="0.3">
      <c r="A1345" s="367">
        <f t="shared" si="24"/>
        <v>1340</v>
      </c>
      <c r="B1345" s="54" t="s">
        <v>3792</v>
      </c>
      <c r="C1345" s="367" t="s">
        <v>5</v>
      </c>
      <c r="D1345" s="367" t="s">
        <v>262</v>
      </c>
      <c r="E1345" s="367"/>
      <c r="F1345" s="367"/>
      <c r="G1345" s="367"/>
      <c r="H1345" s="367"/>
      <c r="I1345" s="367"/>
      <c r="J1345" s="54" t="s">
        <v>3793</v>
      </c>
      <c r="K1345" s="48"/>
      <c r="L1345" s="367"/>
      <c r="M1345" s="150"/>
      <c r="N1345" s="367"/>
      <c r="O1345" s="367"/>
      <c r="P1345" s="367"/>
      <c r="Q1345" s="367"/>
      <c r="R1345" s="367"/>
      <c r="S1345" s="367"/>
      <c r="T1345" s="367"/>
      <c r="U1345" s="367"/>
      <c r="V1345" s="367"/>
      <c r="W1345" s="367"/>
      <c r="X1345" s="367"/>
      <c r="Y1345" s="367"/>
      <c r="Z1345" s="367"/>
      <c r="AA1345" s="367"/>
      <c r="AB1345" s="150"/>
      <c r="AC1345" s="48" t="s">
        <v>3794</v>
      </c>
      <c r="AD1345" s="150" t="s">
        <v>361</v>
      </c>
      <c r="AE1345" s="296">
        <v>46156</v>
      </c>
      <c r="AF1345" s="296"/>
      <c r="AG1345" s="286"/>
      <c r="AH1345" s="49"/>
      <c r="AI1345" s="266"/>
      <c r="AJ1345" s="150"/>
      <c r="AK1345" s="150"/>
      <c r="AL1345" s="150"/>
      <c r="AM1345" s="150"/>
      <c r="AN1345" s="367"/>
      <c r="AO1345" s="367"/>
      <c r="AP1345" s="367"/>
      <c r="AQ1345" s="367"/>
      <c r="AR1345" s="367"/>
      <c r="AS1345" s="367"/>
      <c r="AT1345" s="367"/>
      <c r="AU1345" s="367"/>
      <c r="AV1345" s="367"/>
      <c r="AW1345" s="367"/>
      <c r="AX1345" s="367"/>
      <c r="AY1345" s="367"/>
      <c r="AZ1345" s="367"/>
      <c r="BA1345" s="367"/>
      <c r="BB1345" s="152"/>
      <c r="BC1345" s="152"/>
      <c r="BD1345" s="367"/>
      <c r="BE1345" s="367"/>
      <c r="BF1345" s="367"/>
      <c r="BG1345" s="367"/>
      <c r="BH1345" s="260"/>
      <c r="BL1345" s="54"/>
    </row>
    <row r="1346" spans="1:64" ht="37.950000000000003" customHeight="1" x14ac:dyDescent="0.3">
      <c r="A1346" s="367">
        <f t="shared" si="24"/>
        <v>1341</v>
      </c>
      <c r="B1346" s="54" t="s">
        <v>3795</v>
      </c>
      <c r="C1346" s="367" t="s">
        <v>5</v>
      </c>
      <c r="D1346" s="367" t="s">
        <v>262</v>
      </c>
      <c r="E1346" s="367"/>
      <c r="F1346" s="367"/>
      <c r="G1346" s="367"/>
      <c r="H1346" s="367"/>
      <c r="I1346" s="367"/>
      <c r="J1346" s="54" t="s">
        <v>3796</v>
      </c>
      <c r="K1346" s="48"/>
      <c r="L1346" s="367"/>
      <c r="M1346" s="150"/>
      <c r="N1346" s="367"/>
      <c r="O1346" s="367"/>
      <c r="P1346" s="367"/>
      <c r="Q1346" s="367"/>
      <c r="R1346" s="367"/>
      <c r="S1346" s="367"/>
      <c r="T1346" s="367"/>
      <c r="U1346" s="367"/>
      <c r="V1346" s="367"/>
      <c r="W1346" s="367"/>
      <c r="X1346" s="367"/>
      <c r="Y1346" s="367"/>
      <c r="Z1346" s="367"/>
      <c r="AA1346" s="367"/>
      <c r="AB1346" s="150"/>
      <c r="AC1346" s="48" t="s">
        <v>3797</v>
      </c>
      <c r="AD1346" s="150" t="s">
        <v>361</v>
      </c>
      <c r="AE1346" s="296">
        <v>46156</v>
      </c>
      <c r="AF1346" s="296"/>
      <c r="AG1346" s="286"/>
      <c r="AH1346" s="49"/>
      <c r="AI1346" s="266"/>
      <c r="AJ1346" s="150"/>
      <c r="AK1346" s="150"/>
      <c r="AL1346" s="150"/>
      <c r="AM1346" s="150"/>
      <c r="AN1346" s="367"/>
      <c r="AO1346" s="367"/>
      <c r="AP1346" s="367"/>
      <c r="AQ1346" s="367"/>
      <c r="AR1346" s="367"/>
      <c r="AS1346" s="367"/>
      <c r="AT1346" s="367"/>
      <c r="AU1346" s="367"/>
      <c r="AV1346" s="367"/>
      <c r="AW1346" s="367"/>
      <c r="AX1346" s="367"/>
      <c r="AY1346" s="367"/>
      <c r="AZ1346" s="367"/>
      <c r="BA1346" s="367"/>
      <c r="BB1346" s="152"/>
      <c r="BC1346" s="152"/>
      <c r="BD1346" s="367"/>
      <c r="BE1346" s="367"/>
      <c r="BF1346" s="367"/>
      <c r="BG1346" s="367"/>
      <c r="BH1346" s="260"/>
      <c r="BL1346" s="54"/>
    </row>
    <row r="1347" spans="1:64" ht="37.950000000000003" customHeight="1" x14ac:dyDescent="0.3">
      <c r="A1347" s="367">
        <f t="shared" si="24"/>
        <v>1342</v>
      </c>
      <c r="B1347" s="54" t="s">
        <v>3798</v>
      </c>
      <c r="C1347" s="367" t="s">
        <v>6</v>
      </c>
      <c r="D1347" s="367" t="s">
        <v>262</v>
      </c>
      <c r="E1347" s="367"/>
      <c r="F1347" s="367"/>
      <c r="G1347" s="367"/>
      <c r="H1347" s="367"/>
      <c r="I1347" s="367" t="s">
        <v>3799</v>
      </c>
      <c r="J1347" s="54" t="s">
        <v>6</v>
      </c>
      <c r="K1347" s="48" t="s">
        <v>3800</v>
      </c>
      <c r="L1347" s="367"/>
      <c r="M1347" s="150"/>
      <c r="N1347" s="367"/>
      <c r="O1347" s="367"/>
      <c r="P1347" s="367"/>
      <c r="Q1347" s="367"/>
      <c r="R1347" s="367"/>
      <c r="S1347" s="367"/>
      <c r="T1347" s="367"/>
      <c r="U1347" s="367"/>
      <c r="V1347" s="367"/>
      <c r="W1347" s="367"/>
      <c r="X1347" s="367"/>
      <c r="Y1347" s="367"/>
      <c r="Z1347" s="367"/>
      <c r="AA1347" s="367"/>
      <c r="AB1347" s="150"/>
      <c r="AC1347" s="48" t="s">
        <v>3801</v>
      </c>
      <c r="AD1347" s="150" t="s">
        <v>169</v>
      </c>
      <c r="AE1347" s="296">
        <v>46157</v>
      </c>
      <c r="AF1347" s="296"/>
      <c r="AG1347" s="286"/>
      <c r="AH1347" s="49"/>
      <c r="AI1347" s="266"/>
      <c r="AJ1347" s="150" t="s">
        <v>617</v>
      </c>
      <c r="AK1347" s="150"/>
      <c r="AL1347" s="150"/>
      <c r="AM1347" s="150"/>
      <c r="AN1347" s="367"/>
      <c r="AO1347" s="367"/>
      <c r="AP1347" s="367"/>
      <c r="AQ1347" s="367"/>
      <c r="AR1347" s="367"/>
      <c r="AS1347" s="367"/>
      <c r="AT1347" s="367"/>
      <c r="AU1347" s="367"/>
      <c r="AV1347" s="367"/>
      <c r="AW1347" s="367"/>
      <c r="AX1347" s="367"/>
      <c r="AY1347" s="367"/>
      <c r="AZ1347" s="367"/>
      <c r="BA1347" s="367"/>
      <c r="BB1347" s="152"/>
      <c r="BC1347" s="152"/>
      <c r="BD1347" s="367" t="s">
        <v>2455</v>
      </c>
      <c r="BE1347" s="367"/>
      <c r="BF1347" s="367"/>
      <c r="BG1347" s="367"/>
      <c r="BH1347" s="260"/>
      <c r="BL1347" s="54"/>
    </row>
    <row r="1348" spans="1:64" ht="37.950000000000003" customHeight="1" x14ac:dyDescent="0.3">
      <c r="A1348" s="367">
        <f t="shared" si="24"/>
        <v>1343</v>
      </c>
      <c r="B1348" s="54" t="s">
        <v>3802</v>
      </c>
      <c r="C1348" s="367" t="s">
        <v>6</v>
      </c>
      <c r="D1348" s="367" t="s">
        <v>262</v>
      </c>
      <c r="E1348" s="367"/>
      <c r="F1348" s="367"/>
      <c r="G1348" s="367"/>
      <c r="H1348" s="367"/>
      <c r="I1348" s="367" t="s">
        <v>3799</v>
      </c>
      <c r="J1348" s="54" t="s">
        <v>6</v>
      </c>
      <c r="K1348" s="48" t="s">
        <v>3800</v>
      </c>
      <c r="L1348" s="367"/>
      <c r="M1348" s="150"/>
      <c r="N1348" s="367"/>
      <c r="O1348" s="367"/>
      <c r="P1348" s="367"/>
      <c r="Q1348" s="367"/>
      <c r="R1348" s="367"/>
      <c r="S1348" s="367"/>
      <c r="T1348" s="367"/>
      <c r="U1348" s="367"/>
      <c r="V1348" s="367"/>
      <c r="W1348" s="367"/>
      <c r="X1348" s="367"/>
      <c r="Y1348" s="367"/>
      <c r="Z1348" s="367"/>
      <c r="AA1348" s="367"/>
      <c r="AB1348" s="150"/>
      <c r="AC1348" s="48" t="s">
        <v>3803</v>
      </c>
      <c r="AD1348" s="150" t="s">
        <v>169</v>
      </c>
      <c r="AE1348" s="296">
        <v>46157</v>
      </c>
      <c r="AF1348" s="296"/>
      <c r="AG1348" s="286"/>
      <c r="AH1348" s="49"/>
      <c r="AI1348" s="266"/>
      <c r="AJ1348" s="150" t="s">
        <v>617</v>
      </c>
      <c r="AK1348" s="150"/>
      <c r="AL1348" s="150"/>
      <c r="AM1348" s="150"/>
      <c r="AN1348" s="367"/>
      <c r="AO1348" s="367"/>
      <c r="AP1348" s="367"/>
      <c r="AQ1348" s="367"/>
      <c r="AR1348" s="367"/>
      <c r="AS1348" s="367"/>
      <c r="AT1348" s="367"/>
      <c r="AU1348" s="367"/>
      <c r="AV1348" s="367"/>
      <c r="AW1348" s="367"/>
      <c r="AX1348" s="367"/>
      <c r="AY1348" s="367"/>
      <c r="AZ1348" s="367"/>
      <c r="BA1348" s="367"/>
      <c r="BB1348" s="152"/>
      <c r="BC1348" s="152"/>
      <c r="BD1348" s="367" t="s">
        <v>2455</v>
      </c>
      <c r="BE1348" s="367"/>
      <c r="BF1348" s="367"/>
      <c r="BG1348" s="367"/>
      <c r="BH1348" s="260"/>
      <c r="BL1348" s="54"/>
    </row>
    <row r="1349" spans="1:64" ht="37.950000000000003" customHeight="1" x14ac:dyDescent="0.3">
      <c r="A1349" s="367">
        <f t="shared" si="24"/>
        <v>1344</v>
      </c>
      <c r="B1349" s="54" t="s">
        <v>3804</v>
      </c>
      <c r="C1349" s="367" t="s">
        <v>6</v>
      </c>
      <c r="D1349" s="367" t="s">
        <v>262</v>
      </c>
      <c r="E1349" s="367"/>
      <c r="F1349" s="367"/>
      <c r="G1349" s="367"/>
      <c r="H1349" s="367"/>
      <c r="I1349" s="367" t="s">
        <v>3805</v>
      </c>
      <c r="J1349" s="54" t="s">
        <v>1524</v>
      </c>
      <c r="K1349" s="48" t="s">
        <v>3806</v>
      </c>
      <c r="L1349" s="367"/>
      <c r="M1349" s="150"/>
      <c r="N1349" s="367"/>
      <c r="O1349" s="367"/>
      <c r="P1349" s="367"/>
      <c r="Q1349" s="367"/>
      <c r="R1349" s="367"/>
      <c r="S1349" s="367"/>
      <c r="T1349" s="367"/>
      <c r="U1349" s="367"/>
      <c r="V1349" s="367"/>
      <c r="W1349" s="367"/>
      <c r="X1349" s="367"/>
      <c r="Y1349" s="367"/>
      <c r="Z1349" s="367" t="s">
        <v>127</v>
      </c>
      <c r="AA1349" s="367"/>
      <c r="AB1349" s="150"/>
      <c r="AC1349" s="48" t="s">
        <v>3807</v>
      </c>
      <c r="AD1349" s="150" t="s">
        <v>886</v>
      </c>
      <c r="AE1349" s="296">
        <v>46157</v>
      </c>
      <c r="AF1349" s="296"/>
      <c r="AG1349" s="286"/>
      <c r="AH1349" s="49"/>
      <c r="AI1349" s="266"/>
      <c r="AJ1349" s="150" t="s">
        <v>617</v>
      </c>
      <c r="AK1349" s="150"/>
      <c r="AL1349" s="150"/>
      <c r="AM1349" s="150"/>
      <c r="AN1349" s="367"/>
      <c r="AO1349" s="367"/>
      <c r="AP1349" s="367"/>
      <c r="AQ1349" s="367"/>
      <c r="AR1349" s="367"/>
      <c r="AS1349" s="367"/>
      <c r="AT1349" s="367"/>
      <c r="AU1349" s="367"/>
      <c r="AV1349" s="367"/>
      <c r="AW1349" s="367"/>
      <c r="AX1349" s="367"/>
      <c r="AY1349" s="367"/>
      <c r="AZ1349" s="367"/>
      <c r="BA1349" s="367"/>
      <c r="BB1349" s="152"/>
      <c r="BC1349" s="152"/>
      <c r="BD1349" s="367" t="s">
        <v>2455</v>
      </c>
      <c r="BE1349" s="367"/>
      <c r="BF1349" s="367"/>
      <c r="BG1349" s="367"/>
      <c r="BH1349" s="260"/>
      <c r="BL1349" s="54"/>
    </row>
    <row r="1350" spans="1:64" ht="37.950000000000003" customHeight="1" x14ac:dyDescent="0.3">
      <c r="A1350" s="367">
        <f t="shared" si="24"/>
        <v>1345</v>
      </c>
      <c r="B1350" s="54" t="s">
        <v>3808</v>
      </c>
      <c r="C1350" s="367" t="s">
        <v>6</v>
      </c>
      <c r="D1350" s="367" t="s">
        <v>262</v>
      </c>
      <c r="E1350" s="367"/>
      <c r="F1350" s="367"/>
      <c r="G1350" s="367"/>
      <c r="H1350" s="367"/>
      <c r="I1350" s="367" t="s">
        <v>3805</v>
      </c>
      <c r="J1350" s="54" t="s">
        <v>1524</v>
      </c>
      <c r="K1350" s="48" t="s">
        <v>3806</v>
      </c>
      <c r="L1350" s="367"/>
      <c r="M1350" s="150"/>
      <c r="N1350" s="367"/>
      <c r="O1350" s="367"/>
      <c r="P1350" s="367"/>
      <c r="Q1350" s="367"/>
      <c r="R1350" s="367"/>
      <c r="S1350" s="367"/>
      <c r="T1350" s="367"/>
      <c r="U1350" s="367"/>
      <c r="V1350" s="367"/>
      <c r="W1350" s="367"/>
      <c r="X1350" s="367"/>
      <c r="Y1350" s="367"/>
      <c r="Z1350" s="367" t="s">
        <v>127</v>
      </c>
      <c r="AA1350" s="367"/>
      <c r="AB1350" s="150"/>
      <c r="AC1350" s="48" t="s">
        <v>3807</v>
      </c>
      <c r="AD1350" s="150" t="s">
        <v>886</v>
      </c>
      <c r="AE1350" s="296">
        <v>46157</v>
      </c>
      <c r="AF1350" s="296"/>
      <c r="AG1350" s="286"/>
      <c r="AH1350" s="49"/>
      <c r="AI1350" s="266"/>
      <c r="AJ1350" s="150" t="s">
        <v>617</v>
      </c>
      <c r="AK1350" s="150"/>
      <c r="AL1350" s="150"/>
      <c r="AM1350" s="150"/>
      <c r="AN1350" s="367"/>
      <c r="AO1350" s="367"/>
      <c r="AP1350" s="367"/>
      <c r="AQ1350" s="367"/>
      <c r="AR1350" s="367"/>
      <c r="AS1350" s="367"/>
      <c r="AT1350" s="367"/>
      <c r="AU1350" s="367"/>
      <c r="AV1350" s="367"/>
      <c r="AW1350" s="367"/>
      <c r="AX1350" s="367"/>
      <c r="AY1350" s="367"/>
      <c r="AZ1350" s="367"/>
      <c r="BA1350" s="367"/>
      <c r="BB1350" s="152"/>
      <c r="BC1350" s="152"/>
      <c r="BD1350" s="367" t="s">
        <v>2455</v>
      </c>
      <c r="BE1350" s="367"/>
      <c r="BF1350" s="367"/>
      <c r="BG1350" s="367"/>
      <c r="BH1350" s="260"/>
      <c r="BL1350" s="54"/>
    </row>
    <row r="1351" spans="1:64" ht="37.950000000000003" customHeight="1" x14ac:dyDescent="0.3">
      <c r="A1351" s="367">
        <f t="shared" si="24"/>
        <v>1346</v>
      </c>
      <c r="B1351" s="54" t="s">
        <v>3809</v>
      </c>
      <c r="C1351" s="367" t="s">
        <v>6</v>
      </c>
      <c r="D1351" s="367" t="s">
        <v>262</v>
      </c>
      <c r="E1351" s="367"/>
      <c r="F1351" s="367"/>
      <c r="G1351" s="367"/>
      <c r="H1351" s="367"/>
      <c r="I1351" s="367" t="s">
        <v>3810</v>
      </c>
      <c r="J1351" s="54" t="s">
        <v>1524</v>
      </c>
      <c r="K1351" s="48" t="s">
        <v>3806</v>
      </c>
      <c r="L1351" s="367"/>
      <c r="M1351" s="150"/>
      <c r="N1351" s="367"/>
      <c r="O1351" s="367"/>
      <c r="P1351" s="367"/>
      <c r="Q1351" s="367"/>
      <c r="R1351" s="367"/>
      <c r="S1351" s="367"/>
      <c r="T1351" s="367"/>
      <c r="U1351" s="367"/>
      <c r="V1351" s="367"/>
      <c r="W1351" s="367"/>
      <c r="X1351" s="367"/>
      <c r="Y1351" s="367"/>
      <c r="Z1351" s="367" t="s">
        <v>127</v>
      </c>
      <c r="AA1351" s="367"/>
      <c r="AB1351" s="150"/>
      <c r="AC1351" s="48" t="s">
        <v>3811</v>
      </c>
      <c r="AD1351" s="150" t="s">
        <v>886</v>
      </c>
      <c r="AE1351" s="296">
        <v>46157</v>
      </c>
      <c r="AF1351" s="296"/>
      <c r="AG1351" s="286"/>
      <c r="AH1351" s="49"/>
      <c r="AI1351" s="266"/>
      <c r="AJ1351" s="150" t="s">
        <v>617</v>
      </c>
      <c r="AK1351" s="150"/>
      <c r="AL1351" s="150"/>
      <c r="AM1351" s="150"/>
      <c r="AN1351" s="367"/>
      <c r="AO1351" s="367"/>
      <c r="AP1351" s="367"/>
      <c r="AQ1351" s="367"/>
      <c r="AR1351" s="367"/>
      <c r="AS1351" s="367"/>
      <c r="AT1351" s="367"/>
      <c r="AU1351" s="367"/>
      <c r="AV1351" s="367"/>
      <c r="AW1351" s="367"/>
      <c r="AX1351" s="367"/>
      <c r="AY1351" s="367"/>
      <c r="AZ1351" s="367"/>
      <c r="BA1351" s="367"/>
      <c r="BB1351" s="152"/>
      <c r="BC1351" s="152"/>
      <c r="BD1351" s="367" t="s">
        <v>2455</v>
      </c>
      <c r="BE1351" s="367"/>
      <c r="BF1351" s="367"/>
      <c r="BG1351" s="367"/>
      <c r="BH1351" s="260"/>
      <c r="BL1351" s="54"/>
    </row>
    <row r="1352" spans="1:64" ht="37.950000000000003" customHeight="1" x14ac:dyDescent="0.3">
      <c r="A1352" s="367">
        <f t="shared" si="24"/>
        <v>1347</v>
      </c>
      <c r="B1352" s="54" t="s">
        <v>3812</v>
      </c>
      <c r="C1352" s="367" t="s">
        <v>6</v>
      </c>
      <c r="D1352" s="367" t="s">
        <v>262</v>
      </c>
      <c r="E1352" s="367"/>
      <c r="F1352" s="367"/>
      <c r="G1352" s="367"/>
      <c r="H1352" s="367"/>
      <c r="I1352" s="367" t="s">
        <v>3810</v>
      </c>
      <c r="J1352" s="54" t="s">
        <v>1524</v>
      </c>
      <c r="K1352" s="48" t="s">
        <v>3806</v>
      </c>
      <c r="L1352" s="367"/>
      <c r="M1352" s="150"/>
      <c r="N1352" s="367"/>
      <c r="O1352" s="367"/>
      <c r="P1352" s="367"/>
      <c r="Q1352" s="367"/>
      <c r="R1352" s="367"/>
      <c r="S1352" s="367"/>
      <c r="T1352" s="367"/>
      <c r="U1352" s="367"/>
      <c r="V1352" s="367"/>
      <c r="W1352" s="367"/>
      <c r="X1352" s="367"/>
      <c r="Y1352" s="367"/>
      <c r="Z1352" s="367" t="s">
        <v>127</v>
      </c>
      <c r="AA1352" s="367"/>
      <c r="AB1352" s="150"/>
      <c r="AC1352" s="48" t="s">
        <v>3811</v>
      </c>
      <c r="AD1352" s="150" t="s">
        <v>886</v>
      </c>
      <c r="AE1352" s="296">
        <v>46157</v>
      </c>
      <c r="AF1352" s="296"/>
      <c r="AG1352" s="286"/>
      <c r="AH1352" s="49"/>
      <c r="AI1352" s="266"/>
      <c r="AJ1352" s="150" t="s">
        <v>617</v>
      </c>
      <c r="AK1352" s="150"/>
      <c r="AL1352" s="150"/>
      <c r="AM1352" s="150"/>
      <c r="AN1352" s="367"/>
      <c r="AO1352" s="367"/>
      <c r="AP1352" s="367"/>
      <c r="AQ1352" s="367"/>
      <c r="AR1352" s="367"/>
      <c r="AS1352" s="367"/>
      <c r="AT1352" s="367"/>
      <c r="AU1352" s="367"/>
      <c r="AV1352" s="367"/>
      <c r="AW1352" s="367"/>
      <c r="AX1352" s="367"/>
      <c r="AY1352" s="367"/>
      <c r="AZ1352" s="367"/>
      <c r="BA1352" s="367"/>
      <c r="BB1352" s="152"/>
      <c r="BC1352" s="152"/>
      <c r="BD1352" s="367" t="s">
        <v>2455</v>
      </c>
      <c r="BE1352" s="367"/>
      <c r="BF1352" s="367"/>
      <c r="BG1352" s="367"/>
      <c r="BH1352" s="260"/>
      <c r="BL1352" s="54"/>
    </row>
    <row r="1353" spans="1:64" ht="37.950000000000003" customHeight="1" x14ac:dyDescent="0.3">
      <c r="A1353" s="367">
        <f t="shared" si="24"/>
        <v>1348</v>
      </c>
      <c r="B1353" s="54" t="s">
        <v>3813</v>
      </c>
      <c r="C1353" s="367" t="s">
        <v>6</v>
      </c>
      <c r="D1353" s="367" t="s">
        <v>262</v>
      </c>
      <c r="E1353" s="367"/>
      <c r="F1353" s="367"/>
      <c r="G1353" s="367"/>
      <c r="H1353" s="367"/>
      <c r="I1353" s="367" t="s">
        <v>3814</v>
      </c>
      <c r="J1353" s="54" t="s">
        <v>2789</v>
      </c>
      <c r="K1353" s="48" t="s">
        <v>3815</v>
      </c>
      <c r="L1353" s="367"/>
      <c r="M1353" s="150"/>
      <c r="N1353" s="367"/>
      <c r="O1353" s="367"/>
      <c r="P1353" s="367"/>
      <c r="Q1353" s="367"/>
      <c r="R1353" s="367"/>
      <c r="S1353" s="367"/>
      <c r="T1353" s="367"/>
      <c r="U1353" s="367"/>
      <c r="V1353" s="367"/>
      <c r="W1353" s="367"/>
      <c r="X1353" s="367"/>
      <c r="Y1353" s="367"/>
      <c r="Z1353" s="367" t="s">
        <v>127</v>
      </c>
      <c r="AA1353" s="367"/>
      <c r="AB1353" s="150"/>
      <c r="AC1353" s="48" t="s">
        <v>3816</v>
      </c>
      <c r="AD1353" s="150" t="s">
        <v>886</v>
      </c>
      <c r="AE1353" s="296">
        <v>46157</v>
      </c>
      <c r="AF1353" s="296"/>
      <c r="AG1353" s="286"/>
      <c r="AH1353" s="49"/>
      <c r="AI1353" s="266"/>
      <c r="AJ1353" s="150" t="s">
        <v>617</v>
      </c>
      <c r="AK1353" s="150"/>
      <c r="AL1353" s="150"/>
      <c r="AM1353" s="150"/>
      <c r="AN1353" s="367"/>
      <c r="AO1353" s="367"/>
      <c r="AP1353" s="367"/>
      <c r="AQ1353" s="367"/>
      <c r="AR1353" s="367"/>
      <c r="AS1353" s="367"/>
      <c r="AT1353" s="367"/>
      <c r="AU1353" s="367"/>
      <c r="AV1353" s="367"/>
      <c r="AW1353" s="367"/>
      <c r="AX1353" s="367"/>
      <c r="AY1353" s="367"/>
      <c r="AZ1353" s="367"/>
      <c r="BA1353" s="367"/>
      <c r="BB1353" s="152"/>
      <c r="BC1353" s="152"/>
      <c r="BD1353" s="367" t="s">
        <v>2455</v>
      </c>
      <c r="BE1353" s="367"/>
      <c r="BF1353" s="367"/>
      <c r="BG1353" s="367"/>
      <c r="BH1353" s="260"/>
      <c r="BL1353" s="54"/>
    </row>
    <row r="1354" spans="1:64" ht="37.950000000000003" customHeight="1" x14ac:dyDescent="0.3">
      <c r="A1354" s="367">
        <f t="shared" si="24"/>
        <v>1349</v>
      </c>
      <c r="B1354" s="54" t="s">
        <v>3817</v>
      </c>
      <c r="C1354" s="367" t="s">
        <v>6</v>
      </c>
      <c r="D1354" s="367" t="s">
        <v>262</v>
      </c>
      <c r="E1354" s="367"/>
      <c r="F1354" s="367"/>
      <c r="G1354" s="367"/>
      <c r="H1354" s="367"/>
      <c r="I1354" s="367" t="s">
        <v>3814</v>
      </c>
      <c r="J1354" s="54" t="s">
        <v>2789</v>
      </c>
      <c r="K1354" s="48" t="s">
        <v>3815</v>
      </c>
      <c r="L1354" s="367"/>
      <c r="M1354" s="150"/>
      <c r="N1354" s="367"/>
      <c r="O1354" s="367"/>
      <c r="P1354" s="367"/>
      <c r="Q1354" s="367"/>
      <c r="R1354" s="367"/>
      <c r="S1354" s="367"/>
      <c r="T1354" s="367"/>
      <c r="U1354" s="367"/>
      <c r="V1354" s="367"/>
      <c r="W1354" s="367"/>
      <c r="X1354" s="367"/>
      <c r="Y1354" s="367"/>
      <c r="Z1354" s="367" t="s">
        <v>127</v>
      </c>
      <c r="AA1354" s="367"/>
      <c r="AB1354" s="150"/>
      <c r="AC1354" s="48" t="s">
        <v>3816</v>
      </c>
      <c r="AD1354" s="150" t="s">
        <v>886</v>
      </c>
      <c r="AE1354" s="296">
        <v>46157</v>
      </c>
      <c r="AF1354" s="296"/>
      <c r="AG1354" s="286"/>
      <c r="AH1354" s="49"/>
      <c r="AI1354" s="266"/>
      <c r="AJ1354" s="150" t="s">
        <v>617</v>
      </c>
      <c r="AK1354" s="150"/>
      <c r="AL1354" s="150"/>
      <c r="AM1354" s="150"/>
      <c r="AN1354" s="367"/>
      <c r="AO1354" s="367"/>
      <c r="AP1354" s="367"/>
      <c r="AQ1354" s="367"/>
      <c r="AR1354" s="367"/>
      <c r="AS1354" s="367"/>
      <c r="AT1354" s="367"/>
      <c r="AU1354" s="367"/>
      <c r="AV1354" s="367"/>
      <c r="AW1354" s="367"/>
      <c r="AX1354" s="367"/>
      <c r="AY1354" s="367"/>
      <c r="AZ1354" s="367"/>
      <c r="BA1354" s="367"/>
      <c r="BB1354" s="152"/>
      <c r="BC1354" s="152"/>
      <c r="BD1354" s="367" t="s">
        <v>2455</v>
      </c>
      <c r="BE1354" s="367"/>
      <c r="BF1354" s="367"/>
      <c r="BG1354" s="367"/>
      <c r="BH1354" s="260"/>
      <c r="BL1354" s="54"/>
    </row>
    <row r="1355" spans="1:64" ht="37.950000000000003" customHeight="1" x14ac:dyDescent="0.3">
      <c r="A1355" s="367">
        <f t="shared" si="24"/>
        <v>1350</v>
      </c>
      <c r="B1355" s="54" t="s">
        <v>3818</v>
      </c>
      <c r="C1355" s="367" t="s">
        <v>6</v>
      </c>
      <c r="D1355" s="367" t="s">
        <v>262</v>
      </c>
      <c r="E1355" s="367"/>
      <c r="F1355" s="367"/>
      <c r="G1355" s="367"/>
      <c r="H1355" s="367"/>
      <c r="I1355" s="367" t="s">
        <v>3819</v>
      </c>
      <c r="J1355" s="54" t="s">
        <v>2789</v>
      </c>
      <c r="K1355" s="48" t="s">
        <v>3815</v>
      </c>
      <c r="L1355" s="367"/>
      <c r="M1355" s="150"/>
      <c r="N1355" s="367"/>
      <c r="O1355" s="367"/>
      <c r="P1355" s="367"/>
      <c r="Q1355" s="367"/>
      <c r="R1355" s="367"/>
      <c r="S1355" s="367"/>
      <c r="T1355" s="367"/>
      <c r="U1355" s="367"/>
      <c r="V1355" s="367"/>
      <c r="W1355" s="367"/>
      <c r="X1355" s="367"/>
      <c r="Y1355" s="367"/>
      <c r="Z1355" s="367" t="s">
        <v>127</v>
      </c>
      <c r="AA1355" s="367"/>
      <c r="AB1355" s="150"/>
      <c r="AC1355" s="48" t="s">
        <v>3820</v>
      </c>
      <c r="AD1355" s="150" t="s">
        <v>886</v>
      </c>
      <c r="AE1355" s="296">
        <v>46157</v>
      </c>
      <c r="AF1355" s="296"/>
      <c r="AG1355" s="286"/>
      <c r="AH1355" s="49"/>
      <c r="AI1355" s="266"/>
      <c r="AJ1355" s="150" t="s">
        <v>617</v>
      </c>
      <c r="AK1355" s="150"/>
      <c r="AL1355" s="150"/>
      <c r="AM1355" s="150"/>
      <c r="AN1355" s="367"/>
      <c r="AO1355" s="367"/>
      <c r="AP1355" s="367"/>
      <c r="AQ1355" s="367"/>
      <c r="AR1355" s="367"/>
      <c r="AS1355" s="367"/>
      <c r="AT1355" s="367"/>
      <c r="AU1355" s="367"/>
      <c r="AV1355" s="367"/>
      <c r="AW1355" s="367"/>
      <c r="AX1355" s="367"/>
      <c r="AY1355" s="367"/>
      <c r="AZ1355" s="367"/>
      <c r="BA1355" s="367"/>
      <c r="BB1355" s="152"/>
      <c r="BC1355" s="152"/>
      <c r="BD1355" s="367" t="s">
        <v>2455</v>
      </c>
      <c r="BE1355" s="367"/>
      <c r="BF1355" s="367"/>
      <c r="BG1355" s="367"/>
      <c r="BH1355" s="260"/>
      <c r="BL1355" s="54"/>
    </row>
    <row r="1356" spans="1:64" ht="37.950000000000003" customHeight="1" x14ac:dyDescent="0.3">
      <c r="A1356" s="367">
        <f t="shared" si="24"/>
        <v>1351</v>
      </c>
      <c r="B1356" s="54" t="s">
        <v>3821</v>
      </c>
      <c r="C1356" s="367" t="s">
        <v>6</v>
      </c>
      <c r="D1356" s="367" t="s">
        <v>262</v>
      </c>
      <c r="E1356" s="367"/>
      <c r="F1356" s="367"/>
      <c r="G1356" s="367"/>
      <c r="H1356" s="367"/>
      <c r="I1356" s="367" t="s">
        <v>3819</v>
      </c>
      <c r="J1356" s="54" t="s">
        <v>2789</v>
      </c>
      <c r="K1356" s="48" t="s">
        <v>3815</v>
      </c>
      <c r="L1356" s="367"/>
      <c r="M1356" s="150"/>
      <c r="N1356" s="367"/>
      <c r="O1356" s="367"/>
      <c r="P1356" s="367"/>
      <c r="Q1356" s="367"/>
      <c r="R1356" s="367"/>
      <c r="S1356" s="367"/>
      <c r="T1356" s="367"/>
      <c r="U1356" s="367"/>
      <c r="V1356" s="367"/>
      <c r="W1356" s="367"/>
      <c r="X1356" s="367"/>
      <c r="Y1356" s="367"/>
      <c r="Z1356" s="367" t="s">
        <v>127</v>
      </c>
      <c r="AA1356" s="367"/>
      <c r="AB1356" s="150"/>
      <c r="AC1356" s="48" t="s">
        <v>3820</v>
      </c>
      <c r="AD1356" s="150" t="s">
        <v>886</v>
      </c>
      <c r="AE1356" s="296">
        <v>46157</v>
      </c>
      <c r="AF1356" s="296"/>
      <c r="AG1356" s="286"/>
      <c r="AH1356" s="49"/>
      <c r="AI1356" s="266"/>
      <c r="AJ1356" s="150" t="s">
        <v>617</v>
      </c>
      <c r="AK1356" s="150"/>
      <c r="AL1356" s="150"/>
      <c r="AM1356" s="150"/>
      <c r="AN1356" s="367"/>
      <c r="AO1356" s="367"/>
      <c r="AP1356" s="367"/>
      <c r="AQ1356" s="367"/>
      <c r="AR1356" s="367"/>
      <c r="AS1356" s="367"/>
      <c r="AT1356" s="367"/>
      <c r="AU1356" s="367"/>
      <c r="AV1356" s="367"/>
      <c r="AW1356" s="367"/>
      <c r="AX1356" s="367"/>
      <c r="AY1356" s="367"/>
      <c r="AZ1356" s="367"/>
      <c r="BA1356" s="367"/>
      <c r="BB1356" s="152"/>
      <c r="BC1356" s="152"/>
      <c r="BD1356" s="367" t="s">
        <v>2455</v>
      </c>
      <c r="BE1356" s="367"/>
      <c r="BF1356" s="367"/>
      <c r="BG1356" s="367"/>
      <c r="BH1356" s="260"/>
      <c r="BL1356" s="54"/>
    </row>
    <row r="1357" spans="1:64" ht="37.950000000000003" customHeight="1" x14ac:dyDescent="0.3">
      <c r="A1357" s="367">
        <f t="shared" si="24"/>
        <v>1352</v>
      </c>
      <c r="B1357" s="54" t="s">
        <v>3822</v>
      </c>
      <c r="C1357" s="367" t="s">
        <v>6</v>
      </c>
      <c r="D1357" s="367" t="s">
        <v>262</v>
      </c>
      <c r="E1357" s="367"/>
      <c r="F1357" s="367"/>
      <c r="G1357" s="367"/>
      <c r="H1357" s="367"/>
      <c r="I1357" s="367" t="s">
        <v>3823</v>
      </c>
      <c r="J1357" s="54" t="s">
        <v>1524</v>
      </c>
      <c r="K1357" s="48" t="s">
        <v>3806</v>
      </c>
      <c r="L1357" s="367"/>
      <c r="M1357" s="150"/>
      <c r="N1357" s="367"/>
      <c r="O1357" s="367"/>
      <c r="P1357" s="367"/>
      <c r="Q1357" s="367"/>
      <c r="R1357" s="367"/>
      <c r="S1357" s="367"/>
      <c r="T1357" s="367"/>
      <c r="U1357" s="367"/>
      <c r="V1357" s="367"/>
      <c r="W1357" s="367"/>
      <c r="X1357" s="367"/>
      <c r="Y1357" s="367"/>
      <c r="Z1357" s="367" t="s">
        <v>127</v>
      </c>
      <c r="AA1357" s="367"/>
      <c r="AB1357" s="150"/>
      <c r="AC1357" s="48" t="s">
        <v>3824</v>
      </c>
      <c r="AD1357" s="150" t="s">
        <v>1079</v>
      </c>
      <c r="AE1357" s="296">
        <v>46157</v>
      </c>
      <c r="AF1357" s="296"/>
      <c r="AG1357" s="286"/>
      <c r="AH1357" s="49"/>
      <c r="AI1357" s="266"/>
      <c r="AJ1357" s="150" t="s">
        <v>617</v>
      </c>
      <c r="AK1357" s="150"/>
      <c r="AL1357" s="150"/>
      <c r="AM1357" s="150"/>
      <c r="AN1357" s="367"/>
      <c r="AO1357" s="367"/>
      <c r="AP1357" s="367"/>
      <c r="AQ1357" s="367"/>
      <c r="AR1357" s="367"/>
      <c r="AS1357" s="367"/>
      <c r="AT1357" s="367"/>
      <c r="AU1357" s="367"/>
      <c r="AV1357" s="367"/>
      <c r="AW1357" s="367"/>
      <c r="AX1357" s="367"/>
      <c r="AY1357" s="367"/>
      <c r="AZ1357" s="367"/>
      <c r="BA1357" s="367"/>
      <c r="BB1357" s="152"/>
      <c r="BC1357" s="152"/>
      <c r="BD1357" s="367" t="s">
        <v>2455</v>
      </c>
      <c r="BE1357" s="367"/>
      <c r="BF1357" s="367"/>
      <c r="BG1357" s="367"/>
      <c r="BH1357" s="260"/>
      <c r="BL1357" s="54"/>
    </row>
    <row r="1358" spans="1:64" ht="37.950000000000003" customHeight="1" x14ac:dyDescent="0.3">
      <c r="A1358" s="367">
        <f t="shared" si="24"/>
        <v>1353</v>
      </c>
      <c r="B1358" s="54" t="s">
        <v>3825</v>
      </c>
      <c r="C1358" s="367" t="s">
        <v>6</v>
      </c>
      <c r="D1358" s="367" t="s">
        <v>262</v>
      </c>
      <c r="E1358" s="367"/>
      <c r="F1358" s="367"/>
      <c r="G1358" s="367"/>
      <c r="H1358" s="367"/>
      <c r="I1358" s="367" t="s">
        <v>3823</v>
      </c>
      <c r="J1358" s="54" t="s">
        <v>1524</v>
      </c>
      <c r="K1358" s="48" t="s">
        <v>3806</v>
      </c>
      <c r="L1358" s="367"/>
      <c r="M1358" s="150"/>
      <c r="N1358" s="367"/>
      <c r="O1358" s="367"/>
      <c r="P1358" s="367"/>
      <c r="Q1358" s="367"/>
      <c r="R1358" s="367"/>
      <c r="S1358" s="367"/>
      <c r="T1358" s="367"/>
      <c r="U1358" s="367"/>
      <c r="V1358" s="367"/>
      <c r="W1358" s="367"/>
      <c r="X1358" s="367"/>
      <c r="Y1358" s="367"/>
      <c r="Z1358" s="367" t="s">
        <v>127</v>
      </c>
      <c r="AA1358" s="367"/>
      <c r="AB1358" s="150"/>
      <c r="AC1358" s="48" t="s">
        <v>3824</v>
      </c>
      <c r="AD1358" s="150" t="s">
        <v>1079</v>
      </c>
      <c r="AE1358" s="296">
        <v>46157</v>
      </c>
      <c r="AF1358" s="296"/>
      <c r="AG1358" s="286"/>
      <c r="AH1358" s="49"/>
      <c r="AI1358" s="266"/>
      <c r="AJ1358" s="150" t="s">
        <v>617</v>
      </c>
      <c r="AK1358" s="150"/>
      <c r="AL1358" s="150"/>
      <c r="AM1358" s="150"/>
      <c r="AN1358" s="367"/>
      <c r="AO1358" s="367"/>
      <c r="AP1358" s="367"/>
      <c r="AQ1358" s="367"/>
      <c r="AR1358" s="367"/>
      <c r="AS1358" s="367"/>
      <c r="AT1358" s="367"/>
      <c r="AU1358" s="367"/>
      <c r="AV1358" s="367"/>
      <c r="AW1358" s="367"/>
      <c r="AX1358" s="367"/>
      <c r="AY1358" s="367"/>
      <c r="AZ1358" s="367"/>
      <c r="BA1358" s="367"/>
      <c r="BB1358" s="152"/>
      <c r="BC1358" s="152"/>
      <c r="BD1358" s="367" t="s">
        <v>2455</v>
      </c>
      <c r="BE1358" s="367"/>
      <c r="BF1358" s="367"/>
      <c r="BG1358" s="367"/>
      <c r="BH1358" s="260"/>
      <c r="BL1358" s="54"/>
    </row>
    <row r="1359" spans="1:64" ht="37.950000000000003" customHeight="1" x14ac:dyDescent="0.3">
      <c r="A1359" s="367">
        <f t="shared" si="24"/>
        <v>1354</v>
      </c>
      <c r="B1359" s="54" t="s">
        <v>3826</v>
      </c>
      <c r="C1359" s="367" t="s">
        <v>6</v>
      </c>
      <c r="D1359" s="367" t="s">
        <v>262</v>
      </c>
      <c r="E1359" s="367"/>
      <c r="F1359" s="367"/>
      <c r="G1359" s="367"/>
      <c r="H1359" s="367"/>
      <c r="I1359" s="367" t="s">
        <v>3827</v>
      </c>
      <c r="J1359" s="54" t="s">
        <v>2789</v>
      </c>
      <c r="K1359" s="48" t="s">
        <v>3815</v>
      </c>
      <c r="L1359" s="367"/>
      <c r="M1359" s="150"/>
      <c r="N1359" s="367"/>
      <c r="O1359" s="367"/>
      <c r="P1359" s="367"/>
      <c r="Q1359" s="367"/>
      <c r="R1359" s="367"/>
      <c r="S1359" s="367"/>
      <c r="T1359" s="367"/>
      <c r="U1359" s="367"/>
      <c r="V1359" s="367"/>
      <c r="W1359" s="367"/>
      <c r="X1359" s="367"/>
      <c r="Y1359" s="367"/>
      <c r="Z1359" s="367" t="s">
        <v>127</v>
      </c>
      <c r="AA1359" s="367"/>
      <c r="AB1359" s="150"/>
      <c r="AC1359" s="48" t="s">
        <v>3828</v>
      </c>
      <c r="AD1359" s="150" t="s">
        <v>1079</v>
      </c>
      <c r="AE1359" s="296">
        <v>46157</v>
      </c>
      <c r="AF1359" s="296"/>
      <c r="AG1359" s="286"/>
      <c r="AH1359" s="49"/>
      <c r="AI1359" s="266"/>
      <c r="AJ1359" s="150" t="s">
        <v>617</v>
      </c>
      <c r="AK1359" s="150"/>
      <c r="AL1359" s="150"/>
      <c r="AM1359" s="150"/>
      <c r="AN1359" s="367"/>
      <c r="AO1359" s="367"/>
      <c r="AP1359" s="367"/>
      <c r="AQ1359" s="367"/>
      <c r="AR1359" s="367"/>
      <c r="AS1359" s="367"/>
      <c r="AT1359" s="367"/>
      <c r="AU1359" s="367"/>
      <c r="AV1359" s="367"/>
      <c r="AW1359" s="367"/>
      <c r="AX1359" s="367"/>
      <c r="AY1359" s="367"/>
      <c r="AZ1359" s="367"/>
      <c r="BA1359" s="367"/>
      <c r="BB1359" s="152"/>
      <c r="BC1359" s="152"/>
      <c r="BD1359" s="367" t="s">
        <v>2455</v>
      </c>
      <c r="BE1359" s="367"/>
      <c r="BF1359" s="367"/>
      <c r="BG1359" s="367"/>
      <c r="BH1359" s="260"/>
      <c r="BL1359" s="54"/>
    </row>
    <row r="1360" spans="1:64" ht="37.950000000000003" customHeight="1" x14ac:dyDescent="0.3">
      <c r="A1360" s="367">
        <f t="shared" si="24"/>
        <v>1355</v>
      </c>
      <c r="B1360" s="54" t="s">
        <v>3829</v>
      </c>
      <c r="C1360" s="367" t="s">
        <v>6</v>
      </c>
      <c r="D1360" s="367" t="s">
        <v>262</v>
      </c>
      <c r="E1360" s="367"/>
      <c r="F1360" s="367"/>
      <c r="G1360" s="367"/>
      <c r="H1360" s="367"/>
      <c r="I1360" s="367" t="s">
        <v>3827</v>
      </c>
      <c r="J1360" s="54" t="s">
        <v>2789</v>
      </c>
      <c r="K1360" s="48" t="s">
        <v>3815</v>
      </c>
      <c r="L1360" s="367"/>
      <c r="M1360" s="150"/>
      <c r="N1360" s="367"/>
      <c r="O1360" s="367"/>
      <c r="P1360" s="367"/>
      <c r="Q1360" s="367"/>
      <c r="R1360" s="367"/>
      <c r="S1360" s="367"/>
      <c r="T1360" s="367"/>
      <c r="U1360" s="367"/>
      <c r="V1360" s="367"/>
      <c r="W1360" s="367"/>
      <c r="X1360" s="367"/>
      <c r="Y1360" s="367"/>
      <c r="Z1360" s="367" t="s">
        <v>127</v>
      </c>
      <c r="AA1360" s="367"/>
      <c r="AB1360" s="150"/>
      <c r="AC1360" s="48" t="s">
        <v>3828</v>
      </c>
      <c r="AD1360" s="150" t="s">
        <v>1079</v>
      </c>
      <c r="AE1360" s="296">
        <v>46157</v>
      </c>
      <c r="AF1360" s="296"/>
      <c r="AG1360" s="286"/>
      <c r="AH1360" s="49"/>
      <c r="AI1360" s="266"/>
      <c r="AJ1360" s="150" t="s">
        <v>617</v>
      </c>
      <c r="AK1360" s="150"/>
      <c r="AL1360" s="150"/>
      <c r="AM1360" s="150"/>
      <c r="AN1360" s="367"/>
      <c r="AO1360" s="367"/>
      <c r="AP1360" s="367"/>
      <c r="AQ1360" s="367"/>
      <c r="AR1360" s="367"/>
      <c r="AS1360" s="367"/>
      <c r="AT1360" s="367"/>
      <c r="AU1360" s="367"/>
      <c r="AV1360" s="367"/>
      <c r="AW1360" s="367"/>
      <c r="AX1360" s="367"/>
      <c r="AY1360" s="367"/>
      <c r="AZ1360" s="367"/>
      <c r="BA1360" s="367"/>
      <c r="BB1360" s="152"/>
      <c r="BC1360" s="152"/>
      <c r="BD1360" s="367" t="s">
        <v>2455</v>
      </c>
      <c r="BE1360" s="367"/>
      <c r="BF1360" s="367"/>
      <c r="BG1360" s="367"/>
      <c r="BH1360" s="260"/>
      <c r="BL1360" s="54"/>
    </row>
    <row r="1361" spans="1:64" ht="37.950000000000003" customHeight="1" x14ac:dyDescent="0.3">
      <c r="A1361" s="367">
        <f t="shared" si="24"/>
        <v>1356</v>
      </c>
      <c r="B1361" s="54" t="s">
        <v>3830</v>
      </c>
      <c r="C1361" s="367" t="s">
        <v>6</v>
      </c>
      <c r="D1361" s="367" t="s">
        <v>262</v>
      </c>
      <c r="E1361" s="367"/>
      <c r="F1361" s="367"/>
      <c r="G1361" s="367"/>
      <c r="H1361" s="367"/>
      <c r="I1361" s="367" t="s">
        <v>3831</v>
      </c>
      <c r="J1361" s="54" t="s">
        <v>2789</v>
      </c>
      <c r="K1361" s="48" t="s">
        <v>3815</v>
      </c>
      <c r="L1361" s="367"/>
      <c r="M1361" s="150"/>
      <c r="N1361" s="367"/>
      <c r="O1361" s="367"/>
      <c r="P1361" s="367"/>
      <c r="Q1361" s="367"/>
      <c r="R1361" s="367"/>
      <c r="S1361" s="367"/>
      <c r="T1361" s="367"/>
      <c r="U1361" s="367"/>
      <c r="V1361" s="367"/>
      <c r="W1361" s="367"/>
      <c r="X1361" s="367"/>
      <c r="Y1361" s="367"/>
      <c r="Z1361" s="367" t="s">
        <v>127</v>
      </c>
      <c r="AA1361" s="367"/>
      <c r="AB1361" s="150"/>
      <c r="AC1361" s="48" t="s">
        <v>3832</v>
      </c>
      <c r="AD1361" s="150" t="s">
        <v>3251</v>
      </c>
      <c r="AE1361" s="296">
        <v>46157</v>
      </c>
      <c r="AF1361" s="296"/>
      <c r="AG1361" s="286"/>
      <c r="AH1361" s="49"/>
      <c r="AI1361" s="266"/>
      <c r="AJ1361" s="150" t="s">
        <v>617</v>
      </c>
      <c r="AK1361" s="150"/>
      <c r="AL1361" s="150"/>
      <c r="AM1361" s="150"/>
      <c r="AN1361" s="367"/>
      <c r="AO1361" s="367"/>
      <c r="AP1361" s="367"/>
      <c r="AQ1361" s="367"/>
      <c r="AR1361" s="367"/>
      <c r="AS1361" s="367"/>
      <c r="AT1361" s="367"/>
      <c r="AU1361" s="367"/>
      <c r="AV1361" s="367"/>
      <c r="AW1361" s="367"/>
      <c r="AX1361" s="367"/>
      <c r="AY1361" s="367"/>
      <c r="AZ1361" s="367"/>
      <c r="BA1361" s="367"/>
      <c r="BB1361" s="152"/>
      <c r="BC1361" s="152"/>
      <c r="BD1361" s="367" t="s">
        <v>2455</v>
      </c>
      <c r="BE1361" s="367"/>
      <c r="BF1361" s="367"/>
      <c r="BG1361" s="367"/>
      <c r="BH1361" s="260"/>
      <c r="BL1361" s="54"/>
    </row>
    <row r="1362" spans="1:64" ht="37.950000000000003" customHeight="1" x14ac:dyDescent="0.3">
      <c r="A1362" s="367">
        <f t="shared" si="24"/>
        <v>1357</v>
      </c>
      <c r="B1362" s="54" t="s">
        <v>3833</v>
      </c>
      <c r="C1362" s="367" t="s">
        <v>6</v>
      </c>
      <c r="D1362" s="367" t="s">
        <v>262</v>
      </c>
      <c r="E1362" s="367"/>
      <c r="F1362" s="367"/>
      <c r="G1362" s="367"/>
      <c r="H1362" s="367"/>
      <c r="I1362" s="367" t="s">
        <v>3831</v>
      </c>
      <c r="J1362" s="54" t="s">
        <v>2789</v>
      </c>
      <c r="K1362" s="48" t="s">
        <v>3815</v>
      </c>
      <c r="L1362" s="367"/>
      <c r="M1362" s="150"/>
      <c r="N1362" s="367"/>
      <c r="O1362" s="367"/>
      <c r="P1362" s="367"/>
      <c r="Q1362" s="367"/>
      <c r="R1362" s="367"/>
      <c r="S1362" s="367"/>
      <c r="T1362" s="367"/>
      <c r="U1362" s="367"/>
      <c r="V1362" s="367"/>
      <c r="W1362" s="367"/>
      <c r="X1362" s="367"/>
      <c r="Y1362" s="367"/>
      <c r="Z1362" s="367" t="s">
        <v>127</v>
      </c>
      <c r="AA1362" s="367"/>
      <c r="AB1362" s="150"/>
      <c r="AC1362" s="48" t="s">
        <v>3832</v>
      </c>
      <c r="AD1362" s="150" t="s">
        <v>3251</v>
      </c>
      <c r="AE1362" s="296">
        <v>46157</v>
      </c>
      <c r="AF1362" s="296"/>
      <c r="AG1362" s="286"/>
      <c r="AH1362" s="49"/>
      <c r="AI1362" s="266"/>
      <c r="AJ1362" s="150" t="s">
        <v>617</v>
      </c>
      <c r="AK1362" s="150"/>
      <c r="AL1362" s="150"/>
      <c r="AM1362" s="150"/>
      <c r="AN1362" s="367"/>
      <c r="AO1362" s="367"/>
      <c r="AP1362" s="367"/>
      <c r="AQ1362" s="367"/>
      <c r="AR1362" s="367"/>
      <c r="AS1362" s="367"/>
      <c r="AT1362" s="367"/>
      <c r="AU1362" s="367"/>
      <c r="AV1362" s="367"/>
      <c r="AW1362" s="367"/>
      <c r="AX1362" s="367"/>
      <c r="AY1362" s="367"/>
      <c r="AZ1362" s="367"/>
      <c r="BA1362" s="367"/>
      <c r="BB1362" s="152"/>
      <c r="BC1362" s="152"/>
      <c r="BD1362" s="367" t="s">
        <v>2455</v>
      </c>
      <c r="BE1362" s="367"/>
      <c r="BF1362" s="367"/>
      <c r="BG1362" s="367"/>
      <c r="BH1362" s="260"/>
      <c r="BL1362" s="54"/>
    </row>
    <row r="1363" spans="1:64" ht="37.950000000000003" customHeight="1" x14ac:dyDescent="0.3">
      <c r="A1363" s="367">
        <f t="shared" si="24"/>
        <v>1358</v>
      </c>
      <c r="B1363" s="54" t="s">
        <v>3834</v>
      </c>
      <c r="C1363" s="367" t="s">
        <v>6</v>
      </c>
      <c r="D1363" s="367" t="s">
        <v>262</v>
      </c>
      <c r="E1363" s="367"/>
      <c r="F1363" s="367"/>
      <c r="G1363" s="367"/>
      <c r="H1363" s="367"/>
      <c r="I1363" s="367" t="s">
        <v>3835</v>
      </c>
      <c r="J1363" s="54" t="s">
        <v>1524</v>
      </c>
      <c r="K1363" s="48" t="s">
        <v>3806</v>
      </c>
      <c r="L1363" s="367"/>
      <c r="M1363" s="150"/>
      <c r="N1363" s="367"/>
      <c r="O1363" s="367"/>
      <c r="P1363" s="367"/>
      <c r="Q1363" s="367"/>
      <c r="R1363" s="367"/>
      <c r="S1363" s="367"/>
      <c r="T1363" s="367"/>
      <c r="U1363" s="367"/>
      <c r="V1363" s="367"/>
      <c r="W1363" s="367"/>
      <c r="X1363" s="367"/>
      <c r="Y1363" s="367"/>
      <c r="Z1363" s="367" t="s">
        <v>127</v>
      </c>
      <c r="AA1363" s="367"/>
      <c r="AB1363" s="150"/>
      <c r="AC1363" s="48" t="s">
        <v>3836</v>
      </c>
      <c r="AD1363" s="150" t="s">
        <v>3251</v>
      </c>
      <c r="AE1363" s="296">
        <v>46157</v>
      </c>
      <c r="AF1363" s="296"/>
      <c r="AG1363" s="286"/>
      <c r="AH1363" s="49"/>
      <c r="AI1363" s="266"/>
      <c r="AJ1363" s="150" t="s">
        <v>617</v>
      </c>
      <c r="AK1363" s="150"/>
      <c r="AL1363" s="150"/>
      <c r="AM1363" s="150"/>
      <c r="AN1363" s="367"/>
      <c r="AO1363" s="367"/>
      <c r="AP1363" s="367"/>
      <c r="AQ1363" s="367"/>
      <c r="AR1363" s="367"/>
      <c r="AS1363" s="367"/>
      <c r="AT1363" s="367"/>
      <c r="AU1363" s="367"/>
      <c r="AV1363" s="367"/>
      <c r="AW1363" s="367"/>
      <c r="AX1363" s="367"/>
      <c r="AY1363" s="367"/>
      <c r="AZ1363" s="367"/>
      <c r="BA1363" s="367"/>
      <c r="BB1363" s="152"/>
      <c r="BC1363" s="152"/>
      <c r="BD1363" s="367" t="s">
        <v>2455</v>
      </c>
      <c r="BE1363" s="367"/>
      <c r="BF1363" s="367"/>
      <c r="BG1363" s="367"/>
      <c r="BH1363" s="260"/>
      <c r="BL1363" s="54"/>
    </row>
    <row r="1364" spans="1:64" ht="37.950000000000003" customHeight="1" x14ac:dyDescent="0.3">
      <c r="A1364" s="367">
        <f t="shared" si="24"/>
        <v>1359</v>
      </c>
      <c r="B1364" s="54" t="s">
        <v>3837</v>
      </c>
      <c r="C1364" s="367" t="s">
        <v>6</v>
      </c>
      <c r="D1364" s="367" t="s">
        <v>262</v>
      </c>
      <c r="E1364" s="367"/>
      <c r="F1364" s="367"/>
      <c r="G1364" s="367"/>
      <c r="H1364" s="367"/>
      <c r="I1364" s="367" t="s">
        <v>3835</v>
      </c>
      <c r="J1364" s="54" t="s">
        <v>1524</v>
      </c>
      <c r="K1364" s="48" t="s">
        <v>3806</v>
      </c>
      <c r="L1364" s="367"/>
      <c r="M1364" s="150"/>
      <c r="N1364" s="367"/>
      <c r="O1364" s="367"/>
      <c r="P1364" s="367"/>
      <c r="Q1364" s="367"/>
      <c r="R1364" s="367"/>
      <c r="S1364" s="367"/>
      <c r="T1364" s="367"/>
      <c r="U1364" s="367"/>
      <c r="V1364" s="367"/>
      <c r="W1364" s="367"/>
      <c r="X1364" s="367"/>
      <c r="Y1364" s="367"/>
      <c r="Z1364" s="367" t="s">
        <v>127</v>
      </c>
      <c r="AA1364" s="367"/>
      <c r="AB1364" s="150"/>
      <c r="AC1364" s="48" t="s">
        <v>3836</v>
      </c>
      <c r="AD1364" s="150" t="s">
        <v>3251</v>
      </c>
      <c r="AE1364" s="296">
        <v>46157</v>
      </c>
      <c r="AF1364" s="296"/>
      <c r="AG1364" s="286"/>
      <c r="AH1364" s="49"/>
      <c r="AI1364" s="266"/>
      <c r="AJ1364" s="150" t="s">
        <v>617</v>
      </c>
      <c r="AK1364" s="150"/>
      <c r="AL1364" s="150"/>
      <c r="AM1364" s="150"/>
      <c r="AN1364" s="367"/>
      <c r="AO1364" s="367"/>
      <c r="AP1364" s="367"/>
      <c r="AQ1364" s="367"/>
      <c r="AR1364" s="367"/>
      <c r="AS1364" s="367"/>
      <c r="AT1364" s="367"/>
      <c r="AU1364" s="367"/>
      <c r="AV1364" s="367"/>
      <c r="AW1364" s="367"/>
      <c r="AX1364" s="367"/>
      <c r="AY1364" s="367"/>
      <c r="AZ1364" s="367"/>
      <c r="BA1364" s="367"/>
      <c r="BB1364" s="152"/>
      <c r="BC1364" s="152"/>
      <c r="BD1364" s="367" t="s">
        <v>2455</v>
      </c>
      <c r="BE1364" s="367"/>
      <c r="BF1364" s="367"/>
      <c r="BG1364" s="367"/>
      <c r="BH1364" s="260"/>
      <c r="BL1364" s="54"/>
    </row>
    <row r="1365" spans="1:64" ht="37.950000000000003" customHeight="1" x14ac:dyDescent="0.3">
      <c r="A1365" s="367">
        <f t="shared" si="24"/>
        <v>1360</v>
      </c>
      <c r="B1365" s="54" t="s">
        <v>3838</v>
      </c>
      <c r="C1365" s="367" t="s">
        <v>6</v>
      </c>
      <c r="D1365" s="367" t="s">
        <v>262</v>
      </c>
      <c r="E1365" s="367"/>
      <c r="F1365" s="367"/>
      <c r="G1365" s="367"/>
      <c r="H1365" s="367"/>
      <c r="I1365" s="367" t="s">
        <v>3839</v>
      </c>
      <c r="J1365" s="54" t="s">
        <v>1524</v>
      </c>
      <c r="K1365" s="48" t="s">
        <v>3806</v>
      </c>
      <c r="L1365" s="367"/>
      <c r="M1365" s="150"/>
      <c r="N1365" s="367"/>
      <c r="O1365" s="367"/>
      <c r="P1365" s="367"/>
      <c r="Q1365" s="367"/>
      <c r="R1365" s="367"/>
      <c r="S1365" s="367"/>
      <c r="T1365" s="367"/>
      <c r="U1365" s="367"/>
      <c r="V1365" s="367"/>
      <c r="W1365" s="367"/>
      <c r="X1365" s="367"/>
      <c r="Y1365" s="367"/>
      <c r="Z1365" s="367" t="s">
        <v>127</v>
      </c>
      <c r="AA1365" s="367"/>
      <c r="AB1365" s="150"/>
      <c r="AC1365" s="48" t="s">
        <v>3840</v>
      </c>
      <c r="AD1365" s="150" t="s">
        <v>238</v>
      </c>
      <c r="AE1365" s="296">
        <v>46157</v>
      </c>
      <c r="AF1365" s="296"/>
      <c r="AG1365" s="286"/>
      <c r="AH1365" s="49"/>
      <c r="AI1365" s="266"/>
      <c r="AJ1365" s="150" t="s">
        <v>617</v>
      </c>
      <c r="AK1365" s="150"/>
      <c r="AL1365" s="150"/>
      <c r="AM1365" s="150"/>
      <c r="AN1365" s="367"/>
      <c r="AO1365" s="367"/>
      <c r="AP1365" s="367"/>
      <c r="AQ1365" s="367"/>
      <c r="AR1365" s="367"/>
      <c r="AS1365" s="367"/>
      <c r="AT1365" s="367"/>
      <c r="AU1365" s="367"/>
      <c r="AV1365" s="367"/>
      <c r="AW1365" s="367"/>
      <c r="AX1365" s="367"/>
      <c r="AY1365" s="367"/>
      <c r="AZ1365" s="367"/>
      <c r="BA1365" s="367"/>
      <c r="BB1365" s="152"/>
      <c r="BC1365" s="152"/>
      <c r="BD1365" s="367" t="s">
        <v>2455</v>
      </c>
      <c r="BE1365" s="367"/>
      <c r="BF1365" s="367"/>
      <c r="BG1365" s="367"/>
      <c r="BH1365" s="260"/>
      <c r="BL1365" s="54"/>
    </row>
    <row r="1366" spans="1:64" ht="37.950000000000003" customHeight="1" x14ac:dyDescent="0.3">
      <c r="A1366" s="367">
        <f t="shared" ref="A1366:A1429" si="25">ROW(B1366)-ROW($B$5)</f>
        <v>1361</v>
      </c>
      <c r="B1366" s="54" t="s">
        <v>3841</v>
      </c>
      <c r="C1366" s="367" t="s">
        <v>6</v>
      </c>
      <c r="D1366" s="367" t="s">
        <v>262</v>
      </c>
      <c r="E1366" s="367"/>
      <c r="F1366" s="367"/>
      <c r="G1366" s="367"/>
      <c r="H1366" s="367"/>
      <c r="I1366" s="367" t="s">
        <v>3839</v>
      </c>
      <c r="J1366" s="54" t="s">
        <v>1524</v>
      </c>
      <c r="K1366" s="48" t="s">
        <v>3806</v>
      </c>
      <c r="L1366" s="367"/>
      <c r="M1366" s="150"/>
      <c r="N1366" s="367"/>
      <c r="O1366" s="367"/>
      <c r="P1366" s="367"/>
      <c r="Q1366" s="367"/>
      <c r="R1366" s="367"/>
      <c r="S1366" s="367"/>
      <c r="T1366" s="367"/>
      <c r="U1366" s="367"/>
      <c r="V1366" s="367"/>
      <c r="W1366" s="367"/>
      <c r="X1366" s="367"/>
      <c r="Y1366" s="367"/>
      <c r="Z1366" s="367" t="s">
        <v>127</v>
      </c>
      <c r="AA1366" s="367"/>
      <c r="AB1366" s="150"/>
      <c r="AC1366" s="48" t="s">
        <v>3840</v>
      </c>
      <c r="AD1366" s="150" t="s">
        <v>238</v>
      </c>
      <c r="AE1366" s="296">
        <v>46157</v>
      </c>
      <c r="AF1366" s="296"/>
      <c r="AG1366" s="286"/>
      <c r="AH1366" s="49"/>
      <c r="AI1366" s="266"/>
      <c r="AJ1366" s="150" t="s">
        <v>617</v>
      </c>
      <c r="AK1366" s="150"/>
      <c r="AL1366" s="150"/>
      <c r="AM1366" s="150"/>
      <c r="AN1366" s="367"/>
      <c r="AO1366" s="367"/>
      <c r="AP1366" s="367"/>
      <c r="AQ1366" s="367"/>
      <c r="AR1366" s="367"/>
      <c r="AS1366" s="367"/>
      <c r="AT1366" s="367"/>
      <c r="AU1366" s="367"/>
      <c r="AV1366" s="367"/>
      <c r="AW1366" s="367"/>
      <c r="AX1366" s="367"/>
      <c r="AY1366" s="367"/>
      <c r="AZ1366" s="367"/>
      <c r="BA1366" s="367"/>
      <c r="BB1366" s="152"/>
      <c r="BC1366" s="152"/>
      <c r="BD1366" s="367" t="s">
        <v>2455</v>
      </c>
      <c r="BE1366" s="367"/>
      <c r="BF1366" s="367"/>
      <c r="BG1366" s="367"/>
      <c r="BH1366" s="260"/>
      <c r="BL1366" s="54"/>
    </row>
    <row r="1367" spans="1:64" ht="37.950000000000003" customHeight="1" x14ac:dyDescent="0.3">
      <c r="A1367" s="367">
        <f t="shared" si="25"/>
        <v>1362</v>
      </c>
      <c r="B1367" s="54" t="s">
        <v>3842</v>
      </c>
      <c r="C1367" s="367" t="s">
        <v>6</v>
      </c>
      <c r="D1367" s="367" t="s">
        <v>262</v>
      </c>
      <c r="E1367" s="367"/>
      <c r="F1367" s="367"/>
      <c r="G1367" s="367"/>
      <c r="H1367" s="367"/>
      <c r="I1367" s="367" t="s">
        <v>3843</v>
      </c>
      <c r="J1367" s="54" t="s">
        <v>2789</v>
      </c>
      <c r="K1367" s="48" t="s">
        <v>3815</v>
      </c>
      <c r="L1367" s="367"/>
      <c r="M1367" s="150"/>
      <c r="N1367" s="367"/>
      <c r="O1367" s="367"/>
      <c r="P1367" s="367"/>
      <c r="Q1367" s="367"/>
      <c r="R1367" s="367"/>
      <c r="S1367" s="367"/>
      <c r="T1367" s="367"/>
      <c r="U1367" s="367"/>
      <c r="V1367" s="367"/>
      <c r="W1367" s="367"/>
      <c r="X1367" s="367"/>
      <c r="Y1367" s="367"/>
      <c r="Z1367" s="367" t="s">
        <v>127</v>
      </c>
      <c r="AA1367" s="367"/>
      <c r="AB1367" s="150"/>
      <c r="AC1367" s="48" t="s">
        <v>3844</v>
      </c>
      <c r="AD1367" s="150" t="s">
        <v>238</v>
      </c>
      <c r="AE1367" s="296">
        <v>46157</v>
      </c>
      <c r="AF1367" s="296"/>
      <c r="AG1367" s="286"/>
      <c r="AH1367" s="49"/>
      <c r="AI1367" s="266"/>
      <c r="AJ1367" s="150" t="s">
        <v>617</v>
      </c>
      <c r="AK1367" s="150"/>
      <c r="AL1367" s="150"/>
      <c r="AM1367" s="150"/>
      <c r="AN1367" s="367"/>
      <c r="AO1367" s="367"/>
      <c r="AP1367" s="367"/>
      <c r="AQ1367" s="367"/>
      <c r="AR1367" s="367"/>
      <c r="AS1367" s="367"/>
      <c r="AT1367" s="367"/>
      <c r="AU1367" s="367"/>
      <c r="AV1367" s="367"/>
      <c r="AW1367" s="367"/>
      <c r="AX1367" s="367"/>
      <c r="AY1367" s="367"/>
      <c r="AZ1367" s="367"/>
      <c r="BA1367" s="367"/>
      <c r="BB1367" s="152"/>
      <c r="BC1367" s="152"/>
      <c r="BD1367" s="367" t="s">
        <v>2455</v>
      </c>
      <c r="BE1367" s="367"/>
      <c r="BF1367" s="367"/>
      <c r="BG1367" s="367"/>
      <c r="BH1367" s="260"/>
      <c r="BL1367" s="54"/>
    </row>
    <row r="1368" spans="1:64" ht="37.950000000000003" customHeight="1" x14ac:dyDescent="0.3">
      <c r="A1368" s="367">
        <f t="shared" si="25"/>
        <v>1363</v>
      </c>
      <c r="B1368" s="54" t="s">
        <v>3845</v>
      </c>
      <c r="C1368" s="367" t="s">
        <v>6</v>
      </c>
      <c r="D1368" s="367" t="s">
        <v>262</v>
      </c>
      <c r="E1368" s="367"/>
      <c r="F1368" s="367"/>
      <c r="G1368" s="367"/>
      <c r="H1368" s="367"/>
      <c r="I1368" s="367" t="s">
        <v>3843</v>
      </c>
      <c r="J1368" s="54" t="s">
        <v>2789</v>
      </c>
      <c r="K1368" s="48" t="s">
        <v>3815</v>
      </c>
      <c r="L1368" s="367"/>
      <c r="M1368" s="150"/>
      <c r="N1368" s="367"/>
      <c r="O1368" s="367"/>
      <c r="P1368" s="367"/>
      <c r="Q1368" s="367"/>
      <c r="R1368" s="367"/>
      <c r="S1368" s="367"/>
      <c r="T1368" s="367"/>
      <c r="U1368" s="367"/>
      <c r="V1368" s="367"/>
      <c r="W1368" s="367"/>
      <c r="X1368" s="367"/>
      <c r="Y1368" s="367"/>
      <c r="Z1368" s="367" t="s">
        <v>127</v>
      </c>
      <c r="AA1368" s="367"/>
      <c r="AB1368" s="150"/>
      <c r="AC1368" s="48" t="s">
        <v>3844</v>
      </c>
      <c r="AD1368" s="150" t="s">
        <v>238</v>
      </c>
      <c r="AE1368" s="296">
        <v>46157</v>
      </c>
      <c r="AF1368" s="296"/>
      <c r="AG1368" s="286"/>
      <c r="AH1368" s="49"/>
      <c r="AI1368" s="266"/>
      <c r="AJ1368" s="150" t="s">
        <v>617</v>
      </c>
      <c r="AK1368" s="150"/>
      <c r="AL1368" s="150"/>
      <c r="AM1368" s="150"/>
      <c r="AN1368" s="367"/>
      <c r="AO1368" s="367"/>
      <c r="AP1368" s="367"/>
      <c r="AQ1368" s="367"/>
      <c r="AR1368" s="367"/>
      <c r="AS1368" s="367"/>
      <c r="AT1368" s="367"/>
      <c r="AU1368" s="367"/>
      <c r="AV1368" s="367"/>
      <c r="AW1368" s="367"/>
      <c r="AX1368" s="367"/>
      <c r="AY1368" s="367"/>
      <c r="AZ1368" s="367"/>
      <c r="BA1368" s="367"/>
      <c r="BB1368" s="152"/>
      <c r="BC1368" s="152"/>
      <c r="BD1368" s="367" t="s">
        <v>2455</v>
      </c>
      <c r="BE1368" s="367"/>
      <c r="BF1368" s="367"/>
      <c r="BG1368" s="367"/>
      <c r="BH1368" s="260"/>
      <c r="BL1368" s="54"/>
    </row>
    <row r="1369" spans="1:64" ht="37.950000000000003" customHeight="1" x14ac:dyDescent="0.3">
      <c r="A1369" s="367">
        <f t="shared" si="25"/>
        <v>1364</v>
      </c>
      <c r="B1369" s="54" t="s">
        <v>3846</v>
      </c>
      <c r="C1369" s="367" t="s">
        <v>6</v>
      </c>
      <c r="D1369" s="367" t="s">
        <v>262</v>
      </c>
      <c r="E1369" s="367"/>
      <c r="F1369" s="367"/>
      <c r="G1369" s="367"/>
      <c r="H1369" s="367"/>
      <c r="I1369" s="367" t="s">
        <v>3847</v>
      </c>
      <c r="J1369" s="54"/>
      <c r="K1369" s="48" t="s">
        <v>3848</v>
      </c>
      <c r="L1369" s="367"/>
      <c r="M1369" s="150"/>
      <c r="N1369" s="367"/>
      <c r="O1369" s="367"/>
      <c r="P1369" s="367"/>
      <c r="Q1369" s="367"/>
      <c r="R1369" s="367"/>
      <c r="S1369" s="367"/>
      <c r="T1369" s="367"/>
      <c r="U1369" s="367"/>
      <c r="V1369" s="367"/>
      <c r="W1369" s="367"/>
      <c r="X1369" s="367"/>
      <c r="Y1369" s="367"/>
      <c r="Z1369" s="367"/>
      <c r="AA1369" s="367"/>
      <c r="AB1369" s="150"/>
      <c r="AC1369" s="48" t="s">
        <v>3849</v>
      </c>
      <c r="AD1369" s="150" t="s">
        <v>165</v>
      </c>
      <c r="AE1369" s="296">
        <v>46160</v>
      </c>
      <c r="AF1369" s="296"/>
      <c r="AG1369" s="286"/>
      <c r="AH1369" s="49"/>
      <c r="AI1369" s="266"/>
      <c r="AJ1369" s="150" t="s">
        <v>617</v>
      </c>
      <c r="AK1369" s="150" t="s">
        <v>200</v>
      </c>
      <c r="AL1369" s="150"/>
      <c r="AM1369" s="150"/>
      <c r="AN1369" s="367"/>
      <c r="AO1369" s="367"/>
      <c r="AP1369" s="367"/>
      <c r="AQ1369" s="367"/>
      <c r="AR1369" s="367"/>
      <c r="AS1369" s="367"/>
      <c r="AT1369" s="367"/>
      <c r="AU1369" s="367"/>
      <c r="AV1369" s="367"/>
      <c r="AW1369" s="367"/>
      <c r="AX1369" s="367"/>
      <c r="AY1369" s="367"/>
      <c r="AZ1369" s="367"/>
      <c r="BA1369" s="367"/>
      <c r="BB1369" s="152"/>
      <c r="BC1369" s="152"/>
      <c r="BD1369" s="367" t="s">
        <v>2455</v>
      </c>
      <c r="BE1369" s="367"/>
      <c r="BF1369" s="367"/>
      <c r="BG1369" s="367"/>
      <c r="BH1369" s="260"/>
      <c r="BL1369" s="54"/>
    </row>
    <row r="1370" spans="1:64" ht="37.950000000000003" customHeight="1" x14ac:dyDescent="0.3">
      <c r="A1370" s="367">
        <f t="shared" si="25"/>
        <v>1365</v>
      </c>
      <c r="B1370" s="54" t="s">
        <v>3850</v>
      </c>
      <c r="C1370" s="367" t="s">
        <v>6</v>
      </c>
      <c r="D1370" s="367" t="s">
        <v>262</v>
      </c>
      <c r="E1370" s="367"/>
      <c r="G1370" s="367"/>
      <c r="H1370" s="367"/>
      <c r="I1370" s="367" t="s">
        <v>3851</v>
      </c>
      <c r="J1370" s="54"/>
      <c r="K1370" s="48" t="s">
        <v>3848</v>
      </c>
      <c r="L1370" s="367"/>
      <c r="M1370" s="150"/>
      <c r="N1370" s="367"/>
      <c r="O1370" s="367"/>
      <c r="P1370" s="367"/>
      <c r="Q1370" s="367"/>
      <c r="R1370" s="367"/>
      <c r="S1370" s="367"/>
      <c r="T1370" s="367"/>
      <c r="U1370" s="367"/>
      <c r="V1370" s="367"/>
      <c r="W1370" s="367"/>
      <c r="X1370" s="367"/>
      <c r="Y1370" s="367"/>
      <c r="Z1370" s="367"/>
      <c r="AA1370" s="367"/>
      <c r="AB1370" s="150"/>
      <c r="AC1370" s="48" t="s">
        <v>3849</v>
      </c>
      <c r="AD1370" s="150" t="s">
        <v>165</v>
      </c>
      <c r="AE1370" s="296">
        <v>46160</v>
      </c>
      <c r="AF1370" s="296"/>
      <c r="AG1370" s="286"/>
      <c r="AH1370" s="49"/>
      <c r="AI1370" s="266"/>
      <c r="AJ1370" s="150" t="s">
        <v>617</v>
      </c>
      <c r="AK1370" s="150" t="s">
        <v>200</v>
      </c>
      <c r="AL1370" s="150"/>
      <c r="AM1370" s="150"/>
      <c r="AN1370" s="367"/>
      <c r="AO1370" s="367"/>
      <c r="AP1370" s="367"/>
      <c r="AQ1370" s="367"/>
      <c r="AR1370" s="367"/>
      <c r="AS1370" s="367"/>
      <c r="AT1370" s="367"/>
      <c r="AU1370" s="367"/>
      <c r="AV1370" s="367"/>
      <c r="AW1370" s="367"/>
      <c r="AX1370" s="367"/>
      <c r="AY1370" s="367"/>
      <c r="AZ1370" s="367"/>
      <c r="BA1370" s="367"/>
      <c r="BB1370" s="152"/>
      <c r="BC1370" s="152"/>
      <c r="BD1370" s="367" t="s">
        <v>2455</v>
      </c>
      <c r="BE1370" s="367"/>
      <c r="BF1370" s="367"/>
      <c r="BG1370" s="367"/>
      <c r="BH1370" s="260"/>
      <c r="BL1370" s="54"/>
    </row>
    <row r="1371" spans="1:64" ht="37.950000000000003" customHeight="1" x14ac:dyDescent="0.3">
      <c r="A1371" s="367">
        <f t="shared" si="25"/>
        <v>1366</v>
      </c>
      <c r="B1371" s="54" t="s">
        <v>3852</v>
      </c>
      <c r="C1371" s="367" t="s">
        <v>1</v>
      </c>
      <c r="D1371" s="367" t="s">
        <v>262</v>
      </c>
      <c r="E1371" s="367"/>
      <c r="F1371" s="367"/>
      <c r="G1371" s="367"/>
      <c r="H1371" s="367"/>
      <c r="I1371" s="367" t="s">
        <v>3853</v>
      </c>
      <c r="J1371" s="54"/>
      <c r="K1371" s="48"/>
      <c r="L1371" s="367"/>
      <c r="M1371" s="150"/>
      <c r="N1371" s="367"/>
      <c r="O1371" s="367"/>
      <c r="P1371" s="367"/>
      <c r="Q1371" s="367"/>
      <c r="R1371" s="367"/>
      <c r="S1371" s="367"/>
      <c r="T1371" s="367"/>
      <c r="U1371" s="367"/>
      <c r="V1371" s="367"/>
      <c r="W1371" s="367"/>
      <c r="X1371" s="367"/>
      <c r="Y1371" s="367"/>
      <c r="Z1371" s="367"/>
      <c r="AA1371" s="367"/>
      <c r="AB1371" s="150"/>
      <c r="AC1371" s="48" t="s">
        <v>3854</v>
      </c>
      <c r="AD1371" s="150" t="s">
        <v>55</v>
      </c>
      <c r="AE1371" s="296">
        <v>46163</v>
      </c>
      <c r="AF1371" s="296"/>
      <c r="AG1371" s="286"/>
      <c r="AH1371" s="49"/>
      <c r="AI1371" s="266"/>
      <c r="AJ1371" s="150" t="s">
        <v>617</v>
      </c>
      <c r="AK1371" s="150" t="s">
        <v>132</v>
      </c>
      <c r="AL1371" s="150"/>
      <c r="AM1371" s="150"/>
      <c r="AN1371" s="367"/>
      <c r="AO1371" s="367"/>
      <c r="AP1371" s="367"/>
      <c r="AQ1371" s="367"/>
      <c r="AR1371" s="367"/>
      <c r="AS1371" s="367"/>
      <c r="AT1371" s="367"/>
      <c r="AU1371" s="367"/>
      <c r="AV1371" s="367"/>
      <c r="AW1371" s="367"/>
      <c r="AX1371" s="367"/>
      <c r="AY1371" s="367"/>
      <c r="AZ1371" s="367"/>
      <c r="BA1371" s="367"/>
      <c r="BB1371" s="152"/>
      <c r="BC1371" s="152"/>
      <c r="BD1371" s="367"/>
      <c r="BE1371" s="367"/>
      <c r="BF1371" s="367"/>
      <c r="BG1371" s="367"/>
      <c r="BH1371" s="260"/>
      <c r="BL1371" s="54"/>
    </row>
    <row r="1372" spans="1:64" ht="37.950000000000003" customHeight="1" x14ac:dyDescent="0.3">
      <c r="A1372" s="367">
        <f t="shared" si="25"/>
        <v>1367</v>
      </c>
      <c r="B1372" s="54" t="s">
        <v>3855</v>
      </c>
      <c r="C1372" s="367" t="s">
        <v>1</v>
      </c>
      <c r="D1372" s="367" t="s">
        <v>262</v>
      </c>
      <c r="E1372" s="367"/>
      <c r="F1372" s="367"/>
      <c r="G1372" s="367"/>
      <c r="H1372" s="367"/>
      <c r="I1372" s="367" t="s">
        <v>3853</v>
      </c>
      <c r="J1372" s="54"/>
      <c r="K1372" s="48"/>
      <c r="L1372" s="367"/>
      <c r="M1372" s="150"/>
      <c r="N1372" s="367"/>
      <c r="O1372" s="367"/>
      <c r="P1372" s="367"/>
      <c r="Q1372" s="367"/>
      <c r="R1372" s="367"/>
      <c r="S1372" s="367"/>
      <c r="T1372" s="367"/>
      <c r="U1372" s="367"/>
      <c r="V1372" s="367"/>
      <c r="W1372" s="367"/>
      <c r="X1372" s="367"/>
      <c r="Y1372" s="367"/>
      <c r="Z1372" s="367"/>
      <c r="AA1372" s="367"/>
      <c r="AB1372" s="150"/>
      <c r="AC1372" s="48" t="s">
        <v>3856</v>
      </c>
      <c r="AD1372" s="150" t="s">
        <v>55</v>
      </c>
      <c r="AE1372" s="296">
        <v>46163</v>
      </c>
      <c r="AF1372" s="296"/>
      <c r="AG1372" s="286"/>
      <c r="AH1372" s="49"/>
      <c r="AI1372" s="266"/>
      <c r="AJ1372" s="150" t="s">
        <v>617</v>
      </c>
      <c r="AK1372" s="150" t="s">
        <v>132</v>
      </c>
      <c r="AL1372" s="150"/>
      <c r="AM1372" s="150"/>
      <c r="AN1372" s="367"/>
      <c r="AO1372" s="367"/>
      <c r="AP1372" s="367"/>
      <c r="AQ1372" s="367"/>
      <c r="AR1372" s="367"/>
      <c r="AS1372" s="367"/>
      <c r="AT1372" s="367"/>
      <c r="AU1372" s="367"/>
      <c r="AV1372" s="367"/>
      <c r="AW1372" s="367"/>
      <c r="AX1372" s="367"/>
      <c r="AY1372" s="367"/>
      <c r="AZ1372" s="367"/>
      <c r="BA1372" s="367"/>
      <c r="BB1372" s="152"/>
      <c r="BC1372" s="152"/>
      <c r="BD1372" s="367"/>
      <c r="BE1372" s="367"/>
      <c r="BF1372" s="367"/>
      <c r="BG1372" s="367"/>
      <c r="BH1372" s="260"/>
      <c r="BL1372" s="54"/>
    </row>
    <row r="1373" spans="1:64" ht="37.950000000000003" customHeight="1" x14ac:dyDescent="0.3">
      <c r="A1373" s="367">
        <f t="shared" si="25"/>
        <v>1368</v>
      </c>
      <c r="B1373" s="54" t="s">
        <v>3857</v>
      </c>
      <c r="C1373" s="367" t="s">
        <v>1</v>
      </c>
      <c r="D1373" s="367" t="s">
        <v>262</v>
      </c>
      <c r="E1373" s="367"/>
      <c r="F1373" s="367"/>
      <c r="G1373" s="367"/>
      <c r="H1373" s="367"/>
      <c r="I1373" s="367" t="s">
        <v>3853</v>
      </c>
      <c r="J1373" s="54"/>
      <c r="K1373" s="48"/>
      <c r="L1373" s="367"/>
      <c r="M1373" s="150"/>
      <c r="N1373" s="367"/>
      <c r="O1373" s="367"/>
      <c r="P1373" s="367"/>
      <c r="Q1373" s="367"/>
      <c r="R1373" s="367"/>
      <c r="S1373" s="367"/>
      <c r="T1373" s="367"/>
      <c r="U1373" s="367"/>
      <c r="V1373" s="367"/>
      <c r="W1373" s="367"/>
      <c r="X1373" s="367"/>
      <c r="Y1373" s="367"/>
      <c r="Z1373" s="367"/>
      <c r="AA1373" s="367"/>
      <c r="AB1373" s="150"/>
      <c r="AC1373" s="48" t="s">
        <v>3856</v>
      </c>
      <c r="AD1373" s="150" t="s">
        <v>55</v>
      </c>
      <c r="AE1373" s="296">
        <v>46163</v>
      </c>
      <c r="AF1373" s="296"/>
      <c r="AG1373" s="286"/>
      <c r="AH1373" s="49"/>
      <c r="AI1373" s="266"/>
      <c r="AJ1373" s="150" t="s">
        <v>617</v>
      </c>
      <c r="AK1373" s="150" t="s">
        <v>132</v>
      </c>
      <c r="AL1373" s="150"/>
      <c r="AM1373" s="150"/>
      <c r="AN1373" s="367"/>
      <c r="AO1373" s="367"/>
      <c r="AP1373" s="367"/>
      <c r="AQ1373" s="367"/>
      <c r="AR1373" s="367"/>
      <c r="AS1373" s="367"/>
      <c r="AT1373" s="367"/>
      <c r="AU1373" s="367"/>
      <c r="AV1373" s="367"/>
      <c r="AW1373" s="367"/>
      <c r="AX1373" s="367"/>
      <c r="AY1373" s="367"/>
      <c r="AZ1373" s="367"/>
      <c r="BA1373" s="367"/>
      <c r="BB1373" s="152"/>
      <c r="BC1373" s="152"/>
      <c r="BD1373" s="367"/>
      <c r="BE1373" s="367"/>
      <c r="BF1373" s="367"/>
      <c r="BG1373" s="367"/>
      <c r="BH1373" s="260"/>
      <c r="BL1373" s="54"/>
    </row>
    <row r="1374" spans="1:64" ht="37.950000000000003" customHeight="1" x14ac:dyDescent="0.3">
      <c r="A1374" s="367">
        <f t="shared" si="25"/>
        <v>1369</v>
      </c>
      <c r="B1374" s="54" t="s">
        <v>3858</v>
      </c>
      <c r="C1374" s="367" t="s">
        <v>6</v>
      </c>
      <c r="D1374" s="367" t="s">
        <v>262</v>
      </c>
      <c r="E1374" s="367"/>
      <c r="F1374" s="367"/>
      <c r="G1374" s="367"/>
      <c r="H1374" s="367"/>
      <c r="I1374" s="367" t="s">
        <v>3859</v>
      </c>
      <c r="J1374" s="54" t="s">
        <v>1524</v>
      </c>
      <c r="K1374" s="48" t="s">
        <v>3860</v>
      </c>
      <c r="L1374" s="367" t="s">
        <v>1057</v>
      </c>
      <c r="M1374" s="150" t="s">
        <v>65</v>
      </c>
      <c r="N1374" s="150" t="s">
        <v>2488</v>
      </c>
      <c r="O1374" s="150" t="s">
        <v>2489</v>
      </c>
      <c r="P1374" s="367">
        <v>8</v>
      </c>
      <c r="Q1374" s="367">
        <v>3.5</v>
      </c>
      <c r="R1374" s="367"/>
      <c r="S1374" s="367">
        <v>100</v>
      </c>
      <c r="T1374" s="367">
        <v>10</v>
      </c>
      <c r="U1374" s="367"/>
      <c r="V1374" s="367"/>
      <c r="W1374" s="367"/>
      <c r="X1374" s="367" t="s">
        <v>1111</v>
      </c>
      <c r="Y1374" s="367"/>
      <c r="Z1374" s="367"/>
      <c r="AA1374" s="367" t="s">
        <v>127</v>
      </c>
      <c r="AB1374" s="150" t="s">
        <v>2562</v>
      </c>
      <c r="AC1374" s="48" t="s">
        <v>2594</v>
      </c>
      <c r="AD1374" s="150" t="s">
        <v>1154</v>
      </c>
      <c r="AE1374" s="296">
        <v>46167</v>
      </c>
      <c r="AF1374" s="296"/>
      <c r="AG1374" s="286">
        <v>46244</v>
      </c>
      <c r="AH1374" s="49"/>
      <c r="AI1374" s="266"/>
      <c r="AJ1374" s="150" t="s">
        <v>264</v>
      </c>
      <c r="AK1374" s="150" t="s">
        <v>200</v>
      </c>
      <c r="AL1374" s="150" t="s">
        <v>175</v>
      </c>
      <c r="AM1374" s="150" t="s">
        <v>134</v>
      </c>
      <c r="AN1374" s="367"/>
      <c r="AO1374" s="367"/>
      <c r="AP1374" s="367"/>
      <c r="AQ1374" s="367"/>
      <c r="AR1374" s="367"/>
      <c r="AS1374" s="367"/>
      <c r="AT1374" s="367"/>
      <c r="AU1374" s="367"/>
      <c r="AV1374" s="367"/>
      <c r="AW1374" s="367"/>
      <c r="AX1374" s="367"/>
      <c r="AY1374" s="367"/>
      <c r="AZ1374" s="367"/>
      <c r="BA1374" s="367"/>
      <c r="BB1374" s="152" t="s">
        <v>3861</v>
      </c>
      <c r="BC1374" s="152"/>
      <c r="BD1374" s="367" t="s">
        <v>2455</v>
      </c>
      <c r="BE1374" s="367"/>
      <c r="BF1374" s="367"/>
      <c r="BG1374" s="367"/>
      <c r="BH1374" s="260"/>
      <c r="BL1374" s="54"/>
    </row>
    <row r="1375" spans="1:64" ht="37.950000000000003" customHeight="1" x14ac:dyDescent="0.3">
      <c r="A1375" s="367">
        <f t="shared" si="25"/>
        <v>1370</v>
      </c>
      <c r="B1375" s="54" t="s">
        <v>3862</v>
      </c>
      <c r="C1375" s="367" t="s">
        <v>6</v>
      </c>
      <c r="D1375" s="367" t="s">
        <v>262</v>
      </c>
      <c r="E1375" s="367"/>
      <c r="F1375" s="367"/>
      <c r="G1375" s="367"/>
      <c r="H1375" s="367"/>
      <c r="I1375" s="367" t="s">
        <v>3863</v>
      </c>
      <c r="J1375" s="54" t="s">
        <v>1524</v>
      </c>
      <c r="K1375" s="48" t="s">
        <v>3860</v>
      </c>
      <c r="L1375" s="367" t="s">
        <v>660</v>
      </c>
      <c r="M1375" s="150" t="s">
        <v>65</v>
      </c>
      <c r="N1375" s="150" t="s">
        <v>2488</v>
      </c>
      <c r="O1375" s="150" t="s">
        <v>2489</v>
      </c>
      <c r="P1375" s="367">
        <v>8</v>
      </c>
      <c r="Q1375" s="367">
        <v>3.5</v>
      </c>
      <c r="R1375" s="367"/>
      <c r="S1375" s="367">
        <v>100</v>
      </c>
      <c r="T1375" s="367">
        <v>10</v>
      </c>
      <c r="U1375" s="367"/>
      <c r="V1375" s="367" t="s">
        <v>127</v>
      </c>
      <c r="W1375" s="367"/>
      <c r="X1375" s="367" t="s">
        <v>150</v>
      </c>
      <c r="Y1375" s="367"/>
      <c r="Z1375" s="367" t="s">
        <v>127</v>
      </c>
      <c r="AA1375" s="367"/>
      <c r="AB1375" s="150" t="s">
        <v>215</v>
      </c>
      <c r="AC1375" s="48" t="s">
        <v>3864</v>
      </c>
      <c r="AD1375" s="150" t="s">
        <v>207</v>
      </c>
      <c r="AE1375" s="296">
        <v>46167</v>
      </c>
      <c r="AF1375" s="296"/>
      <c r="AG1375" s="286"/>
      <c r="AH1375" s="49"/>
      <c r="AI1375" s="266"/>
      <c r="AJ1375" s="150" t="s">
        <v>617</v>
      </c>
      <c r="AK1375" s="150" t="s">
        <v>200</v>
      </c>
      <c r="AL1375" s="150" t="s">
        <v>175</v>
      </c>
      <c r="AM1375" s="150" t="s">
        <v>2086</v>
      </c>
      <c r="AN1375" s="367"/>
      <c r="AO1375" s="367"/>
      <c r="AP1375" s="367"/>
      <c r="AQ1375" s="367"/>
      <c r="AR1375" s="367"/>
      <c r="AS1375" s="367"/>
      <c r="AT1375" s="367"/>
      <c r="AU1375" s="367"/>
      <c r="AV1375" s="367"/>
      <c r="AW1375" s="367"/>
      <c r="AX1375" s="367"/>
      <c r="AY1375" s="367"/>
      <c r="AZ1375" s="367"/>
      <c r="BA1375" s="367"/>
      <c r="BB1375" s="152" t="s">
        <v>2468</v>
      </c>
      <c r="BC1375" s="152"/>
      <c r="BD1375" s="367" t="s">
        <v>2455</v>
      </c>
      <c r="BE1375" s="367"/>
      <c r="BF1375" s="367"/>
      <c r="BG1375" s="367"/>
      <c r="BH1375" s="260"/>
      <c r="BL1375" s="54"/>
    </row>
    <row r="1376" spans="1:64" ht="37.950000000000003" customHeight="1" x14ac:dyDescent="0.3">
      <c r="A1376" s="367">
        <f t="shared" si="25"/>
        <v>1371</v>
      </c>
      <c r="B1376" s="54" t="s">
        <v>3865</v>
      </c>
      <c r="C1376" s="367" t="s">
        <v>12</v>
      </c>
      <c r="D1376" s="367" t="s">
        <v>262</v>
      </c>
      <c r="E1376" s="367"/>
      <c r="F1376" s="367"/>
      <c r="G1376" s="367"/>
      <c r="H1376" s="367"/>
      <c r="I1376" s="367" t="s">
        <v>3117</v>
      </c>
      <c r="J1376" s="48" t="s">
        <v>3215</v>
      </c>
      <c r="K1376" s="48" t="s">
        <v>3200</v>
      </c>
      <c r="L1376" s="367"/>
      <c r="M1376" s="150" t="s">
        <v>65</v>
      </c>
      <c r="N1376" s="367"/>
      <c r="O1376" s="367"/>
      <c r="P1376" s="367"/>
      <c r="Q1376" s="367"/>
      <c r="R1376" s="367"/>
      <c r="S1376" s="367"/>
      <c r="T1376" s="367"/>
      <c r="U1376" s="367"/>
      <c r="V1376" s="367"/>
      <c r="W1376" s="367"/>
      <c r="X1376" s="367"/>
      <c r="Y1376" s="367"/>
      <c r="Z1376" s="367"/>
      <c r="AA1376" s="367"/>
      <c r="AB1376" s="150"/>
      <c r="AC1376" s="48" t="s">
        <v>3218</v>
      </c>
      <c r="AD1376" s="150"/>
      <c r="AE1376" s="296"/>
      <c r="AF1376" s="296"/>
      <c r="AG1376" s="286"/>
      <c r="AH1376" s="49"/>
      <c r="AI1376" s="266"/>
      <c r="AJ1376" s="150"/>
      <c r="AK1376" s="150"/>
      <c r="AL1376" s="150"/>
      <c r="AM1376" s="150"/>
      <c r="AN1376" s="367"/>
      <c r="AO1376" s="367"/>
      <c r="AP1376" s="367"/>
      <c r="AQ1376" s="367"/>
      <c r="AR1376" s="367"/>
      <c r="AS1376" s="367"/>
      <c r="AT1376" s="367"/>
      <c r="AU1376" s="367"/>
      <c r="AV1376" s="367"/>
      <c r="AW1376" s="367"/>
      <c r="AX1376" s="367"/>
      <c r="AY1376" s="367"/>
      <c r="AZ1376" s="367"/>
      <c r="BA1376" s="367"/>
      <c r="BB1376" s="152"/>
      <c r="BC1376" s="152"/>
      <c r="BD1376" s="367" t="s">
        <v>3124</v>
      </c>
      <c r="BE1376" s="367"/>
      <c r="BF1376" s="367"/>
      <c r="BG1376" s="367"/>
      <c r="BH1376" s="260"/>
      <c r="BL1376" s="54"/>
    </row>
    <row r="1377" spans="1:64" ht="37.950000000000003" customHeight="1" x14ac:dyDescent="0.3">
      <c r="A1377" s="367">
        <f t="shared" si="25"/>
        <v>1372</v>
      </c>
      <c r="B1377" s="54" t="s">
        <v>3866</v>
      </c>
      <c r="C1377" s="367" t="s">
        <v>12</v>
      </c>
      <c r="D1377" s="367" t="s">
        <v>262</v>
      </c>
      <c r="E1377" s="367"/>
      <c r="F1377" s="367"/>
      <c r="G1377" s="367"/>
      <c r="H1377" s="367"/>
      <c r="I1377" s="367" t="s">
        <v>3117</v>
      </c>
      <c r="J1377" s="48" t="s">
        <v>3867</v>
      </c>
      <c r="K1377" s="48" t="s">
        <v>3868</v>
      </c>
      <c r="L1377" s="367"/>
      <c r="M1377" s="150" t="s">
        <v>120</v>
      </c>
      <c r="N1377" s="150" t="s">
        <v>3120</v>
      </c>
      <c r="O1377" s="150" t="s">
        <v>3121</v>
      </c>
      <c r="P1377" s="367">
        <v>6.5</v>
      </c>
      <c r="Q1377" s="367"/>
      <c r="R1377" s="367">
        <v>760</v>
      </c>
      <c r="S1377" s="367"/>
      <c r="T1377" s="367"/>
      <c r="U1377" s="367" t="s">
        <v>127</v>
      </c>
      <c r="V1377" s="367" t="s">
        <v>127</v>
      </c>
      <c r="W1377" s="367"/>
      <c r="X1377" s="367"/>
      <c r="Y1377" s="367"/>
      <c r="Z1377" s="367"/>
      <c r="AA1377" s="367"/>
      <c r="AB1377" s="150" t="s">
        <v>215</v>
      </c>
      <c r="AC1377" s="48" t="s">
        <v>3191</v>
      </c>
      <c r="AD1377" s="150" t="s">
        <v>552</v>
      </c>
      <c r="AE1377" s="296">
        <v>1</v>
      </c>
      <c r="AF1377" s="296"/>
      <c r="AG1377" s="286"/>
      <c r="AH1377" s="49"/>
      <c r="AI1377" s="266"/>
      <c r="AJ1377" s="150"/>
      <c r="AK1377" s="150"/>
      <c r="AL1377" s="150"/>
      <c r="AM1377" s="150"/>
      <c r="AN1377" s="367"/>
      <c r="AO1377" s="367"/>
      <c r="AP1377" s="367"/>
      <c r="AQ1377" s="367"/>
      <c r="AR1377" s="367"/>
      <c r="AS1377" s="367"/>
      <c r="AT1377" s="367"/>
      <c r="AU1377" s="367"/>
      <c r="AV1377" s="367"/>
      <c r="AW1377" s="367"/>
      <c r="AX1377" s="367"/>
      <c r="AY1377" s="367"/>
      <c r="AZ1377" s="367"/>
      <c r="BA1377" s="367"/>
      <c r="BB1377" s="152"/>
      <c r="BC1377" s="152"/>
      <c r="BD1377" s="367" t="s">
        <v>3124</v>
      </c>
      <c r="BE1377" s="367"/>
      <c r="BF1377" s="367"/>
      <c r="BG1377" s="367"/>
      <c r="BH1377" s="260"/>
      <c r="BL1377" s="54"/>
    </row>
    <row r="1378" spans="1:64" ht="37.950000000000003" customHeight="1" x14ac:dyDescent="0.3">
      <c r="A1378" s="367">
        <f t="shared" si="25"/>
        <v>1373</v>
      </c>
      <c r="B1378" s="54" t="s">
        <v>3869</v>
      </c>
      <c r="C1378" s="367" t="s">
        <v>12</v>
      </c>
      <c r="D1378" s="367" t="s">
        <v>262</v>
      </c>
      <c r="E1378" s="367"/>
      <c r="F1378" s="367"/>
      <c r="G1378" s="367"/>
      <c r="H1378" s="367"/>
      <c r="I1378" s="367" t="s">
        <v>3117</v>
      </c>
      <c r="J1378" s="48" t="s">
        <v>3867</v>
      </c>
      <c r="K1378" s="48" t="s">
        <v>3868</v>
      </c>
      <c r="L1378" s="367"/>
      <c r="M1378" s="150" t="s">
        <v>120</v>
      </c>
      <c r="N1378" s="150" t="s">
        <v>3120</v>
      </c>
      <c r="O1378" s="150" t="s">
        <v>3121</v>
      </c>
      <c r="P1378" s="367">
        <v>6.5</v>
      </c>
      <c r="Q1378" s="367"/>
      <c r="R1378" s="367">
        <v>760</v>
      </c>
      <c r="S1378" s="367"/>
      <c r="T1378" s="367"/>
      <c r="U1378" s="367" t="s">
        <v>127</v>
      </c>
      <c r="V1378" s="367"/>
      <c r="W1378" s="367"/>
      <c r="X1378" s="367"/>
      <c r="Y1378" s="367"/>
      <c r="Z1378" s="367"/>
      <c r="AA1378" s="367"/>
      <c r="AB1378" s="150" t="s">
        <v>215</v>
      </c>
      <c r="AC1378" s="48" t="s">
        <v>3163</v>
      </c>
      <c r="AD1378" s="150" t="s">
        <v>555</v>
      </c>
      <c r="AE1378" s="296">
        <v>1</v>
      </c>
      <c r="AF1378" s="296"/>
      <c r="AG1378" s="286"/>
      <c r="AH1378" s="49"/>
      <c r="AI1378" s="266"/>
      <c r="AJ1378" s="150"/>
      <c r="AK1378" s="150"/>
      <c r="AL1378" s="150"/>
      <c r="AM1378" s="150"/>
      <c r="AN1378" s="367"/>
      <c r="AO1378" s="367"/>
      <c r="AP1378" s="367"/>
      <c r="AQ1378" s="367"/>
      <c r="AR1378" s="367"/>
      <c r="AS1378" s="367"/>
      <c r="AT1378" s="367"/>
      <c r="AU1378" s="367"/>
      <c r="AV1378" s="367"/>
      <c r="AW1378" s="367"/>
      <c r="AX1378" s="367"/>
      <c r="AY1378" s="367"/>
      <c r="AZ1378" s="367"/>
      <c r="BA1378" s="367"/>
      <c r="BB1378" s="152"/>
      <c r="BC1378" s="152"/>
      <c r="BD1378" s="367" t="s">
        <v>3124</v>
      </c>
      <c r="BE1378" s="367"/>
      <c r="BF1378" s="367"/>
      <c r="BG1378" s="367"/>
      <c r="BH1378" s="260"/>
      <c r="BL1378" s="54"/>
    </row>
    <row r="1379" spans="1:64" ht="37.950000000000003" customHeight="1" x14ac:dyDescent="0.3">
      <c r="A1379" s="367">
        <f t="shared" si="25"/>
        <v>1374</v>
      </c>
      <c r="B1379" s="54" t="s">
        <v>3870</v>
      </c>
      <c r="C1379" s="367" t="s">
        <v>12</v>
      </c>
      <c r="D1379" s="367" t="s">
        <v>262</v>
      </c>
      <c r="E1379" s="367"/>
      <c r="F1379" s="367"/>
      <c r="G1379" s="367"/>
      <c r="H1379" s="367"/>
      <c r="I1379" s="367" t="s">
        <v>3117</v>
      </c>
      <c r="J1379" s="48" t="s">
        <v>3867</v>
      </c>
      <c r="K1379" s="48" t="s">
        <v>3871</v>
      </c>
      <c r="L1379" s="367"/>
      <c r="M1379" s="150" t="s">
        <v>120</v>
      </c>
      <c r="N1379" s="150" t="s">
        <v>3120</v>
      </c>
      <c r="O1379" s="150" t="s">
        <v>3121</v>
      </c>
      <c r="P1379" s="367">
        <v>6.5</v>
      </c>
      <c r="Q1379" s="367"/>
      <c r="R1379" s="367">
        <v>610</v>
      </c>
      <c r="S1379" s="367"/>
      <c r="T1379" s="367"/>
      <c r="U1379" s="367" t="s">
        <v>127</v>
      </c>
      <c r="V1379" s="367"/>
      <c r="W1379" s="367"/>
      <c r="X1379" s="367"/>
      <c r="Y1379" s="367"/>
      <c r="Z1379" s="367"/>
      <c r="AA1379" s="367"/>
      <c r="AB1379" s="150" t="s">
        <v>215</v>
      </c>
      <c r="AC1379" s="48" t="s">
        <v>3191</v>
      </c>
      <c r="AD1379" s="150" t="s">
        <v>552</v>
      </c>
      <c r="AE1379" s="296">
        <v>1</v>
      </c>
      <c r="AF1379" s="296"/>
      <c r="AG1379" s="286"/>
      <c r="AH1379" s="49"/>
      <c r="AI1379" s="266"/>
      <c r="AJ1379" s="150"/>
      <c r="AK1379" s="150"/>
      <c r="AL1379" s="150"/>
      <c r="AM1379" s="150"/>
      <c r="AN1379" s="367"/>
      <c r="AO1379" s="367"/>
      <c r="AP1379" s="367"/>
      <c r="AQ1379" s="367"/>
      <c r="AR1379" s="367"/>
      <c r="AS1379" s="367"/>
      <c r="AT1379" s="367"/>
      <c r="AU1379" s="367"/>
      <c r="AV1379" s="367"/>
      <c r="AW1379" s="367"/>
      <c r="AX1379" s="367"/>
      <c r="AY1379" s="367"/>
      <c r="AZ1379" s="367"/>
      <c r="BA1379" s="367"/>
      <c r="BB1379" s="152"/>
      <c r="BC1379" s="152"/>
      <c r="BD1379" s="367" t="s">
        <v>3124</v>
      </c>
      <c r="BE1379" s="367"/>
      <c r="BF1379" s="367"/>
      <c r="BG1379" s="367"/>
      <c r="BH1379" s="260"/>
      <c r="BL1379" s="54"/>
    </row>
    <row r="1380" spans="1:64" ht="37.950000000000003" customHeight="1" x14ac:dyDescent="0.3">
      <c r="A1380" s="367">
        <f t="shared" si="25"/>
        <v>1375</v>
      </c>
      <c r="B1380" s="54" t="s">
        <v>3872</v>
      </c>
      <c r="C1380" s="367" t="s">
        <v>12</v>
      </c>
      <c r="D1380" s="367" t="s">
        <v>262</v>
      </c>
      <c r="E1380" s="367"/>
      <c r="F1380" s="367"/>
      <c r="G1380" s="367"/>
      <c r="H1380" s="367"/>
      <c r="I1380" s="367" t="s">
        <v>3117</v>
      </c>
      <c r="J1380" s="48" t="s">
        <v>3867</v>
      </c>
      <c r="K1380" s="48" t="s">
        <v>3871</v>
      </c>
      <c r="L1380" s="367"/>
      <c r="M1380" s="150" t="s">
        <v>120</v>
      </c>
      <c r="N1380" s="150" t="s">
        <v>3120</v>
      </c>
      <c r="O1380" s="150" t="s">
        <v>3121</v>
      </c>
      <c r="P1380" s="367">
        <v>6.5</v>
      </c>
      <c r="Q1380" s="367"/>
      <c r="R1380" s="367">
        <v>610</v>
      </c>
      <c r="S1380" s="367"/>
      <c r="T1380" s="367"/>
      <c r="U1380" s="367"/>
      <c r="V1380" s="367"/>
      <c r="W1380" s="367"/>
      <c r="X1380" s="367"/>
      <c r="Y1380" s="367"/>
      <c r="Z1380" s="367"/>
      <c r="AA1380" s="367"/>
      <c r="AB1380" s="150" t="s">
        <v>215</v>
      </c>
      <c r="AC1380" s="48" t="s">
        <v>3127</v>
      </c>
      <c r="AD1380" s="150" t="s">
        <v>1592</v>
      </c>
      <c r="AE1380" s="296">
        <v>1</v>
      </c>
      <c r="AF1380" s="296"/>
      <c r="AG1380" s="286"/>
      <c r="AH1380" s="49"/>
      <c r="AI1380" s="266"/>
      <c r="AJ1380" s="150"/>
      <c r="AK1380" s="150"/>
      <c r="AL1380" s="150"/>
      <c r="AM1380" s="150"/>
      <c r="AN1380" s="367"/>
      <c r="AO1380" s="367"/>
      <c r="AP1380" s="367"/>
      <c r="AQ1380" s="367"/>
      <c r="AR1380" s="367"/>
      <c r="AS1380" s="367"/>
      <c r="AT1380" s="367"/>
      <c r="AU1380" s="367"/>
      <c r="AV1380" s="367"/>
      <c r="AW1380" s="367"/>
      <c r="AX1380" s="367"/>
      <c r="AY1380" s="367"/>
      <c r="AZ1380" s="367"/>
      <c r="BA1380" s="367"/>
      <c r="BB1380" s="152"/>
      <c r="BC1380" s="152"/>
      <c r="BD1380" s="367" t="s">
        <v>3124</v>
      </c>
      <c r="BE1380" s="367"/>
      <c r="BF1380" s="367"/>
      <c r="BG1380" s="367"/>
      <c r="BH1380" s="260"/>
      <c r="BL1380" s="54"/>
    </row>
    <row r="1381" spans="1:64" ht="37.950000000000003" customHeight="1" x14ac:dyDescent="0.3">
      <c r="A1381" s="367">
        <f t="shared" si="25"/>
        <v>1376</v>
      </c>
      <c r="B1381" s="54" t="s">
        <v>3873</v>
      </c>
      <c r="C1381" s="367" t="s">
        <v>12</v>
      </c>
      <c r="D1381" s="367" t="s">
        <v>262</v>
      </c>
      <c r="E1381" s="367"/>
      <c r="F1381" s="367"/>
      <c r="G1381" s="367"/>
      <c r="H1381" s="367"/>
      <c r="I1381" s="367" t="s">
        <v>3117</v>
      </c>
      <c r="J1381" s="48" t="s">
        <v>3867</v>
      </c>
      <c r="K1381" s="48" t="s">
        <v>3871</v>
      </c>
      <c r="L1381" s="367"/>
      <c r="M1381" s="150" t="s">
        <v>120</v>
      </c>
      <c r="N1381" s="150" t="s">
        <v>3120</v>
      </c>
      <c r="O1381" s="150" t="s">
        <v>3121</v>
      </c>
      <c r="P1381" s="367">
        <v>6.5</v>
      </c>
      <c r="Q1381" s="367"/>
      <c r="R1381" s="367">
        <v>610</v>
      </c>
      <c r="S1381" s="367"/>
      <c r="T1381" s="367"/>
      <c r="U1381" s="367" t="s">
        <v>127</v>
      </c>
      <c r="V1381" s="367"/>
      <c r="W1381" s="367"/>
      <c r="X1381" s="367"/>
      <c r="Y1381" s="367"/>
      <c r="Z1381" s="367"/>
      <c r="AA1381" s="367"/>
      <c r="AB1381" s="150" t="s">
        <v>215</v>
      </c>
      <c r="AC1381" s="48" t="s">
        <v>3163</v>
      </c>
      <c r="AD1381" s="150" t="s">
        <v>555</v>
      </c>
      <c r="AE1381" s="296">
        <v>1</v>
      </c>
      <c r="AF1381" s="296"/>
      <c r="AG1381" s="286"/>
      <c r="AH1381" s="49"/>
      <c r="AI1381" s="266"/>
      <c r="AJ1381" s="150"/>
      <c r="AK1381" s="150"/>
      <c r="AL1381" s="150"/>
      <c r="AM1381" s="150"/>
      <c r="AN1381" s="367"/>
      <c r="AO1381" s="367"/>
      <c r="AP1381" s="367"/>
      <c r="AQ1381" s="367"/>
      <c r="AR1381" s="367"/>
      <c r="AS1381" s="367"/>
      <c r="AT1381" s="367"/>
      <c r="AU1381" s="367"/>
      <c r="AV1381" s="367"/>
      <c r="AW1381" s="367"/>
      <c r="AX1381" s="367"/>
      <c r="AY1381" s="367"/>
      <c r="AZ1381" s="367"/>
      <c r="BA1381" s="367"/>
      <c r="BB1381" s="152"/>
      <c r="BC1381" s="152"/>
      <c r="BD1381" s="367" t="s">
        <v>3124</v>
      </c>
      <c r="BE1381" s="367"/>
      <c r="BF1381" s="367"/>
      <c r="BG1381" s="367"/>
      <c r="BH1381" s="260"/>
      <c r="BL1381" s="54"/>
    </row>
    <row r="1382" spans="1:64" ht="37.950000000000003" customHeight="1" x14ac:dyDescent="0.3">
      <c r="A1382" s="367">
        <f t="shared" si="25"/>
        <v>1377</v>
      </c>
      <c r="B1382" s="54" t="s">
        <v>3874</v>
      </c>
      <c r="C1382" s="367" t="s">
        <v>12</v>
      </c>
      <c r="D1382" s="367" t="s">
        <v>262</v>
      </c>
      <c r="E1382" s="367"/>
      <c r="F1382" s="367"/>
      <c r="G1382" s="367"/>
      <c r="H1382" s="367"/>
      <c r="I1382" s="367" t="s">
        <v>3117</v>
      </c>
      <c r="J1382" s="48" t="s">
        <v>3875</v>
      </c>
      <c r="K1382" s="48" t="s">
        <v>3876</v>
      </c>
      <c r="L1382" s="367"/>
      <c r="M1382" s="150" t="s">
        <v>65</v>
      </c>
      <c r="N1382" s="150" t="s">
        <v>3877</v>
      </c>
      <c r="O1382" s="150" t="s">
        <v>3878</v>
      </c>
      <c r="P1382" s="362">
        <v>5</v>
      </c>
      <c r="Q1382" s="367"/>
      <c r="R1382" s="367">
        <v>760</v>
      </c>
      <c r="S1382" s="367"/>
      <c r="T1382" s="367"/>
      <c r="U1382" s="367"/>
      <c r="V1382" s="367"/>
      <c r="W1382" s="367"/>
      <c r="X1382" s="367"/>
      <c r="Y1382" s="367"/>
      <c r="Z1382" s="367"/>
      <c r="AA1382" s="367"/>
      <c r="AB1382" s="150"/>
      <c r="AC1382" s="48" t="s">
        <v>3879</v>
      </c>
      <c r="AD1382" s="150"/>
      <c r="AE1382" s="296"/>
      <c r="AF1382" s="296"/>
      <c r="AG1382" s="286"/>
      <c r="AH1382" s="49"/>
      <c r="AI1382" s="266"/>
      <c r="AJ1382" s="150"/>
      <c r="AK1382" s="150"/>
      <c r="AL1382" s="150"/>
      <c r="AM1382" s="150"/>
      <c r="AN1382" s="367"/>
      <c r="AO1382" s="367"/>
      <c r="AP1382" s="367"/>
      <c r="AQ1382" s="367"/>
      <c r="AR1382" s="367"/>
      <c r="AS1382" s="367"/>
      <c r="AT1382" s="367"/>
      <c r="AU1382" s="367"/>
      <c r="AV1382" s="367"/>
      <c r="AW1382" s="367"/>
      <c r="AX1382" s="367"/>
      <c r="AY1382" s="367"/>
      <c r="AZ1382" s="367"/>
      <c r="BA1382" s="367"/>
      <c r="BB1382" s="152"/>
      <c r="BC1382" s="152"/>
      <c r="BD1382" s="367" t="s">
        <v>3124</v>
      </c>
      <c r="BE1382" s="367"/>
      <c r="BF1382" s="367"/>
      <c r="BG1382" s="367"/>
      <c r="BH1382" s="260"/>
      <c r="BL1382" s="54"/>
    </row>
    <row r="1383" spans="1:64" ht="37.950000000000003" customHeight="1" x14ac:dyDescent="0.3">
      <c r="A1383" s="367">
        <f t="shared" si="25"/>
        <v>1378</v>
      </c>
      <c r="B1383" s="54" t="s">
        <v>3880</v>
      </c>
      <c r="C1383" s="367" t="s">
        <v>12</v>
      </c>
      <c r="D1383" s="367" t="s">
        <v>262</v>
      </c>
      <c r="E1383" s="367"/>
      <c r="F1383" s="367"/>
      <c r="G1383" s="367"/>
      <c r="H1383" s="367"/>
      <c r="I1383" s="367" t="s">
        <v>3117</v>
      </c>
      <c r="J1383" s="48" t="s">
        <v>3875</v>
      </c>
      <c r="K1383" s="48" t="s">
        <v>3876</v>
      </c>
      <c r="L1383" s="367"/>
      <c r="M1383" s="150" t="s">
        <v>65</v>
      </c>
      <c r="N1383" s="150" t="s">
        <v>3877</v>
      </c>
      <c r="O1383" s="150" t="s">
        <v>3878</v>
      </c>
      <c r="P1383" s="362">
        <v>5</v>
      </c>
      <c r="Q1383" s="367"/>
      <c r="R1383" s="367">
        <v>760</v>
      </c>
      <c r="S1383" s="367"/>
      <c r="T1383" s="367"/>
      <c r="U1383" s="367"/>
      <c r="V1383" s="367"/>
      <c r="W1383" s="367" t="s">
        <v>127</v>
      </c>
      <c r="X1383" s="367"/>
      <c r="Y1383" s="367"/>
      <c r="Z1383" s="367"/>
      <c r="AA1383" s="367"/>
      <c r="AB1383" s="150"/>
      <c r="AC1383" s="48" t="s">
        <v>3881</v>
      </c>
      <c r="AD1383" s="150"/>
      <c r="AE1383" s="296"/>
      <c r="AF1383" s="296"/>
      <c r="AG1383" s="286"/>
      <c r="AH1383" s="49"/>
      <c r="AI1383" s="266"/>
      <c r="AJ1383" s="150"/>
      <c r="AK1383" s="150"/>
      <c r="AL1383" s="150"/>
      <c r="AM1383" s="150"/>
      <c r="AN1383" s="367"/>
      <c r="AO1383" s="367"/>
      <c r="AP1383" s="367"/>
      <c r="AQ1383" s="367"/>
      <c r="AR1383" s="367"/>
      <c r="AS1383" s="367"/>
      <c r="AT1383" s="367"/>
      <c r="AU1383" s="367"/>
      <c r="AV1383" s="367"/>
      <c r="AW1383" s="367"/>
      <c r="AX1383" s="367"/>
      <c r="AY1383" s="367"/>
      <c r="AZ1383" s="367"/>
      <c r="BA1383" s="367"/>
      <c r="BB1383" s="152"/>
      <c r="BC1383" s="152"/>
      <c r="BD1383" s="367" t="s">
        <v>3124</v>
      </c>
      <c r="BE1383" s="367"/>
      <c r="BF1383" s="367"/>
      <c r="BG1383" s="367"/>
      <c r="BH1383" s="260"/>
      <c r="BL1383" s="54"/>
    </row>
    <row r="1384" spans="1:64" ht="37.950000000000003" customHeight="1" x14ac:dyDescent="0.3">
      <c r="A1384" s="367">
        <f t="shared" si="25"/>
        <v>1379</v>
      </c>
      <c r="B1384" s="54" t="s">
        <v>3882</v>
      </c>
      <c r="C1384" s="367" t="s">
        <v>12</v>
      </c>
      <c r="D1384" s="367" t="s">
        <v>262</v>
      </c>
      <c r="E1384" s="367"/>
      <c r="F1384" s="367"/>
      <c r="G1384" s="367"/>
      <c r="H1384" s="367"/>
      <c r="I1384" s="367" t="s">
        <v>3117</v>
      </c>
      <c r="J1384" s="48" t="s">
        <v>3875</v>
      </c>
      <c r="K1384" s="48" t="s">
        <v>550</v>
      </c>
      <c r="L1384" s="367"/>
      <c r="M1384" s="150" t="s">
        <v>65</v>
      </c>
      <c r="N1384" s="150" t="s">
        <v>3877</v>
      </c>
      <c r="O1384" s="150" t="s">
        <v>3878</v>
      </c>
      <c r="P1384" s="362">
        <v>5</v>
      </c>
      <c r="Q1384" s="367"/>
      <c r="R1384" s="367">
        <v>760</v>
      </c>
      <c r="S1384" s="367"/>
      <c r="T1384" s="367"/>
      <c r="U1384" s="367"/>
      <c r="V1384" s="367"/>
      <c r="W1384" s="367"/>
      <c r="X1384" s="367"/>
      <c r="Y1384" s="367"/>
      <c r="Z1384" s="367"/>
      <c r="AA1384" s="367"/>
      <c r="AB1384" s="150"/>
      <c r="AC1384" s="48" t="s">
        <v>3879</v>
      </c>
      <c r="AD1384" s="150"/>
      <c r="AE1384" s="296"/>
      <c r="AF1384" s="296"/>
      <c r="AG1384" s="286"/>
      <c r="AH1384" s="49"/>
      <c r="AI1384" s="266"/>
      <c r="AJ1384" s="150"/>
      <c r="AK1384" s="150"/>
      <c r="AL1384" s="150"/>
      <c r="AM1384" s="150"/>
      <c r="AN1384" s="367"/>
      <c r="AO1384" s="367"/>
      <c r="AP1384" s="367"/>
      <c r="AQ1384" s="367"/>
      <c r="AR1384" s="367"/>
      <c r="AS1384" s="367"/>
      <c r="AT1384" s="367"/>
      <c r="AU1384" s="367"/>
      <c r="AV1384" s="367"/>
      <c r="AW1384" s="367"/>
      <c r="AX1384" s="367"/>
      <c r="AY1384" s="367"/>
      <c r="AZ1384" s="367"/>
      <c r="BA1384" s="367"/>
      <c r="BB1384" s="152"/>
      <c r="BC1384" s="152"/>
      <c r="BD1384" s="367" t="s">
        <v>3124</v>
      </c>
      <c r="BE1384" s="367"/>
      <c r="BF1384" s="367"/>
      <c r="BG1384" s="367"/>
      <c r="BH1384" s="260"/>
      <c r="BL1384" s="54"/>
    </row>
    <row r="1385" spans="1:64" ht="37.950000000000003" customHeight="1" x14ac:dyDescent="0.3">
      <c r="A1385" s="367">
        <f t="shared" si="25"/>
        <v>1380</v>
      </c>
      <c r="B1385" s="54" t="s">
        <v>3883</v>
      </c>
      <c r="C1385" s="367" t="s">
        <v>12</v>
      </c>
      <c r="D1385" s="367" t="s">
        <v>262</v>
      </c>
      <c r="E1385" s="367"/>
      <c r="F1385" s="367"/>
      <c r="G1385" s="367"/>
      <c r="H1385" s="367"/>
      <c r="I1385" s="367" t="s">
        <v>3117</v>
      </c>
      <c r="J1385" s="48" t="s">
        <v>3875</v>
      </c>
      <c r="K1385" s="48" t="s">
        <v>550</v>
      </c>
      <c r="L1385" s="367"/>
      <c r="M1385" s="150" t="s">
        <v>65</v>
      </c>
      <c r="N1385" s="150" t="s">
        <v>3877</v>
      </c>
      <c r="O1385" s="150" t="s">
        <v>3878</v>
      </c>
      <c r="P1385" s="362">
        <v>5</v>
      </c>
      <c r="Q1385" s="367"/>
      <c r="R1385" s="367">
        <v>760</v>
      </c>
      <c r="S1385" s="367"/>
      <c r="T1385" s="367"/>
      <c r="U1385" s="367"/>
      <c r="V1385" s="367"/>
      <c r="W1385" s="367" t="s">
        <v>127</v>
      </c>
      <c r="X1385" s="367"/>
      <c r="Y1385" s="367"/>
      <c r="Z1385" s="367"/>
      <c r="AA1385" s="367"/>
      <c r="AB1385" s="150"/>
      <c r="AC1385" s="48" t="s">
        <v>3881</v>
      </c>
      <c r="AD1385" s="150"/>
      <c r="AE1385" s="296"/>
      <c r="AF1385" s="296"/>
      <c r="AG1385" s="286"/>
      <c r="AH1385" s="49"/>
      <c r="AI1385" s="266"/>
      <c r="AJ1385" s="150"/>
      <c r="AK1385" s="150"/>
      <c r="AL1385" s="150"/>
      <c r="AM1385" s="150"/>
      <c r="AN1385" s="367"/>
      <c r="AO1385" s="367"/>
      <c r="AP1385" s="367"/>
      <c r="AQ1385" s="367"/>
      <c r="AR1385" s="367"/>
      <c r="AS1385" s="367"/>
      <c r="AT1385" s="367"/>
      <c r="AU1385" s="367"/>
      <c r="AV1385" s="367"/>
      <c r="AW1385" s="367"/>
      <c r="AX1385" s="367"/>
      <c r="AY1385" s="367"/>
      <c r="AZ1385" s="367"/>
      <c r="BA1385" s="367"/>
      <c r="BB1385" s="152"/>
      <c r="BC1385" s="152"/>
      <c r="BD1385" s="367" t="s">
        <v>3124</v>
      </c>
      <c r="BE1385" s="367"/>
      <c r="BF1385" s="367"/>
      <c r="BG1385" s="367"/>
      <c r="BH1385" s="260"/>
      <c r="BL1385" s="54"/>
    </row>
    <row r="1386" spans="1:64" ht="37.950000000000003" customHeight="1" x14ac:dyDescent="0.3">
      <c r="A1386" s="367">
        <f t="shared" si="25"/>
        <v>1381</v>
      </c>
      <c r="B1386" s="54" t="s">
        <v>3884</v>
      </c>
      <c r="C1386" s="367" t="s">
        <v>12</v>
      </c>
      <c r="D1386" s="367" t="s">
        <v>262</v>
      </c>
      <c r="E1386" s="367"/>
      <c r="F1386" s="367"/>
      <c r="G1386" s="367"/>
      <c r="H1386" s="367"/>
      <c r="I1386" s="367" t="s">
        <v>3117</v>
      </c>
      <c r="J1386" s="48" t="s">
        <v>3118</v>
      </c>
      <c r="K1386" s="48" t="s">
        <v>3119</v>
      </c>
      <c r="L1386" s="367"/>
      <c r="M1386" s="150" t="s">
        <v>65</v>
      </c>
      <c r="N1386" s="150" t="s">
        <v>3120</v>
      </c>
      <c r="O1386" s="150" t="s">
        <v>3121</v>
      </c>
      <c r="P1386" s="367">
        <v>6.5</v>
      </c>
      <c r="Q1386" s="367"/>
      <c r="R1386" s="367">
        <v>650</v>
      </c>
      <c r="S1386" s="367"/>
      <c r="T1386" s="367"/>
      <c r="U1386" s="367"/>
      <c r="V1386" s="367"/>
      <c r="W1386" s="367"/>
      <c r="X1386" s="367"/>
      <c r="Y1386" s="367"/>
      <c r="Z1386" s="367"/>
      <c r="AA1386" s="367"/>
      <c r="AB1386" s="150" t="s">
        <v>215</v>
      </c>
      <c r="AC1386" s="48" t="s">
        <v>3122</v>
      </c>
      <c r="AD1386" s="150" t="s">
        <v>3123</v>
      </c>
      <c r="AE1386" s="296">
        <v>1</v>
      </c>
      <c r="AF1386" s="296"/>
      <c r="AG1386" s="286"/>
      <c r="AH1386" s="49"/>
      <c r="AI1386" s="266"/>
      <c r="AJ1386" s="150"/>
      <c r="AK1386" s="150"/>
      <c r="AL1386" s="150"/>
      <c r="AM1386" s="150"/>
      <c r="AN1386" s="367"/>
      <c r="AO1386" s="367"/>
      <c r="AP1386" s="367"/>
      <c r="AQ1386" s="367"/>
      <c r="AR1386" s="367"/>
      <c r="AS1386" s="367"/>
      <c r="AT1386" s="367"/>
      <c r="AU1386" s="367"/>
      <c r="AV1386" s="367"/>
      <c r="AW1386" s="367"/>
      <c r="AX1386" s="367"/>
      <c r="AY1386" s="367"/>
      <c r="AZ1386" s="367"/>
      <c r="BA1386" s="367"/>
      <c r="BB1386" s="152"/>
      <c r="BC1386" s="152"/>
      <c r="BD1386" s="367" t="s">
        <v>3885</v>
      </c>
      <c r="BE1386" s="367"/>
      <c r="BF1386" s="367"/>
      <c r="BG1386" s="367"/>
      <c r="BH1386" s="260"/>
      <c r="BL1386" s="54"/>
    </row>
    <row r="1387" spans="1:64" ht="37.950000000000003" customHeight="1" x14ac:dyDescent="0.3">
      <c r="A1387" s="367">
        <f t="shared" si="25"/>
        <v>1382</v>
      </c>
      <c r="B1387" s="54" t="s">
        <v>3886</v>
      </c>
      <c r="C1387" s="367" t="s">
        <v>12</v>
      </c>
      <c r="D1387" s="367" t="s">
        <v>262</v>
      </c>
      <c r="E1387" s="367"/>
      <c r="F1387" s="367"/>
      <c r="G1387" s="367"/>
      <c r="H1387" s="367"/>
      <c r="I1387" s="367" t="s">
        <v>3117</v>
      </c>
      <c r="J1387" s="48" t="s">
        <v>3118</v>
      </c>
      <c r="K1387" s="48" t="s">
        <v>3119</v>
      </c>
      <c r="L1387" s="367"/>
      <c r="M1387" s="150" t="s">
        <v>65</v>
      </c>
      <c r="N1387" s="150" t="s">
        <v>3120</v>
      </c>
      <c r="O1387" s="150" t="s">
        <v>3121</v>
      </c>
      <c r="P1387" s="367">
        <v>6.5</v>
      </c>
      <c r="Q1387" s="367"/>
      <c r="R1387" s="367">
        <v>650</v>
      </c>
      <c r="S1387" s="367"/>
      <c r="T1387" s="367"/>
      <c r="U1387" s="367"/>
      <c r="V1387" s="367"/>
      <c r="W1387" s="367"/>
      <c r="X1387" s="367"/>
      <c r="Y1387" s="367"/>
      <c r="Z1387" s="150" t="s">
        <v>3126</v>
      </c>
      <c r="AA1387" s="367"/>
      <c r="AB1387" s="150" t="s">
        <v>215</v>
      </c>
      <c r="AC1387" s="48" t="s">
        <v>3127</v>
      </c>
      <c r="AD1387" s="150" t="s">
        <v>238</v>
      </c>
      <c r="AE1387" s="296">
        <v>1</v>
      </c>
      <c r="AF1387" s="296"/>
      <c r="AG1387" s="286"/>
      <c r="AH1387" s="49"/>
      <c r="AI1387" s="266"/>
      <c r="AJ1387" s="150"/>
      <c r="AK1387" s="150"/>
      <c r="AL1387" s="150"/>
      <c r="AM1387" s="150"/>
      <c r="AN1387" s="367"/>
      <c r="AO1387" s="367"/>
      <c r="AP1387" s="367"/>
      <c r="AQ1387" s="367"/>
      <c r="AR1387" s="367"/>
      <c r="AS1387" s="367"/>
      <c r="AT1387" s="367"/>
      <c r="AU1387" s="367"/>
      <c r="AV1387" s="367"/>
      <c r="AW1387" s="367"/>
      <c r="AX1387" s="367"/>
      <c r="AY1387" s="367"/>
      <c r="AZ1387" s="367"/>
      <c r="BA1387" s="367"/>
      <c r="BB1387" s="152"/>
      <c r="BC1387" s="152"/>
      <c r="BD1387" s="367" t="s">
        <v>3885</v>
      </c>
      <c r="BE1387" s="367"/>
      <c r="BF1387" s="367"/>
      <c r="BG1387" s="367"/>
      <c r="BH1387" s="260"/>
      <c r="BL1387" s="54"/>
    </row>
    <row r="1388" spans="1:64" ht="37.950000000000003" customHeight="1" x14ac:dyDescent="0.3">
      <c r="A1388" s="367">
        <f t="shared" si="25"/>
        <v>1383</v>
      </c>
      <c r="B1388" s="54" t="s">
        <v>3887</v>
      </c>
      <c r="C1388" s="367" t="s">
        <v>12</v>
      </c>
      <c r="D1388" s="367" t="s">
        <v>262</v>
      </c>
      <c r="E1388" s="367"/>
      <c r="F1388" s="367"/>
      <c r="G1388" s="367"/>
      <c r="H1388" s="367"/>
      <c r="I1388" s="367" t="s">
        <v>3117</v>
      </c>
      <c r="J1388" s="48" t="s">
        <v>3118</v>
      </c>
      <c r="K1388" s="48" t="s">
        <v>3129</v>
      </c>
      <c r="L1388" s="367"/>
      <c r="M1388" s="150" t="s">
        <v>65</v>
      </c>
      <c r="N1388" s="150" t="s">
        <v>3120</v>
      </c>
      <c r="O1388" s="150" t="s">
        <v>3121</v>
      </c>
      <c r="P1388" s="367">
        <v>6.5</v>
      </c>
      <c r="Q1388" s="367"/>
      <c r="R1388" s="367">
        <v>650</v>
      </c>
      <c r="S1388" s="367"/>
      <c r="T1388" s="367"/>
      <c r="U1388" s="367"/>
      <c r="V1388" s="367"/>
      <c r="W1388" s="367"/>
      <c r="X1388" s="367"/>
      <c r="Y1388" s="367"/>
      <c r="Z1388" s="150" t="s">
        <v>3126</v>
      </c>
      <c r="AA1388" s="367"/>
      <c r="AB1388" s="150" t="s">
        <v>215</v>
      </c>
      <c r="AC1388" s="48" t="s">
        <v>3130</v>
      </c>
      <c r="AD1388" s="150" t="s">
        <v>555</v>
      </c>
      <c r="AE1388" s="296">
        <v>1</v>
      </c>
      <c r="AF1388" s="296"/>
      <c r="AG1388" s="286"/>
      <c r="AH1388" s="49"/>
      <c r="AI1388" s="266"/>
      <c r="AJ1388" s="150"/>
      <c r="AK1388" s="150"/>
      <c r="AL1388" s="150"/>
      <c r="AM1388" s="150"/>
      <c r="AN1388" s="367"/>
      <c r="AO1388" s="367"/>
      <c r="AP1388" s="367"/>
      <c r="AQ1388" s="367"/>
      <c r="AR1388" s="367"/>
      <c r="AS1388" s="367"/>
      <c r="AT1388" s="367"/>
      <c r="AU1388" s="367"/>
      <c r="AV1388" s="367"/>
      <c r="AW1388" s="367"/>
      <c r="AX1388" s="367"/>
      <c r="AY1388" s="367"/>
      <c r="AZ1388" s="367"/>
      <c r="BA1388" s="367"/>
      <c r="BB1388" s="152"/>
      <c r="BC1388" s="152"/>
      <c r="BD1388" s="367" t="s">
        <v>3885</v>
      </c>
      <c r="BE1388" s="367"/>
      <c r="BF1388" s="367"/>
      <c r="BG1388" s="367"/>
      <c r="BH1388" s="260"/>
      <c r="BL1388" s="54"/>
    </row>
    <row r="1389" spans="1:64" ht="37.950000000000003" customHeight="1" x14ac:dyDescent="0.3">
      <c r="A1389" s="367">
        <f t="shared" si="25"/>
        <v>1384</v>
      </c>
      <c r="B1389" s="54" t="s">
        <v>3888</v>
      </c>
      <c r="C1389" s="367" t="s">
        <v>12</v>
      </c>
      <c r="D1389" s="367" t="s">
        <v>262</v>
      </c>
      <c r="E1389" s="367"/>
      <c r="F1389" s="367"/>
      <c r="G1389" s="367"/>
      <c r="H1389" s="367"/>
      <c r="I1389" s="367" t="s">
        <v>3117</v>
      </c>
      <c r="J1389" s="48" t="s">
        <v>3118</v>
      </c>
      <c r="K1389" s="48" t="s">
        <v>716</v>
      </c>
      <c r="L1389" s="367"/>
      <c r="M1389" s="150" t="s">
        <v>65</v>
      </c>
      <c r="N1389" s="150" t="s">
        <v>3120</v>
      </c>
      <c r="O1389" s="150" t="s">
        <v>3121</v>
      </c>
      <c r="P1389" s="367">
        <v>6.5</v>
      </c>
      <c r="Q1389" s="367"/>
      <c r="R1389" s="367">
        <v>660</v>
      </c>
      <c r="S1389" s="367"/>
      <c r="T1389" s="367"/>
      <c r="U1389" s="367"/>
      <c r="V1389" s="367"/>
      <c r="W1389" s="367"/>
      <c r="X1389" s="367"/>
      <c r="Y1389" s="150" t="s">
        <v>3136</v>
      </c>
      <c r="Z1389" s="367"/>
      <c r="AA1389" s="367"/>
      <c r="AB1389" s="150"/>
      <c r="AC1389" s="48" t="s">
        <v>3137</v>
      </c>
      <c r="AD1389" s="150" t="s">
        <v>2427</v>
      </c>
      <c r="AE1389" s="296">
        <v>1</v>
      </c>
      <c r="AF1389" s="296"/>
      <c r="AG1389" s="286"/>
      <c r="AH1389" s="49"/>
      <c r="AI1389" s="266"/>
      <c r="AJ1389" s="150"/>
      <c r="AK1389" s="150"/>
      <c r="AL1389" s="150"/>
      <c r="AM1389" s="150"/>
      <c r="AN1389" s="367"/>
      <c r="AO1389" s="367"/>
      <c r="AP1389" s="367"/>
      <c r="AQ1389" s="367"/>
      <c r="AR1389" s="367"/>
      <c r="AS1389" s="367"/>
      <c r="AT1389" s="367"/>
      <c r="AU1389" s="367"/>
      <c r="AV1389" s="367"/>
      <c r="AW1389" s="367"/>
      <c r="AX1389" s="367"/>
      <c r="AY1389" s="367"/>
      <c r="AZ1389" s="367"/>
      <c r="BA1389" s="367"/>
      <c r="BB1389" s="152" t="s">
        <v>3134</v>
      </c>
      <c r="BC1389" s="152"/>
      <c r="BD1389" s="367" t="s">
        <v>3885</v>
      </c>
      <c r="BE1389" s="367"/>
      <c r="BF1389" s="367"/>
      <c r="BG1389" s="367"/>
      <c r="BH1389" s="260"/>
      <c r="BL1389" s="54"/>
    </row>
    <row r="1390" spans="1:64" ht="37.950000000000003" customHeight="1" x14ac:dyDescent="0.3">
      <c r="A1390" s="367">
        <f t="shared" si="25"/>
        <v>1385</v>
      </c>
      <c r="B1390" s="54" t="s">
        <v>3889</v>
      </c>
      <c r="C1390" s="367" t="s">
        <v>12</v>
      </c>
      <c r="D1390" s="367" t="s">
        <v>262</v>
      </c>
      <c r="E1390" s="367"/>
      <c r="F1390" s="367"/>
      <c r="G1390" s="367"/>
      <c r="H1390" s="367"/>
      <c r="I1390" s="367" t="s">
        <v>3117</v>
      </c>
      <c r="J1390" s="48" t="s">
        <v>3139</v>
      </c>
      <c r="K1390" s="48" t="s">
        <v>3148</v>
      </c>
      <c r="L1390" s="367"/>
      <c r="M1390" s="150" t="s">
        <v>65</v>
      </c>
      <c r="N1390" s="150" t="s">
        <v>3120</v>
      </c>
      <c r="O1390" s="150" t="s">
        <v>3121</v>
      </c>
      <c r="P1390" s="367">
        <v>6.5</v>
      </c>
      <c r="Q1390" s="367"/>
      <c r="R1390" s="367">
        <v>660</v>
      </c>
      <c r="S1390" s="367"/>
      <c r="T1390" s="367"/>
      <c r="U1390" s="367"/>
      <c r="V1390" s="367"/>
      <c r="W1390" s="367"/>
      <c r="X1390" s="367"/>
      <c r="Y1390" s="367"/>
      <c r="Z1390" s="367"/>
      <c r="AA1390" s="367"/>
      <c r="AB1390" s="150" t="s">
        <v>215</v>
      </c>
      <c r="AC1390" s="48" t="s">
        <v>3141</v>
      </c>
      <c r="AD1390" s="150" t="s">
        <v>2415</v>
      </c>
      <c r="AE1390" s="296">
        <v>1</v>
      </c>
      <c r="AF1390" s="296"/>
      <c r="AG1390" s="286"/>
      <c r="AH1390" s="49"/>
      <c r="AI1390" s="266"/>
      <c r="AJ1390" s="150"/>
      <c r="AK1390" s="150"/>
      <c r="AL1390" s="150"/>
      <c r="AM1390" s="150"/>
      <c r="AN1390" s="367"/>
      <c r="AO1390" s="367"/>
      <c r="AP1390" s="367"/>
      <c r="AQ1390" s="367"/>
      <c r="AR1390" s="367"/>
      <c r="AS1390" s="367"/>
      <c r="AT1390" s="367"/>
      <c r="AU1390" s="367"/>
      <c r="AV1390" s="367"/>
      <c r="AW1390" s="367"/>
      <c r="AX1390" s="367"/>
      <c r="AY1390" s="367"/>
      <c r="AZ1390" s="367"/>
      <c r="BA1390" s="367"/>
      <c r="BB1390" s="152"/>
      <c r="BC1390" s="152"/>
      <c r="BD1390" s="367" t="s">
        <v>3885</v>
      </c>
      <c r="BE1390" s="367"/>
      <c r="BF1390" s="367"/>
      <c r="BG1390" s="367"/>
      <c r="BH1390" s="260"/>
      <c r="BL1390" s="54"/>
    </row>
    <row r="1391" spans="1:64" ht="37.950000000000003" customHeight="1" x14ac:dyDescent="0.3">
      <c r="A1391" s="367">
        <f t="shared" si="25"/>
        <v>1386</v>
      </c>
      <c r="B1391" s="54" t="s">
        <v>3890</v>
      </c>
      <c r="C1391" s="367" t="s">
        <v>12</v>
      </c>
      <c r="D1391" s="367" t="s">
        <v>262</v>
      </c>
      <c r="E1391" s="367"/>
      <c r="F1391" s="367"/>
      <c r="G1391" s="367"/>
      <c r="H1391" s="367"/>
      <c r="I1391" s="367" t="s">
        <v>3117</v>
      </c>
      <c r="J1391" s="48" t="s">
        <v>3139</v>
      </c>
      <c r="K1391" s="48" t="s">
        <v>3148</v>
      </c>
      <c r="L1391" s="367"/>
      <c r="M1391" s="150" t="s">
        <v>65</v>
      </c>
      <c r="N1391" s="150" t="s">
        <v>3120</v>
      </c>
      <c r="O1391" s="150" t="s">
        <v>3121</v>
      </c>
      <c r="P1391" s="367">
        <v>6.5</v>
      </c>
      <c r="Q1391" s="367"/>
      <c r="R1391" s="367">
        <v>660</v>
      </c>
      <c r="S1391" s="367"/>
      <c r="T1391" s="367"/>
      <c r="U1391" s="367"/>
      <c r="V1391" s="367"/>
      <c r="W1391" s="367"/>
      <c r="X1391" s="367"/>
      <c r="Y1391" s="367"/>
      <c r="Z1391" s="367"/>
      <c r="AA1391" s="367"/>
      <c r="AB1391" s="150" t="s">
        <v>215</v>
      </c>
      <c r="AC1391" s="48" t="s">
        <v>3153</v>
      </c>
      <c r="AD1391" s="150"/>
      <c r="AE1391" s="296"/>
      <c r="AF1391" s="296"/>
      <c r="AG1391" s="286"/>
      <c r="AH1391" s="49"/>
      <c r="AI1391" s="266"/>
      <c r="AJ1391" s="150"/>
      <c r="AK1391" s="150"/>
      <c r="AL1391" s="150"/>
      <c r="AM1391" s="150"/>
      <c r="AN1391" s="367"/>
      <c r="AO1391" s="367"/>
      <c r="AP1391" s="367"/>
      <c r="AQ1391" s="367"/>
      <c r="AR1391" s="367"/>
      <c r="AS1391" s="367"/>
      <c r="AT1391" s="367"/>
      <c r="AU1391" s="367"/>
      <c r="AV1391" s="367"/>
      <c r="AW1391" s="367"/>
      <c r="AX1391" s="367"/>
      <c r="AY1391" s="367"/>
      <c r="AZ1391" s="367"/>
      <c r="BA1391" s="367"/>
      <c r="BB1391" s="152"/>
      <c r="BC1391" s="152"/>
      <c r="BD1391" s="367" t="s">
        <v>3885</v>
      </c>
      <c r="BE1391" s="367"/>
      <c r="BF1391" s="367"/>
      <c r="BG1391" s="367"/>
      <c r="BH1391" s="260"/>
      <c r="BL1391" s="54"/>
    </row>
    <row r="1392" spans="1:64" ht="37.950000000000003" customHeight="1" x14ac:dyDescent="0.3">
      <c r="A1392" s="367">
        <f t="shared" si="25"/>
        <v>1387</v>
      </c>
      <c r="B1392" s="54" t="s">
        <v>3891</v>
      </c>
      <c r="C1392" s="367" t="s">
        <v>12</v>
      </c>
      <c r="D1392" s="367"/>
      <c r="E1392" s="367"/>
      <c r="F1392" s="367"/>
      <c r="G1392" s="367"/>
      <c r="H1392" s="367"/>
      <c r="I1392" s="367" t="s">
        <v>3117</v>
      </c>
      <c r="J1392" s="48" t="s">
        <v>3167</v>
      </c>
      <c r="K1392" s="48" t="s">
        <v>3172</v>
      </c>
      <c r="L1392" s="367"/>
      <c r="M1392" s="150" t="s">
        <v>65</v>
      </c>
      <c r="N1392" s="150" t="s">
        <v>3120</v>
      </c>
      <c r="O1392" s="150" t="s">
        <v>3121</v>
      </c>
      <c r="P1392" s="367">
        <v>6.5</v>
      </c>
      <c r="Q1392" s="367"/>
      <c r="R1392" s="367">
        <v>800</v>
      </c>
      <c r="S1392" s="367"/>
      <c r="T1392" s="367"/>
      <c r="U1392" s="367" t="s">
        <v>127</v>
      </c>
      <c r="V1392" s="367" t="s">
        <v>127</v>
      </c>
      <c r="W1392" s="367"/>
      <c r="X1392" s="367"/>
      <c r="Y1392" s="367"/>
      <c r="Z1392" s="367"/>
      <c r="AA1392" s="367"/>
      <c r="AB1392" s="150" t="s">
        <v>215</v>
      </c>
      <c r="AC1392" s="48" t="s">
        <v>3173</v>
      </c>
      <c r="AD1392" s="150" t="s">
        <v>3210</v>
      </c>
      <c r="AE1392" s="296">
        <v>1</v>
      </c>
      <c r="AF1392" s="296"/>
      <c r="AG1392" s="286"/>
      <c r="AH1392" s="49"/>
      <c r="AI1392" s="266"/>
      <c r="AJ1392" s="150"/>
      <c r="AK1392" s="150"/>
      <c r="AL1392" s="150"/>
      <c r="AM1392" s="150"/>
      <c r="AN1392" s="367"/>
      <c r="AO1392" s="367"/>
      <c r="AP1392" s="367"/>
      <c r="AQ1392" s="367"/>
      <c r="AR1392" s="367"/>
      <c r="AS1392" s="367"/>
      <c r="AT1392" s="367"/>
      <c r="AU1392" s="367"/>
      <c r="AV1392" s="367"/>
      <c r="AW1392" s="367"/>
      <c r="AX1392" s="367"/>
      <c r="AY1392" s="367"/>
      <c r="AZ1392" s="367"/>
      <c r="BA1392" s="367"/>
      <c r="BB1392" s="152"/>
      <c r="BC1392" s="152"/>
      <c r="BD1392" s="367" t="s">
        <v>3885</v>
      </c>
      <c r="BE1392" s="367"/>
      <c r="BF1392" s="367"/>
      <c r="BG1392" s="367"/>
      <c r="BH1392" s="260"/>
      <c r="BL1392" s="54"/>
    </row>
    <row r="1393" spans="1:64" ht="37.950000000000003" customHeight="1" x14ac:dyDescent="0.3">
      <c r="A1393" s="367">
        <f t="shared" si="25"/>
        <v>1388</v>
      </c>
      <c r="B1393" s="54" t="s">
        <v>3892</v>
      </c>
      <c r="C1393" s="367" t="s">
        <v>12</v>
      </c>
      <c r="D1393" s="367"/>
      <c r="E1393" s="367"/>
      <c r="F1393" s="367"/>
      <c r="G1393" s="367"/>
      <c r="H1393" s="367"/>
      <c r="I1393" s="367" t="s">
        <v>3117</v>
      </c>
      <c r="J1393" s="48" t="s">
        <v>3167</v>
      </c>
      <c r="K1393" s="48" t="s">
        <v>3172</v>
      </c>
      <c r="L1393" s="367"/>
      <c r="M1393" s="150" t="s">
        <v>65</v>
      </c>
      <c r="N1393" s="150" t="s">
        <v>3120</v>
      </c>
      <c r="O1393" s="150" t="s">
        <v>3121</v>
      </c>
      <c r="P1393" s="367">
        <v>6.5</v>
      </c>
      <c r="Q1393" s="367"/>
      <c r="R1393" s="367">
        <v>800</v>
      </c>
      <c r="S1393" s="367"/>
      <c r="T1393" s="367"/>
      <c r="U1393" s="367"/>
      <c r="V1393" s="367"/>
      <c r="W1393" s="367"/>
      <c r="X1393" s="367"/>
      <c r="Y1393" s="367"/>
      <c r="Z1393" s="367"/>
      <c r="AA1393" s="367"/>
      <c r="AB1393" s="150" t="s">
        <v>215</v>
      </c>
      <c r="AC1393" s="48" t="s">
        <v>3175</v>
      </c>
      <c r="AD1393" s="150"/>
      <c r="AE1393" s="296"/>
      <c r="AF1393" s="296"/>
      <c r="AG1393" s="286"/>
      <c r="AH1393" s="49"/>
      <c r="AI1393" s="266"/>
      <c r="AJ1393" s="150"/>
      <c r="AK1393" s="150"/>
      <c r="AL1393" s="150"/>
      <c r="AM1393" s="150"/>
      <c r="AN1393" s="367"/>
      <c r="AO1393" s="367"/>
      <c r="AP1393" s="367"/>
      <c r="AQ1393" s="367"/>
      <c r="AR1393" s="367"/>
      <c r="AS1393" s="367"/>
      <c r="AT1393" s="367"/>
      <c r="AU1393" s="367"/>
      <c r="AV1393" s="367"/>
      <c r="AW1393" s="367"/>
      <c r="AX1393" s="367"/>
      <c r="AY1393" s="367"/>
      <c r="AZ1393" s="367"/>
      <c r="BA1393" s="367"/>
      <c r="BB1393" s="152"/>
      <c r="BC1393" s="152"/>
      <c r="BD1393" s="367" t="s">
        <v>3885</v>
      </c>
      <c r="BE1393" s="367"/>
      <c r="BF1393" s="367"/>
      <c r="BG1393" s="367"/>
      <c r="BH1393" s="260"/>
      <c r="BL1393" s="54"/>
    </row>
    <row r="1394" spans="1:64" ht="37.950000000000003" customHeight="1" x14ac:dyDescent="0.3">
      <c r="A1394" s="367">
        <f t="shared" si="25"/>
        <v>1389</v>
      </c>
      <c r="B1394" s="54" t="s">
        <v>3893</v>
      </c>
      <c r="C1394" s="367" t="s">
        <v>12</v>
      </c>
      <c r="D1394" s="367"/>
      <c r="E1394" s="367"/>
      <c r="F1394" s="367"/>
      <c r="G1394" s="367"/>
      <c r="H1394" s="367"/>
      <c r="I1394" s="367" t="s">
        <v>3117</v>
      </c>
      <c r="J1394" s="48" t="s">
        <v>3167</v>
      </c>
      <c r="K1394" s="48" t="s">
        <v>3172</v>
      </c>
      <c r="L1394" s="367"/>
      <c r="M1394" s="150" t="s">
        <v>65</v>
      </c>
      <c r="N1394" s="150" t="s">
        <v>3120</v>
      </c>
      <c r="O1394" s="150" t="s">
        <v>3121</v>
      </c>
      <c r="P1394" s="367">
        <v>6.5</v>
      </c>
      <c r="Q1394" s="367"/>
      <c r="R1394" s="367">
        <v>800</v>
      </c>
      <c r="S1394" s="367"/>
      <c r="T1394" s="367"/>
      <c r="U1394" s="367" t="s">
        <v>127</v>
      </c>
      <c r="V1394" s="367"/>
      <c r="W1394" s="367"/>
      <c r="X1394" s="367"/>
      <c r="Y1394" s="367"/>
      <c r="Z1394" s="367"/>
      <c r="AA1394" s="367"/>
      <c r="AB1394" s="150" t="s">
        <v>215</v>
      </c>
      <c r="AC1394" s="48" t="s">
        <v>3177</v>
      </c>
      <c r="AD1394" s="150" t="s">
        <v>3213</v>
      </c>
      <c r="AE1394" s="296">
        <v>1</v>
      </c>
      <c r="AF1394" s="296"/>
      <c r="AG1394" s="286"/>
      <c r="AH1394" s="49"/>
      <c r="AI1394" s="266"/>
      <c r="AJ1394" s="150"/>
      <c r="AK1394" s="150"/>
      <c r="AL1394" s="150"/>
      <c r="AM1394" s="150"/>
      <c r="AN1394" s="367"/>
      <c r="AO1394" s="367"/>
      <c r="AP1394" s="367"/>
      <c r="AQ1394" s="367"/>
      <c r="AR1394" s="367"/>
      <c r="AS1394" s="367"/>
      <c r="AT1394" s="367"/>
      <c r="AU1394" s="367"/>
      <c r="AV1394" s="367"/>
      <c r="AW1394" s="367"/>
      <c r="AX1394" s="367"/>
      <c r="AY1394" s="367"/>
      <c r="AZ1394" s="367"/>
      <c r="BA1394" s="367"/>
      <c r="BB1394" s="152"/>
      <c r="BC1394" s="152"/>
      <c r="BD1394" s="367" t="s">
        <v>3885</v>
      </c>
      <c r="BE1394" s="367"/>
      <c r="BF1394" s="367"/>
      <c r="BG1394" s="367"/>
      <c r="BH1394" s="260"/>
      <c r="BL1394" s="54"/>
    </row>
    <row r="1395" spans="1:64" ht="37.950000000000003" customHeight="1" x14ac:dyDescent="0.3">
      <c r="A1395" s="367">
        <f t="shared" si="25"/>
        <v>1390</v>
      </c>
      <c r="B1395" s="54" t="s">
        <v>3894</v>
      </c>
      <c r="C1395" s="367" t="s">
        <v>12</v>
      </c>
      <c r="D1395" s="367"/>
      <c r="E1395" s="367"/>
      <c r="F1395" s="367"/>
      <c r="G1395" s="367"/>
      <c r="H1395" s="367"/>
      <c r="I1395" s="367" t="s">
        <v>3117</v>
      </c>
      <c r="J1395" s="48" t="s">
        <v>3189</v>
      </c>
      <c r="K1395" s="48" t="s">
        <v>3190</v>
      </c>
      <c r="L1395" s="367"/>
      <c r="M1395" s="150" t="s">
        <v>120</v>
      </c>
      <c r="N1395" s="150" t="s">
        <v>3120</v>
      </c>
      <c r="O1395" s="150" t="s">
        <v>3121</v>
      </c>
      <c r="P1395" s="367">
        <v>6.5</v>
      </c>
      <c r="Q1395" s="367"/>
      <c r="R1395" s="367">
        <v>650</v>
      </c>
      <c r="S1395" s="367"/>
      <c r="T1395" s="367"/>
      <c r="U1395" s="367" t="s">
        <v>127</v>
      </c>
      <c r="V1395" s="367" t="s">
        <v>127</v>
      </c>
      <c r="W1395" s="367"/>
      <c r="X1395" s="367"/>
      <c r="Y1395" s="367"/>
      <c r="Z1395" s="367"/>
      <c r="AA1395" s="367"/>
      <c r="AB1395" s="150" t="s">
        <v>3160</v>
      </c>
      <c r="AC1395" s="48" t="s">
        <v>3191</v>
      </c>
      <c r="AD1395" s="150" t="s">
        <v>552</v>
      </c>
      <c r="AE1395" s="296">
        <v>1</v>
      </c>
      <c r="AF1395" s="296"/>
      <c r="AG1395" s="286"/>
      <c r="AH1395" s="49"/>
      <c r="AI1395" s="266"/>
      <c r="AJ1395" s="150"/>
      <c r="AK1395" s="150"/>
      <c r="AL1395" s="150"/>
      <c r="AM1395" s="150"/>
      <c r="AN1395" s="367"/>
      <c r="AO1395" s="367"/>
      <c r="AP1395" s="367"/>
      <c r="AQ1395" s="367"/>
      <c r="AR1395" s="367"/>
      <c r="AS1395" s="367"/>
      <c r="AT1395" s="367"/>
      <c r="AU1395" s="367"/>
      <c r="AV1395" s="367"/>
      <c r="AW1395" s="367"/>
      <c r="AX1395" s="367"/>
      <c r="AY1395" s="367"/>
      <c r="AZ1395" s="367"/>
      <c r="BA1395" s="367"/>
      <c r="BB1395" s="152"/>
      <c r="BC1395" s="152"/>
      <c r="BD1395" s="367" t="s">
        <v>3885</v>
      </c>
      <c r="BE1395" s="367"/>
      <c r="BF1395" s="367"/>
      <c r="BG1395" s="367"/>
      <c r="BH1395" s="260"/>
      <c r="BL1395" s="54"/>
    </row>
    <row r="1396" spans="1:64" ht="37.950000000000003" customHeight="1" x14ac:dyDescent="0.3">
      <c r="A1396" s="367">
        <f t="shared" si="25"/>
        <v>1391</v>
      </c>
      <c r="B1396" s="54" t="s">
        <v>3895</v>
      </c>
      <c r="C1396" s="367" t="s">
        <v>12</v>
      </c>
      <c r="D1396" s="367"/>
      <c r="E1396" s="367"/>
      <c r="F1396" s="367"/>
      <c r="G1396" s="367"/>
      <c r="H1396" s="367"/>
      <c r="I1396" s="367" t="s">
        <v>3117</v>
      </c>
      <c r="J1396" s="48" t="s">
        <v>3189</v>
      </c>
      <c r="K1396" s="48" t="s">
        <v>3190</v>
      </c>
      <c r="L1396" s="367"/>
      <c r="M1396" s="150" t="s">
        <v>120</v>
      </c>
      <c r="N1396" s="150" t="s">
        <v>3120</v>
      </c>
      <c r="O1396" s="150" t="s">
        <v>3121</v>
      </c>
      <c r="P1396" s="367">
        <v>6.5</v>
      </c>
      <c r="Q1396" s="367"/>
      <c r="R1396" s="367">
        <v>650</v>
      </c>
      <c r="S1396" s="367"/>
      <c r="T1396" s="367"/>
      <c r="U1396" s="367" t="s">
        <v>127</v>
      </c>
      <c r="V1396" s="367"/>
      <c r="W1396" s="367"/>
      <c r="X1396" s="367"/>
      <c r="Y1396" s="367"/>
      <c r="Z1396" s="367"/>
      <c r="AA1396" s="367"/>
      <c r="AB1396" s="150" t="s">
        <v>215</v>
      </c>
      <c r="AC1396" s="48" t="s">
        <v>3163</v>
      </c>
      <c r="AD1396" s="150" t="s">
        <v>555</v>
      </c>
      <c r="AE1396" s="296">
        <v>1</v>
      </c>
      <c r="AF1396" s="296"/>
      <c r="AG1396" s="286"/>
      <c r="AH1396" s="49"/>
      <c r="AI1396" s="266"/>
      <c r="AJ1396" s="150"/>
      <c r="AK1396" s="150"/>
      <c r="AL1396" s="150"/>
      <c r="AM1396" s="150"/>
      <c r="AN1396" s="367"/>
      <c r="AO1396" s="367"/>
      <c r="AP1396" s="367"/>
      <c r="AQ1396" s="367"/>
      <c r="AR1396" s="367"/>
      <c r="AS1396" s="367"/>
      <c r="AT1396" s="367"/>
      <c r="AU1396" s="367"/>
      <c r="AV1396" s="367"/>
      <c r="AW1396" s="367"/>
      <c r="AX1396" s="367"/>
      <c r="AY1396" s="367"/>
      <c r="AZ1396" s="367"/>
      <c r="BA1396" s="367"/>
      <c r="BB1396" s="152"/>
      <c r="BC1396" s="152"/>
      <c r="BD1396" s="367" t="s">
        <v>3885</v>
      </c>
      <c r="BE1396" s="367"/>
      <c r="BF1396" s="367"/>
      <c r="BG1396" s="367"/>
      <c r="BH1396" s="260"/>
      <c r="BL1396" s="54"/>
    </row>
    <row r="1397" spans="1:64" ht="37.950000000000003" customHeight="1" x14ac:dyDescent="0.3">
      <c r="A1397" s="367">
        <f t="shared" si="25"/>
        <v>1392</v>
      </c>
      <c r="B1397" s="54" t="s">
        <v>3896</v>
      </c>
      <c r="C1397" s="367" t="s">
        <v>12</v>
      </c>
      <c r="D1397" s="367"/>
      <c r="E1397" s="367"/>
      <c r="F1397" s="367"/>
      <c r="G1397" s="367"/>
      <c r="H1397" s="367"/>
      <c r="I1397" s="367" t="s">
        <v>3117</v>
      </c>
      <c r="J1397" s="48" t="s">
        <v>3867</v>
      </c>
      <c r="K1397" s="48" t="s">
        <v>3871</v>
      </c>
      <c r="L1397" s="367"/>
      <c r="M1397" s="150" t="s">
        <v>65</v>
      </c>
      <c r="N1397" s="150" t="s">
        <v>3120</v>
      </c>
      <c r="O1397" s="150" t="s">
        <v>3121</v>
      </c>
      <c r="P1397" s="367">
        <v>6.5</v>
      </c>
      <c r="Q1397" s="367"/>
      <c r="R1397" s="367">
        <v>610</v>
      </c>
      <c r="S1397" s="367"/>
      <c r="T1397" s="367"/>
      <c r="U1397" s="367" t="s">
        <v>127</v>
      </c>
      <c r="V1397" s="367"/>
      <c r="W1397" s="367"/>
      <c r="X1397" s="367"/>
      <c r="Y1397" s="367"/>
      <c r="Z1397" s="367"/>
      <c r="AA1397" s="367"/>
      <c r="AB1397" s="150" t="s">
        <v>215</v>
      </c>
      <c r="AC1397" s="48" t="s">
        <v>3191</v>
      </c>
      <c r="AD1397" s="150" t="s">
        <v>552</v>
      </c>
      <c r="AE1397" s="296">
        <v>1</v>
      </c>
      <c r="AF1397" s="296"/>
      <c r="AG1397" s="286"/>
      <c r="AH1397" s="49"/>
      <c r="AI1397" s="266"/>
      <c r="AJ1397" s="150"/>
      <c r="AK1397" s="150"/>
      <c r="AL1397" s="150"/>
      <c r="AM1397" s="150"/>
      <c r="AN1397" s="367"/>
      <c r="AO1397" s="367"/>
      <c r="AP1397" s="367"/>
      <c r="AQ1397" s="367"/>
      <c r="AR1397" s="367"/>
      <c r="AS1397" s="367"/>
      <c r="AT1397" s="367"/>
      <c r="AU1397" s="367"/>
      <c r="AV1397" s="367"/>
      <c r="AW1397" s="367"/>
      <c r="AX1397" s="367"/>
      <c r="AY1397" s="367"/>
      <c r="AZ1397" s="367"/>
      <c r="BA1397" s="367"/>
      <c r="BB1397" s="152"/>
      <c r="BC1397" s="152"/>
      <c r="BD1397" s="367" t="s">
        <v>3885</v>
      </c>
      <c r="BE1397" s="367"/>
      <c r="BF1397" s="367"/>
      <c r="BG1397" s="367"/>
      <c r="BH1397" s="260"/>
      <c r="BL1397" s="54"/>
    </row>
    <row r="1398" spans="1:64" ht="37.950000000000003" customHeight="1" x14ac:dyDescent="0.3">
      <c r="A1398" s="367">
        <f t="shared" si="25"/>
        <v>1393</v>
      </c>
      <c r="B1398" s="54" t="s">
        <v>3897</v>
      </c>
      <c r="C1398" s="367" t="s">
        <v>12</v>
      </c>
      <c r="D1398" s="367"/>
      <c r="E1398" s="367"/>
      <c r="F1398" s="367"/>
      <c r="G1398" s="367"/>
      <c r="H1398" s="367"/>
      <c r="I1398" s="367" t="s">
        <v>3117</v>
      </c>
      <c r="J1398" s="48" t="s">
        <v>3867</v>
      </c>
      <c r="K1398" s="48" t="s">
        <v>3871</v>
      </c>
      <c r="L1398" s="367"/>
      <c r="M1398" s="150" t="s">
        <v>65</v>
      </c>
      <c r="N1398" s="150" t="s">
        <v>3120</v>
      </c>
      <c r="O1398" s="150" t="s">
        <v>3121</v>
      </c>
      <c r="P1398" s="367">
        <v>6.5</v>
      </c>
      <c r="Q1398" s="367"/>
      <c r="R1398" s="367">
        <v>610</v>
      </c>
      <c r="S1398" s="367"/>
      <c r="T1398" s="367"/>
      <c r="U1398" s="367"/>
      <c r="V1398" s="367"/>
      <c r="W1398" s="367"/>
      <c r="X1398" s="367"/>
      <c r="Y1398" s="367"/>
      <c r="Z1398" s="367"/>
      <c r="AA1398" s="367"/>
      <c r="AB1398" s="150" t="s">
        <v>215</v>
      </c>
      <c r="AC1398" s="48" t="s">
        <v>3127</v>
      </c>
      <c r="AD1398" s="150" t="s">
        <v>238</v>
      </c>
      <c r="AE1398" s="296">
        <v>1</v>
      </c>
      <c r="AF1398" s="296"/>
      <c r="AG1398" s="286"/>
      <c r="AH1398" s="49"/>
      <c r="AI1398" s="266"/>
      <c r="AJ1398" s="150"/>
      <c r="AK1398" s="150"/>
      <c r="AL1398" s="150"/>
      <c r="AM1398" s="150"/>
      <c r="AN1398" s="367"/>
      <c r="AO1398" s="367"/>
      <c r="AP1398" s="367"/>
      <c r="AQ1398" s="367"/>
      <c r="AR1398" s="367"/>
      <c r="AS1398" s="367"/>
      <c r="AT1398" s="367"/>
      <c r="AU1398" s="367"/>
      <c r="AV1398" s="367"/>
      <c r="AW1398" s="367"/>
      <c r="AX1398" s="367"/>
      <c r="AY1398" s="367"/>
      <c r="AZ1398" s="367"/>
      <c r="BA1398" s="367"/>
      <c r="BB1398" s="152"/>
      <c r="BC1398" s="152"/>
      <c r="BD1398" s="367" t="s">
        <v>3885</v>
      </c>
      <c r="BE1398" s="367"/>
      <c r="BF1398" s="367"/>
      <c r="BG1398" s="367"/>
      <c r="BH1398" s="260"/>
      <c r="BL1398" s="54"/>
    </row>
    <row r="1399" spans="1:64" ht="37.950000000000003" customHeight="1" x14ac:dyDescent="0.3">
      <c r="A1399" s="367">
        <f t="shared" si="25"/>
        <v>1394</v>
      </c>
      <c r="B1399" s="54" t="s">
        <v>3898</v>
      </c>
      <c r="C1399" s="367" t="s">
        <v>12</v>
      </c>
      <c r="D1399" s="367"/>
      <c r="E1399" s="367"/>
      <c r="F1399" s="367"/>
      <c r="G1399" s="367"/>
      <c r="H1399" s="367"/>
      <c r="I1399" s="367" t="s">
        <v>3117</v>
      </c>
      <c r="J1399" s="48" t="s">
        <v>3867</v>
      </c>
      <c r="K1399" s="48" t="s">
        <v>3871</v>
      </c>
      <c r="L1399" s="367"/>
      <c r="M1399" s="150" t="s">
        <v>65</v>
      </c>
      <c r="N1399" s="150" t="s">
        <v>3120</v>
      </c>
      <c r="O1399" s="150" t="s">
        <v>3121</v>
      </c>
      <c r="P1399" s="367">
        <v>6.5</v>
      </c>
      <c r="Q1399" s="367"/>
      <c r="R1399" s="367">
        <v>610</v>
      </c>
      <c r="S1399" s="367"/>
      <c r="T1399" s="367"/>
      <c r="U1399" s="367" t="s">
        <v>127</v>
      </c>
      <c r="V1399" s="367"/>
      <c r="W1399" s="367"/>
      <c r="X1399" s="367"/>
      <c r="Y1399" s="367"/>
      <c r="Z1399" s="367"/>
      <c r="AA1399" s="367"/>
      <c r="AB1399" s="150" t="s">
        <v>215</v>
      </c>
      <c r="AC1399" s="48" t="s">
        <v>3163</v>
      </c>
      <c r="AD1399" s="150" t="s">
        <v>555</v>
      </c>
      <c r="AE1399" s="296">
        <v>1</v>
      </c>
      <c r="AF1399" s="296"/>
      <c r="AG1399" s="286"/>
      <c r="AH1399" s="49"/>
      <c r="AI1399" s="266"/>
      <c r="AJ1399" s="150"/>
      <c r="AK1399" s="150"/>
      <c r="AL1399" s="150"/>
      <c r="AM1399" s="150"/>
      <c r="AN1399" s="367"/>
      <c r="AO1399" s="367"/>
      <c r="AP1399" s="367"/>
      <c r="AQ1399" s="367"/>
      <c r="AR1399" s="367"/>
      <c r="AS1399" s="367"/>
      <c r="AT1399" s="367"/>
      <c r="AU1399" s="367"/>
      <c r="AV1399" s="367"/>
      <c r="AW1399" s="367"/>
      <c r="AX1399" s="367"/>
      <c r="AY1399" s="367"/>
      <c r="AZ1399" s="367"/>
      <c r="BA1399" s="367"/>
      <c r="BB1399" s="152"/>
      <c r="BC1399" s="152"/>
      <c r="BD1399" s="367" t="s">
        <v>3885</v>
      </c>
      <c r="BE1399" s="367"/>
      <c r="BF1399" s="367"/>
      <c r="BG1399" s="367"/>
      <c r="BH1399" s="260"/>
      <c r="BL1399" s="54"/>
    </row>
    <row r="1400" spans="1:64" ht="37.950000000000003" customHeight="1" x14ac:dyDescent="0.3">
      <c r="A1400" s="367">
        <f t="shared" si="25"/>
        <v>1395</v>
      </c>
      <c r="B1400" s="54" t="s">
        <v>3899</v>
      </c>
      <c r="C1400" s="367" t="s">
        <v>12</v>
      </c>
      <c r="D1400" s="367"/>
      <c r="E1400" s="367"/>
      <c r="F1400" s="367"/>
      <c r="G1400" s="367"/>
      <c r="H1400" s="367"/>
      <c r="I1400" s="367" t="s">
        <v>3117</v>
      </c>
      <c r="J1400" s="54" t="s">
        <v>3118</v>
      </c>
      <c r="K1400" s="48" t="s">
        <v>716</v>
      </c>
      <c r="L1400" s="367"/>
      <c r="M1400" s="150" t="s">
        <v>120</v>
      </c>
      <c r="N1400" s="367"/>
      <c r="O1400" s="367"/>
      <c r="P1400" s="367"/>
      <c r="Q1400" s="367"/>
      <c r="R1400" s="367">
        <v>660</v>
      </c>
      <c r="S1400" s="367"/>
      <c r="T1400" s="367"/>
      <c r="U1400" s="367"/>
      <c r="V1400" s="367"/>
      <c r="W1400" s="367"/>
      <c r="X1400" s="367"/>
      <c r="Y1400" s="150" t="s">
        <v>3136</v>
      </c>
      <c r="Z1400" s="367"/>
      <c r="AA1400" s="367"/>
      <c r="AB1400" s="150"/>
      <c r="AC1400" s="48" t="s">
        <v>3137</v>
      </c>
      <c r="AD1400" s="150" t="s">
        <v>2427</v>
      </c>
      <c r="AE1400" s="296">
        <v>1</v>
      </c>
      <c r="AF1400" s="296"/>
      <c r="AG1400" s="286"/>
      <c r="AH1400" s="49"/>
      <c r="AI1400" s="266"/>
      <c r="AJ1400" s="150"/>
      <c r="AK1400" s="150"/>
      <c r="AL1400" s="150"/>
      <c r="AM1400" s="150"/>
      <c r="AN1400" s="367"/>
      <c r="AO1400" s="367"/>
      <c r="AP1400" s="367"/>
      <c r="AQ1400" s="367"/>
      <c r="AR1400" s="367"/>
      <c r="AS1400" s="367"/>
      <c r="AT1400" s="367"/>
      <c r="AU1400" s="367"/>
      <c r="AV1400" s="367"/>
      <c r="AW1400" s="367"/>
      <c r="AX1400" s="367"/>
      <c r="AY1400" s="367"/>
      <c r="AZ1400" s="367"/>
      <c r="BA1400" s="367"/>
      <c r="BB1400" s="152" t="s">
        <v>3134</v>
      </c>
      <c r="BC1400" s="152"/>
      <c r="BD1400" s="367" t="s">
        <v>3900</v>
      </c>
      <c r="BE1400" s="367"/>
      <c r="BF1400" s="367"/>
      <c r="BG1400" s="367"/>
      <c r="BH1400" s="260"/>
      <c r="BL1400" s="54"/>
    </row>
    <row r="1401" spans="1:64" ht="37.950000000000003" customHeight="1" x14ac:dyDescent="0.3">
      <c r="A1401" s="367">
        <f t="shared" si="25"/>
        <v>1396</v>
      </c>
      <c r="B1401" s="54" t="s">
        <v>3901</v>
      </c>
      <c r="C1401" s="367" t="s">
        <v>12</v>
      </c>
      <c r="D1401" s="367"/>
      <c r="E1401" s="367"/>
      <c r="F1401" s="367"/>
      <c r="G1401" s="367"/>
      <c r="H1401" s="367"/>
      <c r="I1401" s="367" t="s">
        <v>3117</v>
      </c>
      <c r="J1401" s="54" t="s">
        <v>3139</v>
      </c>
      <c r="K1401" s="48" t="s">
        <v>3148</v>
      </c>
      <c r="L1401" s="367"/>
      <c r="M1401" s="150" t="s">
        <v>120</v>
      </c>
      <c r="N1401" s="150" t="s">
        <v>3120</v>
      </c>
      <c r="O1401" s="150" t="s">
        <v>3121</v>
      </c>
      <c r="P1401" s="367">
        <v>6.5</v>
      </c>
      <c r="Q1401" s="367"/>
      <c r="R1401" s="367">
        <v>660</v>
      </c>
      <c r="S1401" s="367"/>
      <c r="T1401" s="367"/>
      <c r="U1401" s="367"/>
      <c r="V1401" s="367"/>
      <c r="W1401" s="367"/>
      <c r="X1401" s="367"/>
      <c r="Y1401" s="367"/>
      <c r="Z1401" s="367"/>
      <c r="AA1401" s="367"/>
      <c r="AB1401" s="150" t="s">
        <v>215</v>
      </c>
      <c r="AC1401" s="48" t="s">
        <v>3141</v>
      </c>
      <c r="AD1401" s="150" t="s">
        <v>2427</v>
      </c>
      <c r="AE1401" s="296">
        <v>1</v>
      </c>
      <c r="AF1401" s="296"/>
      <c r="AG1401" s="286"/>
      <c r="AH1401" s="49"/>
      <c r="AI1401" s="266"/>
      <c r="AJ1401" s="150"/>
      <c r="AK1401" s="150"/>
      <c r="AL1401" s="150"/>
      <c r="AM1401" s="150"/>
      <c r="AN1401" s="367"/>
      <c r="AO1401" s="367"/>
      <c r="AP1401" s="367"/>
      <c r="AQ1401" s="367"/>
      <c r="AR1401" s="367"/>
      <c r="AS1401" s="367"/>
      <c r="AT1401" s="367"/>
      <c r="AU1401" s="367"/>
      <c r="AV1401" s="367"/>
      <c r="AW1401" s="367"/>
      <c r="AX1401" s="367"/>
      <c r="AY1401" s="367"/>
      <c r="AZ1401" s="367"/>
      <c r="BA1401" s="367"/>
      <c r="BB1401" s="152"/>
      <c r="BC1401" s="152"/>
      <c r="BD1401" s="367" t="s">
        <v>3900</v>
      </c>
      <c r="BE1401" s="367"/>
      <c r="BF1401" s="367"/>
      <c r="BG1401" s="367"/>
      <c r="BH1401" s="260"/>
      <c r="BL1401" s="54"/>
    </row>
    <row r="1402" spans="1:64" ht="37.950000000000003" customHeight="1" x14ac:dyDescent="0.3">
      <c r="A1402" s="367">
        <f t="shared" si="25"/>
        <v>1397</v>
      </c>
      <c r="B1402" s="54" t="s">
        <v>3902</v>
      </c>
      <c r="C1402" s="367" t="s">
        <v>12</v>
      </c>
      <c r="D1402" s="367"/>
      <c r="E1402" s="367"/>
      <c r="F1402" s="367"/>
      <c r="G1402" s="367"/>
      <c r="H1402" s="367"/>
      <c r="I1402" s="367" t="s">
        <v>3117</v>
      </c>
      <c r="J1402" s="48" t="s">
        <v>3139</v>
      </c>
      <c r="K1402" s="48" t="s">
        <v>3148</v>
      </c>
      <c r="L1402" s="367"/>
      <c r="M1402" s="150" t="s">
        <v>120</v>
      </c>
      <c r="N1402" s="150" t="s">
        <v>3120</v>
      </c>
      <c r="O1402" s="150" t="s">
        <v>3121</v>
      </c>
      <c r="P1402" s="367">
        <v>6.5</v>
      </c>
      <c r="Q1402" s="367"/>
      <c r="R1402" s="367">
        <v>660</v>
      </c>
      <c r="S1402" s="367"/>
      <c r="T1402" s="367"/>
      <c r="U1402" s="367"/>
      <c r="V1402" s="367"/>
      <c r="W1402" s="367"/>
      <c r="X1402" s="367"/>
      <c r="Y1402" s="367"/>
      <c r="Z1402" s="367"/>
      <c r="AA1402" s="367"/>
      <c r="AB1402" s="150" t="s">
        <v>215</v>
      </c>
      <c r="AC1402" s="48" t="s">
        <v>3153</v>
      </c>
      <c r="AD1402" s="150"/>
      <c r="AE1402" s="296"/>
      <c r="AF1402" s="296"/>
      <c r="AG1402" s="286"/>
      <c r="AH1402" s="49"/>
      <c r="AI1402" s="266"/>
      <c r="AJ1402" s="150"/>
      <c r="AK1402" s="150"/>
      <c r="AL1402" s="150"/>
      <c r="AM1402" s="150"/>
      <c r="AN1402" s="367"/>
      <c r="AO1402" s="367"/>
      <c r="AP1402" s="367"/>
      <c r="AQ1402" s="367"/>
      <c r="AR1402" s="367"/>
      <c r="AS1402" s="367"/>
      <c r="AT1402" s="367"/>
      <c r="AU1402" s="367"/>
      <c r="AV1402" s="367"/>
      <c r="AW1402" s="367"/>
      <c r="AX1402" s="367"/>
      <c r="AY1402" s="367"/>
      <c r="AZ1402" s="367"/>
      <c r="BA1402" s="367"/>
      <c r="BB1402" s="152"/>
      <c r="BC1402" s="152"/>
      <c r="BD1402" s="367" t="s">
        <v>3900</v>
      </c>
      <c r="BE1402" s="367"/>
      <c r="BF1402" s="367"/>
      <c r="BG1402" s="367"/>
      <c r="BH1402" s="260"/>
      <c r="BL1402" s="54"/>
    </row>
    <row r="1403" spans="1:64" ht="37.950000000000003" customHeight="1" x14ac:dyDescent="0.3">
      <c r="A1403" s="367">
        <f t="shared" si="25"/>
        <v>1398</v>
      </c>
      <c r="B1403" s="54" t="s">
        <v>3903</v>
      </c>
      <c r="C1403" s="367" t="s">
        <v>12</v>
      </c>
      <c r="D1403" s="367"/>
      <c r="E1403" s="367"/>
      <c r="F1403" s="367"/>
      <c r="G1403" s="367"/>
      <c r="H1403" s="367"/>
      <c r="I1403" s="367" t="s">
        <v>3117</v>
      </c>
      <c r="J1403" s="54" t="s">
        <v>3167</v>
      </c>
      <c r="K1403" s="48" t="s">
        <v>3172</v>
      </c>
      <c r="L1403" s="367"/>
      <c r="M1403" s="150" t="s">
        <v>120</v>
      </c>
      <c r="N1403" s="150" t="s">
        <v>3120</v>
      </c>
      <c r="O1403" s="150" t="s">
        <v>3121</v>
      </c>
      <c r="P1403" s="367">
        <v>6.5</v>
      </c>
      <c r="Q1403" s="367"/>
      <c r="R1403" s="367">
        <v>800</v>
      </c>
      <c r="S1403" s="367"/>
      <c r="T1403" s="367"/>
      <c r="U1403" s="367" t="s">
        <v>127</v>
      </c>
      <c r="V1403" s="367" t="s">
        <v>127</v>
      </c>
      <c r="W1403" s="367"/>
      <c r="X1403" s="367"/>
      <c r="Y1403" s="367"/>
      <c r="Z1403" s="367"/>
      <c r="AA1403" s="367"/>
      <c r="AB1403" s="150" t="s">
        <v>215</v>
      </c>
      <c r="AC1403" s="48" t="s">
        <v>3173</v>
      </c>
      <c r="AD1403" s="150" t="s">
        <v>3904</v>
      </c>
      <c r="AE1403" s="296">
        <v>1</v>
      </c>
      <c r="AF1403" s="296"/>
      <c r="AG1403" s="286"/>
      <c r="AH1403" s="49"/>
      <c r="AI1403" s="266"/>
      <c r="AJ1403" s="150"/>
      <c r="AK1403" s="150"/>
      <c r="AL1403" s="150"/>
      <c r="AM1403" s="150"/>
      <c r="AN1403" s="367"/>
      <c r="AO1403" s="367"/>
      <c r="AP1403" s="367"/>
      <c r="AQ1403" s="367"/>
      <c r="AR1403" s="367"/>
      <c r="AS1403" s="367"/>
      <c r="AT1403" s="367"/>
      <c r="AU1403" s="367"/>
      <c r="AV1403" s="367"/>
      <c r="AW1403" s="367"/>
      <c r="AX1403" s="367"/>
      <c r="AY1403" s="367"/>
      <c r="AZ1403" s="367"/>
      <c r="BA1403" s="367"/>
      <c r="BB1403" s="152"/>
      <c r="BC1403" s="152"/>
      <c r="BD1403" s="367" t="s">
        <v>3900</v>
      </c>
      <c r="BE1403" s="367"/>
      <c r="BF1403" s="367"/>
      <c r="BG1403" s="367"/>
      <c r="BH1403" s="260"/>
      <c r="BL1403" s="54"/>
    </row>
    <row r="1404" spans="1:64" ht="37.950000000000003" customHeight="1" x14ac:dyDescent="0.3">
      <c r="A1404" s="367">
        <f t="shared" si="25"/>
        <v>1399</v>
      </c>
      <c r="B1404" s="54" t="s">
        <v>3905</v>
      </c>
      <c r="C1404" s="367" t="s">
        <v>12</v>
      </c>
      <c r="D1404" s="367"/>
      <c r="E1404" s="367"/>
      <c r="F1404" s="367"/>
      <c r="G1404" s="367"/>
      <c r="H1404" s="367"/>
      <c r="I1404" s="367" t="s">
        <v>3117</v>
      </c>
      <c r="J1404" s="54" t="s">
        <v>3167</v>
      </c>
      <c r="K1404" s="48" t="s">
        <v>3172</v>
      </c>
      <c r="L1404" s="367"/>
      <c r="M1404" s="150" t="s">
        <v>120</v>
      </c>
      <c r="N1404" s="150" t="s">
        <v>3120</v>
      </c>
      <c r="O1404" s="150" t="s">
        <v>3121</v>
      </c>
      <c r="P1404" s="367">
        <v>6.5</v>
      </c>
      <c r="Q1404" s="367"/>
      <c r="R1404" s="367">
        <v>800</v>
      </c>
      <c r="S1404" s="367"/>
      <c r="T1404" s="367"/>
      <c r="U1404" s="367"/>
      <c r="V1404" s="367"/>
      <c r="W1404" s="367"/>
      <c r="X1404" s="367"/>
      <c r="Y1404" s="367"/>
      <c r="Z1404" s="367"/>
      <c r="AA1404" s="367"/>
      <c r="AB1404" s="150" t="s">
        <v>215</v>
      </c>
      <c r="AC1404" s="48" t="s">
        <v>3175</v>
      </c>
      <c r="AD1404" s="150"/>
      <c r="AE1404" s="296"/>
      <c r="AF1404" s="296"/>
      <c r="AG1404" s="286"/>
      <c r="AH1404" s="49"/>
      <c r="AI1404" s="266"/>
      <c r="AJ1404" s="150"/>
      <c r="AK1404" s="150"/>
      <c r="AL1404" s="150"/>
      <c r="AM1404" s="150"/>
      <c r="AN1404" s="367"/>
      <c r="AO1404" s="367"/>
      <c r="AP1404" s="367"/>
      <c r="AQ1404" s="367"/>
      <c r="AR1404" s="367"/>
      <c r="AS1404" s="367"/>
      <c r="AT1404" s="367"/>
      <c r="AU1404" s="367"/>
      <c r="AV1404" s="367"/>
      <c r="AW1404" s="367"/>
      <c r="AX1404" s="367"/>
      <c r="AY1404" s="367"/>
      <c r="AZ1404" s="367"/>
      <c r="BA1404" s="367"/>
      <c r="BB1404" s="152"/>
      <c r="BC1404" s="152"/>
      <c r="BD1404" s="367" t="s">
        <v>3900</v>
      </c>
      <c r="BE1404" s="367"/>
      <c r="BF1404" s="367"/>
      <c r="BG1404" s="367"/>
      <c r="BH1404" s="260"/>
      <c r="BL1404" s="54"/>
    </row>
    <row r="1405" spans="1:64" ht="37.950000000000003" customHeight="1" x14ac:dyDescent="0.3">
      <c r="A1405" s="367">
        <f t="shared" si="25"/>
        <v>1400</v>
      </c>
      <c r="B1405" s="54" t="s">
        <v>3906</v>
      </c>
      <c r="C1405" s="367" t="s">
        <v>12</v>
      </c>
      <c r="D1405" s="367"/>
      <c r="E1405" s="367"/>
      <c r="F1405" s="367"/>
      <c r="G1405" s="367"/>
      <c r="H1405" s="367"/>
      <c r="I1405" s="367" t="s">
        <v>3117</v>
      </c>
      <c r="J1405" s="54" t="s">
        <v>3167</v>
      </c>
      <c r="K1405" s="48" t="s">
        <v>3172</v>
      </c>
      <c r="L1405" s="367"/>
      <c r="M1405" s="150" t="s">
        <v>120</v>
      </c>
      <c r="N1405" s="150" t="s">
        <v>3120</v>
      </c>
      <c r="O1405" s="150" t="s">
        <v>3121</v>
      </c>
      <c r="P1405" s="367">
        <v>6.5</v>
      </c>
      <c r="Q1405" s="367"/>
      <c r="R1405" s="367">
        <v>800</v>
      </c>
      <c r="S1405" s="367"/>
      <c r="T1405" s="367"/>
      <c r="U1405" s="367" t="s">
        <v>127</v>
      </c>
      <c r="V1405" s="367"/>
      <c r="W1405" s="367"/>
      <c r="X1405" s="367"/>
      <c r="Y1405" s="367"/>
      <c r="Z1405" s="367"/>
      <c r="AA1405" s="367"/>
      <c r="AB1405" s="150" t="s">
        <v>215</v>
      </c>
      <c r="AC1405" s="48" t="s">
        <v>3177</v>
      </c>
      <c r="AD1405" s="150" t="s">
        <v>3907</v>
      </c>
      <c r="AE1405" s="296">
        <v>1</v>
      </c>
      <c r="AF1405" s="296"/>
      <c r="AG1405" s="286"/>
      <c r="AH1405" s="49"/>
      <c r="AI1405" s="266"/>
      <c r="AJ1405" s="150"/>
      <c r="AK1405" s="150"/>
      <c r="AL1405" s="150"/>
      <c r="AM1405" s="150"/>
      <c r="AN1405" s="367"/>
      <c r="AO1405" s="367"/>
      <c r="AP1405" s="367"/>
      <c r="AQ1405" s="367"/>
      <c r="AR1405" s="367"/>
      <c r="AS1405" s="367"/>
      <c r="AT1405" s="367"/>
      <c r="AU1405" s="367"/>
      <c r="AV1405" s="367"/>
      <c r="AW1405" s="367"/>
      <c r="AX1405" s="367"/>
      <c r="AY1405" s="367"/>
      <c r="AZ1405" s="367"/>
      <c r="BA1405" s="367"/>
      <c r="BB1405" s="152"/>
      <c r="BC1405" s="152"/>
      <c r="BD1405" s="367" t="s">
        <v>3900</v>
      </c>
      <c r="BE1405" s="367"/>
      <c r="BF1405" s="367"/>
      <c r="BG1405" s="367"/>
      <c r="BH1405" s="260"/>
      <c r="BL1405" s="54"/>
    </row>
    <row r="1406" spans="1:64" ht="37.950000000000003" customHeight="1" x14ac:dyDescent="0.3">
      <c r="A1406" s="367">
        <f t="shared" si="25"/>
        <v>1401</v>
      </c>
      <c r="B1406" s="54" t="s">
        <v>3908</v>
      </c>
      <c r="C1406" s="367" t="s">
        <v>6</v>
      </c>
      <c r="D1406" s="367"/>
      <c r="E1406" s="367"/>
      <c r="F1406" s="367"/>
      <c r="G1406" s="367"/>
      <c r="H1406" s="367"/>
      <c r="I1406" s="367" t="s">
        <v>3909</v>
      </c>
      <c r="J1406" s="54" t="s">
        <v>3910</v>
      </c>
      <c r="K1406" s="48" t="s">
        <v>3910</v>
      </c>
      <c r="L1406" s="367" t="s">
        <v>2280</v>
      </c>
      <c r="M1406" s="150" t="s">
        <v>65</v>
      </c>
      <c r="N1406" s="150" t="s">
        <v>2561</v>
      </c>
      <c r="O1406" s="150" t="s">
        <v>2375</v>
      </c>
      <c r="P1406" s="367">
        <v>8</v>
      </c>
      <c r="Q1406" s="367">
        <v>10</v>
      </c>
      <c r="R1406" s="367"/>
      <c r="S1406" s="367">
        <v>50</v>
      </c>
      <c r="T1406" s="367">
        <v>10</v>
      </c>
      <c r="U1406" s="367"/>
      <c r="V1406" s="367"/>
      <c r="W1406" s="367"/>
      <c r="X1406" s="367"/>
      <c r="Y1406" s="367"/>
      <c r="Z1406" s="367"/>
      <c r="AA1406" s="367"/>
      <c r="AB1406" s="150"/>
      <c r="AC1406" s="48" t="s">
        <v>3911</v>
      </c>
      <c r="AD1406" s="150" t="s">
        <v>1592</v>
      </c>
      <c r="AE1406" s="296">
        <v>46171</v>
      </c>
      <c r="AF1406" s="296"/>
      <c r="AG1406" s="286"/>
      <c r="AH1406" s="49"/>
      <c r="AI1406" s="266"/>
      <c r="AJ1406" s="150" t="s">
        <v>617</v>
      </c>
      <c r="AK1406" s="150"/>
      <c r="AL1406" s="150"/>
      <c r="AM1406" s="150"/>
      <c r="AN1406" s="367"/>
      <c r="AO1406" s="367"/>
      <c r="AP1406" s="367"/>
      <c r="AQ1406" s="367"/>
      <c r="AR1406" s="367"/>
      <c r="AS1406" s="367"/>
      <c r="AT1406" s="367"/>
      <c r="AU1406" s="367"/>
      <c r="AV1406" s="367"/>
      <c r="AW1406" s="367"/>
      <c r="AX1406" s="367"/>
      <c r="AY1406" s="367"/>
      <c r="AZ1406" s="367"/>
      <c r="BA1406" s="367"/>
      <c r="BB1406" s="152"/>
      <c r="BC1406" s="152"/>
      <c r="BD1406" s="367" t="s">
        <v>2455</v>
      </c>
      <c r="BE1406" s="367"/>
      <c r="BF1406" s="367"/>
      <c r="BG1406" s="367"/>
      <c r="BH1406" s="260"/>
      <c r="BL1406" s="54"/>
    </row>
    <row r="1407" spans="1:64" ht="37.950000000000003" customHeight="1" x14ac:dyDescent="0.3">
      <c r="A1407" s="367">
        <f t="shared" si="25"/>
        <v>1402</v>
      </c>
      <c r="B1407" s="54" t="s">
        <v>3912</v>
      </c>
      <c r="C1407" s="367" t="s">
        <v>6</v>
      </c>
      <c r="D1407" s="367"/>
      <c r="E1407" s="367"/>
      <c r="F1407" s="367"/>
      <c r="G1407" s="367"/>
      <c r="H1407" s="367"/>
      <c r="I1407" s="367" t="s">
        <v>3913</v>
      </c>
      <c r="J1407" s="54" t="s">
        <v>3910</v>
      </c>
      <c r="K1407" s="48" t="s">
        <v>3910</v>
      </c>
      <c r="L1407" s="367" t="s">
        <v>2280</v>
      </c>
      <c r="M1407" s="150" t="s">
        <v>65</v>
      </c>
      <c r="N1407" s="150" t="s">
        <v>2561</v>
      </c>
      <c r="O1407" s="150" t="s">
        <v>2375</v>
      </c>
      <c r="P1407" s="367">
        <v>8</v>
      </c>
      <c r="Q1407" s="367"/>
      <c r="R1407" s="367"/>
      <c r="S1407" s="367">
        <v>50</v>
      </c>
      <c r="T1407" s="367">
        <v>10</v>
      </c>
      <c r="U1407" s="367"/>
      <c r="V1407" s="367"/>
      <c r="W1407" s="367"/>
      <c r="X1407" s="367"/>
      <c r="Y1407" s="367"/>
      <c r="Z1407" s="367"/>
      <c r="AA1407" s="367"/>
      <c r="AB1407" s="150"/>
      <c r="AC1407" s="48" t="s">
        <v>3914</v>
      </c>
      <c r="AD1407" s="150" t="s">
        <v>169</v>
      </c>
      <c r="AE1407" s="296">
        <v>46171</v>
      </c>
      <c r="AF1407" s="296"/>
      <c r="AG1407" s="286"/>
      <c r="AH1407" s="49"/>
      <c r="AI1407" s="266"/>
      <c r="AJ1407" s="150" t="s">
        <v>617</v>
      </c>
      <c r="AK1407" s="150"/>
      <c r="AL1407" s="150"/>
      <c r="AM1407" s="150"/>
      <c r="AN1407" s="367"/>
      <c r="AO1407" s="367"/>
      <c r="AP1407" s="367"/>
      <c r="AQ1407" s="367"/>
      <c r="AR1407" s="367"/>
      <c r="AS1407" s="367"/>
      <c r="AT1407" s="367"/>
      <c r="AU1407" s="367"/>
      <c r="AV1407" s="367"/>
      <c r="AW1407" s="367"/>
      <c r="AX1407" s="367"/>
      <c r="AY1407" s="367"/>
      <c r="AZ1407" s="367"/>
      <c r="BA1407" s="367"/>
      <c r="BB1407" s="152"/>
      <c r="BC1407" s="152"/>
      <c r="BD1407" s="367" t="s">
        <v>2455</v>
      </c>
      <c r="BE1407" s="367"/>
      <c r="BF1407" s="367"/>
      <c r="BG1407" s="367"/>
      <c r="BH1407" s="260"/>
      <c r="BL1407" s="54"/>
    </row>
    <row r="1408" spans="1:64" ht="37.950000000000003" customHeight="1" x14ac:dyDescent="0.3">
      <c r="A1408" s="367">
        <f t="shared" si="25"/>
        <v>1403</v>
      </c>
      <c r="B1408" s="54" t="s">
        <v>3915</v>
      </c>
      <c r="C1408" s="367" t="s">
        <v>6</v>
      </c>
      <c r="D1408" s="367" t="s">
        <v>262</v>
      </c>
      <c r="E1408" s="367"/>
      <c r="F1408" s="367"/>
      <c r="G1408" s="367"/>
      <c r="H1408" s="367"/>
      <c r="I1408" s="367" t="s">
        <v>3916</v>
      </c>
      <c r="J1408" s="54" t="s">
        <v>1524</v>
      </c>
      <c r="K1408" s="48" t="s">
        <v>3806</v>
      </c>
      <c r="L1408" s="367" t="s">
        <v>66</v>
      </c>
      <c r="M1408" s="150" t="s">
        <v>65</v>
      </c>
      <c r="N1408" s="150" t="s">
        <v>3917</v>
      </c>
      <c r="O1408" s="150" t="s">
        <v>2593</v>
      </c>
      <c r="P1408" s="367">
        <v>6</v>
      </c>
      <c r="Q1408" s="367">
        <v>10</v>
      </c>
      <c r="R1408" s="367"/>
      <c r="S1408" s="367">
        <v>100</v>
      </c>
      <c r="T1408" s="367">
        <v>12</v>
      </c>
      <c r="U1408" s="367"/>
      <c r="V1408" s="367"/>
      <c r="W1408" s="367"/>
      <c r="X1408" s="367"/>
      <c r="Y1408" s="367"/>
      <c r="Z1408" s="367" t="s">
        <v>127</v>
      </c>
      <c r="AA1408" s="367"/>
      <c r="AB1408" s="150"/>
      <c r="AC1408" s="48" t="s">
        <v>3918</v>
      </c>
      <c r="AD1408" s="150" t="s">
        <v>2326</v>
      </c>
      <c r="AE1408" s="296">
        <v>46190</v>
      </c>
      <c r="AF1408" s="296"/>
      <c r="AG1408" s="286"/>
      <c r="AH1408" s="49"/>
      <c r="AI1408" s="266"/>
      <c r="AJ1408" s="150" t="s">
        <v>617</v>
      </c>
      <c r="AK1408" s="150"/>
      <c r="AL1408" s="150"/>
      <c r="AM1408" s="150"/>
      <c r="AN1408" s="367"/>
      <c r="AO1408" s="367"/>
      <c r="AP1408" s="367"/>
      <c r="AQ1408" s="367"/>
      <c r="AR1408" s="367"/>
      <c r="AS1408" s="367"/>
      <c r="AT1408" s="367"/>
      <c r="AU1408" s="367"/>
      <c r="AV1408" s="367"/>
      <c r="AW1408" s="367"/>
      <c r="AX1408" s="367"/>
      <c r="AY1408" s="367"/>
      <c r="AZ1408" s="367"/>
      <c r="BA1408" s="367"/>
      <c r="BB1408" s="152"/>
      <c r="BC1408" s="152"/>
      <c r="BD1408" s="367" t="s">
        <v>2455</v>
      </c>
      <c r="BE1408" s="367"/>
      <c r="BF1408" s="367"/>
      <c r="BG1408" s="367"/>
      <c r="BH1408" s="260"/>
      <c r="BL1408" s="54"/>
    </row>
    <row r="1409" spans="1:64" ht="37.950000000000003" customHeight="1" x14ac:dyDescent="0.3">
      <c r="A1409" s="367">
        <f t="shared" si="25"/>
        <v>1404</v>
      </c>
      <c r="B1409" s="54" t="s">
        <v>3919</v>
      </c>
      <c r="C1409" s="367" t="s">
        <v>6</v>
      </c>
      <c r="D1409" s="367" t="s">
        <v>262</v>
      </c>
      <c r="E1409" s="367"/>
      <c r="F1409" s="367"/>
      <c r="G1409" s="367"/>
      <c r="H1409" s="367"/>
      <c r="I1409" s="367" t="s">
        <v>3916</v>
      </c>
      <c r="J1409" s="54" t="s">
        <v>1524</v>
      </c>
      <c r="K1409" s="48" t="s">
        <v>3806</v>
      </c>
      <c r="L1409" s="367" t="s">
        <v>66</v>
      </c>
      <c r="M1409" s="150" t="s">
        <v>65</v>
      </c>
      <c r="N1409" s="150" t="s">
        <v>3917</v>
      </c>
      <c r="O1409" s="150" t="s">
        <v>2593</v>
      </c>
      <c r="P1409" s="367">
        <v>6</v>
      </c>
      <c r="Q1409" s="367">
        <v>10</v>
      </c>
      <c r="R1409" s="367"/>
      <c r="S1409" s="367">
        <v>100</v>
      </c>
      <c r="T1409" s="367">
        <v>12</v>
      </c>
      <c r="U1409" s="367"/>
      <c r="V1409" s="367"/>
      <c r="W1409" s="367"/>
      <c r="X1409" s="367"/>
      <c r="Y1409" s="367"/>
      <c r="Z1409" s="367" t="s">
        <v>127</v>
      </c>
      <c r="AA1409" s="367"/>
      <c r="AB1409" s="150"/>
      <c r="AC1409" s="48" t="s">
        <v>3918</v>
      </c>
      <c r="AD1409" s="150" t="s">
        <v>2326</v>
      </c>
      <c r="AE1409" s="296">
        <v>46190</v>
      </c>
      <c r="AF1409" s="296"/>
      <c r="AG1409" s="286"/>
      <c r="AH1409" s="49"/>
      <c r="AI1409" s="266"/>
      <c r="AJ1409" s="150" t="s">
        <v>617</v>
      </c>
      <c r="AK1409" s="150"/>
      <c r="AL1409" s="150"/>
      <c r="AM1409" s="150"/>
      <c r="AN1409" s="367"/>
      <c r="AO1409" s="367"/>
      <c r="AP1409" s="367"/>
      <c r="AQ1409" s="367"/>
      <c r="AR1409" s="367"/>
      <c r="AS1409" s="367"/>
      <c r="AT1409" s="367"/>
      <c r="AU1409" s="367"/>
      <c r="AV1409" s="367"/>
      <c r="AW1409" s="367"/>
      <c r="AX1409" s="367"/>
      <c r="AY1409" s="367"/>
      <c r="AZ1409" s="367"/>
      <c r="BA1409" s="367"/>
      <c r="BB1409" s="152"/>
      <c r="BC1409" s="152"/>
      <c r="BD1409" s="367" t="s">
        <v>2455</v>
      </c>
      <c r="BE1409" s="367"/>
      <c r="BF1409" s="367"/>
      <c r="BG1409" s="367"/>
      <c r="BH1409" s="260"/>
      <c r="BL1409" s="54"/>
    </row>
    <row r="1410" spans="1:64" ht="37.950000000000003" customHeight="1" x14ac:dyDescent="0.3">
      <c r="A1410" s="367">
        <f t="shared" si="25"/>
        <v>1405</v>
      </c>
      <c r="B1410" s="54" t="s">
        <v>3920</v>
      </c>
      <c r="C1410" s="367" t="s">
        <v>6</v>
      </c>
      <c r="D1410" s="367" t="s">
        <v>262</v>
      </c>
      <c r="E1410" s="367"/>
      <c r="F1410" s="367"/>
      <c r="G1410" s="367"/>
      <c r="H1410" s="367"/>
      <c r="I1410" s="367" t="s">
        <v>3921</v>
      </c>
      <c r="J1410" s="54" t="s">
        <v>2789</v>
      </c>
      <c r="K1410" s="48" t="s">
        <v>3815</v>
      </c>
      <c r="L1410" s="367" t="s">
        <v>66</v>
      </c>
      <c r="M1410" s="150" t="s">
        <v>120</v>
      </c>
      <c r="N1410" s="150" t="s">
        <v>3922</v>
      </c>
      <c r="O1410" s="150" t="s">
        <v>2489</v>
      </c>
      <c r="P1410" s="367">
        <v>8</v>
      </c>
      <c r="Q1410" s="367">
        <v>10</v>
      </c>
      <c r="R1410" s="367"/>
      <c r="S1410" s="367">
        <v>100</v>
      </c>
      <c r="T1410" s="367">
        <v>12</v>
      </c>
      <c r="U1410" s="367"/>
      <c r="V1410" s="367"/>
      <c r="W1410" s="367"/>
      <c r="X1410" s="367"/>
      <c r="Y1410" s="367"/>
      <c r="Z1410" s="367" t="s">
        <v>127</v>
      </c>
      <c r="AA1410" s="367"/>
      <c r="AB1410" s="150"/>
      <c r="AC1410" s="48" t="s">
        <v>3923</v>
      </c>
      <c r="AD1410" s="150" t="s">
        <v>2326</v>
      </c>
      <c r="AE1410" s="296">
        <v>46190</v>
      </c>
      <c r="AF1410" s="296"/>
      <c r="AG1410" s="286"/>
      <c r="AH1410" s="49"/>
      <c r="AI1410" s="266"/>
      <c r="AJ1410" s="150" t="s">
        <v>617</v>
      </c>
      <c r="AK1410" s="150"/>
      <c r="AL1410" s="150"/>
      <c r="AM1410" s="150"/>
      <c r="AN1410" s="367"/>
      <c r="AO1410" s="367"/>
      <c r="AP1410" s="367"/>
      <c r="AQ1410" s="367"/>
      <c r="AR1410" s="367"/>
      <c r="AS1410" s="367"/>
      <c r="AT1410" s="367"/>
      <c r="AU1410" s="367"/>
      <c r="AV1410" s="367"/>
      <c r="AW1410" s="367"/>
      <c r="AX1410" s="367"/>
      <c r="AY1410" s="367"/>
      <c r="AZ1410" s="367"/>
      <c r="BA1410" s="367"/>
      <c r="BB1410" s="152"/>
      <c r="BC1410" s="152"/>
      <c r="BD1410" s="367" t="s">
        <v>2455</v>
      </c>
      <c r="BE1410" s="367"/>
      <c r="BF1410" s="367"/>
      <c r="BG1410" s="367"/>
      <c r="BH1410" s="260"/>
      <c r="BL1410" s="54"/>
    </row>
    <row r="1411" spans="1:64" ht="37.950000000000003" customHeight="1" x14ac:dyDescent="0.3">
      <c r="A1411" s="367">
        <f t="shared" si="25"/>
        <v>1406</v>
      </c>
      <c r="B1411" s="54" t="s">
        <v>3924</v>
      </c>
      <c r="C1411" s="367" t="s">
        <v>6</v>
      </c>
      <c r="D1411" s="367" t="s">
        <v>262</v>
      </c>
      <c r="E1411" s="367"/>
      <c r="F1411" s="367"/>
      <c r="G1411" s="367"/>
      <c r="H1411" s="367"/>
      <c r="I1411" s="367" t="s">
        <v>3921</v>
      </c>
      <c r="J1411" s="54" t="s">
        <v>2789</v>
      </c>
      <c r="K1411" s="48" t="s">
        <v>3815</v>
      </c>
      <c r="L1411" s="367" t="s">
        <v>66</v>
      </c>
      <c r="M1411" s="150" t="s">
        <v>120</v>
      </c>
      <c r="N1411" s="150" t="s">
        <v>3922</v>
      </c>
      <c r="O1411" s="150" t="s">
        <v>2489</v>
      </c>
      <c r="P1411" s="367">
        <v>8</v>
      </c>
      <c r="Q1411" s="367">
        <v>10</v>
      </c>
      <c r="R1411" s="367"/>
      <c r="S1411" s="367">
        <v>100</v>
      </c>
      <c r="T1411" s="367">
        <v>12</v>
      </c>
      <c r="U1411" s="367"/>
      <c r="V1411" s="367"/>
      <c r="W1411" s="367"/>
      <c r="X1411" s="367"/>
      <c r="Y1411" s="367"/>
      <c r="Z1411" s="367" t="s">
        <v>127</v>
      </c>
      <c r="AA1411" s="367"/>
      <c r="AB1411" s="150"/>
      <c r="AC1411" s="48" t="s">
        <v>3923</v>
      </c>
      <c r="AD1411" s="150" t="s">
        <v>2326</v>
      </c>
      <c r="AE1411" s="296">
        <v>46190</v>
      </c>
      <c r="AF1411" s="296"/>
      <c r="AG1411" s="286"/>
      <c r="AH1411" s="49"/>
      <c r="AI1411" s="266"/>
      <c r="AJ1411" s="150" t="s">
        <v>617</v>
      </c>
      <c r="AK1411" s="150"/>
      <c r="AL1411" s="150"/>
      <c r="AM1411" s="150"/>
      <c r="AN1411" s="367"/>
      <c r="AO1411" s="367"/>
      <c r="AP1411" s="367"/>
      <c r="AQ1411" s="367"/>
      <c r="AR1411" s="367"/>
      <c r="AS1411" s="367"/>
      <c r="AT1411" s="367"/>
      <c r="AU1411" s="367"/>
      <c r="AV1411" s="367"/>
      <c r="AW1411" s="367"/>
      <c r="AX1411" s="367"/>
      <c r="AY1411" s="367"/>
      <c r="AZ1411" s="367"/>
      <c r="BA1411" s="367"/>
      <c r="BB1411" s="152"/>
      <c r="BC1411" s="152"/>
      <c r="BD1411" s="367" t="s">
        <v>2455</v>
      </c>
      <c r="BE1411" s="367"/>
      <c r="BF1411" s="367"/>
      <c r="BG1411" s="367"/>
      <c r="BH1411" s="260"/>
      <c r="BL1411" s="54"/>
    </row>
    <row r="1412" spans="1:64" ht="37.950000000000003" customHeight="1" x14ac:dyDescent="0.3">
      <c r="A1412" s="367">
        <f t="shared" si="25"/>
        <v>1407</v>
      </c>
      <c r="B1412" s="54" t="s">
        <v>3925</v>
      </c>
      <c r="C1412" s="367" t="s">
        <v>3926</v>
      </c>
      <c r="D1412" s="367"/>
      <c r="E1412" s="367"/>
      <c r="F1412" s="367"/>
      <c r="G1412" s="367"/>
      <c r="H1412" s="367"/>
      <c r="I1412" s="367" t="s">
        <v>30</v>
      </c>
      <c r="J1412" s="48" t="s">
        <v>3927</v>
      </c>
      <c r="K1412" s="48" t="s">
        <v>3928</v>
      </c>
      <c r="L1412" s="367" t="s">
        <v>3243</v>
      </c>
      <c r="M1412" s="150" t="s">
        <v>120</v>
      </c>
      <c r="N1412" s="150" t="s">
        <v>3929</v>
      </c>
      <c r="O1412" s="150" t="s">
        <v>3930</v>
      </c>
      <c r="P1412" s="367">
        <v>3</v>
      </c>
      <c r="Q1412" s="367">
        <v>4</v>
      </c>
      <c r="R1412" s="367"/>
      <c r="S1412" s="367">
        <v>100</v>
      </c>
      <c r="T1412" s="367">
        <v>12</v>
      </c>
      <c r="U1412" s="367"/>
      <c r="V1412" s="367"/>
      <c r="W1412" s="367"/>
      <c r="X1412" s="367" t="s">
        <v>3931</v>
      </c>
      <c r="Y1412" s="367" t="s">
        <v>127</v>
      </c>
      <c r="Z1412" s="367" t="s">
        <v>127</v>
      </c>
      <c r="AA1412" s="367" t="s">
        <v>42</v>
      </c>
      <c r="AB1412" s="150" t="s">
        <v>215</v>
      </c>
      <c r="AC1412" s="48" t="s">
        <v>3932</v>
      </c>
      <c r="AD1412" s="150" t="s">
        <v>3933</v>
      </c>
      <c r="AE1412" s="296"/>
      <c r="AF1412" s="296"/>
      <c r="AG1412" s="286">
        <v>46296</v>
      </c>
      <c r="AH1412" s="49"/>
      <c r="AI1412" s="266"/>
      <c r="AJ1412" s="150"/>
      <c r="AK1412" s="150"/>
      <c r="AL1412" s="150"/>
      <c r="AM1412" s="150"/>
      <c r="AN1412" s="367"/>
      <c r="AO1412" s="367"/>
      <c r="AP1412" s="367"/>
      <c r="AQ1412" s="367"/>
      <c r="AR1412" s="367"/>
      <c r="AS1412" s="367"/>
      <c r="AT1412" s="367"/>
      <c r="AU1412" s="367"/>
      <c r="AV1412" s="367"/>
      <c r="AW1412" s="367"/>
      <c r="AX1412" s="367"/>
      <c r="AY1412" s="367"/>
      <c r="AZ1412" s="367"/>
      <c r="BA1412" s="367"/>
      <c r="BB1412" s="152" t="s">
        <v>3934</v>
      </c>
      <c r="BC1412" s="152"/>
      <c r="BD1412" s="367"/>
      <c r="BE1412" s="367"/>
      <c r="BF1412" s="367"/>
      <c r="BG1412" s="367"/>
      <c r="BH1412" s="260"/>
      <c r="BL1412" s="54"/>
    </row>
    <row r="1413" spans="1:64" ht="37.950000000000003" customHeight="1" x14ac:dyDescent="0.3">
      <c r="A1413" s="367">
        <f t="shared" si="25"/>
        <v>1408</v>
      </c>
      <c r="B1413" s="54" t="s">
        <v>3935</v>
      </c>
      <c r="C1413" s="367" t="s">
        <v>3926</v>
      </c>
      <c r="D1413" s="367"/>
      <c r="E1413" s="367"/>
      <c r="F1413" s="367"/>
      <c r="G1413" s="367"/>
      <c r="H1413" s="367"/>
      <c r="I1413" s="367" t="s">
        <v>30</v>
      </c>
      <c r="J1413" s="48" t="s">
        <v>3927</v>
      </c>
      <c r="K1413" s="48" t="s">
        <v>3928</v>
      </c>
      <c r="L1413" s="367" t="s">
        <v>3243</v>
      </c>
      <c r="M1413" s="150" t="s">
        <v>120</v>
      </c>
      <c r="N1413" s="150" t="s">
        <v>3929</v>
      </c>
      <c r="O1413" s="150" t="s">
        <v>3930</v>
      </c>
      <c r="P1413" s="367">
        <v>3</v>
      </c>
      <c r="Q1413" s="367">
        <v>4</v>
      </c>
      <c r="R1413" s="367"/>
      <c r="S1413" s="367">
        <v>100</v>
      </c>
      <c r="T1413" s="367">
        <v>12</v>
      </c>
      <c r="U1413" s="367"/>
      <c r="V1413" s="367"/>
      <c r="W1413" s="367"/>
      <c r="X1413" s="367"/>
      <c r="Y1413" s="367"/>
      <c r="Z1413" s="367" t="s">
        <v>127</v>
      </c>
      <c r="AA1413" s="367"/>
      <c r="AB1413" s="150"/>
      <c r="AC1413" s="48" t="s">
        <v>3936</v>
      </c>
      <c r="AD1413" s="150" t="s">
        <v>3937</v>
      </c>
      <c r="AE1413" s="296"/>
      <c r="AF1413" s="296"/>
      <c r="AG1413" s="286">
        <v>46296</v>
      </c>
      <c r="AH1413" s="49"/>
      <c r="AI1413" s="266"/>
      <c r="AJ1413" s="150"/>
      <c r="AK1413" s="150" t="s">
        <v>161</v>
      </c>
      <c r="AL1413" s="150"/>
      <c r="AM1413" s="150"/>
      <c r="AN1413" s="367"/>
      <c r="AO1413" s="367"/>
      <c r="AP1413" s="367"/>
      <c r="AQ1413" s="367"/>
      <c r="AR1413" s="367"/>
      <c r="AS1413" s="367"/>
      <c r="AT1413" s="367"/>
      <c r="AU1413" s="367"/>
      <c r="AV1413" s="367"/>
      <c r="AW1413" s="367"/>
      <c r="AX1413" s="367"/>
      <c r="AY1413" s="367"/>
      <c r="AZ1413" s="367"/>
      <c r="BA1413" s="367"/>
      <c r="BB1413" s="152"/>
      <c r="BC1413" s="152"/>
      <c r="BD1413" s="367"/>
      <c r="BE1413" s="367"/>
      <c r="BF1413" s="367"/>
      <c r="BG1413" s="367"/>
      <c r="BH1413" s="260"/>
      <c r="BL1413" s="54"/>
    </row>
    <row r="1414" spans="1:64" ht="37.950000000000003" customHeight="1" x14ac:dyDescent="0.3">
      <c r="A1414" s="367">
        <f t="shared" si="25"/>
        <v>1409</v>
      </c>
      <c r="B1414" s="54" t="s">
        <v>3938</v>
      </c>
      <c r="C1414" s="367" t="s">
        <v>3926</v>
      </c>
      <c r="D1414" s="367"/>
      <c r="E1414" s="367"/>
      <c r="F1414" s="367"/>
      <c r="G1414" s="367"/>
      <c r="H1414" s="367"/>
      <c r="I1414" s="367" t="s">
        <v>30</v>
      </c>
      <c r="J1414" s="48" t="s">
        <v>3927</v>
      </c>
      <c r="K1414" s="48" t="s">
        <v>3928</v>
      </c>
      <c r="L1414" s="367" t="s">
        <v>3243</v>
      </c>
      <c r="M1414" s="150" t="s">
        <v>120</v>
      </c>
      <c r="N1414" s="150" t="s">
        <v>3929</v>
      </c>
      <c r="O1414" s="150" t="s">
        <v>3930</v>
      </c>
      <c r="P1414" s="367">
        <v>3</v>
      </c>
      <c r="Q1414" s="367">
        <v>4</v>
      </c>
      <c r="R1414" s="367"/>
      <c r="S1414" s="367">
        <v>100</v>
      </c>
      <c r="T1414" s="367">
        <v>12</v>
      </c>
      <c r="U1414" s="367"/>
      <c r="V1414" s="367"/>
      <c r="W1414" s="367"/>
      <c r="X1414" s="367" t="s">
        <v>3931</v>
      </c>
      <c r="Y1414" s="367" t="s">
        <v>127</v>
      </c>
      <c r="Z1414" s="367" t="s">
        <v>127</v>
      </c>
      <c r="AA1414" s="367"/>
      <c r="AB1414" s="150" t="s">
        <v>215</v>
      </c>
      <c r="AC1414" s="48" t="s">
        <v>3939</v>
      </c>
      <c r="AD1414" s="150" t="s">
        <v>174</v>
      </c>
      <c r="AE1414" s="296"/>
      <c r="AF1414" s="296"/>
      <c r="AG1414" s="286">
        <v>46296</v>
      </c>
      <c r="AH1414" s="49"/>
      <c r="AI1414" s="266"/>
      <c r="AJ1414" s="150"/>
      <c r="AK1414" s="150" t="s">
        <v>161</v>
      </c>
      <c r="AL1414" s="150"/>
      <c r="AM1414" s="150"/>
      <c r="AN1414" s="367"/>
      <c r="AO1414" s="367"/>
      <c r="AP1414" s="367"/>
      <c r="AQ1414" s="367"/>
      <c r="AR1414" s="367"/>
      <c r="AS1414" s="367"/>
      <c r="AT1414" s="367"/>
      <c r="AU1414" s="367"/>
      <c r="AV1414" s="367"/>
      <c r="AW1414" s="367"/>
      <c r="AX1414" s="367"/>
      <c r="AY1414" s="367"/>
      <c r="AZ1414" s="367"/>
      <c r="BA1414" s="367"/>
      <c r="BB1414" s="152"/>
      <c r="BC1414" s="152"/>
      <c r="BD1414" s="367"/>
      <c r="BE1414" s="367"/>
      <c r="BF1414" s="367"/>
      <c r="BG1414" s="367"/>
      <c r="BH1414" s="260"/>
      <c r="BL1414" s="54"/>
    </row>
    <row r="1415" spans="1:64" ht="37.950000000000003" customHeight="1" x14ac:dyDescent="0.3">
      <c r="A1415" s="367">
        <f t="shared" si="25"/>
        <v>1410</v>
      </c>
      <c r="B1415" s="54" t="s">
        <v>3940</v>
      </c>
      <c r="C1415" s="367" t="s">
        <v>3926</v>
      </c>
      <c r="D1415" s="367"/>
      <c r="E1415" s="367"/>
      <c r="F1415" s="367"/>
      <c r="G1415" s="367"/>
      <c r="H1415" s="367"/>
      <c r="I1415" s="367" t="s">
        <v>30</v>
      </c>
      <c r="J1415" s="48" t="s">
        <v>3927</v>
      </c>
      <c r="K1415" s="48" t="s">
        <v>767</v>
      </c>
      <c r="L1415" s="367" t="s">
        <v>3243</v>
      </c>
      <c r="M1415" s="150" t="s">
        <v>65</v>
      </c>
      <c r="N1415" s="150" t="s">
        <v>3929</v>
      </c>
      <c r="O1415" s="150" t="s">
        <v>3930</v>
      </c>
      <c r="P1415" s="367">
        <v>3</v>
      </c>
      <c r="Q1415" s="367">
        <v>4</v>
      </c>
      <c r="R1415" s="367"/>
      <c r="S1415" s="367">
        <v>100</v>
      </c>
      <c r="T1415" s="367">
        <v>10</v>
      </c>
      <c r="U1415" s="367"/>
      <c r="V1415" s="367"/>
      <c r="W1415" s="367"/>
      <c r="X1415" s="367" t="s">
        <v>3931</v>
      </c>
      <c r="Y1415" s="367" t="s">
        <v>127</v>
      </c>
      <c r="Z1415" s="367" t="s">
        <v>127</v>
      </c>
      <c r="AA1415" s="367" t="s">
        <v>127</v>
      </c>
      <c r="AB1415" s="150" t="s">
        <v>215</v>
      </c>
      <c r="AC1415" s="48" t="s">
        <v>3941</v>
      </c>
      <c r="AD1415" s="150" t="s">
        <v>160</v>
      </c>
      <c r="AE1415" s="296"/>
      <c r="AF1415" s="296"/>
      <c r="AG1415" s="286">
        <v>46296</v>
      </c>
      <c r="AH1415" s="49"/>
      <c r="AI1415" s="266"/>
      <c r="AJ1415" s="150"/>
      <c r="AK1415" s="150" t="s">
        <v>161</v>
      </c>
      <c r="AL1415" s="150"/>
      <c r="AM1415" s="150"/>
      <c r="AN1415" s="367"/>
      <c r="AO1415" s="367"/>
      <c r="AP1415" s="367"/>
      <c r="AQ1415" s="367"/>
      <c r="AR1415" s="367"/>
      <c r="AS1415" s="367"/>
      <c r="AT1415" s="367"/>
      <c r="AU1415" s="367"/>
      <c r="AV1415" s="367"/>
      <c r="AW1415" s="367"/>
      <c r="AX1415" s="367"/>
      <c r="AY1415" s="367"/>
      <c r="AZ1415" s="367"/>
      <c r="BA1415" s="367"/>
      <c r="BB1415" s="152" t="s">
        <v>3934</v>
      </c>
      <c r="BC1415" s="152"/>
      <c r="BD1415" s="367"/>
      <c r="BE1415" s="367"/>
      <c r="BF1415" s="367"/>
      <c r="BG1415" s="367"/>
      <c r="BH1415" s="260"/>
      <c r="BL1415" s="54"/>
    </row>
    <row r="1416" spans="1:64" ht="37.950000000000003" customHeight="1" x14ac:dyDescent="0.3">
      <c r="A1416" s="367">
        <f t="shared" si="25"/>
        <v>1411</v>
      </c>
      <c r="B1416" s="54" t="s">
        <v>3942</v>
      </c>
      <c r="C1416" s="367" t="s">
        <v>3926</v>
      </c>
      <c r="D1416" s="367"/>
      <c r="E1416" s="367"/>
      <c r="F1416" s="367"/>
      <c r="G1416" s="367"/>
      <c r="H1416" s="367"/>
      <c r="I1416" s="367" t="s">
        <v>30</v>
      </c>
      <c r="J1416" s="48" t="s">
        <v>3927</v>
      </c>
      <c r="K1416" s="48" t="s">
        <v>767</v>
      </c>
      <c r="L1416" s="367" t="s">
        <v>3243</v>
      </c>
      <c r="M1416" s="150" t="s">
        <v>65</v>
      </c>
      <c r="N1416" s="150" t="s">
        <v>3929</v>
      </c>
      <c r="O1416" s="150" t="s">
        <v>3930</v>
      </c>
      <c r="P1416" s="367">
        <v>3</v>
      </c>
      <c r="Q1416" s="367">
        <v>4</v>
      </c>
      <c r="R1416" s="367"/>
      <c r="S1416" s="367">
        <v>100</v>
      </c>
      <c r="T1416" s="367">
        <v>10</v>
      </c>
      <c r="U1416" s="367"/>
      <c r="V1416" s="367"/>
      <c r="W1416" s="367"/>
      <c r="X1416" s="367" t="s">
        <v>3931</v>
      </c>
      <c r="Y1416" s="367" t="s">
        <v>127</v>
      </c>
      <c r="Z1416" s="367" t="s">
        <v>127</v>
      </c>
      <c r="AA1416" s="367"/>
      <c r="AB1416" s="150" t="s">
        <v>215</v>
      </c>
      <c r="AC1416" s="48" t="s">
        <v>3943</v>
      </c>
      <c r="AD1416" s="150" t="s">
        <v>174</v>
      </c>
      <c r="AE1416" s="296"/>
      <c r="AF1416" s="296"/>
      <c r="AG1416" s="286">
        <v>46296</v>
      </c>
      <c r="AH1416" s="49"/>
      <c r="AI1416" s="266"/>
      <c r="AJ1416" s="150"/>
      <c r="AK1416" s="150" t="s">
        <v>161</v>
      </c>
      <c r="AL1416" s="150"/>
      <c r="AM1416" s="150"/>
      <c r="AN1416" s="367"/>
      <c r="AO1416" s="367"/>
      <c r="AP1416" s="367"/>
      <c r="AQ1416" s="367"/>
      <c r="AR1416" s="367"/>
      <c r="AS1416" s="367"/>
      <c r="AT1416" s="367"/>
      <c r="AU1416" s="367"/>
      <c r="AV1416" s="367"/>
      <c r="AW1416" s="367"/>
      <c r="AX1416" s="367"/>
      <c r="AY1416" s="367"/>
      <c r="AZ1416" s="367"/>
      <c r="BA1416" s="367"/>
      <c r="BB1416" s="152"/>
      <c r="BC1416" s="152"/>
      <c r="BD1416" s="367"/>
      <c r="BE1416" s="367"/>
      <c r="BF1416" s="367"/>
      <c r="BG1416" s="367"/>
      <c r="BH1416" s="260"/>
      <c r="BL1416" s="54"/>
    </row>
    <row r="1417" spans="1:64" ht="37.950000000000003" customHeight="1" x14ac:dyDescent="0.3">
      <c r="A1417" s="367">
        <f t="shared" si="25"/>
        <v>1412</v>
      </c>
      <c r="B1417" s="54" t="s">
        <v>3944</v>
      </c>
      <c r="C1417" s="367" t="s">
        <v>3926</v>
      </c>
      <c r="D1417" s="367"/>
      <c r="E1417" s="367"/>
      <c r="F1417" s="367"/>
      <c r="G1417" s="367"/>
      <c r="H1417" s="367"/>
      <c r="I1417" s="367" t="s">
        <v>30</v>
      </c>
      <c r="J1417" s="48" t="s">
        <v>590</v>
      </c>
      <c r="K1417" s="48" t="s">
        <v>3945</v>
      </c>
      <c r="L1417" s="367" t="s">
        <v>3243</v>
      </c>
      <c r="M1417" s="150" t="s">
        <v>65</v>
      </c>
      <c r="N1417" s="150" t="s">
        <v>3929</v>
      </c>
      <c r="O1417" s="150" t="s">
        <v>3930</v>
      </c>
      <c r="P1417" s="367">
        <v>3</v>
      </c>
      <c r="Q1417" s="367">
        <v>4</v>
      </c>
      <c r="R1417" s="367"/>
      <c r="S1417" s="367">
        <v>100</v>
      </c>
      <c r="T1417" s="367">
        <v>10</v>
      </c>
      <c r="U1417" s="367"/>
      <c r="V1417" s="367"/>
      <c r="W1417" s="367"/>
      <c r="X1417" s="367" t="s">
        <v>3931</v>
      </c>
      <c r="Y1417" s="367" t="s">
        <v>127</v>
      </c>
      <c r="Z1417" s="367" t="s">
        <v>127</v>
      </c>
      <c r="AA1417" s="367" t="s">
        <v>127</v>
      </c>
      <c r="AB1417" s="150" t="s">
        <v>215</v>
      </c>
      <c r="AC1417" s="48" t="s">
        <v>3946</v>
      </c>
      <c r="AD1417" s="150" t="s">
        <v>160</v>
      </c>
      <c r="AE1417" s="296"/>
      <c r="AF1417" s="296"/>
      <c r="AG1417" s="286">
        <v>46296</v>
      </c>
      <c r="AH1417" s="49"/>
      <c r="AI1417" s="266"/>
      <c r="AJ1417" s="150"/>
      <c r="AK1417" s="150" t="s">
        <v>161</v>
      </c>
      <c r="AL1417" s="150"/>
      <c r="AM1417" s="150"/>
      <c r="AN1417" s="367"/>
      <c r="AO1417" s="367"/>
      <c r="AP1417" s="367"/>
      <c r="AQ1417" s="367"/>
      <c r="AR1417" s="367"/>
      <c r="AS1417" s="367"/>
      <c r="AT1417" s="367"/>
      <c r="AU1417" s="367"/>
      <c r="AV1417" s="367"/>
      <c r="AW1417" s="367"/>
      <c r="AX1417" s="367"/>
      <c r="AY1417" s="367"/>
      <c r="AZ1417" s="367"/>
      <c r="BA1417" s="367"/>
      <c r="BB1417" s="152" t="s">
        <v>3934</v>
      </c>
      <c r="BC1417" s="152"/>
      <c r="BD1417" s="367"/>
      <c r="BE1417" s="367"/>
      <c r="BF1417" s="367"/>
      <c r="BG1417" s="367"/>
      <c r="BH1417" s="260"/>
      <c r="BL1417" s="54"/>
    </row>
    <row r="1418" spans="1:64" ht="37.950000000000003" customHeight="1" x14ac:dyDescent="0.3">
      <c r="A1418" s="367">
        <f t="shared" si="25"/>
        <v>1413</v>
      </c>
      <c r="B1418" s="54" t="s">
        <v>3947</v>
      </c>
      <c r="C1418" s="367" t="s">
        <v>3926</v>
      </c>
      <c r="D1418" s="367"/>
      <c r="E1418" s="367"/>
      <c r="F1418" s="367"/>
      <c r="G1418" s="367"/>
      <c r="H1418" s="367"/>
      <c r="I1418" s="367" t="s">
        <v>30</v>
      </c>
      <c r="J1418" s="48" t="s">
        <v>590</v>
      </c>
      <c r="K1418" s="48" t="s">
        <v>3945</v>
      </c>
      <c r="L1418" s="367" t="s">
        <v>3243</v>
      </c>
      <c r="M1418" s="150" t="s">
        <v>65</v>
      </c>
      <c r="N1418" s="150" t="s">
        <v>3929</v>
      </c>
      <c r="O1418" s="150" t="s">
        <v>3930</v>
      </c>
      <c r="P1418" s="367">
        <v>3</v>
      </c>
      <c r="Q1418" s="367">
        <v>4</v>
      </c>
      <c r="R1418" s="367"/>
      <c r="S1418" s="367">
        <v>100</v>
      </c>
      <c r="T1418" s="367">
        <v>10</v>
      </c>
      <c r="U1418" s="367"/>
      <c r="V1418" s="367"/>
      <c r="W1418" s="367"/>
      <c r="X1418" s="367"/>
      <c r="Y1418" s="367"/>
      <c r="Z1418" s="367" t="s">
        <v>127</v>
      </c>
      <c r="AA1418" s="367"/>
      <c r="AB1418" s="150"/>
      <c r="AC1418" s="48" t="s">
        <v>3948</v>
      </c>
      <c r="AD1418" s="150" t="s">
        <v>3937</v>
      </c>
      <c r="AE1418" s="296"/>
      <c r="AF1418" s="296"/>
      <c r="AG1418" s="286">
        <v>46296</v>
      </c>
      <c r="AH1418" s="49"/>
      <c r="AI1418" s="266"/>
      <c r="AJ1418" s="150"/>
      <c r="AK1418" s="150" t="s">
        <v>190</v>
      </c>
      <c r="AL1418" s="150"/>
      <c r="AM1418" s="150"/>
      <c r="AN1418" s="367"/>
      <c r="AO1418" s="367"/>
      <c r="AP1418" s="367"/>
      <c r="AQ1418" s="367"/>
      <c r="AR1418" s="367"/>
      <c r="AS1418" s="367"/>
      <c r="AT1418" s="367"/>
      <c r="AU1418" s="367"/>
      <c r="AV1418" s="367"/>
      <c r="AW1418" s="367"/>
      <c r="AX1418" s="367"/>
      <c r="AY1418" s="367"/>
      <c r="AZ1418" s="367"/>
      <c r="BA1418" s="367"/>
      <c r="BB1418" s="152"/>
      <c r="BC1418" s="152"/>
      <c r="BD1418" s="367"/>
      <c r="BE1418" s="367"/>
      <c r="BF1418" s="367"/>
      <c r="BG1418" s="367"/>
      <c r="BH1418" s="260"/>
      <c r="BL1418" s="54"/>
    </row>
    <row r="1419" spans="1:64" ht="37.950000000000003" customHeight="1" x14ac:dyDescent="0.3">
      <c r="A1419" s="367">
        <f t="shared" si="25"/>
        <v>1414</v>
      </c>
      <c r="B1419" s="54" t="s">
        <v>3949</v>
      </c>
      <c r="C1419" s="367" t="s">
        <v>3926</v>
      </c>
      <c r="D1419" s="367"/>
      <c r="E1419" s="367"/>
      <c r="F1419" s="367"/>
      <c r="G1419" s="367"/>
      <c r="H1419" s="367"/>
      <c r="I1419" s="367" t="s">
        <v>30</v>
      </c>
      <c r="J1419" s="48" t="s">
        <v>590</v>
      </c>
      <c r="K1419" s="48" t="s">
        <v>3945</v>
      </c>
      <c r="L1419" s="367" t="s">
        <v>3243</v>
      </c>
      <c r="M1419" s="150" t="s">
        <v>65</v>
      </c>
      <c r="N1419" s="150" t="s">
        <v>3929</v>
      </c>
      <c r="O1419" s="150" t="s">
        <v>3930</v>
      </c>
      <c r="P1419" s="367">
        <v>3</v>
      </c>
      <c r="Q1419" s="367">
        <v>4</v>
      </c>
      <c r="R1419" s="367"/>
      <c r="S1419" s="367">
        <v>100</v>
      </c>
      <c r="T1419" s="367">
        <v>10</v>
      </c>
      <c r="U1419" s="367"/>
      <c r="V1419" s="367"/>
      <c r="W1419" s="367"/>
      <c r="X1419" s="367" t="s">
        <v>3931</v>
      </c>
      <c r="Y1419" s="367" t="s">
        <v>127</v>
      </c>
      <c r="Z1419" s="367" t="s">
        <v>127</v>
      </c>
      <c r="AA1419" s="367"/>
      <c r="AB1419" s="150" t="s">
        <v>215</v>
      </c>
      <c r="AC1419" s="48" t="s">
        <v>3950</v>
      </c>
      <c r="AD1419" s="150" t="s">
        <v>174</v>
      </c>
      <c r="AE1419" s="296"/>
      <c r="AF1419" s="296"/>
      <c r="AG1419" s="286">
        <v>46296</v>
      </c>
      <c r="AH1419" s="49"/>
      <c r="AI1419" s="266"/>
      <c r="AJ1419" s="150"/>
      <c r="AK1419" s="150" t="s">
        <v>161</v>
      </c>
      <c r="AL1419" s="150"/>
      <c r="AM1419" s="150"/>
      <c r="AN1419" s="367"/>
      <c r="AO1419" s="367"/>
      <c r="AP1419" s="367"/>
      <c r="AQ1419" s="367"/>
      <c r="AR1419" s="367"/>
      <c r="AS1419" s="367"/>
      <c r="AT1419" s="367"/>
      <c r="AU1419" s="367"/>
      <c r="AV1419" s="367"/>
      <c r="AW1419" s="367"/>
      <c r="AX1419" s="367"/>
      <c r="AY1419" s="367"/>
      <c r="AZ1419" s="367"/>
      <c r="BA1419" s="367"/>
      <c r="BB1419" s="152"/>
      <c r="BC1419" s="152"/>
      <c r="BD1419" s="367"/>
      <c r="BE1419" s="367"/>
      <c r="BF1419" s="367"/>
      <c r="BG1419" s="367"/>
      <c r="BH1419" s="260"/>
      <c r="BL1419" s="54"/>
    </row>
    <row r="1420" spans="1:64" ht="37.950000000000003" customHeight="1" x14ac:dyDescent="0.3">
      <c r="A1420" s="367">
        <f t="shared" si="25"/>
        <v>1415</v>
      </c>
      <c r="B1420" s="54" t="s">
        <v>3951</v>
      </c>
      <c r="C1420" s="367" t="s">
        <v>6</v>
      </c>
      <c r="D1420" s="150" t="s">
        <v>3952</v>
      </c>
      <c r="E1420" s="367"/>
      <c r="F1420" s="367"/>
      <c r="G1420" s="367"/>
      <c r="H1420" s="367"/>
      <c r="I1420" s="367" t="s">
        <v>3953</v>
      </c>
      <c r="J1420" s="54" t="s">
        <v>2298</v>
      </c>
      <c r="K1420" s="48" t="s">
        <v>3954</v>
      </c>
      <c r="L1420" s="367" t="s">
        <v>2280</v>
      </c>
      <c r="M1420" s="150" t="s">
        <v>65</v>
      </c>
      <c r="N1420" s="150" t="s">
        <v>3955</v>
      </c>
      <c r="O1420" s="150" t="s">
        <v>3956</v>
      </c>
      <c r="P1420" s="367">
        <v>5.5</v>
      </c>
      <c r="Q1420" s="367">
        <v>3.4</v>
      </c>
      <c r="R1420" s="367">
        <v>750</v>
      </c>
      <c r="S1420" s="367">
        <v>100</v>
      </c>
      <c r="T1420" s="367">
        <v>10.5</v>
      </c>
      <c r="U1420" s="367"/>
      <c r="V1420" s="367"/>
      <c r="W1420" s="367"/>
      <c r="X1420" s="367"/>
      <c r="Y1420" s="367" t="s">
        <v>127</v>
      </c>
      <c r="Z1420" s="367"/>
      <c r="AA1420" s="367"/>
      <c r="AB1420" s="150" t="s">
        <v>215</v>
      </c>
      <c r="AC1420" s="48" t="s">
        <v>3957</v>
      </c>
      <c r="AD1420" s="150" t="s">
        <v>284</v>
      </c>
      <c r="AE1420" s="296">
        <v>46179</v>
      </c>
      <c r="AF1420" s="296"/>
      <c r="AG1420" s="286">
        <v>46244</v>
      </c>
      <c r="AH1420" s="49"/>
      <c r="AI1420" s="266"/>
      <c r="AJ1420" s="150" t="s">
        <v>617</v>
      </c>
      <c r="AK1420" s="150" t="s">
        <v>200</v>
      </c>
      <c r="AL1420" s="150"/>
      <c r="AM1420" s="150"/>
      <c r="AN1420" s="367"/>
      <c r="AO1420" s="367"/>
      <c r="AP1420" s="367"/>
      <c r="AQ1420" s="367"/>
      <c r="AR1420" s="367"/>
      <c r="AS1420" s="367"/>
      <c r="AT1420" s="45">
        <v>46213</v>
      </c>
      <c r="AU1420" s="367"/>
      <c r="AV1420" s="367"/>
      <c r="AW1420" s="367"/>
      <c r="AX1420" s="367"/>
      <c r="AY1420" s="367"/>
      <c r="AZ1420" s="367"/>
      <c r="BA1420" s="367"/>
      <c r="BB1420" s="152"/>
      <c r="BC1420" s="152"/>
      <c r="BD1420" s="367" t="s">
        <v>2455</v>
      </c>
      <c r="BE1420" s="367"/>
      <c r="BF1420" s="367"/>
      <c r="BG1420" s="367"/>
      <c r="BH1420" s="260"/>
      <c r="BL1420" s="54"/>
    </row>
    <row r="1421" spans="1:64" ht="37.950000000000003" customHeight="1" x14ac:dyDescent="0.3">
      <c r="A1421" s="367">
        <f t="shared" si="25"/>
        <v>1416</v>
      </c>
      <c r="B1421" s="54" t="s">
        <v>3958</v>
      </c>
      <c r="C1421" s="367" t="s">
        <v>6</v>
      </c>
      <c r="D1421" s="150" t="s">
        <v>3952</v>
      </c>
      <c r="E1421" s="367"/>
      <c r="F1421" s="367"/>
      <c r="G1421" s="367"/>
      <c r="H1421" s="367"/>
      <c r="I1421" s="367" t="s">
        <v>3953</v>
      </c>
      <c r="J1421" s="54" t="s">
        <v>2298</v>
      </c>
      <c r="K1421" s="48" t="s">
        <v>3954</v>
      </c>
      <c r="L1421" s="367" t="s">
        <v>2280</v>
      </c>
      <c r="M1421" s="150" t="s">
        <v>65</v>
      </c>
      <c r="N1421" s="150" t="s">
        <v>3955</v>
      </c>
      <c r="O1421" s="150" t="s">
        <v>3956</v>
      </c>
      <c r="P1421" s="367">
        <v>5.5</v>
      </c>
      <c r="Q1421" s="367">
        <v>3.4</v>
      </c>
      <c r="R1421" s="367">
        <v>750</v>
      </c>
      <c r="S1421" s="367">
        <v>100</v>
      </c>
      <c r="T1421" s="367">
        <v>10.5</v>
      </c>
      <c r="U1421" s="367"/>
      <c r="V1421" s="367"/>
      <c r="W1421" s="367"/>
      <c r="X1421" s="367"/>
      <c r="Y1421" s="367"/>
      <c r="Z1421" s="367" t="s">
        <v>127</v>
      </c>
      <c r="AA1421" s="367"/>
      <c r="AB1421" s="150"/>
      <c r="AC1421" s="48" t="s">
        <v>3959</v>
      </c>
      <c r="AD1421" s="150" t="s">
        <v>169</v>
      </c>
      <c r="AE1421" s="296">
        <v>46179</v>
      </c>
      <c r="AF1421" s="296"/>
      <c r="AG1421" s="286">
        <v>46244</v>
      </c>
      <c r="AH1421" s="49"/>
      <c r="AI1421" s="266"/>
      <c r="AJ1421" s="150" t="s">
        <v>617</v>
      </c>
      <c r="AK1421" s="150" t="s">
        <v>161</v>
      </c>
      <c r="AL1421" s="150"/>
      <c r="AM1421" s="150"/>
      <c r="AN1421" s="367"/>
      <c r="AO1421" s="367"/>
      <c r="AP1421" s="367"/>
      <c r="AQ1421" s="367"/>
      <c r="AR1421" s="367"/>
      <c r="AS1421" s="367"/>
      <c r="AT1421" s="45">
        <v>46213</v>
      </c>
      <c r="AU1421" s="367"/>
      <c r="AV1421" s="367"/>
      <c r="AW1421" s="367"/>
      <c r="AX1421" s="367"/>
      <c r="AY1421" s="367"/>
      <c r="AZ1421" s="367"/>
      <c r="BA1421" s="367"/>
      <c r="BB1421" s="152"/>
      <c r="BC1421" s="152"/>
      <c r="BD1421" s="367" t="s">
        <v>2455</v>
      </c>
      <c r="BE1421" s="367"/>
      <c r="BF1421" s="367"/>
      <c r="BG1421" s="367"/>
      <c r="BH1421" s="260"/>
      <c r="BL1421" s="54"/>
    </row>
    <row r="1422" spans="1:64" ht="37.950000000000003" customHeight="1" x14ac:dyDescent="0.3">
      <c r="A1422" s="367">
        <f t="shared" si="25"/>
        <v>1417</v>
      </c>
      <c r="B1422" s="54" t="s">
        <v>3960</v>
      </c>
      <c r="C1422" s="367" t="s">
        <v>6</v>
      </c>
      <c r="D1422" s="150" t="s">
        <v>3952</v>
      </c>
      <c r="E1422" s="367"/>
      <c r="F1422" s="367"/>
      <c r="G1422" s="367"/>
      <c r="H1422" s="367"/>
      <c r="I1422" s="367" t="s">
        <v>3953</v>
      </c>
      <c r="J1422" s="54" t="s">
        <v>2298</v>
      </c>
      <c r="K1422" s="48" t="s">
        <v>3961</v>
      </c>
      <c r="L1422" s="367" t="s">
        <v>2280</v>
      </c>
      <c r="M1422" s="150" t="s">
        <v>120</v>
      </c>
      <c r="N1422" s="150" t="s">
        <v>3962</v>
      </c>
      <c r="O1422" s="150" t="s">
        <v>3963</v>
      </c>
      <c r="P1422" s="367">
        <v>6.5</v>
      </c>
      <c r="Q1422" s="367">
        <v>3.4</v>
      </c>
      <c r="R1422" s="367">
        <v>750</v>
      </c>
      <c r="S1422" s="367">
        <v>100</v>
      </c>
      <c r="T1422" s="367">
        <v>10.5</v>
      </c>
      <c r="U1422" s="367"/>
      <c r="V1422" s="367"/>
      <c r="W1422" s="367"/>
      <c r="X1422" s="367"/>
      <c r="Y1422" s="367" t="s">
        <v>127</v>
      </c>
      <c r="Z1422" s="367"/>
      <c r="AA1422" s="367"/>
      <c r="AB1422" s="150" t="s">
        <v>215</v>
      </c>
      <c r="AC1422" s="48" t="s">
        <v>3964</v>
      </c>
      <c r="AD1422" s="150" t="s">
        <v>284</v>
      </c>
      <c r="AE1422" s="296">
        <v>46179</v>
      </c>
      <c r="AF1422" s="296"/>
      <c r="AG1422" s="286"/>
      <c r="AH1422" s="49"/>
      <c r="AI1422" s="266"/>
      <c r="AJ1422" s="150" t="s">
        <v>617</v>
      </c>
      <c r="AK1422" s="150" t="s">
        <v>200</v>
      </c>
      <c r="AL1422" s="150"/>
      <c r="AM1422" s="150"/>
      <c r="AN1422" s="367"/>
      <c r="AO1422" s="367"/>
      <c r="AP1422" s="367"/>
      <c r="AQ1422" s="367"/>
      <c r="AR1422" s="367"/>
      <c r="AS1422" s="367"/>
      <c r="AT1422" s="45">
        <v>46213</v>
      </c>
      <c r="AU1422" s="367"/>
      <c r="AV1422" s="367"/>
      <c r="AW1422" s="367"/>
      <c r="AX1422" s="367"/>
      <c r="AY1422" s="367"/>
      <c r="AZ1422" s="367"/>
      <c r="BA1422" s="367"/>
      <c r="BB1422" s="152"/>
      <c r="BC1422" s="152"/>
      <c r="BD1422" s="367" t="s">
        <v>2455</v>
      </c>
      <c r="BE1422" s="367"/>
      <c r="BF1422" s="367"/>
      <c r="BG1422" s="367"/>
      <c r="BH1422" s="260"/>
      <c r="BL1422" s="54"/>
    </row>
    <row r="1423" spans="1:64" ht="37.950000000000003" customHeight="1" x14ac:dyDescent="0.3">
      <c r="A1423" s="367">
        <f t="shared" si="25"/>
        <v>1418</v>
      </c>
      <c r="B1423" s="54" t="s">
        <v>3965</v>
      </c>
      <c r="C1423" s="367" t="s">
        <v>6</v>
      </c>
      <c r="D1423" s="150" t="s">
        <v>3952</v>
      </c>
      <c r="E1423" s="367"/>
      <c r="F1423" s="367"/>
      <c r="G1423" s="367"/>
      <c r="H1423" s="367"/>
      <c r="I1423" s="367" t="s">
        <v>3953</v>
      </c>
      <c r="J1423" s="54" t="s">
        <v>2298</v>
      </c>
      <c r="K1423" s="48" t="s">
        <v>3961</v>
      </c>
      <c r="L1423" s="367" t="s">
        <v>2280</v>
      </c>
      <c r="M1423" s="150" t="s">
        <v>120</v>
      </c>
      <c r="N1423" s="150" t="s">
        <v>3962</v>
      </c>
      <c r="O1423" s="150" t="s">
        <v>3963</v>
      </c>
      <c r="P1423" s="367">
        <v>6.5</v>
      </c>
      <c r="Q1423" s="367">
        <v>3.4</v>
      </c>
      <c r="R1423" s="367">
        <v>750</v>
      </c>
      <c r="S1423" s="367">
        <v>100</v>
      </c>
      <c r="T1423" s="367">
        <v>10.5</v>
      </c>
      <c r="U1423" s="367"/>
      <c r="V1423" s="367"/>
      <c r="W1423" s="367"/>
      <c r="X1423" s="367"/>
      <c r="Y1423" s="367"/>
      <c r="Z1423" s="367" t="s">
        <v>127</v>
      </c>
      <c r="AA1423" s="367"/>
      <c r="AB1423" s="150"/>
      <c r="AC1423" s="48" t="s">
        <v>3966</v>
      </c>
      <c r="AD1423" s="150" t="s">
        <v>169</v>
      </c>
      <c r="AE1423" s="296">
        <v>46179</v>
      </c>
      <c r="AF1423" s="296"/>
      <c r="AG1423" s="286"/>
      <c r="AH1423" s="49"/>
      <c r="AI1423" s="266"/>
      <c r="AJ1423" s="150" t="s">
        <v>617</v>
      </c>
      <c r="AK1423" s="150" t="s">
        <v>161</v>
      </c>
      <c r="AL1423" s="150"/>
      <c r="AM1423" s="150"/>
      <c r="AN1423" s="367"/>
      <c r="AO1423" s="367"/>
      <c r="AP1423" s="367"/>
      <c r="AQ1423" s="367"/>
      <c r="AR1423" s="367"/>
      <c r="AS1423" s="367"/>
      <c r="AT1423" s="45">
        <v>46213</v>
      </c>
      <c r="AU1423" s="367"/>
      <c r="AV1423" s="367"/>
      <c r="AW1423" s="367"/>
      <c r="AX1423" s="367"/>
      <c r="AY1423" s="367"/>
      <c r="AZ1423" s="367"/>
      <c r="BA1423" s="367"/>
      <c r="BB1423" s="152"/>
      <c r="BC1423" s="152"/>
      <c r="BD1423" s="367" t="s">
        <v>2455</v>
      </c>
      <c r="BE1423" s="367"/>
      <c r="BF1423" s="367"/>
      <c r="BG1423" s="367"/>
      <c r="BH1423" s="260"/>
      <c r="BL1423" s="54"/>
    </row>
    <row r="1424" spans="1:64" ht="37.950000000000003" customHeight="1" x14ac:dyDescent="0.3">
      <c r="A1424" s="367">
        <f t="shared" si="25"/>
        <v>1419</v>
      </c>
      <c r="B1424" s="54" t="s">
        <v>3967</v>
      </c>
      <c r="C1424" s="367" t="s">
        <v>6</v>
      </c>
      <c r="D1424" s="150" t="s">
        <v>3952</v>
      </c>
      <c r="E1424" s="367"/>
      <c r="F1424" s="367"/>
      <c r="G1424" s="367"/>
      <c r="H1424" s="367"/>
      <c r="I1424" s="367" t="s">
        <v>3968</v>
      </c>
      <c r="J1424" s="54" t="s">
        <v>1524</v>
      </c>
      <c r="K1424" s="48" t="s">
        <v>213</v>
      </c>
      <c r="L1424" s="367" t="s">
        <v>2280</v>
      </c>
      <c r="M1424" s="150" t="s">
        <v>120</v>
      </c>
      <c r="N1424" s="150" t="s">
        <v>3969</v>
      </c>
      <c r="O1424" s="150" t="s">
        <v>3970</v>
      </c>
      <c r="P1424" s="367">
        <v>7</v>
      </c>
      <c r="Q1424" s="367">
        <v>1.5</v>
      </c>
      <c r="R1424" s="367">
        <v>750</v>
      </c>
      <c r="S1424" s="367">
        <v>100</v>
      </c>
      <c r="T1424" s="367">
        <v>39</v>
      </c>
      <c r="U1424" s="367"/>
      <c r="V1424" s="367"/>
      <c r="W1424" s="367"/>
      <c r="X1424" s="367" t="s">
        <v>1111</v>
      </c>
      <c r="Y1424" s="367"/>
      <c r="Z1424" s="367"/>
      <c r="AA1424" s="367" t="s">
        <v>127</v>
      </c>
      <c r="AB1424" s="150" t="s">
        <v>215</v>
      </c>
      <c r="AC1424" s="48" t="s">
        <v>3971</v>
      </c>
      <c r="AD1424" s="150" t="s">
        <v>552</v>
      </c>
      <c r="AE1424" s="296">
        <v>46179</v>
      </c>
      <c r="AF1424" s="296"/>
      <c r="AG1424" s="286">
        <v>46244</v>
      </c>
      <c r="AH1424" s="49"/>
      <c r="AI1424" s="266"/>
      <c r="AJ1424" s="150" t="s">
        <v>2334</v>
      </c>
      <c r="AK1424" s="150" t="s">
        <v>200</v>
      </c>
      <c r="AL1424" s="150"/>
      <c r="AM1424" s="150"/>
      <c r="AN1424" s="367"/>
      <c r="AO1424" s="367"/>
      <c r="AP1424" s="367"/>
      <c r="AQ1424" s="367"/>
      <c r="AR1424" s="367"/>
      <c r="AS1424" s="367"/>
      <c r="AT1424" s="45">
        <v>46218</v>
      </c>
      <c r="AU1424" s="367"/>
      <c r="AV1424" s="367"/>
      <c r="AW1424" s="45">
        <v>46188</v>
      </c>
      <c r="AX1424" s="367"/>
      <c r="AY1424" s="367"/>
      <c r="AZ1424" s="367"/>
      <c r="BA1424" s="367"/>
      <c r="BB1424" s="152" t="s">
        <v>3972</v>
      </c>
      <c r="BC1424" s="152"/>
      <c r="BD1424" s="367" t="s">
        <v>2455</v>
      </c>
      <c r="BE1424" s="367"/>
      <c r="BF1424" s="367"/>
      <c r="BG1424" s="367"/>
      <c r="BH1424" s="260"/>
      <c r="BL1424" s="54"/>
    </row>
    <row r="1425" spans="1:64" ht="37.950000000000003" customHeight="1" x14ac:dyDescent="0.3">
      <c r="A1425" s="367">
        <f t="shared" si="25"/>
        <v>1420</v>
      </c>
      <c r="B1425" s="54" t="s">
        <v>3973</v>
      </c>
      <c r="C1425" s="367" t="s">
        <v>6</v>
      </c>
      <c r="D1425" s="150" t="s">
        <v>3952</v>
      </c>
      <c r="E1425" s="367"/>
      <c r="F1425" s="367"/>
      <c r="G1425" s="367"/>
      <c r="H1425" s="367"/>
      <c r="I1425" s="367" t="s">
        <v>3968</v>
      </c>
      <c r="J1425" s="54" t="s">
        <v>1524</v>
      </c>
      <c r="K1425" s="48" t="s">
        <v>213</v>
      </c>
      <c r="L1425" s="367" t="s">
        <v>2280</v>
      </c>
      <c r="M1425" s="150" t="s">
        <v>120</v>
      </c>
      <c r="N1425" s="150" t="s">
        <v>3969</v>
      </c>
      <c r="O1425" s="150" t="s">
        <v>3970</v>
      </c>
      <c r="P1425" s="367">
        <v>7</v>
      </c>
      <c r="Q1425" s="367">
        <v>1.5</v>
      </c>
      <c r="R1425" s="367">
        <v>750</v>
      </c>
      <c r="S1425" s="367">
        <v>100</v>
      </c>
      <c r="T1425" s="367">
        <v>39</v>
      </c>
      <c r="U1425" s="367"/>
      <c r="V1425" s="367"/>
      <c r="W1425" s="367"/>
      <c r="X1425" s="367" t="s">
        <v>1111</v>
      </c>
      <c r="Y1425" s="367"/>
      <c r="Z1425" s="367"/>
      <c r="AA1425" s="367"/>
      <c r="AB1425" s="150" t="s">
        <v>215</v>
      </c>
      <c r="AC1425" s="48" t="s">
        <v>3974</v>
      </c>
      <c r="AD1425" s="150" t="s">
        <v>555</v>
      </c>
      <c r="AE1425" s="296">
        <v>46179</v>
      </c>
      <c r="AF1425" s="296"/>
      <c r="AG1425" s="286">
        <v>46244</v>
      </c>
      <c r="AH1425" s="49"/>
      <c r="AI1425" s="266"/>
      <c r="AJ1425" s="150" t="s">
        <v>2334</v>
      </c>
      <c r="AK1425" s="150" t="s">
        <v>200</v>
      </c>
      <c r="AL1425" s="150"/>
      <c r="AM1425" s="150"/>
      <c r="AN1425" s="367"/>
      <c r="AO1425" s="367"/>
      <c r="AP1425" s="367"/>
      <c r="AQ1425" s="367"/>
      <c r="AR1425" s="367"/>
      <c r="AS1425" s="367"/>
      <c r="AT1425" s="45">
        <v>46218</v>
      </c>
      <c r="AU1425" s="367"/>
      <c r="AV1425" s="367"/>
      <c r="AW1425" s="45">
        <v>46188</v>
      </c>
      <c r="AX1425" s="367"/>
      <c r="AY1425" s="367"/>
      <c r="AZ1425" s="367"/>
      <c r="BA1425" s="367"/>
      <c r="BB1425" s="152" t="s">
        <v>3972</v>
      </c>
      <c r="BC1425" s="152"/>
      <c r="BD1425" s="367" t="s">
        <v>2455</v>
      </c>
      <c r="BE1425" s="367"/>
      <c r="BF1425" s="367"/>
      <c r="BG1425" s="367"/>
      <c r="BH1425" s="260"/>
      <c r="BL1425" s="54"/>
    </row>
    <row r="1426" spans="1:64" ht="37.950000000000003" customHeight="1" x14ac:dyDescent="0.3">
      <c r="A1426" s="367">
        <f t="shared" si="25"/>
        <v>1421</v>
      </c>
      <c r="B1426" s="54" t="s">
        <v>3975</v>
      </c>
      <c r="C1426" s="367" t="s">
        <v>6</v>
      </c>
      <c r="D1426" s="150" t="s">
        <v>3952</v>
      </c>
      <c r="E1426" s="367"/>
      <c r="F1426" s="367"/>
      <c r="G1426" s="367"/>
      <c r="H1426" s="367"/>
      <c r="I1426" s="367" t="s">
        <v>3968</v>
      </c>
      <c r="J1426" s="54" t="s">
        <v>1524</v>
      </c>
      <c r="K1426" s="48" t="s">
        <v>3976</v>
      </c>
      <c r="L1426" s="367" t="s">
        <v>2280</v>
      </c>
      <c r="M1426" s="150" t="s">
        <v>65</v>
      </c>
      <c r="N1426" s="150" t="s">
        <v>3969</v>
      </c>
      <c r="O1426" s="150" t="s">
        <v>3970</v>
      </c>
      <c r="P1426" s="367">
        <v>7</v>
      </c>
      <c r="Q1426" s="367">
        <v>1.5</v>
      </c>
      <c r="R1426" s="367">
        <v>750</v>
      </c>
      <c r="S1426" s="367">
        <v>100</v>
      </c>
      <c r="T1426" s="367">
        <v>39</v>
      </c>
      <c r="U1426" s="367"/>
      <c r="V1426" s="367"/>
      <c r="W1426" s="367"/>
      <c r="X1426" s="367" t="s">
        <v>1111</v>
      </c>
      <c r="Y1426" s="367"/>
      <c r="Z1426" s="367"/>
      <c r="AA1426" s="367" t="s">
        <v>127</v>
      </c>
      <c r="AB1426" s="150" t="s">
        <v>215</v>
      </c>
      <c r="AC1426" s="48" t="s">
        <v>3977</v>
      </c>
      <c r="AD1426" s="150" t="s">
        <v>552</v>
      </c>
      <c r="AE1426" s="296">
        <v>46179</v>
      </c>
      <c r="AF1426" s="296"/>
      <c r="AG1426" s="286">
        <v>46244</v>
      </c>
      <c r="AH1426" s="49"/>
      <c r="AI1426" s="266"/>
      <c r="AJ1426" s="150" t="s">
        <v>2334</v>
      </c>
      <c r="AK1426" s="150" t="s">
        <v>200</v>
      </c>
      <c r="AL1426" s="150"/>
      <c r="AM1426" s="150"/>
      <c r="AN1426" s="367"/>
      <c r="AO1426" s="367"/>
      <c r="AP1426" s="367"/>
      <c r="AQ1426" s="367"/>
      <c r="AR1426" s="367"/>
      <c r="AS1426" s="367"/>
      <c r="AT1426" s="45">
        <v>46218</v>
      </c>
      <c r="AU1426" s="367"/>
      <c r="AV1426" s="367"/>
      <c r="AW1426" s="45">
        <v>46188</v>
      </c>
      <c r="AX1426" s="367"/>
      <c r="AY1426" s="367"/>
      <c r="AZ1426" s="367"/>
      <c r="BA1426" s="367"/>
      <c r="BB1426" s="152" t="s">
        <v>3972</v>
      </c>
      <c r="BC1426" s="152"/>
      <c r="BD1426" s="367" t="s">
        <v>2455</v>
      </c>
      <c r="BE1426" s="367"/>
      <c r="BF1426" s="367"/>
      <c r="BG1426" s="367"/>
      <c r="BH1426" s="260"/>
      <c r="BL1426" s="54"/>
    </row>
    <row r="1427" spans="1:64" ht="37.950000000000003" customHeight="1" x14ac:dyDescent="0.3">
      <c r="A1427" s="367">
        <f t="shared" si="25"/>
        <v>1422</v>
      </c>
      <c r="B1427" s="54" t="s">
        <v>3978</v>
      </c>
      <c r="C1427" s="367" t="s">
        <v>6</v>
      </c>
      <c r="D1427" s="150" t="s">
        <v>3952</v>
      </c>
      <c r="E1427" s="367"/>
      <c r="F1427" s="367"/>
      <c r="G1427" s="367"/>
      <c r="H1427" s="367"/>
      <c r="I1427" s="367" t="s">
        <v>3968</v>
      </c>
      <c r="J1427" s="54" t="s">
        <v>1524</v>
      </c>
      <c r="K1427" s="48" t="s">
        <v>3976</v>
      </c>
      <c r="L1427" s="367" t="s">
        <v>2280</v>
      </c>
      <c r="M1427" s="150" t="s">
        <v>65</v>
      </c>
      <c r="N1427" s="150" t="s">
        <v>3969</v>
      </c>
      <c r="O1427" s="150" t="s">
        <v>3970</v>
      </c>
      <c r="P1427" s="367">
        <v>7</v>
      </c>
      <c r="Q1427" s="367">
        <v>1.5</v>
      </c>
      <c r="R1427" s="367">
        <v>750</v>
      </c>
      <c r="S1427" s="367">
        <v>100</v>
      </c>
      <c r="T1427" s="367">
        <v>39</v>
      </c>
      <c r="U1427" s="367"/>
      <c r="V1427" s="367"/>
      <c r="W1427" s="367"/>
      <c r="X1427" s="367" t="s">
        <v>1111</v>
      </c>
      <c r="Y1427" s="367"/>
      <c r="Z1427" s="367"/>
      <c r="AA1427" s="367"/>
      <c r="AB1427" s="150" t="s">
        <v>215</v>
      </c>
      <c r="AC1427" s="48" t="s">
        <v>3979</v>
      </c>
      <c r="AD1427" s="150" t="s">
        <v>555</v>
      </c>
      <c r="AE1427" s="296">
        <v>46179</v>
      </c>
      <c r="AF1427" s="296"/>
      <c r="AG1427" s="286">
        <v>46244</v>
      </c>
      <c r="AH1427" s="49"/>
      <c r="AI1427" s="266"/>
      <c r="AJ1427" s="150" t="s">
        <v>2334</v>
      </c>
      <c r="AK1427" s="150" t="s">
        <v>200</v>
      </c>
      <c r="AL1427" s="150"/>
      <c r="AM1427" s="150"/>
      <c r="AN1427" s="367"/>
      <c r="AO1427" s="367"/>
      <c r="AP1427" s="367"/>
      <c r="AQ1427" s="367"/>
      <c r="AR1427" s="367"/>
      <c r="AS1427" s="367"/>
      <c r="AT1427" s="45">
        <v>46218</v>
      </c>
      <c r="AU1427" s="367"/>
      <c r="AV1427" s="367"/>
      <c r="AW1427" s="45">
        <v>46188</v>
      </c>
      <c r="AX1427" s="367"/>
      <c r="AY1427" s="367"/>
      <c r="AZ1427" s="367"/>
      <c r="BA1427" s="367"/>
      <c r="BB1427" s="152" t="s">
        <v>3972</v>
      </c>
      <c r="BC1427" s="152"/>
      <c r="BD1427" s="367" t="s">
        <v>2455</v>
      </c>
      <c r="BE1427" s="367"/>
      <c r="BF1427" s="367"/>
      <c r="BG1427" s="367"/>
      <c r="BH1427" s="260"/>
      <c r="BL1427" s="54"/>
    </row>
    <row r="1428" spans="1:64" ht="37.950000000000003" customHeight="1" x14ac:dyDescent="0.3">
      <c r="A1428" s="367">
        <f t="shared" si="25"/>
        <v>1423</v>
      </c>
      <c r="B1428" s="54" t="s">
        <v>3980</v>
      </c>
      <c r="C1428" s="367" t="s">
        <v>6</v>
      </c>
      <c r="D1428" s="367"/>
      <c r="E1428" s="367"/>
      <c r="F1428" s="367"/>
      <c r="G1428" s="367"/>
      <c r="H1428" s="367"/>
      <c r="I1428" s="367" t="s">
        <v>3981</v>
      </c>
      <c r="J1428" s="54" t="s">
        <v>1524</v>
      </c>
      <c r="K1428" s="48" t="s">
        <v>3982</v>
      </c>
      <c r="L1428" s="367" t="s">
        <v>3983</v>
      </c>
      <c r="M1428" s="150" t="s">
        <v>65</v>
      </c>
      <c r="N1428" s="150" t="s">
        <v>2592</v>
      </c>
      <c r="O1428" s="150" t="s">
        <v>2593</v>
      </c>
      <c r="P1428" s="367">
        <v>4</v>
      </c>
      <c r="Q1428" s="367">
        <v>3.6</v>
      </c>
      <c r="R1428" s="367"/>
      <c r="S1428" s="367">
        <v>100</v>
      </c>
      <c r="T1428" s="367">
        <v>12</v>
      </c>
      <c r="U1428" s="367"/>
      <c r="V1428" s="367"/>
      <c r="W1428" s="367"/>
      <c r="X1428" s="367" t="s">
        <v>1111</v>
      </c>
      <c r="Y1428" s="367"/>
      <c r="Z1428" s="367"/>
      <c r="AA1428" s="367"/>
      <c r="AB1428" s="150" t="s">
        <v>3984</v>
      </c>
      <c r="AC1428" s="48" t="s">
        <v>2594</v>
      </c>
      <c r="AD1428" s="150" t="s">
        <v>1154</v>
      </c>
      <c r="AE1428" s="296">
        <v>46179</v>
      </c>
      <c r="AF1428" s="296"/>
      <c r="AG1428" s="286">
        <v>46244</v>
      </c>
      <c r="AH1428" s="49"/>
      <c r="AI1428" s="266"/>
      <c r="AJ1428" s="150" t="s">
        <v>617</v>
      </c>
      <c r="AK1428" s="150"/>
      <c r="AL1428" s="150"/>
      <c r="AM1428" s="150"/>
      <c r="AN1428" s="367"/>
      <c r="AO1428" s="367"/>
      <c r="AP1428" s="367"/>
      <c r="AQ1428" s="367"/>
      <c r="AR1428" s="367"/>
      <c r="AS1428" s="367"/>
      <c r="AT1428" s="367"/>
      <c r="AU1428" s="367"/>
      <c r="AV1428" s="367"/>
      <c r="AW1428" s="367"/>
      <c r="AX1428" s="367"/>
      <c r="AY1428" s="367"/>
      <c r="AZ1428" s="367"/>
      <c r="BA1428" s="367"/>
      <c r="BB1428" s="152"/>
      <c r="BC1428" s="152"/>
      <c r="BD1428" s="367" t="s">
        <v>2455</v>
      </c>
      <c r="BE1428" s="367"/>
      <c r="BF1428" s="367"/>
      <c r="BG1428" s="367"/>
      <c r="BH1428" s="260"/>
      <c r="BL1428" s="54"/>
    </row>
    <row r="1429" spans="1:64" ht="37.950000000000003" customHeight="1" x14ac:dyDescent="0.3">
      <c r="A1429" s="367">
        <f t="shared" si="25"/>
        <v>1424</v>
      </c>
      <c r="B1429" s="54" t="s">
        <v>3985</v>
      </c>
      <c r="C1429" s="367" t="s">
        <v>6</v>
      </c>
      <c r="D1429" s="150" t="s">
        <v>3952</v>
      </c>
      <c r="E1429" s="367"/>
      <c r="F1429" s="367"/>
      <c r="G1429" s="367"/>
      <c r="H1429" s="367"/>
      <c r="I1429" s="367" t="s">
        <v>3981</v>
      </c>
      <c r="J1429" s="54" t="s">
        <v>1524</v>
      </c>
      <c r="K1429" s="48" t="s">
        <v>3982</v>
      </c>
      <c r="L1429" s="367" t="s">
        <v>3986</v>
      </c>
      <c r="M1429" s="150" t="s">
        <v>65</v>
      </c>
      <c r="N1429" s="150" t="s">
        <v>2592</v>
      </c>
      <c r="O1429" s="150" t="s">
        <v>2593</v>
      </c>
      <c r="P1429" s="367">
        <v>4</v>
      </c>
      <c r="Q1429" s="367">
        <v>3.6</v>
      </c>
      <c r="R1429" s="367"/>
      <c r="S1429" s="367">
        <v>100</v>
      </c>
      <c r="T1429" s="367">
        <v>12</v>
      </c>
      <c r="U1429" s="367"/>
      <c r="V1429" s="367"/>
      <c r="W1429" s="367"/>
      <c r="X1429" s="367"/>
      <c r="Y1429" s="367"/>
      <c r="Z1429" s="367" t="s">
        <v>127</v>
      </c>
      <c r="AA1429" s="367"/>
      <c r="AB1429" s="150" t="s">
        <v>215</v>
      </c>
      <c r="AC1429" s="48" t="s">
        <v>2599</v>
      </c>
      <c r="AD1429" s="150" t="s">
        <v>1079</v>
      </c>
      <c r="AE1429" s="296">
        <v>46179</v>
      </c>
      <c r="AF1429" s="296"/>
      <c r="AG1429" s="286">
        <v>46244</v>
      </c>
      <c r="AH1429" s="49"/>
      <c r="AI1429" s="266"/>
      <c r="AJ1429" s="150" t="s">
        <v>2334</v>
      </c>
      <c r="AK1429" s="150" t="s">
        <v>161</v>
      </c>
      <c r="AL1429" s="150"/>
      <c r="AM1429" s="150"/>
      <c r="AN1429" s="367"/>
      <c r="AO1429" s="367"/>
      <c r="AP1429" s="367"/>
      <c r="AQ1429" s="367"/>
      <c r="AR1429" s="367"/>
      <c r="AS1429" s="367"/>
      <c r="AT1429" s="45">
        <v>46213</v>
      </c>
      <c r="AU1429" s="367"/>
      <c r="AV1429" s="367"/>
      <c r="AW1429" s="45">
        <v>46189</v>
      </c>
      <c r="AX1429" s="367"/>
      <c r="AY1429" s="367"/>
      <c r="AZ1429" s="367"/>
      <c r="BA1429" s="367"/>
      <c r="BB1429" s="152"/>
      <c r="BC1429" s="152"/>
      <c r="BD1429" s="367" t="s">
        <v>2455</v>
      </c>
      <c r="BE1429" s="367"/>
      <c r="BF1429" s="367"/>
      <c r="BG1429" s="367"/>
      <c r="BH1429" s="260"/>
      <c r="BL1429" s="54"/>
    </row>
    <row r="1430" spans="1:64" ht="37.950000000000003" customHeight="1" x14ac:dyDescent="0.3">
      <c r="A1430" s="367">
        <f t="shared" ref="A1430:A1493" si="26">ROW(B1430)-ROW($B$5)</f>
        <v>1425</v>
      </c>
      <c r="B1430" s="54" t="s">
        <v>3987</v>
      </c>
      <c r="C1430" s="367" t="s">
        <v>6</v>
      </c>
      <c r="D1430" s="150" t="s">
        <v>3952</v>
      </c>
      <c r="E1430" s="367"/>
      <c r="F1430" s="367"/>
      <c r="G1430" s="367"/>
      <c r="H1430" s="367"/>
      <c r="I1430" s="367" t="s">
        <v>3981</v>
      </c>
      <c r="J1430" s="54" t="s">
        <v>1524</v>
      </c>
      <c r="K1430" s="48" t="s">
        <v>3982</v>
      </c>
      <c r="L1430" s="367" t="s">
        <v>3986</v>
      </c>
      <c r="M1430" s="150" t="s">
        <v>65</v>
      </c>
      <c r="N1430" s="150" t="s">
        <v>2592</v>
      </c>
      <c r="O1430" s="150" t="s">
        <v>2593</v>
      </c>
      <c r="P1430" s="367">
        <v>4</v>
      </c>
      <c r="Q1430" s="367">
        <v>3.6</v>
      </c>
      <c r="R1430" s="367"/>
      <c r="S1430" s="367">
        <v>100</v>
      </c>
      <c r="T1430" s="367">
        <v>12</v>
      </c>
      <c r="U1430" s="367"/>
      <c r="V1430" s="367"/>
      <c r="W1430" s="367"/>
      <c r="X1430" s="367"/>
      <c r="Y1430" s="367"/>
      <c r="Z1430" s="367" t="s">
        <v>127</v>
      </c>
      <c r="AA1430" s="367"/>
      <c r="AB1430" s="150"/>
      <c r="AC1430" s="48" t="s">
        <v>2603</v>
      </c>
      <c r="AD1430" s="150" t="s">
        <v>886</v>
      </c>
      <c r="AE1430" s="296">
        <v>46179</v>
      </c>
      <c r="AF1430" s="296"/>
      <c r="AG1430" s="286">
        <v>46244</v>
      </c>
      <c r="AH1430" s="49"/>
      <c r="AI1430" s="266"/>
      <c r="AJ1430" s="150" t="s">
        <v>2334</v>
      </c>
      <c r="AK1430" s="150" t="s">
        <v>190</v>
      </c>
      <c r="AL1430" s="150"/>
      <c r="AM1430" s="150"/>
      <c r="AN1430" s="367"/>
      <c r="AO1430" s="367"/>
      <c r="AP1430" s="367"/>
      <c r="AQ1430" s="367"/>
      <c r="AR1430" s="367"/>
      <c r="AS1430" s="367"/>
      <c r="AT1430" s="45">
        <v>46213</v>
      </c>
      <c r="AU1430" s="367"/>
      <c r="AV1430" s="367"/>
      <c r="AW1430" s="45">
        <v>46189</v>
      </c>
      <c r="AX1430" s="367"/>
      <c r="AY1430" s="367"/>
      <c r="AZ1430" s="367"/>
      <c r="BA1430" s="367"/>
      <c r="BB1430" s="152"/>
      <c r="BC1430" s="152"/>
      <c r="BD1430" s="367" t="s">
        <v>2455</v>
      </c>
      <c r="BE1430" s="367"/>
      <c r="BF1430" s="367"/>
      <c r="BG1430" s="367"/>
      <c r="BH1430" s="260"/>
      <c r="BL1430" s="54"/>
    </row>
    <row r="1431" spans="1:64" ht="37.950000000000003" customHeight="1" x14ac:dyDescent="0.3">
      <c r="A1431" s="367">
        <f t="shared" si="26"/>
        <v>1426</v>
      </c>
      <c r="B1431" s="54" t="s">
        <v>3988</v>
      </c>
      <c r="C1431" s="367" t="s">
        <v>6</v>
      </c>
      <c r="D1431" s="150" t="s">
        <v>3952</v>
      </c>
      <c r="E1431" s="367"/>
      <c r="F1431" s="367"/>
      <c r="G1431" s="367"/>
      <c r="H1431" s="367"/>
      <c r="I1431" s="367" t="s">
        <v>3981</v>
      </c>
      <c r="J1431" s="54" t="s">
        <v>1524</v>
      </c>
      <c r="K1431" s="48" t="s">
        <v>3982</v>
      </c>
      <c r="L1431" s="367" t="s">
        <v>3986</v>
      </c>
      <c r="M1431" s="150" t="s">
        <v>65</v>
      </c>
      <c r="N1431" s="150" t="s">
        <v>2592</v>
      </c>
      <c r="O1431" s="150" t="s">
        <v>2593</v>
      </c>
      <c r="P1431" s="367">
        <v>4</v>
      </c>
      <c r="Q1431" s="367">
        <v>3.6</v>
      </c>
      <c r="R1431" s="367"/>
      <c r="S1431" s="367">
        <v>100</v>
      </c>
      <c r="T1431" s="367">
        <v>12</v>
      </c>
      <c r="U1431" s="367"/>
      <c r="V1431" s="367"/>
      <c r="W1431" s="367"/>
      <c r="X1431" s="367"/>
      <c r="Y1431" s="367"/>
      <c r="Z1431" s="367" t="s">
        <v>127</v>
      </c>
      <c r="AA1431" s="367"/>
      <c r="AB1431" s="150"/>
      <c r="AC1431" s="48" t="s">
        <v>2603</v>
      </c>
      <c r="AD1431" s="150" t="s">
        <v>886</v>
      </c>
      <c r="AE1431" s="296">
        <v>46179</v>
      </c>
      <c r="AF1431" s="296"/>
      <c r="AG1431" s="286">
        <v>46244</v>
      </c>
      <c r="AH1431" s="49"/>
      <c r="AI1431" s="266"/>
      <c r="AJ1431" s="150" t="s">
        <v>2334</v>
      </c>
      <c r="AK1431" s="150" t="s">
        <v>190</v>
      </c>
      <c r="AL1431" s="150"/>
      <c r="AM1431" s="150"/>
      <c r="AN1431" s="367"/>
      <c r="AO1431" s="367"/>
      <c r="AP1431" s="367"/>
      <c r="AQ1431" s="367"/>
      <c r="AR1431" s="367"/>
      <c r="AS1431" s="367"/>
      <c r="AT1431" s="45">
        <v>46213</v>
      </c>
      <c r="AU1431" s="367"/>
      <c r="AV1431" s="367"/>
      <c r="AW1431" s="45">
        <v>46189</v>
      </c>
      <c r="AX1431" s="367"/>
      <c r="AY1431" s="367"/>
      <c r="AZ1431" s="367"/>
      <c r="BA1431" s="367"/>
      <c r="BB1431" s="152"/>
      <c r="BC1431" s="152"/>
      <c r="BD1431" s="367" t="s">
        <v>2455</v>
      </c>
      <c r="BE1431" s="367"/>
      <c r="BF1431" s="367"/>
      <c r="BG1431" s="367"/>
      <c r="BH1431" s="260"/>
      <c r="BL1431" s="54"/>
    </row>
    <row r="1432" spans="1:64" ht="37.950000000000003" customHeight="1" x14ac:dyDescent="0.3">
      <c r="A1432" s="367">
        <f t="shared" si="26"/>
        <v>1427</v>
      </c>
      <c r="B1432" s="54" t="s">
        <v>3989</v>
      </c>
      <c r="C1432" s="367" t="s">
        <v>6</v>
      </c>
      <c r="D1432" s="150" t="s">
        <v>3952</v>
      </c>
      <c r="E1432" s="367"/>
      <c r="F1432" s="367"/>
      <c r="G1432" s="367"/>
      <c r="H1432" s="367"/>
      <c r="I1432" s="367" t="s">
        <v>3981</v>
      </c>
      <c r="J1432" s="54" t="s">
        <v>1524</v>
      </c>
      <c r="K1432" s="48" t="s">
        <v>3982</v>
      </c>
      <c r="L1432" s="367" t="s">
        <v>3986</v>
      </c>
      <c r="M1432" s="150" t="s">
        <v>65</v>
      </c>
      <c r="N1432" s="150" t="s">
        <v>2592</v>
      </c>
      <c r="O1432" s="150" t="s">
        <v>2593</v>
      </c>
      <c r="P1432" s="367">
        <v>4</v>
      </c>
      <c r="Q1432" s="367">
        <v>3.6</v>
      </c>
      <c r="R1432" s="367"/>
      <c r="S1432" s="367">
        <v>100</v>
      </c>
      <c r="T1432" s="367">
        <v>12</v>
      </c>
      <c r="U1432" s="367"/>
      <c r="V1432" s="367"/>
      <c r="W1432" s="367"/>
      <c r="X1432" s="367"/>
      <c r="Y1432" s="367"/>
      <c r="Z1432" s="367" t="s">
        <v>127</v>
      </c>
      <c r="AA1432" s="367"/>
      <c r="AB1432" s="150"/>
      <c r="AC1432" s="48" t="s">
        <v>2608</v>
      </c>
      <c r="AD1432" s="150" t="s">
        <v>3251</v>
      </c>
      <c r="AE1432" s="296">
        <v>46179</v>
      </c>
      <c r="AF1432" s="296"/>
      <c r="AG1432" s="286">
        <v>46244</v>
      </c>
      <c r="AH1432" s="49"/>
      <c r="AI1432" s="266"/>
      <c r="AJ1432" s="150" t="s">
        <v>617</v>
      </c>
      <c r="AK1432" s="150" t="s">
        <v>190</v>
      </c>
      <c r="AL1432" s="150"/>
      <c r="AM1432" s="150"/>
      <c r="AN1432" s="367"/>
      <c r="AO1432" s="367"/>
      <c r="AP1432" s="367"/>
      <c r="AQ1432" s="367"/>
      <c r="AR1432" s="367"/>
      <c r="AS1432" s="367"/>
      <c r="AT1432" s="45">
        <v>46213</v>
      </c>
      <c r="AU1432" s="367"/>
      <c r="AV1432" s="367"/>
      <c r="AW1432" s="367"/>
      <c r="AX1432" s="367"/>
      <c r="AY1432" s="367"/>
      <c r="AZ1432" s="367"/>
      <c r="BA1432" s="367"/>
      <c r="BB1432" s="152"/>
      <c r="BC1432" s="152"/>
      <c r="BD1432" s="367" t="s">
        <v>2455</v>
      </c>
      <c r="BE1432" s="367"/>
      <c r="BF1432" s="367"/>
      <c r="BG1432" s="367"/>
      <c r="BH1432" s="260"/>
      <c r="BL1432" s="54"/>
    </row>
    <row r="1433" spans="1:64" ht="37.950000000000003" customHeight="1" x14ac:dyDescent="0.3">
      <c r="A1433" s="367">
        <f t="shared" si="26"/>
        <v>1428</v>
      </c>
      <c r="B1433" s="54" t="s">
        <v>3990</v>
      </c>
      <c r="C1433" s="367" t="s">
        <v>6</v>
      </c>
      <c r="D1433" s="150" t="s">
        <v>3952</v>
      </c>
      <c r="E1433" s="367"/>
      <c r="F1433" s="367"/>
      <c r="G1433" s="367"/>
      <c r="H1433" s="367"/>
      <c r="I1433" s="367" t="s">
        <v>3981</v>
      </c>
      <c r="J1433" s="54" t="s">
        <v>1524</v>
      </c>
      <c r="K1433" s="48" t="s">
        <v>3982</v>
      </c>
      <c r="L1433" s="367" t="s">
        <v>3986</v>
      </c>
      <c r="M1433" s="150" t="s">
        <v>65</v>
      </c>
      <c r="N1433" s="150" t="s">
        <v>2592</v>
      </c>
      <c r="O1433" s="150" t="s">
        <v>2593</v>
      </c>
      <c r="P1433" s="367">
        <v>4</v>
      </c>
      <c r="Q1433" s="367">
        <v>3.6</v>
      </c>
      <c r="R1433" s="367"/>
      <c r="S1433" s="367">
        <v>100</v>
      </c>
      <c r="T1433" s="367">
        <v>12</v>
      </c>
      <c r="U1433" s="367"/>
      <c r="V1433" s="367"/>
      <c r="W1433" s="367"/>
      <c r="X1433" s="367"/>
      <c r="Y1433" s="367"/>
      <c r="Z1433" s="367" t="s">
        <v>127</v>
      </c>
      <c r="AA1433" s="367"/>
      <c r="AB1433" s="150"/>
      <c r="AC1433" s="48" t="s">
        <v>2608</v>
      </c>
      <c r="AD1433" s="150" t="s">
        <v>3251</v>
      </c>
      <c r="AE1433" s="296">
        <v>46179</v>
      </c>
      <c r="AF1433" s="296"/>
      <c r="AG1433" s="286">
        <v>46244</v>
      </c>
      <c r="AH1433" s="49"/>
      <c r="AI1433" s="266"/>
      <c r="AJ1433" s="150" t="s">
        <v>617</v>
      </c>
      <c r="AK1433" s="150" t="s">
        <v>190</v>
      </c>
      <c r="AL1433" s="150"/>
      <c r="AM1433" s="150"/>
      <c r="AN1433" s="367"/>
      <c r="AO1433" s="367"/>
      <c r="AP1433" s="367"/>
      <c r="AQ1433" s="367"/>
      <c r="AR1433" s="367"/>
      <c r="AS1433" s="367"/>
      <c r="AT1433" s="45">
        <v>46213</v>
      </c>
      <c r="AU1433" s="367"/>
      <c r="AV1433" s="367"/>
      <c r="AW1433" s="367"/>
      <c r="AX1433" s="367"/>
      <c r="AY1433" s="367"/>
      <c r="AZ1433" s="367"/>
      <c r="BA1433" s="367"/>
      <c r="BB1433" s="152"/>
      <c r="BC1433" s="152"/>
      <c r="BD1433" s="367" t="s">
        <v>2455</v>
      </c>
      <c r="BE1433" s="367"/>
      <c r="BF1433" s="367"/>
      <c r="BG1433" s="367"/>
      <c r="BH1433" s="260"/>
      <c r="BL1433" s="54"/>
    </row>
    <row r="1434" spans="1:64" ht="37.950000000000003" customHeight="1" x14ac:dyDescent="0.3">
      <c r="A1434" s="367">
        <f t="shared" si="26"/>
        <v>1429</v>
      </c>
      <c r="B1434" s="54" t="s">
        <v>3991</v>
      </c>
      <c r="C1434" s="367" t="s">
        <v>6</v>
      </c>
      <c r="D1434" s="150" t="s">
        <v>3952</v>
      </c>
      <c r="E1434" s="367"/>
      <c r="F1434" s="367"/>
      <c r="G1434" s="367"/>
      <c r="H1434" s="367"/>
      <c r="I1434" s="367" t="s">
        <v>3981</v>
      </c>
      <c r="J1434" s="54" t="s">
        <v>1524</v>
      </c>
      <c r="K1434" s="48" t="s">
        <v>3982</v>
      </c>
      <c r="L1434" s="367" t="s">
        <v>3986</v>
      </c>
      <c r="M1434" s="150" t="s">
        <v>65</v>
      </c>
      <c r="N1434" s="150" t="s">
        <v>2592</v>
      </c>
      <c r="O1434" s="150" t="s">
        <v>2593</v>
      </c>
      <c r="P1434" s="367">
        <v>4</v>
      </c>
      <c r="Q1434" s="367">
        <v>3.6</v>
      </c>
      <c r="R1434" s="367"/>
      <c r="S1434" s="367">
        <v>100</v>
      </c>
      <c r="T1434" s="367">
        <v>12</v>
      </c>
      <c r="U1434" s="367"/>
      <c r="V1434" s="367"/>
      <c r="W1434" s="367"/>
      <c r="X1434" s="367"/>
      <c r="Y1434" s="367"/>
      <c r="Z1434" s="367" t="s">
        <v>127</v>
      </c>
      <c r="AA1434" s="367"/>
      <c r="AB1434" s="150"/>
      <c r="AC1434" s="48" t="s">
        <v>2612</v>
      </c>
      <c r="AD1434" s="150" t="s">
        <v>886</v>
      </c>
      <c r="AE1434" s="296">
        <v>46179</v>
      </c>
      <c r="AF1434" s="296"/>
      <c r="AG1434" s="286">
        <v>46244</v>
      </c>
      <c r="AH1434" s="49"/>
      <c r="AI1434" s="266"/>
      <c r="AJ1434" s="150" t="s">
        <v>2334</v>
      </c>
      <c r="AK1434" s="150" t="s">
        <v>190</v>
      </c>
      <c r="AL1434" s="150"/>
      <c r="AM1434" s="150"/>
      <c r="AN1434" s="367"/>
      <c r="AO1434" s="367"/>
      <c r="AP1434" s="367"/>
      <c r="AQ1434" s="367"/>
      <c r="AR1434" s="367"/>
      <c r="AS1434" s="367"/>
      <c r="AT1434" s="45">
        <v>46213</v>
      </c>
      <c r="AU1434" s="367"/>
      <c r="AV1434" s="367"/>
      <c r="AW1434" s="45">
        <v>46189</v>
      </c>
      <c r="AX1434" s="367"/>
      <c r="AY1434" s="367"/>
      <c r="AZ1434" s="367"/>
      <c r="BA1434" s="367"/>
      <c r="BB1434" s="152"/>
      <c r="BC1434" s="152"/>
      <c r="BD1434" s="367" t="s">
        <v>2455</v>
      </c>
      <c r="BE1434" s="367"/>
      <c r="BF1434" s="367"/>
      <c r="BG1434" s="367"/>
      <c r="BH1434" s="260"/>
      <c r="BL1434" s="54"/>
    </row>
    <row r="1435" spans="1:64" ht="37.950000000000003" customHeight="1" x14ac:dyDescent="0.3">
      <c r="A1435" s="367">
        <f t="shared" si="26"/>
        <v>1430</v>
      </c>
      <c r="B1435" s="54" t="s">
        <v>3992</v>
      </c>
      <c r="C1435" s="367" t="s">
        <v>6</v>
      </c>
      <c r="D1435" s="150" t="s">
        <v>3952</v>
      </c>
      <c r="E1435" s="367"/>
      <c r="F1435" s="367"/>
      <c r="G1435" s="367"/>
      <c r="H1435" s="367"/>
      <c r="I1435" s="367" t="s">
        <v>3981</v>
      </c>
      <c r="J1435" s="54" t="s">
        <v>1524</v>
      </c>
      <c r="K1435" s="48" t="s">
        <v>3982</v>
      </c>
      <c r="L1435" s="367" t="s">
        <v>3986</v>
      </c>
      <c r="M1435" s="150" t="s">
        <v>65</v>
      </c>
      <c r="N1435" s="150" t="s">
        <v>2592</v>
      </c>
      <c r="O1435" s="150" t="s">
        <v>2593</v>
      </c>
      <c r="P1435" s="367">
        <v>4</v>
      </c>
      <c r="Q1435" s="367">
        <v>3.6</v>
      </c>
      <c r="R1435" s="367"/>
      <c r="S1435" s="367">
        <v>100</v>
      </c>
      <c r="T1435" s="367">
        <v>12</v>
      </c>
      <c r="U1435" s="367"/>
      <c r="V1435" s="367"/>
      <c r="W1435" s="367"/>
      <c r="X1435" s="367"/>
      <c r="Y1435" s="367"/>
      <c r="Z1435" s="367" t="s">
        <v>127</v>
      </c>
      <c r="AA1435" s="367"/>
      <c r="AB1435" s="150" t="s">
        <v>215</v>
      </c>
      <c r="AC1435" s="48" t="s">
        <v>3993</v>
      </c>
      <c r="AD1435" s="150" t="s">
        <v>1079</v>
      </c>
      <c r="AE1435" s="296">
        <v>46179</v>
      </c>
      <c r="AF1435" s="296"/>
      <c r="AG1435" s="286">
        <v>46244</v>
      </c>
      <c r="AH1435" s="49"/>
      <c r="AI1435" s="266"/>
      <c r="AJ1435" s="150" t="s">
        <v>2334</v>
      </c>
      <c r="AK1435" s="150" t="s">
        <v>161</v>
      </c>
      <c r="AL1435" s="150"/>
      <c r="AM1435" s="150"/>
      <c r="AN1435" s="367"/>
      <c r="AO1435" s="367"/>
      <c r="AP1435" s="367"/>
      <c r="AQ1435" s="367"/>
      <c r="AR1435" s="367"/>
      <c r="AS1435" s="367"/>
      <c r="AT1435" s="45">
        <v>46213</v>
      </c>
      <c r="AU1435" s="367"/>
      <c r="AV1435" s="367"/>
      <c r="AW1435" s="45">
        <v>46189</v>
      </c>
      <c r="AX1435" s="367"/>
      <c r="AY1435" s="367"/>
      <c r="AZ1435" s="367"/>
      <c r="BA1435" s="367"/>
      <c r="BB1435" s="152"/>
      <c r="BC1435" s="152"/>
      <c r="BD1435" s="367" t="s">
        <v>2455</v>
      </c>
      <c r="BE1435" s="367"/>
      <c r="BF1435" s="367"/>
      <c r="BG1435" s="367"/>
      <c r="BH1435" s="260"/>
      <c r="BL1435" s="54"/>
    </row>
    <row r="1436" spans="1:64" ht="37.950000000000003" customHeight="1" x14ac:dyDescent="0.3">
      <c r="A1436" s="367">
        <f t="shared" si="26"/>
        <v>1431</v>
      </c>
      <c r="B1436" s="54" t="s">
        <v>3994</v>
      </c>
      <c r="C1436" s="367" t="s">
        <v>6</v>
      </c>
      <c r="D1436" s="150" t="s">
        <v>3952</v>
      </c>
      <c r="E1436" s="367"/>
      <c r="F1436" s="367"/>
      <c r="G1436" s="367"/>
      <c r="H1436" s="367"/>
      <c r="I1436" s="367" t="s">
        <v>3981</v>
      </c>
      <c r="J1436" s="54" t="s">
        <v>1524</v>
      </c>
      <c r="K1436" s="48" t="s">
        <v>3982</v>
      </c>
      <c r="L1436" s="367" t="s">
        <v>3986</v>
      </c>
      <c r="M1436" s="150" t="s">
        <v>65</v>
      </c>
      <c r="N1436" s="150" t="s">
        <v>2592</v>
      </c>
      <c r="O1436" s="150" t="s">
        <v>2593</v>
      </c>
      <c r="P1436" s="367">
        <v>4</v>
      </c>
      <c r="Q1436" s="367">
        <v>3.6</v>
      </c>
      <c r="R1436" s="367"/>
      <c r="S1436" s="367">
        <v>100</v>
      </c>
      <c r="T1436" s="367">
        <v>12</v>
      </c>
      <c r="U1436" s="367"/>
      <c r="V1436" s="367"/>
      <c r="W1436" s="367"/>
      <c r="X1436" s="367"/>
      <c r="Y1436" s="367"/>
      <c r="Z1436" s="367" t="s">
        <v>127</v>
      </c>
      <c r="AA1436" s="367"/>
      <c r="AB1436" s="150"/>
      <c r="AC1436" s="48" t="s">
        <v>3995</v>
      </c>
      <c r="AD1436" s="150" t="s">
        <v>1592</v>
      </c>
      <c r="AE1436" s="296">
        <v>46179</v>
      </c>
      <c r="AF1436" s="296"/>
      <c r="AG1436" s="286">
        <v>46244</v>
      </c>
      <c r="AH1436" s="49"/>
      <c r="AI1436" s="266"/>
      <c r="AJ1436" s="150" t="s">
        <v>2334</v>
      </c>
      <c r="AK1436" s="150" t="s">
        <v>190</v>
      </c>
      <c r="AL1436" s="150"/>
      <c r="AM1436" s="150"/>
      <c r="AN1436" s="367"/>
      <c r="AO1436" s="367"/>
      <c r="AP1436" s="367"/>
      <c r="AQ1436" s="367"/>
      <c r="AR1436" s="367"/>
      <c r="AS1436" s="367"/>
      <c r="AT1436" s="45">
        <v>46213</v>
      </c>
      <c r="AU1436" s="367"/>
      <c r="AV1436" s="367"/>
      <c r="AW1436" s="45">
        <v>46189</v>
      </c>
      <c r="AX1436" s="367"/>
      <c r="AY1436" s="367"/>
      <c r="AZ1436" s="367"/>
      <c r="BA1436" s="367"/>
      <c r="BB1436" s="152"/>
      <c r="BC1436" s="152"/>
      <c r="BD1436" s="367" t="s">
        <v>2455</v>
      </c>
      <c r="BE1436" s="367"/>
      <c r="BF1436" s="367"/>
      <c r="BG1436" s="367"/>
      <c r="BH1436" s="260"/>
      <c r="BL1436" s="54"/>
    </row>
    <row r="1437" spans="1:64" ht="37.950000000000003" customHeight="1" x14ac:dyDescent="0.3">
      <c r="A1437" s="367">
        <f t="shared" si="26"/>
        <v>1432</v>
      </c>
      <c r="B1437" s="54" t="s">
        <v>3996</v>
      </c>
      <c r="C1437" s="367" t="s">
        <v>6</v>
      </c>
      <c r="D1437" s="150" t="s">
        <v>3952</v>
      </c>
      <c r="E1437" s="367"/>
      <c r="F1437" s="367"/>
      <c r="G1437" s="367"/>
      <c r="H1437" s="367"/>
      <c r="I1437" s="367" t="s">
        <v>3981</v>
      </c>
      <c r="J1437" s="54" t="s">
        <v>1524</v>
      </c>
      <c r="K1437" s="48" t="s">
        <v>3982</v>
      </c>
      <c r="L1437" s="367" t="s">
        <v>3986</v>
      </c>
      <c r="M1437" s="150" t="s">
        <v>65</v>
      </c>
      <c r="N1437" s="150" t="s">
        <v>2592</v>
      </c>
      <c r="O1437" s="150" t="s">
        <v>2593</v>
      </c>
      <c r="P1437" s="367">
        <v>4</v>
      </c>
      <c r="Q1437" s="367">
        <v>3.6</v>
      </c>
      <c r="R1437" s="367"/>
      <c r="S1437" s="367">
        <v>100</v>
      </c>
      <c r="T1437" s="367">
        <v>12</v>
      </c>
      <c r="U1437" s="367"/>
      <c r="V1437" s="367" t="s">
        <v>127</v>
      </c>
      <c r="W1437" s="367"/>
      <c r="X1437" s="367" t="s">
        <v>3997</v>
      </c>
      <c r="Y1437" s="367"/>
      <c r="Z1437" s="367" t="s">
        <v>127</v>
      </c>
      <c r="AA1437" s="367"/>
      <c r="AB1437" s="150" t="s">
        <v>215</v>
      </c>
      <c r="AC1437" s="48" t="s">
        <v>3998</v>
      </c>
      <c r="AD1437" s="150" t="s">
        <v>207</v>
      </c>
      <c r="AE1437" s="296">
        <v>46179</v>
      </c>
      <c r="AF1437" s="296"/>
      <c r="AG1437" s="286">
        <v>46244</v>
      </c>
      <c r="AH1437" s="49"/>
      <c r="AI1437" s="266"/>
      <c r="AJ1437" s="150" t="s">
        <v>2334</v>
      </c>
      <c r="AK1437" s="150" t="s">
        <v>200</v>
      </c>
      <c r="AL1437" s="150"/>
      <c r="AM1437" s="150"/>
      <c r="AN1437" s="367"/>
      <c r="AO1437" s="367"/>
      <c r="AP1437" s="367"/>
      <c r="AQ1437" s="367"/>
      <c r="AR1437" s="367"/>
      <c r="AS1437" s="367"/>
      <c r="AT1437" s="45">
        <v>46218</v>
      </c>
      <c r="AU1437" s="367"/>
      <c r="AV1437" s="367"/>
      <c r="AW1437" s="45">
        <v>46188</v>
      </c>
      <c r="AX1437" s="367"/>
      <c r="AY1437" s="367"/>
      <c r="AZ1437" s="367"/>
      <c r="BA1437" s="367"/>
      <c r="BB1437" s="152"/>
      <c r="BC1437" s="152"/>
      <c r="BD1437" s="367" t="s">
        <v>2455</v>
      </c>
      <c r="BE1437" s="367"/>
      <c r="BF1437" s="367"/>
      <c r="BG1437" s="367"/>
      <c r="BH1437" s="260"/>
      <c r="BL1437" s="54"/>
    </row>
    <row r="1438" spans="1:64" ht="37.950000000000003" customHeight="1" x14ac:dyDescent="0.3">
      <c r="A1438" s="367">
        <f t="shared" si="26"/>
        <v>1433</v>
      </c>
      <c r="B1438" s="54" t="s">
        <v>3999</v>
      </c>
      <c r="C1438" s="367" t="s">
        <v>6</v>
      </c>
      <c r="D1438" s="150" t="s">
        <v>3952</v>
      </c>
      <c r="E1438" s="367"/>
      <c r="F1438" s="367"/>
      <c r="G1438" s="367"/>
      <c r="H1438" s="367"/>
      <c r="I1438" s="367" t="s">
        <v>3981</v>
      </c>
      <c r="J1438" s="54" t="s">
        <v>1524</v>
      </c>
      <c r="K1438" s="48" t="s">
        <v>4000</v>
      </c>
      <c r="L1438" s="367" t="s">
        <v>3986</v>
      </c>
      <c r="M1438" s="150" t="s">
        <v>65</v>
      </c>
      <c r="N1438" s="150" t="s">
        <v>2592</v>
      </c>
      <c r="O1438" s="150" t="s">
        <v>2593</v>
      </c>
      <c r="P1438" s="367">
        <v>4</v>
      </c>
      <c r="Q1438" s="367">
        <v>2.5</v>
      </c>
      <c r="R1438" s="367"/>
      <c r="S1438" s="367">
        <v>100</v>
      </c>
      <c r="T1438" s="367">
        <v>17</v>
      </c>
      <c r="U1438" s="367"/>
      <c r="V1438" s="367" t="s">
        <v>127</v>
      </c>
      <c r="W1438" s="367"/>
      <c r="X1438" s="367" t="s">
        <v>3997</v>
      </c>
      <c r="Y1438" s="367"/>
      <c r="Z1438" s="367" t="s">
        <v>127</v>
      </c>
      <c r="AA1438" s="367" t="s">
        <v>127</v>
      </c>
      <c r="AB1438" s="150" t="s">
        <v>215</v>
      </c>
      <c r="AC1438" s="48" t="s">
        <v>4001</v>
      </c>
      <c r="AD1438" s="150" t="s">
        <v>199</v>
      </c>
      <c r="AE1438" s="296">
        <v>46179</v>
      </c>
      <c r="AF1438" s="296"/>
      <c r="AG1438" s="286">
        <v>46244</v>
      </c>
      <c r="AH1438" s="49"/>
      <c r="AI1438" s="266"/>
      <c r="AJ1438" s="150" t="s">
        <v>2334</v>
      </c>
      <c r="AK1438" s="150" t="s">
        <v>200</v>
      </c>
      <c r="AL1438" s="150"/>
      <c r="AM1438" s="150"/>
      <c r="AN1438" s="367"/>
      <c r="AO1438" s="367"/>
      <c r="AP1438" s="367"/>
      <c r="AQ1438" s="367"/>
      <c r="AR1438" s="367"/>
      <c r="AS1438" s="367"/>
      <c r="AT1438" s="45">
        <v>46218</v>
      </c>
      <c r="AU1438" s="367"/>
      <c r="AV1438" s="367"/>
      <c r="AW1438" s="45">
        <v>46188</v>
      </c>
      <c r="AX1438" s="367"/>
      <c r="AY1438" s="367"/>
      <c r="AZ1438" s="367"/>
      <c r="BA1438" s="367"/>
      <c r="BB1438" s="152"/>
      <c r="BC1438" s="152"/>
      <c r="BD1438" s="367" t="s">
        <v>2455</v>
      </c>
      <c r="BE1438" s="367"/>
      <c r="BF1438" s="367"/>
      <c r="BG1438" s="367"/>
      <c r="BH1438" s="260"/>
      <c r="BL1438" s="54"/>
    </row>
    <row r="1439" spans="1:64" ht="37.950000000000003" customHeight="1" x14ac:dyDescent="0.3">
      <c r="A1439" s="367">
        <f t="shared" si="26"/>
        <v>1434</v>
      </c>
      <c r="B1439" s="54" t="s">
        <v>4002</v>
      </c>
      <c r="C1439" s="367" t="s">
        <v>6</v>
      </c>
      <c r="D1439" s="150" t="s">
        <v>3952</v>
      </c>
      <c r="E1439" s="367"/>
      <c r="F1439" s="367"/>
      <c r="G1439" s="367"/>
      <c r="H1439" s="367"/>
      <c r="I1439" s="367" t="s">
        <v>3981</v>
      </c>
      <c r="J1439" s="54" t="s">
        <v>1524</v>
      </c>
      <c r="K1439" s="48" t="s">
        <v>4000</v>
      </c>
      <c r="L1439" s="367" t="s">
        <v>3986</v>
      </c>
      <c r="M1439" s="150" t="s">
        <v>65</v>
      </c>
      <c r="N1439" s="150" t="s">
        <v>2592</v>
      </c>
      <c r="O1439" s="150" t="s">
        <v>2593</v>
      </c>
      <c r="P1439" s="367">
        <v>4</v>
      </c>
      <c r="Q1439" s="367">
        <v>2.5</v>
      </c>
      <c r="R1439" s="367"/>
      <c r="S1439" s="367">
        <v>100</v>
      </c>
      <c r="T1439" s="367">
        <v>17</v>
      </c>
      <c r="U1439" s="367"/>
      <c r="V1439" s="367"/>
      <c r="W1439" s="367"/>
      <c r="X1439" s="367"/>
      <c r="Y1439" s="367"/>
      <c r="Z1439" s="367" t="s">
        <v>127</v>
      </c>
      <c r="AA1439" s="367"/>
      <c r="AB1439" s="150"/>
      <c r="AC1439" s="48" t="s">
        <v>2815</v>
      </c>
      <c r="AD1439" s="150" t="s">
        <v>169</v>
      </c>
      <c r="AE1439" s="296">
        <v>46179</v>
      </c>
      <c r="AF1439" s="296"/>
      <c r="AG1439" s="286">
        <v>46244</v>
      </c>
      <c r="AH1439" s="49"/>
      <c r="AI1439" s="266"/>
      <c r="AJ1439" s="150" t="s">
        <v>617</v>
      </c>
      <c r="AK1439" s="150" t="s">
        <v>161</v>
      </c>
      <c r="AL1439" s="150"/>
      <c r="AM1439" s="150"/>
      <c r="AN1439" s="367"/>
      <c r="AO1439" s="367"/>
      <c r="AP1439" s="367"/>
      <c r="AQ1439" s="367"/>
      <c r="AR1439" s="367"/>
      <c r="AS1439" s="367"/>
      <c r="AT1439" s="45">
        <v>46213</v>
      </c>
      <c r="AU1439" s="367"/>
      <c r="AV1439" s="367"/>
      <c r="AW1439" s="367"/>
      <c r="AX1439" s="367"/>
      <c r="AY1439" s="367"/>
      <c r="AZ1439" s="367"/>
      <c r="BA1439" s="367"/>
      <c r="BB1439" s="152"/>
      <c r="BC1439" s="152"/>
      <c r="BD1439" s="367" t="s">
        <v>2455</v>
      </c>
      <c r="BE1439" s="367"/>
      <c r="BF1439" s="367"/>
      <c r="BG1439" s="367"/>
      <c r="BH1439" s="260"/>
      <c r="BL1439" s="54"/>
    </row>
    <row r="1440" spans="1:64" ht="37.950000000000003" customHeight="1" x14ac:dyDescent="0.3">
      <c r="A1440" s="367">
        <f t="shared" si="26"/>
        <v>1435</v>
      </c>
      <c r="B1440" s="54" t="s">
        <v>4003</v>
      </c>
      <c r="C1440" s="367" t="s">
        <v>6</v>
      </c>
      <c r="D1440" s="150" t="s">
        <v>3952</v>
      </c>
      <c r="E1440" s="367"/>
      <c r="F1440" s="367"/>
      <c r="G1440" s="367"/>
      <c r="H1440" s="367"/>
      <c r="I1440" s="367" t="s">
        <v>3981</v>
      </c>
      <c r="J1440" s="54" t="s">
        <v>1524</v>
      </c>
      <c r="K1440" s="48" t="s">
        <v>4000</v>
      </c>
      <c r="L1440" s="367" t="s">
        <v>3986</v>
      </c>
      <c r="M1440" s="150" t="s">
        <v>65</v>
      </c>
      <c r="N1440" s="150" t="s">
        <v>2592</v>
      </c>
      <c r="O1440" s="150" t="s">
        <v>2593</v>
      </c>
      <c r="P1440" s="367">
        <v>4</v>
      </c>
      <c r="Q1440" s="367">
        <v>2.5</v>
      </c>
      <c r="R1440" s="367"/>
      <c r="S1440" s="367">
        <v>100</v>
      </c>
      <c r="T1440" s="367">
        <v>17</v>
      </c>
      <c r="U1440" s="367"/>
      <c r="V1440" s="367"/>
      <c r="W1440" s="367"/>
      <c r="X1440" s="367"/>
      <c r="Y1440" s="367"/>
      <c r="Z1440" s="367" t="s">
        <v>127</v>
      </c>
      <c r="AA1440" s="367"/>
      <c r="AB1440" s="150"/>
      <c r="AC1440" s="48" t="s">
        <v>2815</v>
      </c>
      <c r="AD1440" s="150" t="s">
        <v>169</v>
      </c>
      <c r="AE1440" s="296">
        <v>46179</v>
      </c>
      <c r="AF1440" s="296"/>
      <c r="AG1440" s="286">
        <v>46244</v>
      </c>
      <c r="AH1440" s="49"/>
      <c r="AI1440" s="266"/>
      <c r="AJ1440" s="150" t="s">
        <v>617</v>
      </c>
      <c r="AK1440" s="150" t="s">
        <v>161</v>
      </c>
      <c r="AL1440" s="150"/>
      <c r="AM1440" s="150"/>
      <c r="AN1440" s="367"/>
      <c r="AO1440" s="367"/>
      <c r="AP1440" s="367"/>
      <c r="AQ1440" s="367"/>
      <c r="AR1440" s="367"/>
      <c r="AS1440" s="367"/>
      <c r="AT1440" s="45">
        <v>46213</v>
      </c>
      <c r="AU1440" s="367"/>
      <c r="AV1440" s="367"/>
      <c r="AW1440" s="367"/>
      <c r="AX1440" s="367"/>
      <c r="AY1440" s="367"/>
      <c r="AZ1440" s="367"/>
      <c r="BA1440" s="367"/>
      <c r="BB1440" s="152"/>
      <c r="BC1440" s="152"/>
      <c r="BD1440" s="367" t="s">
        <v>2455</v>
      </c>
      <c r="BE1440" s="367"/>
      <c r="BF1440" s="367"/>
      <c r="BG1440" s="367"/>
      <c r="BH1440" s="260"/>
      <c r="BL1440" s="54"/>
    </row>
    <row r="1441" spans="1:64" ht="37.950000000000003" customHeight="1" x14ac:dyDescent="0.3">
      <c r="A1441" s="367">
        <f t="shared" si="26"/>
        <v>1436</v>
      </c>
      <c r="B1441" s="54" t="s">
        <v>4004</v>
      </c>
      <c r="C1441" s="367" t="s">
        <v>6</v>
      </c>
      <c r="D1441" s="150" t="s">
        <v>3952</v>
      </c>
      <c r="E1441" s="367"/>
      <c r="F1441" s="367"/>
      <c r="G1441" s="367"/>
      <c r="H1441" s="367"/>
      <c r="I1441" s="367" t="s">
        <v>3981</v>
      </c>
      <c r="J1441" s="54" t="s">
        <v>1524</v>
      </c>
      <c r="K1441" s="48" t="s">
        <v>4000</v>
      </c>
      <c r="L1441" s="367" t="s">
        <v>3983</v>
      </c>
      <c r="M1441" s="150" t="s">
        <v>65</v>
      </c>
      <c r="N1441" s="150" t="s">
        <v>2592</v>
      </c>
      <c r="O1441" s="150" t="s">
        <v>2593</v>
      </c>
      <c r="P1441" s="367">
        <v>4</v>
      </c>
      <c r="Q1441" s="367">
        <v>2.5</v>
      </c>
      <c r="R1441" s="367"/>
      <c r="S1441" s="367">
        <v>100</v>
      </c>
      <c r="T1441" s="367">
        <v>17</v>
      </c>
      <c r="U1441" s="367"/>
      <c r="V1441" s="367"/>
      <c r="W1441" s="367"/>
      <c r="X1441" s="367"/>
      <c r="Y1441" s="367"/>
      <c r="Z1441" s="367"/>
      <c r="AA1441" s="367"/>
      <c r="AB1441" s="150"/>
      <c r="AC1441" s="48" t="s">
        <v>2681</v>
      </c>
      <c r="AD1441" s="150" t="s">
        <v>886</v>
      </c>
      <c r="AE1441" s="296">
        <v>46179</v>
      </c>
      <c r="AF1441" s="296"/>
      <c r="AG1441" s="286">
        <v>46244</v>
      </c>
      <c r="AH1441" s="49"/>
      <c r="AI1441" s="266"/>
      <c r="AJ1441" s="150" t="s">
        <v>2334</v>
      </c>
      <c r="AK1441" s="150" t="s">
        <v>190</v>
      </c>
      <c r="AL1441" s="150"/>
      <c r="AM1441" s="150"/>
      <c r="AN1441" s="367"/>
      <c r="AO1441" s="367"/>
      <c r="AP1441" s="367"/>
      <c r="AQ1441" s="367"/>
      <c r="AR1441" s="367"/>
      <c r="AS1441" s="367"/>
      <c r="AT1441" s="45">
        <v>46213</v>
      </c>
      <c r="AU1441" s="367"/>
      <c r="AV1441" s="367"/>
      <c r="AW1441" s="45">
        <v>46189</v>
      </c>
      <c r="AX1441" s="367"/>
      <c r="AY1441" s="367"/>
      <c r="AZ1441" s="367"/>
      <c r="BA1441" s="367"/>
      <c r="BB1441" s="152"/>
      <c r="BC1441" s="152"/>
      <c r="BD1441" s="367" t="s">
        <v>2455</v>
      </c>
      <c r="BE1441" s="367"/>
      <c r="BF1441" s="367"/>
      <c r="BG1441" s="367"/>
      <c r="BH1441" s="260"/>
      <c r="BL1441" s="54"/>
    </row>
    <row r="1442" spans="1:64" ht="37.950000000000003" customHeight="1" x14ac:dyDescent="0.3">
      <c r="A1442" s="367">
        <f t="shared" si="26"/>
        <v>1437</v>
      </c>
      <c r="B1442" s="54" t="s">
        <v>4005</v>
      </c>
      <c r="C1442" s="367" t="s">
        <v>6</v>
      </c>
      <c r="D1442" s="150" t="s">
        <v>3952</v>
      </c>
      <c r="E1442" s="367"/>
      <c r="F1442" s="367"/>
      <c r="G1442" s="367"/>
      <c r="H1442" s="367"/>
      <c r="I1442" s="367" t="s">
        <v>3981</v>
      </c>
      <c r="J1442" s="54" t="s">
        <v>1524</v>
      </c>
      <c r="K1442" s="48" t="s">
        <v>4000</v>
      </c>
      <c r="L1442" s="367" t="s">
        <v>3983</v>
      </c>
      <c r="M1442" s="150" t="s">
        <v>65</v>
      </c>
      <c r="N1442" s="150" t="s">
        <v>2592</v>
      </c>
      <c r="O1442" s="150" t="s">
        <v>2593</v>
      </c>
      <c r="P1442" s="367">
        <v>4</v>
      </c>
      <c r="Q1442" s="367">
        <v>2.5</v>
      </c>
      <c r="R1442" s="367"/>
      <c r="S1442" s="367">
        <v>100</v>
      </c>
      <c r="T1442" s="367">
        <v>17</v>
      </c>
      <c r="U1442" s="367"/>
      <c r="V1442" s="367"/>
      <c r="W1442" s="367"/>
      <c r="X1442" s="367"/>
      <c r="Y1442" s="367"/>
      <c r="Z1442" s="367"/>
      <c r="AA1442" s="367"/>
      <c r="AB1442" s="150" t="s">
        <v>215</v>
      </c>
      <c r="AC1442" s="48" t="s">
        <v>4006</v>
      </c>
      <c r="AD1442" s="150" t="s">
        <v>1079</v>
      </c>
      <c r="AE1442" s="296">
        <v>46179</v>
      </c>
      <c r="AF1442" s="296"/>
      <c r="AG1442" s="286">
        <v>46244</v>
      </c>
      <c r="AH1442" s="49"/>
      <c r="AI1442" s="266"/>
      <c r="AJ1442" s="150" t="s">
        <v>617</v>
      </c>
      <c r="AK1442" s="150" t="s">
        <v>161</v>
      </c>
      <c r="AL1442" s="150"/>
      <c r="AM1442" s="150"/>
      <c r="AN1442" s="367"/>
      <c r="AO1442" s="367"/>
      <c r="AP1442" s="367"/>
      <c r="AQ1442" s="367"/>
      <c r="AR1442" s="367"/>
      <c r="AS1442" s="367"/>
      <c r="AT1442" s="45">
        <v>46213</v>
      </c>
      <c r="AU1442" s="367"/>
      <c r="AV1442" s="367"/>
      <c r="AW1442" s="45">
        <v>46189</v>
      </c>
      <c r="AX1442" s="367"/>
      <c r="AY1442" s="367"/>
      <c r="AZ1442" s="367"/>
      <c r="BA1442" s="367"/>
      <c r="BB1442" s="152"/>
      <c r="BC1442" s="152"/>
      <c r="BD1442" s="367" t="s">
        <v>2455</v>
      </c>
      <c r="BE1442" s="367"/>
      <c r="BF1442" s="367"/>
      <c r="BG1442" s="367"/>
      <c r="BH1442" s="260"/>
      <c r="BL1442" s="54"/>
    </row>
    <row r="1443" spans="1:64" ht="37.950000000000003" customHeight="1" x14ac:dyDescent="0.3">
      <c r="A1443" s="367">
        <f t="shared" si="26"/>
        <v>1438</v>
      </c>
      <c r="B1443" s="54" t="s">
        <v>4007</v>
      </c>
      <c r="C1443" s="367" t="s">
        <v>6</v>
      </c>
      <c r="D1443" s="150" t="s">
        <v>3952</v>
      </c>
      <c r="E1443" s="367"/>
      <c r="F1443" s="367"/>
      <c r="G1443" s="367"/>
      <c r="H1443" s="367"/>
      <c r="I1443" s="367" t="s">
        <v>3981</v>
      </c>
      <c r="J1443" s="54" t="s">
        <v>1524</v>
      </c>
      <c r="K1443" s="48" t="s">
        <v>4000</v>
      </c>
      <c r="L1443" s="367" t="s">
        <v>3983</v>
      </c>
      <c r="M1443" s="150" t="s">
        <v>65</v>
      </c>
      <c r="N1443" s="150" t="s">
        <v>2592</v>
      </c>
      <c r="O1443" s="150" t="s">
        <v>2593</v>
      </c>
      <c r="P1443" s="367">
        <v>4</v>
      </c>
      <c r="Q1443" s="367">
        <v>2.5</v>
      </c>
      <c r="R1443" s="367"/>
      <c r="S1443" s="367">
        <v>100</v>
      </c>
      <c r="T1443" s="367">
        <v>17</v>
      </c>
      <c r="U1443" s="367"/>
      <c r="V1443" s="367"/>
      <c r="W1443" s="367"/>
      <c r="X1443" s="367"/>
      <c r="Y1443" s="367"/>
      <c r="Z1443" s="367"/>
      <c r="AA1443" s="367"/>
      <c r="AB1443" s="150"/>
      <c r="AC1443" s="48" t="s">
        <v>4008</v>
      </c>
      <c r="AD1443" s="150" t="s">
        <v>3251</v>
      </c>
      <c r="AE1443" s="296">
        <v>46179</v>
      </c>
      <c r="AF1443" s="296"/>
      <c r="AG1443" s="286">
        <v>46244</v>
      </c>
      <c r="AH1443" s="49"/>
      <c r="AI1443" s="266"/>
      <c r="AJ1443" s="150" t="s">
        <v>617</v>
      </c>
      <c r="AK1443" s="150" t="s">
        <v>190</v>
      </c>
      <c r="AL1443" s="150"/>
      <c r="AM1443" s="150"/>
      <c r="AN1443" s="367"/>
      <c r="AO1443" s="367"/>
      <c r="AP1443" s="367"/>
      <c r="AQ1443" s="367"/>
      <c r="AR1443" s="367"/>
      <c r="AS1443" s="367"/>
      <c r="AT1443" s="45">
        <v>46213</v>
      </c>
      <c r="AU1443" s="367"/>
      <c r="AV1443" s="367"/>
      <c r="AW1443" s="367"/>
      <c r="AX1443" s="367"/>
      <c r="AY1443" s="367"/>
      <c r="AZ1443" s="367"/>
      <c r="BA1443" s="367"/>
      <c r="BB1443" s="152"/>
      <c r="BC1443" s="152"/>
      <c r="BD1443" s="367" t="s">
        <v>2455</v>
      </c>
      <c r="BE1443" s="367"/>
      <c r="BF1443" s="367"/>
      <c r="BG1443" s="367"/>
      <c r="BH1443" s="260"/>
      <c r="BL1443" s="54"/>
    </row>
    <row r="1444" spans="1:64" ht="37.950000000000003" customHeight="1" x14ac:dyDescent="0.3">
      <c r="A1444" s="367">
        <f t="shared" si="26"/>
        <v>1439</v>
      </c>
      <c r="B1444" s="54" t="s">
        <v>4009</v>
      </c>
      <c r="C1444" s="367" t="s">
        <v>6</v>
      </c>
      <c r="D1444" s="150" t="s">
        <v>3952</v>
      </c>
      <c r="E1444" s="367" t="s">
        <v>2636</v>
      </c>
      <c r="F1444" s="367"/>
      <c r="G1444" s="367"/>
      <c r="H1444" s="367"/>
      <c r="I1444" s="367" t="s">
        <v>3981</v>
      </c>
      <c r="J1444" s="54" t="s">
        <v>1524</v>
      </c>
      <c r="K1444" s="48" t="s">
        <v>4000</v>
      </c>
      <c r="L1444" s="367" t="s">
        <v>3983</v>
      </c>
      <c r="M1444" s="150" t="s">
        <v>65</v>
      </c>
      <c r="N1444" s="150" t="s">
        <v>2592</v>
      </c>
      <c r="O1444" s="150" t="s">
        <v>2593</v>
      </c>
      <c r="P1444" s="367">
        <v>4</v>
      </c>
      <c r="Q1444" s="367">
        <v>2.5</v>
      </c>
      <c r="R1444" s="367"/>
      <c r="S1444" s="367">
        <v>100</v>
      </c>
      <c r="T1444" s="367">
        <v>17</v>
      </c>
      <c r="U1444" s="367"/>
      <c r="V1444" s="367" t="s">
        <v>127</v>
      </c>
      <c r="W1444" s="367"/>
      <c r="X1444" s="367" t="s">
        <v>4010</v>
      </c>
      <c r="Y1444" s="367" t="s">
        <v>127</v>
      </c>
      <c r="Z1444" s="367"/>
      <c r="AA1444" s="367"/>
      <c r="AB1444" s="150" t="s">
        <v>215</v>
      </c>
      <c r="AC1444" s="48" t="s">
        <v>4011</v>
      </c>
      <c r="AD1444" s="150" t="s">
        <v>1150</v>
      </c>
      <c r="AE1444" s="296"/>
      <c r="AF1444" s="296"/>
      <c r="AG1444" s="286">
        <v>46244</v>
      </c>
      <c r="AH1444" s="49"/>
      <c r="AI1444" s="266"/>
      <c r="AJ1444" s="150" t="s">
        <v>617</v>
      </c>
      <c r="AK1444" s="150"/>
      <c r="AL1444" s="150"/>
      <c r="AM1444" s="150"/>
      <c r="AN1444" s="367"/>
      <c r="AO1444" s="367"/>
      <c r="AP1444" s="367"/>
      <c r="AQ1444" s="367"/>
      <c r="AR1444" s="367"/>
      <c r="AS1444" s="367"/>
      <c r="AT1444" s="45">
        <v>46213</v>
      </c>
      <c r="AU1444" s="367"/>
      <c r="AV1444" s="367"/>
      <c r="AW1444" s="367"/>
      <c r="AX1444" s="367"/>
      <c r="AY1444" s="367"/>
      <c r="AZ1444" s="367"/>
      <c r="BA1444" s="367"/>
      <c r="BB1444" s="152"/>
      <c r="BC1444" s="152"/>
      <c r="BD1444" s="367" t="s">
        <v>2455</v>
      </c>
      <c r="BE1444" s="367"/>
      <c r="BF1444" s="367"/>
      <c r="BG1444" s="367"/>
      <c r="BH1444" s="260"/>
      <c r="BL1444" s="54"/>
    </row>
    <row r="1445" spans="1:64" ht="37.950000000000003" customHeight="1" x14ac:dyDescent="0.3">
      <c r="A1445" s="367">
        <f t="shared" si="26"/>
        <v>1440</v>
      </c>
      <c r="B1445" s="54" t="s">
        <v>4012</v>
      </c>
      <c r="C1445" s="367" t="s">
        <v>6</v>
      </c>
      <c r="D1445" s="150" t="s">
        <v>3952</v>
      </c>
      <c r="E1445" s="367"/>
      <c r="F1445" s="367"/>
      <c r="G1445" s="367"/>
      <c r="H1445" s="367"/>
      <c r="I1445" s="367" t="s">
        <v>3981</v>
      </c>
      <c r="J1445" s="54"/>
      <c r="K1445" s="48" t="s">
        <v>4013</v>
      </c>
      <c r="L1445" s="367" t="s">
        <v>3983</v>
      </c>
      <c r="M1445" s="150" t="s">
        <v>120</v>
      </c>
      <c r="N1445" s="150" t="s">
        <v>4014</v>
      </c>
      <c r="O1445" s="150" t="s">
        <v>4015</v>
      </c>
      <c r="P1445" s="367">
        <v>10</v>
      </c>
      <c r="Q1445" s="367">
        <v>3.6</v>
      </c>
      <c r="R1445" s="367"/>
      <c r="S1445" s="367">
        <v>100</v>
      </c>
      <c r="T1445" s="367">
        <v>12</v>
      </c>
      <c r="U1445" s="367"/>
      <c r="V1445" s="367" t="s">
        <v>127</v>
      </c>
      <c r="W1445" s="367"/>
      <c r="X1445" s="367" t="s">
        <v>3997</v>
      </c>
      <c r="Y1445" s="367"/>
      <c r="Z1445" s="367"/>
      <c r="AA1445" s="367" t="s">
        <v>127</v>
      </c>
      <c r="AB1445" s="150" t="s">
        <v>2562</v>
      </c>
      <c r="AC1445" s="48" t="s">
        <v>4016</v>
      </c>
      <c r="AD1445" s="150" t="s">
        <v>199</v>
      </c>
      <c r="AE1445" s="296">
        <v>46179</v>
      </c>
      <c r="AF1445" s="296"/>
      <c r="AG1445" s="286">
        <v>46244</v>
      </c>
      <c r="AH1445" s="49"/>
      <c r="AI1445" s="266"/>
      <c r="AJ1445" s="150" t="s">
        <v>2334</v>
      </c>
      <c r="AK1445" s="150" t="s">
        <v>200</v>
      </c>
      <c r="AL1445" s="150"/>
      <c r="AM1445" s="150"/>
      <c r="AN1445" s="367"/>
      <c r="AO1445" s="367"/>
      <c r="AP1445" s="367"/>
      <c r="AQ1445" s="367"/>
      <c r="AR1445" s="367"/>
      <c r="AS1445" s="367"/>
      <c r="AT1445" s="45">
        <v>46218</v>
      </c>
      <c r="AU1445" s="367"/>
      <c r="AV1445" s="367"/>
      <c r="AW1445" s="45">
        <v>46188</v>
      </c>
      <c r="AX1445" s="367"/>
      <c r="AY1445" s="367"/>
      <c r="AZ1445" s="367"/>
      <c r="BA1445" s="367"/>
      <c r="BB1445" s="152"/>
      <c r="BC1445" s="152"/>
      <c r="BD1445" s="367" t="s">
        <v>2455</v>
      </c>
      <c r="BE1445" s="367"/>
      <c r="BF1445" s="367"/>
      <c r="BG1445" s="367"/>
      <c r="BH1445" s="260"/>
      <c r="BL1445" s="54"/>
    </row>
    <row r="1446" spans="1:64" ht="37.950000000000003" customHeight="1" x14ac:dyDescent="0.3">
      <c r="A1446" s="367">
        <f t="shared" si="26"/>
        <v>1441</v>
      </c>
      <c r="B1446" s="54" t="s">
        <v>4017</v>
      </c>
      <c r="C1446" s="367" t="s">
        <v>6</v>
      </c>
      <c r="D1446" s="150" t="s">
        <v>3952</v>
      </c>
      <c r="E1446" s="367"/>
      <c r="F1446" s="367"/>
      <c r="G1446" s="367"/>
      <c r="H1446" s="367"/>
      <c r="I1446" s="367" t="s">
        <v>3981</v>
      </c>
      <c r="J1446" s="54"/>
      <c r="K1446" s="48" t="s">
        <v>4013</v>
      </c>
      <c r="L1446" s="367" t="s">
        <v>3986</v>
      </c>
      <c r="M1446" s="150" t="s">
        <v>120</v>
      </c>
      <c r="N1446" s="150" t="s">
        <v>4014</v>
      </c>
      <c r="O1446" s="150" t="s">
        <v>4015</v>
      </c>
      <c r="P1446" s="367">
        <v>10</v>
      </c>
      <c r="Q1446" s="367">
        <v>3.6</v>
      </c>
      <c r="R1446" s="367"/>
      <c r="S1446" s="367">
        <v>100</v>
      </c>
      <c r="T1446" s="367">
        <v>12</v>
      </c>
      <c r="U1446" s="367"/>
      <c r="V1446" s="367"/>
      <c r="W1446" s="367"/>
      <c r="X1446" s="367"/>
      <c r="Y1446" s="367"/>
      <c r="Z1446" s="367" t="s">
        <v>127</v>
      </c>
      <c r="AA1446" s="367"/>
      <c r="AB1446" s="150" t="s">
        <v>215</v>
      </c>
      <c r="AC1446" s="48" t="s">
        <v>2599</v>
      </c>
      <c r="AD1446" s="150" t="s">
        <v>1079</v>
      </c>
      <c r="AE1446" s="296">
        <v>46179</v>
      </c>
      <c r="AF1446" s="296"/>
      <c r="AG1446" s="286">
        <v>46244</v>
      </c>
      <c r="AH1446" s="49"/>
      <c r="AI1446" s="266"/>
      <c r="AJ1446" s="150" t="s">
        <v>2334</v>
      </c>
      <c r="AK1446" s="150" t="s">
        <v>161</v>
      </c>
      <c r="AL1446" s="150"/>
      <c r="AM1446" s="150"/>
      <c r="AN1446" s="367"/>
      <c r="AO1446" s="367"/>
      <c r="AP1446" s="367"/>
      <c r="AQ1446" s="367"/>
      <c r="AR1446" s="367"/>
      <c r="AS1446" s="367"/>
      <c r="AT1446" s="45">
        <v>46213</v>
      </c>
      <c r="AU1446" s="367"/>
      <c r="AV1446" s="367"/>
      <c r="AW1446" s="45">
        <v>46189</v>
      </c>
      <c r="AX1446" s="367"/>
      <c r="AY1446" s="367"/>
      <c r="AZ1446" s="367"/>
      <c r="BA1446" s="367"/>
      <c r="BB1446" s="152"/>
      <c r="BC1446" s="152"/>
      <c r="BD1446" s="367" t="s">
        <v>2455</v>
      </c>
      <c r="BE1446" s="367"/>
      <c r="BF1446" s="367"/>
      <c r="BG1446" s="367"/>
      <c r="BH1446" s="260"/>
      <c r="BL1446" s="54"/>
    </row>
    <row r="1447" spans="1:64" ht="37.950000000000003" customHeight="1" x14ac:dyDescent="0.3">
      <c r="A1447" s="367">
        <f t="shared" si="26"/>
        <v>1442</v>
      </c>
      <c r="B1447" s="54" t="s">
        <v>4018</v>
      </c>
      <c r="C1447" s="367" t="s">
        <v>6</v>
      </c>
      <c r="D1447" s="150" t="s">
        <v>3952</v>
      </c>
      <c r="E1447" s="367"/>
      <c r="F1447" s="367"/>
      <c r="G1447" s="367"/>
      <c r="H1447" s="367"/>
      <c r="I1447" s="367" t="s">
        <v>3981</v>
      </c>
      <c r="J1447" s="54"/>
      <c r="K1447" s="48" t="s">
        <v>4013</v>
      </c>
      <c r="L1447" s="367" t="s">
        <v>3986</v>
      </c>
      <c r="M1447" s="150" t="s">
        <v>120</v>
      </c>
      <c r="N1447" s="150" t="s">
        <v>4014</v>
      </c>
      <c r="O1447" s="150" t="s">
        <v>4015</v>
      </c>
      <c r="P1447" s="367">
        <v>10</v>
      </c>
      <c r="Q1447" s="367">
        <v>3.6</v>
      </c>
      <c r="R1447" s="367"/>
      <c r="S1447" s="367">
        <v>100</v>
      </c>
      <c r="T1447" s="367">
        <v>12</v>
      </c>
      <c r="U1447" s="367"/>
      <c r="V1447" s="367"/>
      <c r="W1447" s="367"/>
      <c r="X1447" s="367"/>
      <c r="Y1447" s="367"/>
      <c r="Z1447" s="367" t="s">
        <v>127</v>
      </c>
      <c r="AA1447" s="367"/>
      <c r="AB1447" s="150"/>
      <c r="AC1447" s="48" t="s">
        <v>2603</v>
      </c>
      <c r="AD1447" s="150" t="s">
        <v>886</v>
      </c>
      <c r="AE1447" s="296">
        <v>46179</v>
      </c>
      <c r="AF1447" s="296"/>
      <c r="AG1447" s="286">
        <v>46244</v>
      </c>
      <c r="AH1447" s="49"/>
      <c r="AI1447" s="266"/>
      <c r="AJ1447" s="150" t="s">
        <v>2334</v>
      </c>
      <c r="AK1447" s="150" t="s">
        <v>190</v>
      </c>
      <c r="AL1447" s="150"/>
      <c r="AM1447" s="150"/>
      <c r="AN1447" s="367"/>
      <c r="AO1447" s="367"/>
      <c r="AP1447" s="367"/>
      <c r="AQ1447" s="367"/>
      <c r="AR1447" s="367"/>
      <c r="AS1447" s="367"/>
      <c r="AT1447" s="45">
        <v>46213</v>
      </c>
      <c r="AU1447" s="367"/>
      <c r="AV1447" s="367"/>
      <c r="AW1447" s="45">
        <v>46189</v>
      </c>
      <c r="AX1447" s="367"/>
      <c r="AY1447" s="367"/>
      <c r="AZ1447" s="367"/>
      <c r="BA1447" s="367"/>
      <c r="BB1447" s="152"/>
      <c r="BC1447" s="152"/>
      <c r="BD1447" s="367" t="s">
        <v>2455</v>
      </c>
      <c r="BE1447" s="367"/>
      <c r="BF1447" s="367"/>
      <c r="BG1447" s="367"/>
      <c r="BH1447" s="260"/>
      <c r="BL1447" s="54"/>
    </row>
    <row r="1448" spans="1:64" ht="37.950000000000003" customHeight="1" x14ac:dyDescent="0.3">
      <c r="A1448" s="367">
        <f t="shared" si="26"/>
        <v>1443</v>
      </c>
      <c r="B1448" s="54" t="s">
        <v>4019</v>
      </c>
      <c r="C1448" s="367" t="s">
        <v>6</v>
      </c>
      <c r="D1448" s="150" t="s">
        <v>3952</v>
      </c>
      <c r="E1448" s="367"/>
      <c r="F1448" s="367"/>
      <c r="G1448" s="367"/>
      <c r="H1448" s="367"/>
      <c r="I1448" s="367" t="s">
        <v>3981</v>
      </c>
      <c r="J1448" s="54"/>
      <c r="K1448" s="48" t="s">
        <v>4013</v>
      </c>
      <c r="L1448" s="367" t="s">
        <v>3986</v>
      </c>
      <c r="M1448" s="150" t="s">
        <v>120</v>
      </c>
      <c r="N1448" s="150" t="s">
        <v>4014</v>
      </c>
      <c r="O1448" s="150" t="s">
        <v>4015</v>
      </c>
      <c r="P1448" s="367">
        <v>10</v>
      </c>
      <c r="Q1448" s="367">
        <v>3.6</v>
      </c>
      <c r="R1448" s="367"/>
      <c r="S1448" s="367">
        <v>100</v>
      </c>
      <c r="T1448" s="367">
        <v>12</v>
      </c>
      <c r="U1448" s="367"/>
      <c r="V1448" s="367"/>
      <c r="W1448" s="367"/>
      <c r="X1448" s="367"/>
      <c r="Y1448" s="367"/>
      <c r="Z1448" s="367" t="s">
        <v>127</v>
      </c>
      <c r="AA1448" s="367"/>
      <c r="AB1448" s="150"/>
      <c r="AC1448" s="48" t="s">
        <v>2603</v>
      </c>
      <c r="AD1448" s="150" t="s">
        <v>886</v>
      </c>
      <c r="AE1448" s="296">
        <v>46179</v>
      </c>
      <c r="AF1448" s="296"/>
      <c r="AG1448" s="286">
        <v>46244</v>
      </c>
      <c r="AH1448" s="49"/>
      <c r="AI1448" s="266"/>
      <c r="AJ1448" s="150" t="s">
        <v>2334</v>
      </c>
      <c r="AK1448" s="150" t="s">
        <v>190</v>
      </c>
      <c r="AL1448" s="150"/>
      <c r="AM1448" s="150"/>
      <c r="AN1448" s="367"/>
      <c r="AO1448" s="367"/>
      <c r="AP1448" s="367"/>
      <c r="AQ1448" s="367"/>
      <c r="AR1448" s="367"/>
      <c r="AS1448" s="367"/>
      <c r="AT1448" s="45">
        <v>46213</v>
      </c>
      <c r="AU1448" s="367"/>
      <c r="AV1448" s="367"/>
      <c r="AW1448" s="45">
        <v>46189</v>
      </c>
      <c r="AX1448" s="367"/>
      <c r="AY1448" s="367"/>
      <c r="AZ1448" s="367"/>
      <c r="BA1448" s="367"/>
      <c r="BB1448" s="152"/>
      <c r="BC1448" s="152"/>
      <c r="BD1448" s="367" t="s">
        <v>2455</v>
      </c>
      <c r="BE1448" s="367"/>
      <c r="BF1448" s="367"/>
      <c r="BG1448" s="367"/>
      <c r="BH1448" s="260"/>
      <c r="BL1448" s="54"/>
    </row>
    <row r="1449" spans="1:64" ht="37.950000000000003" customHeight="1" x14ac:dyDescent="0.3">
      <c r="A1449" s="367">
        <f t="shared" si="26"/>
        <v>1444</v>
      </c>
      <c r="B1449" s="54" t="s">
        <v>4020</v>
      </c>
      <c r="C1449" s="367" t="s">
        <v>6</v>
      </c>
      <c r="D1449" s="367"/>
      <c r="E1449" s="367"/>
      <c r="F1449" s="367"/>
      <c r="G1449" s="367"/>
      <c r="H1449" s="367"/>
      <c r="I1449" s="367" t="s">
        <v>3981</v>
      </c>
      <c r="J1449" s="54"/>
      <c r="K1449" s="48" t="s">
        <v>4013</v>
      </c>
      <c r="L1449" s="367" t="s">
        <v>3986</v>
      </c>
      <c r="M1449" s="150" t="s">
        <v>120</v>
      </c>
      <c r="N1449" s="150" t="s">
        <v>4014</v>
      </c>
      <c r="O1449" s="150" t="s">
        <v>4015</v>
      </c>
      <c r="P1449" s="367">
        <v>10</v>
      </c>
      <c r="Q1449" s="367">
        <v>3.6</v>
      </c>
      <c r="R1449" s="367"/>
      <c r="S1449" s="367">
        <v>100</v>
      </c>
      <c r="T1449" s="367">
        <v>12</v>
      </c>
      <c r="U1449" s="367"/>
      <c r="V1449" s="367"/>
      <c r="W1449" s="367"/>
      <c r="X1449" s="367"/>
      <c r="Y1449" s="367"/>
      <c r="Z1449" s="367" t="s">
        <v>127</v>
      </c>
      <c r="AA1449" s="367"/>
      <c r="AB1449" s="150"/>
      <c r="AC1449" s="48" t="s">
        <v>2608</v>
      </c>
      <c r="AD1449" s="150" t="s">
        <v>3251</v>
      </c>
      <c r="AE1449" s="364"/>
      <c r="AF1449" s="296"/>
      <c r="AG1449" s="286">
        <v>46244</v>
      </c>
      <c r="AH1449" s="49"/>
      <c r="AI1449" s="266"/>
      <c r="AJ1449" s="150" t="s">
        <v>617</v>
      </c>
      <c r="AK1449" s="150"/>
      <c r="AL1449" s="150"/>
      <c r="AM1449" s="150"/>
      <c r="AN1449" s="367"/>
      <c r="AO1449" s="367"/>
      <c r="AP1449" s="367"/>
      <c r="AQ1449" s="367"/>
      <c r="AR1449" s="367"/>
      <c r="AS1449" s="367"/>
      <c r="AT1449" s="367"/>
      <c r="AU1449" s="367"/>
      <c r="AV1449" s="367"/>
      <c r="AW1449" s="367"/>
      <c r="AX1449" s="367"/>
      <c r="AY1449" s="367"/>
      <c r="AZ1449" s="367"/>
      <c r="BA1449" s="367"/>
      <c r="BB1449" s="152"/>
      <c r="BC1449" s="152"/>
      <c r="BD1449" s="367" t="s">
        <v>2455</v>
      </c>
      <c r="BE1449" s="367"/>
      <c r="BF1449" s="367"/>
      <c r="BG1449" s="367"/>
      <c r="BH1449" s="260"/>
      <c r="BL1449" s="54"/>
    </row>
    <row r="1450" spans="1:64" ht="37.950000000000003" customHeight="1" x14ac:dyDescent="0.3">
      <c r="A1450" s="367">
        <f t="shared" si="26"/>
        <v>1445</v>
      </c>
      <c r="B1450" s="54" t="s">
        <v>4021</v>
      </c>
      <c r="C1450" s="367" t="s">
        <v>6</v>
      </c>
      <c r="D1450" s="367"/>
      <c r="E1450" s="367"/>
      <c r="F1450" s="367"/>
      <c r="G1450" s="367"/>
      <c r="H1450" s="367"/>
      <c r="I1450" s="367" t="s">
        <v>3981</v>
      </c>
      <c r="J1450" s="54"/>
      <c r="K1450" s="48" t="s">
        <v>4013</v>
      </c>
      <c r="L1450" s="367" t="s">
        <v>3986</v>
      </c>
      <c r="M1450" s="150" t="s">
        <v>120</v>
      </c>
      <c r="N1450" s="150" t="s">
        <v>4014</v>
      </c>
      <c r="O1450" s="150" t="s">
        <v>4015</v>
      </c>
      <c r="P1450" s="367">
        <v>10</v>
      </c>
      <c r="Q1450" s="367">
        <v>3.6</v>
      </c>
      <c r="R1450" s="367"/>
      <c r="S1450" s="367">
        <v>100</v>
      </c>
      <c r="T1450" s="367">
        <v>12</v>
      </c>
      <c r="U1450" s="367"/>
      <c r="V1450" s="367"/>
      <c r="W1450" s="367"/>
      <c r="X1450" s="367"/>
      <c r="Y1450" s="367"/>
      <c r="Z1450" s="367" t="s">
        <v>127</v>
      </c>
      <c r="AA1450" s="367"/>
      <c r="AB1450" s="150"/>
      <c r="AC1450" s="48" t="s">
        <v>2608</v>
      </c>
      <c r="AD1450" s="150" t="s">
        <v>3251</v>
      </c>
      <c r="AE1450" s="296"/>
      <c r="AF1450" s="296"/>
      <c r="AG1450" s="286">
        <v>46244</v>
      </c>
      <c r="AH1450" s="49"/>
      <c r="AI1450" s="266"/>
      <c r="AJ1450" s="150" t="s">
        <v>617</v>
      </c>
      <c r="AK1450" s="150"/>
      <c r="AL1450" s="150"/>
      <c r="AM1450" s="150"/>
      <c r="AN1450" s="367"/>
      <c r="AO1450" s="367"/>
      <c r="AP1450" s="367"/>
      <c r="AQ1450" s="367"/>
      <c r="AR1450" s="367"/>
      <c r="AS1450" s="367"/>
      <c r="AT1450" s="367"/>
      <c r="AU1450" s="367"/>
      <c r="AV1450" s="367"/>
      <c r="AW1450" s="367"/>
      <c r="AX1450" s="367"/>
      <c r="AY1450" s="367"/>
      <c r="AZ1450" s="367"/>
      <c r="BA1450" s="367"/>
      <c r="BB1450" s="152"/>
      <c r="BC1450" s="152"/>
      <c r="BD1450" s="367" t="s">
        <v>2455</v>
      </c>
      <c r="BE1450" s="367"/>
      <c r="BF1450" s="367"/>
      <c r="BG1450" s="367"/>
      <c r="BH1450" s="260"/>
      <c r="BL1450" s="54"/>
    </row>
    <row r="1451" spans="1:64" ht="37.950000000000003" customHeight="1" x14ac:dyDescent="0.3">
      <c r="A1451" s="367">
        <f t="shared" si="26"/>
        <v>1446</v>
      </c>
      <c r="B1451" s="54" t="s">
        <v>4022</v>
      </c>
      <c r="C1451" s="367" t="s">
        <v>6</v>
      </c>
      <c r="D1451" s="150" t="s">
        <v>3952</v>
      </c>
      <c r="E1451" s="367"/>
      <c r="F1451" s="367"/>
      <c r="G1451" s="367"/>
      <c r="H1451" s="367"/>
      <c r="I1451" s="367" t="s">
        <v>3981</v>
      </c>
      <c r="J1451" s="54"/>
      <c r="K1451" s="48" t="s">
        <v>4013</v>
      </c>
      <c r="L1451" s="367" t="s">
        <v>3986</v>
      </c>
      <c r="M1451" s="150" t="s">
        <v>120</v>
      </c>
      <c r="N1451" s="150" t="s">
        <v>4014</v>
      </c>
      <c r="O1451" s="150" t="s">
        <v>4015</v>
      </c>
      <c r="P1451" s="367">
        <v>10</v>
      </c>
      <c r="Q1451" s="367">
        <v>3.6</v>
      </c>
      <c r="R1451" s="367"/>
      <c r="S1451" s="367">
        <v>100</v>
      </c>
      <c r="T1451" s="367">
        <v>12</v>
      </c>
      <c r="U1451" s="367"/>
      <c r="V1451" s="367"/>
      <c r="W1451" s="367"/>
      <c r="X1451" s="367"/>
      <c r="Y1451" s="367"/>
      <c r="Z1451" s="367" t="s">
        <v>127</v>
      </c>
      <c r="AA1451" s="367"/>
      <c r="AB1451" s="150"/>
      <c r="AC1451" s="48" t="s">
        <v>2612</v>
      </c>
      <c r="AD1451" s="150" t="s">
        <v>886</v>
      </c>
      <c r="AE1451" s="296">
        <v>46179</v>
      </c>
      <c r="AF1451" s="296"/>
      <c r="AG1451" s="286">
        <v>46244</v>
      </c>
      <c r="AH1451" s="49"/>
      <c r="AI1451" s="266"/>
      <c r="AJ1451" s="150" t="s">
        <v>2334</v>
      </c>
      <c r="AK1451" s="150" t="s">
        <v>190</v>
      </c>
      <c r="AL1451" s="150"/>
      <c r="AM1451" s="150"/>
      <c r="AN1451" s="367"/>
      <c r="AO1451" s="367"/>
      <c r="AP1451" s="367"/>
      <c r="AQ1451" s="367"/>
      <c r="AR1451" s="367"/>
      <c r="AS1451" s="367"/>
      <c r="AT1451" s="45">
        <v>46213</v>
      </c>
      <c r="AU1451" s="367"/>
      <c r="AV1451" s="367"/>
      <c r="AW1451" s="45">
        <v>46189</v>
      </c>
      <c r="AX1451" s="367"/>
      <c r="AY1451" s="367"/>
      <c r="AZ1451" s="367"/>
      <c r="BA1451" s="367"/>
      <c r="BB1451" s="152"/>
      <c r="BC1451" s="152"/>
      <c r="BD1451" s="367" t="s">
        <v>2455</v>
      </c>
      <c r="BE1451" s="367"/>
      <c r="BF1451" s="367"/>
      <c r="BG1451" s="367"/>
      <c r="BH1451" s="260"/>
      <c r="BL1451" s="54"/>
    </row>
    <row r="1452" spans="1:64" ht="37.950000000000003" customHeight="1" x14ac:dyDescent="0.3">
      <c r="A1452" s="367">
        <f t="shared" si="26"/>
        <v>1447</v>
      </c>
      <c r="B1452" s="54" t="s">
        <v>4023</v>
      </c>
      <c r="C1452" s="367" t="s">
        <v>6</v>
      </c>
      <c r="D1452" s="150" t="s">
        <v>3952</v>
      </c>
      <c r="E1452" s="367"/>
      <c r="F1452" s="367"/>
      <c r="G1452" s="367"/>
      <c r="H1452" s="367"/>
      <c r="I1452" s="367" t="s">
        <v>3981</v>
      </c>
      <c r="J1452" s="54"/>
      <c r="K1452" s="48" t="s">
        <v>4013</v>
      </c>
      <c r="L1452" s="367" t="s">
        <v>3986</v>
      </c>
      <c r="M1452" s="150" t="s">
        <v>120</v>
      </c>
      <c r="N1452" s="150" t="s">
        <v>4014</v>
      </c>
      <c r="O1452" s="150" t="s">
        <v>4015</v>
      </c>
      <c r="P1452" s="367">
        <v>10</v>
      </c>
      <c r="Q1452" s="367">
        <v>3.6</v>
      </c>
      <c r="R1452" s="367"/>
      <c r="S1452" s="367">
        <v>100</v>
      </c>
      <c r="T1452" s="367">
        <v>12</v>
      </c>
      <c r="U1452" s="367"/>
      <c r="V1452" s="367"/>
      <c r="W1452" s="367"/>
      <c r="X1452" s="367"/>
      <c r="Y1452" s="367"/>
      <c r="Z1452" s="367" t="s">
        <v>127</v>
      </c>
      <c r="AA1452" s="367"/>
      <c r="AB1452" s="150" t="s">
        <v>215</v>
      </c>
      <c r="AC1452" s="48" t="s">
        <v>3993</v>
      </c>
      <c r="AD1452" s="150" t="s">
        <v>1079</v>
      </c>
      <c r="AE1452" s="296">
        <v>46179</v>
      </c>
      <c r="AF1452" s="296"/>
      <c r="AG1452" s="286">
        <v>46244</v>
      </c>
      <c r="AH1452" s="49"/>
      <c r="AI1452" s="266"/>
      <c r="AJ1452" s="150" t="s">
        <v>2334</v>
      </c>
      <c r="AK1452" s="150" t="s">
        <v>161</v>
      </c>
      <c r="AL1452" s="150"/>
      <c r="AM1452" s="150"/>
      <c r="AN1452" s="367"/>
      <c r="AO1452" s="367"/>
      <c r="AP1452" s="367"/>
      <c r="AQ1452" s="367"/>
      <c r="AR1452" s="367"/>
      <c r="AS1452" s="367"/>
      <c r="AT1452" s="45">
        <v>46213</v>
      </c>
      <c r="AU1452" s="367"/>
      <c r="AV1452" s="367"/>
      <c r="AW1452" s="45">
        <v>46189</v>
      </c>
      <c r="AX1452" s="367"/>
      <c r="AY1452" s="367"/>
      <c r="AZ1452" s="367"/>
      <c r="BA1452" s="367"/>
      <c r="BB1452" s="152"/>
      <c r="BC1452" s="152"/>
      <c r="BD1452" s="367" t="s">
        <v>2455</v>
      </c>
      <c r="BE1452" s="367"/>
      <c r="BF1452" s="367"/>
      <c r="BG1452" s="367"/>
      <c r="BH1452" s="260"/>
      <c r="BL1452" s="54"/>
    </row>
    <row r="1453" spans="1:64" ht="37.950000000000003" customHeight="1" x14ac:dyDescent="0.3">
      <c r="A1453" s="367">
        <f t="shared" si="26"/>
        <v>1448</v>
      </c>
      <c r="B1453" s="54" t="s">
        <v>4024</v>
      </c>
      <c r="C1453" s="367" t="s">
        <v>6</v>
      </c>
      <c r="D1453" s="367"/>
      <c r="E1453" s="367"/>
      <c r="F1453" s="367"/>
      <c r="G1453" s="367"/>
      <c r="H1453" s="367"/>
      <c r="I1453" s="367" t="s">
        <v>3981</v>
      </c>
      <c r="J1453" s="54"/>
      <c r="K1453" s="48" t="s">
        <v>4013</v>
      </c>
      <c r="L1453" s="367" t="s">
        <v>3986</v>
      </c>
      <c r="M1453" s="150" t="s">
        <v>120</v>
      </c>
      <c r="N1453" s="150" t="s">
        <v>4014</v>
      </c>
      <c r="O1453" s="150" t="s">
        <v>4015</v>
      </c>
      <c r="P1453" s="367">
        <v>10</v>
      </c>
      <c r="Q1453" s="367">
        <v>3.6</v>
      </c>
      <c r="R1453" s="367"/>
      <c r="S1453" s="367">
        <v>100</v>
      </c>
      <c r="T1453" s="367">
        <v>12</v>
      </c>
      <c r="U1453" s="367"/>
      <c r="V1453" s="367"/>
      <c r="W1453" s="367"/>
      <c r="X1453" s="367"/>
      <c r="Y1453" s="367"/>
      <c r="Z1453" s="367" t="s">
        <v>127</v>
      </c>
      <c r="AA1453" s="367"/>
      <c r="AB1453" s="150"/>
      <c r="AC1453" s="48" t="s">
        <v>4025</v>
      </c>
      <c r="AD1453" s="150" t="s">
        <v>1592</v>
      </c>
      <c r="AE1453" s="296"/>
      <c r="AF1453" s="296"/>
      <c r="AG1453" s="286">
        <v>46244</v>
      </c>
      <c r="AH1453" s="49"/>
      <c r="AI1453" s="266"/>
      <c r="AJ1453" s="150" t="s">
        <v>617</v>
      </c>
      <c r="AK1453" s="150"/>
      <c r="AL1453" s="150"/>
      <c r="AM1453" s="150"/>
      <c r="AN1453" s="367"/>
      <c r="AO1453" s="367"/>
      <c r="AP1453" s="367"/>
      <c r="AQ1453" s="367"/>
      <c r="AR1453" s="367"/>
      <c r="AS1453" s="367"/>
      <c r="AT1453" s="367"/>
      <c r="AU1453" s="367"/>
      <c r="AV1453" s="367"/>
      <c r="AW1453" s="367"/>
      <c r="AX1453" s="367"/>
      <c r="AY1453" s="367"/>
      <c r="AZ1453" s="367"/>
      <c r="BA1453" s="367"/>
      <c r="BB1453" s="152"/>
      <c r="BC1453" s="152"/>
      <c r="BD1453" s="367" t="s">
        <v>2455</v>
      </c>
      <c r="BE1453" s="367"/>
      <c r="BF1453" s="367"/>
      <c r="BG1453" s="367"/>
      <c r="BH1453" s="260"/>
      <c r="BL1453" s="54"/>
    </row>
    <row r="1454" spans="1:64" ht="37.950000000000003" customHeight="1" x14ac:dyDescent="0.3">
      <c r="A1454" s="367">
        <f t="shared" si="26"/>
        <v>1449</v>
      </c>
      <c r="B1454" s="54" t="s">
        <v>4026</v>
      </c>
      <c r="C1454" s="367" t="s">
        <v>6</v>
      </c>
      <c r="D1454" s="150" t="s">
        <v>3952</v>
      </c>
      <c r="E1454" s="367"/>
      <c r="F1454" s="367"/>
      <c r="G1454" s="367"/>
      <c r="H1454" s="367"/>
      <c r="I1454" s="367" t="s">
        <v>3981</v>
      </c>
      <c r="J1454" s="54"/>
      <c r="K1454" s="48" t="s">
        <v>4013</v>
      </c>
      <c r="L1454" s="367" t="s">
        <v>3986</v>
      </c>
      <c r="M1454" s="150" t="s">
        <v>120</v>
      </c>
      <c r="N1454" s="150" t="s">
        <v>4014</v>
      </c>
      <c r="O1454" s="150" t="s">
        <v>4015</v>
      </c>
      <c r="P1454" s="367">
        <v>10</v>
      </c>
      <c r="Q1454" s="367">
        <v>3.6</v>
      </c>
      <c r="R1454" s="367"/>
      <c r="S1454" s="367">
        <v>100</v>
      </c>
      <c r="T1454" s="367">
        <v>12</v>
      </c>
      <c r="U1454" s="367"/>
      <c r="V1454" s="367" t="s">
        <v>127</v>
      </c>
      <c r="W1454" s="367"/>
      <c r="X1454" s="367" t="s">
        <v>3997</v>
      </c>
      <c r="Y1454" s="367"/>
      <c r="Z1454" s="367" t="s">
        <v>127</v>
      </c>
      <c r="AA1454" s="367"/>
      <c r="AB1454" s="150" t="s">
        <v>215</v>
      </c>
      <c r="AC1454" s="48" t="s">
        <v>3864</v>
      </c>
      <c r="AD1454" s="150" t="s">
        <v>207</v>
      </c>
      <c r="AE1454" s="296">
        <v>46179</v>
      </c>
      <c r="AF1454" s="296"/>
      <c r="AG1454" s="286">
        <v>46244</v>
      </c>
      <c r="AH1454" s="49"/>
      <c r="AI1454" s="266"/>
      <c r="AJ1454" s="150" t="s">
        <v>2334</v>
      </c>
      <c r="AK1454" s="150" t="s">
        <v>200</v>
      </c>
      <c r="AL1454" s="150"/>
      <c r="AM1454" s="150"/>
      <c r="AN1454" s="367"/>
      <c r="AO1454" s="367"/>
      <c r="AP1454" s="367"/>
      <c r="AQ1454" s="367"/>
      <c r="AR1454" s="367"/>
      <c r="AS1454" s="367"/>
      <c r="AT1454" s="45">
        <v>46218</v>
      </c>
      <c r="AU1454" s="367"/>
      <c r="AV1454" s="367"/>
      <c r="AW1454" s="45">
        <v>46188</v>
      </c>
      <c r="AX1454" s="367"/>
      <c r="AY1454" s="367"/>
      <c r="AZ1454" s="367"/>
      <c r="BA1454" s="367"/>
      <c r="BB1454" s="152"/>
      <c r="BC1454" s="152"/>
      <c r="BD1454" s="367" t="s">
        <v>2455</v>
      </c>
      <c r="BE1454" s="367"/>
      <c r="BF1454" s="367"/>
      <c r="BG1454" s="367"/>
      <c r="BH1454" s="260"/>
      <c r="BL1454" s="54"/>
    </row>
    <row r="1455" spans="1:64" ht="37.950000000000003" customHeight="1" x14ac:dyDescent="0.3">
      <c r="A1455" s="367">
        <f t="shared" si="26"/>
        <v>1450</v>
      </c>
      <c r="B1455" s="54" t="s">
        <v>4027</v>
      </c>
      <c r="C1455" s="367" t="s">
        <v>6</v>
      </c>
      <c r="D1455" s="150" t="s">
        <v>3952</v>
      </c>
      <c r="E1455" s="367"/>
      <c r="F1455" s="367"/>
      <c r="G1455" s="367"/>
      <c r="H1455" s="367"/>
      <c r="I1455" s="367" t="s">
        <v>3981</v>
      </c>
      <c r="J1455" s="54"/>
      <c r="K1455" s="48" t="s">
        <v>4028</v>
      </c>
      <c r="L1455" s="367" t="s">
        <v>3986</v>
      </c>
      <c r="M1455" s="150" t="s">
        <v>120</v>
      </c>
      <c r="N1455" s="150" t="s">
        <v>4014</v>
      </c>
      <c r="O1455" s="150" t="s">
        <v>4015</v>
      </c>
      <c r="P1455" s="367">
        <v>10</v>
      </c>
      <c r="Q1455" s="367">
        <v>3</v>
      </c>
      <c r="R1455" s="367"/>
      <c r="S1455" s="367">
        <v>100</v>
      </c>
      <c r="T1455" s="367">
        <v>14</v>
      </c>
      <c r="U1455" s="367"/>
      <c r="V1455" s="367" t="s">
        <v>127</v>
      </c>
      <c r="W1455" s="367"/>
      <c r="X1455" s="367" t="s">
        <v>3997</v>
      </c>
      <c r="Y1455" s="367"/>
      <c r="Z1455" s="367" t="s">
        <v>127</v>
      </c>
      <c r="AA1455" s="367" t="s">
        <v>127</v>
      </c>
      <c r="AB1455" s="150" t="s">
        <v>215</v>
      </c>
      <c r="AC1455" s="48" t="s">
        <v>4029</v>
      </c>
      <c r="AD1455" s="150" t="s">
        <v>199</v>
      </c>
      <c r="AE1455" s="296">
        <v>46179</v>
      </c>
      <c r="AF1455" s="296"/>
      <c r="AG1455" s="286">
        <v>46244</v>
      </c>
      <c r="AH1455" s="49"/>
      <c r="AI1455" s="266"/>
      <c r="AJ1455" s="150" t="s">
        <v>2334</v>
      </c>
      <c r="AK1455" s="150" t="s">
        <v>200</v>
      </c>
      <c r="AL1455" s="150"/>
      <c r="AM1455" s="150"/>
      <c r="AN1455" s="367"/>
      <c r="AO1455" s="367"/>
      <c r="AP1455" s="367"/>
      <c r="AQ1455" s="367"/>
      <c r="AR1455" s="367"/>
      <c r="AS1455" s="367"/>
      <c r="AT1455" s="45">
        <v>46218</v>
      </c>
      <c r="AU1455" s="367"/>
      <c r="AV1455" s="367"/>
      <c r="AW1455" s="45">
        <v>46188</v>
      </c>
      <c r="AX1455" s="367"/>
      <c r="AY1455" s="367"/>
      <c r="AZ1455" s="367"/>
      <c r="BA1455" s="367"/>
      <c r="BB1455" s="152"/>
      <c r="BC1455" s="152"/>
      <c r="BD1455" s="367" t="s">
        <v>2455</v>
      </c>
      <c r="BE1455" s="367"/>
      <c r="BF1455" s="367"/>
      <c r="BG1455" s="367"/>
      <c r="BH1455" s="260"/>
      <c r="BL1455" s="54"/>
    </row>
    <row r="1456" spans="1:64" ht="37.950000000000003" customHeight="1" x14ac:dyDescent="0.3">
      <c r="A1456" s="367">
        <f t="shared" si="26"/>
        <v>1451</v>
      </c>
      <c r="B1456" s="54" t="s">
        <v>4030</v>
      </c>
      <c r="C1456" s="367" t="s">
        <v>6</v>
      </c>
      <c r="D1456" s="150" t="s">
        <v>3952</v>
      </c>
      <c r="E1456" s="367"/>
      <c r="F1456" s="367"/>
      <c r="G1456" s="367"/>
      <c r="H1456" s="367"/>
      <c r="I1456" s="367" t="s">
        <v>3981</v>
      </c>
      <c r="J1456" s="54"/>
      <c r="K1456" s="48" t="s">
        <v>4028</v>
      </c>
      <c r="L1456" s="367" t="s">
        <v>3986</v>
      </c>
      <c r="M1456" s="150" t="s">
        <v>120</v>
      </c>
      <c r="N1456" s="150" t="s">
        <v>4014</v>
      </c>
      <c r="O1456" s="150" t="s">
        <v>4015</v>
      </c>
      <c r="P1456" s="367">
        <v>10</v>
      </c>
      <c r="Q1456" s="367">
        <v>3</v>
      </c>
      <c r="R1456" s="367"/>
      <c r="S1456" s="367">
        <v>100</v>
      </c>
      <c r="T1456" s="367">
        <v>14</v>
      </c>
      <c r="U1456" s="367"/>
      <c r="V1456" s="367"/>
      <c r="W1456" s="367"/>
      <c r="X1456" s="367"/>
      <c r="Y1456" s="367"/>
      <c r="Z1456" s="367" t="s">
        <v>127</v>
      </c>
      <c r="AA1456" s="367"/>
      <c r="AB1456" s="150"/>
      <c r="AC1456" s="48" t="s">
        <v>2815</v>
      </c>
      <c r="AD1456" s="150" t="s">
        <v>169</v>
      </c>
      <c r="AE1456" s="296">
        <v>46179</v>
      </c>
      <c r="AF1456" s="296"/>
      <c r="AG1456" s="286">
        <v>46244</v>
      </c>
      <c r="AH1456" s="49"/>
      <c r="AI1456" s="266"/>
      <c r="AJ1456" s="150" t="s">
        <v>617</v>
      </c>
      <c r="AK1456" s="150" t="s">
        <v>161</v>
      </c>
      <c r="AL1456" s="150"/>
      <c r="AM1456" s="150"/>
      <c r="AN1456" s="367"/>
      <c r="AO1456" s="367"/>
      <c r="AP1456" s="367"/>
      <c r="AQ1456" s="367"/>
      <c r="AR1456" s="367"/>
      <c r="AS1456" s="367"/>
      <c r="AT1456" s="45">
        <v>46213</v>
      </c>
      <c r="AU1456" s="367"/>
      <c r="AV1456" s="367"/>
      <c r="AW1456" s="367"/>
      <c r="AX1456" s="367"/>
      <c r="AY1456" s="367"/>
      <c r="AZ1456" s="367"/>
      <c r="BA1456" s="367"/>
      <c r="BB1456" s="152"/>
      <c r="BC1456" s="152"/>
      <c r="BD1456" s="367" t="s">
        <v>2455</v>
      </c>
      <c r="BE1456" s="367"/>
      <c r="BF1456" s="367"/>
      <c r="BG1456" s="367"/>
      <c r="BH1456" s="260"/>
      <c r="BL1456" s="54"/>
    </row>
    <row r="1457" spans="1:64" ht="37.950000000000003" customHeight="1" x14ac:dyDescent="0.3">
      <c r="A1457" s="367">
        <f t="shared" si="26"/>
        <v>1452</v>
      </c>
      <c r="B1457" s="54" t="s">
        <v>4031</v>
      </c>
      <c r="C1457" s="367" t="s">
        <v>6</v>
      </c>
      <c r="D1457" s="150" t="s">
        <v>3952</v>
      </c>
      <c r="E1457" s="367"/>
      <c r="F1457" s="367"/>
      <c r="G1457" s="367"/>
      <c r="H1457" s="367"/>
      <c r="I1457" s="367" t="s">
        <v>3981</v>
      </c>
      <c r="J1457" s="54"/>
      <c r="K1457" s="48" t="s">
        <v>4028</v>
      </c>
      <c r="L1457" s="367" t="s">
        <v>3986</v>
      </c>
      <c r="M1457" s="150" t="s">
        <v>120</v>
      </c>
      <c r="N1457" s="150" t="s">
        <v>4014</v>
      </c>
      <c r="O1457" s="150" t="s">
        <v>4015</v>
      </c>
      <c r="P1457" s="367">
        <v>10</v>
      </c>
      <c r="Q1457" s="367">
        <v>3</v>
      </c>
      <c r="R1457" s="367"/>
      <c r="S1457" s="367">
        <v>100</v>
      </c>
      <c r="T1457" s="367">
        <v>14</v>
      </c>
      <c r="U1457" s="367"/>
      <c r="V1457" s="367"/>
      <c r="W1457" s="367"/>
      <c r="X1457" s="367"/>
      <c r="Y1457" s="367"/>
      <c r="Z1457" s="367" t="s">
        <v>127</v>
      </c>
      <c r="AA1457" s="367"/>
      <c r="AB1457" s="150"/>
      <c r="AC1457" s="48" t="s">
        <v>2815</v>
      </c>
      <c r="AD1457" s="150" t="s">
        <v>169</v>
      </c>
      <c r="AE1457" s="296">
        <v>46179</v>
      </c>
      <c r="AF1457" s="296"/>
      <c r="AG1457" s="286">
        <v>46244</v>
      </c>
      <c r="AH1457" s="49"/>
      <c r="AI1457" s="266"/>
      <c r="AJ1457" s="150" t="s">
        <v>617</v>
      </c>
      <c r="AK1457" s="150" t="s">
        <v>161</v>
      </c>
      <c r="AL1457" s="150"/>
      <c r="AM1457" s="150"/>
      <c r="AN1457" s="367"/>
      <c r="AO1457" s="367"/>
      <c r="AP1457" s="367"/>
      <c r="AQ1457" s="367"/>
      <c r="AR1457" s="367"/>
      <c r="AS1457" s="367"/>
      <c r="AT1457" s="45">
        <v>46213</v>
      </c>
      <c r="AU1457" s="367"/>
      <c r="AV1457" s="367"/>
      <c r="AW1457" s="367"/>
      <c r="AX1457" s="367"/>
      <c r="AY1457" s="367"/>
      <c r="AZ1457" s="367"/>
      <c r="BA1457" s="367"/>
      <c r="BB1457" s="152"/>
      <c r="BC1457" s="152"/>
      <c r="BD1457" s="367" t="s">
        <v>2455</v>
      </c>
      <c r="BE1457" s="367"/>
      <c r="BF1457" s="367"/>
      <c r="BG1457" s="367"/>
      <c r="BH1457" s="260"/>
      <c r="BL1457" s="54"/>
    </row>
    <row r="1458" spans="1:64" ht="37.950000000000003" customHeight="1" x14ac:dyDescent="0.3">
      <c r="A1458" s="367">
        <f t="shared" si="26"/>
        <v>1453</v>
      </c>
      <c r="B1458" s="54" t="s">
        <v>4032</v>
      </c>
      <c r="C1458" s="367" t="s">
        <v>6</v>
      </c>
      <c r="D1458" s="150" t="s">
        <v>3952</v>
      </c>
      <c r="E1458" s="367"/>
      <c r="F1458" s="367"/>
      <c r="G1458" s="367"/>
      <c r="H1458" s="367"/>
      <c r="I1458" s="367" t="s">
        <v>3981</v>
      </c>
      <c r="J1458" s="54"/>
      <c r="K1458" s="48" t="s">
        <v>4028</v>
      </c>
      <c r="L1458" s="367" t="s">
        <v>3983</v>
      </c>
      <c r="M1458" s="150" t="s">
        <v>120</v>
      </c>
      <c r="N1458" s="150" t="s">
        <v>4014</v>
      </c>
      <c r="O1458" s="150" t="s">
        <v>4015</v>
      </c>
      <c r="P1458" s="367">
        <v>10</v>
      </c>
      <c r="Q1458" s="367">
        <v>3</v>
      </c>
      <c r="R1458" s="367"/>
      <c r="S1458" s="367">
        <v>100</v>
      </c>
      <c r="T1458" s="367">
        <v>14</v>
      </c>
      <c r="U1458" s="367"/>
      <c r="V1458" s="367"/>
      <c r="W1458" s="367"/>
      <c r="X1458" s="367"/>
      <c r="Y1458" s="367"/>
      <c r="Z1458" s="367"/>
      <c r="AA1458" s="367"/>
      <c r="AB1458" s="150"/>
      <c r="AC1458" s="48" t="s">
        <v>2681</v>
      </c>
      <c r="AD1458" s="150" t="s">
        <v>1464</v>
      </c>
      <c r="AE1458" s="296">
        <v>46179</v>
      </c>
      <c r="AF1458" s="296"/>
      <c r="AG1458" s="286">
        <v>46244</v>
      </c>
      <c r="AH1458" s="49"/>
      <c r="AI1458" s="266"/>
      <c r="AJ1458" s="150" t="s">
        <v>2334</v>
      </c>
      <c r="AK1458" s="150" t="s">
        <v>190</v>
      </c>
      <c r="AL1458" s="150"/>
      <c r="AM1458" s="150"/>
      <c r="AN1458" s="367"/>
      <c r="AO1458" s="367"/>
      <c r="AP1458" s="367"/>
      <c r="AQ1458" s="367"/>
      <c r="AR1458" s="367"/>
      <c r="AS1458" s="367"/>
      <c r="AT1458" s="45">
        <v>46213</v>
      </c>
      <c r="AU1458" s="367"/>
      <c r="AV1458" s="367"/>
      <c r="AW1458" s="45">
        <v>46189</v>
      </c>
      <c r="AX1458" s="367"/>
      <c r="AY1458" s="367"/>
      <c r="AZ1458" s="367"/>
      <c r="BA1458" s="367"/>
      <c r="BB1458" s="152"/>
      <c r="BC1458" s="152"/>
      <c r="BD1458" s="367" t="s">
        <v>2455</v>
      </c>
      <c r="BE1458" s="367"/>
      <c r="BF1458" s="367"/>
      <c r="BG1458" s="367"/>
      <c r="BH1458" s="260"/>
      <c r="BL1458" s="54"/>
    </row>
    <row r="1459" spans="1:64" ht="37.950000000000003" customHeight="1" x14ac:dyDescent="0.3">
      <c r="A1459" s="367">
        <f t="shared" si="26"/>
        <v>1454</v>
      </c>
      <c r="B1459" s="54" t="s">
        <v>4033</v>
      </c>
      <c r="C1459" s="367" t="s">
        <v>6</v>
      </c>
      <c r="D1459" s="150" t="s">
        <v>3952</v>
      </c>
      <c r="E1459" s="367"/>
      <c r="F1459" s="367"/>
      <c r="G1459" s="367"/>
      <c r="H1459" s="367"/>
      <c r="I1459" s="367" t="s">
        <v>3981</v>
      </c>
      <c r="J1459" s="54"/>
      <c r="K1459" s="48" t="s">
        <v>4028</v>
      </c>
      <c r="L1459" s="367" t="s">
        <v>3983</v>
      </c>
      <c r="M1459" s="150" t="s">
        <v>120</v>
      </c>
      <c r="N1459" s="150" t="s">
        <v>4014</v>
      </c>
      <c r="O1459" s="150" t="s">
        <v>4015</v>
      </c>
      <c r="P1459" s="367">
        <v>10</v>
      </c>
      <c r="Q1459" s="367">
        <v>3</v>
      </c>
      <c r="R1459" s="367"/>
      <c r="S1459" s="367">
        <v>100</v>
      </c>
      <c r="T1459" s="367">
        <v>14</v>
      </c>
      <c r="U1459" s="367"/>
      <c r="V1459" s="367"/>
      <c r="W1459" s="367"/>
      <c r="X1459" s="367"/>
      <c r="Y1459" s="367"/>
      <c r="Z1459" s="367"/>
      <c r="AA1459" s="367"/>
      <c r="AB1459" s="150" t="s">
        <v>215</v>
      </c>
      <c r="AC1459" s="48" t="s">
        <v>4006</v>
      </c>
      <c r="AD1459" s="150" t="s">
        <v>1079</v>
      </c>
      <c r="AE1459" s="296">
        <v>46179</v>
      </c>
      <c r="AF1459" s="296"/>
      <c r="AG1459" s="286">
        <v>46244</v>
      </c>
      <c r="AH1459" s="49"/>
      <c r="AI1459" s="266"/>
      <c r="AJ1459" s="150" t="s">
        <v>2334</v>
      </c>
      <c r="AK1459" s="150" t="s">
        <v>161</v>
      </c>
      <c r="AL1459" s="150"/>
      <c r="AM1459" s="150"/>
      <c r="AN1459" s="367"/>
      <c r="AO1459" s="367"/>
      <c r="AP1459" s="367"/>
      <c r="AQ1459" s="367"/>
      <c r="AR1459" s="367"/>
      <c r="AS1459" s="367"/>
      <c r="AT1459" s="45">
        <v>46213</v>
      </c>
      <c r="AU1459" s="367"/>
      <c r="AV1459" s="367"/>
      <c r="AW1459" s="45">
        <v>46189</v>
      </c>
      <c r="AX1459" s="367"/>
      <c r="AY1459" s="367"/>
      <c r="AZ1459" s="367"/>
      <c r="BA1459" s="367"/>
      <c r="BB1459" s="152"/>
      <c r="BC1459" s="152"/>
      <c r="BD1459" s="367" t="s">
        <v>2455</v>
      </c>
      <c r="BE1459" s="367"/>
      <c r="BF1459" s="367"/>
      <c r="BG1459" s="367"/>
      <c r="BH1459" s="260"/>
      <c r="BL1459" s="54"/>
    </row>
    <row r="1460" spans="1:64" ht="37.950000000000003" customHeight="1" x14ac:dyDescent="0.3">
      <c r="A1460" s="367">
        <f t="shared" si="26"/>
        <v>1455</v>
      </c>
      <c r="B1460" s="54" t="s">
        <v>4034</v>
      </c>
      <c r="C1460" s="367" t="s">
        <v>6</v>
      </c>
      <c r="D1460" s="367"/>
      <c r="E1460" s="367"/>
      <c r="F1460" s="367"/>
      <c r="G1460" s="367"/>
      <c r="H1460" s="367"/>
      <c r="I1460" s="367" t="s">
        <v>3981</v>
      </c>
      <c r="J1460" s="54"/>
      <c r="K1460" s="48" t="s">
        <v>4028</v>
      </c>
      <c r="L1460" s="367" t="s">
        <v>3983</v>
      </c>
      <c r="M1460" s="150" t="s">
        <v>120</v>
      </c>
      <c r="N1460" s="150" t="s">
        <v>4014</v>
      </c>
      <c r="O1460" s="150" t="s">
        <v>4015</v>
      </c>
      <c r="P1460" s="367">
        <v>10</v>
      </c>
      <c r="Q1460" s="367">
        <v>3</v>
      </c>
      <c r="R1460" s="367"/>
      <c r="S1460" s="367">
        <v>100</v>
      </c>
      <c r="T1460" s="367">
        <v>14</v>
      </c>
      <c r="U1460" s="367"/>
      <c r="V1460" s="367"/>
      <c r="W1460" s="367"/>
      <c r="X1460" s="367"/>
      <c r="Y1460" s="367"/>
      <c r="Z1460" s="367"/>
      <c r="AA1460" s="367"/>
      <c r="AB1460" s="150"/>
      <c r="AC1460" s="48" t="s">
        <v>4008</v>
      </c>
      <c r="AD1460" s="150" t="s">
        <v>3251</v>
      </c>
      <c r="AE1460" s="296"/>
      <c r="AF1460" s="296"/>
      <c r="AG1460" s="286">
        <v>46244</v>
      </c>
      <c r="AH1460" s="49"/>
      <c r="AI1460" s="266"/>
      <c r="AJ1460" s="150" t="s">
        <v>617</v>
      </c>
      <c r="AK1460" s="150"/>
      <c r="AL1460" s="150"/>
      <c r="AM1460" s="150"/>
      <c r="AN1460" s="367"/>
      <c r="AO1460" s="367"/>
      <c r="AP1460" s="367"/>
      <c r="AQ1460" s="367"/>
      <c r="AR1460" s="367"/>
      <c r="AS1460" s="367"/>
      <c r="AT1460" s="367"/>
      <c r="AU1460" s="367"/>
      <c r="AV1460" s="367"/>
      <c r="AW1460" s="367"/>
      <c r="AX1460" s="367"/>
      <c r="AY1460" s="367"/>
      <c r="AZ1460" s="367"/>
      <c r="BA1460" s="367"/>
      <c r="BB1460" s="152"/>
      <c r="BC1460" s="152"/>
      <c r="BD1460" s="367" t="s">
        <v>2455</v>
      </c>
      <c r="BE1460" s="367"/>
      <c r="BF1460" s="367"/>
      <c r="BG1460" s="367"/>
      <c r="BH1460" s="260"/>
      <c r="BL1460" s="54"/>
    </row>
    <row r="1461" spans="1:64" ht="37.950000000000003" customHeight="1" x14ac:dyDescent="0.3">
      <c r="A1461" s="367">
        <f t="shared" si="26"/>
        <v>1456</v>
      </c>
      <c r="B1461" s="54" t="s">
        <v>4035</v>
      </c>
      <c r="C1461" s="367" t="s">
        <v>6</v>
      </c>
      <c r="D1461" s="367"/>
      <c r="E1461" s="367"/>
      <c r="F1461" s="367"/>
      <c r="G1461" s="367"/>
      <c r="H1461" s="367"/>
      <c r="I1461" s="367" t="s">
        <v>3981</v>
      </c>
      <c r="J1461" s="54"/>
      <c r="K1461" s="48" t="s">
        <v>4028</v>
      </c>
      <c r="L1461" s="367" t="s">
        <v>3983</v>
      </c>
      <c r="M1461" s="150" t="s">
        <v>120</v>
      </c>
      <c r="N1461" s="150" t="s">
        <v>4014</v>
      </c>
      <c r="O1461" s="150" t="s">
        <v>4015</v>
      </c>
      <c r="P1461" s="367">
        <v>10</v>
      </c>
      <c r="Q1461" s="367">
        <v>3</v>
      </c>
      <c r="R1461" s="367"/>
      <c r="S1461" s="367">
        <v>100</v>
      </c>
      <c r="T1461" s="367">
        <v>14</v>
      </c>
      <c r="U1461" s="367"/>
      <c r="V1461" s="367"/>
      <c r="W1461" s="367"/>
      <c r="X1461" s="367" t="s">
        <v>3997</v>
      </c>
      <c r="Y1461" s="367" t="s">
        <v>127</v>
      </c>
      <c r="Z1461" s="367"/>
      <c r="AA1461" s="367"/>
      <c r="AB1461" s="150" t="s">
        <v>215</v>
      </c>
      <c r="AC1461" s="48" t="s">
        <v>4036</v>
      </c>
      <c r="AD1461" s="150" t="s">
        <v>152</v>
      </c>
      <c r="AE1461" s="296"/>
      <c r="AF1461" s="296"/>
      <c r="AG1461" s="286">
        <v>46244</v>
      </c>
      <c r="AH1461" s="49"/>
      <c r="AI1461" s="266"/>
      <c r="AJ1461" s="150" t="s">
        <v>617</v>
      </c>
      <c r="AK1461" s="150"/>
      <c r="AL1461" s="150"/>
      <c r="AM1461" s="150"/>
      <c r="AN1461" s="367"/>
      <c r="AO1461" s="367"/>
      <c r="AP1461" s="367"/>
      <c r="AQ1461" s="367"/>
      <c r="AR1461" s="367"/>
      <c r="AS1461" s="367"/>
      <c r="AT1461" s="367"/>
      <c r="AU1461" s="367"/>
      <c r="AV1461" s="367"/>
      <c r="AW1461" s="367"/>
      <c r="AX1461" s="367"/>
      <c r="AY1461" s="367"/>
      <c r="AZ1461" s="367"/>
      <c r="BA1461" s="367"/>
      <c r="BB1461" s="152"/>
      <c r="BC1461" s="152"/>
      <c r="BD1461" s="367" t="s">
        <v>2455</v>
      </c>
      <c r="BE1461" s="367"/>
      <c r="BF1461" s="367"/>
      <c r="BG1461" s="367"/>
      <c r="BH1461" s="260"/>
      <c r="BL1461" s="54"/>
    </row>
    <row r="1462" spans="1:64" ht="37.950000000000003" customHeight="1" x14ac:dyDescent="0.3">
      <c r="A1462" s="367">
        <f t="shared" si="26"/>
        <v>1457</v>
      </c>
      <c r="B1462" s="54" t="s">
        <v>4037</v>
      </c>
      <c r="C1462" s="367" t="s">
        <v>5</v>
      </c>
      <c r="D1462" s="367"/>
      <c r="E1462" s="367"/>
      <c r="F1462" s="367"/>
      <c r="G1462" s="367"/>
      <c r="H1462" s="367"/>
      <c r="I1462" s="367"/>
      <c r="J1462" s="54"/>
      <c r="K1462" s="48" t="s">
        <v>4038</v>
      </c>
      <c r="L1462" s="367"/>
      <c r="M1462" s="150"/>
      <c r="N1462" s="367"/>
      <c r="O1462" s="367"/>
      <c r="P1462" s="367"/>
      <c r="Q1462" s="367"/>
      <c r="R1462" s="367"/>
      <c r="S1462" s="367"/>
      <c r="T1462" s="367"/>
      <c r="U1462" s="367"/>
      <c r="V1462" s="367"/>
      <c r="W1462" s="367"/>
      <c r="X1462" s="367"/>
      <c r="Y1462" s="367"/>
      <c r="Z1462" s="367"/>
      <c r="AA1462" s="367"/>
      <c r="AB1462" s="150"/>
      <c r="AC1462" s="48"/>
      <c r="AD1462" s="150" t="s">
        <v>819</v>
      </c>
      <c r="AE1462" s="296"/>
      <c r="AF1462" s="296"/>
      <c r="AG1462" s="286"/>
      <c r="AH1462" s="49"/>
      <c r="AI1462" s="266"/>
      <c r="AJ1462" s="150"/>
      <c r="AK1462" s="150"/>
      <c r="AL1462" s="150"/>
      <c r="AM1462" s="150"/>
      <c r="AN1462" s="367"/>
      <c r="AO1462" s="367"/>
      <c r="AP1462" s="367"/>
      <c r="AQ1462" s="367"/>
      <c r="AR1462" s="367"/>
      <c r="AS1462" s="367"/>
      <c r="AT1462" s="367"/>
      <c r="AU1462" s="367"/>
      <c r="AV1462" s="367"/>
      <c r="AW1462" s="367"/>
      <c r="AX1462" s="367"/>
      <c r="AY1462" s="367"/>
      <c r="AZ1462" s="367"/>
      <c r="BA1462" s="367"/>
      <c r="BB1462" s="152"/>
      <c r="BC1462" s="152"/>
      <c r="BD1462" s="367"/>
      <c r="BE1462" s="367"/>
      <c r="BF1462" s="367"/>
      <c r="BG1462" s="367"/>
      <c r="BH1462" s="260"/>
      <c r="BL1462" s="54"/>
    </row>
    <row r="1463" spans="1:64" ht="37.950000000000003" customHeight="1" x14ac:dyDescent="0.3">
      <c r="A1463" s="367">
        <f t="shared" si="26"/>
        <v>1458</v>
      </c>
      <c r="B1463" s="54" t="s">
        <v>4039</v>
      </c>
      <c r="C1463" s="367" t="s">
        <v>5</v>
      </c>
      <c r="D1463" s="367"/>
      <c r="E1463" s="367"/>
      <c r="F1463" s="367"/>
      <c r="G1463" s="367"/>
      <c r="H1463" s="367"/>
      <c r="I1463" s="367"/>
      <c r="J1463" s="54"/>
      <c r="K1463" s="48" t="s">
        <v>4040</v>
      </c>
      <c r="L1463" s="367"/>
      <c r="M1463" s="150"/>
      <c r="N1463" s="367"/>
      <c r="O1463" s="367"/>
      <c r="P1463" s="367"/>
      <c r="Q1463" s="367"/>
      <c r="R1463" s="367"/>
      <c r="S1463" s="367"/>
      <c r="T1463" s="367"/>
      <c r="U1463" s="367"/>
      <c r="V1463" s="367"/>
      <c r="W1463" s="367"/>
      <c r="X1463" s="367"/>
      <c r="Y1463" s="367"/>
      <c r="Z1463" s="367"/>
      <c r="AA1463" s="367"/>
      <c r="AB1463" s="150"/>
      <c r="AC1463" s="48"/>
      <c r="AD1463" s="150" t="s">
        <v>814</v>
      </c>
      <c r="AE1463" s="296"/>
      <c r="AF1463" s="296"/>
      <c r="AG1463" s="286"/>
      <c r="AH1463" s="49"/>
      <c r="AI1463" s="266"/>
      <c r="AJ1463" s="150"/>
      <c r="AK1463" s="150"/>
      <c r="AL1463" s="150"/>
      <c r="AM1463" s="150"/>
      <c r="AN1463" s="367"/>
      <c r="AO1463" s="367"/>
      <c r="AP1463" s="367"/>
      <c r="AQ1463" s="367"/>
      <c r="AR1463" s="367"/>
      <c r="AS1463" s="367"/>
      <c r="AT1463" s="367"/>
      <c r="AU1463" s="367"/>
      <c r="AV1463" s="367"/>
      <c r="AW1463" s="367"/>
      <c r="AX1463" s="367"/>
      <c r="AY1463" s="367"/>
      <c r="AZ1463" s="367"/>
      <c r="BA1463" s="367"/>
      <c r="BB1463" s="152"/>
      <c r="BC1463" s="152"/>
      <c r="BD1463" s="367"/>
      <c r="BE1463" s="367"/>
      <c r="BF1463" s="367"/>
      <c r="BG1463" s="367"/>
      <c r="BH1463" s="260"/>
      <c r="BL1463" s="54"/>
    </row>
    <row r="1464" spans="1:64" ht="37.950000000000003" customHeight="1" x14ac:dyDescent="0.3">
      <c r="A1464" s="367">
        <f t="shared" si="26"/>
        <v>1459</v>
      </c>
      <c r="B1464" s="54" t="s">
        <v>4041</v>
      </c>
      <c r="C1464" s="367" t="s">
        <v>5</v>
      </c>
      <c r="D1464" s="367"/>
      <c r="E1464" s="367"/>
      <c r="F1464" s="367"/>
      <c r="G1464" s="367"/>
      <c r="H1464" s="367"/>
      <c r="I1464" s="367"/>
      <c r="J1464" s="54"/>
      <c r="K1464" s="48" t="s">
        <v>4040</v>
      </c>
      <c r="L1464" s="367"/>
      <c r="M1464" s="150"/>
      <c r="N1464" s="367"/>
      <c r="O1464" s="367"/>
      <c r="P1464" s="367"/>
      <c r="Q1464" s="367"/>
      <c r="R1464" s="367"/>
      <c r="S1464" s="367"/>
      <c r="T1464" s="367"/>
      <c r="U1464" s="367"/>
      <c r="V1464" s="367"/>
      <c r="W1464" s="367"/>
      <c r="X1464" s="367"/>
      <c r="Y1464" s="367"/>
      <c r="Z1464" s="367"/>
      <c r="AA1464" s="367"/>
      <c r="AB1464" s="150"/>
      <c r="AC1464" s="48"/>
      <c r="AD1464" s="150" t="s">
        <v>1464</v>
      </c>
      <c r="AE1464" s="296"/>
      <c r="AF1464" s="296"/>
      <c r="AG1464" s="286"/>
      <c r="AH1464" s="49"/>
      <c r="AI1464" s="266"/>
      <c r="AJ1464" s="150"/>
      <c r="AK1464" s="150"/>
      <c r="AL1464" s="150"/>
      <c r="AM1464" s="150"/>
      <c r="AN1464" s="367"/>
      <c r="AO1464" s="367"/>
      <c r="AP1464" s="367"/>
      <c r="AQ1464" s="367"/>
      <c r="AR1464" s="367"/>
      <c r="AS1464" s="367"/>
      <c r="AT1464" s="367"/>
      <c r="AU1464" s="367"/>
      <c r="AV1464" s="367"/>
      <c r="AW1464" s="367"/>
      <c r="AX1464" s="367"/>
      <c r="AY1464" s="367"/>
      <c r="AZ1464" s="367"/>
      <c r="BA1464" s="367"/>
      <c r="BB1464" s="152"/>
      <c r="BC1464" s="152"/>
      <c r="BD1464" s="367"/>
      <c r="BE1464" s="367"/>
      <c r="BF1464" s="367"/>
      <c r="BG1464" s="367"/>
      <c r="BH1464" s="260"/>
      <c r="BL1464" s="54"/>
    </row>
    <row r="1465" spans="1:64" ht="37.950000000000003" customHeight="1" x14ac:dyDescent="0.3">
      <c r="A1465" s="367">
        <f t="shared" si="26"/>
        <v>1460</v>
      </c>
      <c r="B1465" s="54" t="s">
        <v>4042</v>
      </c>
      <c r="C1465" s="367" t="s">
        <v>5</v>
      </c>
      <c r="D1465" s="367"/>
      <c r="E1465" s="367"/>
      <c r="F1465" s="367"/>
      <c r="G1465" s="367"/>
      <c r="H1465" s="367"/>
      <c r="I1465" s="367"/>
      <c r="J1465" s="54"/>
      <c r="K1465" s="48" t="s">
        <v>4040</v>
      </c>
      <c r="L1465" s="367"/>
      <c r="M1465" s="150"/>
      <c r="N1465" s="367"/>
      <c r="O1465" s="367"/>
      <c r="P1465" s="367"/>
      <c r="Q1465" s="367"/>
      <c r="R1465" s="367"/>
      <c r="S1465" s="367"/>
      <c r="T1465" s="367"/>
      <c r="U1465" s="367"/>
      <c r="V1465" s="367"/>
      <c r="W1465" s="367"/>
      <c r="X1465" s="367"/>
      <c r="Y1465" s="367"/>
      <c r="Z1465" s="367"/>
      <c r="AA1465" s="367"/>
      <c r="AB1465" s="150"/>
      <c r="AC1465" s="48"/>
      <c r="AD1465" s="150" t="s">
        <v>819</v>
      </c>
      <c r="AE1465" s="296"/>
      <c r="AF1465" s="296"/>
      <c r="AG1465" s="286"/>
      <c r="AH1465" s="49"/>
      <c r="AI1465" s="266"/>
      <c r="AJ1465" s="150"/>
      <c r="AK1465" s="150"/>
      <c r="AL1465" s="150"/>
      <c r="AM1465" s="150"/>
      <c r="AN1465" s="367"/>
      <c r="AO1465" s="367"/>
      <c r="AP1465" s="367"/>
      <c r="AQ1465" s="367"/>
      <c r="AR1465" s="367"/>
      <c r="AS1465" s="367"/>
      <c r="AT1465" s="367"/>
      <c r="AU1465" s="367"/>
      <c r="AV1465" s="367"/>
      <c r="AW1465" s="367"/>
      <c r="AX1465" s="367"/>
      <c r="AY1465" s="367"/>
      <c r="AZ1465" s="367"/>
      <c r="BA1465" s="367"/>
      <c r="BB1465" s="152"/>
      <c r="BC1465" s="152"/>
      <c r="BD1465" s="367"/>
      <c r="BE1465" s="367"/>
      <c r="BF1465" s="367"/>
      <c r="BG1465" s="367"/>
      <c r="BH1465" s="260"/>
      <c r="BL1465" s="54"/>
    </row>
    <row r="1466" spans="1:64" ht="37.950000000000003" customHeight="1" x14ac:dyDescent="0.3">
      <c r="A1466" s="367">
        <f t="shared" si="26"/>
        <v>1461</v>
      </c>
      <c r="B1466" s="54" t="s">
        <v>4043</v>
      </c>
      <c r="C1466" s="367" t="s">
        <v>6</v>
      </c>
      <c r="D1466" s="367" t="s">
        <v>262</v>
      </c>
      <c r="E1466" s="367"/>
      <c r="F1466" s="367"/>
      <c r="G1466" s="367"/>
      <c r="H1466" s="367"/>
      <c r="I1466" s="367" t="s">
        <v>3916</v>
      </c>
      <c r="J1466" s="54" t="s">
        <v>1524</v>
      </c>
      <c r="K1466" s="48" t="s">
        <v>3806</v>
      </c>
      <c r="L1466" s="367"/>
      <c r="M1466" s="150"/>
      <c r="N1466" s="367"/>
      <c r="O1466" s="367"/>
      <c r="P1466" s="367"/>
      <c r="Q1466" s="367"/>
      <c r="R1466" s="367"/>
      <c r="S1466" s="367"/>
      <c r="T1466" s="367"/>
      <c r="U1466" s="367"/>
      <c r="V1466" s="367"/>
      <c r="W1466" s="367"/>
      <c r="X1466" s="367"/>
      <c r="Y1466" s="367"/>
      <c r="Z1466" s="367"/>
      <c r="AA1466" s="367"/>
      <c r="AB1466" s="150"/>
      <c r="AC1466" s="48" t="s">
        <v>4044</v>
      </c>
      <c r="AD1466" s="150" t="s">
        <v>169</v>
      </c>
      <c r="AE1466" s="296">
        <v>46190</v>
      </c>
      <c r="AF1466" s="296"/>
      <c r="AG1466" s="286"/>
      <c r="AH1466" s="49"/>
      <c r="AI1466" s="266"/>
      <c r="AJ1466" s="150"/>
      <c r="AK1466" s="150"/>
      <c r="AL1466" s="150"/>
      <c r="AM1466" s="150"/>
      <c r="AN1466" s="367"/>
      <c r="AO1466" s="367"/>
      <c r="AP1466" s="367"/>
      <c r="AQ1466" s="367"/>
      <c r="AR1466" s="367"/>
      <c r="AS1466" s="367"/>
      <c r="AT1466" s="367"/>
      <c r="AU1466" s="367"/>
      <c r="AV1466" s="367"/>
      <c r="AW1466" s="367"/>
      <c r="AX1466" s="367"/>
      <c r="AY1466" s="367"/>
      <c r="AZ1466" s="367"/>
      <c r="BA1466" s="367"/>
      <c r="BB1466" s="152"/>
      <c r="BC1466" s="152"/>
      <c r="BD1466" s="367"/>
      <c r="BE1466" s="367"/>
      <c r="BF1466" s="367"/>
      <c r="BG1466" s="367"/>
      <c r="BH1466" s="260"/>
      <c r="BL1466" s="54"/>
    </row>
    <row r="1467" spans="1:64" ht="37.950000000000003" customHeight="1" x14ac:dyDescent="0.3">
      <c r="A1467" s="367">
        <f t="shared" si="26"/>
        <v>1462</v>
      </c>
      <c r="B1467" s="54" t="s">
        <v>4045</v>
      </c>
      <c r="C1467" s="367" t="s">
        <v>6</v>
      </c>
      <c r="D1467" s="367" t="s">
        <v>262</v>
      </c>
      <c r="E1467" s="367"/>
      <c r="F1467" s="367"/>
      <c r="G1467" s="367"/>
      <c r="H1467" s="367"/>
      <c r="I1467" s="367" t="s">
        <v>3916</v>
      </c>
      <c r="J1467" s="54" t="s">
        <v>1524</v>
      </c>
      <c r="K1467" s="48" t="s">
        <v>3806</v>
      </c>
      <c r="L1467" s="367"/>
      <c r="M1467" s="150"/>
      <c r="N1467" s="367"/>
      <c r="O1467" s="367"/>
      <c r="P1467" s="367"/>
      <c r="Q1467" s="367"/>
      <c r="R1467" s="367"/>
      <c r="S1467" s="367"/>
      <c r="T1467" s="367"/>
      <c r="U1467" s="367"/>
      <c r="V1467" s="367"/>
      <c r="W1467" s="367"/>
      <c r="X1467" s="367"/>
      <c r="Y1467" s="367"/>
      <c r="Z1467" s="367"/>
      <c r="AA1467" s="367"/>
      <c r="AB1467" s="150"/>
      <c r="AC1467" s="48" t="s">
        <v>4044</v>
      </c>
      <c r="AD1467" s="150" t="s">
        <v>169</v>
      </c>
      <c r="AE1467" s="296">
        <v>46190</v>
      </c>
      <c r="AF1467" s="296"/>
      <c r="AG1467" s="286"/>
      <c r="AH1467" s="49"/>
      <c r="AI1467" s="266"/>
      <c r="AJ1467" s="150"/>
      <c r="AK1467" s="150"/>
      <c r="AL1467" s="150"/>
      <c r="AM1467" s="150"/>
      <c r="AN1467" s="367"/>
      <c r="AO1467" s="367"/>
      <c r="AP1467" s="367"/>
      <c r="AQ1467" s="367"/>
      <c r="AR1467" s="367"/>
      <c r="AS1467" s="367"/>
      <c r="AT1467" s="367"/>
      <c r="AU1467" s="367"/>
      <c r="AV1467" s="367"/>
      <c r="AW1467" s="367"/>
      <c r="AX1467" s="367"/>
      <c r="AY1467" s="367"/>
      <c r="AZ1467" s="367"/>
      <c r="BA1467" s="367"/>
      <c r="BB1467" s="152"/>
      <c r="BC1467" s="152"/>
      <c r="BD1467" s="367"/>
      <c r="BE1467" s="367"/>
      <c r="BF1467" s="367"/>
      <c r="BG1467" s="367"/>
      <c r="BH1467" s="260"/>
      <c r="BL1467" s="54"/>
    </row>
    <row r="1468" spans="1:64" ht="37.950000000000003" customHeight="1" x14ac:dyDescent="0.3">
      <c r="A1468" s="367">
        <f t="shared" si="26"/>
        <v>1463</v>
      </c>
      <c r="B1468" s="54" t="s">
        <v>4046</v>
      </c>
      <c r="C1468" s="367" t="s">
        <v>6</v>
      </c>
      <c r="D1468" s="367" t="s">
        <v>262</v>
      </c>
      <c r="E1468" s="367"/>
      <c r="F1468" s="367"/>
      <c r="G1468" s="367"/>
      <c r="H1468" s="367"/>
      <c r="I1468" s="367" t="s">
        <v>3921</v>
      </c>
      <c r="J1468" s="54" t="s">
        <v>2789</v>
      </c>
      <c r="K1468" s="48" t="s">
        <v>3815</v>
      </c>
      <c r="L1468" s="367"/>
      <c r="M1468" s="150"/>
      <c r="N1468" s="367"/>
      <c r="O1468" s="367"/>
      <c r="P1468" s="367"/>
      <c r="Q1468" s="367"/>
      <c r="R1468" s="367"/>
      <c r="S1468" s="367"/>
      <c r="T1468" s="367"/>
      <c r="U1468" s="367"/>
      <c r="V1468" s="367"/>
      <c r="W1468" s="367"/>
      <c r="X1468" s="367"/>
      <c r="Y1468" s="367"/>
      <c r="Z1468" s="367"/>
      <c r="AA1468" s="367"/>
      <c r="AB1468" s="150"/>
      <c r="AC1468" s="48" t="s">
        <v>4047</v>
      </c>
      <c r="AD1468" s="150" t="s">
        <v>169</v>
      </c>
      <c r="AE1468" s="296">
        <v>46190</v>
      </c>
      <c r="AF1468" s="296"/>
      <c r="AG1468" s="286"/>
      <c r="AH1468" s="49"/>
      <c r="AI1468" s="266"/>
      <c r="AJ1468" s="150"/>
      <c r="AK1468" s="150"/>
      <c r="AL1468" s="150"/>
      <c r="AM1468" s="150"/>
      <c r="AN1468" s="367"/>
      <c r="AO1468" s="367"/>
      <c r="AP1468" s="367"/>
      <c r="AQ1468" s="367"/>
      <c r="AR1468" s="367"/>
      <c r="AS1468" s="367"/>
      <c r="AT1468" s="367"/>
      <c r="AU1468" s="367"/>
      <c r="AV1468" s="367"/>
      <c r="AW1468" s="367"/>
      <c r="AX1468" s="367"/>
      <c r="AY1468" s="367"/>
      <c r="AZ1468" s="367"/>
      <c r="BA1468" s="367"/>
      <c r="BB1468" s="152"/>
      <c r="BC1468" s="152"/>
      <c r="BD1468" s="367"/>
      <c r="BE1468" s="367"/>
      <c r="BF1468" s="367"/>
      <c r="BG1468" s="367"/>
      <c r="BH1468" s="260"/>
      <c r="BL1468" s="54"/>
    </row>
    <row r="1469" spans="1:64" ht="37.950000000000003" customHeight="1" x14ac:dyDescent="0.3">
      <c r="A1469" s="367">
        <f t="shared" si="26"/>
        <v>1464</v>
      </c>
      <c r="B1469" s="54"/>
      <c r="C1469" s="367"/>
      <c r="D1469" s="367"/>
      <c r="E1469" s="367"/>
      <c r="F1469" s="367"/>
      <c r="G1469" s="367"/>
      <c r="H1469" s="367"/>
      <c r="I1469" s="367"/>
      <c r="J1469" s="54"/>
      <c r="K1469" s="48"/>
      <c r="L1469" s="367"/>
      <c r="M1469" s="150"/>
      <c r="N1469" s="367"/>
      <c r="O1469" s="367"/>
      <c r="P1469" s="367"/>
      <c r="Q1469" s="367"/>
      <c r="R1469" s="367"/>
      <c r="S1469" s="367"/>
      <c r="T1469" s="367"/>
      <c r="U1469" s="367"/>
      <c r="V1469" s="367"/>
      <c r="W1469" s="367"/>
      <c r="X1469" s="367"/>
      <c r="Y1469" s="367"/>
      <c r="Z1469" s="367"/>
      <c r="AA1469" s="367"/>
      <c r="AB1469" s="150"/>
      <c r="AC1469" s="48"/>
      <c r="AD1469" s="150"/>
      <c r="AE1469" s="296"/>
      <c r="AF1469" s="296"/>
      <c r="AG1469" s="286"/>
      <c r="AH1469" s="49"/>
      <c r="AI1469" s="266"/>
      <c r="AJ1469" s="150"/>
      <c r="AK1469" s="150"/>
      <c r="AL1469" s="150"/>
      <c r="AM1469" s="150"/>
      <c r="AN1469" s="367"/>
      <c r="AO1469" s="367"/>
      <c r="AP1469" s="367"/>
      <c r="AQ1469" s="367"/>
      <c r="AR1469" s="367"/>
      <c r="AS1469" s="367"/>
      <c r="AT1469" s="367"/>
      <c r="AU1469" s="367"/>
      <c r="AV1469" s="367"/>
      <c r="AW1469" s="367"/>
      <c r="AX1469" s="367"/>
      <c r="AY1469" s="367"/>
      <c r="AZ1469" s="367"/>
      <c r="BA1469" s="367"/>
      <c r="BB1469" s="152"/>
      <c r="BC1469" s="152"/>
      <c r="BD1469" s="367"/>
      <c r="BE1469" s="367"/>
      <c r="BF1469" s="367"/>
      <c r="BG1469" s="367"/>
      <c r="BH1469" s="260"/>
      <c r="BL1469" s="54"/>
    </row>
    <row r="1470" spans="1:64" ht="37.950000000000003" customHeight="1" x14ac:dyDescent="0.3">
      <c r="A1470" s="367">
        <f t="shared" si="26"/>
        <v>1465</v>
      </c>
      <c r="B1470" s="54"/>
      <c r="C1470" s="367"/>
      <c r="D1470" s="367"/>
      <c r="E1470" s="367"/>
      <c r="F1470" s="367"/>
      <c r="G1470" s="367"/>
      <c r="H1470" s="367"/>
      <c r="I1470" s="367"/>
      <c r="J1470" s="54"/>
      <c r="K1470" s="48"/>
      <c r="L1470" s="367"/>
      <c r="M1470" s="150"/>
      <c r="N1470" s="367"/>
      <c r="O1470" s="367"/>
      <c r="P1470" s="367"/>
      <c r="Q1470" s="367"/>
      <c r="R1470" s="367"/>
      <c r="S1470" s="367"/>
      <c r="T1470" s="367"/>
      <c r="U1470" s="367"/>
      <c r="V1470" s="367"/>
      <c r="W1470" s="367"/>
      <c r="X1470" s="367"/>
      <c r="Y1470" s="367"/>
      <c r="Z1470" s="367"/>
      <c r="AA1470" s="367"/>
      <c r="AB1470" s="150"/>
      <c r="AC1470" s="48"/>
      <c r="AD1470" s="150"/>
      <c r="AE1470" s="296"/>
      <c r="AF1470" s="296"/>
      <c r="AG1470" s="286"/>
      <c r="AH1470" s="49"/>
      <c r="AI1470" s="266"/>
      <c r="AJ1470" s="150"/>
      <c r="AK1470" s="150"/>
      <c r="AL1470" s="150"/>
      <c r="AM1470" s="150"/>
      <c r="AN1470" s="367"/>
      <c r="AO1470" s="367"/>
      <c r="AP1470" s="367"/>
      <c r="AQ1470" s="367"/>
      <c r="AR1470" s="367"/>
      <c r="AS1470" s="367"/>
      <c r="AT1470" s="367"/>
      <c r="AU1470" s="367"/>
      <c r="AV1470" s="367"/>
      <c r="AW1470" s="367"/>
      <c r="AX1470" s="367"/>
      <c r="AY1470" s="367"/>
      <c r="AZ1470" s="367"/>
      <c r="BA1470" s="367"/>
      <c r="BB1470" s="152"/>
      <c r="BC1470" s="152"/>
      <c r="BD1470" s="367"/>
      <c r="BE1470" s="367"/>
      <c r="BF1470" s="367"/>
      <c r="BG1470" s="367"/>
      <c r="BH1470" s="260"/>
      <c r="BL1470" s="54"/>
    </row>
    <row r="1471" spans="1:64" ht="37.950000000000003" customHeight="1" x14ac:dyDescent="0.3">
      <c r="A1471" s="367">
        <f t="shared" si="26"/>
        <v>1466</v>
      </c>
      <c r="B1471" s="54"/>
      <c r="C1471" s="367"/>
      <c r="D1471" s="367"/>
      <c r="E1471" s="367"/>
      <c r="F1471" s="367"/>
      <c r="G1471" s="367"/>
      <c r="H1471" s="367"/>
      <c r="I1471" s="367"/>
      <c r="J1471" s="54"/>
      <c r="K1471" s="48"/>
      <c r="L1471" s="367"/>
      <c r="M1471" s="150"/>
      <c r="N1471" s="367"/>
      <c r="O1471" s="367"/>
      <c r="P1471" s="367"/>
      <c r="Q1471" s="367"/>
      <c r="R1471" s="367"/>
      <c r="S1471" s="367"/>
      <c r="T1471" s="367"/>
      <c r="U1471" s="367"/>
      <c r="V1471" s="367"/>
      <c r="W1471" s="367"/>
      <c r="X1471" s="367"/>
      <c r="Y1471" s="367"/>
      <c r="Z1471" s="367"/>
      <c r="AA1471" s="367"/>
      <c r="AB1471" s="150"/>
      <c r="AC1471" s="48"/>
      <c r="AD1471" s="150"/>
      <c r="AE1471" s="296"/>
      <c r="AF1471" s="296"/>
      <c r="AG1471" s="286"/>
      <c r="AH1471" s="49"/>
      <c r="AI1471" s="266"/>
      <c r="AJ1471" s="150"/>
      <c r="AK1471" s="150"/>
      <c r="AL1471" s="150"/>
      <c r="AM1471" s="150"/>
      <c r="AN1471" s="367"/>
      <c r="AO1471" s="367"/>
      <c r="AP1471" s="367"/>
      <c r="AQ1471" s="367"/>
      <c r="AR1471" s="367"/>
      <c r="AS1471" s="367"/>
      <c r="AT1471" s="367"/>
      <c r="AU1471" s="367"/>
      <c r="AV1471" s="367"/>
      <c r="AW1471" s="367"/>
      <c r="AX1471" s="367"/>
      <c r="AY1471" s="367"/>
      <c r="AZ1471" s="367"/>
      <c r="BA1471" s="367"/>
      <c r="BB1471" s="152"/>
      <c r="BC1471" s="152"/>
      <c r="BD1471" s="367"/>
      <c r="BE1471" s="367"/>
      <c r="BF1471" s="367"/>
      <c r="BG1471" s="367"/>
      <c r="BH1471" s="260"/>
      <c r="BL1471" s="54"/>
    </row>
    <row r="1472" spans="1:64" ht="37.950000000000003" customHeight="1" x14ac:dyDescent="0.3">
      <c r="A1472" s="367">
        <f t="shared" si="26"/>
        <v>1467</v>
      </c>
      <c r="B1472" s="54"/>
      <c r="C1472" s="367"/>
      <c r="D1472" s="367"/>
      <c r="E1472" s="367"/>
      <c r="F1472" s="367"/>
      <c r="G1472" s="367"/>
      <c r="H1472" s="367"/>
      <c r="I1472" s="367"/>
      <c r="J1472" s="54"/>
      <c r="K1472" s="48"/>
      <c r="L1472" s="367"/>
      <c r="M1472" s="150"/>
      <c r="N1472" s="367"/>
      <c r="O1472" s="367"/>
      <c r="P1472" s="367"/>
      <c r="Q1472" s="367"/>
      <c r="R1472" s="367"/>
      <c r="S1472" s="367"/>
      <c r="T1472" s="367"/>
      <c r="U1472" s="367"/>
      <c r="V1472" s="367"/>
      <c r="W1472" s="367"/>
      <c r="X1472" s="367"/>
      <c r="Y1472" s="367"/>
      <c r="Z1472" s="367"/>
      <c r="AA1472" s="367"/>
      <c r="AB1472" s="150"/>
      <c r="AC1472" s="48"/>
      <c r="AD1472" s="150"/>
      <c r="AE1472" s="296"/>
      <c r="AF1472" s="296"/>
      <c r="AG1472" s="286"/>
      <c r="AH1472" s="49"/>
      <c r="AI1472" s="266"/>
      <c r="AJ1472" s="150"/>
      <c r="AK1472" s="150"/>
      <c r="AL1472" s="150"/>
      <c r="AM1472" s="150"/>
      <c r="AN1472" s="367"/>
      <c r="AO1472" s="367"/>
      <c r="AP1472" s="367"/>
      <c r="AQ1472" s="367"/>
      <c r="AR1472" s="367"/>
      <c r="AS1472" s="367"/>
      <c r="AT1472" s="367"/>
      <c r="AU1472" s="367"/>
      <c r="AV1472" s="367"/>
      <c r="AW1472" s="367"/>
      <c r="AX1472" s="367"/>
      <c r="AY1472" s="367"/>
      <c r="AZ1472" s="367"/>
      <c r="BA1472" s="367"/>
      <c r="BB1472" s="152"/>
      <c r="BC1472" s="152"/>
      <c r="BD1472" s="367"/>
      <c r="BE1472" s="367"/>
      <c r="BF1472" s="367"/>
      <c r="BG1472" s="367"/>
      <c r="BH1472" s="260"/>
      <c r="BL1472" s="54"/>
    </row>
    <row r="1473" spans="1:64" ht="37.950000000000003" customHeight="1" x14ac:dyDescent="0.3">
      <c r="A1473" s="367">
        <f t="shared" si="26"/>
        <v>1468</v>
      </c>
      <c r="B1473" s="54"/>
      <c r="C1473" s="367"/>
      <c r="D1473" s="367"/>
      <c r="E1473" s="367"/>
      <c r="F1473" s="367"/>
      <c r="G1473" s="367"/>
      <c r="H1473" s="367"/>
      <c r="I1473" s="367"/>
      <c r="J1473" s="54"/>
      <c r="K1473" s="48"/>
      <c r="L1473" s="367"/>
      <c r="M1473" s="150"/>
      <c r="N1473" s="367"/>
      <c r="O1473" s="367"/>
      <c r="P1473" s="367"/>
      <c r="Q1473" s="367"/>
      <c r="R1473" s="367"/>
      <c r="S1473" s="367"/>
      <c r="T1473" s="367"/>
      <c r="U1473" s="367"/>
      <c r="V1473" s="367"/>
      <c r="W1473" s="367"/>
      <c r="X1473" s="367"/>
      <c r="Y1473" s="367"/>
      <c r="Z1473" s="367"/>
      <c r="AA1473" s="367"/>
      <c r="AB1473" s="150"/>
      <c r="AC1473" s="48"/>
      <c r="AD1473" s="150"/>
      <c r="AE1473" s="296"/>
      <c r="AF1473" s="296"/>
      <c r="AG1473" s="286"/>
      <c r="AH1473" s="49"/>
      <c r="AI1473" s="266"/>
      <c r="AJ1473" s="150"/>
      <c r="AK1473" s="150"/>
      <c r="AL1473" s="150"/>
      <c r="AM1473" s="150"/>
      <c r="AN1473" s="367"/>
      <c r="AO1473" s="367"/>
      <c r="AP1473" s="367"/>
      <c r="AQ1473" s="367"/>
      <c r="AR1473" s="367"/>
      <c r="AS1473" s="367"/>
      <c r="AT1473" s="367"/>
      <c r="AU1473" s="367"/>
      <c r="AV1473" s="367"/>
      <c r="AW1473" s="367"/>
      <c r="AX1473" s="367"/>
      <c r="AY1473" s="367"/>
      <c r="AZ1473" s="367"/>
      <c r="BA1473" s="367"/>
      <c r="BB1473" s="152"/>
      <c r="BC1473" s="152"/>
      <c r="BD1473" s="367"/>
      <c r="BE1473" s="367"/>
      <c r="BF1473" s="367"/>
      <c r="BG1473" s="367"/>
      <c r="BH1473" s="260"/>
      <c r="BL1473" s="54"/>
    </row>
    <row r="1474" spans="1:64" ht="37.950000000000003" customHeight="1" x14ac:dyDescent="0.3">
      <c r="A1474" s="367">
        <f t="shared" si="26"/>
        <v>1469</v>
      </c>
      <c r="B1474" s="54"/>
      <c r="C1474" s="367"/>
      <c r="D1474" s="367"/>
      <c r="E1474" s="367"/>
      <c r="F1474" s="367"/>
      <c r="G1474" s="367"/>
      <c r="H1474" s="367"/>
      <c r="I1474" s="367"/>
      <c r="J1474" s="54"/>
      <c r="K1474" s="48"/>
      <c r="L1474" s="367"/>
      <c r="M1474" s="150"/>
      <c r="N1474" s="367"/>
      <c r="O1474" s="367"/>
      <c r="P1474" s="367"/>
      <c r="Q1474" s="367"/>
      <c r="R1474" s="367"/>
      <c r="S1474" s="367"/>
      <c r="T1474" s="367"/>
      <c r="U1474" s="367"/>
      <c r="V1474" s="367"/>
      <c r="W1474" s="367"/>
      <c r="X1474" s="367"/>
      <c r="Y1474" s="367"/>
      <c r="Z1474" s="367"/>
      <c r="AA1474" s="367"/>
      <c r="AB1474" s="150"/>
      <c r="AC1474" s="48"/>
      <c r="AD1474" s="150"/>
      <c r="AE1474" s="296"/>
      <c r="AF1474" s="296"/>
      <c r="AG1474" s="286"/>
      <c r="AH1474" s="49"/>
      <c r="AI1474" s="266"/>
      <c r="AJ1474" s="150"/>
      <c r="AK1474" s="150"/>
      <c r="AL1474" s="150"/>
      <c r="AM1474" s="150"/>
      <c r="AN1474" s="367"/>
      <c r="AO1474" s="367"/>
      <c r="AP1474" s="367"/>
      <c r="AQ1474" s="367"/>
      <c r="AR1474" s="367"/>
      <c r="AS1474" s="367"/>
      <c r="AT1474" s="367"/>
      <c r="AU1474" s="367"/>
      <c r="AV1474" s="367"/>
      <c r="AW1474" s="367"/>
      <c r="AX1474" s="367"/>
      <c r="AY1474" s="367"/>
      <c r="AZ1474" s="367"/>
      <c r="BA1474" s="367"/>
      <c r="BB1474" s="152"/>
      <c r="BC1474" s="152"/>
      <c r="BD1474" s="367"/>
      <c r="BE1474" s="367"/>
      <c r="BF1474" s="367"/>
      <c r="BG1474" s="367"/>
      <c r="BH1474" s="260"/>
      <c r="BL1474" s="54"/>
    </row>
    <row r="1475" spans="1:64" ht="37.950000000000003" customHeight="1" x14ac:dyDescent="0.3">
      <c r="A1475" s="367">
        <f t="shared" si="26"/>
        <v>1470</v>
      </c>
      <c r="B1475" s="54"/>
      <c r="C1475" s="367"/>
      <c r="D1475" s="367"/>
      <c r="E1475" s="367"/>
      <c r="F1475" s="367"/>
      <c r="G1475" s="367"/>
      <c r="H1475" s="367"/>
      <c r="I1475" s="367"/>
      <c r="J1475" s="54"/>
      <c r="K1475" s="48"/>
      <c r="L1475" s="367"/>
      <c r="M1475" s="150"/>
      <c r="N1475" s="367"/>
      <c r="O1475" s="367"/>
      <c r="P1475" s="367"/>
      <c r="Q1475" s="367"/>
      <c r="R1475" s="367"/>
      <c r="S1475" s="367"/>
      <c r="T1475" s="367"/>
      <c r="U1475" s="367"/>
      <c r="V1475" s="367"/>
      <c r="W1475" s="367"/>
      <c r="X1475" s="367"/>
      <c r="Y1475" s="367"/>
      <c r="Z1475" s="367"/>
      <c r="AA1475" s="367"/>
      <c r="AB1475" s="150"/>
      <c r="AC1475" s="48"/>
      <c r="AD1475" s="150"/>
      <c r="AE1475" s="296"/>
      <c r="AF1475" s="296"/>
      <c r="AG1475" s="286"/>
      <c r="AH1475" s="49"/>
      <c r="AI1475" s="266"/>
      <c r="AJ1475" s="150"/>
      <c r="AK1475" s="150"/>
      <c r="AL1475" s="150"/>
      <c r="AM1475" s="150"/>
      <c r="AN1475" s="367"/>
      <c r="AO1475" s="367"/>
      <c r="AP1475" s="367"/>
      <c r="AQ1475" s="367"/>
      <c r="AR1475" s="367"/>
      <c r="AS1475" s="367"/>
      <c r="AT1475" s="367"/>
      <c r="AU1475" s="367"/>
      <c r="AV1475" s="367"/>
      <c r="AW1475" s="367"/>
      <c r="AX1475" s="367"/>
      <c r="AY1475" s="367"/>
      <c r="AZ1475" s="367"/>
      <c r="BA1475" s="367"/>
      <c r="BB1475" s="152"/>
      <c r="BC1475" s="152"/>
      <c r="BD1475" s="367"/>
      <c r="BE1475" s="367"/>
      <c r="BF1475" s="367"/>
      <c r="BG1475" s="367"/>
      <c r="BH1475" s="260"/>
      <c r="BL1475" s="54"/>
    </row>
    <row r="1476" spans="1:64" ht="37.950000000000003" customHeight="1" x14ac:dyDescent="0.3">
      <c r="A1476" s="367">
        <f t="shared" si="26"/>
        <v>1471</v>
      </c>
      <c r="B1476" s="54"/>
      <c r="C1476" s="367"/>
      <c r="D1476" s="367"/>
      <c r="E1476" s="367"/>
      <c r="F1476" s="367"/>
      <c r="G1476" s="367"/>
      <c r="H1476" s="367"/>
      <c r="I1476" s="367"/>
      <c r="J1476" s="54"/>
      <c r="K1476" s="48"/>
      <c r="L1476" s="367"/>
      <c r="M1476" s="150"/>
      <c r="N1476" s="367"/>
      <c r="O1476" s="367"/>
      <c r="P1476" s="367"/>
      <c r="Q1476" s="367"/>
      <c r="R1476" s="367"/>
      <c r="S1476" s="367"/>
      <c r="T1476" s="367"/>
      <c r="U1476" s="367"/>
      <c r="V1476" s="367"/>
      <c r="W1476" s="367"/>
      <c r="X1476" s="367"/>
      <c r="Y1476" s="367"/>
      <c r="Z1476" s="367"/>
      <c r="AA1476" s="367"/>
      <c r="AB1476" s="150"/>
      <c r="AC1476" s="48"/>
      <c r="AD1476" s="150"/>
      <c r="AE1476" s="296"/>
      <c r="AF1476" s="296"/>
      <c r="AG1476" s="286"/>
      <c r="AH1476" s="49"/>
      <c r="AI1476" s="266"/>
      <c r="AJ1476" s="150"/>
      <c r="AK1476" s="150"/>
      <c r="AL1476" s="150"/>
      <c r="AM1476" s="150"/>
      <c r="AN1476" s="367"/>
      <c r="AO1476" s="367"/>
      <c r="AP1476" s="367"/>
      <c r="AQ1476" s="367"/>
      <c r="AR1476" s="367"/>
      <c r="AS1476" s="367"/>
      <c r="AT1476" s="367"/>
      <c r="AU1476" s="367"/>
      <c r="AV1476" s="367"/>
      <c r="AW1476" s="367"/>
      <c r="AX1476" s="367"/>
      <c r="AY1476" s="367"/>
      <c r="AZ1476" s="367"/>
      <c r="BA1476" s="367"/>
      <c r="BB1476" s="152"/>
      <c r="BC1476" s="152"/>
      <c r="BD1476" s="367"/>
      <c r="BE1476" s="367"/>
      <c r="BF1476" s="367"/>
      <c r="BG1476" s="367"/>
      <c r="BH1476" s="260"/>
      <c r="BL1476" s="54"/>
    </row>
    <row r="1477" spans="1:64" ht="37.950000000000003" customHeight="1" x14ac:dyDescent="0.3">
      <c r="A1477" s="367">
        <f t="shared" si="26"/>
        <v>1472</v>
      </c>
      <c r="B1477" s="54"/>
      <c r="C1477" s="367"/>
      <c r="D1477" s="367"/>
      <c r="E1477" s="367"/>
      <c r="F1477" s="367"/>
      <c r="G1477" s="367"/>
      <c r="H1477" s="367"/>
      <c r="I1477" s="367"/>
      <c r="J1477" s="54"/>
      <c r="K1477" s="48"/>
      <c r="L1477" s="367"/>
      <c r="M1477" s="150"/>
      <c r="N1477" s="367"/>
      <c r="O1477" s="367"/>
      <c r="P1477" s="367"/>
      <c r="Q1477" s="367"/>
      <c r="R1477" s="367"/>
      <c r="S1477" s="367"/>
      <c r="T1477" s="367"/>
      <c r="U1477" s="367"/>
      <c r="V1477" s="367"/>
      <c r="W1477" s="367"/>
      <c r="X1477" s="367"/>
      <c r="Y1477" s="367"/>
      <c r="Z1477" s="367"/>
      <c r="AA1477" s="367"/>
      <c r="AB1477" s="150"/>
      <c r="AC1477" s="48"/>
      <c r="AD1477" s="150"/>
      <c r="AE1477" s="296"/>
      <c r="AF1477" s="296"/>
      <c r="AG1477" s="286"/>
      <c r="AH1477" s="49"/>
      <c r="AI1477" s="266"/>
      <c r="AJ1477" s="150"/>
      <c r="AK1477" s="150"/>
      <c r="AL1477" s="150"/>
      <c r="AM1477" s="150"/>
      <c r="AN1477" s="367"/>
      <c r="AO1477" s="367"/>
      <c r="AP1477" s="367"/>
      <c r="AQ1477" s="367"/>
      <c r="AR1477" s="367"/>
      <c r="AS1477" s="367"/>
      <c r="AT1477" s="367"/>
      <c r="AU1477" s="367"/>
      <c r="AV1477" s="367"/>
      <c r="AW1477" s="367"/>
      <c r="AX1477" s="367"/>
      <c r="AY1477" s="367"/>
      <c r="AZ1477" s="367"/>
      <c r="BA1477" s="367"/>
      <c r="BB1477" s="152"/>
      <c r="BC1477" s="152"/>
      <c r="BD1477" s="367"/>
      <c r="BE1477" s="367"/>
      <c r="BF1477" s="367"/>
      <c r="BG1477" s="367"/>
      <c r="BH1477" s="260"/>
      <c r="BL1477" s="54"/>
    </row>
    <row r="1478" spans="1:64" ht="37.950000000000003" customHeight="1" x14ac:dyDescent="0.3">
      <c r="A1478" s="367">
        <f t="shared" si="26"/>
        <v>1473</v>
      </c>
      <c r="B1478" s="54"/>
      <c r="C1478" s="367"/>
      <c r="D1478" s="367"/>
      <c r="E1478" s="367"/>
      <c r="F1478" s="367"/>
      <c r="G1478" s="367"/>
      <c r="H1478" s="367"/>
      <c r="I1478" s="367"/>
      <c r="J1478" s="54"/>
      <c r="K1478" s="48"/>
      <c r="L1478" s="367"/>
      <c r="M1478" s="150"/>
      <c r="N1478" s="367"/>
      <c r="O1478" s="367"/>
      <c r="P1478" s="367"/>
      <c r="Q1478" s="367"/>
      <c r="R1478" s="367"/>
      <c r="S1478" s="367"/>
      <c r="T1478" s="367"/>
      <c r="U1478" s="367"/>
      <c r="V1478" s="367"/>
      <c r="W1478" s="367"/>
      <c r="X1478" s="367"/>
      <c r="Y1478" s="367"/>
      <c r="Z1478" s="367"/>
      <c r="AA1478" s="367"/>
      <c r="AB1478" s="150"/>
      <c r="AC1478" s="48"/>
      <c r="AD1478" s="150"/>
      <c r="AE1478" s="296"/>
      <c r="AF1478" s="296"/>
      <c r="AG1478" s="286"/>
      <c r="AH1478" s="49"/>
      <c r="AI1478" s="266"/>
      <c r="AJ1478" s="150"/>
      <c r="AK1478" s="150"/>
      <c r="AL1478" s="150"/>
      <c r="AM1478" s="150"/>
      <c r="AN1478" s="367"/>
      <c r="AO1478" s="367"/>
      <c r="AP1478" s="367"/>
      <c r="AQ1478" s="367"/>
      <c r="AR1478" s="367"/>
      <c r="AS1478" s="367"/>
      <c r="AT1478" s="367"/>
      <c r="AU1478" s="367"/>
      <c r="AV1478" s="367"/>
      <c r="AW1478" s="367"/>
      <c r="AX1478" s="367"/>
      <c r="AY1478" s="367"/>
      <c r="AZ1478" s="367"/>
      <c r="BA1478" s="367"/>
      <c r="BB1478" s="152"/>
      <c r="BC1478" s="152"/>
      <c r="BD1478" s="367"/>
      <c r="BE1478" s="367"/>
      <c r="BF1478" s="367"/>
      <c r="BG1478" s="367"/>
      <c r="BH1478" s="260"/>
      <c r="BL1478" s="54"/>
    </row>
    <row r="1479" spans="1:64" ht="37.950000000000003" customHeight="1" x14ac:dyDescent="0.3">
      <c r="A1479" s="367">
        <f t="shared" si="26"/>
        <v>1474</v>
      </c>
      <c r="B1479" s="54"/>
      <c r="C1479" s="367"/>
      <c r="D1479" s="367"/>
      <c r="E1479" s="367"/>
      <c r="F1479" s="367"/>
      <c r="G1479" s="367"/>
      <c r="H1479" s="367"/>
      <c r="I1479" s="367"/>
      <c r="J1479" s="54"/>
      <c r="K1479" s="48"/>
      <c r="L1479" s="367"/>
      <c r="M1479" s="150"/>
      <c r="N1479" s="367"/>
      <c r="O1479" s="367"/>
      <c r="P1479" s="367"/>
      <c r="Q1479" s="367"/>
      <c r="R1479" s="367"/>
      <c r="S1479" s="367"/>
      <c r="T1479" s="367"/>
      <c r="U1479" s="367"/>
      <c r="V1479" s="367"/>
      <c r="W1479" s="367"/>
      <c r="X1479" s="367"/>
      <c r="Y1479" s="367"/>
      <c r="Z1479" s="367"/>
      <c r="AA1479" s="367"/>
      <c r="AB1479" s="150"/>
      <c r="AC1479" s="48"/>
      <c r="AD1479" s="150"/>
      <c r="AE1479" s="296"/>
      <c r="AF1479" s="296"/>
      <c r="AG1479" s="286"/>
      <c r="AH1479" s="49"/>
      <c r="AI1479" s="266"/>
      <c r="AJ1479" s="150"/>
      <c r="AK1479" s="150"/>
      <c r="AL1479" s="150"/>
      <c r="AM1479" s="150"/>
      <c r="AN1479" s="367"/>
      <c r="AO1479" s="367"/>
      <c r="AP1479" s="367"/>
      <c r="AQ1479" s="367"/>
      <c r="AR1479" s="367"/>
      <c r="AS1479" s="367"/>
      <c r="AT1479" s="367"/>
      <c r="AU1479" s="367"/>
      <c r="AV1479" s="367"/>
      <c r="AW1479" s="367"/>
      <c r="AX1479" s="367"/>
      <c r="AY1479" s="367"/>
      <c r="AZ1479" s="367"/>
      <c r="BA1479" s="367"/>
      <c r="BB1479" s="152"/>
      <c r="BC1479" s="152"/>
      <c r="BD1479" s="367"/>
      <c r="BE1479" s="367"/>
      <c r="BF1479" s="367"/>
      <c r="BG1479" s="367"/>
      <c r="BH1479" s="260"/>
      <c r="BL1479" s="54"/>
    </row>
    <row r="1480" spans="1:64" ht="37.950000000000003" customHeight="1" x14ac:dyDescent="0.3">
      <c r="A1480" s="367">
        <f t="shared" si="26"/>
        <v>1475</v>
      </c>
      <c r="B1480" s="54"/>
      <c r="C1480" s="367"/>
      <c r="D1480" s="367"/>
      <c r="E1480" s="367"/>
      <c r="F1480" s="367"/>
      <c r="G1480" s="367"/>
      <c r="H1480" s="367"/>
      <c r="I1480" s="367"/>
      <c r="J1480" s="54"/>
      <c r="K1480" s="48"/>
      <c r="L1480" s="367"/>
      <c r="M1480" s="150"/>
      <c r="N1480" s="367"/>
      <c r="O1480" s="367"/>
      <c r="P1480" s="367"/>
      <c r="Q1480" s="367"/>
      <c r="R1480" s="367"/>
      <c r="S1480" s="367"/>
      <c r="T1480" s="367"/>
      <c r="U1480" s="367"/>
      <c r="V1480" s="367"/>
      <c r="W1480" s="367"/>
      <c r="X1480" s="367"/>
      <c r="Y1480" s="367"/>
      <c r="Z1480" s="367"/>
      <c r="AA1480" s="367"/>
      <c r="AB1480" s="150"/>
      <c r="AC1480" s="48"/>
      <c r="AD1480" s="150"/>
      <c r="AE1480" s="296"/>
      <c r="AF1480" s="296"/>
      <c r="AG1480" s="286"/>
      <c r="AH1480" s="49"/>
      <c r="AI1480" s="266"/>
      <c r="AJ1480" s="150"/>
      <c r="AK1480" s="150"/>
      <c r="AL1480" s="150"/>
      <c r="AM1480" s="150"/>
      <c r="AN1480" s="367"/>
      <c r="AO1480" s="367"/>
      <c r="AP1480" s="367"/>
      <c r="AQ1480" s="367"/>
      <c r="AR1480" s="367"/>
      <c r="AS1480" s="367"/>
      <c r="AT1480" s="367"/>
      <c r="AU1480" s="367"/>
      <c r="AV1480" s="367"/>
      <c r="AW1480" s="367"/>
      <c r="AX1480" s="367"/>
      <c r="AY1480" s="367"/>
      <c r="AZ1480" s="367"/>
      <c r="BA1480" s="367"/>
      <c r="BB1480" s="152"/>
      <c r="BC1480" s="152"/>
      <c r="BD1480" s="367"/>
      <c r="BE1480" s="367"/>
      <c r="BF1480" s="367"/>
      <c r="BG1480" s="367"/>
      <c r="BH1480" s="260"/>
      <c r="BL1480" s="54"/>
    </row>
    <row r="1481" spans="1:64" ht="37.950000000000003" customHeight="1" x14ac:dyDescent="0.3">
      <c r="A1481" s="367">
        <f t="shared" si="26"/>
        <v>1476</v>
      </c>
      <c r="B1481" s="54"/>
      <c r="C1481" s="367"/>
      <c r="D1481" s="367"/>
      <c r="E1481" s="367"/>
      <c r="F1481" s="367"/>
      <c r="G1481" s="367"/>
      <c r="H1481" s="367"/>
      <c r="I1481" s="367"/>
      <c r="J1481" s="54"/>
      <c r="K1481" s="48"/>
      <c r="L1481" s="367"/>
      <c r="M1481" s="150"/>
      <c r="N1481" s="367"/>
      <c r="O1481" s="367"/>
      <c r="P1481" s="367"/>
      <c r="Q1481" s="367"/>
      <c r="R1481" s="367"/>
      <c r="S1481" s="367"/>
      <c r="T1481" s="367"/>
      <c r="U1481" s="367"/>
      <c r="V1481" s="367"/>
      <c r="W1481" s="367"/>
      <c r="X1481" s="367"/>
      <c r="Y1481" s="367"/>
      <c r="Z1481" s="367"/>
      <c r="AA1481" s="367"/>
      <c r="AB1481" s="150"/>
      <c r="AC1481" s="48"/>
      <c r="AD1481" s="150"/>
      <c r="AE1481" s="296"/>
      <c r="AF1481" s="296"/>
      <c r="AG1481" s="286"/>
      <c r="AH1481" s="49"/>
      <c r="AI1481" s="266"/>
      <c r="AJ1481" s="150"/>
      <c r="AK1481" s="150"/>
      <c r="AL1481" s="150"/>
      <c r="AM1481" s="150"/>
      <c r="AN1481" s="367"/>
      <c r="AO1481" s="367"/>
      <c r="AP1481" s="367"/>
      <c r="AQ1481" s="367"/>
      <c r="AR1481" s="367"/>
      <c r="AS1481" s="367"/>
      <c r="AT1481" s="367"/>
      <c r="AU1481" s="367"/>
      <c r="AV1481" s="367"/>
      <c r="AW1481" s="367"/>
      <c r="AX1481" s="367"/>
      <c r="AY1481" s="367"/>
      <c r="AZ1481" s="367"/>
      <c r="BA1481" s="367"/>
      <c r="BB1481" s="152"/>
      <c r="BC1481" s="152"/>
      <c r="BD1481" s="367"/>
      <c r="BE1481" s="367"/>
      <c r="BF1481" s="367"/>
      <c r="BG1481" s="367"/>
      <c r="BH1481" s="260"/>
      <c r="BL1481" s="54"/>
    </row>
    <row r="1482" spans="1:64" ht="37.950000000000003" customHeight="1" x14ac:dyDescent="0.3">
      <c r="A1482" s="367">
        <f t="shared" si="26"/>
        <v>1477</v>
      </c>
      <c r="B1482" s="54"/>
      <c r="C1482" s="367"/>
      <c r="D1482" s="367"/>
      <c r="E1482" s="367"/>
      <c r="F1482" s="367"/>
      <c r="G1482" s="367"/>
      <c r="H1482" s="367"/>
      <c r="I1482" s="367"/>
      <c r="J1482" s="54"/>
      <c r="K1482" s="48"/>
      <c r="L1482" s="367"/>
      <c r="M1482" s="150"/>
      <c r="N1482" s="367"/>
      <c r="O1482" s="367"/>
      <c r="P1482" s="367"/>
      <c r="Q1482" s="367"/>
      <c r="R1482" s="367"/>
      <c r="S1482" s="367"/>
      <c r="T1482" s="367"/>
      <c r="U1482" s="367"/>
      <c r="V1482" s="367"/>
      <c r="W1482" s="367"/>
      <c r="X1482" s="367"/>
      <c r="Y1482" s="367"/>
      <c r="Z1482" s="367"/>
      <c r="AA1482" s="367"/>
      <c r="AB1482" s="150"/>
      <c r="AC1482" s="48"/>
      <c r="AD1482" s="150"/>
      <c r="AE1482" s="296"/>
      <c r="AF1482" s="296"/>
      <c r="AG1482" s="286"/>
      <c r="AH1482" s="49"/>
      <c r="AI1482" s="266"/>
      <c r="AJ1482" s="150"/>
      <c r="AK1482" s="150"/>
      <c r="AL1482" s="150"/>
      <c r="AM1482" s="150"/>
      <c r="AN1482" s="367"/>
      <c r="AO1482" s="367"/>
      <c r="AP1482" s="367"/>
      <c r="AQ1482" s="367"/>
      <c r="AR1482" s="367"/>
      <c r="AS1482" s="367"/>
      <c r="AT1482" s="367"/>
      <c r="AU1482" s="367"/>
      <c r="AV1482" s="367"/>
      <c r="AW1482" s="367"/>
      <c r="AX1482" s="367"/>
      <c r="AY1482" s="367"/>
      <c r="AZ1482" s="367"/>
      <c r="BA1482" s="367"/>
      <c r="BB1482" s="152"/>
      <c r="BC1482" s="152"/>
      <c r="BD1482" s="367"/>
      <c r="BE1482" s="367"/>
      <c r="BF1482" s="367"/>
      <c r="BG1482" s="367"/>
      <c r="BH1482" s="260"/>
      <c r="BL1482" s="54"/>
    </row>
    <row r="1483" spans="1:64" ht="37.950000000000003" customHeight="1" x14ac:dyDescent="0.3">
      <c r="A1483" s="367">
        <f t="shared" si="26"/>
        <v>1478</v>
      </c>
      <c r="B1483" s="54"/>
      <c r="C1483" s="367"/>
      <c r="D1483" s="367"/>
      <c r="E1483" s="367"/>
      <c r="F1483" s="367"/>
      <c r="G1483" s="367"/>
      <c r="H1483" s="367"/>
      <c r="I1483" s="367"/>
      <c r="J1483" s="54"/>
      <c r="K1483" s="48"/>
      <c r="L1483" s="367"/>
      <c r="M1483" s="150"/>
      <c r="N1483" s="367"/>
      <c r="O1483" s="367"/>
      <c r="P1483" s="367"/>
      <c r="Q1483" s="367"/>
      <c r="R1483" s="367"/>
      <c r="S1483" s="367"/>
      <c r="T1483" s="367"/>
      <c r="U1483" s="367"/>
      <c r="V1483" s="367"/>
      <c r="W1483" s="367"/>
      <c r="X1483" s="367"/>
      <c r="Y1483" s="367"/>
      <c r="Z1483" s="367"/>
      <c r="AA1483" s="367"/>
      <c r="AB1483" s="150"/>
      <c r="AC1483" s="48"/>
      <c r="AD1483" s="150"/>
      <c r="AE1483" s="296"/>
      <c r="AF1483" s="296"/>
      <c r="AG1483" s="286"/>
      <c r="AH1483" s="49"/>
      <c r="AI1483" s="266"/>
      <c r="AJ1483" s="150"/>
      <c r="AK1483" s="150"/>
      <c r="AL1483" s="150"/>
      <c r="AM1483" s="150"/>
      <c r="AN1483" s="367"/>
      <c r="AO1483" s="367"/>
      <c r="AP1483" s="367"/>
      <c r="AQ1483" s="367"/>
      <c r="AR1483" s="367"/>
      <c r="AS1483" s="367"/>
      <c r="AT1483" s="367"/>
      <c r="AU1483" s="367"/>
      <c r="AV1483" s="367"/>
      <c r="AW1483" s="367"/>
      <c r="AX1483" s="367"/>
      <c r="AY1483" s="367"/>
      <c r="AZ1483" s="367"/>
      <c r="BA1483" s="367"/>
      <c r="BB1483" s="152"/>
      <c r="BC1483" s="152"/>
      <c r="BD1483" s="367"/>
      <c r="BE1483" s="367"/>
      <c r="BF1483" s="367"/>
      <c r="BG1483" s="367"/>
      <c r="BH1483" s="260"/>
      <c r="BL1483" s="54"/>
    </row>
    <row r="1484" spans="1:64" ht="37.950000000000003" customHeight="1" x14ac:dyDescent="0.3">
      <c r="A1484" s="367">
        <f t="shared" si="26"/>
        <v>1479</v>
      </c>
      <c r="B1484" s="54"/>
      <c r="C1484" s="367"/>
      <c r="D1484" s="367"/>
      <c r="E1484" s="367"/>
      <c r="F1484" s="367"/>
      <c r="G1484" s="367"/>
      <c r="H1484" s="367"/>
      <c r="I1484" s="367"/>
      <c r="J1484" s="54"/>
      <c r="K1484" s="48"/>
      <c r="L1484" s="367"/>
      <c r="M1484" s="150"/>
      <c r="N1484" s="367"/>
      <c r="O1484" s="367"/>
      <c r="P1484" s="367"/>
      <c r="Q1484" s="367"/>
      <c r="R1484" s="367"/>
      <c r="S1484" s="367"/>
      <c r="T1484" s="367"/>
      <c r="U1484" s="367"/>
      <c r="V1484" s="367"/>
      <c r="W1484" s="367"/>
      <c r="X1484" s="367"/>
      <c r="Y1484" s="367"/>
      <c r="Z1484" s="367"/>
      <c r="AA1484" s="367"/>
      <c r="AB1484" s="150"/>
      <c r="AC1484" s="48"/>
      <c r="AD1484" s="150"/>
      <c r="AE1484" s="296"/>
      <c r="AF1484" s="296"/>
      <c r="AG1484" s="286"/>
      <c r="AH1484" s="49"/>
      <c r="AI1484" s="266"/>
      <c r="AJ1484" s="150"/>
      <c r="AK1484" s="150"/>
      <c r="AL1484" s="150"/>
      <c r="AM1484" s="150"/>
      <c r="AN1484" s="367"/>
      <c r="AO1484" s="367"/>
      <c r="AP1484" s="367"/>
      <c r="AQ1484" s="367"/>
      <c r="AR1484" s="367"/>
      <c r="AS1484" s="367"/>
      <c r="AT1484" s="367"/>
      <c r="AU1484" s="367"/>
      <c r="AV1484" s="367"/>
      <c r="AW1484" s="367"/>
      <c r="AX1484" s="367"/>
      <c r="AY1484" s="367"/>
      <c r="AZ1484" s="367"/>
      <c r="BA1484" s="367"/>
      <c r="BB1484" s="152"/>
      <c r="BC1484" s="152"/>
      <c r="BD1484" s="367"/>
      <c r="BE1484" s="367"/>
      <c r="BF1484" s="367"/>
      <c r="BG1484" s="367"/>
      <c r="BH1484" s="260"/>
      <c r="BL1484" s="54"/>
    </row>
    <row r="1485" spans="1:64" ht="37.950000000000003" customHeight="1" x14ac:dyDescent="0.3">
      <c r="A1485" s="367">
        <f t="shared" si="26"/>
        <v>1480</v>
      </c>
      <c r="B1485" s="54"/>
      <c r="C1485" s="367"/>
      <c r="D1485" s="367"/>
      <c r="E1485" s="367"/>
      <c r="F1485" s="367"/>
      <c r="G1485" s="367"/>
      <c r="H1485" s="367"/>
      <c r="I1485" s="367"/>
      <c r="J1485" s="54"/>
      <c r="K1485" s="48"/>
      <c r="L1485" s="367"/>
      <c r="M1485" s="150"/>
      <c r="N1485" s="367"/>
      <c r="O1485" s="367"/>
      <c r="P1485" s="367"/>
      <c r="Q1485" s="367"/>
      <c r="R1485" s="367"/>
      <c r="S1485" s="367"/>
      <c r="T1485" s="367"/>
      <c r="U1485" s="367"/>
      <c r="V1485" s="367"/>
      <c r="W1485" s="367"/>
      <c r="X1485" s="367"/>
      <c r="Y1485" s="367"/>
      <c r="Z1485" s="367"/>
      <c r="AA1485" s="367"/>
      <c r="AB1485" s="150"/>
      <c r="AC1485" s="48"/>
      <c r="AD1485" s="150"/>
      <c r="AE1485" s="296"/>
      <c r="AF1485" s="296"/>
      <c r="AG1485" s="286"/>
      <c r="AH1485" s="49"/>
      <c r="AI1485" s="266"/>
      <c r="AJ1485" s="150"/>
      <c r="AK1485" s="150"/>
      <c r="AL1485" s="150"/>
      <c r="AM1485" s="150"/>
      <c r="AN1485" s="367"/>
      <c r="AO1485" s="367"/>
      <c r="AP1485" s="367"/>
      <c r="AQ1485" s="367"/>
      <c r="AR1485" s="367"/>
      <c r="AS1485" s="367"/>
      <c r="AT1485" s="367"/>
      <c r="AU1485" s="367"/>
      <c r="AV1485" s="367"/>
      <c r="AW1485" s="367"/>
      <c r="AX1485" s="367"/>
      <c r="AY1485" s="367"/>
      <c r="AZ1485" s="367"/>
      <c r="BA1485" s="367"/>
      <c r="BB1485" s="152"/>
      <c r="BC1485" s="152"/>
      <c r="BD1485" s="367"/>
      <c r="BE1485" s="367"/>
      <c r="BF1485" s="367"/>
      <c r="BG1485" s="367"/>
      <c r="BH1485" s="260"/>
      <c r="BL1485" s="54"/>
    </row>
    <row r="1486" spans="1:64" ht="37.950000000000003" customHeight="1" x14ac:dyDescent="0.3">
      <c r="A1486" s="367">
        <f t="shared" si="26"/>
        <v>1481</v>
      </c>
      <c r="B1486" s="54"/>
      <c r="C1486" s="367"/>
      <c r="D1486" s="367"/>
      <c r="E1486" s="367"/>
      <c r="F1486" s="367"/>
      <c r="G1486" s="367"/>
      <c r="H1486" s="367"/>
      <c r="I1486" s="367"/>
      <c r="J1486" s="54"/>
      <c r="K1486" s="48"/>
      <c r="L1486" s="367"/>
      <c r="M1486" s="150"/>
      <c r="N1486" s="367"/>
      <c r="O1486" s="367"/>
      <c r="P1486" s="367"/>
      <c r="Q1486" s="367"/>
      <c r="R1486" s="367"/>
      <c r="S1486" s="367"/>
      <c r="T1486" s="367"/>
      <c r="U1486" s="367"/>
      <c r="V1486" s="367"/>
      <c r="W1486" s="367"/>
      <c r="X1486" s="367"/>
      <c r="Y1486" s="367"/>
      <c r="Z1486" s="367"/>
      <c r="AA1486" s="367"/>
      <c r="AB1486" s="150"/>
      <c r="AC1486" s="48"/>
      <c r="AD1486" s="150"/>
      <c r="AE1486" s="296"/>
      <c r="AF1486" s="296"/>
      <c r="AG1486" s="286"/>
      <c r="AH1486" s="49"/>
      <c r="AI1486" s="266"/>
      <c r="AJ1486" s="150"/>
      <c r="AK1486" s="150"/>
      <c r="AL1486" s="150"/>
      <c r="AM1486" s="150"/>
      <c r="AN1486" s="367"/>
      <c r="AO1486" s="367"/>
      <c r="AP1486" s="367"/>
      <c r="AQ1486" s="367"/>
      <c r="AR1486" s="367"/>
      <c r="AS1486" s="367"/>
      <c r="AT1486" s="367"/>
      <c r="AU1486" s="367"/>
      <c r="AV1486" s="367"/>
      <c r="AW1486" s="367"/>
      <c r="AX1486" s="367"/>
      <c r="AY1486" s="367"/>
      <c r="AZ1486" s="367"/>
      <c r="BA1486" s="367"/>
      <c r="BB1486" s="152"/>
      <c r="BC1486" s="152"/>
      <c r="BD1486" s="367"/>
      <c r="BE1486" s="367"/>
      <c r="BF1486" s="367"/>
      <c r="BG1486" s="367"/>
      <c r="BH1486" s="260"/>
      <c r="BL1486" s="54"/>
    </row>
    <row r="1487" spans="1:64" ht="37.950000000000003" customHeight="1" x14ac:dyDescent="0.3">
      <c r="A1487" s="367">
        <f t="shared" si="26"/>
        <v>1482</v>
      </c>
      <c r="B1487" s="54"/>
      <c r="C1487" s="367"/>
      <c r="D1487" s="367"/>
      <c r="E1487" s="367"/>
      <c r="F1487" s="367"/>
      <c r="G1487" s="367"/>
      <c r="H1487" s="367"/>
      <c r="I1487" s="367"/>
      <c r="J1487" s="54"/>
      <c r="K1487" s="48"/>
      <c r="L1487" s="367"/>
      <c r="M1487" s="150"/>
      <c r="N1487" s="367"/>
      <c r="O1487" s="367"/>
      <c r="P1487" s="367"/>
      <c r="Q1487" s="367"/>
      <c r="R1487" s="367"/>
      <c r="S1487" s="367"/>
      <c r="T1487" s="367"/>
      <c r="U1487" s="367"/>
      <c r="V1487" s="367"/>
      <c r="W1487" s="367"/>
      <c r="X1487" s="367"/>
      <c r="Y1487" s="367"/>
      <c r="Z1487" s="367"/>
      <c r="AA1487" s="367"/>
      <c r="AB1487" s="150"/>
      <c r="AC1487" s="48"/>
      <c r="AD1487" s="150"/>
      <c r="AE1487" s="296"/>
      <c r="AF1487" s="296"/>
      <c r="AG1487" s="286"/>
      <c r="AH1487" s="49"/>
      <c r="AI1487" s="266"/>
      <c r="AJ1487" s="150"/>
      <c r="AK1487" s="150"/>
      <c r="AL1487" s="150"/>
      <c r="AM1487" s="150"/>
      <c r="AN1487" s="367"/>
      <c r="AO1487" s="367"/>
      <c r="AP1487" s="367"/>
      <c r="AQ1487" s="367"/>
      <c r="AR1487" s="367"/>
      <c r="AS1487" s="367"/>
      <c r="AT1487" s="367"/>
      <c r="AU1487" s="367"/>
      <c r="AV1487" s="367"/>
      <c r="AW1487" s="367"/>
      <c r="AX1487" s="367"/>
      <c r="AY1487" s="367"/>
      <c r="AZ1487" s="367"/>
      <c r="BA1487" s="367"/>
      <c r="BB1487" s="152"/>
      <c r="BC1487" s="152"/>
      <c r="BD1487" s="367"/>
      <c r="BE1487" s="367"/>
      <c r="BF1487" s="367"/>
      <c r="BG1487" s="367"/>
      <c r="BH1487" s="260"/>
      <c r="BL1487" s="54"/>
    </row>
    <row r="1488" spans="1:64" ht="37.950000000000003" customHeight="1" x14ac:dyDescent="0.3">
      <c r="A1488" s="367">
        <f t="shared" si="26"/>
        <v>1483</v>
      </c>
      <c r="B1488" s="54"/>
      <c r="C1488" s="367"/>
      <c r="D1488" s="367"/>
      <c r="E1488" s="367"/>
      <c r="F1488" s="367"/>
      <c r="G1488" s="367"/>
      <c r="H1488" s="367"/>
      <c r="I1488" s="367"/>
      <c r="J1488" s="54"/>
      <c r="K1488" s="48"/>
      <c r="L1488" s="367"/>
      <c r="M1488" s="150"/>
      <c r="N1488" s="367"/>
      <c r="O1488" s="367"/>
      <c r="P1488" s="367"/>
      <c r="Q1488" s="367"/>
      <c r="R1488" s="367"/>
      <c r="S1488" s="367"/>
      <c r="T1488" s="367"/>
      <c r="U1488" s="367"/>
      <c r="V1488" s="367"/>
      <c r="W1488" s="367"/>
      <c r="X1488" s="367"/>
      <c r="Y1488" s="367"/>
      <c r="Z1488" s="367"/>
      <c r="AA1488" s="367"/>
      <c r="AB1488" s="150"/>
      <c r="AC1488" s="48"/>
      <c r="AD1488" s="150"/>
      <c r="AE1488" s="296"/>
      <c r="AF1488" s="296"/>
      <c r="AG1488" s="286"/>
      <c r="AH1488" s="49"/>
      <c r="AI1488" s="266"/>
      <c r="AJ1488" s="150"/>
      <c r="AK1488" s="150"/>
      <c r="AL1488" s="150"/>
      <c r="AM1488" s="150"/>
      <c r="AN1488" s="367"/>
      <c r="AO1488" s="367"/>
      <c r="AP1488" s="367"/>
      <c r="AQ1488" s="367"/>
      <c r="AR1488" s="367"/>
      <c r="AS1488" s="367"/>
      <c r="AT1488" s="367"/>
      <c r="AU1488" s="367"/>
      <c r="AV1488" s="367"/>
      <c r="AW1488" s="367"/>
      <c r="AX1488" s="367"/>
      <c r="AY1488" s="367"/>
      <c r="AZ1488" s="367"/>
      <c r="BA1488" s="367"/>
      <c r="BB1488" s="152"/>
      <c r="BC1488" s="152"/>
      <c r="BD1488" s="367"/>
      <c r="BE1488" s="367"/>
      <c r="BF1488" s="367"/>
      <c r="BG1488" s="367"/>
      <c r="BH1488" s="260"/>
      <c r="BL1488" s="54"/>
    </row>
    <row r="1489" spans="1:64" ht="37.950000000000003" customHeight="1" x14ac:dyDescent="0.3">
      <c r="A1489" s="367">
        <f t="shared" si="26"/>
        <v>1484</v>
      </c>
      <c r="B1489" s="54"/>
      <c r="C1489" s="367"/>
      <c r="D1489" s="367"/>
      <c r="E1489" s="367"/>
      <c r="F1489" s="367"/>
      <c r="G1489" s="367"/>
      <c r="H1489" s="367"/>
      <c r="I1489" s="367"/>
      <c r="J1489" s="54"/>
      <c r="K1489" s="48"/>
      <c r="L1489" s="367"/>
      <c r="M1489" s="150"/>
      <c r="N1489" s="367"/>
      <c r="O1489" s="367"/>
      <c r="P1489" s="367"/>
      <c r="Q1489" s="367"/>
      <c r="R1489" s="367"/>
      <c r="S1489" s="367"/>
      <c r="T1489" s="367"/>
      <c r="U1489" s="367"/>
      <c r="V1489" s="367"/>
      <c r="W1489" s="367"/>
      <c r="X1489" s="367"/>
      <c r="Y1489" s="367"/>
      <c r="Z1489" s="367"/>
      <c r="AA1489" s="367"/>
      <c r="AB1489" s="150"/>
      <c r="AC1489" s="48"/>
      <c r="AD1489" s="150"/>
      <c r="AE1489" s="296"/>
      <c r="AF1489" s="296"/>
      <c r="AG1489" s="286"/>
      <c r="AH1489" s="49"/>
      <c r="AI1489" s="266"/>
      <c r="AJ1489" s="150"/>
      <c r="AK1489" s="150"/>
      <c r="AL1489" s="150"/>
      <c r="AM1489" s="150"/>
      <c r="AN1489" s="367"/>
      <c r="AO1489" s="367"/>
      <c r="AP1489" s="367"/>
      <c r="AQ1489" s="367"/>
      <c r="AR1489" s="367"/>
      <c r="AS1489" s="367"/>
      <c r="AT1489" s="367"/>
      <c r="AU1489" s="367"/>
      <c r="AV1489" s="367"/>
      <c r="AW1489" s="367"/>
      <c r="AX1489" s="367"/>
      <c r="AY1489" s="367"/>
      <c r="AZ1489" s="367"/>
      <c r="BA1489" s="367"/>
      <c r="BB1489" s="152"/>
      <c r="BC1489" s="152"/>
      <c r="BD1489" s="367"/>
      <c r="BE1489" s="367"/>
      <c r="BF1489" s="367"/>
      <c r="BG1489" s="367"/>
      <c r="BH1489" s="260"/>
      <c r="BL1489" s="54"/>
    </row>
    <row r="1490" spans="1:64" ht="37.950000000000003" customHeight="1" x14ac:dyDescent="0.3">
      <c r="A1490" s="367">
        <f t="shared" si="26"/>
        <v>1485</v>
      </c>
      <c r="B1490" s="54"/>
      <c r="C1490" s="367"/>
      <c r="D1490" s="367"/>
      <c r="E1490" s="367"/>
      <c r="F1490" s="367"/>
      <c r="G1490" s="367"/>
      <c r="H1490" s="367"/>
      <c r="I1490" s="367"/>
      <c r="J1490" s="54"/>
      <c r="K1490" s="48"/>
      <c r="L1490" s="367"/>
      <c r="M1490" s="150"/>
      <c r="N1490" s="367"/>
      <c r="O1490" s="367"/>
      <c r="P1490" s="367"/>
      <c r="Q1490" s="367"/>
      <c r="R1490" s="367"/>
      <c r="S1490" s="367"/>
      <c r="T1490" s="367"/>
      <c r="U1490" s="367"/>
      <c r="V1490" s="367"/>
      <c r="W1490" s="367"/>
      <c r="X1490" s="367"/>
      <c r="Y1490" s="367"/>
      <c r="Z1490" s="367"/>
      <c r="AA1490" s="367"/>
      <c r="AB1490" s="150"/>
      <c r="AC1490" s="48"/>
      <c r="AD1490" s="150"/>
      <c r="AE1490" s="296"/>
      <c r="AF1490" s="296"/>
      <c r="AG1490" s="286"/>
      <c r="AH1490" s="49"/>
      <c r="AI1490" s="266"/>
      <c r="AJ1490" s="150"/>
      <c r="AK1490" s="150"/>
      <c r="AL1490" s="150"/>
      <c r="AM1490" s="150"/>
      <c r="AN1490" s="367"/>
      <c r="AO1490" s="367"/>
      <c r="AP1490" s="367"/>
      <c r="AQ1490" s="367"/>
      <c r="AR1490" s="367"/>
      <c r="AS1490" s="367"/>
      <c r="AT1490" s="367"/>
      <c r="AU1490" s="367"/>
      <c r="AV1490" s="367"/>
      <c r="AW1490" s="367"/>
      <c r="AX1490" s="367"/>
      <c r="AY1490" s="367"/>
      <c r="AZ1490" s="367"/>
      <c r="BA1490" s="367"/>
      <c r="BB1490" s="152"/>
      <c r="BC1490" s="152"/>
      <c r="BD1490" s="367"/>
      <c r="BE1490" s="367"/>
      <c r="BF1490" s="367"/>
      <c r="BG1490" s="367"/>
      <c r="BH1490" s="260"/>
      <c r="BL1490" s="54"/>
    </row>
    <row r="1491" spans="1:64" ht="37.950000000000003" customHeight="1" x14ac:dyDescent="0.3">
      <c r="A1491" s="367">
        <f t="shared" si="26"/>
        <v>1486</v>
      </c>
      <c r="B1491" s="54"/>
      <c r="C1491" s="367"/>
      <c r="D1491" s="367"/>
      <c r="E1491" s="367"/>
      <c r="F1491" s="367"/>
      <c r="G1491" s="367"/>
      <c r="H1491" s="367"/>
      <c r="I1491" s="367"/>
      <c r="J1491" s="54"/>
      <c r="K1491" s="48"/>
      <c r="L1491" s="367"/>
      <c r="M1491" s="150"/>
      <c r="N1491" s="367"/>
      <c r="O1491" s="367"/>
      <c r="P1491" s="367"/>
      <c r="Q1491" s="367"/>
      <c r="R1491" s="367"/>
      <c r="S1491" s="367"/>
      <c r="T1491" s="367"/>
      <c r="U1491" s="367"/>
      <c r="V1491" s="367"/>
      <c r="W1491" s="367"/>
      <c r="X1491" s="367"/>
      <c r="Y1491" s="367"/>
      <c r="Z1491" s="367"/>
      <c r="AA1491" s="367"/>
      <c r="AB1491" s="150"/>
      <c r="AC1491" s="48"/>
      <c r="AD1491" s="150"/>
      <c r="AE1491" s="296"/>
      <c r="AF1491" s="296"/>
      <c r="AG1491" s="286"/>
      <c r="AH1491" s="49"/>
      <c r="AI1491" s="266"/>
      <c r="AJ1491" s="150"/>
      <c r="AK1491" s="150"/>
      <c r="AL1491" s="150"/>
      <c r="AM1491" s="150"/>
      <c r="AN1491" s="367"/>
      <c r="AO1491" s="367"/>
      <c r="AP1491" s="367"/>
      <c r="AQ1491" s="367"/>
      <c r="AR1491" s="367"/>
      <c r="AS1491" s="367"/>
      <c r="AT1491" s="367"/>
      <c r="AU1491" s="367"/>
      <c r="AV1491" s="367"/>
      <c r="AW1491" s="367"/>
      <c r="AX1491" s="367"/>
      <c r="AY1491" s="367"/>
      <c r="AZ1491" s="367"/>
      <c r="BA1491" s="367"/>
      <c r="BB1491" s="152"/>
      <c r="BC1491" s="152"/>
      <c r="BD1491" s="367"/>
      <c r="BE1491" s="367"/>
      <c r="BF1491" s="367"/>
      <c r="BG1491" s="367"/>
      <c r="BH1491" s="260"/>
      <c r="BL1491" s="54"/>
    </row>
    <row r="1492" spans="1:64" ht="37.950000000000003" customHeight="1" x14ac:dyDescent="0.3">
      <c r="A1492" s="367">
        <f t="shared" si="26"/>
        <v>1487</v>
      </c>
      <c r="B1492" s="54"/>
      <c r="C1492" s="367"/>
      <c r="D1492" s="367"/>
      <c r="E1492" s="367"/>
      <c r="F1492" s="367"/>
      <c r="G1492" s="367"/>
      <c r="H1492" s="367"/>
      <c r="I1492" s="367"/>
      <c r="J1492" s="54"/>
      <c r="K1492" s="48"/>
      <c r="L1492" s="367"/>
      <c r="M1492" s="150"/>
      <c r="N1492" s="367"/>
      <c r="O1492" s="367"/>
      <c r="P1492" s="367"/>
      <c r="Q1492" s="367"/>
      <c r="R1492" s="367"/>
      <c r="S1492" s="367"/>
      <c r="T1492" s="367"/>
      <c r="U1492" s="367"/>
      <c r="V1492" s="367"/>
      <c r="W1492" s="367"/>
      <c r="X1492" s="367"/>
      <c r="Y1492" s="367"/>
      <c r="Z1492" s="367"/>
      <c r="AA1492" s="367"/>
      <c r="AB1492" s="150"/>
      <c r="AC1492" s="48"/>
      <c r="AD1492" s="150"/>
      <c r="AE1492" s="296"/>
      <c r="AF1492" s="296"/>
      <c r="AG1492" s="286"/>
      <c r="AH1492" s="49"/>
      <c r="AI1492" s="266"/>
      <c r="AJ1492" s="150"/>
      <c r="AK1492" s="150"/>
      <c r="AL1492" s="150"/>
      <c r="AM1492" s="150"/>
      <c r="AN1492" s="367"/>
      <c r="AO1492" s="367"/>
      <c r="AP1492" s="367"/>
      <c r="AQ1492" s="367"/>
      <c r="AR1492" s="367"/>
      <c r="AS1492" s="367"/>
      <c r="AT1492" s="367"/>
      <c r="AU1492" s="367"/>
      <c r="AV1492" s="367"/>
      <c r="AW1492" s="367"/>
      <c r="AX1492" s="367"/>
      <c r="AY1492" s="367"/>
      <c r="AZ1492" s="367"/>
      <c r="BA1492" s="367"/>
      <c r="BB1492" s="152"/>
      <c r="BC1492" s="152"/>
      <c r="BD1492" s="367"/>
      <c r="BE1492" s="367"/>
      <c r="BF1492" s="367"/>
      <c r="BG1492" s="367"/>
      <c r="BH1492" s="260"/>
      <c r="BL1492" s="54"/>
    </row>
    <row r="1493" spans="1:64" ht="37.950000000000003" customHeight="1" x14ac:dyDescent="0.3">
      <c r="A1493" s="367">
        <f t="shared" si="26"/>
        <v>1488</v>
      </c>
      <c r="B1493" s="54"/>
      <c r="C1493" s="367"/>
      <c r="D1493" s="367"/>
      <c r="E1493" s="367"/>
      <c r="F1493" s="367"/>
      <c r="G1493" s="367"/>
      <c r="H1493" s="367"/>
      <c r="I1493" s="367"/>
      <c r="J1493" s="54"/>
      <c r="K1493" s="48"/>
      <c r="L1493" s="367"/>
      <c r="M1493" s="150"/>
      <c r="N1493" s="367"/>
      <c r="O1493" s="367"/>
      <c r="P1493" s="367"/>
      <c r="Q1493" s="367"/>
      <c r="R1493" s="367"/>
      <c r="S1493" s="367"/>
      <c r="T1493" s="367"/>
      <c r="U1493" s="367"/>
      <c r="V1493" s="367"/>
      <c r="W1493" s="367"/>
      <c r="X1493" s="367"/>
      <c r="Y1493" s="367"/>
      <c r="Z1493" s="367"/>
      <c r="AA1493" s="367"/>
      <c r="AB1493" s="150"/>
      <c r="AC1493" s="48"/>
      <c r="AD1493" s="150"/>
      <c r="AE1493" s="296"/>
      <c r="AF1493" s="296"/>
      <c r="AG1493" s="286"/>
      <c r="AH1493" s="49"/>
      <c r="AI1493" s="266"/>
      <c r="AJ1493" s="150"/>
      <c r="AK1493" s="150"/>
      <c r="AL1493" s="150"/>
      <c r="AM1493" s="150"/>
      <c r="AN1493" s="367"/>
      <c r="AO1493" s="367"/>
      <c r="AP1493" s="367"/>
      <c r="AQ1493" s="367"/>
      <c r="AR1493" s="367"/>
      <c r="AS1493" s="367"/>
      <c r="AT1493" s="367"/>
      <c r="AU1493" s="367"/>
      <c r="AV1493" s="367"/>
      <c r="AW1493" s="367"/>
      <c r="AX1493" s="367"/>
      <c r="AY1493" s="367"/>
      <c r="AZ1493" s="367"/>
      <c r="BA1493" s="367"/>
      <c r="BB1493" s="152"/>
      <c r="BC1493" s="152"/>
      <c r="BD1493" s="367"/>
      <c r="BE1493" s="367"/>
      <c r="BF1493" s="367"/>
      <c r="BG1493" s="367"/>
      <c r="BH1493" s="260"/>
      <c r="BL1493" s="54"/>
    </row>
    <row r="1494" spans="1:64" ht="37.950000000000003" customHeight="1" x14ac:dyDescent="0.3">
      <c r="A1494" s="367">
        <f t="shared" ref="A1494:A1545" si="27">ROW(B1494)-ROW($B$5)</f>
        <v>1489</v>
      </c>
      <c r="B1494" s="54"/>
      <c r="C1494" s="367"/>
      <c r="D1494" s="367"/>
      <c r="E1494" s="367"/>
      <c r="F1494" s="367"/>
      <c r="G1494" s="367"/>
      <c r="H1494" s="367"/>
      <c r="I1494" s="367"/>
      <c r="J1494" s="54"/>
      <c r="K1494" s="48"/>
      <c r="L1494" s="367"/>
      <c r="M1494" s="150"/>
      <c r="N1494" s="367"/>
      <c r="O1494" s="367"/>
      <c r="P1494" s="367"/>
      <c r="Q1494" s="367"/>
      <c r="R1494" s="367"/>
      <c r="S1494" s="367"/>
      <c r="T1494" s="367"/>
      <c r="U1494" s="367"/>
      <c r="V1494" s="367"/>
      <c r="W1494" s="367"/>
      <c r="X1494" s="367"/>
      <c r="Y1494" s="367"/>
      <c r="Z1494" s="367"/>
      <c r="AA1494" s="367"/>
      <c r="AB1494" s="150"/>
      <c r="AC1494" s="48"/>
      <c r="AD1494" s="150"/>
      <c r="AE1494" s="296"/>
      <c r="AF1494" s="296"/>
      <c r="AG1494" s="286"/>
      <c r="AH1494" s="49"/>
      <c r="AI1494" s="266"/>
      <c r="AJ1494" s="150"/>
      <c r="AK1494" s="150"/>
      <c r="AL1494" s="150"/>
      <c r="AM1494" s="150"/>
      <c r="AN1494" s="367"/>
      <c r="AO1494" s="367"/>
      <c r="AP1494" s="367"/>
      <c r="AQ1494" s="367"/>
      <c r="AR1494" s="367"/>
      <c r="AS1494" s="367"/>
      <c r="AT1494" s="367"/>
      <c r="AU1494" s="367"/>
      <c r="AV1494" s="367"/>
      <c r="AW1494" s="367"/>
      <c r="AX1494" s="367"/>
      <c r="AY1494" s="367"/>
      <c r="AZ1494" s="367"/>
      <c r="BA1494" s="367"/>
      <c r="BB1494" s="152"/>
      <c r="BC1494" s="152"/>
      <c r="BD1494" s="367"/>
      <c r="BE1494" s="367"/>
      <c r="BF1494" s="367"/>
      <c r="BG1494" s="367"/>
      <c r="BH1494" s="260"/>
      <c r="BL1494" s="54"/>
    </row>
    <row r="1495" spans="1:64" ht="37.950000000000003" customHeight="1" x14ac:dyDescent="0.3">
      <c r="A1495" s="367">
        <f t="shared" si="27"/>
        <v>1490</v>
      </c>
      <c r="B1495" s="54"/>
      <c r="C1495" s="367"/>
      <c r="D1495" s="367"/>
      <c r="E1495" s="367"/>
      <c r="F1495" s="367"/>
      <c r="G1495" s="367"/>
      <c r="H1495" s="367"/>
      <c r="I1495" s="367"/>
      <c r="J1495" s="54"/>
      <c r="K1495" s="48"/>
      <c r="L1495" s="367"/>
      <c r="M1495" s="150"/>
      <c r="N1495" s="367"/>
      <c r="O1495" s="367"/>
      <c r="P1495" s="367"/>
      <c r="Q1495" s="367"/>
      <c r="R1495" s="367"/>
      <c r="S1495" s="367"/>
      <c r="T1495" s="367"/>
      <c r="U1495" s="367"/>
      <c r="V1495" s="367"/>
      <c r="W1495" s="367"/>
      <c r="X1495" s="367"/>
      <c r="Y1495" s="367"/>
      <c r="Z1495" s="367"/>
      <c r="AA1495" s="367"/>
      <c r="AB1495" s="150"/>
      <c r="AC1495" s="48"/>
      <c r="AD1495" s="150"/>
      <c r="AE1495" s="296"/>
      <c r="AF1495" s="296"/>
      <c r="AG1495" s="286"/>
      <c r="AH1495" s="49"/>
      <c r="AI1495" s="266"/>
      <c r="AJ1495" s="150"/>
      <c r="AK1495" s="150"/>
      <c r="AL1495" s="150"/>
      <c r="AM1495" s="150"/>
      <c r="AN1495" s="367"/>
      <c r="AO1495" s="367"/>
      <c r="AP1495" s="367"/>
      <c r="AQ1495" s="367"/>
      <c r="AR1495" s="367"/>
      <c r="AS1495" s="367"/>
      <c r="AT1495" s="367"/>
      <c r="AU1495" s="367"/>
      <c r="AV1495" s="367"/>
      <c r="AW1495" s="367"/>
      <c r="AX1495" s="367"/>
      <c r="AY1495" s="367"/>
      <c r="AZ1495" s="367"/>
      <c r="BA1495" s="367"/>
      <c r="BB1495" s="152"/>
      <c r="BC1495" s="152"/>
      <c r="BD1495" s="367"/>
      <c r="BE1495" s="367"/>
      <c r="BF1495" s="367"/>
      <c r="BG1495" s="367"/>
      <c r="BH1495" s="260"/>
      <c r="BL1495" s="54"/>
    </row>
    <row r="1496" spans="1:64" ht="37.950000000000003" customHeight="1" x14ac:dyDescent="0.3">
      <c r="A1496" s="367">
        <f t="shared" si="27"/>
        <v>1491</v>
      </c>
      <c r="B1496" s="54"/>
      <c r="C1496" s="367"/>
      <c r="D1496" s="367"/>
      <c r="E1496" s="367"/>
      <c r="F1496" s="367"/>
      <c r="G1496" s="367"/>
      <c r="H1496" s="367"/>
      <c r="I1496" s="367"/>
      <c r="J1496" s="54"/>
      <c r="K1496" s="48"/>
      <c r="L1496" s="367"/>
      <c r="M1496" s="150"/>
      <c r="N1496" s="367"/>
      <c r="O1496" s="367"/>
      <c r="P1496" s="367"/>
      <c r="Q1496" s="367"/>
      <c r="R1496" s="367"/>
      <c r="S1496" s="367"/>
      <c r="T1496" s="367"/>
      <c r="U1496" s="367"/>
      <c r="V1496" s="367"/>
      <c r="W1496" s="367"/>
      <c r="X1496" s="367"/>
      <c r="Y1496" s="367"/>
      <c r="Z1496" s="367"/>
      <c r="AA1496" s="367"/>
      <c r="AB1496" s="150"/>
      <c r="AC1496" s="48"/>
      <c r="AD1496" s="150"/>
      <c r="AE1496" s="296"/>
      <c r="AF1496" s="296"/>
      <c r="AG1496" s="286"/>
      <c r="AH1496" s="49"/>
      <c r="AI1496" s="266"/>
      <c r="AJ1496" s="150"/>
      <c r="AK1496" s="150"/>
      <c r="AL1496" s="150"/>
      <c r="AM1496" s="150"/>
      <c r="AN1496" s="367"/>
      <c r="AO1496" s="367"/>
      <c r="AP1496" s="367"/>
      <c r="AQ1496" s="367"/>
      <c r="AR1496" s="367"/>
      <c r="AS1496" s="367"/>
      <c r="AT1496" s="367"/>
      <c r="AU1496" s="367"/>
      <c r="AV1496" s="367"/>
      <c r="AW1496" s="367"/>
      <c r="AX1496" s="367"/>
      <c r="AY1496" s="367"/>
      <c r="AZ1496" s="367"/>
      <c r="BA1496" s="367"/>
      <c r="BB1496" s="152"/>
      <c r="BC1496" s="152"/>
      <c r="BD1496" s="367"/>
      <c r="BE1496" s="367"/>
      <c r="BF1496" s="367"/>
      <c r="BG1496" s="367"/>
      <c r="BH1496" s="260"/>
      <c r="BL1496" s="54"/>
    </row>
    <row r="1497" spans="1:64" ht="37.950000000000003" customHeight="1" x14ac:dyDescent="0.3">
      <c r="A1497" s="367">
        <f t="shared" si="27"/>
        <v>1492</v>
      </c>
      <c r="B1497" s="54"/>
      <c r="C1497" s="367"/>
      <c r="D1497" s="367"/>
      <c r="E1497" s="367"/>
      <c r="F1497" s="367"/>
      <c r="G1497" s="367"/>
      <c r="H1497" s="367"/>
      <c r="I1497" s="367"/>
      <c r="J1497" s="54"/>
      <c r="K1497" s="48"/>
      <c r="L1497" s="367"/>
      <c r="M1497" s="150"/>
      <c r="N1497" s="367"/>
      <c r="O1497" s="367"/>
      <c r="P1497" s="367"/>
      <c r="Q1497" s="367"/>
      <c r="R1497" s="367"/>
      <c r="S1497" s="367"/>
      <c r="T1497" s="367"/>
      <c r="U1497" s="367"/>
      <c r="V1497" s="367"/>
      <c r="W1497" s="367"/>
      <c r="X1497" s="367"/>
      <c r="Y1497" s="367"/>
      <c r="Z1497" s="367"/>
      <c r="AA1497" s="367"/>
      <c r="AB1497" s="150"/>
      <c r="AC1497" s="48"/>
      <c r="AD1497" s="150"/>
      <c r="AE1497" s="296"/>
      <c r="AF1497" s="296"/>
      <c r="AG1497" s="286"/>
      <c r="AH1497" s="49"/>
      <c r="AI1497" s="266"/>
      <c r="AJ1497" s="150"/>
      <c r="AK1497" s="150"/>
      <c r="AL1497" s="150"/>
      <c r="AM1497" s="150"/>
      <c r="AN1497" s="367"/>
      <c r="AO1497" s="367"/>
      <c r="AP1497" s="367"/>
      <c r="AQ1497" s="367"/>
      <c r="AR1497" s="367"/>
      <c r="AS1497" s="367"/>
      <c r="AT1497" s="367"/>
      <c r="AU1497" s="367"/>
      <c r="AV1497" s="367"/>
      <c r="AW1497" s="367"/>
      <c r="AX1497" s="367"/>
      <c r="AY1497" s="367"/>
      <c r="AZ1497" s="367"/>
      <c r="BA1497" s="367"/>
      <c r="BB1497" s="152"/>
      <c r="BC1497" s="152"/>
      <c r="BD1497" s="367"/>
      <c r="BE1497" s="367"/>
      <c r="BF1497" s="367"/>
      <c r="BG1497" s="367"/>
      <c r="BH1497" s="260"/>
      <c r="BL1497" s="54"/>
    </row>
    <row r="1498" spans="1:64" ht="37.950000000000003" customHeight="1" x14ac:dyDescent="0.3">
      <c r="A1498" s="367">
        <f t="shared" si="27"/>
        <v>1493</v>
      </c>
      <c r="B1498" s="54"/>
      <c r="C1498" s="367"/>
      <c r="D1498" s="367"/>
      <c r="E1498" s="367"/>
      <c r="F1498" s="367"/>
      <c r="G1498" s="367"/>
      <c r="H1498" s="367"/>
      <c r="I1498" s="367"/>
      <c r="J1498" s="54"/>
      <c r="K1498" s="48"/>
      <c r="L1498" s="367"/>
      <c r="M1498" s="150"/>
      <c r="N1498" s="367"/>
      <c r="O1498" s="367"/>
      <c r="P1498" s="367"/>
      <c r="Q1498" s="367"/>
      <c r="R1498" s="367"/>
      <c r="S1498" s="367"/>
      <c r="T1498" s="367"/>
      <c r="U1498" s="367"/>
      <c r="V1498" s="367"/>
      <c r="W1498" s="367"/>
      <c r="X1498" s="367"/>
      <c r="Y1498" s="367"/>
      <c r="Z1498" s="367"/>
      <c r="AA1498" s="367"/>
      <c r="AB1498" s="150"/>
      <c r="AC1498" s="48"/>
      <c r="AD1498" s="150"/>
      <c r="AE1498" s="296"/>
      <c r="AF1498" s="296"/>
      <c r="AG1498" s="286"/>
      <c r="AH1498" s="49"/>
      <c r="AI1498" s="266"/>
      <c r="AJ1498" s="150"/>
      <c r="AK1498" s="150"/>
      <c r="AL1498" s="150"/>
      <c r="AM1498" s="150"/>
      <c r="AN1498" s="367"/>
      <c r="AO1498" s="367"/>
      <c r="AP1498" s="367"/>
      <c r="AQ1498" s="367"/>
      <c r="AR1498" s="367"/>
      <c r="AS1498" s="367"/>
      <c r="AT1498" s="367"/>
      <c r="AU1498" s="367"/>
      <c r="AV1498" s="367"/>
      <c r="AW1498" s="367"/>
      <c r="AX1498" s="367"/>
      <c r="AY1498" s="367"/>
      <c r="AZ1498" s="367"/>
      <c r="BA1498" s="367"/>
      <c r="BB1498" s="152"/>
      <c r="BC1498" s="152"/>
      <c r="BD1498" s="367"/>
      <c r="BE1498" s="367"/>
      <c r="BF1498" s="367"/>
      <c r="BG1498" s="367"/>
      <c r="BH1498" s="260"/>
      <c r="BL1498" s="54"/>
    </row>
    <row r="1499" spans="1:64" x14ac:dyDescent="0.3">
      <c r="A1499" s="367">
        <f t="shared" si="27"/>
        <v>1494</v>
      </c>
      <c r="B1499" s="54"/>
      <c r="C1499" s="367"/>
      <c r="D1499" s="367"/>
      <c r="E1499" s="367"/>
      <c r="F1499" s="367"/>
      <c r="G1499" s="367"/>
      <c r="H1499" s="367"/>
      <c r="I1499" s="367"/>
      <c r="J1499" s="54"/>
      <c r="K1499" s="48"/>
      <c r="L1499" s="367"/>
      <c r="M1499" s="150"/>
      <c r="N1499" s="367"/>
      <c r="O1499" s="367"/>
      <c r="P1499" s="367"/>
      <c r="Q1499" s="367"/>
      <c r="R1499" s="367"/>
      <c r="S1499" s="367"/>
      <c r="T1499" s="367"/>
      <c r="U1499" s="367"/>
      <c r="V1499" s="367"/>
      <c r="W1499" s="367"/>
      <c r="X1499" s="367"/>
      <c r="Y1499" s="367"/>
      <c r="Z1499" s="367"/>
      <c r="AA1499" s="367"/>
      <c r="AB1499" s="150"/>
      <c r="AC1499" s="48"/>
      <c r="AD1499" s="150"/>
      <c r="AE1499" s="296"/>
      <c r="AF1499" s="296"/>
      <c r="AG1499" s="286"/>
      <c r="AH1499" s="49"/>
      <c r="AI1499" s="266"/>
      <c r="AJ1499" s="150"/>
      <c r="AK1499" s="150"/>
      <c r="AL1499" s="150"/>
      <c r="AM1499" s="150"/>
      <c r="AN1499" s="367"/>
      <c r="AO1499" s="367"/>
      <c r="AP1499" s="367"/>
      <c r="AQ1499" s="367"/>
      <c r="AR1499" s="367"/>
      <c r="AS1499" s="367"/>
      <c r="AT1499" s="367"/>
      <c r="AU1499" s="367"/>
      <c r="AV1499" s="367"/>
      <c r="AW1499" s="367"/>
      <c r="AX1499" s="367"/>
      <c r="AY1499" s="367"/>
      <c r="AZ1499" s="367"/>
      <c r="BA1499" s="367"/>
      <c r="BB1499" s="152"/>
      <c r="BC1499" s="152"/>
      <c r="BD1499" s="367"/>
      <c r="BE1499" s="367"/>
      <c r="BF1499" s="367"/>
      <c r="BG1499" s="367"/>
      <c r="BH1499" s="260"/>
      <c r="BL1499" s="54"/>
    </row>
    <row r="1500" spans="1:64" x14ac:dyDescent="0.3">
      <c r="A1500" s="367">
        <f t="shared" si="27"/>
        <v>1495</v>
      </c>
      <c r="B1500" s="54"/>
      <c r="C1500" s="367"/>
      <c r="D1500" s="367"/>
      <c r="E1500" s="367"/>
      <c r="F1500" s="367"/>
      <c r="G1500" s="367"/>
      <c r="H1500" s="367"/>
      <c r="I1500" s="367"/>
      <c r="J1500" s="54"/>
      <c r="K1500" s="48"/>
      <c r="L1500" s="367"/>
      <c r="M1500" s="150"/>
      <c r="N1500" s="367"/>
      <c r="O1500" s="367"/>
      <c r="P1500" s="367"/>
      <c r="Q1500" s="367"/>
      <c r="R1500" s="367"/>
      <c r="S1500" s="367"/>
      <c r="T1500" s="367"/>
      <c r="U1500" s="367"/>
      <c r="V1500" s="367"/>
      <c r="W1500" s="367"/>
      <c r="X1500" s="367"/>
      <c r="Y1500" s="367"/>
      <c r="Z1500" s="367"/>
      <c r="AA1500" s="367"/>
      <c r="AB1500" s="150"/>
      <c r="AC1500" s="48"/>
      <c r="AD1500" s="150"/>
      <c r="AE1500" s="296"/>
      <c r="AF1500" s="296"/>
      <c r="AG1500" s="286"/>
      <c r="AH1500" s="49"/>
      <c r="AI1500" s="266"/>
      <c r="AJ1500" s="150"/>
      <c r="AK1500" s="150"/>
      <c r="AL1500" s="150"/>
      <c r="AM1500" s="150"/>
      <c r="AN1500" s="367"/>
      <c r="AO1500" s="367"/>
      <c r="AP1500" s="367"/>
      <c r="AQ1500" s="367"/>
      <c r="AR1500" s="367"/>
      <c r="AS1500" s="367"/>
      <c r="AT1500" s="367"/>
      <c r="AU1500" s="367"/>
      <c r="AV1500" s="367"/>
      <c r="AW1500" s="367"/>
      <c r="AX1500" s="367"/>
      <c r="AY1500" s="367"/>
      <c r="AZ1500" s="367"/>
      <c r="BA1500" s="367"/>
      <c r="BB1500" s="152"/>
      <c r="BC1500" s="152"/>
      <c r="BD1500" s="367"/>
      <c r="BE1500" s="367"/>
      <c r="BF1500" s="367"/>
      <c r="BG1500" s="367"/>
      <c r="BH1500" s="260"/>
      <c r="BL1500" s="54"/>
    </row>
    <row r="1501" spans="1:64" x14ac:dyDescent="0.3">
      <c r="A1501" s="367">
        <f t="shared" si="27"/>
        <v>1496</v>
      </c>
      <c r="B1501" s="54"/>
      <c r="C1501" s="367"/>
      <c r="D1501" s="367"/>
      <c r="E1501" s="367"/>
      <c r="F1501" s="367"/>
      <c r="G1501" s="367"/>
      <c r="H1501" s="367"/>
      <c r="I1501" s="367"/>
      <c r="J1501" s="54"/>
      <c r="K1501" s="48"/>
      <c r="L1501" s="367"/>
      <c r="M1501" s="150"/>
      <c r="N1501" s="367"/>
      <c r="O1501" s="367"/>
      <c r="P1501" s="367"/>
      <c r="Q1501" s="367"/>
      <c r="R1501" s="367"/>
      <c r="S1501" s="367"/>
      <c r="T1501" s="367"/>
      <c r="U1501" s="367"/>
      <c r="V1501" s="367"/>
      <c r="W1501" s="367"/>
      <c r="X1501" s="367"/>
      <c r="Y1501" s="367"/>
      <c r="Z1501" s="367"/>
      <c r="AA1501" s="367"/>
      <c r="AB1501" s="150"/>
      <c r="AC1501" s="48"/>
      <c r="AD1501" s="150"/>
      <c r="AE1501" s="296"/>
      <c r="AF1501" s="296"/>
      <c r="AG1501" s="286"/>
      <c r="AH1501" s="49"/>
      <c r="AI1501" s="266"/>
      <c r="AJ1501" s="150"/>
      <c r="AK1501" s="150"/>
      <c r="AL1501" s="150"/>
      <c r="AM1501" s="150"/>
      <c r="AN1501" s="367"/>
      <c r="AO1501" s="367"/>
      <c r="AP1501" s="367"/>
      <c r="AQ1501" s="367"/>
      <c r="AR1501" s="367"/>
      <c r="AS1501" s="367"/>
      <c r="AT1501" s="367"/>
      <c r="AU1501" s="367"/>
      <c r="AV1501" s="367"/>
      <c r="AW1501" s="367"/>
      <c r="AX1501" s="367"/>
      <c r="AY1501" s="367"/>
      <c r="AZ1501" s="367"/>
      <c r="BA1501" s="367"/>
      <c r="BB1501" s="152"/>
      <c r="BC1501" s="152"/>
      <c r="BD1501" s="367"/>
      <c r="BE1501" s="367"/>
      <c r="BF1501" s="367"/>
      <c r="BG1501" s="367"/>
      <c r="BH1501" s="260"/>
      <c r="BL1501" s="54"/>
    </row>
    <row r="1502" spans="1:64" x14ac:dyDescent="0.3">
      <c r="A1502" s="367">
        <f t="shared" si="27"/>
        <v>1497</v>
      </c>
      <c r="B1502" s="54"/>
      <c r="C1502" s="367"/>
      <c r="D1502" s="367"/>
      <c r="E1502" s="367"/>
      <c r="F1502" s="367"/>
      <c r="G1502" s="367"/>
      <c r="H1502" s="367"/>
      <c r="I1502" s="367"/>
      <c r="J1502" s="54"/>
      <c r="K1502" s="48"/>
      <c r="L1502" s="367"/>
      <c r="M1502" s="150"/>
      <c r="N1502" s="367"/>
      <c r="O1502" s="367"/>
      <c r="P1502" s="367"/>
      <c r="Q1502" s="367"/>
      <c r="R1502" s="367"/>
      <c r="S1502" s="367"/>
      <c r="T1502" s="367"/>
      <c r="U1502" s="367"/>
      <c r="V1502" s="367"/>
      <c r="W1502" s="367"/>
      <c r="X1502" s="367"/>
      <c r="Y1502" s="367"/>
      <c r="Z1502" s="367"/>
      <c r="AA1502" s="367"/>
      <c r="AB1502" s="150"/>
      <c r="AC1502" s="48"/>
      <c r="AD1502" s="150"/>
      <c r="AE1502" s="296"/>
      <c r="AF1502" s="296"/>
      <c r="AG1502" s="286"/>
      <c r="AH1502" s="49"/>
      <c r="AI1502" s="266"/>
      <c r="AJ1502" s="150"/>
      <c r="AK1502" s="150"/>
      <c r="AL1502" s="150"/>
      <c r="AM1502" s="150"/>
      <c r="AN1502" s="367"/>
      <c r="AO1502" s="367"/>
      <c r="AP1502" s="367"/>
      <c r="AQ1502" s="367"/>
      <c r="AR1502" s="367"/>
      <c r="AS1502" s="367"/>
      <c r="AT1502" s="367"/>
      <c r="AU1502" s="367"/>
      <c r="AV1502" s="367"/>
      <c r="AW1502" s="367"/>
      <c r="AX1502" s="367"/>
      <c r="AY1502" s="367"/>
      <c r="AZ1502" s="367"/>
      <c r="BA1502" s="367"/>
      <c r="BB1502" s="152"/>
      <c r="BC1502" s="152"/>
      <c r="BD1502" s="367"/>
      <c r="BE1502" s="367"/>
      <c r="BF1502" s="367"/>
      <c r="BG1502" s="367"/>
      <c r="BH1502" s="260"/>
      <c r="BL1502" s="54"/>
    </row>
    <row r="1503" spans="1:64" x14ac:dyDescent="0.3">
      <c r="A1503" s="367">
        <f t="shared" si="27"/>
        <v>1498</v>
      </c>
      <c r="B1503" s="54"/>
      <c r="C1503" s="367"/>
      <c r="D1503" s="367"/>
      <c r="E1503" s="367"/>
      <c r="F1503" s="367"/>
      <c r="G1503" s="367"/>
      <c r="H1503" s="367"/>
      <c r="I1503" s="367"/>
      <c r="J1503" s="54"/>
      <c r="K1503" s="48"/>
      <c r="L1503" s="367"/>
      <c r="M1503" s="150"/>
      <c r="N1503" s="367"/>
      <c r="O1503" s="367"/>
      <c r="P1503" s="367"/>
      <c r="Q1503" s="367"/>
      <c r="R1503" s="367"/>
      <c r="S1503" s="367"/>
      <c r="T1503" s="367"/>
      <c r="U1503" s="367"/>
      <c r="V1503" s="367"/>
      <c r="W1503" s="367"/>
      <c r="X1503" s="367"/>
      <c r="Y1503" s="367"/>
      <c r="Z1503" s="367"/>
      <c r="AA1503" s="367"/>
      <c r="AB1503" s="150"/>
      <c r="AC1503" s="48"/>
      <c r="AD1503" s="150"/>
      <c r="AE1503" s="296"/>
      <c r="AF1503" s="296"/>
      <c r="AG1503" s="286"/>
      <c r="AH1503" s="49"/>
      <c r="AI1503" s="266"/>
      <c r="AJ1503" s="150"/>
      <c r="AK1503" s="150"/>
      <c r="AL1503" s="150"/>
      <c r="AM1503" s="150"/>
      <c r="AN1503" s="367"/>
      <c r="AO1503" s="367"/>
      <c r="AP1503" s="367"/>
      <c r="AQ1503" s="367"/>
      <c r="AR1503" s="367"/>
      <c r="AS1503" s="367"/>
      <c r="AT1503" s="367"/>
      <c r="AU1503" s="367"/>
      <c r="AV1503" s="367"/>
      <c r="AW1503" s="367"/>
      <c r="AX1503" s="367"/>
      <c r="AY1503" s="367"/>
      <c r="AZ1503" s="367"/>
      <c r="BA1503" s="367"/>
      <c r="BB1503" s="152"/>
      <c r="BC1503" s="152"/>
      <c r="BD1503" s="367"/>
      <c r="BE1503" s="367"/>
      <c r="BF1503" s="367"/>
      <c r="BG1503" s="367"/>
      <c r="BH1503" s="260"/>
      <c r="BL1503" s="54"/>
    </row>
    <row r="1504" spans="1:64" x14ac:dyDescent="0.3">
      <c r="A1504" s="367">
        <f t="shared" si="27"/>
        <v>1499</v>
      </c>
      <c r="B1504" s="54"/>
      <c r="C1504" s="367"/>
      <c r="D1504" s="367"/>
      <c r="E1504" s="367"/>
      <c r="F1504" s="367"/>
      <c r="G1504" s="367"/>
      <c r="H1504" s="367"/>
      <c r="I1504" s="367"/>
      <c r="J1504" s="54"/>
      <c r="K1504" s="48"/>
      <c r="L1504" s="367"/>
      <c r="M1504" s="150"/>
      <c r="N1504" s="367"/>
      <c r="O1504" s="367"/>
      <c r="P1504" s="367"/>
      <c r="Q1504" s="367"/>
      <c r="R1504" s="367"/>
      <c r="S1504" s="367"/>
      <c r="T1504" s="367"/>
      <c r="U1504" s="367"/>
      <c r="V1504" s="367"/>
      <c r="W1504" s="367"/>
      <c r="X1504" s="367"/>
      <c r="Y1504" s="367"/>
      <c r="Z1504" s="367"/>
      <c r="AA1504" s="367"/>
      <c r="AB1504" s="150"/>
      <c r="AC1504" s="48"/>
      <c r="AD1504" s="150"/>
      <c r="AE1504" s="296"/>
      <c r="AF1504" s="296"/>
      <c r="AG1504" s="286"/>
      <c r="AH1504" s="49"/>
      <c r="AI1504" s="266"/>
      <c r="AJ1504" s="150"/>
      <c r="AK1504" s="150"/>
      <c r="AL1504" s="150"/>
      <c r="AM1504" s="150"/>
      <c r="AN1504" s="367"/>
      <c r="AO1504" s="367"/>
      <c r="AP1504" s="367"/>
      <c r="AQ1504" s="367"/>
      <c r="AR1504" s="367"/>
      <c r="AS1504" s="367"/>
      <c r="AT1504" s="367"/>
      <c r="AU1504" s="367"/>
      <c r="AV1504" s="367"/>
      <c r="AW1504" s="367"/>
      <c r="AX1504" s="367"/>
      <c r="AY1504" s="367"/>
      <c r="AZ1504" s="367"/>
      <c r="BA1504" s="367"/>
      <c r="BB1504" s="152"/>
      <c r="BC1504" s="152"/>
      <c r="BD1504" s="367"/>
      <c r="BE1504" s="367"/>
      <c r="BF1504" s="367"/>
      <c r="BG1504" s="367"/>
      <c r="BH1504" s="260"/>
      <c r="BL1504" s="54"/>
    </row>
    <row r="1505" spans="1:64" x14ac:dyDescent="0.3">
      <c r="A1505" s="367">
        <f t="shared" si="27"/>
        <v>1500</v>
      </c>
      <c r="B1505" s="54"/>
      <c r="C1505" s="367"/>
      <c r="D1505" s="367"/>
      <c r="E1505" s="367"/>
      <c r="F1505" s="367"/>
      <c r="G1505" s="367"/>
      <c r="H1505" s="367"/>
      <c r="I1505" s="367"/>
      <c r="J1505" s="54"/>
      <c r="K1505" s="48"/>
      <c r="L1505" s="367"/>
      <c r="M1505" s="150"/>
      <c r="N1505" s="367"/>
      <c r="O1505" s="367"/>
      <c r="P1505" s="367"/>
      <c r="Q1505" s="367"/>
      <c r="R1505" s="367"/>
      <c r="S1505" s="367"/>
      <c r="T1505" s="367"/>
      <c r="U1505" s="367"/>
      <c r="V1505" s="367"/>
      <c r="W1505" s="367"/>
      <c r="X1505" s="367"/>
      <c r="Y1505" s="367"/>
      <c r="Z1505" s="367"/>
      <c r="AA1505" s="367"/>
      <c r="AB1505" s="150"/>
      <c r="AC1505" s="48"/>
      <c r="AD1505" s="150"/>
      <c r="AE1505" s="296"/>
      <c r="AF1505" s="296"/>
      <c r="AG1505" s="286"/>
      <c r="AH1505" s="49"/>
      <c r="AI1505" s="266"/>
      <c r="AJ1505" s="150"/>
      <c r="AK1505" s="150"/>
      <c r="AL1505" s="150"/>
      <c r="AM1505" s="150"/>
      <c r="AN1505" s="367"/>
      <c r="AO1505" s="367"/>
      <c r="AP1505" s="367"/>
      <c r="AQ1505" s="367"/>
      <c r="AR1505" s="367"/>
      <c r="AS1505" s="367"/>
      <c r="AT1505" s="367"/>
      <c r="AU1505" s="367"/>
      <c r="AV1505" s="367"/>
      <c r="AW1505" s="367"/>
      <c r="AX1505" s="367"/>
      <c r="AY1505" s="367"/>
      <c r="AZ1505" s="367"/>
      <c r="BA1505" s="367"/>
      <c r="BB1505" s="152"/>
      <c r="BC1505" s="152"/>
      <c r="BD1505" s="367"/>
      <c r="BE1505" s="367"/>
      <c r="BF1505" s="367"/>
      <c r="BG1505" s="367"/>
      <c r="BH1505" s="260"/>
      <c r="BL1505" s="54"/>
    </row>
    <row r="1506" spans="1:64" x14ac:dyDescent="0.3">
      <c r="A1506" s="367">
        <f t="shared" si="27"/>
        <v>1501</v>
      </c>
      <c r="B1506" s="54"/>
      <c r="C1506" s="367"/>
      <c r="D1506" s="367"/>
      <c r="E1506" s="367"/>
      <c r="F1506" s="367"/>
      <c r="G1506" s="367"/>
      <c r="H1506" s="367"/>
      <c r="I1506" s="367"/>
      <c r="J1506" s="54"/>
      <c r="K1506" s="48"/>
      <c r="L1506" s="367"/>
      <c r="M1506" s="150"/>
      <c r="N1506" s="367"/>
      <c r="O1506" s="367"/>
      <c r="P1506" s="367"/>
      <c r="Q1506" s="367"/>
      <c r="R1506" s="367"/>
      <c r="S1506" s="367"/>
      <c r="T1506" s="367"/>
      <c r="U1506" s="367"/>
      <c r="V1506" s="367"/>
      <c r="W1506" s="367"/>
      <c r="X1506" s="367"/>
      <c r="Y1506" s="367"/>
      <c r="Z1506" s="367"/>
      <c r="AA1506" s="367"/>
      <c r="AB1506" s="150"/>
      <c r="AC1506" s="48"/>
      <c r="AD1506" s="150"/>
      <c r="AE1506" s="296"/>
      <c r="AF1506" s="296"/>
      <c r="AG1506" s="286"/>
      <c r="AH1506" s="49"/>
      <c r="AI1506" s="266"/>
      <c r="AJ1506" s="150"/>
      <c r="AK1506" s="150"/>
      <c r="AL1506" s="150"/>
      <c r="AM1506" s="150"/>
      <c r="AN1506" s="367"/>
      <c r="AO1506" s="367"/>
      <c r="AP1506" s="367"/>
      <c r="AQ1506" s="367"/>
      <c r="AR1506" s="367"/>
      <c r="AS1506" s="367"/>
      <c r="AT1506" s="367"/>
      <c r="AU1506" s="367"/>
      <c r="AV1506" s="367"/>
      <c r="AW1506" s="367"/>
      <c r="AX1506" s="367"/>
      <c r="AY1506" s="367"/>
      <c r="AZ1506" s="367"/>
      <c r="BA1506" s="367"/>
      <c r="BB1506" s="152"/>
      <c r="BC1506" s="152"/>
      <c r="BD1506" s="367"/>
      <c r="BE1506" s="367"/>
      <c r="BF1506" s="367"/>
      <c r="BG1506" s="367"/>
      <c r="BH1506" s="260"/>
      <c r="BL1506" s="54"/>
    </row>
    <row r="1507" spans="1:64" x14ac:dyDescent="0.3">
      <c r="A1507" s="367">
        <f t="shared" si="27"/>
        <v>1502</v>
      </c>
      <c r="B1507" s="54"/>
      <c r="C1507" s="367"/>
      <c r="D1507" s="367"/>
      <c r="E1507" s="367"/>
      <c r="F1507" s="367"/>
      <c r="G1507" s="367"/>
      <c r="H1507" s="367"/>
      <c r="I1507" s="367"/>
      <c r="J1507" s="54"/>
      <c r="K1507" s="48"/>
      <c r="L1507" s="367"/>
      <c r="M1507" s="150"/>
      <c r="N1507" s="367"/>
      <c r="O1507" s="367"/>
      <c r="P1507" s="367"/>
      <c r="Q1507" s="367"/>
      <c r="R1507" s="367"/>
      <c r="S1507" s="367"/>
      <c r="T1507" s="367"/>
      <c r="U1507" s="367"/>
      <c r="V1507" s="367"/>
      <c r="W1507" s="367"/>
      <c r="X1507" s="367"/>
      <c r="Y1507" s="367"/>
      <c r="Z1507" s="367"/>
      <c r="AA1507" s="367"/>
      <c r="AB1507" s="150"/>
      <c r="AC1507" s="48"/>
      <c r="AD1507" s="150"/>
      <c r="AE1507" s="296"/>
      <c r="AF1507" s="296"/>
      <c r="AG1507" s="286"/>
      <c r="AH1507" s="49"/>
      <c r="AI1507" s="266"/>
      <c r="AJ1507" s="150"/>
      <c r="AK1507" s="150"/>
      <c r="AL1507" s="150"/>
      <c r="AM1507" s="150"/>
      <c r="AN1507" s="367"/>
      <c r="AO1507" s="367"/>
      <c r="AP1507" s="367"/>
      <c r="AQ1507" s="367"/>
      <c r="AR1507" s="367"/>
      <c r="AS1507" s="367"/>
      <c r="AT1507" s="367"/>
      <c r="AU1507" s="367"/>
      <c r="AV1507" s="367"/>
      <c r="AW1507" s="367"/>
      <c r="AX1507" s="367"/>
      <c r="AY1507" s="367"/>
      <c r="AZ1507" s="367"/>
      <c r="BA1507" s="367"/>
      <c r="BB1507" s="152"/>
      <c r="BC1507" s="152"/>
      <c r="BD1507" s="367"/>
      <c r="BE1507" s="367"/>
      <c r="BF1507" s="367"/>
      <c r="BG1507" s="367"/>
      <c r="BH1507" s="260"/>
      <c r="BL1507" s="54"/>
    </row>
    <row r="1508" spans="1:64" x14ac:dyDescent="0.3">
      <c r="A1508" s="367">
        <f t="shared" si="27"/>
        <v>1503</v>
      </c>
      <c r="B1508" s="54"/>
      <c r="C1508" s="367"/>
      <c r="D1508" s="367"/>
      <c r="E1508" s="367"/>
      <c r="F1508" s="367"/>
      <c r="G1508" s="367"/>
      <c r="H1508" s="367"/>
      <c r="I1508" s="367"/>
      <c r="J1508" s="54"/>
      <c r="K1508" s="48"/>
      <c r="L1508" s="367"/>
      <c r="M1508" s="150"/>
      <c r="N1508" s="367"/>
      <c r="O1508" s="367"/>
      <c r="P1508" s="367"/>
      <c r="Q1508" s="367"/>
      <c r="R1508" s="367"/>
      <c r="S1508" s="367"/>
      <c r="T1508" s="367"/>
      <c r="U1508" s="367"/>
      <c r="V1508" s="367"/>
      <c r="W1508" s="367"/>
      <c r="X1508" s="367"/>
      <c r="Y1508" s="367"/>
      <c r="Z1508" s="367"/>
      <c r="AA1508" s="367"/>
      <c r="AB1508" s="150"/>
      <c r="AC1508" s="48"/>
      <c r="AD1508" s="150"/>
      <c r="AE1508" s="296"/>
      <c r="AF1508" s="296"/>
      <c r="AG1508" s="286"/>
      <c r="AH1508" s="49"/>
      <c r="AI1508" s="266"/>
      <c r="AJ1508" s="150"/>
      <c r="AK1508" s="150"/>
      <c r="AL1508" s="150"/>
      <c r="AM1508" s="150"/>
      <c r="AN1508" s="367"/>
      <c r="AO1508" s="367"/>
      <c r="AP1508" s="367"/>
      <c r="AQ1508" s="367"/>
      <c r="AR1508" s="367"/>
      <c r="AS1508" s="367"/>
      <c r="AT1508" s="367"/>
      <c r="AU1508" s="367"/>
      <c r="AV1508" s="367"/>
      <c r="AW1508" s="367"/>
      <c r="AX1508" s="367"/>
      <c r="AY1508" s="367"/>
      <c r="AZ1508" s="367"/>
      <c r="BA1508" s="367"/>
      <c r="BB1508" s="152"/>
      <c r="BC1508" s="152"/>
      <c r="BD1508" s="367"/>
      <c r="BE1508" s="367"/>
      <c r="BF1508" s="367"/>
      <c r="BG1508" s="367"/>
      <c r="BH1508" s="260"/>
      <c r="BL1508" s="54"/>
    </row>
    <row r="1509" spans="1:64" x14ac:dyDescent="0.3">
      <c r="A1509" s="367">
        <f t="shared" si="27"/>
        <v>1504</v>
      </c>
      <c r="B1509" s="54"/>
      <c r="C1509" s="367"/>
      <c r="D1509" s="367"/>
      <c r="E1509" s="367"/>
      <c r="F1509" s="367"/>
      <c r="G1509" s="367"/>
      <c r="H1509" s="367"/>
      <c r="I1509" s="367"/>
      <c r="J1509" s="54"/>
      <c r="K1509" s="48"/>
      <c r="L1509" s="367"/>
      <c r="M1509" s="150"/>
      <c r="N1509" s="367"/>
      <c r="O1509" s="367"/>
      <c r="P1509" s="367"/>
      <c r="Q1509" s="367"/>
      <c r="R1509" s="367"/>
      <c r="S1509" s="367"/>
      <c r="T1509" s="367"/>
      <c r="U1509" s="367"/>
      <c r="V1509" s="367"/>
      <c r="W1509" s="367"/>
      <c r="X1509" s="367"/>
      <c r="Y1509" s="367"/>
      <c r="Z1509" s="367"/>
      <c r="AA1509" s="367"/>
      <c r="AB1509" s="150"/>
      <c r="AC1509" s="48"/>
      <c r="AD1509" s="150"/>
      <c r="AE1509" s="296"/>
      <c r="AF1509" s="296"/>
      <c r="AG1509" s="286"/>
      <c r="AH1509" s="49"/>
      <c r="AI1509" s="266"/>
      <c r="AJ1509" s="150"/>
      <c r="AK1509" s="150"/>
      <c r="AL1509" s="150"/>
      <c r="AM1509" s="150"/>
      <c r="AN1509" s="367"/>
      <c r="AO1509" s="367"/>
      <c r="AP1509" s="367"/>
      <c r="AQ1509" s="367"/>
      <c r="AR1509" s="367"/>
      <c r="AS1509" s="367"/>
      <c r="AT1509" s="367"/>
      <c r="AU1509" s="367"/>
      <c r="AV1509" s="367"/>
      <c r="AW1509" s="367"/>
      <c r="AX1509" s="367"/>
      <c r="AY1509" s="367"/>
      <c r="AZ1509" s="367"/>
      <c r="BA1509" s="367"/>
      <c r="BB1509" s="152"/>
      <c r="BC1509" s="152"/>
      <c r="BD1509" s="367"/>
      <c r="BE1509" s="367"/>
      <c r="BF1509" s="367"/>
      <c r="BG1509" s="367"/>
      <c r="BH1509" s="260"/>
      <c r="BL1509" s="54"/>
    </row>
    <row r="1510" spans="1:64" x14ac:dyDescent="0.3">
      <c r="A1510" s="367">
        <f t="shared" si="27"/>
        <v>1505</v>
      </c>
      <c r="B1510" s="54"/>
      <c r="C1510" s="367"/>
      <c r="D1510" s="367"/>
      <c r="E1510" s="367"/>
      <c r="F1510" s="367"/>
      <c r="G1510" s="367"/>
      <c r="H1510" s="367"/>
      <c r="I1510" s="367"/>
      <c r="J1510" s="54"/>
      <c r="K1510" s="48"/>
      <c r="L1510" s="367"/>
      <c r="M1510" s="150"/>
      <c r="N1510" s="367"/>
      <c r="O1510" s="367"/>
      <c r="P1510" s="367"/>
      <c r="Q1510" s="367"/>
      <c r="R1510" s="367"/>
      <c r="S1510" s="367"/>
      <c r="T1510" s="367"/>
      <c r="U1510" s="367"/>
      <c r="V1510" s="367"/>
      <c r="W1510" s="367"/>
      <c r="X1510" s="367"/>
      <c r="Y1510" s="367"/>
      <c r="Z1510" s="367"/>
      <c r="AA1510" s="367"/>
      <c r="AB1510" s="150"/>
      <c r="AC1510" s="48"/>
      <c r="AD1510" s="150"/>
      <c r="AE1510" s="296"/>
      <c r="AF1510" s="296"/>
      <c r="AG1510" s="286"/>
      <c r="AH1510" s="49"/>
      <c r="AI1510" s="266"/>
      <c r="AJ1510" s="150"/>
      <c r="AK1510" s="150"/>
      <c r="AL1510" s="150"/>
      <c r="AM1510" s="150"/>
      <c r="AN1510" s="367"/>
      <c r="AO1510" s="367"/>
      <c r="AP1510" s="367"/>
      <c r="AQ1510" s="367"/>
      <c r="AR1510" s="367"/>
      <c r="AS1510" s="367"/>
      <c r="AT1510" s="367"/>
      <c r="AU1510" s="367"/>
      <c r="AV1510" s="367"/>
      <c r="AW1510" s="367"/>
      <c r="AX1510" s="367"/>
      <c r="AY1510" s="367"/>
      <c r="AZ1510" s="367"/>
      <c r="BA1510" s="367"/>
      <c r="BB1510" s="152"/>
      <c r="BC1510" s="152"/>
      <c r="BD1510" s="367"/>
      <c r="BE1510" s="367"/>
      <c r="BF1510" s="367"/>
      <c r="BG1510" s="367"/>
      <c r="BH1510" s="260"/>
      <c r="BL1510" s="54"/>
    </row>
    <row r="1511" spans="1:64" x14ac:dyDescent="0.3">
      <c r="A1511" s="367">
        <f t="shared" si="27"/>
        <v>1506</v>
      </c>
      <c r="B1511" s="54"/>
      <c r="C1511" s="367"/>
      <c r="D1511" s="367"/>
      <c r="E1511" s="367"/>
      <c r="F1511" s="367"/>
      <c r="G1511" s="367"/>
      <c r="H1511" s="367"/>
      <c r="I1511" s="367"/>
      <c r="J1511" s="54"/>
      <c r="K1511" s="48"/>
      <c r="L1511" s="367"/>
      <c r="M1511" s="150"/>
      <c r="N1511" s="367"/>
      <c r="O1511" s="367"/>
      <c r="P1511" s="367"/>
      <c r="Q1511" s="367"/>
      <c r="R1511" s="367"/>
      <c r="S1511" s="367"/>
      <c r="T1511" s="367"/>
      <c r="U1511" s="367"/>
      <c r="V1511" s="367"/>
      <c r="W1511" s="367"/>
      <c r="X1511" s="367"/>
      <c r="Y1511" s="367"/>
      <c r="Z1511" s="367"/>
      <c r="AA1511" s="367"/>
      <c r="AB1511" s="150"/>
      <c r="AC1511" s="48"/>
      <c r="AD1511" s="150"/>
      <c r="AE1511" s="296"/>
      <c r="AF1511" s="296"/>
      <c r="AG1511" s="286"/>
      <c r="AH1511" s="49"/>
      <c r="AI1511" s="266"/>
      <c r="AJ1511" s="150"/>
      <c r="AK1511" s="150"/>
      <c r="AL1511" s="150"/>
      <c r="AM1511" s="150"/>
      <c r="AN1511" s="367"/>
      <c r="AO1511" s="367"/>
      <c r="AP1511" s="367"/>
      <c r="AQ1511" s="367"/>
      <c r="AR1511" s="367"/>
      <c r="AS1511" s="367"/>
      <c r="AT1511" s="367"/>
      <c r="AU1511" s="367"/>
      <c r="AV1511" s="367"/>
      <c r="AW1511" s="367"/>
      <c r="AX1511" s="367"/>
      <c r="AY1511" s="367"/>
      <c r="AZ1511" s="367"/>
      <c r="BA1511" s="367"/>
      <c r="BB1511" s="152"/>
      <c r="BC1511" s="152"/>
      <c r="BD1511" s="367"/>
      <c r="BE1511" s="367"/>
      <c r="BF1511" s="367"/>
      <c r="BG1511" s="367"/>
      <c r="BH1511" s="260"/>
      <c r="BL1511" s="54"/>
    </row>
    <row r="1512" spans="1:64" x14ac:dyDescent="0.3">
      <c r="A1512" s="367">
        <f t="shared" si="27"/>
        <v>1507</v>
      </c>
      <c r="B1512" s="54"/>
      <c r="C1512" s="367"/>
      <c r="D1512" s="367"/>
      <c r="E1512" s="367"/>
      <c r="F1512" s="367"/>
      <c r="G1512" s="367"/>
      <c r="H1512" s="367"/>
      <c r="I1512" s="367"/>
      <c r="J1512" s="54"/>
      <c r="K1512" s="48"/>
      <c r="L1512" s="367"/>
      <c r="M1512" s="150"/>
      <c r="N1512" s="367"/>
      <c r="O1512" s="367"/>
      <c r="P1512" s="367"/>
      <c r="Q1512" s="367"/>
      <c r="R1512" s="367"/>
      <c r="S1512" s="367"/>
      <c r="T1512" s="367"/>
      <c r="U1512" s="367"/>
      <c r="V1512" s="367"/>
      <c r="W1512" s="367"/>
      <c r="X1512" s="367"/>
      <c r="Y1512" s="367"/>
      <c r="Z1512" s="367"/>
      <c r="AA1512" s="367"/>
      <c r="AB1512" s="150"/>
      <c r="AC1512" s="48"/>
      <c r="AD1512" s="150"/>
      <c r="AE1512" s="296"/>
      <c r="AF1512" s="296"/>
      <c r="AG1512" s="286"/>
      <c r="AH1512" s="49"/>
      <c r="AI1512" s="266"/>
      <c r="AJ1512" s="150"/>
      <c r="AK1512" s="150"/>
      <c r="AL1512" s="150"/>
      <c r="AM1512" s="150"/>
      <c r="AN1512" s="367"/>
      <c r="AO1512" s="367"/>
      <c r="AP1512" s="367"/>
      <c r="AQ1512" s="367"/>
      <c r="AR1512" s="367"/>
      <c r="AS1512" s="367"/>
      <c r="AT1512" s="367"/>
      <c r="AU1512" s="367"/>
      <c r="AV1512" s="367"/>
      <c r="AW1512" s="367"/>
      <c r="AX1512" s="367"/>
      <c r="AY1512" s="367"/>
      <c r="AZ1512" s="367"/>
      <c r="BA1512" s="367"/>
      <c r="BB1512" s="152"/>
      <c r="BC1512" s="152"/>
      <c r="BD1512" s="367"/>
      <c r="BE1512" s="367"/>
      <c r="BF1512" s="367"/>
      <c r="BG1512" s="367"/>
      <c r="BH1512" s="260"/>
      <c r="BL1512" s="54"/>
    </row>
    <row r="1513" spans="1:64" x14ac:dyDescent="0.3">
      <c r="A1513" s="367">
        <f t="shared" si="27"/>
        <v>1508</v>
      </c>
      <c r="B1513" s="54"/>
      <c r="C1513" s="367"/>
      <c r="D1513" s="367"/>
      <c r="E1513" s="367"/>
      <c r="F1513" s="367"/>
      <c r="G1513" s="367"/>
      <c r="H1513" s="367"/>
      <c r="I1513" s="367"/>
      <c r="J1513" s="54"/>
      <c r="K1513" s="48"/>
      <c r="L1513" s="367"/>
      <c r="M1513" s="150"/>
      <c r="N1513" s="367"/>
      <c r="O1513" s="367"/>
      <c r="P1513" s="367"/>
      <c r="Q1513" s="367"/>
      <c r="R1513" s="367"/>
      <c r="S1513" s="367"/>
      <c r="T1513" s="367"/>
      <c r="U1513" s="367"/>
      <c r="V1513" s="367"/>
      <c r="W1513" s="367"/>
      <c r="X1513" s="367"/>
      <c r="Y1513" s="367"/>
      <c r="Z1513" s="367"/>
      <c r="AA1513" s="367"/>
      <c r="AB1513" s="150"/>
      <c r="AC1513" s="48"/>
      <c r="AD1513" s="150"/>
      <c r="AE1513" s="296"/>
      <c r="AF1513" s="296"/>
      <c r="AG1513" s="286"/>
      <c r="AH1513" s="49"/>
      <c r="AI1513" s="266"/>
      <c r="AJ1513" s="150"/>
      <c r="AK1513" s="150"/>
      <c r="AL1513" s="150"/>
      <c r="AM1513" s="150"/>
      <c r="AN1513" s="367"/>
      <c r="AO1513" s="367"/>
      <c r="AP1513" s="367"/>
      <c r="AQ1513" s="367"/>
      <c r="AR1513" s="367"/>
      <c r="AS1513" s="367"/>
      <c r="AT1513" s="367"/>
      <c r="AU1513" s="367"/>
      <c r="AV1513" s="367"/>
      <c r="AW1513" s="367"/>
      <c r="AX1513" s="367"/>
      <c r="AY1513" s="367"/>
      <c r="AZ1513" s="367"/>
      <c r="BA1513" s="367"/>
      <c r="BB1513" s="152"/>
      <c r="BC1513" s="152"/>
      <c r="BD1513" s="367"/>
      <c r="BE1513" s="367"/>
      <c r="BF1513" s="367"/>
      <c r="BG1513" s="367"/>
      <c r="BH1513" s="260"/>
      <c r="BL1513" s="54"/>
    </row>
    <row r="1514" spans="1:64" x14ac:dyDescent="0.3">
      <c r="A1514" s="367">
        <f t="shared" si="27"/>
        <v>1509</v>
      </c>
      <c r="B1514" s="54"/>
      <c r="C1514" s="367"/>
      <c r="D1514" s="367"/>
      <c r="E1514" s="367"/>
      <c r="F1514" s="367"/>
      <c r="G1514" s="367"/>
      <c r="H1514" s="367"/>
      <c r="I1514" s="367"/>
      <c r="J1514" s="54"/>
      <c r="K1514" s="48"/>
      <c r="L1514" s="367"/>
      <c r="M1514" s="150"/>
      <c r="N1514" s="367"/>
      <c r="O1514" s="367"/>
      <c r="P1514" s="367"/>
      <c r="Q1514" s="367"/>
      <c r="R1514" s="367"/>
      <c r="S1514" s="367"/>
      <c r="T1514" s="367"/>
      <c r="U1514" s="367"/>
      <c r="V1514" s="367"/>
      <c r="W1514" s="367"/>
      <c r="X1514" s="367"/>
      <c r="Y1514" s="367"/>
      <c r="Z1514" s="367"/>
      <c r="AA1514" s="367"/>
      <c r="AB1514" s="150"/>
      <c r="AC1514" s="48"/>
      <c r="AD1514" s="150"/>
      <c r="AE1514" s="296"/>
      <c r="AF1514" s="296"/>
      <c r="AG1514" s="286"/>
      <c r="AH1514" s="49"/>
      <c r="AI1514" s="266"/>
      <c r="AJ1514" s="150"/>
      <c r="AK1514" s="150"/>
      <c r="AL1514" s="150"/>
      <c r="AM1514" s="150"/>
      <c r="AN1514" s="367"/>
      <c r="AO1514" s="367"/>
      <c r="AP1514" s="367"/>
      <c r="AQ1514" s="367"/>
      <c r="AR1514" s="367"/>
      <c r="AS1514" s="367"/>
      <c r="AT1514" s="367"/>
      <c r="AU1514" s="367"/>
      <c r="AV1514" s="367"/>
      <c r="AW1514" s="367"/>
      <c r="AX1514" s="367"/>
      <c r="AY1514" s="367"/>
      <c r="AZ1514" s="367"/>
      <c r="BA1514" s="367"/>
      <c r="BB1514" s="152"/>
      <c r="BC1514" s="152"/>
      <c r="BD1514" s="367"/>
      <c r="BE1514" s="367"/>
      <c r="BF1514" s="367"/>
      <c r="BG1514" s="367"/>
      <c r="BH1514" s="260"/>
      <c r="BL1514" s="54"/>
    </row>
    <row r="1515" spans="1:64" x14ac:dyDescent="0.3">
      <c r="A1515" s="367">
        <f t="shared" si="27"/>
        <v>1510</v>
      </c>
      <c r="B1515" s="54"/>
      <c r="C1515" s="367"/>
      <c r="D1515" s="367"/>
      <c r="E1515" s="367"/>
      <c r="F1515" s="367"/>
      <c r="G1515" s="367"/>
      <c r="H1515" s="367"/>
      <c r="I1515" s="367"/>
      <c r="J1515" s="54"/>
      <c r="K1515" s="48"/>
      <c r="L1515" s="367"/>
      <c r="M1515" s="150"/>
      <c r="N1515" s="367"/>
      <c r="O1515" s="367"/>
      <c r="P1515" s="367"/>
      <c r="Q1515" s="367"/>
      <c r="R1515" s="367"/>
      <c r="S1515" s="367"/>
      <c r="T1515" s="367"/>
      <c r="U1515" s="367"/>
      <c r="V1515" s="367"/>
      <c r="W1515" s="367"/>
      <c r="X1515" s="367"/>
      <c r="Y1515" s="367"/>
      <c r="Z1515" s="367"/>
      <c r="AA1515" s="367"/>
      <c r="AB1515" s="150"/>
      <c r="AC1515" s="48"/>
      <c r="AD1515" s="150"/>
      <c r="AE1515" s="296"/>
      <c r="AF1515" s="296"/>
      <c r="AG1515" s="286"/>
      <c r="AH1515" s="49"/>
      <c r="AI1515" s="266"/>
      <c r="AJ1515" s="150"/>
      <c r="AK1515" s="150"/>
      <c r="AL1515" s="150"/>
      <c r="AM1515" s="150"/>
      <c r="AN1515" s="367"/>
      <c r="AO1515" s="367"/>
      <c r="AP1515" s="367"/>
      <c r="AQ1515" s="367"/>
      <c r="AR1515" s="367"/>
      <c r="AS1515" s="367"/>
      <c r="AT1515" s="367"/>
      <c r="AU1515" s="367"/>
      <c r="AV1515" s="367"/>
      <c r="AW1515" s="367"/>
      <c r="AX1515" s="367"/>
      <c r="AY1515" s="367"/>
      <c r="AZ1515" s="367"/>
      <c r="BA1515" s="367"/>
      <c r="BB1515" s="152"/>
      <c r="BC1515" s="152"/>
      <c r="BD1515" s="367"/>
      <c r="BE1515" s="367"/>
      <c r="BF1515" s="367"/>
      <c r="BG1515" s="367"/>
      <c r="BH1515" s="260"/>
      <c r="BL1515" s="54"/>
    </row>
    <row r="1516" spans="1:64" x14ac:dyDescent="0.3">
      <c r="A1516" s="367">
        <f t="shared" si="27"/>
        <v>1511</v>
      </c>
      <c r="B1516" s="54"/>
      <c r="C1516" s="367"/>
      <c r="D1516" s="367"/>
      <c r="E1516" s="367"/>
      <c r="F1516" s="367"/>
      <c r="G1516" s="367"/>
      <c r="H1516" s="367"/>
      <c r="I1516" s="367"/>
      <c r="J1516" s="54"/>
      <c r="K1516" s="48"/>
      <c r="L1516" s="367"/>
      <c r="M1516" s="150"/>
      <c r="N1516" s="367"/>
      <c r="O1516" s="367"/>
      <c r="P1516" s="367"/>
      <c r="Q1516" s="367"/>
      <c r="R1516" s="367"/>
      <c r="S1516" s="367"/>
      <c r="T1516" s="367"/>
      <c r="U1516" s="367"/>
      <c r="V1516" s="367"/>
      <c r="W1516" s="367"/>
      <c r="X1516" s="367"/>
      <c r="Y1516" s="367"/>
      <c r="Z1516" s="367"/>
      <c r="AA1516" s="367"/>
      <c r="AB1516" s="150"/>
      <c r="AC1516" s="48"/>
      <c r="AD1516" s="150"/>
      <c r="AE1516" s="296"/>
      <c r="AF1516" s="296"/>
      <c r="AG1516" s="286"/>
      <c r="AH1516" s="49"/>
      <c r="AI1516" s="266"/>
      <c r="AJ1516" s="150"/>
      <c r="AK1516" s="150"/>
      <c r="AL1516" s="150"/>
      <c r="AM1516" s="150"/>
      <c r="AN1516" s="367"/>
      <c r="AO1516" s="367"/>
      <c r="AP1516" s="367"/>
      <c r="AQ1516" s="367"/>
      <c r="AR1516" s="367"/>
      <c r="AS1516" s="367"/>
      <c r="AT1516" s="367"/>
      <c r="AU1516" s="367"/>
      <c r="AV1516" s="367"/>
      <c r="AW1516" s="367"/>
      <c r="AX1516" s="367"/>
      <c r="AY1516" s="367"/>
      <c r="AZ1516" s="367"/>
      <c r="BA1516" s="367"/>
      <c r="BB1516" s="152"/>
      <c r="BC1516" s="152"/>
      <c r="BD1516" s="367"/>
      <c r="BE1516" s="367"/>
      <c r="BF1516" s="367"/>
      <c r="BG1516" s="367"/>
      <c r="BH1516" s="260"/>
      <c r="BL1516" s="54"/>
    </row>
    <row r="1517" spans="1:64" x14ac:dyDescent="0.3">
      <c r="A1517" s="367">
        <f t="shared" si="27"/>
        <v>1512</v>
      </c>
      <c r="B1517" s="54"/>
      <c r="C1517" s="367"/>
      <c r="D1517" s="367"/>
      <c r="E1517" s="367"/>
      <c r="F1517" s="367"/>
      <c r="G1517" s="367"/>
      <c r="H1517" s="367"/>
      <c r="I1517" s="367"/>
      <c r="J1517" s="54"/>
      <c r="K1517" s="48"/>
      <c r="L1517" s="367"/>
      <c r="M1517" s="150"/>
      <c r="N1517" s="367"/>
      <c r="O1517" s="367"/>
      <c r="P1517" s="367"/>
      <c r="Q1517" s="367"/>
      <c r="R1517" s="367"/>
      <c r="S1517" s="367"/>
      <c r="T1517" s="367"/>
      <c r="U1517" s="367"/>
      <c r="V1517" s="367"/>
      <c r="W1517" s="367"/>
      <c r="X1517" s="367"/>
      <c r="Y1517" s="367"/>
      <c r="Z1517" s="367"/>
      <c r="AA1517" s="367"/>
      <c r="AB1517" s="150"/>
      <c r="AC1517" s="48"/>
      <c r="AD1517" s="150"/>
      <c r="AE1517" s="296"/>
      <c r="AF1517" s="296"/>
      <c r="AG1517" s="286"/>
      <c r="AH1517" s="49"/>
      <c r="AI1517" s="266"/>
      <c r="AJ1517" s="150"/>
      <c r="AK1517" s="150"/>
      <c r="AL1517" s="150"/>
      <c r="AM1517" s="150"/>
      <c r="AN1517" s="367"/>
      <c r="AO1517" s="367"/>
      <c r="AP1517" s="367"/>
      <c r="AQ1517" s="367"/>
      <c r="AR1517" s="367"/>
      <c r="AS1517" s="367"/>
      <c r="AT1517" s="367"/>
      <c r="AU1517" s="367"/>
      <c r="AV1517" s="367"/>
      <c r="AW1517" s="367"/>
      <c r="AX1517" s="367"/>
      <c r="AY1517" s="367"/>
      <c r="AZ1517" s="367"/>
      <c r="BA1517" s="367"/>
      <c r="BB1517" s="152"/>
      <c r="BC1517" s="152"/>
      <c r="BD1517" s="367"/>
      <c r="BE1517" s="367"/>
      <c r="BF1517" s="367"/>
      <c r="BG1517" s="367"/>
      <c r="BH1517" s="260"/>
      <c r="BL1517" s="54"/>
    </row>
    <row r="1518" spans="1:64" x14ac:dyDescent="0.3">
      <c r="A1518" s="367">
        <f t="shared" si="27"/>
        <v>1513</v>
      </c>
      <c r="B1518" s="54"/>
      <c r="C1518" s="367"/>
      <c r="D1518" s="367"/>
      <c r="E1518" s="367"/>
      <c r="F1518" s="367"/>
      <c r="G1518" s="367"/>
      <c r="H1518" s="367"/>
      <c r="I1518" s="367"/>
      <c r="J1518" s="54"/>
      <c r="K1518" s="48"/>
      <c r="L1518" s="367"/>
      <c r="M1518" s="150"/>
      <c r="N1518" s="367"/>
      <c r="O1518" s="367"/>
      <c r="P1518" s="367"/>
      <c r="Q1518" s="367"/>
      <c r="R1518" s="367"/>
      <c r="S1518" s="367"/>
      <c r="T1518" s="367"/>
      <c r="U1518" s="367"/>
      <c r="V1518" s="367"/>
      <c r="W1518" s="367"/>
      <c r="X1518" s="367"/>
      <c r="Y1518" s="367"/>
      <c r="Z1518" s="367"/>
      <c r="AA1518" s="367"/>
      <c r="AB1518" s="150"/>
      <c r="AC1518" s="48"/>
      <c r="AD1518" s="150"/>
      <c r="AE1518" s="296"/>
      <c r="AF1518" s="296"/>
      <c r="AG1518" s="286"/>
      <c r="AH1518" s="49"/>
      <c r="AI1518" s="266"/>
      <c r="AJ1518" s="150"/>
      <c r="AK1518" s="150"/>
      <c r="AL1518" s="150"/>
      <c r="AM1518" s="150"/>
      <c r="AN1518" s="367"/>
      <c r="AO1518" s="367"/>
      <c r="AP1518" s="367"/>
      <c r="AQ1518" s="367"/>
      <c r="AR1518" s="367"/>
      <c r="AS1518" s="367"/>
      <c r="AT1518" s="367"/>
      <c r="AU1518" s="367"/>
      <c r="AV1518" s="367"/>
      <c r="AW1518" s="367"/>
      <c r="AX1518" s="367"/>
      <c r="AY1518" s="367"/>
      <c r="AZ1518" s="367"/>
      <c r="BA1518" s="367"/>
      <c r="BB1518" s="152"/>
      <c r="BC1518" s="152"/>
      <c r="BD1518" s="367"/>
      <c r="BE1518" s="367"/>
      <c r="BF1518" s="367"/>
      <c r="BG1518" s="367"/>
      <c r="BH1518" s="260"/>
      <c r="BL1518" s="54"/>
    </row>
    <row r="1519" spans="1:64" x14ac:dyDescent="0.3">
      <c r="A1519" s="367">
        <f t="shared" si="27"/>
        <v>1514</v>
      </c>
      <c r="B1519" s="54"/>
      <c r="C1519" s="367"/>
      <c r="D1519" s="367"/>
      <c r="E1519" s="367"/>
      <c r="F1519" s="367"/>
      <c r="G1519" s="367"/>
      <c r="H1519" s="367"/>
      <c r="I1519" s="367"/>
      <c r="J1519" s="54"/>
      <c r="K1519" s="48"/>
      <c r="L1519" s="367"/>
      <c r="M1519" s="150"/>
      <c r="N1519" s="367"/>
      <c r="O1519" s="367"/>
      <c r="P1519" s="367"/>
      <c r="Q1519" s="367"/>
      <c r="R1519" s="367"/>
      <c r="S1519" s="367"/>
      <c r="T1519" s="367"/>
      <c r="U1519" s="367"/>
      <c r="V1519" s="367"/>
      <c r="W1519" s="367"/>
      <c r="X1519" s="367"/>
      <c r="Y1519" s="367"/>
      <c r="Z1519" s="367"/>
      <c r="AA1519" s="367"/>
      <c r="AB1519" s="150"/>
      <c r="AC1519" s="48"/>
      <c r="AD1519" s="150"/>
      <c r="AE1519" s="296"/>
      <c r="AF1519" s="296"/>
      <c r="AG1519" s="286"/>
      <c r="AH1519" s="49"/>
      <c r="AI1519" s="266"/>
      <c r="AJ1519" s="150"/>
      <c r="AK1519" s="150"/>
      <c r="AL1519" s="150"/>
      <c r="AM1519" s="150"/>
      <c r="AN1519" s="367"/>
      <c r="AO1519" s="367"/>
      <c r="AP1519" s="367"/>
      <c r="AQ1519" s="367"/>
      <c r="AR1519" s="367"/>
      <c r="AS1519" s="367"/>
      <c r="AT1519" s="367"/>
      <c r="AU1519" s="367"/>
      <c r="AV1519" s="367"/>
      <c r="AW1519" s="367"/>
      <c r="AX1519" s="367"/>
      <c r="AY1519" s="367"/>
      <c r="AZ1519" s="367"/>
      <c r="BA1519" s="367"/>
      <c r="BB1519" s="152"/>
      <c r="BC1519" s="152"/>
      <c r="BD1519" s="367"/>
      <c r="BE1519" s="367"/>
      <c r="BF1519" s="367"/>
      <c r="BG1519" s="367"/>
      <c r="BH1519" s="260"/>
      <c r="BL1519" s="54"/>
    </row>
    <row r="1520" spans="1:64" x14ac:dyDescent="0.3">
      <c r="A1520" s="367">
        <f t="shared" si="27"/>
        <v>1515</v>
      </c>
      <c r="B1520" s="54"/>
      <c r="C1520" s="367"/>
      <c r="D1520" s="367"/>
      <c r="E1520" s="367"/>
      <c r="F1520" s="367"/>
      <c r="G1520" s="367"/>
      <c r="H1520" s="367"/>
      <c r="I1520" s="367"/>
      <c r="J1520" s="54"/>
      <c r="K1520" s="48"/>
      <c r="L1520" s="367"/>
      <c r="M1520" s="150"/>
      <c r="N1520" s="367"/>
      <c r="O1520" s="367"/>
      <c r="P1520" s="367"/>
      <c r="Q1520" s="367"/>
      <c r="R1520" s="367"/>
      <c r="S1520" s="367"/>
      <c r="T1520" s="367"/>
      <c r="U1520" s="367"/>
      <c r="V1520" s="367"/>
      <c r="W1520" s="367"/>
      <c r="X1520" s="367"/>
      <c r="Y1520" s="367"/>
      <c r="Z1520" s="367"/>
      <c r="AA1520" s="367"/>
      <c r="AB1520" s="150"/>
      <c r="AC1520" s="48"/>
      <c r="AD1520" s="150"/>
      <c r="AE1520" s="296"/>
      <c r="AF1520" s="296"/>
      <c r="AG1520" s="286"/>
      <c r="AH1520" s="49"/>
      <c r="AI1520" s="266"/>
      <c r="AJ1520" s="150"/>
      <c r="AK1520" s="150"/>
      <c r="AL1520" s="150"/>
      <c r="AM1520" s="150"/>
      <c r="AN1520" s="367"/>
      <c r="AO1520" s="367"/>
      <c r="AP1520" s="367"/>
      <c r="AQ1520" s="367"/>
      <c r="AR1520" s="367"/>
      <c r="AS1520" s="367"/>
      <c r="AT1520" s="367"/>
      <c r="AU1520" s="367"/>
      <c r="AV1520" s="367"/>
      <c r="AW1520" s="367"/>
      <c r="AX1520" s="367"/>
      <c r="AY1520" s="367"/>
      <c r="AZ1520" s="367"/>
      <c r="BA1520" s="367"/>
      <c r="BB1520" s="152"/>
      <c r="BC1520" s="152"/>
      <c r="BD1520" s="367"/>
      <c r="BE1520" s="367"/>
      <c r="BF1520" s="367"/>
      <c r="BG1520" s="367"/>
      <c r="BH1520" s="260"/>
      <c r="BL1520" s="54"/>
    </row>
    <row r="1521" spans="1:64" x14ac:dyDescent="0.3">
      <c r="A1521" s="367">
        <f t="shared" si="27"/>
        <v>1516</v>
      </c>
      <c r="B1521" s="54"/>
      <c r="C1521" s="367"/>
      <c r="D1521" s="367"/>
      <c r="E1521" s="367"/>
      <c r="F1521" s="367"/>
      <c r="G1521" s="367"/>
      <c r="H1521" s="367"/>
      <c r="I1521" s="367"/>
      <c r="J1521" s="54"/>
      <c r="K1521" s="48"/>
      <c r="L1521" s="367"/>
      <c r="M1521" s="150"/>
      <c r="N1521" s="367"/>
      <c r="O1521" s="367"/>
      <c r="P1521" s="367"/>
      <c r="Q1521" s="367"/>
      <c r="R1521" s="367"/>
      <c r="S1521" s="367"/>
      <c r="T1521" s="367"/>
      <c r="U1521" s="367"/>
      <c r="V1521" s="367"/>
      <c r="W1521" s="367"/>
      <c r="X1521" s="367"/>
      <c r="Y1521" s="367"/>
      <c r="Z1521" s="367"/>
      <c r="AA1521" s="367"/>
      <c r="AB1521" s="150"/>
      <c r="AC1521" s="48"/>
      <c r="AD1521" s="150"/>
      <c r="AE1521" s="296"/>
      <c r="AF1521" s="296"/>
      <c r="AG1521" s="286"/>
      <c r="AH1521" s="49"/>
      <c r="AI1521" s="266"/>
      <c r="AJ1521" s="150"/>
      <c r="AK1521" s="150"/>
      <c r="AL1521" s="150"/>
      <c r="AM1521" s="150"/>
      <c r="AN1521" s="367"/>
      <c r="AO1521" s="367"/>
      <c r="AP1521" s="367"/>
      <c r="AQ1521" s="367"/>
      <c r="AR1521" s="367"/>
      <c r="AS1521" s="367"/>
      <c r="AT1521" s="367"/>
      <c r="AU1521" s="367"/>
      <c r="AV1521" s="367"/>
      <c r="AW1521" s="367"/>
      <c r="AX1521" s="367"/>
      <c r="AY1521" s="367"/>
      <c r="AZ1521" s="367"/>
      <c r="BA1521" s="367"/>
      <c r="BB1521" s="152"/>
      <c r="BC1521" s="152"/>
      <c r="BD1521" s="367"/>
      <c r="BE1521" s="367"/>
      <c r="BF1521" s="367"/>
      <c r="BG1521" s="367"/>
      <c r="BH1521" s="260"/>
      <c r="BL1521" s="54"/>
    </row>
    <row r="1522" spans="1:64" x14ac:dyDescent="0.3">
      <c r="A1522" s="367">
        <f t="shared" si="27"/>
        <v>1517</v>
      </c>
      <c r="B1522" s="54"/>
      <c r="C1522" s="367"/>
      <c r="D1522" s="367"/>
      <c r="E1522" s="367"/>
      <c r="F1522" s="367"/>
      <c r="G1522" s="367"/>
      <c r="H1522" s="367"/>
      <c r="I1522" s="367"/>
      <c r="J1522" s="54"/>
      <c r="K1522" s="48"/>
      <c r="L1522" s="367"/>
      <c r="M1522" s="150"/>
      <c r="N1522" s="367"/>
      <c r="O1522" s="367"/>
      <c r="P1522" s="367"/>
      <c r="Q1522" s="367"/>
      <c r="R1522" s="367"/>
      <c r="S1522" s="367"/>
      <c r="T1522" s="367"/>
      <c r="U1522" s="367"/>
      <c r="V1522" s="367"/>
      <c r="W1522" s="367"/>
      <c r="X1522" s="367"/>
      <c r="Y1522" s="367"/>
      <c r="Z1522" s="367"/>
      <c r="AA1522" s="367"/>
      <c r="AB1522" s="150"/>
      <c r="AC1522" s="48"/>
      <c r="AD1522" s="150"/>
      <c r="AE1522" s="296"/>
      <c r="AF1522" s="296"/>
      <c r="AG1522" s="286"/>
      <c r="AH1522" s="49"/>
      <c r="AI1522" s="266"/>
      <c r="AJ1522" s="150"/>
      <c r="AK1522" s="150"/>
      <c r="AL1522" s="150"/>
      <c r="AM1522" s="150"/>
      <c r="AN1522" s="367"/>
      <c r="AO1522" s="367"/>
      <c r="AP1522" s="367"/>
      <c r="AQ1522" s="367"/>
      <c r="AR1522" s="367"/>
      <c r="AS1522" s="367"/>
      <c r="AT1522" s="367"/>
      <c r="AU1522" s="367"/>
      <c r="AV1522" s="367"/>
      <c r="AW1522" s="367"/>
      <c r="AX1522" s="367"/>
      <c r="AY1522" s="367"/>
      <c r="AZ1522" s="367"/>
      <c r="BA1522" s="367"/>
      <c r="BB1522" s="152"/>
      <c r="BC1522" s="152"/>
      <c r="BD1522" s="367"/>
      <c r="BE1522" s="367"/>
      <c r="BF1522" s="367"/>
      <c r="BG1522" s="367"/>
      <c r="BH1522" s="260"/>
      <c r="BL1522" s="54"/>
    </row>
    <row r="1523" spans="1:64" x14ac:dyDescent="0.3">
      <c r="A1523" s="367">
        <f t="shared" si="27"/>
        <v>1518</v>
      </c>
      <c r="B1523" s="54"/>
      <c r="C1523" s="367"/>
      <c r="D1523" s="367"/>
      <c r="E1523" s="367"/>
      <c r="F1523" s="367"/>
      <c r="G1523" s="367"/>
      <c r="H1523" s="367"/>
      <c r="I1523" s="367"/>
      <c r="J1523" s="54"/>
      <c r="K1523" s="48"/>
      <c r="L1523" s="367"/>
      <c r="M1523" s="150"/>
      <c r="N1523" s="367"/>
      <c r="O1523" s="367"/>
      <c r="P1523" s="367"/>
      <c r="Q1523" s="367"/>
      <c r="R1523" s="367"/>
      <c r="S1523" s="367"/>
      <c r="T1523" s="367"/>
      <c r="U1523" s="367"/>
      <c r="V1523" s="367"/>
      <c r="W1523" s="367"/>
      <c r="X1523" s="367"/>
      <c r="Y1523" s="367"/>
      <c r="Z1523" s="367"/>
      <c r="AA1523" s="367"/>
      <c r="AB1523" s="150"/>
      <c r="AC1523" s="48"/>
      <c r="AD1523" s="150"/>
      <c r="AE1523" s="296"/>
      <c r="AF1523" s="296"/>
      <c r="AG1523" s="286"/>
      <c r="AH1523" s="49"/>
      <c r="AI1523" s="266"/>
      <c r="AJ1523" s="150"/>
      <c r="AK1523" s="150"/>
      <c r="AL1523" s="150"/>
      <c r="AM1523" s="150"/>
      <c r="AN1523" s="367"/>
      <c r="AO1523" s="367"/>
      <c r="AP1523" s="367"/>
      <c r="AQ1523" s="367"/>
      <c r="AR1523" s="367"/>
      <c r="AS1523" s="367"/>
      <c r="AT1523" s="367"/>
      <c r="AU1523" s="367"/>
      <c r="AV1523" s="367"/>
      <c r="AW1523" s="367"/>
      <c r="AX1523" s="367"/>
      <c r="AY1523" s="367"/>
      <c r="AZ1523" s="367"/>
      <c r="BA1523" s="367"/>
      <c r="BB1523" s="152"/>
      <c r="BC1523" s="152"/>
      <c r="BD1523" s="367"/>
      <c r="BE1523" s="367"/>
      <c r="BF1523" s="367"/>
      <c r="BG1523" s="367"/>
      <c r="BH1523" s="260"/>
      <c r="BL1523" s="54"/>
    </row>
    <row r="1524" spans="1:64" x14ac:dyDescent="0.3">
      <c r="A1524" s="367">
        <f t="shared" si="27"/>
        <v>1519</v>
      </c>
      <c r="B1524" s="54"/>
      <c r="C1524" s="367"/>
      <c r="D1524" s="367"/>
      <c r="E1524" s="367"/>
      <c r="F1524" s="367"/>
      <c r="G1524" s="367"/>
      <c r="H1524" s="367"/>
      <c r="I1524" s="367"/>
      <c r="J1524" s="54"/>
      <c r="K1524" s="48"/>
      <c r="L1524" s="367"/>
      <c r="M1524" s="150"/>
      <c r="N1524" s="367"/>
      <c r="O1524" s="367"/>
      <c r="P1524" s="367"/>
      <c r="Q1524" s="367"/>
      <c r="R1524" s="367"/>
      <c r="S1524" s="367"/>
      <c r="T1524" s="367"/>
      <c r="U1524" s="367"/>
      <c r="V1524" s="367"/>
      <c r="W1524" s="367"/>
      <c r="X1524" s="367"/>
      <c r="Y1524" s="367"/>
      <c r="Z1524" s="367"/>
      <c r="AA1524" s="367"/>
      <c r="AB1524" s="150"/>
      <c r="AC1524" s="48"/>
      <c r="AD1524" s="150"/>
      <c r="AE1524" s="296"/>
      <c r="AF1524" s="296"/>
      <c r="AG1524" s="286"/>
      <c r="AH1524" s="49"/>
      <c r="AI1524" s="266"/>
      <c r="AJ1524" s="150"/>
      <c r="AK1524" s="150"/>
      <c r="AL1524" s="150"/>
      <c r="AM1524" s="150"/>
      <c r="AN1524" s="367"/>
      <c r="AO1524" s="367"/>
      <c r="AP1524" s="367"/>
      <c r="AQ1524" s="367"/>
      <c r="AR1524" s="367"/>
      <c r="AS1524" s="367"/>
      <c r="AT1524" s="367"/>
      <c r="AU1524" s="367"/>
      <c r="AV1524" s="367"/>
      <c r="AW1524" s="367"/>
      <c r="AX1524" s="367"/>
      <c r="AY1524" s="367"/>
      <c r="AZ1524" s="367"/>
      <c r="BA1524" s="367"/>
      <c r="BB1524" s="152"/>
      <c r="BC1524" s="152"/>
      <c r="BD1524" s="367"/>
      <c r="BE1524" s="367"/>
      <c r="BF1524" s="367"/>
      <c r="BG1524" s="367"/>
      <c r="BH1524" s="260"/>
      <c r="BL1524" s="54"/>
    </row>
    <row r="1525" spans="1:64" x14ac:dyDescent="0.3">
      <c r="A1525" s="367">
        <f t="shared" si="27"/>
        <v>1520</v>
      </c>
      <c r="B1525" s="54"/>
      <c r="C1525" s="367"/>
      <c r="D1525" s="367"/>
      <c r="E1525" s="367"/>
      <c r="F1525" s="367"/>
      <c r="G1525" s="367"/>
      <c r="H1525" s="367"/>
      <c r="I1525" s="367"/>
      <c r="J1525" s="54"/>
      <c r="K1525" s="48"/>
      <c r="L1525" s="367"/>
      <c r="M1525" s="150"/>
      <c r="N1525" s="367"/>
      <c r="O1525" s="367"/>
      <c r="P1525" s="367"/>
      <c r="Q1525" s="367"/>
      <c r="R1525" s="367"/>
      <c r="S1525" s="367"/>
      <c r="T1525" s="367"/>
      <c r="U1525" s="367"/>
      <c r="V1525" s="367"/>
      <c r="W1525" s="367"/>
      <c r="X1525" s="367"/>
      <c r="Y1525" s="367"/>
      <c r="Z1525" s="367"/>
      <c r="AA1525" s="367"/>
      <c r="AB1525" s="150"/>
      <c r="AC1525" s="48"/>
      <c r="AD1525" s="150"/>
      <c r="AE1525" s="296"/>
      <c r="AF1525" s="296"/>
      <c r="AG1525" s="286"/>
      <c r="AH1525" s="49"/>
      <c r="AI1525" s="266"/>
      <c r="AJ1525" s="150"/>
      <c r="AK1525" s="150"/>
      <c r="AL1525" s="150"/>
      <c r="AM1525" s="150"/>
      <c r="AN1525" s="367"/>
      <c r="AO1525" s="367"/>
      <c r="AP1525" s="367"/>
      <c r="AQ1525" s="367"/>
      <c r="AR1525" s="367"/>
      <c r="AS1525" s="367"/>
      <c r="AT1525" s="367"/>
      <c r="AU1525" s="367"/>
      <c r="AV1525" s="367"/>
      <c r="AW1525" s="367"/>
      <c r="AX1525" s="367"/>
      <c r="AY1525" s="367"/>
      <c r="AZ1525" s="367"/>
      <c r="BA1525" s="367"/>
      <c r="BB1525" s="152"/>
      <c r="BC1525" s="152"/>
      <c r="BD1525" s="367"/>
      <c r="BE1525" s="367"/>
      <c r="BF1525" s="367"/>
      <c r="BG1525" s="367"/>
      <c r="BH1525" s="260"/>
      <c r="BL1525" s="54"/>
    </row>
    <row r="1526" spans="1:64" x14ac:dyDescent="0.3">
      <c r="A1526" s="367">
        <f t="shared" si="27"/>
        <v>1521</v>
      </c>
      <c r="B1526" s="54"/>
      <c r="C1526" s="367"/>
      <c r="D1526" s="367"/>
      <c r="E1526" s="367"/>
      <c r="F1526" s="367"/>
      <c r="G1526" s="367"/>
      <c r="H1526" s="367"/>
      <c r="I1526" s="367"/>
      <c r="J1526" s="54"/>
      <c r="K1526" s="48"/>
      <c r="L1526" s="367"/>
      <c r="M1526" s="150"/>
      <c r="N1526" s="367"/>
      <c r="O1526" s="367"/>
      <c r="P1526" s="367"/>
      <c r="Q1526" s="367"/>
      <c r="R1526" s="367"/>
      <c r="S1526" s="367"/>
      <c r="T1526" s="367"/>
      <c r="U1526" s="367"/>
      <c r="V1526" s="367"/>
      <c r="W1526" s="367"/>
      <c r="X1526" s="367"/>
      <c r="Y1526" s="367"/>
      <c r="Z1526" s="367"/>
      <c r="AA1526" s="367"/>
      <c r="AB1526" s="150"/>
      <c r="AC1526" s="48"/>
      <c r="AD1526" s="150"/>
      <c r="AE1526" s="296"/>
      <c r="AF1526" s="296"/>
      <c r="AG1526" s="286"/>
      <c r="AH1526" s="49"/>
      <c r="AI1526" s="266"/>
      <c r="AJ1526" s="150"/>
      <c r="AK1526" s="150"/>
      <c r="AL1526" s="150"/>
      <c r="AM1526" s="150"/>
      <c r="AN1526" s="367"/>
      <c r="AO1526" s="367"/>
      <c r="AP1526" s="367"/>
      <c r="AQ1526" s="367"/>
      <c r="AR1526" s="367"/>
      <c r="AS1526" s="367"/>
      <c r="AT1526" s="367"/>
      <c r="AU1526" s="367"/>
      <c r="AV1526" s="367"/>
      <c r="AW1526" s="367"/>
      <c r="AX1526" s="367"/>
      <c r="AY1526" s="367"/>
      <c r="AZ1526" s="367"/>
      <c r="BA1526" s="367"/>
      <c r="BB1526" s="152"/>
      <c r="BC1526" s="152"/>
      <c r="BD1526" s="367"/>
      <c r="BE1526" s="367"/>
      <c r="BF1526" s="367"/>
      <c r="BG1526" s="367"/>
      <c r="BH1526" s="260"/>
      <c r="BL1526" s="54"/>
    </row>
    <row r="1527" spans="1:64" x14ac:dyDescent="0.3">
      <c r="A1527" s="367">
        <f t="shared" si="27"/>
        <v>1522</v>
      </c>
      <c r="B1527" s="54"/>
      <c r="C1527" s="367"/>
      <c r="D1527" s="367"/>
      <c r="E1527" s="367"/>
      <c r="F1527" s="367"/>
      <c r="G1527" s="367"/>
      <c r="H1527" s="367"/>
      <c r="I1527" s="367"/>
      <c r="J1527" s="54"/>
      <c r="K1527" s="48"/>
      <c r="L1527" s="367"/>
      <c r="M1527" s="150"/>
      <c r="N1527" s="367"/>
      <c r="O1527" s="367"/>
      <c r="P1527" s="367"/>
      <c r="Q1527" s="367"/>
      <c r="R1527" s="367"/>
      <c r="S1527" s="367"/>
      <c r="T1527" s="367"/>
      <c r="U1527" s="367"/>
      <c r="V1527" s="367"/>
      <c r="W1527" s="367"/>
      <c r="X1527" s="367"/>
      <c r="Y1527" s="367"/>
      <c r="Z1527" s="367"/>
      <c r="AA1527" s="367"/>
      <c r="AB1527" s="150"/>
      <c r="AC1527" s="48"/>
      <c r="AD1527" s="150"/>
      <c r="AE1527" s="296"/>
      <c r="AF1527" s="296"/>
      <c r="AG1527" s="286"/>
      <c r="AH1527" s="49"/>
      <c r="AI1527" s="266"/>
      <c r="AJ1527" s="150"/>
      <c r="AK1527" s="150"/>
      <c r="AL1527" s="150"/>
      <c r="AM1527" s="150"/>
      <c r="AN1527" s="367"/>
      <c r="AO1527" s="367"/>
      <c r="AP1527" s="367"/>
      <c r="AQ1527" s="367"/>
      <c r="AR1527" s="367"/>
      <c r="AS1527" s="367"/>
      <c r="AT1527" s="367"/>
      <c r="AU1527" s="367"/>
      <c r="AV1527" s="367"/>
      <c r="AW1527" s="367"/>
      <c r="AX1527" s="367"/>
      <c r="AY1527" s="367"/>
      <c r="AZ1527" s="367"/>
      <c r="BA1527" s="367"/>
      <c r="BB1527" s="152"/>
      <c r="BC1527" s="152"/>
      <c r="BD1527" s="367"/>
      <c r="BE1527" s="367"/>
      <c r="BF1527" s="367"/>
      <c r="BG1527" s="367"/>
      <c r="BH1527" s="260"/>
      <c r="BL1527" s="54"/>
    </row>
    <row r="1528" spans="1:64" x14ac:dyDescent="0.3">
      <c r="A1528" s="367">
        <f t="shared" si="27"/>
        <v>1523</v>
      </c>
      <c r="B1528" s="54"/>
      <c r="C1528" s="367"/>
      <c r="D1528" s="367"/>
      <c r="E1528" s="367"/>
      <c r="F1528" s="367"/>
      <c r="G1528" s="367"/>
      <c r="H1528" s="367"/>
      <c r="I1528" s="367"/>
      <c r="J1528" s="54"/>
      <c r="K1528" s="48"/>
      <c r="L1528" s="367"/>
      <c r="M1528" s="150"/>
      <c r="N1528" s="367"/>
      <c r="O1528" s="367"/>
      <c r="P1528" s="367"/>
      <c r="Q1528" s="367"/>
      <c r="R1528" s="367"/>
      <c r="S1528" s="367"/>
      <c r="T1528" s="367"/>
      <c r="U1528" s="367"/>
      <c r="V1528" s="367"/>
      <c r="W1528" s="367"/>
      <c r="X1528" s="367"/>
      <c r="Y1528" s="367"/>
      <c r="Z1528" s="367"/>
      <c r="AA1528" s="367"/>
      <c r="AB1528" s="150"/>
      <c r="AC1528" s="48"/>
      <c r="AD1528" s="150"/>
      <c r="AE1528" s="296"/>
      <c r="AF1528" s="296"/>
      <c r="AG1528" s="286"/>
      <c r="AH1528" s="49"/>
      <c r="AI1528" s="266"/>
      <c r="AJ1528" s="150"/>
      <c r="AK1528" s="150"/>
      <c r="AL1528" s="150"/>
      <c r="AM1528" s="150"/>
      <c r="AN1528" s="367"/>
      <c r="AO1528" s="367"/>
      <c r="AP1528" s="367"/>
      <c r="AQ1528" s="367"/>
      <c r="AR1528" s="367"/>
      <c r="AS1528" s="367"/>
      <c r="AT1528" s="367"/>
      <c r="AU1528" s="367"/>
      <c r="AV1528" s="367"/>
      <c r="AW1528" s="367"/>
      <c r="AX1528" s="367"/>
      <c r="AY1528" s="367"/>
      <c r="AZ1528" s="367"/>
      <c r="BA1528" s="367"/>
      <c r="BB1528" s="152"/>
      <c r="BC1528" s="152"/>
      <c r="BD1528" s="367"/>
      <c r="BE1528" s="367"/>
      <c r="BF1528" s="367"/>
      <c r="BG1528" s="367"/>
      <c r="BH1528" s="260"/>
      <c r="BL1528" s="54"/>
    </row>
    <row r="1529" spans="1:64" x14ac:dyDescent="0.3">
      <c r="A1529" s="367">
        <f t="shared" si="27"/>
        <v>1524</v>
      </c>
      <c r="B1529" s="54"/>
      <c r="C1529" s="367"/>
      <c r="D1529" s="367"/>
      <c r="E1529" s="367"/>
      <c r="F1529" s="367"/>
      <c r="G1529" s="367"/>
      <c r="H1529" s="367"/>
      <c r="I1529" s="367"/>
      <c r="J1529" s="54"/>
      <c r="K1529" s="48"/>
      <c r="L1529" s="367"/>
      <c r="M1529" s="150"/>
      <c r="N1529" s="367"/>
      <c r="O1529" s="367"/>
      <c r="P1529" s="367"/>
      <c r="Q1529" s="367"/>
      <c r="R1529" s="367"/>
      <c r="S1529" s="367"/>
      <c r="T1529" s="367"/>
      <c r="U1529" s="367"/>
      <c r="V1529" s="367"/>
      <c r="W1529" s="367"/>
      <c r="X1529" s="367"/>
      <c r="Y1529" s="367"/>
      <c r="Z1529" s="367"/>
      <c r="AA1529" s="367"/>
      <c r="AB1529" s="150"/>
      <c r="AC1529" s="48"/>
      <c r="AD1529" s="150"/>
      <c r="AE1529" s="296"/>
      <c r="AF1529" s="296"/>
      <c r="AG1529" s="286"/>
      <c r="AH1529" s="49"/>
      <c r="AI1529" s="266"/>
      <c r="AJ1529" s="150"/>
      <c r="AK1529" s="150"/>
      <c r="AL1529" s="150"/>
      <c r="AM1529" s="150"/>
      <c r="AN1529" s="367"/>
      <c r="AO1529" s="367"/>
      <c r="AP1529" s="367"/>
      <c r="AQ1529" s="367"/>
      <c r="AR1529" s="367"/>
      <c r="AS1529" s="367"/>
      <c r="AT1529" s="367"/>
      <c r="AU1529" s="367"/>
      <c r="AV1529" s="367"/>
      <c r="AW1529" s="367"/>
      <c r="AX1529" s="367"/>
      <c r="AY1529" s="367"/>
      <c r="AZ1529" s="367"/>
      <c r="BA1529" s="367"/>
      <c r="BB1529" s="152"/>
      <c r="BC1529" s="152"/>
      <c r="BD1529" s="367"/>
      <c r="BE1529" s="367"/>
      <c r="BF1529" s="367"/>
      <c r="BG1529" s="367"/>
      <c r="BH1529" s="260"/>
      <c r="BL1529" s="54"/>
    </row>
    <row r="1530" spans="1:64" x14ac:dyDescent="0.3">
      <c r="A1530" s="367">
        <f t="shared" si="27"/>
        <v>1525</v>
      </c>
      <c r="B1530" s="54"/>
      <c r="C1530" s="367"/>
      <c r="D1530" s="367"/>
      <c r="E1530" s="367"/>
      <c r="F1530" s="367"/>
      <c r="G1530" s="367"/>
      <c r="H1530" s="367"/>
      <c r="I1530" s="367"/>
      <c r="J1530" s="54"/>
      <c r="K1530" s="48"/>
      <c r="L1530" s="367"/>
      <c r="M1530" s="150"/>
      <c r="N1530" s="367"/>
      <c r="O1530" s="367"/>
      <c r="P1530" s="367"/>
      <c r="Q1530" s="367"/>
      <c r="R1530" s="367"/>
      <c r="S1530" s="367"/>
      <c r="T1530" s="367"/>
      <c r="U1530" s="367"/>
      <c r="V1530" s="367"/>
      <c r="W1530" s="367"/>
      <c r="X1530" s="367"/>
      <c r="Y1530" s="367"/>
      <c r="Z1530" s="367"/>
      <c r="AA1530" s="367"/>
      <c r="AB1530" s="150"/>
      <c r="AC1530" s="48"/>
      <c r="AD1530" s="150"/>
      <c r="AE1530" s="296"/>
      <c r="AF1530" s="296"/>
      <c r="AG1530" s="286"/>
      <c r="AH1530" s="49"/>
      <c r="AI1530" s="266"/>
      <c r="AJ1530" s="150"/>
      <c r="AK1530" s="150"/>
      <c r="AL1530" s="150"/>
      <c r="AM1530" s="150"/>
      <c r="AN1530" s="367"/>
      <c r="AO1530" s="367"/>
      <c r="AP1530" s="367"/>
      <c r="AQ1530" s="367"/>
      <c r="AR1530" s="367"/>
      <c r="AS1530" s="367"/>
      <c r="AT1530" s="367"/>
      <c r="AU1530" s="367"/>
      <c r="AV1530" s="367"/>
      <c r="AW1530" s="367"/>
      <c r="AX1530" s="367"/>
      <c r="AY1530" s="367"/>
      <c r="AZ1530" s="367"/>
      <c r="BA1530" s="367"/>
      <c r="BB1530" s="152"/>
      <c r="BC1530" s="152"/>
      <c r="BD1530" s="367"/>
      <c r="BE1530" s="367"/>
      <c r="BF1530" s="367"/>
      <c r="BG1530" s="367"/>
      <c r="BH1530" s="260"/>
      <c r="BL1530" s="54"/>
    </row>
    <row r="1531" spans="1:64" x14ac:dyDescent="0.3">
      <c r="A1531" s="367">
        <f t="shared" si="27"/>
        <v>1526</v>
      </c>
      <c r="B1531" s="54"/>
      <c r="C1531" s="367"/>
      <c r="D1531" s="367"/>
      <c r="E1531" s="367"/>
      <c r="F1531" s="367"/>
      <c r="G1531" s="367"/>
      <c r="H1531" s="367"/>
      <c r="I1531" s="367"/>
      <c r="J1531" s="54"/>
      <c r="K1531" s="48"/>
      <c r="L1531" s="367"/>
      <c r="M1531" s="150"/>
      <c r="N1531" s="367"/>
      <c r="O1531" s="367"/>
      <c r="P1531" s="367"/>
      <c r="Q1531" s="367"/>
      <c r="R1531" s="367"/>
      <c r="S1531" s="367"/>
      <c r="T1531" s="367"/>
      <c r="U1531" s="367"/>
      <c r="V1531" s="367"/>
      <c r="W1531" s="367"/>
      <c r="X1531" s="367"/>
      <c r="Y1531" s="367"/>
      <c r="Z1531" s="367"/>
      <c r="AA1531" s="367"/>
      <c r="AB1531" s="150"/>
      <c r="AC1531" s="48"/>
      <c r="AD1531" s="150"/>
      <c r="AE1531" s="296"/>
      <c r="AF1531" s="296"/>
      <c r="AG1531" s="286"/>
      <c r="AH1531" s="49"/>
      <c r="AI1531" s="266"/>
      <c r="AJ1531" s="150"/>
      <c r="AK1531" s="150"/>
      <c r="AL1531" s="150"/>
      <c r="AM1531" s="150"/>
      <c r="AN1531" s="367"/>
      <c r="AO1531" s="367"/>
      <c r="AP1531" s="367"/>
      <c r="AQ1531" s="367"/>
      <c r="AR1531" s="367"/>
      <c r="AS1531" s="367"/>
      <c r="AT1531" s="367"/>
      <c r="AU1531" s="367"/>
      <c r="AV1531" s="367"/>
      <c r="AW1531" s="367"/>
      <c r="AX1531" s="367"/>
      <c r="AY1531" s="367"/>
      <c r="AZ1531" s="367"/>
      <c r="BA1531" s="367"/>
      <c r="BB1531" s="152"/>
      <c r="BC1531" s="152"/>
      <c r="BD1531" s="367"/>
      <c r="BE1531" s="367"/>
      <c r="BF1531" s="367"/>
      <c r="BG1531" s="367"/>
      <c r="BH1531" s="260"/>
      <c r="BL1531" s="54"/>
    </row>
    <row r="1532" spans="1:64" x14ac:dyDescent="0.3">
      <c r="A1532" s="367">
        <f t="shared" si="27"/>
        <v>1527</v>
      </c>
      <c r="B1532" s="54"/>
      <c r="C1532" s="367"/>
      <c r="D1532" s="367"/>
      <c r="E1532" s="367"/>
      <c r="F1532" s="367"/>
      <c r="G1532" s="367"/>
      <c r="H1532" s="367"/>
      <c r="I1532" s="367"/>
      <c r="J1532" s="54"/>
      <c r="K1532" s="48"/>
      <c r="L1532" s="367"/>
      <c r="M1532" s="150"/>
      <c r="N1532" s="367"/>
      <c r="O1532" s="367"/>
      <c r="P1532" s="367"/>
      <c r="Q1532" s="367"/>
      <c r="R1532" s="367"/>
      <c r="S1532" s="367"/>
      <c r="T1532" s="367"/>
      <c r="U1532" s="367"/>
      <c r="V1532" s="367"/>
      <c r="W1532" s="367"/>
      <c r="X1532" s="367"/>
      <c r="Y1532" s="367"/>
      <c r="Z1532" s="367"/>
      <c r="AA1532" s="367"/>
      <c r="AB1532" s="150"/>
      <c r="AC1532" s="48"/>
      <c r="AD1532" s="150"/>
      <c r="AE1532" s="296"/>
      <c r="AF1532" s="296"/>
      <c r="AG1532" s="286"/>
      <c r="AH1532" s="49"/>
      <c r="AI1532" s="266"/>
      <c r="AJ1532" s="150"/>
      <c r="AK1532" s="150"/>
      <c r="AL1532" s="150"/>
      <c r="AM1532" s="150"/>
      <c r="AN1532" s="367"/>
      <c r="AO1532" s="367"/>
      <c r="AP1532" s="367"/>
      <c r="AQ1532" s="367"/>
      <c r="AR1532" s="367"/>
      <c r="AS1532" s="367"/>
      <c r="AT1532" s="367"/>
      <c r="AU1532" s="367"/>
      <c r="AV1532" s="367"/>
      <c r="AW1532" s="367"/>
      <c r="AX1532" s="367"/>
      <c r="AY1532" s="367"/>
      <c r="AZ1532" s="367"/>
      <c r="BA1532" s="367"/>
      <c r="BB1532" s="152"/>
      <c r="BC1532" s="152"/>
      <c r="BD1532" s="367"/>
      <c r="BE1532" s="367"/>
      <c r="BF1532" s="367"/>
      <c r="BG1532" s="367"/>
      <c r="BH1532" s="260"/>
      <c r="BL1532" s="54"/>
    </row>
    <row r="1533" spans="1:64" x14ac:dyDescent="0.3">
      <c r="A1533" s="367">
        <f t="shared" si="27"/>
        <v>1528</v>
      </c>
      <c r="B1533" s="54"/>
      <c r="C1533" s="367"/>
      <c r="D1533" s="367"/>
      <c r="E1533" s="367"/>
      <c r="F1533" s="367"/>
      <c r="G1533" s="367"/>
      <c r="H1533" s="367"/>
      <c r="I1533" s="367"/>
      <c r="J1533" s="54"/>
      <c r="K1533" s="48"/>
      <c r="L1533" s="367"/>
      <c r="M1533" s="150"/>
      <c r="N1533" s="367"/>
      <c r="O1533" s="367"/>
      <c r="P1533" s="367"/>
      <c r="Q1533" s="367"/>
      <c r="R1533" s="367"/>
      <c r="S1533" s="367"/>
      <c r="T1533" s="367"/>
      <c r="U1533" s="367"/>
      <c r="V1533" s="367"/>
      <c r="W1533" s="367"/>
      <c r="X1533" s="367"/>
      <c r="Y1533" s="367"/>
      <c r="Z1533" s="367"/>
      <c r="AA1533" s="367"/>
      <c r="AB1533" s="150"/>
      <c r="AC1533" s="48"/>
      <c r="AD1533" s="150"/>
      <c r="AE1533" s="296"/>
      <c r="AF1533" s="296"/>
      <c r="AG1533" s="286"/>
      <c r="AH1533" s="49"/>
      <c r="AI1533" s="266"/>
      <c r="AJ1533" s="150"/>
      <c r="AK1533" s="150"/>
      <c r="AL1533" s="150"/>
      <c r="AM1533" s="150"/>
      <c r="AN1533" s="367"/>
      <c r="AO1533" s="367"/>
      <c r="AP1533" s="367"/>
      <c r="AQ1533" s="367"/>
      <c r="AR1533" s="367"/>
      <c r="AS1533" s="367"/>
      <c r="AT1533" s="367"/>
      <c r="AU1533" s="367"/>
      <c r="AV1533" s="367"/>
      <c r="AW1533" s="367"/>
      <c r="AX1533" s="367"/>
      <c r="AY1533" s="367"/>
      <c r="AZ1533" s="367"/>
      <c r="BA1533" s="367"/>
      <c r="BB1533" s="152"/>
      <c r="BC1533" s="152"/>
      <c r="BD1533" s="367"/>
      <c r="BE1533" s="367"/>
      <c r="BF1533" s="367"/>
      <c r="BG1533" s="367"/>
      <c r="BH1533" s="260"/>
      <c r="BL1533" s="54"/>
    </row>
    <row r="1534" spans="1:64" x14ac:dyDescent="0.3">
      <c r="A1534" s="367">
        <f t="shared" si="27"/>
        <v>1529</v>
      </c>
      <c r="B1534" s="54"/>
      <c r="C1534" s="367"/>
      <c r="D1534" s="367"/>
      <c r="E1534" s="367"/>
      <c r="F1534" s="367"/>
      <c r="G1534" s="367"/>
      <c r="H1534" s="367"/>
      <c r="I1534" s="367"/>
      <c r="J1534" s="54"/>
      <c r="K1534" s="48"/>
      <c r="L1534" s="367"/>
      <c r="M1534" s="150"/>
      <c r="N1534" s="367"/>
      <c r="O1534" s="367"/>
      <c r="P1534" s="367"/>
      <c r="Q1534" s="367"/>
      <c r="R1534" s="367"/>
      <c r="S1534" s="367"/>
      <c r="T1534" s="367"/>
      <c r="U1534" s="367"/>
      <c r="V1534" s="367"/>
      <c r="W1534" s="367"/>
      <c r="X1534" s="367"/>
      <c r="Y1534" s="367"/>
      <c r="Z1534" s="367"/>
      <c r="AA1534" s="367"/>
      <c r="AB1534" s="150"/>
      <c r="AC1534" s="48"/>
      <c r="AD1534" s="150"/>
      <c r="AE1534" s="296"/>
      <c r="AF1534" s="296"/>
      <c r="AG1534" s="286"/>
      <c r="AH1534" s="49"/>
      <c r="AI1534" s="266"/>
      <c r="AJ1534" s="150"/>
      <c r="AK1534" s="150"/>
      <c r="AL1534" s="150"/>
      <c r="AM1534" s="150"/>
      <c r="AN1534" s="367"/>
      <c r="AO1534" s="367"/>
      <c r="AP1534" s="367"/>
      <c r="AQ1534" s="367"/>
      <c r="AR1534" s="367"/>
      <c r="AS1534" s="367"/>
      <c r="AT1534" s="367"/>
      <c r="AU1534" s="367"/>
      <c r="AV1534" s="367"/>
      <c r="AW1534" s="367"/>
      <c r="AX1534" s="367"/>
      <c r="AY1534" s="367"/>
      <c r="AZ1534" s="367"/>
      <c r="BA1534" s="367"/>
      <c r="BB1534" s="152"/>
      <c r="BC1534" s="152"/>
      <c r="BD1534" s="367"/>
      <c r="BE1534" s="367"/>
      <c r="BF1534" s="367"/>
      <c r="BG1534" s="367"/>
      <c r="BH1534" s="260"/>
      <c r="BL1534" s="54"/>
    </row>
    <row r="1535" spans="1:64" x14ac:dyDescent="0.3">
      <c r="A1535" s="367">
        <f t="shared" si="27"/>
        <v>1530</v>
      </c>
      <c r="B1535" s="54"/>
      <c r="C1535" s="367"/>
      <c r="D1535" s="367"/>
      <c r="E1535" s="367"/>
      <c r="F1535" s="367"/>
      <c r="G1535" s="367"/>
      <c r="H1535" s="367"/>
      <c r="I1535" s="367"/>
      <c r="J1535" s="54"/>
      <c r="K1535" s="48"/>
      <c r="L1535" s="367"/>
      <c r="M1535" s="150"/>
      <c r="N1535" s="367"/>
      <c r="O1535" s="367"/>
      <c r="P1535" s="367"/>
      <c r="Q1535" s="367"/>
      <c r="R1535" s="367"/>
      <c r="S1535" s="367"/>
      <c r="T1535" s="367"/>
      <c r="U1535" s="367"/>
      <c r="V1535" s="367"/>
      <c r="W1535" s="367"/>
      <c r="X1535" s="367"/>
      <c r="Y1535" s="367"/>
      <c r="Z1535" s="367"/>
      <c r="AA1535" s="367"/>
      <c r="AB1535" s="150"/>
      <c r="AC1535" s="48"/>
      <c r="AD1535" s="150"/>
      <c r="AE1535" s="296"/>
      <c r="AF1535" s="296"/>
      <c r="AG1535" s="286"/>
      <c r="AH1535" s="49"/>
      <c r="AI1535" s="266"/>
      <c r="AJ1535" s="150"/>
      <c r="AK1535" s="150"/>
      <c r="AL1535" s="150"/>
      <c r="AM1535" s="150"/>
      <c r="AN1535" s="367"/>
      <c r="AO1535" s="367"/>
      <c r="AP1535" s="367"/>
      <c r="AQ1535" s="367"/>
      <c r="AR1535" s="367"/>
      <c r="AS1535" s="367"/>
      <c r="AT1535" s="367"/>
      <c r="AU1535" s="367"/>
      <c r="AV1535" s="367"/>
      <c r="AW1535" s="367"/>
      <c r="AX1535" s="367"/>
      <c r="AY1535" s="367"/>
      <c r="AZ1535" s="367"/>
      <c r="BA1535" s="367"/>
      <c r="BB1535" s="152"/>
      <c r="BC1535" s="152"/>
      <c r="BD1535" s="367"/>
      <c r="BE1535" s="367"/>
      <c r="BF1535" s="367"/>
      <c r="BG1535" s="367"/>
      <c r="BH1535" s="260"/>
      <c r="BL1535" s="54"/>
    </row>
    <row r="1536" spans="1:64" x14ac:dyDescent="0.3">
      <c r="A1536" s="367">
        <f t="shared" si="27"/>
        <v>1531</v>
      </c>
      <c r="B1536" s="54"/>
      <c r="C1536" s="367"/>
      <c r="D1536" s="367"/>
      <c r="E1536" s="367"/>
      <c r="F1536" s="367"/>
      <c r="G1536" s="367"/>
      <c r="H1536" s="367"/>
      <c r="I1536" s="367"/>
      <c r="J1536" s="54"/>
      <c r="K1536" s="48"/>
      <c r="L1536" s="367"/>
      <c r="M1536" s="150"/>
      <c r="N1536" s="367"/>
      <c r="O1536" s="367"/>
      <c r="P1536" s="367"/>
      <c r="Q1536" s="367"/>
      <c r="R1536" s="367"/>
      <c r="S1536" s="367"/>
      <c r="T1536" s="367"/>
      <c r="U1536" s="367"/>
      <c r="V1536" s="367"/>
      <c r="W1536" s="367"/>
      <c r="X1536" s="367"/>
      <c r="Y1536" s="367"/>
      <c r="Z1536" s="367"/>
      <c r="AA1536" s="367"/>
      <c r="AB1536" s="150"/>
      <c r="AC1536" s="48"/>
      <c r="AD1536" s="150"/>
      <c r="AE1536" s="296"/>
      <c r="AF1536" s="296"/>
      <c r="AG1536" s="286"/>
      <c r="AH1536" s="49"/>
      <c r="AI1536" s="266"/>
      <c r="AJ1536" s="150"/>
      <c r="AK1536" s="150"/>
      <c r="AL1536" s="150"/>
      <c r="AM1536" s="150"/>
      <c r="AN1536" s="367"/>
      <c r="AO1536" s="367"/>
      <c r="AP1536" s="367"/>
      <c r="AQ1536" s="367"/>
      <c r="AR1536" s="367"/>
      <c r="AS1536" s="367"/>
      <c r="AT1536" s="367"/>
      <c r="AU1536" s="367"/>
      <c r="AV1536" s="367"/>
      <c r="AW1536" s="367"/>
      <c r="AX1536" s="367"/>
      <c r="AY1536" s="367"/>
      <c r="AZ1536" s="367"/>
      <c r="BA1536" s="367"/>
      <c r="BB1536" s="152"/>
      <c r="BC1536" s="152"/>
      <c r="BD1536" s="367"/>
      <c r="BE1536" s="367"/>
      <c r="BF1536" s="367"/>
      <c r="BG1536" s="367"/>
      <c r="BH1536" s="260"/>
      <c r="BL1536" s="54"/>
    </row>
    <row r="1537" spans="1:64" x14ac:dyDescent="0.3">
      <c r="A1537" s="367">
        <f t="shared" si="27"/>
        <v>1532</v>
      </c>
      <c r="B1537" s="54"/>
      <c r="C1537" s="367"/>
      <c r="D1537" s="367"/>
      <c r="E1537" s="367"/>
      <c r="F1537" s="367"/>
      <c r="G1537" s="367"/>
      <c r="H1537" s="367"/>
      <c r="I1537" s="367"/>
      <c r="J1537" s="54"/>
      <c r="K1537" s="48"/>
      <c r="L1537" s="367"/>
      <c r="M1537" s="150"/>
      <c r="N1537" s="367"/>
      <c r="O1537" s="367"/>
      <c r="P1537" s="367"/>
      <c r="Q1537" s="367"/>
      <c r="R1537" s="367"/>
      <c r="S1537" s="367"/>
      <c r="T1537" s="367"/>
      <c r="U1537" s="367"/>
      <c r="V1537" s="367"/>
      <c r="W1537" s="367"/>
      <c r="X1537" s="367"/>
      <c r="Y1537" s="367"/>
      <c r="Z1537" s="367"/>
      <c r="AA1537" s="367"/>
      <c r="AB1537" s="150"/>
      <c r="AC1537" s="48"/>
      <c r="AD1537" s="150"/>
      <c r="AE1537" s="296"/>
      <c r="AF1537" s="296"/>
      <c r="AG1537" s="286"/>
      <c r="AH1537" s="49"/>
      <c r="AI1537" s="266"/>
      <c r="AJ1537" s="150"/>
      <c r="AK1537" s="150"/>
      <c r="AL1537" s="150"/>
      <c r="AM1537" s="150"/>
      <c r="AN1537" s="367"/>
      <c r="AO1537" s="367"/>
      <c r="AP1537" s="367"/>
      <c r="AQ1537" s="367"/>
      <c r="AR1537" s="367"/>
      <c r="AS1537" s="367"/>
      <c r="AT1537" s="367"/>
      <c r="AU1537" s="367"/>
      <c r="AV1537" s="367"/>
      <c r="AW1537" s="367"/>
      <c r="AX1537" s="367"/>
      <c r="AY1537" s="367"/>
      <c r="AZ1537" s="367"/>
      <c r="BA1537" s="367"/>
      <c r="BB1537" s="152"/>
      <c r="BC1537" s="152"/>
      <c r="BD1537" s="367"/>
      <c r="BE1537" s="367"/>
      <c r="BF1537" s="367"/>
      <c r="BG1537" s="367"/>
      <c r="BH1537" s="260"/>
      <c r="BL1537" s="54"/>
    </row>
    <row r="1538" spans="1:64" x14ac:dyDescent="0.3">
      <c r="A1538" s="367">
        <f t="shared" si="27"/>
        <v>1533</v>
      </c>
      <c r="B1538" s="54"/>
      <c r="C1538" s="367"/>
      <c r="D1538" s="367"/>
      <c r="E1538" s="367"/>
      <c r="F1538" s="367"/>
      <c r="G1538" s="367"/>
      <c r="H1538" s="367"/>
      <c r="I1538" s="367"/>
      <c r="J1538" s="54"/>
      <c r="K1538" s="48"/>
      <c r="L1538" s="367"/>
      <c r="M1538" s="150"/>
      <c r="N1538" s="367"/>
      <c r="O1538" s="367"/>
      <c r="P1538" s="367"/>
      <c r="Q1538" s="367"/>
      <c r="R1538" s="367"/>
      <c r="S1538" s="367"/>
      <c r="T1538" s="367"/>
      <c r="U1538" s="367"/>
      <c r="V1538" s="367"/>
      <c r="W1538" s="367"/>
      <c r="X1538" s="367"/>
      <c r="Y1538" s="367"/>
      <c r="Z1538" s="367"/>
      <c r="AA1538" s="367"/>
      <c r="AB1538" s="150"/>
      <c r="AC1538" s="48"/>
      <c r="AD1538" s="150"/>
      <c r="AE1538" s="296"/>
      <c r="AF1538" s="296"/>
      <c r="AG1538" s="286"/>
      <c r="AH1538" s="49"/>
      <c r="AI1538" s="266"/>
      <c r="AJ1538" s="150"/>
      <c r="AK1538" s="150"/>
      <c r="AL1538" s="150"/>
      <c r="AM1538" s="150"/>
      <c r="AN1538" s="367"/>
      <c r="AO1538" s="367"/>
      <c r="AP1538" s="367"/>
      <c r="AQ1538" s="367"/>
      <c r="AR1538" s="367"/>
      <c r="AS1538" s="367"/>
      <c r="AT1538" s="367"/>
      <c r="AU1538" s="367"/>
      <c r="AV1538" s="367"/>
      <c r="AW1538" s="367"/>
      <c r="AX1538" s="367"/>
      <c r="AY1538" s="367"/>
      <c r="AZ1538" s="367"/>
      <c r="BA1538" s="367"/>
      <c r="BB1538" s="152"/>
      <c r="BC1538" s="152"/>
      <c r="BD1538" s="367"/>
      <c r="BE1538" s="367"/>
      <c r="BF1538" s="367"/>
      <c r="BG1538" s="367"/>
      <c r="BH1538" s="260"/>
      <c r="BL1538" s="54"/>
    </row>
    <row r="1539" spans="1:64" x14ac:dyDescent="0.3">
      <c r="A1539" s="367">
        <f t="shared" si="27"/>
        <v>1534</v>
      </c>
      <c r="B1539" s="54"/>
      <c r="C1539" s="367"/>
      <c r="D1539" s="367"/>
      <c r="E1539" s="367"/>
      <c r="F1539" s="367"/>
      <c r="G1539" s="367"/>
      <c r="H1539" s="367"/>
      <c r="I1539" s="367"/>
      <c r="J1539" s="54"/>
      <c r="K1539" s="48"/>
      <c r="L1539" s="367"/>
      <c r="M1539" s="150"/>
      <c r="N1539" s="367"/>
      <c r="O1539" s="367"/>
      <c r="P1539" s="367"/>
      <c r="Q1539" s="367"/>
      <c r="R1539" s="367"/>
      <c r="S1539" s="367"/>
      <c r="T1539" s="367"/>
      <c r="U1539" s="367"/>
      <c r="V1539" s="367"/>
      <c r="W1539" s="367"/>
      <c r="X1539" s="367"/>
      <c r="Y1539" s="367"/>
      <c r="Z1539" s="367"/>
      <c r="AA1539" s="367"/>
      <c r="AB1539" s="150"/>
      <c r="AC1539" s="48"/>
      <c r="AD1539" s="150"/>
      <c r="AE1539" s="296"/>
      <c r="AF1539" s="296"/>
      <c r="AG1539" s="286"/>
      <c r="AH1539" s="49"/>
      <c r="AI1539" s="266"/>
      <c r="AJ1539" s="150"/>
      <c r="AK1539" s="150"/>
      <c r="AL1539" s="150"/>
      <c r="AM1539" s="150"/>
      <c r="AN1539" s="367"/>
      <c r="AO1539" s="367"/>
      <c r="AP1539" s="367"/>
      <c r="AQ1539" s="367"/>
      <c r="AR1539" s="367"/>
      <c r="AS1539" s="367"/>
      <c r="AT1539" s="367"/>
      <c r="AU1539" s="367"/>
      <c r="AV1539" s="367"/>
      <c r="AW1539" s="367"/>
      <c r="AX1539" s="367"/>
      <c r="AY1539" s="367"/>
      <c r="AZ1539" s="367"/>
      <c r="BA1539" s="367"/>
      <c r="BB1539" s="152"/>
      <c r="BC1539" s="152"/>
      <c r="BD1539" s="367"/>
      <c r="BE1539" s="367"/>
      <c r="BF1539" s="367"/>
      <c r="BG1539" s="367"/>
      <c r="BH1539" s="260"/>
      <c r="BL1539" s="54"/>
    </row>
    <row r="1540" spans="1:64" x14ac:dyDescent="0.3">
      <c r="A1540" s="367">
        <f t="shared" si="27"/>
        <v>1535</v>
      </c>
      <c r="B1540" s="54"/>
      <c r="C1540" s="367"/>
      <c r="D1540" s="367"/>
      <c r="E1540" s="367"/>
      <c r="F1540" s="367"/>
      <c r="G1540" s="367"/>
      <c r="H1540" s="367"/>
      <c r="I1540" s="367"/>
      <c r="J1540" s="54"/>
      <c r="K1540" s="48"/>
      <c r="L1540" s="367"/>
      <c r="M1540" s="150"/>
      <c r="N1540" s="367"/>
      <c r="O1540" s="367"/>
      <c r="P1540" s="367"/>
      <c r="Q1540" s="367"/>
      <c r="R1540" s="367"/>
      <c r="S1540" s="367"/>
      <c r="T1540" s="367"/>
      <c r="U1540" s="367"/>
      <c r="V1540" s="367"/>
      <c r="W1540" s="367"/>
      <c r="X1540" s="367"/>
      <c r="Y1540" s="367"/>
      <c r="Z1540" s="367"/>
      <c r="AA1540" s="367"/>
      <c r="AB1540" s="150"/>
      <c r="AC1540" s="48"/>
      <c r="AD1540" s="150"/>
      <c r="AE1540" s="296"/>
      <c r="AF1540" s="296"/>
      <c r="AG1540" s="286"/>
      <c r="AH1540" s="49"/>
      <c r="AI1540" s="266"/>
      <c r="AJ1540" s="150"/>
      <c r="AK1540" s="150"/>
      <c r="AL1540" s="150"/>
      <c r="AM1540" s="150"/>
      <c r="AN1540" s="367"/>
      <c r="AO1540" s="367"/>
      <c r="AP1540" s="367"/>
      <c r="AQ1540" s="367"/>
      <c r="AR1540" s="367"/>
      <c r="AS1540" s="367"/>
      <c r="AT1540" s="367"/>
      <c r="AU1540" s="367"/>
      <c r="AV1540" s="367"/>
      <c r="AW1540" s="367"/>
      <c r="AX1540" s="367"/>
      <c r="AY1540" s="367"/>
      <c r="AZ1540" s="367"/>
      <c r="BA1540" s="367"/>
      <c r="BB1540" s="152"/>
      <c r="BC1540" s="152"/>
      <c r="BD1540" s="367"/>
      <c r="BE1540" s="367"/>
      <c r="BF1540" s="367"/>
      <c r="BG1540" s="367"/>
      <c r="BH1540" s="260"/>
      <c r="BL1540" s="54"/>
    </row>
    <row r="1541" spans="1:64" x14ac:dyDescent="0.3">
      <c r="A1541" s="367">
        <f t="shared" si="27"/>
        <v>1536</v>
      </c>
      <c r="B1541" s="54"/>
      <c r="C1541" s="367"/>
      <c r="D1541" s="367"/>
      <c r="E1541" s="367"/>
      <c r="F1541" s="367"/>
      <c r="G1541" s="367"/>
      <c r="H1541" s="367"/>
      <c r="I1541" s="367"/>
      <c r="J1541" s="54"/>
      <c r="K1541" s="48"/>
      <c r="L1541" s="367"/>
      <c r="M1541" s="150"/>
      <c r="N1541" s="367"/>
      <c r="O1541" s="367"/>
      <c r="P1541" s="367"/>
      <c r="Q1541" s="367"/>
      <c r="R1541" s="367"/>
      <c r="S1541" s="367"/>
      <c r="T1541" s="367"/>
      <c r="U1541" s="367"/>
      <c r="V1541" s="367"/>
      <c r="W1541" s="367"/>
      <c r="X1541" s="367"/>
      <c r="Y1541" s="367"/>
      <c r="Z1541" s="367"/>
      <c r="AA1541" s="367"/>
      <c r="AB1541" s="150"/>
      <c r="AC1541" s="48"/>
      <c r="AD1541" s="150"/>
      <c r="AE1541" s="296"/>
      <c r="AF1541" s="296"/>
      <c r="AG1541" s="286"/>
      <c r="AH1541" s="49"/>
      <c r="AI1541" s="266"/>
      <c r="AJ1541" s="150"/>
      <c r="AK1541" s="150"/>
      <c r="AL1541" s="150"/>
      <c r="AM1541" s="150"/>
      <c r="AN1541" s="367"/>
      <c r="AO1541" s="367"/>
      <c r="AP1541" s="367"/>
      <c r="AQ1541" s="367"/>
      <c r="AR1541" s="367"/>
      <c r="AS1541" s="367"/>
      <c r="AT1541" s="367"/>
      <c r="AU1541" s="367"/>
      <c r="AV1541" s="367"/>
      <c r="AW1541" s="367"/>
      <c r="AX1541" s="367"/>
      <c r="AY1541" s="367"/>
      <c r="AZ1541" s="367"/>
      <c r="BA1541" s="367"/>
      <c r="BB1541" s="152"/>
      <c r="BC1541" s="152"/>
      <c r="BD1541" s="367"/>
      <c r="BE1541" s="367"/>
      <c r="BF1541" s="367"/>
      <c r="BG1541" s="367"/>
      <c r="BH1541" s="260"/>
      <c r="BL1541" s="54"/>
    </row>
    <row r="1542" spans="1:64" x14ac:dyDescent="0.3">
      <c r="A1542" s="367">
        <f t="shared" si="27"/>
        <v>1537</v>
      </c>
      <c r="B1542" s="54"/>
      <c r="C1542" s="367"/>
      <c r="D1542" s="367"/>
      <c r="E1542" s="367"/>
      <c r="F1542" s="367"/>
      <c r="G1542" s="367"/>
      <c r="H1542" s="367"/>
      <c r="I1542" s="367"/>
      <c r="J1542" s="54"/>
      <c r="K1542" s="48"/>
      <c r="L1542" s="367"/>
      <c r="M1542" s="150"/>
      <c r="N1542" s="367"/>
      <c r="O1542" s="367"/>
      <c r="P1542" s="367"/>
      <c r="Q1542" s="367"/>
      <c r="R1542" s="367"/>
      <c r="S1542" s="367"/>
      <c r="T1542" s="367"/>
      <c r="U1542" s="367"/>
      <c r="V1542" s="367"/>
      <c r="W1542" s="367"/>
      <c r="X1542" s="367"/>
      <c r="Y1542" s="367"/>
      <c r="Z1542" s="367"/>
      <c r="AA1542" s="367"/>
      <c r="AB1542" s="150"/>
      <c r="AC1542" s="48"/>
      <c r="AD1542" s="150"/>
      <c r="AE1542" s="296"/>
      <c r="AF1542" s="296"/>
      <c r="AG1542" s="286"/>
      <c r="AH1542" s="49"/>
      <c r="AI1542" s="266"/>
      <c r="AJ1542" s="150"/>
      <c r="AK1542" s="150"/>
      <c r="AL1542" s="150"/>
      <c r="AM1542" s="150"/>
      <c r="AN1542" s="367"/>
      <c r="AO1542" s="367"/>
      <c r="AP1542" s="367"/>
      <c r="AQ1542" s="367"/>
      <c r="AR1542" s="367"/>
      <c r="AS1542" s="367"/>
      <c r="AT1542" s="367"/>
      <c r="AU1542" s="367"/>
      <c r="AV1542" s="367"/>
      <c r="AW1542" s="367"/>
      <c r="AX1542" s="367"/>
      <c r="AY1542" s="367"/>
      <c r="AZ1542" s="367"/>
      <c r="BA1542" s="367"/>
      <c r="BB1542" s="152"/>
      <c r="BC1542" s="152"/>
      <c r="BD1542" s="367"/>
      <c r="BE1542" s="367"/>
      <c r="BF1542" s="367"/>
      <c r="BG1542" s="367"/>
      <c r="BH1542" s="260"/>
      <c r="BL1542" s="54"/>
    </row>
    <row r="1543" spans="1:64" x14ac:dyDescent="0.3">
      <c r="A1543" s="367">
        <f t="shared" si="27"/>
        <v>1538</v>
      </c>
      <c r="B1543" s="54"/>
      <c r="C1543" s="367"/>
      <c r="D1543" s="367"/>
      <c r="E1543" s="367"/>
      <c r="F1543" s="367"/>
      <c r="G1543" s="367"/>
      <c r="H1543" s="367"/>
      <c r="I1543" s="367"/>
      <c r="J1543" s="54"/>
      <c r="K1543" s="48"/>
      <c r="L1543" s="367"/>
      <c r="M1543" s="150"/>
      <c r="N1543" s="367"/>
      <c r="O1543" s="367"/>
      <c r="P1543" s="367"/>
      <c r="Q1543" s="367"/>
      <c r="R1543" s="367"/>
      <c r="S1543" s="367"/>
      <c r="T1543" s="367"/>
      <c r="U1543" s="367"/>
      <c r="V1543" s="367"/>
      <c r="W1543" s="367"/>
      <c r="X1543" s="367"/>
      <c r="Y1543" s="367"/>
      <c r="Z1543" s="367"/>
      <c r="AA1543" s="367"/>
      <c r="AB1543" s="150"/>
      <c r="AC1543" s="48"/>
      <c r="AD1543" s="150"/>
      <c r="AE1543" s="296"/>
      <c r="AF1543" s="296"/>
      <c r="AG1543" s="286"/>
      <c r="AH1543" s="49"/>
      <c r="AI1543" s="266"/>
      <c r="AJ1543" s="150"/>
      <c r="AK1543" s="150"/>
      <c r="AL1543" s="150"/>
      <c r="AM1543" s="150"/>
      <c r="AN1543" s="367"/>
      <c r="AO1543" s="367"/>
      <c r="AP1543" s="367"/>
      <c r="AQ1543" s="367"/>
      <c r="AR1543" s="367"/>
      <c r="AS1543" s="367"/>
      <c r="AT1543" s="367"/>
      <c r="AU1543" s="367"/>
      <c r="AV1543" s="367"/>
      <c r="AW1543" s="367"/>
      <c r="AX1543" s="367"/>
      <c r="AY1543" s="367"/>
      <c r="AZ1543" s="367"/>
      <c r="BA1543" s="367"/>
      <c r="BB1543" s="152"/>
      <c r="BC1543" s="152"/>
      <c r="BD1543" s="367"/>
      <c r="BE1543" s="367"/>
      <c r="BF1543" s="367"/>
      <c r="BG1543" s="367"/>
      <c r="BH1543" s="260"/>
      <c r="BL1543" s="54"/>
    </row>
    <row r="1544" spans="1:64" x14ac:dyDescent="0.3">
      <c r="A1544" s="367">
        <f t="shared" si="27"/>
        <v>1539</v>
      </c>
      <c r="B1544" s="54"/>
      <c r="C1544" s="367"/>
      <c r="D1544" s="367"/>
      <c r="E1544" s="367"/>
      <c r="F1544" s="367"/>
      <c r="G1544" s="367"/>
      <c r="H1544" s="367"/>
      <c r="I1544" s="367"/>
      <c r="J1544" s="54"/>
      <c r="K1544" s="48"/>
      <c r="L1544" s="367"/>
      <c r="M1544" s="150"/>
      <c r="N1544" s="367"/>
      <c r="O1544" s="367"/>
      <c r="P1544" s="367"/>
      <c r="Q1544" s="367"/>
      <c r="R1544" s="367"/>
      <c r="S1544" s="367"/>
      <c r="T1544" s="367"/>
      <c r="U1544" s="367"/>
      <c r="V1544" s="367"/>
      <c r="W1544" s="367"/>
      <c r="X1544" s="367"/>
      <c r="Y1544" s="367"/>
      <c r="Z1544" s="367"/>
      <c r="AA1544" s="367"/>
      <c r="AB1544" s="150"/>
      <c r="AC1544" s="48"/>
      <c r="AD1544" s="150"/>
      <c r="AE1544" s="296"/>
      <c r="AF1544" s="296"/>
      <c r="AG1544" s="286"/>
      <c r="AH1544" s="49"/>
      <c r="AI1544" s="266"/>
      <c r="AJ1544" s="150"/>
      <c r="AK1544" s="150"/>
      <c r="AL1544" s="150"/>
      <c r="AM1544" s="150"/>
      <c r="AN1544" s="367"/>
      <c r="AO1544" s="367"/>
      <c r="AP1544" s="367"/>
      <c r="AQ1544" s="367"/>
      <c r="AR1544" s="367"/>
      <c r="AS1544" s="367"/>
      <c r="AT1544" s="367"/>
      <c r="AU1544" s="367"/>
      <c r="AV1544" s="367"/>
      <c r="AW1544" s="367"/>
      <c r="AX1544" s="367"/>
      <c r="AY1544" s="367"/>
      <c r="AZ1544" s="367"/>
      <c r="BA1544" s="367"/>
      <c r="BB1544" s="152"/>
      <c r="BC1544" s="152"/>
      <c r="BD1544" s="367"/>
      <c r="BE1544" s="367"/>
      <c r="BF1544" s="367"/>
      <c r="BG1544" s="367"/>
      <c r="BH1544" s="260"/>
      <c r="BL1544" s="54"/>
    </row>
    <row r="1545" spans="1:64" x14ac:dyDescent="0.3">
      <c r="A1545" s="367">
        <f t="shared" si="27"/>
        <v>1540</v>
      </c>
      <c r="B1545" s="54"/>
      <c r="C1545" s="367"/>
      <c r="D1545" s="367"/>
      <c r="E1545" s="367"/>
      <c r="F1545" s="367"/>
      <c r="G1545" s="367"/>
      <c r="H1545" s="367"/>
      <c r="I1545" s="367"/>
      <c r="J1545" s="54"/>
      <c r="K1545" s="48"/>
      <c r="L1545" s="367"/>
      <c r="M1545" s="150"/>
      <c r="N1545" s="367"/>
      <c r="O1545" s="367"/>
      <c r="P1545" s="367"/>
      <c r="Q1545" s="367"/>
      <c r="R1545" s="367"/>
      <c r="S1545" s="367"/>
      <c r="T1545" s="367"/>
      <c r="U1545" s="367"/>
      <c r="V1545" s="367"/>
      <c r="W1545" s="367"/>
      <c r="X1545" s="367"/>
      <c r="Y1545" s="367"/>
      <c r="Z1545" s="367"/>
      <c r="AA1545" s="367"/>
      <c r="AB1545" s="150"/>
      <c r="AC1545" s="48"/>
      <c r="AD1545" s="150"/>
      <c r="AE1545" s="296"/>
      <c r="AF1545" s="296"/>
      <c r="AG1545" s="286"/>
      <c r="AH1545" s="49"/>
      <c r="AI1545" s="266"/>
      <c r="AJ1545" s="150"/>
      <c r="AK1545" s="150"/>
      <c r="AL1545" s="150"/>
      <c r="AM1545" s="150"/>
      <c r="AN1545" s="367"/>
      <c r="AO1545" s="367"/>
      <c r="AP1545" s="367"/>
      <c r="AQ1545" s="367"/>
      <c r="AR1545" s="367"/>
      <c r="AS1545" s="367"/>
      <c r="AT1545" s="367"/>
      <c r="AU1545" s="367"/>
      <c r="AV1545" s="367"/>
      <c r="AW1545" s="367"/>
      <c r="AX1545" s="367"/>
      <c r="AY1545" s="367"/>
      <c r="AZ1545" s="367"/>
      <c r="BA1545" s="367"/>
      <c r="BB1545" s="152"/>
      <c r="BC1545" s="152"/>
      <c r="BD1545" s="367"/>
      <c r="BE1545" s="367"/>
      <c r="BF1545" s="367"/>
      <c r="BG1545" s="367"/>
      <c r="BH1545" s="260"/>
      <c r="BL1545" s="54"/>
    </row>
    <row r="1546" spans="1:64" x14ac:dyDescent="0.3">
      <c r="AE1546" s="295"/>
      <c r="AF1546" s="295"/>
      <c r="AI1546" s="267"/>
    </row>
    <row r="1547" spans="1:64" x14ac:dyDescent="0.3">
      <c r="AI1547" s="267"/>
    </row>
    <row r="1548" spans="1:64" x14ac:dyDescent="0.3">
      <c r="AI1548" s="267"/>
    </row>
    <row r="1549" spans="1:64" x14ac:dyDescent="0.3">
      <c r="AI1549" s="267"/>
    </row>
    <row r="1550" spans="1:64" x14ac:dyDescent="0.3">
      <c r="AI1550" s="267"/>
    </row>
    <row r="1551" spans="1:64" x14ac:dyDescent="0.3">
      <c r="AI1551" s="267"/>
    </row>
    <row r="1552" spans="1:64" x14ac:dyDescent="0.3">
      <c r="AI1552" s="267"/>
    </row>
    <row r="1553" spans="35:35" x14ac:dyDescent="0.3">
      <c r="AI1553" s="267"/>
    </row>
    <row r="1554" spans="35:35" x14ac:dyDescent="0.3">
      <c r="AI1554" s="267"/>
    </row>
    <row r="1555" spans="35:35" x14ac:dyDescent="0.3">
      <c r="AI1555" s="267"/>
    </row>
    <row r="1556" spans="35:35" x14ac:dyDescent="0.3">
      <c r="AI1556" s="267"/>
    </row>
    <row r="1557" spans="35:35" x14ac:dyDescent="0.3">
      <c r="AI1557" s="267"/>
    </row>
    <row r="1558" spans="35:35" x14ac:dyDescent="0.3">
      <c r="AI1558" s="267"/>
    </row>
    <row r="1559" spans="35:35" x14ac:dyDescent="0.3">
      <c r="AI1559" s="267"/>
    </row>
    <row r="1560" spans="35:35" x14ac:dyDescent="0.3">
      <c r="AI1560" s="267"/>
    </row>
    <row r="1561" spans="35:35" x14ac:dyDescent="0.3">
      <c r="AI1561" s="267"/>
    </row>
    <row r="1562" spans="35:35" x14ac:dyDescent="0.3">
      <c r="AI1562" s="267"/>
    </row>
    <row r="1563" spans="35:35" x14ac:dyDescent="0.3">
      <c r="AI1563" s="267"/>
    </row>
    <row r="1564" spans="35:35" x14ac:dyDescent="0.3">
      <c r="AI1564" s="267"/>
    </row>
    <row r="1565" spans="35:35" x14ac:dyDescent="0.3">
      <c r="AI1565" s="267"/>
    </row>
    <row r="1566" spans="35:35" x14ac:dyDescent="0.3">
      <c r="AI1566" s="267"/>
    </row>
    <row r="1567" spans="35:35" x14ac:dyDescent="0.3">
      <c r="AI1567" s="267"/>
    </row>
    <row r="1568" spans="35:35" x14ac:dyDescent="0.3">
      <c r="AI1568" s="267"/>
    </row>
    <row r="1569" spans="35:35" x14ac:dyDescent="0.3">
      <c r="AI1569" s="267"/>
    </row>
    <row r="1570" spans="35:35" x14ac:dyDescent="0.3">
      <c r="AI1570" s="267"/>
    </row>
    <row r="1571" spans="35:35" x14ac:dyDescent="0.3">
      <c r="AI1571" s="267"/>
    </row>
    <row r="1572" spans="35:35" x14ac:dyDescent="0.3">
      <c r="AI1572" s="267"/>
    </row>
    <row r="1573" spans="35:35" x14ac:dyDescent="0.3">
      <c r="AI1573" s="267"/>
    </row>
    <row r="1574" spans="35:35" x14ac:dyDescent="0.3">
      <c r="AI1574" s="267"/>
    </row>
    <row r="1575" spans="35:35" x14ac:dyDescent="0.3">
      <c r="AI1575" s="267"/>
    </row>
    <row r="1576" spans="35:35" x14ac:dyDescent="0.3">
      <c r="AI1576" s="267"/>
    </row>
    <row r="1577" spans="35:35" x14ac:dyDescent="0.3">
      <c r="AI1577" s="267"/>
    </row>
    <row r="1578" spans="35:35" x14ac:dyDescent="0.3">
      <c r="AI1578" s="267"/>
    </row>
    <row r="1579" spans="35:35" x14ac:dyDescent="0.3">
      <c r="AI1579" s="267"/>
    </row>
    <row r="1580" spans="35:35" x14ac:dyDescent="0.3">
      <c r="AI1580" s="267"/>
    </row>
    <row r="1581" spans="35:35" x14ac:dyDescent="0.3">
      <c r="AI1581" s="267"/>
    </row>
    <row r="1582" spans="35:35" x14ac:dyDescent="0.3">
      <c r="AI1582" s="267"/>
    </row>
    <row r="1583" spans="35:35" x14ac:dyDescent="0.3">
      <c r="AI1583" s="267"/>
    </row>
    <row r="1584" spans="35:35" x14ac:dyDescent="0.3">
      <c r="AI1584" s="267"/>
    </row>
    <row r="1585" spans="35:35" x14ac:dyDescent="0.3">
      <c r="AI1585" s="267"/>
    </row>
    <row r="1586" spans="35:35" x14ac:dyDescent="0.3">
      <c r="AI1586" s="267"/>
    </row>
    <row r="1587" spans="35:35" x14ac:dyDescent="0.3">
      <c r="AI1587" s="267"/>
    </row>
    <row r="1588" spans="35:35" x14ac:dyDescent="0.3">
      <c r="AI1588" s="267"/>
    </row>
    <row r="1589" spans="35:35" x14ac:dyDescent="0.3">
      <c r="AI1589" s="267"/>
    </row>
    <row r="1590" spans="35:35" x14ac:dyDescent="0.3">
      <c r="AI1590" s="267"/>
    </row>
    <row r="1591" spans="35:35" x14ac:dyDescent="0.3">
      <c r="AI1591" s="267"/>
    </row>
    <row r="1592" spans="35:35" x14ac:dyDescent="0.3">
      <c r="AI1592" s="267"/>
    </row>
    <row r="1593" spans="35:35" x14ac:dyDescent="0.3">
      <c r="AI1593" s="267"/>
    </row>
    <row r="1594" spans="35:35" x14ac:dyDescent="0.3">
      <c r="AI1594" s="267"/>
    </row>
    <row r="1595" spans="35:35" x14ac:dyDescent="0.3">
      <c r="AI1595" s="267"/>
    </row>
    <row r="1596" spans="35:35" x14ac:dyDescent="0.3">
      <c r="AI1596" s="267"/>
    </row>
    <row r="1597" spans="35:35" x14ac:dyDescent="0.3">
      <c r="AI1597" s="267"/>
    </row>
    <row r="1598" spans="35:35" x14ac:dyDescent="0.3">
      <c r="AI1598" s="267"/>
    </row>
    <row r="1599" spans="35:35" x14ac:dyDescent="0.3">
      <c r="AI1599" s="267"/>
    </row>
    <row r="1600" spans="35:35" x14ac:dyDescent="0.3">
      <c r="AI1600" s="267"/>
    </row>
    <row r="1601" spans="35:35" x14ac:dyDescent="0.3">
      <c r="AI1601" s="267"/>
    </row>
    <row r="1602" spans="35:35" x14ac:dyDescent="0.3">
      <c r="AI1602" s="267"/>
    </row>
    <row r="1603" spans="35:35" x14ac:dyDescent="0.3">
      <c r="AI1603" s="267"/>
    </row>
    <row r="1604" spans="35:35" x14ac:dyDescent="0.3">
      <c r="AI1604" s="267"/>
    </row>
    <row r="1605" spans="35:35" x14ac:dyDescent="0.3">
      <c r="AI1605" s="267"/>
    </row>
    <row r="1606" spans="35:35" x14ac:dyDescent="0.3">
      <c r="AI1606" s="267"/>
    </row>
    <row r="1607" spans="35:35" x14ac:dyDescent="0.3">
      <c r="AI1607" s="267"/>
    </row>
    <row r="1608" spans="35:35" x14ac:dyDescent="0.3">
      <c r="AI1608" s="267"/>
    </row>
    <row r="1609" spans="35:35" x14ac:dyDescent="0.3">
      <c r="AI1609" s="267"/>
    </row>
    <row r="1610" spans="35:35" x14ac:dyDescent="0.3">
      <c r="AI1610" s="267"/>
    </row>
    <row r="1611" spans="35:35" x14ac:dyDescent="0.3">
      <c r="AI1611" s="267"/>
    </row>
    <row r="1612" spans="35:35" x14ac:dyDescent="0.3">
      <c r="AI1612" s="267"/>
    </row>
    <row r="1613" spans="35:35" x14ac:dyDescent="0.3">
      <c r="AI1613" s="267"/>
    </row>
    <row r="1614" spans="35:35" x14ac:dyDescent="0.3">
      <c r="AI1614" s="267"/>
    </row>
    <row r="1615" spans="35:35" x14ac:dyDescent="0.3">
      <c r="AI1615" s="267"/>
    </row>
    <row r="1616" spans="35:35" x14ac:dyDescent="0.3">
      <c r="AI1616" s="267"/>
    </row>
    <row r="1617" spans="35:35" x14ac:dyDescent="0.3">
      <c r="AI1617" s="267"/>
    </row>
    <row r="1618" spans="35:35" x14ac:dyDescent="0.3">
      <c r="AI1618" s="267"/>
    </row>
    <row r="1619" spans="35:35" x14ac:dyDescent="0.3">
      <c r="AI1619" s="267"/>
    </row>
    <row r="1620" spans="35:35" x14ac:dyDescent="0.3">
      <c r="AI1620" s="267"/>
    </row>
    <row r="1621" spans="35:35" x14ac:dyDescent="0.3">
      <c r="AI1621" s="267"/>
    </row>
    <row r="1622" spans="35:35" x14ac:dyDescent="0.3">
      <c r="AI1622" s="267"/>
    </row>
    <row r="1623" spans="35:35" x14ac:dyDescent="0.3">
      <c r="AI1623" s="267"/>
    </row>
    <row r="1624" spans="35:35" x14ac:dyDescent="0.3">
      <c r="AI1624" s="267"/>
    </row>
    <row r="1625" spans="35:35" x14ac:dyDescent="0.3">
      <c r="AI1625" s="267"/>
    </row>
    <row r="1626" spans="35:35" x14ac:dyDescent="0.3">
      <c r="AI1626" s="267"/>
    </row>
    <row r="1627" spans="35:35" x14ac:dyDescent="0.3">
      <c r="AI1627" s="267"/>
    </row>
    <row r="1628" spans="35:35" x14ac:dyDescent="0.3">
      <c r="AI1628" s="267"/>
    </row>
    <row r="1629" spans="35:35" x14ac:dyDescent="0.3">
      <c r="AI1629" s="267"/>
    </row>
    <row r="1630" spans="35:35" x14ac:dyDescent="0.3">
      <c r="AI1630" s="267"/>
    </row>
    <row r="1631" spans="35:35" x14ac:dyDescent="0.3">
      <c r="AI1631" s="267"/>
    </row>
    <row r="1632" spans="35:35" x14ac:dyDescent="0.3">
      <c r="AI1632" s="267"/>
    </row>
    <row r="1633" spans="35:35" x14ac:dyDescent="0.3">
      <c r="AI1633" s="267"/>
    </row>
    <row r="1634" spans="35:35" x14ac:dyDescent="0.3">
      <c r="AI1634" s="267"/>
    </row>
    <row r="1635" spans="35:35" x14ac:dyDescent="0.3">
      <c r="AI1635" s="267"/>
    </row>
    <row r="1636" spans="35:35" x14ac:dyDescent="0.3">
      <c r="AI1636" s="267"/>
    </row>
    <row r="1637" spans="35:35" x14ac:dyDescent="0.3">
      <c r="AI1637" s="267"/>
    </row>
    <row r="1638" spans="35:35" x14ac:dyDescent="0.3">
      <c r="AI1638" s="267"/>
    </row>
    <row r="1639" spans="35:35" x14ac:dyDescent="0.3">
      <c r="AI1639" s="267"/>
    </row>
    <row r="1640" spans="35:35" x14ac:dyDescent="0.3">
      <c r="AI1640" s="267"/>
    </row>
    <row r="1641" spans="35:35" x14ac:dyDescent="0.3">
      <c r="AI1641" s="267"/>
    </row>
    <row r="1642" spans="35:35" x14ac:dyDescent="0.3">
      <c r="AI1642" s="267"/>
    </row>
    <row r="1643" spans="35:35" x14ac:dyDescent="0.3">
      <c r="AI1643" s="267"/>
    </row>
    <row r="1644" spans="35:35" x14ac:dyDescent="0.3">
      <c r="AI1644" s="267"/>
    </row>
    <row r="1645" spans="35:35" x14ac:dyDescent="0.3">
      <c r="AI1645" s="267"/>
    </row>
    <row r="1646" spans="35:35" x14ac:dyDescent="0.3">
      <c r="AI1646" s="267"/>
    </row>
    <row r="1647" spans="35:35" x14ac:dyDescent="0.3">
      <c r="AI1647" s="267"/>
    </row>
    <row r="1648" spans="35:35" x14ac:dyDescent="0.3">
      <c r="AI1648" s="267"/>
    </row>
    <row r="1649" spans="35:35" x14ac:dyDescent="0.3">
      <c r="AI1649" s="267"/>
    </row>
    <row r="1650" spans="35:35" x14ac:dyDescent="0.3">
      <c r="AI1650" s="267"/>
    </row>
    <row r="1651" spans="35:35" x14ac:dyDescent="0.3">
      <c r="AI1651" s="267"/>
    </row>
    <row r="1652" spans="35:35" x14ac:dyDescent="0.3">
      <c r="AI1652" s="267"/>
    </row>
    <row r="1653" spans="35:35" x14ac:dyDescent="0.3">
      <c r="AI1653" s="267"/>
    </row>
    <row r="1654" spans="35:35" x14ac:dyDescent="0.3">
      <c r="AI1654" s="267"/>
    </row>
    <row r="1655" spans="35:35" x14ac:dyDescent="0.3">
      <c r="AI1655" s="267"/>
    </row>
    <row r="1656" spans="35:35" x14ac:dyDescent="0.3">
      <c r="AI1656" s="267"/>
    </row>
    <row r="1657" spans="35:35" x14ac:dyDescent="0.3">
      <c r="AI1657" s="267"/>
    </row>
    <row r="1658" spans="35:35" x14ac:dyDescent="0.3">
      <c r="AI1658" s="267"/>
    </row>
    <row r="1659" spans="35:35" x14ac:dyDescent="0.3">
      <c r="AI1659" s="267"/>
    </row>
    <row r="1660" spans="35:35" x14ac:dyDescent="0.3">
      <c r="AI1660" s="267"/>
    </row>
    <row r="1661" spans="35:35" x14ac:dyDescent="0.3">
      <c r="AI1661" s="267"/>
    </row>
    <row r="1662" spans="35:35" x14ac:dyDescent="0.3">
      <c r="AI1662" s="267"/>
    </row>
    <row r="1663" spans="35:35" x14ac:dyDescent="0.3">
      <c r="AI1663" s="267"/>
    </row>
    <row r="1664" spans="35:35" x14ac:dyDescent="0.3">
      <c r="AI1664" s="267"/>
    </row>
    <row r="1665" spans="35:35" x14ac:dyDescent="0.3">
      <c r="AI1665" s="267"/>
    </row>
    <row r="1666" spans="35:35" x14ac:dyDescent="0.3">
      <c r="AI1666" s="267"/>
    </row>
    <row r="1667" spans="35:35" x14ac:dyDescent="0.3">
      <c r="AI1667" s="267"/>
    </row>
    <row r="1668" spans="35:35" x14ac:dyDescent="0.3">
      <c r="AI1668" s="267"/>
    </row>
    <row r="1669" spans="35:35" x14ac:dyDescent="0.3">
      <c r="AI1669" s="267"/>
    </row>
    <row r="1670" spans="35:35" x14ac:dyDescent="0.3">
      <c r="AI1670" s="267"/>
    </row>
    <row r="1671" spans="35:35" x14ac:dyDescent="0.3">
      <c r="AI1671" s="267"/>
    </row>
    <row r="1672" spans="35:35" x14ac:dyDescent="0.3">
      <c r="AI1672" s="267"/>
    </row>
    <row r="1673" spans="35:35" x14ac:dyDescent="0.3">
      <c r="AI1673" s="267"/>
    </row>
    <row r="1674" spans="35:35" x14ac:dyDescent="0.3">
      <c r="AI1674" s="267"/>
    </row>
    <row r="1675" spans="35:35" x14ac:dyDescent="0.3">
      <c r="AI1675" s="267"/>
    </row>
    <row r="1676" spans="35:35" x14ac:dyDescent="0.3">
      <c r="AI1676" s="267"/>
    </row>
    <row r="1677" spans="35:35" x14ac:dyDescent="0.3">
      <c r="AI1677" s="267"/>
    </row>
    <row r="1678" spans="35:35" x14ac:dyDescent="0.3">
      <c r="AI1678" s="267"/>
    </row>
    <row r="1679" spans="35:35" x14ac:dyDescent="0.3">
      <c r="AI1679" s="267"/>
    </row>
    <row r="1680" spans="35:35" x14ac:dyDescent="0.3">
      <c r="AI1680" s="267"/>
    </row>
    <row r="1681" spans="35:35" x14ac:dyDescent="0.3">
      <c r="AI1681" s="267"/>
    </row>
    <row r="1682" spans="35:35" x14ac:dyDescent="0.3">
      <c r="AI1682" s="267"/>
    </row>
    <row r="1683" spans="35:35" x14ac:dyDescent="0.3">
      <c r="AI1683" s="267"/>
    </row>
    <row r="1684" spans="35:35" x14ac:dyDescent="0.3">
      <c r="AI1684" s="267"/>
    </row>
    <row r="1685" spans="35:35" x14ac:dyDescent="0.3">
      <c r="AI1685" s="267"/>
    </row>
    <row r="1686" spans="35:35" x14ac:dyDescent="0.3">
      <c r="AI1686" s="267"/>
    </row>
    <row r="1687" spans="35:35" x14ac:dyDescent="0.3">
      <c r="AI1687" s="267"/>
    </row>
    <row r="1688" spans="35:35" x14ac:dyDescent="0.3">
      <c r="AI1688" s="267"/>
    </row>
    <row r="1689" spans="35:35" x14ac:dyDescent="0.3">
      <c r="AI1689" s="267"/>
    </row>
    <row r="1690" spans="35:35" x14ac:dyDescent="0.3">
      <c r="AI1690" s="267"/>
    </row>
    <row r="1691" spans="35:35" x14ac:dyDescent="0.3">
      <c r="AI1691" s="267"/>
    </row>
    <row r="1692" spans="35:35" x14ac:dyDescent="0.3">
      <c r="AI1692" s="267"/>
    </row>
    <row r="1693" spans="35:35" x14ac:dyDescent="0.3">
      <c r="AI1693" s="267"/>
    </row>
    <row r="1694" spans="35:35" x14ac:dyDescent="0.3">
      <c r="AI1694" s="267"/>
    </row>
    <row r="1695" spans="35:35" x14ac:dyDescent="0.3">
      <c r="AI1695" s="267"/>
    </row>
    <row r="1696" spans="35:35" x14ac:dyDescent="0.3">
      <c r="AI1696" s="267"/>
    </row>
    <row r="1697" spans="35:35" x14ac:dyDescent="0.3">
      <c r="AI1697" s="267"/>
    </row>
    <row r="1698" spans="35:35" x14ac:dyDescent="0.3">
      <c r="AI1698" s="267"/>
    </row>
    <row r="1699" spans="35:35" x14ac:dyDescent="0.3">
      <c r="AI1699" s="267"/>
    </row>
    <row r="1700" spans="35:35" x14ac:dyDescent="0.3">
      <c r="AI1700" s="267"/>
    </row>
    <row r="1701" spans="35:35" x14ac:dyDescent="0.3">
      <c r="AI1701" s="267"/>
    </row>
    <row r="1702" spans="35:35" x14ac:dyDescent="0.3">
      <c r="AI1702" s="267"/>
    </row>
    <row r="1703" spans="35:35" x14ac:dyDescent="0.3">
      <c r="AI1703" s="267"/>
    </row>
    <row r="1704" spans="35:35" x14ac:dyDescent="0.3">
      <c r="AI1704" s="267"/>
    </row>
    <row r="1705" spans="35:35" x14ac:dyDescent="0.3">
      <c r="AI1705" s="267"/>
    </row>
    <row r="1706" spans="35:35" x14ac:dyDescent="0.3">
      <c r="AI1706" s="267"/>
    </row>
    <row r="1707" spans="35:35" x14ac:dyDescent="0.3">
      <c r="AI1707" s="267"/>
    </row>
    <row r="1708" spans="35:35" x14ac:dyDescent="0.3">
      <c r="AI1708" s="267"/>
    </row>
    <row r="1709" spans="35:35" x14ac:dyDescent="0.3">
      <c r="AI1709" s="267"/>
    </row>
    <row r="1710" spans="35:35" x14ac:dyDescent="0.3">
      <c r="AI1710" s="267"/>
    </row>
    <row r="1711" spans="35:35" x14ac:dyDescent="0.3">
      <c r="AI1711" s="267"/>
    </row>
    <row r="1712" spans="35:35" x14ac:dyDescent="0.3">
      <c r="AI1712" s="267"/>
    </row>
    <row r="1713" spans="35:35" x14ac:dyDescent="0.3">
      <c r="AI1713" s="267"/>
    </row>
    <row r="1714" spans="35:35" x14ac:dyDescent="0.3">
      <c r="AI1714" s="267"/>
    </row>
    <row r="1715" spans="35:35" x14ac:dyDescent="0.3">
      <c r="AI1715" s="267"/>
    </row>
    <row r="1716" spans="35:35" x14ac:dyDescent="0.3">
      <c r="AI1716" s="267"/>
    </row>
    <row r="1717" spans="35:35" x14ac:dyDescent="0.3">
      <c r="AI1717" s="267"/>
    </row>
    <row r="1718" spans="35:35" x14ac:dyDescent="0.3">
      <c r="AI1718" s="267"/>
    </row>
    <row r="1719" spans="35:35" x14ac:dyDescent="0.3">
      <c r="AI1719" s="267"/>
    </row>
    <row r="1720" spans="35:35" x14ac:dyDescent="0.3">
      <c r="AI1720" s="267"/>
    </row>
    <row r="1721" spans="35:35" x14ac:dyDescent="0.3">
      <c r="AI1721" s="267"/>
    </row>
    <row r="1722" spans="35:35" x14ac:dyDescent="0.3">
      <c r="AI1722" s="267"/>
    </row>
    <row r="1723" spans="35:35" x14ac:dyDescent="0.3">
      <c r="AI1723" s="267"/>
    </row>
    <row r="1724" spans="35:35" x14ac:dyDescent="0.3">
      <c r="AI1724" s="267"/>
    </row>
    <row r="1725" spans="35:35" x14ac:dyDescent="0.3">
      <c r="AI1725" s="267"/>
    </row>
    <row r="1726" spans="35:35" x14ac:dyDescent="0.3">
      <c r="AI1726" s="267"/>
    </row>
    <row r="1727" spans="35:35" x14ac:dyDescent="0.3">
      <c r="AI1727" s="267"/>
    </row>
    <row r="1728" spans="35:35" x14ac:dyDescent="0.3">
      <c r="AI1728" s="267"/>
    </row>
    <row r="1729" spans="35:35" x14ac:dyDescent="0.3">
      <c r="AI1729" s="267"/>
    </row>
    <row r="1730" spans="35:35" x14ac:dyDescent="0.3">
      <c r="AI1730" s="267"/>
    </row>
    <row r="1731" spans="35:35" x14ac:dyDescent="0.3">
      <c r="AI1731" s="267"/>
    </row>
    <row r="1732" spans="35:35" x14ac:dyDescent="0.3">
      <c r="AI1732" s="267"/>
    </row>
    <row r="1733" spans="35:35" x14ac:dyDescent="0.3">
      <c r="AI1733" s="267"/>
    </row>
    <row r="1734" spans="35:35" x14ac:dyDescent="0.3">
      <c r="AI1734" s="267"/>
    </row>
    <row r="1735" spans="35:35" x14ac:dyDescent="0.3">
      <c r="AI1735" s="267"/>
    </row>
    <row r="1736" spans="35:35" x14ac:dyDescent="0.3">
      <c r="AI1736" s="267"/>
    </row>
    <row r="1737" spans="35:35" x14ac:dyDescent="0.3">
      <c r="AI1737" s="267"/>
    </row>
    <row r="1738" spans="35:35" x14ac:dyDescent="0.3">
      <c r="AI1738" s="267"/>
    </row>
    <row r="1739" spans="35:35" x14ac:dyDescent="0.3">
      <c r="AI1739" s="267"/>
    </row>
    <row r="1740" spans="35:35" x14ac:dyDescent="0.3">
      <c r="AI1740" s="267"/>
    </row>
    <row r="1741" spans="35:35" x14ac:dyDescent="0.3">
      <c r="AI1741" s="267"/>
    </row>
    <row r="1742" spans="35:35" x14ac:dyDescent="0.3">
      <c r="AI1742" s="267"/>
    </row>
    <row r="1743" spans="35:35" x14ac:dyDescent="0.3">
      <c r="AI1743" s="267"/>
    </row>
    <row r="1744" spans="35:35" x14ac:dyDescent="0.3">
      <c r="AI1744" s="267"/>
    </row>
    <row r="1745" spans="35:35" x14ac:dyDescent="0.3">
      <c r="AI1745" s="267"/>
    </row>
    <row r="1746" spans="35:35" x14ac:dyDescent="0.3">
      <c r="AI1746" s="267"/>
    </row>
    <row r="1747" spans="35:35" x14ac:dyDescent="0.3">
      <c r="AI1747" s="267"/>
    </row>
    <row r="1748" spans="35:35" x14ac:dyDescent="0.3">
      <c r="AI1748" s="267"/>
    </row>
    <row r="1749" spans="35:35" x14ac:dyDescent="0.3">
      <c r="AI1749" s="267"/>
    </row>
    <row r="1750" spans="35:35" x14ac:dyDescent="0.3">
      <c r="AI1750" s="267"/>
    </row>
    <row r="1751" spans="35:35" x14ac:dyDescent="0.3">
      <c r="AI1751" s="267"/>
    </row>
    <row r="1752" spans="35:35" x14ac:dyDescent="0.3">
      <c r="AI1752" s="267"/>
    </row>
    <row r="1753" spans="35:35" x14ac:dyDescent="0.3">
      <c r="AI1753" s="267"/>
    </row>
    <row r="1754" spans="35:35" x14ac:dyDescent="0.3">
      <c r="AI1754" s="267"/>
    </row>
    <row r="1755" spans="35:35" x14ac:dyDescent="0.3">
      <c r="AI1755" s="267"/>
    </row>
    <row r="1756" spans="35:35" x14ac:dyDescent="0.3">
      <c r="AI1756" s="267"/>
    </row>
    <row r="1757" spans="35:35" x14ac:dyDescent="0.3">
      <c r="AI1757" s="267"/>
    </row>
    <row r="1758" spans="35:35" x14ac:dyDescent="0.3">
      <c r="AI1758" s="267"/>
    </row>
    <row r="1759" spans="35:35" x14ac:dyDescent="0.3">
      <c r="AI1759" s="267"/>
    </row>
    <row r="1760" spans="35:35" x14ac:dyDescent="0.3">
      <c r="AI1760" s="267"/>
    </row>
    <row r="1761" spans="35:35" x14ac:dyDescent="0.3">
      <c r="AI1761" s="267"/>
    </row>
    <row r="1762" spans="35:35" x14ac:dyDescent="0.3">
      <c r="AI1762" s="267"/>
    </row>
    <row r="1763" spans="35:35" x14ac:dyDescent="0.3">
      <c r="AI1763" s="267"/>
    </row>
    <row r="1764" spans="35:35" x14ac:dyDescent="0.3">
      <c r="AI1764" s="267"/>
    </row>
    <row r="1765" spans="35:35" x14ac:dyDescent="0.3">
      <c r="AI1765" s="267"/>
    </row>
    <row r="1766" spans="35:35" x14ac:dyDescent="0.3">
      <c r="AI1766" s="267"/>
    </row>
    <row r="1767" spans="35:35" x14ac:dyDescent="0.3">
      <c r="AI1767" s="267"/>
    </row>
    <row r="1768" spans="35:35" x14ac:dyDescent="0.3">
      <c r="AI1768" s="267"/>
    </row>
    <row r="1769" spans="35:35" x14ac:dyDescent="0.3">
      <c r="AI1769" s="267"/>
    </row>
    <row r="1770" spans="35:35" x14ac:dyDescent="0.3">
      <c r="AI1770" s="267"/>
    </row>
    <row r="1771" spans="35:35" x14ac:dyDescent="0.3">
      <c r="AI1771" s="267"/>
    </row>
    <row r="1772" spans="35:35" x14ac:dyDescent="0.3">
      <c r="AI1772" s="267"/>
    </row>
    <row r="1773" spans="35:35" x14ac:dyDescent="0.3">
      <c r="AI1773" s="267"/>
    </row>
    <row r="1774" spans="35:35" x14ac:dyDescent="0.3">
      <c r="AI1774" s="267"/>
    </row>
    <row r="1775" spans="35:35" x14ac:dyDescent="0.3">
      <c r="AI1775" s="267"/>
    </row>
    <row r="1776" spans="35:35" x14ac:dyDescent="0.3">
      <c r="AI1776" s="267"/>
    </row>
    <row r="1777" spans="35:35" x14ac:dyDescent="0.3">
      <c r="AI1777" s="267"/>
    </row>
    <row r="1778" spans="35:35" x14ac:dyDescent="0.3">
      <c r="AI1778" s="267"/>
    </row>
    <row r="1779" spans="35:35" x14ac:dyDescent="0.3">
      <c r="AI1779" s="267"/>
    </row>
    <row r="1780" spans="35:35" x14ac:dyDescent="0.3">
      <c r="AI1780" s="267"/>
    </row>
    <row r="1781" spans="35:35" x14ac:dyDescent="0.3">
      <c r="AI1781" s="267"/>
    </row>
    <row r="1782" spans="35:35" x14ac:dyDescent="0.3">
      <c r="AI1782" s="267"/>
    </row>
    <row r="1783" spans="35:35" x14ac:dyDescent="0.3">
      <c r="AI1783" s="267"/>
    </row>
    <row r="1784" spans="35:35" x14ac:dyDescent="0.3">
      <c r="AI1784" s="267"/>
    </row>
    <row r="1785" spans="35:35" x14ac:dyDescent="0.3">
      <c r="AI1785" s="267"/>
    </row>
    <row r="1786" spans="35:35" x14ac:dyDescent="0.3">
      <c r="AI1786" s="267"/>
    </row>
    <row r="1787" spans="35:35" x14ac:dyDescent="0.3">
      <c r="AI1787" s="267"/>
    </row>
    <row r="1788" spans="35:35" x14ac:dyDescent="0.3">
      <c r="AI1788" s="267"/>
    </row>
    <row r="1789" spans="35:35" x14ac:dyDescent="0.3">
      <c r="AI1789" s="267"/>
    </row>
    <row r="1790" spans="35:35" x14ac:dyDescent="0.3">
      <c r="AI1790" s="267"/>
    </row>
    <row r="1791" spans="35:35" x14ac:dyDescent="0.3">
      <c r="AI1791" s="267"/>
    </row>
    <row r="1792" spans="35:35" x14ac:dyDescent="0.3">
      <c r="AI1792" s="267"/>
    </row>
    <row r="1793" spans="35:35" x14ac:dyDescent="0.3">
      <c r="AI1793" s="267"/>
    </row>
    <row r="1794" spans="35:35" x14ac:dyDescent="0.3">
      <c r="AI1794" s="267"/>
    </row>
    <row r="1795" spans="35:35" x14ac:dyDescent="0.3">
      <c r="AI1795" s="267"/>
    </row>
    <row r="1796" spans="35:35" x14ac:dyDescent="0.3">
      <c r="AI1796" s="267"/>
    </row>
    <row r="1797" spans="35:35" x14ac:dyDescent="0.3">
      <c r="AI1797" s="267"/>
    </row>
    <row r="1798" spans="35:35" x14ac:dyDescent="0.3">
      <c r="AI1798" s="267"/>
    </row>
    <row r="1799" spans="35:35" x14ac:dyDescent="0.3">
      <c r="AI1799" s="267"/>
    </row>
    <row r="1800" spans="35:35" x14ac:dyDescent="0.3">
      <c r="AI1800" s="267"/>
    </row>
    <row r="1801" spans="35:35" x14ac:dyDescent="0.3">
      <c r="AI1801" s="267"/>
    </row>
    <row r="1802" spans="35:35" x14ac:dyDescent="0.3">
      <c r="AI1802" s="267"/>
    </row>
    <row r="1803" spans="35:35" x14ac:dyDescent="0.3">
      <c r="AI1803" s="267"/>
    </row>
    <row r="1804" spans="35:35" x14ac:dyDescent="0.3">
      <c r="AI1804" s="267"/>
    </row>
    <row r="1805" spans="35:35" x14ac:dyDescent="0.3">
      <c r="AI1805" s="267"/>
    </row>
    <row r="1806" spans="35:35" x14ac:dyDescent="0.3">
      <c r="AI1806" s="267"/>
    </row>
    <row r="1807" spans="35:35" x14ac:dyDescent="0.3">
      <c r="AI1807" s="267"/>
    </row>
    <row r="1808" spans="35:35" x14ac:dyDescent="0.3">
      <c r="AI1808" s="267"/>
    </row>
    <row r="1809" spans="35:35" x14ac:dyDescent="0.3">
      <c r="AI1809" s="267"/>
    </row>
    <row r="1810" spans="35:35" x14ac:dyDescent="0.3">
      <c r="AI1810" s="267"/>
    </row>
    <row r="1811" spans="35:35" x14ac:dyDescent="0.3">
      <c r="AI1811" s="267"/>
    </row>
    <row r="1812" spans="35:35" x14ac:dyDescent="0.3">
      <c r="AI1812" s="267"/>
    </row>
    <row r="1813" spans="35:35" x14ac:dyDescent="0.3">
      <c r="AI1813" s="267"/>
    </row>
    <row r="1814" spans="35:35" x14ac:dyDescent="0.3">
      <c r="AI1814" s="267"/>
    </row>
    <row r="1815" spans="35:35" x14ac:dyDescent="0.3">
      <c r="AI1815" s="267"/>
    </row>
    <row r="1816" spans="35:35" x14ac:dyDescent="0.3">
      <c r="AI1816" s="267"/>
    </row>
    <row r="1817" spans="35:35" x14ac:dyDescent="0.3">
      <c r="AI1817" s="267"/>
    </row>
    <row r="1818" spans="35:35" x14ac:dyDescent="0.3">
      <c r="AI1818" s="267"/>
    </row>
    <row r="1819" spans="35:35" x14ac:dyDescent="0.3">
      <c r="AI1819" s="267"/>
    </row>
    <row r="1820" spans="35:35" x14ac:dyDescent="0.3">
      <c r="AI1820" s="267"/>
    </row>
    <row r="1821" spans="35:35" x14ac:dyDescent="0.3">
      <c r="AI1821" s="267"/>
    </row>
    <row r="1822" spans="35:35" x14ac:dyDescent="0.3">
      <c r="AI1822" s="267"/>
    </row>
    <row r="1823" spans="35:35" x14ac:dyDescent="0.3">
      <c r="AI1823" s="267"/>
    </row>
    <row r="1824" spans="35:35" x14ac:dyDescent="0.3">
      <c r="AI1824" s="267"/>
    </row>
    <row r="1825" spans="35:35" x14ac:dyDescent="0.3">
      <c r="AI1825" s="267"/>
    </row>
    <row r="1826" spans="35:35" x14ac:dyDescent="0.3">
      <c r="AI1826" s="267"/>
    </row>
    <row r="1827" spans="35:35" x14ac:dyDescent="0.3">
      <c r="AI1827" s="267"/>
    </row>
    <row r="1828" spans="35:35" x14ac:dyDescent="0.3">
      <c r="AI1828" s="267"/>
    </row>
    <row r="1829" spans="35:35" x14ac:dyDescent="0.3">
      <c r="AI1829" s="267"/>
    </row>
    <row r="1830" spans="35:35" x14ac:dyDescent="0.3">
      <c r="AI1830" s="267"/>
    </row>
    <row r="1831" spans="35:35" x14ac:dyDescent="0.3">
      <c r="AI1831" s="267"/>
    </row>
    <row r="1832" spans="35:35" x14ac:dyDescent="0.3">
      <c r="AI1832" s="267"/>
    </row>
    <row r="1833" spans="35:35" x14ac:dyDescent="0.3">
      <c r="AI1833" s="267"/>
    </row>
    <row r="1834" spans="35:35" x14ac:dyDescent="0.3">
      <c r="AI1834" s="267"/>
    </row>
    <row r="1835" spans="35:35" x14ac:dyDescent="0.3">
      <c r="AI1835" s="267"/>
    </row>
    <row r="1836" spans="35:35" x14ac:dyDescent="0.3">
      <c r="AI1836" s="267"/>
    </row>
    <row r="1837" spans="35:35" x14ac:dyDescent="0.3">
      <c r="AI1837" s="267"/>
    </row>
    <row r="1838" spans="35:35" x14ac:dyDescent="0.3">
      <c r="AI1838" s="267"/>
    </row>
    <row r="1839" spans="35:35" x14ac:dyDescent="0.3">
      <c r="AI1839" s="267"/>
    </row>
    <row r="1840" spans="35:35" x14ac:dyDescent="0.3">
      <c r="AI1840" s="267"/>
    </row>
    <row r="1841" spans="35:35" x14ac:dyDescent="0.3">
      <c r="AI1841" s="267"/>
    </row>
    <row r="1842" spans="35:35" x14ac:dyDescent="0.3">
      <c r="AI1842" s="267"/>
    </row>
    <row r="1843" spans="35:35" x14ac:dyDescent="0.3">
      <c r="AI1843" s="267"/>
    </row>
    <row r="1844" spans="35:35" x14ac:dyDescent="0.3">
      <c r="AI1844" s="267"/>
    </row>
    <row r="1845" spans="35:35" x14ac:dyDescent="0.3">
      <c r="AI1845" s="267"/>
    </row>
    <row r="1846" spans="35:35" x14ac:dyDescent="0.3">
      <c r="AI1846" s="267"/>
    </row>
    <row r="1847" spans="35:35" x14ac:dyDescent="0.3">
      <c r="AI1847" s="267"/>
    </row>
    <row r="1848" spans="35:35" x14ac:dyDescent="0.3">
      <c r="AI1848" s="267"/>
    </row>
    <row r="1849" spans="35:35" x14ac:dyDescent="0.3">
      <c r="AI1849" s="267"/>
    </row>
    <row r="1850" spans="35:35" x14ac:dyDescent="0.3">
      <c r="AI1850" s="267"/>
    </row>
    <row r="1851" spans="35:35" x14ac:dyDescent="0.3">
      <c r="AI1851" s="267"/>
    </row>
    <row r="1852" spans="35:35" x14ac:dyDescent="0.3">
      <c r="AI1852" s="267"/>
    </row>
    <row r="1853" spans="35:35" x14ac:dyDescent="0.3">
      <c r="AI1853" s="267"/>
    </row>
    <row r="1854" spans="35:35" x14ac:dyDescent="0.3">
      <c r="AI1854" s="267"/>
    </row>
    <row r="1855" spans="35:35" x14ac:dyDescent="0.3">
      <c r="AI1855" s="267"/>
    </row>
    <row r="1856" spans="35:35" x14ac:dyDescent="0.3">
      <c r="AI1856" s="267"/>
    </row>
    <row r="1857" spans="35:35" x14ac:dyDescent="0.3">
      <c r="AI1857" s="267"/>
    </row>
    <row r="1858" spans="35:35" x14ac:dyDescent="0.3">
      <c r="AI1858" s="267"/>
    </row>
    <row r="1859" spans="35:35" x14ac:dyDescent="0.3">
      <c r="AI1859" s="267"/>
    </row>
    <row r="1860" spans="35:35" x14ac:dyDescent="0.3">
      <c r="AI1860" s="267"/>
    </row>
    <row r="1861" spans="35:35" x14ac:dyDescent="0.3">
      <c r="AI1861" s="267"/>
    </row>
    <row r="1862" spans="35:35" x14ac:dyDescent="0.3">
      <c r="AI1862" s="267"/>
    </row>
    <row r="1863" spans="35:35" x14ac:dyDescent="0.3">
      <c r="AI1863" s="267"/>
    </row>
    <row r="1864" spans="35:35" x14ac:dyDescent="0.3">
      <c r="AI1864" s="267"/>
    </row>
    <row r="1865" spans="35:35" x14ac:dyDescent="0.3">
      <c r="AI1865" s="267"/>
    </row>
    <row r="1866" spans="35:35" x14ac:dyDescent="0.3">
      <c r="AI1866" s="267"/>
    </row>
    <row r="1867" spans="35:35" x14ac:dyDescent="0.3">
      <c r="AI1867" s="267"/>
    </row>
    <row r="1868" spans="35:35" x14ac:dyDescent="0.3">
      <c r="AI1868" s="267"/>
    </row>
    <row r="1869" spans="35:35" x14ac:dyDescent="0.3">
      <c r="AI1869" s="267"/>
    </row>
    <row r="1870" spans="35:35" x14ac:dyDescent="0.3">
      <c r="AI1870" s="267"/>
    </row>
    <row r="1871" spans="35:35" x14ac:dyDescent="0.3">
      <c r="AI1871" s="267"/>
    </row>
    <row r="1872" spans="35:35" x14ac:dyDescent="0.3">
      <c r="AI1872" s="267"/>
    </row>
    <row r="1873" spans="35:35" x14ac:dyDescent="0.3">
      <c r="AI1873" s="267"/>
    </row>
    <row r="1874" spans="35:35" x14ac:dyDescent="0.3">
      <c r="AI1874" s="267"/>
    </row>
    <row r="1875" spans="35:35" x14ac:dyDescent="0.3">
      <c r="AI1875" s="267"/>
    </row>
    <row r="1876" spans="35:35" x14ac:dyDescent="0.3">
      <c r="AI1876" s="267"/>
    </row>
    <row r="1877" spans="35:35" x14ac:dyDescent="0.3">
      <c r="AI1877" s="267"/>
    </row>
    <row r="1878" spans="35:35" x14ac:dyDescent="0.3">
      <c r="AI1878" s="267"/>
    </row>
    <row r="1879" spans="35:35" x14ac:dyDescent="0.3">
      <c r="AI1879" s="267"/>
    </row>
    <row r="1880" spans="35:35" x14ac:dyDescent="0.3">
      <c r="AI1880" s="267"/>
    </row>
    <row r="1881" spans="35:35" x14ac:dyDescent="0.3">
      <c r="AI1881" s="267"/>
    </row>
    <row r="1882" spans="35:35" x14ac:dyDescent="0.3">
      <c r="AI1882" s="267"/>
    </row>
    <row r="1883" spans="35:35" x14ac:dyDescent="0.3">
      <c r="AI1883" s="267"/>
    </row>
    <row r="1884" spans="35:35" x14ac:dyDescent="0.3">
      <c r="AI1884" s="267"/>
    </row>
    <row r="1885" spans="35:35" x14ac:dyDescent="0.3">
      <c r="AI1885" s="267"/>
    </row>
    <row r="1886" spans="35:35" x14ac:dyDescent="0.3">
      <c r="AI1886" s="267"/>
    </row>
    <row r="1887" spans="35:35" x14ac:dyDescent="0.3">
      <c r="AI1887" s="267"/>
    </row>
    <row r="1888" spans="35:35" x14ac:dyDescent="0.3">
      <c r="AI1888" s="267"/>
    </row>
    <row r="1889" spans="35:35" x14ac:dyDescent="0.3">
      <c r="AI1889" s="267"/>
    </row>
    <row r="1890" spans="35:35" x14ac:dyDescent="0.3">
      <c r="AI1890" s="267"/>
    </row>
    <row r="1891" spans="35:35" x14ac:dyDescent="0.3">
      <c r="AI1891" s="267"/>
    </row>
    <row r="1892" spans="35:35" x14ac:dyDescent="0.3">
      <c r="AI1892" s="267"/>
    </row>
    <row r="1893" spans="35:35" x14ac:dyDescent="0.3">
      <c r="AI1893" s="267"/>
    </row>
    <row r="1894" spans="35:35" x14ac:dyDescent="0.3">
      <c r="AI1894" s="267"/>
    </row>
    <row r="1895" spans="35:35" x14ac:dyDescent="0.3">
      <c r="AI1895" s="267"/>
    </row>
    <row r="1896" spans="35:35" x14ac:dyDescent="0.3">
      <c r="AI1896" s="267"/>
    </row>
    <row r="1897" spans="35:35" x14ac:dyDescent="0.3">
      <c r="AI1897" s="267"/>
    </row>
    <row r="1898" spans="35:35" x14ac:dyDescent="0.3">
      <c r="AI1898" s="267"/>
    </row>
    <row r="1899" spans="35:35" x14ac:dyDescent="0.3">
      <c r="AI1899" s="267"/>
    </row>
    <row r="1900" spans="35:35" x14ac:dyDescent="0.3">
      <c r="AI1900" s="267"/>
    </row>
    <row r="1901" spans="35:35" x14ac:dyDescent="0.3">
      <c r="AI1901" s="267"/>
    </row>
    <row r="1902" spans="35:35" x14ac:dyDescent="0.3">
      <c r="AI1902" s="267"/>
    </row>
    <row r="1903" spans="35:35" x14ac:dyDescent="0.3">
      <c r="AI1903" s="267"/>
    </row>
    <row r="1904" spans="35:35" x14ac:dyDescent="0.3">
      <c r="AI1904" s="267"/>
    </row>
    <row r="1905" spans="35:35" x14ac:dyDescent="0.3">
      <c r="AI1905" s="267"/>
    </row>
    <row r="1906" spans="35:35" x14ac:dyDescent="0.3">
      <c r="AI1906" s="267"/>
    </row>
    <row r="1907" spans="35:35" x14ac:dyDescent="0.3">
      <c r="AI1907" s="267"/>
    </row>
    <row r="1908" spans="35:35" x14ac:dyDescent="0.3">
      <c r="AI1908" s="267"/>
    </row>
    <row r="1909" spans="35:35" x14ac:dyDescent="0.3">
      <c r="AI1909" s="267"/>
    </row>
    <row r="1910" spans="35:35" x14ac:dyDescent="0.3">
      <c r="AI1910" s="267"/>
    </row>
    <row r="1911" spans="35:35" x14ac:dyDescent="0.3">
      <c r="AI1911" s="267"/>
    </row>
    <row r="1912" spans="35:35" x14ac:dyDescent="0.3">
      <c r="AI1912" s="267"/>
    </row>
    <row r="1913" spans="35:35" x14ac:dyDescent="0.3">
      <c r="AI1913" s="267"/>
    </row>
    <row r="1914" spans="35:35" x14ac:dyDescent="0.3">
      <c r="AI1914" s="267"/>
    </row>
    <row r="1915" spans="35:35" x14ac:dyDescent="0.3">
      <c r="AI1915" s="267"/>
    </row>
    <row r="1916" spans="35:35" x14ac:dyDescent="0.3">
      <c r="AI1916" s="267"/>
    </row>
    <row r="1917" spans="35:35" x14ac:dyDescent="0.3">
      <c r="AI1917" s="267"/>
    </row>
    <row r="1918" spans="35:35" x14ac:dyDescent="0.3">
      <c r="AI1918" s="267"/>
    </row>
    <row r="1919" spans="35:35" x14ac:dyDescent="0.3">
      <c r="AI1919" s="267"/>
    </row>
    <row r="1920" spans="35:35" x14ac:dyDescent="0.3">
      <c r="AI1920" s="267"/>
    </row>
    <row r="1921" spans="35:35" x14ac:dyDescent="0.3">
      <c r="AI1921" s="267"/>
    </row>
    <row r="1922" spans="35:35" x14ac:dyDescent="0.3">
      <c r="AI1922" s="267"/>
    </row>
    <row r="1923" spans="35:35" x14ac:dyDescent="0.3">
      <c r="AI1923" s="267"/>
    </row>
    <row r="1924" spans="35:35" x14ac:dyDescent="0.3">
      <c r="AI1924" s="267"/>
    </row>
    <row r="1925" spans="35:35" x14ac:dyDescent="0.3">
      <c r="AI1925" s="267"/>
    </row>
    <row r="1926" spans="35:35" x14ac:dyDescent="0.3">
      <c r="AI1926" s="267"/>
    </row>
    <row r="1927" spans="35:35" x14ac:dyDescent="0.3">
      <c r="AI1927" s="267"/>
    </row>
    <row r="1928" spans="35:35" x14ac:dyDescent="0.3">
      <c r="AI1928" s="267"/>
    </row>
    <row r="1929" spans="35:35" x14ac:dyDescent="0.3">
      <c r="AI1929" s="267"/>
    </row>
    <row r="1930" spans="35:35" x14ac:dyDescent="0.3">
      <c r="AI1930" s="267"/>
    </row>
    <row r="1931" spans="35:35" x14ac:dyDescent="0.3">
      <c r="AI1931" s="267"/>
    </row>
    <row r="1932" spans="35:35" x14ac:dyDescent="0.3">
      <c r="AI1932" s="267"/>
    </row>
    <row r="1933" spans="35:35" x14ac:dyDescent="0.3">
      <c r="AI1933" s="267"/>
    </row>
    <row r="1934" spans="35:35" x14ac:dyDescent="0.3">
      <c r="AI1934" s="267"/>
    </row>
    <row r="1935" spans="35:35" x14ac:dyDescent="0.3">
      <c r="AI1935" s="267"/>
    </row>
    <row r="1936" spans="35:35" x14ac:dyDescent="0.3">
      <c r="AI1936" s="267"/>
    </row>
    <row r="1937" spans="35:35" x14ac:dyDescent="0.3">
      <c r="AI1937" s="267"/>
    </row>
    <row r="1938" spans="35:35" x14ac:dyDescent="0.3">
      <c r="AI1938" s="267"/>
    </row>
    <row r="1939" spans="35:35" x14ac:dyDescent="0.3">
      <c r="AI1939" s="267"/>
    </row>
    <row r="1940" spans="35:35" x14ac:dyDescent="0.3">
      <c r="AI1940" s="267"/>
    </row>
    <row r="1941" spans="35:35" x14ac:dyDescent="0.3">
      <c r="AI1941" s="267"/>
    </row>
    <row r="1942" spans="35:35" x14ac:dyDescent="0.3">
      <c r="AI1942" s="267"/>
    </row>
    <row r="1943" spans="35:35" x14ac:dyDescent="0.3">
      <c r="AI1943" s="267"/>
    </row>
    <row r="1944" spans="35:35" x14ac:dyDescent="0.3">
      <c r="AI1944" s="267"/>
    </row>
    <row r="1945" spans="35:35" x14ac:dyDescent="0.3">
      <c r="AI1945" s="267"/>
    </row>
    <row r="1946" spans="35:35" x14ac:dyDescent="0.3">
      <c r="AI1946" s="267"/>
    </row>
    <row r="1947" spans="35:35" x14ac:dyDescent="0.3">
      <c r="AI1947" s="267"/>
    </row>
    <row r="1948" spans="35:35" x14ac:dyDescent="0.3">
      <c r="AI1948" s="267"/>
    </row>
    <row r="1949" spans="35:35" x14ac:dyDescent="0.3">
      <c r="AI1949" s="267"/>
    </row>
    <row r="1950" spans="35:35" x14ac:dyDescent="0.3">
      <c r="AI1950" s="267"/>
    </row>
    <row r="1951" spans="35:35" x14ac:dyDescent="0.3">
      <c r="AI1951" s="267"/>
    </row>
    <row r="1952" spans="35:35" x14ac:dyDescent="0.3">
      <c r="AI1952" s="267"/>
    </row>
    <row r="1953" spans="35:35" x14ac:dyDescent="0.3">
      <c r="AI1953" s="267"/>
    </row>
    <row r="1954" spans="35:35" x14ac:dyDescent="0.3">
      <c r="AI1954" s="267"/>
    </row>
    <row r="1955" spans="35:35" x14ac:dyDescent="0.3">
      <c r="AI1955" s="267"/>
    </row>
    <row r="1956" spans="35:35" x14ac:dyDescent="0.3">
      <c r="AI1956" s="267"/>
    </row>
    <row r="1957" spans="35:35" x14ac:dyDescent="0.3">
      <c r="AI1957" s="267"/>
    </row>
    <row r="1958" spans="35:35" x14ac:dyDescent="0.3">
      <c r="AI1958" s="267"/>
    </row>
    <row r="1959" spans="35:35" x14ac:dyDescent="0.3">
      <c r="AI1959" s="267"/>
    </row>
    <row r="1960" spans="35:35" x14ac:dyDescent="0.3">
      <c r="AI1960" s="267"/>
    </row>
    <row r="1961" spans="35:35" x14ac:dyDescent="0.3">
      <c r="AI1961" s="267"/>
    </row>
    <row r="1962" spans="35:35" x14ac:dyDescent="0.3">
      <c r="AI1962" s="267"/>
    </row>
    <row r="1963" spans="35:35" x14ac:dyDescent="0.3">
      <c r="AI1963" s="267"/>
    </row>
    <row r="1964" spans="35:35" x14ac:dyDescent="0.3">
      <c r="AI1964" s="267"/>
    </row>
    <row r="1965" spans="35:35" x14ac:dyDescent="0.3">
      <c r="AI1965" s="267"/>
    </row>
    <row r="1966" spans="35:35" x14ac:dyDescent="0.3">
      <c r="AI1966" s="267"/>
    </row>
    <row r="1967" spans="35:35" x14ac:dyDescent="0.3">
      <c r="AI1967" s="267"/>
    </row>
    <row r="1968" spans="35:35" x14ac:dyDescent="0.3">
      <c r="AI1968" s="267"/>
    </row>
    <row r="1969" spans="35:35" x14ac:dyDescent="0.3">
      <c r="AI1969" s="267"/>
    </row>
    <row r="1970" spans="35:35" x14ac:dyDescent="0.3">
      <c r="AI1970" s="267"/>
    </row>
    <row r="1971" spans="35:35" x14ac:dyDescent="0.3">
      <c r="AI1971" s="267"/>
    </row>
    <row r="1972" spans="35:35" x14ac:dyDescent="0.3">
      <c r="AI1972" s="267"/>
    </row>
    <row r="1973" spans="35:35" x14ac:dyDescent="0.3">
      <c r="AI1973" s="267"/>
    </row>
    <row r="1974" spans="35:35" x14ac:dyDescent="0.3">
      <c r="AI1974" s="267"/>
    </row>
    <row r="1975" spans="35:35" x14ac:dyDescent="0.3">
      <c r="AI1975" s="267"/>
    </row>
    <row r="1976" spans="35:35" x14ac:dyDescent="0.3">
      <c r="AI1976" s="267"/>
    </row>
    <row r="1977" spans="35:35" x14ac:dyDescent="0.3">
      <c r="AI1977" s="267"/>
    </row>
    <row r="1978" spans="35:35" x14ac:dyDescent="0.3">
      <c r="AI1978" s="267"/>
    </row>
    <row r="1979" spans="35:35" x14ac:dyDescent="0.3">
      <c r="AI1979" s="267"/>
    </row>
    <row r="1980" spans="35:35" x14ac:dyDescent="0.3">
      <c r="AI1980" s="267"/>
    </row>
    <row r="1981" spans="35:35" x14ac:dyDescent="0.3">
      <c r="AI1981" s="267"/>
    </row>
    <row r="1982" spans="35:35" x14ac:dyDescent="0.3">
      <c r="AI1982" s="267"/>
    </row>
    <row r="1983" spans="35:35" x14ac:dyDescent="0.3">
      <c r="AI1983" s="267"/>
    </row>
    <row r="1984" spans="35:35" x14ac:dyDescent="0.3">
      <c r="AI1984" s="267"/>
    </row>
    <row r="1985" spans="35:35" x14ac:dyDescent="0.3">
      <c r="AI1985" s="267"/>
    </row>
    <row r="1986" spans="35:35" x14ac:dyDescent="0.3">
      <c r="AI1986" s="267"/>
    </row>
    <row r="1987" spans="35:35" x14ac:dyDescent="0.3">
      <c r="AI1987" s="267"/>
    </row>
    <row r="1988" spans="35:35" x14ac:dyDescent="0.3">
      <c r="AI1988" s="267"/>
    </row>
    <row r="1989" spans="35:35" x14ac:dyDescent="0.3">
      <c r="AI1989" s="267"/>
    </row>
    <row r="1990" spans="35:35" x14ac:dyDescent="0.3">
      <c r="AI1990" s="267"/>
    </row>
    <row r="1991" spans="35:35" x14ac:dyDescent="0.3">
      <c r="AI1991" s="267"/>
    </row>
    <row r="1992" spans="35:35" x14ac:dyDescent="0.3">
      <c r="AI1992" s="267"/>
    </row>
    <row r="1993" spans="35:35" x14ac:dyDescent="0.3">
      <c r="AI1993" s="267"/>
    </row>
    <row r="1994" spans="35:35" x14ac:dyDescent="0.3">
      <c r="AI1994" s="267"/>
    </row>
    <row r="1995" spans="35:35" x14ac:dyDescent="0.3">
      <c r="AI1995" s="267"/>
    </row>
    <row r="1996" spans="35:35" x14ac:dyDescent="0.3">
      <c r="AI1996" s="267"/>
    </row>
    <row r="1997" spans="35:35" x14ac:dyDescent="0.3">
      <c r="AI1997" s="267"/>
    </row>
    <row r="1998" spans="35:35" x14ac:dyDescent="0.3">
      <c r="AI1998" s="267"/>
    </row>
    <row r="1999" spans="35:35" x14ac:dyDescent="0.3">
      <c r="AI1999" s="267"/>
    </row>
    <row r="2000" spans="35:35" x14ac:dyDescent="0.3">
      <c r="AI2000" s="267"/>
    </row>
    <row r="2001" spans="35:35" x14ac:dyDescent="0.3">
      <c r="AI2001" s="267"/>
    </row>
    <row r="2002" spans="35:35" x14ac:dyDescent="0.3">
      <c r="AI2002" s="267"/>
    </row>
    <row r="2003" spans="35:35" x14ac:dyDescent="0.3">
      <c r="AI2003" s="267"/>
    </row>
    <row r="2004" spans="35:35" x14ac:dyDescent="0.3">
      <c r="AI2004" s="267"/>
    </row>
    <row r="2005" spans="35:35" x14ac:dyDescent="0.3">
      <c r="AI2005" s="267"/>
    </row>
    <row r="2006" spans="35:35" x14ac:dyDescent="0.3">
      <c r="AI2006" s="267"/>
    </row>
    <row r="2007" spans="35:35" x14ac:dyDescent="0.3">
      <c r="AI2007" s="267"/>
    </row>
    <row r="2008" spans="35:35" x14ac:dyDescent="0.3">
      <c r="AI2008" s="267"/>
    </row>
    <row r="2009" spans="35:35" x14ac:dyDescent="0.3">
      <c r="AI2009" s="267"/>
    </row>
    <row r="2010" spans="35:35" x14ac:dyDescent="0.3">
      <c r="AI2010" s="267"/>
    </row>
    <row r="2011" spans="35:35" x14ac:dyDescent="0.3">
      <c r="AI2011" s="267"/>
    </row>
    <row r="2012" spans="35:35" x14ac:dyDescent="0.3">
      <c r="AI2012" s="267"/>
    </row>
    <row r="2013" spans="35:35" x14ac:dyDescent="0.3">
      <c r="AI2013" s="267"/>
    </row>
    <row r="2014" spans="35:35" x14ac:dyDescent="0.3">
      <c r="AI2014" s="267"/>
    </row>
    <row r="2015" spans="35:35" x14ac:dyDescent="0.3">
      <c r="AI2015" s="267"/>
    </row>
    <row r="2016" spans="35:35" x14ac:dyDescent="0.3">
      <c r="AI2016" s="267"/>
    </row>
    <row r="2017" spans="35:35" x14ac:dyDescent="0.3">
      <c r="AI2017" s="267"/>
    </row>
    <row r="2018" spans="35:35" x14ac:dyDescent="0.3">
      <c r="AI2018" s="267"/>
    </row>
    <row r="2019" spans="35:35" x14ac:dyDescent="0.3">
      <c r="AI2019" s="267"/>
    </row>
    <row r="2020" spans="35:35" x14ac:dyDescent="0.3">
      <c r="AI2020" s="267"/>
    </row>
    <row r="2021" spans="35:35" x14ac:dyDescent="0.3">
      <c r="AI2021" s="267"/>
    </row>
    <row r="2022" spans="35:35" x14ac:dyDescent="0.3">
      <c r="AI2022" s="267"/>
    </row>
    <row r="2023" spans="35:35" x14ac:dyDescent="0.3">
      <c r="AI2023" s="267"/>
    </row>
    <row r="2024" spans="35:35" x14ac:dyDescent="0.3">
      <c r="AI2024" s="267"/>
    </row>
    <row r="2025" spans="35:35" x14ac:dyDescent="0.3">
      <c r="AI2025" s="267"/>
    </row>
    <row r="2026" spans="35:35" x14ac:dyDescent="0.3">
      <c r="AI2026" s="267"/>
    </row>
    <row r="2027" spans="35:35" x14ac:dyDescent="0.3">
      <c r="AI2027" s="267"/>
    </row>
    <row r="2028" spans="35:35" x14ac:dyDescent="0.3">
      <c r="AI2028" s="267"/>
    </row>
    <row r="2029" spans="35:35" x14ac:dyDescent="0.3">
      <c r="AI2029" s="267"/>
    </row>
    <row r="2030" spans="35:35" x14ac:dyDescent="0.3">
      <c r="AI2030" s="267"/>
    </row>
    <row r="2031" spans="35:35" x14ac:dyDescent="0.3">
      <c r="AI2031" s="267"/>
    </row>
    <row r="2032" spans="35:35" x14ac:dyDescent="0.3">
      <c r="AI2032" s="267"/>
    </row>
    <row r="2033" spans="35:35" x14ac:dyDescent="0.3">
      <c r="AI2033" s="267"/>
    </row>
    <row r="2034" spans="35:35" x14ac:dyDescent="0.3">
      <c r="AI2034" s="267"/>
    </row>
    <row r="2035" spans="35:35" x14ac:dyDescent="0.3">
      <c r="AI2035" s="267"/>
    </row>
    <row r="2036" spans="35:35" x14ac:dyDescent="0.3">
      <c r="AI2036" s="267"/>
    </row>
    <row r="2037" spans="35:35" x14ac:dyDescent="0.3">
      <c r="AI2037" s="267"/>
    </row>
    <row r="2038" spans="35:35" x14ac:dyDescent="0.3">
      <c r="AI2038" s="267"/>
    </row>
    <row r="2039" spans="35:35" x14ac:dyDescent="0.3">
      <c r="AI2039" s="267"/>
    </row>
    <row r="2040" spans="35:35" x14ac:dyDescent="0.3">
      <c r="AI2040" s="267"/>
    </row>
    <row r="2041" spans="35:35" x14ac:dyDescent="0.3">
      <c r="AI2041" s="267"/>
    </row>
    <row r="2042" spans="35:35" x14ac:dyDescent="0.3">
      <c r="AI2042" s="267"/>
    </row>
    <row r="2043" spans="35:35" x14ac:dyDescent="0.3">
      <c r="AI2043" s="267"/>
    </row>
    <row r="2044" spans="35:35" x14ac:dyDescent="0.3">
      <c r="AI2044" s="267"/>
    </row>
    <row r="2045" spans="35:35" x14ac:dyDescent="0.3">
      <c r="AI2045" s="267"/>
    </row>
    <row r="2046" spans="35:35" x14ac:dyDescent="0.3">
      <c r="AI2046" s="267"/>
    </row>
    <row r="2047" spans="35:35" x14ac:dyDescent="0.3">
      <c r="AI2047" s="267"/>
    </row>
    <row r="2048" spans="35:35" x14ac:dyDescent="0.3">
      <c r="AI2048" s="267"/>
    </row>
    <row r="2049" spans="35:35" x14ac:dyDescent="0.3">
      <c r="AI2049" s="267"/>
    </row>
    <row r="2050" spans="35:35" x14ac:dyDescent="0.3">
      <c r="AI2050" s="267"/>
    </row>
    <row r="2051" spans="35:35" x14ac:dyDescent="0.3">
      <c r="AI2051" s="267"/>
    </row>
    <row r="2052" spans="35:35" x14ac:dyDescent="0.3">
      <c r="AI2052" s="267"/>
    </row>
    <row r="2053" spans="35:35" x14ac:dyDescent="0.3">
      <c r="AI2053" s="267"/>
    </row>
    <row r="2054" spans="35:35" x14ac:dyDescent="0.3">
      <c r="AI2054" s="267"/>
    </row>
    <row r="2055" spans="35:35" x14ac:dyDescent="0.3">
      <c r="AI2055" s="267"/>
    </row>
    <row r="2056" spans="35:35" x14ac:dyDescent="0.3">
      <c r="AI2056" s="267"/>
    </row>
    <row r="2057" spans="35:35" x14ac:dyDescent="0.3">
      <c r="AI2057" s="267"/>
    </row>
    <row r="2058" spans="35:35" x14ac:dyDescent="0.3">
      <c r="AI2058" s="267"/>
    </row>
    <row r="2059" spans="35:35" x14ac:dyDescent="0.3">
      <c r="AI2059" s="267"/>
    </row>
    <row r="2060" spans="35:35" x14ac:dyDescent="0.3">
      <c r="AI2060" s="267"/>
    </row>
    <row r="2061" spans="35:35" x14ac:dyDescent="0.3">
      <c r="AI2061" s="267"/>
    </row>
    <row r="2062" spans="35:35" x14ac:dyDescent="0.3">
      <c r="AI2062" s="267"/>
    </row>
    <row r="2063" spans="35:35" x14ac:dyDescent="0.3">
      <c r="AI2063" s="267"/>
    </row>
    <row r="2064" spans="35:35" x14ac:dyDescent="0.3">
      <c r="AI2064" s="267"/>
    </row>
    <row r="2065" spans="35:35" x14ac:dyDescent="0.3">
      <c r="AI2065" s="267"/>
    </row>
    <row r="2066" spans="35:35" x14ac:dyDescent="0.3">
      <c r="AI2066" s="267"/>
    </row>
    <row r="2067" spans="35:35" x14ac:dyDescent="0.3">
      <c r="AI2067" s="267"/>
    </row>
    <row r="2068" spans="35:35" x14ac:dyDescent="0.3">
      <c r="AI2068" s="267"/>
    </row>
    <row r="2069" spans="35:35" x14ac:dyDescent="0.3">
      <c r="AI2069" s="267"/>
    </row>
    <row r="2070" spans="35:35" x14ac:dyDescent="0.3">
      <c r="AI2070" s="267"/>
    </row>
    <row r="2071" spans="35:35" x14ac:dyDescent="0.3">
      <c r="AI2071" s="267"/>
    </row>
    <row r="2072" spans="35:35" x14ac:dyDescent="0.3">
      <c r="AI2072" s="267"/>
    </row>
    <row r="2073" spans="35:35" x14ac:dyDescent="0.3">
      <c r="AI2073" s="267"/>
    </row>
    <row r="2074" spans="35:35" x14ac:dyDescent="0.3">
      <c r="AI2074" s="267"/>
    </row>
    <row r="2075" spans="35:35" x14ac:dyDescent="0.3">
      <c r="AI2075" s="267"/>
    </row>
    <row r="2076" spans="35:35" x14ac:dyDescent="0.3">
      <c r="AI2076" s="267"/>
    </row>
    <row r="2077" spans="35:35" x14ac:dyDescent="0.3">
      <c r="AI2077" s="267"/>
    </row>
    <row r="2078" spans="35:35" x14ac:dyDescent="0.3">
      <c r="AI2078" s="267"/>
    </row>
    <row r="2079" spans="35:35" x14ac:dyDescent="0.3">
      <c r="AI2079" s="267"/>
    </row>
    <row r="2080" spans="35:35" x14ac:dyDescent="0.3">
      <c r="AI2080" s="267"/>
    </row>
    <row r="2081" spans="35:35" x14ac:dyDescent="0.3">
      <c r="AI2081" s="267"/>
    </row>
    <row r="2082" spans="35:35" x14ac:dyDescent="0.3">
      <c r="AI2082" s="267"/>
    </row>
    <row r="2083" spans="35:35" x14ac:dyDescent="0.3">
      <c r="AI2083" s="267"/>
    </row>
    <row r="2084" spans="35:35" x14ac:dyDescent="0.3">
      <c r="AI2084" s="267"/>
    </row>
    <row r="2085" spans="35:35" x14ac:dyDescent="0.3">
      <c r="AI2085" s="267"/>
    </row>
    <row r="2086" spans="35:35" x14ac:dyDescent="0.3">
      <c r="AI2086" s="267"/>
    </row>
    <row r="2087" spans="35:35" x14ac:dyDescent="0.3">
      <c r="AI2087" s="267"/>
    </row>
    <row r="2088" spans="35:35" x14ac:dyDescent="0.3">
      <c r="AI2088" s="267"/>
    </row>
    <row r="2089" spans="35:35" x14ac:dyDescent="0.3">
      <c r="AI2089" s="267"/>
    </row>
    <row r="2090" spans="35:35" x14ac:dyDescent="0.3">
      <c r="AI2090" s="267"/>
    </row>
    <row r="2091" spans="35:35" x14ac:dyDescent="0.3">
      <c r="AI2091" s="267"/>
    </row>
    <row r="2092" spans="35:35" x14ac:dyDescent="0.3">
      <c r="AI2092" s="267"/>
    </row>
    <row r="2093" spans="35:35" x14ac:dyDescent="0.3">
      <c r="AI2093" s="267"/>
    </row>
    <row r="2094" spans="35:35" x14ac:dyDescent="0.3">
      <c r="AI2094" s="267"/>
    </row>
    <row r="2095" spans="35:35" x14ac:dyDescent="0.3">
      <c r="AI2095" s="267"/>
    </row>
    <row r="2096" spans="35:35" x14ac:dyDescent="0.3">
      <c r="AI2096" s="267"/>
    </row>
    <row r="2097" spans="35:35" x14ac:dyDescent="0.3">
      <c r="AI2097" s="267"/>
    </row>
    <row r="2098" spans="35:35" x14ac:dyDescent="0.3">
      <c r="AI2098" s="267"/>
    </row>
    <row r="2099" spans="35:35" x14ac:dyDescent="0.3">
      <c r="AI2099" s="267"/>
    </row>
    <row r="2100" spans="35:35" x14ac:dyDescent="0.3">
      <c r="AI2100" s="267"/>
    </row>
    <row r="2101" spans="35:35" x14ac:dyDescent="0.3">
      <c r="AI2101" s="267"/>
    </row>
    <row r="2102" spans="35:35" x14ac:dyDescent="0.3">
      <c r="AI2102" s="267"/>
    </row>
    <row r="2103" spans="35:35" x14ac:dyDescent="0.3">
      <c r="AI2103" s="267"/>
    </row>
    <row r="2104" spans="35:35" x14ac:dyDescent="0.3">
      <c r="AI2104" s="267"/>
    </row>
    <row r="2105" spans="35:35" x14ac:dyDescent="0.3">
      <c r="AI2105" s="267"/>
    </row>
    <row r="2106" spans="35:35" x14ac:dyDescent="0.3">
      <c r="AI2106" s="267"/>
    </row>
    <row r="2107" spans="35:35" x14ac:dyDescent="0.3">
      <c r="AI2107" s="267"/>
    </row>
    <row r="2108" spans="35:35" x14ac:dyDescent="0.3">
      <c r="AI2108" s="267"/>
    </row>
    <row r="2109" spans="35:35" x14ac:dyDescent="0.3">
      <c r="AI2109" s="267"/>
    </row>
    <row r="2110" spans="35:35" x14ac:dyDescent="0.3">
      <c r="AI2110" s="267"/>
    </row>
    <row r="2111" spans="35:35" x14ac:dyDescent="0.3">
      <c r="AI2111" s="267"/>
    </row>
    <row r="2112" spans="35:35" x14ac:dyDescent="0.3">
      <c r="AI2112" s="267"/>
    </row>
    <row r="2113" spans="35:35" x14ac:dyDescent="0.3">
      <c r="AI2113" s="267"/>
    </row>
    <row r="2114" spans="35:35" x14ac:dyDescent="0.3">
      <c r="AI2114" s="267"/>
    </row>
    <row r="2115" spans="35:35" x14ac:dyDescent="0.3">
      <c r="AI2115" s="267"/>
    </row>
    <row r="2116" spans="35:35" x14ac:dyDescent="0.3">
      <c r="AI2116" s="267"/>
    </row>
    <row r="2117" spans="35:35" x14ac:dyDescent="0.3">
      <c r="AI2117" s="267"/>
    </row>
    <row r="2118" spans="35:35" x14ac:dyDescent="0.3">
      <c r="AI2118" s="267"/>
    </row>
    <row r="2119" spans="35:35" x14ac:dyDescent="0.3">
      <c r="AI2119" s="267"/>
    </row>
    <row r="2120" spans="35:35" x14ac:dyDescent="0.3">
      <c r="AI2120" s="267"/>
    </row>
    <row r="2121" spans="35:35" x14ac:dyDescent="0.3">
      <c r="AI2121" s="267"/>
    </row>
    <row r="2122" spans="35:35" x14ac:dyDescent="0.3">
      <c r="AI2122" s="267"/>
    </row>
    <row r="2123" spans="35:35" x14ac:dyDescent="0.3">
      <c r="AI2123" s="267"/>
    </row>
    <row r="2124" spans="35:35" x14ac:dyDescent="0.3">
      <c r="AI2124" s="267"/>
    </row>
    <row r="2125" spans="35:35" x14ac:dyDescent="0.3">
      <c r="AI2125" s="267"/>
    </row>
    <row r="2126" spans="35:35" x14ac:dyDescent="0.3">
      <c r="AI2126" s="267"/>
    </row>
    <row r="2127" spans="35:35" x14ac:dyDescent="0.3">
      <c r="AI2127" s="267"/>
    </row>
    <row r="2128" spans="35:35" x14ac:dyDescent="0.3">
      <c r="AI2128" s="267"/>
    </row>
    <row r="2129" spans="35:35" x14ac:dyDescent="0.3">
      <c r="AI2129" s="267"/>
    </row>
    <row r="2130" spans="35:35" x14ac:dyDescent="0.3">
      <c r="AI2130" s="267"/>
    </row>
    <row r="2131" spans="35:35" x14ac:dyDescent="0.3">
      <c r="AI2131" s="267"/>
    </row>
    <row r="2132" spans="35:35" x14ac:dyDescent="0.3">
      <c r="AI2132" s="267"/>
    </row>
    <row r="2133" spans="35:35" x14ac:dyDescent="0.3">
      <c r="AI2133" s="267"/>
    </row>
    <row r="2134" spans="35:35" x14ac:dyDescent="0.3">
      <c r="AI2134" s="267"/>
    </row>
    <row r="2135" spans="35:35" x14ac:dyDescent="0.3">
      <c r="AI2135" s="267"/>
    </row>
    <row r="2136" spans="35:35" x14ac:dyDescent="0.3">
      <c r="AI2136" s="267"/>
    </row>
    <row r="2137" spans="35:35" x14ac:dyDescent="0.3">
      <c r="AI2137" s="267"/>
    </row>
    <row r="2138" spans="35:35" x14ac:dyDescent="0.3">
      <c r="AI2138" s="267"/>
    </row>
    <row r="2139" spans="35:35" x14ac:dyDescent="0.3">
      <c r="AI2139" s="267"/>
    </row>
    <row r="2140" spans="35:35" x14ac:dyDescent="0.3">
      <c r="AI2140" s="267"/>
    </row>
    <row r="2141" spans="35:35" x14ac:dyDescent="0.3">
      <c r="AI2141" s="267"/>
    </row>
    <row r="2142" spans="35:35" x14ac:dyDescent="0.3">
      <c r="AI2142" s="267"/>
    </row>
    <row r="2143" spans="35:35" x14ac:dyDescent="0.3">
      <c r="AI2143" s="267"/>
    </row>
    <row r="2144" spans="35:35" x14ac:dyDescent="0.3">
      <c r="AI2144" s="267"/>
    </row>
    <row r="2145" spans="35:35" x14ac:dyDescent="0.3">
      <c r="AI2145" s="267"/>
    </row>
    <row r="2146" spans="35:35" x14ac:dyDescent="0.3">
      <c r="AI2146" s="267"/>
    </row>
    <row r="2147" spans="35:35" x14ac:dyDescent="0.3">
      <c r="AI2147" s="267"/>
    </row>
    <row r="2148" spans="35:35" x14ac:dyDescent="0.3">
      <c r="AI2148" s="267"/>
    </row>
    <row r="2149" spans="35:35" x14ac:dyDescent="0.3">
      <c r="AI2149" s="267"/>
    </row>
    <row r="2150" spans="35:35" x14ac:dyDescent="0.3">
      <c r="AI2150" s="267"/>
    </row>
    <row r="2151" spans="35:35" x14ac:dyDescent="0.3">
      <c r="AI2151" s="267"/>
    </row>
    <row r="2152" spans="35:35" x14ac:dyDescent="0.3">
      <c r="AI2152" s="267"/>
    </row>
    <row r="2153" spans="35:35" x14ac:dyDescent="0.3">
      <c r="AI2153" s="267"/>
    </row>
    <row r="2154" spans="35:35" x14ac:dyDescent="0.3">
      <c r="AI2154" s="267"/>
    </row>
    <row r="2155" spans="35:35" x14ac:dyDescent="0.3">
      <c r="AI2155" s="267"/>
    </row>
    <row r="2156" spans="35:35" x14ac:dyDescent="0.3">
      <c r="AI2156" s="267"/>
    </row>
    <row r="2157" spans="35:35" x14ac:dyDescent="0.3">
      <c r="AI2157" s="267"/>
    </row>
    <row r="2158" spans="35:35" x14ac:dyDescent="0.3">
      <c r="AI2158" s="267"/>
    </row>
    <row r="2159" spans="35:35" x14ac:dyDescent="0.3">
      <c r="AI2159" s="267"/>
    </row>
    <row r="2160" spans="35:35" x14ac:dyDescent="0.3">
      <c r="AI2160" s="267"/>
    </row>
    <row r="2161" spans="35:35" x14ac:dyDescent="0.3">
      <c r="AI2161" s="267"/>
    </row>
    <row r="2162" spans="35:35" x14ac:dyDescent="0.3">
      <c r="AI2162" s="267"/>
    </row>
    <row r="2163" spans="35:35" x14ac:dyDescent="0.3">
      <c r="AI2163" s="267"/>
    </row>
    <row r="2164" spans="35:35" x14ac:dyDescent="0.3">
      <c r="AI2164" s="267"/>
    </row>
    <row r="2165" spans="35:35" x14ac:dyDescent="0.3">
      <c r="AI2165" s="267"/>
    </row>
    <row r="2166" spans="35:35" x14ac:dyDescent="0.3">
      <c r="AI2166" s="267"/>
    </row>
    <row r="2167" spans="35:35" x14ac:dyDescent="0.3">
      <c r="AI2167" s="267"/>
    </row>
    <row r="2168" spans="35:35" x14ac:dyDescent="0.3">
      <c r="AI2168" s="267"/>
    </row>
    <row r="2169" spans="35:35" x14ac:dyDescent="0.3">
      <c r="AI2169" s="267"/>
    </row>
    <row r="2170" spans="35:35" x14ac:dyDescent="0.3">
      <c r="AI2170" s="267"/>
    </row>
    <row r="2171" spans="35:35" x14ac:dyDescent="0.3">
      <c r="AI2171" s="267"/>
    </row>
    <row r="2172" spans="35:35" x14ac:dyDescent="0.3">
      <c r="AI2172" s="267"/>
    </row>
    <row r="2173" spans="35:35" x14ac:dyDescent="0.3">
      <c r="AI2173" s="267"/>
    </row>
    <row r="2174" spans="35:35" x14ac:dyDescent="0.3">
      <c r="AI2174" s="267"/>
    </row>
    <row r="2175" spans="35:35" x14ac:dyDescent="0.3">
      <c r="AI2175" s="267"/>
    </row>
    <row r="2176" spans="35:35" x14ac:dyDescent="0.3">
      <c r="AI2176" s="267"/>
    </row>
    <row r="2177" spans="35:35" x14ac:dyDescent="0.3">
      <c r="AI2177" s="267"/>
    </row>
    <row r="2178" spans="35:35" x14ac:dyDescent="0.3">
      <c r="AI2178" s="267"/>
    </row>
    <row r="2179" spans="35:35" x14ac:dyDescent="0.3">
      <c r="AI2179" s="267"/>
    </row>
    <row r="2180" spans="35:35" x14ac:dyDescent="0.3">
      <c r="AI2180" s="267"/>
    </row>
    <row r="2181" spans="35:35" x14ac:dyDescent="0.3">
      <c r="AI2181" s="267"/>
    </row>
    <row r="2182" spans="35:35" x14ac:dyDescent="0.3">
      <c r="AI2182" s="267"/>
    </row>
    <row r="2183" spans="35:35" x14ac:dyDescent="0.3">
      <c r="AI2183" s="267"/>
    </row>
    <row r="2184" spans="35:35" x14ac:dyDescent="0.3">
      <c r="AI2184" s="267"/>
    </row>
    <row r="2185" spans="35:35" x14ac:dyDescent="0.3">
      <c r="AI2185" s="267"/>
    </row>
    <row r="2186" spans="35:35" x14ac:dyDescent="0.3">
      <c r="AI2186" s="267"/>
    </row>
    <row r="2187" spans="35:35" x14ac:dyDescent="0.3">
      <c r="AI2187" s="267"/>
    </row>
    <row r="2188" spans="35:35" x14ac:dyDescent="0.3">
      <c r="AI2188" s="267"/>
    </row>
    <row r="2189" spans="35:35" x14ac:dyDescent="0.3">
      <c r="AI2189" s="267"/>
    </row>
    <row r="2190" spans="35:35" x14ac:dyDescent="0.3">
      <c r="AI2190" s="267"/>
    </row>
    <row r="2191" spans="35:35" x14ac:dyDescent="0.3">
      <c r="AI2191" s="267"/>
    </row>
    <row r="2192" spans="35:35" x14ac:dyDescent="0.3">
      <c r="AI2192" s="267"/>
    </row>
    <row r="2193" spans="35:35" x14ac:dyDescent="0.3">
      <c r="AI2193" s="267"/>
    </row>
    <row r="2194" spans="35:35" x14ac:dyDescent="0.3">
      <c r="AI2194" s="267"/>
    </row>
    <row r="2195" spans="35:35" x14ac:dyDescent="0.3">
      <c r="AI2195" s="267"/>
    </row>
    <row r="2196" spans="35:35" x14ac:dyDescent="0.3">
      <c r="AI2196" s="267"/>
    </row>
    <row r="2197" spans="35:35" x14ac:dyDescent="0.3">
      <c r="AI2197" s="267"/>
    </row>
    <row r="2198" spans="35:35" x14ac:dyDescent="0.3">
      <c r="AI2198" s="267"/>
    </row>
    <row r="2199" spans="35:35" x14ac:dyDescent="0.3">
      <c r="AI2199" s="267"/>
    </row>
    <row r="2200" spans="35:35" x14ac:dyDescent="0.3">
      <c r="AI2200" s="267"/>
    </row>
    <row r="2201" spans="35:35" x14ac:dyDescent="0.3">
      <c r="AI2201" s="267"/>
    </row>
    <row r="2202" spans="35:35" x14ac:dyDescent="0.3">
      <c r="AI2202" s="267"/>
    </row>
    <row r="2203" spans="35:35" x14ac:dyDescent="0.3">
      <c r="AI2203" s="267"/>
    </row>
    <row r="2204" spans="35:35" x14ac:dyDescent="0.3">
      <c r="AI2204" s="267"/>
    </row>
    <row r="2205" spans="35:35" x14ac:dyDescent="0.3">
      <c r="AI2205" s="267"/>
    </row>
    <row r="2206" spans="35:35" x14ac:dyDescent="0.3">
      <c r="AI2206" s="267"/>
    </row>
    <row r="2207" spans="35:35" x14ac:dyDescent="0.3">
      <c r="AI2207" s="267"/>
    </row>
    <row r="2208" spans="35:35" x14ac:dyDescent="0.3">
      <c r="AI2208" s="267"/>
    </row>
    <row r="2209" spans="35:35" x14ac:dyDescent="0.3">
      <c r="AI2209" s="267"/>
    </row>
    <row r="2210" spans="35:35" x14ac:dyDescent="0.3">
      <c r="AI2210" s="267"/>
    </row>
    <row r="2211" spans="35:35" x14ac:dyDescent="0.3">
      <c r="AI2211" s="267"/>
    </row>
    <row r="2212" spans="35:35" x14ac:dyDescent="0.3">
      <c r="AI2212" s="267"/>
    </row>
    <row r="2213" spans="35:35" x14ac:dyDescent="0.3">
      <c r="AI2213" s="267"/>
    </row>
    <row r="2214" spans="35:35" x14ac:dyDescent="0.3">
      <c r="AI2214" s="267"/>
    </row>
    <row r="2215" spans="35:35" x14ac:dyDescent="0.3">
      <c r="AI2215" s="267"/>
    </row>
    <row r="2216" spans="35:35" x14ac:dyDescent="0.3">
      <c r="AI2216" s="267"/>
    </row>
    <row r="2217" spans="35:35" x14ac:dyDescent="0.3">
      <c r="AI2217" s="267"/>
    </row>
    <row r="2218" spans="35:35" x14ac:dyDescent="0.3">
      <c r="AI2218" s="267"/>
    </row>
    <row r="2219" spans="35:35" x14ac:dyDescent="0.3">
      <c r="AI2219" s="267"/>
    </row>
    <row r="2220" spans="35:35" x14ac:dyDescent="0.3">
      <c r="AI2220" s="267"/>
    </row>
    <row r="2221" spans="35:35" x14ac:dyDescent="0.3">
      <c r="AI2221" s="267"/>
    </row>
    <row r="2222" spans="35:35" x14ac:dyDescent="0.3">
      <c r="AI2222" s="267"/>
    </row>
    <row r="2223" spans="35:35" x14ac:dyDescent="0.3">
      <c r="AI2223" s="267"/>
    </row>
    <row r="2224" spans="35:35" x14ac:dyDescent="0.3">
      <c r="AI2224" s="267"/>
    </row>
    <row r="2225" spans="35:35" x14ac:dyDescent="0.3">
      <c r="AI2225" s="267"/>
    </row>
    <row r="2226" spans="35:35" x14ac:dyDescent="0.3">
      <c r="AI2226" s="267"/>
    </row>
    <row r="2227" spans="35:35" x14ac:dyDescent="0.3">
      <c r="AI2227" s="267"/>
    </row>
    <row r="2228" spans="35:35" x14ac:dyDescent="0.3">
      <c r="AI2228" s="267"/>
    </row>
    <row r="2229" spans="35:35" x14ac:dyDescent="0.3">
      <c r="AI2229" s="267"/>
    </row>
    <row r="2230" spans="35:35" x14ac:dyDescent="0.3">
      <c r="AI2230" s="267"/>
    </row>
    <row r="2231" spans="35:35" x14ac:dyDescent="0.3">
      <c r="AI2231" s="267"/>
    </row>
    <row r="2232" spans="35:35" x14ac:dyDescent="0.3">
      <c r="AI2232" s="267"/>
    </row>
    <row r="2233" spans="35:35" x14ac:dyDescent="0.3">
      <c r="AI2233" s="267"/>
    </row>
    <row r="2234" spans="35:35" x14ac:dyDescent="0.3">
      <c r="AI2234" s="267"/>
    </row>
    <row r="2235" spans="35:35" x14ac:dyDescent="0.3">
      <c r="AI2235" s="267"/>
    </row>
    <row r="2236" spans="35:35" x14ac:dyDescent="0.3">
      <c r="AI2236" s="267"/>
    </row>
    <row r="2237" spans="35:35" x14ac:dyDescent="0.3">
      <c r="AI2237" s="267"/>
    </row>
    <row r="2238" spans="35:35" x14ac:dyDescent="0.3">
      <c r="AI2238" s="267"/>
    </row>
    <row r="2239" spans="35:35" x14ac:dyDescent="0.3">
      <c r="AI2239" s="267"/>
    </row>
    <row r="2240" spans="35:35" x14ac:dyDescent="0.3">
      <c r="AI2240" s="267"/>
    </row>
    <row r="2241" spans="35:35" x14ac:dyDescent="0.3">
      <c r="AI2241" s="267"/>
    </row>
    <row r="2242" spans="35:35" x14ac:dyDescent="0.3">
      <c r="AI2242" s="267"/>
    </row>
    <row r="2243" spans="35:35" x14ac:dyDescent="0.3">
      <c r="AI2243" s="267"/>
    </row>
    <row r="2244" spans="35:35" x14ac:dyDescent="0.3">
      <c r="AI2244" s="267"/>
    </row>
    <row r="2245" spans="35:35" x14ac:dyDescent="0.3">
      <c r="AI2245" s="267"/>
    </row>
    <row r="2246" spans="35:35" x14ac:dyDescent="0.3">
      <c r="AI2246" s="267"/>
    </row>
    <row r="2247" spans="35:35" x14ac:dyDescent="0.3">
      <c r="AI2247" s="267"/>
    </row>
    <row r="2248" spans="35:35" x14ac:dyDescent="0.3">
      <c r="AI2248" s="267"/>
    </row>
    <row r="2249" spans="35:35" x14ac:dyDescent="0.3">
      <c r="AI2249" s="267"/>
    </row>
    <row r="2250" spans="35:35" x14ac:dyDescent="0.3">
      <c r="AI2250" s="267"/>
    </row>
    <row r="2251" spans="35:35" x14ac:dyDescent="0.3">
      <c r="AI2251" s="267"/>
    </row>
    <row r="2252" spans="35:35" x14ac:dyDescent="0.3">
      <c r="AI2252" s="267"/>
    </row>
    <row r="2253" spans="35:35" x14ac:dyDescent="0.3">
      <c r="AI2253" s="267"/>
    </row>
    <row r="2254" spans="35:35" x14ac:dyDescent="0.3">
      <c r="AI2254" s="267"/>
    </row>
    <row r="2255" spans="35:35" x14ac:dyDescent="0.3">
      <c r="AI2255" s="267"/>
    </row>
    <row r="2256" spans="35:35" x14ac:dyDescent="0.3">
      <c r="AI2256" s="267"/>
    </row>
    <row r="2257" spans="35:35" x14ac:dyDescent="0.3">
      <c r="AI2257" s="267"/>
    </row>
    <row r="2258" spans="35:35" x14ac:dyDescent="0.3">
      <c r="AI2258" s="267"/>
    </row>
    <row r="2259" spans="35:35" x14ac:dyDescent="0.3">
      <c r="AI2259" s="267"/>
    </row>
    <row r="2260" spans="35:35" x14ac:dyDescent="0.3">
      <c r="AI2260" s="267"/>
    </row>
    <row r="2261" spans="35:35" x14ac:dyDescent="0.3">
      <c r="AI2261" s="267"/>
    </row>
    <row r="2262" spans="35:35" x14ac:dyDescent="0.3">
      <c r="AI2262" s="267"/>
    </row>
    <row r="2263" spans="35:35" x14ac:dyDescent="0.3">
      <c r="AI2263" s="267"/>
    </row>
    <row r="2264" spans="35:35" x14ac:dyDescent="0.3">
      <c r="AI2264" s="267"/>
    </row>
    <row r="2265" spans="35:35" x14ac:dyDescent="0.3">
      <c r="AI2265" s="267"/>
    </row>
    <row r="2266" spans="35:35" x14ac:dyDescent="0.3">
      <c r="AI2266" s="267"/>
    </row>
    <row r="2267" spans="35:35" x14ac:dyDescent="0.3">
      <c r="AI2267" s="267"/>
    </row>
    <row r="2268" spans="35:35" x14ac:dyDescent="0.3">
      <c r="AI2268" s="267"/>
    </row>
    <row r="2269" spans="35:35" x14ac:dyDescent="0.3">
      <c r="AI2269" s="267"/>
    </row>
    <row r="2270" spans="35:35" x14ac:dyDescent="0.3">
      <c r="AI2270" s="267"/>
    </row>
    <row r="2271" spans="35:35" x14ac:dyDescent="0.3">
      <c r="AI2271" s="267"/>
    </row>
    <row r="2272" spans="35:35" x14ac:dyDescent="0.3">
      <c r="AI2272" s="267"/>
    </row>
    <row r="2273" spans="35:35" x14ac:dyDescent="0.3">
      <c r="AI2273" s="267"/>
    </row>
    <row r="2274" spans="35:35" x14ac:dyDescent="0.3">
      <c r="AI2274" s="267"/>
    </row>
    <row r="2275" spans="35:35" x14ac:dyDescent="0.3">
      <c r="AI2275" s="267"/>
    </row>
    <row r="2276" spans="35:35" x14ac:dyDescent="0.3">
      <c r="AI2276" s="267"/>
    </row>
    <row r="2277" spans="35:35" x14ac:dyDescent="0.3">
      <c r="AI2277" s="267"/>
    </row>
    <row r="2278" spans="35:35" x14ac:dyDescent="0.3">
      <c r="AI2278" s="267"/>
    </row>
    <row r="2279" spans="35:35" x14ac:dyDescent="0.3">
      <c r="AI2279" s="267"/>
    </row>
    <row r="2280" spans="35:35" x14ac:dyDescent="0.3">
      <c r="AI2280" s="267"/>
    </row>
    <row r="2281" spans="35:35" x14ac:dyDescent="0.3">
      <c r="AI2281" s="267"/>
    </row>
    <row r="2282" spans="35:35" x14ac:dyDescent="0.3">
      <c r="AI2282" s="267"/>
    </row>
    <row r="2283" spans="35:35" x14ac:dyDescent="0.3">
      <c r="AI2283" s="267"/>
    </row>
    <row r="2284" spans="35:35" x14ac:dyDescent="0.3">
      <c r="AI2284" s="267"/>
    </row>
    <row r="2285" spans="35:35" x14ac:dyDescent="0.3">
      <c r="AI2285" s="267"/>
    </row>
    <row r="2286" spans="35:35" x14ac:dyDescent="0.3">
      <c r="AI2286" s="267"/>
    </row>
    <row r="2287" spans="35:35" x14ac:dyDescent="0.3">
      <c r="AI2287" s="267"/>
    </row>
    <row r="2288" spans="35:35" x14ac:dyDescent="0.3">
      <c r="AI2288" s="267"/>
    </row>
    <row r="2289" spans="35:35" x14ac:dyDescent="0.3">
      <c r="AI2289" s="267"/>
    </row>
    <row r="2290" spans="35:35" x14ac:dyDescent="0.3">
      <c r="AI2290" s="267"/>
    </row>
    <row r="2291" spans="35:35" x14ac:dyDescent="0.3">
      <c r="AI2291" s="267"/>
    </row>
    <row r="2292" spans="35:35" x14ac:dyDescent="0.3">
      <c r="AI2292" s="267"/>
    </row>
    <row r="2293" spans="35:35" x14ac:dyDescent="0.3">
      <c r="AI2293" s="267"/>
    </row>
    <row r="2294" spans="35:35" x14ac:dyDescent="0.3">
      <c r="AI2294" s="267"/>
    </row>
    <row r="2295" spans="35:35" x14ac:dyDescent="0.3">
      <c r="AI2295" s="267"/>
    </row>
    <row r="2296" spans="35:35" x14ac:dyDescent="0.3">
      <c r="AI2296" s="267"/>
    </row>
    <row r="2297" spans="35:35" x14ac:dyDescent="0.3">
      <c r="AI2297" s="267"/>
    </row>
    <row r="2298" spans="35:35" x14ac:dyDescent="0.3">
      <c r="AI2298" s="267"/>
    </row>
    <row r="2299" spans="35:35" x14ac:dyDescent="0.3">
      <c r="AI2299" s="267"/>
    </row>
    <row r="2300" spans="35:35" x14ac:dyDescent="0.3">
      <c r="AI2300" s="267"/>
    </row>
    <row r="2301" spans="35:35" x14ac:dyDescent="0.3">
      <c r="AI2301" s="267"/>
    </row>
    <row r="2302" spans="35:35" x14ac:dyDescent="0.3">
      <c r="AI2302" s="267"/>
    </row>
    <row r="2303" spans="35:35" x14ac:dyDescent="0.3">
      <c r="AI2303" s="267"/>
    </row>
    <row r="2304" spans="35:35" x14ac:dyDescent="0.3">
      <c r="AI2304" s="267"/>
    </row>
    <row r="2305" spans="35:35" x14ac:dyDescent="0.3">
      <c r="AI2305" s="267"/>
    </row>
    <row r="2306" spans="35:35" x14ac:dyDescent="0.3">
      <c r="AI2306" s="267"/>
    </row>
    <row r="2307" spans="35:35" x14ac:dyDescent="0.3">
      <c r="AI2307" s="267"/>
    </row>
    <row r="2308" spans="35:35" x14ac:dyDescent="0.3">
      <c r="AI2308" s="267"/>
    </row>
    <row r="2309" spans="35:35" x14ac:dyDescent="0.3">
      <c r="AI2309" s="267"/>
    </row>
    <row r="2310" spans="35:35" x14ac:dyDescent="0.3">
      <c r="AI2310" s="267"/>
    </row>
    <row r="2311" spans="35:35" x14ac:dyDescent="0.3">
      <c r="AI2311" s="267"/>
    </row>
    <row r="2312" spans="35:35" x14ac:dyDescent="0.3">
      <c r="AI2312" s="267"/>
    </row>
    <row r="2313" spans="35:35" x14ac:dyDescent="0.3">
      <c r="AI2313" s="267"/>
    </row>
    <row r="2314" spans="35:35" x14ac:dyDescent="0.3">
      <c r="AI2314" s="267"/>
    </row>
    <row r="2315" spans="35:35" x14ac:dyDescent="0.3">
      <c r="AI2315" s="267"/>
    </row>
    <row r="2316" spans="35:35" x14ac:dyDescent="0.3">
      <c r="AI2316" s="267"/>
    </row>
    <row r="2317" spans="35:35" x14ac:dyDescent="0.3">
      <c r="AI2317" s="267"/>
    </row>
    <row r="2318" spans="35:35" x14ac:dyDescent="0.3">
      <c r="AI2318" s="267"/>
    </row>
    <row r="2319" spans="35:35" x14ac:dyDescent="0.3">
      <c r="AI2319" s="267"/>
    </row>
    <row r="2320" spans="35:35" x14ac:dyDescent="0.3">
      <c r="AI2320" s="267"/>
    </row>
    <row r="2321" spans="35:35" x14ac:dyDescent="0.3">
      <c r="AI2321" s="267"/>
    </row>
    <row r="2322" spans="35:35" x14ac:dyDescent="0.3">
      <c r="AI2322" s="267"/>
    </row>
    <row r="2323" spans="35:35" x14ac:dyDescent="0.3">
      <c r="AI2323" s="267"/>
    </row>
    <row r="2324" spans="35:35" x14ac:dyDescent="0.3">
      <c r="AI2324" s="267"/>
    </row>
    <row r="2325" spans="35:35" x14ac:dyDescent="0.3">
      <c r="AI2325" s="267"/>
    </row>
    <row r="2326" spans="35:35" x14ac:dyDescent="0.3">
      <c r="AI2326" s="267"/>
    </row>
    <row r="2327" spans="35:35" x14ac:dyDescent="0.3">
      <c r="AI2327" s="267"/>
    </row>
    <row r="2328" spans="35:35" x14ac:dyDescent="0.3">
      <c r="AI2328" s="267"/>
    </row>
    <row r="2329" spans="35:35" x14ac:dyDescent="0.3">
      <c r="AI2329" s="267"/>
    </row>
    <row r="2330" spans="35:35" x14ac:dyDescent="0.3">
      <c r="AI2330" s="267"/>
    </row>
    <row r="2331" spans="35:35" x14ac:dyDescent="0.3">
      <c r="AI2331" s="267"/>
    </row>
    <row r="2332" spans="35:35" x14ac:dyDescent="0.3">
      <c r="AI2332" s="267"/>
    </row>
    <row r="2333" spans="35:35" x14ac:dyDescent="0.3">
      <c r="AI2333" s="267"/>
    </row>
    <row r="2334" spans="35:35" x14ac:dyDescent="0.3">
      <c r="AI2334" s="267"/>
    </row>
    <row r="2335" spans="35:35" x14ac:dyDescent="0.3">
      <c r="AI2335" s="267"/>
    </row>
    <row r="2336" spans="35:35" x14ac:dyDescent="0.3">
      <c r="AI2336" s="267"/>
    </row>
    <row r="2337" spans="35:35" x14ac:dyDescent="0.3">
      <c r="AI2337" s="267"/>
    </row>
    <row r="2338" spans="35:35" x14ac:dyDescent="0.3">
      <c r="AI2338" s="267"/>
    </row>
    <row r="2339" spans="35:35" x14ac:dyDescent="0.3">
      <c r="AI2339" s="267"/>
    </row>
    <row r="2340" spans="35:35" x14ac:dyDescent="0.3">
      <c r="AI2340" s="267"/>
    </row>
    <row r="2341" spans="35:35" x14ac:dyDescent="0.3">
      <c r="AI2341" s="267"/>
    </row>
    <row r="2342" spans="35:35" x14ac:dyDescent="0.3">
      <c r="AI2342" s="267"/>
    </row>
    <row r="2343" spans="35:35" x14ac:dyDescent="0.3">
      <c r="AI2343" s="267"/>
    </row>
    <row r="2344" spans="35:35" x14ac:dyDescent="0.3">
      <c r="AI2344" s="267"/>
    </row>
    <row r="2345" spans="35:35" x14ac:dyDescent="0.3">
      <c r="AI2345" s="267"/>
    </row>
    <row r="2346" spans="35:35" x14ac:dyDescent="0.3">
      <c r="AI2346" s="267"/>
    </row>
    <row r="2347" spans="35:35" x14ac:dyDescent="0.3">
      <c r="AI2347" s="267"/>
    </row>
    <row r="2348" spans="35:35" x14ac:dyDescent="0.3">
      <c r="AI2348" s="267"/>
    </row>
    <row r="2349" spans="35:35" x14ac:dyDescent="0.3">
      <c r="AI2349" s="267"/>
    </row>
    <row r="2350" spans="35:35" x14ac:dyDescent="0.3">
      <c r="AI2350" s="267"/>
    </row>
    <row r="2351" spans="35:35" x14ac:dyDescent="0.3">
      <c r="AI2351" s="267"/>
    </row>
    <row r="2352" spans="35:35" x14ac:dyDescent="0.3">
      <c r="AI2352" s="267"/>
    </row>
    <row r="2353" spans="35:35" x14ac:dyDescent="0.3">
      <c r="AI2353" s="267"/>
    </row>
    <row r="2354" spans="35:35" x14ac:dyDescent="0.3">
      <c r="AI2354" s="267"/>
    </row>
    <row r="2355" spans="35:35" x14ac:dyDescent="0.3">
      <c r="AI2355" s="267"/>
    </row>
    <row r="2356" spans="35:35" x14ac:dyDescent="0.3">
      <c r="AI2356" s="267"/>
    </row>
    <row r="2357" spans="35:35" x14ac:dyDescent="0.3">
      <c r="AI2357" s="267"/>
    </row>
    <row r="2358" spans="35:35" x14ac:dyDescent="0.3">
      <c r="AI2358" s="267"/>
    </row>
    <row r="2359" spans="35:35" x14ac:dyDescent="0.3">
      <c r="AI2359" s="267"/>
    </row>
    <row r="2360" spans="35:35" x14ac:dyDescent="0.3">
      <c r="AI2360" s="267"/>
    </row>
    <row r="2361" spans="35:35" x14ac:dyDescent="0.3">
      <c r="AI2361" s="267"/>
    </row>
    <row r="2362" spans="35:35" x14ac:dyDescent="0.3">
      <c r="AI2362" s="267"/>
    </row>
    <row r="2363" spans="35:35" x14ac:dyDescent="0.3">
      <c r="AI2363" s="267"/>
    </row>
    <row r="2364" spans="35:35" x14ac:dyDescent="0.3">
      <c r="AI2364" s="267"/>
    </row>
    <row r="2365" spans="35:35" x14ac:dyDescent="0.3">
      <c r="AI2365" s="267"/>
    </row>
    <row r="2366" spans="35:35" x14ac:dyDescent="0.3">
      <c r="AI2366" s="267"/>
    </row>
    <row r="2367" spans="35:35" x14ac:dyDescent="0.3">
      <c r="AI2367" s="267"/>
    </row>
    <row r="2368" spans="35:35" x14ac:dyDescent="0.3">
      <c r="AI2368" s="267"/>
    </row>
    <row r="2369" spans="35:35" x14ac:dyDescent="0.3">
      <c r="AI2369" s="267"/>
    </row>
    <row r="2370" spans="35:35" x14ac:dyDescent="0.3">
      <c r="AI2370" s="267"/>
    </row>
    <row r="2371" spans="35:35" x14ac:dyDescent="0.3">
      <c r="AI2371" s="267"/>
    </row>
    <row r="2372" spans="35:35" x14ac:dyDescent="0.3">
      <c r="AI2372" s="267"/>
    </row>
    <row r="2373" spans="35:35" x14ac:dyDescent="0.3">
      <c r="AI2373" s="267"/>
    </row>
    <row r="2374" spans="35:35" x14ac:dyDescent="0.3">
      <c r="AI2374" s="267"/>
    </row>
    <row r="2375" spans="35:35" x14ac:dyDescent="0.3">
      <c r="AI2375" s="267"/>
    </row>
    <row r="2376" spans="35:35" x14ac:dyDescent="0.3">
      <c r="AI2376" s="267"/>
    </row>
    <row r="2377" spans="35:35" x14ac:dyDescent="0.3">
      <c r="AI2377" s="267"/>
    </row>
    <row r="2378" spans="35:35" x14ac:dyDescent="0.3">
      <c r="AI2378" s="267"/>
    </row>
    <row r="2379" spans="35:35" x14ac:dyDescent="0.3">
      <c r="AI2379" s="267"/>
    </row>
    <row r="2380" spans="35:35" x14ac:dyDescent="0.3">
      <c r="AI2380" s="267"/>
    </row>
    <row r="2381" spans="35:35" x14ac:dyDescent="0.3">
      <c r="AI2381" s="267"/>
    </row>
    <row r="2382" spans="35:35" x14ac:dyDescent="0.3">
      <c r="AI2382" s="267"/>
    </row>
    <row r="2383" spans="35:35" x14ac:dyDescent="0.3">
      <c r="AI2383" s="267"/>
    </row>
    <row r="2384" spans="35:35" x14ac:dyDescent="0.3">
      <c r="AI2384" s="267"/>
    </row>
    <row r="2385" spans="35:35" x14ac:dyDescent="0.3">
      <c r="AI2385" s="267"/>
    </row>
    <row r="2386" spans="35:35" x14ac:dyDescent="0.3">
      <c r="AI2386" s="267"/>
    </row>
    <row r="2387" spans="35:35" x14ac:dyDescent="0.3">
      <c r="AI2387" s="267"/>
    </row>
    <row r="2388" spans="35:35" x14ac:dyDescent="0.3">
      <c r="AI2388" s="267"/>
    </row>
    <row r="2389" spans="35:35" x14ac:dyDescent="0.3">
      <c r="AI2389" s="267"/>
    </row>
    <row r="2390" spans="35:35" x14ac:dyDescent="0.3">
      <c r="AI2390" s="267"/>
    </row>
    <row r="2391" spans="35:35" x14ac:dyDescent="0.3">
      <c r="AI2391" s="267"/>
    </row>
    <row r="2392" spans="35:35" x14ac:dyDescent="0.3">
      <c r="AI2392" s="267"/>
    </row>
    <row r="2393" spans="35:35" x14ac:dyDescent="0.3">
      <c r="AI2393" s="267"/>
    </row>
    <row r="2394" spans="35:35" x14ac:dyDescent="0.3">
      <c r="AI2394" s="267"/>
    </row>
    <row r="2395" spans="35:35" x14ac:dyDescent="0.3">
      <c r="AI2395" s="267"/>
    </row>
    <row r="2396" spans="35:35" x14ac:dyDescent="0.3">
      <c r="AI2396" s="267"/>
    </row>
    <row r="2397" spans="35:35" x14ac:dyDescent="0.3">
      <c r="AI2397" s="267"/>
    </row>
    <row r="2398" spans="35:35" x14ac:dyDescent="0.3">
      <c r="AI2398" s="267"/>
    </row>
    <row r="2399" spans="35:35" x14ac:dyDescent="0.3">
      <c r="AI2399" s="267"/>
    </row>
    <row r="2400" spans="35:35" x14ac:dyDescent="0.3">
      <c r="AI2400" s="267"/>
    </row>
    <row r="2401" spans="35:35" x14ac:dyDescent="0.3">
      <c r="AI2401" s="267"/>
    </row>
    <row r="2402" spans="35:35" x14ac:dyDescent="0.3">
      <c r="AI2402" s="267"/>
    </row>
    <row r="2403" spans="35:35" x14ac:dyDescent="0.3">
      <c r="AI2403" s="267"/>
    </row>
    <row r="2404" spans="35:35" x14ac:dyDescent="0.3">
      <c r="AI2404" s="267"/>
    </row>
    <row r="2405" spans="35:35" x14ac:dyDescent="0.3">
      <c r="AI2405" s="267"/>
    </row>
    <row r="2406" spans="35:35" x14ac:dyDescent="0.3">
      <c r="AI2406" s="267"/>
    </row>
    <row r="2407" spans="35:35" x14ac:dyDescent="0.3">
      <c r="AI2407" s="267"/>
    </row>
    <row r="2408" spans="35:35" x14ac:dyDescent="0.3">
      <c r="AI2408" s="267"/>
    </row>
    <row r="2409" spans="35:35" x14ac:dyDescent="0.3">
      <c r="AI2409" s="267"/>
    </row>
    <row r="2410" spans="35:35" x14ac:dyDescent="0.3">
      <c r="AI2410" s="267"/>
    </row>
    <row r="2411" spans="35:35" x14ac:dyDescent="0.3">
      <c r="AI2411" s="267"/>
    </row>
    <row r="2412" spans="35:35" x14ac:dyDescent="0.3">
      <c r="AI2412" s="267"/>
    </row>
    <row r="2413" spans="35:35" x14ac:dyDescent="0.3">
      <c r="AI2413" s="267"/>
    </row>
    <row r="2414" spans="35:35" x14ac:dyDescent="0.3">
      <c r="AI2414" s="267"/>
    </row>
    <row r="2415" spans="35:35" x14ac:dyDescent="0.3">
      <c r="AI2415" s="267"/>
    </row>
    <row r="2416" spans="35:35" x14ac:dyDescent="0.3">
      <c r="AI2416" s="267"/>
    </row>
    <row r="2417" spans="35:35" x14ac:dyDescent="0.3">
      <c r="AI2417" s="267"/>
    </row>
    <row r="2418" spans="35:35" x14ac:dyDescent="0.3">
      <c r="AI2418" s="267"/>
    </row>
    <row r="2419" spans="35:35" x14ac:dyDescent="0.3">
      <c r="AI2419" s="267"/>
    </row>
    <row r="2420" spans="35:35" x14ac:dyDescent="0.3">
      <c r="AI2420" s="267"/>
    </row>
    <row r="2421" spans="35:35" x14ac:dyDescent="0.3">
      <c r="AI2421" s="267"/>
    </row>
    <row r="2422" spans="35:35" x14ac:dyDescent="0.3">
      <c r="AI2422" s="267"/>
    </row>
    <row r="2423" spans="35:35" x14ac:dyDescent="0.3">
      <c r="AI2423" s="267"/>
    </row>
    <row r="2424" spans="35:35" x14ac:dyDescent="0.3">
      <c r="AI2424" s="267"/>
    </row>
    <row r="2425" spans="35:35" x14ac:dyDescent="0.3">
      <c r="AI2425" s="267"/>
    </row>
    <row r="2426" spans="35:35" x14ac:dyDescent="0.3">
      <c r="AI2426" s="267"/>
    </row>
    <row r="2427" spans="35:35" x14ac:dyDescent="0.3">
      <c r="AI2427" s="267"/>
    </row>
    <row r="2428" spans="35:35" x14ac:dyDescent="0.3">
      <c r="AI2428" s="267"/>
    </row>
    <row r="2429" spans="35:35" x14ac:dyDescent="0.3">
      <c r="AI2429" s="267"/>
    </row>
    <row r="2430" spans="35:35" x14ac:dyDescent="0.3">
      <c r="AI2430" s="267"/>
    </row>
    <row r="2431" spans="35:35" x14ac:dyDescent="0.3">
      <c r="AI2431" s="267"/>
    </row>
    <row r="2432" spans="35:35" x14ac:dyDescent="0.3">
      <c r="AI2432" s="267"/>
    </row>
    <row r="2433" spans="35:35" x14ac:dyDescent="0.3">
      <c r="AI2433" s="267"/>
    </row>
    <row r="2434" spans="35:35" x14ac:dyDescent="0.3">
      <c r="AI2434" s="267"/>
    </row>
    <row r="2435" spans="35:35" x14ac:dyDescent="0.3">
      <c r="AI2435" s="267"/>
    </row>
    <row r="2436" spans="35:35" x14ac:dyDescent="0.3">
      <c r="AI2436" s="267"/>
    </row>
    <row r="2437" spans="35:35" x14ac:dyDescent="0.3">
      <c r="AI2437" s="267"/>
    </row>
    <row r="2438" spans="35:35" x14ac:dyDescent="0.3">
      <c r="AI2438" s="267"/>
    </row>
    <row r="2439" spans="35:35" x14ac:dyDescent="0.3">
      <c r="AI2439" s="267"/>
    </row>
    <row r="2440" spans="35:35" x14ac:dyDescent="0.3">
      <c r="AI2440" s="267"/>
    </row>
    <row r="2441" spans="35:35" x14ac:dyDescent="0.3">
      <c r="AI2441" s="267"/>
    </row>
    <row r="2442" spans="35:35" x14ac:dyDescent="0.3">
      <c r="AI2442" s="267"/>
    </row>
    <row r="2443" spans="35:35" x14ac:dyDescent="0.3">
      <c r="AI2443" s="267"/>
    </row>
    <row r="2444" spans="35:35" x14ac:dyDescent="0.3">
      <c r="AI2444" s="267"/>
    </row>
    <row r="2445" spans="35:35" x14ac:dyDescent="0.3">
      <c r="AI2445" s="267"/>
    </row>
    <row r="2446" spans="35:35" x14ac:dyDescent="0.3">
      <c r="AI2446" s="267"/>
    </row>
    <row r="2447" spans="35:35" x14ac:dyDescent="0.3">
      <c r="AI2447" s="267"/>
    </row>
    <row r="2448" spans="35:35" x14ac:dyDescent="0.3">
      <c r="AI2448" s="267"/>
    </row>
    <row r="2449" spans="35:35" x14ac:dyDescent="0.3">
      <c r="AI2449" s="267"/>
    </row>
    <row r="2450" spans="35:35" x14ac:dyDescent="0.3">
      <c r="AI2450" s="267"/>
    </row>
    <row r="2451" spans="35:35" x14ac:dyDescent="0.3">
      <c r="AI2451" s="267"/>
    </row>
    <row r="2452" spans="35:35" x14ac:dyDescent="0.3">
      <c r="AI2452" s="267"/>
    </row>
    <row r="2453" spans="35:35" x14ac:dyDescent="0.3">
      <c r="AI2453" s="267"/>
    </row>
    <row r="2454" spans="35:35" x14ac:dyDescent="0.3">
      <c r="AI2454" s="267"/>
    </row>
    <row r="2455" spans="35:35" x14ac:dyDescent="0.3">
      <c r="AI2455" s="267"/>
    </row>
    <row r="2456" spans="35:35" x14ac:dyDescent="0.3">
      <c r="AI2456" s="267"/>
    </row>
    <row r="2457" spans="35:35" x14ac:dyDescent="0.3">
      <c r="AI2457" s="267"/>
    </row>
    <row r="2458" spans="35:35" x14ac:dyDescent="0.3">
      <c r="AI2458" s="267"/>
    </row>
    <row r="2459" spans="35:35" x14ac:dyDescent="0.3">
      <c r="AI2459" s="267"/>
    </row>
    <row r="2460" spans="35:35" x14ac:dyDescent="0.3">
      <c r="AI2460" s="267"/>
    </row>
    <row r="2461" spans="35:35" x14ac:dyDescent="0.3">
      <c r="AI2461" s="267"/>
    </row>
    <row r="2462" spans="35:35" x14ac:dyDescent="0.3">
      <c r="AI2462" s="267"/>
    </row>
    <row r="2463" spans="35:35" x14ac:dyDescent="0.3">
      <c r="AI2463" s="267"/>
    </row>
    <row r="2464" spans="35:35" x14ac:dyDescent="0.3">
      <c r="AI2464" s="267"/>
    </row>
    <row r="2465" spans="35:35" x14ac:dyDescent="0.3">
      <c r="AI2465" s="267"/>
    </row>
    <row r="2466" spans="35:35" x14ac:dyDescent="0.3">
      <c r="AI2466" s="267"/>
    </row>
    <row r="2467" spans="35:35" x14ac:dyDescent="0.3">
      <c r="AI2467" s="267"/>
    </row>
    <row r="2468" spans="35:35" x14ac:dyDescent="0.3">
      <c r="AI2468" s="267"/>
    </row>
    <row r="2469" spans="35:35" x14ac:dyDescent="0.3">
      <c r="AI2469" s="267"/>
    </row>
    <row r="2470" spans="35:35" x14ac:dyDescent="0.3">
      <c r="AI2470" s="267"/>
    </row>
    <row r="2471" spans="35:35" x14ac:dyDescent="0.3">
      <c r="AI2471" s="267"/>
    </row>
    <row r="2472" spans="35:35" x14ac:dyDescent="0.3">
      <c r="AI2472" s="267"/>
    </row>
    <row r="2473" spans="35:35" x14ac:dyDescent="0.3">
      <c r="AI2473" s="267"/>
    </row>
    <row r="2474" spans="35:35" x14ac:dyDescent="0.3">
      <c r="AI2474" s="267"/>
    </row>
    <row r="2475" spans="35:35" x14ac:dyDescent="0.3">
      <c r="AI2475" s="267"/>
    </row>
    <row r="2476" spans="35:35" x14ac:dyDescent="0.3">
      <c r="AI2476" s="267"/>
    </row>
    <row r="2477" spans="35:35" x14ac:dyDescent="0.3">
      <c r="AI2477" s="267"/>
    </row>
    <row r="2478" spans="35:35" x14ac:dyDescent="0.3">
      <c r="AI2478" s="267"/>
    </row>
    <row r="2479" spans="35:35" x14ac:dyDescent="0.3">
      <c r="AI2479" s="267"/>
    </row>
    <row r="2480" spans="35:35" x14ac:dyDescent="0.3">
      <c r="AI2480" s="267"/>
    </row>
    <row r="2481" spans="35:35" x14ac:dyDescent="0.3">
      <c r="AI2481" s="267"/>
    </row>
    <row r="2482" spans="35:35" x14ac:dyDescent="0.3">
      <c r="AI2482" s="267"/>
    </row>
    <row r="2483" spans="35:35" x14ac:dyDescent="0.3">
      <c r="AI2483" s="267"/>
    </row>
    <row r="2484" spans="35:35" x14ac:dyDescent="0.3">
      <c r="AI2484" s="267"/>
    </row>
    <row r="2485" spans="35:35" x14ac:dyDescent="0.3">
      <c r="AI2485" s="267"/>
    </row>
    <row r="2486" spans="35:35" x14ac:dyDescent="0.3">
      <c r="AI2486" s="267"/>
    </row>
    <row r="2487" spans="35:35" x14ac:dyDescent="0.3">
      <c r="AI2487" s="267"/>
    </row>
    <row r="2488" spans="35:35" x14ac:dyDescent="0.3">
      <c r="AI2488" s="267"/>
    </row>
    <row r="2489" spans="35:35" x14ac:dyDescent="0.3">
      <c r="AI2489" s="267"/>
    </row>
    <row r="2490" spans="35:35" x14ac:dyDescent="0.3">
      <c r="AI2490" s="267"/>
    </row>
    <row r="2491" spans="35:35" x14ac:dyDescent="0.3">
      <c r="AI2491" s="267"/>
    </row>
    <row r="2492" spans="35:35" x14ac:dyDescent="0.3">
      <c r="AI2492" s="267"/>
    </row>
    <row r="2493" spans="35:35" x14ac:dyDescent="0.3">
      <c r="AI2493" s="267"/>
    </row>
    <row r="2494" spans="35:35" x14ac:dyDescent="0.3">
      <c r="AI2494" s="267"/>
    </row>
    <row r="2495" spans="35:35" x14ac:dyDescent="0.3">
      <c r="AI2495" s="267"/>
    </row>
    <row r="2496" spans="35:35" x14ac:dyDescent="0.3">
      <c r="AI2496" s="267"/>
    </row>
    <row r="2497" spans="35:35" x14ac:dyDescent="0.3">
      <c r="AI2497" s="267"/>
    </row>
    <row r="2498" spans="35:35" x14ac:dyDescent="0.3">
      <c r="AI2498" s="267"/>
    </row>
    <row r="2499" spans="35:35" x14ac:dyDescent="0.3">
      <c r="AI2499" s="267"/>
    </row>
    <row r="2500" spans="35:35" x14ac:dyDescent="0.3">
      <c r="AI2500" s="267"/>
    </row>
    <row r="2501" spans="35:35" x14ac:dyDescent="0.3">
      <c r="AI2501" s="267"/>
    </row>
    <row r="2502" spans="35:35" x14ac:dyDescent="0.3">
      <c r="AI2502" s="267"/>
    </row>
    <row r="2503" spans="35:35" x14ac:dyDescent="0.3">
      <c r="AI2503" s="267"/>
    </row>
    <row r="2504" spans="35:35" x14ac:dyDescent="0.3">
      <c r="AI2504" s="267"/>
    </row>
    <row r="2505" spans="35:35" x14ac:dyDescent="0.3">
      <c r="AI2505" s="267"/>
    </row>
    <row r="2506" spans="35:35" x14ac:dyDescent="0.3">
      <c r="AI2506" s="267"/>
    </row>
    <row r="2507" spans="35:35" x14ac:dyDescent="0.3">
      <c r="AI2507" s="267"/>
    </row>
    <row r="2508" spans="35:35" x14ac:dyDescent="0.3">
      <c r="AI2508" s="267"/>
    </row>
    <row r="2509" spans="35:35" x14ac:dyDescent="0.3">
      <c r="AI2509" s="267"/>
    </row>
    <row r="2510" spans="35:35" x14ac:dyDescent="0.3">
      <c r="AI2510" s="267"/>
    </row>
    <row r="2511" spans="35:35" x14ac:dyDescent="0.3">
      <c r="AI2511" s="267"/>
    </row>
    <row r="2512" spans="35:35" x14ac:dyDescent="0.3">
      <c r="AI2512" s="267"/>
    </row>
    <row r="2513" spans="35:35" x14ac:dyDescent="0.3">
      <c r="AI2513" s="267"/>
    </row>
    <row r="2514" spans="35:35" x14ac:dyDescent="0.3">
      <c r="AI2514" s="267"/>
    </row>
    <row r="2515" spans="35:35" x14ac:dyDescent="0.3">
      <c r="AI2515" s="267"/>
    </row>
    <row r="2516" spans="35:35" x14ac:dyDescent="0.3">
      <c r="AI2516" s="267"/>
    </row>
    <row r="2517" spans="35:35" x14ac:dyDescent="0.3">
      <c r="AI2517" s="267"/>
    </row>
    <row r="2518" spans="35:35" x14ac:dyDescent="0.3">
      <c r="AI2518" s="267"/>
    </row>
    <row r="2519" spans="35:35" x14ac:dyDescent="0.3">
      <c r="AI2519" s="267"/>
    </row>
    <row r="2520" spans="35:35" x14ac:dyDescent="0.3">
      <c r="AI2520" s="267"/>
    </row>
    <row r="2521" spans="35:35" x14ac:dyDescent="0.3">
      <c r="AI2521" s="267"/>
    </row>
    <row r="2522" spans="35:35" x14ac:dyDescent="0.3">
      <c r="AI2522" s="267"/>
    </row>
    <row r="2523" spans="35:35" x14ac:dyDescent="0.3">
      <c r="AI2523" s="267"/>
    </row>
    <row r="2524" spans="35:35" x14ac:dyDescent="0.3">
      <c r="AI2524" s="267"/>
    </row>
    <row r="2525" spans="35:35" x14ac:dyDescent="0.3">
      <c r="AI2525" s="267"/>
    </row>
    <row r="2526" spans="35:35" x14ac:dyDescent="0.3">
      <c r="AI2526" s="267"/>
    </row>
    <row r="2527" spans="35:35" x14ac:dyDescent="0.3">
      <c r="AI2527" s="267"/>
    </row>
    <row r="2528" spans="35:35" x14ac:dyDescent="0.3">
      <c r="AI2528" s="267"/>
    </row>
    <row r="2529" spans="35:35" x14ac:dyDescent="0.3">
      <c r="AI2529" s="267"/>
    </row>
    <row r="2530" spans="35:35" x14ac:dyDescent="0.3">
      <c r="AI2530" s="267"/>
    </row>
    <row r="2531" spans="35:35" x14ac:dyDescent="0.3">
      <c r="AI2531" s="267"/>
    </row>
    <row r="2532" spans="35:35" x14ac:dyDescent="0.3">
      <c r="AI2532" s="267"/>
    </row>
    <row r="2533" spans="35:35" x14ac:dyDescent="0.3">
      <c r="AI2533" s="267"/>
    </row>
    <row r="2534" spans="35:35" x14ac:dyDescent="0.3">
      <c r="AI2534" s="267"/>
    </row>
    <row r="2535" spans="35:35" x14ac:dyDescent="0.3">
      <c r="AI2535" s="267"/>
    </row>
    <row r="2536" spans="35:35" x14ac:dyDescent="0.3">
      <c r="AI2536" s="267"/>
    </row>
    <row r="2537" spans="35:35" x14ac:dyDescent="0.3">
      <c r="AI2537" s="267"/>
    </row>
    <row r="2538" spans="35:35" x14ac:dyDescent="0.3">
      <c r="AI2538" s="267"/>
    </row>
    <row r="2539" spans="35:35" x14ac:dyDescent="0.3">
      <c r="AI2539" s="267"/>
    </row>
    <row r="2540" spans="35:35" x14ac:dyDescent="0.3">
      <c r="AI2540" s="267"/>
    </row>
    <row r="2541" spans="35:35" x14ac:dyDescent="0.3">
      <c r="AI2541" s="267"/>
    </row>
    <row r="2542" spans="35:35" x14ac:dyDescent="0.3">
      <c r="AI2542" s="267"/>
    </row>
    <row r="2543" spans="35:35" x14ac:dyDescent="0.3">
      <c r="AI2543" s="267"/>
    </row>
    <row r="2544" spans="35:35" x14ac:dyDescent="0.3">
      <c r="AI2544" s="267"/>
    </row>
    <row r="2545" spans="35:35" x14ac:dyDescent="0.3">
      <c r="AI2545" s="267"/>
    </row>
    <row r="2546" spans="35:35" x14ac:dyDescent="0.3">
      <c r="AI2546" s="267"/>
    </row>
    <row r="2547" spans="35:35" x14ac:dyDescent="0.3">
      <c r="AI2547" s="267"/>
    </row>
    <row r="2548" spans="35:35" x14ac:dyDescent="0.3">
      <c r="AI2548" s="267"/>
    </row>
    <row r="2549" spans="35:35" x14ac:dyDescent="0.3">
      <c r="AI2549" s="267"/>
    </row>
    <row r="2550" spans="35:35" x14ac:dyDescent="0.3">
      <c r="AI2550" s="267"/>
    </row>
    <row r="2551" spans="35:35" x14ac:dyDescent="0.3">
      <c r="AI2551" s="267"/>
    </row>
    <row r="2552" spans="35:35" x14ac:dyDescent="0.3">
      <c r="AI2552" s="267"/>
    </row>
    <row r="2553" spans="35:35" x14ac:dyDescent="0.3">
      <c r="AI2553" s="267"/>
    </row>
    <row r="2554" spans="35:35" x14ac:dyDescent="0.3">
      <c r="AI2554" s="267"/>
    </row>
    <row r="2555" spans="35:35" x14ac:dyDescent="0.3">
      <c r="AI2555" s="267"/>
    </row>
    <row r="2556" spans="35:35" x14ac:dyDescent="0.3">
      <c r="AI2556" s="267"/>
    </row>
    <row r="2557" spans="35:35" x14ac:dyDescent="0.3">
      <c r="AI2557" s="267"/>
    </row>
    <row r="2558" spans="35:35" x14ac:dyDescent="0.3">
      <c r="AI2558" s="267"/>
    </row>
    <row r="2559" spans="35:35" x14ac:dyDescent="0.3">
      <c r="AI2559" s="267"/>
    </row>
    <row r="2560" spans="35:35" x14ac:dyDescent="0.3">
      <c r="AI2560" s="267"/>
    </row>
    <row r="2561" spans="35:35" x14ac:dyDescent="0.3">
      <c r="AI2561" s="267"/>
    </row>
    <row r="2562" spans="35:35" x14ac:dyDescent="0.3">
      <c r="AI2562" s="267"/>
    </row>
    <row r="2563" spans="35:35" x14ac:dyDescent="0.3">
      <c r="AI2563" s="267"/>
    </row>
    <row r="2564" spans="35:35" x14ac:dyDescent="0.3">
      <c r="AI2564" s="267"/>
    </row>
    <row r="2565" spans="35:35" x14ac:dyDescent="0.3">
      <c r="AI2565" s="267"/>
    </row>
    <row r="2566" spans="35:35" x14ac:dyDescent="0.3">
      <c r="AI2566" s="267"/>
    </row>
    <row r="2567" spans="35:35" x14ac:dyDescent="0.3">
      <c r="AI2567" s="267"/>
    </row>
    <row r="2568" spans="35:35" x14ac:dyDescent="0.3">
      <c r="AI2568" s="267"/>
    </row>
    <row r="2569" spans="35:35" x14ac:dyDescent="0.3">
      <c r="AI2569" s="267"/>
    </row>
    <row r="2570" spans="35:35" x14ac:dyDescent="0.3">
      <c r="AI2570" s="267"/>
    </row>
    <row r="2571" spans="35:35" x14ac:dyDescent="0.3">
      <c r="AI2571" s="267"/>
    </row>
    <row r="2572" spans="35:35" x14ac:dyDescent="0.3">
      <c r="AI2572" s="267"/>
    </row>
    <row r="2573" spans="35:35" x14ac:dyDescent="0.3">
      <c r="AI2573" s="267"/>
    </row>
    <row r="2574" spans="35:35" x14ac:dyDescent="0.3">
      <c r="AI2574" s="267"/>
    </row>
    <row r="2575" spans="35:35" x14ac:dyDescent="0.3">
      <c r="AI2575" s="267"/>
    </row>
    <row r="2576" spans="35:35" x14ac:dyDescent="0.3">
      <c r="AI2576" s="267"/>
    </row>
    <row r="2577" spans="35:35" x14ac:dyDescent="0.3">
      <c r="AI2577" s="267"/>
    </row>
    <row r="2578" spans="35:35" x14ac:dyDescent="0.3">
      <c r="AI2578" s="267"/>
    </row>
    <row r="2579" spans="35:35" x14ac:dyDescent="0.3">
      <c r="AI2579" s="267"/>
    </row>
    <row r="2580" spans="35:35" x14ac:dyDescent="0.3">
      <c r="AI2580" s="267"/>
    </row>
    <row r="2581" spans="35:35" x14ac:dyDescent="0.3">
      <c r="AI2581" s="267"/>
    </row>
    <row r="2582" spans="35:35" x14ac:dyDescent="0.3">
      <c r="AI2582" s="267"/>
    </row>
    <row r="2583" spans="35:35" x14ac:dyDescent="0.3">
      <c r="AI2583" s="267"/>
    </row>
    <row r="2584" spans="35:35" x14ac:dyDescent="0.3">
      <c r="AI2584" s="267"/>
    </row>
    <row r="2585" spans="35:35" x14ac:dyDescent="0.3">
      <c r="AI2585" s="267"/>
    </row>
    <row r="2586" spans="35:35" x14ac:dyDescent="0.3">
      <c r="AI2586" s="267"/>
    </row>
    <row r="2587" spans="35:35" x14ac:dyDescent="0.3">
      <c r="AI2587" s="267"/>
    </row>
    <row r="2588" spans="35:35" x14ac:dyDescent="0.3">
      <c r="AI2588" s="267"/>
    </row>
    <row r="2589" spans="35:35" x14ac:dyDescent="0.3">
      <c r="AI2589" s="267"/>
    </row>
    <row r="2590" spans="35:35" x14ac:dyDescent="0.3">
      <c r="AI2590" s="267"/>
    </row>
    <row r="2591" spans="35:35" x14ac:dyDescent="0.3">
      <c r="AI2591" s="267"/>
    </row>
    <row r="2592" spans="35:35" x14ac:dyDescent="0.3">
      <c r="AI2592" s="267"/>
    </row>
    <row r="2593" spans="35:35" x14ac:dyDescent="0.3">
      <c r="AI2593" s="267"/>
    </row>
    <row r="2594" spans="35:35" x14ac:dyDescent="0.3">
      <c r="AI2594" s="267"/>
    </row>
    <row r="2595" spans="35:35" x14ac:dyDescent="0.3">
      <c r="AI2595" s="267"/>
    </row>
    <row r="2596" spans="35:35" x14ac:dyDescent="0.3">
      <c r="AI2596" s="267"/>
    </row>
    <row r="2597" spans="35:35" x14ac:dyDescent="0.3">
      <c r="AI2597" s="267"/>
    </row>
    <row r="2598" spans="35:35" x14ac:dyDescent="0.3">
      <c r="AI2598" s="267"/>
    </row>
    <row r="2599" spans="35:35" x14ac:dyDescent="0.3">
      <c r="AI2599" s="267"/>
    </row>
    <row r="2600" spans="35:35" x14ac:dyDescent="0.3">
      <c r="AI2600" s="267"/>
    </row>
    <row r="2601" spans="35:35" x14ac:dyDescent="0.3">
      <c r="AI2601" s="267"/>
    </row>
    <row r="2602" spans="35:35" x14ac:dyDescent="0.3">
      <c r="AI2602" s="267"/>
    </row>
    <row r="2603" spans="35:35" x14ac:dyDescent="0.3">
      <c r="AI2603" s="267"/>
    </row>
    <row r="2604" spans="35:35" x14ac:dyDescent="0.3">
      <c r="AI2604" s="267"/>
    </row>
    <row r="2605" spans="35:35" x14ac:dyDescent="0.3">
      <c r="AI2605" s="267"/>
    </row>
    <row r="2606" spans="35:35" x14ac:dyDescent="0.3">
      <c r="AI2606" s="267"/>
    </row>
    <row r="2607" spans="35:35" x14ac:dyDescent="0.3">
      <c r="AI2607" s="267"/>
    </row>
    <row r="2608" spans="35:35" x14ac:dyDescent="0.3">
      <c r="AI2608" s="267"/>
    </row>
    <row r="2609" spans="35:35" x14ac:dyDescent="0.3">
      <c r="AI2609" s="267"/>
    </row>
    <row r="2610" spans="35:35" x14ac:dyDescent="0.3">
      <c r="AI2610" s="267"/>
    </row>
    <row r="2611" spans="35:35" x14ac:dyDescent="0.3">
      <c r="AI2611" s="267"/>
    </row>
    <row r="2612" spans="35:35" x14ac:dyDescent="0.3">
      <c r="AI2612" s="267"/>
    </row>
    <row r="2613" spans="35:35" x14ac:dyDescent="0.3">
      <c r="AI2613" s="267"/>
    </row>
    <row r="2614" spans="35:35" x14ac:dyDescent="0.3">
      <c r="AI2614" s="267"/>
    </row>
    <row r="2615" spans="35:35" x14ac:dyDescent="0.3">
      <c r="AI2615" s="267"/>
    </row>
    <row r="2616" spans="35:35" x14ac:dyDescent="0.3">
      <c r="AI2616" s="267"/>
    </row>
    <row r="2617" spans="35:35" x14ac:dyDescent="0.3">
      <c r="AI2617" s="267"/>
    </row>
    <row r="2618" spans="35:35" x14ac:dyDescent="0.3">
      <c r="AI2618" s="267"/>
    </row>
    <row r="2619" spans="35:35" x14ac:dyDescent="0.3">
      <c r="AI2619" s="267"/>
    </row>
    <row r="2620" spans="35:35" x14ac:dyDescent="0.3">
      <c r="AI2620" s="267"/>
    </row>
    <row r="2621" spans="35:35" x14ac:dyDescent="0.3">
      <c r="AI2621" s="267"/>
    </row>
    <row r="2622" spans="35:35" x14ac:dyDescent="0.3">
      <c r="AI2622" s="267"/>
    </row>
    <row r="2623" spans="35:35" x14ac:dyDescent="0.3">
      <c r="AI2623" s="267"/>
    </row>
    <row r="2624" spans="35:35" x14ac:dyDescent="0.3">
      <c r="AI2624" s="267"/>
    </row>
    <row r="2625" spans="35:35" x14ac:dyDescent="0.3">
      <c r="AI2625" s="267"/>
    </row>
    <row r="2626" spans="35:35" x14ac:dyDescent="0.3">
      <c r="AI2626" s="267"/>
    </row>
    <row r="2627" spans="35:35" x14ac:dyDescent="0.3">
      <c r="AI2627" s="267"/>
    </row>
    <row r="2628" spans="35:35" x14ac:dyDescent="0.3">
      <c r="AI2628" s="267"/>
    </row>
    <row r="2629" spans="35:35" x14ac:dyDescent="0.3">
      <c r="AI2629" s="267"/>
    </row>
    <row r="2630" spans="35:35" x14ac:dyDescent="0.3">
      <c r="AI2630" s="267"/>
    </row>
    <row r="2631" spans="35:35" x14ac:dyDescent="0.3">
      <c r="AI2631" s="267"/>
    </row>
    <row r="2632" spans="35:35" x14ac:dyDescent="0.3">
      <c r="AI2632" s="267"/>
    </row>
    <row r="2633" spans="35:35" x14ac:dyDescent="0.3">
      <c r="AI2633" s="267"/>
    </row>
    <row r="2634" spans="35:35" x14ac:dyDescent="0.3">
      <c r="AI2634" s="267"/>
    </row>
    <row r="2635" spans="35:35" x14ac:dyDescent="0.3">
      <c r="AI2635" s="267"/>
    </row>
    <row r="2636" spans="35:35" x14ac:dyDescent="0.3">
      <c r="AI2636" s="267"/>
    </row>
    <row r="2637" spans="35:35" x14ac:dyDescent="0.3">
      <c r="AI2637" s="267"/>
    </row>
    <row r="2638" spans="35:35" x14ac:dyDescent="0.3">
      <c r="AI2638" s="267"/>
    </row>
    <row r="2639" spans="35:35" x14ac:dyDescent="0.3">
      <c r="AI2639" s="267"/>
    </row>
    <row r="2640" spans="35:35" x14ac:dyDescent="0.3">
      <c r="AI2640" s="267"/>
    </row>
    <row r="2641" spans="35:35" x14ac:dyDescent="0.3">
      <c r="AI2641" s="267"/>
    </row>
    <row r="2642" spans="35:35" x14ac:dyDescent="0.3">
      <c r="AI2642" s="267"/>
    </row>
    <row r="2643" spans="35:35" x14ac:dyDescent="0.3">
      <c r="AI2643" s="267"/>
    </row>
    <row r="2644" spans="35:35" x14ac:dyDescent="0.3">
      <c r="AI2644" s="267"/>
    </row>
    <row r="2645" spans="35:35" x14ac:dyDescent="0.3">
      <c r="AI2645" s="267"/>
    </row>
    <row r="2646" spans="35:35" x14ac:dyDescent="0.3">
      <c r="AI2646" s="267"/>
    </row>
    <row r="2647" spans="35:35" x14ac:dyDescent="0.3">
      <c r="AI2647" s="267"/>
    </row>
    <row r="2648" spans="35:35" x14ac:dyDescent="0.3">
      <c r="AI2648" s="267"/>
    </row>
    <row r="2649" spans="35:35" x14ac:dyDescent="0.3">
      <c r="AI2649" s="267"/>
    </row>
    <row r="2650" spans="35:35" x14ac:dyDescent="0.3">
      <c r="AI2650" s="267"/>
    </row>
    <row r="2651" spans="35:35" x14ac:dyDescent="0.3">
      <c r="AI2651" s="267"/>
    </row>
    <row r="2652" spans="35:35" x14ac:dyDescent="0.3">
      <c r="AI2652" s="267"/>
    </row>
    <row r="2653" spans="35:35" x14ac:dyDescent="0.3">
      <c r="AI2653" s="267"/>
    </row>
    <row r="2654" spans="35:35" x14ac:dyDescent="0.3">
      <c r="AI2654" s="267"/>
    </row>
    <row r="2655" spans="35:35" x14ac:dyDescent="0.3">
      <c r="AI2655" s="267"/>
    </row>
    <row r="2656" spans="35:35" x14ac:dyDescent="0.3">
      <c r="AI2656" s="267"/>
    </row>
    <row r="2657" spans="35:35" x14ac:dyDescent="0.3">
      <c r="AI2657" s="267"/>
    </row>
    <row r="2658" spans="35:35" x14ac:dyDescent="0.3">
      <c r="AI2658" s="267"/>
    </row>
    <row r="2659" spans="35:35" x14ac:dyDescent="0.3">
      <c r="AI2659" s="267"/>
    </row>
    <row r="2660" spans="35:35" x14ac:dyDescent="0.3">
      <c r="AI2660" s="267"/>
    </row>
    <row r="2661" spans="35:35" x14ac:dyDescent="0.3">
      <c r="AI2661" s="267"/>
    </row>
    <row r="2662" spans="35:35" x14ac:dyDescent="0.3">
      <c r="AI2662" s="267"/>
    </row>
    <row r="2663" spans="35:35" x14ac:dyDescent="0.3">
      <c r="AI2663" s="267"/>
    </row>
    <row r="2664" spans="35:35" x14ac:dyDescent="0.3">
      <c r="AI2664" s="267"/>
    </row>
    <row r="2665" spans="35:35" x14ac:dyDescent="0.3">
      <c r="AI2665" s="267"/>
    </row>
    <row r="2666" spans="35:35" x14ac:dyDescent="0.3">
      <c r="AI2666" s="267"/>
    </row>
    <row r="2667" spans="35:35" x14ac:dyDescent="0.3">
      <c r="AI2667" s="267"/>
    </row>
    <row r="2668" spans="35:35" x14ac:dyDescent="0.3">
      <c r="AI2668" s="267"/>
    </row>
    <row r="2669" spans="35:35" x14ac:dyDescent="0.3">
      <c r="AI2669" s="267"/>
    </row>
    <row r="2670" spans="35:35" x14ac:dyDescent="0.3">
      <c r="AI2670" s="267"/>
    </row>
    <row r="2671" spans="35:35" x14ac:dyDescent="0.3">
      <c r="AI2671" s="267"/>
    </row>
    <row r="2672" spans="35:35" x14ac:dyDescent="0.3">
      <c r="AI2672" s="267"/>
    </row>
    <row r="2673" spans="35:35" x14ac:dyDescent="0.3">
      <c r="AI2673" s="267"/>
    </row>
    <row r="2674" spans="35:35" x14ac:dyDescent="0.3">
      <c r="AI2674" s="267"/>
    </row>
    <row r="2675" spans="35:35" x14ac:dyDescent="0.3">
      <c r="AI2675" s="267"/>
    </row>
    <row r="2676" spans="35:35" x14ac:dyDescent="0.3">
      <c r="AI2676" s="267"/>
    </row>
    <row r="2677" spans="35:35" x14ac:dyDescent="0.3">
      <c r="AI2677" s="267"/>
    </row>
    <row r="2678" spans="35:35" x14ac:dyDescent="0.3">
      <c r="AI2678" s="267"/>
    </row>
    <row r="2679" spans="35:35" x14ac:dyDescent="0.3">
      <c r="AI2679" s="267"/>
    </row>
    <row r="2680" spans="35:35" x14ac:dyDescent="0.3">
      <c r="AI2680" s="267"/>
    </row>
    <row r="2681" spans="35:35" x14ac:dyDescent="0.3">
      <c r="AI2681" s="267"/>
    </row>
    <row r="2682" spans="35:35" x14ac:dyDescent="0.3">
      <c r="AI2682" s="267"/>
    </row>
    <row r="2683" spans="35:35" x14ac:dyDescent="0.3">
      <c r="AI2683" s="267"/>
    </row>
    <row r="2684" spans="35:35" x14ac:dyDescent="0.3">
      <c r="AI2684" s="267"/>
    </row>
    <row r="2685" spans="35:35" x14ac:dyDescent="0.3">
      <c r="AI2685" s="267"/>
    </row>
    <row r="2686" spans="35:35" x14ac:dyDescent="0.3">
      <c r="AI2686" s="267"/>
    </row>
    <row r="2687" spans="35:35" x14ac:dyDescent="0.3">
      <c r="AI2687" s="267"/>
    </row>
    <row r="2688" spans="35:35" x14ac:dyDescent="0.3">
      <c r="AI2688" s="267"/>
    </row>
    <row r="2689" spans="35:35" x14ac:dyDescent="0.3">
      <c r="AI2689" s="267"/>
    </row>
    <row r="2690" spans="35:35" x14ac:dyDescent="0.3">
      <c r="AI2690" s="267"/>
    </row>
    <row r="2691" spans="35:35" x14ac:dyDescent="0.3">
      <c r="AI2691" s="267"/>
    </row>
    <row r="2692" spans="35:35" x14ac:dyDescent="0.3">
      <c r="AI2692" s="267"/>
    </row>
    <row r="2693" spans="35:35" x14ac:dyDescent="0.3">
      <c r="AI2693" s="267"/>
    </row>
    <row r="2694" spans="35:35" x14ac:dyDescent="0.3">
      <c r="AI2694" s="267"/>
    </row>
    <row r="2695" spans="35:35" x14ac:dyDescent="0.3">
      <c r="AI2695" s="267"/>
    </row>
    <row r="2696" spans="35:35" x14ac:dyDescent="0.3">
      <c r="AI2696" s="267"/>
    </row>
    <row r="2697" spans="35:35" x14ac:dyDescent="0.3">
      <c r="AI2697" s="267"/>
    </row>
    <row r="2698" spans="35:35" x14ac:dyDescent="0.3">
      <c r="AI2698" s="267"/>
    </row>
    <row r="2699" spans="35:35" x14ac:dyDescent="0.3">
      <c r="AI2699" s="267"/>
    </row>
    <row r="2700" spans="35:35" x14ac:dyDescent="0.3">
      <c r="AI2700" s="267"/>
    </row>
    <row r="2701" spans="35:35" x14ac:dyDescent="0.3">
      <c r="AI2701" s="267"/>
    </row>
    <row r="2702" spans="35:35" x14ac:dyDescent="0.3">
      <c r="AI2702" s="267"/>
    </row>
    <row r="2703" spans="35:35" x14ac:dyDescent="0.3">
      <c r="AI2703" s="267"/>
    </row>
    <row r="2704" spans="35:35" x14ac:dyDescent="0.3">
      <c r="AI2704" s="267"/>
    </row>
    <row r="2705" spans="35:35" x14ac:dyDescent="0.3">
      <c r="AI2705" s="267"/>
    </row>
    <row r="2706" spans="35:35" x14ac:dyDescent="0.3">
      <c r="AI2706" s="267"/>
    </row>
    <row r="2707" spans="35:35" x14ac:dyDescent="0.3">
      <c r="AI2707" s="267"/>
    </row>
    <row r="2708" spans="35:35" x14ac:dyDescent="0.3">
      <c r="AI2708" s="267"/>
    </row>
    <row r="2709" spans="35:35" x14ac:dyDescent="0.3">
      <c r="AI2709" s="267"/>
    </row>
    <row r="2710" spans="35:35" x14ac:dyDescent="0.3">
      <c r="AI2710" s="267"/>
    </row>
    <row r="2711" spans="35:35" x14ac:dyDescent="0.3">
      <c r="AI2711" s="267"/>
    </row>
    <row r="2712" spans="35:35" x14ac:dyDescent="0.3">
      <c r="AI2712" s="267"/>
    </row>
    <row r="2713" spans="35:35" x14ac:dyDescent="0.3">
      <c r="AI2713" s="267"/>
    </row>
    <row r="2714" spans="35:35" x14ac:dyDescent="0.3">
      <c r="AI2714" s="267"/>
    </row>
    <row r="2715" spans="35:35" x14ac:dyDescent="0.3">
      <c r="AI2715" s="267"/>
    </row>
    <row r="2716" spans="35:35" x14ac:dyDescent="0.3">
      <c r="AI2716" s="267"/>
    </row>
    <row r="2717" spans="35:35" x14ac:dyDescent="0.3">
      <c r="AI2717" s="267"/>
    </row>
    <row r="2718" spans="35:35" x14ac:dyDescent="0.3">
      <c r="AI2718" s="267"/>
    </row>
    <row r="2719" spans="35:35" x14ac:dyDescent="0.3">
      <c r="AI2719" s="267"/>
    </row>
    <row r="2720" spans="35:35" x14ac:dyDescent="0.3">
      <c r="AI2720" s="267"/>
    </row>
    <row r="2721" spans="35:35" x14ac:dyDescent="0.3">
      <c r="AI2721" s="267"/>
    </row>
    <row r="2722" spans="35:35" x14ac:dyDescent="0.3">
      <c r="AI2722" s="267"/>
    </row>
    <row r="2723" spans="35:35" x14ac:dyDescent="0.3">
      <c r="AI2723" s="267"/>
    </row>
    <row r="2724" spans="35:35" x14ac:dyDescent="0.3">
      <c r="AI2724" s="267"/>
    </row>
    <row r="2725" spans="35:35" x14ac:dyDescent="0.3">
      <c r="AI2725" s="267"/>
    </row>
    <row r="2726" spans="35:35" x14ac:dyDescent="0.3">
      <c r="AI2726" s="267"/>
    </row>
    <row r="2727" spans="35:35" x14ac:dyDescent="0.3">
      <c r="AI2727" s="267"/>
    </row>
    <row r="2728" spans="35:35" x14ac:dyDescent="0.3">
      <c r="AI2728" s="267"/>
    </row>
    <row r="2729" spans="35:35" x14ac:dyDescent="0.3">
      <c r="AI2729" s="267"/>
    </row>
    <row r="2730" spans="35:35" x14ac:dyDescent="0.3">
      <c r="AI2730" s="267"/>
    </row>
    <row r="2731" spans="35:35" x14ac:dyDescent="0.3">
      <c r="AI2731" s="267"/>
    </row>
    <row r="2732" spans="35:35" x14ac:dyDescent="0.3">
      <c r="AI2732" s="267"/>
    </row>
    <row r="2733" spans="35:35" x14ac:dyDescent="0.3">
      <c r="AI2733" s="267"/>
    </row>
    <row r="2734" spans="35:35" x14ac:dyDescent="0.3">
      <c r="AI2734" s="267"/>
    </row>
    <row r="2735" spans="35:35" x14ac:dyDescent="0.3">
      <c r="AI2735" s="267"/>
    </row>
    <row r="2736" spans="35:35" x14ac:dyDescent="0.3">
      <c r="AI2736" s="267"/>
    </row>
    <row r="2737" spans="35:35" x14ac:dyDescent="0.3">
      <c r="AI2737" s="267"/>
    </row>
    <row r="2738" spans="35:35" x14ac:dyDescent="0.3">
      <c r="AI2738" s="267"/>
    </row>
    <row r="2739" spans="35:35" x14ac:dyDescent="0.3">
      <c r="AI2739" s="267"/>
    </row>
    <row r="2740" spans="35:35" x14ac:dyDescent="0.3">
      <c r="AI2740" s="267"/>
    </row>
    <row r="2741" spans="35:35" x14ac:dyDescent="0.3">
      <c r="AI2741" s="267"/>
    </row>
    <row r="2742" spans="35:35" x14ac:dyDescent="0.3">
      <c r="AI2742" s="267"/>
    </row>
    <row r="2743" spans="35:35" x14ac:dyDescent="0.3">
      <c r="AI2743" s="267"/>
    </row>
    <row r="2744" spans="35:35" x14ac:dyDescent="0.3">
      <c r="AI2744" s="267"/>
    </row>
    <row r="2745" spans="35:35" x14ac:dyDescent="0.3">
      <c r="AI2745" s="267"/>
    </row>
    <row r="2746" spans="35:35" x14ac:dyDescent="0.3">
      <c r="AI2746" s="267"/>
    </row>
    <row r="2747" spans="35:35" x14ac:dyDescent="0.3">
      <c r="AI2747" s="267"/>
    </row>
    <row r="2748" spans="35:35" x14ac:dyDescent="0.3">
      <c r="AI2748" s="267"/>
    </row>
    <row r="2749" spans="35:35" x14ac:dyDescent="0.3">
      <c r="AI2749" s="267"/>
    </row>
    <row r="2750" spans="35:35" x14ac:dyDescent="0.3">
      <c r="AI2750" s="267"/>
    </row>
    <row r="2751" spans="35:35" x14ac:dyDescent="0.3">
      <c r="AI2751" s="267"/>
    </row>
    <row r="2752" spans="35:35" x14ac:dyDescent="0.3">
      <c r="AI2752" s="267"/>
    </row>
    <row r="2753" spans="35:35" x14ac:dyDescent="0.3">
      <c r="AI2753" s="267"/>
    </row>
    <row r="2754" spans="35:35" x14ac:dyDescent="0.3">
      <c r="AI2754" s="267"/>
    </row>
    <row r="2755" spans="35:35" x14ac:dyDescent="0.3">
      <c r="AI2755" s="267"/>
    </row>
    <row r="2756" spans="35:35" x14ac:dyDescent="0.3">
      <c r="AI2756" s="267"/>
    </row>
    <row r="2757" spans="35:35" x14ac:dyDescent="0.3">
      <c r="AI2757" s="267"/>
    </row>
    <row r="2758" spans="35:35" x14ac:dyDescent="0.3">
      <c r="AI2758" s="267"/>
    </row>
    <row r="2759" spans="35:35" x14ac:dyDescent="0.3">
      <c r="AI2759" s="267"/>
    </row>
    <row r="2760" spans="35:35" x14ac:dyDescent="0.3">
      <c r="AI2760" s="267"/>
    </row>
    <row r="2761" spans="35:35" x14ac:dyDescent="0.3">
      <c r="AI2761" s="267"/>
    </row>
    <row r="2762" spans="35:35" x14ac:dyDescent="0.3">
      <c r="AI2762" s="267"/>
    </row>
    <row r="2763" spans="35:35" x14ac:dyDescent="0.3">
      <c r="AI2763" s="267"/>
    </row>
    <row r="2764" spans="35:35" x14ac:dyDescent="0.3">
      <c r="AI2764" s="267"/>
    </row>
    <row r="2765" spans="35:35" x14ac:dyDescent="0.3">
      <c r="AI2765" s="267"/>
    </row>
    <row r="2766" spans="35:35" x14ac:dyDescent="0.3">
      <c r="AI2766" s="267"/>
    </row>
    <row r="2767" spans="35:35" x14ac:dyDescent="0.3">
      <c r="AI2767" s="267"/>
    </row>
    <row r="2768" spans="35:35" x14ac:dyDescent="0.3">
      <c r="AI2768" s="267"/>
    </row>
    <row r="2769" spans="35:35" x14ac:dyDescent="0.3">
      <c r="AI2769" s="267"/>
    </row>
    <row r="2770" spans="35:35" x14ac:dyDescent="0.3">
      <c r="AI2770" s="267"/>
    </row>
    <row r="2771" spans="35:35" x14ac:dyDescent="0.3">
      <c r="AI2771" s="267"/>
    </row>
    <row r="2772" spans="35:35" x14ac:dyDescent="0.3">
      <c r="AI2772" s="267"/>
    </row>
    <row r="2773" spans="35:35" x14ac:dyDescent="0.3">
      <c r="AI2773" s="267"/>
    </row>
    <row r="2774" spans="35:35" x14ac:dyDescent="0.3">
      <c r="AI2774" s="267"/>
    </row>
    <row r="2775" spans="35:35" x14ac:dyDescent="0.3">
      <c r="AI2775" s="267"/>
    </row>
    <row r="2776" spans="35:35" x14ac:dyDescent="0.3">
      <c r="AI2776" s="267"/>
    </row>
    <row r="2777" spans="35:35" x14ac:dyDescent="0.3">
      <c r="AI2777" s="267"/>
    </row>
    <row r="2778" spans="35:35" x14ac:dyDescent="0.3">
      <c r="AI2778" s="267"/>
    </row>
    <row r="2779" spans="35:35" x14ac:dyDescent="0.3">
      <c r="AI2779" s="267"/>
    </row>
    <row r="2780" spans="35:35" x14ac:dyDescent="0.3">
      <c r="AI2780" s="267"/>
    </row>
    <row r="2781" spans="35:35" x14ac:dyDescent="0.3">
      <c r="AI2781" s="267"/>
    </row>
    <row r="2782" spans="35:35" x14ac:dyDescent="0.3">
      <c r="AI2782" s="267"/>
    </row>
    <row r="2783" spans="35:35" x14ac:dyDescent="0.3">
      <c r="AI2783" s="267"/>
    </row>
    <row r="2784" spans="35:35" x14ac:dyDescent="0.3">
      <c r="AI2784" s="267"/>
    </row>
    <row r="2785" spans="35:35" x14ac:dyDescent="0.3">
      <c r="AI2785" s="267"/>
    </row>
    <row r="2786" spans="35:35" x14ac:dyDescent="0.3">
      <c r="AI2786" s="267"/>
    </row>
    <row r="2787" spans="35:35" x14ac:dyDescent="0.3">
      <c r="AI2787" s="267"/>
    </row>
    <row r="2788" spans="35:35" x14ac:dyDescent="0.3">
      <c r="AI2788" s="267"/>
    </row>
    <row r="2789" spans="35:35" x14ac:dyDescent="0.3">
      <c r="AI2789" s="267"/>
    </row>
    <row r="2790" spans="35:35" x14ac:dyDescent="0.3">
      <c r="AI2790" s="267"/>
    </row>
    <row r="2791" spans="35:35" x14ac:dyDescent="0.3">
      <c r="AI2791" s="267"/>
    </row>
    <row r="2792" spans="35:35" x14ac:dyDescent="0.3">
      <c r="AI2792" s="267"/>
    </row>
    <row r="2793" spans="35:35" x14ac:dyDescent="0.3">
      <c r="AI2793" s="267"/>
    </row>
    <row r="2794" spans="35:35" x14ac:dyDescent="0.3">
      <c r="AI2794" s="267"/>
    </row>
    <row r="2795" spans="35:35" x14ac:dyDescent="0.3">
      <c r="AI2795" s="267"/>
    </row>
    <row r="2796" spans="35:35" x14ac:dyDescent="0.3">
      <c r="AI2796" s="267"/>
    </row>
    <row r="2797" spans="35:35" x14ac:dyDescent="0.3">
      <c r="AI2797" s="267"/>
    </row>
    <row r="2798" spans="35:35" x14ac:dyDescent="0.3">
      <c r="AI2798" s="267"/>
    </row>
    <row r="2799" spans="35:35" x14ac:dyDescent="0.3">
      <c r="AI2799" s="267"/>
    </row>
    <row r="2800" spans="35:35" x14ac:dyDescent="0.3">
      <c r="AI2800" s="267"/>
    </row>
    <row r="2801" spans="35:35" x14ac:dyDescent="0.3">
      <c r="AI2801" s="267"/>
    </row>
    <row r="2802" spans="35:35" x14ac:dyDescent="0.3">
      <c r="AI2802" s="267"/>
    </row>
    <row r="2803" spans="35:35" x14ac:dyDescent="0.3">
      <c r="AI2803" s="267"/>
    </row>
    <row r="2804" spans="35:35" x14ac:dyDescent="0.3">
      <c r="AI2804" s="267"/>
    </row>
    <row r="2805" spans="35:35" x14ac:dyDescent="0.3">
      <c r="AI2805" s="267"/>
    </row>
    <row r="2806" spans="35:35" x14ac:dyDescent="0.3">
      <c r="AI2806" s="267"/>
    </row>
    <row r="2807" spans="35:35" x14ac:dyDescent="0.3">
      <c r="AI2807" s="267"/>
    </row>
    <row r="2808" spans="35:35" x14ac:dyDescent="0.3">
      <c r="AI2808" s="267"/>
    </row>
    <row r="2809" spans="35:35" x14ac:dyDescent="0.3">
      <c r="AI2809" s="267"/>
    </row>
    <row r="2810" spans="35:35" x14ac:dyDescent="0.3">
      <c r="AI2810" s="267"/>
    </row>
    <row r="2811" spans="35:35" x14ac:dyDescent="0.3">
      <c r="AI2811" s="267"/>
    </row>
    <row r="2812" spans="35:35" x14ac:dyDescent="0.3">
      <c r="AI2812" s="267"/>
    </row>
    <row r="2813" spans="35:35" x14ac:dyDescent="0.3">
      <c r="AI2813" s="267"/>
    </row>
    <row r="2814" spans="35:35" x14ac:dyDescent="0.3">
      <c r="AI2814" s="267"/>
    </row>
    <row r="2815" spans="35:35" x14ac:dyDescent="0.3">
      <c r="AI2815" s="267"/>
    </row>
    <row r="2816" spans="35:35" x14ac:dyDescent="0.3">
      <c r="AI2816" s="267"/>
    </row>
    <row r="2817" spans="35:35" x14ac:dyDescent="0.3">
      <c r="AI2817" s="267"/>
    </row>
    <row r="2818" spans="35:35" x14ac:dyDescent="0.3">
      <c r="AI2818" s="267"/>
    </row>
    <row r="2819" spans="35:35" x14ac:dyDescent="0.3">
      <c r="AI2819" s="267"/>
    </row>
    <row r="2820" spans="35:35" x14ac:dyDescent="0.3">
      <c r="AI2820" s="267"/>
    </row>
    <row r="2821" spans="35:35" x14ac:dyDescent="0.3">
      <c r="AI2821" s="267"/>
    </row>
    <row r="2822" spans="35:35" x14ac:dyDescent="0.3">
      <c r="AI2822" s="267"/>
    </row>
    <row r="2823" spans="35:35" x14ac:dyDescent="0.3">
      <c r="AI2823" s="267"/>
    </row>
    <row r="2824" spans="35:35" x14ac:dyDescent="0.3">
      <c r="AI2824" s="267"/>
    </row>
    <row r="2825" spans="35:35" x14ac:dyDescent="0.3">
      <c r="AI2825" s="267"/>
    </row>
    <row r="2826" spans="35:35" x14ac:dyDescent="0.3">
      <c r="AI2826" s="267"/>
    </row>
    <row r="2827" spans="35:35" x14ac:dyDescent="0.3">
      <c r="AI2827" s="267"/>
    </row>
    <row r="2828" spans="35:35" x14ac:dyDescent="0.3">
      <c r="AI2828" s="267"/>
    </row>
    <row r="2829" spans="35:35" x14ac:dyDescent="0.3">
      <c r="AI2829" s="267"/>
    </row>
    <row r="2830" spans="35:35" x14ac:dyDescent="0.3">
      <c r="AI2830" s="267"/>
    </row>
    <row r="2831" spans="35:35" x14ac:dyDescent="0.3">
      <c r="AI2831" s="267"/>
    </row>
    <row r="2832" spans="35:35" x14ac:dyDescent="0.3">
      <c r="AI2832" s="267"/>
    </row>
    <row r="2833" spans="35:35" x14ac:dyDescent="0.3">
      <c r="AI2833" s="267"/>
    </row>
    <row r="2834" spans="35:35" x14ac:dyDescent="0.3">
      <c r="AI2834" s="267"/>
    </row>
    <row r="2835" spans="35:35" x14ac:dyDescent="0.3">
      <c r="AI2835" s="267"/>
    </row>
    <row r="2836" spans="35:35" x14ac:dyDescent="0.3">
      <c r="AI2836" s="267"/>
    </row>
    <row r="2837" spans="35:35" x14ac:dyDescent="0.3">
      <c r="AI2837" s="267"/>
    </row>
    <row r="2838" spans="35:35" x14ac:dyDescent="0.3">
      <c r="AI2838" s="267"/>
    </row>
    <row r="2839" spans="35:35" x14ac:dyDescent="0.3">
      <c r="AI2839" s="267"/>
    </row>
    <row r="2840" spans="35:35" x14ac:dyDescent="0.3">
      <c r="AI2840" s="267"/>
    </row>
    <row r="2841" spans="35:35" x14ac:dyDescent="0.3">
      <c r="AI2841" s="267"/>
    </row>
    <row r="2842" spans="35:35" x14ac:dyDescent="0.3">
      <c r="AI2842" s="267"/>
    </row>
    <row r="2843" spans="35:35" x14ac:dyDescent="0.3">
      <c r="AI2843" s="267"/>
    </row>
    <row r="2844" spans="35:35" x14ac:dyDescent="0.3">
      <c r="AI2844" s="267"/>
    </row>
    <row r="2845" spans="35:35" x14ac:dyDescent="0.3">
      <c r="AI2845" s="267"/>
    </row>
    <row r="2846" spans="35:35" x14ac:dyDescent="0.3">
      <c r="AI2846" s="267"/>
    </row>
    <row r="2847" spans="35:35" x14ac:dyDescent="0.3">
      <c r="AI2847" s="267"/>
    </row>
    <row r="2848" spans="35:35" x14ac:dyDescent="0.3">
      <c r="AI2848" s="267"/>
    </row>
    <row r="2849" spans="35:35" x14ac:dyDescent="0.3">
      <c r="AI2849" s="267"/>
    </row>
    <row r="2850" spans="35:35" x14ac:dyDescent="0.3">
      <c r="AI2850" s="267"/>
    </row>
    <row r="2851" spans="35:35" x14ac:dyDescent="0.3">
      <c r="AI2851" s="267"/>
    </row>
    <row r="2852" spans="35:35" x14ac:dyDescent="0.3">
      <c r="AI2852" s="267"/>
    </row>
    <row r="2853" spans="35:35" x14ac:dyDescent="0.3">
      <c r="AI2853" s="267"/>
    </row>
    <row r="2854" spans="35:35" x14ac:dyDescent="0.3">
      <c r="AI2854" s="267"/>
    </row>
    <row r="2855" spans="35:35" x14ac:dyDescent="0.3">
      <c r="AI2855" s="267"/>
    </row>
    <row r="2856" spans="35:35" x14ac:dyDescent="0.3">
      <c r="AI2856" s="267"/>
    </row>
    <row r="2857" spans="35:35" x14ac:dyDescent="0.3">
      <c r="AI2857" s="267"/>
    </row>
    <row r="2858" spans="35:35" x14ac:dyDescent="0.3">
      <c r="AI2858" s="267"/>
    </row>
    <row r="2859" spans="35:35" x14ac:dyDescent="0.3">
      <c r="AI2859" s="267"/>
    </row>
    <row r="2860" spans="35:35" x14ac:dyDescent="0.3">
      <c r="AI2860" s="267"/>
    </row>
    <row r="2861" spans="35:35" x14ac:dyDescent="0.3">
      <c r="AI2861" s="267"/>
    </row>
    <row r="2862" spans="35:35" x14ac:dyDescent="0.3">
      <c r="AI2862" s="267"/>
    </row>
    <row r="2863" spans="35:35" x14ac:dyDescent="0.3">
      <c r="AI2863" s="267"/>
    </row>
    <row r="2864" spans="35:35" x14ac:dyDescent="0.3">
      <c r="AI2864" s="267"/>
    </row>
    <row r="2865" spans="35:35" x14ac:dyDescent="0.3">
      <c r="AI2865" s="267"/>
    </row>
    <row r="2866" spans="35:35" x14ac:dyDescent="0.3">
      <c r="AI2866" s="267"/>
    </row>
    <row r="2867" spans="35:35" x14ac:dyDescent="0.3">
      <c r="AI2867" s="267"/>
    </row>
    <row r="2868" spans="35:35" x14ac:dyDescent="0.3">
      <c r="AI2868" s="267"/>
    </row>
    <row r="2869" spans="35:35" x14ac:dyDescent="0.3">
      <c r="AI2869" s="267"/>
    </row>
    <row r="2870" spans="35:35" x14ac:dyDescent="0.3">
      <c r="AI2870" s="267"/>
    </row>
    <row r="2871" spans="35:35" x14ac:dyDescent="0.3">
      <c r="AI2871" s="267"/>
    </row>
    <row r="2872" spans="35:35" x14ac:dyDescent="0.3">
      <c r="AI2872" s="267"/>
    </row>
    <row r="2873" spans="35:35" x14ac:dyDescent="0.3">
      <c r="AI2873" s="267"/>
    </row>
    <row r="2874" spans="35:35" x14ac:dyDescent="0.3">
      <c r="AI2874" s="267"/>
    </row>
    <row r="2875" spans="35:35" x14ac:dyDescent="0.3">
      <c r="AI2875" s="267"/>
    </row>
    <row r="2876" spans="35:35" x14ac:dyDescent="0.3">
      <c r="AI2876" s="267"/>
    </row>
    <row r="2877" spans="35:35" x14ac:dyDescent="0.3">
      <c r="AI2877" s="267"/>
    </row>
    <row r="2878" spans="35:35" x14ac:dyDescent="0.3">
      <c r="AI2878" s="267"/>
    </row>
    <row r="2879" spans="35:35" x14ac:dyDescent="0.3">
      <c r="AI2879" s="267"/>
    </row>
    <row r="2880" spans="35:35" x14ac:dyDescent="0.3">
      <c r="AI2880" s="267"/>
    </row>
    <row r="2881" spans="35:35" x14ac:dyDescent="0.3">
      <c r="AI2881" s="267"/>
    </row>
    <row r="2882" spans="35:35" x14ac:dyDescent="0.3">
      <c r="AI2882" s="267"/>
    </row>
    <row r="2883" spans="35:35" x14ac:dyDescent="0.3">
      <c r="AI2883" s="267"/>
    </row>
    <row r="2884" spans="35:35" x14ac:dyDescent="0.3">
      <c r="AI2884" s="267"/>
    </row>
    <row r="2885" spans="35:35" x14ac:dyDescent="0.3">
      <c r="AI2885" s="267"/>
    </row>
    <row r="2886" spans="35:35" x14ac:dyDescent="0.3">
      <c r="AI2886" s="267"/>
    </row>
    <row r="2887" spans="35:35" x14ac:dyDescent="0.3">
      <c r="AI2887" s="267"/>
    </row>
    <row r="2888" spans="35:35" x14ac:dyDescent="0.3">
      <c r="AI2888" s="267"/>
    </row>
    <row r="2889" spans="35:35" x14ac:dyDescent="0.3">
      <c r="AI2889" s="267"/>
    </row>
    <row r="2890" spans="35:35" x14ac:dyDescent="0.3">
      <c r="AI2890" s="267"/>
    </row>
    <row r="2891" spans="35:35" x14ac:dyDescent="0.3">
      <c r="AI2891" s="267"/>
    </row>
    <row r="2892" spans="35:35" x14ac:dyDescent="0.3">
      <c r="AI2892" s="267"/>
    </row>
    <row r="2893" spans="35:35" x14ac:dyDescent="0.3">
      <c r="AI2893" s="267"/>
    </row>
    <row r="2894" spans="35:35" x14ac:dyDescent="0.3">
      <c r="AI2894" s="267"/>
    </row>
    <row r="2895" spans="35:35" x14ac:dyDescent="0.3">
      <c r="AI2895" s="267"/>
    </row>
    <row r="2896" spans="35:35" x14ac:dyDescent="0.3">
      <c r="AI2896" s="267"/>
    </row>
    <row r="2897" spans="35:35" x14ac:dyDescent="0.3">
      <c r="AI2897" s="267"/>
    </row>
    <row r="2898" spans="35:35" x14ac:dyDescent="0.3">
      <c r="AI2898" s="267"/>
    </row>
    <row r="2899" spans="35:35" x14ac:dyDescent="0.3">
      <c r="AI2899" s="267"/>
    </row>
    <row r="2900" spans="35:35" x14ac:dyDescent="0.3">
      <c r="AI2900" s="267"/>
    </row>
    <row r="2901" spans="35:35" x14ac:dyDescent="0.3">
      <c r="AI2901" s="267"/>
    </row>
    <row r="2902" spans="35:35" x14ac:dyDescent="0.3">
      <c r="AI2902" s="267"/>
    </row>
    <row r="2903" spans="35:35" x14ac:dyDescent="0.3">
      <c r="AI2903" s="267"/>
    </row>
    <row r="2904" spans="35:35" x14ac:dyDescent="0.3">
      <c r="AI2904" s="267"/>
    </row>
    <row r="2905" spans="35:35" x14ac:dyDescent="0.3">
      <c r="AI2905" s="267"/>
    </row>
    <row r="2906" spans="35:35" x14ac:dyDescent="0.3">
      <c r="AI2906" s="267"/>
    </row>
    <row r="2907" spans="35:35" x14ac:dyDescent="0.3">
      <c r="AI2907" s="267"/>
    </row>
    <row r="2908" spans="35:35" x14ac:dyDescent="0.3">
      <c r="AI2908" s="267"/>
    </row>
    <row r="2909" spans="35:35" x14ac:dyDescent="0.3">
      <c r="AI2909" s="267"/>
    </row>
    <row r="2910" spans="35:35" x14ac:dyDescent="0.3">
      <c r="AI2910" s="267"/>
    </row>
    <row r="2911" spans="35:35" x14ac:dyDescent="0.3">
      <c r="AI2911" s="267"/>
    </row>
    <row r="2912" spans="35:35" x14ac:dyDescent="0.3">
      <c r="AI2912" s="267"/>
    </row>
    <row r="2913" spans="35:35" x14ac:dyDescent="0.3">
      <c r="AI2913" s="267"/>
    </row>
    <row r="2914" spans="35:35" x14ac:dyDescent="0.3">
      <c r="AI2914" s="267"/>
    </row>
    <row r="2915" spans="35:35" x14ac:dyDescent="0.3">
      <c r="AI2915" s="267"/>
    </row>
    <row r="2916" spans="35:35" x14ac:dyDescent="0.3">
      <c r="AI2916" s="267"/>
    </row>
    <row r="2917" spans="35:35" x14ac:dyDescent="0.3">
      <c r="AI2917" s="267"/>
    </row>
    <row r="2918" spans="35:35" x14ac:dyDescent="0.3">
      <c r="AI2918" s="267"/>
    </row>
    <row r="2919" spans="35:35" x14ac:dyDescent="0.3">
      <c r="AI2919" s="267"/>
    </row>
    <row r="2920" spans="35:35" x14ac:dyDescent="0.3">
      <c r="AI2920" s="267"/>
    </row>
    <row r="2921" spans="35:35" x14ac:dyDescent="0.3">
      <c r="AI2921" s="267"/>
    </row>
    <row r="2922" spans="35:35" x14ac:dyDescent="0.3">
      <c r="AI2922" s="267"/>
    </row>
    <row r="2923" spans="35:35" x14ac:dyDescent="0.3">
      <c r="AI2923" s="267"/>
    </row>
    <row r="2924" spans="35:35" x14ac:dyDescent="0.3">
      <c r="AI2924" s="267"/>
    </row>
    <row r="2925" spans="35:35" x14ac:dyDescent="0.3">
      <c r="AI2925" s="267"/>
    </row>
    <row r="2926" spans="35:35" x14ac:dyDescent="0.3">
      <c r="AI2926" s="267"/>
    </row>
    <row r="2927" spans="35:35" x14ac:dyDescent="0.3">
      <c r="AI2927" s="267"/>
    </row>
    <row r="2928" spans="35:35" x14ac:dyDescent="0.3">
      <c r="AI2928" s="267"/>
    </row>
    <row r="2929" spans="35:35" x14ac:dyDescent="0.3">
      <c r="AI2929" s="267"/>
    </row>
    <row r="2930" spans="35:35" x14ac:dyDescent="0.3">
      <c r="AI2930" s="267"/>
    </row>
    <row r="2931" spans="35:35" x14ac:dyDescent="0.3">
      <c r="AI2931" s="267"/>
    </row>
    <row r="2932" spans="35:35" x14ac:dyDescent="0.3">
      <c r="AI2932" s="267"/>
    </row>
    <row r="2933" spans="35:35" x14ac:dyDescent="0.3">
      <c r="AI2933" s="267"/>
    </row>
    <row r="2934" spans="35:35" x14ac:dyDescent="0.3">
      <c r="AI2934" s="267"/>
    </row>
    <row r="2935" spans="35:35" x14ac:dyDescent="0.3">
      <c r="AI2935" s="267"/>
    </row>
    <row r="2936" spans="35:35" x14ac:dyDescent="0.3">
      <c r="AI2936" s="267"/>
    </row>
    <row r="2937" spans="35:35" x14ac:dyDescent="0.3">
      <c r="AI2937" s="267"/>
    </row>
    <row r="2938" spans="35:35" x14ac:dyDescent="0.3">
      <c r="AI2938" s="267"/>
    </row>
    <row r="2939" spans="35:35" x14ac:dyDescent="0.3">
      <c r="AI2939" s="267"/>
    </row>
    <row r="2940" spans="35:35" x14ac:dyDescent="0.3">
      <c r="AI2940" s="267"/>
    </row>
    <row r="2941" spans="35:35" x14ac:dyDescent="0.3">
      <c r="AI2941" s="267"/>
    </row>
    <row r="2942" spans="35:35" x14ac:dyDescent="0.3">
      <c r="AI2942" s="267"/>
    </row>
    <row r="2943" spans="35:35" x14ac:dyDescent="0.3">
      <c r="AI2943" s="267"/>
    </row>
    <row r="2944" spans="35:35" x14ac:dyDescent="0.3">
      <c r="AI2944" s="267"/>
    </row>
    <row r="2945" spans="35:35" x14ac:dyDescent="0.3">
      <c r="AI2945" s="267"/>
    </row>
    <row r="2946" spans="35:35" x14ac:dyDescent="0.3">
      <c r="AI2946" s="267"/>
    </row>
    <row r="2947" spans="35:35" x14ac:dyDescent="0.3">
      <c r="AI2947" s="267"/>
    </row>
    <row r="2948" spans="35:35" x14ac:dyDescent="0.3">
      <c r="AI2948" s="267"/>
    </row>
    <row r="2949" spans="35:35" x14ac:dyDescent="0.3">
      <c r="AI2949" s="267"/>
    </row>
    <row r="2950" spans="35:35" x14ac:dyDescent="0.3">
      <c r="AI2950" s="267"/>
    </row>
    <row r="2951" spans="35:35" x14ac:dyDescent="0.3">
      <c r="AI2951" s="267"/>
    </row>
    <row r="2952" spans="35:35" x14ac:dyDescent="0.3">
      <c r="AI2952" s="267"/>
    </row>
    <row r="2953" spans="35:35" x14ac:dyDescent="0.3">
      <c r="AI2953" s="267"/>
    </row>
    <row r="2954" spans="35:35" x14ac:dyDescent="0.3">
      <c r="AI2954" s="267"/>
    </row>
    <row r="2955" spans="35:35" x14ac:dyDescent="0.3">
      <c r="AI2955" s="267"/>
    </row>
    <row r="2956" spans="35:35" x14ac:dyDescent="0.3">
      <c r="AI2956" s="267"/>
    </row>
    <row r="2957" spans="35:35" x14ac:dyDescent="0.3">
      <c r="AI2957" s="267"/>
    </row>
    <row r="2958" spans="35:35" x14ac:dyDescent="0.3">
      <c r="AI2958" s="267"/>
    </row>
    <row r="2959" spans="35:35" x14ac:dyDescent="0.3">
      <c r="AI2959" s="267"/>
    </row>
    <row r="2960" spans="35:35" x14ac:dyDescent="0.3">
      <c r="AI2960" s="267"/>
    </row>
    <row r="2961" spans="35:35" x14ac:dyDescent="0.3">
      <c r="AI2961" s="267"/>
    </row>
    <row r="2962" spans="35:35" x14ac:dyDescent="0.3">
      <c r="AI2962" s="267"/>
    </row>
    <row r="2963" spans="35:35" x14ac:dyDescent="0.3">
      <c r="AI2963" s="267"/>
    </row>
    <row r="2964" spans="35:35" x14ac:dyDescent="0.3">
      <c r="AI2964" s="267"/>
    </row>
    <row r="2965" spans="35:35" x14ac:dyDescent="0.3">
      <c r="AI2965" s="267"/>
    </row>
    <row r="2966" spans="35:35" x14ac:dyDescent="0.3">
      <c r="AI2966" s="267"/>
    </row>
    <row r="2967" spans="35:35" x14ac:dyDescent="0.3">
      <c r="AI2967" s="267"/>
    </row>
    <row r="2968" spans="35:35" x14ac:dyDescent="0.3">
      <c r="AI2968" s="267"/>
    </row>
    <row r="2969" spans="35:35" x14ac:dyDescent="0.3">
      <c r="AI2969" s="267"/>
    </row>
    <row r="2970" spans="35:35" x14ac:dyDescent="0.3">
      <c r="AI2970" s="267"/>
    </row>
    <row r="2971" spans="35:35" x14ac:dyDescent="0.3">
      <c r="AI2971" s="267"/>
    </row>
    <row r="2972" spans="35:35" x14ac:dyDescent="0.3">
      <c r="AI2972" s="267"/>
    </row>
    <row r="2973" spans="35:35" x14ac:dyDescent="0.3">
      <c r="AI2973" s="267"/>
    </row>
    <row r="2974" spans="35:35" x14ac:dyDescent="0.3">
      <c r="AI2974" s="267"/>
    </row>
    <row r="2975" spans="35:35" x14ac:dyDescent="0.3">
      <c r="AI2975" s="267"/>
    </row>
    <row r="2976" spans="35:35" x14ac:dyDescent="0.3">
      <c r="AI2976" s="267"/>
    </row>
    <row r="2977" spans="35:35" x14ac:dyDescent="0.3">
      <c r="AI2977" s="267"/>
    </row>
    <row r="2978" spans="35:35" x14ac:dyDescent="0.3">
      <c r="AI2978" s="267"/>
    </row>
    <row r="2979" spans="35:35" x14ac:dyDescent="0.3">
      <c r="AI2979" s="267"/>
    </row>
    <row r="2980" spans="35:35" x14ac:dyDescent="0.3">
      <c r="AI2980" s="267"/>
    </row>
    <row r="2981" spans="35:35" x14ac:dyDescent="0.3">
      <c r="AI2981" s="267"/>
    </row>
    <row r="2982" spans="35:35" x14ac:dyDescent="0.3">
      <c r="AI2982" s="267"/>
    </row>
    <row r="2983" spans="35:35" x14ac:dyDescent="0.3">
      <c r="AI2983" s="267"/>
    </row>
    <row r="2984" spans="35:35" x14ac:dyDescent="0.3">
      <c r="AI2984" s="267"/>
    </row>
    <row r="2985" spans="35:35" x14ac:dyDescent="0.3">
      <c r="AI2985" s="267"/>
    </row>
    <row r="2986" spans="35:35" x14ac:dyDescent="0.3">
      <c r="AI2986" s="267"/>
    </row>
    <row r="2987" spans="35:35" x14ac:dyDescent="0.3">
      <c r="AI2987" s="267"/>
    </row>
    <row r="2988" spans="35:35" x14ac:dyDescent="0.3">
      <c r="AI2988" s="267"/>
    </row>
    <row r="2989" spans="35:35" x14ac:dyDescent="0.3">
      <c r="AI2989" s="267"/>
    </row>
    <row r="2990" spans="35:35" x14ac:dyDescent="0.3">
      <c r="AI2990" s="267"/>
    </row>
    <row r="2991" spans="35:35" x14ac:dyDescent="0.3">
      <c r="AI2991" s="267"/>
    </row>
    <row r="2992" spans="35:35" x14ac:dyDescent="0.3">
      <c r="AI2992" s="267"/>
    </row>
    <row r="2993" spans="35:35" x14ac:dyDescent="0.3">
      <c r="AI2993" s="267"/>
    </row>
    <row r="2994" spans="35:35" x14ac:dyDescent="0.3">
      <c r="AI2994" s="267"/>
    </row>
    <row r="2995" spans="35:35" x14ac:dyDescent="0.3">
      <c r="AI2995" s="267"/>
    </row>
    <row r="2996" spans="35:35" x14ac:dyDescent="0.3">
      <c r="AI2996" s="267"/>
    </row>
    <row r="2997" spans="35:35" x14ac:dyDescent="0.3">
      <c r="AI2997" s="267"/>
    </row>
    <row r="2998" spans="35:35" x14ac:dyDescent="0.3">
      <c r="AI2998" s="267"/>
    </row>
    <row r="2999" spans="35:35" x14ac:dyDescent="0.3">
      <c r="AI2999" s="267"/>
    </row>
    <row r="3000" spans="35:35" x14ac:dyDescent="0.3">
      <c r="AI3000" s="267"/>
    </row>
    <row r="3001" spans="35:35" x14ac:dyDescent="0.3">
      <c r="AI3001" s="267"/>
    </row>
    <row r="3002" spans="35:35" x14ac:dyDescent="0.3">
      <c r="AI3002" s="267"/>
    </row>
    <row r="3003" spans="35:35" x14ac:dyDescent="0.3">
      <c r="AI3003" s="267"/>
    </row>
    <row r="3004" spans="35:35" x14ac:dyDescent="0.3">
      <c r="AI3004" s="267"/>
    </row>
    <row r="3005" spans="35:35" x14ac:dyDescent="0.3">
      <c r="AI3005" s="267"/>
    </row>
    <row r="3006" spans="35:35" x14ac:dyDescent="0.3">
      <c r="AI3006" s="267"/>
    </row>
    <row r="3007" spans="35:35" x14ac:dyDescent="0.3">
      <c r="AI3007" s="267"/>
    </row>
    <row r="3008" spans="35:35" x14ac:dyDescent="0.3">
      <c r="AI3008" s="267"/>
    </row>
    <row r="3009" spans="35:35" x14ac:dyDescent="0.3">
      <c r="AI3009" s="267"/>
    </row>
    <row r="3010" spans="35:35" x14ac:dyDescent="0.3">
      <c r="AI3010" s="267"/>
    </row>
    <row r="3011" spans="35:35" x14ac:dyDescent="0.3">
      <c r="AI3011" s="267"/>
    </row>
    <row r="3012" spans="35:35" x14ac:dyDescent="0.3">
      <c r="AI3012" s="267"/>
    </row>
    <row r="3013" spans="35:35" x14ac:dyDescent="0.3">
      <c r="AI3013" s="267"/>
    </row>
    <row r="3014" spans="35:35" x14ac:dyDescent="0.3">
      <c r="AI3014" s="267"/>
    </row>
    <row r="3015" spans="35:35" x14ac:dyDescent="0.3">
      <c r="AI3015" s="267"/>
    </row>
    <row r="3016" spans="35:35" x14ac:dyDescent="0.3">
      <c r="AI3016" s="267"/>
    </row>
    <row r="3017" spans="35:35" x14ac:dyDescent="0.3">
      <c r="AI3017" s="267"/>
    </row>
    <row r="3018" spans="35:35" x14ac:dyDescent="0.3">
      <c r="AI3018" s="267"/>
    </row>
    <row r="3019" spans="35:35" x14ac:dyDescent="0.3">
      <c r="AI3019" s="267"/>
    </row>
    <row r="3020" spans="35:35" x14ac:dyDescent="0.3">
      <c r="AI3020" s="267"/>
    </row>
    <row r="3021" spans="35:35" x14ac:dyDescent="0.3">
      <c r="AI3021" s="267"/>
    </row>
    <row r="3022" spans="35:35" x14ac:dyDescent="0.3">
      <c r="AI3022" s="267"/>
    </row>
    <row r="3023" spans="35:35" x14ac:dyDescent="0.3">
      <c r="AI3023" s="267"/>
    </row>
    <row r="3024" spans="35:35" x14ac:dyDescent="0.3">
      <c r="AI3024" s="267"/>
    </row>
    <row r="3025" spans="35:35" x14ac:dyDescent="0.3">
      <c r="AI3025" s="267"/>
    </row>
    <row r="3026" spans="35:35" x14ac:dyDescent="0.3">
      <c r="AI3026" s="267"/>
    </row>
    <row r="3027" spans="35:35" x14ac:dyDescent="0.3">
      <c r="AI3027" s="267"/>
    </row>
    <row r="3028" spans="35:35" x14ac:dyDescent="0.3">
      <c r="AI3028" s="267"/>
    </row>
    <row r="3029" spans="35:35" x14ac:dyDescent="0.3">
      <c r="AI3029" s="267"/>
    </row>
    <row r="3030" spans="35:35" x14ac:dyDescent="0.3">
      <c r="AI3030" s="267"/>
    </row>
    <row r="3031" spans="35:35" x14ac:dyDescent="0.3">
      <c r="AI3031" s="267"/>
    </row>
    <row r="3032" spans="35:35" x14ac:dyDescent="0.3">
      <c r="AI3032" s="267"/>
    </row>
    <row r="3033" spans="35:35" x14ac:dyDescent="0.3">
      <c r="AI3033" s="267"/>
    </row>
    <row r="3034" spans="35:35" x14ac:dyDescent="0.3">
      <c r="AI3034" s="267"/>
    </row>
    <row r="3035" spans="35:35" x14ac:dyDescent="0.3">
      <c r="AI3035" s="267"/>
    </row>
    <row r="3036" spans="35:35" x14ac:dyDescent="0.3">
      <c r="AI3036" s="267"/>
    </row>
    <row r="3037" spans="35:35" x14ac:dyDescent="0.3">
      <c r="AI3037" s="267"/>
    </row>
    <row r="3038" spans="35:35" x14ac:dyDescent="0.3">
      <c r="AI3038" s="267"/>
    </row>
    <row r="3039" spans="35:35" x14ac:dyDescent="0.3">
      <c r="AI3039" s="267"/>
    </row>
    <row r="3040" spans="35:35" x14ac:dyDescent="0.3">
      <c r="AI3040" s="267"/>
    </row>
    <row r="3041" spans="35:35" x14ac:dyDescent="0.3">
      <c r="AI3041" s="267"/>
    </row>
    <row r="3042" spans="35:35" x14ac:dyDescent="0.3">
      <c r="AI3042" s="267"/>
    </row>
    <row r="3043" spans="35:35" x14ac:dyDescent="0.3">
      <c r="AI3043" s="267"/>
    </row>
    <row r="3044" spans="35:35" x14ac:dyDescent="0.3">
      <c r="AI3044" s="267"/>
    </row>
    <row r="3045" spans="35:35" x14ac:dyDescent="0.3">
      <c r="AI3045" s="267"/>
    </row>
    <row r="3046" spans="35:35" x14ac:dyDescent="0.3">
      <c r="AI3046" s="267"/>
    </row>
    <row r="3047" spans="35:35" x14ac:dyDescent="0.3">
      <c r="AI3047" s="267"/>
    </row>
    <row r="3048" spans="35:35" x14ac:dyDescent="0.3">
      <c r="AI3048" s="267"/>
    </row>
    <row r="3049" spans="35:35" x14ac:dyDescent="0.3">
      <c r="AI3049" s="267"/>
    </row>
    <row r="3050" spans="35:35" x14ac:dyDescent="0.3">
      <c r="AI3050" s="267"/>
    </row>
    <row r="3051" spans="35:35" x14ac:dyDescent="0.3">
      <c r="AI3051" s="267"/>
    </row>
    <row r="3052" spans="35:35" x14ac:dyDescent="0.3">
      <c r="AI3052" s="267"/>
    </row>
    <row r="3053" spans="35:35" x14ac:dyDescent="0.3">
      <c r="AI3053" s="267"/>
    </row>
    <row r="3054" spans="35:35" x14ac:dyDescent="0.3">
      <c r="AI3054" s="267"/>
    </row>
    <row r="3055" spans="35:35" x14ac:dyDescent="0.3">
      <c r="AI3055" s="267"/>
    </row>
    <row r="3056" spans="35:35" x14ac:dyDescent="0.3">
      <c r="AI3056" s="267"/>
    </row>
    <row r="3057" spans="35:35" x14ac:dyDescent="0.3">
      <c r="AI3057" s="267"/>
    </row>
    <row r="3058" spans="35:35" x14ac:dyDescent="0.3">
      <c r="AI3058" s="267"/>
    </row>
    <row r="3059" spans="35:35" x14ac:dyDescent="0.3">
      <c r="AI3059" s="267"/>
    </row>
    <row r="3060" spans="35:35" x14ac:dyDescent="0.3">
      <c r="AI3060" s="267"/>
    </row>
    <row r="3061" spans="35:35" x14ac:dyDescent="0.3">
      <c r="AI3061" s="267"/>
    </row>
    <row r="3062" spans="35:35" x14ac:dyDescent="0.3">
      <c r="AI3062" s="267"/>
    </row>
    <row r="3063" spans="35:35" x14ac:dyDescent="0.3">
      <c r="AI3063" s="267"/>
    </row>
    <row r="3064" spans="35:35" x14ac:dyDescent="0.3">
      <c r="AI3064" s="267"/>
    </row>
    <row r="3065" spans="35:35" x14ac:dyDescent="0.3">
      <c r="AI3065" s="267"/>
    </row>
    <row r="3066" spans="35:35" x14ac:dyDescent="0.3">
      <c r="AI3066" s="267"/>
    </row>
    <row r="3067" spans="35:35" x14ac:dyDescent="0.3">
      <c r="AI3067" s="267"/>
    </row>
    <row r="3068" spans="35:35" x14ac:dyDescent="0.3">
      <c r="AI3068" s="267"/>
    </row>
    <row r="3069" spans="35:35" x14ac:dyDescent="0.3">
      <c r="AI3069" s="267"/>
    </row>
    <row r="3070" spans="35:35" x14ac:dyDescent="0.3">
      <c r="AI3070" s="267"/>
    </row>
    <row r="3071" spans="35:35" x14ac:dyDescent="0.3">
      <c r="AI3071" s="267"/>
    </row>
    <row r="3072" spans="35:35" x14ac:dyDescent="0.3">
      <c r="AI3072" s="267"/>
    </row>
    <row r="3073" spans="35:35" x14ac:dyDescent="0.3">
      <c r="AI3073" s="267"/>
    </row>
    <row r="3074" spans="35:35" x14ac:dyDescent="0.3">
      <c r="AI3074" s="267"/>
    </row>
    <row r="3075" spans="35:35" x14ac:dyDescent="0.3">
      <c r="AI3075" s="267"/>
    </row>
    <row r="3076" spans="35:35" x14ac:dyDescent="0.3">
      <c r="AI3076" s="267"/>
    </row>
    <row r="3077" spans="35:35" x14ac:dyDescent="0.3">
      <c r="AI3077" s="267"/>
    </row>
    <row r="3078" spans="35:35" x14ac:dyDescent="0.3">
      <c r="AI3078" s="267"/>
    </row>
    <row r="3079" spans="35:35" x14ac:dyDescent="0.3">
      <c r="AI3079" s="267"/>
    </row>
    <row r="3080" spans="35:35" x14ac:dyDescent="0.3">
      <c r="AI3080" s="267"/>
    </row>
    <row r="3081" spans="35:35" x14ac:dyDescent="0.3">
      <c r="AI3081" s="267"/>
    </row>
    <row r="3082" spans="35:35" x14ac:dyDescent="0.3">
      <c r="AI3082" s="267"/>
    </row>
    <row r="3083" spans="35:35" x14ac:dyDescent="0.3">
      <c r="AI3083" s="267"/>
    </row>
    <row r="3084" spans="35:35" x14ac:dyDescent="0.3">
      <c r="AI3084" s="267"/>
    </row>
    <row r="3085" spans="35:35" x14ac:dyDescent="0.3">
      <c r="AI3085" s="267"/>
    </row>
    <row r="3086" spans="35:35" x14ac:dyDescent="0.3">
      <c r="AI3086" s="267"/>
    </row>
    <row r="3087" spans="35:35" x14ac:dyDescent="0.3">
      <c r="AI3087" s="267"/>
    </row>
    <row r="3088" spans="35:35" x14ac:dyDescent="0.3">
      <c r="AI3088" s="267"/>
    </row>
    <row r="3089" spans="35:35" x14ac:dyDescent="0.3">
      <c r="AI3089" s="267"/>
    </row>
    <row r="3090" spans="35:35" x14ac:dyDescent="0.3">
      <c r="AI3090" s="267"/>
    </row>
    <row r="3091" spans="35:35" x14ac:dyDescent="0.3">
      <c r="AI3091" s="267"/>
    </row>
    <row r="3092" spans="35:35" x14ac:dyDescent="0.3">
      <c r="AI3092" s="267"/>
    </row>
    <row r="3093" spans="35:35" x14ac:dyDescent="0.3">
      <c r="AI3093" s="267"/>
    </row>
    <row r="3094" spans="35:35" x14ac:dyDescent="0.3">
      <c r="AI3094" s="267"/>
    </row>
    <row r="3095" spans="35:35" x14ac:dyDescent="0.3">
      <c r="AI3095" s="267"/>
    </row>
    <row r="3096" spans="35:35" x14ac:dyDescent="0.3">
      <c r="AI3096" s="267"/>
    </row>
    <row r="3097" spans="35:35" x14ac:dyDescent="0.3">
      <c r="AI3097" s="267"/>
    </row>
    <row r="3098" spans="35:35" x14ac:dyDescent="0.3">
      <c r="AI3098" s="267"/>
    </row>
    <row r="3099" spans="35:35" x14ac:dyDescent="0.3">
      <c r="AI3099" s="267"/>
    </row>
    <row r="3100" spans="35:35" x14ac:dyDescent="0.3">
      <c r="AI3100" s="267"/>
    </row>
    <row r="3101" spans="35:35" x14ac:dyDescent="0.3">
      <c r="AI3101" s="267"/>
    </row>
    <row r="3102" spans="35:35" x14ac:dyDescent="0.3">
      <c r="AI3102" s="267"/>
    </row>
    <row r="3103" spans="35:35" x14ac:dyDescent="0.3">
      <c r="AI3103" s="267"/>
    </row>
    <row r="3104" spans="35:35" x14ac:dyDescent="0.3">
      <c r="AI3104" s="267"/>
    </row>
    <row r="3105" spans="35:35" x14ac:dyDescent="0.3">
      <c r="AI3105" s="267"/>
    </row>
    <row r="3106" spans="35:35" x14ac:dyDescent="0.3">
      <c r="AI3106" s="267"/>
    </row>
    <row r="3107" spans="35:35" x14ac:dyDescent="0.3">
      <c r="AI3107" s="267"/>
    </row>
    <row r="3108" spans="35:35" x14ac:dyDescent="0.3">
      <c r="AI3108" s="267"/>
    </row>
    <row r="3109" spans="35:35" x14ac:dyDescent="0.3">
      <c r="AI3109" s="267"/>
    </row>
    <row r="3110" spans="35:35" x14ac:dyDescent="0.3">
      <c r="AI3110" s="267"/>
    </row>
    <row r="3111" spans="35:35" x14ac:dyDescent="0.3">
      <c r="AI3111" s="267"/>
    </row>
    <row r="3112" spans="35:35" x14ac:dyDescent="0.3">
      <c r="AI3112" s="267"/>
    </row>
    <row r="3113" spans="35:35" x14ac:dyDescent="0.3">
      <c r="AI3113" s="267"/>
    </row>
    <row r="3114" spans="35:35" x14ac:dyDescent="0.3">
      <c r="AI3114" s="267"/>
    </row>
    <row r="3115" spans="35:35" x14ac:dyDescent="0.3">
      <c r="AI3115" s="267"/>
    </row>
    <row r="3116" spans="35:35" x14ac:dyDescent="0.3">
      <c r="AI3116" s="267"/>
    </row>
    <row r="3117" spans="35:35" x14ac:dyDescent="0.3">
      <c r="AI3117" s="267"/>
    </row>
    <row r="3118" spans="35:35" x14ac:dyDescent="0.3">
      <c r="AI3118" s="267"/>
    </row>
    <row r="3119" spans="35:35" x14ac:dyDescent="0.3">
      <c r="AI3119" s="267"/>
    </row>
    <row r="3120" spans="35:35" x14ac:dyDescent="0.3">
      <c r="AI3120" s="267"/>
    </row>
    <row r="3121" spans="35:35" x14ac:dyDescent="0.3">
      <c r="AI3121" s="267"/>
    </row>
    <row r="3122" spans="35:35" x14ac:dyDescent="0.3">
      <c r="AI3122" s="267"/>
    </row>
    <row r="3123" spans="35:35" x14ac:dyDescent="0.3">
      <c r="AI3123" s="267"/>
    </row>
    <row r="3124" spans="35:35" x14ac:dyDescent="0.3">
      <c r="AI3124" s="267"/>
    </row>
    <row r="3125" spans="35:35" x14ac:dyDescent="0.3">
      <c r="AI3125" s="267"/>
    </row>
    <row r="3126" spans="35:35" x14ac:dyDescent="0.3">
      <c r="AI3126" s="267"/>
    </row>
    <row r="3127" spans="35:35" x14ac:dyDescent="0.3">
      <c r="AI3127" s="267"/>
    </row>
    <row r="3128" spans="35:35" x14ac:dyDescent="0.3">
      <c r="AI3128" s="267"/>
    </row>
    <row r="3129" spans="35:35" x14ac:dyDescent="0.3">
      <c r="AI3129" s="267"/>
    </row>
    <row r="3130" spans="35:35" x14ac:dyDescent="0.3">
      <c r="AI3130" s="267"/>
    </row>
    <row r="3131" spans="35:35" x14ac:dyDescent="0.3">
      <c r="AI3131" s="267"/>
    </row>
    <row r="3132" spans="35:35" x14ac:dyDescent="0.3">
      <c r="AI3132" s="267"/>
    </row>
    <row r="3133" spans="35:35" x14ac:dyDescent="0.3">
      <c r="AI3133" s="267"/>
    </row>
    <row r="3134" spans="35:35" x14ac:dyDescent="0.3">
      <c r="AI3134" s="267"/>
    </row>
    <row r="3135" spans="35:35" x14ac:dyDescent="0.3">
      <c r="AI3135" s="267"/>
    </row>
    <row r="3136" spans="35:35" x14ac:dyDescent="0.3">
      <c r="AI3136" s="267"/>
    </row>
    <row r="3137" spans="35:35" x14ac:dyDescent="0.3">
      <c r="AI3137" s="267"/>
    </row>
    <row r="3138" spans="35:35" x14ac:dyDescent="0.3">
      <c r="AI3138" s="267"/>
    </row>
    <row r="3139" spans="35:35" x14ac:dyDescent="0.3">
      <c r="AI3139" s="267"/>
    </row>
    <row r="3140" spans="35:35" x14ac:dyDescent="0.3">
      <c r="AI3140" s="267"/>
    </row>
    <row r="3141" spans="35:35" x14ac:dyDescent="0.3">
      <c r="AI3141" s="267"/>
    </row>
    <row r="3142" spans="35:35" x14ac:dyDescent="0.3">
      <c r="AI3142" s="267"/>
    </row>
    <row r="3143" spans="35:35" x14ac:dyDescent="0.3">
      <c r="AI3143" s="267"/>
    </row>
    <row r="3144" spans="35:35" x14ac:dyDescent="0.3">
      <c r="AI3144" s="267"/>
    </row>
    <row r="3145" spans="35:35" x14ac:dyDescent="0.3">
      <c r="AI3145" s="267"/>
    </row>
    <row r="3146" spans="35:35" x14ac:dyDescent="0.3">
      <c r="AI3146" s="267"/>
    </row>
    <row r="3147" spans="35:35" x14ac:dyDescent="0.3">
      <c r="AI3147" s="267"/>
    </row>
    <row r="3148" spans="35:35" x14ac:dyDescent="0.3">
      <c r="AI3148" s="267"/>
    </row>
    <row r="3149" spans="35:35" x14ac:dyDescent="0.3">
      <c r="AI3149" s="267"/>
    </row>
    <row r="3150" spans="35:35" x14ac:dyDescent="0.3">
      <c r="AI3150" s="267"/>
    </row>
    <row r="3151" spans="35:35" x14ac:dyDescent="0.3">
      <c r="AI3151" s="267"/>
    </row>
    <row r="3152" spans="35:35" x14ac:dyDescent="0.3">
      <c r="AI3152" s="267"/>
    </row>
    <row r="3153" spans="35:35" x14ac:dyDescent="0.3">
      <c r="AI3153" s="267"/>
    </row>
    <row r="3154" spans="35:35" x14ac:dyDescent="0.3">
      <c r="AI3154" s="267"/>
    </row>
    <row r="3155" spans="35:35" x14ac:dyDescent="0.3">
      <c r="AI3155" s="267"/>
    </row>
    <row r="3156" spans="35:35" x14ac:dyDescent="0.3">
      <c r="AI3156" s="267"/>
    </row>
    <row r="3157" spans="35:35" x14ac:dyDescent="0.3">
      <c r="AI3157" s="267"/>
    </row>
    <row r="3158" spans="35:35" x14ac:dyDescent="0.3">
      <c r="AI3158" s="267"/>
    </row>
    <row r="3159" spans="35:35" x14ac:dyDescent="0.3">
      <c r="AI3159" s="267"/>
    </row>
    <row r="3160" spans="35:35" x14ac:dyDescent="0.3">
      <c r="AI3160" s="267"/>
    </row>
    <row r="3161" spans="35:35" x14ac:dyDescent="0.3">
      <c r="AI3161" s="267"/>
    </row>
    <row r="3162" spans="35:35" x14ac:dyDescent="0.3">
      <c r="AI3162" s="267"/>
    </row>
    <row r="3163" spans="35:35" x14ac:dyDescent="0.3">
      <c r="AI3163" s="267"/>
    </row>
    <row r="3164" spans="35:35" x14ac:dyDescent="0.3">
      <c r="AI3164" s="267"/>
    </row>
    <row r="3165" spans="35:35" x14ac:dyDescent="0.3">
      <c r="AI3165" s="267"/>
    </row>
    <row r="3166" spans="35:35" x14ac:dyDescent="0.3">
      <c r="AI3166" s="267"/>
    </row>
    <row r="3167" spans="35:35" x14ac:dyDescent="0.3">
      <c r="AI3167" s="267"/>
    </row>
    <row r="3168" spans="35:35" x14ac:dyDescent="0.3">
      <c r="AI3168" s="267"/>
    </row>
    <row r="3169" spans="35:35" x14ac:dyDescent="0.3">
      <c r="AI3169" s="267"/>
    </row>
    <row r="3170" spans="35:35" x14ac:dyDescent="0.3">
      <c r="AI3170" s="267"/>
    </row>
    <row r="3171" spans="35:35" x14ac:dyDescent="0.3">
      <c r="AI3171" s="267"/>
    </row>
    <row r="3172" spans="35:35" x14ac:dyDescent="0.3">
      <c r="AI3172" s="267"/>
    </row>
    <row r="3173" spans="35:35" x14ac:dyDescent="0.3">
      <c r="AI3173" s="267"/>
    </row>
    <row r="3174" spans="35:35" x14ac:dyDescent="0.3">
      <c r="AI3174" s="267"/>
    </row>
    <row r="3175" spans="35:35" x14ac:dyDescent="0.3">
      <c r="AI3175" s="267"/>
    </row>
    <row r="3176" spans="35:35" x14ac:dyDescent="0.3">
      <c r="AI3176" s="267"/>
    </row>
    <row r="3177" spans="35:35" x14ac:dyDescent="0.3">
      <c r="AI3177" s="267"/>
    </row>
    <row r="3178" spans="35:35" x14ac:dyDescent="0.3">
      <c r="AI3178" s="267"/>
    </row>
    <row r="3179" spans="35:35" x14ac:dyDescent="0.3">
      <c r="AI3179" s="267"/>
    </row>
    <row r="3180" spans="35:35" x14ac:dyDescent="0.3">
      <c r="AI3180" s="267"/>
    </row>
    <row r="3181" spans="35:35" x14ac:dyDescent="0.3">
      <c r="AI3181" s="267"/>
    </row>
    <row r="3182" spans="35:35" x14ac:dyDescent="0.3">
      <c r="AI3182" s="267"/>
    </row>
    <row r="3183" spans="35:35" x14ac:dyDescent="0.3">
      <c r="AI3183" s="267"/>
    </row>
    <row r="3184" spans="35:35" x14ac:dyDescent="0.3">
      <c r="AI3184" s="267"/>
    </row>
    <row r="3185" spans="35:35" x14ac:dyDescent="0.3">
      <c r="AI3185" s="267"/>
    </row>
    <row r="3186" spans="35:35" x14ac:dyDescent="0.3">
      <c r="AI3186" s="267"/>
    </row>
    <row r="3187" spans="35:35" x14ac:dyDescent="0.3">
      <c r="AI3187" s="267"/>
    </row>
    <row r="3188" spans="35:35" x14ac:dyDescent="0.3">
      <c r="AI3188" s="267"/>
    </row>
    <row r="3189" spans="35:35" x14ac:dyDescent="0.3">
      <c r="AI3189" s="267"/>
    </row>
    <row r="3190" spans="35:35" x14ac:dyDescent="0.3">
      <c r="AI3190" s="267"/>
    </row>
    <row r="3191" spans="35:35" x14ac:dyDescent="0.3">
      <c r="AI3191" s="267"/>
    </row>
    <row r="3192" spans="35:35" x14ac:dyDescent="0.3">
      <c r="AI3192" s="267"/>
    </row>
    <row r="3193" spans="35:35" x14ac:dyDescent="0.3">
      <c r="AI3193" s="267"/>
    </row>
    <row r="3194" spans="35:35" x14ac:dyDescent="0.3">
      <c r="AI3194" s="267"/>
    </row>
    <row r="3195" spans="35:35" x14ac:dyDescent="0.3">
      <c r="AI3195" s="267"/>
    </row>
    <row r="3196" spans="35:35" x14ac:dyDescent="0.3">
      <c r="AI3196" s="267"/>
    </row>
    <row r="3197" spans="35:35" x14ac:dyDescent="0.3">
      <c r="AI3197" s="267"/>
    </row>
    <row r="3198" spans="35:35" x14ac:dyDescent="0.3">
      <c r="AI3198" s="267"/>
    </row>
    <row r="3199" spans="35:35" x14ac:dyDescent="0.3">
      <c r="AI3199" s="267"/>
    </row>
    <row r="3200" spans="35:35" x14ac:dyDescent="0.3">
      <c r="AI3200" s="267"/>
    </row>
    <row r="3201" spans="35:35" x14ac:dyDescent="0.3">
      <c r="AI3201" s="267"/>
    </row>
    <row r="3202" spans="35:35" x14ac:dyDescent="0.3">
      <c r="AI3202" s="267"/>
    </row>
    <row r="3203" spans="35:35" x14ac:dyDescent="0.3">
      <c r="AI3203" s="267"/>
    </row>
    <row r="3204" spans="35:35" x14ac:dyDescent="0.3">
      <c r="AI3204" s="267"/>
    </row>
    <row r="3205" spans="35:35" x14ac:dyDescent="0.3">
      <c r="AI3205" s="267"/>
    </row>
    <row r="3206" spans="35:35" x14ac:dyDescent="0.3">
      <c r="AI3206" s="267"/>
    </row>
    <row r="3207" spans="35:35" x14ac:dyDescent="0.3">
      <c r="AI3207" s="267"/>
    </row>
    <row r="3208" spans="35:35" x14ac:dyDescent="0.3">
      <c r="AI3208" s="267"/>
    </row>
    <row r="3209" spans="35:35" x14ac:dyDescent="0.3">
      <c r="AI3209" s="267"/>
    </row>
    <row r="3210" spans="35:35" x14ac:dyDescent="0.3">
      <c r="AI3210" s="267"/>
    </row>
    <row r="3211" spans="35:35" x14ac:dyDescent="0.3">
      <c r="AI3211" s="267"/>
    </row>
    <row r="3212" spans="35:35" x14ac:dyDescent="0.3">
      <c r="AI3212" s="267"/>
    </row>
    <row r="3213" spans="35:35" x14ac:dyDescent="0.3">
      <c r="AI3213" s="267"/>
    </row>
    <row r="3214" spans="35:35" x14ac:dyDescent="0.3">
      <c r="AI3214" s="267"/>
    </row>
    <row r="3215" spans="35:35" x14ac:dyDescent="0.3">
      <c r="AI3215" s="267"/>
    </row>
    <row r="3216" spans="35:35" x14ac:dyDescent="0.3">
      <c r="AI3216" s="267"/>
    </row>
    <row r="3217" spans="35:35" x14ac:dyDescent="0.3">
      <c r="AI3217" s="267"/>
    </row>
    <row r="3218" spans="35:35" x14ac:dyDescent="0.3">
      <c r="AI3218" s="267"/>
    </row>
    <row r="3219" spans="35:35" x14ac:dyDescent="0.3">
      <c r="AI3219" s="267"/>
    </row>
    <row r="3220" spans="35:35" x14ac:dyDescent="0.3">
      <c r="AI3220" s="267"/>
    </row>
    <row r="3221" spans="35:35" x14ac:dyDescent="0.3">
      <c r="AI3221" s="267"/>
    </row>
    <row r="3222" spans="35:35" x14ac:dyDescent="0.3">
      <c r="AI3222" s="267"/>
    </row>
    <row r="3223" spans="35:35" x14ac:dyDescent="0.3">
      <c r="AI3223" s="267"/>
    </row>
    <row r="3224" spans="35:35" x14ac:dyDescent="0.3">
      <c r="AI3224" s="267"/>
    </row>
    <row r="3225" spans="35:35" x14ac:dyDescent="0.3">
      <c r="AI3225" s="267"/>
    </row>
    <row r="3226" spans="35:35" x14ac:dyDescent="0.3">
      <c r="AI3226" s="267"/>
    </row>
    <row r="3227" spans="35:35" x14ac:dyDescent="0.3">
      <c r="AI3227" s="267"/>
    </row>
    <row r="3228" spans="35:35" x14ac:dyDescent="0.3">
      <c r="AI3228" s="267"/>
    </row>
    <row r="3229" spans="35:35" x14ac:dyDescent="0.3">
      <c r="AI3229" s="267"/>
    </row>
    <row r="3230" spans="35:35" x14ac:dyDescent="0.3">
      <c r="AI3230" s="267"/>
    </row>
    <row r="3231" spans="35:35" x14ac:dyDescent="0.3">
      <c r="AI3231" s="267"/>
    </row>
    <row r="3232" spans="35:35" x14ac:dyDescent="0.3">
      <c r="AI3232" s="267"/>
    </row>
    <row r="3233" spans="35:35" x14ac:dyDescent="0.3">
      <c r="AI3233" s="267"/>
    </row>
    <row r="3234" spans="35:35" x14ac:dyDescent="0.3">
      <c r="AI3234" s="267"/>
    </row>
    <row r="3235" spans="35:35" x14ac:dyDescent="0.3">
      <c r="AI3235" s="267"/>
    </row>
    <row r="3236" spans="35:35" x14ac:dyDescent="0.3">
      <c r="AI3236" s="267"/>
    </row>
    <row r="3237" spans="35:35" x14ac:dyDescent="0.3">
      <c r="AI3237" s="267"/>
    </row>
    <row r="3238" spans="35:35" x14ac:dyDescent="0.3">
      <c r="AI3238" s="267"/>
    </row>
    <row r="3239" spans="35:35" x14ac:dyDescent="0.3">
      <c r="AI3239" s="267"/>
    </row>
    <row r="3240" spans="35:35" x14ac:dyDescent="0.3">
      <c r="AI3240" s="267"/>
    </row>
    <row r="3241" spans="35:35" x14ac:dyDescent="0.3">
      <c r="AI3241" s="267"/>
    </row>
    <row r="3242" spans="35:35" x14ac:dyDescent="0.3">
      <c r="AI3242" s="267"/>
    </row>
    <row r="3243" spans="35:35" x14ac:dyDescent="0.3">
      <c r="AI3243" s="267"/>
    </row>
    <row r="3244" spans="35:35" x14ac:dyDescent="0.3">
      <c r="AI3244" s="267"/>
    </row>
    <row r="3245" spans="35:35" x14ac:dyDescent="0.3">
      <c r="AI3245" s="267"/>
    </row>
    <row r="3246" spans="35:35" x14ac:dyDescent="0.3">
      <c r="AI3246" s="267"/>
    </row>
    <row r="3247" spans="35:35" x14ac:dyDescent="0.3">
      <c r="AI3247" s="267"/>
    </row>
    <row r="3248" spans="35:35" x14ac:dyDescent="0.3">
      <c r="AI3248" s="267"/>
    </row>
    <row r="3249" spans="35:35" x14ac:dyDescent="0.3">
      <c r="AI3249" s="267"/>
    </row>
    <row r="3250" spans="35:35" x14ac:dyDescent="0.3">
      <c r="AI3250" s="267"/>
    </row>
    <row r="3251" spans="35:35" x14ac:dyDescent="0.3">
      <c r="AI3251" s="267"/>
    </row>
    <row r="3252" spans="35:35" x14ac:dyDescent="0.3">
      <c r="AI3252" s="267"/>
    </row>
    <row r="3253" spans="35:35" x14ac:dyDescent="0.3">
      <c r="AI3253" s="267"/>
    </row>
    <row r="3254" spans="35:35" x14ac:dyDescent="0.3">
      <c r="AI3254" s="267"/>
    </row>
    <row r="3255" spans="35:35" x14ac:dyDescent="0.3">
      <c r="AI3255" s="267"/>
    </row>
    <row r="3256" spans="35:35" x14ac:dyDescent="0.3">
      <c r="AI3256" s="267"/>
    </row>
    <row r="3257" spans="35:35" x14ac:dyDescent="0.3">
      <c r="AI3257" s="267"/>
    </row>
    <row r="3258" spans="35:35" x14ac:dyDescent="0.3">
      <c r="AI3258" s="267"/>
    </row>
    <row r="3259" spans="35:35" x14ac:dyDescent="0.3">
      <c r="AI3259" s="267"/>
    </row>
    <row r="3260" spans="35:35" x14ac:dyDescent="0.3">
      <c r="AI3260" s="267"/>
    </row>
    <row r="3261" spans="35:35" x14ac:dyDescent="0.3">
      <c r="AI3261" s="267"/>
    </row>
    <row r="3262" spans="35:35" x14ac:dyDescent="0.3">
      <c r="AI3262" s="267"/>
    </row>
    <row r="3263" spans="35:35" x14ac:dyDescent="0.3">
      <c r="AI3263" s="267"/>
    </row>
    <row r="3264" spans="35:35" x14ac:dyDescent="0.3">
      <c r="AI3264" s="267"/>
    </row>
    <row r="3265" spans="35:35" x14ac:dyDescent="0.3">
      <c r="AI3265" s="267"/>
    </row>
    <row r="3266" spans="35:35" x14ac:dyDescent="0.3">
      <c r="AI3266" s="267"/>
    </row>
    <row r="3267" spans="35:35" x14ac:dyDescent="0.3">
      <c r="AI3267" s="267"/>
    </row>
    <row r="3268" spans="35:35" x14ac:dyDescent="0.3">
      <c r="AI3268" s="267"/>
    </row>
    <row r="3269" spans="35:35" x14ac:dyDescent="0.3">
      <c r="AI3269" s="267"/>
    </row>
    <row r="3270" spans="35:35" x14ac:dyDescent="0.3">
      <c r="AI3270" s="267"/>
    </row>
    <row r="3271" spans="35:35" x14ac:dyDescent="0.3">
      <c r="AI3271" s="267"/>
    </row>
    <row r="3272" spans="35:35" x14ac:dyDescent="0.3">
      <c r="AI3272" s="267"/>
    </row>
    <row r="3273" spans="35:35" x14ac:dyDescent="0.3">
      <c r="AI3273" s="267"/>
    </row>
    <row r="3274" spans="35:35" x14ac:dyDescent="0.3">
      <c r="AI3274" s="267"/>
    </row>
    <row r="3275" spans="35:35" x14ac:dyDescent="0.3">
      <c r="AI3275" s="267"/>
    </row>
    <row r="3276" spans="35:35" x14ac:dyDescent="0.3">
      <c r="AI3276" s="267"/>
    </row>
    <row r="3277" spans="35:35" x14ac:dyDescent="0.3">
      <c r="AI3277" s="267"/>
    </row>
    <row r="3278" spans="35:35" x14ac:dyDescent="0.3">
      <c r="AI3278" s="267"/>
    </row>
    <row r="3279" spans="35:35" x14ac:dyDescent="0.3">
      <c r="AI3279" s="267"/>
    </row>
    <row r="3280" spans="35:35" x14ac:dyDescent="0.3">
      <c r="AI3280" s="267"/>
    </row>
    <row r="3281" spans="35:35" x14ac:dyDescent="0.3">
      <c r="AI3281" s="267"/>
    </row>
    <row r="3282" spans="35:35" x14ac:dyDescent="0.3">
      <c r="AI3282" s="267"/>
    </row>
    <row r="3283" spans="35:35" x14ac:dyDescent="0.3">
      <c r="AI3283" s="267"/>
    </row>
    <row r="3284" spans="35:35" x14ac:dyDescent="0.3">
      <c r="AI3284" s="267"/>
    </row>
    <row r="3285" spans="35:35" x14ac:dyDescent="0.3">
      <c r="AI3285" s="267"/>
    </row>
    <row r="3286" spans="35:35" x14ac:dyDescent="0.3">
      <c r="AI3286" s="267"/>
    </row>
    <row r="3287" spans="35:35" x14ac:dyDescent="0.3">
      <c r="AI3287" s="267"/>
    </row>
    <row r="3288" spans="35:35" x14ac:dyDescent="0.3">
      <c r="AI3288" s="267"/>
    </row>
    <row r="3289" spans="35:35" x14ac:dyDescent="0.3">
      <c r="AI3289" s="267"/>
    </row>
    <row r="3290" spans="35:35" x14ac:dyDescent="0.3">
      <c r="AI3290" s="267"/>
    </row>
    <row r="3291" spans="35:35" x14ac:dyDescent="0.3">
      <c r="AI3291" s="267"/>
    </row>
    <row r="3292" spans="35:35" x14ac:dyDescent="0.3">
      <c r="AI3292" s="267"/>
    </row>
    <row r="3293" spans="35:35" x14ac:dyDescent="0.3">
      <c r="AI3293" s="267"/>
    </row>
    <row r="3294" spans="35:35" x14ac:dyDescent="0.3">
      <c r="AI3294" s="267"/>
    </row>
    <row r="3295" spans="35:35" x14ac:dyDescent="0.3">
      <c r="AI3295" s="267"/>
    </row>
    <row r="3296" spans="35:35" x14ac:dyDescent="0.3">
      <c r="AI3296" s="267"/>
    </row>
    <row r="3297" spans="35:35" x14ac:dyDescent="0.3">
      <c r="AI3297" s="267"/>
    </row>
    <row r="3298" spans="35:35" x14ac:dyDescent="0.3">
      <c r="AI3298" s="267"/>
    </row>
    <row r="3299" spans="35:35" x14ac:dyDescent="0.3">
      <c r="AI3299" s="267"/>
    </row>
    <row r="3300" spans="35:35" x14ac:dyDescent="0.3">
      <c r="AI3300" s="267"/>
    </row>
    <row r="3301" spans="35:35" x14ac:dyDescent="0.3">
      <c r="AI3301" s="267"/>
    </row>
    <row r="3302" spans="35:35" x14ac:dyDescent="0.3">
      <c r="AI3302" s="267"/>
    </row>
    <row r="3303" spans="35:35" x14ac:dyDescent="0.3">
      <c r="AI3303" s="267"/>
    </row>
    <row r="3304" spans="35:35" x14ac:dyDescent="0.3">
      <c r="AI3304" s="267"/>
    </row>
    <row r="3305" spans="35:35" x14ac:dyDescent="0.3">
      <c r="AI3305" s="267"/>
    </row>
    <row r="3306" spans="35:35" x14ac:dyDescent="0.3">
      <c r="AI3306" s="267"/>
    </row>
    <row r="3307" spans="35:35" x14ac:dyDescent="0.3">
      <c r="AI3307" s="267"/>
    </row>
    <row r="3308" spans="35:35" x14ac:dyDescent="0.3">
      <c r="AI3308" s="267"/>
    </row>
    <row r="3309" spans="35:35" x14ac:dyDescent="0.3">
      <c r="AI3309" s="267"/>
    </row>
    <row r="3310" spans="35:35" x14ac:dyDescent="0.3">
      <c r="AI3310" s="267"/>
    </row>
    <row r="3311" spans="35:35" x14ac:dyDescent="0.3">
      <c r="AI3311" s="267"/>
    </row>
    <row r="3312" spans="35:35" x14ac:dyDescent="0.3">
      <c r="AI3312" s="267"/>
    </row>
    <row r="3313" spans="35:35" x14ac:dyDescent="0.3">
      <c r="AI3313" s="267"/>
    </row>
    <row r="3314" spans="35:35" x14ac:dyDescent="0.3">
      <c r="AI3314" s="267"/>
    </row>
    <row r="3315" spans="35:35" x14ac:dyDescent="0.3">
      <c r="AI3315" s="267"/>
    </row>
    <row r="3316" spans="35:35" x14ac:dyDescent="0.3">
      <c r="AI3316" s="267"/>
    </row>
    <row r="3317" spans="35:35" x14ac:dyDescent="0.3">
      <c r="AI3317" s="267"/>
    </row>
    <row r="3318" spans="35:35" x14ac:dyDescent="0.3">
      <c r="AI3318" s="267"/>
    </row>
    <row r="3319" spans="35:35" x14ac:dyDescent="0.3">
      <c r="AI3319" s="267"/>
    </row>
    <row r="3320" spans="35:35" x14ac:dyDescent="0.3">
      <c r="AI3320" s="267"/>
    </row>
    <row r="3321" spans="35:35" x14ac:dyDescent="0.3">
      <c r="AI3321" s="267"/>
    </row>
    <row r="3322" spans="35:35" x14ac:dyDescent="0.3">
      <c r="AI3322" s="267"/>
    </row>
    <row r="3323" spans="35:35" x14ac:dyDescent="0.3">
      <c r="AI3323" s="267"/>
    </row>
    <row r="3324" spans="35:35" x14ac:dyDescent="0.3">
      <c r="AI3324" s="267"/>
    </row>
    <row r="3325" spans="35:35" x14ac:dyDescent="0.3">
      <c r="AI3325" s="267"/>
    </row>
    <row r="3326" spans="35:35" x14ac:dyDescent="0.3">
      <c r="AI3326" s="267"/>
    </row>
    <row r="3327" spans="35:35" x14ac:dyDescent="0.3">
      <c r="AI3327" s="267"/>
    </row>
    <row r="3328" spans="35:35" x14ac:dyDescent="0.3">
      <c r="AI3328" s="267"/>
    </row>
    <row r="3329" spans="35:35" x14ac:dyDescent="0.3">
      <c r="AI3329" s="267"/>
    </row>
    <row r="3330" spans="35:35" x14ac:dyDescent="0.3">
      <c r="AI3330" s="267"/>
    </row>
    <row r="3331" spans="35:35" x14ac:dyDescent="0.3">
      <c r="AI3331" s="267"/>
    </row>
    <row r="3332" spans="35:35" x14ac:dyDescent="0.3">
      <c r="AI3332" s="267"/>
    </row>
    <row r="3333" spans="35:35" x14ac:dyDescent="0.3">
      <c r="AI3333" s="267"/>
    </row>
    <row r="3334" spans="35:35" x14ac:dyDescent="0.3">
      <c r="AI3334" s="267"/>
    </row>
    <row r="3335" spans="35:35" x14ac:dyDescent="0.3">
      <c r="AI3335" s="267"/>
    </row>
    <row r="3336" spans="35:35" x14ac:dyDescent="0.3">
      <c r="AI3336" s="267"/>
    </row>
    <row r="3337" spans="35:35" x14ac:dyDescent="0.3">
      <c r="AI3337" s="267"/>
    </row>
    <row r="3338" spans="35:35" x14ac:dyDescent="0.3">
      <c r="AI3338" s="267"/>
    </row>
    <row r="3339" spans="35:35" x14ac:dyDescent="0.3">
      <c r="AI3339" s="267"/>
    </row>
    <row r="3340" spans="35:35" x14ac:dyDescent="0.3">
      <c r="AI3340" s="267"/>
    </row>
    <row r="3341" spans="35:35" x14ac:dyDescent="0.3">
      <c r="AI3341" s="267"/>
    </row>
    <row r="3342" spans="35:35" x14ac:dyDescent="0.3">
      <c r="AI3342" s="267"/>
    </row>
    <row r="3343" spans="35:35" x14ac:dyDescent="0.3">
      <c r="AI3343" s="267"/>
    </row>
    <row r="3344" spans="35:35" x14ac:dyDescent="0.3">
      <c r="AI3344" s="267"/>
    </row>
    <row r="3345" spans="35:35" x14ac:dyDescent="0.3">
      <c r="AI3345" s="267"/>
    </row>
    <row r="3346" spans="35:35" x14ac:dyDescent="0.3">
      <c r="AI3346" s="267"/>
    </row>
    <row r="3347" spans="35:35" x14ac:dyDescent="0.3">
      <c r="AI3347" s="267"/>
    </row>
    <row r="3348" spans="35:35" x14ac:dyDescent="0.3">
      <c r="AI3348" s="267"/>
    </row>
    <row r="3349" spans="35:35" x14ac:dyDescent="0.3">
      <c r="AI3349" s="267"/>
    </row>
    <row r="3350" spans="35:35" x14ac:dyDescent="0.3">
      <c r="AI3350" s="267"/>
    </row>
    <row r="3351" spans="35:35" x14ac:dyDescent="0.3">
      <c r="AI3351" s="267"/>
    </row>
    <row r="3352" spans="35:35" x14ac:dyDescent="0.3">
      <c r="AI3352" s="267"/>
    </row>
    <row r="3353" spans="35:35" x14ac:dyDescent="0.3">
      <c r="AI3353" s="267"/>
    </row>
    <row r="3354" spans="35:35" x14ac:dyDescent="0.3">
      <c r="AI3354" s="267"/>
    </row>
    <row r="3355" spans="35:35" x14ac:dyDescent="0.3">
      <c r="AI3355" s="267"/>
    </row>
    <row r="3356" spans="35:35" x14ac:dyDescent="0.3">
      <c r="AI3356" s="267"/>
    </row>
    <row r="3357" spans="35:35" x14ac:dyDescent="0.3">
      <c r="AI3357" s="267"/>
    </row>
    <row r="3358" spans="35:35" x14ac:dyDescent="0.3">
      <c r="AI3358" s="267"/>
    </row>
    <row r="3359" spans="35:35" x14ac:dyDescent="0.3">
      <c r="AI3359" s="267"/>
    </row>
    <row r="3360" spans="35:35" x14ac:dyDescent="0.3">
      <c r="AI3360" s="267"/>
    </row>
    <row r="3361" spans="35:35" x14ac:dyDescent="0.3">
      <c r="AI3361" s="267"/>
    </row>
    <row r="3362" spans="35:35" x14ac:dyDescent="0.3">
      <c r="AI3362" s="267"/>
    </row>
    <row r="3363" spans="35:35" x14ac:dyDescent="0.3">
      <c r="AI3363" s="267"/>
    </row>
    <row r="3364" spans="35:35" x14ac:dyDescent="0.3">
      <c r="AI3364" s="267"/>
    </row>
    <row r="3365" spans="35:35" x14ac:dyDescent="0.3">
      <c r="AI3365" s="267"/>
    </row>
    <row r="3366" spans="35:35" x14ac:dyDescent="0.3">
      <c r="AI3366" s="267"/>
    </row>
    <row r="3367" spans="35:35" x14ac:dyDescent="0.3">
      <c r="AI3367" s="267"/>
    </row>
    <row r="3368" spans="35:35" x14ac:dyDescent="0.3">
      <c r="AI3368" s="267"/>
    </row>
    <row r="3369" spans="35:35" x14ac:dyDescent="0.3">
      <c r="AI3369" s="267"/>
    </row>
    <row r="3370" spans="35:35" x14ac:dyDescent="0.3">
      <c r="AI3370" s="267"/>
    </row>
    <row r="3371" spans="35:35" x14ac:dyDescent="0.3">
      <c r="AI3371" s="267"/>
    </row>
    <row r="3372" spans="35:35" x14ac:dyDescent="0.3">
      <c r="AI3372" s="267"/>
    </row>
    <row r="3373" spans="35:35" x14ac:dyDescent="0.3">
      <c r="AI3373" s="267"/>
    </row>
    <row r="3374" spans="35:35" x14ac:dyDescent="0.3">
      <c r="AI3374" s="267"/>
    </row>
    <row r="3375" spans="35:35" x14ac:dyDescent="0.3">
      <c r="AI3375" s="267"/>
    </row>
    <row r="3376" spans="35:35" x14ac:dyDescent="0.3">
      <c r="AI3376" s="267"/>
    </row>
    <row r="3377" spans="35:35" x14ac:dyDescent="0.3">
      <c r="AI3377" s="267"/>
    </row>
    <row r="3378" spans="35:35" x14ac:dyDescent="0.3">
      <c r="AI3378" s="267"/>
    </row>
    <row r="3379" spans="35:35" x14ac:dyDescent="0.3">
      <c r="AI3379" s="267"/>
    </row>
    <row r="3380" spans="35:35" x14ac:dyDescent="0.3">
      <c r="AI3380" s="267"/>
    </row>
    <row r="3381" spans="35:35" x14ac:dyDescent="0.3">
      <c r="AI3381" s="267"/>
    </row>
    <row r="3382" spans="35:35" x14ac:dyDescent="0.3">
      <c r="AI3382" s="267"/>
    </row>
    <row r="3383" spans="35:35" x14ac:dyDescent="0.3">
      <c r="AI3383" s="267"/>
    </row>
    <row r="3384" spans="35:35" x14ac:dyDescent="0.3">
      <c r="AI3384" s="267"/>
    </row>
    <row r="3385" spans="35:35" x14ac:dyDescent="0.3">
      <c r="AI3385" s="267"/>
    </row>
    <row r="3386" spans="35:35" x14ac:dyDescent="0.3">
      <c r="AI3386" s="267"/>
    </row>
    <row r="3387" spans="35:35" x14ac:dyDescent="0.3">
      <c r="AI3387" s="267"/>
    </row>
    <row r="3388" spans="35:35" x14ac:dyDescent="0.3">
      <c r="AI3388" s="267"/>
    </row>
    <row r="3389" spans="35:35" x14ac:dyDescent="0.3">
      <c r="AI3389" s="267"/>
    </row>
    <row r="3390" spans="35:35" x14ac:dyDescent="0.3">
      <c r="AI3390" s="267"/>
    </row>
    <row r="3391" spans="35:35" x14ac:dyDescent="0.3">
      <c r="AI3391" s="267"/>
    </row>
    <row r="3392" spans="35:35" x14ac:dyDescent="0.3">
      <c r="AI3392" s="267"/>
    </row>
    <row r="3393" spans="35:35" x14ac:dyDescent="0.3">
      <c r="AI3393" s="267"/>
    </row>
    <row r="3394" spans="35:35" x14ac:dyDescent="0.3">
      <c r="AI3394" s="267"/>
    </row>
    <row r="3395" spans="35:35" x14ac:dyDescent="0.3">
      <c r="AI3395" s="267"/>
    </row>
    <row r="3396" spans="35:35" x14ac:dyDescent="0.3">
      <c r="AI3396" s="267"/>
    </row>
    <row r="3397" spans="35:35" x14ac:dyDescent="0.3">
      <c r="AI3397" s="267"/>
    </row>
    <row r="3398" spans="35:35" x14ac:dyDescent="0.3">
      <c r="AI3398" s="267"/>
    </row>
    <row r="3399" spans="35:35" x14ac:dyDescent="0.3">
      <c r="AI3399" s="267"/>
    </row>
    <row r="3400" spans="35:35" x14ac:dyDescent="0.3">
      <c r="AI3400" s="267"/>
    </row>
    <row r="3401" spans="35:35" x14ac:dyDescent="0.3">
      <c r="AI3401" s="267"/>
    </row>
    <row r="3402" spans="35:35" x14ac:dyDescent="0.3">
      <c r="AI3402" s="267"/>
    </row>
    <row r="3403" spans="35:35" x14ac:dyDescent="0.3">
      <c r="AI3403" s="267"/>
    </row>
    <row r="3404" spans="35:35" x14ac:dyDescent="0.3">
      <c r="AI3404" s="267"/>
    </row>
    <row r="3405" spans="35:35" x14ac:dyDescent="0.3">
      <c r="AI3405" s="267"/>
    </row>
    <row r="3406" spans="35:35" x14ac:dyDescent="0.3">
      <c r="AI3406" s="267"/>
    </row>
    <row r="3407" spans="35:35" x14ac:dyDescent="0.3">
      <c r="AI3407" s="267"/>
    </row>
    <row r="3408" spans="35:35" x14ac:dyDescent="0.3">
      <c r="AI3408" s="267"/>
    </row>
    <row r="3409" spans="35:35" x14ac:dyDescent="0.3">
      <c r="AI3409" s="267"/>
    </row>
    <row r="3410" spans="35:35" x14ac:dyDescent="0.3">
      <c r="AI3410" s="267"/>
    </row>
    <row r="3411" spans="35:35" x14ac:dyDescent="0.3">
      <c r="AI3411" s="267"/>
    </row>
    <row r="3412" spans="35:35" x14ac:dyDescent="0.3">
      <c r="AI3412" s="267"/>
    </row>
    <row r="3413" spans="35:35" x14ac:dyDescent="0.3">
      <c r="AI3413" s="267"/>
    </row>
    <row r="3414" spans="35:35" x14ac:dyDescent="0.3">
      <c r="AI3414" s="267"/>
    </row>
    <row r="3415" spans="35:35" x14ac:dyDescent="0.3">
      <c r="AI3415" s="267"/>
    </row>
    <row r="3416" spans="35:35" x14ac:dyDescent="0.3">
      <c r="AI3416" s="267"/>
    </row>
    <row r="3417" spans="35:35" x14ac:dyDescent="0.3">
      <c r="AI3417" s="267"/>
    </row>
    <row r="3418" spans="35:35" x14ac:dyDescent="0.3">
      <c r="AI3418" s="267"/>
    </row>
    <row r="3419" spans="35:35" x14ac:dyDescent="0.3">
      <c r="AI3419" s="267"/>
    </row>
    <row r="3420" spans="35:35" x14ac:dyDescent="0.3">
      <c r="AI3420" s="267"/>
    </row>
    <row r="3421" spans="35:35" x14ac:dyDescent="0.3">
      <c r="AI3421" s="267"/>
    </row>
    <row r="3422" spans="35:35" x14ac:dyDescent="0.3">
      <c r="AI3422" s="267"/>
    </row>
    <row r="3423" spans="35:35" x14ac:dyDescent="0.3">
      <c r="AI3423" s="267"/>
    </row>
    <row r="3424" spans="35:35" x14ac:dyDescent="0.3">
      <c r="AI3424" s="267"/>
    </row>
    <row r="3425" spans="35:35" x14ac:dyDescent="0.3">
      <c r="AI3425" s="267"/>
    </row>
    <row r="3426" spans="35:35" x14ac:dyDescent="0.3">
      <c r="AI3426" s="267"/>
    </row>
    <row r="3427" spans="35:35" x14ac:dyDescent="0.3">
      <c r="AI3427" s="267"/>
    </row>
    <row r="3428" spans="35:35" x14ac:dyDescent="0.3">
      <c r="AI3428" s="267"/>
    </row>
    <row r="3429" spans="35:35" x14ac:dyDescent="0.3">
      <c r="AI3429" s="267"/>
    </row>
    <row r="3430" spans="35:35" x14ac:dyDescent="0.3">
      <c r="AI3430" s="267"/>
    </row>
    <row r="3431" spans="35:35" x14ac:dyDescent="0.3">
      <c r="AI3431" s="267"/>
    </row>
    <row r="3432" spans="35:35" x14ac:dyDescent="0.3">
      <c r="AI3432" s="267"/>
    </row>
    <row r="3433" spans="35:35" x14ac:dyDescent="0.3">
      <c r="AI3433" s="267"/>
    </row>
    <row r="3434" spans="35:35" x14ac:dyDescent="0.3">
      <c r="AI3434" s="267"/>
    </row>
    <row r="3435" spans="35:35" x14ac:dyDescent="0.3">
      <c r="AI3435" s="267"/>
    </row>
    <row r="3436" spans="35:35" x14ac:dyDescent="0.3">
      <c r="AI3436" s="267"/>
    </row>
    <row r="3437" spans="35:35" x14ac:dyDescent="0.3">
      <c r="AI3437" s="267"/>
    </row>
    <row r="3438" spans="35:35" x14ac:dyDescent="0.3">
      <c r="AI3438" s="267"/>
    </row>
    <row r="3439" spans="35:35" x14ac:dyDescent="0.3">
      <c r="AI3439" s="267"/>
    </row>
    <row r="3440" spans="35:35" x14ac:dyDescent="0.3">
      <c r="AI3440" s="267"/>
    </row>
    <row r="3441" spans="35:35" x14ac:dyDescent="0.3">
      <c r="AI3441" s="267"/>
    </row>
    <row r="3442" spans="35:35" x14ac:dyDescent="0.3">
      <c r="AI3442" s="267"/>
    </row>
    <row r="3443" spans="35:35" x14ac:dyDescent="0.3">
      <c r="AI3443" s="267"/>
    </row>
    <row r="3444" spans="35:35" x14ac:dyDescent="0.3">
      <c r="AI3444" s="267"/>
    </row>
    <row r="3445" spans="35:35" x14ac:dyDescent="0.3">
      <c r="AI3445" s="267"/>
    </row>
    <row r="3446" spans="35:35" x14ac:dyDescent="0.3">
      <c r="AI3446" s="267"/>
    </row>
    <row r="3447" spans="35:35" x14ac:dyDescent="0.3">
      <c r="AI3447" s="267"/>
    </row>
    <row r="3448" spans="35:35" x14ac:dyDescent="0.3">
      <c r="AI3448" s="267"/>
    </row>
    <row r="3449" spans="35:35" x14ac:dyDescent="0.3">
      <c r="AI3449" s="267"/>
    </row>
    <row r="3450" spans="35:35" x14ac:dyDescent="0.3">
      <c r="AI3450" s="267"/>
    </row>
    <row r="3451" spans="35:35" x14ac:dyDescent="0.3">
      <c r="AI3451" s="267"/>
    </row>
    <row r="3452" spans="35:35" x14ac:dyDescent="0.3">
      <c r="AI3452" s="267"/>
    </row>
    <row r="3453" spans="35:35" x14ac:dyDescent="0.3">
      <c r="AI3453" s="267"/>
    </row>
    <row r="3454" spans="35:35" x14ac:dyDescent="0.3">
      <c r="AI3454" s="267"/>
    </row>
    <row r="3455" spans="35:35" x14ac:dyDescent="0.3">
      <c r="AI3455" s="267"/>
    </row>
    <row r="3456" spans="35:35" x14ac:dyDescent="0.3">
      <c r="AI3456" s="267"/>
    </row>
    <row r="3457" spans="35:35" x14ac:dyDescent="0.3">
      <c r="AI3457" s="267"/>
    </row>
    <row r="3458" spans="35:35" x14ac:dyDescent="0.3">
      <c r="AI3458" s="267"/>
    </row>
    <row r="3459" spans="35:35" x14ac:dyDescent="0.3">
      <c r="AI3459" s="267"/>
    </row>
    <row r="3460" spans="35:35" x14ac:dyDescent="0.3">
      <c r="AI3460" s="267"/>
    </row>
    <row r="3461" spans="35:35" x14ac:dyDescent="0.3">
      <c r="AI3461" s="267"/>
    </row>
    <row r="3462" spans="35:35" x14ac:dyDescent="0.3">
      <c r="AI3462" s="267"/>
    </row>
    <row r="3463" spans="35:35" x14ac:dyDescent="0.3">
      <c r="AI3463" s="267"/>
    </row>
    <row r="3464" spans="35:35" x14ac:dyDescent="0.3">
      <c r="AI3464" s="267"/>
    </row>
    <row r="3465" spans="35:35" x14ac:dyDescent="0.3">
      <c r="AI3465" s="267"/>
    </row>
    <row r="3466" spans="35:35" x14ac:dyDescent="0.3">
      <c r="AI3466" s="267"/>
    </row>
    <row r="3467" spans="35:35" x14ac:dyDescent="0.3">
      <c r="AI3467" s="267"/>
    </row>
    <row r="3468" spans="35:35" x14ac:dyDescent="0.3">
      <c r="AI3468" s="267"/>
    </row>
    <row r="3469" spans="35:35" x14ac:dyDescent="0.3">
      <c r="AI3469" s="267"/>
    </row>
    <row r="3470" spans="35:35" x14ac:dyDescent="0.3">
      <c r="AI3470" s="267"/>
    </row>
    <row r="3471" spans="35:35" x14ac:dyDescent="0.3">
      <c r="AI3471" s="267"/>
    </row>
    <row r="3472" spans="35:35" x14ac:dyDescent="0.3">
      <c r="AI3472" s="267"/>
    </row>
    <row r="3473" spans="35:35" x14ac:dyDescent="0.3">
      <c r="AI3473" s="267"/>
    </row>
    <row r="3474" spans="35:35" x14ac:dyDescent="0.3">
      <c r="AI3474" s="267"/>
    </row>
    <row r="3475" spans="35:35" x14ac:dyDescent="0.3">
      <c r="AI3475" s="267"/>
    </row>
    <row r="3476" spans="35:35" x14ac:dyDescent="0.3">
      <c r="AI3476" s="267"/>
    </row>
    <row r="3477" spans="35:35" x14ac:dyDescent="0.3">
      <c r="AI3477" s="267"/>
    </row>
    <row r="3478" spans="35:35" x14ac:dyDescent="0.3">
      <c r="AI3478" s="267"/>
    </row>
    <row r="3479" spans="35:35" x14ac:dyDescent="0.3">
      <c r="AI3479" s="267"/>
    </row>
    <row r="3480" spans="35:35" x14ac:dyDescent="0.3">
      <c r="AI3480" s="267"/>
    </row>
    <row r="3481" spans="35:35" x14ac:dyDescent="0.3">
      <c r="AI3481" s="267"/>
    </row>
    <row r="3482" spans="35:35" x14ac:dyDescent="0.3">
      <c r="AI3482" s="267"/>
    </row>
    <row r="3483" spans="35:35" x14ac:dyDescent="0.3">
      <c r="AI3483" s="267"/>
    </row>
    <row r="3484" spans="35:35" x14ac:dyDescent="0.3">
      <c r="AI3484" s="267"/>
    </row>
    <row r="3485" spans="35:35" x14ac:dyDescent="0.3">
      <c r="AI3485" s="267"/>
    </row>
    <row r="3486" spans="35:35" x14ac:dyDescent="0.3">
      <c r="AI3486" s="267"/>
    </row>
    <row r="3487" spans="35:35" x14ac:dyDescent="0.3">
      <c r="AI3487" s="267"/>
    </row>
    <row r="3488" spans="35:35" x14ac:dyDescent="0.3">
      <c r="AI3488" s="267"/>
    </row>
    <row r="3489" spans="35:35" x14ac:dyDescent="0.3">
      <c r="AI3489" s="267"/>
    </row>
    <row r="3490" spans="35:35" x14ac:dyDescent="0.3">
      <c r="AI3490" s="267"/>
    </row>
    <row r="3491" spans="35:35" x14ac:dyDescent="0.3">
      <c r="AI3491" s="267"/>
    </row>
    <row r="3492" spans="35:35" x14ac:dyDescent="0.3">
      <c r="AI3492" s="267"/>
    </row>
    <row r="3493" spans="35:35" x14ac:dyDescent="0.3">
      <c r="AI3493" s="267"/>
    </row>
    <row r="3494" spans="35:35" x14ac:dyDescent="0.3">
      <c r="AI3494" s="267"/>
    </row>
    <row r="3495" spans="35:35" x14ac:dyDescent="0.3">
      <c r="AI3495" s="267"/>
    </row>
    <row r="3496" spans="35:35" x14ac:dyDescent="0.3">
      <c r="AI3496" s="267"/>
    </row>
    <row r="3497" spans="35:35" x14ac:dyDescent="0.3">
      <c r="AI3497" s="267"/>
    </row>
    <row r="3498" spans="35:35" x14ac:dyDescent="0.3">
      <c r="AI3498" s="267"/>
    </row>
    <row r="3499" spans="35:35" x14ac:dyDescent="0.3">
      <c r="AI3499" s="267"/>
    </row>
    <row r="3500" spans="35:35" x14ac:dyDescent="0.3">
      <c r="AI3500" s="267"/>
    </row>
    <row r="3501" spans="35:35" x14ac:dyDescent="0.3">
      <c r="AI3501" s="267"/>
    </row>
    <row r="3502" spans="35:35" x14ac:dyDescent="0.3">
      <c r="AI3502" s="267"/>
    </row>
    <row r="3503" spans="35:35" x14ac:dyDescent="0.3">
      <c r="AI3503" s="267"/>
    </row>
    <row r="3504" spans="35:35" x14ac:dyDescent="0.3">
      <c r="AI3504" s="267"/>
    </row>
    <row r="3505" spans="35:35" x14ac:dyDescent="0.3">
      <c r="AI3505" s="267"/>
    </row>
    <row r="3506" spans="35:35" x14ac:dyDescent="0.3">
      <c r="AI3506" s="267"/>
    </row>
    <row r="3507" spans="35:35" x14ac:dyDescent="0.3">
      <c r="AI3507" s="267"/>
    </row>
    <row r="3508" spans="35:35" x14ac:dyDescent="0.3">
      <c r="AI3508" s="267"/>
    </row>
    <row r="3509" spans="35:35" x14ac:dyDescent="0.3">
      <c r="AI3509" s="267"/>
    </row>
    <row r="3510" spans="35:35" x14ac:dyDescent="0.3">
      <c r="AI3510" s="267"/>
    </row>
    <row r="3511" spans="35:35" x14ac:dyDescent="0.3">
      <c r="AI3511" s="267"/>
    </row>
    <row r="3512" spans="35:35" x14ac:dyDescent="0.3">
      <c r="AI3512" s="267"/>
    </row>
    <row r="3513" spans="35:35" x14ac:dyDescent="0.3">
      <c r="AI3513" s="267"/>
    </row>
    <row r="3514" spans="35:35" x14ac:dyDescent="0.3">
      <c r="AI3514" s="267"/>
    </row>
    <row r="3515" spans="35:35" x14ac:dyDescent="0.3">
      <c r="AI3515" s="267"/>
    </row>
    <row r="3516" spans="35:35" x14ac:dyDescent="0.3">
      <c r="AI3516" s="267"/>
    </row>
    <row r="3517" spans="35:35" x14ac:dyDescent="0.3">
      <c r="AI3517" s="267"/>
    </row>
    <row r="3518" spans="35:35" x14ac:dyDescent="0.3">
      <c r="AI3518" s="267"/>
    </row>
    <row r="3519" spans="35:35" x14ac:dyDescent="0.3">
      <c r="AI3519" s="267"/>
    </row>
    <row r="3520" spans="35:35" x14ac:dyDescent="0.3">
      <c r="AI3520" s="267"/>
    </row>
    <row r="3521" spans="35:35" x14ac:dyDescent="0.3">
      <c r="AI3521" s="267"/>
    </row>
    <row r="3522" spans="35:35" x14ac:dyDescent="0.3">
      <c r="AI3522" s="267"/>
    </row>
    <row r="3523" spans="35:35" x14ac:dyDescent="0.3">
      <c r="AI3523" s="267"/>
    </row>
    <row r="3524" spans="35:35" x14ac:dyDescent="0.3">
      <c r="AI3524" s="267"/>
    </row>
    <row r="3525" spans="35:35" x14ac:dyDescent="0.3">
      <c r="AI3525" s="267"/>
    </row>
    <row r="3526" spans="35:35" x14ac:dyDescent="0.3">
      <c r="AI3526" s="267"/>
    </row>
    <row r="3527" spans="35:35" x14ac:dyDescent="0.3">
      <c r="AI3527" s="267"/>
    </row>
    <row r="3528" spans="35:35" x14ac:dyDescent="0.3">
      <c r="AI3528" s="267"/>
    </row>
    <row r="3529" spans="35:35" x14ac:dyDescent="0.3">
      <c r="AI3529" s="267"/>
    </row>
    <row r="3530" spans="35:35" x14ac:dyDescent="0.3">
      <c r="AI3530" s="267"/>
    </row>
    <row r="3531" spans="35:35" x14ac:dyDescent="0.3">
      <c r="AI3531" s="267"/>
    </row>
    <row r="3532" spans="35:35" x14ac:dyDescent="0.3">
      <c r="AI3532" s="267"/>
    </row>
    <row r="3533" spans="35:35" x14ac:dyDescent="0.3">
      <c r="AI3533" s="267"/>
    </row>
    <row r="3534" spans="35:35" x14ac:dyDescent="0.3">
      <c r="AI3534" s="267"/>
    </row>
    <row r="3535" spans="35:35" x14ac:dyDescent="0.3">
      <c r="AI3535" s="267"/>
    </row>
    <row r="3536" spans="35:35" x14ac:dyDescent="0.3">
      <c r="AI3536" s="267"/>
    </row>
    <row r="3537" spans="35:35" x14ac:dyDescent="0.3">
      <c r="AI3537" s="267"/>
    </row>
    <row r="3538" spans="35:35" x14ac:dyDescent="0.3">
      <c r="AI3538" s="267"/>
    </row>
    <row r="3539" spans="35:35" x14ac:dyDescent="0.3">
      <c r="AI3539" s="267"/>
    </row>
    <row r="3540" spans="35:35" x14ac:dyDescent="0.3">
      <c r="AI3540" s="267"/>
    </row>
    <row r="3541" spans="35:35" x14ac:dyDescent="0.3">
      <c r="AI3541" s="267"/>
    </row>
    <row r="3542" spans="35:35" x14ac:dyDescent="0.3">
      <c r="AI3542" s="267"/>
    </row>
    <row r="3543" spans="35:35" x14ac:dyDescent="0.3">
      <c r="AI3543" s="267"/>
    </row>
    <row r="3544" spans="35:35" x14ac:dyDescent="0.3">
      <c r="AI3544" s="267"/>
    </row>
    <row r="3545" spans="35:35" x14ac:dyDescent="0.3">
      <c r="AI3545" s="267"/>
    </row>
    <row r="3546" spans="35:35" x14ac:dyDescent="0.3">
      <c r="AI3546" s="267"/>
    </row>
    <row r="3547" spans="35:35" x14ac:dyDescent="0.3">
      <c r="AI3547" s="267"/>
    </row>
    <row r="3548" spans="35:35" x14ac:dyDescent="0.3">
      <c r="AI3548" s="267"/>
    </row>
    <row r="3549" spans="35:35" x14ac:dyDescent="0.3">
      <c r="AI3549" s="267"/>
    </row>
    <row r="3550" spans="35:35" x14ac:dyDescent="0.3">
      <c r="AI3550" s="267"/>
    </row>
    <row r="3551" spans="35:35" x14ac:dyDescent="0.3">
      <c r="AI3551" s="267"/>
    </row>
    <row r="3552" spans="35:35" x14ac:dyDescent="0.3">
      <c r="AI3552" s="267"/>
    </row>
    <row r="3553" spans="35:35" x14ac:dyDescent="0.3">
      <c r="AI3553" s="267"/>
    </row>
    <row r="3554" spans="35:35" x14ac:dyDescent="0.3">
      <c r="AI3554" s="267"/>
    </row>
    <row r="3555" spans="35:35" x14ac:dyDescent="0.3">
      <c r="AI3555" s="267"/>
    </row>
    <row r="3556" spans="35:35" x14ac:dyDescent="0.3">
      <c r="AI3556" s="267"/>
    </row>
    <row r="3557" spans="35:35" x14ac:dyDescent="0.3">
      <c r="AI3557" s="267"/>
    </row>
    <row r="3558" spans="35:35" x14ac:dyDescent="0.3">
      <c r="AI3558" s="267"/>
    </row>
    <row r="3559" spans="35:35" x14ac:dyDescent="0.3">
      <c r="AI3559" s="267"/>
    </row>
    <row r="3560" spans="35:35" x14ac:dyDescent="0.3">
      <c r="AI3560" s="267"/>
    </row>
    <row r="3561" spans="35:35" x14ac:dyDescent="0.3">
      <c r="AI3561" s="267"/>
    </row>
    <row r="3562" spans="35:35" x14ac:dyDescent="0.3">
      <c r="AI3562" s="267"/>
    </row>
    <row r="3563" spans="35:35" x14ac:dyDescent="0.3">
      <c r="AI3563" s="267"/>
    </row>
    <row r="3564" spans="35:35" x14ac:dyDescent="0.3">
      <c r="AI3564" s="267"/>
    </row>
    <row r="3565" spans="35:35" x14ac:dyDescent="0.3">
      <c r="AI3565" s="267"/>
    </row>
    <row r="3566" spans="35:35" x14ac:dyDescent="0.3">
      <c r="AI3566" s="267"/>
    </row>
    <row r="3567" spans="35:35" x14ac:dyDescent="0.3">
      <c r="AI3567" s="267"/>
    </row>
    <row r="3568" spans="35:35" x14ac:dyDescent="0.3">
      <c r="AI3568" s="267"/>
    </row>
    <row r="3569" spans="35:35" x14ac:dyDescent="0.3">
      <c r="AI3569" s="267"/>
    </row>
    <row r="3570" spans="35:35" x14ac:dyDescent="0.3">
      <c r="AI3570" s="267"/>
    </row>
    <row r="3571" spans="35:35" x14ac:dyDescent="0.3">
      <c r="AI3571" s="267"/>
    </row>
    <row r="3572" spans="35:35" x14ac:dyDescent="0.3">
      <c r="AI3572" s="267"/>
    </row>
    <row r="3573" spans="35:35" x14ac:dyDescent="0.3">
      <c r="AI3573" s="267"/>
    </row>
    <row r="3574" spans="35:35" x14ac:dyDescent="0.3">
      <c r="AI3574" s="267"/>
    </row>
    <row r="3575" spans="35:35" x14ac:dyDescent="0.3">
      <c r="AI3575" s="267"/>
    </row>
    <row r="3576" spans="35:35" x14ac:dyDescent="0.3">
      <c r="AI3576" s="267"/>
    </row>
    <row r="3577" spans="35:35" x14ac:dyDescent="0.3">
      <c r="AI3577" s="267"/>
    </row>
    <row r="3578" spans="35:35" x14ac:dyDescent="0.3">
      <c r="AI3578" s="267"/>
    </row>
    <row r="3579" spans="35:35" x14ac:dyDescent="0.3">
      <c r="AI3579" s="267"/>
    </row>
    <row r="3580" spans="35:35" x14ac:dyDescent="0.3">
      <c r="AI3580" s="267"/>
    </row>
    <row r="3581" spans="35:35" x14ac:dyDescent="0.3">
      <c r="AI3581" s="267"/>
    </row>
    <row r="3582" spans="35:35" x14ac:dyDescent="0.3">
      <c r="AI3582" s="267"/>
    </row>
    <row r="3583" spans="35:35" x14ac:dyDescent="0.3">
      <c r="AI3583" s="267"/>
    </row>
    <row r="3584" spans="35:35" x14ac:dyDescent="0.3">
      <c r="AI3584" s="267"/>
    </row>
    <row r="3585" spans="35:35" x14ac:dyDescent="0.3">
      <c r="AI3585" s="267"/>
    </row>
    <row r="3586" spans="35:35" x14ac:dyDescent="0.3">
      <c r="AI3586" s="267"/>
    </row>
    <row r="3587" spans="35:35" x14ac:dyDescent="0.3">
      <c r="AI3587" s="267"/>
    </row>
    <row r="3588" spans="35:35" x14ac:dyDescent="0.3">
      <c r="AI3588" s="267"/>
    </row>
    <row r="3589" spans="35:35" x14ac:dyDescent="0.3">
      <c r="AI3589" s="267"/>
    </row>
    <row r="3590" spans="35:35" x14ac:dyDescent="0.3">
      <c r="AI3590" s="267"/>
    </row>
    <row r="3591" spans="35:35" x14ac:dyDescent="0.3">
      <c r="AI3591" s="267"/>
    </row>
    <row r="3592" spans="35:35" x14ac:dyDescent="0.3">
      <c r="AI3592" s="267"/>
    </row>
    <row r="3593" spans="35:35" x14ac:dyDescent="0.3">
      <c r="AI3593" s="267"/>
    </row>
    <row r="3594" spans="35:35" x14ac:dyDescent="0.3">
      <c r="AI3594" s="267"/>
    </row>
    <row r="3595" spans="35:35" x14ac:dyDescent="0.3">
      <c r="AI3595" s="267"/>
    </row>
    <row r="3596" spans="35:35" x14ac:dyDescent="0.3">
      <c r="AI3596" s="267"/>
    </row>
    <row r="3597" spans="35:35" x14ac:dyDescent="0.3">
      <c r="AI3597" s="267"/>
    </row>
    <row r="3598" spans="35:35" x14ac:dyDescent="0.3">
      <c r="AI3598" s="267"/>
    </row>
    <row r="3599" spans="35:35" x14ac:dyDescent="0.3">
      <c r="AI3599" s="267"/>
    </row>
    <row r="3600" spans="35:35" x14ac:dyDescent="0.3">
      <c r="AI3600" s="267"/>
    </row>
    <row r="3601" spans="35:35" x14ac:dyDescent="0.3">
      <c r="AI3601" s="267"/>
    </row>
    <row r="3602" spans="35:35" x14ac:dyDescent="0.3">
      <c r="AI3602" s="267"/>
    </row>
    <row r="3603" spans="35:35" x14ac:dyDescent="0.3">
      <c r="AI3603" s="267"/>
    </row>
    <row r="3604" spans="35:35" x14ac:dyDescent="0.3">
      <c r="AI3604" s="267"/>
    </row>
    <row r="3605" spans="35:35" x14ac:dyDescent="0.3">
      <c r="AI3605" s="267"/>
    </row>
    <row r="3606" spans="35:35" x14ac:dyDescent="0.3">
      <c r="AI3606" s="267"/>
    </row>
    <row r="3607" spans="35:35" x14ac:dyDescent="0.3">
      <c r="AI3607" s="267"/>
    </row>
    <row r="3608" spans="35:35" x14ac:dyDescent="0.3">
      <c r="AI3608" s="267"/>
    </row>
    <row r="3609" spans="35:35" x14ac:dyDescent="0.3">
      <c r="AI3609" s="267"/>
    </row>
    <row r="3610" spans="35:35" x14ac:dyDescent="0.3">
      <c r="AI3610" s="267"/>
    </row>
    <row r="3611" spans="35:35" x14ac:dyDescent="0.3">
      <c r="AI3611" s="267"/>
    </row>
    <row r="3612" spans="35:35" x14ac:dyDescent="0.3">
      <c r="AI3612" s="267"/>
    </row>
    <row r="3613" spans="35:35" x14ac:dyDescent="0.3">
      <c r="AI3613" s="267"/>
    </row>
    <row r="3614" spans="35:35" x14ac:dyDescent="0.3">
      <c r="AI3614" s="267"/>
    </row>
    <row r="3615" spans="35:35" x14ac:dyDescent="0.3">
      <c r="AI3615" s="267"/>
    </row>
    <row r="3616" spans="35:35" x14ac:dyDescent="0.3">
      <c r="AI3616" s="267"/>
    </row>
    <row r="3617" spans="35:35" x14ac:dyDescent="0.3">
      <c r="AI3617" s="267"/>
    </row>
    <row r="3618" spans="35:35" x14ac:dyDescent="0.3">
      <c r="AI3618" s="267"/>
    </row>
    <row r="3619" spans="35:35" x14ac:dyDescent="0.3">
      <c r="AI3619" s="267"/>
    </row>
    <row r="3620" spans="35:35" x14ac:dyDescent="0.3">
      <c r="AI3620" s="267"/>
    </row>
    <row r="3621" spans="35:35" x14ac:dyDescent="0.3">
      <c r="AI3621" s="267"/>
    </row>
    <row r="3622" spans="35:35" x14ac:dyDescent="0.3">
      <c r="AI3622" s="267"/>
    </row>
    <row r="3623" spans="35:35" x14ac:dyDescent="0.3">
      <c r="AI3623" s="267"/>
    </row>
    <row r="3624" spans="35:35" x14ac:dyDescent="0.3">
      <c r="AI3624" s="267"/>
    </row>
    <row r="3625" spans="35:35" x14ac:dyDescent="0.3">
      <c r="AI3625" s="267"/>
    </row>
    <row r="3626" spans="35:35" x14ac:dyDescent="0.3">
      <c r="AI3626" s="267"/>
    </row>
    <row r="3627" spans="35:35" x14ac:dyDescent="0.3">
      <c r="AI3627" s="267"/>
    </row>
    <row r="3628" spans="35:35" x14ac:dyDescent="0.3">
      <c r="AI3628" s="267"/>
    </row>
    <row r="3629" spans="35:35" x14ac:dyDescent="0.3">
      <c r="AI3629" s="267"/>
    </row>
    <row r="3630" spans="35:35" x14ac:dyDescent="0.3">
      <c r="AI3630" s="267"/>
    </row>
    <row r="3631" spans="35:35" x14ac:dyDescent="0.3">
      <c r="AI3631" s="267"/>
    </row>
    <row r="3632" spans="35:35" x14ac:dyDescent="0.3">
      <c r="AI3632" s="267"/>
    </row>
    <row r="3633" spans="35:35" x14ac:dyDescent="0.3">
      <c r="AI3633" s="267"/>
    </row>
    <row r="3634" spans="35:35" x14ac:dyDescent="0.3">
      <c r="AI3634" s="267"/>
    </row>
    <row r="3635" spans="35:35" x14ac:dyDescent="0.3">
      <c r="AI3635" s="267"/>
    </row>
    <row r="3636" spans="35:35" x14ac:dyDescent="0.3">
      <c r="AI3636" s="267"/>
    </row>
    <row r="3637" spans="35:35" x14ac:dyDescent="0.3">
      <c r="AI3637" s="267"/>
    </row>
    <row r="3638" spans="35:35" x14ac:dyDescent="0.3">
      <c r="AI3638" s="267"/>
    </row>
    <row r="3639" spans="35:35" x14ac:dyDescent="0.3">
      <c r="AI3639" s="267"/>
    </row>
    <row r="3640" spans="35:35" x14ac:dyDescent="0.3">
      <c r="AI3640" s="267"/>
    </row>
    <row r="3641" spans="35:35" x14ac:dyDescent="0.3">
      <c r="AI3641" s="267"/>
    </row>
    <row r="3642" spans="35:35" x14ac:dyDescent="0.3">
      <c r="AI3642" s="267"/>
    </row>
    <row r="3643" spans="35:35" x14ac:dyDescent="0.3">
      <c r="AI3643" s="267"/>
    </row>
    <row r="3644" spans="35:35" x14ac:dyDescent="0.3">
      <c r="AI3644" s="267"/>
    </row>
    <row r="3645" spans="35:35" x14ac:dyDescent="0.3">
      <c r="AI3645" s="267"/>
    </row>
    <row r="3646" spans="35:35" x14ac:dyDescent="0.3">
      <c r="AI3646" s="267"/>
    </row>
    <row r="3647" spans="35:35" x14ac:dyDescent="0.3">
      <c r="AI3647" s="267"/>
    </row>
    <row r="3648" spans="35:35" x14ac:dyDescent="0.3">
      <c r="AI3648" s="267"/>
    </row>
    <row r="3649" spans="35:35" x14ac:dyDescent="0.3">
      <c r="AI3649" s="267"/>
    </row>
    <row r="3650" spans="35:35" x14ac:dyDescent="0.3">
      <c r="AI3650" s="267"/>
    </row>
    <row r="3651" spans="35:35" x14ac:dyDescent="0.3">
      <c r="AI3651" s="267"/>
    </row>
    <row r="3652" spans="35:35" x14ac:dyDescent="0.3">
      <c r="AI3652" s="267"/>
    </row>
    <row r="3653" spans="35:35" x14ac:dyDescent="0.3">
      <c r="AI3653" s="267"/>
    </row>
    <row r="3654" spans="35:35" x14ac:dyDescent="0.3">
      <c r="AI3654" s="267"/>
    </row>
    <row r="3655" spans="35:35" x14ac:dyDescent="0.3">
      <c r="AI3655" s="267"/>
    </row>
    <row r="3656" spans="35:35" x14ac:dyDescent="0.3">
      <c r="AI3656" s="267"/>
    </row>
    <row r="3657" spans="35:35" x14ac:dyDescent="0.3">
      <c r="AI3657" s="267"/>
    </row>
    <row r="3658" spans="35:35" x14ac:dyDescent="0.3">
      <c r="AI3658" s="267"/>
    </row>
    <row r="3659" spans="35:35" x14ac:dyDescent="0.3">
      <c r="AI3659" s="267"/>
    </row>
    <row r="3660" spans="35:35" x14ac:dyDescent="0.3">
      <c r="AI3660" s="267"/>
    </row>
    <row r="3661" spans="35:35" x14ac:dyDescent="0.3">
      <c r="AI3661" s="267"/>
    </row>
    <row r="3662" spans="35:35" x14ac:dyDescent="0.3">
      <c r="AI3662" s="267"/>
    </row>
    <row r="3663" spans="35:35" x14ac:dyDescent="0.3">
      <c r="AI3663" s="267"/>
    </row>
    <row r="3664" spans="35:35" x14ac:dyDescent="0.3">
      <c r="AI3664" s="267"/>
    </row>
    <row r="3665" spans="35:35" x14ac:dyDescent="0.3">
      <c r="AI3665" s="267"/>
    </row>
    <row r="3666" spans="35:35" x14ac:dyDescent="0.3">
      <c r="AI3666" s="267"/>
    </row>
    <row r="3667" spans="35:35" x14ac:dyDescent="0.3">
      <c r="AI3667" s="267"/>
    </row>
    <row r="3668" spans="35:35" x14ac:dyDescent="0.3">
      <c r="AI3668" s="267"/>
    </row>
    <row r="3669" spans="35:35" x14ac:dyDescent="0.3">
      <c r="AI3669" s="267"/>
    </row>
    <row r="3670" spans="35:35" x14ac:dyDescent="0.3">
      <c r="AI3670" s="267"/>
    </row>
    <row r="3671" spans="35:35" x14ac:dyDescent="0.3">
      <c r="AI3671" s="267"/>
    </row>
    <row r="3672" spans="35:35" x14ac:dyDescent="0.3">
      <c r="AI3672" s="267"/>
    </row>
    <row r="3673" spans="35:35" x14ac:dyDescent="0.3">
      <c r="AI3673" s="267"/>
    </row>
    <row r="3674" spans="35:35" x14ac:dyDescent="0.3">
      <c r="AI3674" s="267"/>
    </row>
    <row r="3675" spans="35:35" x14ac:dyDescent="0.3">
      <c r="AI3675" s="267"/>
    </row>
    <row r="3676" spans="35:35" x14ac:dyDescent="0.3">
      <c r="AI3676" s="267"/>
    </row>
    <row r="3677" spans="35:35" x14ac:dyDescent="0.3">
      <c r="AI3677" s="267"/>
    </row>
    <row r="3678" spans="35:35" x14ac:dyDescent="0.3">
      <c r="AI3678" s="267"/>
    </row>
    <row r="3679" spans="35:35" x14ac:dyDescent="0.3">
      <c r="AI3679" s="267"/>
    </row>
    <row r="3680" spans="35:35" x14ac:dyDescent="0.3">
      <c r="AI3680" s="267"/>
    </row>
    <row r="3681" spans="35:35" x14ac:dyDescent="0.3">
      <c r="AI3681" s="267"/>
    </row>
    <row r="3682" spans="35:35" x14ac:dyDescent="0.3">
      <c r="AI3682" s="267"/>
    </row>
    <row r="3683" spans="35:35" x14ac:dyDescent="0.3">
      <c r="AI3683" s="267"/>
    </row>
    <row r="3684" spans="35:35" x14ac:dyDescent="0.3">
      <c r="AI3684" s="267"/>
    </row>
    <row r="3685" spans="35:35" x14ac:dyDescent="0.3">
      <c r="AI3685" s="267"/>
    </row>
    <row r="3686" spans="35:35" x14ac:dyDescent="0.3">
      <c r="AI3686" s="267"/>
    </row>
    <row r="3687" spans="35:35" x14ac:dyDescent="0.3">
      <c r="AI3687" s="267"/>
    </row>
    <row r="3688" spans="35:35" x14ac:dyDescent="0.3">
      <c r="AI3688" s="267"/>
    </row>
    <row r="3689" spans="35:35" x14ac:dyDescent="0.3">
      <c r="AI3689" s="267"/>
    </row>
    <row r="3690" spans="35:35" x14ac:dyDescent="0.3">
      <c r="AI3690" s="267"/>
    </row>
    <row r="3691" spans="35:35" x14ac:dyDescent="0.3">
      <c r="AI3691" s="267"/>
    </row>
    <row r="3692" spans="35:35" x14ac:dyDescent="0.3">
      <c r="AI3692" s="267"/>
    </row>
    <row r="3693" spans="35:35" x14ac:dyDescent="0.3">
      <c r="AI3693" s="267"/>
    </row>
    <row r="3694" spans="35:35" x14ac:dyDescent="0.3">
      <c r="AI3694" s="267"/>
    </row>
    <row r="3695" spans="35:35" x14ac:dyDescent="0.3">
      <c r="AI3695" s="267"/>
    </row>
    <row r="3696" spans="35:35" x14ac:dyDescent="0.3">
      <c r="AI3696" s="267"/>
    </row>
    <row r="3697" spans="35:35" x14ac:dyDescent="0.3">
      <c r="AI3697" s="267"/>
    </row>
    <row r="3698" spans="35:35" x14ac:dyDescent="0.3">
      <c r="AI3698" s="267"/>
    </row>
    <row r="3699" spans="35:35" x14ac:dyDescent="0.3">
      <c r="AI3699" s="267"/>
    </row>
    <row r="3700" spans="35:35" x14ac:dyDescent="0.3">
      <c r="AI3700" s="267"/>
    </row>
    <row r="3701" spans="35:35" x14ac:dyDescent="0.3">
      <c r="AI3701" s="267"/>
    </row>
    <row r="3702" spans="35:35" x14ac:dyDescent="0.3">
      <c r="AI3702" s="267"/>
    </row>
    <row r="3703" spans="35:35" x14ac:dyDescent="0.3">
      <c r="AI3703" s="267"/>
    </row>
    <row r="3704" spans="35:35" x14ac:dyDescent="0.3">
      <c r="AI3704" s="267"/>
    </row>
    <row r="3705" spans="35:35" x14ac:dyDescent="0.3">
      <c r="AI3705" s="267"/>
    </row>
    <row r="3706" spans="35:35" x14ac:dyDescent="0.3">
      <c r="AI3706" s="267"/>
    </row>
    <row r="3707" spans="35:35" x14ac:dyDescent="0.3">
      <c r="AI3707" s="267"/>
    </row>
    <row r="3708" spans="35:35" x14ac:dyDescent="0.3">
      <c r="AI3708" s="267"/>
    </row>
    <row r="3709" spans="35:35" x14ac:dyDescent="0.3">
      <c r="AI3709" s="267"/>
    </row>
    <row r="3710" spans="35:35" x14ac:dyDescent="0.3">
      <c r="AI3710" s="267"/>
    </row>
    <row r="3711" spans="35:35" x14ac:dyDescent="0.3">
      <c r="AI3711" s="267"/>
    </row>
    <row r="3712" spans="35:35" x14ac:dyDescent="0.3">
      <c r="AI3712" s="267"/>
    </row>
    <row r="3713" spans="35:35" x14ac:dyDescent="0.3">
      <c r="AI3713" s="267"/>
    </row>
    <row r="3714" spans="35:35" x14ac:dyDescent="0.3">
      <c r="AI3714" s="267"/>
    </row>
    <row r="3715" spans="35:35" x14ac:dyDescent="0.3">
      <c r="AI3715" s="267"/>
    </row>
    <row r="3716" spans="35:35" x14ac:dyDescent="0.3">
      <c r="AI3716" s="267"/>
    </row>
    <row r="3717" spans="35:35" x14ac:dyDescent="0.3">
      <c r="AI3717" s="267"/>
    </row>
    <row r="3718" spans="35:35" x14ac:dyDescent="0.3">
      <c r="AI3718" s="267"/>
    </row>
    <row r="3719" spans="35:35" x14ac:dyDescent="0.3">
      <c r="AI3719" s="267"/>
    </row>
    <row r="3720" spans="35:35" x14ac:dyDescent="0.3">
      <c r="AI3720" s="267"/>
    </row>
    <row r="3721" spans="35:35" x14ac:dyDescent="0.3">
      <c r="AI3721" s="267"/>
    </row>
    <row r="3722" spans="35:35" x14ac:dyDescent="0.3">
      <c r="AI3722" s="267"/>
    </row>
    <row r="3723" spans="35:35" x14ac:dyDescent="0.3">
      <c r="AI3723" s="267"/>
    </row>
    <row r="3724" spans="35:35" x14ac:dyDescent="0.3">
      <c r="AI3724" s="267"/>
    </row>
    <row r="3725" spans="35:35" x14ac:dyDescent="0.3">
      <c r="AI3725" s="267"/>
    </row>
    <row r="3726" spans="35:35" x14ac:dyDescent="0.3">
      <c r="AI3726" s="267"/>
    </row>
    <row r="3727" spans="35:35" x14ac:dyDescent="0.3">
      <c r="AI3727" s="267"/>
    </row>
    <row r="3728" spans="35:35" x14ac:dyDescent="0.3">
      <c r="AI3728" s="267"/>
    </row>
    <row r="3729" spans="35:35" x14ac:dyDescent="0.3">
      <c r="AI3729" s="267"/>
    </row>
    <row r="3730" spans="35:35" x14ac:dyDescent="0.3">
      <c r="AI3730" s="267"/>
    </row>
    <row r="3731" spans="35:35" x14ac:dyDescent="0.3">
      <c r="AI3731" s="267"/>
    </row>
    <row r="3732" spans="35:35" x14ac:dyDescent="0.3">
      <c r="AI3732" s="267"/>
    </row>
    <row r="3733" spans="35:35" x14ac:dyDescent="0.3">
      <c r="AI3733" s="267"/>
    </row>
    <row r="3734" spans="35:35" x14ac:dyDescent="0.3">
      <c r="AI3734" s="267"/>
    </row>
    <row r="3735" spans="35:35" x14ac:dyDescent="0.3">
      <c r="AI3735" s="267"/>
    </row>
    <row r="3736" spans="35:35" x14ac:dyDescent="0.3">
      <c r="AI3736" s="267"/>
    </row>
    <row r="3737" spans="35:35" x14ac:dyDescent="0.3">
      <c r="AI3737" s="267"/>
    </row>
    <row r="3738" spans="35:35" x14ac:dyDescent="0.3">
      <c r="AI3738" s="267"/>
    </row>
    <row r="3739" spans="35:35" x14ac:dyDescent="0.3">
      <c r="AI3739" s="267"/>
    </row>
    <row r="3740" spans="35:35" x14ac:dyDescent="0.3">
      <c r="AI3740" s="267"/>
    </row>
    <row r="3741" spans="35:35" x14ac:dyDescent="0.3">
      <c r="AI3741" s="267"/>
    </row>
    <row r="3742" spans="35:35" x14ac:dyDescent="0.3">
      <c r="AI3742" s="267"/>
    </row>
    <row r="3743" spans="35:35" x14ac:dyDescent="0.3">
      <c r="AI3743" s="267"/>
    </row>
    <row r="3744" spans="35:35" x14ac:dyDescent="0.3">
      <c r="AI3744" s="267"/>
    </row>
    <row r="3745" spans="35:35" x14ac:dyDescent="0.3">
      <c r="AI3745" s="267"/>
    </row>
    <row r="3746" spans="35:35" x14ac:dyDescent="0.3">
      <c r="AI3746" s="267"/>
    </row>
    <row r="3747" spans="35:35" x14ac:dyDescent="0.3">
      <c r="AI3747" s="267"/>
    </row>
    <row r="3748" spans="35:35" x14ac:dyDescent="0.3">
      <c r="AI3748" s="267"/>
    </row>
    <row r="3749" spans="35:35" x14ac:dyDescent="0.3">
      <c r="AI3749" s="267"/>
    </row>
    <row r="3750" spans="35:35" x14ac:dyDescent="0.3">
      <c r="AI3750" s="267"/>
    </row>
    <row r="3751" spans="35:35" x14ac:dyDescent="0.3">
      <c r="AI3751" s="267"/>
    </row>
    <row r="3752" spans="35:35" x14ac:dyDescent="0.3">
      <c r="AI3752" s="267"/>
    </row>
    <row r="3753" spans="35:35" x14ac:dyDescent="0.3">
      <c r="AI3753" s="267"/>
    </row>
    <row r="3754" spans="35:35" x14ac:dyDescent="0.3">
      <c r="AI3754" s="267"/>
    </row>
    <row r="3755" spans="35:35" x14ac:dyDescent="0.3">
      <c r="AI3755" s="267"/>
    </row>
    <row r="3756" spans="35:35" x14ac:dyDescent="0.3">
      <c r="AI3756" s="267"/>
    </row>
    <row r="3757" spans="35:35" x14ac:dyDescent="0.3">
      <c r="AI3757" s="267"/>
    </row>
    <row r="3758" spans="35:35" x14ac:dyDescent="0.3">
      <c r="AI3758" s="267"/>
    </row>
    <row r="3759" spans="35:35" x14ac:dyDescent="0.3">
      <c r="AI3759" s="267"/>
    </row>
    <row r="3760" spans="35:35" x14ac:dyDescent="0.3">
      <c r="AI3760" s="267"/>
    </row>
    <row r="3761" spans="35:35" x14ac:dyDescent="0.3">
      <c r="AI3761" s="267"/>
    </row>
    <row r="3762" spans="35:35" x14ac:dyDescent="0.3">
      <c r="AI3762" s="267"/>
    </row>
    <row r="3763" spans="35:35" x14ac:dyDescent="0.3">
      <c r="AI3763" s="267"/>
    </row>
    <row r="3764" spans="35:35" x14ac:dyDescent="0.3">
      <c r="AI3764" s="267"/>
    </row>
    <row r="3765" spans="35:35" x14ac:dyDescent="0.3">
      <c r="AI3765" s="267"/>
    </row>
    <row r="3766" spans="35:35" x14ac:dyDescent="0.3">
      <c r="AI3766" s="267"/>
    </row>
    <row r="3767" spans="35:35" x14ac:dyDescent="0.3">
      <c r="AI3767" s="267"/>
    </row>
    <row r="3768" spans="35:35" x14ac:dyDescent="0.3">
      <c r="AI3768" s="267"/>
    </row>
    <row r="3769" spans="35:35" x14ac:dyDescent="0.3">
      <c r="AI3769" s="267"/>
    </row>
    <row r="3770" spans="35:35" x14ac:dyDescent="0.3">
      <c r="AI3770" s="267"/>
    </row>
    <row r="3771" spans="35:35" x14ac:dyDescent="0.3">
      <c r="AI3771" s="267"/>
    </row>
    <row r="3772" spans="35:35" x14ac:dyDescent="0.3">
      <c r="AI3772" s="267"/>
    </row>
    <row r="3773" spans="35:35" x14ac:dyDescent="0.3">
      <c r="AI3773" s="267"/>
    </row>
    <row r="3774" spans="35:35" x14ac:dyDescent="0.3">
      <c r="AI3774" s="267"/>
    </row>
    <row r="3775" spans="35:35" x14ac:dyDescent="0.3">
      <c r="AI3775" s="267"/>
    </row>
    <row r="3776" spans="35:35" x14ac:dyDescent="0.3">
      <c r="AI3776" s="267"/>
    </row>
    <row r="3777" spans="35:35" x14ac:dyDescent="0.3">
      <c r="AI3777" s="267"/>
    </row>
    <row r="3778" spans="35:35" x14ac:dyDescent="0.3">
      <c r="AI3778" s="267"/>
    </row>
    <row r="3779" spans="35:35" x14ac:dyDescent="0.3">
      <c r="AI3779" s="267"/>
    </row>
    <row r="3780" spans="35:35" x14ac:dyDescent="0.3">
      <c r="AI3780" s="267"/>
    </row>
    <row r="3781" spans="35:35" x14ac:dyDescent="0.3">
      <c r="AI3781" s="267"/>
    </row>
    <row r="3782" spans="35:35" x14ac:dyDescent="0.3">
      <c r="AI3782" s="267"/>
    </row>
    <row r="3783" spans="35:35" x14ac:dyDescent="0.3">
      <c r="AI3783" s="267"/>
    </row>
    <row r="3784" spans="35:35" x14ac:dyDescent="0.3">
      <c r="AI3784" s="267"/>
    </row>
    <row r="3785" spans="35:35" x14ac:dyDescent="0.3">
      <c r="AI3785" s="267"/>
    </row>
    <row r="3786" spans="35:35" x14ac:dyDescent="0.3">
      <c r="AI3786" s="267"/>
    </row>
    <row r="3787" spans="35:35" x14ac:dyDescent="0.3">
      <c r="AI3787" s="267"/>
    </row>
    <row r="3788" spans="35:35" x14ac:dyDescent="0.3">
      <c r="AI3788" s="267"/>
    </row>
    <row r="3789" spans="35:35" x14ac:dyDescent="0.3">
      <c r="AI3789" s="267"/>
    </row>
    <row r="3790" spans="35:35" x14ac:dyDescent="0.3">
      <c r="AI3790" s="267"/>
    </row>
    <row r="3791" spans="35:35" x14ac:dyDescent="0.3">
      <c r="AI3791" s="267"/>
    </row>
    <row r="3792" spans="35:35" x14ac:dyDescent="0.3">
      <c r="AI3792" s="267"/>
    </row>
    <row r="3793" spans="35:35" x14ac:dyDescent="0.3">
      <c r="AI3793" s="267"/>
    </row>
    <row r="3794" spans="35:35" x14ac:dyDescent="0.3">
      <c r="AI3794" s="267"/>
    </row>
    <row r="3795" spans="35:35" x14ac:dyDescent="0.3">
      <c r="AI3795" s="267"/>
    </row>
    <row r="3796" spans="35:35" x14ac:dyDescent="0.3">
      <c r="AI3796" s="267"/>
    </row>
    <row r="3797" spans="35:35" x14ac:dyDescent="0.3">
      <c r="AI3797" s="267"/>
    </row>
    <row r="3798" spans="35:35" x14ac:dyDescent="0.3">
      <c r="AI3798" s="267"/>
    </row>
    <row r="3799" spans="35:35" x14ac:dyDescent="0.3">
      <c r="AI3799" s="267"/>
    </row>
    <row r="3800" spans="35:35" x14ac:dyDescent="0.3">
      <c r="AI3800" s="267"/>
    </row>
    <row r="3801" spans="35:35" x14ac:dyDescent="0.3">
      <c r="AI3801" s="267"/>
    </row>
    <row r="3802" spans="35:35" x14ac:dyDescent="0.3">
      <c r="AI3802" s="267"/>
    </row>
    <row r="3803" spans="35:35" x14ac:dyDescent="0.3">
      <c r="AI3803" s="267"/>
    </row>
    <row r="3804" spans="35:35" x14ac:dyDescent="0.3">
      <c r="AI3804" s="267"/>
    </row>
    <row r="3805" spans="35:35" x14ac:dyDescent="0.3">
      <c r="AI3805" s="267"/>
    </row>
    <row r="3806" spans="35:35" x14ac:dyDescent="0.3">
      <c r="AI3806" s="267"/>
    </row>
    <row r="3807" spans="35:35" x14ac:dyDescent="0.3">
      <c r="AI3807" s="267"/>
    </row>
    <row r="3808" spans="35:35" x14ac:dyDescent="0.3">
      <c r="AI3808" s="267"/>
    </row>
    <row r="3809" spans="35:35" x14ac:dyDescent="0.3">
      <c r="AI3809" s="267"/>
    </row>
    <row r="3810" spans="35:35" x14ac:dyDescent="0.3">
      <c r="AI3810" s="267"/>
    </row>
    <row r="3811" spans="35:35" x14ac:dyDescent="0.3">
      <c r="AI3811" s="267"/>
    </row>
    <row r="3812" spans="35:35" x14ac:dyDescent="0.3">
      <c r="AI3812" s="267"/>
    </row>
    <row r="3813" spans="35:35" x14ac:dyDescent="0.3">
      <c r="AI3813" s="267"/>
    </row>
    <row r="3814" spans="35:35" x14ac:dyDescent="0.3">
      <c r="AI3814" s="267"/>
    </row>
    <row r="3815" spans="35:35" x14ac:dyDescent="0.3">
      <c r="AI3815" s="267"/>
    </row>
    <row r="3816" spans="35:35" x14ac:dyDescent="0.3">
      <c r="AI3816" s="267"/>
    </row>
    <row r="3817" spans="35:35" x14ac:dyDescent="0.3">
      <c r="AI3817" s="267"/>
    </row>
    <row r="3818" spans="35:35" x14ac:dyDescent="0.3">
      <c r="AI3818" s="267"/>
    </row>
    <row r="3819" spans="35:35" x14ac:dyDescent="0.3">
      <c r="AI3819" s="267"/>
    </row>
    <row r="3820" spans="35:35" x14ac:dyDescent="0.3">
      <c r="AI3820" s="267"/>
    </row>
    <row r="3821" spans="35:35" x14ac:dyDescent="0.3">
      <c r="AI3821" s="267"/>
    </row>
    <row r="3822" spans="35:35" x14ac:dyDescent="0.3">
      <c r="AI3822" s="267"/>
    </row>
    <row r="3823" spans="35:35" x14ac:dyDescent="0.3">
      <c r="AI3823" s="267"/>
    </row>
    <row r="3824" spans="35:35" x14ac:dyDescent="0.3">
      <c r="AI3824" s="267"/>
    </row>
    <row r="3825" spans="35:35" x14ac:dyDescent="0.3">
      <c r="AI3825" s="267"/>
    </row>
    <row r="3826" spans="35:35" x14ac:dyDescent="0.3">
      <c r="AI3826" s="267"/>
    </row>
    <row r="3827" spans="35:35" x14ac:dyDescent="0.3">
      <c r="AI3827" s="267"/>
    </row>
    <row r="3828" spans="35:35" x14ac:dyDescent="0.3">
      <c r="AI3828" s="267"/>
    </row>
    <row r="3829" spans="35:35" x14ac:dyDescent="0.3">
      <c r="AI3829" s="267"/>
    </row>
    <row r="3830" spans="35:35" x14ac:dyDescent="0.3">
      <c r="AI3830" s="267"/>
    </row>
    <row r="3831" spans="35:35" x14ac:dyDescent="0.3">
      <c r="AI3831" s="267"/>
    </row>
    <row r="3832" spans="35:35" x14ac:dyDescent="0.3">
      <c r="AI3832" s="267"/>
    </row>
    <row r="3833" spans="35:35" x14ac:dyDescent="0.3">
      <c r="AI3833" s="267"/>
    </row>
    <row r="3834" spans="35:35" x14ac:dyDescent="0.3">
      <c r="AI3834" s="267"/>
    </row>
    <row r="3835" spans="35:35" x14ac:dyDescent="0.3">
      <c r="AI3835" s="267"/>
    </row>
    <row r="3836" spans="35:35" x14ac:dyDescent="0.3">
      <c r="AI3836" s="267"/>
    </row>
    <row r="3837" spans="35:35" x14ac:dyDescent="0.3">
      <c r="AI3837" s="267"/>
    </row>
    <row r="3838" spans="35:35" x14ac:dyDescent="0.3">
      <c r="AI3838" s="267"/>
    </row>
    <row r="3839" spans="35:35" x14ac:dyDescent="0.3">
      <c r="AI3839" s="267"/>
    </row>
    <row r="3840" spans="35:35" x14ac:dyDescent="0.3">
      <c r="AI3840" s="267"/>
    </row>
    <row r="3841" spans="35:35" x14ac:dyDescent="0.3">
      <c r="AI3841" s="267"/>
    </row>
    <row r="3842" spans="35:35" x14ac:dyDescent="0.3">
      <c r="AI3842" s="267"/>
    </row>
    <row r="3843" spans="35:35" x14ac:dyDescent="0.3">
      <c r="AI3843" s="267"/>
    </row>
    <row r="3844" spans="35:35" x14ac:dyDescent="0.3">
      <c r="AI3844" s="267"/>
    </row>
    <row r="3845" spans="35:35" x14ac:dyDescent="0.3">
      <c r="AI3845" s="267"/>
    </row>
    <row r="3846" spans="35:35" x14ac:dyDescent="0.3">
      <c r="AI3846" s="267"/>
    </row>
    <row r="3847" spans="35:35" x14ac:dyDescent="0.3">
      <c r="AI3847" s="267"/>
    </row>
    <row r="3848" spans="35:35" x14ac:dyDescent="0.3">
      <c r="AI3848" s="267"/>
    </row>
    <row r="3849" spans="35:35" x14ac:dyDescent="0.3">
      <c r="AI3849" s="267"/>
    </row>
    <row r="3850" spans="35:35" x14ac:dyDescent="0.3">
      <c r="AI3850" s="267"/>
    </row>
    <row r="3851" spans="35:35" x14ac:dyDescent="0.3">
      <c r="AI3851" s="267"/>
    </row>
    <row r="3852" spans="35:35" x14ac:dyDescent="0.3">
      <c r="AI3852" s="267"/>
    </row>
    <row r="3853" spans="35:35" x14ac:dyDescent="0.3">
      <c r="AI3853" s="267"/>
    </row>
    <row r="3854" spans="35:35" x14ac:dyDescent="0.3">
      <c r="AI3854" s="267"/>
    </row>
    <row r="3855" spans="35:35" x14ac:dyDescent="0.3">
      <c r="AI3855" s="267"/>
    </row>
    <row r="3856" spans="35:35" x14ac:dyDescent="0.3">
      <c r="AI3856" s="267"/>
    </row>
    <row r="3857" spans="35:35" x14ac:dyDescent="0.3">
      <c r="AI3857" s="267"/>
    </row>
    <row r="3858" spans="35:35" x14ac:dyDescent="0.3">
      <c r="AI3858" s="267"/>
    </row>
    <row r="3859" spans="35:35" x14ac:dyDescent="0.3">
      <c r="AI3859" s="267"/>
    </row>
    <row r="3860" spans="35:35" x14ac:dyDescent="0.3">
      <c r="AI3860" s="267"/>
    </row>
    <row r="3861" spans="35:35" x14ac:dyDescent="0.3">
      <c r="AI3861" s="267"/>
    </row>
    <row r="3862" spans="35:35" x14ac:dyDescent="0.3">
      <c r="AI3862" s="267"/>
    </row>
    <row r="3863" spans="35:35" x14ac:dyDescent="0.3">
      <c r="AI3863" s="267"/>
    </row>
    <row r="3864" spans="35:35" x14ac:dyDescent="0.3">
      <c r="AI3864" s="267"/>
    </row>
    <row r="3865" spans="35:35" x14ac:dyDescent="0.3">
      <c r="AI3865" s="267"/>
    </row>
    <row r="3866" spans="35:35" x14ac:dyDescent="0.3">
      <c r="AI3866" s="267"/>
    </row>
    <row r="3867" spans="35:35" x14ac:dyDescent="0.3">
      <c r="AI3867" s="267"/>
    </row>
    <row r="3868" spans="35:35" x14ac:dyDescent="0.3">
      <c r="AI3868" s="267"/>
    </row>
    <row r="3869" spans="35:35" x14ac:dyDescent="0.3">
      <c r="AI3869" s="267"/>
    </row>
    <row r="3870" spans="35:35" x14ac:dyDescent="0.3">
      <c r="AI3870" s="267"/>
    </row>
    <row r="3871" spans="35:35" x14ac:dyDescent="0.3">
      <c r="AI3871" s="267"/>
    </row>
    <row r="3872" spans="35:35" x14ac:dyDescent="0.3">
      <c r="AI3872" s="267"/>
    </row>
    <row r="3873" spans="35:35" x14ac:dyDescent="0.3">
      <c r="AI3873" s="267"/>
    </row>
    <row r="3874" spans="35:35" x14ac:dyDescent="0.3">
      <c r="AI3874" s="267"/>
    </row>
    <row r="3875" spans="35:35" x14ac:dyDescent="0.3">
      <c r="AI3875" s="267"/>
    </row>
    <row r="3876" spans="35:35" x14ac:dyDescent="0.3">
      <c r="AI3876" s="267"/>
    </row>
    <row r="3877" spans="35:35" x14ac:dyDescent="0.3">
      <c r="AI3877" s="267"/>
    </row>
    <row r="3878" spans="35:35" x14ac:dyDescent="0.3">
      <c r="AI3878" s="267"/>
    </row>
    <row r="3879" spans="35:35" x14ac:dyDescent="0.3">
      <c r="AI3879" s="267"/>
    </row>
    <row r="3880" spans="35:35" x14ac:dyDescent="0.3">
      <c r="AI3880" s="267"/>
    </row>
    <row r="3881" spans="35:35" x14ac:dyDescent="0.3">
      <c r="AI3881" s="267"/>
    </row>
    <row r="3882" spans="35:35" x14ac:dyDescent="0.3">
      <c r="AI3882" s="267"/>
    </row>
    <row r="3883" spans="35:35" x14ac:dyDescent="0.3">
      <c r="AI3883" s="267"/>
    </row>
    <row r="3884" spans="35:35" x14ac:dyDescent="0.3">
      <c r="AI3884" s="267"/>
    </row>
    <row r="3885" spans="35:35" x14ac:dyDescent="0.3">
      <c r="AI3885" s="267"/>
    </row>
    <row r="3886" spans="35:35" x14ac:dyDescent="0.3">
      <c r="AI3886" s="267"/>
    </row>
    <row r="3887" spans="35:35" x14ac:dyDescent="0.3">
      <c r="AI3887" s="267"/>
    </row>
    <row r="3888" spans="35:35" x14ac:dyDescent="0.3">
      <c r="AI3888" s="267"/>
    </row>
    <row r="3889" spans="35:35" x14ac:dyDescent="0.3">
      <c r="AI3889" s="267"/>
    </row>
    <row r="3890" spans="35:35" x14ac:dyDescent="0.3">
      <c r="AI3890" s="267"/>
    </row>
    <row r="3891" spans="35:35" x14ac:dyDescent="0.3">
      <c r="AI3891" s="267"/>
    </row>
    <row r="3892" spans="35:35" x14ac:dyDescent="0.3">
      <c r="AI3892" s="267"/>
    </row>
    <row r="3893" spans="35:35" x14ac:dyDescent="0.3">
      <c r="AI3893" s="267"/>
    </row>
    <row r="3894" spans="35:35" x14ac:dyDescent="0.3">
      <c r="AI3894" s="267"/>
    </row>
    <row r="3895" spans="35:35" x14ac:dyDescent="0.3">
      <c r="AI3895" s="267"/>
    </row>
    <row r="3896" spans="35:35" x14ac:dyDescent="0.3">
      <c r="AI3896" s="267"/>
    </row>
    <row r="3897" spans="35:35" x14ac:dyDescent="0.3">
      <c r="AI3897" s="267"/>
    </row>
    <row r="3898" spans="35:35" x14ac:dyDescent="0.3">
      <c r="AI3898" s="267"/>
    </row>
    <row r="3899" spans="35:35" x14ac:dyDescent="0.3">
      <c r="AI3899" s="267"/>
    </row>
    <row r="3900" spans="35:35" x14ac:dyDescent="0.3">
      <c r="AI3900" s="267"/>
    </row>
    <row r="3901" spans="35:35" x14ac:dyDescent="0.3">
      <c r="AI3901" s="267"/>
    </row>
    <row r="3902" spans="35:35" x14ac:dyDescent="0.3">
      <c r="AI3902" s="267"/>
    </row>
    <row r="3903" spans="35:35" x14ac:dyDescent="0.3">
      <c r="AI3903" s="267"/>
    </row>
    <row r="3904" spans="35:35" x14ac:dyDescent="0.3">
      <c r="AI3904" s="267"/>
    </row>
    <row r="3905" spans="35:35" x14ac:dyDescent="0.3">
      <c r="AI3905" s="267"/>
    </row>
    <row r="3906" spans="35:35" x14ac:dyDescent="0.3">
      <c r="AI3906" s="267"/>
    </row>
    <row r="3907" spans="35:35" x14ac:dyDescent="0.3">
      <c r="AI3907" s="267"/>
    </row>
    <row r="3908" spans="35:35" x14ac:dyDescent="0.3">
      <c r="AI3908" s="267"/>
    </row>
    <row r="3909" spans="35:35" x14ac:dyDescent="0.3">
      <c r="AI3909" s="267"/>
    </row>
    <row r="3910" spans="35:35" x14ac:dyDescent="0.3">
      <c r="AI3910" s="267"/>
    </row>
    <row r="3911" spans="35:35" x14ac:dyDescent="0.3">
      <c r="AI3911" s="267"/>
    </row>
    <row r="3912" spans="35:35" x14ac:dyDescent="0.3">
      <c r="AI3912" s="267"/>
    </row>
    <row r="3913" spans="35:35" x14ac:dyDescent="0.3">
      <c r="AI3913" s="267"/>
    </row>
    <row r="3914" spans="35:35" x14ac:dyDescent="0.3">
      <c r="AI3914" s="267"/>
    </row>
    <row r="3915" spans="35:35" x14ac:dyDescent="0.3">
      <c r="AI3915" s="267"/>
    </row>
    <row r="3916" spans="35:35" x14ac:dyDescent="0.3">
      <c r="AI3916" s="267"/>
    </row>
    <row r="3917" spans="35:35" x14ac:dyDescent="0.3">
      <c r="AI3917" s="267"/>
    </row>
    <row r="3918" spans="35:35" x14ac:dyDescent="0.3">
      <c r="AI3918" s="267"/>
    </row>
    <row r="3919" spans="35:35" x14ac:dyDescent="0.3">
      <c r="AI3919" s="267"/>
    </row>
    <row r="3920" spans="35:35" x14ac:dyDescent="0.3">
      <c r="AI3920" s="267"/>
    </row>
    <row r="3921" spans="35:35" x14ac:dyDescent="0.3">
      <c r="AI3921" s="267"/>
    </row>
    <row r="3922" spans="35:35" x14ac:dyDescent="0.3">
      <c r="AI3922" s="267"/>
    </row>
    <row r="3923" spans="35:35" x14ac:dyDescent="0.3">
      <c r="AI3923" s="267"/>
    </row>
    <row r="3924" spans="35:35" x14ac:dyDescent="0.3">
      <c r="AI3924" s="267"/>
    </row>
    <row r="3925" spans="35:35" x14ac:dyDescent="0.3">
      <c r="AI3925" s="267"/>
    </row>
    <row r="3926" spans="35:35" x14ac:dyDescent="0.3">
      <c r="AI3926" s="267"/>
    </row>
    <row r="3927" spans="35:35" x14ac:dyDescent="0.3">
      <c r="AI3927" s="267"/>
    </row>
    <row r="3928" spans="35:35" x14ac:dyDescent="0.3">
      <c r="AI3928" s="267"/>
    </row>
    <row r="3929" spans="35:35" x14ac:dyDescent="0.3">
      <c r="AI3929" s="267"/>
    </row>
    <row r="3930" spans="35:35" x14ac:dyDescent="0.3">
      <c r="AI3930" s="267"/>
    </row>
    <row r="3931" spans="35:35" x14ac:dyDescent="0.3">
      <c r="AI3931" s="267"/>
    </row>
    <row r="3932" spans="35:35" x14ac:dyDescent="0.3">
      <c r="AI3932" s="267"/>
    </row>
    <row r="3933" spans="35:35" x14ac:dyDescent="0.3">
      <c r="AI3933" s="267"/>
    </row>
    <row r="3934" spans="35:35" x14ac:dyDescent="0.3">
      <c r="AI3934" s="267"/>
    </row>
    <row r="3935" spans="35:35" x14ac:dyDescent="0.3">
      <c r="AI3935" s="267"/>
    </row>
    <row r="3936" spans="35:35" x14ac:dyDescent="0.3">
      <c r="AI3936" s="267"/>
    </row>
    <row r="3937" spans="35:35" x14ac:dyDescent="0.3">
      <c r="AI3937" s="267"/>
    </row>
    <row r="3938" spans="35:35" x14ac:dyDescent="0.3">
      <c r="AI3938" s="267"/>
    </row>
    <row r="3939" spans="35:35" x14ac:dyDescent="0.3">
      <c r="AI3939" s="267"/>
    </row>
    <row r="3940" spans="35:35" x14ac:dyDescent="0.3">
      <c r="AI3940" s="267"/>
    </row>
    <row r="3941" spans="35:35" x14ac:dyDescent="0.3">
      <c r="AI3941" s="267"/>
    </row>
    <row r="3942" spans="35:35" x14ac:dyDescent="0.3">
      <c r="AI3942" s="267"/>
    </row>
    <row r="3943" spans="35:35" x14ac:dyDescent="0.3">
      <c r="AI3943" s="267"/>
    </row>
    <row r="3944" spans="35:35" x14ac:dyDescent="0.3">
      <c r="AI3944" s="267"/>
    </row>
    <row r="3945" spans="35:35" x14ac:dyDescent="0.3">
      <c r="AI3945" s="267"/>
    </row>
    <row r="3946" spans="35:35" x14ac:dyDescent="0.3">
      <c r="AI3946" s="267"/>
    </row>
    <row r="3947" spans="35:35" x14ac:dyDescent="0.3">
      <c r="AI3947" s="267"/>
    </row>
    <row r="3948" spans="35:35" x14ac:dyDescent="0.3">
      <c r="AI3948" s="267"/>
    </row>
    <row r="3949" spans="35:35" x14ac:dyDescent="0.3">
      <c r="AI3949" s="267"/>
    </row>
    <row r="3950" spans="35:35" x14ac:dyDescent="0.3">
      <c r="AI3950" s="267"/>
    </row>
    <row r="3951" spans="35:35" x14ac:dyDescent="0.3">
      <c r="AI3951" s="267"/>
    </row>
    <row r="3952" spans="35:35" x14ac:dyDescent="0.3">
      <c r="AI3952" s="267"/>
    </row>
    <row r="3953" spans="35:35" x14ac:dyDescent="0.3">
      <c r="AI3953" s="267"/>
    </row>
    <row r="3954" spans="35:35" x14ac:dyDescent="0.3">
      <c r="AI3954" s="267"/>
    </row>
    <row r="3955" spans="35:35" x14ac:dyDescent="0.3">
      <c r="AI3955" s="267"/>
    </row>
    <row r="3956" spans="35:35" x14ac:dyDescent="0.3">
      <c r="AI3956" s="267"/>
    </row>
    <row r="3957" spans="35:35" x14ac:dyDescent="0.3">
      <c r="AI3957" s="267"/>
    </row>
    <row r="3958" spans="35:35" x14ac:dyDescent="0.3">
      <c r="AI3958" s="267"/>
    </row>
    <row r="3959" spans="35:35" x14ac:dyDescent="0.3">
      <c r="AI3959" s="267"/>
    </row>
    <row r="3960" spans="35:35" x14ac:dyDescent="0.3">
      <c r="AI3960" s="267"/>
    </row>
    <row r="3961" spans="35:35" x14ac:dyDescent="0.3">
      <c r="AI3961" s="267"/>
    </row>
    <row r="3962" spans="35:35" x14ac:dyDescent="0.3">
      <c r="AI3962" s="267"/>
    </row>
    <row r="3963" spans="35:35" x14ac:dyDescent="0.3">
      <c r="AI3963" s="267"/>
    </row>
    <row r="3964" spans="35:35" x14ac:dyDescent="0.3">
      <c r="AI3964" s="267"/>
    </row>
    <row r="3965" spans="35:35" x14ac:dyDescent="0.3">
      <c r="AI3965" s="267"/>
    </row>
    <row r="3966" spans="35:35" x14ac:dyDescent="0.3">
      <c r="AI3966" s="267"/>
    </row>
    <row r="3967" spans="35:35" x14ac:dyDescent="0.3">
      <c r="AI3967" s="267"/>
    </row>
    <row r="3968" spans="35:35" x14ac:dyDescent="0.3">
      <c r="AI3968" s="267"/>
    </row>
    <row r="3969" spans="35:35" x14ac:dyDescent="0.3">
      <c r="AI3969" s="267"/>
    </row>
    <row r="3970" spans="35:35" x14ac:dyDescent="0.3">
      <c r="AI3970" s="267"/>
    </row>
    <row r="3971" spans="35:35" x14ac:dyDescent="0.3">
      <c r="AI3971" s="267"/>
    </row>
    <row r="3972" spans="35:35" x14ac:dyDescent="0.3">
      <c r="AI3972" s="267"/>
    </row>
    <row r="3973" spans="35:35" x14ac:dyDescent="0.3">
      <c r="AI3973" s="267"/>
    </row>
    <row r="3974" spans="35:35" x14ac:dyDescent="0.3">
      <c r="AI3974" s="267"/>
    </row>
    <row r="3975" spans="35:35" x14ac:dyDescent="0.3">
      <c r="AI3975" s="267"/>
    </row>
    <row r="3976" spans="35:35" x14ac:dyDescent="0.3">
      <c r="AI3976" s="267"/>
    </row>
    <row r="3977" spans="35:35" x14ac:dyDescent="0.3">
      <c r="AI3977" s="267"/>
    </row>
    <row r="3978" spans="35:35" x14ac:dyDescent="0.3">
      <c r="AI3978" s="267"/>
    </row>
    <row r="3979" spans="35:35" x14ac:dyDescent="0.3">
      <c r="AI3979" s="267"/>
    </row>
    <row r="3980" spans="35:35" x14ac:dyDescent="0.3">
      <c r="AI3980" s="267"/>
    </row>
    <row r="3981" spans="35:35" x14ac:dyDescent="0.3">
      <c r="AI3981" s="267"/>
    </row>
    <row r="3982" spans="35:35" x14ac:dyDescent="0.3">
      <c r="AI3982" s="267"/>
    </row>
    <row r="3983" spans="35:35" x14ac:dyDescent="0.3">
      <c r="AI3983" s="267"/>
    </row>
    <row r="3984" spans="35:35" x14ac:dyDescent="0.3">
      <c r="AI3984" s="267"/>
    </row>
    <row r="3985" spans="35:35" x14ac:dyDescent="0.3">
      <c r="AI3985" s="267"/>
    </row>
    <row r="3986" spans="35:35" x14ac:dyDescent="0.3">
      <c r="AI3986" s="267"/>
    </row>
    <row r="3987" spans="35:35" x14ac:dyDescent="0.3">
      <c r="AI3987" s="267"/>
    </row>
    <row r="3988" spans="35:35" x14ac:dyDescent="0.3">
      <c r="AI3988" s="267"/>
    </row>
    <row r="3989" spans="35:35" x14ac:dyDescent="0.3">
      <c r="AI3989" s="267"/>
    </row>
    <row r="3990" spans="35:35" x14ac:dyDescent="0.3">
      <c r="AI3990" s="267"/>
    </row>
    <row r="3991" spans="35:35" x14ac:dyDescent="0.3">
      <c r="AI3991" s="267"/>
    </row>
    <row r="3992" spans="35:35" x14ac:dyDescent="0.3">
      <c r="AI3992" s="267"/>
    </row>
    <row r="3993" spans="35:35" x14ac:dyDescent="0.3">
      <c r="AI3993" s="267"/>
    </row>
    <row r="3994" spans="35:35" x14ac:dyDescent="0.3">
      <c r="AI3994" s="267"/>
    </row>
    <row r="3995" spans="35:35" x14ac:dyDescent="0.3">
      <c r="AI3995" s="267"/>
    </row>
    <row r="3996" spans="35:35" x14ac:dyDescent="0.3">
      <c r="AI3996" s="267"/>
    </row>
    <row r="3997" spans="35:35" x14ac:dyDescent="0.3">
      <c r="AI3997" s="267"/>
    </row>
    <row r="3998" spans="35:35" x14ac:dyDescent="0.3">
      <c r="AI3998" s="267"/>
    </row>
    <row r="3999" spans="35:35" x14ac:dyDescent="0.3">
      <c r="AI3999" s="267"/>
    </row>
    <row r="4000" spans="35:35" x14ac:dyDescent="0.3">
      <c r="AI4000" s="267"/>
    </row>
    <row r="4001" spans="35:35" x14ac:dyDescent="0.3">
      <c r="AI4001" s="267"/>
    </row>
    <row r="4002" spans="35:35" x14ac:dyDescent="0.3">
      <c r="AI4002" s="267"/>
    </row>
    <row r="4003" spans="35:35" x14ac:dyDescent="0.3">
      <c r="AI4003" s="267"/>
    </row>
    <row r="4004" spans="35:35" x14ac:dyDescent="0.3">
      <c r="AI4004" s="267"/>
    </row>
    <row r="4005" spans="35:35" x14ac:dyDescent="0.3">
      <c r="AI4005" s="267"/>
    </row>
    <row r="4006" spans="35:35" x14ac:dyDescent="0.3">
      <c r="AI4006" s="267"/>
    </row>
    <row r="4007" spans="35:35" x14ac:dyDescent="0.3">
      <c r="AI4007" s="267"/>
    </row>
    <row r="4008" spans="35:35" x14ac:dyDescent="0.3">
      <c r="AI4008" s="267"/>
    </row>
    <row r="4009" spans="35:35" x14ac:dyDescent="0.3">
      <c r="AI4009" s="267"/>
    </row>
    <row r="4010" spans="35:35" x14ac:dyDescent="0.3">
      <c r="AI4010" s="267"/>
    </row>
    <row r="4011" spans="35:35" x14ac:dyDescent="0.3">
      <c r="AI4011" s="267"/>
    </row>
    <row r="4012" spans="35:35" x14ac:dyDescent="0.3">
      <c r="AI4012" s="267"/>
    </row>
    <row r="4013" spans="35:35" x14ac:dyDescent="0.3">
      <c r="AI4013" s="267"/>
    </row>
    <row r="4014" spans="35:35" x14ac:dyDescent="0.3">
      <c r="AI4014" s="267"/>
    </row>
    <row r="4015" spans="35:35" x14ac:dyDescent="0.3">
      <c r="AI4015" s="267"/>
    </row>
    <row r="4016" spans="35:35" x14ac:dyDescent="0.3">
      <c r="AI4016" s="267"/>
    </row>
    <row r="4017" spans="35:35" x14ac:dyDescent="0.3">
      <c r="AI4017" s="267"/>
    </row>
    <row r="4018" spans="35:35" x14ac:dyDescent="0.3">
      <c r="AI4018" s="267"/>
    </row>
    <row r="4019" spans="35:35" x14ac:dyDescent="0.3">
      <c r="AI4019" s="267"/>
    </row>
    <row r="4020" spans="35:35" x14ac:dyDescent="0.3">
      <c r="AI4020" s="267"/>
    </row>
    <row r="4021" spans="35:35" x14ac:dyDescent="0.3">
      <c r="AI4021" s="267"/>
    </row>
    <row r="4022" spans="35:35" x14ac:dyDescent="0.3">
      <c r="AI4022" s="267"/>
    </row>
    <row r="4023" spans="35:35" x14ac:dyDescent="0.3">
      <c r="AI4023" s="267"/>
    </row>
    <row r="4024" spans="35:35" x14ac:dyDescent="0.3">
      <c r="AI4024" s="267"/>
    </row>
    <row r="4025" spans="35:35" x14ac:dyDescent="0.3">
      <c r="AI4025" s="267"/>
    </row>
    <row r="4026" spans="35:35" x14ac:dyDescent="0.3">
      <c r="AI4026" s="267"/>
    </row>
    <row r="4027" spans="35:35" x14ac:dyDescent="0.3">
      <c r="AI4027" s="267"/>
    </row>
    <row r="4028" spans="35:35" x14ac:dyDescent="0.3">
      <c r="AI4028" s="267"/>
    </row>
    <row r="4029" spans="35:35" x14ac:dyDescent="0.3">
      <c r="AI4029" s="267"/>
    </row>
    <row r="4030" spans="35:35" x14ac:dyDescent="0.3">
      <c r="AI4030" s="267"/>
    </row>
    <row r="4031" spans="35:35" x14ac:dyDescent="0.3">
      <c r="AI4031" s="267"/>
    </row>
    <row r="4032" spans="35:35" x14ac:dyDescent="0.3">
      <c r="AI4032" s="267"/>
    </row>
    <row r="4033" spans="35:35" x14ac:dyDescent="0.3">
      <c r="AI4033" s="267"/>
    </row>
    <row r="4034" spans="35:35" x14ac:dyDescent="0.3">
      <c r="AI4034" s="267"/>
    </row>
    <row r="4035" spans="35:35" x14ac:dyDescent="0.3">
      <c r="AI4035" s="267"/>
    </row>
    <row r="4036" spans="35:35" x14ac:dyDescent="0.3">
      <c r="AI4036" s="267"/>
    </row>
    <row r="4037" spans="35:35" x14ac:dyDescent="0.3">
      <c r="AI4037" s="267"/>
    </row>
    <row r="4038" spans="35:35" x14ac:dyDescent="0.3">
      <c r="AI4038" s="267"/>
    </row>
    <row r="4039" spans="35:35" x14ac:dyDescent="0.3">
      <c r="AI4039" s="267"/>
    </row>
    <row r="4040" spans="35:35" x14ac:dyDescent="0.3">
      <c r="AI4040" s="267"/>
    </row>
    <row r="4041" spans="35:35" x14ac:dyDescent="0.3">
      <c r="AI4041" s="267"/>
    </row>
    <row r="4042" spans="35:35" x14ac:dyDescent="0.3">
      <c r="AI4042" s="267"/>
    </row>
    <row r="4043" spans="35:35" x14ac:dyDescent="0.3">
      <c r="AI4043" s="267"/>
    </row>
    <row r="4044" spans="35:35" x14ac:dyDescent="0.3">
      <c r="AI4044" s="267"/>
    </row>
    <row r="4045" spans="35:35" x14ac:dyDescent="0.3">
      <c r="AI4045" s="267"/>
    </row>
    <row r="4046" spans="35:35" x14ac:dyDescent="0.3">
      <c r="AI4046" s="267"/>
    </row>
    <row r="4047" spans="35:35" x14ac:dyDescent="0.3">
      <c r="AI4047" s="267"/>
    </row>
    <row r="4048" spans="35:35" x14ac:dyDescent="0.3">
      <c r="AI4048" s="267"/>
    </row>
    <row r="4049" spans="35:35" x14ac:dyDescent="0.3">
      <c r="AI4049" s="267"/>
    </row>
    <row r="4050" spans="35:35" x14ac:dyDescent="0.3">
      <c r="AI4050" s="267"/>
    </row>
    <row r="4051" spans="35:35" x14ac:dyDescent="0.3">
      <c r="AI4051" s="267"/>
    </row>
    <row r="4052" spans="35:35" x14ac:dyDescent="0.3">
      <c r="AI4052" s="267"/>
    </row>
    <row r="4053" spans="35:35" x14ac:dyDescent="0.3">
      <c r="AI4053" s="267"/>
    </row>
    <row r="4054" spans="35:35" x14ac:dyDescent="0.3">
      <c r="AI4054" s="267"/>
    </row>
    <row r="4055" spans="35:35" x14ac:dyDescent="0.3">
      <c r="AI4055" s="267"/>
    </row>
    <row r="4056" spans="35:35" x14ac:dyDescent="0.3">
      <c r="AI4056" s="267"/>
    </row>
    <row r="4057" spans="35:35" x14ac:dyDescent="0.3">
      <c r="AI4057" s="267"/>
    </row>
    <row r="4058" spans="35:35" x14ac:dyDescent="0.3">
      <c r="AI4058" s="267"/>
    </row>
    <row r="4059" spans="35:35" x14ac:dyDescent="0.3">
      <c r="AI4059" s="267"/>
    </row>
    <row r="4060" spans="35:35" x14ac:dyDescent="0.3">
      <c r="AI4060" s="267"/>
    </row>
    <row r="4061" spans="35:35" x14ac:dyDescent="0.3">
      <c r="AI4061" s="267"/>
    </row>
    <row r="4062" spans="35:35" x14ac:dyDescent="0.3">
      <c r="AI4062" s="267"/>
    </row>
    <row r="4063" spans="35:35" x14ac:dyDescent="0.3">
      <c r="AI4063" s="267"/>
    </row>
    <row r="4064" spans="35:35" x14ac:dyDescent="0.3">
      <c r="AI4064" s="267"/>
    </row>
    <row r="4065" spans="35:35" x14ac:dyDescent="0.3">
      <c r="AI4065" s="267"/>
    </row>
    <row r="4066" spans="35:35" x14ac:dyDescent="0.3">
      <c r="AI4066" s="267"/>
    </row>
    <row r="4067" spans="35:35" x14ac:dyDescent="0.3">
      <c r="AI4067" s="267"/>
    </row>
    <row r="4068" spans="35:35" x14ac:dyDescent="0.3">
      <c r="AI4068" s="267"/>
    </row>
    <row r="4069" spans="35:35" x14ac:dyDescent="0.3">
      <c r="AI4069" s="267"/>
    </row>
    <row r="4070" spans="35:35" x14ac:dyDescent="0.3">
      <c r="AI4070" s="267"/>
    </row>
    <row r="4071" spans="35:35" x14ac:dyDescent="0.3">
      <c r="AI4071" s="267"/>
    </row>
    <row r="4072" spans="35:35" x14ac:dyDescent="0.3">
      <c r="AI4072" s="267"/>
    </row>
    <row r="4073" spans="35:35" x14ac:dyDescent="0.3">
      <c r="AI4073" s="267"/>
    </row>
    <row r="4074" spans="35:35" x14ac:dyDescent="0.3">
      <c r="AI4074" s="267"/>
    </row>
    <row r="4075" spans="35:35" x14ac:dyDescent="0.3">
      <c r="AI4075" s="267"/>
    </row>
    <row r="4076" spans="35:35" x14ac:dyDescent="0.3">
      <c r="AI4076" s="267"/>
    </row>
    <row r="4077" spans="35:35" x14ac:dyDescent="0.3">
      <c r="AI4077" s="267"/>
    </row>
    <row r="4078" spans="35:35" x14ac:dyDescent="0.3">
      <c r="AI4078" s="267"/>
    </row>
    <row r="4079" spans="35:35" x14ac:dyDescent="0.3">
      <c r="AI4079" s="267"/>
    </row>
    <row r="4080" spans="35:35" x14ac:dyDescent="0.3">
      <c r="AI4080" s="267"/>
    </row>
    <row r="4081" spans="35:35" x14ac:dyDescent="0.3">
      <c r="AI4081" s="267"/>
    </row>
    <row r="4082" spans="35:35" x14ac:dyDescent="0.3">
      <c r="AI4082" s="267"/>
    </row>
    <row r="4083" spans="35:35" x14ac:dyDescent="0.3">
      <c r="AI4083" s="267"/>
    </row>
    <row r="4084" spans="35:35" x14ac:dyDescent="0.3">
      <c r="AI4084" s="267"/>
    </row>
    <row r="4085" spans="35:35" x14ac:dyDescent="0.3">
      <c r="AI4085" s="267"/>
    </row>
    <row r="4086" spans="35:35" x14ac:dyDescent="0.3">
      <c r="AI4086" s="267"/>
    </row>
    <row r="4087" spans="35:35" x14ac:dyDescent="0.3">
      <c r="AI4087" s="267"/>
    </row>
    <row r="4088" spans="35:35" x14ac:dyDescent="0.3">
      <c r="AI4088" s="267"/>
    </row>
    <row r="4089" spans="35:35" x14ac:dyDescent="0.3">
      <c r="AI4089" s="267"/>
    </row>
    <row r="4090" spans="35:35" x14ac:dyDescent="0.3">
      <c r="AI4090" s="267"/>
    </row>
    <row r="4091" spans="35:35" x14ac:dyDescent="0.3">
      <c r="AI4091" s="267"/>
    </row>
    <row r="4092" spans="35:35" x14ac:dyDescent="0.3">
      <c r="AI4092" s="267"/>
    </row>
    <row r="4093" spans="35:35" x14ac:dyDescent="0.3">
      <c r="AI4093" s="267"/>
    </row>
    <row r="4094" spans="35:35" x14ac:dyDescent="0.3">
      <c r="AI4094" s="267"/>
    </row>
    <row r="4095" spans="35:35" x14ac:dyDescent="0.3">
      <c r="AI4095" s="267"/>
    </row>
    <row r="4096" spans="35:35" x14ac:dyDescent="0.3">
      <c r="AI4096" s="267"/>
    </row>
    <row r="4097" spans="35:35" x14ac:dyDescent="0.3">
      <c r="AI4097" s="267"/>
    </row>
    <row r="4098" spans="35:35" x14ac:dyDescent="0.3">
      <c r="AI4098" s="267"/>
    </row>
    <row r="4099" spans="35:35" x14ac:dyDescent="0.3">
      <c r="AI4099" s="267"/>
    </row>
    <row r="4100" spans="35:35" x14ac:dyDescent="0.3">
      <c r="AI4100" s="267"/>
    </row>
    <row r="4101" spans="35:35" x14ac:dyDescent="0.3">
      <c r="AI4101" s="267"/>
    </row>
    <row r="4102" spans="35:35" x14ac:dyDescent="0.3">
      <c r="AI4102" s="267"/>
    </row>
    <row r="4103" spans="35:35" x14ac:dyDescent="0.3">
      <c r="AI4103" s="267"/>
    </row>
    <row r="4104" spans="35:35" x14ac:dyDescent="0.3">
      <c r="AI4104" s="267"/>
    </row>
    <row r="4105" spans="35:35" x14ac:dyDescent="0.3">
      <c r="AI4105" s="267"/>
    </row>
    <row r="4106" spans="35:35" x14ac:dyDescent="0.3">
      <c r="AI4106" s="267"/>
    </row>
    <row r="4107" spans="35:35" x14ac:dyDescent="0.3">
      <c r="AI4107" s="267"/>
    </row>
    <row r="4108" spans="35:35" x14ac:dyDescent="0.3">
      <c r="AI4108" s="267"/>
    </row>
    <row r="4109" spans="35:35" x14ac:dyDescent="0.3">
      <c r="AI4109" s="267"/>
    </row>
    <row r="4110" spans="35:35" x14ac:dyDescent="0.3">
      <c r="AI4110" s="267"/>
    </row>
    <row r="4111" spans="35:35" x14ac:dyDescent="0.3">
      <c r="AI4111" s="267"/>
    </row>
    <row r="4112" spans="35:35" x14ac:dyDescent="0.3">
      <c r="AI4112" s="267"/>
    </row>
    <row r="4113" spans="35:35" x14ac:dyDescent="0.3">
      <c r="AI4113" s="267"/>
    </row>
    <row r="4114" spans="35:35" x14ac:dyDescent="0.3">
      <c r="AI4114" s="267"/>
    </row>
    <row r="4115" spans="35:35" x14ac:dyDescent="0.3">
      <c r="AI4115" s="267"/>
    </row>
    <row r="4116" spans="35:35" x14ac:dyDescent="0.3">
      <c r="AI4116" s="267"/>
    </row>
    <row r="4117" spans="35:35" x14ac:dyDescent="0.3">
      <c r="AI4117" s="267"/>
    </row>
    <row r="4118" spans="35:35" x14ac:dyDescent="0.3">
      <c r="AI4118" s="267"/>
    </row>
    <row r="4119" spans="35:35" x14ac:dyDescent="0.3">
      <c r="AI4119" s="267"/>
    </row>
    <row r="4120" spans="35:35" x14ac:dyDescent="0.3">
      <c r="AI4120" s="267"/>
    </row>
    <row r="4121" spans="35:35" x14ac:dyDescent="0.3">
      <c r="AI4121" s="267"/>
    </row>
    <row r="4122" spans="35:35" x14ac:dyDescent="0.3">
      <c r="AI4122" s="267"/>
    </row>
    <row r="4123" spans="35:35" x14ac:dyDescent="0.3">
      <c r="AI4123" s="267"/>
    </row>
    <row r="4124" spans="35:35" x14ac:dyDescent="0.3">
      <c r="AI4124" s="267"/>
    </row>
    <row r="4125" spans="35:35" x14ac:dyDescent="0.3">
      <c r="AI4125" s="267"/>
    </row>
    <row r="4126" spans="35:35" x14ac:dyDescent="0.3">
      <c r="AI4126" s="267"/>
    </row>
    <row r="4127" spans="35:35" x14ac:dyDescent="0.3">
      <c r="AI4127" s="267"/>
    </row>
    <row r="4128" spans="35:35" x14ac:dyDescent="0.3">
      <c r="AI4128" s="267"/>
    </row>
    <row r="4129" spans="35:35" x14ac:dyDescent="0.3">
      <c r="AI4129" s="267"/>
    </row>
    <row r="4130" spans="35:35" x14ac:dyDescent="0.3">
      <c r="AI4130" s="267"/>
    </row>
    <row r="4131" spans="35:35" x14ac:dyDescent="0.3">
      <c r="AI4131" s="267"/>
    </row>
    <row r="4132" spans="35:35" x14ac:dyDescent="0.3">
      <c r="AI4132" s="267"/>
    </row>
    <row r="4133" spans="35:35" x14ac:dyDescent="0.3">
      <c r="AI4133" s="267"/>
    </row>
    <row r="4134" spans="35:35" x14ac:dyDescent="0.3">
      <c r="AI4134" s="267"/>
    </row>
    <row r="4135" spans="35:35" x14ac:dyDescent="0.3">
      <c r="AI4135" s="267"/>
    </row>
    <row r="4136" spans="35:35" x14ac:dyDescent="0.3">
      <c r="AI4136" s="267"/>
    </row>
    <row r="4137" spans="35:35" x14ac:dyDescent="0.3">
      <c r="AI4137" s="267"/>
    </row>
    <row r="4138" spans="35:35" x14ac:dyDescent="0.3">
      <c r="AI4138" s="267"/>
    </row>
    <row r="4139" spans="35:35" x14ac:dyDescent="0.3">
      <c r="AI4139" s="267"/>
    </row>
    <row r="4140" spans="35:35" x14ac:dyDescent="0.3">
      <c r="AI4140" s="267"/>
    </row>
    <row r="4141" spans="35:35" x14ac:dyDescent="0.3">
      <c r="AI4141" s="267"/>
    </row>
    <row r="4142" spans="35:35" x14ac:dyDescent="0.3">
      <c r="AI4142" s="267"/>
    </row>
    <row r="4143" spans="35:35" x14ac:dyDescent="0.3">
      <c r="AI4143" s="267"/>
    </row>
    <row r="4144" spans="35:35" x14ac:dyDescent="0.3">
      <c r="AI4144" s="267"/>
    </row>
    <row r="4145" spans="35:35" x14ac:dyDescent="0.3">
      <c r="AI4145" s="267"/>
    </row>
    <row r="4146" spans="35:35" x14ac:dyDescent="0.3">
      <c r="AI4146" s="267"/>
    </row>
    <row r="4147" spans="35:35" x14ac:dyDescent="0.3">
      <c r="AI4147" s="267"/>
    </row>
    <row r="4148" spans="35:35" x14ac:dyDescent="0.3">
      <c r="AI4148" s="267"/>
    </row>
    <row r="4149" spans="35:35" x14ac:dyDescent="0.3">
      <c r="AI4149" s="267"/>
    </row>
    <row r="4150" spans="35:35" x14ac:dyDescent="0.3">
      <c r="AI4150" s="267"/>
    </row>
    <row r="4151" spans="35:35" x14ac:dyDescent="0.3">
      <c r="AI4151" s="267"/>
    </row>
    <row r="4152" spans="35:35" x14ac:dyDescent="0.3">
      <c r="AI4152" s="267"/>
    </row>
    <row r="4153" spans="35:35" x14ac:dyDescent="0.3">
      <c r="AI4153" s="267"/>
    </row>
    <row r="4154" spans="35:35" x14ac:dyDescent="0.3">
      <c r="AI4154" s="267"/>
    </row>
    <row r="4155" spans="35:35" x14ac:dyDescent="0.3">
      <c r="AI4155" s="267"/>
    </row>
    <row r="4156" spans="35:35" x14ac:dyDescent="0.3">
      <c r="AI4156" s="267"/>
    </row>
    <row r="4157" spans="35:35" x14ac:dyDescent="0.3">
      <c r="AI4157" s="267"/>
    </row>
    <row r="4158" spans="35:35" x14ac:dyDescent="0.3">
      <c r="AI4158" s="267"/>
    </row>
    <row r="4159" spans="35:35" x14ac:dyDescent="0.3">
      <c r="AI4159" s="267"/>
    </row>
    <row r="4160" spans="35:35" x14ac:dyDescent="0.3">
      <c r="AI4160" s="267"/>
    </row>
    <row r="4161" spans="35:35" x14ac:dyDescent="0.3">
      <c r="AI4161" s="267"/>
    </row>
    <row r="4162" spans="35:35" x14ac:dyDescent="0.3">
      <c r="AI4162" s="267"/>
    </row>
    <row r="4163" spans="35:35" x14ac:dyDescent="0.3">
      <c r="AI4163" s="267"/>
    </row>
    <row r="4164" spans="35:35" x14ac:dyDescent="0.3">
      <c r="AI4164" s="267"/>
    </row>
    <row r="4165" spans="35:35" x14ac:dyDescent="0.3">
      <c r="AI4165" s="267"/>
    </row>
    <row r="4166" spans="35:35" x14ac:dyDescent="0.3">
      <c r="AI4166" s="267"/>
    </row>
    <row r="4167" spans="35:35" x14ac:dyDescent="0.3">
      <c r="AI4167" s="267"/>
    </row>
    <row r="4168" spans="35:35" x14ac:dyDescent="0.3">
      <c r="AI4168" s="267"/>
    </row>
    <row r="4169" spans="35:35" x14ac:dyDescent="0.3">
      <c r="AI4169" s="267"/>
    </row>
    <row r="4170" spans="35:35" x14ac:dyDescent="0.3">
      <c r="AI4170" s="267"/>
    </row>
    <row r="4171" spans="35:35" x14ac:dyDescent="0.3">
      <c r="AI4171" s="267"/>
    </row>
    <row r="4172" spans="35:35" x14ac:dyDescent="0.3">
      <c r="AI4172" s="267"/>
    </row>
    <row r="4173" spans="35:35" x14ac:dyDescent="0.3">
      <c r="AI4173" s="267"/>
    </row>
    <row r="4174" spans="35:35" x14ac:dyDescent="0.3">
      <c r="AI4174" s="267"/>
    </row>
    <row r="4175" spans="35:35" x14ac:dyDescent="0.3">
      <c r="AI4175" s="267"/>
    </row>
    <row r="4176" spans="35:35" x14ac:dyDescent="0.3">
      <c r="AI4176" s="267"/>
    </row>
    <row r="4177" spans="35:35" x14ac:dyDescent="0.3">
      <c r="AI4177" s="267"/>
    </row>
    <row r="4178" spans="35:35" x14ac:dyDescent="0.3">
      <c r="AI4178" s="267"/>
    </row>
    <row r="4179" spans="35:35" x14ac:dyDescent="0.3">
      <c r="AI4179" s="267"/>
    </row>
    <row r="4180" spans="35:35" x14ac:dyDescent="0.3">
      <c r="AI4180" s="267"/>
    </row>
    <row r="4181" spans="35:35" x14ac:dyDescent="0.3">
      <c r="AI4181" s="267"/>
    </row>
    <row r="4182" spans="35:35" x14ac:dyDescent="0.3">
      <c r="AI4182" s="267"/>
    </row>
    <row r="4183" spans="35:35" x14ac:dyDescent="0.3">
      <c r="AI4183" s="267"/>
    </row>
    <row r="4184" spans="35:35" x14ac:dyDescent="0.3">
      <c r="AI4184" s="267"/>
    </row>
    <row r="4185" spans="35:35" x14ac:dyDescent="0.3">
      <c r="AI4185" s="267"/>
    </row>
    <row r="4186" spans="35:35" x14ac:dyDescent="0.3">
      <c r="AI4186" s="267"/>
    </row>
    <row r="4187" spans="35:35" x14ac:dyDescent="0.3">
      <c r="AI4187" s="267"/>
    </row>
    <row r="4188" spans="35:35" x14ac:dyDescent="0.3">
      <c r="AI4188" s="267"/>
    </row>
    <row r="4189" spans="35:35" x14ac:dyDescent="0.3">
      <c r="AI4189" s="267"/>
    </row>
    <row r="4190" spans="35:35" x14ac:dyDescent="0.3">
      <c r="AI4190" s="267"/>
    </row>
    <row r="4191" spans="35:35" x14ac:dyDescent="0.3">
      <c r="AI4191" s="267"/>
    </row>
    <row r="4192" spans="35:35" x14ac:dyDescent="0.3">
      <c r="AI4192" s="267"/>
    </row>
    <row r="4193" spans="35:35" x14ac:dyDescent="0.3">
      <c r="AI4193" s="267"/>
    </row>
    <row r="4194" spans="35:35" x14ac:dyDescent="0.3">
      <c r="AI4194" s="267"/>
    </row>
    <row r="4195" spans="35:35" x14ac:dyDescent="0.3">
      <c r="AI4195" s="267"/>
    </row>
    <row r="4196" spans="35:35" x14ac:dyDescent="0.3">
      <c r="AI4196" s="267"/>
    </row>
    <row r="4197" spans="35:35" x14ac:dyDescent="0.3">
      <c r="AI4197" s="267"/>
    </row>
    <row r="4198" spans="35:35" x14ac:dyDescent="0.3">
      <c r="AI4198" s="267"/>
    </row>
    <row r="4199" spans="35:35" x14ac:dyDescent="0.3">
      <c r="AI4199" s="267"/>
    </row>
    <row r="4200" spans="35:35" x14ac:dyDescent="0.3">
      <c r="AI4200" s="267"/>
    </row>
    <row r="4201" spans="35:35" x14ac:dyDescent="0.3">
      <c r="AI4201" s="267"/>
    </row>
    <row r="4202" spans="35:35" x14ac:dyDescent="0.3">
      <c r="AI4202" s="267"/>
    </row>
    <row r="4203" spans="35:35" x14ac:dyDescent="0.3">
      <c r="AI4203" s="267"/>
    </row>
    <row r="4204" spans="35:35" x14ac:dyDescent="0.3">
      <c r="AI4204" s="267"/>
    </row>
    <row r="4205" spans="35:35" x14ac:dyDescent="0.3">
      <c r="AI4205" s="267"/>
    </row>
    <row r="4206" spans="35:35" x14ac:dyDescent="0.3">
      <c r="AI4206" s="267"/>
    </row>
    <row r="4207" spans="35:35" x14ac:dyDescent="0.3">
      <c r="AI4207" s="267"/>
    </row>
    <row r="4208" spans="35:35" x14ac:dyDescent="0.3">
      <c r="AI4208" s="267"/>
    </row>
    <row r="4209" spans="35:35" x14ac:dyDescent="0.3">
      <c r="AI4209" s="267"/>
    </row>
    <row r="4210" spans="35:35" x14ac:dyDescent="0.3">
      <c r="AI4210" s="267"/>
    </row>
    <row r="4211" spans="35:35" x14ac:dyDescent="0.3">
      <c r="AI4211" s="267"/>
    </row>
    <row r="4212" spans="35:35" x14ac:dyDescent="0.3">
      <c r="AI4212" s="267"/>
    </row>
    <row r="4213" spans="35:35" x14ac:dyDescent="0.3">
      <c r="AI4213" s="267"/>
    </row>
    <row r="4214" spans="35:35" x14ac:dyDescent="0.3">
      <c r="AI4214" s="267"/>
    </row>
    <row r="4215" spans="35:35" x14ac:dyDescent="0.3">
      <c r="AI4215" s="267"/>
    </row>
    <row r="4216" spans="35:35" x14ac:dyDescent="0.3">
      <c r="AI4216" s="267"/>
    </row>
    <row r="4217" spans="35:35" x14ac:dyDescent="0.3">
      <c r="AI4217" s="267"/>
    </row>
    <row r="4218" spans="35:35" x14ac:dyDescent="0.3">
      <c r="AI4218" s="267"/>
    </row>
    <row r="4219" spans="35:35" x14ac:dyDescent="0.3">
      <c r="AI4219" s="267"/>
    </row>
    <row r="4220" spans="35:35" x14ac:dyDescent="0.3">
      <c r="AI4220" s="267"/>
    </row>
    <row r="4221" spans="35:35" x14ac:dyDescent="0.3">
      <c r="AI4221" s="267"/>
    </row>
    <row r="4222" spans="35:35" x14ac:dyDescent="0.3">
      <c r="AI4222" s="267"/>
    </row>
    <row r="4223" spans="35:35" x14ac:dyDescent="0.3">
      <c r="AI4223" s="267"/>
    </row>
    <row r="4224" spans="35:35" x14ac:dyDescent="0.3">
      <c r="AI4224" s="267"/>
    </row>
    <row r="4225" spans="35:35" x14ac:dyDescent="0.3">
      <c r="AI4225" s="267"/>
    </row>
    <row r="4226" spans="35:35" x14ac:dyDescent="0.3">
      <c r="AI4226" s="267"/>
    </row>
    <row r="4227" spans="35:35" x14ac:dyDescent="0.3">
      <c r="AI4227" s="267"/>
    </row>
    <row r="4228" spans="35:35" x14ac:dyDescent="0.3">
      <c r="AI4228" s="267"/>
    </row>
    <row r="4229" spans="35:35" x14ac:dyDescent="0.3">
      <c r="AI4229" s="267"/>
    </row>
    <row r="4230" spans="35:35" x14ac:dyDescent="0.3">
      <c r="AI4230" s="267"/>
    </row>
    <row r="4231" spans="35:35" x14ac:dyDescent="0.3">
      <c r="AI4231" s="267"/>
    </row>
    <row r="4232" spans="35:35" x14ac:dyDescent="0.3">
      <c r="AI4232" s="267"/>
    </row>
    <row r="4233" spans="35:35" x14ac:dyDescent="0.3">
      <c r="AI4233" s="267"/>
    </row>
    <row r="4234" spans="35:35" x14ac:dyDescent="0.3">
      <c r="AI4234" s="267"/>
    </row>
    <row r="4235" spans="35:35" x14ac:dyDescent="0.3">
      <c r="AI4235" s="267"/>
    </row>
    <row r="4236" spans="35:35" x14ac:dyDescent="0.3">
      <c r="AI4236" s="267"/>
    </row>
    <row r="4237" spans="35:35" x14ac:dyDescent="0.3">
      <c r="AI4237" s="267"/>
    </row>
    <row r="4238" spans="35:35" x14ac:dyDescent="0.3">
      <c r="AI4238" s="267"/>
    </row>
    <row r="4239" spans="35:35" x14ac:dyDescent="0.3">
      <c r="AI4239" s="267"/>
    </row>
    <row r="4240" spans="35:35" x14ac:dyDescent="0.3">
      <c r="AI4240" s="267"/>
    </row>
    <row r="4241" spans="35:35" x14ac:dyDescent="0.3">
      <c r="AI4241" s="267"/>
    </row>
    <row r="4242" spans="35:35" x14ac:dyDescent="0.3">
      <c r="AI4242" s="267"/>
    </row>
    <row r="4243" spans="35:35" x14ac:dyDescent="0.3">
      <c r="AI4243" s="267"/>
    </row>
    <row r="4244" spans="35:35" x14ac:dyDescent="0.3">
      <c r="AI4244" s="267"/>
    </row>
    <row r="4245" spans="35:35" x14ac:dyDescent="0.3">
      <c r="AI4245" s="267"/>
    </row>
    <row r="4246" spans="35:35" x14ac:dyDescent="0.3">
      <c r="AI4246" s="267"/>
    </row>
    <row r="4247" spans="35:35" x14ac:dyDescent="0.3">
      <c r="AI4247" s="267"/>
    </row>
    <row r="4248" spans="35:35" x14ac:dyDescent="0.3">
      <c r="AI4248" s="267"/>
    </row>
    <row r="4249" spans="35:35" x14ac:dyDescent="0.3">
      <c r="AI4249" s="267"/>
    </row>
    <row r="4250" spans="35:35" x14ac:dyDescent="0.3">
      <c r="AI4250" s="267"/>
    </row>
    <row r="4251" spans="35:35" x14ac:dyDescent="0.3">
      <c r="AI4251" s="267"/>
    </row>
    <row r="4252" spans="35:35" x14ac:dyDescent="0.3">
      <c r="AI4252" s="267"/>
    </row>
    <row r="4253" spans="35:35" x14ac:dyDescent="0.3">
      <c r="AI4253" s="267"/>
    </row>
    <row r="4254" spans="35:35" x14ac:dyDescent="0.3">
      <c r="AI4254" s="267"/>
    </row>
    <row r="4255" spans="35:35" x14ac:dyDescent="0.3">
      <c r="AI4255" s="267"/>
    </row>
    <row r="4256" spans="35:35" x14ac:dyDescent="0.3">
      <c r="AI4256" s="267"/>
    </row>
    <row r="4257" spans="35:35" x14ac:dyDescent="0.3">
      <c r="AI4257" s="267"/>
    </row>
    <row r="4258" spans="35:35" x14ac:dyDescent="0.3">
      <c r="AI4258" s="267"/>
    </row>
    <row r="4259" spans="35:35" x14ac:dyDescent="0.3">
      <c r="AI4259" s="267"/>
    </row>
    <row r="4260" spans="35:35" x14ac:dyDescent="0.3">
      <c r="AI4260" s="267"/>
    </row>
    <row r="4261" spans="35:35" x14ac:dyDescent="0.3">
      <c r="AI4261" s="267"/>
    </row>
    <row r="4262" spans="35:35" x14ac:dyDescent="0.3">
      <c r="AI4262" s="267"/>
    </row>
    <row r="4263" spans="35:35" x14ac:dyDescent="0.3">
      <c r="AI4263" s="267"/>
    </row>
    <row r="4264" spans="35:35" x14ac:dyDescent="0.3">
      <c r="AI4264" s="267"/>
    </row>
    <row r="4265" spans="35:35" x14ac:dyDescent="0.3">
      <c r="AI4265" s="267"/>
    </row>
    <row r="4266" spans="35:35" x14ac:dyDescent="0.3">
      <c r="AI4266" s="267"/>
    </row>
    <row r="4267" spans="35:35" x14ac:dyDescent="0.3">
      <c r="AI4267" s="267"/>
    </row>
    <row r="4268" spans="35:35" x14ac:dyDescent="0.3">
      <c r="AI4268" s="267"/>
    </row>
    <row r="4269" spans="35:35" x14ac:dyDescent="0.3">
      <c r="AI4269" s="267"/>
    </row>
    <row r="4270" spans="35:35" x14ac:dyDescent="0.3">
      <c r="AI4270" s="267"/>
    </row>
    <row r="4271" spans="35:35" x14ac:dyDescent="0.3">
      <c r="AI4271" s="267"/>
    </row>
    <row r="4272" spans="35:35" x14ac:dyDescent="0.3">
      <c r="AI4272" s="267"/>
    </row>
    <row r="4273" spans="35:35" x14ac:dyDescent="0.3">
      <c r="AI4273" s="267"/>
    </row>
    <row r="4274" spans="35:35" x14ac:dyDescent="0.3">
      <c r="AI4274" s="267"/>
    </row>
    <row r="4275" spans="35:35" x14ac:dyDescent="0.3">
      <c r="AI4275" s="267"/>
    </row>
    <row r="4276" spans="35:35" x14ac:dyDescent="0.3">
      <c r="AI4276" s="267"/>
    </row>
    <row r="4277" spans="35:35" x14ac:dyDescent="0.3">
      <c r="AI4277" s="267"/>
    </row>
    <row r="4278" spans="35:35" x14ac:dyDescent="0.3">
      <c r="AI4278" s="267"/>
    </row>
    <row r="4279" spans="35:35" x14ac:dyDescent="0.3">
      <c r="AI4279" s="267"/>
    </row>
    <row r="4280" spans="35:35" x14ac:dyDescent="0.3">
      <c r="AI4280" s="267"/>
    </row>
    <row r="4281" spans="35:35" x14ac:dyDescent="0.3">
      <c r="AI4281" s="267"/>
    </row>
    <row r="4282" spans="35:35" x14ac:dyDescent="0.3">
      <c r="AI4282" s="267"/>
    </row>
    <row r="4283" spans="35:35" x14ac:dyDescent="0.3">
      <c r="AI4283" s="267"/>
    </row>
    <row r="4284" spans="35:35" x14ac:dyDescent="0.3">
      <c r="AI4284" s="267"/>
    </row>
    <row r="4285" spans="35:35" x14ac:dyDescent="0.3">
      <c r="AI4285" s="267"/>
    </row>
    <row r="4286" spans="35:35" x14ac:dyDescent="0.3">
      <c r="AI4286" s="267"/>
    </row>
    <row r="4287" spans="35:35" x14ac:dyDescent="0.3">
      <c r="AI4287" s="267"/>
    </row>
    <row r="4288" spans="35:35" x14ac:dyDescent="0.3">
      <c r="AI4288" s="267"/>
    </row>
    <row r="4289" spans="35:35" x14ac:dyDescent="0.3">
      <c r="AI4289" s="267"/>
    </row>
    <row r="4290" spans="35:35" x14ac:dyDescent="0.3">
      <c r="AI4290" s="267"/>
    </row>
    <row r="4291" spans="35:35" x14ac:dyDescent="0.3">
      <c r="AI4291" s="267"/>
    </row>
    <row r="4292" spans="35:35" x14ac:dyDescent="0.3">
      <c r="AI4292" s="267"/>
    </row>
    <row r="4293" spans="35:35" x14ac:dyDescent="0.3">
      <c r="AI4293" s="267"/>
    </row>
    <row r="4294" spans="35:35" x14ac:dyDescent="0.3">
      <c r="AI4294" s="267"/>
    </row>
    <row r="4295" spans="35:35" x14ac:dyDescent="0.3">
      <c r="AI4295" s="267"/>
    </row>
    <row r="4296" spans="35:35" x14ac:dyDescent="0.3">
      <c r="AI4296" s="267"/>
    </row>
    <row r="4297" spans="35:35" x14ac:dyDescent="0.3">
      <c r="AI4297" s="267"/>
    </row>
    <row r="4298" spans="35:35" x14ac:dyDescent="0.3">
      <c r="AI4298" s="267"/>
    </row>
    <row r="4299" spans="35:35" x14ac:dyDescent="0.3">
      <c r="AI4299" s="267"/>
    </row>
    <row r="4300" spans="35:35" x14ac:dyDescent="0.3">
      <c r="AI4300" s="267"/>
    </row>
    <row r="4301" spans="35:35" x14ac:dyDescent="0.3">
      <c r="AI4301" s="267"/>
    </row>
    <row r="4302" spans="35:35" x14ac:dyDescent="0.3">
      <c r="AI4302" s="267"/>
    </row>
    <row r="4303" spans="35:35" x14ac:dyDescent="0.3">
      <c r="AI4303" s="267"/>
    </row>
    <row r="4304" spans="35:35" x14ac:dyDescent="0.3">
      <c r="AI4304" s="267"/>
    </row>
    <row r="4305" spans="35:35" x14ac:dyDescent="0.3">
      <c r="AI4305" s="267"/>
    </row>
    <row r="4306" spans="35:35" x14ac:dyDescent="0.3">
      <c r="AI4306" s="267"/>
    </row>
    <row r="4307" spans="35:35" x14ac:dyDescent="0.3">
      <c r="AI4307" s="267"/>
    </row>
    <row r="4308" spans="35:35" x14ac:dyDescent="0.3">
      <c r="AI4308" s="267"/>
    </row>
    <row r="4309" spans="35:35" x14ac:dyDescent="0.3">
      <c r="AI4309" s="267"/>
    </row>
    <row r="4310" spans="35:35" x14ac:dyDescent="0.3">
      <c r="AI4310" s="267"/>
    </row>
    <row r="4311" spans="35:35" x14ac:dyDescent="0.3">
      <c r="AI4311" s="267"/>
    </row>
    <row r="4312" spans="35:35" x14ac:dyDescent="0.3">
      <c r="AI4312" s="267"/>
    </row>
    <row r="4313" spans="35:35" x14ac:dyDescent="0.3">
      <c r="AI4313" s="267"/>
    </row>
    <row r="4314" spans="35:35" x14ac:dyDescent="0.3">
      <c r="AI4314" s="267"/>
    </row>
    <row r="4315" spans="35:35" x14ac:dyDescent="0.3">
      <c r="AI4315" s="267"/>
    </row>
    <row r="4316" spans="35:35" x14ac:dyDescent="0.3">
      <c r="AI4316" s="267"/>
    </row>
    <row r="4317" spans="35:35" x14ac:dyDescent="0.3">
      <c r="AI4317" s="267"/>
    </row>
    <row r="4318" spans="35:35" x14ac:dyDescent="0.3">
      <c r="AI4318" s="267"/>
    </row>
    <row r="4319" spans="35:35" x14ac:dyDescent="0.3">
      <c r="AI4319" s="267"/>
    </row>
    <row r="4320" spans="35:35" x14ac:dyDescent="0.3">
      <c r="AI4320" s="267"/>
    </row>
    <row r="4321" spans="35:35" x14ac:dyDescent="0.3">
      <c r="AI4321" s="267"/>
    </row>
    <row r="4322" spans="35:35" x14ac:dyDescent="0.3">
      <c r="AI4322" s="267"/>
    </row>
    <row r="4323" spans="35:35" x14ac:dyDescent="0.3">
      <c r="AI4323" s="267"/>
    </row>
    <row r="4324" spans="35:35" x14ac:dyDescent="0.3">
      <c r="AI4324" s="267"/>
    </row>
    <row r="4325" spans="35:35" x14ac:dyDescent="0.3">
      <c r="AI4325" s="267"/>
    </row>
    <row r="4326" spans="35:35" x14ac:dyDescent="0.3">
      <c r="AI4326" s="267"/>
    </row>
    <row r="4327" spans="35:35" x14ac:dyDescent="0.3">
      <c r="AI4327" s="267"/>
    </row>
    <row r="4328" spans="35:35" x14ac:dyDescent="0.3">
      <c r="AI4328" s="267"/>
    </row>
    <row r="4329" spans="35:35" x14ac:dyDescent="0.3">
      <c r="AI4329" s="267"/>
    </row>
    <row r="4330" spans="35:35" x14ac:dyDescent="0.3">
      <c r="AI4330" s="267"/>
    </row>
    <row r="4331" spans="35:35" x14ac:dyDescent="0.3">
      <c r="AI4331" s="267"/>
    </row>
    <row r="4332" spans="35:35" x14ac:dyDescent="0.3">
      <c r="AI4332" s="267"/>
    </row>
    <row r="4333" spans="35:35" x14ac:dyDescent="0.3">
      <c r="AI4333" s="267"/>
    </row>
    <row r="4334" spans="35:35" x14ac:dyDescent="0.3">
      <c r="AI4334" s="267"/>
    </row>
    <row r="4335" spans="35:35" x14ac:dyDescent="0.3">
      <c r="AI4335" s="267"/>
    </row>
    <row r="4336" spans="35:35" x14ac:dyDescent="0.3">
      <c r="AI4336" s="267"/>
    </row>
    <row r="4337" spans="35:35" x14ac:dyDescent="0.3">
      <c r="AI4337" s="267"/>
    </row>
    <row r="4338" spans="35:35" x14ac:dyDescent="0.3">
      <c r="AI4338" s="267"/>
    </row>
    <row r="4339" spans="35:35" x14ac:dyDescent="0.3">
      <c r="AI4339" s="267"/>
    </row>
    <row r="4340" spans="35:35" x14ac:dyDescent="0.3">
      <c r="AI4340" s="267"/>
    </row>
    <row r="4341" spans="35:35" x14ac:dyDescent="0.3">
      <c r="AI4341" s="267"/>
    </row>
    <row r="4342" spans="35:35" x14ac:dyDescent="0.3">
      <c r="AI4342" s="267"/>
    </row>
    <row r="4343" spans="35:35" x14ac:dyDescent="0.3">
      <c r="AI4343" s="267"/>
    </row>
    <row r="4344" spans="35:35" x14ac:dyDescent="0.3">
      <c r="AI4344" s="267"/>
    </row>
    <row r="4345" spans="35:35" x14ac:dyDescent="0.3">
      <c r="AI4345" s="267"/>
    </row>
    <row r="4346" spans="35:35" x14ac:dyDescent="0.3">
      <c r="AI4346" s="267"/>
    </row>
    <row r="4347" spans="35:35" x14ac:dyDescent="0.3">
      <c r="AI4347" s="267"/>
    </row>
    <row r="4348" spans="35:35" x14ac:dyDescent="0.3">
      <c r="AI4348" s="267"/>
    </row>
    <row r="4349" spans="35:35" x14ac:dyDescent="0.3">
      <c r="AI4349" s="267"/>
    </row>
    <row r="4350" spans="35:35" x14ac:dyDescent="0.3">
      <c r="AI4350" s="267"/>
    </row>
    <row r="4351" spans="35:35" x14ac:dyDescent="0.3">
      <c r="AI4351" s="267"/>
    </row>
    <row r="4352" spans="35:35" x14ac:dyDescent="0.3">
      <c r="AI4352" s="267"/>
    </row>
    <row r="4353" spans="35:35" x14ac:dyDescent="0.3">
      <c r="AI4353" s="267"/>
    </row>
    <row r="4354" spans="35:35" x14ac:dyDescent="0.3">
      <c r="AI4354" s="267"/>
    </row>
    <row r="4355" spans="35:35" x14ac:dyDescent="0.3">
      <c r="AI4355" s="267"/>
    </row>
    <row r="4356" spans="35:35" x14ac:dyDescent="0.3">
      <c r="AI4356" s="267"/>
    </row>
    <row r="4357" spans="35:35" x14ac:dyDescent="0.3">
      <c r="AI4357" s="267"/>
    </row>
    <row r="4358" spans="35:35" x14ac:dyDescent="0.3">
      <c r="AI4358" s="267"/>
    </row>
    <row r="4359" spans="35:35" x14ac:dyDescent="0.3">
      <c r="AI4359" s="267"/>
    </row>
    <row r="4360" spans="35:35" x14ac:dyDescent="0.3">
      <c r="AI4360" s="267"/>
    </row>
    <row r="4361" spans="35:35" x14ac:dyDescent="0.3">
      <c r="AI4361" s="267"/>
    </row>
    <row r="4362" spans="35:35" x14ac:dyDescent="0.3">
      <c r="AI4362" s="267"/>
    </row>
    <row r="4363" spans="35:35" x14ac:dyDescent="0.3">
      <c r="AI4363" s="267"/>
    </row>
    <row r="4364" spans="35:35" x14ac:dyDescent="0.3">
      <c r="AI4364" s="267"/>
    </row>
    <row r="4365" spans="35:35" x14ac:dyDescent="0.3">
      <c r="AI4365" s="267"/>
    </row>
    <row r="4366" spans="35:35" x14ac:dyDescent="0.3">
      <c r="AI4366" s="267"/>
    </row>
    <row r="4367" spans="35:35" x14ac:dyDescent="0.3">
      <c r="AI4367" s="267"/>
    </row>
    <row r="4368" spans="35:35" x14ac:dyDescent="0.3">
      <c r="AI4368" s="267"/>
    </row>
    <row r="4369" spans="35:35" x14ac:dyDescent="0.3">
      <c r="AI4369" s="267"/>
    </row>
    <row r="4370" spans="35:35" x14ac:dyDescent="0.3">
      <c r="AI4370" s="267"/>
    </row>
    <row r="4371" spans="35:35" x14ac:dyDescent="0.3">
      <c r="AI4371" s="267"/>
    </row>
    <row r="4372" spans="35:35" x14ac:dyDescent="0.3">
      <c r="AI4372" s="267"/>
    </row>
    <row r="4373" spans="35:35" x14ac:dyDescent="0.3">
      <c r="AI4373" s="267"/>
    </row>
    <row r="4374" spans="35:35" x14ac:dyDescent="0.3">
      <c r="AI4374" s="267"/>
    </row>
    <row r="4375" spans="35:35" x14ac:dyDescent="0.3">
      <c r="AI4375" s="267"/>
    </row>
    <row r="4376" spans="35:35" x14ac:dyDescent="0.3">
      <c r="AI4376" s="267"/>
    </row>
    <row r="4377" spans="35:35" x14ac:dyDescent="0.3">
      <c r="AI4377" s="267"/>
    </row>
    <row r="4378" spans="35:35" x14ac:dyDescent="0.3">
      <c r="AI4378" s="267"/>
    </row>
    <row r="4379" spans="35:35" x14ac:dyDescent="0.3">
      <c r="AI4379" s="267"/>
    </row>
    <row r="4380" spans="35:35" x14ac:dyDescent="0.3">
      <c r="AI4380" s="267"/>
    </row>
    <row r="4381" spans="35:35" x14ac:dyDescent="0.3">
      <c r="AI4381" s="267"/>
    </row>
    <row r="4382" spans="35:35" x14ac:dyDescent="0.3">
      <c r="AI4382" s="267"/>
    </row>
    <row r="4383" spans="35:35" x14ac:dyDescent="0.3">
      <c r="AI4383" s="267"/>
    </row>
    <row r="4384" spans="35:35" x14ac:dyDescent="0.3">
      <c r="AI4384" s="267"/>
    </row>
    <row r="4385" spans="35:35" x14ac:dyDescent="0.3">
      <c r="AI4385" s="267"/>
    </row>
    <row r="4386" spans="35:35" x14ac:dyDescent="0.3">
      <c r="AI4386" s="267"/>
    </row>
    <row r="4387" spans="35:35" x14ac:dyDescent="0.3">
      <c r="AI4387" s="267"/>
    </row>
    <row r="4388" spans="35:35" x14ac:dyDescent="0.3">
      <c r="AI4388" s="267"/>
    </row>
    <row r="4389" spans="35:35" x14ac:dyDescent="0.3">
      <c r="AI4389" s="267"/>
    </row>
    <row r="4390" spans="35:35" x14ac:dyDescent="0.3">
      <c r="AI4390" s="267"/>
    </row>
    <row r="4391" spans="35:35" x14ac:dyDescent="0.3">
      <c r="AI4391" s="267"/>
    </row>
    <row r="4392" spans="35:35" x14ac:dyDescent="0.3">
      <c r="AI4392" s="267"/>
    </row>
    <row r="4393" spans="35:35" x14ac:dyDescent="0.3">
      <c r="AI4393" s="267"/>
    </row>
    <row r="4394" spans="35:35" x14ac:dyDescent="0.3">
      <c r="AI4394" s="267"/>
    </row>
    <row r="4395" spans="35:35" x14ac:dyDescent="0.3">
      <c r="AI4395" s="267"/>
    </row>
    <row r="4396" spans="35:35" x14ac:dyDescent="0.3">
      <c r="AI4396" s="267"/>
    </row>
    <row r="4397" spans="35:35" x14ac:dyDescent="0.3">
      <c r="AI4397" s="267"/>
    </row>
    <row r="4398" spans="35:35" x14ac:dyDescent="0.3">
      <c r="AI4398" s="267"/>
    </row>
    <row r="4399" spans="35:35" x14ac:dyDescent="0.3">
      <c r="AI4399" s="267"/>
    </row>
    <row r="4400" spans="35:35" x14ac:dyDescent="0.3">
      <c r="AI4400" s="267"/>
    </row>
    <row r="4401" spans="35:35" x14ac:dyDescent="0.3">
      <c r="AI4401" s="267"/>
    </row>
    <row r="4402" spans="35:35" x14ac:dyDescent="0.3">
      <c r="AI4402" s="267"/>
    </row>
    <row r="4403" spans="35:35" x14ac:dyDescent="0.3">
      <c r="AI4403" s="267"/>
    </row>
    <row r="4404" spans="35:35" x14ac:dyDescent="0.3">
      <c r="AI4404" s="267"/>
    </row>
    <row r="4405" spans="35:35" x14ac:dyDescent="0.3">
      <c r="AI4405" s="267"/>
    </row>
    <row r="4406" spans="35:35" x14ac:dyDescent="0.3">
      <c r="AI4406" s="267"/>
    </row>
    <row r="4407" spans="35:35" x14ac:dyDescent="0.3">
      <c r="AI4407" s="267"/>
    </row>
    <row r="4408" spans="35:35" x14ac:dyDescent="0.3">
      <c r="AI4408" s="267"/>
    </row>
    <row r="4409" spans="35:35" x14ac:dyDescent="0.3">
      <c r="AI4409" s="267"/>
    </row>
    <row r="4410" spans="35:35" x14ac:dyDescent="0.3">
      <c r="AI4410" s="267"/>
    </row>
    <row r="4411" spans="35:35" x14ac:dyDescent="0.3">
      <c r="AI4411" s="267"/>
    </row>
    <row r="4412" spans="35:35" x14ac:dyDescent="0.3">
      <c r="AI4412" s="267"/>
    </row>
    <row r="4413" spans="35:35" x14ac:dyDescent="0.3">
      <c r="AI4413" s="267"/>
    </row>
    <row r="4414" spans="35:35" x14ac:dyDescent="0.3">
      <c r="AI4414" s="267"/>
    </row>
    <row r="4415" spans="35:35" x14ac:dyDescent="0.3">
      <c r="AI4415" s="267"/>
    </row>
    <row r="4416" spans="35:35" x14ac:dyDescent="0.3">
      <c r="AI4416" s="267"/>
    </row>
    <row r="4417" spans="35:35" x14ac:dyDescent="0.3">
      <c r="AI4417" s="267"/>
    </row>
    <row r="4418" spans="35:35" x14ac:dyDescent="0.3">
      <c r="AI4418" s="267"/>
    </row>
    <row r="4419" spans="35:35" x14ac:dyDescent="0.3">
      <c r="AI4419" s="267"/>
    </row>
    <row r="4420" spans="35:35" x14ac:dyDescent="0.3">
      <c r="AI4420" s="267"/>
    </row>
    <row r="4421" spans="35:35" x14ac:dyDescent="0.3">
      <c r="AI4421" s="267"/>
    </row>
    <row r="4422" spans="35:35" x14ac:dyDescent="0.3">
      <c r="AI4422" s="267"/>
    </row>
    <row r="4423" spans="35:35" x14ac:dyDescent="0.3">
      <c r="AI4423" s="267"/>
    </row>
    <row r="4424" spans="35:35" x14ac:dyDescent="0.3">
      <c r="AI4424" s="267"/>
    </row>
    <row r="4425" spans="35:35" x14ac:dyDescent="0.3">
      <c r="AI4425" s="267"/>
    </row>
    <row r="4426" spans="35:35" x14ac:dyDescent="0.3">
      <c r="AI4426" s="267"/>
    </row>
    <row r="4427" spans="35:35" x14ac:dyDescent="0.3">
      <c r="AI4427" s="267"/>
    </row>
    <row r="4428" spans="35:35" x14ac:dyDescent="0.3">
      <c r="AI4428" s="267"/>
    </row>
    <row r="4429" spans="35:35" x14ac:dyDescent="0.3">
      <c r="AI4429" s="267"/>
    </row>
    <row r="4430" spans="35:35" x14ac:dyDescent="0.3">
      <c r="AI4430" s="267"/>
    </row>
    <row r="4431" spans="35:35" x14ac:dyDescent="0.3">
      <c r="AI4431" s="267"/>
    </row>
    <row r="4432" spans="35:35" x14ac:dyDescent="0.3">
      <c r="AI4432" s="267"/>
    </row>
    <row r="4433" spans="35:35" x14ac:dyDescent="0.3">
      <c r="AI4433" s="267"/>
    </row>
    <row r="4434" spans="35:35" x14ac:dyDescent="0.3">
      <c r="AI4434" s="267"/>
    </row>
    <row r="4435" spans="35:35" x14ac:dyDescent="0.3">
      <c r="AI4435" s="267"/>
    </row>
    <row r="4436" spans="35:35" x14ac:dyDescent="0.3">
      <c r="AI4436" s="267"/>
    </row>
    <row r="4437" spans="35:35" x14ac:dyDescent="0.3">
      <c r="AI4437" s="267"/>
    </row>
    <row r="4438" spans="35:35" x14ac:dyDescent="0.3">
      <c r="AI4438" s="267"/>
    </row>
    <row r="4439" spans="35:35" x14ac:dyDescent="0.3">
      <c r="AI4439" s="267"/>
    </row>
    <row r="4440" spans="35:35" x14ac:dyDescent="0.3">
      <c r="AI4440" s="267"/>
    </row>
    <row r="4441" spans="35:35" x14ac:dyDescent="0.3">
      <c r="AI4441" s="267"/>
    </row>
    <row r="4442" spans="35:35" x14ac:dyDescent="0.3">
      <c r="AI4442" s="267"/>
    </row>
    <row r="4443" spans="35:35" x14ac:dyDescent="0.3">
      <c r="AI4443" s="267"/>
    </row>
    <row r="4444" spans="35:35" x14ac:dyDescent="0.3">
      <c r="AI4444" s="267"/>
    </row>
    <row r="4445" spans="35:35" x14ac:dyDescent="0.3">
      <c r="AI4445" s="267"/>
    </row>
    <row r="4446" spans="35:35" x14ac:dyDescent="0.3">
      <c r="AI4446" s="267"/>
    </row>
    <row r="4447" spans="35:35" x14ac:dyDescent="0.3">
      <c r="AI4447" s="267"/>
    </row>
    <row r="4448" spans="35:35" x14ac:dyDescent="0.3">
      <c r="AI4448" s="267"/>
    </row>
    <row r="4449" spans="35:35" x14ac:dyDescent="0.3">
      <c r="AI4449" s="267"/>
    </row>
    <row r="4450" spans="35:35" x14ac:dyDescent="0.3">
      <c r="AI4450" s="267"/>
    </row>
    <row r="4451" spans="35:35" x14ac:dyDescent="0.3">
      <c r="AI4451" s="267"/>
    </row>
    <row r="4452" spans="35:35" x14ac:dyDescent="0.3">
      <c r="AI4452" s="267"/>
    </row>
    <row r="4453" spans="35:35" x14ac:dyDescent="0.3">
      <c r="AI4453" s="267"/>
    </row>
    <row r="4454" spans="35:35" x14ac:dyDescent="0.3">
      <c r="AI4454" s="267"/>
    </row>
    <row r="4455" spans="35:35" x14ac:dyDescent="0.3">
      <c r="AI4455" s="267"/>
    </row>
    <row r="4456" spans="35:35" x14ac:dyDescent="0.3">
      <c r="AI4456" s="267"/>
    </row>
    <row r="4457" spans="35:35" x14ac:dyDescent="0.3">
      <c r="AI4457" s="267"/>
    </row>
    <row r="4458" spans="35:35" x14ac:dyDescent="0.3">
      <c r="AI4458" s="267"/>
    </row>
    <row r="4459" spans="35:35" x14ac:dyDescent="0.3">
      <c r="AI4459" s="267"/>
    </row>
    <row r="4460" spans="35:35" x14ac:dyDescent="0.3">
      <c r="AI4460" s="267"/>
    </row>
    <row r="4461" spans="35:35" x14ac:dyDescent="0.3">
      <c r="AI4461" s="267"/>
    </row>
    <row r="4462" spans="35:35" x14ac:dyDescent="0.3">
      <c r="AI4462" s="267"/>
    </row>
    <row r="4463" spans="35:35" x14ac:dyDescent="0.3">
      <c r="AI4463" s="267"/>
    </row>
    <row r="4464" spans="35:35" x14ac:dyDescent="0.3">
      <c r="AI4464" s="267"/>
    </row>
    <row r="4465" spans="35:35" x14ac:dyDescent="0.3">
      <c r="AI4465" s="267"/>
    </row>
    <row r="4466" spans="35:35" x14ac:dyDescent="0.3">
      <c r="AI4466" s="267"/>
    </row>
    <row r="4467" spans="35:35" x14ac:dyDescent="0.3">
      <c r="AI4467" s="267"/>
    </row>
    <row r="4468" spans="35:35" x14ac:dyDescent="0.3">
      <c r="AI4468" s="267"/>
    </row>
    <row r="4469" spans="35:35" x14ac:dyDescent="0.3">
      <c r="AI4469" s="267"/>
    </row>
    <row r="4470" spans="35:35" x14ac:dyDescent="0.3">
      <c r="AI4470" s="267"/>
    </row>
    <row r="4471" spans="35:35" x14ac:dyDescent="0.3">
      <c r="AI4471" s="267"/>
    </row>
    <row r="4472" spans="35:35" x14ac:dyDescent="0.3">
      <c r="AI4472" s="267"/>
    </row>
    <row r="4473" spans="35:35" x14ac:dyDescent="0.3">
      <c r="AI4473" s="267"/>
    </row>
    <row r="4474" spans="35:35" x14ac:dyDescent="0.3">
      <c r="AI4474" s="267"/>
    </row>
    <row r="4475" spans="35:35" x14ac:dyDescent="0.3">
      <c r="AI4475" s="267"/>
    </row>
    <row r="4476" spans="35:35" x14ac:dyDescent="0.3">
      <c r="AI4476" s="267"/>
    </row>
    <row r="4477" spans="35:35" x14ac:dyDescent="0.3">
      <c r="AI4477" s="267"/>
    </row>
    <row r="4478" spans="35:35" x14ac:dyDescent="0.3">
      <c r="AI4478" s="267"/>
    </row>
    <row r="4479" spans="35:35" x14ac:dyDescent="0.3">
      <c r="AI4479" s="267"/>
    </row>
    <row r="4480" spans="35:35" x14ac:dyDescent="0.3">
      <c r="AI4480" s="267"/>
    </row>
    <row r="4481" spans="35:35" x14ac:dyDescent="0.3">
      <c r="AI4481" s="267"/>
    </row>
    <row r="4482" spans="35:35" x14ac:dyDescent="0.3">
      <c r="AI4482" s="267"/>
    </row>
    <row r="4483" spans="35:35" x14ac:dyDescent="0.3">
      <c r="AI4483" s="267"/>
    </row>
    <row r="4484" spans="35:35" x14ac:dyDescent="0.3">
      <c r="AI4484" s="267"/>
    </row>
    <row r="4485" spans="35:35" x14ac:dyDescent="0.3">
      <c r="AI4485" s="267"/>
    </row>
    <row r="4486" spans="35:35" x14ac:dyDescent="0.3">
      <c r="AI4486" s="267"/>
    </row>
    <row r="4487" spans="35:35" x14ac:dyDescent="0.3">
      <c r="AI4487" s="267"/>
    </row>
    <row r="4488" spans="35:35" x14ac:dyDescent="0.3">
      <c r="AI4488" s="267"/>
    </row>
    <row r="4489" spans="35:35" x14ac:dyDescent="0.3">
      <c r="AI4489" s="267"/>
    </row>
    <row r="4490" spans="35:35" x14ac:dyDescent="0.3">
      <c r="AI4490" s="267"/>
    </row>
    <row r="4491" spans="35:35" x14ac:dyDescent="0.3">
      <c r="AI4491" s="267"/>
    </row>
    <row r="4492" spans="35:35" x14ac:dyDescent="0.3">
      <c r="AI4492" s="267"/>
    </row>
    <row r="4493" spans="35:35" x14ac:dyDescent="0.3">
      <c r="AI4493" s="267"/>
    </row>
    <row r="4494" spans="35:35" x14ac:dyDescent="0.3">
      <c r="AI4494" s="267"/>
    </row>
    <row r="4495" spans="35:35" x14ac:dyDescent="0.3">
      <c r="AI4495" s="267"/>
    </row>
    <row r="4496" spans="35:35" x14ac:dyDescent="0.3">
      <c r="AI4496" s="267"/>
    </row>
    <row r="4497" spans="35:35" x14ac:dyDescent="0.3">
      <c r="AI4497" s="267"/>
    </row>
    <row r="4498" spans="35:35" x14ac:dyDescent="0.3">
      <c r="AI4498" s="267"/>
    </row>
    <row r="4499" spans="35:35" x14ac:dyDescent="0.3">
      <c r="AI4499" s="267"/>
    </row>
    <row r="4500" spans="35:35" x14ac:dyDescent="0.3">
      <c r="AI4500" s="267"/>
    </row>
    <row r="4501" spans="35:35" x14ac:dyDescent="0.3">
      <c r="AI4501" s="267"/>
    </row>
    <row r="4502" spans="35:35" x14ac:dyDescent="0.3">
      <c r="AI4502" s="267"/>
    </row>
    <row r="4503" spans="35:35" x14ac:dyDescent="0.3">
      <c r="AI4503" s="267"/>
    </row>
    <row r="4504" spans="35:35" x14ac:dyDescent="0.3">
      <c r="AI4504" s="267"/>
    </row>
    <row r="4505" spans="35:35" x14ac:dyDescent="0.3">
      <c r="AI4505" s="267"/>
    </row>
    <row r="4506" spans="35:35" x14ac:dyDescent="0.3">
      <c r="AI4506" s="267"/>
    </row>
    <row r="4507" spans="35:35" x14ac:dyDescent="0.3">
      <c r="AI4507" s="267"/>
    </row>
    <row r="4508" spans="35:35" x14ac:dyDescent="0.3">
      <c r="AI4508" s="267"/>
    </row>
    <row r="4509" spans="35:35" x14ac:dyDescent="0.3">
      <c r="AI4509" s="267"/>
    </row>
    <row r="4510" spans="35:35" x14ac:dyDescent="0.3">
      <c r="AI4510" s="267"/>
    </row>
    <row r="4511" spans="35:35" x14ac:dyDescent="0.3">
      <c r="AI4511" s="267"/>
    </row>
    <row r="4512" spans="35:35" x14ac:dyDescent="0.3">
      <c r="AI4512" s="267"/>
    </row>
    <row r="4513" spans="35:35" x14ac:dyDescent="0.3">
      <c r="AI4513" s="267"/>
    </row>
    <row r="4514" spans="35:35" x14ac:dyDescent="0.3">
      <c r="AI4514" s="267"/>
    </row>
    <row r="4515" spans="35:35" x14ac:dyDescent="0.3">
      <c r="AI4515" s="267"/>
    </row>
    <row r="4516" spans="35:35" x14ac:dyDescent="0.3">
      <c r="AI4516" s="267"/>
    </row>
    <row r="4517" spans="35:35" x14ac:dyDescent="0.3">
      <c r="AI4517" s="267"/>
    </row>
    <row r="4518" spans="35:35" x14ac:dyDescent="0.3">
      <c r="AI4518" s="267"/>
    </row>
    <row r="4519" spans="35:35" x14ac:dyDescent="0.3">
      <c r="AI4519" s="267"/>
    </row>
    <row r="4520" spans="35:35" x14ac:dyDescent="0.3">
      <c r="AI4520" s="267"/>
    </row>
    <row r="4521" spans="35:35" x14ac:dyDescent="0.3">
      <c r="AI4521" s="267"/>
    </row>
    <row r="4522" spans="35:35" x14ac:dyDescent="0.3">
      <c r="AI4522" s="267"/>
    </row>
    <row r="4523" spans="35:35" x14ac:dyDescent="0.3">
      <c r="AI4523" s="267"/>
    </row>
    <row r="4524" spans="35:35" x14ac:dyDescent="0.3">
      <c r="AI4524" s="267"/>
    </row>
    <row r="4525" spans="35:35" x14ac:dyDescent="0.3">
      <c r="AI4525" s="267"/>
    </row>
    <row r="4526" spans="35:35" x14ac:dyDescent="0.3">
      <c r="AI4526" s="267"/>
    </row>
    <row r="4527" spans="35:35" x14ac:dyDescent="0.3">
      <c r="AI4527" s="267"/>
    </row>
    <row r="4528" spans="35:35" x14ac:dyDescent="0.3">
      <c r="AI4528" s="267"/>
    </row>
    <row r="4529" spans="35:35" x14ac:dyDescent="0.3">
      <c r="AI4529" s="267"/>
    </row>
    <row r="4530" spans="35:35" x14ac:dyDescent="0.3">
      <c r="AI4530" s="267"/>
    </row>
    <row r="4531" spans="35:35" x14ac:dyDescent="0.3">
      <c r="AI4531" s="267"/>
    </row>
    <row r="4532" spans="35:35" x14ac:dyDescent="0.3">
      <c r="AI4532" s="267"/>
    </row>
    <row r="4533" spans="35:35" x14ac:dyDescent="0.3">
      <c r="AI4533" s="267"/>
    </row>
    <row r="4534" spans="35:35" x14ac:dyDescent="0.3">
      <c r="AI4534" s="267"/>
    </row>
    <row r="4535" spans="35:35" x14ac:dyDescent="0.3">
      <c r="AI4535" s="267"/>
    </row>
    <row r="4536" spans="35:35" x14ac:dyDescent="0.3">
      <c r="AI4536" s="267"/>
    </row>
    <row r="4537" spans="35:35" x14ac:dyDescent="0.3">
      <c r="AI4537" s="267"/>
    </row>
    <row r="4538" spans="35:35" x14ac:dyDescent="0.3">
      <c r="AI4538" s="267"/>
    </row>
    <row r="4539" spans="35:35" x14ac:dyDescent="0.3">
      <c r="AI4539" s="267"/>
    </row>
    <row r="4540" spans="35:35" x14ac:dyDescent="0.3">
      <c r="AI4540" s="267"/>
    </row>
    <row r="4541" spans="35:35" x14ac:dyDescent="0.3">
      <c r="AI4541" s="267"/>
    </row>
    <row r="4542" spans="35:35" x14ac:dyDescent="0.3">
      <c r="AI4542" s="267"/>
    </row>
    <row r="4543" spans="35:35" x14ac:dyDescent="0.3">
      <c r="AI4543" s="267"/>
    </row>
    <row r="4544" spans="35:35" x14ac:dyDescent="0.3">
      <c r="AI4544" s="267"/>
    </row>
    <row r="4545" spans="35:35" x14ac:dyDescent="0.3">
      <c r="AI4545" s="267"/>
    </row>
    <row r="4546" spans="35:35" x14ac:dyDescent="0.3">
      <c r="AI4546" s="267"/>
    </row>
    <row r="4547" spans="35:35" x14ac:dyDescent="0.3">
      <c r="AI4547" s="267"/>
    </row>
    <row r="4548" spans="35:35" x14ac:dyDescent="0.3">
      <c r="AI4548" s="267"/>
    </row>
    <row r="4549" spans="35:35" x14ac:dyDescent="0.3">
      <c r="AI4549" s="267"/>
    </row>
    <row r="4550" spans="35:35" x14ac:dyDescent="0.3">
      <c r="AI4550" s="267"/>
    </row>
    <row r="4551" spans="35:35" x14ac:dyDescent="0.3">
      <c r="AI4551" s="267"/>
    </row>
    <row r="4552" spans="35:35" x14ac:dyDescent="0.3">
      <c r="AI4552" s="267"/>
    </row>
    <row r="4553" spans="35:35" x14ac:dyDescent="0.3">
      <c r="AI4553" s="267"/>
    </row>
    <row r="4554" spans="35:35" x14ac:dyDescent="0.3">
      <c r="AI4554" s="267"/>
    </row>
    <row r="4555" spans="35:35" x14ac:dyDescent="0.3">
      <c r="AI4555" s="267"/>
    </row>
    <row r="4556" spans="35:35" x14ac:dyDescent="0.3">
      <c r="AI4556" s="267"/>
    </row>
    <row r="4557" spans="35:35" x14ac:dyDescent="0.3">
      <c r="AI4557" s="267"/>
    </row>
    <row r="4558" spans="35:35" x14ac:dyDescent="0.3">
      <c r="AI4558" s="267"/>
    </row>
    <row r="4559" spans="35:35" x14ac:dyDescent="0.3">
      <c r="AI4559" s="267"/>
    </row>
    <row r="4560" spans="35:35" x14ac:dyDescent="0.3">
      <c r="AI4560" s="267"/>
    </row>
    <row r="4561" spans="35:35" x14ac:dyDescent="0.3">
      <c r="AI4561" s="267"/>
    </row>
    <row r="4562" spans="35:35" x14ac:dyDescent="0.3">
      <c r="AI4562" s="267"/>
    </row>
    <row r="4563" spans="35:35" x14ac:dyDescent="0.3">
      <c r="AI4563" s="267"/>
    </row>
    <row r="4564" spans="35:35" x14ac:dyDescent="0.3">
      <c r="AI4564" s="267"/>
    </row>
    <row r="4565" spans="35:35" x14ac:dyDescent="0.3">
      <c r="AI4565" s="267"/>
    </row>
    <row r="4566" spans="35:35" x14ac:dyDescent="0.3">
      <c r="AI4566" s="267"/>
    </row>
    <row r="4567" spans="35:35" x14ac:dyDescent="0.3">
      <c r="AI4567" s="267"/>
    </row>
    <row r="4568" spans="35:35" x14ac:dyDescent="0.3">
      <c r="AI4568" s="267"/>
    </row>
    <row r="4569" spans="35:35" x14ac:dyDescent="0.3">
      <c r="AI4569" s="267"/>
    </row>
    <row r="4570" spans="35:35" x14ac:dyDescent="0.3">
      <c r="AI4570" s="267"/>
    </row>
    <row r="4571" spans="35:35" x14ac:dyDescent="0.3">
      <c r="AI4571" s="267"/>
    </row>
    <row r="4572" spans="35:35" x14ac:dyDescent="0.3">
      <c r="AI4572" s="267"/>
    </row>
    <row r="4573" spans="35:35" x14ac:dyDescent="0.3">
      <c r="AI4573" s="267"/>
    </row>
    <row r="4574" spans="35:35" x14ac:dyDescent="0.3">
      <c r="AI4574" s="267"/>
    </row>
    <row r="4575" spans="35:35" x14ac:dyDescent="0.3">
      <c r="AI4575" s="267"/>
    </row>
    <row r="4576" spans="35:35" x14ac:dyDescent="0.3">
      <c r="AI4576" s="267"/>
    </row>
    <row r="4577" spans="35:35" x14ac:dyDescent="0.3">
      <c r="AI4577" s="267"/>
    </row>
    <row r="4578" spans="35:35" x14ac:dyDescent="0.3">
      <c r="AI4578" s="267"/>
    </row>
    <row r="4579" spans="35:35" x14ac:dyDescent="0.3">
      <c r="AI4579" s="267"/>
    </row>
    <row r="4580" spans="35:35" x14ac:dyDescent="0.3">
      <c r="AI4580" s="267"/>
    </row>
    <row r="4581" spans="35:35" x14ac:dyDescent="0.3">
      <c r="AI4581" s="267"/>
    </row>
    <row r="4582" spans="35:35" x14ac:dyDescent="0.3">
      <c r="AI4582" s="267"/>
    </row>
    <row r="4583" spans="35:35" x14ac:dyDescent="0.3">
      <c r="AI4583" s="267"/>
    </row>
    <row r="4584" spans="35:35" x14ac:dyDescent="0.3">
      <c r="AI4584" s="267"/>
    </row>
    <row r="4585" spans="35:35" x14ac:dyDescent="0.3">
      <c r="AI4585" s="267"/>
    </row>
    <row r="4586" spans="35:35" x14ac:dyDescent="0.3">
      <c r="AI4586" s="267"/>
    </row>
    <row r="4587" spans="35:35" x14ac:dyDescent="0.3">
      <c r="AI4587" s="267"/>
    </row>
    <row r="4588" spans="35:35" x14ac:dyDescent="0.3">
      <c r="AI4588" s="267"/>
    </row>
    <row r="4589" spans="35:35" x14ac:dyDescent="0.3">
      <c r="AI4589" s="267"/>
    </row>
    <row r="4590" spans="35:35" x14ac:dyDescent="0.3">
      <c r="AI4590" s="267"/>
    </row>
    <row r="4591" spans="35:35" x14ac:dyDescent="0.3">
      <c r="AI4591" s="267"/>
    </row>
    <row r="4592" spans="35:35" x14ac:dyDescent="0.3">
      <c r="AI4592" s="267"/>
    </row>
    <row r="4593" spans="35:35" x14ac:dyDescent="0.3">
      <c r="AI4593" s="267"/>
    </row>
    <row r="4594" spans="35:35" x14ac:dyDescent="0.3">
      <c r="AI4594" s="267"/>
    </row>
    <row r="4595" spans="35:35" x14ac:dyDescent="0.3">
      <c r="AI4595" s="267"/>
    </row>
    <row r="4596" spans="35:35" x14ac:dyDescent="0.3">
      <c r="AI4596" s="267"/>
    </row>
    <row r="4597" spans="35:35" x14ac:dyDescent="0.3">
      <c r="AI4597" s="267"/>
    </row>
    <row r="4598" spans="35:35" x14ac:dyDescent="0.3">
      <c r="AI4598" s="267"/>
    </row>
    <row r="4599" spans="35:35" x14ac:dyDescent="0.3">
      <c r="AI4599" s="267"/>
    </row>
    <row r="4600" spans="35:35" x14ac:dyDescent="0.3">
      <c r="AI4600" s="267"/>
    </row>
    <row r="4601" spans="35:35" x14ac:dyDescent="0.3">
      <c r="AI4601" s="267"/>
    </row>
    <row r="4602" spans="35:35" x14ac:dyDescent="0.3">
      <c r="AI4602" s="267"/>
    </row>
    <row r="4603" spans="35:35" x14ac:dyDescent="0.3">
      <c r="AI4603" s="267"/>
    </row>
    <row r="4604" spans="35:35" x14ac:dyDescent="0.3">
      <c r="AI4604" s="267"/>
    </row>
    <row r="4605" spans="35:35" x14ac:dyDescent="0.3">
      <c r="AI4605" s="267"/>
    </row>
    <row r="4606" spans="35:35" x14ac:dyDescent="0.3">
      <c r="AI4606" s="267"/>
    </row>
    <row r="4607" spans="35:35" x14ac:dyDescent="0.3">
      <c r="AI4607" s="267"/>
    </row>
    <row r="4608" spans="35:35" x14ac:dyDescent="0.3">
      <c r="AI4608" s="267"/>
    </row>
    <row r="4609" spans="35:35" x14ac:dyDescent="0.3">
      <c r="AI4609" s="267"/>
    </row>
    <row r="4610" spans="35:35" x14ac:dyDescent="0.3">
      <c r="AI4610" s="267"/>
    </row>
    <row r="4611" spans="35:35" x14ac:dyDescent="0.3">
      <c r="AI4611" s="267"/>
    </row>
    <row r="4612" spans="35:35" x14ac:dyDescent="0.3">
      <c r="AI4612" s="267"/>
    </row>
    <row r="4613" spans="35:35" x14ac:dyDescent="0.3">
      <c r="AI4613" s="267"/>
    </row>
    <row r="4614" spans="35:35" x14ac:dyDescent="0.3">
      <c r="AI4614" s="267"/>
    </row>
    <row r="4615" spans="35:35" x14ac:dyDescent="0.3">
      <c r="AI4615" s="267"/>
    </row>
    <row r="4616" spans="35:35" x14ac:dyDescent="0.3">
      <c r="AI4616" s="267"/>
    </row>
    <row r="4617" spans="35:35" x14ac:dyDescent="0.3">
      <c r="AI4617" s="267"/>
    </row>
    <row r="4618" spans="35:35" x14ac:dyDescent="0.3">
      <c r="AI4618" s="267"/>
    </row>
    <row r="4619" spans="35:35" x14ac:dyDescent="0.3">
      <c r="AI4619" s="267"/>
    </row>
    <row r="4620" spans="35:35" x14ac:dyDescent="0.3">
      <c r="AI4620" s="267"/>
    </row>
    <row r="4621" spans="35:35" x14ac:dyDescent="0.3">
      <c r="AI4621" s="267"/>
    </row>
    <row r="4622" spans="35:35" x14ac:dyDescent="0.3">
      <c r="AI4622" s="267"/>
    </row>
    <row r="4623" spans="35:35" x14ac:dyDescent="0.3">
      <c r="AI4623" s="267"/>
    </row>
    <row r="4624" spans="35:35" x14ac:dyDescent="0.3">
      <c r="AI4624" s="267"/>
    </row>
    <row r="4625" spans="35:35" x14ac:dyDescent="0.3">
      <c r="AI4625" s="267"/>
    </row>
    <row r="4626" spans="35:35" x14ac:dyDescent="0.3">
      <c r="AI4626" s="267"/>
    </row>
    <row r="4627" spans="35:35" x14ac:dyDescent="0.3">
      <c r="AI4627" s="267"/>
    </row>
    <row r="4628" spans="35:35" x14ac:dyDescent="0.3">
      <c r="AI4628" s="267"/>
    </row>
    <row r="4629" spans="35:35" x14ac:dyDescent="0.3">
      <c r="AI4629" s="267"/>
    </row>
    <row r="4630" spans="35:35" x14ac:dyDescent="0.3">
      <c r="AI4630" s="267"/>
    </row>
    <row r="4631" spans="35:35" x14ac:dyDescent="0.3">
      <c r="AI4631" s="267"/>
    </row>
    <row r="4632" spans="35:35" x14ac:dyDescent="0.3">
      <c r="AI4632" s="267"/>
    </row>
    <row r="4633" spans="35:35" x14ac:dyDescent="0.3">
      <c r="AI4633" s="267"/>
    </row>
    <row r="4634" spans="35:35" x14ac:dyDescent="0.3">
      <c r="AI4634" s="267"/>
    </row>
    <row r="4635" spans="35:35" x14ac:dyDescent="0.3">
      <c r="AI4635" s="267"/>
    </row>
    <row r="4636" spans="35:35" x14ac:dyDescent="0.3">
      <c r="AI4636" s="267"/>
    </row>
    <row r="4637" spans="35:35" x14ac:dyDescent="0.3">
      <c r="AI4637" s="267"/>
    </row>
    <row r="4638" spans="35:35" x14ac:dyDescent="0.3">
      <c r="AI4638" s="267"/>
    </row>
    <row r="4639" spans="35:35" x14ac:dyDescent="0.3">
      <c r="AI4639" s="267"/>
    </row>
    <row r="4640" spans="35:35" x14ac:dyDescent="0.3">
      <c r="AI4640" s="267"/>
    </row>
    <row r="4641" spans="35:35" x14ac:dyDescent="0.3">
      <c r="AI4641" s="267"/>
    </row>
    <row r="4642" spans="35:35" x14ac:dyDescent="0.3">
      <c r="AI4642" s="267"/>
    </row>
    <row r="4643" spans="35:35" x14ac:dyDescent="0.3">
      <c r="AI4643" s="267"/>
    </row>
    <row r="4644" spans="35:35" x14ac:dyDescent="0.3">
      <c r="AI4644" s="267"/>
    </row>
    <row r="4645" spans="35:35" x14ac:dyDescent="0.3">
      <c r="AI4645" s="267"/>
    </row>
    <row r="4646" spans="35:35" x14ac:dyDescent="0.3">
      <c r="AI4646" s="267"/>
    </row>
    <row r="4647" spans="35:35" x14ac:dyDescent="0.3">
      <c r="AI4647" s="267"/>
    </row>
    <row r="4648" spans="35:35" x14ac:dyDescent="0.3">
      <c r="AI4648" s="267"/>
    </row>
    <row r="4649" spans="35:35" x14ac:dyDescent="0.3">
      <c r="AI4649" s="267"/>
    </row>
    <row r="4650" spans="35:35" x14ac:dyDescent="0.3">
      <c r="AI4650" s="267"/>
    </row>
    <row r="4651" spans="35:35" x14ac:dyDescent="0.3">
      <c r="AI4651" s="267"/>
    </row>
    <row r="4652" spans="35:35" x14ac:dyDescent="0.3">
      <c r="AI4652" s="267"/>
    </row>
    <row r="4653" spans="35:35" x14ac:dyDescent="0.3">
      <c r="AI4653" s="267"/>
    </row>
    <row r="4654" spans="35:35" x14ac:dyDescent="0.3">
      <c r="AI4654" s="267"/>
    </row>
    <row r="4655" spans="35:35" x14ac:dyDescent="0.3">
      <c r="AI4655" s="267"/>
    </row>
    <row r="4656" spans="35:35" x14ac:dyDescent="0.3">
      <c r="AI4656" s="267"/>
    </row>
    <row r="4657" spans="35:35" x14ac:dyDescent="0.3">
      <c r="AI4657" s="267"/>
    </row>
    <row r="4658" spans="35:35" x14ac:dyDescent="0.3">
      <c r="AI4658" s="267"/>
    </row>
    <row r="4659" spans="35:35" x14ac:dyDescent="0.3">
      <c r="AI4659" s="267"/>
    </row>
    <row r="4660" spans="35:35" x14ac:dyDescent="0.3">
      <c r="AI4660" s="267"/>
    </row>
    <row r="4661" spans="35:35" x14ac:dyDescent="0.3">
      <c r="AI4661" s="267"/>
    </row>
    <row r="4662" spans="35:35" x14ac:dyDescent="0.3">
      <c r="AI4662" s="267"/>
    </row>
    <row r="4663" spans="35:35" x14ac:dyDescent="0.3">
      <c r="AI4663" s="267"/>
    </row>
    <row r="4664" spans="35:35" x14ac:dyDescent="0.3">
      <c r="AI4664" s="267"/>
    </row>
    <row r="4665" spans="35:35" x14ac:dyDescent="0.3">
      <c r="AI4665" s="267"/>
    </row>
    <row r="4666" spans="35:35" x14ac:dyDescent="0.3">
      <c r="AI4666" s="267"/>
    </row>
    <row r="4667" spans="35:35" x14ac:dyDescent="0.3">
      <c r="AI4667" s="267"/>
    </row>
    <row r="4668" spans="35:35" x14ac:dyDescent="0.3">
      <c r="AI4668" s="267"/>
    </row>
    <row r="4669" spans="35:35" x14ac:dyDescent="0.3">
      <c r="AI4669" s="267"/>
    </row>
    <row r="4670" spans="35:35" x14ac:dyDescent="0.3">
      <c r="AI4670" s="267"/>
    </row>
    <row r="4671" spans="35:35" x14ac:dyDescent="0.3">
      <c r="AI4671" s="267"/>
    </row>
    <row r="4672" spans="35:35" x14ac:dyDescent="0.3">
      <c r="AI4672" s="267"/>
    </row>
    <row r="4673" spans="35:35" x14ac:dyDescent="0.3">
      <c r="AI4673" s="267"/>
    </row>
    <row r="4674" spans="35:35" x14ac:dyDescent="0.3">
      <c r="AI4674" s="267"/>
    </row>
    <row r="4675" spans="35:35" x14ac:dyDescent="0.3">
      <c r="AI4675" s="267"/>
    </row>
    <row r="4676" spans="35:35" x14ac:dyDescent="0.3">
      <c r="AI4676" s="267"/>
    </row>
    <row r="4677" spans="35:35" x14ac:dyDescent="0.3">
      <c r="AI4677" s="267"/>
    </row>
    <row r="4678" spans="35:35" x14ac:dyDescent="0.3">
      <c r="AI4678" s="267"/>
    </row>
    <row r="4679" spans="35:35" x14ac:dyDescent="0.3">
      <c r="AI4679" s="267"/>
    </row>
    <row r="4680" spans="35:35" x14ac:dyDescent="0.3">
      <c r="AI4680" s="267"/>
    </row>
    <row r="4681" spans="35:35" x14ac:dyDescent="0.3">
      <c r="AI4681" s="267"/>
    </row>
    <row r="4682" spans="35:35" x14ac:dyDescent="0.3">
      <c r="AI4682" s="267"/>
    </row>
    <row r="4683" spans="35:35" x14ac:dyDescent="0.3">
      <c r="AI4683" s="267"/>
    </row>
    <row r="4684" spans="35:35" x14ac:dyDescent="0.3">
      <c r="AI4684" s="267"/>
    </row>
    <row r="4685" spans="35:35" x14ac:dyDescent="0.3">
      <c r="AI4685" s="267"/>
    </row>
    <row r="4686" spans="35:35" x14ac:dyDescent="0.3">
      <c r="AI4686" s="267"/>
    </row>
    <row r="4687" spans="35:35" x14ac:dyDescent="0.3">
      <c r="AI4687" s="267"/>
    </row>
    <row r="4688" spans="35:35" x14ac:dyDescent="0.3">
      <c r="AI4688" s="267"/>
    </row>
    <row r="4689" spans="35:35" x14ac:dyDescent="0.3">
      <c r="AI4689" s="267"/>
    </row>
    <row r="4690" spans="35:35" x14ac:dyDescent="0.3">
      <c r="AI4690" s="267"/>
    </row>
    <row r="4691" spans="35:35" x14ac:dyDescent="0.3">
      <c r="AI4691" s="267"/>
    </row>
    <row r="4692" spans="35:35" x14ac:dyDescent="0.3">
      <c r="AI4692" s="267"/>
    </row>
    <row r="4693" spans="35:35" x14ac:dyDescent="0.3">
      <c r="AI4693" s="267"/>
    </row>
    <row r="4694" spans="35:35" x14ac:dyDescent="0.3">
      <c r="AI4694" s="267"/>
    </row>
    <row r="4695" spans="35:35" x14ac:dyDescent="0.3">
      <c r="AI4695" s="267"/>
    </row>
    <row r="4696" spans="35:35" x14ac:dyDescent="0.3">
      <c r="AI4696" s="267"/>
    </row>
    <row r="4697" spans="35:35" x14ac:dyDescent="0.3">
      <c r="AI4697" s="267"/>
    </row>
    <row r="4698" spans="35:35" x14ac:dyDescent="0.3">
      <c r="AI4698" s="267"/>
    </row>
    <row r="4699" spans="35:35" x14ac:dyDescent="0.3">
      <c r="AI4699" s="267"/>
    </row>
    <row r="4700" spans="35:35" x14ac:dyDescent="0.3">
      <c r="AI4700" s="267"/>
    </row>
    <row r="4701" spans="35:35" x14ac:dyDescent="0.3">
      <c r="AI4701" s="267"/>
    </row>
    <row r="4702" spans="35:35" x14ac:dyDescent="0.3">
      <c r="AI4702" s="267"/>
    </row>
    <row r="4703" spans="35:35" x14ac:dyDescent="0.3">
      <c r="AI4703" s="267"/>
    </row>
    <row r="4704" spans="35:35" x14ac:dyDescent="0.3">
      <c r="AI4704" s="267"/>
    </row>
    <row r="4705" spans="35:35" x14ac:dyDescent="0.3">
      <c r="AI4705" s="267"/>
    </row>
    <row r="4706" spans="35:35" x14ac:dyDescent="0.3">
      <c r="AI4706" s="267"/>
    </row>
    <row r="4707" spans="35:35" x14ac:dyDescent="0.3">
      <c r="AI4707" s="267"/>
    </row>
    <row r="4708" spans="35:35" x14ac:dyDescent="0.3">
      <c r="AI4708" s="267"/>
    </row>
    <row r="4709" spans="35:35" x14ac:dyDescent="0.3">
      <c r="AI4709" s="267"/>
    </row>
    <row r="4710" spans="35:35" x14ac:dyDescent="0.3">
      <c r="AI4710" s="267"/>
    </row>
    <row r="4711" spans="35:35" x14ac:dyDescent="0.3">
      <c r="AI4711" s="267"/>
    </row>
    <row r="4712" spans="35:35" x14ac:dyDescent="0.3">
      <c r="AI4712" s="267"/>
    </row>
    <row r="4713" spans="35:35" x14ac:dyDescent="0.3">
      <c r="AI4713" s="267"/>
    </row>
    <row r="4714" spans="35:35" x14ac:dyDescent="0.3">
      <c r="AI4714" s="267"/>
    </row>
    <row r="4715" spans="35:35" x14ac:dyDescent="0.3">
      <c r="AI4715" s="267"/>
    </row>
    <row r="4716" spans="35:35" x14ac:dyDescent="0.3">
      <c r="AI4716" s="267"/>
    </row>
    <row r="4717" spans="35:35" x14ac:dyDescent="0.3">
      <c r="AI4717" s="267"/>
    </row>
    <row r="4718" spans="35:35" x14ac:dyDescent="0.3">
      <c r="AI4718" s="267"/>
    </row>
    <row r="4719" spans="35:35" x14ac:dyDescent="0.3">
      <c r="AI4719" s="267"/>
    </row>
    <row r="4720" spans="35:35" x14ac:dyDescent="0.3">
      <c r="AI4720" s="267"/>
    </row>
    <row r="4721" spans="35:35" x14ac:dyDescent="0.3">
      <c r="AI4721" s="267"/>
    </row>
    <row r="4722" spans="35:35" x14ac:dyDescent="0.3">
      <c r="AI4722" s="267"/>
    </row>
    <row r="4723" spans="35:35" x14ac:dyDescent="0.3">
      <c r="AI4723" s="267"/>
    </row>
    <row r="4724" spans="35:35" x14ac:dyDescent="0.3">
      <c r="AI4724" s="267"/>
    </row>
    <row r="4725" spans="35:35" x14ac:dyDescent="0.3">
      <c r="AI4725" s="267"/>
    </row>
    <row r="4726" spans="35:35" x14ac:dyDescent="0.3">
      <c r="AI4726" s="267"/>
    </row>
    <row r="4727" spans="35:35" x14ac:dyDescent="0.3">
      <c r="AI4727" s="267"/>
    </row>
    <row r="4728" spans="35:35" x14ac:dyDescent="0.3">
      <c r="AI4728" s="267"/>
    </row>
    <row r="4729" spans="35:35" x14ac:dyDescent="0.3">
      <c r="AI4729" s="267"/>
    </row>
    <row r="4730" spans="35:35" x14ac:dyDescent="0.3">
      <c r="AI4730" s="267"/>
    </row>
    <row r="4731" spans="35:35" x14ac:dyDescent="0.3">
      <c r="AI4731" s="267"/>
    </row>
    <row r="4732" spans="35:35" x14ac:dyDescent="0.3">
      <c r="AI4732" s="267"/>
    </row>
    <row r="4733" spans="35:35" x14ac:dyDescent="0.3">
      <c r="AI4733" s="267"/>
    </row>
    <row r="4734" spans="35:35" x14ac:dyDescent="0.3">
      <c r="AI4734" s="267"/>
    </row>
    <row r="4735" spans="35:35" x14ac:dyDescent="0.3">
      <c r="AI4735" s="267"/>
    </row>
    <row r="4736" spans="35:35" x14ac:dyDescent="0.3">
      <c r="AI4736" s="267"/>
    </row>
    <row r="4737" spans="35:35" x14ac:dyDescent="0.3">
      <c r="AI4737" s="267"/>
    </row>
    <row r="4738" spans="35:35" x14ac:dyDescent="0.3">
      <c r="AI4738" s="267"/>
    </row>
    <row r="4739" spans="35:35" x14ac:dyDescent="0.3">
      <c r="AI4739" s="267"/>
    </row>
    <row r="4740" spans="35:35" x14ac:dyDescent="0.3">
      <c r="AI4740" s="267"/>
    </row>
    <row r="4741" spans="35:35" x14ac:dyDescent="0.3">
      <c r="AI4741" s="267"/>
    </row>
    <row r="4742" spans="35:35" x14ac:dyDescent="0.3">
      <c r="AI4742" s="267"/>
    </row>
    <row r="4743" spans="35:35" x14ac:dyDescent="0.3">
      <c r="AI4743" s="267"/>
    </row>
    <row r="4744" spans="35:35" x14ac:dyDescent="0.3">
      <c r="AI4744" s="267"/>
    </row>
    <row r="4745" spans="35:35" x14ac:dyDescent="0.3">
      <c r="AI4745" s="267"/>
    </row>
    <row r="4746" spans="35:35" x14ac:dyDescent="0.3">
      <c r="AI4746" s="267"/>
    </row>
    <row r="4747" spans="35:35" x14ac:dyDescent="0.3">
      <c r="AI4747" s="267"/>
    </row>
    <row r="4748" spans="35:35" x14ac:dyDescent="0.3">
      <c r="AI4748" s="267"/>
    </row>
    <row r="4749" spans="35:35" x14ac:dyDescent="0.3">
      <c r="AI4749" s="267"/>
    </row>
    <row r="4750" spans="35:35" x14ac:dyDescent="0.3">
      <c r="AI4750" s="267"/>
    </row>
    <row r="4751" spans="35:35" x14ac:dyDescent="0.3">
      <c r="AI4751" s="267"/>
    </row>
    <row r="4752" spans="35:35" x14ac:dyDescent="0.3">
      <c r="AI4752" s="267"/>
    </row>
    <row r="4753" spans="35:35" x14ac:dyDescent="0.3">
      <c r="AI4753" s="267"/>
    </row>
    <row r="4754" spans="35:35" x14ac:dyDescent="0.3">
      <c r="AI4754" s="267"/>
    </row>
    <row r="4755" spans="35:35" x14ac:dyDescent="0.3">
      <c r="AI4755" s="267"/>
    </row>
    <row r="4756" spans="35:35" x14ac:dyDescent="0.3">
      <c r="AI4756" s="267"/>
    </row>
    <row r="4757" spans="35:35" x14ac:dyDescent="0.3">
      <c r="AI4757" s="267"/>
    </row>
    <row r="4758" spans="35:35" x14ac:dyDescent="0.3">
      <c r="AI4758" s="267"/>
    </row>
    <row r="4759" spans="35:35" x14ac:dyDescent="0.3">
      <c r="AI4759" s="267"/>
    </row>
    <row r="4760" spans="35:35" x14ac:dyDescent="0.3">
      <c r="AI4760" s="267"/>
    </row>
    <row r="4761" spans="35:35" x14ac:dyDescent="0.3">
      <c r="AI4761" s="267"/>
    </row>
    <row r="4762" spans="35:35" x14ac:dyDescent="0.3">
      <c r="AI4762" s="267"/>
    </row>
    <row r="4763" spans="35:35" x14ac:dyDescent="0.3">
      <c r="AI4763" s="267"/>
    </row>
    <row r="4764" spans="35:35" x14ac:dyDescent="0.3">
      <c r="AI4764" s="267"/>
    </row>
    <row r="4765" spans="35:35" x14ac:dyDescent="0.3">
      <c r="AI4765" s="267"/>
    </row>
    <row r="4766" spans="35:35" x14ac:dyDescent="0.3">
      <c r="AI4766" s="267"/>
    </row>
    <row r="4767" spans="35:35" x14ac:dyDescent="0.3">
      <c r="AI4767" s="267"/>
    </row>
    <row r="4768" spans="35:35" x14ac:dyDescent="0.3">
      <c r="AI4768" s="267"/>
    </row>
    <row r="4769" spans="35:35" x14ac:dyDescent="0.3">
      <c r="AI4769" s="267"/>
    </row>
    <row r="4770" spans="35:35" x14ac:dyDescent="0.3">
      <c r="AI4770" s="267"/>
    </row>
    <row r="4771" spans="35:35" x14ac:dyDescent="0.3">
      <c r="AI4771" s="267"/>
    </row>
    <row r="4772" spans="35:35" x14ac:dyDescent="0.3">
      <c r="AI4772" s="267"/>
    </row>
    <row r="4773" spans="35:35" x14ac:dyDescent="0.3">
      <c r="AI4773" s="267"/>
    </row>
    <row r="4774" spans="35:35" x14ac:dyDescent="0.3">
      <c r="AI4774" s="267"/>
    </row>
    <row r="4775" spans="35:35" x14ac:dyDescent="0.3">
      <c r="AI4775" s="267"/>
    </row>
    <row r="4776" spans="35:35" x14ac:dyDescent="0.3">
      <c r="AI4776" s="267"/>
    </row>
    <row r="4777" spans="35:35" x14ac:dyDescent="0.3">
      <c r="AI4777" s="267"/>
    </row>
    <row r="4778" spans="35:35" x14ac:dyDescent="0.3">
      <c r="AI4778" s="267"/>
    </row>
    <row r="4779" spans="35:35" x14ac:dyDescent="0.3">
      <c r="AI4779" s="267"/>
    </row>
    <row r="4780" spans="35:35" x14ac:dyDescent="0.3">
      <c r="AI4780" s="267"/>
    </row>
    <row r="4781" spans="35:35" x14ac:dyDescent="0.3">
      <c r="AI4781" s="267"/>
    </row>
    <row r="4782" spans="35:35" x14ac:dyDescent="0.3">
      <c r="AI4782" s="267"/>
    </row>
    <row r="4783" spans="35:35" x14ac:dyDescent="0.3">
      <c r="AI4783" s="267"/>
    </row>
    <row r="4784" spans="35:35" x14ac:dyDescent="0.3">
      <c r="AI4784" s="267"/>
    </row>
    <row r="4785" spans="35:35" x14ac:dyDescent="0.3">
      <c r="AI4785" s="267"/>
    </row>
    <row r="4786" spans="35:35" x14ac:dyDescent="0.3">
      <c r="AI4786" s="267"/>
    </row>
    <row r="4787" spans="35:35" x14ac:dyDescent="0.3">
      <c r="AI4787" s="267"/>
    </row>
    <row r="4788" spans="35:35" x14ac:dyDescent="0.3">
      <c r="AI4788" s="267"/>
    </row>
    <row r="4789" spans="35:35" x14ac:dyDescent="0.3">
      <c r="AI4789" s="267"/>
    </row>
    <row r="4790" spans="35:35" x14ac:dyDescent="0.3">
      <c r="AI4790" s="267"/>
    </row>
    <row r="4791" spans="35:35" x14ac:dyDescent="0.3">
      <c r="AI4791" s="267"/>
    </row>
    <row r="4792" spans="35:35" x14ac:dyDescent="0.3">
      <c r="AI4792" s="267"/>
    </row>
    <row r="4793" spans="35:35" x14ac:dyDescent="0.3">
      <c r="AI4793" s="267"/>
    </row>
    <row r="4794" spans="35:35" x14ac:dyDescent="0.3">
      <c r="AI4794" s="267"/>
    </row>
    <row r="4795" spans="35:35" x14ac:dyDescent="0.3">
      <c r="AI4795" s="267"/>
    </row>
    <row r="4796" spans="35:35" x14ac:dyDescent="0.3">
      <c r="AI4796" s="267"/>
    </row>
    <row r="4797" spans="35:35" x14ac:dyDescent="0.3">
      <c r="AI4797" s="267"/>
    </row>
    <row r="4798" spans="35:35" x14ac:dyDescent="0.3">
      <c r="AI4798" s="267"/>
    </row>
    <row r="4799" spans="35:35" x14ac:dyDescent="0.3">
      <c r="AI4799" s="267"/>
    </row>
    <row r="4800" spans="35:35" x14ac:dyDescent="0.3">
      <c r="AI4800" s="267"/>
    </row>
    <row r="4801" spans="35:35" x14ac:dyDescent="0.3">
      <c r="AI4801" s="267"/>
    </row>
    <row r="4802" spans="35:35" x14ac:dyDescent="0.3">
      <c r="AI4802" s="267"/>
    </row>
    <row r="4803" spans="35:35" x14ac:dyDescent="0.3">
      <c r="AI4803" s="267"/>
    </row>
    <row r="4804" spans="35:35" x14ac:dyDescent="0.3">
      <c r="AI4804" s="267"/>
    </row>
    <row r="4805" spans="35:35" x14ac:dyDescent="0.3">
      <c r="AI4805" s="267"/>
    </row>
    <row r="4806" spans="35:35" x14ac:dyDescent="0.3">
      <c r="AI4806" s="267"/>
    </row>
    <row r="4807" spans="35:35" x14ac:dyDescent="0.3">
      <c r="AI4807" s="267"/>
    </row>
    <row r="4808" spans="35:35" x14ac:dyDescent="0.3">
      <c r="AI4808" s="267"/>
    </row>
    <row r="4809" spans="35:35" x14ac:dyDescent="0.3">
      <c r="AI4809" s="267"/>
    </row>
    <row r="4810" spans="35:35" x14ac:dyDescent="0.3">
      <c r="AI4810" s="267"/>
    </row>
    <row r="4811" spans="35:35" x14ac:dyDescent="0.3">
      <c r="AI4811" s="267"/>
    </row>
    <row r="4812" spans="35:35" x14ac:dyDescent="0.3">
      <c r="AI4812" s="267"/>
    </row>
    <row r="4813" spans="35:35" x14ac:dyDescent="0.3">
      <c r="AI4813" s="267"/>
    </row>
    <row r="4814" spans="35:35" x14ac:dyDescent="0.3">
      <c r="AI4814" s="267"/>
    </row>
    <row r="4815" spans="35:35" x14ac:dyDescent="0.3">
      <c r="AI4815" s="267"/>
    </row>
    <row r="4816" spans="35:35" x14ac:dyDescent="0.3">
      <c r="AI4816" s="267"/>
    </row>
    <row r="4817" spans="35:35" x14ac:dyDescent="0.3">
      <c r="AI4817" s="267"/>
    </row>
    <row r="4818" spans="35:35" x14ac:dyDescent="0.3">
      <c r="AI4818" s="267"/>
    </row>
    <row r="4819" spans="35:35" x14ac:dyDescent="0.3">
      <c r="AI4819" s="267"/>
    </row>
    <row r="4820" spans="35:35" x14ac:dyDescent="0.3">
      <c r="AI4820" s="267"/>
    </row>
    <row r="4821" spans="35:35" x14ac:dyDescent="0.3">
      <c r="AI4821" s="267"/>
    </row>
    <row r="4822" spans="35:35" x14ac:dyDescent="0.3">
      <c r="AI4822" s="267"/>
    </row>
    <row r="4823" spans="35:35" x14ac:dyDescent="0.3">
      <c r="AI4823" s="267"/>
    </row>
    <row r="4824" spans="35:35" x14ac:dyDescent="0.3">
      <c r="AI4824" s="267"/>
    </row>
    <row r="4825" spans="35:35" x14ac:dyDescent="0.3">
      <c r="AI4825" s="267"/>
    </row>
    <row r="4826" spans="35:35" x14ac:dyDescent="0.3">
      <c r="AI4826" s="267"/>
    </row>
    <row r="4827" spans="35:35" x14ac:dyDescent="0.3">
      <c r="AI4827" s="267"/>
    </row>
    <row r="4828" spans="35:35" x14ac:dyDescent="0.3">
      <c r="AI4828" s="267"/>
    </row>
    <row r="4829" spans="35:35" x14ac:dyDescent="0.3">
      <c r="AI4829" s="267"/>
    </row>
    <row r="4830" spans="35:35" x14ac:dyDescent="0.3">
      <c r="AI4830" s="267"/>
    </row>
    <row r="4831" spans="35:35" x14ac:dyDescent="0.3">
      <c r="AI4831" s="267"/>
    </row>
    <row r="4832" spans="35:35" x14ac:dyDescent="0.3">
      <c r="AI4832" s="267"/>
    </row>
    <row r="4833" spans="35:35" x14ac:dyDescent="0.3">
      <c r="AI4833" s="267"/>
    </row>
    <row r="4834" spans="35:35" x14ac:dyDescent="0.3">
      <c r="AI4834" s="267"/>
    </row>
    <row r="4835" spans="35:35" x14ac:dyDescent="0.3">
      <c r="AI4835" s="267"/>
    </row>
    <row r="4836" spans="35:35" x14ac:dyDescent="0.3">
      <c r="AI4836" s="267"/>
    </row>
    <row r="4837" spans="35:35" x14ac:dyDescent="0.3">
      <c r="AI4837" s="267"/>
    </row>
    <row r="4838" spans="35:35" x14ac:dyDescent="0.3">
      <c r="AI4838" s="267"/>
    </row>
    <row r="4839" spans="35:35" x14ac:dyDescent="0.3">
      <c r="AI4839" s="267"/>
    </row>
    <row r="4840" spans="35:35" x14ac:dyDescent="0.3">
      <c r="AI4840" s="267"/>
    </row>
    <row r="4841" spans="35:35" x14ac:dyDescent="0.3">
      <c r="AI4841" s="267"/>
    </row>
    <row r="4842" spans="35:35" x14ac:dyDescent="0.3">
      <c r="AI4842" s="267"/>
    </row>
    <row r="4843" spans="35:35" x14ac:dyDescent="0.3">
      <c r="AI4843" s="267"/>
    </row>
    <row r="4844" spans="35:35" x14ac:dyDescent="0.3">
      <c r="AI4844" s="267"/>
    </row>
    <row r="4845" spans="35:35" x14ac:dyDescent="0.3">
      <c r="AI4845" s="267"/>
    </row>
    <row r="4846" spans="35:35" x14ac:dyDescent="0.3">
      <c r="AI4846" s="267"/>
    </row>
    <row r="4847" spans="35:35" x14ac:dyDescent="0.3">
      <c r="AI4847" s="267"/>
    </row>
    <row r="4848" spans="35:35" x14ac:dyDescent="0.3">
      <c r="AI4848" s="267"/>
    </row>
    <row r="4849" spans="35:35" x14ac:dyDescent="0.3">
      <c r="AI4849" s="267"/>
    </row>
    <row r="4850" spans="35:35" x14ac:dyDescent="0.3">
      <c r="AI4850" s="267"/>
    </row>
    <row r="4851" spans="35:35" x14ac:dyDescent="0.3">
      <c r="AI4851" s="267"/>
    </row>
    <row r="4852" spans="35:35" x14ac:dyDescent="0.3">
      <c r="AI4852" s="267"/>
    </row>
    <row r="4853" spans="35:35" x14ac:dyDescent="0.3">
      <c r="AI4853" s="267"/>
    </row>
    <row r="4854" spans="35:35" x14ac:dyDescent="0.3">
      <c r="AI4854" s="267"/>
    </row>
    <row r="4855" spans="35:35" x14ac:dyDescent="0.3">
      <c r="AI4855" s="267"/>
    </row>
    <row r="4856" spans="35:35" x14ac:dyDescent="0.3">
      <c r="AI4856" s="267"/>
    </row>
    <row r="4857" spans="35:35" x14ac:dyDescent="0.3">
      <c r="AI4857" s="267"/>
    </row>
    <row r="4858" spans="35:35" x14ac:dyDescent="0.3">
      <c r="AI4858" s="267"/>
    </row>
    <row r="4859" spans="35:35" x14ac:dyDescent="0.3">
      <c r="AI4859" s="267"/>
    </row>
    <row r="4860" spans="35:35" x14ac:dyDescent="0.3">
      <c r="AI4860" s="267"/>
    </row>
    <row r="4861" spans="35:35" x14ac:dyDescent="0.3">
      <c r="AI4861" s="267"/>
    </row>
    <row r="4862" spans="35:35" x14ac:dyDescent="0.3">
      <c r="AI4862" s="267"/>
    </row>
    <row r="4863" spans="35:35" x14ac:dyDescent="0.3">
      <c r="AI4863" s="267"/>
    </row>
    <row r="4864" spans="35:35" x14ac:dyDescent="0.3">
      <c r="AI4864" s="267"/>
    </row>
    <row r="4865" spans="35:35" x14ac:dyDescent="0.3">
      <c r="AI4865" s="267"/>
    </row>
    <row r="4866" spans="35:35" x14ac:dyDescent="0.3">
      <c r="AI4866" s="267"/>
    </row>
    <row r="4867" spans="35:35" x14ac:dyDescent="0.3">
      <c r="AI4867" s="267"/>
    </row>
    <row r="4868" spans="35:35" x14ac:dyDescent="0.3">
      <c r="AI4868" s="267"/>
    </row>
    <row r="4869" spans="35:35" x14ac:dyDescent="0.3">
      <c r="AI4869" s="267"/>
    </row>
    <row r="4870" spans="35:35" x14ac:dyDescent="0.3">
      <c r="AI4870" s="267"/>
    </row>
    <row r="4871" spans="35:35" x14ac:dyDescent="0.3">
      <c r="AI4871" s="267"/>
    </row>
    <row r="4872" spans="35:35" x14ac:dyDescent="0.3">
      <c r="AI4872" s="267"/>
    </row>
    <row r="4873" spans="35:35" x14ac:dyDescent="0.3">
      <c r="AI4873" s="267"/>
    </row>
    <row r="4874" spans="35:35" x14ac:dyDescent="0.3">
      <c r="AI4874" s="267"/>
    </row>
    <row r="4875" spans="35:35" x14ac:dyDescent="0.3">
      <c r="AI4875" s="267"/>
    </row>
    <row r="4876" spans="35:35" x14ac:dyDescent="0.3">
      <c r="AI4876" s="267"/>
    </row>
    <row r="4877" spans="35:35" x14ac:dyDescent="0.3">
      <c r="AI4877" s="267"/>
    </row>
    <row r="4878" spans="35:35" x14ac:dyDescent="0.3">
      <c r="AI4878" s="267"/>
    </row>
    <row r="4879" spans="35:35" x14ac:dyDescent="0.3">
      <c r="AI4879" s="267"/>
    </row>
    <row r="4880" spans="35:35" x14ac:dyDescent="0.3">
      <c r="AI4880" s="267"/>
    </row>
    <row r="4881" spans="35:35" x14ac:dyDescent="0.3">
      <c r="AI4881" s="267"/>
    </row>
    <row r="4882" spans="35:35" x14ac:dyDescent="0.3">
      <c r="AI4882" s="267"/>
    </row>
    <row r="4883" spans="35:35" x14ac:dyDescent="0.3">
      <c r="AI4883" s="267"/>
    </row>
    <row r="4884" spans="35:35" x14ac:dyDescent="0.3">
      <c r="AI4884" s="267"/>
    </row>
    <row r="4885" spans="35:35" x14ac:dyDescent="0.3">
      <c r="AI4885" s="267"/>
    </row>
    <row r="4886" spans="35:35" x14ac:dyDescent="0.3">
      <c r="AI4886" s="267"/>
    </row>
    <row r="4887" spans="35:35" x14ac:dyDescent="0.3">
      <c r="AI4887" s="267"/>
    </row>
    <row r="4888" spans="35:35" x14ac:dyDescent="0.3">
      <c r="AI4888" s="267"/>
    </row>
    <row r="4889" spans="35:35" x14ac:dyDescent="0.3">
      <c r="AI4889" s="267"/>
    </row>
    <row r="4890" spans="35:35" x14ac:dyDescent="0.3">
      <c r="AI4890" s="267"/>
    </row>
    <row r="4891" spans="35:35" x14ac:dyDescent="0.3">
      <c r="AI4891" s="267"/>
    </row>
    <row r="4892" spans="35:35" x14ac:dyDescent="0.3">
      <c r="AI4892" s="267"/>
    </row>
    <row r="4893" spans="35:35" x14ac:dyDescent="0.3">
      <c r="AI4893" s="267"/>
    </row>
    <row r="4894" spans="35:35" x14ac:dyDescent="0.3">
      <c r="AI4894" s="267"/>
    </row>
    <row r="4895" spans="35:35" x14ac:dyDescent="0.3">
      <c r="AI4895" s="267"/>
    </row>
    <row r="4896" spans="35:35" x14ac:dyDescent="0.3">
      <c r="AI4896" s="267"/>
    </row>
    <row r="4897" spans="35:35" x14ac:dyDescent="0.3">
      <c r="AI4897" s="267"/>
    </row>
    <row r="4898" spans="35:35" x14ac:dyDescent="0.3">
      <c r="AI4898" s="267"/>
    </row>
    <row r="4899" spans="35:35" x14ac:dyDescent="0.3">
      <c r="AI4899" s="267"/>
    </row>
    <row r="4900" spans="35:35" x14ac:dyDescent="0.3">
      <c r="AI4900" s="267"/>
    </row>
    <row r="4901" spans="35:35" x14ac:dyDescent="0.3">
      <c r="AI4901" s="267"/>
    </row>
    <row r="4902" spans="35:35" x14ac:dyDescent="0.3">
      <c r="AI4902" s="267"/>
    </row>
    <row r="4903" spans="35:35" x14ac:dyDescent="0.3">
      <c r="AI4903" s="267"/>
    </row>
    <row r="4904" spans="35:35" x14ac:dyDescent="0.3">
      <c r="AI4904" s="267"/>
    </row>
    <row r="4905" spans="35:35" x14ac:dyDescent="0.3">
      <c r="AI4905" s="267"/>
    </row>
    <row r="4906" spans="35:35" x14ac:dyDescent="0.3">
      <c r="AI4906" s="267"/>
    </row>
    <row r="4907" spans="35:35" x14ac:dyDescent="0.3">
      <c r="AI4907" s="267"/>
    </row>
    <row r="4908" spans="35:35" x14ac:dyDescent="0.3">
      <c r="AI4908" s="267"/>
    </row>
    <row r="4909" spans="35:35" x14ac:dyDescent="0.3">
      <c r="AI4909" s="267"/>
    </row>
    <row r="4910" spans="35:35" x14ac:dyDescent="0.3">
      <c r="AI4910" s="267"/>
    </row>
    <row r="4911" spans="35:35" x14ac:dyDescent="0.3">
      <c r="AI4911" s="267"/>
    </row>
    <row r="4912" spans="35:35" x14ac:dyDescent="0.3">
      <c r="AI4912" s="267"/>
    </row>
    <row r="4913" spans="35:35" x14ac:dyDescent="0.3">
      <c r="AI4913" s="267"/>
    </row>
    <row r="4914" spans="35:35" x14ac:dyDescent="0.3">
      <c r="AI4914" s="267"/>
    </row>
    <row r="4915" spans="35:35" x14ac:dyDescent="0.3">
      <c r="AI4915" s="267"/>
    </row>
    <row r="4916" spans="35:35" x14ac:dyDescent="0.3">
      <c r="AI4916" s="267"/>
    </row>
    <row r="4917" spans="35:35" x14ac:dyDescent="0.3">
      <c r="AI4917" s="267"/>
    </row>
    <row r="4918" spans="35:35" x14ac:dyDescent="0.3">
      <c r="AI4918" s="267"/>
    </row>
    <row r="4919" spans="35:35" x14ac:dyDescent="0.3">
      <c r="AI4919" s="267"/>
    </row>
    <row r="4920" spans="35:35" x14ac:dyDescent="0.3">
      <c r="AI4920" s="267"/>
    </row>
    <row r="4921" spans="35:35" x14ac:dyDescent="0.3">
      <c r="AI4921" s="267"/>
    </row>
    <row r="4922" spans="35:35" x14ac:dyDescent="0.3">
      <c r="AI4922" s="267"/>
    </row>
    <row r="4923" spans="35:35" x14ac:dyDescent="0.3">
      <c r="AI4923" s="267"/>
    </row>
    <row r="4924" spans="35:35" x14ac:dyDescent="0.3">
      <c r="AI4924" s="267"/>
    </row>
    <row r="4925" spans="35:35" x14ac:dyDescent="0.3">
      <c r="AI4925" s="267"/>
    </row>
    <row r="4926" spans="35:35" x14ac:dyDescent="0.3">
      <c r="AI4926" s="267"/>
    </row>
    <row r="4927" spans="35:35" x14ac:dyDescent="0.3">
      <c r="AI4927" s="267"/>
    </row>
    <row r="4928" spans="35:35" x14ac:dyDescent="0.3">
      <c r="AI4928" s="267"/>
    </row>
    <row r="4929" spans="35:35" x14ac:dyDescent="0.3">
      <c r="AI4929" s="267"/>
    </row>
    <row r="4930" spans="35:35" x14ac:dyDescent="0.3">
      <c r="AI4930" s="267"/>
    </row>
    <row r="4931" spans="35:35" x14ac:dyDescent="0.3">
      <c r="AI4931" s="267"/>
    </row>
    <row r="4932" spans="35:35" x14ac:dyDescent="0.3">
      <c r="AI4932" s="267"/>
    </row>
    <row r="4933" spans="35:35" x14ac:dyDescent="0.3">
      <c r="AI4933" s="267"/>
    </row>
    <row r="4934" spans="35:35" x14ac:dyDescent="0.3">
      <c r="AI4934" s="267"/>
    </row>
    <row r="4935" spans="35:35" x14ac:dyDescent="0.3">
      <c r="AI4935" s="267"/>
    </row>
    <row r="4936" spans="35:35" x14ac:dyDescent="0.3">
      <c r="AI4936" s="267"/>
    </row>
    <row r="4937" spans="35:35" x14ac:dyDescent="0.3">
      <c r="AI4937" s="267"/>
    </row>
    <row r="4938" spans="35:35" x14ac:dyDescent="0.3">
      <c r="AI4938" s="267"/>
    </row>
    <row r="4939" spans="35:35" x14ac:dyDescent="0.3">
      <c r="AI4939" s="267"/>
    </row>
    <row r="4940" spans="35:35" x14ac:dyDescent="0.3">
      <c r="AI4940" s="267"/>
    </row>
    <row r="4941" spans="35:35" x14ac:dyDescent="0.3">
      <c r="AI4941" s="267"/>
    </row>
    <row r="4942" spans="35:35" x14ac:dyDescent="0.3">
      <c r="AI4942" s="267"/>
    </row>
    <row r="4943" spans="35:35" x14ac:dyDescent="0.3">
      <c r="AI4943" s="267"/>
    </row>
    <row r="4944" spans="35:35" x14ac:dyDescent="0.3">
      <c r="AI4944" s="267"/>
    </row>
    <row r="4945" spans="35:35" x14ac:dyDescent="0.3">
      <c r="AI4945" s="267"/>
    </row>
    <row r="4946" spans="35:35" x14ac:dyDescent="0.3">
      <c r="AI4946" s="267"/>
    </row>
    <row r="4947" spans="35:35" x14ac:dyDescent="0.3">
      <c r="AI4947" s="267"/>
    </row>
    <row r="4948" spans="35:35" x14ac:dyDescent="0.3">
      <c r="AI4948" s="267"/>
    </row>
    <row r="4949" spans="35:35" x14ac:dyDescent="0.3">
      <c r="AI4949" s="267"/>
    </row>
    <row r="4950" spans="35:35" x14ac:dyDescent="0.3">
      <c r="AI4950" s="267"/>
    </row>
    <row r="4951" spans="35:35" x14ac:dyDescent="0.3">
      <c r="AI4951" s="267"/>
    </row>
    <row r="4952" spans="35:35" x14ac:dyDescent="0.3">
      <c r="AI4952" s="267"/>
    </row>
    <row r="4953" spans="35:35" x14ac:dyDescent="0.3">
      <c r="AI4953" s="267"/>
    </row>
    <row r="4954" spans="35:35" x14ac:dyDescent="0.3">
      <c r="AI4954" s="267"/>
    </row>
    <row r="4955" spans="35:35" x14ac:dyDescent="0.3">
      <c r="AI4955" s="267"/>
    </row>
    <row r="4956" spans="35:35" x14ac:dyDescent="0.3">
      <c r="AI4956" s="267"/>
    </row>
    <row r="4957" spans="35:35" x14ac:dyDescent="0.3">
      <c r="AI4957" s="267"/>
    </row>
    <row r="4958" spans="35:35" x14ac:dyDescent="0.3">
      <c r="AI4958" s="267"/>
    </row>
    <row r="4959" spans="35:35" x14ac:dyDescent="0.3">
      <c r="AI4959" s="267"/>
    </row>
    <row r="4960" spans="35:35" x14ac:dyDescent="0.3">
      <c r="AI4960" s="267"/>
    </row>
    <row r="4961" spans="35:35" x14ac:dyDescent="0.3">
      <c r="AI4961" s="267"/>
    </row>
    <row r="4962" spans="35:35" x14ac:dyDescent="0.3">
      <c r="AI4962" s="267"/>
    </row>
    <row r="4963" spans="35:35" x14ac:dyDescent="0.3">
      <c r="AI4963" s="267"/>
    </row>
    <row r="4964" spans="35:35" x14ac:dyDescent="0.3">
      <c r="AI4964" s="267"/>
    </row>
    <row r="4965" spans="35:35" x14ac:dyDescent="0.3">
      <c r="AI4965" s="267"/>
    </row>
    <row r="4966" spans="35:35" x14ac:dyDescent="0.3">
      <c r="AI4966" s="267"/>
    </row>
    <row r="4967" spans="35:35" x14ac:dyDescent="0.3">
      <c r="AI4967" s="267"/>
    </row>
    <row r="4968" spans="35:35" x14ac:dyDescent="0.3">
      <c r="AI4968" s="267"/>
    </row>
    <row r="4969" spans="35:35" x14ac:dyDescent="0.3">
      <c r="AI4969" s="267"/>
    </row>
    <row r="4970" spans="35:35" x14ac:dyDescent="0.3">
      <c r="AI4970" s="267"/>
    </row>
    <row r="4971" spans="35:35" x14ac:dyDescent="0.3">
      <c r="AI4971" s="267"/>
    </row>
    <row r="4972" spans="35:35" x14ac:dyDescent="0.3">
      <c r="AI4972" s="267"/>
    </row>
    <row r="4973" spans="35:35" x14ac:dyDescent="0.3">
      <c r="AI4973" s="267"/>
    </row>
    <row r="4974" spans="35:35" x14ac:dyDescent="0.3">
      <c r="AI4974" s="267"/>
    </row>
    <row r="4975" spans="35:35" x14ac:dyDescent="0.3">
      <c r="AI4975" s="267"/>
    </row>
    <row r="4976" spans="35:35" x14ac:dyDescent="0.3">
      <c r="AI4976" s="267"/>
    </row>
    <row r="4977" spans="35:35" x14ac:dyDescent="0.3">
      <c r="AI4977" s="267"/>
    </row>
    <row r="4978" spans="35:35" x14ac:dyDescent="0.3">
      <c r="AI4978" s="267"/>
    </row>
    <row r="4979" spans="35:35" x14ac:dyDescent="0.3">
      <c r="AI4979" s="267"/>
    </row>
    <row r="4980" spans="35:35" x14ac:dyDescent="0.3">
      <c r="AI4980" s="267"/>
    </row>
    <row r="4981" spans="35:35" x14ac:dyDescent="0.3">
      <c r="AI4981" s="267"/>
    </row>
    <row r="4982" spans="35:35" x14ac:dyDescent="0.3">
      <c r="AI4982" s="267"/>
    </row>
    <row r="4983" spans="35:35" x14ac:dyDescent="0.3">
      <c r="AI4983" s="267"/>
    </row>
    <row r="4984" spans="35:35" x14ac:dyDescent="0.3">
      <c r="AI4984" s="267"/>
    </row>
    <row r="4985" spans="35:35" x14ac:dyDescent="0.3">
      <c r="AI4985" s="267"/>
    </row>
    <row r="4986" spans="35:35" x14ac:dyDescent="0.3">
      <c r="AI4986" s="267"/>
    </row>
    <row r="4987" spans="35:35" x14ac:dyDescent="0.3">
      <c r="AI4987" s="267"/>
    </row>
    <row r="4988" spans="35:35" x14ac:dyDescent="0.3">
      <c r="AI4988" s="267"/>
    </row>
    <row r="4989" spans="35:35" x14ac:dyDescent="0.3">
      <c r="AI4989" s="267"/>
    </row>
    <row r="4990" spans="35:35" x14ac:dyDescent="0.3">
      <c r="AI4990" s="267"/>
    </row>
    <row r="4991" spans="35:35" x14ac:dyDescent="0.3">
      <c r="AI4991" s="267"/>
    </row>
    <row r="4992" spans="35:35" x14ac:dyDescent="0.3">
      <c r="AI4992" s="267"/>
    </row>
    <row r="4993" spans="35:35" x14ac:dyDescent="0.3">
      <c r="AI4993" s="267"/>
    </row>
    <row r="4994" spans="35:35" x14ac:dyDescent="0.3">
      <c r="AI4994" s="267"/>
    </row>
    <row r="4995" spans="35:35" x14ac:dyDescent="0.3">
      <c r="AI4995" s="267"/>
    </row>
    <row r="4996" spans="35:35" x14ac:dyDescent="0.3">
      <c r="AI4996" s="267"/>
    </row>
    <row r="4997" spans="35:35" x14ac:dyDescent="0.3">
      <c r="AI4997" s="267"/>
    </row>
    <row r="4998" spans="35:35" x14ac:dyDescent="0.3">
      <c r="AI4998" s="267"/>
    </row>
    <row r="4999" spans="35:35" x14ac:dyDescent="0.3">
      <c r="AI4999" s="267"/>
    </row>
    <row r="5000" spans="35:35" x14ac:dyDescent="0.3">
      <c r="AI5000" s="267"/>
    </row>
    <row r="5001" spans="35:35" x14ac:dyDescent="0.3">
      <c r="AI5001" s="267"/>
    </row>
    <row r="5002" spans="35:35" x14ac:dyDescent="0.3">
      <c r="AI5002" s="267"/>
    </row>
    <row r="5003" spans="35:35" x14ac:dyDescent="0.3">
      <c r="AI5003" s="267"/>
    </row>
    <row r="5004" spans="35:35" x14ac:dyDescent="0.3">
      <c r="AI5004" s="267"/>
    </row>
    <row r="5005" spans="35:35" x14ac:dyDescent="0.3">
      <c r="AI5005" s="267"/>
    </row>
    <row r="5006" spans="35:35" x14ac:dyDescent="0.3">
      <c r="AI5006" s="267"/>
    </row>
    <row r="5007" spans="35:35" x14ac:dyDescent="0.3">
      <c r="AI5007" s="267"/>
    </row>
    <row r="5008" spans="35:35" x14ac:dyDescent="0.3">
      <c r="AI5008" s="267"/>
    </row>
    <row r="5009" spans="35:35" x14ac:dyDescent="0.3">
      <c r="AI5009" s="267"/>
    </row>
    <row r="5010" spans="35:35" x14ac:dyDescent="0.3">
      <c r="AI5010" s="267"/>
    </row>
    <row r="5011" spans="35:35" x14ac:dyDescent="0.3">
      <c r="AI5011" s="267"/>
    </row>
    <row r="5012" spans="35:35" x14ac:dyDescent="0.3">
      <c r="AI5012" s="267"/>
    </row>
    <row r="5013" spans="35:35" x14ac:dyDescent="0.3">
      <c r="AI5013" s="267"/>
    </row>
    <row r="5014" spans="35:35" x14ac:dyDescent="0.3">
      <c r="AI5014" s="267"/>
    </row>
    <row r="5015" spans="35:35" x14ac:dyDescent="0.3">
      <c r="AI5015" s="267"/>
    </row>
    <row r="5016" spans="35:35" x14ac:dyDescent="0.3">
      <c r="AI5016" s="267"/>
    </row>
    <row r="5017" spans="35:35" x14ac:dyDescent="0.3">
      <c r="AI5017" s="267"/>
    </row>
    <row r="5018" spans="35:35" x14ac:dyDescent="0.3">
      <c r="AI5018" s="267"/>
    </row>
    <row r="5019" spans="35:35" x14ac:dyDescent="0.3">
      <c r="AI5019" s="267"/>
    </row>
    <row r="5020" spans="35:35" x14ac:dyDescent="0.3">
      <c r="AI5020" s="267"/>
    </row>
    <row r="5021" spans="35:35" x14ac:dyDescent="0.3">
      <c r="AI5021" s="267"/>
    </row>
    <row r="5022" spans="35:35" x14ac:dyDescent="0.3">
      <c r="AI5022" s="267"/>
    </row>
    <row r="5023" spans="35:35" x14ac:dyDescent="0.3">
      <c r="AI5023" s="267"/>
    </row>
    <row r="5024" spans="35:35" x14ac:dyDescent="0.3">
      <c r="AI5024" s="267"/>
    </row>
    <row r="5025" spans="35:35" x14ac:dyDescent="0.3">
      <c r="AI5025" s="267"/>
    </row>
    <row r="5026" spans="35:35" x14ac:dyDescent="0.3">
      <c r="AI5026" s="267"/>
    </row>
    <row r="5027" spans="35:35" x14ac:dyDescent="0.3">
      <c r="AI5027" s="267"/>
    </row>
    <row r="5028" spans="35:35" x14ac:dyDescent="0.3">
      <c r="AI5028" s="267"/>
    </row>
    <row r="5029" spans="35:35" x14ac:dyDescent="0.3">
      <c r="AI5029" s="267"/>
    </row>
    <row r="5030" spans="35:35" x14ac:dyDescent="0.3">
      <c r="AI5030" s="267"/>
    </row>
    <row r="5031" spans="35:35" x14ac:dyDescent="0.3">
      <c r="AI5031" s="267"/>
    </row>
    <row r="5032" spans="35:35" x14ac:dyDescent="0.3">
      <c r="AI5032" s="267"/>
    </row>
    <row r="5033" spans="35:35" x14ac:dyDescent="0.3">
      <c r="AI5033" s="267"/>
    </row>
    <row r="5034" spans="35:35" x14ac:dyDescent="0.3">
      <c r="AI5034" s="267"/>
    </row>
    <row r="5035" spans="35:35" x14ac:dyDescent="0.3">
      <c r="AI5035" s="267"/>
    </row>
    <row r="5036" spans="35:35" x14ac:dyDescent="0.3">
      <c r="AI5036" s="267"/>
    </row>
    <row r="5037" spans="35:35" x14ac:dyDescent="0.3">
      <c r="AI5037" s="267"/>
    </row>
    <row r="5038" spans="35:35" x14ac:dyDescent="0.3">
      <c r="AI5038" s="267"/>
    </row>
    <row r="5039" spans="35:35" x14ac:dyDescent="0.3">
      <c r="AI5039" s="267"/>
    </row>
    <row r="5040" spans="35:35" x14ac:dyDescent="0.3">
      <c r="AI5040" s="267"/>
    </row>
    <row r="5041" spans="35:35" x14ac:dyDescent="0.3">
      <c r="AI5041" s="267"/>
    </row>
    <row r="5042" spans="35:35" x14ac:dyDescent="0.3">
      <c r="AI5042" s="267"/>
    </row>
    <row r="5043" spans="35:35" x14ac:dyDescent="0.3">
      <c r="AI5043" s="267"/>
    </row>
    <row r="5044" spans="35:35" x14ac:dyDescent="0.3">
      <c r="AI5044" s="267"/>
    </row>
    <row r="5045" spans="35:35" x14ac:dyDescent="0.3">
      <c r="AI5045" s="267"/>
    </row>
    <row r="5046" spans="35:35" x14ac:dyDescent="0.3">
      <c r="AI5046" s="267"/>
    </row>
    <row r="5047" spans="35:35" x14ac:dyDescent="0.3">
      <c r="AI5047" s="267"/>
    </row>
    <row r="5048" spans="35:35" x14ac:dyDescent="0.3">
      <c r="AI5048" s="267"/>
    </row>
    <row r="5049" spans="35:35" x14ac:dyDescent="0.3">
      <c r="AI5049" s="267"/>
    </row>
    <row r="5050" spans="35:35" x14ac:dyDescent="0.3">
      <c r="AI5050" s="267"/>
    </row>
    <row r="5051" spans="35:35" x14ac:dyDescent="0.3">
      <c r="AI5051" s="267"/>
    </row>
    <row r="5052" spans="35:35" x14ac:dyDescent="0.3">
      <c r="AI5052" s="267"/>
    </row>
    <row r="5053" spans="35:35" x14ac:dyDescent="0.3">
      <c r="AI5053" s="267"/>
    </row>
    <row r="5054" spans="35:35" x14ac:dyDescent="0.3">
      <c r="AI5054" s="267"/>
    </row>
    <row r="5055" spans="35:35" x14ac:dyDescent="0.3">
      <c r="AI5055" s="267"/>
    </row>
    <row r="5056" spans="35:35" x14ac:dyDescent="0.3">
      <c r="AI5056" s="267"/>
    </row>
    <row r="5057" spans="35:35" x14ac:dyDescent="0.3">
      <c r="AI5057" s="267"/>
    </row>
    <row r="5058" spans="35:35" x14ac:dyDescent="0.3">
      <c r="AI5058" s="267"/>
    </row>
    <row r="5059" spans="35:35" x14ac:dyDescent="0.3">
      <c r="AI5059" s="267"/>
    </row>
    <row r="5060" spans="35:35" x14ac:dyDescent="0.3">
      <c r="AI5060" s="267"/>
    </row>
    <row r="5061" spans="35:35" x14ac:dyDescent="0.3">
      <c r="AI5061" s="267"/>
    </row>
    <row r="5062" spans="35:35" x14ac:dyDescent="0.3">
      <c r="AI5062" s="267"/>
    </row>
    <row r="5063" spans="35:35" x14ac:dyDescent="0.3">
      <c r="AI5063" s="267"/>
    </row>
    <row r="5064" spans="35:35" x14ac:dyDescent="0.3">
      <c r="AI5064" s="267"/>
    </row>
    <row r="5065" spans="35:35" x14ac:dyDescent="0.3">
      <c r="AI5065" s="267"/>
    </row>
    <row r="5066" spans="35:35" x14ac:dyDescent="0.3">
      <c r="AI5066" s="267"/>
    </row>
    <row r="5067" spans="35:35" x14ac:dyDescent="0.3">
      <c r="AI5067" s="267"/>
    </row>
    <row r="5068" spans="35:35" x14ac:dyDescent="0.3">
      <c r="AI5068" s="267"/>
    </row>
    <row r="5069" spans="35:35" x14ac:dyDescent="0.3">
      <c r="AI5069" s="267"/>
    </row>
    <row r="5070" spans="35:35" x14ac:dyDescent="0.3">
      <c r="AI5070" s="267"/>
    </row>
    <row r="5071" spans="35:35" x14ac:dyDescent="0.3">
      <c r="AI5071" s="267"/>
    </row>
    <row r="5072" spans="35:35" x14ac:dyDescent="0.3">
      <c r="AI5072" s="267"/>
    </row>
    <row r="5073" spans="35:35" x14ac:dyDescent="0.3">
      <c r="AI5073" s="267"/>
    </row>
    <row r="5074" spans="35:35" x14ac:dyDescent="0.3">
      <c r="AI5074" s="267"/>
    </row>
    <row r="5075" spans="35:35" x14ac:dyDescent="0.3">
      <c r="AI5075" s="267"/>
    </row>
    <row r="5076" spans="35:35" x14ac:dyDescent="0.3">
      <c r="AI5076" s="267"/>
    </row>
    <row r="5077" spans="35:35" x14ac:dyDescent="0.3">
      <c r="AI5077" s="267"/>
    </row>
    <row r="5078" spans="35:35" x14ac:dyDescent="0.3">
      <c r="AI5078" s="267"/>
    </row>
    <row r="5079" spans="35:35" x14ac:dyDescent="0.3">
      <c r="AI5079" s="267"/>
    </row>
    <row r="5080" spans="35:35" x14ac:dyDescent="0.3">
      <c r="AI5080" s="267"/>
    </row>
    <row r="5081" spans="35:35" x14ac:dyDescent="0.3">
      <c r="AI5081" s="267"/>
    </row>
    <row r="5082" spans="35:35" x14ac:dyDescent="0.3">
      <c r="AI5082" s="267"/>
    </row>
    <row r="5083" spans="35:35" x14ac:dyDescent="0.3">
      <c r="AI5083" s="267"/>
    </row>
    <row r="5084" spans="35:35" x14ac:dyDescent="0.3">
      <c r="AI5084" s="267"/>
    </row>
    <row r="5085" spans="35:35" x14ac:dyDescent="0.3">
      <c r="AI5085" s="267"/>
    </row>
    <row r="5086" spans="35:35" x14ac:dyDescent="0.3">
      <c r="AI5086" s="267"/>
    </row>
    <row r="5087" spans="35:35" x14ac:dyDescent="0.3">
      <c r="AI5087" s="267"/>
    </row>
    <row r="5088" spans="35:35" x14ac:dyDescent="0.3">
      <c r="AI5088" s="267"/>
    </row>
    <row r="5089" spans="35:35" x14ac:dyDescent="0.3">
      <c r="AI5089" s="267"/>
    </row>
    <row r="5090" spans="35:35" x14ac:dyDescent="0.3">
      <c r="AI5090" s="267"/>
    </row>
    <row r="5091" spans="35:35" x14ac:dyDescent="0.3">
      <c r="AI5091" s="267"/>
    </row>
    <row r="5092" spans="35:35" x14ac:dyDescent="0.3">
      <c r="AI5092" s="267"/>
    </row>
    <row r="5093" spans="35:35" x14ac:dyDescent="0.3">
      <c r="AI5093" s="267"/>
    </row>
    <row r="5094" spans="35:35" x14ac:dyDescent="0.3">
      <c r="AI5094" s="267"/>
    </row>
    <row r="5095" spans="35:35" x14ac:dyDescent="0.3">
      <c r="AI5095" s="267"/>
    </row>
    <row r="5096" spans="35:35" x14ac:dyDescent="0.3">
      <c r="AI5096" s="267"/>
    </row>
    <row r="5097" spans="35:35" x14ac:dyDescent="0.3">
      <c r="AI5097" s="267"/>
    </row>
    <row r="5098" spans="35:35" x14ac:dyDescent="0.3">
      <c r="AI5098" s="267"/>
    </row>
    <row r="5099" spans="35:35" x14ac:dyDescent="0.3">
      <c r="AI5099" s="267"/>
    </row>
    <row r="5100" spans="35:35" x14ac:dyDescent="0.3">
      <c r="AI5100" s="267"/>
    </row>
    <row r="5101" spans="35:35" x14ac:dyDescent="0.3">
      <c r="AI5101" s="267"/>
    </row>
    <row r="5102" spans="35:35" x14ac:dyDescent="0.3">
      <c r="AI5102" s="267"/>
    </row>
    <row r="5103" spans="35:35" x14ac:dyDescent="0.3">
      <c r="AI5103" s="267"/>
    </row>
    <row r="5104" spans="35:35" x14ac:dyDescent="0.3">
      <c r="AI5104" s="267"/>
    </row>
    <row r="5105" spans="35:35" x14ac:dyDescent="0.3">
      <c r="AI5105" s="267"/>
    </row>
    <row r="5106" spans="35:35" x14ac:dyDescent="0.3">
      <c r="AI5106" s="267"/>
    </row>
    <row r="5107" spans="35:35" x14ac:dyDescent="0.3">
      <c r="AI5107" s="267"/>
    </row>
    <row r="5108" spans="35:35" x14ac:dyDescent="0.3">
      <c r="AI5108" s="267"/>
    </row>
    <row r="5109" spans="35:35" x14ac:dyDescent="0.3">
      <c r="AI5109" s="267"/>
    </row>
    <row r="5110" spans="35:35" x14ac:dyDescent="0.3">
      <c r="AI5110" s="267"/>
    </row>
    <row r="5111" spans="35:35" x14ac:dyDescent="0.3">
      <c r="AI5111" s="267"/>
    </row>
    <row r="5112" spans="35:35" x14ac:dyDescent="0.3">
      <c r="AI5112" s="267"/>
    </row>
    <row r="5113" spans="35:35" x14ac:dyDescent="0.3">
      <c r="AI5113" s="267"/>
    </row>
    <row r="5114" spans="35:35" x14ac:dyDescent="0.3">
      <c r="AI5114" s="267"/>
    </row>
    <row r="5115" spans="35:35" x14ac:dyDescent="0.3">
      <c r="AI5115" s="267"/>
    </row>
    <row r="5116" spans="35:35" x14ac:dyDescent="0.3">
      <c r="AI5116" s="267"/>
    </row>
    <row r="5117" spans="35:35" x14ac:dyDescent="0.3">
      <c r="AI5117" s="267"/>
    </row>
    <row r="5118" spans="35:35" x14ac:dyDescent="0.3">
      <c r="AI5118" s="267"/>
    </row>
    <row r="5119" spans="35:35" x14ac:dyDescent="0.3">
      <c r="AI5119" s="267"/>
    </row>
    <row r="5120" spans="35:35" x14ac:dyDescent="0.3">
      <c r="AI5120" s="267"/>
    </row>
    <row r="5121" spans="35:35" x14ac:dyDescent="0.3">
      <c r="AI5121" s="267"/>
    </row>
    <row r="5122" spans="35:35" x14ac:dyDescent="0.3">
      <c r="AI5122" s="267"/>
    </row>
    <row r="5123" spans="35:35" x14ac:dyDescent="0.3">
      <c r="AI5123" s="267"/>
    </row>
    <row r="5124" spans="35:35" x14ac:dyDescent="0.3">
      <c r="AI5124" s="267"/>
    </row>
    <row r="5125" spans="35:35" x14ac:dyDescent="0.3">
      <c r="AI5125" s="267"/>
    </row>
    <row r="5126" spans="35:35" x14ac:dyDescent="0.3">
      <c r="AI5126" s="267"/>
    </row>
    <row r="5127" spans="35:35" x14ac:dyDescent="0.3">
      <c r="AI5127" s="267"/>
    </row>
    <row r="5128" spans="35:35" x14ac:dyDescent="0.3">
      <c r="AI5128" s="267"/>
    </row>
    <row r="5129" spans="35:35" x14ac:dyDescent="0.3">
      <c r="AI5129" s="267"/>
    </row>
    <row r="5130" spans="35:35" x14ac:dyDescent="0.3">
      <c r="AI5130" s="267"/>
    </row>
    <row r="5131" spans="35:35" x14ac:dyDescent="0.3">
      <c r="AI5131" s="267"/>
    </row>
    <row r="5132" spans="35:35" x14ac:dyDescent="0.3">
      <c r="AI5132" s="267"/>
    </row>
    <row r="5133" spans="35:35" x14ac:dyDescent="0.3">
      <c r="AI5133" s="267"/>
    </row>
    <row r="5134" spans="35:35" x14ac:dyDescent="0.3">
      <c r="AI5134" s="267"/>
    </row>
    <row r="5135" spans="35:35" x14ac:dyDescent="0.3">
      <c r="AI5135" s="267"/>
    </row>
    <row r="5136" spans="35:35" x14ac:dyDescent="0.3">
      <c r="AI5136" s="267"/>
    </row>
    <row r="5137" spans="35:35" x14ac:dyDescent="0.3">
      <c r="AI5137" s="267"/>
    </row>
    <row r="5138" spans="35:35" x14ac:dyDescent="0.3">
      <c r="AI5138" s="267"/>
    </row>
    <row r="5139" spans="35:35" x14ac:dyDescent="0.3">
      <c r="AI5139" s="267"/>
    </row>
    <row r="5140" spans="35:35" x14ac:dyDescent="0.3">
      <c r="AI5140" s="267"/>
    </row>
    <row r="5141" spans="35:35" x14ac:dyDescent="0.3">
      <c r="AI5141" s="267"/>
    </row>
    <row r="5142" spans="35:35" x14ac:dyDescent="0.3">
      <c r="AI5142" s="267"/>
    </row>
    <row r="5143" spans="35:35" x14ac:dyDescent="0.3">
      <c r="AI5143" s="267"/>
    </row>
    <row r="5144" spans="35:35" x14ac:dyDescent="0.3">
      <c r="AI5144" s="267"/>
    </row>
    <row r="5145" spans="35:35" x14ac:dyDescent="0.3">
      <c r="AI5145" s="267"/>
    </row>
    <row r="5146" spans="35:35" x14ac:dyDescent="0.3">
      <c r="AI5146" s="267"/>
    </row>
    <row r="5147" spans="35:35" x14ac:dyDescent="0.3">
      <c r="AI5147" s="267"/>
    </row>
    <row r="5148" spans="35:35" x14ac:dyDescent="0.3">
      <c r="AI5148" s="267"/>
    </row>
    <row r="5149" spans="35:35" x14ac:dyDescent="0.3">
      <c r="AI5149" s="267"/>
    </row>
    <row r="5150" spans="35:35" x14ac:dyDescent="0.3">
      <c r="AI5150" s="267"/>
    </row>
    <row r="5151" spans="35:35" x14ac:dyDescent="0.3">
      <c r="AI5151" s="267"/>
    </row>
    <row r="5152" spans="35:35" x14ac:dyDescent="0.3">
      <c r="AI5152" s="267"/>
    </row>
    <row r="5153" spans="35:35" x14ac:dyDescent="0.3">
      <c r="AI5153" s="267"/>
    </row>
    <row r="5154" spans="35:35" x14ac:dyDescent="0.3">
      <c r="AI5154" s="267"/>
    </row>
    <row r="5155" spans="35:35" x14ac:dyDescent="0.3">
      <c r="AI5155" s="267"/>
    </row>
    <row r="5156" spans="35:35" x14ac:dyDescent="0.3">
      <c r="AI5156" s="267"/>
    </row>
    <row r="5157" spans="35:35" x14ac:dyDescent="0.3">
      <c r="AI5157" s="267"/>
    </row>
    <row r="5158" spans="35:35" x14ac:dyDescent="0.3">
      <c r="AI5158" s="267"/>
    </row>
    <row r="5159" spans="35:35" x14ac:dyDescent="0.3">
      <c r="AI5159" s="267"/>
    </row>
    <row r="5160" spans="35:35" x14ac:dyDescent="0.3">
      <c r="AI5160" s="267"/>
    </row>
    <row r="5161" spans="35:35" x14ac:dyDescent="0.3">
      <c r="AI5161" s="267"/>
    </row>
    <row r="5162" spans="35:35" x14ac:dyDescent="0.3">
      <c r="AI5162" s="267"/>
    </row>
    <row r="5163" spans="35:35" x14ac:dyDescent="0.3">
      <c r="AI5163" s="267"/>
    </row>
    <row r="5164" spans="35:35" x14ac:dyDescent="0.3">
      <c r="AI5164" s="267"/>
    </row>
    <row r="5165" spans="35:35" x14ac:dyDescent="0.3">
      <c r="AI5165" s="267"/>
    </row>
    <row r="5166" spans="35:35" x14ac:dyDescent="0.3">
      <c r="AI5166" s="267"/>
    </row>
    <row r="5167" spans="35:35" x14ac:dyDescent="0.3">
      <c r="AI5167" s="267"/>
    </row>
    <row r="5168" spans="35:35" x14ac:dyDescent="0.3">
      <c r="AI5168" s="267"/>
    </row>
    <row r="5169" spans="35:35" x14ac:dyDescent="0.3">
      <c r="AI5169" s="267"/>
    </row>
    <row r="5170" spans="35:35" x14ac:dyDescent="0.3">
      <c r="AI5170" s="267"/>
    </row>
    <row r="5171" spans="35:35" x14ac:dyDescent="0.3">
      <c r="AI5171" s="267"/>
    </row>
    <row r="5172" spans="35:35" x14ac:dyDescent="0.3">
      <c r="AI5172" s="267"/>
    </row>
    <row r="5173" spans="35:35" x14ac:dyDescent="0.3">
      <c r="AI5173" s="267"/>
    </row>
    <row r="5174" spans="35:35" x14ac:dyDescent="0.3">
      <c r="AI5174" s="267"/>
    </row>
    <row r="5175" spans="35:35" x14ac:dyDescent="0.3">
      <c r="AI5175" s="267"/>
    </row>
    <row r="5176" spans="35:35" x14ac:dyDescent="0.3">
      <c r="AI5176" s="267"/>
    </row>
    <row r="5177" spans="35:35" x14ac:dyDescent="0.3">
      <c r="AI5177" s="267"/>
    </row>
    <row r="5178" spans="35:35" x14ac:dyDescent="0.3">
      <c r="AI5178" s="267"/>
    </row>
    <row r="5179" spans="35:35" x14ac:dyDescent="0.3">
      <c r="AI5179" s="267"/>
    </row>
    <row r="5180" spans="35:35" x14ac:dyDescent="0.3">
      <c r="AI5180" s="267"/>
    </row>
    <row r="5181" spans="35:35" x14ac:dyDescent="0.3">
      <c r="AI5181" s="267"/>
    </row>
    <row r="5182" spans="35:35" x14ac:dyDescent="0.3">
      <c r="AI5182" s="267"/>
    </row>
    <row r="5183" spans="35:35" x14ac:dyDescent="0.3">
      <c r="AI5183" s="267"/>
    </row>
    <row r="5184" spans="35:35" x14ac:dyDescent="0.3">
      <c r="AI5184" s="267"/>
    </row>
    <row r="5185" spans="35:35" x14ac:dyDescent="0.3">
      <c r="AI5185" s="267"/>
    </row>
    <row r="5186" spans="35:35" x14ac:dyDescent="0.3">
      <c r="AI5186" s="267"/>
    </row>
    <row r="5187" spans="35:35" x14ac:dyDescent="0.3">
      <c r="AI5187" s="267"/>
    </row>
    <row r="5188" spans="35:35" x14ac:dyDescent="0.3">
      <c r="AI5188" s="267"/>
    </row>
    <row r="5189" spans="35:35" x14ac:dyDescent="0.3">
      <c r="AI5189" s="267"/>
    </row>
    <row r="5190" spans="35:35" x14ac:dyDescent="0.3">
      <c r="AI5190" s="267"/>
    </row>
    <row r="5191" spans="35:35" x14ac:dyDescent="0.3">
      <c r="AI5191" s="267"/>
    </row>
    <row r="5192" spans="35:35" x14ac:dyDescent="0.3">
      <c r="AI5192" s="267"/>
    </row>
    <row r="5193" spans="35:35" x14ac:dyDescent="0.3">
      <c r="AI5193" s="267"/>
    </row>
    <row r="5194" spans="35:35" x14ac:dyDescent="0.3">
      <c r="AI5194" s="267"/>
    </row>
    <row r="5195" spans="35:35" x14ac:dyDescent="0.3">
      <c r="AI5195" s="267"/>
    </row>
    <row r="5196" spans="35:35" x14ac:dyDescent="0.3">
      <c r="AI5196" s="267"/>
    </row>
    <row r="5197" spans="35:35" x14ac:dyDescent="0.3">
      <c r="AI5197" s="267"/>
    </row>
    <row r="5198" spans="35:35" x14ac:dyDescent="0.3">
      <c r="AI5198" s="267"/>
    </row>
    <row r="5199" spans="35:35" x14ac:dyDescent="0.3">
      <c r="AI5199" s="267"/>
    </row>
    <row r="5200" spans="35:35" x14ac:dyDescent="0.3">
      <c r="AI5200" s="267"/>
    </row>
    <row r="5201" spans="35:35" x14ac:dyDescent="0.3">
      <c r="AI5201" s="267"/>
    </row>
    <row r="5202" spans="35:35" x14ac:dyDescent="0.3">
      <c r="AI5202" s="267"/>
    </row>
    <row r="5203" spans="35:35" x14ac:dyDescent="0.3">
      <c r="AI5203" s="267"/>
    </row>
    <row r="5204" spans="35:35" x14ac:dyDescent="0.3">
      <c r="AI5204" s="267"/>
    </row>
    <row r="5205" spans="35:35" x14ac:dyDescent="0.3">
      <c r="AI5205" s="267"/>
    </row>
    <row r="5206" spans="35:35" x14ac:dyDescent="0.3">
      <c r="AI5206" s="267"/>
    </row>
    <row r="5207" spans="35:35" x14ac:dyDescent="0.3">
      <c r="AI5207" s="267"/>
    </row>
    <row r="5208" spans="35:35" x14ac:dyDescent="0.3">
      <c r="AI5208" s="267"/>
    </row>
    <row r="5209" spans="35:35" x14ac:dyDescent="0.3">
      <c r="AI5209" s="267"/>
    </row>
    <row r="5210" spans="35:35" x14ac:dyDescent="0.3">
      <c r="AI5210" s="267"/>
    </row>
    <row r="5211" spans="35:35" x14ac:dyDescent="0.3">
      <c r="AI5211" s="267"/>
    </row>
    <row r="5212" spans="35:35" x14ac:dyDescent="0.3">
      <c r="AI5212" s="267"/>
    </row>
    <row r="5213" spans="35:35" x14ac:dyDescent="0.3">
      <c r="AI5213" s="267"/>
    </row>
    <row r="5214" spans="35:35" x14ac:dyDescent="0.3">
      <c r="AI5214" s="267"/>
    </row>
    <row r="5215" spans="35:35" x14ac:dyDescent="0.3">
      <c r="AI5215" s="267"/>
    </row>
    <row r="5216" spans="35:35" x14ac:dyDescent="0.3">
      <c r="AI5216" s="267"/>
    </row>
    <row r="5217" spans="35:35" x14ac:dyDescent="0.3">
      <c r="AI5217" s="267"/>
    </row>
    <row r="5218" spans="35:35" x14ac:dyDescent="0.3">
      <c r="AI5218" s="267"/>
    </row>
    <row r="5219" spans="35:35" x14ac:dyDescent="0.3">
      <c r="AI5219" s="267"/>
    </row>
    <row r="5220" spans="35:35" x14ac:dyDescent="0.3">
      <c r="AI5220" s="267"/>
    </row>
    <row r="5221" spans="35:35" x14ac:dyDescent="0.3">
      <c r="AI5221" s="267"/>
    </row>
    <row r="5222" spans="35:35" x14ac:dyDescent="0.3">
      <c r="AI5222" s="267"/>
    </row>
    <row r="5223" spans="35:35" x14ac:dyDescent="0.3">
      <c r="AI5223" s="267"/>
    </row>
    <row r="5224" spans="35:35" x14ac:dyDescent="0.3">
      <c r="AI5224" s="267"/>
    </row>
    <row r="5225" spans="35:35" x14ac:dyDescent="0.3">
      <c r="AI5225" s="267"/>
    </row>
    <row r="5226" spans="35:35" x14ac:dyDescent="0.3">
      <c r="AI5226" s="267"/>
    </row>
    <row r="5227" spans="35:35" x14ac:dyDescent="0.3">
      <c r="AI5227" s="267"/>
    </row>
    <row r="5228" spans="35:35" x14ac:dyDescent="0.3">
      <c r="AI5228" s="267"/>
    </row>
    <row r="5229" spans="35:35" x14ac:dyDescent="0.3">
      <c r="AI5229" s="267"/>
    </row>
    <row r="5230" spans="35:35" x14ac:dyDescent="0.3">
      <c r="AI5230" s="267"/>
    </row>
    <row r="5231" spans="35:35" x14ac:dyDescent="0.3">
      <c r="AI5231" s="267"/>
    </row>
    <row r="5232" spans="35:35" x14ac:dyDescent="0.3">
      <c r="AI5232" s="267"/>
    </row>
    <row r="5233" spans="35:35" x14ac:dyDescent="0.3">
      <c r="AI5233" s="267"/>
    </row>
    <row r="5234" spans="35:35" x14ac:dyDescent="0.3">
      <c r="AI5234" s="267"/>
    </row>
    <row r="5235" spans="35:35" x14ac:dyDescent="0.3">
      <c r="AI5235" s="267"/>
    </row>
    <row r="5236" spans="35:35" x14ac:dyDescent="0.3">
      <c r="AI5236" s="267"/>
    </row>
    <row r="5237" spans="35:35" x14ac:dyDescent="0.3">
      <c r="AI5237" s="267"/>
    </row>
    <row r="5238" spans="35:35" x14ac:dyDescent="0.3">
      <c r="AI5238" s="267"/>
    </row>
    <row r="5239" spans="35:35" x14ac:dyDescent="0.3">
      <c r="AI5239" s="267"/>
    </row>
    <row r="5240" spans="35:35" x14ac:dyDescent="0.3">
      <c r="AI5240" s="267"/>
    </row>
    <row r="5241" spans="35:35" x14ac:dyDescent="0.3">
      <c r="AI5241" s="267"/>
    </row>
    <row r="5242" spans="35:35" x14ac:dyDescent="0.3">
      <c r="AI5242" s="267"/>
    </row>
    <row r="5243" spans="35:35" x14ac:dyDescent="0.3">
      <c r="AI5243" s="267"/>
    </row>
    <row r="5244" spans="35:35" x14ac:dyDescent="0.3">
      <c r="AI5244" s="267"/>
    </row>
    <row r="5245" spans="35:35" x14ac:dyDescent="0.3">
      <c r="AI5245" s="267"/>
    </row>
    <row r="5246" spans="35:35" x14ac:dyDescent="0.3">
      <c r="AI5246" s="267"/>
    </row>
    <row r="5247" spans="35:35" x14ac:dyDescent="0.3">
      <c r="AI5247" s="267"/>
    </row>
    <row r="5248" spans="35:35" x14ac:dyDescent="0.3">
      <c r="AI5248" s="267"/>
    </row>
    <row r="5249" spans="35:35" x14ac:dyDescent="0.3">
      <c r="AI5249" s="267"/>
    </row>
    <row r="5250" spans="35:35" x14ac:dyDescent="0.3">
      <c r="AI5250" s="267"/>
    </row>
    <row r="5251" spans="35:35" x14ac:dyDescent="0.3">
      <c r="AI5251" s="267"/>
    </row>
    <row r="5252" spans="35:35" x14ac:dyDescent="0.3">
      <c r="AI5252" s="267"/>
    </row>
    <row r="5253" spans="35:35" x14ac:dyDescent="0.3">
      <c r="AI5253" s="267"/>
    </row>
    <row r="5254" spans="35:35" x14ac:dyDescent="0.3">
      <c r="AI5254" s="267"/>
    </row>
    <row r="5255" spans="35:35" x14ac:dyDescent="0.3">
      <c r="AI5255" s="267"/>
    </row>
    <row r="5256" spans="35:35" x14ac:dyDescent="0.3">
      <c r="AI5256" s="267"/>
    </row>
    <row r="5257" spans="35:35" x14ac:dyDescent="0.3">
      <c r="AI5257" s="267"/>
    </row>
    <row r="5258" spans="35:35" x14ac:dyDescent="0.3">
      <c r="AI5258" s="267"/>
    </row>
    <row r="5259" spans="35:35" x14ac:dyDescent="0.3">
      <c r="AI5259" s="267"/>
    </row>
    <row r="5260" spans="35:35" x14ac:dyDescent="0.3">
      <c r="AI5260" s="267"/>
    </row>
    <row r="5261" spans="35:35" x14ac:dyDescent="0.3">
      <c r="AI5261" s="267"/>
    </row>
    <row r="5262" spans="35:35" x14ac:dyDescent="0.3">
      <c r="AI5262" s="267"/>
    </row>
    <row r="5263" spans="35:35" x14ac:dyDescent="0.3">
      <c r="AI5263" s="267"/>
    </row>
    <row r="5264" spans="35:35" x14ac:dyDescent="0.3">
      <c r="AI5264" s="267"/>
    </row>
    <row r="5265" spans="35:35" x14ac:dyDescent="0.3">
      <c r="AI5265" s="267"/>
    </row>
    <row r="5266" spans="35:35" x14ac:dyDescent="0.3">
      <c r="AI5266" s="267"/>
    </row>
    <row r="5267" spans="35:35" x14ac:dyDescent="0.3">
      <c r="AI5267" s="267"/>
    </row>
    <row r="5268" spans="35:35" x14ac:dyDescent="0.3">
      <c r="AI5268" s="267"/>
    </row>
    <row r="5269" spans="35:35" x14ac:dyDescent="0.3">
      <c r="AI5269" s="267"/>
    </row>
    <row r="5270" spans="35:35" x14ac:dyDescent="0.3">
      <c r="AI5270" s="267"/>
    </row>
    <row r="5271" spans="35:35" x14ac:dyDescent="0.3">
      <c r="AI5271" s="267"/>
    </row>
    <row r="5272" spans="35:35" x14ac:dyDescent="0.3">
      <c r="AI5272" s="267"/>
    </row>
    <row r="5273" spans="35:35" x14ac:dyDescent="0.3">
      <c r="AI5273" s="267"/>
    </row>
    <row r="5274" spans="35:35" x14ac:dyDescent="0.3">
      <c r="AI5274" s="267"/>
    </row>
    <row r="5275" spans="35:35" x14ac:dyDescent="0.3">
      <c r="AI5275" s="267"/>
    </row>
    <row r="5276" spans="35:35" x14ac:dyDescent="0.3">
      <c r="AI5276" s="267"/>
    </row>
    <row r="5277" spans="35:35" x14ac:dyDescent="0.3">
      <c r="AI5277" s="267"/>
    </row>
    <row r="5278" spans="35:35" x14ac:dyDescent="0.3">
      <c r="AI5278" s="267"/>
    </row>
    <row r="5279" spans="35:35" x14ac:dyDescent="0.3">
      <c r="AI5279" s="267"/>
    </row>
    <row r="5280" spans="35:35" x14ac:dyDescent="0.3">
      <c r="AI5280" s="267"/>
    </row>
    <row r="5281" spans="35:35" x14ac:dyDescent="0.3">
      <c r="AI5281" s="267"/>
    </row>
    <row r="5282" spans="35:35" x14ac:dyDescent="0.3">
      <c r="AI5282" s="267"/>
    </row>
    <row r="5283" spans="35:35" x14ac:dyDescent="0.3">
      <c r="AI5283" s="267"/>
    </row>
    <row r="5284" spans="35:35" x14ac:dyDescent="0.3">
      <c r="AI5284" s="267"/>
    </row>
    <row r="5285" spans="35:35" x14ac:dyDescent="0.3">
      <c r="AI5285" s="267"/>
    </row>
    <row r="5286" spans="35:35" x14ac:dyDescent="0.3">
      <c r="AI5286" s="267"/>
    </row>
    <row r="5287" spans="35:35" x14ac:dyDescent="0.3">
      <c r="AI5287" s="267"/>
    </row>
    <row r="5288" spans="35:35" x14ac:dyDescent="0.3">
      <c r="AI5288" s="267"/>
    </row>
    <row r="5289" spans="35:35" x14ac:dyDescent="0.3">
      <c r="AI5289" s="267"/>
    </row>
    <row r="5290" spans="35:35" x14ac:dyDescent="0.3">
      <c r="AI5290" s="267"/>
    </row>
    <row r="5291" spans="35:35" x14ac:dyDescent="0.3">
      <c r="AI5291" s="267"/>
    </row>
    <row r="5292" spans="35:35" x14ac:dyDescent="0.3">
      <c r="AI5292" s="267"/>
    </row>
    <row r="5293" spans="35:35" x14ac:dyDescent="0.3">
      <c r="AI5293" s="267"/>
    </row>
    <row r="5294" spans="35:35" x14ac:dyDescent="0.3">
      <c r="AI5294" s="267"/>
    </row>
    <row r="5295" spans="35:35" x14ac:dyDescent="0.3">
      <c r="AI5295" s="267"/>
    </row>
    <row r="5296" spans="35:35" x14ac:dyDescent="0.3">
      <c r="AI5296" s="267"/>
    </row>
    <row r="5297" spans="35:35" x14ac:dyDescent="0.3">
      <c r="AI5297" s="267"/>
    </row>
    <row r="5298" spans="35:35" x14ac:dyDescent="0.3">
      <c r="AI5298" s="267"/>
    </row>
    <row r="5299" spans="35:35" x14ac:dyDescent="0.3">
      <c r="AI5299" s="267"/>
    </row>
    <row r="5300" spans="35:35" x14ac:dyDescent="0.3">
      <c r="AI5300" s="267"/>
    </row>
    <row r="5301" spans="35:35" x14ac:dyDescent="0.3">
      <c r="AI5301" s="267"/>
    </row>
    <row r="5302" spans="35:35" x14ac:dyDescent="0.3">
      <c r="AI5302" s="267"/>
    </row>
    <row r="5303" spans="35:35" x14ac:dyDescent="0.3">
      <c r="AI5303" s="267"/>
    </row>
    <row r="5304" spans="35:35" x14ac:dyDescent="0.3">
      <c r="AI5304" s="267"/>
    </row>
    <row r="5305" spans="35:35" x14ac:dyDescent="0.3">
      <c r="AI5305" s="267"/>
    </row>
    <row r="5306" spans="35:35" x14ac:dyDescent="0.3">
      <c r="AI5306" s="267"/>
    </row>
    <row r="5307" spans="35:35" x14ac:dyDescent="0.3">
      <c r="AI5307" s="267"/>
    </row>
    <row r="5308" spans="35:35" x14ac:dyDescent="0.3">
      <c r="AI5308" s="267"/>
    </row>
    <row r="5309" spans="35:35" x14ac:dyDescent="0.3">
      <c r="AI5309" s="267"/>
    </row>
    <row r="5310" spans="35:35" x14ac:dyDescent="0.3">
      <c r="AI5310" s="267"/>
    </row>
    <row r="5311" spans="35:35" x14ac:dyDescent="0.3">
      <c r="AI5311" s="267"/>
    </row>
    <row r="5312" spans="35:35" x14ac:dyDescent="0.3">
      <c r="AI5312" s="267"/>
    </row>
    <row r="5313" spans="35:35" x14ac:dyDescent="0.3">
      <c r="AI5313" s="267"/>
    </row>
    <row r="5314" spans="35:35" x14ac:dyDescent="0.3">
      <c r="AI5314" s="267"/>
    </row>
    <row r="5315" spans="35:35" x14ac:dyDescent="0.3">
      <c r="AI5315" s="267"/>
    </row>
    <row r="5316" spans="35:35" x14ac:dyDescent="0.3">
      <c r="AI5316" s="267"/>
    </row>
    <row r="5317" spans="35:35" x14ac:dyDescent="0.3">
      <c r="AI5317" s="267"/>
    </row>
    <row r="5318" spans="35:35" x14ac:dyDescent="0.3">
      <c r="AI5318" s="267"/>
    </row>
    <row r="5319" spans="35:35" x14ac:dyDescent="0.3">
      <c r="AI5319" s="267"/>
    </row>
    <row r="5320" spans="35:35" x14ac:dyDescent="0.3">
      <c r="AI5320" s="267"/>
    </row>
    <row r="5321" spans="35:35" x14ac:dyDescent="0.3">
      <c r="AI5321" s="267"/>
    </row>
    <row r="5322" spans="35:35" x14ac:dyDescent="0.3">
      <c r="AI5322" s="267"/>
    </row>
    <row r="5323" spans="35:35" x14ac:dyDescent="0.3">
      <c r="AI5323" s="267"/>
    </row>
    <row r="5324" spans="35:35" x14ac:dyDescent="0.3">
      <c r="AI5324" s="267"/>
    </row>
    <row r="5325" spans="35:35" x14ac:dyDescent="0.3">
      <c r="AI5325" s="267"/>
    </row>
    <row r="5326" spans="35:35" x14ac:dyDescent="0.3">
      <c r="AI5326" s="267"/>
    </row>
    <row r="5327" spans="35:35" x14ac:dyDescent="0.3">
      <c r="AI5327" s="267"/>
    </row>
    <row r="5328" spans="35:35" x14ac:dyDescent="0.3">
      <c r="AI5328" s="267"/>
    </row>
    <row r="5329" spans="35:35" x14ac:dyDescent="0.3">
      <c r="AI5329" s="267"/>
    </row>
    <row r="5330" spans="35:35" x14ac:dyDescent="0.3">
      <c r="AI5330" s="267"/>
    </row>
    <row r="5331" spans="35:35" x14ac:dyDescent="0.3">
      <c r="AI5331" s="267"/>
    </row>
    <row r="5332" spans="35:35" x14ac:dyDescent="0.3">
      <c r="AI5332" s="267"/>
    </row>
    <row r="5333" spans="35:35" x14ac:dyDescent="0.3">
      <c r="AI5333" s="267"/>
    </row>
    <row r="5334" spans="35:35" x14ac:dyDescent="0.3">
      <c r="AI5334" s="267"/>
    </row>
    <row r="5335" spans="35:35" x14ac:dyDescent="0.3">
      <c r="AI5335" s="267"/>
    </row>
    <row r="5336" spans="35:35" x14ac:dyDescent="0.3">
      <c r="AI5336" s="267"/>
    </row>
    <row r="5337" spans="35:35" x14ac:dyDescent="0.3">
      <c r="AI5337" s="267"/>
    </row>
    <row r="5338" spans="35:35" x14ac:dyDescent="0.3">
      <c r="AI5338" s="267"/>
    </row>
    <row r="5339" spans="35:35" x14ac:dyDescent="0.3">
      <c r="AI5339" s="267"/>
    </row>
    <row r="5340" spans="35:35" x14ac:dyDescent="0.3">
      <c r="AI5340" s="267"/>
    </row>
    <row r="5341" spans="35:35" x14ac:dyDescent="0.3">
      <c r="AI5341" s="267"/>
    </row>
    <row r="5342" spans="35:35" x14ac:dyDescent="0.3">
      <c r="AI5342" s="267"/>
    </row>
    <row r="5343" spans="35:35" x14ac:dyDescent="0.3">
      <c r="AI5343" s="267"/>
    </row>
    <row r="5344" spans="35:35" x14ac:dyDescent="0.3">
      <c r="AI5344" s="267"/>
    </row>
    <row r="5345" spans="35:35" x14ac:dyDescent="0.3">
      <c r="AI5345" s="267"/>
    </row>
    <row r="5346" spans="35:35" x14ac:dyDescent="0.3">
      <c r="AI5346" s="267"/>
    </row>
    <row r="5347" spans="35:35" x14ac:dyDescent="0.3">
      <c r="AI5347" s="267"/>
    </row>
    <row r="5348" spans="35:35" x14ac:dyDescent="0.3">
      <c r="AI5348" s="267"/>
    </row>
    <row r="5349" spans="35:35" x14ac:dyDescent="0.3">
      <c r="AI5349" s="267"/>
    </row>
    <row r="5350" spans="35:35" x14ac:dyDescent="0.3">
      <c r="AI5350" s="267"/>
    </row>
    <row r="5351" spans="35:35" x14ac:dyDescent="0.3">
      <c r="AI5351" s="267"/>
    </row>
    <row r="5352" spans="35:35" x14ac:dyDescent="0.3">
      <c r="AI5352" s="267"/>
    </row>
    <row r="5353" spans="35:35" x14ac:dyDescent="0.3">
      <c r="AI5353" s="267"/>
    </row>
    <row r="5354" spans="35:35" x14ac:dyDescent="0.3">
      <c r="AI5354" s="267"/>
    </row>
    <row r="5355" spans="35:35" x14ac:dyDescent="0.3">
      <c r="AI5355" s="267"/>
    </row>
    <row r="5356" spans="35:35" x14ac:dyDescent="0.3">
      <c r="AI5356" s="267"/>
    </row>
    <row r="5357" spans="35:35" x14ac:dyDescent="0.3">
      <c r="AI5357" s="267"/>
    </row>
    <row r="5358" spans="35:35" x14ac:dyDescent="0.3">
      <c r="AI5358" s="267"/>
    </row>
    <row r="5359" spans="35:35" x14ac:dyDescent="0.3">
      <c r="AI5359" s="267"/>
    </row>
    <row r="5360" spans="35:35" x14ac:dyDescent="0.3">
      <c r="AI5360" s="267"/>
    </row>
    <row r="5361" spans="35:35" x14ac:dyDescent="0.3">
      <c r="AI5361" s="267"/>
    </row>
    <row r="5362" spans="35:35" x14ac:dyDescent="0.3">
      <c r="AI5362" s="267"/>
    </row>
    <row r="5363" spans="35:35" x14ac:dyDescent="0.3">
      <c r="AI5363" s="267"/>
    </row>
    <row r="5364" spans="35:35" x14ac:dyDescent="0.3">
      <c r="AI5364" s="267"/>
    </row>
    <row r="5365" spans="35:35" x14ac:dyDescent="0.3">
      <c r="AI5365" s="267"/>
    </row>
    <row r="5366" spans="35:35" x14ac:dyDescent="0.3">
      <c r="AI5366" s="267"/>
    </row>
    <row r="5367" spans="35:35" x14ac:dyDescent="0.3">
      <c r="AI5367" s="267"/>
    </row>
    <row r="5368" spans="35:35" x14ac:dyDescent="0.3">
      <c r="AI5368" s="267"/>
    </row>
    <row r="5369" spans="35:35" x14ac:dyDescent="0.3">
      <c r="AI5369" s="267"/>
    </row>
    <row r="5370" spans="35:35" x14ac:dyDescent="0.3">
      <c r="AI5370" s="267"/>
    </row>
    <row r="5371" spans="35:35" x14ac:dyDescent="0.3">
      <c r="AI5371" s="267"/>
    </row>
    <row r="5372" spans="35:35" x14ac:dyDescent="0.3">
      <c r="AI5372" s="267"/>
    </row>
    <row r="5373" spans="35:35" x14ac:dyDescent="0.3">
      <c r="AI5373" s="267"/>
    </row>
    <row r="5374" spans="35:35" x14ac:dyDescent="0.3">
      <c r="AI5374" s="267"/>
    </row>
    <row r="5375" spans="35:35" x14ac:dyDescent="0.3">
      <c r="AI5375" s="267"/>
    </row>
    <row r="5376" spans="35:35" x14ac:dyDescent="0.3">
      <c r="AI5376" s="267"/>
    </row>
    <row r="5377" spans="35:35" x14ac:dyDescent="0.3">
      <c r="AI5377" s="267"/>
    </row>
    <row r="5378" spans="35:35" x14ac:dyDescent="0.3">
      <c r="AI5378" s="267"/>
    </row>
    <row r="5379" spans="35:35" x14ac:dyDescent="0.3">
      <c r="AI5379" s="267"/>
    </row>
    <row r="5380" spans="35:35" x14ac:dyDescent="0.3">
      <c r="AI5380" s="267"/>
    </row>
    <row r="5381" spans="35:35" x14ac:dyDescent="0.3">
      <c r="AI5381" s="267"/>
    </row>
    <row r="5382" spans="35:35" x14ac:dyDescent="0.3">
      <c r="AI5382" s="267"/>
    </row>
    <row r="5383" spans="35:35" x14ac:dyDescent="0.3">
      <c r="AI5383" s="267"/>
    </row>
    <row r="5384" spans="35:35" x14ac:dyDescent="0.3">
      <c r="AI5384" s="267"/>
    </row>
    <row r="5385" spans="35:35" x14ac:dyDescent="0.3">
      <c r="AI5385" s="267"/>
    </row>
    <row r="5386" spans="35:35" x14ac:dyDescent="0.3">
      <c r="AI5386" s="267"/>
    </row>
    <row r="5387" spans="35:35" x14ac:dyDescent="0.3">
      <c r="AI5387" s="267"/>
    </row>
    <row r="5388" spans="35:35" x14ac:dyDescent="0.3">
      <c r="AI5388" s="267"/>
    </row>
    <row r="5389" spans="35:35" x14ac:dyDescent="0.3">
      <c r="AI5389" s="267"/>
    </row>
    <row r="5390" spans="35:35" x14ac:dyDescent="0.3">
      <c r="AI5390" s="267"/>
    </row>
    <row r="5391" spans="35:35" x14ac:dyDescent="0.3">
      <c r="AI5391" s="267"/>
    </row>
    <row r="5392" spans="35:35" x14ac:dyDescent="0.3">
      <c r="AI5392" s="267"/>
    </row>
    <row r="5393" spans="35:35" x14ac:dyDescent="0.3">
      <c r="AI5393" s="267"/>
    </row>
    <row r="5394" spans="35:35" x14ac:dyDescent="0.3">
      <c r="AI5394" s="267"/>
    </row>
    <row r="5395" spans="35:35" x14ac:dyDescent="0.3">
      <c r="AI5395" s="267"/>
    </row>
    <row r="5396" spans="35:35" x14ac:dyDescent="0.3">
      <c r="AI5396" s="267"/>
    </row>
    <row r="5397" spans="35:35" x14ac:dyDescent="0.3">
      <c r="AI5397" s="267"/>
    </row>
    <row r="5398" spans="35:35" x14ac:dyDescent="0.3">
      <c r="AI5398" s="267"/>
    </row>
    <row r="5399" spans="35:35" x14ac:dyDescent="0.3">
      <c r="AI5399" s="267"/>
    </row>
    <row r="5400" spans="35:35" x14ac:dyDescent="0.3">
      <c r="AI5400" s="267"/>
    </row>
    <row r="5401" spans="35:35" x14ac:dyDescent="0.3">
      <c r="AI5401" s="267"/>
    </row>
    <row r="5402" spans="35:35" x14ac:dyDescent="0.3">
      <c r="AI5402" s="267"/>
    </row>
    <row r="5403" spans="35:35" x14ac:dyDescent="0.3">
      <c r="AI5403" s="267"/>
    </row>
    <row r="5404" spans="35:35" x14ac:dyDescent="0.3">
      <c r="AI5404" s="267"/>
    </row>
    <row r="5405" spans="35:35" x14ac:dyDescent="0.3">
      <c r="AI5405" s="267"/>
    </row>
    <row r="5406" spans="35:35" x14ac:dyDescent="0.3">
      <c r="AI5406" s="267"/>
    </row>
    <row r="5407" spans="35:35" x14ac:dyDescent="0.3">
      <c r="AI5407" s="267"/>
    </row>
    <row r="5408" spans="35:35" x14ac:dyDescent="0.3">
      <c r="AI5408" s="267"/>
    </row>
    <row r="5409" spans="35:35" x14ac:dyDescent="0.3">
      <c r="AI5409" s="267"/>
    </row>
    <row r="5410" spans="35:35" x14ac:dyDescent="0.3">
      <c r="AI5410" s="267"/>
    </row>
    <row r="5411" spans="35:35" x14ac:dyDescent="0.3">
      <c r="AI5411" s="267"/>
    </row>
    <row r="5412" spans="35:35" x14ac:dyDescent="0.3">
      <c r="AI5412" s="267"/>
    </row>
    <row r="5413" spans="35:35" x14ac:dyDescent="0.3">
      <c r="AI5413" s="267"/>
    </row>
    <row r="5414" spans="35:35" x14ac:dyDescent="0.3">
      <c r="AI5414" s="267"/>
    </row>
    <row r="5415" spans="35:35" x14ac:dyDescent="0.3">
      <c r="AI5415" s="267"/>
    </row>
    <row r="5416" spans="35:35" x14ac:dyDescent="0.3">
      <c r="AI5416" s="267"/>
    </row>
    <row r="5417" spans="35:35" x14ac:dyDescent="0.3">
      <c r="AI5417" s="267"/>
    </row>
    <row r="5418" spans="35:35" x14ac:dyDescent="0.3">
      <c r="AI5418" s="267"/>
    </row>
    <row r="5419" spans="35:35" x14ac:dyDescent="0.3">
      <c r="AI5419" s="267"/>
    </row>
    <row r="5420" spans="35:35" x14ac:dyDescent="0.3">
      <c r="AI5420" s="267"/>
    </row>
    <row r="5421" spans="35:35" x14ac:dyDescent="0.3">
      <c r="AI5421" s="267"/>
    </row>
    <row r="5422" spans="35:35" x14ac:dyDescent="0.3">
      <c r="AI5422" s="267"/>
    </row>
    <row r="5423" spans="35:35" x14ac:dyDescent="0.3">
      <c r="AI5423" s="267"/>
    </row>
    <row r="5424" spans="35:35" x14ac:dyDescent="0.3">
      <c r="AI5424" s="267"/>
    </row>
    <row r="5425" spans="35:35" x14ac:dyDescent="0.3">
      <c r="AI5425" s="267"/>
    </row>
    <row r="5426" spans="35:35" x14ac:dyDescent="0.3">
      <c r="AI5426" s="267"/>
    </row>
    <row r="5427" spans="35:35" x14ac:dyDescent="0.3">
      <c r="AI5427" s="267"/>
    </row>
    <row r="5428" spans="35:35" x14ac:dyDescent="0.3">
      <c r="AI5428" s="267"/>
    </row>
    <row r="5429" spans="35:35" x14ac:dyDescent="0.3">
      <c r="AI5429" s="267"/>
    </row>
    <row r="5430" spans="35:35" x14ac:dyDescent="0.3">
      <c r="AI5430" s="267"/>
    </row>
    <row r="5431" spans="35:35" x14ac:dyDescent="0.3">
      <c r="AI5431" s="267"/>
    </row>
    <row r="5432" spans="35:35" x14ac:dyDescent="0.3">
      <c r="AI5432" s="267"/>
    </row>
    <row r="5433" spans="35:35" x14ac:dyDescent="0.3">
      <c r="AI5433" s="267"/>
    </row>
    <row r="5434" spans="35:35" x14ac:dyDescent="0.3">
      <c r="AI5434" s="267"/>
    </row>
    <row r="5435" spans="35:35" x14ac:dyDescent="0.3">
      <c r="AI5435" s="267"/>
    </row>
    <row r="5436" spans="35:35" x14ac:dyDescent="0.3">
      <c r="AI5436" s="267"/>
    </row>
    <row r="5437" spans="35:35" x14ac:dyDescent="0.3">
      <c r="AI5437" s="267"/>
    </row>
    <row r="5438" spans="35:35" x14ac:dyDescent="0.3">
      <c r="AI5438" s="267"/>
    </row>
    <row r="5439" spans="35:35" x14ac:dyDescent="0.3">
      <c r="AI5439" s="267"/>
    </row>
    <row r="5440" spans="35:35" x14ac:dyDescent="0.3">
      <c r="AI5440" s="267"/>
    </row>
    <row r="5441" spans="35:35" x14ac:dyDescent="0.3">
      <c r="AI5441" s="267"/>
    </row>
    <row r="5442" spans="35:35" x14ac:dyDescent="0.3">
      <c r="AI5442" s="267"/>
    </row>
    <row r="5443" spans="35:35" x14ac:dyDescent="0.3">
      <c r="AI5443" s="267"/>
    </row>
    <row r="5444" spans="35:35" x14ac:dyDescent="0.3">
      <c r="AI5444" s="267"/>
    </row>
    <row r="5445" spans="35:35" x14ac:dyDescent="0.3">
      <c r="AI5445" s="267"/>
    </row>
    <row r="5446" spans="35:35" x14ac:dyDescent="0.3">
      <c r="AI5446" s="267"/>
    </row>
    <row r="5447" spans="35:35" x14ac:dyDescent="0.3">
      <c r="AI5447" s="267"/>
    </row>
    <row r="5448" spans="35:35" x14ac:dyDescent="0.3">
      <c r="AI5448" s="267"/>
    </row>
    <row r="5449" spans="35:35" x14ac:dyDescent="0.3">
      <c r="AI5449" s="267"/>
    </row>
    <row r="5450" spans="35:35" x14ac:dyDescent="0.3">
      <c r="AI5450" s="267"/>
    </row>
    <row r="5451" spans="35:35" x14ac:dyDescent="0.3">
      <c r="AI5451" s="267"/>
    </row>
    <row r="5452" spans="35:35" x14ac:dyDescent="0.3">
      <c r="AI5452" s="267"/>
    </row>
    <row r="5453" spans="35:35" x14ac:dyDescent="0.3">
      <c r="AI5453" s="267"/>
    </row>
    <row r="5454" spans="35:35" x14ac:dyDescent="0.3">
      <c r="AI5454" s="267"/>
    </row>
    <row r="5455" spans="35:35" x14ac:dyDescent="0.3">
      <c r="AI5455" s="267"/>
    </row>
    <row r="5456" spans="35:35" x14ac:dyDescent="0.3">
      <c r="AI5456" s="267"/>
    </row>
    <row r="5457" spans="35:35" x14ac:dyDescent="0.3">
      <c r="AI5457" s="267"/>
    </row>
    <row r="5458" spans="35:35" x14ac:dyDescent="0.3">
      <c r="AI5458" s="267"/>
    </row>
    <row r="5459" spans="35:35" x14ac:dyDescent="0.3">
      <c r="AI5459" s="267"/>
    </row>
    <row r="5460" spans="35:35" x14ac:dyDescent="0.3">
      <c r="AI5460" s="267"/>
    </row>
    <row r="5461" spans="35:35" x14ac:dyDescent="0.3">
      <c r="AI5461" s="267"/>
    </row>
    <row r="5462" spans="35:35" x14ac:dyDescent="0.3">
      <c r="AI5462" s="267"/>
    </row>
    <row r="5463" spans="35:35" x14ac:dyDescent="0.3">
      <c r="AI5463" s="267"/>
    </row>
    <row r="5464" spans="35:35" x14ac:dyDescent="0.3">
      <c r="AI5464" s="267"/>
    </row>
    <row r="5465" spans="35:35" x14ac:dyDescent="0.3">
      <c r="AI5465" s="267"/>
    </row>
    <row r="5466" spans="35:35" x14ac:dyDescent="0.3">
      <c r="AI5466" s="267"/>
    </row>
    <row r="5467" spans="35:35" x14ac:dyDescent="0.3">
      <c r="AI5467" s="267"/>
    </row>
    <row r="5468" spans="35:35" x14ac:dyDescent="0.3">
      <c r="AI5468" s="267"/>
    </row>
    <row r="5469" spans="35:35" x14ac:dyDescent="0.3">
      <c r="AI5469" s="267"/>
    </row>
    <row r="5470" spans="35:35" x14ac:dyDescent="0.3">
      <c r="AI5470" s="267"/>
    </row>
    <row r="5471" spans="35:35" x14ac:dyDescent="0.3">
      <c r="AI5471" s="267"/>
    </row>
    <row r="5472" spans="35:35" x14ac:dyDescent="0.3">
      <c r="AI5472" s="267"/>
    </row>
    <row r="5473" spans="35:35" x14ac:dyDescent="0.3">
      <c r="AI5473" s="267"/>
    </row>
    <row r="5474" spans="35:35" x14ac:dyDescent="0.3">
      <c r="AI5474" s="267"/>
    </row>
    <row r="5475" spans="35:35" x14ac:dyDescent="0.3">
      <c r="AI5475" s="267"/>
    </row>
    <row r="5476" spans="35:35" x14ac:dyDescent="0.3">
      <c r="AI5476" s="267"/>
    </row>
    <row r="5477" spans="35:35" x14ac:dyDescent="0.3">
      <c r="AI5477" s="267"/>
    </row>
    <row r="5478" spans="35:35" x14ac:dyDescent="0.3">
      <c r="AI5478" s="267"/>
    </row>
    <row r="5479" spans="35:35" x14ac:dyDescent="0.3">
      <c r="AI5479" s="267"/>
    </row>
    <row r="5480" spans="35:35" x14ac:dyDescent="0.3">
      <c r="AI5480" s="267"/>
    </row>
    <row r="5481" spans="35:35" x14ac:dyDescent="0.3">
      <c r="AI5481" s="267"/>
    </row>
    <row r="5482" spans="35:35" x14ac:dyDescent="0.3">
      <c r="AI5482" s="267"/>
    </row>
    <row r="5483" spans="35:35" x14ac:dyDescent="0.3">
      <c r="AI5483" s="267"/>
    </row>
    <row r="5484" spans="35:35" x14ac:dyDescent="0.3">
      <c r="AI5484" s="267"/>
    </row>
    <row r="5485" spans="35:35" x14ac:dyDescent="0.3">
      <c r="AI5485" s="267"/>
    </row>
    <row r="5486" spans="35:35" x14ac:dyDescent="0.3">
      <c r="AI5486" s="267"/>
    </row>
    <row r="5487" spans="35:35" x14ac:dyDescent="0.3">
      <c r="AI5487" s="267"/>
    </row>
    <row r="5488" spans="35:35" x14ac:dyDescent="0.3">
      <c r="AI5488" s="267"/>
    </row>
    <row r="5489" spans="35:35" x14ac:dyDescent="0.3">
      <c r="AI5489" s="267"/>
    </row>
    <row r="5490" spans="35:35" x14ac:dyDescent="0.3">
      <c r="AI5490" s="267"/>
    </row>
    <row r="5491" spans="35:35" x14ac:dyDescent="0.3">
      <c r="AI5491" s="267"/>
    </row>
    <row r="5492" spans="35:35" x14ac:dyDescent="0.3">
      <c r="AI5492" s="267"/>
    </row>
    <row r="5493" spans="35:35" x14ac:dyDescent="0.3">
      <c r="AI5493" s="267"/>
    </row>
    <row r="5494" spans="35:35" x14ac:dyDescent="0.3">
      <c r="AI5494" s="267"/>
    </row>
    <row r="5495" spans="35:35" x14ac:dyDescent="0.3">
      <c r="AI5495" s="267"/>
    </row>
    <row r="5496" spans="35:35" x14ac:dyDescent="0.3">
      <c r="AI5496" s="267"/>
    </row>
    <row r="5497" spans="35:35" x14ac:dyDescent="0.3">
      <c r="AI5497" s="267"/>
    </row>
    <row r="5498" spans="35:35" x14ac:dyDescent="0.3">
      <c r="AI5498" s="267"/>
    </row>
    <row r="5499" spans="35:35" x14ac:dyDescent="0.3">
      <c r="AI5499" s="267"/>
    </row>
    <row r="5500" spans="35:35" x14ac:dyDescent="0.3">
      <c r="AI5500" s="267"/>
    </row>
    <row r="5501" spans="35:35" x14ac:dyDescent="0.3">
      <c r="AI5501" s="267"/>
    </row>
    <row r="5502" spans="35:35" x14ac:dyDescent="0.3">
      <c r="AI5502" s="267"/>
    </row>
    <row r="5503" spans="35:35" x14ac:dyDescent="0.3">
      <c r="AI5503" s="267"/>
    </row>
    <row r="5504" spans="35:35" x14ac:dyDescent="0.3">
      <c r="AI5504" s="267"/>
    </row>
    <row r="5505" spans="35:35" x14ac:dyDescent="0.3">
      <c r="AI5505" s="267"/>
    </row>
    <row r="5506" spans="35:35" x14ac:dyDescent="0.3">
      <c r="AI5506" s="267"/>
    </row>
    <row r="5507" spans="35:35" x14ac:dyDescent="0.3">
      <c r="AI5507" s="267"/>
    </row>
    <row r="5508" spans="35:35" x14ac:dyDescent="0.3">
      <c r="AI5508" s="267"/>
    </row>
    <row r="5509" spans="35:35" x14ac:dyDescent="0.3">
      <c r="AI5509" s="267"/>
    </row>
    <row r="5510" spans="35:35" x14ac:dyDescent="0.3">
      <c r="AI5510" s="267"/>
    </row>
    <row r="5511" spans="35:35" x14ac:dyDescent="0.3">
      <c r="AI5511" s="267"/>
    </row>
    <row r="5512" spans="35:35" x14ac:dyDescent="0.3">
      <c r="AI5512" s="267"/>
    </row>
    <row r="5513" spans="35:35" x14ac:dyDescent="0.3">
      <c r="AI5513" s="267"/>
    </row>
    <row r="5514" spans="35:35" x14ac:dyDescent="0.3">
      <c r="AI5514" s="267"/>
    </row>
    <row r="5515" spans="35:35" x14ac:dyDescent="0.3">
      <c r="AI5515" s="267"/>
    </row>
    <row r="5516" spans="35:35" x14ac:dyDescent="0.3">
      <c r="AI5516" s="267"/>
    </row>
    <row r="5517" spans="35:35" x14ac:dyDescent="0.3">
      <c r="AI5517" s="267"/>
    </row>
    <row r="5518" spans="35:35" x14ac:dyDescent="0.3">
      <c r="AI5518" s="267"/>
    </row>
    <row r="5519" spans="35:35" x14ac:dyDescent="0.3">
      <c r="AI5519" s="267"/>
    </row>
    <row r="5520" spans="35:35" x14ac:dyDescent="0.3">
      <c r="AI5520" s="267"/>
    </row>
    <row r="5521" spans="35:35" x14ac:dyDescent="0.3">
      <c r="AI5521" s="267"/>
    </row>
    <row r="5522" spans="35:35" x14ac:dyDescent="0.3">
      <c r="AI5522" s="267"/>
    </row>
    <row r="5523" spans="35:35" x14ac:dyDescent="0.3">
      <c r="AI5523" s="267"/>
    </row>
    <row r="5524" spans="35:35" x14ac:dyDescent="0.3">
      <c r="AI5524" s="267"/>
    </row>
    <row r="5525" spans="35:35" x14ac:dyDescent="0.3">
      <c r="AI5525" s="267"/>
    </row>
    <row r="5526" spans="35:35" x14ac:dyDescent="0.3">
      <c r="AI5526" s="267"/>
    </row>
    <row r="5527" spans="35:35" x14ac:dyDescent="0.3">
      <c r="AI5527" s="267"/>
    </row>
    <row r="5528" spans="35:35" x14ac:dyDescent="0.3">
      <c r="AI5528" s="267"/>
    </row>
    <row r="5529" spans="35:35" x14ac:dyDescent="0.3">
      <c r="AI5529" s="267"/>
    </row>
    <row r="5530" spans="35:35" x14ac:dyDescent="0.3">
      <c r="AI5530" s="267"/>
    </row>
    <row r="5531" spans="35:35" x14ac:dyDescent="0.3">
      <c r="AI5531" s="267"/>
    </row>
    <row r="5532" spans="35:35" x14ac:dyDescent="0.3">
      <c r="AI5532" s="267"/>
    </row>
    <row r="5533" spans="35:35" x14ac:dyDescent="0.3">
      <c r="AI5533" s="267"/>
    </row>
    <row r="5534" spans="35:35" x14ac:dyDescent="0.3">
      <c r="AI5534" s="267"/>
    </row>
    <row r="5535" spans="35:35" x14ac:dyDescent="0.3">
      <c r="AI5535" s="267"/>
    </row>
    <row r="5536" spans="35:35" x14ac:dyDescent="0.3">
      <c r="AI5536" s="267"/>
    </row>
    <row r="5537" spans="35:35" x14ac:dyDescent="0.3">
      <c r="AI5537" s="267"/>
    </row>
    <row r="5538" spans="35:35" x14ac:dyDescent="0.3">
      <c r="AI5538" s="267"/>
    </row>
    <row r="5539" spans="35:35" x14ac:dyDescent="0.3">
      <c r="AI5539" s="267"/>
    </row>
    <row r="5540" spans="35:35" x14ac:dyDescent="0.3">
      <c r="AI5540" s="267"/>
    </row>
    <row r="5541" spans="35:35" x14ac:dyDescent="0.3">
      <c r="AI5541" s="267"/>
    </row>
    <row r="5542" spans="35:35" x14ac:dyDescent="0.3">
      <c r="AI5542" s="267"/>
    </row>
    <row r="5543" spans="35:35" x14ac:dyDescent="0.3">
      <c r="AI5543" s="267"/>
    </row>
    <row r="5544" spans="35:35" x14ac:dyDescent="0.3">
      <c r="AI5544" s="267"/>
    </row>
    <row r="5545" spans="35:35" x14ac:dyDescent="0.3">
      <c r="AI5545" s="267"/>
    </row>
    <row r="5546" spans="35:35" x14ac:dyDescent="0.3">
      <c r="AI5546" s="267"/>
    </row>
    <row r="5547" spans="35:35" x14ac:dyDescent="0.3">
      <c r="AI5547" s="267"/>
    </row>
    <row r="5548" spans="35:35" x14ac:dyDescent="0.3">
      <c r="AI5548" s="267"/>
    </row>
    <row r="5549" spans="35:35" x14ac:dyDescent="0.3">
      <c r="AI5549" s="267"/>
    </row>
    <row r="5550" spans="35:35" x14ac:dyDescent="0.3">
      <c r="AI5550" s="267"/>
    </row>
    <row r="5551" spans="35:35" x14ac:dyDescent="0.3">
      <c r="AI5551" s="267"/>
    </row>
    <row r="5552" spans="35:35" x14ac:dyDescent="0.3">
      <c r="AI5552" s="267"/>
    </row>
    <row r="5553" spans="35:35" x14ac:dyDescent="0.3">
      <c r="AI5553" s="267"/>
    </row>
    <row r="5554" spans="35:35" x14ac:dyDescent="0.3">
      <c r="AI5554" s="267"/>
    </row>
    <row r="5555" spans="35:35" x14ac:dyDescent="0.3">
      <c r="AI5555" s="267"/>
    </row>
    <row r="5556" spans="35:35" x14ac:dyDescent="0.3">
      <c r="AI5556" s="267"/>
    </row>
    <row r="5557" spans="35:35" x14ac:dyDescent="0.3">
      <c r="AI5557" s="267"/>
    </row>
    <row r="5558" spans="35:35" x14ac:dyDescent="0.3">
      <c r="AI5558" s="267"/>
    </row>
    <row r="5559" spans="35:35" x14ac:dyDescent="0.3">
      <c r="AI5559" s="267"/>
    </row>
    <row r="5560" spans="35:35" x14ac:dyDescent="0.3">
      <c r="AI5560" s="267"/>
    </row>
    <row r="5561" spans="35:35" x14ac:dyDescent="0.3">
      <c r="AI5561" s="267"/>
    </row>
    <row r="5562" spans="35:35" x14ac:dyDescent="0.3">
      <c r="AI5562" s="267"/>
    </row>
    <row r="5563" spans="35:35" x14ac:dyDescent="0.3">
      <c r="AI5563" s="267"/>
    </row>
    <row r="5564" spans="35:35" x14ac:dyDescent="0.3">
      <c r="AI5564" s="267"/>
    </row>
    <row r="5565" spans="35:35" x14ac:dyDescent="0.3">
      <c r="AI5565" s="267"/>
    </row>
    <row r="5566" spans="35:35" x14ac:dyDescent="0.3">
      <c r="AI5566" s="267"/>
    </row>
    <row r="5567" spans="35:35" x14ac:dyDescent="0.3">
      <c r="AI5567" s="267"/>
    </row>
    <row r="5568" spans="35:35" x14ac:dyDescent="0.3">
      <c r="AI5568" s="267"/>
    </row>
    <row r="5569" spans="35:35" x14ac:dyDescent="0.3">
      <c r="AI5569" s="267"/>
    </row>
    <row r="5570" spans="35:35" x14ac:dyDescent="0.3">
      <c r="AI5570" s="267"/>
    </row>
    <row r="5571" spans="35:35" x14ac:dyDescent="0.3">
      <c r="AI5571" s="267"/>
    </row>
    <row r="5572" spans="35:35" x14ac:dyDescent="0.3">
      <c r="AI5572" s="267"/>
    </row>
    <row r="5573" spans="35:35" x14ac:dyDescent="0.3">
      <c r="AI5573" s="267"/>
    </row>
    <row r="5574" spans="35:35" x14ac:dyDescent="0.3">
      <c r="AI5574" s="267"/>
    </row>
    <row r="5575" spans="35:35" x14ac:dyDescent="0.3">
      <c r="AI5575" s="267"/>
    </row>
    <row r="5576" spans="35:35" x14ac:dyDescent="0.3">
      <c r="AI5576" s="267"/>
    </row>
    <row r="5577" spans="35:35" x14ac:dyDescent="0.3">
      <c r="AI5577" s="267"/>
    </row>
    <row r="5578" spans="35:35" x14ac:dyDescent="0.3">
      <c r="AI5578" s="267"/>
    </row>
    <row r="5579" spans="35:35" x14ac:dyDescent="0.3">
      <c r="AI5579" s="267"/>
    </row>
    <row r="5580" spans="35:35" x14ac:dyDescent="0.3">
      <c r="AI5580" s="267"/>
    </row>
    <row r="5581" spans="35:35" x14ac:dyDescent="0.3">
      <c r="AI5581" s="267"/>
    </row>
    <row r="5582" spans="35:35" x14ac:dyDescent="0.3">
      <c r="AI5582" s="267"/>
    </row>
    <row r="5583" spans="35:35" x14ac:dyDescent="0.3">
      <c r="AI5583" s="267"/>
    </row>
    <row r="5584" spans="35:35" x14ac:dyDescent="0.3">
      <c r="AI5584" s="267"/>
    </row>
    <row r="5585" spans="35:35" x14ac:dyDescent="0.3">
      <c r="AI5585" s="267"/>
    </row>
    <row r="5586" spans="35:35" x14ac:dyDescent="0.3">
      <c r="AI5586" s="267"/>
    </row>
    <row r="5587" spans="35:35" x14ac:dyDescent="0.3">
      <c r="AI5587" s="267"/>
    </row>
    <row r="5588" spans="35:35" x14ac:dyDescent="0.3">
      <c r="AI5588" s="267"/>
    </row>
    <row r="5589" spans="35:35" x14ac:dyDescent="0.3">
      <c r="AI5589" s="267"/>
    </row>
    <row r="5590" spans="35:35" x14ac:dyDescent="0.3">
      <c r="AI5590" s="267"/>
    </row>
    <row r="5591" spans="35:35" x14ac:dyDescent="0.3">
      <c r="AI5591" s="267"/>
    </row>
    <row r="5592" spans="35:35" x14ac:dyDescent="0.3">
      <c r="AI5592" s="267"/>
    </row>
    <row r="5593" spans="35:35" x14ac:dyDescent="0.3">
      <c r="AI5593" s="267"/>
    </row>
    <row r="5594" spans="35:35" x14ac:dyDescent="0.3">
      <c r="AI5594" s="267"/>
    </row>
    <row r="5595" spans="35:35" x14ac:dyDescent="0.3">
      <c r="AI5595" s="267"/>
    </row>
    <row r="5596" spans="35:35" x14ac:dyDescent="0.3">
      <c r="AI5596" s="267"/>
    </row>
    <row r="5597" spans="35:35" x14ac:dyDescent="0.3">
      <c r="AI5597" s="267"/>
    </row>
    <row r="5598" spans="35:35" x14ac:dyDescent="0.3">
      <c r="AI5598" s="267"/>
    </row>
    <row r="5599" spans="35:35" x14ac:dyDescent="0.3">
      <c r="AI5599" s="267"/>
    </row>
    <row r="5600" spans="35:35" x14ac:dyDescent="0.3">
      <c r="AI5600" s="267"/>
    </row>
    <row r="5601" spans="35:35" x14ac:dyDescent="0.3">
      <c r="AI5601" s="267"/>
    </row>
    <row r="5602" spans="35:35" x14ac:dyDescent="0.3">
      <c r="AI5602" s="267"/>
    </row>
    <row r="5603" spans="35:35" x14ac:dyDescent="0.3">
      <c r="AI5603" s="267"/>
    </row>
    <row r="5604" spans="35:35" x14ac:dyDescent="0.3">
      <c r="AI5604" s="267"/>
    </row>
    <row r="5605" spans="35:35" x14ac:dyDescent="0.3">
      <c r="AI5605" s="267"/>
    </row>
    <row r="5606" spans="35:35" x14ac:dyDescent="0.3">
      <c r="AI5606" s="267"/>
    </row>
    <row r="5607" spans="35:35" x14ac:dyDescent="0.3">
      <c r="AI5607" s="267"/>
    </row>
    <row r="5608" spans="35:35" x14ac:dyDescent="0.3">
      <c r="AI5608" s="267"/>
    </row>
    <row r="5609" spans="35:35" x14ac:dyDescent="0.3">
      <c r="AI5609" s="267"/>
    </row>
    <row r="5610" spans="35:35" x14ac:dyDescent="0.3">
      <c r="AI5610" s="267"/>
    </row>
    <row r="5611" spans="35:35" x14ac:dyDescent="0.3">
      <c r="AI5611" s="267"/>
    </row>
    <row r="5612" spans="35:35" x14ac:dyDescent="0.3">
      <c r="AI5612" s="267"/>
    </row>
    <row r="5613" spans="35:35" x14ac:dyDescent="0.3">
      <c r="AI5613" s="267"/>
    </row>
    <row r="5614" spans="35:35" x14ac:dyDescent="0.3">
      <c r="AI5614" s="267"/>
    </row>
    <row r="5615" spans="35:35" x14ac:dyDescent="0.3">
      <c r="AI5615" s="267"/>
    </row>
    <row r="5616" spans="35:35" x14ac:dyDescent="0.3">
      <c r="AI5616" s="267"/>
    </row>
    <row r="5617" spans="35:35" x14ac:dyDescent="0.3">
      <c r="AI5617" s="267"/>
    </row>
    <row r="5618" spans="35:35" x14ac:dyDescent="0.3">
      <c r="AI5618" s="267"/>
    </row>
    <row r="5619" spans="35:35" x14ac:dyDescent="0.3">
      <c r="AI5619" s="267"/>
    </row>
    <row r="5620" spans="35:35" x14ac:dyDescent="0.3">
      <c r="AI5620" s="267"/>
    </row>
    <row r="5621" spans="35:35" x14ac:dyDescent="0.3">
      <c r="AI5621" s="267"/>
    </row>
    <row r="5622" spans="35:35" x14ac:dyDescent="0.3">
      <c r="AI5622" s="267"/>
    </row>
    <row r="5623" spans="35:35" x14ac:dyDescent="0.3">
      <c r="AI5623" s="267"/>
    </row>
    <row r="5624" spans="35:35" x14ac:dyDescent="0.3">
      <c r="AI5624" s="267"/>
    </row>
    <row r="5625" spans="35:35" x14ac:dyDescent="0.3">
      <c r="AI5625" s="267"/>
    </row>
    <row r="5626" spans="35:35" x14ac:dyDescent="0.3">
      <c r="AI5626" s="267"/>
    </row>
    <row r="5627" spans="35:35" x14ac:dyDescent="0.3">
      <c r="AI5627" s="267"/>
    </row>
    <row r="5628" spans="35:35" x14ac:dyDescent="0.3">
      <c r="AI5628" s="267"/>
    </row>
    <row r="5629" spans="35:35" x14ac:dyDescent="0.3">
      <c r="AI5629" s="267"/>
    </row>
    <row r="5630" spans="35:35" x14ac:dyDescent="0.3">
      <c r="AI5630" s="267"/>
    </row>
    <row r="5631" spans="35:35" x14ac:dyDescent="0.3">
      <c r="AI5631" s="267"/>
    </row>
    <row r="5632" spans="35:35" x14ac:dyDescent="0.3">
      <c r="AI5632" s="267"/>
    </row>
    <row r="5633" spans="35:35" x14ac:dyDescent="0.3">
      <c r="AI5633" s="267"/>
    </row>
    <row r="5634" spans="35:35" x14ac:dyDescent="0.3">
      <c r="AI5634" s="267"/>
    </row>
    <row r="5635" spans="35:35" x14ac:dyDescent="0.3">
      <c r="AI5635" s="267"/>
    </row>
    <row r="5636" spans="35:35" x14ac:dyDescent="0.3">
      <c r="AI5636" s="267"/>
    </row>
    <row r="5637" spans="35:35" x14ac:dyDescent="0.3">
      <c r="AI5637" s="267"/>
    </row>
    <row r="5638" spans="35:35" x14ac:dyDescent="0.3">
      <c r="AI5638" s="267"/>
    </row>
    <row r="5639" spans="35:35" x14ac:dyDescent="0.3">
      <c r="AI5639" s="267"/>
    </row>
    <row r="5640" spans="35:35" x14ac:dyDescent="0.3">
      <c r="AI5640" s="267"/>
    </row>
    <row r="5641" spans="35:35" x14ac:dyDescent="0.3">
      <c r="AI5641" s="267"/>
    </row>
    <row r="5642" spans="35:35" x14ac:dyDescent="0.3">
      <c r="AI5642" s="267"/>
    </row>
    <row r="5643" spans="35:35" x14ac:dyDescent="0.3">
      <c r="AI5643" s="267"/>
    </row>
    <row r="5644" spans="35:35" x14ac:dyDescent="0.3">
      <c r="AI5644" s="267"/>
    </row>
    <row r="5645" spans="35:35" x14ac:dyDescent="0.3">
      <c r="AI5645" s="267"/>
    </row>
    <row r="5646" spans="35:35" x14ac:dyDescent="0.3">
      <c r="AI5646" s="267"/>
    </row>
    <row r="5647" spans="35:35" x14ac:dyDescent="0.3">
      <c r="AI5647" s="267"/>
    </row>
    <row r="5648" spans="35:35" x14ac:dyDescent="0.3">
      <c r="AI5648" s="267"/>
    </row>
    <row r="5649" spans="35:35" x14ac:dyDescent="0.3">
      <c r="AI5649" s="267"/>
    </row>
    <row r="5650" spans="35:35" x14ac:dyDescent="0.3">
      <c r="AI5650" s="267"/>
    </row>
    <row r="5651" spans="35:35" x14ac:dyDescent="0.3">
      <c r="AI5651" s="267"/>
    </row>
    <row r="5652" spans="35:35" x14ac:dyDescent="0.3">
      <c r="AI5652" s="267"/>
    </row>
    <row r="5653" spans="35:35" x14ac:dyDescent="0.3">
      <c r="AI5653" s="267"/>
    </row>
    <row r="5654" spans="35:35" x14ac:dyDescent="0.3">
      <c r="AI5654" s="267"/>
    </row>
    <row r="5655" spans="35:35" x14ac:dyDescent="0.3">
      <c r="AI5655" s="267"/>
    </row>
    <row r="5656" spans="35:35" x14ac:dyDescent="0.3">
      <c r="AI5656" s="267"/>
    </row>
    <row r="5657" spans="35:35" x14ac:dyDescent="0.3">
      <c r="AI5657" s="267"/>
    </row>
    <row r="5658" spans="35:35" x14ac:dyDescent="0.3">
      <c r="AI5658" s="267"/>
    </row>
    <row r="5659" spans="35:35" x14ac:dyDescent="0.3">
      <c r="AI5659" s="267"/>
    </row>
    <row r="5660" spans="35:35" x14ac:dyDescent="0.3">
      <c r="AI5660" s="267"/>
    </row>
    <row r="5661" spans="35:35" x14ac:dyDescent="0.3">
      <c r="AI5661" s="267"/>
    </row>
    <row r="5662" spans="35:35" x14ac:dyDescent="0.3">
      <c r="AI5662" s="267"/>
    </row>
    <row r="5663" spans="35:35" x14ac:dyDescent="0.3">
      <c r="AI5663" s="267"/>
    </row>
    <row r="5664" spans="35:35" x14ac:dyDescent="0.3">
      <c r="AI5664" s="267"/>
    </row>
    <row r="5665" spans="35:35" x14ac:dyDescent="0.3">
      <c r="AI5665" s="267"/>
    </row>
    <row r="5666" spans="35:35" x14ac:dyDescent="0.3">
      <c r="AI5666" s="267"/>
    </row>
    <row r="5667" spans="35:35" x14ac:dyDescent="0.3">
      <c r="AI5667" s="267"/>
    </row>
    <row r="5668" spans="35:35" x14ac:dyDescent="0.3">
      <c r="AI5668" s="267"/>
    </row>
    <row r="5669" spans="35:35" x14ac:dyDescent="0.3">
      <c r="AI5669" s="267"/>
    </row>
    <row r="5670" spans="35:35" x14ac:dyDescent="0.3">
      <c r="AI5670" s="267"/>
    </row>
    <row r="5671" spans="35:35" x14ac:dyDescent="0.3">
      <c r="AI5671" s="267"/>
    </row>
    <row r="5672" spans="35:35" x14ac:dyDescent="0.3">
      <c r="AI5672" s="267"/>
    </row>
    <row r="5673" spans="35:35" x14ac:dyDescent="0.3">
      <c r="AI5673" s="267"/>
    </row>
    <row r="5674" spans="35:35" x14ac:dyDescent="0.3">
      <c r="AI5674" s="267"/>
    </row>
    <row r="5675" spans="35:35" x14ac:dyDescent="0.3">
      <c r="AI5675" s="267"/>
    </row>
    <row r="5676" spans="35:35" x14ac:dyDescent="0.3">
      <c r="AI5676" s="267"/>
    </row>
    <row r="5677" spans="35:35" x14ac:dyDescent="0.3">
      <c r="AI5677" s="267"/>
    </row>
    <row r="5678" spans="35:35" x14ac:dyDescent="0.3">
      <c r="AI5678" s="267"/>
    </row>
    <row r="5679" spans="35:35" x14ac:dyDescent="0.3">
      <c r="AI5679" s="267"/>
    </row>
    <row r="5680" spans="35:35" x14ac:dyDescent="0.3">
      <c r="AI5680" s="267"/>
    </row>
    <row r="5681" spans="35:35" x14ac:dyDescent="0.3">
      <c r="AI5681" s="267"/>
    </row>
    <row r="5682" spans="35:35" x14ac:dyDescent="0.3">
      <c r="AI5682" s="267"/>
    </row>
    <row r="5683" spans="35:35" x14ac:dyDescent="0.3">
      <c r="AI5683" s="267"/>
    </row>
    <row r="5684" spans="35:35" x14ac:dyDescent="0.3">
      <c r="AI5684" s="267"/>
    </row>
    <row r="5685" spans="35:35" x14ac:dyDescent="0.3">
      <c r="AI5685" s="267"/>
    </row>
    <row r="5686" spans="35:35" x14ac:dyDescent="0.3">
      <c r="AI5686" s="267"/>
    </row>
    <row r="5687" spans="35:35" x14ac:dyDescent="0.3">
      <c r="AI5687" s="267"/>
    </row>
    <row r="5688" spans="35:35" x14ac:dyDescent="0.3">
      <c r="AI5688" s="267"/>
    </row>
    <row r="5689" spans="35:35" x14ac:dyDescent="0.3">
      <c r="AI5689" s="267"/>
    </row>
    <row r="5690" spans="35:35" x14ac:dyDescent="0.3">
      <c r="AI5690" s="267"/>
    </row>
    <row r="5691" spans="35:35" x14ac:dyDescent="0.3">
      <c r="AI5691" s="267"/>
    </row>
    <row r="5692" spans="35:35" x14ac:dyDescent="0.3">
      <c r="AI5692" s="267"/>
    </row>
    <row r="5693" spans="35:35" x14ac:dyDescent="0.3">
      <c r="AI5693" s="267"/>
    </row>
    <row r="5694" spans="35:35" x14ac:dyDescent="0.3">
      <c r="AI5694" s="267"/>
    </row>
    <row r="5695" spans="35:35" x14ac:dyDescent="0.3">
      <c r="AI5695" s="267"/>
    </row>
    <row r="5696" spans="35:35" x14ac:dyDescent="0.3">
      <c r="AI5696" s="267"/>
    </row>
    <row r="5697" spans="35:35" x14ac:dyDescent="0.3">
      <c r="AI5697" s="267"/>
    </row>
    <row r="5698" spans="35:35" x14ac:dyDescent="0.3">
      <c r="AI5698" s="267"/>
    </row>
    <row r="5699" spans="35:35" x14ac:dyDescent="0.3">
      <c r="AI5699" s="267"/>
    </row>
    <row r="5700" spans="35:35" x14ac:dyDescent="0.3">
      <c r="AI5700" s="267"/>
    </row>
    <row r="5701" spans="35:35" x14ac:dyDescent="0.3">
      <c r="AI5701" s="267"/>
    </row>
    <row r="5702" spans="35:35" x14ac:dyDescent="0.3">
      <c r="AI5702" s="267"/>
    </row>
    <row r="5703" spans="35:35" x14ac:dyDescent="0.3">
      <c r="AI5703" s="267"/>
    </row>
    <row r="5704" spans="35:35" x14ac:dyDescent="0.3">
      <c r="AI5704" s="267"/>
    </row>
    <row r="5705" spans="35:35" x14ac:dyDescent="0.3">
      <c r="AI5705" s="267"/>
    </row>
    <row r="5706" spans="35:35" x14ac:dyDescent="0.3">
      <c r="AI5706" s="267"/>
    </row>
    <row r="5707" spans="35:35" x14ac:dyDescent="0.3">
      <c r="AI5707" s="267"/>
    </row>
    <row r="5708" spans="35:35" x14ac:dyDescent="0.3">
      <c r="AI5708" s="267"/>
    </row>
    <row r="5709" spans="35:35" x14ac:dyDescent="0.3">
      <c r="AI5709" s="267"/>
    </row>
    <row r="5710" spans="35:35" x14ac:dyDescent="0.3">
      <c r="AI5710" s="267"/>
    </row>
    <row r="5711" spans="35:35" x14ac:dyDescent="0.3">
      <c r="AI5711" s="267"/>
    </row>
    <row r="5712" spans="35:35" x14ac:dyDescent="0.3">
      <c r="AI5712" s="267"/>
    </row>
    <row r="5713" spans="35:35" x14ac:dyDescent="0.3">
      <c r="AI5713" s="267"/>
    </row>
    <row r="5714" spans="35:35" x14ac:dyDescent="0.3">
      <c r="AI5714" s="267"/>
    </row>
    <row r="5715" spans="35:35" x14ac:dyDescent="0.3">
      <c r="AI5715" s="267"/>
    </row>
    <row r="5716" spans="35:35" x14ac:dyDescent="0.3">
      <c r="AI5716" s="267"/>
    </row>
    <row r="5717" spans="35:35" x14ac:dyDescent="0.3">
      <c r="AI5717" s="267"/>
    </row>
    <row r="5718" spans="35:35" x14ac:dyDescent="0.3">
      <c r="AI5718" s="267"/>
    </row>
    <row r="5719" spans="35:35" x14ac:dyDescent="0.3">
      <c r="AI5719" s="267"/>
    </row>
    <row r="5720" spans="35:35" x14ac:dyDescent="0.3">
      <c r="AI5720" s="267"/>
    </row>
    <row r="5721" spans="35:35" x14ac:dyDescent="0.3">
      <c r="AI5721" s="267"/>
    </row>
    <row r="5722" spans="35:35" x14ac:dyDescent="0.3">
      <c r="AI5722" s="267"/>
    </row>
    <row r="5723" spans="35:35" x14ac:dyDescent="0.3">
      <c r="AI5723" s="267"/>
    </row>
    <row r="5724" spans="35:35" x14ac:dyDescent="0.3">
      <c r="AI5724" s="267"/>
    </row>
    <row r="5725" spans="35:35" x14ac:dyDescent="0.3">
      <c r="AI5725" s="267"/>
    </row>
    <row r="5726" spans="35:35" x14ac:dyDescent="0.3">
      <c r="AI5726" s="267"/>
    </row>
    <row r="5727" spans="35:35" x14ac:dyDescent="0.3">
      <c r="AI5727" s="267"/>
    </row>
    <row r="5728" spans="35:35" x14ac:dyDescent="0.3">
      <c r="AI5728" s="267"/>
    </row>
    <row r="5729" spans="35:35" x14ac:dyDescent="0.3">
      <c r="AI5729" s="267"/>
    </row>
    <row r="5730" spans="35:35" x14ac:dyDescent="0.3">
      <c r="AI5730" s="267"/>
    </row>
    <row r="5731" spans="35:35" x14ac:dyDescent="0.3">
      <c r="AI5731" s="267"/>
    </row>
    <row r="5732" spans="35:35" x14ac:dyDescent="0.3">
      <c r="AI5732" s="267"/>
    </row>
    <row r="5733" spans="35:35" x14ac:dyDescent="0.3">
      <c r="AI5733" s="267"/>
    </row>
    <row r="5734" spans="35:35" x14ac:dyDescent="0.3">
      <c r="AI5734" s="267"/>
    </row>
    <row r="5735" spans="35:35" x14ac:dyDescent="0.3">
      <c r="AI5735" s="267"/>
    </row>
    <row r="5736" spans="35:35" x14ac:dyDescent="0.3">
      <c r="AI5736" s="267"/>
    </row>
    <row r="5737" spans="35:35" x14ac:dyDescent="0.3">
      <c r="AI5737" s="267"/>
    </row>
    <row r="5738" spans="35:35" x14ac:dyDescent="0.3">
      <c r="AI5738" s="267"/>
    </row>
    <row r="5739" spans="35:35" x14ac:dyDescent="0.3">
      <c r="AI5739" s="267"/>
    </row>
    <row r="5740" spans="35:35" x14ac:dyDescent="0.3">
      <c r="AI5740" s="267"/>
    </row>
    <row r="5741" spans="35:35" x14ac:dyDescent="0.3">
      <c r="AI5741" s="267"/>
    </row>
    <row r="5742" spans="35:35" x14ac:dyDescent="0.3">
      <c r="AI5742" s="267"/>
    </row>
    <row r="5743" spans="35:35" x14ac:dyDescent="0.3">
      <c r="AI5743" s="267"/>
    </row>
    <row r="5744" spans="35:35" x14ac:dyDescent="0.3">
      <c r="AI5744" s="267"/>
    </row>
    <row r="5745" spans="35:35" x14ac:dyDescent="0.3">
      <c r="AI5745" s="267"/>
    </row>
    <row r="5746" spans="35:35" x14ac:dyDescent="0.3">
      <c r="AI5746" s="267"/>
    </row>
    <row r="5747" spans="35:35" x14ac:dyDescent="0.3">
      <c r="AI5747" s="267"/>
    </row>
    <row r="5748" spans="35:35" x14ac:dyDescent="0.3">
      <c r="AI5748" s="267"/>
    </row>
    <row r="5749" spans="35:35" x14ac:dyDescent="0.3">
      <c r="AI5749" s="267"/>
    </row>
    <row r="5750" spans="35:35" x14ac:dyDescent="0.3">
      <c r="AI5750" s="267"/>
    </row>
    <row r="5751" spans="35:35" x14ac:dyDescent="0.3">
      <c r="AI5751" s="267"/>
    </row>
    <row r="5752" spans="35:35" x14ac:dyDescent="0.3">
      <c r="AI5752" s="267"/>
    </row>
    <row r="5753" spans="35:35" x14ac:dyDescent="0.3">
      <c r="AI5753" s="267"/>
    </row>
    <row r="5754" spans="35:35" x14ac:dyDescent="0.3">
      <c r="AI5754" s="267"/>
    </row>
    <row r="5755" spans="35:35" x14ac:dyDescent="0.3">
      <c r="AI5755" s="267"/>
    </row>
    <row r="5756" spans="35:35" x14ac:dyDescent="0.3">
      <c r="AI5756" s="267"/>
    </row>
    <row r="5757" spans="35:35" x14ac:dyDescent="0.3">
      <c r="AI5757" s="267"/>
    </row>
    <row r="5758" spans="35:35" x14ac:dyDescent="0.3">
      <c r="AI5758" s="267"/>
    </row>
    <row r="5759" spans="35:35" x14ac:dyDescent="0.3">
      <c r="AI5759" s="267"/>
    </row>
    <row r="5760" spans="35:35" x14ac:dyDescent="0.3">
      <c r="AI5760" s="267"/>
    </row>
    <row r="5761" spans="35:35" x14ac:dyDescent="0.3">
      <c r="AI5761" s="267"/>
    </row>
    <row r="5762" spans="35:35" x14ac:dyDescent="0.3">
      <c r="AI5762" s="267"/>
    </row>
    <row r="5763" spans="35:35" x14ac:dyDescent="0.3">
      <c r="AI5763" s="267"/>
    </row>
    <row r="5764" spans="35:35" x14ac:dyDescent="0.3">
      <c r="AI5764" s="267"/>
    </row>
    <row r="5765" spans="35:35" x14ac:dyDescent="0.3">
      <c r="AI5765" s="267"/>
    </row>
    <row r="5766" spans="35:35" x14ac:dyDescent="0.3">
      <c r="AI5766" s="267"/>
    </row>
    <row r="5767" spans="35:35" x14ac:dyDescent="0.3">
      <c r="AI5767" s="267"/>
    </row>
    <row r="5768" spans="35:35" x14ac:dyDescent="0.3">
      <c r="AI5768" s="267"/>
    </row>
    <row r="5769" spans="35:35" x14ac:dyDescent="0.3">
      <c r="AI5769" s="267"/>
    </row>
    <row r="5770" spans="35:35" x14ac:dyDescent="0.3">
      <c r="AI5770" s="267"/>
    </row>
    <row r="5771" spans="35:35" x14ac:dyDescent="0.3">
      <c r="AI5771" s="267"/>
    </row>
    <row r="5772" spans="35:35" x14ac:dyDescent="0.3">
      <c r="AI5772" s="267"/>
    </row>
    <row r="5773" spans="35:35" x14ac:dyDescent="0.3">
      <c r="AI5773" s="267"/>
    </row>
    <row r="5774" spans="35:35" x14ac:dyDescent="0.3">
      <c r="AI5774" s="267"/>
    </row>
    <row r="5775" spans="35:35" x14ac:dyDescent="0.3">
      <c r="AI5775" s="267"/>
    </row>
    <row r="5776" spans="35:35" x14ac:dyDescent="0.3">
      <c r="AI5776" s="267"/>
    </row>
    <row r="5777" spans="35:35" x14ac:dyDescent="0.3">
      <c r="AI5777" s="267"/>
    </row>
    <row r="5778" spans="35:35" x14ac:dyDescent="0.3">
      <c r="AI5778" s="267"/>
    </row>
    <row r="5779" spans="35:35" x14ac:dyDescent="0.3">
      <c r="AI5779" s="267"/>
    </row>
    <row r="5780" spans="35:35" x14ac:dyDescent="0.3">
      <c r="AI5780" s="267"/>
    </row>
    <row r="5781" spans="35:35" x14ac:dyDescent="0.3">
      <c r="AI5781" s="267"/>
    </row>
    <row r="5782" spans="35:35" x14ac:dyDescent="0.3">
      <c r="AI5782" s="267"/>
    </row>
    <row r="5783" spans="35:35" x14ac:dyDescent="0.3">
      <c r="AI5783" s="267"/>
    </row>
    <row r="5784" spans="35:35" x14ac:dyDescent="0.3">
      <c r="AI5784" s="267"/>
    </row>
    <row r="5785" spans="35:35" x14ac:dyDescent="0.3">
      <c r="AI5785" s="267"/>
    </row>
    <row r="5786" spans="35:35" x14ac:dyDescent="0.3">
      <c r="AI5786" s="267"/>
    </row>
    <row r="5787" spans="35:35" x14ac:dyDescent="0.3">
      <c r="AI5787" s="267"/>
    </row>
    <row r="5788" spans="35:35" x14ac:dyDescent="0.3">
      <c r="AI5788" s="267"/>
    </row>
    <row r="5789" spans="35:35" x14ac:dyDescent="0.3">
      <c r="AI5789" s="267"/>
    </row>
    <row r="5790" spans="35:35" x14ac:dyDescent="0.3">
      <c r="AI5790" s="267"/>
    </row>
    <row r="5791" spans="35:35" x14ac:dyDescent="0.3">
      <c r="AI5791" s="267"/>
    </row>
    <row r="5792" spans="35:35" x14ac:dyDescent="0.3">
      <c r="AI5792" s="267"/>
    </row>
    <row r="5793" spans="35:35" x14ac:dyDescent="0.3">
      <c r="AI5793" s="267"/>
    </row>
    <row r="5794" spans="35:35" x14ac:dyDescent="0.3">
      <c r="AI5794" s="267"/>
    </row>
    <row r="5795" spans="35:35" x14ac:dyDescent="0.3">
      <c r="AI5795" s="267"/>
    </row>
    <row r="5796" spans="35:35" x14ac:dyDescent="0.3">
      <c r="AI5796" s="267"/>
    </row>
    <row r="5797" spans="35:35" x14ac:dyDescent="0.3">
      <c r="AI5797" s="267"/>
    </row>
    <row r="5798" spans="35:35" x14ac:dyDescent="0.3">
      <c r="AI5798" s="267"/>
    </row>
    <row r="5799" spans="35:35" x14ac:dyDescent="0.3">
      <c r="AI5799" s="267"/>
    </row>
    <row r="5800" spans="35:35" x14ac:dyDescent="0.3">
      <c r="AI5800" s="267"/>
    </row>
    <row r="5801" spans="35:35" x14ac:dyDescent="0.3">
      <c r="AI5801" s="267"/>
    </row>
    <row r="5802" spans="35:35" x14ac:dyDescent="0.3">
      <c r="AI5802" s="267"/>
    </row>
    <row r="5803" spans="35:35" x14ac:dyDescent="0.3">
      <c r="AI5803" s="267"/>
    </row>
    <row r="5804" spans="35:35" x14ac:dyDescent="0.3">
      <c r="AI5804" s="267"/>
    </row>
    <row r="5805" spans="35:35" x14ac:dyDescent="0.3">
      <c r="AI5805" s="267"/>
    </row>
    <row r="5806" spans="35:35" x14ac:dyDescent="0.3">
      <c r="AI5806" s="267"/>
    </row>
    <row r="5807" spans="35:35" x14ac:dyDescent="0.3">
      <c r="AI5807" s="267"/>
    </row>
    <row r="5808" spans="35:35" x14ac:dyDescent="0.3">
      <c r="AI5808" s="267"/>
    </row>
    <row r="5809" spans="35:35" x14ac:dyDescent="0.3">
      <c r="AI5809" s="267"/>
    </row>
    <row r="5810" spans="35:35" x14ac:dyDescent="0.3">
      <c r="AI5810" s="267"/>
    </row>
    <row r="5811" spans="35:35" x14ac:dyDescent="0.3">
      <c r="AI5811" s="267"/>
    </row>
    <row r="5812" spans="35:35" x14ac:dyDescent="0.3">
      <c r="AI5812" s="267"/>
    </row>
    <row r="5813" spans="35:35" x14ac:dyDescent="0.3">
      <c r="AI5813" s="267"/>
    </row>
    <row r="5814" spans="35:35" x14ac:dyDescent="0.3">
      <c r="AI5814" s="267"/>
    </row>
    <row r="5815" spans="35:35" x14ac:dyDescent="0.3">
      <c r="AI5815" s="267"/>
    </row>
    <row r="5816" spans="35:35" x14ac:dyDescent="0.3">
      <c r="AI5816" s="267"/>
    </row>
    <row r="5817" spans="35:35" x14ac:dyDescent="0.3">
      <c r="AI5817" s="267"/>
    </row>
    <row r="5818" spans="35:35" x14ac:dyDescent="0.3">
      <c r="AI5818" s="267"/>
    </row>
    <row r="5819" spans="35:35" x14ac:dyDescent="0.3">
      <c r="AI5819" s="267"/>
    </row>
    <row r="5820" spans="35:35" x14ac:dyDescent="0.3">
      <c r="AI5820" s="267"/>
    </row>
    <row r="5821" spans="35:35" x14ac:dyDescent="0.3">
      <c r="AI5821" s="267"/>
    </row>
    <row r="5822" spans="35:35" x14ac:dyDescent="0.3">
      <c r="AI5822" s="267"/>
    </row>
    <row r="5823" spans="35:35" x14ac:dyDescent="0.3">
      <c r="AI5823" s="267"/>
    </row>
    <row r="5824" spans="35:35" x14ac:dyDescent="0.3">
      <c r="AI5824" s="267"/>
    </row>
    <row r="5825" spans="35:35" x14ac:dyDescent="0.3">
      <c r="AI5825" s="267"/>
    </row>
    <row r="5826" spans="35:35" x14ac:dyDescent="0.3">
      <c r="AI5826" s="267"/>
    </row>
    <row r="5827" spans="35:35" x14ac:dyDescent="0.3">
      <c r="AI5827" s="267"/>
    </row>
    <row r="5828" spans="35:35" x14ac:dyDescent="0.3">
      <c r="AI5828" s="267"/>
    </row>
    <row r="5829" spans="35:35" x14ac:dyDescent="0.3">
      <c r="AI5829" s="267"/>
    </row>
    <row r="5830" spans="35:35" x14ac:dyDescent="0.3">
      <c r="AI5830" s="267"/>
    </row>
    <row r="5831" spans="35:35" x14ac:dyDescent="0.3">
      <c r="AI5831" s="267"/>
    </row>
    <row r="5832" spans="35:35" x14ac:dyDescent="0.3">
      <c r="AI5832" s="267"/>
    </row>
    <row r="5833" spans="35:35" x14ac:dyDescent="0.3">
      <c r="AI5833" s="267"/>
    </row>
    <row r="5834" spans="35:35" x14ac:dyDescent="0.3">
      <c r="AI5834" s="267"/>
    </row>
    <row r="5835" spans="35:35" x14ac:dyDescent="0.3">
      <c r="AI5835" s="267"/>
    </row>
    <row r="5836" spans="35:35" x14ac:dyDescent="0.3">
      <c r="AI5836" s="267"/>
    </row>
    <row r="5837" spans="35:35" x14ac:dyDescent="0.3">
      <c r="AI5837" s="267"/>
    </row>
    <row r="5838" spans="35:35" x14ac:dyDescent="0.3">
      <c r="AI5838" s="267"/>
    </row>
    <row r="5839" spans="35:35" x14ac:dyDescent="0.3">
      <c r="AI5839" s="267"/>
    </row>
    <row r="5840" spans="35:35" x14ac:dyDescent="0.3">
      <c r="AI5840" s="267"/>
    </row>
    <row r="5841" spans="35:35" x14ac:dyDescent="0.3">
      <c r="AI5841" s="267"/>
    </row>
    <row r="5842" spans="35:35" x14ac:dyDescent="0.3">
      <c r="AI5842" s="267"/>
    </row>
    <row r="5843" spans="35:35" x14ac:dyDescent="0.3">
      <c r="AI5843" s="267"/>
    </row>
    <row r="5844" spans="35:35" x14ac:dyDescent="0.3">
      <c r="AI5844" s="267"/>
    </row>
    <row r="5845" spans="35:35" x14ac:dyDescent="0.3">
      <c r="AI5845" s="267"/>
    </row>
    <row r="5846" spans="35:35" x14ac:dyDescent="0.3">
      <c r="AI5846" s="267"/>
    </row>
    <row r="5847" spans="35:35" x14ac:dyDescent="0.3">
      <c r="AI5847" s="267"/>
    </row>
    <row r="5848" spans="35:35" x14ac:dyDescent="0.3">
      <c r="AI5848" s="267"/>
    </row>
    <row r="5849" spans="35:35" x14ac:dyDescent="0.3">
      <c r="AI5849" s="267"/>
    </row>
    <row r="5850" spans="35:35" x14ac:dyDescent="0.3">
      <c r="AI5850" s="267"/>
    </row>
    <row r="5851" spans="35:35" x14ac:dyDescent="0.3">
      <c r="AI5851" s="267"/>
    </row>
    <row r="5852" spans="35:35" x14ac:dyDescent="0.3">
      <c r="AI5852" s="267"/>
    </row>
    <row r="5853" spans="35:35" x14ac:dyDescent="0.3">
      <c r="AI5853" s="267"/>
    </row>
    <row r="5854" spans="35:35" x14ac:dyDescent="0.3">
      <c r="AI5854" s="267"/>
    </row>
    <row r="5855" spans="35:35" x14ac:dyDescent="0.3">
      <c r="AI5855" s="267"/>
    </row>
    <row r="5856" spans="35:35" x14ac:dyDescent="0.3">
      <c r="AI5856" s="267"/>
    </row>
    <row r="5857" spans="35:35" x14ac:dyDescent="0.3">
      <c r="AI5857" s="267"/>
    </row>
    <row r="5858" spans="35:35" x14ac:dyDescent="0.3">
      <c r="AI5858" s="267"/>
    </row>
    <row r="5859" spans="35:35" x14ac:dyDescent="0.3">
      <c r="AI5859" s="267"/>
    </row>
    <row r="5860" spans="35:35" x14ac:dyDescent="0.3">
      <c r="AI5860" s="267"/>
    </row>
    <row r="5861" spans="35:35" x14ac:dyDescent="0.3">
      <c r="AI5861" s="267"/>
    </row>
    <row r="5862" spans="35:35" x14ac:dyDescent="0.3">
      <c r="AI5862" s="267"/>
    </row>
    <row r="5863" spans="35:35" x14ac:dyDescent="0.3">
      <c r="AI5863" s="267"/>
    </row>
    <row r="5864" spans="35:35" x14ac:dyDescent="0.3">
      <c r="AI5864" s="267"/>
    </row>
    <row r="5865" spans="35:35" x14ac:dyDescent="0.3">
      <c r="AI5865" s="267"/>
    </row>
    <row r="5866" spans="35:35" x14ac:dyDescent="0.3">
      <c r="AI5866" s="267"/>
    </row>
    <row r="5867" spans="35:35" x14ac:dyDescent="0.3">
      <c r="AI5867" s="267"/>
    </row>
    <row r="5868" spans="35:35" x14ac:dyDescent="0.3">
      <c r="AI5868" s="267"/>
    </row>
    <row r="5869" spans="35:35" x14ac:dyDescent="0.3">
      <c r="AI5869" s="267"/>
    </row>
    <row r="5870" spans="35:35" x14ac:dyDescent="0.3">
      <c r="AI5870" s="267"/>
    </row>
    <row r="5871" spans="35:35" x14ac:dyDescent="0.3">
      <c r="AI5871" s="267"/>
    </row>
    <row r="5872" spans="35:35" x14ac:dyDescent="0.3">
      <c r="AI5872" s="267"/>
    </row>
    <row r="5873" spans="35:35" x14ac:dyDescent="0.3">
      <c r="AI5873" s="267"/>
    </row>
    <row r="5874" spans="35:35" x14ac:dyDescent="0.3">
      <c r="AI5874" s="267"/>
    </row>
    <row r="5875" spans="35:35" x14ac:dyDescent="0.3">
      <c r="AI5875" s="267"/>
    </row>
    <row r="5876" spans="35:35" x14ac:dyDescent="0.3">
      <c r="AI5876" s="267"/>
    </row>
    <row r="5877" spans="35:35" x14ac:dyDescent="0.3">
      <c r="AI5877" s="267"/>
    </row>
    <row r="5878" spans="35:35" x14ac:dyDescent="0.3">
      <c r="AI5878" s="267"/>
    </row>
    <row r="5879" spans="35:35" x14ac:dyDescent="0.3">
      <c r="AI5879" s="267"/>
    </row>
    <row r="5880" spans="35:35" x14ac:dyDescent="0.3">
      <c r="AI5880" s="267"/>
    </row>
    <row r="5881" spans="35:35" x14ac:dyDescent="0.3">
      <c r="AI5881" s="267"/>
    </row>
    <row r="5882" spans="35:35" x14ac:dyDescent="0.3">
      <c r="AI5882" s="267"/>
    </row>
    <row r="5883" spans="35:35" x14ac:dyDescent="0.3">
      <c r="AI5883" s="267"/>
    </row>
    <row r="5884" spans="35:35" x14ac:dyDescent="0.3">
      <c r="AI5884" s="267"/>
    </row>
    <row r="5885" spans="35:35" x14ac:dyDescent="0.3">
      <c r="AI5885" s="267"/>
    </row>
    <row r="5886" spans="35:35" x14ac:dyDescent="0.3">
      <c r="AI5886" s="267"/>
    </row>
    <row r="5887" spans="35:35" x14ac:dyDescent="0.3">
      <c r="AI5887" s="267"/>
    </row>
    <row r="5888" spans="35:35" x14ac:dyDescent="0.3">
      <c r="AI5888" s="267"/>
    </row>
    <row r="5889" spans="35:35" x14ac:dyDescent="0.3">
      <c r="AI5889" s="267"/>
    </row>
    <row r="5890" spans="35:35" x14ac:dyDescent="0.3">
      <c r="AI5890" s="267"/>
    </row>
    <row r="5891" spans="35:35" x14ac:dyDescent="0.3">
      <c r="AI5891" s="267"/>
    </row>
    <row r="5892" spans="35:35" x14ac:dyDescent="0.3">
      <c r="AI5892" s="267"/>
    </row>
    <row r="5893" spans="35:35" x14ac:dyDescent="0.3">
      <c r="AI5893" s="267"/>
    </row>
    <row r="5894" spans="35:35" x14ac:dyDescent="0.3">
      <c r="AI5894" s="267"/>
    </row>
    <row r="5895" spans="35:35" x14ac:dyDescent="0.3">
      <c r="AI5895" s="267"/>
    </row>
    <row r="5896" spans="35:35" x14ac:dyDescent="0.3">
      <c r="AI5896" s="267"/>
    </row>
    <row r="5897" spans="35:35" x14ac:dyDescent="0.3">
      <c r="AI5897" s="267"/>
    </row>
    <row r="5898" spans="35:35" x14ac:dyDescent="0.3">
      <c r="AI5898" s="267"/>
    </row>
    <row r="5899" spans="35:35" x14ac:dyDescent="0.3">
      <c r="AI5899" s="267"/>
    </row>
    <row r="5900" spans="35:35" x14ac:dyDescent="0.3">
      <c r="AI5900" s="267"/>
    </row>
    <row r="5901" spans="35:35" x14ac:dyDescent="0.3">
      <c r="AI5901" s="267"/>
    </row>
    <row r="5902" spans="35:35" x14ac:dyDescent="0.3">
      <c r="AI5902" s="267"/>
    </row>
    <row r="5903" spans="35:35" x14ac:dyDescent="0.3">
      <c r="AI5903" s="267"/>
    </row>
    <row r="5904" spans="35:35" x14ac:dyDescent="0.3">
      <c r="AI5904" s="267"/>
    </row>
    <row r="5905" spans="35:35" x14ac:dyDescent="0.3">
      <c r="AI5905" s="267"/>
    </row>
    <row r="5906" spans="35:35" x14ac:dyDescent="0.3">
      <c r="AI5906" s="267"/>
    </row>
    <row r="5907" spans="35:35" x14ac:dyDescent="0.3">
      <c r="AI5907" s="267"/>
    </row>
    <row r="5908" spans="35:35" x14ac:dyDescent="0.3">
      <c r="AI5908" s="267"/>
    </row>
    <row r="5909" spans="35:35" x14ac:dyDescent="0.3">
      <c r="AI5909" s="267"/>
    </row>
    <row r="5910" spans="35:35" x14ac:dyDescent="0.3">
      <c r="AI5910" s="267"/>
    </row>
    <row r="5911" spans="35:35" x14ac:dyDescent="0.3">
      <c r="AI5911" s="267"/>
    </row>
    <row r="5912" spans="35:35" x14ac:dyDescent="0.3">
      <c r="AI5912" s="267"/>
    </row>
    <row r="5913" spans="35:35" x14ac:dyDescent="0.3">
      <c r="AI5913" s="267"/>
    </row>
    <row r="5914" spans="35:35" x14ac:dyDescent="0.3">
      <c r="AI5914" s="267"/>
    </row>
    <row r="5915" spans="35:35" x14ac:dyDescent="0.3">
      <c r="AI5915" s="267"/>
    </row>
    <row r="5916" spans="35:35" x14ac:dyDescent="0.3">
      <c r="AI5916" s="267"/>
    </row>
    <row r="5917" spans="35:35" x14ac:dyDescent="0.3">
      <c r="AI5917" s="267"/>
    </row>
    <row r="5918" spans="35:35" x14ac:dyDescent="0.3">
      <c r="AI5918" s="267"/>
    </row>
    <row r="5919" spans="35:35" x14ac:dyDescent="0.3">
      <c r="AI5919" s="267"/>
    </row>
    <row r="5920" spans="35:35" x14ac:dyDescent="0.3">
      <c r="AI5920" s="267"/>
    </row>
    <row r="5921" spans="35:35" x14ac:dyDescent="0.3">
      <c r="AI5921" s="267"/>
    </row>
    <row r="5922" spans="35:35" x14ac:dyDescent="0.3">
      <c r="AI5922" s="267"/>
    </row>
    <row r="5923" spans="35:35" x14ac:dyDescent="0.3">
      <c r="AI5923" s="267"/>
    </row>
    <row r="5924" spans="35:35" x14ac:dyDescent="0.3">
      <c r="AI5924" s="267"/>
    </row>
    <row r="5925" spans="35:35" x14ac:dyDescent="0.3">
      <c r="AI5925" s="267"/>
    </row>
    <row r="5926" spans="35:35" x14ac:dyDescent="0.3">
      <c r="AI5926" s="267"/>
    </row>
    <row r="5927" spans="35:35" x14ac:dyDescent="0.3">
      <c r="AI5927" s="267"/>
    </row>
    <row r="5928" spans="35:35" x14ac:dyDescent="0.3">
      <c r="AI5928" s="267"/>
    </row>
    <row r="5929" spans="35:35" x14ac:dyDescent="0.3">
      <c r="AI5929" s="267"/>
    </row>
    <row r="5930" spans="35:35" x14ac:dyDescent="0.3">
      <c r="AI5930" s="267"/>
    </row>
    <row r="5931" spans="35:35" x14ac:dyDescent="0.3">
      <c r="AI5931" s="267"/>
    </row>
    <row r="5932" spans="35:35" x14ac:dyDescent="0.3">
      <c r="AI5932" s="267"/>
    </row>
    <row r="5933" spans="35:35" x14ac:dyDescent="0.3">
      <c r="AI5933" s="267"/>
    </row>
    <row r="5934" spans="35:35" x14ac:dyDescent="0.3">
      <c r="AI5934" s="267"/>
    </row>
    <row r="5935" spans="35:35" x14ac:dyDescent="0.3">
      <c r="AI5935" s="267"/>
    </row>
    <row r="5936" spans="35:35" x14ac:dyDescent="0.3">
      <c r="AI5936" s="267"/>
    </row>
    <row r="5937" spans="35:35" x14ac:dyDescent="0.3">
      <c r="AI5937" s="267"/>
    </row>
    <row r="5938" spans="35:35" x14ac:dyDescent="0.3">
      <c r="AI5938" s="267"/>
    </row>
    <row r="5939" spans="35:35" x14ac:dyDescent="0.3">
      <c r="AI5939" s="267"/>
    </row>
    <row r="5940" spans="35:35" x14ac:dyDescent="0.3">
      <c r="AI5940" s="267"/>
    </row>
    <row r="5941" spans="35:35" x14ac:dyDescent="0.3">
      <c r="AI5941" s="267"/>
    </row>
    <row r="5942" spans="35:35" x14ac:dyDescent="0.3">
      <c r="AI5942" s="267"/>
    </row>
    <row r="5943" spans="35:35" x14ac:dyDescent="0.3">
      <c r="AI5943" s="267"/>
    </row>
    <row r="5944" spans="35:35" x14ac:dyDescent="0.3">
      <c r="AI5944" s="267"/>
    </row>
    <row r="5945" spans="35:35" x14ac:dyDescent="0.3">
      <c r="AI5945" s="267"/>
    </row>
    <row r="5946" spans="35:35" x14ac:dyDescent="0.3">
      <c r="AI5946" s="267"/>
    </row>
    <row r="5947" spans="35:35" x14ac:dyDescent="0.3">
      <c r="AI5947" s="267"/>
    </row>
    <row r="5948" spans="35:35" x14ac:dyDescent="0.3">
      <c r="AI5948" s="267"/>
    </row>
    <row r="5949" spans="35:35" x14ac:dyDescent="0.3">
      <c r="AI5949" s="267"/>
    </row>
    <row r="5950" spans="35:35" x14ac:dyDescent="0.3">
      <c r="AI5950" s="267"/>
    </row>
    <row r="5951" spans="35:35" x14ac:dyDescent="0.3">
      <c r="AI5951" s="267"/>
    </row>
    <row r="5952" spans="35:35" x14ac:dyDescent="0.3">
      <c r="AI5952" s="267"/>
    </row>
    <row r="5953" spans="35:35" x14ac:dyDescent="0.3">
      <c r="AI5953" s="267"/>
    </row>
    <row r="5954" spans="35:35" x14ac:dyDescent="0.3">
      <c r="AI5954" s="267"/>
    </row>
    <row r="5955" spans="35:35" x14ac:dyDescent="0.3">
      <c r="AI5955" s="267"/>
    </row>
    <row r="5956" spans="35:35" x14ac:dyDescent="0.3">
      <c r="AI5956" s="267"/>
    </row>
    <row r="5957" spans="35:35" x14ac:dyDescent="0.3">
      <c r="AI5957" s="267"/>
    </row>
    <row r="5958" spans="35:35" x14ac:dyDescent="0.3">
      <c r="AI5958" s="267"/>
    </row>
    <row r="5959" spans="35:35" x14ac:dyDescent="0.3">
      <c r="AI5959" s="267"/>
    </row>
    <row r="5960" spans="35:35" x14ac:dyDescent="0.3">
      <c r="AI5960" s="267"/>
    </row>
    <row r="5961" spans="35:35" x14ac:dyDescent="0.3">
      <c r="AI5961" s="267"/>
    </row>
    <row r="5962" spans="35:35" x14ac:dyDescent="0.3">
      <c r="AI5962" s="267"/>
    </row>
    <row r="5963" spans="35:35" x14ac:dyDescent="0.3">
      <c r="AI5963" s="267"/>
    </row>
    <row r="5964" spans="35:35" x14ac:dyDescent="0.3">
      <c r="AI5964" s="267"/>
    </row>
    <row r="5965" spans="35:35" x14ac:dyDescent="0.3">
      <c r="AI5965" s="267"/>
    </row>
    <row r="5966" spans="35:35" x14ac:dyDescent="0.3">
      <c r="AI5966" s="267"/>
    </row>
    <row r="5967" spans="35:35" x14ac:dyDescent="0.3">
      <c r="AI5967" s="267"/>
    </row>
    <row r="5968" spans="35:35" x14ac:dyDescent="0.3">
      <c r="AI5968" s="267"/>
    </row>
    <row r="5969" spans="35:35" x14ac:dyDescent="0.3">
      <c r="AI5969" s="267"/>
    </row>
    <row r="5970" spans="35:35" x14ac:dyDescent="0.3">
      <c r="AI5970" s="267"/>
    </row>
    <row r="5971" spans="35:35" x14ac:dyDescent="0.3">
      <c r="AI5971" s="267"/>
    </row>
    <row r="5972" spans="35:35" x14ac:dyDescent="0.3">
      <c r="AI5972" s="267"/>
    </row>
    <row r="5973" spans="35:35" x14ac:dyDescent="0.3">
      <c r="AI5973" s="267"/>
    </row>
    <row r="5974" spans="35:35" x14ac:dyDescent="0.3">
      <c r="AI5974" s="267"/>
    </row>
    <row r="5975" spans="35:35" x14ac:dyDescent="0.3">
      <c r="AI5975" s="267"/>
    </row>
    <row r="5976" spans="35:35" x14ac:dyDescent="0.3">
      <c r="AI5976" s="267"/>
    </row>
    <row r="5977" spans="35:35" x14ac:dyDescent="0.3">
      <c r="AI5977" s="267"/>
    </row>
    <row r="5978" spans="35:35" x14ac:dyDescent="0.3">
      <c r="AI5978" s="267"/>
    </row>
    <row r="5979" spans="35:35" x14ac:dyDescent="0.3">
      <c r="AI5979" s="267"/>
    </row>
    <row r="5980" spans="35:35" x14ac:dyDescent="0.3">
      <c r="AI5980" s="267"/>
    </row>
    <row r="5981" spans="35:35" x14ac:dyDescent="0.3">
      <c r="AI5981" s="267"/>
    </row>
    <row r="5982" spans="35:35" x14ac:dyDescent="0.3">
      <c r="AI5982" s="267"/>
    </row>
    <row r="5983" spans="35:35" x14ac:dyDescent="0.3">
      <c r="AI5983" s="267"/>
    </row>
    <row r="5984" spans="35:35" x14ac:dyDescent="0.3">
      <c r="AI5984" s="267"/>
    </row>
    <row r="5985" spans="35:35" x14ac:dyDescent="0.3">
      <c r="AI5985" s="267"/>
    </row>
    <row r="5986" spans="35:35" x14ac:dyDescent="0.3">
      <c r="AI5986" s="267"/>
    </row>
    <row r="5987" spans="35:35" x14ac:dyDescent="0.3">
      <c r="AI5987" s="267"/>
    </row>
    <row r="5988" spans="35:35" x14ac:dyDescent="0.3">
      <c r="AI5988" s="267"/>
    </row>
    <row r="5989" spans="35:35" x14ac:dyDescent="0.3">
      <c r="AI5989" s="267"/>
    </row>
    <row r="5990" spans="35:35" x14ac:dyDescent="0.3">
      <c r="AI5990" s="267"/>
    </row>
    <row r="5991" spans="35:35" x14ac:dyDescent="0.3">
      <c r="AI5991" s="267"/>
    </row>
    <row r="5992" spans="35:35" x14ac:dyDescent="0.3">
      <c r="AI5992" s="267"/>
    </row>
    <row r="5993" spans="35:35" x14ac:dyDescent="0.3">
      <c r="AI5993" s="267"/>
    </row>
    <row r="5994" spans="35:35" x14ac:dyDescent="0.3">
      <c r="AI5994" s="267"/>
    </row>
    <row r="5995" spans="35:35" x14ac:dyDescent="0.3">
      <c r="AI5995" s="267"/>
    </row>
    <row r="5996" spans="35:35" x14ac:dyDescent="0.3">
      <c r="AI5996" s="267"/>
    </row>
    <row r="5997" spans="35:35" x14ac:dyDescent="0.3">
      <c r="AI5997" s="267"/>
    </row>
    <row r="5998" spans="35:35" x14ac:dyDescent="0.3">
      <c r="AI5998" s="267"/>
    </row>
    <row r="5999" spans="35:35" x14ac:dyDescent="0.3">
      <c r="AI5999" s="267"/>
    </row>
    <row r="6000" spans="35:35" x14ac:dyDescent="0.3">
      <c r="AI6000" s="267"/>
    </row>
    <row r="6001" spans="35:35" x14ac:dyDescent="0.3">
      <c r="AI6001" s="267"/>
    </row>
    <row r="6002" spans="35:35" x14ac:dyDescent="0.3">
      <c r="AI6002" s="267"/>
    </row>
    <row r="6003" spans="35:35" x14ac:dyDescent="0.3">
      <c r="AI6003" s="267"/>
    </row>
    <row r="6004" spans="35:35" x14ac:dyDescent="0.3">
      <c r="AI6004" s="267"/>
    </row>
    <row r="6005" spans="35:35" x14ac:dyDescent="0.3">
      <c r="AI6005" s="267"/>
    </row>
    <row r="6006" spans="35:35" x14ac:dyDescent="0.3">
      <c r="AI6006" s="267"/>
    </row>
    <row r="6007" spans="35:35" x14ac:dyDescent="0.3">
      <c r="AI6007" s="267"/>
    </row>
    <row r="6008" spans="35:35" x14ac:dyDescent="0.3">
      <c r="AI6008" s="267"/>
    </row>
    <row r="6009" spans="35:35" x14ac:dyDescent="0.3">
      <c r="AI6009" s="267"/>
    </row>
    <row r="6010" spans="35:35" x14ac:dyDescent="0.3">
      <c r="AI6010" s="267"/>
    </row>
    <row r="6011" spans="35:35" x14ac:dyDescent="0.3">
      <c r="AI6011" s="267"/>
    </row>
    <row r="6012" spans="35:35" x14ac:dyDescent="0.3">
      <c r="AI6012" s="267"/>
    </row>
    <row r="6013" spans="35:35" x14ac:dyDescent="0.3">
      <c r="AI6013" s="267"/>
    </row>
    <row r="6014" spans="35:35" x14ac:dyDescent="0.3">
      <c r="AI6014" s="267"/>
    </row>
    <row r="6015" spans="35:35" x14ac:dyDescent="0.3">
      <c r="AI6015" s="267"/>
    </row>
    <row r="6016" spans="35:35" x14ac:dyDescent="0.3">
      <c r="AI6016" s="267"/>
    </row>
    <row r="6017" spans="35:35" x14ac:dyDescent="0.3">
      <c r="AI6017" s="267"/>
    </row>
    <row r="6018" spans="35:35" x14ac:dyDescent="0.3">
      <c r="AI6018" s="267"/>
    </row>
    <row r="6019" spans="35:35" x14ac:dyDescent="0.3">
      <c r="AI6019" s="267"/>
    </row>
    <row r="6020" spans="35:35" x14ac:dyDescent="0.3">
      <c r="AI6020" s="267"/>
    </row>
    <row r="6021" spans="35:35" x14ac:dyDescent="0.3">
      <c r="AI6021" s="267"/>
    </row>
    <row r="6022" spans="35:35" x14ac:dyDescent="0.3">
      <c r="AI6022" s="267"/>
    </row>
    <row r="6023" spans="35:35" x14ac:dyDescent="0.3">
      <c r="AI6023" s="267"/>
    </row>
    <row r="6024" spans="35:35" x14ac:dyDescent="0.3">
      <c r="AI6024" s="267"/>
    </row>
    <row r="6025" spans="35:35" x14ac:dyDescent="0.3">
      <c r="AI6025" s="267"/>
    </row>
    <row r="6026" spans="35:35" x14ac:dyDescent="0.3">
      <c r="AI6026" s="267"/>
    </row>
    <row r="6027" spans="35:35" x14ac:dyDescent="0.3">
      <c r="AI6027" s="267"/>
    </row>
    <row r="6028" spans="35:35" x14ac:dyDescent="0.3">
      <c r="AI6028" s="267"/>
    </row>
    <row r="6029" spans="35:35" x14ac:dyDescent="0.3">
      <c r="AI6029" s="267"/>
    </row>
    <row r="6030" spans="35:35" x14ac:dyDescent="0.3">
      <c r="AI6030" s="267"/>
    </row>
    <row r="6031" spans="35:35" x14ac:dyDescent="0.3">
      <c r="AI6031" s="267"/>
    </row>
    <row r="6032" spans="35:35" x14ac:dyDescent="0.3">
      <c r="AI6032" s="267"/>
    </row>
    <row r="6033" spans="35:35" x14ac:dyDescent="0.3">
      <c r="AI6033" s="267"/>
    </row>
    <row r="6034" spans="35:35" x14ac:dyDescent="0.3">
      <c r="AI6034" s="267"/>
    </row>
    <row r="6035" spans="35:35" x14ac:dyDescent="0.3">
      <c r="AI6035" s="267"/>
    </row>
    <row r="6036" spans="35:35" x14ac:dyDescent="0.3">
      <c r="AI6036" s="267"/>
    </row>
    <row r="6037" spans="35:35" x14ac:dyDescent="0.3">
      <c r="AI6037" s="267"/>
    </row>
    <row r="6038" spans="35:35" x14ac:dyDescent="0.3">
      <c r="AI6038" s="267"/>
    </row>
    <row r="6039" spans="35:35" x14ac:dyDescent="0.3">
      <c r="AI6039" s="267"/>
    </row>
    <row r="6040" spans="35:35" x14ac:dyDescent="0.3">
      <c r="AI6040" s="267"/>
    </row>
    <row r="6041" spans="35:35" x14ac:dyDescent="0.3">
      <c r="AI6041" s="267"/>
    </row>
    <row r="6042" spans="35:35" x14ac:dyDescent="0.3">
      <c r="AI6042" s="267"/>
    </row>
    <row r="6043" spans="35:35" x14ac:dyDescent="0.3">
      <c r="AI6043" s="267"/>
    </row>
    <row r="6044" spans="35:35" x14ac:dyDescent="0.3">
      <c r="AI6044" s="267"/>
    </row>
    <row r="6045" spans="35:35" x14ac:dyDescent="0.3">
      <c r="AI6045" s="267"/>
    </row>
    <row r="6046" spans="35:35" x14ac:dyDescent="0.3">
      <c r="AI6046" s="267"/>
    </row>
    <row r="6047" spans="35:35" x14ac:dyDescent="0.3">
      <c r="AI6047" s="267"/>
    </row>
    <row r="6048" spans="35:35" x14ac:dyDescent="0.3">
      <c r="AI6048" s="267"/>
    </row>
    <row r="6049" spans="35:35" x14ac:dyDescent="0.3">
      <c r="AI6049" s="267"/>
    </row>
    <row r="6050" spans="35:35" x14ac:dyDescent="0.3">
      <c r="AI6050" s="267"/>
    </row>
    <row r="6051" spans="35:35" x14ac:dyDescent="0.3">
      <c r="AI6051" s="267"/>
    </row>
    <row r="6052" spans="35:35" x14ac:dyDescent="0.3">
      <c r="AI6052" s="267"/>
    </row>
    <row r="6053" spans="35:35" x14ac:dyDescent="0.3">
      <c r="AI6053" s="267"/>
    </row>
    <row r="6054" spans="35:35" x14ac:dyDescent="0.3">
      <c r="AI6054" s="267"/>
    </row>
    <row r="6055" spans="35:35" x14ac:dyDescent="0.3">
      <c r="AI6055" s="267"/>
    </row>
    <row r="6056" spans="35:35" x14ac:dyDescent="0.3">
      <c r="AI6056" s="267"/>
    </row>
    <row r="6057" spans="35:35" x14ac:dyDescent="0.3">
      <c r="AI6057" s="267"/>
    </row>
    <row r="6058" spans="35:35" x14ac:dyDescent="0.3">
      <c r="AI6058" s="267"/>
    </row>
    <row r="6059" spans="35:35" x14ac:dyDescent="0.3">
      <c r="AI6059" s="267"/>
    </row>
    <row r="6060" spans="35:35" x14ac:dyDescent="0.3">
      <c r="AI6060" s="267"/>
    </row>
    <row r="6061" spans="35:35" x14ac:dyDescent="0.3">
      <c r="AI6061" s="267"/>
    </row>
    <row r="6062" spans="35:35" x14ac:dyDescent="0.3">
      <c r="AI6062" s="267"/>
    </row>
    <row r="6063" spans="35:35" x14ac:dyDescent="0.3">
      <c r="AI6063" s="267"/>
    </row>
    <row r="6064" spans="35:35" x14ac:dyDescent="0.3">
      <c r="AI6064" s="267"/>
    </row>
    <row r="6065" spans="35:35" x14ac:dyDescent="0.3">
      <c r="AI6065" s="267"/>
    </row>
    <row r="6066" spans="35:35" x14ac:dyDescent="0.3">
      <c r="AI6066" s="267"/>
    </row>
    <row r="6067" spans="35:35" x14ac:dyDescent="0.3">
      <c r="AI6067" s="267"/>
    </row>
    <row r="6068" spans="35:35" x14ac:dyDescent="0.3">
      <c r="AI6068" s="267"/>
    </row>
    <row r="6069" spans="35:35" x14ac:dyDescent="0.3">
      <c r="AI6069" s="267"/>
    </row>
    <row r="6070" spans="35:35" x14ac:dyDescent="0.3">
      <c r="AI6070" s="267"/>
    </row>
    <row r="6071" spans="35:35" x14ac:dyDescent="0.3">
      <c r="AI6071" s="267"/>
    </row>
    <row r="6072" spans="35:35" x14ac:dyDescent="0.3">
      <c r="AI6072" s="267"/>
    </row>
    <row r="6073" spans="35:35" x14ac:dyDescent="0.3">
      <c r="AI6073" s="267"/>
    </row>
    <row r="6074" spans="35:35" x14ac:dyDescent="0.3">
      <c r="AI6074" s="267"/>
    </row>
    <row r="6075" spans="35:35" x14ac:dyDescent="0.3">
      <c r="AI6075" s="267"/>
    </row>
    <row r="6076" spans="35:35" x14ac:dyDescent="0.3">
      <c r="AI6076" s="267"/>
    </row>
    <row r="6077" spans="35:35" x14ac:dyDescent="0.3">
      <c r="AI6077" s="267"/>
    </row>
    <row r="6078" spans="35:35" x14ac:dyDescent="0.3">
      <c r="AI6078" s="267"/>
    </row>
    <row r="6079" spans="35:35" x14ac:dyDescent="0.3">
      <c r="AI6079" s="267"/>
    </row>
    <row r="6080" spans="35:35" x14ac:dyDescent="0.3">
      <c r="AI6080" s="267"/>
    </row>
    <row r="6081" spans="35:35" x14ac:dyDescent="0.3">
      <c r="AI6081" s="267"/>
    </row>
    <row r="6082" spans="35:35" x14ac:dyDescent="0.3">
      <c r="AI6082" s="267"/>
    </row>
    <row r="6083" spans="35:35" x14ac:dyDescent="0.3">
      <c r="AI6083" s="267"/>
    </row>
    <row r="6084" spans="35:35" x14ac:dyDescent="0.3">
      <c r="AI6084" s="267"/>
    </row>
    <row r="6085" spans="35:35" x14ac:dyDescent="0.3">
      <c r="AI6085" s="267"/>
    </row>
    <row r="6086" spans="35:35" x14ac:dyDescent="0.3">
      <c r="AI6086" s="267"/>
    </row>
    <row r="6087" spans="35:35" x14ac:dyDescent="0.3">
      <c r="AI6087" s="267"/>
    </row>
    <row r="6088" spans="35:35" x14ac:dyDescent="0.3">
      <c r="AI6088" s="267"/>
    </row>
    <row r="6089" spans="35:35" x14ac:dyDescent="0.3">
      <c r="AI6089" s="267"/>
    </row>
    <row r="6090" spans="35:35" x14ac:dyDescent="0.3">
      <c r="AI6090" s="267"/>
    </row>
    <row r="6091" spans="35:35" x14ac:dyDescent="0.3">
      <c r="AI6091" s="267"/>
    </row>
    <row r="6092" spans="35:35" x14ac:dyDescent="0.3">
      <c r="AI6092" s="267"/>
    </row>
    <row r="6093" spans="35:35" x14ac:dyDescent="0.3">
      <c r="AI6093" s="267"/>
    </row>
    <row r="6094" spans="35:35" x14ac:dyDescent="0.3">
      <c r="AI6094" s="267"/>
    </row>
    <row r="6095" spans="35:35" x14ac:dyDescent="0.3">
      <c r="AI6095" s="267"/>
    </row>
    <row r="6096" spans="35:35" x14ac:dyDescent="0.3">
      <c r="AI6096" s="267"/>
    </row>
    <row r="6097" spans="35:35" x14ac:dyDescent="0.3">
      <c r="AI6097" s="267"/>
    </row>
    <row r="6098" spans="35:35" x14ac:dyDescent="0.3">
      <c r="AI6098" s="267"/>
    </row>
    <row r="6099" spans="35:35" x14ac:dyDescent="0.3">
      <c r="AI6099" s="267"/>
    </row>
    <row r="6100" spans="35:35" x14ac:dyDescent="0.3">
      <c r="AI6100" s="267"/>
    </row>
    <row r="6101" spans="35:35" x14ac:dyDescent="0.3">
      <c r="AI6101" s="267"/>
    </row>
    <row r="6102" spans="35:35" x14ac:dyDescent="0.3">
      <c r="AI6102" s="267"/>
    </row>
    <row r="6103" spans="35:35" x14ac:dyDescent="0.3">
      <c r="AI6103" s="267"/>
    </row>
    <row r="6104" spans="35:35" x14ac:dyDescent="0.3">
      <c r="AI6104" s="267"/>
    </row>
    <row r="6105" spans="35:35" x14ac:dyDescent="0.3">
      <c r="AI6105" s="267"/>
    </row>
    <row r="6106" spans="35:35" x14ac:dyDescent="0.3">
      <c r="AI6106" s="267"/>
    </row>
    <row r="6107" spans="35:35" x14ac:dyDescent="0.3">
      <c r="AI6107" s="267"/>
    </row>
    <row r="6108" spans="35:35" x14ac:dyDescent="0.3">
      <c r="AI6108" s="267"/>
    </row>
    <row r="6109" spans="35:35" x14ac:dyDescent="0.3">
      <c r="AI6109" s="267"/>
    </row>
    <row r="6110" spans="35:35" x14ac:dyDescent="0.3">
      <c r="AI6110" s="267"/>
    </row>
    <row r="6111" spans="35:35" x14ac:dyDescent="0.3">
      <c r="AI6111" s="267"/>
    </row>
    <row r="6112" spans="35:35" x14ac:dyDescent="0.3">
      <c r="AI6112" s="267"/>
    </row>
    <row r="6113" spans="35:35" x14ac:dyDescent="0.3">
      <c r="AI6113" s="267"/>
    </row>
    <row r="6114" spans="35:35" x14ac:dyDescent="0.3">
      <c r="AI6114" s="267"/>
    </row>
    <row r="6115" spans="35:35" x14ac:dyDescent="0.3">
      <c r="AI6115" s="267"/>
    </row>
    <row r="6116" spans="35:35" x14ac:dyDescent="0.3">
      <c r="AI6116" s="267"/>
    </row>
    <row r="6117" spans="35:35" x14ac:dyDescent="0.3">
      <c r="AI6117" s="267"/>
    </row>
    <row r="6118" spans="35:35" x14ac:dyDescent="0.3">
      <c r="AI6118" s="267"/>
    </row>
    <row r="6119" spans="35:35" x14ac:dyDescent="0.3">
      <c r="AI6119" s="267"/>
    </row>
    <row r="6120" spans="35:35" x14ac:dyDescent="0.3">
      <c r="AI6120" s="267"/>
    </row>
    <row r="6121" spans="35:35" x14ac:dyDescent="0.3">
      <c r="AI6121" s="267"/>
    </row>
    <row r="6122" spans="35:35" x14ac:dyDescent="0.3">
      <c r="AI6122" s="267"/>
    </row>
    <row r="6123" spans="35:35" x14ac:dyDescent="0.3">
      <c r="AI6123" s="267"/>
    </row>
    <row r="6124" spans="35:35" x14ac:dyDescent="0.3">
      <c r="AI6124" s="267"/>
    </row>
    <row r="6125" spans="35:35" x14ac:dyDescent="0.3">
      <c r="AI6125" s="267"/>
    </row>
    <row r="6126" spans="35:35" x14ac:dyDescent="0.3">
      <c r="AI6126" s="267"/>
    </row>
    <row r="6127" spans="35:35" x14ac:dyDescent="0.3">
      <c r="AI6127" s="267"/>
    </row>
    <row r="6128" spans="35:35" x14ac:dyDescent="0.3">
      <c r="AI6128" s="267"/>
    </row>
    <row r="6129" spans="35:35" x14ac:dyDescent="0.3">
      <c r="AI6129" s="267"/>
    </row>
    <row r="6130" spans="35:35" x14ac:dyDescent="0.3">
      <c r="AI6130" s="267"/>
    </row>
    <row r="6131" spans="35:35" x14ac:dyDescent="0.3">
      <c r="AI6131" s="267"/>
    </row>
    <row r="6132" spans="35:35" x14ac:dyDescent="0.3">
      <c r="AI6132" s="267"/>
    </row>
    <row r="6133" spans="35:35" x14ac:dyDescent="0.3">
      <c r="AI6133" s="267"/>
    </row>
    <row r="6134" spans="35:35" x14ac:dyDescent="0.3">
      <c r="AI6134" s="267"/>
    </row>
    <row r="6135" spans="35:35" x14ac:dyDescent="0.3">
      <c r="AI6135" s="267"/>
    </row>
    <row r="6136" spans="35:35" x14ac:dyDescent="0.3">
      <c r="AI6136" s="267"/>
    </row>
    <row r="6137" spans="35:35" x14ac:dyDescent="0.3">
      <c r="AI6137" s="267"/>
    </row>
    <row r="6138" spans="35:35" x14ac:dyDescent="0.3">
      <c r="AI6138" s="267"/>
    </row>
    <row r="6139" spans="35:35" x14ac:dyDescent="0.3">
      <c r="AI6139" s="267"/>
    </row>
    <row r="6140" spans="35:35" x14ac:dyDescent="0.3">
      <c r="AI6140" s="267"/>
    </row>
    <row r="6141" spans="35:35" x14ac:dyDescent="0.3">
      <c r="AI6141" s="267"/>
    </row>
    <row r="6142" spans="35:35" x14ac:dyDescent="0.3">
      <c r="AI6142" s="267"/>
    </row>
    <row r="6143" spans="35:35" x14ac:dyDescent="0.3">
      <c r="AI6143" s="267"/>
    </row>
    <row r="6144" spans="35:35" x14ac:dyDescent="0.3">
      <c r="AI6144" s="267"/>
    </row>
    <row r="6145" spans="35:35" x14ac:dyDescent="0.3">
      <c r="AI6145" s="267"/>
    </row>
    <row r="6146" spans="35:35" x14ac:dyDescent="0.3">
      <c r="AI6146" s="267"/>
    </row>
    <row r="6147" spans="35:35" x14ac:dyDescent="0.3">
      <c r="AI6147" s="267"/>
    </row>
    <row r="6148" spans="35:35" x14ac:dyDescent="0.3">
      <c r="AI6148" s="267"/>
    </row>
    <row r="6149" spans="35:35" x14ac:dyDescent="0.3">
      <c r="AI6149" s="267"/>
    </row>
    <row r="6150" spans="35:35" x14ac:dyDescent="0.3">
      <c r="AI6150" s="267"/>
    </row>
    <row r="6151" spans="35:35" x14ac:dyDescent="0.3">
      <c r="AI6151" s="267"/>
    </row>
    <row r="6152" spans="35:35" x14ac:dyDescent="0.3">
      <c r="AI6152" s="267"/>
    </row>
    <row r="6153" spans="35:35" x14ac:dyDescent="0.3">
      <c r="AI6153" s="267"/>
    </row>
    <row r="6154" spans="35:35" x14ac:dyDescent="0.3">
      <c r="AI6154" s="267"/>
    </row>
    <row r="6155" spans="35:35" x14ac:dyDescent="0.3">
      <c r="AI6155" s="267"/>
    </row>
    <row r="6156" spans="35:35" x14ac:dyDescent="0.3">
      <c r="AI6156" s="267"/>
    </row>
    <row r="6157" spans="35:35" x14ac:dyDescent="0.3">
      <c r="AI6157" s="267"/>
    </row>
    <row r="6158" spans="35:35" x14ac:dyDescent="0.3">
      <c r="AI6158" s="267"/>
    </row>
    <row r="6159" spans="35:35" x14ac:dyDescent="0.3">
      <c r="AI6159" s="267"/>
    </row>
    <row r="6160" spans="35:35" x14ac:dyDescent="0.3">
      <c r="AI6160" s="267"/>
    </row>
    <row r="6161" spans="35:35" x14ac:dyDescent="0.3">
      <c r="AI6161" s="267"/>
    </row>
    <row r="6162" spans="35:35" x14ac:dyDescent="0.3">
      <c r="AI6162" s="267"/>
    </row>
    <row r="6163" spans="35:35" x14ac:dyDescent="0.3">
      <c r="AI6163" s="267"/>
    </row>
    <row r="6164" spans="35:35" x14ac:dyDescent="0.3">
      <c r="AI6164" s="267"/>
    </row>
    <row r="6165" spans="35:35" x14ac:dyDescent="0.3">
      <c r="AI6165" s="267"/>
    </row>
    <row r="6166" spans="35:35" x14ac:dyDescent="0.3">
      <c r="AI6166" s="267"/>
    </row>
    <row r="6167" spans="35:35" x14ac:dyDescent="0.3">
      <c r="AI6167" s="267"/>
    </row>
    <row r="6168" spans="35:35" x14ac:dyDescent="0.3">
      <c r="AI6168" s="267"/>
    </row>
    <row r="6169" spans="35:35" x14ac:dyDescent="0.3">
      <c r="AI6169" s="267"/>
    </row>
    <row r="6170" spans="35:35" x14ac:dyDescent="0.3">
      <c r="AI6170" s="267"/>
    </row>
    <row r="6171" spans="35:35" x14ac:dyDescent="0.3">
      <c r="AI6171" s="267"/>
    </row>
    <row r="6172" spans="35:35" x14ac:dyDescent="0.3">
      <c r="AI6172" s="267"/>
    </row>
    <row r="6173" spans="35:35" x14ac:dyDescent="0.3">
      <c r="AI6173" s="267"/>
    </row>
    <row r="6174" spans="35:35" x14ac:dyDescent="0.3">
      <c r="AI6174" s="267"/>
    </row>
    <row r="6175" spans="35:35" x14ac:dyDescent="0.3">
      <c r="AI6175" s="267"/>
    </row>
    <row r="6176" spans="35:35" x14ac:dyDescent="0.3">
      <c r="AI6176" s="267"/>
    </row>
    <row r="6177" spans="35:35" x14ac:dyDescent="0.3">
      <c r="AI6177" s="267"/>
    </row>
    <row r="6178" spans="35:35" x14ac:dyDescent="0.3">
      <c r="AI6178" s="267"/>
    </row>
    <row r="6179" spans="35:35" x14ac:dyDescent="0.3">
      <c r="AI6179" s="267"/>
    </row>
    <row r="6180" spans="35:35" x14ac:dyDescent="0.3">
      <c r="AI6180" s="267"/>
    </row>
    <row r="6181" spans="35:35" x14ac:dyDescent="0.3">
      <c r="AI6181" s="267"/>
    </row>
    <row r="6182" spans="35:35" x14ac:dyDescent="0.3">
      <c r="AI6182" s="267"/>
    </row>
    <row r="6183" spans="35:35" x14ac:dyDescent="0.3">
      <c r="AI6183" s="267"/>
    </row>
    <row r="6184" spans="35:35" x14ac:dyDescent="0.3">
      <c r="AI6184" s="267"/>
    </row>
    <row r="6185" spans="35:35" x14ac:dyDescent="0.3">
      <c r="AI6185" s="267"/>
    </row>
    <row r="6186" spans="35:35" x14ac:dyDescent="0.3">
      <c r="AI6186" s="267"/>
    </row>
    <row r="6187" spans="35:35" x14ac:dyDescent="0.3">
      <c r="AI6187" s="267"/>
    </row>
    <row r="6188" spans="35:35" x14ac:dyDescent="0.3">
      <c r="AI6188" s="267"/>
    </row>
    <row r="6189" spans="35:35" x14ac:dyDescent="0.3">
      <c r="AI6189" s="267"/>
    </row>
    <row r="6190" spans="35:35" x14ac:dyDescent="0.3">
      <c r="AI6190" s="267"/>
    </row>
    <row r="6191" spans="35:35" x14ac:dyDescent="0.3">
      <c r="AI6191" s="267"/>
    </row>
    <row r="6192" spans="35:35" x14ac:dyDescent="0.3">
      <c r="AI6192" s="267"/>
    </row>
    <row r="6193" spans="35:35" x14ac:dyDescent="0.3">
      <c r="AI6193" s="267"/>
    </row>
    <row r="6194" spans="35:35" x14ac:dyDescent="0.3">
      <c r="AI6194" s="267"/>
    </row>
    <row r="6195" spans="35:35" x14ac:dyDescent="0.3">
      <c r="AI6195" s="267"/>
    </row>
    <row r="6196" spans="35:35" x14ac:dyDescent="0.3">
      <c r="AI6196" s="267"/>
    </row>
    <row r="6197" spans="35:35" x14ac:dyDescent="0.3">
      <c r="AI6197" s="267"/>
    </row>
    <row r="6198" spans="35:35" x14ac:dyDescent="0.3">
      <c r="AI6198" s="267"/>
    </row>
    <row r="6199" spans="35:35" x14ac:dyDescent="0.3">
      <c r="AI6199" s="267"/>
    </row>
    <row r="6200" spans="35:35" x14ac:dyDescent="0.3">
      <c r="AI6200" s="267"/>
    </row>
    <row r="6201" spans="35:35" x14ac:dyDescent="0.3">
      <c r="AI6201" s="267"/>
    </row>
    <row r="6202" spans="35:35" x14ac:dyDescent="0.3">
      <c r="AI6202" s="267"/>
    </row>
    <row r="6203" spans="35:35" x14ac:dyDescent="0.3">
      <c r="AI6203" s="267"/>
    </row>
    <row r="6204" spans="35:35" x14ac:dyDescent="0.3">
      <c r="AI6204" s="267"/>
    </row>
    <row r="6205" spans="35:35" x14ac:dyDescent="0.3">
      <c r="AI6205" s="267"/>
    </row>
    <row r="6206" spans="35:35" x14ac:dyDescent="0.3">
      <c r="AI6206" s="267"/>
    </row>
    <row r="6207" spans="35:35" x14ac:dyDescent="0.3">
      <c r="AI6207" s="267"/>
    </row>
    <row r="6208" spans="35:35" x14ac:dyDescent="0.3">
      <c r="AI6208" s="267"/>
    </row>
    <row r="6209" spans="35:35" x14ac:dyDescent="0.3">
      <c r="AI6209" s="267"/>
    </row>
    <row r="6210" spans="35:35" x14ac:dyDescent="0.3">
      <c r="AI6210" s="267"/>
    </row>
    <row r="6211" spans="35:35" x14ac:dyDescent="0.3">
      <c r="AI6211" s="267"/>
    </row>
    <row r="6212" spans="35:35" x14ac:dyDescent="0.3">
      <c r="AI6212" s="267"/>
    </row>
    <row r="6213" spans="35:35" x14ac:dyDescent="0.3">
      <c r="AI6213" s="267"/>
    </row>
    <row r="6214" spans="35:35" x14ac:dyDescent="0.3">
      <c r="AI6214" s="267"/>
    </row>
    <row r="6215" spans="35:35" x14ac:dyDescent="0.3">
      <c r="AI6215" s="267"/>
    </row>
    <row r="6216" spans="35:35" x14ac:dyDescent="0.3">
      <c r="AI6216" s="267"/>
    </row>
    <row r="6217" spans="35:35" x14ac:dyDescent="0.3">
      <c r="AI6217" s="267"/>
    </row>
    <row r="6218" spans="35:35" x14ac:dyDescent="0.3">
      <c r="AI6218" s="267"/>
    </row>
    <row r="6219" spans="35:35" x14ac:dyDescent="0.3">
      <c r="AI6219" s="267"/>
    </row>
    <row r="6220" spans="35:35" x14ac:dyDescent="0.3">
      <c r="AI6220" s="267"/>
    </row>
    <row r="6221" spans="35:35" x14ac:dyDescent="0.3">
      <c r="AI6221" s="267"/>
    </row>
    <row r="6222" spans="35:35" x14ac:dyDescent="0.3">
      <c r="AI6222" s="267"/>
    </row>
    <row r="6223" spans="35:35" x14ac:dyDescent="0.3">
      <c r="AI6223" s="267"/>
    </row>
    <row r="6224" spans="35:35" x14ac:dyDescent="0.3">
      <c r="AI6224" s="267"/>
    </row>
    <row r="6225" spans="35:35" x14ac:dyDescent="0.3">
      <c r="AI6225" s="267"/>
    </row>
    <row r="6226" spans="35:35" x14ac:dyDescent="0.3">
      <c r="AI6226" s="267"/>
    </row>
    <row r="6227" spans="35:35" x14ac:dyDescent="0.3">
      <c r="AI6227" s="267"/>
    </row>
    <row r="6228" spans="35:35" x14ac:dyDescent="0.3">
      <c r="AI6228" s="267"/>
    </row>
    <row r="6229" spans="35:35" x14ac:dyDescent="0.3">
      <c r="AI6229" s="267"/>
    </row>
    <row r="6230" spans="35:35" x14ac:dyDescent="0.3">
      <c r="AI6230" s="267"/>
    </row>
    <row r="6231" spans="35:35" x14ac:dyDescent="0.3">
      <c r="AI6231" s="267"/>
    </row>
    <row r="6232" spans="35:35" x14ac:dyDescent="0.3">
      <c r="AI6232" s="267"/>
    </row>
    <row r="6233" spans="35:35" x14ac:dyDescent="0.3">
      <c r="AI6233" s="267"/>
    </row>
    <row r="6234" spans="35:35" x14ac:dyDescent="0.3">
      <c r="AI6234" s="267"/>
    </row>
    <row r="6235" spans="35:35" x14ac:dyDescent="0.3">
      <c r="AI6235" s="267"/>
    </row>
    <row r="6236" spans="35:35" x14ac:dyDescent="0.3">
      <c r="AI6236" s="267"/>
    </row>
    <row r="6237" spans="35:35" x14ac:dyDescent="0.3">
      <c r="AI6237" s="267"/>
    </row>
    <row r="6238" spans="35:35" x14ac:dyDescent="0.3">
      <c r="AI6238" s="267"/>
    </row>
    <row r="6239" spans="35:35" x14ac:dyDescent="0.3">
      <c r="AI6239" s="267"/>
    </row>
    <row r="6240" spans="35:35" x14ac:dyDescent="0.3">
      <c r="AI6240" s="267"/>
    </row>
    <row r="6241" spans="35:35" x14ac:dyDescent="0.3">
      <c r="AI6241" s="267"/>
    </row>
    <row r="6242" spans="35:35" x14ac:dyDescent="0.3">
      <c r="AI6242" s="267"/>
    </row>
    <row r="6243" spans="35:35" x14ac:dyDescent="0.3">
      <c r="AI6243" s="267"/>
    </row>
    <row r="6244" spans="35:35" x14ac:dyDescent="0.3">
      <c r="AI6244" s="267"/>
    </row>
    <row r="6245" spans="35:35" x14ac:dyDescent="0.3">
      <c r="AI6245" s="267"/>
    </row>
    <row r="6246" spans="35:35" x14ac:dyDescent="0.3">
      <c r="AI6246" s="267"/>
    </row>
    <row r="6247" spans="35:35" x14ac:dyDescent="0.3">
      <c r="AI6247" s="267"/>
    </row>
    <row r="6248" spans="35:35" x14ac:dyDescent="0.3">
      <c r="AI6248" s="267"/>
    </row>
    <row r="6249" spans="35:35" x14ac:dyDescent="0.3">
      <c r="AI6249" s="267"/>
    </row>
    <row r="6250" spans="35:35" x14ac:dyDescent="0.3">
      <c r="AI6250" s="267"/>
    </row>
    <row r="6251" spans="35:35" x14ac:dyDescent="0.3">
      <c r="AI6251" s="267"/>
    </row>
    <row r="6252" spans="35:35" x14ac:dyDescent="0.3">
      <c r="AI6252" s="267"/>
    </row>
    <row r="6253" spans="35:35" x14ac:dyDescent="0.3">
      <c r="AI6253" s="267"/>
    </row>
    <row r="6254" spans="35:35" x14ac:dyDescent="0.3">
      <c r="AI6254" s="267"/>
    </row>
    <row r="6255" spans="35:35" x14ac:dyDescent="0.3">
      <c r="AI6255" s="267"/>
    </row>
    <row r="6256" spans="35:35" x14ac:dyDescent="0.3">
      <c r="AI6256" s="267"/>
    </row>
    <row r="6257" spans="35:35" x14ac:dyDescent="0.3">
      <c r="AI6257" s="267"/>
    </row>
    <row r="6258" spans="35:35" x14ac:dyDescent="0.3">
      <c r="AI6258" s="267"/>
    </row>
    <row r="6259" spans="35:35" x14ac:dyDescent="0.3">
      <c r="AI6259" s="267"/>
    </row>
    <row r="6260" spans="35:35" x14ac:dyDescent="0.3">
      <c r="AI6260" s="267"/>
    </row>
    <row r="6261" spans="35:35" x14ac:dyDescent="0.3">
      <c r="AI6261" s="267"/>
    </row>
    <row r="6262" spans="35:35" x14ac:dyDescent="0.3">
      <c r="AI6262" s="267"/>
    </row>
    <row r="6263" spans="35:35" x14ac:dyDescent="0.3">
      <c r="AI6263" s="267"/>
    </row>
    <row r="6264" spans="35:35" x14ac:dyDescent="0.3">
      <c r="AI6264" s="267"/>
    </row>
    <row r="6265" spans="35:35" x14ac:dyDescent="0.3">
      <c r="AI6265" s="267"/>
    </row>
    <row r="6266" spans="35:35" x14ac:dyDescent="0.3">
      <c r="AI6266" s="267"/>
    </row>
    <row r="6267" spans="35:35" x14ac:dyDescent="0.3">
      <c r="AI6267" s="267"/>
    </row>
    <row r="6268" spans="35:35" x14ac:dyDescent="0.3">
      <c r="AI6268" s="267"/>
    </row>
    <row r="6269" spans="35:35" x14ac:dyDescent="0.3">
      <c r="AI6269" s="267"/>
    </row>
    <row r="6270" spans="35:35" x14ac:dyDescent="0.3">
      <c r="AI6270" s="267"/>
    </row>
    <row r="6271" spans="35:35" x14ac:dyDescent="0.3">
      <c r="AI6271" s="267"/>
    </row>
    <row r="6272" spans="35:35" x14ac:dyDescent="0.3">
      <c r="AI6272" s="267"/>
    </row>
    <row r="6273" spans="35:35" x14ac:dyDescent="0.3">
      <c r="AI6273" s="267"/>
    </row>
    <row r="6274" spans="35:35" x14ac:dyDescent="0.3">
      <c r="AI6274" s="267"/>
    </row>
    <row r="6275" spans="35:35" x14ac:dyDescent="0.3">
      <c r="AI6275" s="267"/>
    </row>
    <row r="6276" spans="35:35" x14ac:dyDescent="0.3">
      <c r="AI6276" s="267"/>
    </row>
    <row r="6277" spans="35:35" x14ac:dyDescent="0.3">
      <c r="AI6277" s="267"/>
    </row>
    <row r="6278" spans="35:35" x14ac:dyDescent="0.3">
      <c r="AI6278" s="267"/>
    </row>
    <row r="6279" spans="35:35" x14ac:dyDescent="0.3">
      <c r="AI6279" s="267"/>
    </row>
    <row r="6280" spans="35:35" x14ac:dyDescent="0.3">
      <c r="AI6280" s="267"/>
    </row>
    <row r="6281" spans="35:35" x14ac:dyDescent="0.3">
      <c r="AI6281" s="267"/>
    </row>
    <row r="6282" spans="35:35" x14ac:dyDescent="0.3">
      <c r="AI6282" s="267"/>
    </row>
    <row r="6283" spans="35:35" x14ac:dyDescent="0.3">
      <c r="AI6283" s="267"/>
    </row>
    <row r="6284" spans="35:35" x14ac:dyDescent="0.3">
      <c r="AI6284" s="267"/>
    </row>
    <row r="6285" spans="35:35" x14ac:dyDescent="0.3">
      <c r="AI6285" s="267"/>
    </row>
    <row r="6286" spans="35:35" x14ac:dyDescent="0.3">
      <c r="AI6286" s="267"/>
    </row>
    <row r="6287" spans="35:35" x14ac:dyDescent="0.3">
      <c r="AI6287" s="267"/>
    </row>
    <row r="6288" spans="35:35" x14ac:dyDescent="0.3">
      <c r="AI6288" s="267"/>
    </row>
    <row r="6289" spans="35:35" x14ac:dyDescent="0.3">
      <c r="AI6289" s="267"/>
    </row>
    <row r="6290" spans="35:35" x14ac:dyDescent="0.3">
      <c r="AI6290" s="267"/>
    </row>
    <row r="6291" spans="35:35" x14ac:dyDescent="0.3">
      <c r="AI6291" s="267"/>
    </row>
    <row r="6292" spans="35:35" x14ac:dyDescent="0.3">
      <c r="AI6292" s="267"/>
    </row>
    <row r="6293" spans="35:35" x14ac:dyDescent="0.3">
      <c r="AI6293" s="267"/>
    </row>
    <row r="6294" spans="35:35" x14ac:dyDescent="0.3">
      <c r="AI6294" s="267"/>
    </row>
    <row r="6295" spans="35:35" x14ac:dyDescent="0.3">
      <c r="AI6295" s="267"/>
    </row>
    <row r="6296" spans="35:35" x14ac:dyDescent="0.3">
      <c r="AI6296" s="267"/>
    </row>
    <row r="6297" spans="35:35" x14ac:dyDescent="0.3">
      <c r="AI6297" s="267"/>
    </row>
    <row r="6298" spans="35:35" x14ac:dyDescent="0.3">
      <c r="AI6298" s="267"/>
    </row>
    <row r="6299" spans="35:35" x14ac:dyDescent="0.3">
      <c r="AI6299" s="267"/>
    </row>
    <row r="6300" spans="35:35" x14ac:dyDescent="0.3">
      <c r="AI6300" s="267"/>
    </row>
    <row r="6301" spans="35:35" x14ac:dyDescent="0.3">
      <c r="AI6301" s="267"/>
    </row>
    <row r="6302" spans="35:35" x14ac:dyDescent="0.3">
      <c r="AI6302" s="267"/>
    </row>
    <row r="6303" spans="35:35" x14ac:dyDescent="0.3">
      <c r="AI6303" s="267"/>
    </row>
    <row r="6304" spans="35:35" x14ac:dyDescent="0.3">
      <c r="AI6304" s="267"/>
    </row>
    <row r="6305" spans="35:35" x14ac:dyDescent="0.3">
      <c r="AI6305" s="267"/>
    </row>
    <row r="6306" spans="35:35" x14ac:dyDescent="0.3">
      <c r="AI6306" s="267"/>
    </row>
    <row r="6307" spans="35:35" x14ac:dyDescent="0.3">
      <c r="AI6307" s="267"/>
    </row>
    <row r="6308" spans="35:35" x14ac:dyDescent="0.3">
      <c r="AI6308" s="267"/>
    </row>
    <row r="6309" spans="35:35" x14ac:dyDescent="0.3">
      <c r="AI6309" s="267"/>
    </row>
    <row r="6310" spans="35:35" x14ac:dyDescent="0.3">
      <c r="AI6310" s="267"/>
    </row>
    <row r="6311" spans="35:35" x14ac:dyDescent="0.3">
      <c r="AI6311" s="267"/>
    </row>
    <row r="6312" spans="35:35" x14ac:dyDescent="0.3">
      <c r="AI6312" s="267"/>
    </row>
    <row r="6313" spans="35:35" x14ac:dyDescent="0.3">
      <c r="AI6313" s="267"/>
    </row>
    <row r="6314" spans="35:35" x14ac:dyDescent="0.3">
      <c r="AI6314" s="267"/>
    </row>
    <row r="6315" spans="35:35" x14ac:dyDescent="0.3">
      <c r="AI6315" s="267"/>
    </row>
    <row r="6316" spans="35:35" x14ac:dyDescent="0.3">
      <c r="AI6316" s="267"/>
    </row>
    <row r="6317" spans="35:35" x14ac:dyDescent="0.3">
      <c r="AI6317" s="267"/>
    </row>
    <row r="6318" spans="35:35" x14ac:dyDescent="0.3">
      <c r="AI6318" s="267"/>
    </row>
    <row r="6319" spans="35:35" x14ac:dyDescent="0.3">
      <c r="AI6319" s="267"/>
    </row>
    <row r="6320" spans="35:35" x14ac:dyDescent="0.3">
      <c r="AI6320" s="267"/>
    </row>
    <row r="6321" spans="35:35" x14ac:dyDescent="0.3">
      <c r="AI6321" s="267"/>
    </row>
    <row r="6322" spans="35:35" x14ac:dyDescent="0.3">
      <c r="AI6322" s="267"/>
    </row>
    <row r="6323" spans="35:35" x14ac:dyDescent="0.3">
      <c r="AI6323" s="267"/>
    </row>
    <row r="6324" spans="35:35" x14ac:dyDescent="0.3">
      <c r="AI6324" s="267"/>
    </row>
    <row r="6325" spans="35:35" x14ac:dyDescent="0.3">
      <c r="AI6325" s="267"/>
    </row>
    <row r="6326" spans="35:35" x14ac:dyDescent="0.3">
      <c r="AI6326" s="267"/>
    </row>
    <row r="6327" spans="35:35" x14ac:dyDescent="0.3">
      <c r="AI6327" s="267"/>
    </row>
    <row r="6328" spans="35:35" x14ac:dyDescent="0.3">
      <c r="AI6328" s="267"/>
    </row>
    <row r="6329" spans="35:35" x14ac:dyDescent="0.3">
      <c r="AI6329" s="267"/>
    </row>
    <row r="6330" spans="35:35" x14ac:dyDescent="0.3">
      <c r="AI6330" s="267"/>
    </row>
    <row r="6331" spans="35:35" x14ac:dyDescent="0.3">
      <c r="AI6331" s="267"/>
    </row>
    <row r="6332" spans="35:35" x14ac:dyDescent="0.3">
      <c r="AI6332" s="267"/>
    </row>
    <row r="6333" spans="35:35" x14ac:dyDescent="0.3">
      <c r="AI6333" s="267"/>
    </row>
    <row r="6334" spans="35:35" x14ac:dyDescent="0.3">
      <c r="AI6334" s="267"/>
    </row>
    <row r="6335" spans="35:35" x14ac:dyDescent="0.3">
      <c r="AI6335" s="267"/>
    </row>
    <row r="6336" spans="35:35" x14ac:dyDescent="0.3">
      <c r="AI6336" s="267"/>
    </row>
    <row r="6337" spans="35:35" x14ac:dyDescent="0.3">
      <c r="AI6337" s="267"/>
    </row>
    <row r="6338" spans="35:35" x14ac:dyDescent="0.3">
      <c r="AI6338" s="267"/>
    </row>
    <row r="6339" spans="35:35" x14ac:dyDescent="0.3">
      <c r="AI6339" s="267"/>
    </row>
    <row r="6340" spans="35:35" x14ac:dyDescent="0.3">
      <c r="AI6340" s="267"/>
    </row>
    <row r="6341" spans="35:35" x14ac:dyDescent="0.3">
      <c r="AI6341" s="267"/>
    </row>
    <row r="6342" spans="35:35" x14ac:dyDescent="0.3">
      <c r="AI6342" s="267"/>
    </row>
    <row r="6343" spans="35:35" x14ac:dyDescent="0.3">
      <c r="AI6343" s="267"/>
    </row>
    <row r="6344" spans="35:35" x14ac:dyDescent="0.3">
      <c r="AI6344" s="267"/>
    </row>
    <row r="6345" spans="35:35" x14ac:dyDescent="0.3">
      <c r="AI6345" s="267"/>
    </row>
    <row r="6346" spans="35:35" x14ac:dyDescent="0.3">
      <c r="AI6346" s="267"/>
    </row>
    <row r="6347" spans="35:35" x14ac:dyDescent="0.3">
      <c r="AI6347" s="267"/>
    </row>
    <row r="6348" spans="35:35" x14ac:dyDescent="0.3">
      <c r="AI6348" s="267"/>
    </row>
    <row r="6349" spans="35:35" x14ac:dyDescent="0.3">
      <c r="AI6349" s="267"/>
    </row>
    <row r="6350" spans="35:35" x14ac:dyDescent="0.3">
      <c r="AI6350" s="267"/>
    </row>
    <row r="6351" spans="35:35" x14ac:dyDescent="0.3">
      <c r="AI6351" s="267"/>
    </row>
    <row r="6352" spans="35:35" x14ac:dyDescent="0.3">
      <c r="AI6352" s="267"/>
    </row>
    <row r="6353" spans="35:35" x14ac:dyDescent="0.3">
      <c r="AI6353" s="267"/>
    </row>
    <row r="6354" spans="35:35" x14ac:dyDescent="0.3">
      <c r="AI6354" s="267"/>
    </row>
    <row r="6355" spans="35:35" x14ac:dyDescent="0.3">
      <c r="AI6355" s="267"/>
    </row>
    <row r="6356" spans="35:35" x14ac:dyDescent="0.3">
      <c r="AI6356" s="267"/>
    </row>
    <row r="6357" spans="35:35" x14ac:dyDescent="0.3">
      <c r="AI6357" s="267"/>
    </row>
    <row r="6358" spans="35:35" x14ac:dyDescent="0.3">
      <c r="AI6358" s="267"/>
    </row>
    <row r="6359" spans="35:35" x14ac:dyDescent="0.3">
      <c r="AI6359" s="267"/>
    </row>
    <row r="6360" spans="35:35" x14ac:dyDescent="0.3">
      <c r="AI6360" s="267"/>
    </row>
    <row r="6361" spans="35:35" x14ac:dyDescent="0.3">
      <c r="AI6361" s="267"/>
    </row>
    <row r="6362" spans="35:35" x14ac:dyDescent="0.3">
      <c r="AI6362" s="267"/>
    </row>
    <row r="6363" spans="35:35" x14ac:dyDescent="0.3">
      <c r="AI6363" s="267"/>
    </row>
    <row r="6364" spans="35:35" x14ac:dyDescent="0.3">
      <c r="AI6364" s="267"/>
    </row>
    <row r="6365" spans="35:35" x14ac:dyDescent="0.3">
      <c r="AI6365" s="267"/>
    </row>
    <row r="6366" spans="35:35" x14ac:dyDescent="0.3">
      <c r="AI6366" s="267"/>
    </row>
    <row r="6367" spans="35:35" x14ac:dyDescent="0.3">
      <c r="AI6367" s="267"/>
    </row>
    <row r="6368" spans="35:35" x14ac:dyDescent="0.3">
      <c r="AI6368" s="267"/>
    </row>
    <row r="6369" spans="35:35" x14ac:dyDescent="0.3">
      <c r="AI6369" s="267"/>
    </row>
    <row r="6370" spans="35:35" x14ac:dyDescent="0.3">
      <c r="AI6370" s="267"/>
    </row>
    <row r="6371" spans="35:35" x14ac:dyDescent="0.3">
      <c r="AI6371" s="267"/>
    </row>
    <row r="6372" spans="35:35" x14ac:dyDescent="0.3">
      <c r="AI6372" s="267"/>
    </row>
    <row r="6373" spans="35:35" x14ac:dyDescent="0.3">
      <c r="AI6373" s="267"/>
    </row>
    <row r="6374" spans="35:35" x14ac:dyDescent="0.3">
      <c r="AI6374" s="267"/>
    </row>
    <row r="6375" spans="35:35" x14ac:dyDescent="0.3">
      <c r="AI6375" s="267"/>
    </row>
    <row r="6376" spans="35:35" x14ac:dyDescent="0.3">
      <c r="AI6376" s="267"/>
    </row>
    <row r="6377" spans="35:35" x14ac:dyDescent="0.3">
      <c r="AI6377" s="267"/>
    </row>
    <row r="6378" spans="35:35" x14ac:dyDescent="0.3">
      <c r="AI6378" s="267"/>
    </row>
    <row r="6379" spans="35:35" x14ac:dyDescent="0.3">
      <c r="AI6379" s="267"/>
    </row>
    <row r="6380" spans="35:35" x14ac:dyDescent="0.3">
      <c r="AI6380" s="267"/>
    </row>
    <row r="6381" spans="35:35" x14ac:dyDescent="0.3">
      <c r="AI6381" s="267"/>
    </row>
    <row r="6382" spans="35:35" x14ac:dyDescent="0.3">
      <c r="AI6382" s="267"/>
    </row>
    <row r="6383" spans="35:35" x14ac:dyDescent="0.3">
      <c r="AI6383" s="267"/>
    </row>
    <row r="6384" spans="35:35" x14ac:dyDescent="0.3">
      <c r="AI6384" s="267"/>
    </row>
    <row r="6385" spans="35:35" x14ac:dyDescent="0.3">
      <c r="AI6385" s="267"/>
    </row>
    <row r="6386" spans="35:35" x14ac:dyDescent="0.3">
      <c r="AI6386" s="267"/>
    </row>
    <row r="6387" spans="35:35" x14ac:dyDescent="0.3">
      <c r="AI6387" s="267"/>
    </row>
    <row r="6388" spans="35:35" x14ac:dyDescent="0.3">
      <c r="AI6388" s="267"/>
    </row>
    <row r="6389" spans="35:35" x14ac:dyDescent="0.3">
      <c r="AI6389" s="267"/>
    </row>
    <row r="6390" spans="35:35" x14ac:dyDescent="0.3">
      <c r="AI6390" s="267"/>
    </row>
    <row r="6391" spans="35:35" x14ac:dyDescent="0.3">
      <c r="AI6391" s="267"/>
    </row>
    <row r="6392" spans="35:35" x14ac:dyDescent="0.3">
      <c r="AI6392" s="267"/>
    </row>
    <row r="6393" spans="35:35" x14ac:dyDescent="0.3">
      <c r="AI6393" s="267"/>
    </row>
    <row r="6394" spans="35:35" x14ac:dyDescent="0.3">
      <c r="AI6394" s="267"/>
    </row>
    <row r="6395" spans="35:35" x14ac:dyDescent="0.3">
      <c r="AI6395" s="267"/>
    </row>
    <row r="6396" spans="35:35" x14ac:dyDescent="0.3">
      <c r="AI6396" s="267"/>
    </row>
    <row r="6397" spans="35:35" x14ac:dyDescent="0.3">
      <c r="AI6397" s="267"/>
    </row>
    <row r="6398" spans="35:35" x14ac:dyDescent="0.3">
      <c r="AI6398" s="267"/>
    </row>
    <row r="6399" spans="35:35" x14ac:dyDescent="0.3">
      <c r="AI6399" s="267"/>
    </row>
    <row r="6400" spans="35:35" x14ac:dyDescent="0.3">
      <c r="AI6400" s="267"/>
    </row>
    <row r="6401" spans="35:35" x14ac:dyDescent="0.3">
      <c r="AI6401" s="267"/>
    </row>
    <row r="6402" spans="35:35" x14ac:dyDescent="0.3">
      <c r="AI6402" s="267"/>
    </row>
    <row r="6403" spans="35:35" x14ac:dyDescent="0.3">
      <c r="AI6403" s="267"/>
    </row>
    <row r="6404" spans="35:35" x14ac:dyDescent="0.3">
      <c r="AI6404" s="267"/>
    </row>
    <row r="6405" spans="35:35" x14ac:dyDescent="0.3">
      <c r="AI6405" s="267"/>
    </row>
    <row r="6406" spans="35:35" x14ac:dyDescent="0.3">
      <c r="AI6406" s="267"/>
    </row>
    <row r="6407" spans="35:35" x14ac:dyDescent="0.3">
      <c r="AI6407" s="267"/>
    </row>
    <row r="6408" spans="35:35" x14ac:dyDescent="0.3">
      <c r="AI6408" s="267"/>
    </row>
    <row r="6409" spans="35:35" x14ac:dyDescent="0.3">
      <c r="AI6409" s="267"/>
    </row>
    <row r="6410" spans="35:35" x14ac:dyDescent="0.3">
      <c r="AI6410" s="267"/>
    </row>
    <row r="6411" spans="35:35" x14ac:dyDescent="0.3">
      <c r="AI6411" s="267"/>
    </row>
    <row r="6412" spans="35:35" x14ac:dyDescent="0.3">
      <c r="AI6412" s="267"/>
    </row>
    <row r="6413" spans="35:35" x14ac:dyDescent="0.3">
      <c r="AI6413" s="267"/>
    </row>
    <row r="6414" spans="35:35" x14ac:dyDescent="0.3">
      <c r="AI6414" s="267"/>
    </row>
    <row r="6415" spans="35:35" x14ac:dyDescent="0.3">
      <c r="AI6415" s="267"/>
    </row>
    <row r="6416" spans="35:35" x14ac:dyDescent="0.3">
      <c r="AI6416" s="267"/>
    </row>
    <row r="6417" spans="35:35" x14ac:dyDescent="0.3">
      <c r="AI6417" s="267"/>
    </row>
    <row r="6418" spans="35:35" x14ac:dyDescent="0.3">
      <c r="AI6418" s="267"/>
    </row>
    <row r="6419" spans="35:35" x14ac:dyDescent="0.3">
      <c r="AI6419" s="267"/>
    </row>
    <row r="6420" spans="35:35" x14ac:dyDescent="0.3">
      <c r="AI6420" s="267"/>
    </row>
    <row r="6421" spans="35:35" x14ac:dyDescent="0.3">
      <c r="AI6421" s="267"/>
    </row>
    <row r="6422" spans="35:35" x14ac:dyDescent="0.3">
      <c r="AI6422" s="267"/>
    </row>
    <row r="6423" spans="35:35" x14ac:dyDescent="0.3">
      <c r="AI6423" s="267"/>
    </row>
    <row r="6424" spans="35:35" x14ac:dyDescent="0.3">
      <c r="AI6424" s="267"/>
    </row>
    <row r="6425" spans="35:35" x14ac:dyDescent="0.3">
      <c r="AI6425" s="267"/>
    </row>
    <row r="6426" spans="35:35" x14ac:dyDescent="0.3">
      <c r="AI6426" s="267"/>
    </row>
    <row r="6427" spans="35:35" x14ac:dyDescent="0.3">
      <c r="AI6427" s="267"/>
    </row>
    <row r="6428" spans="35:35" x14ac:dyDescent="0.3">
      <c r="AI6428" s="267"/>
    </row>
    <row r="6429" spans="35:35" x14ac:dyDescent="0.3">
      <c r="AI6429" s="267"/>
    </row>
    <row r="6430" spans="35:35" x14ac:dyDescent="0.3">
      <c r="AI6430" s="267"/>
    </row>
    <row r="6431" spans="35:35" x14ac:dyDescent="0.3">
      <c r="AI6431" s="267"/>
    </row>
    <row r="6432" spans="35:35" x14ac:dyDescent="0.3">
      <c r="AI6432" s="267"/>
    </row>
    <row r="6433" spans="35:35" x14ac:dyDescent="0.3">
      <c r="AI6433" s="267"/>
    </row>
    <row r="6434" spans="35:35" x14ac:dyDescent="0.3">
      <c r="AI6434" s="267"/>
    </row>
    <row r="6435" spans="35:35" x14ac:dyDescent="0.3">
      <c r="AI6435" s="267"/>
    </row>
    <row r="6436" spans="35:35" x14ac:dyDescent="0.3">
      <c r="AI6436" s="267"/>
    </row>
    <row r="6437" spans="35:35" x14ac:dyDescent="0.3">
      <c r="AI6437" s="267"/>
    </row>
    <row r="6438" spans="35:35" x14ac:dyDescent="0.3">
      <c r="AI6438" s="267"/>
    </row>
    <row r="6439" spans="35:35" x14ac:dyDescent="0.3">
      <c r="AI6439" s="267"/>
    </row>
    <row r="6440" spans="35:35" x14ac:dyDescent="0.3">
      <c r="AI6440" s="267"/>
    </row>
    <row r="6441" spans="35:35" x14ac:dyDescent="0.3">
      <c r="AI6441" s="267"/>
    </row>
    <row r="6442" spans="35:35" x14ac:dyDescent="0.3">
      <c r="AI6442" s="267"/>
    </row>
    <row r="6443" spans="35:35" x14ac:dyDescent="0.3">
      <c r="AI6443" s="267"/>
    </row>
    <row r="6444" spans="35:35" x14ac:dyDescent="0.3">
      <c r="AI6444" s="267"/>
    </row>
    <row r="6445" spans="35:35" x14ac:dyDescent="0.3">
      <c r="AI6445" s="267"/>
    </row>
    <row r="6446" spans="35:35" x14ac:dyDescent="0.3">
      <c r="AI6446" s="267"/>
    </row>
    <row r="6447" spans="35:35" x14ac:dyDescent="0.3">
      <c r="AI6447" s="267"/>
    </row>
    <row r="6448" spans="35:35" x14ac:dyDescent="0.3">
      <c r="AI6448" s="267"/>
    </row>
    <row r="6449" spans="35:35" x14ac:dyDescent="0.3">
      <c r="AI6449" s="267"/>
    </row>
    <row r="6450" spans="35:35" x14ac:dyDescent="0.3">
      <c r="AI6450" s="267"/>
    </row>
    <row r="6451" spans="35:35" x14ac:dyDescent="0.3">
      <c r="AI6451" s="267"/>
    </row>
    <row r="6452" spans="35:35" x14ac:dyDescent="0.3">
      <c r="AI6452" s="267"/>
    </row>
    <row r="6453" spans="35:35" x14ac:dyDescent="0.3">
      <c r="AI6453" s="267"/>
    </row>
    <row r="6454" spans="35:35" x14ac:dyDescent="0.3">
      <c r="AI6454" s="267"/>
    </row>
    <row r="6455" spans="35:35" x14ac:dyDescent="0.3">
      <c r="AI6455" s="267"/>
    </row>
    <row r="6456" spans="35:35" x14ac:dyDescent="0.3">
      <c r="AI6456" s="267"/>
    </row>
    <row r="6457" spans="35:35" x14ac:dyDescent="0.3">
      <c r="AI6457" s="267"/>
    </row>
    <row r="6458" spans="35:35" x14ac:dyDescent="0.3">
      <c r="AI6458" s="267"/>
    </row>
    <row r="6459" spans="35:35" x14ac:dyDescent="0.3">
      <c r="AI6459" s="267"/>
    </row>
    <row r="6460" spans="35:35" x14ac:dyDescent="0.3">
      <c r="AI6460" s="267"/>
    </row>
    <row r="6461" spans="35:35" x14ac:dyDescent="0.3">
      <c r="AI6461" s="267"/>
    </row>
    <row r="6462" spans="35:35" x14ac:dyDescent="0.3">
      <c r="AI6462" s="267"/>
    </row>
    <row r="6463" spans="35:35" x14ac:dyDescent="0.3">
      <c r="AI6463" s="267"/>
    </row>
    <row r="6464" spans="35:35" x14ac:dyDescent="0.3">
      <c r="AI6464" s="267"/>
    </row>
    <row r="6465" spans="35:35" x14ac:dyDescent="0.3">
      <c r="AI6465" s="267"/>
    </row>
    <row r="6466" spans="35:35" x14ac:dyDescent="0.3">
      <c r="AI6466" s="267"/>
    </row>
    <row r="6467" spans="35:35" x14ac:dyDescent="0.3">
      <c r="AI6467" s="267"/>
    </row>
    <row r="6468" spans="35:35" x14ac:dyDescent="0.3">
      <c r="AI6468" s="267"/>
    </row>
    <row r="6469" spans="35:35" x14ac:dyDescent="0.3">
      <c r="AI6469" s="267"/>
    </row>
    <row r="6470" spans="35:35" x14ac:dyDescent="0.3">
      <c r="AI6470" s="267"/>
    </row>
    <row r="6471" spans="35:35" x14ac:dyDescent="0.3">
      <c r="AI6471" s="267"/>
    </row>
    <row r="6472" spans="35:35" x14ac:dyDescent="0.3">
      <c r="AI6472" s="267"/>
    </row>
    <row r="6473" spans="35:35" x14ac:dyDescent="0.3">
      <c r="AI6473" s="267"/>
    </row>
    <row r="6474" spans="35:35" x14ac:dyDescent="0.3">
      <c r="AI6474" s="267"/>
    </row>
    <row r="6475" spans="35:35" x14ac:dyDescent="0.3">
      <c r="AI6475" s="267"/>
    </row>
    <row r="6476" spans="35:35" x14ac:dyDescent="0.3">
      <c r="AI6476" s="267"/>
    </row>
    <row r="6477" spans="35:35" x14ac:dyDescent="0.3">
      <c r="AI6477" s="267"/>
    </row>
    <row r="6478" spans="35:35" x14ac:dyDescent="0.3">
      <c r="AI6478" s="267"/>
    </row>
    <row r="6479" spans="35:35" x14ac:dyDescent="0.3">
      <c r="AI6479" s="267"/>
    </row>
    <row r="6480" spans="35:35" x14ac:dyDescent="0.3">
      <c r="AI6480" s="267"/>
    </row>
    <row r="6481" spans="35:35" x14ac:dyDescent="0.3">
      <c r="AI6481" s="267"/>
    </row>
    <row r="6482" spans="35:35" x14ac:dyDescent="0.3">
      <c r="AI6482" s="267"/>
    </row>
    <row r="6483" spans="35:35" x14ac:dyDescent="0.3">
      <c r="AI6483" s="267"/>
    </row>
    <row r="6484" spans="35:35" x14ac:dyDescent="0.3">
      <c r="AI6484" s="267"/>
    </row>
    <row r="6485" spans="35:35" x14ac:dyDescent="0.3">
      <c r="AI6485" s="267"/>
    </row>
    <row r="6486" spans="35:35" x14ac:dyDescent="0.3">
      <c r="AI6486" s="267"/>
    </row>
    <row r="6487" spans="35:35" x14ac:dyDescent="0.3">
      <c r="AI6487" s="267"/>
    </row>
    <row r="6488" spans="35:35" x14ac:dyDescent="0.3">
      <c r="AI6488" s="267"/>
    </row>
    <row r="6489" spans="35:35" x14ac:dyDescent="0.3">
      <c r="AI6489" s="267"/>
    </row>
    <row r="6490" spans="35:35" x14ac:dyDescent="0.3">
      <c r="AI6490" s="267"/>
    </row>
    <row r="6491" spans="35:35" x14ac:dyDescent="0.3">
      <c r="AI6491" s="267"/>
    </row>
    <row r="6492" spans="35:35" x14ac:dyDescent="0.3">
      <c r="AI6492" s="267"/>
    </row>
    <row r="6493" spans="35:35" x14ac:dyDescent="0.3">
      <c r="AI6493" s="267"/>
    </row>
    <row r="6494" spans="35:35" x14ac:dyDescent="0.3">
      <c r="AI6494" s="267"/>
    </row>
    <row r="6495" spans="35:35" x14ac:dyDescent="0.3">
      <c r="AI6495" s="267"/>
    </row>
    <row r="6496" spans="35:35" x14ac:dyDescent="0.3">
      <c r="AI6496" s="267"/>
    </row>
    <row r="6497" spans="35:35" x14ac:dyDescent="0.3">
      <c r="AI6497" s="267"/>
    </row>
    <row r="6498" spans="35:35" x14ac:dyDescent="0.3">
      <c r="AI6498" s="267"/>
    </row>
    <row r="6499" spans="35:35" x14ac:dyDescent="0.3">
      <c r="AI6499" s="267"/>
    </row>
    <row r="6500" spans="35:35" x14ac:dyDescent="0.3">
      <c r="AI6500" s="267"/>
    </row>
    <row r="6501" spans="35:35" x14ac:dyDescent="0.3">
      <c r="AI6501" s="267"/>
    </row>
    <row r="6502" spans="35:35" x14ac:dyDescent="0.3">
      <c r="AI6502" s="267"/>
    </row>
    <row r="6503" spans="35:35" x14ac:dyDescent="0.3">
      <c r="AI6503" s="267"/>
    </row>
    <row r="6504" spans="35:35" x14ac:dyDescent="0.3">
      <c r="AI6504" s="267"/>
    </row>
    <row r="6505" spans="35:35" x14ac:dyDescent="0.3">
      <c r="AI6505" s="267"/>
    </row>
    <row r="6506" spans="35:35" x14ac:dyDescent="0.3">
      <c r="AI6506" s="267"/>
    </row>
    <row r="6507" spans="35:35" x14ac:dyDescent="0.3">
      <c r="AI6507" s="267"/>
    </row>
    <row r="6508" spans="35:35" x14ac:dyDescent="0.3">
      <c r="AI6508" s="267"/>
    </row>
    <row r="6509" spans="35:35" x14ac:dyDescent="0.3">
      <c r="AI6509" s="267"/>
    </row>
    <row r="6510" spans="35:35" x14ac:dyDescent="0.3">
      <c r="AI6510" s="267"/>
    </row>
    <row r="6511" spans="35:35" x14ac:dyDescent="0.3">
      <c r="AI6511" s="267"/>
    </row>
    <row r="6512" spans="35:35" x14ac:dyDescent="0.3">
      <c r="AI6512" s="267"/>
    </row>
    <row r="6513" spans="35:35" x14ac:dyDescent="0.3">
      <c r="AI6513" s="267"/>
    </row>
    <row r="6514" spans="35:35" x14ac:dyDescent="0.3">
      <c r="AI6514" s="267"/>
    </row>
    <row r="6515" spans="35:35" x14ac:dyDescent="0.3">
      <c r="AI6515" s="267"/>
    </row>
    <row r="6516" spans="35:35" x14ac:dyDescent="0.3">
      <c r="AI6516" s="267"/>
    </row>
    <row r="6517" spans="35:35" x14ac:dyDescent="0.3">
      <c r="AI6517" s="267"/>
    </row>
    <row r="6518" spans="35:35" x14ac:dyDescent="0.3">
      <c r="AI6518" s="267"/>
    </row>
    <row r="6519" spans="35:35" x14ac:dyDescent="0.3">
      <c r="AI6519" s="267"/>
    </row>
    <row r="6520" spans="35:35" x14ac:dyDescent="0.3">
      <c r="AI6520" s="267"/>
    </row>
    <row r="6521" spans="35:35" x14ac:dyDescent="0.3">
      <c r="AI6521" s="267"/>
    </row>
    <row r="6522" spans="35:35" x14ac:dyDescent="0.3">
      <c r="AI6522" s="267"/>
    </row>
    <row r="6523" spans="35:35" x14ac:dyDescent="0.3">
      <c r="AI6523" s="267"/>
    </row>
    <row r="6524" spans="35:35" x14ac:dyDescent="0.3">
      <c r="AI6524" s="267"/>
    </row>
    <row r="6525" spans="35:35" x14ac:dyDescent="0.3">
      <c r="AI6525" s="267"/>
    </row>
    <row r="6526" spans="35:35" x14ac:dyDescent="0.3">
      <c r="AI6526" s="267"/>
    </row>
    <row r="6527" spans="35:35" x14ac:dyDescent="0.3">
      <c r="AI6527" s="267"/>
    </row>
    <row r="6528" spans="35:35" x14ac:dyDescent="0.3">
      <c r="AI6528" s="267"/>
    </row>
    <row r="6529" spans="35:35" x14ac:dyDescent="0.3">
      <c r="AI6529" s="267"/>
    </row>
    <row r="6530" spans="35:35" x14ac:dyDescent="0.3">
      <c r="AI6530" s="267"/>
    </row>
    <row r="6531" spans="35:35" x14ac:dyDescent="0.3">
      <c r="AI6531" s="267"/>
    </row>
    <row r="6532" spans="35:35" x14ac:dyDescent="0.3">
      <c r="AI6532" s="267"/>
    </row>
    <row r="6533" spans="35:35" x14ac:dyDescent="0.3">
      <c r="AI6533" s="267"/>
    </row>
    <row r="6534" spans="35:35" x14ac:dyDescent="0.3">
      <c r="AI6534" s="267"/>
    </row>
    <row r="6535" spans="35:35" x14ac:dyDescent="0.3">
      <c r="AI6535" s="267"/>
    </row>
    <row r="6536" spans="35:35" x14ac:dyDescent="0.3">
      <c r="AI6536" s="267"/>
    </row>
    <row r="6537" spans="35:35" x14ac:dyDescent="0.3">
      <c r="AI6537" s="267"/>
    </row>
    <row r="6538" spans="35:35" x14ac:dyDescent="0.3">
      <c r="AI6538" s="267"/>
    </row>
    <row r="6539" spans="35:35" x14ac:dyDescent="0.3">
      <c r="AI6539" s="267"/>
    </row>
    <row r="6540" spans="35:35" x14ac:dyDescent="0.3">
      <c r="AI6540" s="267"/>
    </row>
    <row r="6541" spans="35:35" x14ac:dyDescent="0.3">
      <c r="AI6541" s="267"/>
    </row>
    <row r="6542" spans="35:35" x14ac:dyDescent="0.3">
      <c r="AI6542" s="267"/>
    </row>
    <row r="6543" spans="35:35" x14ac:dyDescent="0.3">
      <c r="AI6543" s="267"/>
    </row>
    <row r="6544" spans="35:35" x14ac:dyDescent="0.3">
      <c r="AI6544" s="267"/>
    </row>
    <row r="6545" spans="35:35" x14ac:dyDescent="0.3">
      <c r="AI6545" s="267"/>
    </row>
    <row r="6546" spans="35:35" x14ac:dyDescent="0.3">
      <c r="AI6546" s="267"/>
    </row>
    <row r="6547" spans="35:35" x14ac:dyDescent="0.3">
      <c r="AI6547" s="267"/>
    </row>
    <row r="6548" spans="35:35" x14ac:dyDescent="0.3">
      <c r="AI6548" s="267"/>
    </row>
    <row r="6549" spans="35:35" x14ac:dyDescent="0.3">
      <c r="AI6549" s="267"/>
    </row>
    <row r="6550" spans="35:35" x14ac:dyDescent="0.3">
      <c r="AI6550" s="267"/>
    </row>
    <row r="6551" spans="35:35" x14ac:dyDescent="0.3">
      <c r="AI6551" s="267"/>
    </row>
    <row r="6552" spans="35:35" x14ac:dyDescent="0.3">
      <c r="AI6552" s="267"/>
    </row>
    <row r="6553" spans="35:35" x14ac:dyDescent="0.3">
      <c r="AI6553" s="267"/>
    </row>
    <row r="6554" spans="35:35" x14ac:dyDescent="0.3">
      <c r="AI6554" s="267"/>
    </row>
    <row r="6555" spans="35:35" x14ac:dyDescent="0.3">
      <c r="AI6555" s="267"/>
    </row>
    <row r="6556" spans="35:35" x14ac:dyDescent="0.3">
      <c r="AI6556" s="267"/>
    </row>
    <row r="6557" spans="35:35" x14ac:dyDescent="0.3">
      <c r="AI6557" s="267"/>
    </row>
    <row r="6558" spans="35:35" x14ac:dyDescent="0.3">
      <c r="AI6558" s="267"/>
    </row>
    <row r="6559" spans="35:35" x14ac:dyDescent="0.3">
      <c r="AI6559" s="267"/>
    </row>
    <row r="6560" spans="35:35" x14ac:dyDescent="0.3">
      <c r="AI6560" s="267"/>
    </row>
    <row r="6561" spans="35:35" x14ac:dyDescent="0.3">
      <c r="AI6561" s="267"/>
    </row>
    <row r="6562" spans="35:35" x14ac:dyDescent="0.3">
      <c r="AI6562" s="267"/>
    </row>
    <row r="6563" spans="35:35" x14ac:dyDescent="0.3">
      <c r="AI6563" s="267"/>
    </row>
    <row r="6564" spans="35:35" x14ac:dyDescent="0.3">
      <c r="AI6564" s="267"/>
    </row>
    <row r="6565" spans="35:35" x14ac:dyDescent="0.3">
      <c r="AI6565" s="267"/>
    </row>
    <row r="6566" spans="35:35" x14ac:dyDescent="0.3">
      <c r="AI6566" s="267"/>
    </row>
    <row r="6567" spans="35:35" x14ac:dyDescent="0.3">
      <c r="AI6567" s="267"/>
    </row>
    <row r="6568" spans="35:35" x14ac:dyDescent="0.3">
      <c r="AI6568" s="267"/>
    </row>
    <row r="6569" spans="35:35" x14ac:dyDescent="0.3">
      <c r="AI6569" s="267"/>
    </row>
    <row r="6570" spans="35:35" x14ac:dyDescent="0.3">
      <c r="AI6570" s="267"/>
    </row>
    <row r="6571" spans="35:35" x14ac:dyDescent="0.3">
      <c r="AI6571" s="267"/>
    </row>
    <row r="6572" spans="35:35" x14ac:dyDescent="0.3">
      <c r="AI6572" s="267"/>
    </row>
    <row r="6573" spans="35:35" x14ac:dyDescent="0.3">
      <c r="AI6573" s="267"/>
    </row>
    <row r="6574" spans="35:35" x14ac:dyDescent="0.3">
      <c r="AI6574" s="267"/>
    </row>
    <row r="6575" spans="35:35" x14ac:dyDescent="0.3">
      <c r="AI6575" s="267"/>
    </row>
    <row r="6576" spans="35:35" x14ac:dyDescent="0.3">
      <c r="AI6576" s="267"/>
    </row>
    <row r="6577" spans="35:35" x14ac:dyDescent="0.3">
      <c r="AI6577" s="267"/>
    </row>
    <row r="6578" spans="35:35" x14ac:dyDescent="0.3">
      <c r="AI6578" s="267"/>
    </row>
    <row r="6579" spans="35:35" x14ac:dyDescent="0.3">
      <c r="AI6579" s="267"/>
    </row>
    <row r="6580" spans="35:35" x14ac:dyDescent="0.3">
      <c r="AI6580" s="267"/>
    </row>
    <row r="6581" spans="35:35" x14ac:dyDescent="0.3">
      <c r="AI6581" s="267"/>
    </row>
    <row r="6582" spans="35:35" x14ac:dyDescent="0.3">
      <c r="AI6582" s="267"/>
    </row>
    <row r="6583" spans="35:35" x14ac:dyDescent="0.3">
      <c r="AI6583" s="267"/>
    </row>
    <row r="6584" spans="35:35" x14ac:dyDescent="0.3">
      <c r="AI6584" s="267"/>
    </row>
    <row r="6585" spans="35:35" x14ac:dyDescent="0.3">
      <c r="AI6585" s="267"/>
    </row>
    <row r="6586" spans="35:35" x14ac:dyDescent="0.3">
      <c r="AI6586" s="267"/>
    </row>
    <row r="6587" spans="35:35" x14ac:dyDescent="0.3">
      <c r="AI6587" s="267"/>
    </row>
    <row r="6588" spans="35:35" x14ac:dyDescent="0.3">
      <c r="AI6588" s="267"/>
    </row>
    <row r="6589" spans="35:35" x14ac:dyDescent="0.3">
      <c r="AI6589" s="267"/>
    </row>
    <row r="6590" spans="35:35" x14ac:dyDescent="0.3">
      <c r="AI6590" s="267"/>
    </row>
    <row r="6591" spans="35:35" x14ac:dyDescent="0.3">
      <c r="AI6591" s="267"/>
    </row>
    <row r="6592" spans="35:35" x14ac:dyDescent="0.3">
      <c r="AI6592" s="267"/>
    </row>
    <row r="6593" spans="35:35" x14ac:dyDescent="0.3">
      <c r="AI6593" s="267"/>
    </row>
    <row r="6594" spans="35:35" x14ac:dyDescent="0.3">
      <c r="AI6594" s="267"/>
    </row>
    <row r="6595" spans="35:35" x14ac:dyDescent="0.3">
      <c r="AI6595" s="267"/>
    </row>
    <row r="6596" spans="35:35" x14ac:dyDescent="0.3">
      <c r="AI6596" s="267"/>
    </row>
    <row r="6597" spans="35:35" x14ac:dyDescent="0.3">
      <c r="AI6597" s="267"/>
    </row>
    <row r="6598" spans="35:35" x14ac:dyDescent="0.3">
      <c r="AI6598" s="267"/>
    </row>
    <row r="6599" spans="35:35" x14ac:dyDescent="0.3">
      <c r="AI6599" s="267"/>
    </row>
    <row r="6600" spans="35:35" x14ac:dyDescent="0.3">
      <c r="AI6600" s="267"/>
    </row>
    <row r="6601" spans="35:35" x14ac:dyDescent="0.3">
      <c r="AI6601" s="267"/>
    </row>
    <row r="6602" spans="35:35" x14ac:dyDescent="0.3">
      <c r="AI6602" s="267"/>
    </row>
    <row r="6603" spans="35:35" x14ac:dyDescent="0.3">
      <c r="AI6603" s="267"/>
    </row>
    <row r="6604" spans="35:35" x14ac:dyDescent="0.3">
      <c r="AI6604" s="267"/>
    </row>
    <row r="6605" spans="35:35" x14ac:dyDescent="0.3">
      <c r="AI6605" s="267"/>
    </row>
    <row r="6606" spans="35:35" x14ac:dyDescent="0.3">
      <c r="AI6606" s="267"/>
    </row>
    <row r="6607" spans="35:35" x14ac:dyDescent="0.3">
      <c r="AI6607" s="267"/>
    </row>
    <row r="6608" spans="35:35" x14ac:dyDescent="0.3">
      <c r="AI6608" s="267"/>
    </row>
    <row r="6609" spans="35:35" x14ac:dyDescent="0.3">
      <c r="AI6609" s="267"/>
    </row>
    <row r="6610" spans="35:35" x14ac:dyDescent="0.3">
      <c r="AI6610" s="267"/>
    </row>
    <row r="6611" spans="35:35" x14ac:dyDescent="0.3">
      <c r="AI6611" s="267"/>
    </row>
    <row r="6612" spans="35:35" x14ac:dyDescent="0.3">
      <c r="AI6612" s="267"/>
    </row>
    <row r="6613" spans="35:35" x14ac:dyDescent="0.3">
      <c r="AI6613" s="267"/>
    </row>
    <row r="6614" spans="35:35" x14ac:dyDescent="0.3">
      <c r="AI6614" s="267"/>
    </row>
    <row r="6615" spans="35:35" x14ac:dyDescent="0.3">
      <c r="AI6615" s="267"/>
    </row>
    <row r="6616" spans="35:35" x14ac:dyDescent="0.3">
      <c r="AI6616" s="267"/>
    </row>
    <row r="6617" spans="35:35" x14ac:dyDescent="0.3">
      <c r="AI6617" s="267"/>
    </row>
    <row r="6618" spans="35:35" x14ac:dyDescent="0.3">
      <c r="AI6618" s="267"/>
    </row>
    <row r="6619" spans="35:35" x14ac:dyDescent="0.3">
      <c r="AI6619" s="267"/>
    </row>
    <row r="6620" spans="35:35" x14ac:dyDescent="0.3">
      <c r="AI6620" s="267"/>
    </row>
    <row r="6621" spans="35:35" x14ac:dyDescent="0.3">
      <c r="AI6621" s="267"/>
    </row>
    <row r="6622" spans="35:35" x14ac:dyDescent="0.3">
      <c r="AI6622" s="267"/>
    </row>
    <row r="6623" spans="35:35" x14ac:dyDescent="0.3">
      <c r="AI6623" s="267"/>
    </row>
    <row r="6624" spans="35:35" x14ac:dyDescent="0.3">
      <c r="AI6624" s="267"/>
    </row>
    <row r="6625" spans="35:35" x14ac:dyDescent="0.3">
      <c r="AI6625" s="267"/>
    </row>
    <row r="6626" spans="35:35" x14ac:dyDescent="0.3">
      <c r="AI6626" s="267"/>
    </row>
    <row r="6627" spans="35:35" x14ac:dyDescent="0.3">
      <c r="AI6627" s="267"/>
    </row>
    <row r="6628" spans="35:35" x14ac:dyDescent="0.3">
      <c r="AI6628" s="267"/>
    </row>
    <row r="6629" spans="35:35" x14ac:dyDescent="0.3">
      <c r="AI6629" s="267"/>
    </row>
    <row r="6630" spans="35:35" x14ac:dyDescent="0.3">
      <c r="AI6630" s="267"/>
    </row>
    <row r="6631" spans="35:35" x14ac:dyDescent="0.3">
      <c r="AI6631" s="267"/>
    </row>
    <row r="6632" spans="35:35" x14ac:dyDescent="0.3">
      <c r="AI6632" s="267"/>
    </row>
    <row r="6633" spans="35:35" x14ac:dyDescent="0.3">
      <c r="AI6633" s="267"/>
    </row>
    <row r="6634" spans="35:35" x14ac:dyDescent="0.3">
      <c r="AI6634" s="267"/>
    </row>
    <row r="6635" spans="35:35" x14ac:dyDescent="0.3">
      <c r="AI6635" s="267"/>
    </row>
    <row r="6636" spans="35:35" x14ac:dyDescent="0.3">
      <c r="AI6636" s="267"/>
    </row>
    <row r="6637" spans="35:35" x14ac:dyDescent="0.3">
      <c r="AI6637" s="267"/>
    </row>
    <row r="6638" spans="35:35" x14ac:dyDescent="0.3">
      <c r="AI6638" s="267"/>
    </row>
    <row r="6639" spans="35:35" x14ac:dyDescent="0.3">
      <c r="AI6639" s="267"/>
    </row>
    <row r="6640" spans="35:35" x14ac:dyDescent="0.3">
      <c r="AI6640" s="267"/>
    </row>
    <row r="6641" spans="35:35" x14ac:dyDescent="0.3">
      <c r="AI6641" s="267"/>
    </row>
    <row r="6642" spans="35:35" x14ac:dyDescent="0.3">
      <c r="AI6642" s="267"/>
    </row>
    <row r="6643" spans="35:35" x14ac:dyDescent="0.3">
      <c r="AI6643" s="267"/>
    </row>
    <row r="6644" spans="35:35" x14ac:dyDescent="0.3">
      <c r="AI6644" s="267"/>
    </row>
    <row r="6645" spans="35:35" x14ac:dyDescent="0.3">
      <c r="AI6645" s="267"/>
    </row>
    <row r="6646" spans="35:35" x14ac:dyDescent="0.3">
      <c r="AI6646" s="267"/>
    </row>
    <row r="6647" spans="35:35" x14ac:dyDescent="0.3">
      <c r="AI6647" s="267"/>
    </row>
    <row r="6648" spans="35:35" x14ac:dyDescent="0.3">
      <c r="AI6648" s="267"/>
    </row>
    <row r="6649" spans="35:35" x14ac:dyDescent="0.3">
      <c r="AI6649" s="267"/>
    </row>
    <row r="6650" spans="35:35" x14ac:dyDescent="0.3">
      <c r="AI6650" s="267"/>
    </row>
    <row r="6651" spans="35:35" x14ac:dyDescent="0.3">
      <c r="AI6651" s="267"/>
    </row>
    <row r="6652" spans="35:35" x14ac:dyDescent="0.3">
      <c r="AI6652" s="267"/>
    </row>
    <row r="6653" spans="35:35" x14ac:dyDescent="0.3">
      <c r="AI6653" s="267"/>
    </row>
    <row r="6654" spans="35:35" x14ac:dyDescent="0.3">
      <c r="AI6654" s="267"/>
    </row>
    <row r="6655" spans="35:35" x14ac:dyDescent="0.3">
      <c r="AI6655" s="267"/>
    </row>
    <row r="6656" spans="35:35" x14ac:dyDescent="0.3">
      <c r="AI6656" s="267"/>
    </row>
    <row r="6657" spans="35:35" x14ac:dyDescent="0.3">
      <c r="AI6657" s="267"/>
    </row>
    <row r="6658" spans="35:35" x14ac:dyDescent="0.3">
      <c r="AI6658" s="267"/>
    </row>
    <row r="6659" spans="35:35" x14ac:dyDescent="0.3">
      <c r="AI6659" s="267"/>
    </row>
    <row r="6660" spans="35:35" x14ac:dyDescent="0.3">
      <c r="AI6660" s="267"/>
    </row>
    <row r="6661" spans="35:35" x14ac:dyDescent="0.3">
      <c r="AI6661" s="267"/>
    </row>
    <row r="6662" spans="35:35" x14ac:dyDescent="0.3">
      <c r="AI6662" s="267"/>
    </row>
    <row r="6663" spans="35:35" x14ac:dyDescent="0.3">
      <c r="AI6663" s="267"/>
    </row>
    <row r="6664" spans="35:35" x14ac:dyDescent="0.3">
      <c r="AI6664" s="267"/>
    </row>
    <row r="6665" spans="35:35" x14ac:dyDescent="0.3">
      <c r="AI6665" s="267"/>
    </row>
    <row r="6666" spans="35:35" x14ac:dyDescent="0.3">
      <c r="AI6666" s="267"/>
    </row>
    <row r="6667" spans="35:35" x14ac:dyDescent="0.3">
      <c r="AI6667" s="267"/>
    </row>
    <row r="6668" spans="35:35" x14ac:dyDescent="0.3">
      <c r="AI6668" s="267"/>
    </row>
    <row r="6669" spans="35:35" x14ac:dyDescent="0.3">
      <c r="AI6669" s="267"/>
    </row>
    <row r="6670" spans="35:35" x14ac:dyDescent="0.3">
      <c r="AI6670" s="267"/>
    </row>
    <row r="6671" spans="35:35" x14ac:dyDescent="0.3">
      <c r="AI6671" s="267"/>
    </row>
    <row r="6672" spans="35:35" x14ac:dyDescent="0.3">
      <c r="AI6672" s="267"/>
    </row>
    <row r="6673" spans="35:35" x14ac:dyDescent="0.3">
      <c r="AI6673" s="267"/>
    </row>
    <row r="6674" spans="35:35" x14ac:dyDescent="0.3">
      <c r="AI6674" s="267"/>
    </row>
    <row r="6675" spans="35:35" x14ac:dyDescent="0.3">
      <c r="AI6675" s="267"/>
    </row>
    <row r="6676" spans="35:35" x14ac:dyDescent="0.3">
      <c r="AI6676" s="267"/>
    </row>
    <row r="6677" spans="35:35" x14ac:dyDescent="0.3">
      <c r="AI6677" s="267"/>
    </row>
    <row r="6678" spans="35:35" x14ac:dyDescent="0.3">
      <c r="AI6678" s="267"/>
    </row>
    <row r="6679" spans="35:35" x14ac:dyDescent="0.3">
      <c r="AI6679" s="267"/>
    </row>
    <row r="6680" spans="35:35" x14ac:dyDescent="0.3">
      <c r="AI6680" s="267"/>
    </row>
    <row r="6681" spans="35:35" x14ac:dyDescent="0.3">
      <c r="AI6681" s="267"/>
    </row>
    <row r="6682" spans="35:35" x14ac:dyDescent="0.3">
      <c r="AI6682" s="267"/>
    </row>
    <row r="6683" spans="35:35" x14ac:dyDescent="0.3">
      <c r="AI6683" s="267"/>
    </row>
    <row r="6684" spans="35:35" x14ac:dyDescent="0.3">
      <c r="AI6684" s="267"/>
    </row>
    <row r="6685" spans="35:35" x14ac:dyDescent="0.3">
      <c r="AI6685" s="267"/>
    </row>
    <row r="6686" spans="35:35" x14ac:dyDescent="0.3">
      <c r="AI6686" s="267"/>
    </row>
    <row r="6687" spans="35:35" x14ac:dyDescent="0.3">
      <c r="AI6687" s="267"/>
    </row>
    <row r="6688" spans="35:35" x14ac:dyDescent="0.3">
      <c r="AI6688" s="267"/>
    </row>
    <row r="6689" spans="35:35" x14ac:dyDescent="0.3">
      <c r="AI6689" s="267"/>
    </row>
    <row r="6690" spans="35:35" x14ac:dyDescent="0.3">
      <c r="AI6690" s="267"/>
    </row>
    <row r="6691" spans="35:35" x14ac:dyDescent="0.3">
      <c r="AI6691" s="267"/>
    </row>
    <row r="6692" spans="35:35" x14ac:dyDescent="0.3">
      <c r="AI6692" s="267"/>
    </row>
    <row r="6693" spans="35:35" x14ac:dyDescent="0.3">
      <c r="AI6693" s="267"/>
    </row>
    <row r="6694" spans="35:35" x14ac:dyDescent="0.3">
      <c r="AI6694" s="267"/>
    </row>
    <row r="6695" spans="35:35" x14ac:dyDescent="0.3">
      <c r="AI6695" s="267"/>
    </row>
    <row r="6696" spans="35:35" x14ac:dyDescent="0.3">
      <c r="AI6696" s="267"/>
    </row>
    <row r="6697" spans="35:35" x14ac:dyDescent="0.3">
      <c r="AI6697" s="267"/>
    </row>
    <row r="6698" spans="35:35" x14ac:dyDescent="0.3">
      <c r="AI6698" s="267"/>
    </row>
    <row r="6699" spans="35:35" x14ac:dyDescent="0.3">
      <c r="AI6699" s="267"/>
    </row>
    <row r="6700" spans="35:35" x14ac:dyDescent="0.3">
      <c r="AI6700" s="267"/>
    </row>
    <row r="6701" spans="35:35" x14ac:dyDescent="0.3">
      <c r="AI6701" s="267"/>
    </row>
    <row r="6702" spans="35:35" x14ac:dyDescent="0.3">
      <c r="AI6702" s="267"/>
    </row>
    <row r="6703" spans="35:35" x14ac:dyDescent="0.3">
      <c r="AI6703" s="267"/>
    </row>
    <row r="6704" spans="35:35" x14ac:dyDescent="0.3">
      <c r="AI6704" s="267"/>
    </row>
    <row r="6705" spans="35:35" x14ac:dyDescent="0.3">
      <c r="AI6705" s="267"/>
    </row>
    <row r="6706" spans="35:35" x14ac:dyDescent="0.3">
      <c r="AI6706" s="267"/>
    </row>
    <row r="6707" spans="35:35" x14ac:dyDescent="0.3">
      <c r="AI6707" s="267"/>
    </row>
    <row r="6708" spans="35:35" x14ac:dyDescent="0.3">
      <c r="AI6708" s="267"/>
    </row>
    <row r="6709" spans="35:35" x14ac:dyDescent="0.3">
      <c r="AI6709" s="267"/>
    </row>
    <row r="6710" spans="35:35" x14ac:dyDescent="0.3">
      <c r="AI6710" s="267"/>
    </row>
    <row r="6711" spans="35:35" x14ac:dyDescent="0.3">
      <c r="AI6711" s="267"/>
    </row>
    <row r="6712" spans="35:35" x14ac:dyDescent="0.3">
      <c r="AI6712" s="267"/>
    </row>
    <row r="6713" spans="35:35" x14ac:dyDescent="0.3">
      <c r="AI6713" s="267"/>
    </row>
    <row r="6714" spans="35:35" x14ac:dyDescent="0.3">
      <c r="AI6714" s="267"/>
    </row>
    <row r="6715" spans="35:35" x14ac:dyDescent="0.3">
      <c r="AI6715" s="267"/>
    </row>
    <row r="6716" spans="35:35" x14ac:dyDescent="0.3">
      <c r="AI6716" s="267"/>
    </row>
    <row r="6717" spans="35:35" x14ac:dyDescent="0.3">
      <c r="AI6717" s="267"/>
    </row>
    <row r="6718" spans="35:35" x14ac:dyDescent="0.3">
      <c r="AI6718" s="267"/>
    </row>
    <row r="6719" spans="35:35" x14ac:dyDescent="0.3">
      <c r="AI6719" s="267"/>
    </row>
    <row r="6720" spans="35:35" x14ac:dyDescent="0.3">
      <c r="AI6720" s="267"/>
    </row>
    <row r="6721" spans="35:35" x14ac:dyDescent="0.3">
      <c r="AI6721" s="267"/>
    </row>
    <row r="6722" spans="35:35" x14ac:dyDescent="0.3">
      <c r="AI6722" s="267"/>
    </row>
    <row r="6723" spans="35:35" x14ac:dyDescent="0.3">
      <c r="AI6723" s="267"/>
    </row>
    <row r="6724" spans="35:35" x14ac:dyDescent="0.3">
      <c r="AI6724" s="267"/>
    </row>
    <row r="6725" spans="35:35" x14ac:dyDescent="0.3">
      <c r="AI6725" s="267"/>
    </row>
    <row r="6726" spans="35:35" x14ac:dyDescent="0.3">
      <c r="AI6726" s="267"/>
    </row>
    <row r="6727" spans="35:35" x14ac:dyDescent="0.3">
      <c r="AI6727" s="267"/>
    </row>
    <row r="6728" spans="35:35" x14ac:dyDescent="0.3">
      <c r="AI6728" s="267"/>
    </row>
    <row r="6729" spans="35:35" x14ac:dyDescent="0.3">
      <c r="AI6729" s="267"/>
    </row>
    <row r="6730" spans="35:35" x14ac:dyDescent="0.3">
      <c r="AI6730" s="267"/>
    </row>
    <row r="6731" spans="35:35" x14ac:dyDescent="0.3">
      <c r="AI6731" s="267"/>
    </row>
    <row r="6732" spans="35:35" x14ac:dyDescent="0.3">
      <c r="AI6732" s="267"/>
    </row>
    <row r="6733" spans="35:35" x14ac:dyDescent="0.3">
      <c r="AI6733" s="267"/>
    </row>
    <row r="6734" spans="35:35" x14ac:dyDescent="0.3">
      <c r="AI6734" s="267"/>
    </row>
    <row r="6735" spans="35:35" x14ac:dyDescent="0.3">
      <c r="AI6735" s="267"/>
    </row>
    <row r="6736" spans="35:35" x14ac:dyDescent="0.3">
      <c r="AI6736" s="267"/>
    </row>
    <row r="6737" spans="35:35" x14ac:dyDescent="0.3">
      <c r="AI6737" s="267"/>
    </row>
    <row r="6738" spans="35:35" x14ac:dyDescent="0.3">
      <c r="AI6738" s="267"/>
    </row>
    <row r="6739" spans="35:35" x14ac:dyDescent="0.3">
      <c r="AI6739" s="267"/>
    </row>
    <row r="6740" spans="35:35" x14ac:dyDescent="0.3">
      <c r="AI6740" s="267"/>
    </row>
    <row r="6741" spans="35:35" x14ac:dyDescent="0.3">
      <c r="AI6741" s="267"/>
    </row>
    <row r="6742" spans="35:35" x14ac:dyDescent="0.3">
      <c r="AI6742" s="267"/>
    </row>
    <row r="6743" spans="35:35" x14ac:dyDescent="0.3">
      <c r="AI6743" s="267"/>
    </row>
    <row r="6744" spans="35:35" x14ac:dyDescent="0.3">
      <c r="AI6744" s="267"/>
    </row>
    <row r="6745" spans="35:35" x14ac:dyDescent="0.3">
      <c r="AI6745" s="267"/>
    </row>
    <row r="6746" spans="35:35" x14ac:dyDescent="0.3">
      <c r="AI6746" s="267"/>
    </row>
    <row r="6747" spans="35:35" x14ac:dyDescent="0.3">
      <c r="AI6747" s="267"/>
    </row>
    <row r="6748" spans="35:35" x14ac:dyDescent="0.3">
      <c r="AI6748" s="267"/>
    </row>
    <row r="6749" spans="35:35" x14ac:dyDescent="0.3">
      <c r="AI6749" s="267"/>
    </row>
    <row r="6750" spans="35:35" x14ac:dyDescent="0.3">
      <c r="AI6750" s="267"/>
    </row>
    <row r="6751" spans="35:35" x14ac:dyDescent="0.3">
      <c r="AI6751" s="267"/>
    </row>
    <row r="6752" spans="35:35" x14ac:dyDescent="0.3">
      <c r="AI6752" s="267"/>
    </row>
    <row r="6753" spans="35:35" x14ac:dyDescent="0.3">
      <c r="AI6753" s="267"/>
    </row>
    <row r="6754" spans="35:35" x14ac:dyDescent="0.3">
      <c r="AI6754" s="267"/>
    </row>
    <row r="6755" spans="35:35" x14ac:dyDescent="0.3">
      <c r="AI6755" s="267"/>
    </row>
    <row r="6756" spans="35:35" x14ac:dyDescent="0.3">
      <c r="AI6756" s="267"/>
    </row>
    <row r="6757" spans="35:35" x14ac:dyDescent="0.3">
      <c r="AI6757" s="267"/>
    </row>
    <row r="6758" spans="35:35" x14ac:dyDescent="0.3">
      <c r="AI6758" s="267"/>
    </row>
    <row r="6759" spans="35:35" x14ac:dyDescent="0.3">
      <c r="AI6759" s="267"/>
    </row>
    <row r="6760" spans="35:35" x14ac:dyDescent="0.3">
      <c r="AI6760" s="267"/>
    </row>
    <row r="6761" spans="35:35" x14ac:dyDescent="0.3">
      <c r="AI6761" s="267"/>
    </row>
    <row r="6762" spans="35:35" x14ac:dyDescent="0.3">
      <c r="AI6762" s="267"/>
    </row>
    <row r="6763" spans="35:35" x14ac:dyDescent="0.3">
      <c r="AI6763" s="267"/>
    </row>
    <row r="6764" spans="35:35" x14ac:dyDescent="0.3">
      <c r="AI6764" s="267"/>
    </row>
    <row r="6765" spans="35:35" x14ac:dyDescent="0.3">
      <c r="AI6765" s="267"/>
    </row>
    <row r="6766" spans="35:35" x14ac:dyDescent="0.3">
      <c r="AI6766" s="267"/>
    </row>
    <row r="6767" spans="35:35" x14ac:dyDescent="0.3">
      <c r="AI6767" s="267"/>
    </row>
    <row r="6768" spans="35:35" x14ac:dyDescent="0.3">
      <c r="AI6768" s="267"/>
    </row>
    <row r="6769" spans="35:35" x14ac:dyDescent="0.3">
      <c r="AI6769" s="267"/>
    </row>
    <row r="6770" spans="35:35" x14ac:dyDescent="0.3">
      <c r="AI6770" s="267"/>
    </row>
    <row r="6771" spans="35:35" x14ac:dyDescent="0.3">
      <c r="AI6771" s="267"/>
    </row>
    <row r="6772" spans="35:35" x14ac:dyDescent="0.3">
      <c r="AI6772" s="267"/>
    </row>
    <row r="6773" spans="35:35" x14ac:dyDescent="0.3">
      <c r="AI6773" s="267"/>
    </row>
    <row r="6774" spans="35:35" x14ac:dyDescent="0.3">
      <c r="AI6774" s="267"/>
    </row>
    <row r="6775" spans="35:35" x14ac:dyDescent="0.3">
      <c r="AI6775" s="267"/>
    </row>
    <row r="6776" spans="35:35" x14ac:dyDescent="0.3">
      <c r="AI6776" s="267"/>
    </row>
    <row r="6777" spans="35:35" x14ac:dyDescent="0.3">
      <c r="AI6777" s="267"/>
    </row>
    <row r="6778" spans="35:35" x14ac:dyDescent="0.3">
      <c r="AI6778" s="267"/>
    </row>
    <row r="6779" spans="35:35" x14ac:dyDescent="0.3">
      <c r="AI6779" s="267"/>
    </row>
    <row r="6780" spans="35:35" x14ac:dyDescent="0.3">
      <c r="AI6780" s="267"/>
    </row>
    <row r="6781" spans="35:35" x14ac:dyDescent="0.3">
      <c r="AI6781" s="267"/>
    </row>
    <row r="6782" spans="35:35" x14ac:dyDescent="0.3">
      <c r="AI6782" s="267"/>
    </row>
    <row r="6783" spans="35:35" x14ac:dyDescent="0.3">
      <c r="AI6783" s="267"/>
    </row>
    <row r="6784" spans="35:35" x14ac:dyDescent="0.3">
      <c r="AI6784" s="267"/>
    </row>
    <row r="6785" spans="35:35" x14ac:dyDescent="0.3">
      <c r="AI6785" s="267"/>
    </row>
    <row r="6786" spans="35:35" x14ac:dyDescent="0.3">
      <c r="AI6786" s="267"/>
    </row>
    <row r="6787" spans="35:35" x14ac:dyDescent="0.3">
      <c r="AI6787" s="267"/>
    </row>
    <row r="6788" spans="35:35" x14ac:dyDescent="0.3">
      <c r="AI6788" s="267"/>
    </row>
    <row r="6789" spans="35:35" x14ac:dyDescent="0.3">
      <c r="AI6789" s="267"/>
    </row>
    <row r="6790" spans="35:35" x14ac:dyDescent="0.3">
      <c r="AI6790" s="267"/>
    </row>
    <row r="6791" spans="35:35" x14ac:dyDescent="0.3">
      <c r="AI6791" s="267"/>
    </row>
    <row r="6792" spans="35:35" x14ac:dyDescent="0.3">
      <c r="AI6792" s="267"/>
    </row>
    <row r="6793" spans="35:35" x14ac:dyDescent="0.3">
      <c r="AI6793" s="267"/>
    </row>
    <row r="6794" spans="35:35" x14ac:dyDescent="0.3">
      <c r="AI6794" s="267"/>
    </row>
    <row r="6795" spans="35:35" x14ac:dyDescent="0.3">
      <c r="AI6795" s="267"/>
    </row>
    <row r="6796" spans="35:35" x14ac:dyDescent="0.3">
      <c r="AI6796" s="267"/>
    </row>
    <row r="6797" spans="35:35" x14ac:dyDescent="0.3">
      <c r="AI6797" s="267"/>
    </row>
    <row r="6798" spans="35:35" x14ac:dyDescent="0.3">
      <c r="AI6798" s="267"/>
    </row>
    <row r="6799" spans="35:35" x14ac:dyDescent="0.3">
      <c r="AI6799" s="267"/>
    </row>
    <row r="6800" spans="35:35" x14ac:dyDescent="0.3">
      <c r="AI6800" s="267"/>
    </row>
    <row r="6801" spans="35:35" x14ac:dyDescent="0.3">
      <c r="AI6801" s="267"/>
    </row>
    <row r="6802" spans="35:35" x14ac:dyDescent="0.3">
      <c r="AI6802" s="267"/>
    </row>
    <row r="6803" spans="35:35" x14ac:dyDescent="0.3">
      <c r="AI6803" s="267"/>
    </row>
    <row r="6804" spans="35:35" x14ac:dyDescent="0.3">
      <c r="AI6804" s="267"/>
    </row>
    <row r="6805" spans="35:35" x14ac:dyDescent="0.3">
      <c r="AI6805" s="267"/>
    </row>
    <row r="6806" spans="35:35" x14ac:dyDescent="0.3">
      <c r="AI6806" s="267"/>
    </row>
    <row r="6807" spans="35:35" x14ac:dyDescent="0.3">
      <c r="AI6807" s="267"/>
    </row>
    <row r="6808" spans="35:35" x14ac:dyDescent="0.3">
      <c r="AI6808" s="267"/>
    </row>
    <row r="6809" spans="35:35" x14ac:dyDescent="0.3">
      <c r="AI6809" s="267"/>
    </row>
    <row r="6810" spans="35:35" x14ac:dyDescent="0.3">
      <c r="AI6810" s="267"/>
    </row>
    <row r="6811" spans="35:35" x14ac:dyDescent="0.3">
      <c r="AI6811" s="267"/>
    </row>
    <row r="6812" spans="35:35" x14ac:dyDescent="0.3">
      <c r="AI6812" s="267"/>
    </row>
    <row r="6813" spans="35:35" x14ac:dyDescent="0.3">
      <c r="AI6813" s="267"/>
    </row>
    <row r="6814" spans="35:35" x14ac:dyDescent="0.3">
      <c r="AI6814" s="267"/>
    </row>
    <row r="6815" spans="35:35" x14ac:dyDescent="0.3">
      <c r="AI6815" s="267"/>
    </row>
    <row r="6816" spans="35:35" x14ac:dyDescent="0.3">
      <c r="AI6816" s="267"/>
    </row>
    <row r="6817" spans="35:35" x14ac:dyDescent="0.3">
      <c r="AI6817" s="267"/>
    </row>
    <row r="6818" spans="35:35" x14ac:dyDescent="0.3">
      <c r="AI6818" s="267"/>
    </row>
    <row r="6819" spans="35:35" x14ac:dyDescent="0.3">
      <c r="AI6819" s="267"/>
    </row>
    <row r="6820" spans="35:35" x14ac:dyDescent="0.3">
      <c r="AI6820" s="267"/>
    </row>
    <row r="6821" spans="35:35" x14ac:dyDescent="0.3">
      <c r="AI6821" s="267"/>
    </row>
    <row r="6822" spans="35:35" x14ac:dyDescent="0.3">
      <c r="AI6822" s="267"/>
    </row>
    <row r="6823" spans="35:35" x14ac:dyDescent="0.3">
      <c r="AI6823" s="267"/>
    </row>
    <row r="6824" spans="35:35" x14ac:dyDescent="0.3">
      <c r="AI6824" s="267"/>
    </row>
    <row r="6825" spans="35:35" x14ac:dyDescent="0.3">
      <c r="AI6825" s="267"/>
    </row>
    <row r="6826" spans="35:35" x14ac:dyDescent="0.3">
      <c r="AI6826" s="267"/>
    </row>
    <row r="6827" spans="35:35" x14ac:dyDescent="0.3">
      <c r="AI6827" s="267"/>
    </row>
    <row r="6828" spans="35:35" x14ac:dyDescent="0.3">
      <c r="AI6828" s="267"/>
    </row>
    <row r="6829" spans="35:35" x14ac:dyDescent="0.3">
      <c r="AI6829" s="267"/>
    </row>
    <row r="6830" spans="35:35" x14ac:dyDescent="0.3">
      <c r="AI6830" s="267"/>
    </row>
    <row r="6831" spans="35:35" x14ac:dyDescent="0.3">
      <c r="AI6831" s="267"/>
    </row>
    <row r="6832" spans="35:35" x14ac:dyDescent="0.3">
      <c r="AI6832" s="267"/>
    </row>
    <row r="6833" spans="35:35" x14ac:dyDescent="0.3">
      <c r="AI6833" s="267"/>
    </row>
    <row r="6834" spans="35:35" x14ac:dyDescent="0.3">
      <c r="AI6834" s="267"/>
    </row>
    <row r="6835" spans="35:35" x14ac:dyDescent="0.3">
      <c r="AI6835" s="267"/>
    </row>
    <row r="6836" spans="35:35" x14ac:dyDescent="0.3">
      <c r="AI6836" s="267"/>
    </row>
    <row r="6837" spans="35:35" x14ac:dyDescent="0.3">
      <c r="AI6837" s="267"/>
    </row>
    <row r="6838" spans="35:35" x14ac:dyDescent="0.3">
      <c r="AI6838" s="267"/>
    </row>
    <row r="6839" spans="35:35" x14ac:dyDescent="0.3">
      <c r="AI6839" s="267"/>
    </row>
    <row r="6840" spans="35:35" x14ac:dyDescent="0.3">
      <c r="AI6840" s="267"/>
    </row>
    <row r="6841" spans="35:35" x14ac:dyDescent="0.3">
      <c r="AI6841" s="267"/>
    </row>
    <row r="6842" spans="35:35" x14ac:dyDescent="0.3">
      <c r="AI6842" s="267"/>
    </row>
    <row r="6843" spans="35:35" x14ac:dyDescent="0.3">
      <c r="AI6843" s="267"/>
    </row>
    <row r="6844" spans="35:35" x14ac:dyDescent="0.3">
      <c r="AI6844" s="267"/>
    </row>
    <row r="6845" spans="35:35" x14ac:dyDescent="0.3">
      <c r="AI6845" s="267"/>
    </row>
    <row r="6846" spans="35:35" x14ac:dyDescent="0.3">
      <c r="AI6846" s="267"/>
    </row>
    <row r="6847" spans="35:35" x14ac:dyDescent="0.3">
      <c r="AI6847" s="267"/>
    </row>
    <row r="6848" spans="35:35" x14ac:dyDescent="0.3">
      <c r="AI6848" s="267"/>
    </row>
    <row r="6849" spans="35:35" x14ac:dyDescent="0.3">
      <c r="AI6849" s="267"/>
    </row>
    <row r="6850" spans="35:35" x14ac:dyDescent="0.3">
      <c r="AI6850" s="267"/>
    </row>
    <row r="6851" spans="35:35" x14ac:dyDescent="0.3">
      <c r="AI6851" s="267"/>
    </row>
    <row r="6852" spans="35:35" x14ac:dyDescent="0.3">
      <c r="AI6852" s="267"/>
    </row>
    <row r="6853" spans="35:35" x14ac:dyDescent="0.3">
      <c r="AI6853" s="267"/>
    </row>
    <row r="6854" spans="35:35" x14ac:dyDescent="0.3">
      <c r="AI6854" s="267"/>
    </row>
    <row r="6855" spans="35:35" x14ac:dyDescent="0.3">
      <c r="AI6855" s="267"/>
    </row>
    <row r="6856" spans="35:35" x14ac:dyDescent="0.3">
      <c r="AI6856" s="267"/>
    </row>
    <row r="6857" spans="35:35" x14ac:dyDescent="0.3">
      <c r="AI6857" s="267"/>
    </row>
    <row r="6858" spans="35:35" x14ac:dyDescent="0.3">
      <c r="AI6858" s="267"/>
    </row>
    <row r="6859" spans="35:35" x14ac:dyDescent="0.3">
      <c r="AI6859" s="267"/>
    </row>
    <row r="6860" spans="35:35" x14ac:dyDescent="0.3">
      <c r="AI6860" s="267"/>
    </row>
    <row r="6861" spans="35:35" x14ac:dyDescent="0.3">
      <c r="AI6861" s="267"/>
    </row>
    <row r="6862" spans="35:35" x14ac:dyDescent="0.3">
      <c r="AI6862" s="267"/>
    </row>
    <row r="6863" spans="35:35" x14ac:dyDescent="0.3">
      <c r="AI6863" s="267"/>
    </row>
    <row r="6864" spans="35:35" x14ac:dyDescent="0.3">
      <c r="AI6864" s="267"/>
    </row>
    <row r="6865" spans="35:35" x14ac:dyDescent="0.3">
      <c r="AI6865" s="267"/>
    </row>
    <row r="6866" spans="35:35" x14ac:dyDescent="0.3">
      <c r="AI6866" s="267"/>
    </row>
    <row r="6867" spans="35:35" x14ac:dyDescent="0.3">
      <c r="AI6867" s="267"/>
    </row>
    <row r="6868" spans="35:35" x14ac:dyDescent="0.3">
      <c r="AI6868" s="267"/>
    </row>
    <row r="6869" spans="35:35" x14ac:dyDescent="0.3">
      <c r="AI6869" s="267"/>
    </row>
    <row r="6870" spans="35:35" x14ac:dyDescent="0.3">
      <c r="AI6870" s="267"/>
    </row>
    <row r="6871" spans="35:35" x14ac:dyDescent="0.3">
      <c r="AI6871" s="267"/>
    </row>
    <row r="6872" spans="35:35" x14ac:dyDescent="0.3">
      <c r="AI6872" s="267"/>
    </row>
    <row r="6873" spans="35:35" x14ac:dyDescent="0.3">
      <c r="AI6873" s="267"/>
    </row>
    <row r="6874" spans="35:35" x14ac:dyDescent="0.3">
      <c r="AI6874" s="267"/>
    </row>
    <row r="6875" spans="35:35" x14ac:dyDescent="0.3">
      <c r="AI6875" s="267"/>
    </row>
    <row r="6876" spans="35:35" x14ac:dyDescent="0.3">
      <c r="AI6876" s="267"/>
    </row>
    <row r="6877" spans="35:35" x14ac:dyDescent="0.3">
      <c r="AI6877" s="267"/>
    </row>
    <row r="6878" spans="35:35" x14ac:dyDescent="0.3">
      <c r="AI6878" s="267"/>
    </row>
    <row r="6879" spans="35:35" x14ac:dyDescent="0.3">
      <c r="AI6879" s="267"/>
    </row>
    <row r="6880" spans="35:35" x14ac:dyDescent="0.3">
      <c r="AI6880" s="267"/>
    </row>
    <row r="6881" spans="35:35" x14ac:dyDescent="0.3">
      <c r="AI6881" s="267"/>
    </row>
    <row r="6882" spans="35:35" x14ac:dyDescent="0.3">
      <c r="AI6882" s="267"/>
    </row>
    <row r="6883" spans="35:35" x14ac:dyDescent="0.3">
      <c r="AI6883" s="267"/>
    </row>
    <row r="6884" spans="35:35" x14ac:dyDescent="0.3">
      <c r="AI6884" s="267"/>
    </row>
    <row r="6885" spans="35:35" x14ac:dyDescent="0.3">
      <c r="AI6885" s="267"/>
    </row>
    <row r="6886" spans="35:35" x14ac:dyDescent="0.3">
      <c r="AI6886" s="267"/>
    </row>
    <row r="6887" spans="35:35" x14ac:dyDescent="0.3">
      <c r="AI6887" s="267"/>
    </row>
    <row r="6888" spans="35:35" x14ac:dyDescent="0.3">
      <c r="AI6888" s="267"/>
    </row>
    <row r="6889" spans="35:35" x14ac:dyDescent="0.3">
      <c r="AI6889" s="267"/>
    </row>
    <row r="6890" spans="35:35" x14ac:dyDescent="0.3">
      <c r="AI6890" s="267"/>
    </row>
    <row r="6891" spans="35:35" x14ac:dyDescent="0.3">
      <c r="AI6891" s="267"/>
    </row>
    <row r="6892" spans="35:35" x14ac:dyDescent="0.3">
      <c r="AI6892" s="267"/>
    </row>
    <row r="6893" spans="35:35" x14ac:dyDescent="0.3">
      <c r="AI6893" s="267"/>
    </row>
    <row r="6894" spans="35:35" x14ac:dyDescent="0.3">
      <c r="AI6894" s="267"/>
    </row>
    <row r="6895" spans="35:35" x14ac:dyDescent="0.3">
      <c r="AI6895" s="267"/>
    </row>
    <row r="6896" spans="35:35" x14ac:dyDescent="0.3">
      <c r="AI6896" s="267"/>
    </row>
    <row r="6897" spans="35:35" x14ac:dyDescent="0.3">
      <c r="AI6897" s="267"/>
    </row>
    <row r="6898" spans="35:35" x14ac:dyDescent="0.3">
      <c r="AI6898" s="267"/>
    </row>
    <row r="6899" spans="35:35" x14ac:dyDescent="0.3">
      <c r="AI6899" s="267"/>
    </row>
    <row r="6900" spans="35:35" x14ac:dyDescent="0.3">
      <c r="AI6900" s="267"/>
    </row>
    <row r="6901" spans="35:35" x14ac:dyDescent="0.3">
      <c r="AI6901" s="267"/>
    </row>
    <row r="6902" spans="35:35" x14ac:dyDescent="0.3">
      <c r="AI6902" s="267"/>
    </row>
    <row r="6903" spans="35:35" x14ac:dyDescent="0.3">
      <c r="AI6903" s="267"/>
    </row>
    <row r="6904" spans="35:35" x14ac:dyDescent="0.3">
      <c r="AI6904" s="267"/>
    </row>
    <row r="6905" spans="35:35" x14ac:dyDescent="0.3">
      <c r="AI6905" s="267"/>
    </row>
    <row r="6906" spans="35:35" x14ac:dyDescent="0.3">
      <c r="AI6906" s="267"/>
    </row>
    <row r="6907" spans="35:35" x14ac:dyDescent="0.3">
      <c r="AI6907" s="267"/>
    </row>
    <row r="6908" spans="35:35" x14ac:dyDescent="0.3">
      <c r="AI6908" s="267"/>
    </row>
    <row r="6909" spans="35:35" x14ac:dyDescent="0.3">
      <c r="AI6909" s="267"/>
    </row>
    <row r="6910" spans="35:35" x14ac:dyDescent="0.3">
      <c r="AI6910" s="267"/>
    </row>
    <row r="6911" spans="35:35" x14ac:dyDescent="0.3">
      <c r="AI6911" s="267"/>
    </row>
    <row r="6912" spans="35:35" x14ac:dyDescent="0.3">
      <c r="AI6912" s="267"/>
    </row>
    <row r="6913" spans="35:35" x14ac:dyDescent="0.3">
      <c r="AI6913" s="267"/>
    </row>
    <row r="6914" spans="35:35" x14ac:dyDescent="0.3">
      <c r="AI6914" s="267"/>
    </row>
    <row r="6915" spans="35:35" x14ac:dyDescent="0.3">
      <c r="AI6915" s="267"/>
    </row>
    <row r="6916" spans="35:35" x14ac:dyDescent="0.3">
      <c r="AI6916" s="267"/>
    </row>
    <row r="6917" spans="35:35" x14ac:dyDescent="0.3">
      <c r="AI6917" s="267"/>
    </row>
    <row r="6918" spans="35:35" x14ac:dyDescent="0.3">
      <c r="AI6918" s="267"/>
    </row>
    <row r="6919" spans="35:35" x14ac:dyDescent="0.3">
      <c r="AI6919" s="267"/>
    </row>
    <row r="6920" spans="35:35" x14ac:dyDescent="0.3">
      <c r="AI6920" s="267"/>
    </row>
    <row r="6921" spans="35:35" x14ac:dyDescent="0.3">
      <c r="AI6921" s="267"/>
    </row>
    <row r="6922" spans="35:35" x14ac:dyDescent="0.3">
      <c r="AI6922" s="267"/>
    </row>
    <row r="6923" spans="35:35" x14ac:dyDescent="0.3">
      <c r="AI6923" s="267"/>
    </row>
    <row r="6924" spans="35:35" x14ac:dyDescent="0.3">
      <c r="AI6924" s="267"/>
    </row>
    <row r="6925" spans="35:35" x14ac:dyDescent="0.3">
      <c r="AI6925" s="267"/>
    </row>
    <row r="6926" spans="35:35" x14ac:dyDescent="0.3">
      <c r="AI6926" s="267"/>
    </row>
    <row r="6927" spans="35:35" x14ac:dyDescent="0.3">
      <c r="AI6927" s="267"/>
    </row>
    <row r="6928" spans="35:35" x14ac:dyDescent="0.3">
      <c r="AI6928" s="267"/>
    </row>
    <row r="6929" spans="35:35" x14ac:dyDescent="0.3">
      <c r="AI6929" s="267"/>
    </row>
    <row r="6930" spans="35:35" x14ac:dyDescent="0.3">
      <c r="AI6930" s="267"/>
    </row>
    <row r="6931" spans="35:35" x14ac:dyDescent="0.3">
      <c r="AI6931" s="267"/>
    </row>
    <row r="6932" spans="35:35" x14ac:dyDescent="0.3">
      <c r="AI6932" s="267"/>
    </row>
    <row r="6933" spans="35:35" x14ac:dyDescent="0.3">
      <c r="AI6933" s="267"/>
    </row>
    <row r="6934" spans="35:35" x14ac:dyDescent="0.3">
      <c r="AI6934" s="267"/>
    </row>
    <row r="6935" spans="35:35" x14ac:dyDescent="0.3">
      <c r="AI6935" s="267"/>
    </row>
    <row r="6936" spans="35:35" x14ac:dyDescent="0.3">
      <c r="AI6936" s="267"/>
    </row>
    <row r="6937" spans="35:35" x14ac:dyDescent="0.3">
      <c r="AI6937" s="267"/>
    </row>
    <row r="6938" spans="35:35" x14ac:dyDescent="0.3">
      <c r="AI6938" s="267"/>
    </row>
    <row r="6939" spans="35:35" x14ac:dyDescent="0.3">
      <c r="AI6939" s="267"/>
    </row>
    <row r="6940" spans="35:35" x14ac:dyDescent="0.3">
      <c r="AI6940" s="267"/>
    </row>
    <row r="6941" spans="35:35" x14ac:dyDescent="0.3">
      <c r="AI6941" s="267"/>
    </row>
    <row r="6942" spans="35:35" x14ac:dyDescent="0.3">
      <c r="AI6942" s="267"/>
    </row>
    <row r="6943" spans="35:35" x14ac:dyDescent="0.3">
      <c r="AI6943" s="267"/>
    </row>
    <row r="6944" spans="35:35" x14ac:dyDescent="0.3">
      <c r="AI6944" s="267"/>
    </row>
    <row r="6945" spans="35:35" x14ac:dyDescent="0.3">
      <c r="AI6945" s="267"/>
    </row>
    <row r="6946" spans="35:35" x14ac:dyDescent="0.3">
      <c r="AI6946" s="267"/>
    </row>
    <row r="6947" spans="35:35" x14ac:dyDescent="0.3">
      <c r="AI6947" s="267"/>
    </row>
    <row r="6948" spans="35:35" x14ac:dyDescent="0.3">
      <c r="AI6948" s="267"/>
    </row>
    <row r="6949" spans="35:35" x14ac:dyDescent="0.3">
      <c r="AI6949" s="267"/>
    </row>
    <row r="6950" spans="35:35" x14ac:dyDescent="0.3">
      <c r="AI6950" s="267"/>
    </row>
    <row r="6951" spans="35:35" x14ac:dyDescent="0.3">
      <c r="AI6951" s="267"/>
    </row>
    <row r="6952" spans="35:35" x14ac:dyDescent="0.3">
      <c r="AI6952" s="267"/>
    </row>
    <row r="6953" spans="35:35" x14ac:dyDescent="0.3">
      <c r="AI6953" s="267"/>
    </row>
    <row r="6954" spans="35:35" x14ac:dyDescent="0.3">
      <c r="AI6954" s="267"/>
    </row>
    <row r="6955" spans="35:35" x14ac:dyDescent="0.3">
      <c r="AI6955" s="267"/>
    </row>
    <row r="6956" spans="35:35" x14ac:dyDescent="0.3">
      <c r="AI6956" s="267"/>
    </row>
    <row r="6957" spans="35:35" x14ac:dyDescent="0.3">
      <c r="AI6957" s="267"/>
    </row>
    <row r="6958" spans="35:35" x14ac:dyDescent="0.3">
      <c r="AI6958" s="267"/>
    </row>
    <row r="6959" spans="35:35" x14ac:dyDescent="0.3">
      <c r="AI6959" s="267"/>
    </row>
    <row r="6960" spans="35:35" x14ac:dyDescent="0.3">
      <c r="AI6960" s="267"/>
    </row>
    <row r="6961" spans="35:35" x14ac:dyDescent="0.3">
      <c r="AI6961" s="267"/>
    </row>
    <row r="6962" spans="35:35" x14ac:dyDescent="0.3">
      <c r="AI6962" s="267"/>
    </row>
    <row r="6963" spans="35:35" x14ac:dyDescent="0.3">
      <c r="AI6963" s="267"/>
    </row>
    <row r="6964" spans="35:35" x14ac:dyDescent="0.3">
      <c r="AI6964" s="267"/>
    </row>
    <row r="6965" spans="35:35" x14ac:dyDescent="0.3">
      <c r="AI6965" s="267"/>
    </row>
    <row r="6966" spans="35:35" x14ac:dyDescent="0.3">
      <c r="AI6966" s="267"/>
    </row>
    <row r="6967" spans="35:35" x14ac:dyDescent="0.3">
      <c r="AI6967" s="267"/>
    </row>
    <row r="6968" spans="35:35" x14ac:dyDescent="0.3">
      <c r="AI6968" s="267"/>
    </row>
    <row r="6969" spans="35:35" x14ac:dyDescent="0.3">
      <c r="AI6969" s="267"/>
    </row>
    <row r="6970" spans="35:35" x14ac:dyDescent="0.3">
      <c r="AI6970" s="267"/>
    </row>
    <row r="6971" spans="35:35" x14ac:dyDescent="0.3">
      <c r="AI6971" s="267"/>
    </row>
    <row r="6972" spans="35:35" x14ac:dyDescent="0.3">
      <c r="AI6972" s="267"/>
    </row>
    <row r="6973" spans="35:35" x14ac:dyDescent="0.3">
      <c r="AI6973" s="267"/>
    </row>
    <row r="6974" spans="35:35" x14ac:dyDescent="0.3">
      <c r="AI6974" s="267"/>
    </row>
    <row r="6975" spans="35:35" x14ac:dyDescent="0.3">
      <c r="AI6975" s="267"/>
    </row>
    <row r="6976" spans="35:35" x14ac:dyDescent="0.3">
      <c r="AI6976" s="267"/>
    </row>
    <row r="6977" spans="35:35" x14ac:dyDescent="0.3">
      <c r="AI6977" s="267"/>
    </row>
    <row r="6978" spans="35:35" x14ac:dyDescent="0.3">
      <c r="AI6978" s="267"/>
    </row>
    <row r="6979" spans="35:35" x14ac:dyDescent="0.3">
      <c r="AI6979" s="267"/>
    </row>
    <row r="6980" spans="35:35" x14ac:dyDescent="0.3">
      <c r="AI6980" s="267"/>
    </row>
    <row r="6981" spans="35:35" x14ac:dyDescent="0.3">
      <c r="AI6981" s="267"/>
    </row>
    <row r="6982" spans="35:35" x14ac:dyDescent="0.3">
      <c r="AI6982" s="267"/>
    </row>
    <row r="6983" spans="35:35" x14ac:dyDescent="0.3">
      <c r="AI6983" s="267"/>
    </row>
    <row r="6984" spans="35:35" x14ac:dyDescent="0.3">
      <c r="AI6984" s="267"/>
    </row>
    <row r="6985" spans="35:35" x14ac:dyDescent="0.3">
      <c r="AI6985" s="267"/>
    </row>
    <row r="6986" spans="35:35" x14ac:dyDescent="0.3">
      <c r="AI6986" s="267"/>
    </row>
    <row r="6987" spans="35:35" x14ac:dyDescent="0.3">
      <c r="AI6987" s="267"/>
    </row>
    <row r="6988" spans="35:35" x14ac:dyDescent="0.3">
      <c r="AI6988" s="267"/>
    </row>
    <row r="6989" spans="35:35" x14ac:dyDescent="0.3">
      <c r="AI6989" s="267"/>
    </row>
    <row r="6990" spans="35:35" x14ac:dyDescent="0.3">
      <c r="AI6990" s="267"/>
    </row>
    <row r="6991" spans="35:35" x14ac:dyDescent="0.3">
      <c r="AI6991" s="267"/>
    </row>
    <row r="6992" spans="35:35" x14ac:dyDescent="0.3">
      <c r="AI6992" s="267"/>
    </row>
    <row r="6993" spans="35:35" x14ac:dyDescent="0.3">
      <c r="AI6993" s="267"/>
    </row>
    <row r="6994" spans="35:35" x14ac:dyDescent="0.3">
      <c r="AI6994" s="267"/>
    </row>
    <row r="6995" spans="35:35" x14ac:dyDescent="0.3">
      <c r="AI6995" s="267"/>
    </row>
    <row r="6996" spans="35:35" x14ac:dyDescent="0.3">
      <c r="AI6996" s="267"/>
    </row>
    <row r="6997" spans="35:35" x14ac:dyDescent="0.3">
      <c r="AI6997" s="267"/>
    </row>
    <row r="6998" spans="35:35" x14ac:dyDescent="0.3">
      <c r="AI6998" s="267"/>
    </row>
    <row r="6999" spans="35:35" x14ac:dyDescent="0.3">
      <c r="AI6999" s="267"/>
    </row>
    <row r="7000" spans="35:35" x14ac:dyDescent="0.3">
      <c r="AI7000" s="267"/>
    </row>
    <row r="7001" spans="35:35" x14ac:dyDescent="0.3">
      <c r="AI7001" s="267"/>
    </row>
    <row r="7002" spans="35:35" x14ac:dyDescent="0.3">
      <c r="AI7002" s="267"/>
    </row>
    <row r="7003" spans="35:35" x14ac:dyDescent="0.3">
      <c r="AI7003" s="267"/>
    </row>
    <row r="7004" spans="35:35" x14ac:dyDescent="0.3">
      <c r="AI7004" s="267"/>
    </row>
    <row r="7005" spans="35:35" x14ac:dyDescent="0.3">
      <c r="AI7005" s="267"/>
    </row>
    <row r="7006" spans="35:35" x14ac:dyDescent="0.3">
      <c r="AI7006" s="267"/>
    </row>
    <row r="7007" spans="35:35" x14ac:dyDescent="0.3">
      <c r="AI7007" s="267"/>
    </row>
    <row r="7008" spans="35:35" x14ac:dyDescent="0.3">
      <c r="AI7008" s="267"/>
    </row>
    <row r="7009" spans="35:35" x14ac:dyDescent="0.3">
      <c r="AI7009" s="267"/>
    </row>
    <row r="7010" spans="35:35" x14ac:dyDescent="0.3">
      <c r="AI7010" s="267"/>
    </row>
    <row r="7011" spans="35:35" x14ac:dyDescent="0.3">
      <c r="AI7011" s="267"/>
    </row>
    <row r="7012" spans="35:35" x14ac:dyDescent="0.3">
      <c r="AI7012" s="267"/>
    </row>
    <row r="7013" spans="35:35" x14ac:dyDescent="0.3">
      <c r="AI7013" s="267"/>
    </row>
    <row r="7014" spans="35:35" x14ac:dyDescent="0.3">
      <c r="AI7014" s="267"/>
    </row>
    <row r="7015" spans="35:35" x14ac:dyDescent="0.3">
      <c r="AI7015" s="267"/>
    </row>
    <row r="7016" spans="35:35" x14ac:dyDescent="0.3">
      <c r="AI7016" s="267"/>
    </row>
    <row r="7017" spans="35:35" x14ac:dyDescent="0.3">
      <c r="AI7017" s="267"/>
    </row>
    <row r="7018" spans="35:35" x14ac:dyDescent="0.3">
      <c r="AI7018" s="267"/>
    </row>
    <row r="7019" spans="35:35" x14ac:dyDescent="0.3">
      <c r="AI7019" s="267"/>
    </row>
    <row r="7020" spans="35:35" x14ac:dyDescent="0.3">
      <c r="AI7020" s="267"/>
    </row>
    <row r="7021" spans="35:35" x14ac:dyDescent="0.3">
      <c r="AI7021" s="267"/>
    </row>
    <row r="7022" spans="35:35" x14ac:dyDescent="0.3">
      <c r="AI7022" s="267"/>
    </row>
    <row r="7023" spans="35:35" x14ac:dyDescent="0.3">
      <c r="AI7023" s="267"/>
    </row>
    <row r="7024" spans="35:35" x14ac:dyDescent="0.3">
      <c r="AI7024" s="267"/>
    </row>
    <row r="7025" spans="35:35" x14ac:dyDescent="0.3">
      <c r="AI7025" s="267"/>
    </row>
    <row r="7026" spans="35:35" x14ac:dyDescent="0.3">
      <c r="AI7026" s="267"/>
    </row>
    <row r="7027" spans="35:35" x14ac:dyDescent="0.3">
      <c r="AI7027" s="267"/>
    </row>
    <row r="7028" spans="35:35" x14ac:dyDescent="0.3">
      <c r="AI7028" s="267"/>
    </row>
    <row r="7029" spans="35:35" x14ac:dyDescent="0.3">
      <c r="AI7029" s="267"/>
    </row>
    <row r="7030" spans="35:35" x14ac:dyDescent="0.3">
      <c r="AI7030" s="267"/>
    </row>
    <row r="7031" spans="35:35" x14ac:dyDescent="0.3">
      <c r="AI7031" s="267"/>
    </row>
    <row r="7032" spans="35:35" x14ac:dyDescent="0.3">
      <c r="AI7032" s="267"/>
    </row>
    <row r="7033" spans="35:35" x14ac:dyDescent="0.3">
      <c r="AI7033" s="267"/>
    </row>
    <row r="7034" spans="35:35" x14ac:dyDescent="0.3">
      <c r="AI7034" s="267"/>
    </row>
    <row r="7035" spans="35:35" x14ac:dyDescent="0.3">
      <c r="AI7035" s="267"/>
    </row>
    <row r="7036" spans="35:35" x14ac:dyDescent="0.3">
      <c r="AI7036" s="267"/>
    </row>
    <row r="7037" spans="35:35" x14ac:dyDescent="0.3">
      <c r="AI7037" s="267"/>
    </row>
    <row r="7038" spans="35:35" x14ac:dyDescent="0.3">
      <c r="AI7038" s="267"/>
    </row>
    <row r="7039" spans="35:35" x14ac:dyDescent="0.3">
      <c r="AI7039" s="267"/>
    </row>
    <row r="7040" spans="35:35" x14ac:dyDescent="0.3">
      <c r="AI7040" s="267"/>
    </row>
    <row r="7041" spans="35:35" x14ac:dyDescent="0.3">
      <c r="AI7041" s="267"/>
    </row>
    <row r="7042" spans="35:35" x14ac:dyDescent="0.3">
      <c r="AI7042" s="267"/>
    </row>
    <row r="7043" spans="35:35" x14ac:dyDescent="0.3">
      <c r="AI7043" s="267"/>
    </row>
    <row r="7044" spans="35:35" x14ac:dyDescent="0.3">
      <c r="AI7044" s="267"/>
    </row>
    <row r="7045" spans="35:35" x14ac:dyDescent="0.3">
      <c r="AI7045" s="267"/>
    </row>
    <row r="7046" spans="35:35" x14ac:dyDescent="0.3">
      <c r="AI7046" s="267"/>
    </row>
    <row r="7047" spans="35:35" x14ac:dyDescent="0.3">
      <c r="AI7047" s="267"/>
    </row>
    <row r="7048" spans="35:35" x14ac:dyDescent="0.3">
      <c r="AI7048" s="267"/>
    </row>
    <row r="7049" spans="35:35" x14ac:dyDescent="0.3">
      <c r="AI7049" s="267"/>
    </row>
    <row r="7050" spans="35:35" x14ac:dyDescent="0.3">
      <c r="AI7050" s="267"/>
    </row>
    <row r="7051" spans="35:35" x14ac:dyDescent="0.3">
      <c r="AI7051" s="267"/>
    </row>
    <row r="7052" spans="35:35" x14ac:dyDescent="0.3">
      <c r="AI7052" s="267"/>
    </row>
    <row r="7053" spans="35:35" x14ac:dyDescent="0.3">
      <c r="AI7053" s="267"/>
    </row>
    <row r="7054" spans="35:35" x14ac:dyDescent="0.3">
      <c r="AI7054" s="267"/>
    </row>
    <row r="7055" spans="35:35" x14ac:dyDescent="0.3">
      <c r="AI7055" s="267"/>
    </row>
    <row r="7056" spans="35:35" x14ac:dyDescent="0.3">
      <c r="AI7056" s="267"/>
    </row>
    <row r="7057" spans="35:35" x14ac:dyDescent="0.3">
      <c r="AI7057" s="267"/>
    </row>
    <row r="7058" spans="35:35" x14ac:dyDescent="0.3">
      <c r="AI7058" s="267"/>
    </row>
    <row r="7059" spans="35:35" x14ac:dyDescent="0.3">
      <c r="AI7059" s="267"/>
    </row>
    <row r="7060" spans="35:35" x14ac:dyDescent="0.3">
      <c r="AI7060" s="267"/>
    </row>
    <row r="7061" spans="35:35" x14ac:dyDescent="0.3">
      <c r="AI7061" s="267"/>
    </row>
    <row r="7062" spans="35:35" x14ac:dyDescent="0.3">
      <c r="AI7062" s="267"/>
    </row>
    <row r="7063" spans="35:35" x14ac:dyDescent="0.3">
      <c r="AI7063" s="267"/>
    </row>
    <row r="7064" spans="35:35" x14ac:dyDescent="0.3">
      <c r="AI7064" s="267"/>
    </row>
    <row r="7065" spans="35:35" x14ac:dyDescent="0.3">
      <c r="AI7065" s="267"/>
    </row>
    <row r="7066" spans="35:35" x14ac:dyDescent="0.3">
      <c r="AI7066" s="267"/>
    </row>
    <row r="7067" spans="35:35" x14ac:dyDescent="0.3">
      <c r="AI7067" s="267"/>
    </row>
    <row r="7068" spans="35:35" x14ac:dyDescent="0.3">
      <c r="AI7068" s="267"/>
    </row>
    <row r="7069" spans="35:35" x14ac:dyDescent="0.3">
      <c r="AI7069" s="267"/>
    </row>
    <row r="7070" spans="35:35" x14ac:dyDescent="0.3">
      <c r="AI7070" s="267"/>
    </row>
    <row r="7071" spans="35:35" x14ac:dyDescent="0.3">
      <c r="AI7071" s="267"/>
    </row>
    <row r="7072" spans="35:35" x14ac:dyDescent="0.3">
      <c r="AI7072" s="267"/>
    </row>
    <row r="7073" spans="35:35" x14ac:dyDescent="0.3">
      <c r="AI7073" s="267"/>
    </row>
    <row r="7074" spans="35:35" x14ac:dyDescent="0.3">
      <c r="AI7074" s="267"/>
    </row>
    <row r="7075" spans="35:35" x14ac:dyDescent="0.3">
      <c r="AI7075" s="267"/>
    </row>
    <row r="7076" spans="35:35" x14ac:dyDescent="0.3">
      <c r="AI7076" s="267"/>
    </row>
    <row r="7077" spans="35:35" x14ac:dyDescent="0.3">
      <c r="AI7077" s="267"/>
    </row>
    <row r="7078" spans="35:35" x14ac:dyDescent="0.3">
      <c r="AI7078" s="267"/>
    </row>
    <row r="7079" spans="35:35" x14ac:dyDescent="0.3">
      <c r="AI7079" s="267"/>
    </row>
    <row r="7080" spans="35:35" x14ac:dyDescent="0.3">
      <c r="AI7080" s="267"/>
    </row>
    <row r="7081" spans="35:35" x14ac:dyDescent="0.3">
      <c r="AI7081" s="267"/>
    </row>
    <row r="7082" spans="35:35" x14ac:dyDescent="0.3">
      <c r="AI7082" s="267"/>
    </row>
    <row r="7083" spans="35:35" x14ac:dyDescent="0.3">
      <c r="AI7083" s="267"/>
    </row>
    <row r="7084" spans="35:35" x14ac:dyDescent="0.3">
      <c r="AI7084" s="267"/>
    </row>
    <row r="7085" spans="35:35" x14ac:dyDescent="0.3">
      <c r="AI7085" s="267"/>
    </row>
    <row r="7086" spans="35:35" x14ac:dyDescent="0.3">
      <c r="AI7086" s="267"/>
    </row>
    <row r="7087" spans="35:35" x14ac:dyDescent="0.3">
      <c r="AI7087" s="267"/>
    </row>
    <row r="7088" spans="35:35" x14ac:dyDescent="0.3">
      <c r="AI7088" s="267"/>
    </row>
    <row r="7089" spans="35:35" x14ac:dyDescent="0.3">
      <c r="AI7089" s="267"/>
    </row>
    <row r="7090" spans="35:35" x14ac:dyDescent="0.3">
      <c r="AI7090" s="267"/>
    </row>
    <row r="7091" spans="35:35" x14ac:dyDescent="0.3">
      <c r="AI7091" s="267"/>
    </row>
    <row r="7092" spans="35:35" x14ac:dyDescent="0.3">
      <c r="AI7092" s="267"/>
    </row>
    <row r="7093" spans="35:35" x14ac:dyDescent="0.3">
      <c r="AI7093" s="267"/>
    </row>
    <row r="7094" spans="35:35" x14ac:dyDescent="0.3">
      <c r="AI7094" s="267"/>
    </row>
    <row r="7095" spans="35:35" x14ac:dyDescent="0.3">
      <c r="AI7095" s="267"/>
    </row>
    <row r="7096" spans="35:35" x14ac:dyDescent="0.3">
      <c r="AI7096" s="267"/>
    </row>
    <row r="7097" spans="35:35" x14ac:dyDescent="0.3">
      <c r="AI7097" s="267"/>
    </row>
    <row r="7098" spans="35:35" x14ac:dyDescent="0.3">
      <c r="AI7098" s="267"/>
    </row>
    <row r="7099" spans="35:35" x14ac:dyDescent="0.3">
      <c r="AI7099" s="267"/>
    </row>
    <row r="7100" spans="35:35" x14ac:dyDescent="0.3">
      <c r="AI7100" s="267"/>
    </row>
    <row r="7101" spans="35:35" x14ac:dyDescent="0.3">
      <c r="AI7101" s="267"/>
    </row>
    <row r="7102" spans="35:35" x14ac:dyDescent="0.3">
      <c r="AI7102" s="267"/>
    </row>
    <row r="7103" spans="35:35" x14ac:dyDescent="0.3">
      <c r="AI7103" s="267"/>
    </row>
    <row r="7104" spans="35:35" x14ac:dyDescent="0.3">
      <c r="AI7104" s="267"/>
    </row>
    <row r="7105" spans="35:35" x14ac:dyDescent="0.3">
      <c r="AI7105" s="267"/>
    </row>
    <row r="7106" spans="35:35" x14ac:dyDescent="0.3">
      <c r="AI7106" s="267"/>
    </row>
    <row r="7107" spans="35:35" x14ac:dyDescent="0.3">
      <c r="AI7107" s="267"/>
    </row>
    <row r="7108" spans="35:35" x14ac:dyDescent="0.3">
      <c r="AI7108" s="267"/>
    </row>
    <row r="7109" spans="35:35" x14ac:dyDescent="0.3">
      <c r="AI7109" s="267"/>
    </row>
    <row r="7110" spans="35:35" x14ac:dyDescent="0.3">
      <c r="AI7110" s="267"/>
    </row>
    <row r="7111" spans="35:35" x14ac:dyDescent="0.3">
      <c r="AI7111" s="267"/>
    </row>
    <row r="7112" spans="35:35" x14ac:dyDescent="0.3">
      <c r="AI7112" s="267"/>
    </row>
    <row r="7113" spans="35:35" x14ac:dyDescent="0.3">
      <c r="AI7113" s="267"/>
    </row>
    <row r="7114" spans="35:35" x14ac:dyDescent="0.3">
      <c r="AI7114" s="267"/>
    </row>
    <row r="7115" spans="35:35" x14ac:dyDescent="0.3">
      <c r="AI7115" s="267"/>
    </row>
    <row r="7116" spans="35:35" x14ac:dyDescent="0.3">
      <c r="AI7116" s="267"/>
    </row>
    <row r="7117" spans="35:35" x14ac:dyDescent="0.3">
      <c r="AI7117" s="267"/>
    </row>
    <row r="7118" spans="35:35" x14ac:dyDescent="0.3">
      <c r="AI7118" s="267"/>
    </row>
    <row r="7119" spans="35:35" x14ac:dyDescent="0.3">
      <c r="AI7119" s="267"/>
    </row>
    <row r="7120" spans="35:35" x14ac:dyDescent="0.3">
      <c r="AI7120" s="267"/>
    </row>
    <row r="7121" spans="35:35" x14ac:dyDescent="0.3">
      <c r="AI7121" s="267"/>
    </row>
    <row r="7122" spans="35:35" x14ac:dyDescent="0.3">
      <c r="AI7122" s="267"/>
    </row>
    <row r="7123" spans="35:35" x14ac:dyDescent="0.3">
      <c r="AI7123" s="267"/>
    </row>
    <row r="7124" spans="35:35" x14ac:dyDescent="0.3">
      <c r="AI7124" s="267"/>
    </row>
    <row r="7125" spans="35:35" x14ac:dyDescent="0.3">
      <c r="AI7125" s="267"/>
    </row>
    <row r="7126" spans="35:35" x14ac:dyDescent="0.3">
      <c r="AI7126" s="267"/>
    </row>
    <row r="7127" spans="35:35" x14ac:dyDescent="0.3">
      <c r="AI7127" s="267"/>
    </row>
    <row r="7128" spans="35:35" x14ac:dyDescent="0.3">
      <c r="AI7128" s="267"/>
    </row>
    <row r="7129" spans="35:35" x14ac:dyDescent="0.3">
      <c r="AI7129" s="267"/>
    </row>
    <row r="7130" spans="35:35" x14ac:dyDescent="0.3">
      <c r="AI7130" s="267"/>
    </row>
    <row r="7131" spans="35:35" x14ac:dyDescent="0.3">
      <c r="AI7131" s="267"/>
    </row>
    <row r="7132" spans="35:35" x14ac:dyDescent="0.3">
      <c r="AI7132" s="267"/>
    </row>
    <row r="7133" spans="35:35" x14ac:dyDescent="0.3">
      <c r="AI7133" s="267"/>
    </row>
    <row r="7134" spans="35:35" x14ac:dyDescent="0.3">
      <c r="AI7134" s="267"/>
    </row>
    <row r="7135" spans="35:35" x14ac:dyDescent="0.3">
      <c r="AI7135" s="267"/>
    </row>
    <row r="7136" spans="35:35" x14ac:dyDescent="0.3">
      <c r="AI7136" s="267"/>
    </row>
    <row r="7137" spans="35:35" x14ac:dyDescent="0.3">
      <c r="AI7137" s="267"/>
    </row>
    <row r="7138" spans="35:35" x14ac:dyDescent="0.3">
      <c r="AI7138" s="267"/>
    </row>
    <row r="7139" spans="35:35" x14ac:dyDescent="0.3">
      <c r="AI7139" s="267"/>
    </row>
    <row r="7140" spans="35:35" x14ac:dyDescent="0.3">
      <c r="AI7140" s="267"/>
    </row>
    <row r="7141" spans="35:35" x14ac:dyDescent="0.3">
      <c r="AI7141" s="267"/>
    </row>
    <row r="7142" spans="35:35" x14ac:dyDescent="0.3">
      <c r="AI7142" s="267"/>
    </row>
    <row r="7143" spans="35:35" x14ac:dyDescent="0.3">
      <c r="AI7143" s="267"/>
    </row>
    <row r="7144" spans="35:35" x14ac:dyDescent="0.3">
      <c r="AI7144" s="267"/>
    </row>
    <row r="7145" spans="35:35" x14ac:dyDescent="0.3">
      <c r="AI7145" s="267"/>
    </row>
    <row r="7146" spans="35:35" x14ac:dyDescent="0.3">
      <c r="AI7146" s="267"/>
    </row>
    <row r="7147" spans="35:35" x14ac:dyDescent="0.3">
      <c r="AI7147" s="267"/>
    </row>
    <row r="7148" spans="35:35" x14ac:dyDescent="0.3">
      <c r="AI7148" s="267"/>
    </row>
    <row r="7149" spans="35:35" x14ac:dyDescent="0.3">
      <c r="AI7149" s="267"/>
    </row>
    <row r="7150" spans="35:35" x14ac:dyDescent="0.3">
      <c r="AI7150" s="267"/>
    </row>
    <row r="7151" spans="35:35" x14ac:dyDescent="0.3">
      <c r="AI7151" s="267"/>
    </row>
    <row r="7152" spans="35:35" x14ac:dyDescent="0.3">
      <c r="AI7152" s="267"/>
    </row>
    <row r="7153" spans="35:35" x14ac:dyDescent="0.3">
      <c r="AI7153" s="267"/>
    </row>
    <row r="7154" spans="35:35" x14ac:dyDescent="0.3">
      <c r="AI7154" s="267"/>
    </row>
    <row r="7155" spans="35:35" x14ac:dyDescent="0.3">
      <c r="AI7155" s="267"/>
    </row>
    <row r="7156" spans="35:35" x14ac:dyDescent="0.3">
      <c r="AI7156" s="267"/>
    </row>
    <row r="7157" spans="35:35" x14ac:dyDescent="0.3">
      <c r="AI7157" s="267"/>
    </row>
    <row r="7158" spans="35:35" x14ac:dyDescent="0.3">
      <c r="AI7158" s="267"/>
    </row>
    <row r="7159" spans="35:35" x14ac:dyDescent="0.3">
      <c r="AI7159" s="267"/>
    </row>
    <row r="7160" spans="35:35" x14ac:dyDescent="0.3">
      <c r="AI7160" s="267"/>
    </row>
    <row r="7161" spans="35:35" x14ac:dyDescent="0.3">
      <c r="AI7161" s="267"/>
    </row>
    <row r="7162" spans="35:35" x14ac:dyDescent="0.3">
      <c r="AI7162" s="267"/>
    </row>
    <row r="7163" spans="35:35" x14ac:dyDescent="0.3">
      <c r="AI7163" s="267"/>
    </row>
    <row r="7164" spans="35:35" x14ac:dyDescent="0.3">
      <c r="AI7164" s="267"/>
    </row>
    <row r="7165" spans="35:35" x14ac:dyDescent="0.3">
      <c r="AI7165" s="267"/>
    </row>
    <row r="7166" spans="35:35" x14ac:dyDescent="0.3">
      <c r="AI7166" s="267"/>
    </row>
    <row r="7167" spans="35:35" x14ac:dyDescent="0.3">
      <c r="AI7167" s="267"/>
    </row>
    <row r="7168" spans="35:35" x14ac:dyDescent="0.3">
      <c r="AI7168" s="267"/>
    </row>
    <row r="7169" spans="35:35" x14ac:dyDescent="0.3">
      <c r="AI7169" s="267"/>
    </row>
    <row r="7170" spans="35:35" x14ac:dyDescent="0.3">
      <c r="AI7170" s="267"/>
    </row>
    <row r="7171" spans="35:35" x14ac:dyDescent="0.3">
      <c r="AI7171" s="267"/>
    </row>
    <row r="7172" spans="35:35" x14ac:dyDescent="0.3">
      <c r="AI7172" s="267"/>
    </row>
    <row r="7173" spans="35:35" x14ac:dyDescent="0.3">
      <c r="AI7173" s="267"/>
    </row>
    <row r="7174" spans="35:35" x14ac:dyDescent="0.3">
      <c r="AI7174" s="267"/>
    </row>
    <row r="7175" spans="35:35" x14ac:dyDescent="0.3">
      <c r="AI7175" s="267"/>
    </row>
    <row r="7176" spans="35:35" x14ac:dyDescent="0.3">
      <c r="AI7176" s="267"/>
    </row>
    <row r="7177" spans="35:35" x14ac:dyDescent="0.3">
      <c r="AI7177" s="267"/>
    </row>
    <row r="7178" spans="35:35" x14ac:dyDescent="0.3">
      <c r="AI7178" s="267"/>
    </row>
    <row r="7179" spans="35:35" x14ac:dyDescent="0.3">
      <c r="AI7179" s="267"/>
    </row>
    <row r="7180" spans="35:35" x14ac:dyDescent="0.3">
      <c r="AI7180" s="267"/>
    </row>
    <row r="7181" spans="35:35" x14ac:dyDescent="0.3">
      <c r="AI7181" s="267"/>
    </row>
    <row r="7182" spans="35:35" x14ac:dyDescent="0.3">
      <c r="AI7182" s="267"/>
    </row>
    <row r="7183" spans="35:35" x14ac:dyDescent="0.3">
      <c r="AI7183" s="267"/>
    </row>
    <row r="7184" spans="35:35" x14ac:dyDescent="0.3">
      <c r="AI7184" s="267"/>
    </row>
    <row r="7185" spans="35:35" x14ac:dyDescent="0.3">
      <c r="AI7185" s="267"/>
    </row>
    <row r="7186" spans="35:35" x14ac:dyDescent="0.3">
      <c r="AI7186" s="267"/>
    </row>
    <row r="7187" spans="35:35" x14ac:dyDescent="0.3">
      <c r="AI7187" s="267"/>
    </row>
    <row r="7188" spans="35:35" x14ac:dyDescent="0.3">
      <c r="AI7188" s="267"/>
    </row>
    <row r="7189" spans="35:35" x14ac:dyDescent="0.3">
      <c r="AI7189" s="267"/>
    </row>
    <row r="7190" spans="35:35" x14ac:dyDescent="0.3">
      <c r="AI7190" s="267"/>
    </row>
    <row r="7191" spans="35:35" x14ac:dyDescent="0.3">
      <c r="AI7191" s="267"/>
    </row>
    <row r="7192" spans="35:35" x14ac:dyDescent="0.3">
      <c r="AI7192" s="267"/>
    </row>
    <row r="7193" spans="35:35" x14ac:dyDescent="0.3">
      <c r="AI7193" s="267"/>
    </row>
    <row r="7194" spans="35:35" x14ac:dyDescent="0.3">
      <c r="AI7194" s="267"/>
    </row>
    <row r="7195" spans="35:35" x14ac:dyDescent="0.3">
      <c r="AI7195" s="267"/>
    </row>
    <row r="7196" spans="35:35" x14ac:dyDescent="0.3">
      <c r="AI7196" s="267"/>
    </row>
    <row r="7197" spans="35:35" x14ac:dyDescent="0.3">
      <c r="AI7197" s="267"/>
    </row>
    <row r="7198" spans="35:35" x14ac:dyDescent="0.3">
      <c r="AI7198" s="267"/>
    </row>
    <row r="7199" spans="35:35" x14ac:dyDescent="0.3">
      <c r="AI7199" s="267"/>
    </row>
    <row r="7200" spans="35:35" x14ac:dyDescent="0.3">
      <c r="AI7200" s="267"/>
    </row>
    <row r="7201" spans="35:35" x14ac:dyDescent="0.3">
      <c r="AI7201" s="267"/>
    </row>
    <row r="7202" spans="35:35" x14ac:dyDescent="0.3">
      <c r="AI7202" s="267"/>
    </row>
    <row r="7203" spans="35:35" x14ac:dyDescent="0.3">
      <c r="AI7203" s="267"/>
    </row>
    <row r="7204" spans="35:35" x14ac:dyDescent="0.3">
      <c r="AI7204" s="267"/>
    </row>
    <row r="7205" spans="35:35" x14ac:dyDescent="0.3">
      <c r="AI7205" s="267"/>
    </row>
    <row r="7206" spans="35:35" x14ac:dyDescent="0.3">
      <c r="AI7206" s="267"/>
    </row>
    <row r="7207" spans="35:35" x14ac:dyDescent="0.3">
      <c r="AI7207" s="267"/>
    </row>
    <row r="7208" spans="35:35" x14ac:dyDescent="0.3">
      <c r="AI7208" s="267"/>
    </row>
    <row r="7209" spans="35:35" x14ac:dyDescent="0.3">
      <c r="AI7209" s="267"/>
    </row>
    <row r="7210" spans="35:35" x14ac:dyDescent="0.3">
      <c r="AI7210" s="267"/>
    </row>
    <row r="7211" spans="35:35" x14ac:dyDescent="0.3">
      <c r="AI7211" s="267"/>
    </row>
    <row r="7212" spans="35:35" x14ac:dyDescent="0.3">
      <c r="AI7212" s="267"/>
    </row>
    <row r="7213" spans="35:35" x14ac:dyDescent="0.3">
      <c r="AI7213" s="267"/>
    </row>
    <row r="7214" spans="35:35" x14ac:dyDescent="0.3">
      <c r="AI7214" s="267"/>
    </row>
    <row r="7215" spans="35:35" x14ac:dyDescent="0.3">
      <c r="AI7215" s="267"/>
    </row>
    <row r="7216" spans="35:35" x14ac:dyDescent="0.3">
      <c r="AI7216" s="267"/>
    </row>
    <row r="7217" spans="35:35" x14ac:dyDescent="0.3">
      <c r="AI7217" s="267"/>
    </row>
    <row r="7218" spans="35:35" x14ac:dyDescent="0.3">
      <c r="AI7218" s="267"/>
    </row>
    <row r="7219" spans="35:35" x14ac:dyDescent="0.3">
      <c r="AI7219" s="267"/>
    </row>
    <row r="7220" spans="35:35" x14ac:dyDescent="0.3">
      <c r="AI7220" s="267"/>
    </row>
    <row r="7221" spans="35:35" x14ac:dyDescent="0.3">
      <c r="AI7221" s="267"/>
    </row>
    <row r="7222" spans="35:35" x14ac:dyDescent="0.3">
      <c r="AI7222" s="267"/>
    </row>
    <row r="7223" spans="35:35" x14ac:dyDescent="0.3">
      <c r="AI7223" s="267"/>
    </row>
    <row r="7224" spans="35:35" x14ac:dyDescent="0.3">
      <c r="AI7224" s="267"/>
    </row>
    <row r="7225" spans="35:35" x14ac:dyDescent="0.3">
      <c r="AI7225" s="267"/>
    </row>
    <row r="7226" spans="35:35" x14ac:dyDescent="0.3">
      <c r="AI7226" s="267"/>
    </row>
    <row r="7227" spans="35:35" x14ac:dyDescent="0.3">
      <c r="AI7227" s="267"/>
    </row>
    <row r="7228" spans="35:35" x14ac:dyDescent="0.3">
      <c r="AI7228" s="267"/>
    </row>
    <row r="7229" spans="35:35" x14ac:dyDescent="0.3">
      <c r="AI7229" s="267"/>
    </row>
    <row r="7230" spans="35:35" x14ac:dyDescent="0.3">
      <c r="AI7230" s="267"/>
    </row>
    <row r="7231" spans="35:35" x14ac:dyDescent="0.3">
      <c r="AI7231" s="267"/>
    </row>
    <row r="7232" spans="35:35" x14ac:dyDescent="0.3">
      <c r="AI7232" s="267"/>
    </row>
    <row r="7233" spans="35:35" x14ac:dyDescent="0.3">
      <c r="AI7233" s="267"/>
    </row>
    <row r="7234" spans="35:35" x14ac:dyDescent="0.3">
      <c r="AI7234" s="267"/>
    </row>
    <row r="7235" spans="35:35" x14ac:dyDescent="0.3">
      <c r="AI7235" s="267"/>
    </row>
    <row r="7236" spans="35:35" x14ac:dyDescent="0.3">
      <c r="AI7236" s="267"/>
    </row>
    <row r="7237" spans="35:35" x14ac:dyDescent="0.3">
      <c r="AI7237" s="267"/>
    </row>
    <row r="7238" spans="35:35" x14ac:dyDescent="0.3">
      <c r="AI7238" s="267"/>
    </row>
    <row r="7239" spans="35:35" x14ac:dyDescent="0.3">
      <c r="AI7239" s="267"/>
    </row>
    <row r="7240" spans="35:35" x14ac:dyDescent="0.3">
      <c r="AI7240" s="267"/>
    </row>
    <row r="7241" spans="35:35" x14ac:dyDescent="0.3">
      <c r="AI7241" s="267"/>
    </row>
    <row r="7242" spans="35:35" x14ac:dyDescent="0.3">
      <c r="AI7242" s="267"/>
    </row>
    <row r="7243" spans="35:35" x14ac:dyDescent="0.3">
      <c r="AI7243" s="267"/>
    </row>
    <row r="7244" spans="35:35" x14ac:dyDescent="0.3">
      <c r="AI7244" s="267"/>
    </row>
    <row r="7245" spans="35:35" x14ac:dyDescent="0.3">
      <c r="AI7245" s="267"/>
    </row>
    <row r="7246" spans="35:35" x14ac:dyDescent="0.3">
      <c r="AI7246" s="267"/>
    </row>
    <row r="7247" spans="35:35" x14ac:dyDescent="0.3">
      <c r="AI7247" s="267"/>
    </row>
    <row r="7248" spans="35:35" x14ac:dyDescent="0.3">
      <c r="AI7248" s="267"/>
    </row>
    <row r="7249" spans="35:35" x14ac:dyDescent="0.3">
      <c r="AI7249" s="267"/>
    </row>
    <row r="7250" spans="35:35" x14ac:dyDescent="0.3">
      <c r="AI7250" s="267"/>
    </row>
    <row r="7251" spans="35:35" x14ac:dyDescent="0.3">
      <c r="AI7251" s="267"/>
    </row>
    <row r="7252" spans="35:35" x14ac:dyDescent="0.3">
      <c r="AI7252" s="267"/>
    </row>
    <row r="7253" spans="35:35" x14ac:dyDescent="0.3">
      <c r="AI7253" s="267"/>
    </row>
    <row r="7254" spans="35:35" x14ac:dyDescent="0.3">
      <c r="AI7254" s="267"/>
    </row>
    <row r="7255" spans="35:35" x14ac:dyDescent="0.3">
      <c r="AI7255" s="267"/>
    </row>
    <row r="7256" spans="35:35" x14ac:dyDescent="0.3">
      <c r="AI7256" s="267"/>
    </row>
    <row r="7257" spans="35:35" x14ac:dyDescent="0.3">
      <c r="AI7257" s="267"/>
    </row>
    <row r="7258" spans="35:35" x14ac:dyDescent="0.3">
      <c r="AI7258" s="267"/>
    </row>
    <row r="7259" spans="35:35" x14ac:dyDescent="0.3">
      <c r="AI7259" s="267"/>
    </row>
    <row r="7260" spans="35:35" x14ac:dyDescent="0.3">
      <c r="AI7260" s="267"/>
    </row>
    <row r="7261" spans="35:35" x14ac:dyDescent="0.3">
      <c r="AI7261" s="267"/>
    </row>
    <row r="7262" spans="35:35" x14ac:dyDescent="0.3">
      <c r="AI7262" s="267"/>
    </row>
    <row r="7263" spans="35:35" x14ac:dyDescent="0.3">
      <c r="AI7263" s="267"/>
    </row>
    <row r="7264" spans="35:35" x14ac:dyDescent="0.3">
      <c r="AI7264" s="267"/>
    </row>
    <row r="7265" spans="35:35" x14ac:dyDescent="0.3">
      <c r="AI7265" s="267"/>
    </row>
    <row r="7266" spans="35:35" x14ac:dyDescent="0.3">
      <c r="AI7266" s="267"/>
    </row>
    <row r="7267" spans="35:35" x14ac:dyDescent="0.3">
      <c r="AI7267" s="267"/>
    </row>
    <row r="7268" spans="35:35" x14ac:dyDescent="0.3">
      <c r="AI7268" s="267"/>
    </row>
    <row r="7269" spans="35:35" x14ac:dyDescent="0.3">
      <c r="AI7269" s="267"/>
    </row>
    <row r="7270" spans="35:35" x14ac:dyDescent="0.3">
      <c r="AI7270" s="267"/>
    </row>
    <row r="7271" spans="35:35" x14ac:dyDescent="0.3">
      <c r="AI7271" s="267"/>
    </row>
    <row r="7272" spans="35:35" x14ac:dyDescent="0.3">
      <c r="AI7272" s="267"/>
    </row>
    <row r="7273" spans="35:35" x14ac:dyDescent="0.3">
      <c r="AI7273" s="267"/>
    </row>
    <row r="7274" spans="35:35" x14ac:dyDescent="0.3">
      <c r="AI7274" s="267"/>
    </row>
    <row r="7275" spans="35:35" x14ac:dyDescent="0.3">
      <c r="AI7275" s="267"/>
    </row>
    <row r="7276" spans="35:35" x14ac:dyDescent="0.3">
      <c r="AI7276" s="267"/>
    </row>
    <row r="7277" spans="35:35" x14ac:dyDescent="0.3">
      <c r="AI7277" s="267"/>
    </row>
    <row r="7278" spans="35:35" x14ac:dyDescent="0.3">
      <c r="AI7278" s="267"/>
    </row>
    <row r="7279" spans="35:35" x14ac:dyDescent="0.3">
      <c r="AI7279" s="267"/>
    </row>
    <row r="7280" spans="35:35" x14ac:dyDescent="0.3">
      <c r="AI7280" s="267"/>
    </row>
    <row r="7281" spans="35:35" x14ac:dyDescent="0.3">
      <c r="AI7281" s="267"/>
    </row>
    <row r="7282" spans="35:35" x14ac:dyDescent="0.3">
      <c r="AI7282" s="267"/>
    </row>
    <row r="7283" spans="35:35" x14ac:dyDescent="0.3">
      <c r="AI7283" s="267"/>
    </row>
    <row r="7284" spans="35:35" x14ac:dyDescent="0.3">
      <c r="AI7284" s="267"/>
    </row>
    <row r="7285" spans="35:35" x14ac:dyDescent="0.3">
      <c r="AI7285" s="267"/>
    </row>
    <row r="7286" spans="35:35" x14ac:dyDescent="0.3">
      <c r="AI7286" s="267"/>
    </row>
    <row r="7287" spans="35:35" x14ac:dyDescent="0.3">
      <c r="AI7287" s="267"/>
    </row>
    <row r="7288" spans="35:35" x14ac:dyDescent="0.3">
      <c r="AI7288" s="267"/>
    </row>
    <row r="7289" spans="35:35" x14ac:dyDescent="0.3">
      <c r="AI7289" s="267"/>
    </row>
    <row r="7290" spans="35:35" x14ac:dyDescent="0.3">
      <c r="AI7290" s="267"/>
    </row>
    <row r="7291" spans="35:35" x14ac:dyDescent="0.3">
      <c r="AI7291" s="267"/>
    </row>
    <row r="7292" spans="35:35" x14ac:dyDescent="0.3">
      <c r="AI7292" s="267"/>
    </row>
    <row r="7293" spans="35:35" x14ac:dyDescent="0.3">
      <c r="AI7293" s="267"/>
    </row>
    <row r="7294" spans="35:35" x14ac:dyDescent="0.3">
      <c r="AI7294" s="267"/>
    </row>
    <row r="7295" spans="35:35" x14ac:dyDescent="0.3">
      <c r="AI7295" s="267"/>
    </row>
    <row r="7296" spans="35:35" x14ac:dyDescent="0.3">
      <c r="AI7296" s="267"/>
    </row>
    <row r="7297" spans="35:35" x14ac:dyDescent="0.3">
      <c r="AI7297" s="267"/>
    </row>
    <row r="7298" spans="35:35" x14ac:dyDescent="0.3">
      <c r="AI7298" s="267"/>
    </row>
    <row r="7299" spans="35:35" x14ac:dyDescent="0.3">
      <c r="AI7299" s="267"/>
    </row>
    <row r="7300" spans="35:35" x14ac:dyDescent="0.3">
      <c r="AI7300" s="267"/>
    </row>
    <row r="7301" spans="35:35" x14ac:dyDescent="0.3">
      <c r="AI7301" s="267"/>
    </row>
    <row r="7302" spans="35:35" x14ac:dyDescent="0.3">
      <c r="AI7302" s="267"/>
    </row>
    <row r="7303" spans="35:35" x14ac:dyDescent="0.3">
      <c r="AI7303" s="267"/>
    </row>
    <row r="7304" spans="35:35" x14ac:dyDescent="0.3">
      <c r="AI7304" s="267"/>
    </row>
    <row r="7305" spans="35:35" x14ac:dyDescent="0.3">
      <c r="AI7305" s="267"/>
    </row>
    <row r="7306" spans="35:35" x14ac:dyDescent="0.3">
      <c r="AI7306" s="267"/>
    </row>
    <row r="7307" spans="35:35" x14ac:dyDescent="0.3">
      <c r="AI7307" s="267"/>
    </row>
    <row r="7308" spans="35:35" x14ac:dyDescent="0.3">
      <c r="AI7308" s="267"/>
    </row>
    <row r="7309" spans="35:35" x14ac:dyDescent="0.3">
      <c r="AI7309" s="267"/>
    </row>
    <row r="7310" spans="35:35" x14ac:dyDescent="0.3">
      <c r="AI7310" s="267"/>
    </row>
    <row r="7311" spans="35:35" x14ac:dyDescent="0.3">
      <c r="AI7311" s="267"/>
    </row>
    <row r="7312" spans="35:35" x14ac:dyDescent="0.3">
      <c r="AI7312" s="267"/>
    </row>
    <row r="7313" spans="35:35" x14ac:dyDescent="0.3">
      <c r="AI7313" s="267"/>
    </row>
    <row r="7314" spans="35:35" x14ac:dyDescent="0.3">
      <c r="AI7314" s="267"/>
    </row>
    <row r="7315" spans="35:35" x14ac:dyDescent="0.3">
      <c r="AI7315" s="267"/>
    </row>
    <row r="7316" spans="35:35" x14ac:dyDescent="0.3">
      <c r="AI7316" s="267"/>
    </row>
    <row r="7317" spans="35:35" x14ac:dyDescent="0.3">
      <c r="AI7317" s="267"/>
    </row>
    <row r="7318" spans="35:35" x14ac:dyDescent="0.3">
      <c r="AI7318" s="267"/>
    </row>
    <row r="7319" spans="35:35" x14ac:dyDescent="0.3">
      <c r="AI7319" s="267"/>
    </row>
    <row r="7320" spans="35:35" x14ac:dyDescent="0.3">
      <c r="AI7320" s="267"/>
    </row>
    <row r="7321" spans="35:35" x14ac:dyDescent="0.3">
      <c r="AI7321" s="267"/>
    </row>
    <row r="7322" spans="35:35" x14ac:dyDescent="0.3">
      <c r="AI7322" s="267"/>
    </row>
    <row r="7323" spans="35:35" x14ac:dyDescent="0.3">
      <c r="AI7323" s="267"/>
    </row>
    <row r="7324" spans="35:35" x14ac:dyDescent="0.3">
      <c r="AI7324" s="267"/>
    </row>
    <row r="7325" spans="35:35" x14ac:dyDescent="0.3">
      <c r="AI7325" s="267"/>
    </row>
    <row r="7326" spans="35:35" x14ac:dyDescent="0.3">
      <c r="AI7326" s="267"/>
    </row>
    <row r="7327" spans="35:35" x14ac:dyDescent="0.3">
      <c r="AI7327" s="267"/>
    </row>
    <row r="7328" spans="35:35" x14ac:dyDescent="0.3">
      <c r="AI7328" s="267"/>
    </row>
    <row r="7329" spans="35:35" x14ac:dyDescent="0.3">
      <c r="AI7329" s="267"/>
    </row>
    <row r="7330" spans="35:35" x14ac:dyDescent="0.3">
      <c r="AI7330" s="267"/>
    </row>
    <row r="7331" spans="35:35" x14ac:dyDescent="0.3">
      <c r="AI7331" s="267"/>
    </row>
    <row r="7332" spans="35:35" x14ac:dyDescent="0.3">
      <c r="AI7332" s="267"/>
    </row>
    <row r="7333" spans="35:35" x14ac:dyDescent="0.3">
      <c r="AI7333" s="267"/>
    </row>
    <row r="7334" spans="35:35" x14ac:dyDescent="0.3">
      <c r="AI7334" s="267"/>
    </row>
    <row r="7335" spans="35:35" x14ac:dyDescent="0.3">
      <c r="AI7335" s="267"/>
    </row>
    <row r="7336" spans="35:35" x14ac:dyDescent="0.3">
      <c r="AI7336" s="267"/>
    </row>
    <row r="7337" spans="35:35" x14ac:dyDescent="0.3">
      <c r="AI7337" s="267"/>
    </row>
    <row r="7338" spans="35:35" x14ac:dyDescent="0.3">
      <c r="AI7338" s="267"/>
    </row>
    <row r="7339" spans="35:35" x14ac:dyDescent="0.3">
      <c r="AI7339" s="267"/>
    </row>
    <row r="7340" spans="35:35" x14ac:dyDescent="0.3">
      <c r="AI7340" s="267"/>
    </row>
    <row r="7341" spans="35:35" x14ac:dyDescent="0.3">
      <c r="AI7341" s="267"/>
    </row>
    <row r="7342" spans="35:35" x14ac:dyDescent="0.3">
      <c r="AI7342" s="267"/>
    </row>
    <row r="7343" spans="35:35" x14ac:dyDescent="0.3">
      <c r="AI7343" s="267"/>
    </row>
    <row r="7344" spans="35:35" x14ac:dyDescent="0.3">
      <c r="AI7344" s="267"/>
    </row>
    <row r="7345" spans="35:35" x14ac:dyDescent="0.3">
      <c r="AI7345" s="267"/>
    </row>
    <row r="7346" spans="35:35" x14ac:dyDescent="0.3">
      <c r="AI7346" s="267"/>
    </row>
    <row r="7347" spans="35:35" x14ac:dyDescent="0.3">
      <c r="AI7347" s="267"/>
    </row>
    <row r="7348" spans="35:35" x14ac:dyDescent="0.3">
      <c r="AI7348" s="267"/>
    </row>
    <row r="7349" spans="35:35" x14ac:dyDescent="0.3">
      <c r="AI7349" s="267"/>
    </row>
    <row r="7350" spans="35:35" x14ac:dyDescent="0.3">
      <c r="AI7350" s="267"/>
    </row>
    <row r="7351" spans="35:35" x14ac:dyDescent="0.3">
      <c r="AI7351" s="267"/>
    </row>
    <row r="7352" spans="35:35" x14ac:dyDescent="0.3">
      <c r="AI7352" s="267"/>
    </row>
    <row r="7353" spans="35:35" x14ac:dyDescent="0.3">
      <c r="AI7353" s="267"/>
    </row>
    <row r="7354" spans="35:35" x14ac:dyDescent="0.3">
      <c r="AI7354" s="267"/>
    </row>
    <row r="7355" spans="35:35" x14ac:dyDescent="0.3">
      <c r="AI7355" s="267"/>
    </row>
    <row r="7356" spans="35:35" x14ac:dyDescent="0.3">
      <c r="AI7356" s="267"/>
    </row>
    <row r="7357" spans="35:35" x14ac:dyDescent="0.3">
      <c r="AI7357" s="267"/>
    </row>
    <row r="7358" spans="35:35" x14ac:dyDescent="0.3">
      <c r="AI7358" s="267"/>
    </row>
    <row r="7359" spans="35:35" x14ac:dyDescent="0.3">
      <c r="AI7359" s="267"/>
    </row>
    <row r="7360" spans="35:35" x14ac:dyDescent="0.3">
      <c r="AI7360" s="267"/>
    </row>
    <row r="7361" spans="35:35" x14ac:dyDescent="0.3">
      <c r="AI7361" s="267"/>
    </row>
    <row r="7362" spans="35:35" x14ac:dyDescent="0.3">
      <c r="AI7362" s="267"/>
    </row>
    <row r="7363" spans="35:35" x14ac:dyDescent="0.3">
      <c r="AI7363" s="267"/>
    </row>
    <row r="7364" spans="35:35" x14ac:dyDescent="0.3">
      <c r="AI7364" s="267"/>
    </row>
    <row r="7365" spans="35:35" x14ac:dyDescent="0.3">
      <c r="AI7365" s="267"/>
    </row>
    <row r="7366" spans="35:35" x14ac:dyDescent="0.3">
      <c r="AI7366" s="267"/>
    </row>
    <row r="7367" spans="35:35" x14ac:dyDescent="0.3">
      <c r="AI7367" s="267"/>
    </row>
    <row r="7368" spans="35:35" x14ac:dyDescent="0.3">
      <c r="AI7368" s="267"/>
    </row>
    <row r="7369" spans="35:35" x14ac:dyDescent="0.3">
      <c r="AI7369" s="267"/>
    </row>
    <row r="7370" spans="35:35" x14ac:dyDescent="0.3">
      <c r="AI7370" s="267"/>
    </row>
    <row r="7371" spans="35:35" x14ac:dyDescent="0.3">
      <c r="AI7371" s="267"/>
    </row>
    <row r="7372" spans="35:35" x14ac:dyDescent="0.3">
      <c r="AI7372" s="267"/>
    </row>
    <row r="7373" spans="35:35" x14ac:dyDescent="0.3">
      <c r="AI7373" s="267"/>
    </row>
    <row r="7374" spans="35:35" x14ac:dyDescent="0.3">
      <c r="AI7374" s="267"/>
    </row>
    <row r="7375" spans="35:35" x14ac:dyDescent="0.3">
      <c r="AI7375" s="267"/>
    </row>
    <row r="7376" spans="35:35" x14ac:dyDescent="0.3">
      <c r="AI7376" s="267"/>
    </row>
    <row r="7377" spans="35:35" x14ac:dyDescent="0.3">
      <c r="AI7377" s="267"/>
    </row>
    <row r="7378" spans="35:35" x14ac:dyDescent="0.3">
      <c r="AI7378" s="267"/>
    </row>
    <row r="7379" spans="35:35" x14ac:dyDescent="0.3">
      <c r="AI7379" s="267"/>
    </row>
    <row r="7380" spans="35:35" x14ac:dyDescent="0.3">
      <c r="AI7380" s="267"/>
    </row>
    <row r="7381" spans="35:35" x14ac:dyDescent="0.3">
      <c r="AI7381" s="267"/>
    </row>
    <row r="7382" spans="35:35" x14ac:dyDescent="0.3">
      <c r="AI7382" s="267"/>
    </row>
    <row r="7383" spans="35:35" x14ac:dyDescent="0.3">
      <c r="AI7383" s="267"/>
    </row>
    <row r="7384" spans="35:35" x14ac:dyDescent="0.3">
      <c r="AI7384" s="267"/>
    </row>
    <row r="7385" spans="35:35" x14ac:dyDescent="0.3">
      <c r="AI7385" s="267"/>
    </row>
    <row r="7386" spans="35:35" x14ac:dyDescent="0.3">
      <c r="AI7386" s="267"/>
    </row>
    <row r="7387" spans="35:35" x14ac:dyDescent="0.3">
      <c r="AI7387" s="267"/>
    </row>
    <row r="7388" spans="35:35" x14ac:dyDescent="0.3">
      <c r="AI7388" s="267"/>
    </row>
    <row r="7389" spans="35:35" x14ac:dyDescent="0.3">
      <c r="AI7389" s="267"/>
    </row>
    <row r="7390" spans="35:35" x14ac:dyDescent="0.3">
      <c r="AI7390" s="267"/>
    </row>
    <row r="7391" spans="35:35" x14ac:dyDescent="0.3">
      <c r="AI7391" s="267"/>
    </row>
    <row r="7392" spans="35:35" x14ac:dyDescent="0.3">
      <c r="AI7392" s="267"/>
    </row>
    <row r="7393" spans="35:35" x14ac:dyDescent="0.3">
      <c r="AI7393" s="267"/>
    </row>
    <row r="7394" spans="35:35" x14ac:dyDescent="0.3">
      <c r="AI7394" s="267"/>
    </row>
    <row r="7395" spans="35:35" x14ac:dyDescent="0.3">
      <c r="AI7395" s="267"/>
    </row>
    <row r="7396" spans="35:35" x14ac:dyDescent="0.3">
      <c r="AI7396" s="267"/>
    </row>
    <row r="7397" spans="35:35" x14ac:dyDescent="0.3">
      <c r="AI7397" s="267"/>
    </row>
    <row r="7398" spans="35:35" x14ac:dyDescent="0.3">
      <c r="AI7398" s="267"/>
    </row>
    <row r="7399" spans="35:35" x14ac:dyDescent="0.3">
      <c r="AI7399" s="267"/>
    </row>
    <row r="7400" spans="35:35" x14ac:dyDescent="0.3">
      <c r="AI7400" s="267"/>
    </row>
    <row r="7401" spans="35:35" x14ac:dyDescent="0.3">
      <c r="AI7401" s="267"/>
    </row>
    <row r="7402" spans="35:35" x14ac:dyDescent="0.3">
      <c r="AI7402" s="267"/>
    </row>
    <row r="7403" spans="35:35" x14ac:dyDescent="0.3">
      <c r="AI7403" s="267"/>
    </row>
    <row r="7404" spans="35:35" x14ac:dyDescent="0.3">
      <c r="AI7404" s="267"/>
    </row>
    <row r="7405" spans="35:35" x14ac:dyDescent="0.3">
      <c r="AI7405" s="267"/>
    </row>
    <row r="7406" spans="35:35" x14ac:dyDescent="0.3">
      <c r="AI7406" s="267"/>
    </row>
    <row r="7407" spans="35:35" x14ac:dyDescent="0.3">
      <c r="AI7407" s="267"/>
    </row>
    <row r="7408" spans="35:35" x14ac:dyDescent="0.3">
      <c r="AI7408" s="267"/>
    </row>
    <row r="7409" spans="35:35" x14ac:dyDescent="0.3">
      <c r="AI7409" s="267"/>
    </row>
    <row r="7410" spans="35:35" x14ac:dyDescent="0.3">
      <c r="AI7410" s="267"/>
    </row>
    <row r="7411" spans="35:35" x14ac:dyDescent="0.3">
      <c r="AI7411" s="267"/>
    </row>
    <row r="7412" spans="35:35" x14ac:dyDescent="0.3">
      <c r="AI7412" s="267"/>
    </row>
    <row r="7413" spans="35:35" x14ac:dyDescent="0.3">
      <c r="AI7413" s="267"/>
    </row>
    <row r="7414" spans="35:35" x14ac:dyDescent="0.3">
      <c r="AI7414" s="267"/>
    </row>
    <row r="7415" spans="35:35" x14ac:dyDescent="0.3">
      <c r="AI7415" s="267"/>
    </row>
    <row r="7416" spans="35:35" x14ac:dyDescent="0.3">
      <c r="AI7416" s="267"/>
    </row>
    <row r="7417" spans="35:35" x14ac:dyDescent="0.3">
      <c r="AI7417" s="267"/>
    </row>
    <row r="7418" spans="35:35" x14ac:dyDescent="0.3">
      <c r="AI7418" s="267"/>
    </row>
    <row r="7419" spans="35:35" x14ac:dyDescent="0.3">
      <c r="AI7419" s="267"/>
    </row>
    <row r="7420" spans="35:35" x14ac:dyDescent="0.3">
      <c r="AI7420" s="267"/>
    </row>
    <row r="7421" spans="35:35" x14ac:dyDescent="0.3">
      <c r="AI7421" s="267"/>
    </row>
    <row r="7422" spans="35:35" x14ac:dyDescent="0.3">
      <c r="AI7422" s="267"/>
    </row>
    <row r="7423" spans="35:35" x14ac:dyDescent="0.3">
      <c r="AI7423" s="267"/>
    </row>
    <row r="7424" spans="35:35" x14ac:dyDescent="0.3">
      <c r="AI7424" s="267"/>
    </row>
    <row r="7425" spans="35:35" x14ac:dyDescent="0.3">
      <c r="AI7425" s="267"/>
    </row>
    <row r="7426" spans="35:35" x14ac:dyDescent="0.3">
      <c r="AI7426" s="267"/>
    </row>
    <row r="7427" spans="35:35" x14ac:dyDescent="0.3">
      <c r="AI7427" s="267"/>
    </row>
    <row r="7428" spans="35:35" x14ac:dyDescent="0.3">
      <c r="AI7428" s="267"/>
    </row>
    <row r="7429" spans="35:35" x14ac:dyDescent="0.3">
      <c r="AI7429" s="267"/>
    </row>
    <row r="7430" spans="35:35" x14ac:dyDescent="0.3">
      <c r="AI7430" s="267"/>
    </row>
    <row r="7431" spans="35:35" x14ac:dyDescent="0.3">
      <c r="AI7431" s="267"/>
    </row>
    <row r="7432" spans="35:35" x14ac:dyDescent="0.3">
      <c r="AI7432" s="267"/>
    </row>
    <row r="7433" spans="35:35" x14ac:dyDescent="0.3">
      <c r="AI7433" s="267"/>
    </row>
    <row r="7434" spans="35:35" x14ac:dyDescent="0.3">
      <c r="AI7434" s="267"/>
    </row>
    <row r="7435" spans="35:35" x14ac:dyDescent="0.3">
      <c r="AI7435" s="267"/>
    </row>
    <row r="7436" spans="35:35" x14ac:dyDescent="0.3">
      <c r="AI7436" s="267"/>
    </row>
    <row r="7437" spans="35:35" x14ac:dyDescent="0.3">
      <c r="AI7437" s="267"/>
    </row>
    <row r="7438" spans="35:35" x14ac:dyDescent="0.3">
      <c r="AI7438" s="267"/>
    </row>
    <row r="7439" spans="35:35" x14ac:dyDescent="0.3">
      <c r="AI7439" s="267"/>
    </row>
    <row r="7440" spans="35:35" x14ac:dyDescent="0.3">
      <c r="AI7440" s="267"/>
    </row>
    <row r="7441" spans="35:35" x14ac:dyDescent="0.3">
      <c r="AI7441" s="267"/>
    </row>
    <row r="7442" spans="35:35" x14ac:dyDescent="0.3">
      <c r="AI7442" s="267"/>
    </row>
    <row r="7443" spans="35:35" x14ac:dyDescent="0.3">
      <c r="AI7443" s="267"/>
    </row>
    <row r="7444" spans="35:35" x14ac:dyDescent="0.3">
      <c r="AI7444" s="267"/>
    </row>
    <row r="7445" spans="35:35" x14ac:dyDescent="0.3">
      <c r="AI7445" s="267"/>
    </row>
    <row r="7446" spans="35:35" x14ac:dyDescent="0.3">
      <c r="AI7446" s="267"/>
    </row>
    <row r="7447" spans="35:35" x14ac:dyDescent="0.3">
      <c r="AI7447" s="267"/>
    </row>
    <row r="7448" spans="35:35" x14ac:dyDescent="0.3">
      <c r="AI7448" s="267"/>
    </row>
    <row r="7449" spans="35:35" x14ac:dyDescent="0.3">
      <c r="AI7449" s="267"/>
    </row>
    <row r="7450" spans="35:35" x14ac:dyDescent="0.3">
      <c r="AI7450" s="267"/>
    </row>
    <row r="7451" spans="35:35" x14ac:dyDescent="0.3">
      <c r="AI7451" s="267"/>
    </row>
    <row r="7452" spans="35:35" x14ac:dyDescent="0.3">
      <c r="AI7452" s="267"/>
    </row>
    <row r="7453" spans="35:35" x14ac:dyDescent="0.3">
      <c r="AI7453" s="267"/>
    </row>
    <row r="7454" spans="35:35" x14ac:dyDescent="0.3">
      <c r="AI7454" s="267"/>
    </row>
    <row r="7455" spans="35:35" x14ac:dyDescent="0.3">
      <c r="AI7455" s="267"/>
    </row>
    <row r="7456" spans="35:35" x14ac:dyDescent="0.3">
      <c r="AI7456" s="267"/>
    </row>
    <row r="7457" spans="35:35" x14ac:dyDescent="0.3">
      <c r="AI7457" s="267"/>
    </row>
    <row r="7458" spans="35:35" x14ac:dyDescent="0.3">
      <c r="AI7458" s="267"/>
    </row>
    <row r="7459" spans="35:35" x14ac:dyDescent="0.3">
      <c r="AI7459" s="267"/>
    </row>
    <row r="7460" spans="35:35" x14ac:dyDescent="0.3">
      <c r="AI7460" s="267"/>
    </row>
    <row r="7461" spans="35:35" x14ac:dyDescent="0.3">
      <c r="AI7461" s="267"/>
    </row>
    <row r="7462" spans="35:35" x14ac:dyDescent="0.3">
      <c r="AI7462" s="267"/>
    </row>
    <row r="7463" spans="35:35" x14ac:dyDescent="0.3">
      <c r="AI7463" s="267"/>
    </row>
    <row r="7464" spans="35:35" x14ac:dyDescent="0.3">
      <c r="AI7464" s="267"/>
    </row>
    <row r="7465" spans="35:35" x14ac:dyDescent="0.3">
      <c r="AI7465" s="267"/>
    </row>
    <row r="7466" spans="35:35" x14ac:dyDescent="0.3">
      <c r="AI7466" s="267"/>
    </row>
    <row r="7467" spans="35:35" x14ac:dyDescent="0.3">
      <c r="AI7467" s="267"/>
    </row>
    <row r="7468" spans="35:35" x14ac:dyDescent="0.3">
      <c r="AI7468" s="267"/>
    </row>
    <row r="7469" spans="35:35" x14ac:dyDescent="0.3">
      <c r="AI7469" s="267"/>
    </row>
    <row r="7470" spans="35:35" x14ac:dyDescent="0.3">
      <c r="AI7470" s="267"/>
    </row>
    <row r="7471" spans="35:35" x14ac:dyDescent="0.3">
      <c r="AI7471" s="267"/>
    </row>
    <row r="7472" spans="35:35" x14ac:dyDescent="0.3">
      <c r="AI7472" s="267"/>
    </row>
    <row r="7473" spans="35:35" x14ac:dyDescent="0.3">
      <c r="AI7473" s="267"/>
    </row>
    <row r="7474" spans="35:35" x14ac:dyDescent="0.3">
      <c r="AI7474" s="267"/>
    </row>
    <row r="7475" spans="35:35" x14ac:dyDescent="0.3">
      <c r="AI7475" s="267"/>
    </row>
    <row r="7476" spans="35:35" x14ac:dyDescent="0.3">
      <c r="AI7476" s="267"/>
    </row>
    <row r="7477" spans="35:35" x14ac:dyDescent="0.3">
      <c r="AI7477" s="267"/>
    </row>
    <row r="7478" spans="35:35" x14ac:dyDescent="0.3">
      <c r="AI7478" s="267"/>
    </row>
    <row r="7479" spans="35:35" x14ac:dyDescent="0.3">
      <c r="AI7479" s="267"/>
    </row>
    <row r="7480" spans="35:35" x14ac:dyDescent="0.3">
      <c r="AI7480" s="267"/>
    </row>
    <row r="7481" spans="35:35" x14ac:dyDescent="0.3">
      <c r="AI7481" s="267"/>
    </row>
    <row r="7482" spans="35:35" x14ac:dyDescent="0.3">
      <c r="AI7482" s="267"/>
    </row>
    <row r="7483" spans="35:35" x14ac:dyDescent="0.3">
      <c r="AI7483" s="267"/>
    </row>
    <row r="7484" spans="35:35" x14ac:dyDescent="0.3">
      <c r="AI7484" s="267"/>
    </row>
    <row r="7485" spans="35:35" x14ac:dyDescent="0.3">
      <c r="AI7485" s="267"/>
    </row>
    <row r="7486" spans="35:35" x14ac:dyDescent="0.3">
      <c r="AI7486" s="267"/>
    </row>
    <row r="7487" spans="35:35" x14ac:dyDescent="0.3">
      <c r="AI7487" s="267"/>
    </row>
    <row r="7488" spans="35:35" x14ac:dyDescent="0.3">
      <c r="AI7488" s="267"/>
    </row>
    <row r="7489" spans="35:35" x14ac:dyDescent="0.3">
      <c r="AI7489" s="267"/>
    </row>
    <row r="7490" spans="35:35" x14ac:dyDescent="0.3">
      <c r="AI7490" s="267"/>
    </row>
    <row r="7491" spans="35:35" x14ac:dyDescent="0.3">
      <c r="AI7491" s="267"/>
    </row>
    <row r="7492" spans="35:35" x14ac:dyDescent="0.3">
      <c r="AI7492" s="267"/>
    </row>
    <row r="7493" spans="35:35" x14ac:dyDescent="0.3">
      <c r="AI7493" s="267"/>
    </row>
    <row r="7494" spans="35:35" x14ac:dyDescent="0.3">
      <c r="AI7494" s="267"/>
    </row>
    <row r="7495" spans="35:35" x14ac:dyDescent="0.3">
      <c r="AI7495" s="267"/>
    </row>
    <row r="7496" spans="35:35" x14ac:dyDescent="0.3">
      <c r="AI7496" s="267"/>
    </row>
    <row r="7497" spans="35:35" x14ac:dyDescent="0.3">
      <c r="AI7497" s="267"/>
    </row>
    <row r="7498" spans="35:35" x14ac:dyDescent="0.3">
      <c r="AI7498" s="267"/>
    </row>
    <row r="7499" spans="35:35" x14ac:dyDescent="0.3">
      <c r="AI7499" s="267"/>
    </row>
    <row r="7500" spans="35:35" x14ac:dyDescent="0.3">
      <c r="AI7500" s="267"/>
    </row>
    <row r="7501" spans="35:35" x14ac:dyDescent="0.3">
      <c r="AI7501" s="267"/>
    </row>
    <row r="7502" spans="35:35" x14ac:dyDescent="0.3">
      <c r="AI7502" s="267"/>
    </row>
    <row r="7503" spans="35:35" x14ac:dyDescent="0.3">
      <c r="AI7503" s="267"/>
    </row>
    <row r="7504" spans="35:35" x14ac:dyDescent="0.3">
      <c r="AI7504" s="267"/>
    </row>
    <row r="7505" spans="35:35" x14ac:dyDescent="0.3">
      <c r="AI7505" s="267"/>
    </row>
    <row r="7506" spans="35:35" x14ac:dyDescent="0.3">
      <c r="AI7506" s="267"/>
    </row>
    <row r="7507" spans="35:35" x14ac:dyDescent="0.3">
      <c r="AI7507" s="267"/>
    </row>
    <row r="7508" spans="35:35" x14ac:dyDescent="0.3">
      <c r="AI7508" s="267"/>
    </row>
    <row r="7509" spans="35:35" x14ac:dyDescent="0.3">
      <c r="AI7509" s="267"/>
    </row>
    <row r="7510" spans="35:35" x14ac:dyDescent="0.3">
      <c r="AI7510" s="267"/>
    </row>
    <row r="7511" spans="35:35" x14ac:dyDescent="0.3">
      <c r="AI7511" s="267"/>
    </row>
    <row r="7512" spans="35:35" x14ac:dyDescent="0.3">
      <c r="AI7512" s="267"/>
    </row>
    <row r="7513" spans="35:35" x14ac:dyDescent="0.3">
      <c r="AI7513" s="267"/>
    </row>
    <row r="7514" spans="35:35" x14ac:dyDescent="0.3">
      <c r="AI7514" s="267"/>
    </row>
    <row r="7515" spans="35:35" x14ac:dyDescent="0.3">
      <c r="AI7515" s="267"/>
    </row>
    <row r="7516" spans="35:35" x14ac:dyDescent="0.3">
      <c r="AI7516" s="267"/>
    </row>
    <row r="7517" spans="35:35" x14ac:dyDescent="0.3">
      <c r="AI7517" s="267"/>
    </row>
    <row r="7518" spans="35:35" x14ac:dyDescent="0.3">
      <c r="AI7518" s="267"/>
    </row>
    <row r="7519" spans="35:35" x14ac:dyDescent="0.3">
      <c r="AI7519" s="267"/>
    </row>
    <row r="7520" spans="35:35" x14ac:dyDescent="0.3">
      <c r="AI7520" s="267"/>
    </row>
    <row r="7521" spans="35:35" x14ac:dyDescent="0.3">
      <c r="AI7521" s="267"/>
    </row>
    <row r="7522" spans="35:35" x14ac:dyDescent="0.3">
      <c r="AI7522" s="267"/>
    </row>
    <row r="7523" spans="35:35" x14ac:dyDescent="0.3">
      <c r="AI7523" s="267"/>
    </row>
    <row r="7524" spans="35:35" x14ac:dyDescent="0.3">
      <c r="AI7524" s="267"/>
    </row>
    <row r="7525" spans="35:35" x14ac:dyDescent="0.3">
      <c r="AI7525" s="267"/>
    </row>
    <row r="7526" spans="35:35" x14ac:dyDescent="0.3">
      <c r="AI7526" s="267"/>
    </row>
    <row r="7527" spans="35:35" x14ac:dyDescent="0.3">
      <c r="AI7527" s="267"/>
    </row>
    <row r="7528" spans="35:35" x14ac:dyDescent="0.3">
      <c r="AI7528" s="267"/>
    </row>
    <row r="7529" spans="35:35" x14ac:dyDescent="0.3">
      <c r="AI7529" s="267"/>
    </row>
    <row r="7530" spans="35:35" x14ac:dyDescent="0.3">
      <c r="AI7530" s="267"/>
    </row>
    <row r="7531" spans="35:35" x14ac:dyDescent="0.3">
      <c r="AI7531" s="267"/>
    </row>
    <row r="7532" spans="35:35" x14ac:dyDescent="0.3">
      <c r="AI7532" s="267"/>
    </row>
    <row r="7533" spans="35:35" x14ac:dyDescent="0.3">
      <c r="AI7533" s="267"/>
    </row>
    <row r="7534" spans="35:35" x14ac:dyDescent="0.3">
      <c r="AI7534" s="267"/>
    </row>
    <row r="7535" spans="35:35" x14ac:dyDescent="0.3">
      <c r="AI7535" s="267"/>
    </row>
    <row r="7536" spans="35:35" x14ac:dyDescent="0.3">
      <c r="AI7536" s="267"/>
    </row>
    <row r="7537" spans="35:35" x14ac:dyDescent="0.3">
      <c r="AI7537" s="267"/>
    </row>
    <row r="7538" spans="35:35" x14ac:dyDescent="0.3">
      <c r="AI7538" s="267"/>
    </row>
    <row r="7539" spans="35:35" x14ac:dyDescent="0.3">
      <c r="AI7539" s="267"/>
    </row>
    <row r="7540" spans="35:35" x14ac:dyDescent="0.3">
      <c r="AI7540" s="267"/>
    </row>
    <row r="7541" spans="35:35" x14ac:dyDescent="0.3">
      <c r="AI7541" s="267"/>
    </row>
    <row r="7542" spans="35:35" x14ac:dyDescent="0.3">
      <c r="AI7542" s="267"/>
    </row>
    <row r="7543" spans="35:35" x14ac:dyDescent="0.3">
      <c r="AI7543" s="267"/>
    </row>
    <row r="7544" spans="35:35" x14ac:dyDescent="0.3">
      <c r="AI7544" s="267"/>
    </row>
    <row r="7545" spans="35:35" x14ac:dyDescent="0.3">
      <c r="AI7545" s="267"/>
    </row>
    <row r="7546" spans="35:35" x14ac:dyDescent="0.3">
      <c r="AI7546" s="267"/>
    </row>
    <row r="7547" spans="35:35" x14ac:dyDescent="0.3">
      <c r="AI7547" s="267"/>
    </row>
    <row r="7548" spans="35:35" x14ac:dyDescent="0.3">
      <c r="AI7548" s="267"/>
    </row>
    <row r="7549" spans="35:35" x14ac:dyDescent="0.3">
      <c r="AI7549" s="267"/>
    </row>
    <row r="7550" spans="35:35" x14ac:dyDescent="0.3">
      <c r="AI7550" s="267"/>
    </row>
    <row r="7551" spans="35:35" x14ac:dyDescent="0.3">
      <c r="AI7551" s="267"/>
    </row>
    <row r="7552" spans="35:35" x14ac:dyDescent="0.3">
      <c r="AI7552" s="267"/>
    </row>
    <row r="7553" spans="35:35" x14ac:dyDescent="0.3">
      <c r="AI7553" s="267"/>
    </row>
    <row r="7554" spans="35:35" x14ac:dyDescent="0.3">
      <c r="AI7554" s="267"/>
    </row>
    <row r="7555" spans="35:35" x14ac:dyDescent="0.3">
      <c r="AI7555" s="267"/>
    </row>
    <row r="7556" spans="35:35" x14ac:dyDescent="0.3">
      <c r="AI7556" s="267"/>
    </row>
    <row r="7557" spans="35:35" x14ac:dyDescent="0.3">
      <c r="AI7557" s="267"/>
    </row>
    <row r="7558" spans="35:35" x14ac:dyDescent="0.3">
      <c r="AI7558" s="267"/>
    </row>
    <row r="7559" spans="35:35" x14ac:dyDescent="0.3">
      <c r="AI7559" s="267"/>
    </row>
    <row r="7560" spans="35:35" x14ac:dyDescent="0.3">
      <c r="AI7560" s="267"/>
    </row>
    <row r="7561" spans="35:35" x14ac:dyDescent="0.3">
      <c r="AI7561" s="267"/>
    </row>
    <row r="7562" spans="35:35" x14ac:dyDescent="0.3">
      <c r="AI7562" s="267"/>
    </row>
    <row r="7563" spans="35:35" x14ac:dyDescent="0.3">
      <c r="AI7563" s="267"/>
    </row>
    <row r="7564" spans="35:35" x14ac:dyDescent="0.3">
      <c r="AI7564" s="267"/>
    </row>
    <row r="7565" spans="35:35" x14ac:dyDescent="0.3">
      <c r="AI7565" s="267"/>
    </row>
    <row r="7566" spans="35:35" x14ac:dyDescent="0.3">
      <c r="AI7566" s="267"/>
    </row>
    <row r="7567" spans="35:35" x14ac:dyDescent="0.3">
      <c r="AI7567" s="267"/>
    </row>
    <row r="7568" spans="35:35" x14ac:dyDescent="0.3">
      <c r="AI7568" s="267"/>
    </row>
    <row r="7569" spans="35:35" x14ac:dyDescent="0.3">
      <c r="AI7569" s="267"/>
    </row>
    <row r="7570" spans="35:35" x14ac:dyDescent="0.3">
      <c r="AI7570" s="267"/>
    </row>
    <row r="7571" spans="35:35" x14ac:dyDescent="0.3">
      <c r="AI7571" s="267"/>
    </row>
    <row r="7572" spans="35:35" x14ac:dyDescent="0.3">
      <c r="AI7572" s="267"/>
    </row>
    <row r="7573" spans="35:35" x14ac:dyDescent="0.3">
      <c r="AI7573" s="267"/>
    </row>
    <row r="7574" spans="35:35" x14ac:dyDescent="0.3">
      <c r="AI7574" s="267"/>
    </row>
    <row r="7575" spans="35:35" x14ac:dyDescent="0.3">
      <c r="AI7575" s="267"/>
    </row>
    <row r="7576" spans="35:35" x14ac:dyDescent="0.3">
      <c r="AI7576" s="267"/>
    </row>
    <row r="7577" spans="35:35" x14ac:dyDescent="0.3">
      <c r="AI7577" s="267"/>
    </row>
    <row r="7578" spans="35:35" x14ac:dyDescent="0.3">
      <c r="AI7578" s="267"/>
    </row>
    <row r="7579" spans="35:35" x14ac:dyDescent="0.3">
      <c r="AI7579" s="267"/>
    </row>
    <row r="7580" spans="35:35" x14ac:dyDescent="0.3">
      <c r="AI7580" s="267"/>
    </row>
    <row r="7581" spans="35:35" x14ac:dyDescent="0.3">
      <c r="AI7581" s="267"/>
    </row>
    <row r="7582" spans="35:35" x14ac:dyDescent="0.3">
      <c r="AI7582" s="267"/>
    </row>
    <row r="7583" spans="35:35" x14ac:dyDescent="0.3">
      <c r="AI7583" s="267"/>
    </row>
    <row r="7584" spans="35:35" x14ac:dyDescent="0.3">
      <c r="AI7584" s="267"/>
    </row>
    <row r="7585" spans="35:35" x14ac:dyDescent="0.3">
      <c r="AI7585" s="267"/>
    </row>
    <row r="7586" spans="35:35" x14ac:dyDescent="0.3">
      <c r="AI7586" s="267"/>
    </row>
    <row r="7587" spans="35:35" x14ac:dyDescent="0.3">
      <c r="AI7587" s="267"/>
    </row>
    <row r="7588" spans="35:35" x14ac:dyDescent="0.3">
      <c r="AI7588" s="267"/>
    </row>
    <row r="7589" spans="35:35" x14ac:dyDescent="0.3">
      <c r="AI7589" s="267"/>
    </row>
    <row r="7590" spans="35:35" x14ac:dyDescent="0.3">
      <c r="AI7590" s="267"/>
    </row>
    <row r="7591" spans="35:35" x14ac:dyDescent="0.3">
      <c r="AI7591" s="267"/>
    </row>
    <row r="7592" spans="35:35" x14ac:dyDescent="0.3">
      <c r="AI7592" s="267"/>
    </row>
    <row r="7593" spans="35:35" x14ac:dyDescent="0.3">
      <c r="AI7593" s="267"/>
    </row>
    <row r="7594" spans="35:35" x14ac:dyDescent="0.3">
      <c r="AI7594" s="267"/>
    </row>
    <row r="7595" spans="35:35" x14ac:dyDescent="0.3">
      <c r="AI7595" s="267"/>
    </row>
    <row r="7596" spans="35:35" x14ac:dyDescent="0.3">
      <c r="AI7596" s="267"/>
    </row>
    <row r="7597" spans="35:35" x14ac:dyDescent="0.3">
      <c r="AI7597" s="267"/>
    </row>
    <row r="7598" spans="35:35" x14ac:dyDescent="0.3">
      <c r="AI7598" s="267"/>
    </row>
    <row r="7599" spans="35:35" x14ac:dyDescent="0.3">
      <c r="AI7599" s="267"/>
    </row>
    <row r="7600" spans="35:35" x14ac:dyDescent="0.3">
      <c r="AI7600" s="267"/>
    </row>
    <row r="7601" spans="35:35" x14ac:dyDescent="0.3">
      <c r="AI7601" s="267"/>
    </row>
    <row r="7602" spans="35:35" x14ac:dyDescent="0.3">
      <c r="AI7602" s="267"/>
    </row>
    <row r="7603" spans="35:35" x14ac:dyDescent="0.3">
      <c r="AI7603" s="267"/>
    </row>
    <row r="7604" spans="35:35" x14ac:dyDescent="0.3">
      <c r="AI7604" s="267"/>
    </row>
    <row r="7605" spans="35:35" x14ac:dyDescent="0.3">
      <c r="AI7605" s="267"/>
    </row>
    <row r="7606" spans="35:35" x14ac:dyDescent="0.3">
      <c r="AI7606" s="267"/>
    </row>
    <row r="7607" spans="35:35" x14ac:dyDescent="0.3">
      <c r="AI7607" s="267"/>
    </row>
    <row r="7608" spans="35:35" x14ac:dyDescent="0.3">
      <c r="AI7608" s="267"/>
    </row>
    <row r="7609" spans="35:35" x14ac:dyDescent="0.3">
      <c r="AI7609" s="267"/>
    </row>
    <row r="7610" spans="35:35" x14ac:dyDescent="0.3">
      <c r="AI7610" s="267"/>
    </row>
    <row r="7611" spans="35:35" x14ac:dyDescent="0.3">
      <c r="AI7611" s="267"/>
    </row>
    <row r="7612" spans="35:35" x14ac:dyDescent="0.3">
      <c r="AI7612" s="267"/>
    </row>
    <row r="7613" spans="35:35" x14ac:dyDescent="0.3">
      <c r="AI7613" s="267"/>
    </row>
    <row r="7614" spans="35:35" x14ac:dyDescent="0.3">
      <c r="AI7614" s="267"/>
    </row>
    <row r="7615" spans="35:35" x14ac:dyDescent="0.3">
      <c r="AI7615" s="267"/>
    </row>
    <row r="7616" spans="35:35" x14ac:dyDescent="0.3">
      <c r="AI7616" s="267"/>
    </row>
    <row r="7617" spans="35:35" x14ac:dyDescent="0.3">
      <c r="AI7617" s="267"/>
    </row>
    <row r="7618" spans="35:35" x14ac:dyDescent="0.3">
      <c r="AI7618" s="267"/>
    </row>
    <row r="7619" spans="35:35" x14ac:dyDescent="0.3">
      <c r="AI7619" s="267"/>
    </row>
    <row r="7620" spans="35:35" x14ac:dyDescent="0.3">
      <c r="AI7620" s="267"/>
    </row>
    <row r="7621" spans="35:35" x14ac:dyDescent="0.3">
      <c r="AI7621" s="267"/>
    </row>
    <row r="7622" spans="35:35" x14ac:dyDescent="0.3">
      <c r="AI7622" s="267"/>
    </row>
    <row r="7623" spans="35:35" x14ac:dyDescent="0.3">
      <c r="AI7623" s="267"/>
    </row>
    <row r="7624" spans="35:35" x14ac:dyDescent="0.3">
      <c r="AI7624" s="267"/>
    </row>
    <row r="7625" spans="35:35" x14ac:dyDescent="0.3">
      <c r="AI7625" s="267"/>
    </row>
    <row r="7626" spans="35:35" x14ac:dyDescent="0.3">
      <c r="AI7626" s="267"/>
    </row>
    <row r="7627" spans="35:35" x14ac:dyDescent="0.3">
      <c r="AI7627" s="267"/>
    </row>
    <row r="7628" spans="35:35" x14ac:dyDescent="0.3">
      <c r="AI7628" s="267"/>
    </row>
    <row r="7629" spans="35:35" x14ac:dyDescent="0.3">
      <c r="AI7629" s="267"/>
    </row>
    <row r="7630" spans="35:35" x14ac:dyDescent="0.3">
      <c r="AI7630" s="267"/>
    </row>
    <row r="7631" spans="35:35" x14ac:dyDescent="0.3">
      <c r="AI7631" s="267"/>
    </row>
    <row r="7632" spans="35:35" x14ac:dyDescent="0.3">
      <c r="AI7632" s="267"/>
    </row>
    <row r="7633" spans="35:35" x14ac:dyDescent="0.3">
      <c r="AI7633" s="267"/>
    </row>
    <row r="7634" spans="35:35" x14ac:dyDescent="0.3">
      <c r="AI7634" s="267"/>
    </row>
    <row r="7635" spans="35:35" x14ac:dyDescent="0.3">
      <c r="AI7635" s="267"/>
    </row>
    <row r="7636" spans="35:35" x14ac:dyDescent="0.3">
      <c r="AI7636" s="267"/>
    </row>
    <row r="7637" spans="35:35" x14ac:dyDescent="0.3">
      <c r="AI7637" s="267"/>
    </row>
    <row r="7638" spans="35:35" x14ac:dyDescent="0.3">
      <c r="AI7638" s="267"/>
    </row>
    <row r="7639" spans="35:35" x14ac:dyDescent="0.3">
      <c r="AI7639" s="267"/>
    </row>
    <row r="7640" spans="35:35" x14ac:dyDescent="0.3">
      <c r="AI7640" s="267"/>
    </row>
    <row r="7641" spans="35:35" x14ac:dyDescent="0.3">
      <c r="AI7641" s="267"/>
    </row>
    <row r="7642" spans="35:35" x14ac:dyDescent="0.3">
      <c r="AI7642" s="267"/>
    </row>
    <row r="7643" spans="35:35" x14ac:dyDescent="0.3">
      <c r="AI7643" s="267"/>
    </row>
    <row r="7644" spans="35:35" x14ac:dyDescent="0.3">
      <c r="AI7644" s="267"/>
    </row>
    <row r="7645" spans="35:35" x14ac:dyDescent="0.3">
      <c r="AI7645" s="267"/>
    </row>
    <row r="7646" spans="35:35" x14ac:dyDescent="0.3">
      <c r="AI7646" s="267"/>
    </row>
    <row r="7647" spans="35:35" x14ac:dyDescent="0.3">
      <c r="AI7647" s="267"/>
    </row>
    <row r="7648" spans="35:35" x14ac:dyDescent="0.3">
      <c r="AI7648" s="267"/>
    </row>
    <row r="7649" spans="35:35" x14ac:dyDescent="0.3">
      <c r="AI7649" s="267"/>
    </row>
    <row r="7650" spans="35:35" x14ac:dyDescent="0.3">
      <c r="AI7650" s="267"/>
    </row>
    <row r="7651" spans="35:35" x14ac:dyDescent="0.3">
      <c r="AI7651" s="267"/>
    </row>
    <row r="7652" spans="35:35" x14ac:dyDescent="0.3">
      <c r="AI7652" s="267"/>
    </row>
    <row r="7653" spans="35:35" x14ac:dyDescent="0.3">
      <c r="AI7653" s="267"/>
    </row>
    <row r="7654" spans="35:35" x14ac:dyDescent="0.3">
      <c r="AI7654" s="267"/>
    </row>
    <row r="7655" spans="35:35" x14ac:dyDescent="0.3">
      <c r="AI7655" s="267"/>
    </row>
    <row r="7656" spans="35:35" x14ac:dyDescent="0.3">
      <c r="AI7656" s="267"/>
    </row>
    <row r="7657" spans="35:35" x14ac:dyDescent="0.3">
      <c r="AI7657" s="267"/>
    </row>
    <row r="7658" spans="35:35" x14ac:dyDescent="0.3">
      <c r="AI7658" s="267"/>
    </row>
    <row r="7659" spans="35:35" x14ac:dyDescent="0.3">
      <c r="AI7659" s="267"/>
    </row>
    <row r="7660" spans="35:35" x14ac:dyDescent="0.3">
      <c r="AI7660" s="267"/>
    </row>
    <row r="7661" spans="35:35" x14ac:dyDescent="0.3">
      <c r="AI7661" s="267"/>
    </row>
    <row r="7662" spans="35:35" x14ac:dyDescent="0.3">
      <c r="AI7662" s="267"/>
    </row>
    <row r="7663" spans="35:35" x14ac:dyDescent="0.3">
      <c r="AI7663" s="267"/>
    </row>
    <row r="7664" spans="35:35" x14ac:dyDescent="0.3">
      <c r="AI7664" s="267"/>
    </row>
    <row r="7665" spans="35:35" x14ac:dyDescent="0.3">
      <c r="AI7665" s="267"/>
    </row>
    <row r="7666" spans="35:35" x14ac:dyDescent="0.3">
      <c r="AI7666" s="267"/>
    </row>
    <row r="7667" spans="35:35" x14ac:dyDescent="0.3">
      <c r="AI7667" s="267"/>
    </row>
    <row r="7668" spans="35:35" x14ac:dyDescent="0.3">
      <c r="AI7668" s="267"/>
    </row>
    <row r="7669" spans="35:35" x14ac:dyDescent="0.3">
      <c r="AI7669" s="267"/>
    </row>
    <row r="7670" spans="35:35" x14ac:dyDescent="0.3">
      <c r="AI7670" s="267"/>
    </row>
    <row r="7671" spans="35:35" x14ac:dyDescent="0.3">
      <c r="AI7671" s="267"/>
    </row>
    <row r="7672" spans="35:35" x14ac:dyDescent="0.3">
      <c r="AI7672" s="267"/>
    </row>
    <row r="7673" spans="35:35" x14ac:dyDescent="0.3">
      <c r="AI7673" s="267"/>
    </row>
    <row r="7674" spans="35:35" x14ac:dyDescent="0.3">
      <c r="AI7674" s="267"/>
    </row>
    <row r="7675" spans="35:35" x14ac:dyDescent="0.3">
      <c r="AI7675" s="267"/>
    </row>
    <row r="7676" spans="35:35" x14ac:dyDescent="0.3">
      <c r="AI7676" s="267"/>
    </row>
    <row r="7677" spans="35:35" x14ac:dyDescent="0.3">
      <c r="AI7677" s="267"/>
    </row>
    <row r="7678" spans="35:35" x14ac:dyDescent="0.3">
      <c r="AI7678" s="267"/>
    </row>
    <row r="7679" spans="35:35" x14ac:dyDescent="0.3">
      <c r="AI7679" s="267"/>
    </row>
    <row r="7680" spans="35:35" x14ac:dyDescent="0.3">
      <c r="AI7680" s="267"/>
    </row>
    <row r="7681" spans="35:35" x14ac:dyDescent="0.3">
      <c r="AI7681" s="267"/>
    </row>
    <row r="7682" spans="35:35" x14ac:dyDescent="0.3">
      <c r="AI7682" s="267"/>
    </row>
    <row r="7683" spans="35:35" x14ac:dyDescent="0.3">
      <c r="AI7683" s="267"/>
    </row>
    <row r="7684" spans="35:35" x14ac:dyDescent="0.3">
      <c r="AI7684" s="267"/>
    </row>
    <row r="7685" spans="35:35" x14ac:dyDescent="0.3">
      <c r="AI7685" s="267"/>
    </row>
    <row r="7686" spans="35:35" x14ac:dyDescent="0.3">
      <c r="AI7686" s="267"/>
    </row>
    <row r="7687" spans="35:35" x14ac:dyDescent="0.3">
      <c r="AI7687" s="267"/>
    </row>
    <row r="7688" spans="35:35" x14ac:dyDescent="0.3">
      <c r="AI7688" s="267"/>
    </row>
    <row r="7689" spans="35:35" x14ac:dyDescent="0.3">
      <c r="AI7689" s="267"/>
    </row>
    <row r="7690" spans="35:35" x14ac:dyDescent="0.3">
      <c r="AI7690" s="267"/>
    </row>
    <row r="7691" spans="35:35" x14ac:dyDescent="0.3">
      <c r="AI7691" s="267"/>
    </row>
    <row r="7692" spans="35:35" x14ac:dyDescent="0.3">
      <c r="AI7692" s="267"/>
    </row>
    <row r="7693" spans="35:35" x14ac:dyDescent="0.3">
      <c r="AI7693" s="267"/>
    </row>
    <row r="7694" spans="35:35" x14ac:dyDescent="0.3">
      <c r="AI7694" s="267"/>
    </row>
    <row r="7695" spans="35:35" x14ac:dyDescent="0.3">
      <c r="AI7695" s="267"/>
    </row>
    <row r="7696" spans="35:35" x14ac:dyDescent="0.3">
      <c r="AI7696" s="267"/>
    </row>
    <row r="7697" spans="35:35" x14ac:dyDescent="0.3">
      <c r="AI7697" s="267"/>
    </row>
    <row r="7698" spans="35:35" x14ac:dyDescent="0.3">
      <c r="AI7698" s="267"/>
    </row>
    <row r="7699" spans="35:35" x14ac:dyDescent="0.3">
      <c r="AI7699" s="267"/>
    </row>
    <row r="7700" spans="35:35" x14ac:dyDescent="0.3">
      <c r="AI7700" s="267"/>
    </row>
    <row r="7701" spans="35:35" x14ac:dyDescent="0.3">
      <c r="AI7701" s="267"/>
    </row>
    <row r="7702" spans="35:35" x14ac:dyDescent="0.3">
      <c r="AI7702" s="267"/>
    </row>
    <row r="7703" spans="35:35" x14ac:dyDescent="0.3">
      <c r="AI7703" s="267"/>
    </row>
    <row r="7704" spans="35:35" x14ac:dyDescent="0.3">
      <c r="AI7704" s="267"/>
    </row>
    <row r="7705" spans="35:35" x14ac:dyDescent="0.3">
      <c r="AI7705" s="267"/>
    </row>
    <row r="7706" spans="35:35" x14ac:dyDescent="0.3">
      <c r="AI7706" s="267"/>
    </row>
    <row r="7707" spans="35:35" x14ac:dyDescent="0.3">
      <c r="AI7707" s="267"/>
    </row>
    <row r="7708" spans="35:35" x14ac:dyDescent="0.3">
      <c r="AI7708" s="267"/>
    </row>
    <row r="7709" spans="35:35" x14ac:dyDescent="0.3">
      <c r="AI7709" s="267"/>
    </row>
    <row r="7710" spans="35:35" x14ac:dyDescent="0.3">
      <c r="AI7710" s="267"/>
    </row>
    <row r="7711" spans="35:35" x14ac:dyDescent="0.3">
      <c r="AI7711" s="267"/>
    </row>
    <row r="7712" spans="35:35" x14ac:dyDescent="0.3">
      <c r="AI7712" s="267"/>
    </row>
    <row r="7713" spans="35:35" x14ac:dyDescent="0.3">
      <c r="AI7713" s="267"/>
    </row>
    <row r="7714" spans="35:35" x14ac:dyDescent="0.3">
      <c r="AI7714" s="267"/>
    </row>
    <row r="7715" spans="35:35" x14ac:dyDescent="0.3">
      <c r="AI7715" s="267"/>
    </row>
    <row r="7716" spans="35:35" x14ac:dyDescent="0.3">
      <c r="AI7716" s="267"/>
    </row>
    <row r="7717" spans="35:35" x14ac:dyDescent="0.3">
      <c r="AI7717" s="267"/>
    </row>
    <row r="7718" spans="35:35" x14ac:dyDescent="0.3">
      <c r="AI7718" s="267"/>
    </row>
    <row r="7719" spans="35:35" x14ac:dyDescent="0.3">
      <c r="AI7719" s="267"/>
    </row>
    <row r="7720" spans="35:35" x14ac:dyDescent="0.3">
      <c r="AI7720" s="267"/>
    </row>
    <row r="7721" spans="35:35" x14ac:dyDescent="0.3">
      <c r="AI7721" s="267"/>
    </row>
    <row r="7722" spans="35:35" x14ac:dyDescent="0.3">
      <c r="AI7722" s="267"/>
    </row>
    <row r="7723" spans="35:35" x14ac:dyDescent="0.3">
      <c r="AI7723" s="267"/>
    </row>
    <row r="7724" spans="35:35" x14ac:dyDescent="0.3">
      <c r="AI7724" s="267"/>
    </row>
    <row r="7725" spans="35:35" x14ac:dyDescent="0.3">
      <c r="AI7725" s="267"/>
    </row>
    <row r="7726" spans="35:35" x14ac:dyDescent="0.3">
      <c r="AI7726" s="267"/>
    </row>
    <row r="7727" spans="35:35" x14ac:dyDescent="0.3">
      <c r="AI7727" s="267"/>
    </row>
    <row r="7728" spans="35:35" x14ac:dyDescent="0.3">
      <c r="AI7728" s="267"/>
    </row>
    <row r="7729" spans="35:35" x14ac:dyDescent="0.3">
      <c r="AI7729" s="267"/>
    </row>
    <row r="7730" spans="35:35" x14ac:dyDescent="0.3">
      <c r="AI7730" s="267"/>
    </row>
    <row r="7731" spans="35:35" x14ac:dyDescent="0.3">
      <c r="AI7731" s="267"/>
    </row>
    <row r="7732" spans="35:35" x14ac:dyDescent="0.3">
      <c r="AI7732" s="267"/>
    </row>
    <row r="7733" spans="35:35" x14ac:dyDescent="0.3">
      <c r="AI7733" s="267"/>
    </row>
    <row r="7734" spans="35:35" x14ac:dyDescent="0.3">
      <c r="AI7734" s="267"/>
    </row>
    <row r="7735" spans="35:35" x14ac:dyDescent="0.3">
      <c r="AI7735" s="267"/>
    </row>
    <row r="7736" spans="35:35" x14ac:dyDescent="0.3">
      <c r="AI7736" s="267"/>
    </row>
    <row r="7737" spans="35:35" x14ac:dyDescent="0.3">
      <c r="AI7737" s="267"/>
    </row>
    <row r="7738" spans="35:35" x14ac:dyDescent="0.3">
      <c r="AI7738" s="267"/>
    </row>
    <row r="7739" spans="35:35" x14ac:dyDescent="0.3">
      <c r="AI7739" s="267"/>
    </row>
    <row r="7740" spans="35:35" x14ac:dyDescent="0.3">
      <c r="AI7740" s="267"/>
    </row>
    <row r="7741" spans="35:35" x14ac:dyDescent="0.3">
      <c r="AI7741" s="267"/>
    </row>
    <row r="7742" spans="35:35" x14ac:dyDescent="0.3">
      <c r="AI7742" s="267"/>
    </row>
    <row r="7743" spans="35:35" x14ac:dyDescent="0.3">
      <c r="AI7743" s="267"/>
    </row>
    <row r="7744" spans="35:35" x14ac:dyDescent="0.3">
      <c r="AI7744" s="267"/>
    </row>
    <row r="7745" spans="35:35" x14ac:dyDescent="0.3">
      <c r="AI7745" s="267"/>
    </row>
    <row r="7746" spans="35:35" x14ac:dyDescent="0.3">
      <c r="AI7746" s="267"/>
    </row>
    <row r="7747" spans="35:35" x14ac:dyDescent="0.3">
      <c r="AI7747" s="267"/>
    </row>
    <row r="7748" spans="35:35" x14ac:dyDescent="0.3">
      <c r="AI7748" s="267"/>
    </row>
    <row r="7749" spans="35:35" x14ac:dyDescent="0.3">
      <c r="AI7749" s="267"/>
    </row>
    <row r="7750" spans="35:35" x14ac:dyDescent="0.3">
      <c r="AI7750" s="267"/>
    </row>
    <row r="7751" spans="35:35" x14ac:dyDescent="0.3">
      <c r="AI7751" s="267"/>
    </row>
    <row r="7752" spans="35:35" x14ac:dyDescent="0.3">
      <c r="AI7752" s="267"/>
    </row>
    <row r="7753" spans="35:35" x14ac:dyDescent="0.3">
      <c r="AI7753" s="267"/>
    </row>
    <row r="7754" spans="35:35" x14ac:dyDescent="0.3">
      <c r="AI7754" s="267"/>
    </row>
    <row r="7755" spans="35:35" x14ac:dyDescent="0.3">
      <c r="AI7755" s="267"/>
    </row>
    <row r="7756" spans="35:35" x14ac:dyDescent="0.3">
      <c r="AI7756" s="267"/>
    </row>
    <row r="7757" spans="35:35" x14ac:dyDescent="0.3">
      <c r="AI7757" s="267"/>
    </row>
    <row r="7758" spans="35:35" x14ac:dyDescent="0.3">
      <c r="AI7758" s="267"/>
    </row>
    <row r="7759" spans="35:35" x14ac:dyDescent="0.3">
      <c r="AI7759" s="267"/>
    </row>
    <row r="7760" spans="35:35" x14ac:dyDescent="0.3">
      <c r="AI7760" s="267"/>
    </row>
    <row r="7761" spans="35:35" x14ac:dyDescent="0.3">
      <c r="AI7761" s="267"/>
    </row>
    <row r="7762" spans="35:35" x14ac:dyDescent="0.3">
      <c r="AI7762" s="267"/>
    </row>
    <row r="7763" spans="35:35" x14ac:dyDescent="0.3">
      <c r="AI7763" s="267"/>
    </row>
    <row r="7764" spans="35:35" x14ac:dyDescent="0.3">
      <c r="AI7764" s="267"/>
    </row>
    <row r="7765" spans="35:35" x14ac:dyDescent="0.3">
      <c r="AI7765" s="267"/>
    </row>
    <row r="7766" spans="35:35" x14ac:dyDescent="0.3">
      <c r="AI7766" s="267"/>
    </row>
    <row r="7767" spans="35:35" x14ac:dyDescent="0.3">
      <c r="AI7767" s="267"/>
    </row>
    <row r="7768" spans="35:35" x14ac:dyDescent="0.3">
      <c r="AI7768" s="267"/>
    </row>
    <row r="7769" spans="35:35" x14ac:dyDescent="0.3">
      <c r="AI7769" s="267"/>
    </row>
    <row r="7770" spans="35:35" x14ac:dyDescent="0.3">
      <c r="AI7770" s="267"/>
    </row>
    <row r="7771" spans="35:35" x14ac:dyDescent="0.3">
      <c r="AI7771" s="267"/>
    </row>
    <row r="7772" spans="35:35" x14ac:dyDescent="0.3">
      <c r="AI7772" s="267"/>
    </row>
    <row r="7773" spans="35:35" x14ac:dyDescent="0.3">
      <c r="AI7773" s="267"/>
    </row>
    <row r="7774" spans="35:35" x14ac:dyDescent="0.3">
      <c r="AI7774" s="267"/>
    </row>
    <row r="7775" spans="35:35" x14ac:dyDescent="0.3">
      <c r="AI7775" s="267"/>
    </row>
    <row r="7776" spans="35:35" x14ac:dyDescent="0.3">
      <c r="AI7776" s="267"/>
    </row>
    <row r="7777" spans="35:35" x14ac:dyDescent="0.3">
      <c r="AI7777" s="267"/>
    </row>
    <row r="7778" spans="35:35" x14ac:dyDescent="0.3">
      <c r="AI7778" s="267"/>
    </row>
    <row r="7779" spans="35:35" x14ac:dyDescent="0.3">
      <c r="AI7779" s="267"/>
    </row>
    <row r="7780" spans="35:35" x14ac:dyDescent="0.3">
      <c r="AI7780" s="267"/>
    </row>
    <row r="7781" spans="35:35" x14ac:dyDescent="0.3">
      <c r="AI7781" s="267"/>
    </row>
    <row r="7782" spans="35:35" x14ac:dyDescent="0.3">
      <c r="AI7782" s="267"/>
    </row>
    <row r="7783" spans="35:35" x14ac:dyDescent="0.3">
      <c r="AI7783" s="267"/>
    </row>
    <row r="7784" spans="35:35" x14ac:dyDescent="0.3">
      <c r="AI7784" s="267"/>
    </row>
    <row r="7785" spans="35:35" x14ac:dyDescent="0.3">
      <c r="AI7785" s="267"/>
    </row>
    <row r="7786" spans="35:35" x14ac:dyDescent="0.3">
      <c r="AI7786" s="267"/>
    </row>
    <row r="7787" spans="35:35" x14ac:dyDescent="0.3">
      <c r="AI7787" s="267"/>
    </row>
    <row r="7788" spans="35:35" x14ac:dyDescent="0.3">
      <c r="AI7788" s="267"/>
    </row>
    <row r="7789" spans="35:35" x14ac:dyDescent="0.3">
      <c r="AI7789" s="267"/>
    </row>
    <row r="7790" spans="35:35" x14ac:dyDescent="0.3">
      <c r="AI7790" s="267"/>
    </row>
    <row r="7791" spans="35:35" x14ac:dyDescent="0.3">
      <c r="AI7791" s="267"/>
    </row>
    <row r="7792" spans="35:35" x14ac:dyDescent="0.3">
      <c r="AI7792" s="267"/>
    </row>
    <row r="7793" spans="35:35" x14ac:dyDescent="0.3">
      <c r="AI7793" s="267"/>
    </row>
    <row r="7794" spans="35:35" x14ac:dyDescent="0.3">
      <c r="AI7794" s="267"/>
    </row>
    <row r="7795" spans="35:35" x14ac:dyDescent="0.3">
      <c r="AI7795" s="267"/>
    </row>
    <row r="7796" spans="35:35" x14ac:dyDescent="0.3">
      <c r="AI7796" s="267"/>
    </row>
    <row r="7797" spans="35:35" x14ac:dyDescent="0.3">
      <c r="AI7797" s="267"/>
    </row>
    <row r="7798" spans="35:35" x14ac:dyDescent="0.3">
      <c r="AI7798" s="267"/>
    </row>
    <row r="7799" spans="35:35" x14ac:dyDescent="0.3">
      <c r="AI7799" s="267"/>
    </row>
    <row r="7800" spans="35:35" x14ac:dyDescent="0.3">
      <c r="AI7800" s="267"/>
    </row>
    <row r="7801" spans="35:35" x14ac:dyDescent="0.3">
      <c r="AI7801" s="267"/>
    </row>
    <row r="7802" spans="35:35" x14ac:dyDescent="0.3">
      <c r="AI7802" s="267"/>
    </row>
    <row r="7803" spans="35:35" x14ac:dyDescent="0.3">
      <c r="AI7803" s="267"/>
    </row>
    <row r="7804" spans="35:35" x14ac:dyDescent="0.3">
      <c r="AI7804" s="267"/>
    </row>
    <row r="7805" spans="35:35" x14ac:dyDescent="0.3">
      <c r="AI7805" s="267"/>
    </row>
    <row r="7806" spans="35:35" x14ac:dyDescent="0.3">
      <c r="AI7806" s="267"/>
    </row>
    <row r="7807" spans="35:35" x14ac:dyDescent="0.3">
      <c r="AI7807" s="267"/>
    </row>
    <row r="7808" spans="35:35" x14ac:dyDescent="0.3">
      <c r="AI7808" s="267"/>
    </row>
    <row r="7809" spans="35:35" x14ac:dyDescent="0.3">
      <c r="AI7809" s="267"/>
    </row>
    <row r="7810" spans="35:35" x14ac:dyDescent="0.3">
      <c r="AI7810" s="267"/>
    </row>
    <row r="7811" spans="35:35" x14ac:dyDescent="0.3">
      <c r="AI7811" s="267"/>
    </row>
    <row r="7812" spans="35:35" x14ac:dyDescent="0.3">
      <c r="AI7812" s="267"/>
    </row>
    <row r="7813" spans="35:35" x14ac:dyDescent="0.3">
      <c r="AI7813" s="267"/>
    </row>
    <row r="7814" spans="35:35" x14ac:dyDescent="0.3">
      <c r="AI7814" s="267"/>
    </row>
    <row r="7815" spans="35:35" x14ac:dyDescent="0.3">
      <c r="AI7815" s="267"/>
    </row>
    <row r="7816" spans="35:35" x14ac:dyDescent="0.3">
      <c r="AI7816" s="267"/>
    </row>
    <row r="7817" spans="35:35" x14ac:dyDescent="0.3">
      <c r="AI7817" s="267"/>
    </row>
    <row r="7818" spans="35:35" x14ac:dyDescent="0.3">
      <c r="AI7818" s="267"/>
    </row>
    <row r="7819" spans="35:35" x14ac:dyDescent="0.3">
      <c r="AI7819" s="267"/>
    </row>
    <row r="7820" spans="35:35" x14ac:dyDescent="0.3">
      <c r="AI7820" s="267"/>
    </row>
    <row r="7821" spans="35:35" x14ac:dyDescent="0.3">
      <c r="AI7821" s="267"/>
    </row>
    <row r="7822" spans="35:35" x14ac:dyDescent="0.3">
      <c r="AI7822" s="267"/>
    </row>
    <row r="7823" spans="35:35" x14ac:dyDescent="0.3">
      <c r="AI7823" s="267"/>
    </row>
  </sheetData>
  <sheetProtection sort="0" autoFilter="0"/>
  <autoFilter ref="A4:BX1545" xr:uid="{617C4681-44E1-4826-AED9-CD592AF580BC}"/>
  <mergeCells count="15">
    <mergeCell ref="BD3:BG3"/>
    <mergeCell ref="BB3:BB4"/>
    <mergeCell ref="AK3:AM3"/>
    <mergeCell ref="G3:H3"/>
    <mergeCell ref="AN3:AP3"/>
    <mergeCell ref="AQ3:AS3"/>
    <mergeCell ref="T3:AB3"/>
    <mergeCell ref="N3:P3"/>
    <mergeCell ref="AU3:BA3"/>
    <mergeCell ref="A1:XFD2"/>
    <mergeCell ref="BS279:BS280"/>
    <mergeCell ref="BT279:BV279"/>
    <mergeCell ref="BW279:BX279"/>
    <mergeCell ref="BW285:BX285"/>
    <mergeCell ref="BW287:BX287"/>
  </mergeCells>
  <phoneticPr fontId="2" type="noConversion"/>
  <conditionalFormatting sqref="A1553:BC2060 A1551:AC1552 AE1551:BC1552 A1369:E1370 G1369:BC1370 A6:BC1368 A1371:BC1550">
    <cfRule type="expression" dxfId="51" priority="28" stopIfTrue="1">
      <formula>$AJ6="Finish"</formula>
    </cfRule>
    <cfRule type="expression" dxfId="50" priority="30">
      <formula>$AJ6="Purchasing"</formula>
    </cfRule>
    <cfRule type="expression" dxfId="49" priority="31">
      <formula>$AJ6="Stop"</formula>
    </cfRule>
    <cfRule type="expression" dxfId="48" priority="32">
      <formula>$AJ6="Setting"</formula>
    </cfRule>
    <cfRule type="expression" dxfId="47" priority="33">
      <formula>$AJ6="Testing"</formula>
    </cfRule>
    <cfRule type="expression" dxfId="46" priority="34">
      <formula>$AJ6="Waiting"</formula>
    </cfRule>
    <cfRule type="expression" dxfId="45" priority="35">
      <formula>$AJ6="Assembling"</formula>
    </cfRule>
  </conditionalFormatting>
  <conditionalFormatting sqref="K684:K685">
    <cfRule type="expression" dxfId="44" priority="640" stopIfTrue="1">
      <formula>$AJ682="Finish"</formula>
    </cfRule>
    <cfRule type="expression" dxfId="43" priority="641">
      <formula>$AJ682="Purchasing"</formula>
    </cfRule>
    <cfRule type="expression" dxfId="42" priority="642">
      <formula>$AJ682="Stop"</formula>
    </cfRule>
    <cfRule type="expression" dxfId="41" priority="643">
      <formula>$AJ682="Setting"</formula>
    </cfRule>
    <cfRule type="expression" dxfId="40" priority="644">
      <formula>$AJ682="Testing"</formula>
    </cfRule>
    <cfRule type="expression" dxfId="39" priority="645">
      <formula>$AJ682="Waiting"</formula>
    </cfRule>
    <cfRule type="expression" dxfId="38" priority="646">
      <formula>$AJ682="Assembling"</formula>
    </cfRule>
  </conditionalFormatting>
  <conditionalFormatting sqref="B6:B2060">
    <cfRule type="duplicateValues" dxfId="37" priority="662" stopIfTrue="1"/>
  </conditionalFormatting>
  <conditionalFormatting sqref="AD1551 F1369">
    <cfRule type="expression" dxfId="36" priority="682" stopIfTrue="1">
      <formula>$AJ1370="Finish"</formula>
    </cfRule>
    <cfRule type="expression" dxfId="35" priority="683">
      <formula>$AJ1370="Purchasing"</formula>
    </cfRule>
    <cfRule type="expression" dxfId="34" priority="684">
      <formula>$AJ1370="Stop"</formula>
    </cfRule>
    <cfRule type="expression" dxfId="33" priority="685">
      <formula>$AJ1370="Setting"</formula>
    </cfRule>
    <cfRule type="expression" dxfId="32" priority="686">
      <formula>$AJ1370="Testing"</formula>
    </cfRule>
    <cfRule type="expression" dxfId="31" priority="687">
      <formula>$AJ1370="Waiting"</formula>
    </cfRule>
    <cfRule type="expression" dxfId="30" priority="688">
      <formula>$AJ1370="Assembling"</formula>
    </cfRule>
  </conditionalFormatting>
  <dataValidations count="4">
    <dataValidation type="list" allowBlank="1" showInputMessage="1" showErrorMessage="1" sqref="N17:N79 N160:N164" xr:uid="{58608C7C-0F74-4D73-AC39-1DED9BF517BB}">
      <formula1>$BI$18:$BI$20</formula1>
    </dataValidation>
    <dataValidation type="list" allowBlank="1" showInputMessage="1" showErrorMessage="1" sqref="L135 M4:M134 M136:M1048576" xr:uid="{BFAA21E7-3732-480B-922B-182F1F824AB6}">
      <formula1>$BI$3:$BI$4</formula1>
    </dataValidation>
    <dataValidation type="list" allowBlank="1" showInputMessage="1" showErrorMessage="1" sqref="AM11709:AM1048576 AM3:AM5" xr:uid="{AF652E4A-F2D8-4525-9A54-C508CDF705C4}">
      <formula1>"A1, A2, A3"</formula1>
    </dataValidation>
    <dataValidation type="list" allowBlank="1" showInputMessage="1" showErrorMessage="1" sqref="AN853:AS853 AM6:AM11708" xr:uid="{4DC98139-EFAF-4992-9139-7684DE3170B2}">
      <formula1>"A1,A2,A3,A4,A5"</formula1>
    </dataValidation>
  </dataValidations>
  <printOptions horizontalCentered="1"/>
  <pageMargins left="0.31496062992125984" right="0.31496062992125984" top="0.35433070866141736" bottom="0.35433070866141736" header="0.31496062992125984" footer="0.31496062992125984"/>
  <pageSetup paperSize="8" scale="10" orientation="portrait" r:id="rId1"/>
  <rowBreaks count="2" manualBreakCount="2">
    <brk id="135" max="16383" man="1"/>
    <brk id="169" max="16383" man="1"/>
  </rowBreaks>
  <colBreaks count="1" manualBreakCount="1">
    <brk id="53" max="1048575" man="1"/>
  </colBreak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FEBA8D73-8DCF-45EA-A065-18B924799736}">
          <x14:formula1>
            <xm:f>#REF!</xm:f>
          </x14:formula1>
          <xm:sqref>AL1546:AL1048576 AL3:AL5</xm:sqref>
        </x14:dataValidation>
        <x14:dataValidation type="list" allowBlank="1" showInputMessage="1" showErrorMessage="1" xr:uid="{2EA44C22-41F4-416E-93E5-E75684C801E5}">
          <x14:formula1>
            <xm:f>#REF!</xm:f>
          </x14:formula1>
          <xm:sqref>AK3:AK1048576</xm:sqref>
        </x14:dataValidation>
        <x14:dataValidation type="list" allowBlank="1" showInputMessage="1" showErrorMessage="1" xr:uid="{EA00C4BD-71CA-4E2B-8284-8BA4587C8C3B}">
          <x14:formula1>
            <xm:f>#REF!</xm:f>
          </x14:formula1>
          <xm:sqref>AL6:AL1545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E5E5-C4D6-45F0-8C32-B9E425072481}">
  <sheetPr codeName="Sheet18"/>
  <dimension ref="B2:N30"/>
  <sheetViews>
    <sheetView topLeftCell="A14" zoomScale="85" zoomScaleNormal="85" workbookViewId="0">
      <selection activeCell="I11" sqref="I11:I14"/>
    </sheetView>
  </sheetViews>
  <sheetFormatPr defaultRowHeight="14.4" x14ac:dyDescent="0.3"/>
  <cols>
    <col min="6" max="7" width="5.6640625" customWidth="1"/>
    <col min="10" max="10" width="11.33203125" customWidth="1"/>
  </cols>
  <sheetData>
    <row r="2" spans="3:14" x14ac:dyDescent="0.3">
      <c r="J2" s="280"/>
      <c r="K2" s="280"/>
      <c r="L2" s="280"/>
      <c r="M2" s="280"/>
      <c r="N2" s="280"/>
    </row>
    <row r="3" spans="3:14" x14ac:dyDescent="0.3">
      <c r="J3" s="280"/>
      <c r="K3" s="280"/>
      <c r="L3" s="280"/>
      <c r="M3" s="280"/>
      <c r="N3" s="280"/>
    </row>
    <row r="4" spans="3:14" x14ac:dyDescent="0.3">
      <c r="J4" s="280"/>
      <c r="K4" s="280"/>
      <c r="L4" s="280"/>
      <c r="M4" s="280"/>
      <c r="N4" s="280"/>
    </row>
    <row r="5" spans="3:14" ht="46.95" customHeight="1" x14ac:dyDescent="0.3">
      <c r="E5" s="280"/>
      <c r="F5" s="280"/>
      <c r="G5" s="280"/>
      <c r="H5" s="280"/>
      <c r="I5" s="280"/>
      <c r="J5" s="280"/>
      <c r="K5" s="281" t="s">
        <v>4057</v>
      </c>
    </row>
    <row r="6" spans="3:14" x14ac:dyDescent="0.3">
      <c r="C6" s="280"/>
      <c r="D6" s="280"/>
      <c r="E6" s="280"/>
      <c r="F6" s="280"/>
    </row>
    <row r="7" spans="3:14" ht="18" customHeight="1" x14ac:dyDescent="0.3">
      <c r="C7" s="280"/>
      <c r="D7" s="280"/>
      <c r="E7" s="280"/>
      <c r="F7" s="280"/>
      <c r="H7" s="398" t="s">
        <v>295</v>
      </c>
      <c r="I7" s="398" t="s">
        <v>162</v>
      </c>
      <c r="J7" s="7"/>
      <c r="K7" s="400" t="s">
        <v>4058</v>
      </c>
      <c r="L7" s="400" t="s">
        <v>4056</v>
      </c>
    </row>
    <row r="8" spans="3:14" ht="18" customHeight="1" x14ac:dyDescent="0.3">
      <c r="C8" s="280"/>
      <c r="D8" s="280"/>
      <c r="E8" s="280"/>
      <c r="F8" s="280"/>
      <c r="H8" s="398"/>
      <c r="I8" s="398"/>
      <c r="J8" s="7"/>
      <c r="K8" s="400"/>
      <c r="L8" s="400"/>
    </row>
    <row r="9" spans="3:14" ht="18" customHeight="1" x14ac:dyDescent="0.3">
      <c r="C9" s="280"/>
      <c r="H9" s="398"/>
      <c r="I9" s="398"/>
      <c r="J9" s="7"/>
      <c r="K9" s="400"/>
      <c r="L9" s="400"/>
    </row>
    <row r="10" spans="3:14" ht="18" customHeight="1" x14ac:dyDescent="0.3">
      <c r="C10" s="280"/>
      <c r="H10" s="398"/>
      <c r="I10" s="398"/>
      <c r="J10" s="7"/>
      <c r="K10" s="400"/>
      <c r="L10" s="400"/>
    </row>
    <row r="11" spans="3:14" ht="18" customHeight="1" x14ac:dyDescent="0.3">
      <c r="C11" s="280"/>
      <c r="D11" s="398"/>
      <c r="E11" s="398" t="s">
        <v>154</v>
      </c>
      <c r="H11" s="401" t="s">
        <v>4059</v>
      </c>
      <c r="I11" s="398" t="s">
        <v>294</v>
      </c>
      <c r="J11" s="7"/>
      <c r="K11" s="398" t="s">
        <v>1050</v>
      </c>
      <c r="L11" s="398" t="s">
        <v>132</v>
      </c>
    </row>
    <row r="12" spans="3:14" ht="18" customHeight="1" x14ac:dyDescent="0.3">
      <c r="C12" s="280"/>
      <c r="D12" s="398"/>
      <c r="E12" s="398"/>
      <c r="H12" s="402"/>
      <c r="I12" s="398"/>
      <c r="J12" s="7"/>
      <c r="K12" s="398"/>
      <c r="L12" s="398"/>
    </row>
    <row r="13" spans="3:14" ht="18" customHeight="1" x14ac:dyDescent="0.3">
      <c r="C13" s="280"/>
      <c r="D13" s="398"/>
      <c r="E13" s="398"/>
      <c r="H13" s="402"/>
      <c r="I13" s="398"/>
      <c r="J13" s="7"/>
      <c r="K13" s="398"/>
      <c r="L13" s="398"/>
    </row>
    <row r="14" spans="3:14" ht="18" customHeight="1" x14ac:dyDescent="0.3">
      <c r="C14" s="280"/>
      <c r="D14" s="398"/>
      <c r="E14" s="398"/>
      <c r="H14" s="403"/>
      <c r="I14" s="398"/>
      <c r="J14" s="7"/>
      <c r="K14" s="398"/>
      <c r="L14" s="398"/>
    </row>
    <row r="15" spans="3:14" ht="18" customHeight="1" x14ac:dyDescent="0.3">
      <c r="C15" s="280"/>
      <c r="D15" s="398" t="s">
        <v>4060</v>
      </c>
      <c r="E15" s="398" t="s">
        <v>183</v>
      </c>
      <c r="H15" s="398" t="s">
        <v>4061</v>
      </c>
      <c r="I15" s="398" t="s">
        <v>1640</v>
      </c>
      <c r="J15" s="7"/>
      <c r="K15" s="398" t="s">
        <v>4062</v>
      </c>
      <c r="L15" s="398" t="s">
        <v>4063</v>
      </c>
    </row>
    <row r="16" spans="3:14" ht="18" customHeight="1" x14ac:dyDescent="0.3">
      <c r="C16" s="280"/>
      <c r="D16" s="398"/>
      <c r="E16" s="398"/>
      <c r="H16" s="398"/>
      <c r="I16" s="398"/>
      <c r="J16" s="7"/>
      <c r="K16" s="398"/>
      <c r="L16" s="398"/>
    </row>
    <row r="17" spans="2:12" ht="18" customHeight="1" x14ac:dyDescent="0.3">
      <c r="D17" s="398"/>
      <c r="E17" s="398"/>
      <c r="H17" s="398"/>
      <c r="I17" s="398"/>
      <c r="J17" s="7"/>
      <c r="K17" s="398"/>
      <c r="L17" s="398"/>
    </row>
    <row r="18" spans="2:12" ht="18" customHeight="1" x14ac:dyDescent="0.3">
      <c r="D18" s="398"/>
      <c r="E18" s="398"/>
      <c r="H18" s="398"/>
      <c r="I18" s="398"/>
      <c r="J18" s="7"/>
      <c r="K18" s="398"/>
      <c r="L18" s="398"/>
    </row>
    <row r="19" spans="2:12" ht="18" customHeight="1" x14ac:dyDescent="0.3">
      <c r="B19" s="398" t="s">
        <v>4064</v>
      </c>
      <c r="D19" s="398" t="s">
        <v>4065</v>
      </c>
      <c r="E19" s="398" t="s">
        <v>4066</v>
      </c>
      <c r="H19" s="398" t="s">
        <v>4067</v>
      </c>
      <c r="I19" s="398" t="s">
        <v>1064</v>
      </c>
      <c r="J19" s="7"/>
      <c r="K19" s="398" t="s">
        <v>265</v>
      </c>
      <c r="L19" s="398" t="s">
        <v>166</v>
      </c>
    </row>
    <row r="20" spans="2:12" ht="18" customHeight="1" x14ac:dyDescent="0.3">
      <c r="B20" s="398"/>
      <c r="D20" s="398"/>
      <c r="E20" s="398"/>
      <c r="H20" s="398"/>
      <c r="I20" s="398"/>
      <c r="J20" s="7"/>
      <c r="K20" s="398"/>
      <c r="L20" s="398"/>
    </row>
    <row r="21" spans="2:12" ht="18" customHeight="1" x14ac:dyDescent="0.3">
      <c r="B21" s="398"/>
      <c r="D21" s="398"/>
      <c r="E21" s="398"/>
      <c r="H21" s="398"/>
      <c r="I21" s="398"/>
      <c r="J21" s="7"/>
      <c r="K21" s="398"/>
      <c r="L21" s="398"/>
    </row>
    <row r="22" spans="2:12" ht="18" customHeight="1" x14ac:dyDescent="0.3">
      <c r="B22" s="398"/>
      <c r="D22" s="398"/>
      <c r="E22" s="398"/>
      <c r="H22" s="398"/>
      <c r="I22" s="398"/>
      <c r="J22" s="7"/>
      <c r="K22" s="398"/>
      <c r="L22" s="398"/>
    </row>
    <row r="23" spans="2:12" ht="18" customHeight="1" x14ac:dyDescent="0.3">
      <c r="D23" s="398" t="s">
        <v>4068</v>
      </c>
      <c r="E23" s="398" t="s">
        <v>4069</v>
      </c>
      <c r="H23" s="398" t="s">
        <v>4049</v>
      </c>
      <c r="I23" s="398" t="s">
        <v>4053</v>
      </c>
      <c r="J23" s="7"/>
      <c r="K23" s="398" t="s">
        <v>4051</v>
      </c>
      <c r="L23" s="398" t="s">
        <v>200</v>
      </c>
    </row>
    <row r="24" spans="2:12" ht="18" customHeight="1" x14ac:dyDescent="0.3">
      <c r="B24" s="401" t="s">
        <v>4070</v>
      </c>
      <c r="D24" s="398"/>
      <c r="E24" s="398"/>
      <c r="H24" s="398"/>
      <c r="I24" s="398"/>
      <c r="J24" s="7"/>
      <c r="K24" s="398"/>
      <c r="L24" s="398"/>
    </row>
    <row r="25" spans="2:12" ht="18" customHeight="1" x14ac:dyDescent="0.3">
      <c r="B25" s="402"/>
      <c r="D25" s="398"/>
      <c r="E25" s="398"/>
      <c r="H25" s="398"/>
      <c r="I25" s="398"/>
      <c r="J25" s="7"/>
      <c r="K25" s="398"/>
      <c r="L25" s="398"/>
    </row>
    <row r="26" spans="2:12" ht="18" customHeight="1" x14ac:dyDescent="0.3">
      <c r="B26" s="402"/>
      <c r="D26" s="398"/>
      <c r="E26" s="398"/>
      <c r="H26" s="398"/>
      <c r="I26" s="398"/>
      <c r="J26" s="7"/>
      <c r="K26" s="398"/>
      <c r="L26" s="398"/>
    </row>
    <row r="27" spans="2:12" x14ac:dyDescent="0.3">
      <c r="B27" s="403"/>
      <c r="D27" s="398" t="s">
        <v>133</v>
      </c>
      <c r="E27" s="400" t="s">
        <v>4052</v>
      </c>
      <c r="H27" s="399" t="s">
        <v>4050</v>
      </c>
      <c r="I27" s="399"/>
    </row>
    <row r="28" spans="2:12" x14ac:dyDescent="0.3">
      <c r="D28" s="398"/>
      <c r="E28" s="400"/>
      <c r="H28" s="399"/>
      <c r="I28" s="399"/>
    </row>
    <row r="29" spans="2:12" x14ac:dyDescent="0.3">
      <c r="D29" s="398"/>
      <c r="E29" s="400"/>
      <c r="H29" s="399"/>
      <c r="I29" s="399"/>
    </row>
    <row r="30" spans="2:12" x14ac:dyDescent="0.3">
      <c r="D30" s="398"/>
      <c r="E30" s="400"/>
    </row>
  </sheetData>
  <mergeCells count="33">
    <mergeCell ref="K23:K26"/>
    <mergeCell ref="L23:L26"/>
    <mergeCell ref="K7:K10"/>
    <mergeCell ref="L7:L10"/>
    <mergeCell ref="K11:K14"/>
    <mergeCell ref="L11:L14"/>
    <mergeCell ref="K15:K18"/>
    <mergeCell ref="L15:L18"/>
    <mergeCell ref="K19:K22"/>
    <mergeCell ref="L19:L22"/>
    <mergeCell ref="I7:I10"/>
    <mergeCell ref="B19:B22"/>
    <mergeCell ref="H19:H22"/>
    <mergeCell ref="H7:H10"/>
    <mergeCell ref="H23:H26"/>
    <mergeCell ref="H15:H18"/>
    <mergeCell ref="E19:E22"/>
    <mergeCell ref="I11:I14"/>
    <mergeCell ref="I15:I18"/>
    <mergeCell ref="I19:I22"/>
    <mergeCell ref="I23:I26"/>
    <mergeCell ref="D23:D26"/>
    <mergeCell ref="H11:H14"/>
    <mergeCell ref="E11:E14"/>
    <mergeCell ref="B24:B27"/>
    <mergeCell ref="D19:D22"/>
    <mergeCell ref="H27:I29"/>
    <mergeCell ref="E15:E18"/>
    <mergeCell ref="D11:D14"/>
    <mergeCell ref="D15:D18"/>
    <mergeCell ref="D27:D30"/>
    <mergeCell ref="E23:E26"/>
    <mergeCell ref="E27:E3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0D6D5-3948-4C87-811A-B445841DBACD}">
  <sheetPr codeName="Sheet16"/>
  <dimension ref="B2:E89"/>
  <sheetViews>
    <sheetView view="pageBreakPreview" zoomScale="60" zoomScaleNormal="100" workbookViewId="0">
      <selection activeCell="M88" sqref="M88"/>
    </sheetView>
  </sheetViews>
  <sheetFormatPr defaultColWidth="8.88671875" defaultRowHeight="15" x14ac:dyDescent="0.3"/>
  <cols>
    <col min="1" max="1" width="2.109375" style="20" customWidth="1"/>
    <col min="2" max="2" width="16.5546875" style="20" customWidth="1"/>
    <col min="3" max="3" width="18.33203125" style="20" customWidth="1"/>
    <col min="4" max="4" width="69.6640625" style="254" customWidth="1"/>
    <col min="5" max="5" width="27" style="20" customWidth="1"/>
    <col min="6" max="16384" width="8.88671875" style="20"/>
  </cols>
  <sheetData>
    <row r="2" spans="2:5" ht="30" x14ac:dyDescent="0.3">
      <c r="B2" s="90" t="s">
        <v>807</v>
      </c>
      <c r="C2" s="92" t="s">
        <v>811</v>
      </c>
      <c r="D2" s="255" t="s">
        <v>813</v>
      </c>
      <c r="E2" s="42" t="s">
        <v>814</v>
      </c>
    </row>
    <row r="3" spans="2:5" ht="30" x14ac:dyDescent="0.3">
      <c r="B3" s="90" t="s">
        <v>817</v>
      </c>
      <c r="C3" s="92" t="s">
        <v>811</v>
      </c>
      <c r="D3" s="255" t="s">
        <v>818</v>
      </c>
      <c r="E3" s="42" t="s">
        <v>819</v>
      </c>
    </row>
    <row r="4" spans="2:5" ht="30" x14ac:dyDescent="0.3">
      <c r="B4" s="90" t="s">
        <v>821</v>
      </c>
      <c r="C4" s="92" t="s">
        <v>606</v>
      </c>
      <c r="D4" s="255" t="s">
        <v>822</v>
      </c>
      <c r="E4" s="42" t="s">
        <v>814</v>
      </c>
    </row>
    <row r="5" spans="2:5" ht="30" x14ac:dyDescent="0.3">
      <c r="B5" s="90" t="s">
        <v>824</v>
      </c>
      <c r="C5" s="92" t="s">
        <v>606</v>
      </c>
      <c r="D5" s="255" t="s">
        <v>825</v>
      </c>
      <c r="E5" s="42" t="s">
        <v>819</v>
      </c>
    </row>
    <row r="6" spans="2:5" ht="45" x14ac:dyDescent="0.3">
      <c r="B6" s="90" t="s">
        <v>826</v>
      </c>
      <c r="C6" s="92" t="s">
        <v>827</v>
      </c>
      <c r="D6" s="255" t="s">
        <v>4071</v>
      </c>
      <c r="E6" s="42" t="s">
        <v>1662</v>
      </c>
    </row>
    <row r="7" spans="2:5" ht="45" x14ac:dyDescent="0.3">
      <c r="B7" s="90" t="s">
        <v>832</v>
      </c>
      <c r="C7" s="92" t="s">
        <v>827</v>
      </c>
      <c r="D7" s="255" t="s">
        <v>833</v>
      </c>
      <c r="E7" s="42" t="s">
        <v>819</v>
      </c>
    </row>
    <row r="8" spans="2:5" ht="30" x14ac:dyDescent="0.3">
      <c r="B8" s="90" t="s">
        <v>834</v>
      </c>
      <c r="C8" s="92" t="s">
        <v>836</v>
      </c>
      <c r="D8" s="255" t="s">
        <v>837</v>
      </c>
      <c r="E8" s="42" t="s">
        <v>814</v>
      </c>
    </row>
    <row r="9" spans="2:5" ht="30" x14ac:dyDescent="0.3">
      <c r="B9" s="90" t="s">
        <v>838</v>
      </c>
      <c r="C9" s="92" t="s">
        <v>836</v>
      </c>
      <c r="D9" s="255" t="s">
        <v>839</v>
      </c>
      <c r="E9" s="42" t="s">
        <v>819</v>
      </c>
    </row>
    <row r="10" spans="2:5" ht="30" x14ac:dyDescent="0.3">
      <c r="B10" s="90" t="s">
        <v>840</v>
      </c>
      <c r="C10" s="92" t="s">
        <v>841</v>
      </c>
      <c r="D10" s="255" t="s">
        <v>842</v>
      </c>
      <c r="E10" s="42" t="s">
        <v>13</v>
      </c>
    </row>
    <row r="11" spans="2:5" ht="30" x14ac:dyDescent="0.3">
      <c r="B11" s="90" t="s">
        <v>843</v>
      </c>
      <c r="C11" s="92" t="s">
        <v>844</v>
      </c>
      <c r="D11" s="255" t="s">
        <v>845</v>
      </c>
      <c r="E11" s="42" t="s">
        <v>814</v>
      </c>
    </row>
    <row r="12" spans="2:5" ht="30" x14ac:dyDescent="0.3">
      <c r="B12" s="90" t="s">
        <v>846</v>
      </c>
      <c r="C12" s="92" t="s">
        <v>844</v>
      </c>
      <c r="D12" s="255" t="s">
        <v>847</v>
      </c>
      <c r="E12" s="42" t="s">
        <v>819</v>
      </c>
    </row>
    <row r="13" spans="2:5" ht="45" x14ac:dyDescent="0.3">
      <c r="B13" s="90" t="s">
        <v>848</v>
      </c>
      <c r="C13" s="92" t="s">
        <v>849</v>
      </c>
      <c r="D13" s="255" t="s">
        <v>850</v>
      </c>
      <c r="E13" s="42" t="s">
        <v>814</v>
      </c>
    </row>
    <row r="14" spans="2:5" ht="45" x14ac:dyDescent="0.3">
      <c r="B14" s="90" t="s">
        <v>851</v>
      </c>
      <c r="C14" s="92" t="s">
        <v>849</v>
      </c>
      <c r="D14" s="255" t="s">
        <v>853</v>
      </c>
      <c r="E14" s="42" t="s">
        <v>819</v>
      </c>
    </row>
    <row r="15" spans="2:5" ht="30" x14ac:dyDescent="0.3">
      <c r="B15" s="90" t="s">
        <v>854</v>
      </c>
      <c r="C15" s="92" t="s">
        <v>855</v>
      </c>
      <c r="D15" s="255" t="s">
        <v>856</v>
      </c>
      <c r="E15" s="42" t="s">
        <v>814</v>
      </c>
    </row>
    <row r="16" spans="2:5" ht="30" x14ac:dyDescent="0.3">
      <c r="B16" s="90" t="s">
        <v>857</v>
      </c>
      <c r="C16" s="92" t="s">
        <v>855</v>
      </c>
      <c r="D16" s="255" t="s">
        <v>858</v>
      </c>
      <c r="E16" s="42" t="s">
        <v>819</v>
      </c>
    </row>
    <row r="17" spans="2:5" ht="45" x14ac:dyDescent="0.3">
      <c r="B17" s="90" t="s">
        <v>859</v>
      </c>
      <c r="C17" s="92" t="s">
        <v>860</v>
      </c>
      <c r="D17" s="255" t="s">
        <v>861</v>
      </c>
      <c r="E17" s="42" t="s">
        <v>814</v>
      </c>
    </row>
    <row r="18" spans="2:5" ht="45" x14ac:dyDescent="0.3">
      <c r="B18" s="90" t="s">
        <v>862</v>
      </c>
      <c r="C18" s="92" t="s">
        <v>860</v>
      </c>
      <c r="D18" s="255" t="s">
        <v>863</v>
      </c>
      <c r="E18" s="42" t="s">
        <v>819</v>
      </c>
    </row>
    <row r="19" spans="2:5" ht="45" x14ac:dyDescent="0.3">
      <c r="B19" s="90" t="s">
        <v>864</v>
      </c>
      <c r="C19" s="92" t="s">
        <v>865</v>
      </c>
      <c r="D19" s="255" t="s">
        <v>867</v>
      </c>
      <c r="E19" s="42" t="s">
        <v>814</v>
      </c>
    </row>
    <row r="20" spans="2:5" ht="45" x14ac:dyDescent="0.3">
      <c r="B20" s="90" t="s">
        <v>869</v>
      </c>
      <c r="C20" s="92" t="s">
        <v>865</v>
      </c>
      <c r="D20" s="255" t="s">
        <v>871</v>
      </c>
      <c r="E20" s="42" t="s">
        <v>819</v>
      </c>
    </row>
    <row r="21" spans="2:5" ht="30" x14ac:dyDescent="0.3">
      <c r="B21" s="90" t="s">
        <v>877</v>
      </c>
      <c r="C21" s="92" t="s">
        <v>716</v>
      </c>
      <c r="D21" s="255" t="s">
        <v>878</v>
      </c>
      <c r="E21" s="42" t="s">
        <v>814</v>
      </c>
    </row>
    <row r="22" spans="2:5" ht="30" x14ac:dyDescent="0.3">
      <c r="B22" s="90" t="s">
        <v>879</v>
      </c>
      <c r="C22" s="92" t="s">
        <v>716</v>
      </c>
      <c r="D22" s="255" t="s">
        <v>880</v>
      </c>
      <c r="E22" s="42" t="s">
        <v>819</v>
      </c>
    </row>
    <row r="23" spans="2:5" ht="30" x14ac:dyDescent="0.3">
      <c r="B23" s="90" t="s">
        <v>881</v>
      </c>
      <c r="C23" s="92" t="s">
        <v>882</v>
      </c>
      <c r="D23" s="255" t="s">
        <v>883</v>
      </c>
      <c r="E23" s="42" t="s">
        <v>814</v>
      </c>
    </row>
    <row r="24" spans="2:5" ht="30" x14ac:dyDescent="0.3">
      <c r="B24" s="90" t="s">
        <v>884</v>
      </c>
      <c r="C24" s="92" t="s">
        <v>882</v>
      </c>
      <c r="D24" s="255" t="s">
        <v>885</v>
      </c>
      <c r="E24" s="42" t="s">
        <v>886</v>
      </c>
    </row>
    <row r="25" spans="2:5" ht="30" x14ac:dyDescent="0.3">
      <c r="B25" s="90" t="s">
        <v>887</v>
      </c>
      <c r="C25" s="92" t="s">
        <v>882</v>
      </c>
      <c r="D25" s="255" t="s">
        <v>888</v>
      </c>
      <c r="E25" s="42" t="s">
        <v>889</v>
      </c>
    </row>
    <row r="26" spans="2:5" ht="30" x14ac:dyDescent="0.3">
      <c r="B26" s="90" t="s">
        <v>890</v>
      </c>
      <c r="C26" s="92" t="s">
        <v>882</v>
      </c>
      <c r="D26" s="255" t="s">
        <v>892</v>
      </c>
      <c r="E26" s="42" t="s">
        <v>819</v>
      </c>
    </row>
    <row r="27" spans="2:5" ht="30" x14ac:dyDescent="0.3">
      <c r="B27" s="90" t="s">
        <v>893</v>
      </c>
      <c r="C27" s="92" t="s">
        <v>894</v>
      </c>
      <c r="D27" s="255" t="s">
        <v>895</v>
      </c>
      <c r="E27" s="42" t="s">
        <v>814</v>
      </c>
    </row>
    <row r="28" spans="2:5" ht="30" x14ac:dyDescent="0.3">
      <c r="B28" s="90" t="s">
        <v>896</v>
      </c>
      <c r="C28" s="92" t="s">
        <v>894</v>
      </c>
      <c r="D28" s="255" t="s">
        <v>897</v>
      </c>
      <c r="E28" s="42" t="s">
        <v>886</v>
      </c>
    </row>
    <row r="29" spans="2:5" ht="30" x14ac:dyDescent="0.3">
      <c r="B29" s="90" t="s">
        <v>898</v>
      </c>
      <c r="C29" s="92" t="s">
        <v>894</v>
      </c>
      <c r="D29" s="255" t="s">
        <v>899</v>
      </c>
      <c r="E29" s="42" t="s">
        <v>819</v>
      </c>
    </row>
    <row r="30" spans="2:5" ht="30" x14ac:dyDescent="0.3">
      <c r="B30" s="90" t="s">
        <v>901</v>
      </c>
      <c r="C30" s="92" t="s">
        <v>902</v>
      </c>
      <c r="D30" s="255" t="s">
        <v>903</v>
      </c>
      <c r="E30" s="42" t="s">
        <v>814</v>
      </c>
    </row>
    <row r="31" spans="2:5" ht="30" x14ac:dyDescent="0.3">
      <c r="B31" s="90" t="s">
        <v>904</v>
      </c>
      <c r="C31" s="92" t="s">
        <v>902</v>
      </c>
      <c r="D31" s="255" t="s">
        <v>905</v>
      </c>
      <c r="E31" s="42" t="s">
        <v>819</v>
      </c>
    </row>
    <row r="32" spans="2:5" ht="30" x14ac:dyDescent="0.3">
      <c r="B32" s="90" t="s">
        <v>906</v>
      </c>
      <c r="C32" s="125" t="s">
        <v>908</v>
      </c>
      <c r="D32" s="255" t="s">
        <v>909</v>
      </c>
      <c r="E32" s="42" t="s">
        <v>4072</v>
      </c>
    </row>
    <row r="33" spans="2:5" ht="30" x14ac:dyDescent="0.3">
      <c r="B33" s="90" t="s">
        <v>912</v>
      </c>
      <c r="C33" s="125" t="s">
        <v>908</v>
      </c>
      <c r="D33" s="255" t="s">
        <v>913</v>
      </c>
      <c r="E33" s="42" t="s">
        <v>4072</v>
      </c>
    </row>
    <row r="34" spans="2:5" ht="45" x14ac:dyDescent="0.3">
      <c r="B34" s="90" t="s">
        <v>916</v>
      </c>
      <c r="C34" s="92" t="s">
        <v>917</v>
      </c>
      <c r="D34" s="255" t="s">
        <v>918</v>
      </c>
      <c r="E34" s="42" t="s">
        <v>4073</v>
      </c>
    </row>
    <row r="35" spans="2:5" ht="45" x14ac:dyDescent="0.3">
      <c r="B35" s="90" t="s">
        <v>921</v>
      </c>
      <c r="C35" s="92" t="s">
        <v>917</v>
      </c>
      <c r="D35" s="255" t="s">
        <v>922</v>
      </c>
      <c r="E35" s="42" t="s">
        <v>819</v>
      </c>
    </row>
    <row r="36" spans="2:5" ht="30" x14ac:dyDescent="0.3">
      <c r="B36" s="90" t="s">
        <v>923</v>
      </c>
      <c r="C36" s="92" t="s">
        <v>924</v>
      </c>
      <c r="D36" s="255" t="s">
        <v>925</v>
      </c>
      <c r="E36" s="42" t="s">
        <v>814</v>
      </c>
    </row>
    <row r="37" spans="2:5" ht="30" x14ac:dyDescent="0.3">
      <c r="B37" s="90" t="s">
        <v>926</v>
      </c>
      <c r="C37" s="92" t="s">
        <v>924</v>
      </c>
      <c r="D37" s="255" t="s">
        <v>927</v>
      </c>
      <c r="E37" s="42" t="s">
        <v>819</v>
      </c>
    </row>
    <row r="38" spans="2:5" ht="30" x14ac:dyDescent="0.3">
      <c r="B38" s="90" t="s">
        <v>928</v>
      </c>
      <c r="C38" s="92" t="s">
        <v>930</v>
      </c>
      <c r="D38" s="255" t="s">
        <v>931</v>
      </c>
      <c r="E38" s="42" t="s">
        <v>814</v>
      </c>
    </row>
    <row r="39" spans="2:5" ht="30" x14ac:dyDescent="0.3">
      <c r="B39" s="90" t="s">
        <v>932</v>
      </c>
      <c r="C39" s="92" t="s">
        <v>930</v>
      </c>
      <c r="D39" s="255" t="s">
        <v>933</v>
      </c>
      <c r="E39" s="42" t="s">
        <v>819</v>
      </c>
    </row>
    <row r="40" spans="2:5" ht="30" x14ac:dyDescent="0.3">
      <c r="B40" s="90" t="s">
        <v>934</v>
      </c>
      <c r="C40" s="92" t="s">
        <v>935</v>
      </c>
      <c r="D40" s="255" t="s">
        <v>936</v>
      </c>
      <c r="E40" s="42" t="s">
        <v>814</v>
      </c>
    </row>
    <row r="41" spans="2:5" ht="30" x14ac:dyDescent="0.3">
      <c r="B41" s="90" t="s">
        <v>937</v>
      </c>
      <c r="C41" s="92" t="s">
        <v>935</v>
      </c>
      <c r="D41" s="255" t="s">
        <v>938</v>
      </c>
      <c r="E41" s="42" t="s">
        <v>819</v>
      </c>
    </row>
    <row r="42" spans="2:5" ht="30" x14ac:dyDescent="0.3">
      <c r="B42" s="90" t="s">
        <v>939</v>
      </c>
      <c r="C42" s="92" t="s">
        <v>940</v>
      </c>
      <c r="D42" s="255" t="s">
        <v>941</v>
      </c>
      <c r="E42" s="42" t="s">
        <v>942</v>
      </c>
    </row>
    <row r="43" spans="2:5" ht="30" x14ac:dyDescent="0.3">
      <c r="B43" s="90" t="s">
        <v>944</v>
      </c>
      <c r="C43" s="92" t="s">
        <v>940</v>
      </c>
      <c r="D43" s="255" t="s">
        <v>945</v>
      </c>
      <c r="E43" s="42" t="s">
        <v>942</v>
      </c>
    </row>
    <row r="44" spans="2:5" ht="45" x14ac:dyDescent="0.3">
      <c r="B44" s="90" t="s">
        <v>946</v>
      </c>
      <c r="C44" s="92" t="s">
        <v>948</v>
      </c>
      <c r="D44" s="255" t="s">
        <v>4074</v>
      </c>
      <c r="E44" s="42" t="s">
        <v>942</v>
      </c>
    </row>
    <row r="45" spans="2:5" ht="45" x14ac:dyDescent="0.3">
      <c r="B45" s="90" t="s">
        <v>951</v>
      </c>
      <c r="C45" s="92" t="s">
        <v>948</v>
      </c>
      <c r="D45" s="255" t="s">
        <v>4075</v>
      </c>
      <c r="E45" s="42" t="s">
        <v>942</v>
      </c>
    </row>
    <row r="46" spans="2:5" ht="30" x14ac:dyDescent="0.3">
      <c r="B46" s="90" t="s">
        <v>953</v>
      </c>
      <c r="C46" s="92" t="s">
        <v>954</v>
      </c>
      <c r="D46" s="255" t="s">
        <v>955</v>
      </c>
      <c r="E46" s="42" t="s">
        <v>814</v>
      </c>
    </row>
    <row r="47" spans="2:5" ht="30" x14ac:dyDescent="0.3">
      <c r="B47" s="90" t="s">
        <v>956</v>
      </c>
      <c r="C47" s="92" t="s">
        <v>954</v>
      </c>
      <c r="D47" s="255" t="s">
        <v>957</v>
      </c>
      <c r="E47" s="42" t="s">
        <v>889</v>
      </c>
    </row>
    <row r="48" spans="2:5" ht="30" x14ac:dyDescent="0.3">
      <c r="B48" s="90" t="s">
        <v>958</v>
      </c>
      <c r="C48" s="92" t="s">
        <v>954</v>
      </c>
      <c r="D48" s="255" t="s">
        <v>959</v>
      </c>
      <c r="E48" s="42" t="s">
        <v>819</v>
      </c>
    </row>
    <row r="49" spans="2:5" ht="60" x14ac:dyDescent="0.3">
      <c r="B49" s="90" t="s">
        <v>960</v>
      </c>
      <c r="C49" s="92" t="s">
        <v>961</v>
      </c>
      <c r="D49" s="255" t="s">
        <v>962</v>
      </c>
      <c r="E49" s="42" t="s">
        <v>814</v>
      </c>
    </row>
    <row r="50" spans="2:5" ht="60" x14ac:dyDescent="0.3">
      <c r="B50" s="90" t="s">
        <v>963</v>
      </c>
      <c r="C50" s="92" t="s">
        <v>961</v>
      </c>
      <c r="D50" s="255" t="s">
        <v>965</v>
      </c>
      <c r="E50" s="42" t="s">
        <v>819</v>
      </c>
    </row>
    <row r="51" spans="2:5" ht="30" x14ac:dyDescent="0.3">
      <c r="B51" s="90" t="s">
        <v>966</v>
      </c>
      <c r="C51" s="92" t="s">
        <v>967</v>
      </c>
      <c r="D51" s="255" t="s">
        <v>968</v>
      </c>
      <c r="E51" s="42" t="s">
        <v>814</v>
      </c>
    </row>
    <row r="52" spans="2:5" ht="30" x14ac:dyDescent="0.3">
      <c r="B52" s="90" t="s">
        <v>969</v>
      </c>
      <c r="C52" s="92" t="s">
        <v>967</v>
      </c>
      <c r="D52" s="255" t="s">
        <v>970</v>
      </c>
      <c r="E52" s="42" t="s">
        <v>819</v>
      </c>
    </row>
    <row r="53" spans="2:5" ht="60" x14ac:dyDescent="0.3">
      <c r="B53" s="90" t="s">
        <v>971</v>
      </c>
      <c r="C53" s="92" t="s">
        <v>972</v>
      </c>
      <c r="D53" s="255" t="s">
        <v>973</v>
      </c>
      <c r="E53" s="42" t="s">
        <v>814</v>
      </c>
    </row>
    <row r="54" spans="2:5" ht="60" x14ac:dyDescent="0.3">
      <c r="B54" s="90" t="s">
        <v>974</v>
      </c>
      <c r="C54" s="92" t="s">
        <v>972</v>
      </c>
      <c r="D54" s="255" t="s">
        <v>975</v>
      </c>
      <c r="E54" s="42" t="s">
        <v>819</v>
      </c>
    </row>
    <row r="55" spans="2:5" ht="45" x14ac:dyDescent="0.3">
      <c r="B55" s="90" t="s">
        <v>976</v>
      </c>
      <c r="C55" s="92" t="s">
        <v>977</v>
      </c>
      <c r="D55" s="255" t="s">
        <v>978</v>
      </c>
      <c r="E55" s="42" t="s">
        <v>814</v>
      </c>
    </row>
    <row r="56" spans="2:5" ht="45" x14ac:dyDescent="0.3">
      <c r="B56" s="90" t="s">
        <v>979</v>
      </c>
      <c r="C56" s="92" t="s">
        <v>977</v>
      </c>
      <c r="D56" s="255" t="s">
        <v>981</v>
      </c>
      <c r="E56" s="42" t="s">
        <v>886</v>
      </c>
    </row>
    <row r="57" spans="2:5" ht="45" x14ac:dyDescent="0.3">
      <c r="B57" s="90" t="s">
        <v>982</v>
      </c>
      <c r="C57" s="92" t="s">
        <v>977</v>
      </c>
      <c r="D57" s="255" t="s">
        <v>983</v>
      </c>
      <c r="E57" s="42" t="s">
        <v>889</v>
      </c>
    </row>
    <row r="58" spans="2:5" ht="45" x14ac:dyDescent="0.3">
      <c r="B58" s="90" t="s">
        <v>984</v>
      </c>
      <c r="C58" s="92" t="s">
        <v>977</v>
      </c>
      <c r="D58" s="255" t="s">
        <v>981</v>
      </c>
      <c r="E58" s="42" t="s">
        <v>886</v>
      </c>
    </row>
    <row r="59" spans="2:5" ht="45" x14ac:dyDescent="0.3">
      <c r="B59" s="90" t="s">
        <v>985</v>
      </c>
      <c r="C59" s="92" t="s">
        <v>977</v>
      </c>
      <c r="D59" s="255" t="s">
        <v>986</v>
      </c>
      <c r="E59" s="42" t="s">
        <v>819</v>
      </c>
    </row>
    <row r="60" spans="2:5" ht="60" x14ac:dyDescent="0.3">
      <c r="B60" s="90" t="s">
        <v>987</v>
      </c>
      <c r="C60" s="92" t="s">
        <v>988</v>
      </c>
      <c r="D60" s="255" t="s">
        <v>989</v>
      </c>
      <c r="E60" s="42" t="s">
        <v>814</v>
      </c>
    </row>
    <row r="61" spans="2:5" ht="60" x14ac:dyDescent="0.3">
      <c r="B61" s="90" t="s">
        <v>990</v>
      </c>
      <c r="C61" s="92" t="s">
        <v>988</v>
      </c>
      <c r="D61" s="255" t="s">
        <v>991</v>
      </c>
      <c r="E61" s="42" t="s">
        <v>819</v>
      </c>
    </row>
    <row r="62" spans="2:5" ht="30" x14ac:dyDescent="0.3">
      <c r="B62" s="90" t="s">
        <v>992</v>
      </c>
      <c r="C62" s="92" t="s">
        <v>994</v>
      </c>
      <c r="D62" s="255" t="s">
        <v>995</v>
      </c>
      <c r="E62" s="42" t="s">
        <v>814</v>
      </c>
    </row>
    <row r="63" spans="2:5" ht="30" x14ac:dyDescent="0.3">
      <c r="B63" s="90" t="s">
        <v>996</v>
      </c>
      <c r="C63" s="92" t="s">
        <v>994</v>
      </c>
      <c r="D63" s="255" t="s">
        <v>997</v>
      </c>
      <c r="E63" s="42" t="s">
        <v>889</v>
      </c>
    </row>
    <row r="64" spans="2:5" ht="30" x14ac:dyDescent="0.3">
      <c r="B64" s="90" t="s">
        <v>998</v>
      </c>
      <c r="C64" s="92" t="s">
        <v>994</v>
      </c>
      <c r="D64" s="255" t="s">
        <v>999</v>
      </c>
      <c r="E64" s="42" t="s">
        <v>819</v>
      </c>
    </row>
    <row r="65" spans="2:5" ht="45" x14ac:dyDescent="0.3">
      <c r="B65" s="90" t="s">
        <v>1000</v>
      </c>
      <c r="C65" s="92" t="s">
        <v>1001</v>
      </c>
      <c r="D65" s="255" t="s">
        <v>1002</v>
      </c>
      <c r="E65" s="42" t="s">
        <v>814</v>
      </c>
    </row>
    <row r="66" spans="2:5" ht="45" x14ac:dyDescent="0.3">
      <c r="B66" s="90" t="s">
        <v>1003</v>
      </c>
      <c r="C66" s="92" t="s">
        <v>1001</v>
      </c>
      <c r="D66" s="255" t="s">
        <v>1004</v>
      </c>
      <c r="E66" s="42" t="s">
        <v>819</v>
      </c>
    </row>
    <row r="67" spans="2:5" ht="45" x14ac:dyDescent="0.3">
      <c r="B67" s="90" t="s">
        <v>1005</v>
      </c>
      <c r="C67" s="92" t="s">
        <v>1006</v>
      </c>
      <c r="D67" s="255" t="s">
        <v>1007</v>
      </c>
      <c r="E67" s="42" t="s">
        <v>819</v>
      </c>
    </row>
    <row r="68" spans="2:5" ht="30" x14ac:dyDescent="0.3">
      <c r="B68" s="90" t="s">
        <v>1008</v>
      </c>
      <c r="C68" s="92" t="s">
        <v>550</v>
      </c>
      <c r="D68" s="255" t="s">
        <v>1010</v>
      </c>
      <c r="E68" s="42" t="s">
        <v>4076</v>
      </c>
    </row>
    <row r="69" spans="2:5" ht="30" x14ac:dyDescent="0.3">
      <c r="B69" s="90" t="s">
        <v>1012</v>
      </c>
      <c r="C69" s="92" t="s">
        <v>550</v>
      </c>
      <c r="D69" s="255" t="s">
        <v>1013</v>
      </c>
      <c r="E69" s="42" t="s">
        <v>4077</v>
      </c>
    </row>
    <row r="70" spans="2:5" ht="30" x14ac:dyDescent="0.3">
      <c r="B70" s="90" t="s">
        <v>1015</v>
      </c>
      <c r="C70" s="92" t="s">
        <v>1016</v>
      </c>
      <c r="D70" s="255" t="s">
        <v>1017</v>
      </c>
      <c r="E70" s="42" t="s">
        <v>4076</v>
      </c>
    </row>
    <row r="71" spans="2:5" ht="30" x14ac:dyDescent="0.3">
      <c r="B71" s="90" t="s">
        <v>1018</v>
      </c>
      <c r="C71" s="92" t="s">
        <v>1016</v>
      </c>
      <c r="D71" s="255" t="s">
        <v>1019</v>
      </c>
      <c r="E71" s="42" t="s">
        <v>4077</v>
      </c>
    </row>
    <row r="72" spans="2:5" ht="45" x14ac:dyDescent="0.3">
      <c r="B72" s="90" t="s">
        <v>1020</v>
      </c>
      <c r="C72" s="92" t="s">
        <v>1021</v>
      </c>
      <c r="D72" s="255" t="s">
        <v>1022</v>
      </c>
      <c r="E72" s="42" t="s">
        <v>4076</v>
      </c>
    </row>
    <row r="73" spans="2:5" ht="45" x14ac:dyDescent="0.3">
      <c r="B73" s="90" t="s">
        <v>1023</v>
      </c>
      <c r="C73" s="92" t="s">
        <v>1021</v>
      </c>
      <c r="D73" s="255" t="s">
        <v>1024</v>
      </c>
      <c r="E73" s="42" t="s">
        <v>4077</v>
      </c>
    </row>
    <row r="74" spans="2:5" ht="30" x14ac:dyDescent="0.3">
      <c r="B74" s="90" t="s">
        <v>1043</v>
      </c>
      <c r="C74" s="92"/>
      <c r="D74" s="255" t="s">
        <v>1045</v>
      </c>
      <c r="E74" s="42" t="s">
        <v>13</v>
      </c>
    </row>
    <row r="75" spans="2:5" ht="30" x14ac:dyDescent="0.3">
      <c r="B75" s="54" t="s">
        <v>1603</v>
      </c>
      <c r="C75" s="48"/>
      <c r="D75" s="255" t="s">
        <v>1604</v>
      </c>
      <c r="E75" s="42" t="s">
        <v>13</v>
      </c>
    </row>
    <row r="76" spans="2:5" ht="30" x14ac:dyDescent="0.3">
      <c r="B76" s="54" t="s">
        <v>1606</v>
      </c>
      <c r="C76" s="48"/>
      <c r="D76" s="255" t="s">
        <v>1607</v>
      </c>
      <c r="E76" s="42" t="s">
        <v>13</v>
      </c>
    </row>
    <row r="77" spans="2:5" ht="30" x14ac:dyDescent="0.3">
      <c r="B77" s="54" t="s">
        <v>1608</v>
      </c>
      <c r="C77" s="48" t="s">
        <v>1610</v>
      </c>
      <c r="D77" s="255" t="s">
        <v>1611</v>
      </c>
      <c r="E77" s="42" t="s">
        <v>361</v>
      </c>
    </row>
    <row r="78" spans="2:5" ht="30" x14ac:dyDescent="0.3">
      <c r="B78" s="54" t="s">
        <v>1614</v>
      </c>
      <c r="C78" s="48" t="s">
        <v>716</v>
      </c>
      <c r="D78" s="255" t="s">
        <v>1611</v>
      </c>
      <c r="E78" s="42" t="s">
        <v>361</v>
      </c>
    </row>
    <row r="79" spans="2:5" ht="30" x14ac:dyDescent="0.3">
      <c r="B79" s="54" t="s">
        <v>1617</v>
      </c>
      <c r="C79" s="48" t="s">
        <v>882</v>
      </c>
      <c r="D79" s="255" t="s">
        <v>1611</v>
      </c>
      <c r="E79" s="42" t="s">
        <v>361</v>
      </c>
    </row>
    <row r="80" spans="2:5" ht="30" x14ac:dyDescent="0.3">
      <c r="B80" s="54" t="s">
        <v>1618</v>
      </c>
      <c r="C80" s="48" t="s">
        <v>1620</v>
      </c>
      <c r="D80" s="255" t="s">
        <v>1611</v>
      </c>
      <c r="E80" s="42" t="s">
        <v>361</v>
      </c>
    </row>
    <row r="81" spans="2:5" ht="30" x14ac:dyDescent="0.3">
      <c r="B81" s="54" t="s">
        <v>1621</v>
      </c>
      <c r="C81" s="48" t="s">
        <v>1622</v>
      </c>
      <c r="D81" s="255" t="s">
        <v>1611</v>
      </c>
      <c r="E81" s="42" t="s">
        <v>361</v>
      </c>
    </row>
    <row r="82" spans="2:5" ht="30" x14ac:dyDescent="0.3">
      <c r="B82" s="54" t="s">
        <v>1623</v>
      </c>
      <c r="C82" s="48" t="s">
        <v>1625</v>
      </c>
      <c r="D82" s="255" t="s">
        <v>1611</v>
      </c>
      <c r="E82" s="42" t="s">
        <v>361</v>
      </c>
    </row>
    <row r="83" spans="2:5" ht="45" x14ac:dyDescent="0.3">
      <c r="B83" s="54" t="s">
        <v>1626</v>
      </c>
      <c r="C83" s="48" t="s">
        <v>1627</v>
      </c>
      <c r="D83" s="255" t="s">
        <v>1611</v>
      </c>
      <c r="E83" s="42" t="s">
        <v>361</v>
      </c>
    </row>
    <row r="84" spans="2:5" ht="30" x14ac:dyDescent="0.3">
      <c r="B84" s="54" t="s">
        <v>1628</v>
      </c>
      <c r="C84" s="48" t="s">
        <v>1630</v>
      </c>
      <c r="D84" s="255" t="s">
        <v>1611</v>
      </c>
      <c r="E84" s="42" t="s">
        <v>361</v>
      </c>
    </row>
    <row r="85" spans="2:5" ht="45" x14ac:dyDescent="0.3">
      <c r="B85" s="54" t="s">
        <v>1631</v>
      </c>
      <c r="C85" s="48" t="s">
        <v>1627</v>
      </c>
      <c r="D85" s="255" t="s">
        <v>1611</v>
      </c>
      <c r="E85" s="42" t="s">
        <v>361</v>
      </c>
    </row>
    <row r="86" spans="2:5" ht="30" x14ac:dyDescent="0.3">
      <c r="B86" s="54" t="s">
        <v>4078</v>
      </c>
      <c r="C86" s="48" t="s">
        <v>1610</v>
      </c>
      <c r="D86" s="255" t="s">
        <v>1634</v>
      </c>
      <c r="E86" s="42" t="s">
        <v>165</v>
      </c>
    </row>
    <row r="87" spans="2:5" ht="30" x14ac:dyDescent="0.3">
      <c r="B87" s="54" t="s">
        <v>1655</v>
      </c>
      <c r="C87" s="48"/>
      <c r="D87" s="255" t="s">
        <v>1656</v>
      </c>
      <c r="E87" s="42" t="s">
        <v>1657</v>
      </c>
    </row>
    <row r="88" spans="2:5" x14ac:dyDescent="0.3">
      <c r="B88" s="54" t="s">
        <v>1659</v>
      </c>
      <c r="C88" s="48"/>
      <c r="D88" s="255" t="s">
        <v>1661</v>
      </c>
      <c r="E88" s="42" t="s">
        <v>1662</v>
      </c>
    </row>
    <row r="89" spans="2:5" x14ac:dyDescent="0.3">
      <c r="B89" s="54" t="s">
        <v>1663</v>
      </c>
      <c r="C89" s="48"/>
      <c r="D89" s="255" t="s">
        <v>1664</v>
      </c>
      <c r="E89" s="42" t="s">
        <v>1665</v>
      </c>
    </row>
  </sheetData>
  <conditionalFormatting sqref="B2:B89">
    <cfRule type="expression" dxfId="29" priority="8">
      <formula>$AC2="Purchasing"</formula>
    </cfRule>
    <cfRule type="expression" dxfId="28" priority="9">
      <formula>$AC2="Stop"</formula>
    </cfRule>
    <cfRule type="expression" dxfId="27" priority="10">
      <formula>$AC2="Setting"</formula>
    </cfRule>
    <cfRule type="expression" dxfId="26" priority="11">
      <formula>$AC2="Testing"</formula>
    </cfRule>
    <cfRule type="expression" dxfId="25" priority="12">
      <formula>$AC2="Waiting"</formula>
    </cfRule>
    <cfRule type="expression" dxfId="24" priority="13">
      <formula>$AC2="Assembling"</formula>
    </cfRule>
    <cfRule type="expression" dxfId="23" priority="14" stopIfTrue="1">
      <formula>$AC2="Finish"</formula>
    </cfRule>
  </conditionalFormatting>
  <conditionalFormatting sqref="B2:B89">
    <cfRule type="duplicateValues" dxfId="22" priority="15" stopIfTrue="1"/>
  </conditionalFormatting>
  <conditionalFormatting sqref="C2:C89">
    <cfRule type="expression" dxfId="21" priority="1">
      <formula>$AC2="Purchasing"</formula>
    </cfRule>
    <cfRule type="expression" dxfId="20" priority="2">
      <formula>$AC2="Stop"</formula>
    </cfRule>
    <cfRule type="expression" dxfId="19" priority="3">
      <formula>$AC2="Setting"</formula>
    </cfRule>
    <cfRule type="expression" dxfId="18" priority="4">
      <formula>$AC2="Testing"</formula>
    </cfRule>
    <cfRule type="expression" dxfId="17" priority="5">
      <formula>$AC2="Waiting"</formula>
    </cfRule>
    <cfRule type="expression" dxfId="16" priority="6">
      <formula>$AC2="Assembling"</formula>
    </cfRule>
    <cfRule type="expression" dxfId="15" priority="7" stopIfTrue="1">
      <formula>$AC2="Finish"</formula>
    </cfRule>
  </conditionalFormatting>
  <pageMargins left="0.7" right="0.7" top="0.75" bottom="0.75" header="0.3" footer="0.3"/>
  <pageSetup paperSize="9" scale="65" orientation="portrait" r:id="rId1"/>
  <colBreaks count="1" manualBreakCount="1">
    <brk id="5"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E73FA-A225-4FDC-BF55-F38F65481776}">
  <sheetPr codeName="Sheet12"/>
  <dimension ref="A1:X215"/>
  <sheetViews>
    <sheetView zoomScale="70" zoomScaleNormal="70" workbookViewId="0">
      <pane xSplit="11" ySplit="4" topLeftCell="L54" activePane="bottomRight" state="frozen"/>
      <selection pane="topRight" activeCell="L1" sqref="L1"/>
      <selection pane="bottomLeft" activeCell="A5" sqref="A5"/>
      <selection pane="bottomRight" activeCell="E59" sqref="E59"/>
    </sheetView>
  </sheetViews>
  <sheetFormatPr defaultColWidth="8.88671875" defaultRowHeight="18" x14ac:dyDescent="0.3"/>
  <cols>
    <col min="1" max="1" width="7.88671875" style="241" customWidth="1"/>
    <col min="2" max="2" width="4.6640625" style="16" customWidth="1"/>
    <col min="3" max="3" width="35.5546875" style="10" customWidth="1"/>
    <col min="4" max="4" width="6.6640625" style="12" customWidth="1"/>
    <col min="5" max="5" width="57.33203125" style="16" customWidth="1"/>
    <col min="6" max="6" width="11.6640625" style="16" customWidth="1"/>
    <col min="7" max="7" width="9.6640625" style="16" customWidth="1"/>
    <col min="8" max="9" width="8.6640625" style="16" customWidth="1"/>
    <col min="10" max="10" width="7.6640625" style="16" customWidth="1"/>
    <col min="11" max="11" width="8.5546875" style="16" customWidth="1"/>
    <col min="12" max="12" width="43.33203125" style="10" customWidth="1"/>
    <col min="13" max="13" width="57.33203125" style="16" customWidth="1"/>
    <col min="14" max="14" width="59.88671875" style="16" customWidth="1"/>
    <col min="15" max="18" width="8.88671875" style="16"/>
    <col min="19" max="19" width="25.6640625" style="16" customWidth="1"/>
    <col min="20" max="16384" width="8.88671875" style="16"/>
  </cols>
  <sheetData>
    <row r="1" spans="1:24" ht="22.8" x14ac:dyDescent="0.3">
      <c r="A1" s="227" t="s">
        <v>4088</v>
      </c>
      <c r="B1" s="11"/>
    </row>
    <row r="2" spans="1:24" x14ac:dyDescent="0.3">
      <c r="A2" s="214" t="s">
        <v>4089</v>
      </c>
    </row>
    <row r="3" spans="1:24" ht="14.4" customHeight="1" x14ac:dyDescent="0.3">
      <c r="A3" s="404" t="s">
        <v>4090</v>
      </c>
      <c r="B3" s="404" t="s">
        <v>50</v>
      </c>
      <c r="C3" s="408" t="s">
        <v>4091</v>
      </c>
      <c r="D3" s="406" t="s">
        <v>51</v>
      </c>
      <c r="E3" s="409" t="s">
        <v>4092</v>
      </c>
      <c r="F3" s="404" t="s">
        <v>4081</v>
      </c>
      <c r="G3" s="404"/>
      <c r="H3" s="404" t="s">
        <v>4093</v>
      </c>
      <c r="I3" s="404"/>
      <c r="J3" s="404"/>
      <c r="K3" s="404"/>
      <c r="L3" s="404" t="s">
        <v>4094</v>
      </c>
      <c r="M3" s="404"/>
      <c r="N3" s="404"/>
      <c r="O3" s="404"/>
      <c r="P3" s="404"/>
      <c r="Q3" s="404"/>
      <c r="R3" s="404"/>
      <c r="S3" s="17"/>
    </row>
    <row r="4" spans="1:24" ht="29.4" customHeight="1" x14ac:dyDescent="0.3">
      <c r="A4" s="404"/>
      <c r="B4" s="404"/>
      <c r="C4" s="408"/>
      <c r="D4" s="407"/>
      <c r="E4" s="410"/>
      <c r="F4" s="19" t="s">
        <v>4095</v>
      </c>
      <c r="G4" s="2" t="s">
        <v>4096</v>
      </c>
      <c r="H4" s="3" t="s">
        <v>4097</v>
      </c>
      <c r="I4" s="3" t="s">
        <v>4098</v>
      </c>
      <c r="J4" s="3" t="s">
        <v>4099</v>
      </c>
      <c r="K4" s="3" t="s">
        <v>4100</v>
      </c>
      <c r="L4" s="225">
        <v>45323</v>
      </c>
      <c r="M4" s="252">
        <v>40969</v>
      </c>
      <c r="N4" s="252">
        <v>47209</v>
      </c>
      <c r="O4" s="379"/>
      <c r="P4" s="379"/>
      <c r="Q4" s="379"/>
      <c r="R4" s="379"/>
      <c r="S4" s="379"/>
      <c r="T4" s="12"/>
      <c r="U4" s="12"/>
      <c r="V4" s="12"/>
      <c r="W4" s="12"/>
      <c r="X4" s="12"/>
    </row>
    <row r="5" spans="1:24" ht="15.6" x14ac:dyDescent="0.3">
      <c r="A5" s="404" t="s">
        <v>6</v>
      </c>
      <c r="B5" s="228">
        <f>ROW(A5)-ROW($F$4)</f>
        <v>1</v>
      </c>
      <c r="C5" s="229" t="s">
        <v>4104</v>
      </c>
      <c r="D5" s="224">
        <v>2</v>
      </c>
      <c r="E5" s="224"/>
      <c r="F5" s="230" t="s">
        <v>1064</v>
      </c>
      <c r="G5" s="230"/>
      <c r="H5" s="230"/>
      <c r="I5" s="230"/>
      <c r="J5" s="230"/>
      <c r="K5" s="230"/>
      <c r="L5" s="215" t="s">
        <v>4105</v>
      </c>
      <c r="M5" s="19"/>
      <c r="N5" s="19"/>
      <c r="O5" s="17"/>
      <c r="P5" s="17"/>
      <c r="Q5" s="17"/>
      <c r="R5" s="17"/>
      <c r="S5" s="17"/>
    </row>
    <row r="6" spans="1:24" ht="15.6" x14ac:dyDescent="0.3">
      <c r="A6" s="404"/>
      <c r="B6" s="228">
        <f t="shared" ref="B6:B82" si="0">ROW(A6)-ROW($F$4)</f>
        <v>2</v>
      </c>
      <c r="C6" s="229" t="s">
        <v>4084</v>
      </c>
      <c r="D6" s="224">
        <v>4</v>
      </c>
      <c r="E6" s="230"/>
      <c r="F6" s="230" t="s">
        <v>1064</v>
      </c>
      <c r="G6" s="230" t="s">
        <v>778</v>
      </c>
      <c r="H6" s="230"/>
      <c r="I6" s="230"/>
      <c r="J6" s="230"/>
      <c r="K6" s="230"/>
      <c r="L6" s="215" t="s">
        <v>4106</v>
      </c>
      <c r="M6" s="19"/>
      <c r="N6" s="19"/>
      <c r="O6" s="17"/>
      <c r="P6" s="17"/>
      <c r="Q6" s="17"/>
      <c r="R6" s="17"/>
      <c r="S6" s="17"/>
    </row>
    <row r="7" spans="1:24" ht="15.6" x14ac:dyDescent="0.3">
      <c r="A7" s="404"/>
      <c r="B7" s="228">
        <f t="shared" si="0"/>
        <v>3</v>
      </c>
      <c r="C7" s="229" t="s">
        <v>4083</v>
      </c>
      <c r="D7" s="224">
        <v>9</v>
      </c>
      <c r="E7" s="230"/>
      <c r="F7" s="230" t="s">
        <v>1064</v>
      </c>
      <c r="G7" s="230" t="s">
        <v>162</v>
      </c>
      <c r="H7" s="230"/>
      <c r="I7" s="230"/>
      <c r="J7" s="230"/>
      <c r="K7" s="230"/>
      <c r="L7" s="215" t="s">
        <v>4106</v>
      </c>
      <c r="M7" s="19"/>
      <c r="N7" s="19"/>
      <c r="O7" s="17"/>
      <c r="P7" s="17"/>
      <c r="Q7" s="17"/>
      <c r="R7" s="17"/>
      <c r="S7" s="17"/>
    </row>
    <row r="8" spans="1:24" ht="15.6" x14ac:dyDescent="0.3">
      <c r="A8" s="404"/>
      <c r="B8" s="228">
        <f t="shared" si="0"/>
        <v>4</v>
      </c>
      <c r="C8" s="229" t="s">
        <v>4107</v>
      </c>
      <c r="D8" s="224">
        <v>1</v>
      </c>
      <c r="E8" s="230" t="s">
        <v>4108</v>
      </c>
      <c r="F8" s="230" t="s">
        <v>161</v>
      </c>
      <c r="G8" s="230" t="s">
        <v>191</v>
      </c>
      <c r="H8" s="230"/>
      <c r="I8" s="230"/>
      <c r="J8" s="230"/>
      <c r="K8" s="230"/>
      <c r="L8" s="215" t="s">
        <v>4109</v>
      </c>
      <c r="M8" s="19"/>
      <c r="N8" s="19"/>
      <c r="O8" s="17"/>
      <c r="P8" s="17"/>
      <c r="Q8" s="17"/>
      <c r="R8" s="17"/>
      <c r="S8" s="17"/>
    </row>
    <row r="9" spans="1:24" ht="15.6" x14ac:dyDescent="0.3">
      <c r="A9" s="404"/>
      <c r="B9" s="228">
        <f t="shared" si="0"/>
        <v>5</v>
      </c>
      <c r="C9" s="229" t="s">
        <v>4110</v>
      </c>
      <c r="D9" s="224">
        <v>11</v>
      </c>
      <c r="E9" s="230"/>
      <c r="F9" s="230" t="s">
        <v>1122</v>
      </c>
      <c r="G9" s="230" t="s">
        <v>830</v>
      </c>
      <c r="H9" s="230"/>
      <c r="I9" s="230"/>
      <c r="J9" s="230"/>
      <c r="K9" s="230"/>
      <c r="L9" s="215" t="s">
        <v>4109</v>
      </c>
      <c r="M9" s="19"/>
      <c r="N9" s="19"/>
      <c r="O9" s="17"/>
      <c r="P9" s="17"/>
      <c r="Q9" s="17"/>
      <c r="R9" s="17"/>
      <c r="S9" s="17"/>
    </row>
    <row r="10" spans="1:24" ht="15.6" x14ac:dyDescent="0.3">
      <c r="A10" s="404"/>
      <c r="B10" s="228">
        <f t="shared" si="0"/>
        <v>6</v>
      </c>
      <c r="C10" s="229" t="s">
        <v>4111</v>
      </c>
      <c r="D10" s="224">
        <v>4</v>
      </c>
      <c r="E10" s="230"/>
      <c r="F10" s="230" t="s">
        <v>1122</v>
      </c>
      <c r="G10" s="230" t="s">
        <v>830</v>
      </c>
      <c r="H10" s="230"/>
      <c r="I10" s="230"/>
      <c r="J10" s="230"/>
      <c r="K10" s="230"/>
      <c r="L10" s="215" t="s">
        <v>4109</v>
      </c>
      <c r="M10" s="19"/>
      <c r="N10" s="19"/>
      <c r="O10" s="17"/>
      <c r="P10" s="17"/>
      <c r="Q10" s="17"/>
      <c r="R10" s="17"/>
      <c r="S10" s="17"/>
    </row>
    <row r="11" spans="1:24" ht="31.2" x14ac:dyDescent="0.3">
      <c r="A11" s="404"/>
      <c r="B11" s="268">
        <f t="shared" si="0"/>
        <v>7</v>
      </c>
      <c r="C11" s="269" t="s">
        <v>4112</v>
      </c>
      <c r="D11" s="270">
        <v>4</v>
      </c>
      <c r="E11" s="271"/>
      <c r="F11" s="271" t="s">
        <v>1122</v>
      </c>
      <c r="G11" s="271" t="s">
        <v>830</v>
      </c>
      <c r="H11" s="271"/>
      <c r="I11" s="271"/>
      <c r="J11" s="271"/>
      <c r="K11" s="271"/>
      <c r="L11" s="215"/>
      <c r="M11" s="215" t="s">
        <v>4113</v>
      </c>
      <c r="N11" s="215" t="s">
        <v>4114</v>
      </c>
      <c r="O11" s="17"/>
      <c r="P11" s="17"/>
      <c r="Q11" s="17"/>
      <c r="R11" s="17"/>
      <c r="S11" s="17"/>
    </row>
    <row r="12" spans="1:24" ht="15.6" x14ac:dyDescent="0.3">
      <c r="A12" s="404"/>
      <c r="B12" s="228">
        <f t="shared" si="0"/>
        <v>8</v>
      </c>
      <c r="C12" s="229" t="s">
        <v>4115</v>
      </c>
      <c r="D12" s="224">
        <v>3</v>
      </c>
      <c r="E12" s="230"/>
      <c r="F12" s="230" t="s">
        <v>366</v>
      </c>
      <c r="G12" s="230" t="s">
        <v>778</v>
      </c>
      <c r="H12" s="230"/>
      <c r="I12" s="230"/>
      <c r="J12" s="230"/>
      <c r="K12" s="230"/>
      <c r="L12" s="215" t="s">
        <v>4109</v>
      </c>
      <c r="M12" s="19"/>
      <c r="N12" s="19"/>
      <c r="O12" s="17"/>
      <c r="P12" s="17"/>
      <c r="Q12" s="17"/>
      <c r="R12" s="17"/>
      <c r="S12" s="17"/>
    </row>
    <row r="13" spans="1:24" ht="15.6" x14ac:dyDescent="0.3">
      <c r="A13" s="404"/>
      <c r="B13" s="228">
        <f t="shared" si="0"/>
        <v>9</v>
      </c>
      <c r="C13" s="229" t="s">
        <v>4116</v>
      </c>
      <c r="D13" s="224">
        <v>4</v>
      </c>
      <c r="E13" s="230"/>
      <c r="F13" s="230" t="s">
        <v>366</v>
      </c>
      <c r="G13" s="230" t="s">
        <v>778</v>
      </c>
      <c r="H13" s="230"/>
      <c r="I13" s="230"/>
      <c r="J13" s="230"/>
      <c r="K13" s="230"/>
      <c r="L13" s="215" t="s">
        <v>4109</v>
      </c>
      <c r="M13" s="19"/>
      <c r="N13" s="19"/>
      <c r="O13" s="17"/>
      <c r="P13" s="17"/>
      <c r="Q13" s="17"/>
      <c r="R13" s="17"/>
      <c r="S13" s="17"/>
    </row>
    <row r="14" spans="1:24" ht="15.6" x14ac:dyDescent="0.3">
      <c r="A14" s="404"/>
      <c r="B14" s="228">
        <f t="shared" si="0"/>
        <v>10</v>
      </c>
      <c r="C14" s="229" t="s">
        <v>1464</v>
      </c>
      <c r="D14" s="224">
        <v>13</v>
      </c>
      <c r="E14" s="230" t="s">
        <v>4117</v>
      </c>
      <c r="F14" s="230" t="s">
        <v>366</v>
      </c>
      <c r="G14" s="230" t="s">
        <v>778</v>
      </c>
      <c r="H14" s="230"/>
      <c r="I14" s="230"/>
      <c r="J14" s="230"/>
      <c r="K14" s="230"/>
      <c r="L14" s="215" t="s">
        <v>4109</v>
      </c>
      <c r="M14" s="19"/>
      <c r="N14" s="19"/>
      <c r="O14" s="17"/>
      <c r="P14" s="17"/>
      <c r="Q14" s="17"/>
      <c r="R14" s="17"/>
      <c r="S14" s="17"/>
    </row>
    <row r="15" spans="1:24" ht="15.6" x14ac:dyDescent="0.3">
      <c r="A15" s="404"/>
      <c r="B15" s="228">
        <f t="shared" si="0"/>
        <v>11</v>
      </c>
      <c r="C15" s="229" t="s">
        <v>4118</v>
      </c>
      <c r="D15" s="224">
        <v>10</v>
      </c>
      <c r="E15" s="230"/>
      <c r="F15" s="230" t="s">
        <v>829</v>
      </c>
      <c r="G15" s="230" t="s">
        <v>133</v>
      </c>
      <c r="H15" s="230"/>
      <c r="I15" s="230"/>
      <c r="J15" s="230"/>
      <c r="K15" s="230"/>
      <c r="L15" s="215" t="s">
        <v>4119</v>
      </c>
      <c r="M15" s="19"/>
      <c r="N15" s="19"/>
      <c r="O15" s="17"/>
      <c r="P15" s="17"/>
      <c r="Q15" s="17"/>
      <c r="R15" s="17"/>
      <c r="S15" s="17"/>
    </row>
    <row r="16" spans="1:24" ht="161.4" customHeight="1" x14ac:dyDescent="0.3">
      <c r="A16" s="404"/>
      <c r="B16" s="242">
        <f t="shared" si="0"/>
        <v>12</v>
      </c>
      <c r="C16" s="243" t="s">
        <v>4120</v>
      </c>
      <c r="D16" s="43">
        <v>1</v>
      </c>
      <c r="E16" s="244" t="s">
        <v>4121</v>
      </c>
      <c r="F16" s="244" t="s">
        <v>1064</v>
      </c>
      <c r="G16" s="19" t="s">
        <v>162</v>
      </c>
      <c r="H16" s="19"/>
      <c r="I16" s="19"/>
      <c r="J16" s="19"/>
      <c r="K16" s="19"/>
      <c r="L16" s="9"/>
      <c r="M16" s="215" t="s">
        <v>4122</v>
      </c>
      <c r="N16" s="215" t="s">
        <v>4123</v>
      </c>
      <c r="O16" s="17"/>
      <c r="P16" s="17"/>
      <c r="Q16" s="17"/>
      <c r="R16" s="17"/>
      <c r="S16" s="17"/>
    </row>
    <row r="17" spans="1:19" ht="121.2" customHeight="1" x14ac:dyDescent="0.3">
      <c r="A17" s="404"/>
      <c r="B17" s="242">
        <f t="shared" si="0"/>
        <v>13</v>
      </c>
      <c r="C17" s="243" t="s">
        <v>4124</v>
      </c>
      <c r="D17" s="43">
        <v>1</v>
      </c>
      <c r="E17" s="244" t="s">
        <v>4121</v>
      </c>
      <c r="F17" s="244" t="s">
        <v>1064</v>
      </c>
      <c r="G17" s="19" t="s">
        <v>162</v>
      </c>
      <c r="H17" s="19"/>
      <c r="I17" s="19"/>
      <c r="J17" s="19"/>
      <c r="K17" s="19"/>
      <c r="L17" s="215"/>
      <c r="M17" s="19" t="s">
        <v>4125</v>
      </c>
      <c r="N17" s="215" t="s">
        <v>4126</v>
      </c>
      <c r="O17" s="17"/>
      <c r="P17" s="17"/>
      <c r="Q17" s="17"/>
      <c r="R17" s="17"/>
      <c r="S17" s="17"/>
    </row>
    <row r="18" spans="1:19" ht="15.6" x14ac:dyDescent="0.3">
      <c r="A18" s="404"/>
      <c r="B18" s="228">
        <f t="shared" si="0"/>
        <v>14</v>
      </c>
      <c r="C18" s="229" t="s">
        <v>4127</v>
      </c>
      <c r="D18" s="224">
        <v>3</v>
      </c>
      <c r="E18" s="230"/>
      <c r="F18" s="230" t="s">
        <v>366</v>
      </c>
      <c r="G18" s="230" t="s">
        <v>162</v>
      </c>
      <c r="H18" s="230"/>
      <c r="I18" s="230"/>
      <c r="J18" s="230"/>
      <c r="K18" s="230"/>
      <c r="L18" s="215" t="s">
        <v>4106</v>
      </c>
      <c r="M18" s="19"/>
      <c r="N18" s="19"/>
      <c r="O18" s="17"/>
      <c r="P18" s="17"/>
      <c r="Q18" s="17"/>
      <c r="R18" s="17"/>
      <c r="S18" s="17"/>
    </row>
    <row r="19" spans="1:19" ht="15.6" x14ac:dyDescent="0.3">
      <c r="A19" s="404"/>
      <c r="B19" s="228">
        <f t="shared" si="0"/>
        <v>15</v>
      </c>
      <c r="C19" s="229" t="s">
        <v>4128</v>
      </c>
      <c r="D19" s="224">
        <v>3</v>
      </c>
      <c r="E19" s="230"/>
      <c r="F19" s="230" t="s">
        <v>366</v>
      </c>
      <c r="G19" s="230" t="s">
        <v>162</v>
      </c>
      <c r="H19" s="230"/>
      <c r="I19" s="230"/>
      <c r="J19" s="230"/>
      <c r="K19" s="230"/>
      <c r="L19" s="215" t="s">
        <v>4106</v>
      </c>
      <c r="M19" s="19"/>
      <c r="N19" s="19"/>
      <c r="O19" s="17"/>
      <c r="P19" s="17"/>
      <c r="Q19" s="17"/>
      <c r="R19" s="17"/>
      <c r="S19" s="17"/>
    </row>
    <row r="20" spans="1:19" ht="31.2" x14ac:dyDescent="0.3">
      <c r="A20" s="404"/>
      <c r="B20" s="21">
        <f t="shared" si="0"/>
        <v>16</v>
      </c>
      <c r="C20" s="215" t="s">
        <v>4129</v>
      </c>
      <c r="D20" s="376">
        <v>1</v>
      </c>
      <c r="E20" s="19"/>
      <c r="F20" s="19" t="s">
        <v>294</v>
      </c>
      <c r="G20" s="19"/>
      <c r="H20" s="19"/>
      <c r="I20" s="19"/>
      <c r="J20" s="19"/>
      <c r="K20" s="19"/>
      <c r="L20" s="215" t="s">
        <v>4130</v>
      </c>
      <c r="M20" s="19"/>
      <c r="N20" s="19" t="s">
        <v>4131</v>
      </c>
      <c r="O20" s="17"/>
      <c r="P20" s="17"/>
      <c r="Q20" s="17"/>
      <c r="R20" s="17"/>
      <c r="S20" s="17"/>
    </row>
    <row r="21" spans="1:19" ht="31.2" x14ac:dyDescent="0.3">
      <c r="A21" s="404"/>
      <c r="B21" s="21">
        <f t="shared" si="0"/>
        <v>17</v>
      </c>
      <c r="C21" s="215" t="s">
        <v>4132</v>
      </c>
      <c r="D21" s="376">
        <v>1</v>
      </c>
      <c r="E21" s="19"/>
      <c r="F21" s="19" t="s">
        <v>294</v>
      </c>
      <c r="G21" s="19"/>
      <c r="H21" s="19"/>
      <c r="I21" s="19"/>
      <c r="J21" s="19"/>
      <c r="K21" s="19"/>
      <c r="L21" s="215" t="s">
        <v>4130</v>
      </c>
      <c r="M21" s="19"/>
      <c r="N21" s="19" t="s">
        <v>4131</v>
      </c>
      <c r="O21" s="17"/>
      <c r="P21" s="17"/>
      <c r="Q21" s="17"/>
      <c r="R21" s="17"/>
      <c r="S21" s="17"/>
    </row>
    <row r="22" spans="1:19" ht="56.4" customHeight="1" x14ac:dyDescent="0.3">
      <c r="A22" s="404"/>
      <c r="B22" s="21">
        <f t="shared" si="0"/>
        <v>18</v>
      </c>
      <c r="C22" s="215" t="s">
        <v>4133</v>
      </c>
      <c r="D22" s="376">
        <v>1</v>
      </c>
      <c r="E22" s="19" t="s">
        <v>4134</v>
      </c>
      <c r="F22" s="19" t="s">
        <v>1064</v>
      </c>
      <c r="G22" s="19" t="s">
        <v>162</v>
      </c>
      <c r="H22" s="19"/>
      <c r="I22" s="19"/>
      <c r="J22" s="19"/>
      <c r="K22" s="19"/>
      <c r="L22" s="215"/>
      <c r="M22" s="215" t="s">
        <v>4135</v>
      </c>
      <c r="N22" s="215" t="s">
        <v>4136</v>
      </c>
      <c r="O22" s="17"/>
      <c r="P22" s="17"/>
      <c r="Q22" s="17"/>
      <c r="R22" s="17"/>
      <c r="S22" s="17"/>
    </row>
    <row r="23" spans="1:19" ht="38.4" customHeight="1" x14ac:dyDescent="0.3">
      <c r="A23" s="404"/>
      <c r="B23" s="21">
        <f t="shared" si="0"/>
        <v>19</v>
      </c>
      <c r="C23" s="215" t="s">
        <v>4137</v>
      </c>
      <c r="D23" s="376">
        <v>3</v>
      </c>
      <c r="E23" s="19"/>
      <c r="F23" s="19" t="s">
        <v>265</v>
      </c>
      <c r="G23" s="19" t="s">
        <v>175</v>
      </c>
      <c r="H23" s="19"/>
      <c r="I23" s="19"/>
      <c r="J23" s="19"/>
      <c r="K23" s="19"/>
      <c r="L23" s="215"/>
      <c r="M23" s="19" t="s">
        <v>4138</v>
      </c>
      <c r="N23" s="215" t="s">
        <v>4139</v>
      </c>
      <c r="O23" s="17"/>
      <c r="P23" s="17"/>
      <c r="Q23" s="17"/>
      <c r="R23" s="17"/>
      <c r="S23" s="17"/>
    </row>
    <row r="24" spans="1:19" ht="92.4" customHeight="1" x14ac:dyDescent="0.3">
      <c r="A24" s="404"/>
      <c r="B24" s="242">
        <f t="shared" si="0"/>
        <v>20</v>
      </c>
      <c r="C24" s="243" t="s">
        <v>4140</v>
      </c>
      <c r="D24" s="43">
        <v>3</v>
      </c>
      <c r="E24" s="244" t="s">
        <v>4141</v>
      </c>
      <c r="F24" s="244"/>
      <c r="G24" s="19" t="s">
        <v>191</v>
      </c>
      <c r="H24" s="19"/>
      <c r="I24" s="19"/>
      <c r="J24" s="19"/>
      <c r="K24" s="19"/>
      <c r="L24" s="215"/>
      <c r="M24" s="215" t="s">
        <v>4142</v>
      </c>
      <c r="N24" s="215" t="s">
        <v>4143</v>
      </c>
      <c r="O24" s="17"/>
      <c r="P24" s="17"/>
      <c r="Q24" s="17"/>
      <c r="R24" s="17"/>
      <c r="S24" s="17"/>
    </row>
    <row r="25" spans="1:19" ht="79.2" customHeight="1" x14ac:dyDescent="0.3">
      <c r="A25" s="404"/>
      <c r="B25" s="21">
        <f t="shared" si="0"/>
        <v>21</v>
      </c>
      <c r="C25" s="215" t="s">
        <v>4086</v>
      </c>
      <c r="D25" s="376">
        <v>14</v>
      </c>
      <c r="E25" s="19" t="s">
        <v>4144</v>
      </c>
      <c r="F25" s="19" t="s">
        <v>1060</v>
      </c>
      <c r="G25" s="19" t="s">
        <v>154</v>
      </c>
      <c r="H25" s="19"/>
      <c r="I25" s="19"/>
      <c r="J25" s="19"/>
      <c r="K25" s="19"/>
      <c r="L25" s="215" t="s">
        <v>4145</v>
      </c>
      <c r="M25" s="215" t="s">
        <v>4146</v>
      </c>
      <c r="N25" s="215" t="s">
        <v>4147</v>
      </c>
      <c r="O25" s="17"/>
      <c r="P25" s="17"/>
      <c r="Q25" s="17"/>
      <c r="R25" s="17"/>
      <c r="S25" s="17"/>
    </row>
    <row r="26" spans="1:19" ht="128.4" customHeight="1" x14ac:dyDescent="0.3">
      <c r="A26" s="404"/>
      <c r="B26" s="21">
        <f t="shared" si="0"/>
        <v>22</v>
      </c>
      <c r="C26" s="215" t="s">
        <v>4087</v>
      </c>
      <c r="D26" s="376">
        <v>5</v>
      </c>
      <c r="E26" s="19" t="s">
        <v>4144</v>
      </c>
      <c r="F26" s="19" t="s">
        <v>1060</v>
      </c>
      <c r="G26" s="19" t="s">
        <v>183</v>
      </c>
      <c r="H26" s="19"/>
      <c r="I26" s="19"/>
      <c r="J26" s="19"/>
      <c r="K26" s="19"/>
      <c r="L26" s="215" t="s">
        <v>4148</v>
      </c>
      <c r="M26" s="19" t="s">
        <v>4149</v>
      </c>
      <c r="N26" s="215" t="s">
        <v>4150</v>
      </c>
      <c r="O26" s="17"/>
      <c r="P26" s="17"/>
      <c r="Q26" s="17"/>
      <c r="R26" s="17"/>
      <c r="S26" s="17"/>
    </row>
    <row r="27" spans="1:19" ht="163.19999999999999" customHeight="1" x14ac:dyDescent="0.3">
      <c r="A27" s="404"/>
      <c r="B27" s="21">
        <f t="shared" si="0"/>
        <v>23</v>
      </c>
      <c r="C27" s="215" t="s">
        <v>4151</v>
      </c>
      <c r="D27" s="376">
        <v>3</v>
      </c>
      <c r="E27" s="19" t="s">
        <v>4152</v>
      </c>
      <c r="F27" s="19" t="s">
        <v>1060</v>
      </c>
      <c r="G27" s="19" t="s">
        <v>183</v>
      </c>
      <c r="H27" s="19"/>
      <c r="I27" s="19"/>
      <c r="J27" s="19"/>
      <c r="K27" s="19"/>
      <c r="L27" s="215"/>
      <c r="M27" s="405" t="s">
        <v>4153</v>
      </c>
      <c r="N27" s="215" t="s">
        <v>4154</v>
      </c>
      <c r="O27" s="17"/>
      <c r="P27" s="17"/>
      <c r="Q27" s="17"/>
      <c r="R27" s="17"/>
      <c r="S27" s="17"/>
    </row>
    <row r="28" spans="1:19" ht="96.6" customHeight="1" x14ac:dyDescent="0.3">
      <c r="A28" s="404"/>
      <c r="B28" s="21">
        <f t="shared" si="0"/>
        <v>24</v>
      </c>
      <c r="C28" s="215" t="s">
        <v>4155</v>
      </c>
      <c r="D28" s="376">
        <v>3</v>
      </c>
      <c r="E28" s="19" t="s">
        <v>4152</v>
      </c>
      <c r="F28" s="19" t="s">
        <v>1060</v>
      </c>
      <c r="G28" s="19" t="s">
        <v>183</v>
      </c>
      <c r="H28" s="19"/>
      <c r="I28" s="19"/>
      <c r="J28" s="19"/>
      <c r="K28" s="19"/>
      <c r="L28" s="215"/>
      <c r="M28" s="405"/>
      <c r="N28" s="215" t="s">
        <v>4156</v>
      </c>
      <c r="O28" s="17"/>
      <c r="P28" s="17"/>
      <c r="Q28" s="17"/>
      <c r="R28" s="17"/>
      <c r="S28" s="17"/>
    </row>
    <row r="29" spans="1:19" ht="60.6" customHeight="1" x14ac:dyDescent="0.3">
      <c r="A29" s="404"/>
      <c r="B29" s="21">
        <f t="shared" si="0"/>
        <v>25</v>
      </c>
      <c r="C29" s="215" t="s">
        <v>4157</v>
      </c>
      <c r="D29" s="376">
        <v>3</v>
      </c>
      <c r="E29" s="19" t="s">
        <v>4158</v>
      </c>
      <c r="F29" s="19" t="s">
        <v>1060</v>
      </c>
      <c r="G29" s="19" t="s">
        <v>183</v>
      </c>
      <c r="H29" s="19"/>
      <c r="I29" s="19"/>
      <c r="J29" s="19"/>
      <c r="K29" s="19"/>
      <c r="L29" s="215"/>
      <c r="M29" s="19" t="s">
        <v>4159</v>
      </c>
      <c r="N29" s="19"/>
      <c r="O29" s="17"/>
      <c r="P29" s="17"/>
      <c r="Q29" s="17"/>
      <c r="R29" s="17"/>
      <c r="S29" s="17"/>
    </row>
    <row r="30" spans="1:19" ht="48.6" customHeight="1" x14ac:dyDescent="0.3">
      <c r="A30" s="409"/>
      <c r="B30" s="268">
        <f t="shared" si="0"/>
        <v>26</v>
      </c>
      <c r="C30" s="269" t="s">
        <v>4085</v>
      </c>
      <c r="D30" s="270">
        <v>3</v>
      </c>
      <c r="E30" s="271" t="s">
        <v>4160</v>
      </c>
      <c r="F30" s="271" t="s">
        <v>1122</v>
      </c>
      <c r="G30" s="271" t="s">
        <v>154</v>
      </c>
      <c r="H30" s="271"/>
      <c r="I30" s="271"/>
      <c r="J30" s="271"/>
      <c r="K30" s="271"/>
      <c r="L30" s="215"/>
      <c r="M30" s="215" t="s">
        <v>4161</v>
      </c>
      <c r="N30" s="19" t="s">
        <v>4162</v>
      </c>
      <c r="O30" s="17"/>
      <c r="P30" s="17"/>
      <c r="Q30" s="17"/>
      <c r="R30" s="17"/>
      <c r="S30" s="17"/>
    </row>
    <row r="31" spans="1:19" ht="15.6" x14ac:dyDescent="0.3">
      <c r="A31" s="1"/>
      <c r="B31" s="21"/>
      <c r="C31" s="215"/>
      <c r="D31" s="376"/>
      <c r="E31" s="19"/>
      <c r="F31" s="19"/>
      <c r="G31" s="19"/>
      <c r="H31" s="19"/>
      <c r="I31" s="19"/>
      <c r="J31" s="19"/>
      <c r="K31" s="19"/>
      <c r="L31" s="215"/>
      <c r="M31" s="19"/>
      <c r="N31" s="19"/>
      <c r="O31" s="17"/>
      <c r="P31" s="17"/>
      <c r="Q31" s="17"/>
      <c r="R31" s="17"/>
      <c r="S31" s="17"/>
    </row>
    <row r="32" spans="1:19" ht="49.95" customHeight="1" x14ac:dyDescent="0.3">
      <c r="A32" s="17" t="s">
        <v>5</v>
      </c>
      <c r="B32" s="21">
        <f t="shared" si="0"/>
        <v>28</v>
      </c>
      <c r="C32" s="215" t="s">
        <v>4163</v>
      </c>
      <c r="D32" s="376">
        <v>1</v>
      </c>
      <c r="E32" s="19" t="s">
        <v>4164</v>
      </c>
      <c r="F32" s="19" t="s">
        <v>829</v>
      </c>
      <c r="G32" s="19" t="s">
        <v>239</v>
      </c>
      <c r="H32" s="19"/>
      <c r="I32" s="19"/>
      <c r="J32" s="19"/>
      <c r="K32" s="19"/>
      <c r="L32" s="215"/>
      <c r="M32" s="215" t="s">
        <v>4165</v>
      </c>
      <c r="N32" s="215" t="s">
        <v>4166</v>
      </c>
      <c r="O32" s="17"/>
      <c r="P32" s="17"/>
      <c r="Q32" s="17"/>
      <c r="R32" s="17"/>
      <c r="S32" s="17"/>
    </row>
    <row r="33" spans="1:19" ht="26.4" customHeight="1" x14ac:dyDescent="0.3">
      <c r="A33" s="17"/>
      <c r="B33" s="21">
        <f t="shared" si="0"/>
        <v>29</v>
      </c>
      <c r="C33" s="215" t="s">
        <v>4167</v>
      </c>
      <c r="D33" s="376">
        <v>1</v>
      </c>
      <c r="E33" s="19"/>
      <c r="F33" s="19" t="s">
        <v>366</v>
      </c>
      <c r="G33" s="19" t="s">
        <v>133</v>
      </c>
      <c r="H33" s="19"/>
      <c r="I33" s="19"/>
      <c r="J33" s="19"/>
      <c r="K33" s="19"/>
      <c r="L33" s="215" t="s">
        <v>4168</v>
      </c>
      <c r="M33" s="19" t="s">
        <v>4169</v>
      </c>
      <c r="N33" s="19"/>
      <c r="O33" s="17"/>
      <c r="P33" s="17"/>
      <c r="Q33" s="17"/>
      <c r="R33" s="17"/>
      <c r="S33" s="17"/>
    </row>
    <row r="34" spans="1:19" ht="15.6" x14ac:dyDescent="0.3">
      <c r="A34" s="17"/>
      <c r="B34" s="228">
        <f t="shared" si="0"/>
        <v>30</v>
      </c>
      <c r="C34" s="229" t="s">
        <v>889</v>
      </c>
      <c r="D34" s="224">
        <v>4</v>
      </c>
      <c r="E34" s="230"/>
      <c r="F34" s="230" t="s">
        <v>829</v>
      </c>
      <c r="G34" s="230"/>
      <c r="H34" s="230"/>
      <c r="I34" s="230"/>
      <c r="J34" s="230"/>
      <c r="K34" s="230"/>
      <c r="L34" s="215" t="s">
        <v>4106</v>
      </c>
      <c r="M34" s="19"/>
      <c r="N34" s="19"/>
      <c r="O34" s="17"/>
      <c r="P34" s="17"/>
      <c r="Q34" s="17"/>
      <c r="R34" s="17"/>
      <c r="S34" s="17"/>
    </row>
    <row r="35" spans="1:19" ht="15.6" x14ac:dyDescent="0.3">
      <c r="A35" s="17"/>
      <c r="B35" s="228">
        <f t="shared" si="0"/>
        <v>31</v>
      </c>
      <c r="C35" s="229" t="s">
        <v>886</v>
      </c>
      <c r="D35" s="224">
        <f>4+2</f>
        <v>6</v>
      </c>
      <c r="E35" s="230"/>
      <c r="F35" s="230" t="s">
        <v>366</v>
      </c>
      <c r="G35" s="230"/>
      <c r="H35" s="230"/>
      <c r="I35" s="230"/>
      <c r="J35" s="230"/>
      <c r="K35" s="230"/>
      <c r="L35" s="215" t="s">
        <v>4106</v>
      </c>
      <c r="M35" s="19"/>
      <c r="N35" s="19"/>
      <c r="O35" s="17"/>
      <c r="P35" s="17"/>
      <c r="Q35" s="17"/>
      <c r="R35" s="17"/>
      <c r="S35" s="17"/>
    </row>
    <row r="36" spans="1:19" ht="65.400000000000006" customHeight="1" x14ac:dyDescent="0.3">
      <c r="A36" s="17"/>
      <c r="B36" s="21">
        <f t="shared" si="0"/>
        <v>32</v>
      </c>
      <c r="C36" s="215" t="s">
        <v>4170</v>
      </c>
      <c r="D36" s="376">
        <v>4</v>
      </c>
      <c r="E36" s="19"/>
      <c r="F36" s="19" t="s">
        <v>161</v>
      </c>
      <c r="G36" s="19" t="s">
        <v>175</v>
      </c>
      <c r="H36" s="19"/>
      <c r="I36" s="19"/>
      <c r="J36" s="19"/>
      <c r="K36" s="19"/>
      <c r="L36" s="215" t="s">
        <v>4171</v>
      </c>
      <c r="M36" s="215" t="s">
        <v>4172</v>
      </c>
      <c r="N36" s="215" t="s">
        <v>4173</v>
      </c>
      <c r="O36" s="17"/>
      <c r="P36" s="17"/>
      <c r="Q36" s="17"/>
      <c r="R36" s="17"/>
      <c r="S36" s="17"/>
    </row>
    <row r="37" spans="1:19" ht="15.6" x14ac:dyDescent="0.3">
      <c r="A37" s="17"/>
      <c r="B37" s="21">
        <f t="shared" si="0"/>
        <v>33</v>
      </c>
      <c r="C37" s="215" t="s">
        <v>4174</v>
      </c>
      <c r="D37" s="376">
        <v>3</v>
      </c>
      <c r="E37" s="19" t="s">
        <v>4175</v>
      </c>
      <c r="F37" s="19" t="s">
        <v>161</v>
      </c>
      <c r="G37" s="19"/>
      <c r="H37" s="19"/>
      <c r="I37" s="19"/>
      <c r="J37" s="19"/>
      <c r="K37" s="19"/>
      <c r="L37" s="215"/>
      <c r="M37" s="19" t="s">
        <v>4176</v>
      </c>
      <c r="N37" s="19" t="s">
        <v>4177</v>
      </c>
      <c r="O37" s="17"/>
      <c r="P37" s="17"/>
      <c r="Q37" s="17"/>
      <c r="R37" s="17"/>
      <c r="S37" s="17"/>
    </row>
    <row r="38" spans="1:19" ht="15.6" x14ac:dyDescent="0.3">
      <c r="A38" s="17"/>
      <c r="B38" s="21">
        <f t="shared" si="0"/>
        <v>34</v>
      </c>
      <c r="C38" s="215" t="s">
        <v>4178</v>
      </c>
      <c r="D38" s="376">
        <v>3</v>
      </c>
      <c r="E38" s="19" t="s">
        <v>4175</v>
      </c>
      <c r="F38" s="19" t="s">
        <v>161</v>
      </c>
      <c r="G38" s="19"/>
      <c r="H38" s="19"/>
      <c r="I38" s="19"/>
      <c r="J38" s="19"/>
      <c r="K38" s="19"/>
      <c r="L38" s="215"/>
      <c r="M38" s="19" t="s">
        <v>4176</v>
      </c>
      <c r="N38" s="19" t="s">
        <v>4177</v>
      </c>
      <c r="O38" s="17"/>
      <c r="P38" s="17"/>
      <c r="Q38" s="17"/>
      <c r="R38" s="17"/>
      <c r="S38" s="17"/>
    </row>
    <row r="39" spans="1:19" ht="88.95" customHeight="1" x14ac:dyDescent="0.3">
      <c r="A39" s="17"/>
      <c r="B39" s="21">
        <f t="shared" si="0"/>
        <v>35</v>
      </c>
      <c r="C39" s="215" t="s">
        <v>4179</v>
      </c>
      <c r="D39" s="376">
        <v>1</v>
      </c>
      <c r="E39" s="19"/>
      <c r="F39" s="19" t="s">
        <v>200</v>
      </c>
      <c r="G39" s="19"/>
      <c r="H39" s="19"/>
      <c r="I39" s="19"/>
      <c r="J39" s="19"/>
      <c r="K39" s="19"/>
      <c r="L39" s="215"/>
      <c r="M39" s="215" t="s">
        <v>4180</v>
      </c>
      <c r="N39" s="19" t="s">
        <v>4181</v>
      </c>
      <c r="O39" s="17"/>
      <c r="P39" s="17"/>
      <c r="Q39" s="17"/>
      <c r="R39" s="17"/>
      <c r="S39" s="17"/>
    </row>
    <row r="40" spans="1:19" ht="15.6" x14ac:dyDescent="0.3">
      <c r="A40" s="17"/>
      <c r="B40" s="21">
        <f t="shared" si="0"/>
        <v>36</v>
      </c>
      <c r="C40" s="215" t="s">
        <v>4182</v>
      </c>
      <c r="D40" s="376">
        <v>1</v>
      </c>
      <c r="E40" s="19"/>
      <c r="F40" s="19" t="s">
        <v>200</v>
      </c>
      <c r="G40" s="19"/>
      <c r="H40" s="19"/>
      <c r="I40" s="19"/>
      <c r="J40" s="19"/>
      <c r="K40" s="19"/>
      <c r="L40" s="215"/>
      <c r="M40" s="19" t="s">
        <v>4176</v>
      </c>
      <c r="N40" s="19"/>
      <c r="O40" s="17"/>
      <c r="P40" s="17"/>
      <c r="Q40" s="17"/>
      <c r="R40" s="17"/>
      <c r="S40" s="17"/>
    </row>
    <row r="41" spans="1:19" ht="160.19999999999999" customHeight="1" x14ac:dyDescent="0.3">
      <c r="A41" s="17"/>
      <c r="B41" s="21">
        <f t="shared" si="0"/>
        <v>37</v>
      </c>
      <c r="C41" s="215" t="s">
        <v>4183</v>
      </c>
      <c r="D41" s="376">
        <v>23</v>
      </c>
      <c r="E41" s="19"/>
      <c r="F41" s="19" t="s">
        <v>166</v>
      </c>
      <c r="G41" s="19" t="s">
        <v>191</v>
      </c>
      <c r="H41" s="19"/>
      <c r="I41" s="19"/>
      <c r="J41" s="19"/>
      <c r="K41" s="19"/>
      <c r="L41" s="215" t="s">
        <v>4184</v>
      </c>
      <c r="M41" s="215" t="s">
        <v>4185</v>
      </c>
      <c r="N41" s="215" t="s">
        <v>4186</v>
      </c>
      <c r="O41" s="17"/>
      <c r="P41" s="17"/>
      <c r="Q41" s="17"/>
      <c r="R41" s="17"/>
      <c r="S41" s="17"/>
    </row>
    <row r="42" spans="1:19" ht="100.95" customHeight="1" x14ac:dyDescent="0.3">
      <c r="A42" s="17"/>
      <c r="B42" s="21">
        <f t="shared" si="0"/>
        <v>38</v>
      </c>
      <c r="C42" s="215" t="s">
        <v>4187</v>
      </c>
      <c r="D42" s="376">
        <v>27</v>
      </c>
      <c r="E42" s="19"/>
      <c r="F42" s="19" t="s">
        <v>166</v>
      </c>
      <c r="G42" s="19" t="s">
        <v>295</v>
      </c>
      <c r="H42" s="19"/>
      <c r="I42" s="19"/>
      <c r="J42" s="19"/>
      <c r="K42" s="19"/>
      <c r="L42" s="215" t="s">
        <v>4184</v>
      </c>
      <c r="M42" s="215" t="s">
        <v>4188</v>
      </c>
      <c r="N42" s="19"/>
      <c r="O42" s="17"/>
      <c r="P42" s="17"/>
      <c r="Q42" s="17"/>
      <c r="R42" s="17"/>
      <c r="S42" s="17"/>
    </row>
    <row r="43" spans="1:19" ht="15.6" x14ac:dyDescent="0.3">
      <c r="A43" s="17"/>
      <c r="B43" s="21">
        <f t="shared" si="0"/>
        <v>39</v>
      </c>
      <c r="C43" s="215" t="s">
        <v>4189</v>
      </c>
      <c r="D43" s="376">
        <v>1</v>
      </c>
      <c r="E43" s="19"/>
      <c r="F43" s="19" t="s">
        <v>166</v>
      </c>
      <c r="G43" s="19" t="s">
        <v>191</v>
      </c>
      <c r="H43" s="19"/>
      <c r="I43" s="19"/>
      <c r="J43" s="19"/>
      <c r="K43" s="19"/>
      <c r="L43" s="215"/>
      <c r="M43" s="19" t="s">
        <v>4190</v>
      </c>
      <c r="N43" s="19"/>
      <c r="O43" s="17"/>
      <c r="P43" s="17"/>
      <c r="Q43" s="17"/>
      <c r="R43" s="17"/>
      <c r="S43" s="17"/>
    </row>
    <row r="44" spans="1:19" ht="15.6" x14ac:dyDescent="0.3">
      <c r="A44" s="17"/>
      <c r="B44" s="21">
        <f t="shared" si="0"/>
        <v>40</v>
      </c>
      <c r="C44" s="215" t="s">
        <v>4191</v>
      </c>
      <c r="D44" s="376">
        <v>1</v>
      </c>
      <c r="E44" s="19"/>
      <c r="F44" s="19" t="s">
        <v>166</v>
      </c>
      <c r="G44" s="19" t="s">
        <v>295</v>
      </c>
      <c r="H44" s="19"/>
      <c r="I44" s="19"/>
      <c r="J44" s="19"/>
      <c r="K44" s="19"/>
      <c r="L44" s="215"/>
      <c r="M44" s="19"/>
      <c r="N44" s="19"/>
      <c r="O44" s="17"/>
      <c r="P44" s="17"/>
      <c r="Q44" s="17"/>
      <c r="R44" s="17"/>
      <c r="S44" s="17"/>
    </row>
    <row r="45" spans="1:19" ht="126" customHeight="1" x14ac:dyDescent="0.3">
      <c r="A45" s="17"/>
      <c r="B45" s="21">
        <f t="shared" si="0"/>
        <v>41</v>
      </c>
      <c r="C45" s="215" t="s">
        <v>4192</v>
      </c>
      <c r="D45" s="376">
        <v>1</v>
      </c>
      <c r="E45" s="251" t="s">
        <v>4193</v>
      </c>
      <c r="F45" s="19" t="s">
        <v>294</v>
      </c>
      <c r="G45" s="19"/>
      <c r="H45" s="19"/>
      <c r="I45" s="19"/>
      <c r="J45" s="19"/>
      <c r="K45" s="19"/>
      <c r="L45" s="215"/>
      <c r="M45" s="19"/>
      <c r="N45" s="215" t="s">
        <v>4194</v>
      </c>
      <c r="O45" s="17"/>
      <c r="P45" s="17"/>
      <c r="Q45" s="17"/>
      <c r="R45" s="17"/>
      <c r="S45" s="17"/>
    </row>
    <row r="46" spans="1:19" ht="34.950000000000003" customHeight="1" x14ac:dyDescent="0.3">
      <c r="A46" s="17"/>
      <c r="B46" s="21">
        <f t="shared" si="0"/>
        <v>42</v>
      </c>
      <c r="C46" s="215" t="s">
        <v>4195</v>
      </c>
      <c r="D46" s="376">
        <v>1</v>
      </c>
      <c r="E46" s="215" t="s">
        <v>4196</v>
      </c>
      <c r="F46" s="19" t="s">
        <v>294</v>
      </c>
      <c r="G46" s="19"/>
      <c r="H46" s="19"/>
      <c r="I46" s="19"/>
      <c r="J46" s="19"/>
      <c r="K46" s="19"/>
      <c r="L46" s="215"/>
      <c r="M46" s="215" t="s">
        <v>4197</v>
      </c>
      <c r="N46" s="215" t="s">
        <v>4198</v>
      </c>
      <c r="O46" s="17"/>
      <c r="P46" s="17"/>
      <c r="Q46" s="17"/>
      <c r="R46" s="17"/>
      <c r="S46" s="17"/>
    </row>
    <row r="47" spans="1:19" ht="76.95" customHeight="1" x14ac:dyDescent="0.3">
      <c r="A47" s="17"/>
      <c r="B47" s="21"/>
      <c r="C47" s="215" t="s">
        <v>4199</v>
      </c>
      <c r="D47" s="376"/>
      <c r="E47" s="19" t="s">
        <v>4200</v>
      </c>
      <c r="F47" s="19" t="s">
        <v>1060</v>
      </c>
      <c r="G47" s="19" t="s">
        <v>162</v>
      </c>
      <c r="H47" s="19"/>
      <c r="I47" s="19"/>
      <c r="J47" s="19"/>
      <c r="K47" s="19"/>
      <c r="L47" s="215"/>
      <c r="M47" s="215" t="s">
        <v>4201</v>
      </c>
      <c r="N47" s="215" t="s">
        <v>4202</v>
      </c>
      <c r="O47" s="17"/>
      <c r="P47" s="17"/>
      <c r="Q47" s="17"/>
      <c r="R47" s="17"/>
      <c r="S47" s="17"/>
    </row>
    <row r="48" spans="1:19" ht="62.4" x14ac:dyDescent="0.3">
      <c r="A48" s="17"/>
      <c r="B48" s="21">
        <f t="shared" si="0"/>
        <v>44</v>
      </c>
      <c r="C48" s="215" t="s">
        <v>4203</v>
      </c>
      <c r="D48" s="376">
        <v>1</v>
      </c>
      <c r="E48" s="19" t="s">
        <v>4204</v>
      </c>
      <c r="F48" s="19" t="s">
        <v>1064</v>
      </c>
      <c r="G48" s="19" t="s">
        <v>830</v>
      </c>
      <c r="H48" s="19"/>
      <c r="I48" s="19"/>
      <c r="J48" s="19"/>
      <c r="K48" s="19"/>
      <c r="L48" s="215"/>
      <c r="M48" s="21"/>
      <c r="N48" s="215" t="s">
        <v>4205</v>
      </c>
      <c r="O48" s="17"/>
      <c r="P48" s="17"/>
      <c r="Q48" s="17"/>
      <c r="R48" s="17"/>
      <c r="S48" s="17"/>
    </row>
    <row r="49" spans="1:19" ht="66.599999999999994" customHeight="1" x14ac:dyDescent="0.3">
      <c r="A49" s="17"/>
      <c r="B49" s="272">
        <f t="shared" si="0"/>
        <v>45</v>
      </c>
      <c r="C49" s="273" t="s">
        <v>4206</v>
      </c>
      <c r="D49" s="274">
        <v>9</v>
      </c>
      <c r="E49" s="275"/>
      <c r="F49" s="275" t="s">
        <v>294</v>
      </c>
      <c r="G49" s="275" t="s">
        <v>830</v>
      </c>
      <c r="H49" s="275"/>
      <c r="I49" s="275"/>
      <c r="J49" s="275"/>
      <c r="K49" s="275"/>
      <c r="L49" s="215"/>
      <c r="M49" s="215" t="s">
        <v>4207</v>
      </c>
      <c r="N49" s="215" t="s">
        <v>4208</v>
      </c>
      <c r="O49" s="17"/>
      <c r="P49" s="17"/>
      <c r="Q49" s="17"/>
      <c r="R49" s="17"/>
      <c r="S49" s="17"/>
    </row>
    <row r="50" spans="1:19" ht="15.6" x14ac:dyDescent="0.3">
      <c r="A50" s="17"/>
      <c r="B50" s="21">
        <f t="shared" si="0"/>
        <v>46</v>
      </c>
      <c r="C50" s="215" t="s">
        <v>4209</v>
      </c>
      <c r="D50" s="376">
        <v>1</v>
      </c>
      <c r="E50" s="19"/>
      <c r="F50" s="19" t="s">
        <v>166</v>
      </c>
      <c r="G50" s="19"/>
      <c r="H50" s="19"/>
      <c r="I50" s="19"/>
      <c r="J50" s="19"/>
      <c r="K50" s="19"/>
      <c r="L50" s="215"/>
      <c r="M50" s="19" t="s">
        <v>4210</v>
      </c>
      <c r="N50" s="19"/>
      <c r="O50" s="17"/>
      <c r="P50" s="17"/>
      <c r="Q50" s="17"/>
      <c r="R50" s="17"/>
      <c r="S50" s="17"/>
    </row>
    <row r="51" spans="1:19" ht="31.2" x14ac:dyDescent="0.3">
      <c r="A51" s="17"/>
      <c r="B51" s="21">
        <f t="shared" si="0"/>
        <v>47</v>
      </c>
      <c r="C51" s="215" t="s">
        <v>4211</v>
      </c>
      <c r="D51" s="376">
        <v>1</v>
      </c>
      <c r="E51" s="19"/>
      <c r="F51" s="19" t="s">
        <v>166</v>
      </c>
      <c r="G51" s="19"/>
      <c r="H51" s="19"/>
      <c r="I51" s="19"/>
      <c r="J51" s="19"/>
      <c r="K51" s="19"/>
      <c r="L51" s="215"/>
      <c r="M51" s="215" t="s">
        <v>4212</v>
      </c>
      <c r="N51" s="19"/>
      <c r="O51" s="17"/>
      <c r="P51" s="17"/>
      <c r="Q51" s="17"/>
      <c r="R51" s="17"/>
      <c r="S51" s="17"/>
    </row>
    <row r="52" spans="1:19" ht="62.4" x14ac:dyDescent="0.3">
      <c r="A52" s="17"/>
      <c r="B52" s="242">
        <f t="shared" si="0"/>
        <v>48</v>
      </c>
      <c r="C52" s="243" t="s">
        <v>4213</v>
      </c>
      <c r="D52" s="43">
        <v>1</v>
      </c>
      <c r="E52" s="244"/>
      <c r="F52" s="244" t="s">
        <v>161</v>
      </c>
      <c r="G52" s="244"/>
      <c r="H52" s="244"/>
      <c r="I52" s="244"/>
      <c r="J52" s="244"/>
      <c r="K52" s="244"/>
      <c r="L52" s="215" t="s">
        <v>4214</v>
      </c>
      <c r="M52" s="253" t="s">
        <v>4215</v>
      </c>
      <c r="N52" s="215" t="s">
        <v>4216</v>
      </c>
      <c r="O52" s="17"/>
      <c r="P52" s="17"/>
      <c r="Q52" s="17"/>
      <c r="R52" s="17"/>
      <c r="S52" s="17"/>
    </row>
    <row r="53" spans="1:19" ht="15.6" x14ac:dyDescent="0.3">
      <c r="A53" s="17"/>
      <c r="B53" s="21">
        <f t="shared" si="0"/>
        <v>49</v>
      </c>
      <c r="C53" s="215"/>
      <c r="D53" s="376"/>
      <c r="E53" s="19"/>
      <c r="F53" s="19"/>
      <c r="G53" s="19"/>
      <c r="H53" s="19"/>
      <c r="I53" s="19"/>
      <c r="J53" s="19"/>
      <c r="K53" s="19"/>
      <c r="L53" s="215"/>
      <c r="M53" s="19"/>
      <c r="N53" s="19"/>
      <c r="O53" s="17"/>
      <c r="P53" s="17"/>
      <c r="Q53" s="17"/>
      <c r="R53" s="17"/>
      <c r="S53" s="17"/>
    </row>
    <row r="54" spans="1:19" ht="46.8" x14ac:dyDescent="0.3">
      <c r="A54" s="19" t="s">
        <v>36</v>
      </c>
      <c r="B54" s="21">
        <f t="shared" si="0"/>
        <v>50</v>
      </c>
      <c r="C54" s="245" t="s">
        <v>4217</v>
      </c>
      <c r="D54" s="376">
        <v>1</v>
      </c>
      <c r="E54" s="19"/>
      <c r="F54" s="19" t="s">
        <v>200</v>
      </c>
      <c r="G54" s="19" t="s">
        <v>295</v>
      </c>
      <c r="H54" s="19"/>
      <c r="I54" s="19"/>
      <c r="J54" s="19"/>
      <c r="K54" s="19"/>
      <c r="L54" s="215" t="s">
        <v>4218</v>
      </c>
      <c r="M54" s="215" t="s">
        <v>4219</v>
      </c>
      <c r="N54" s="19"/>
      <c r="O54" s="17"/>
      <c r="P54" s="17"/>
      <c r="Q54" s="17"/>
      <c r="R54" s="17"/>
      <c r="S54" s="17"/>
    </row>
    <row r="55" spans="1:19" ht="15.6" x14ac:dyDescent="0.3">
      <c r="A55" s="17"/>
      <c r="B55" s="21">
        <f t="shared" si="0"/>
        <v>51</v>
      </c>
      <c r="C55" s="245" t="s">
        <v>4220</v>
      </c>
      <c r="D55" s="376">
        <v>1</v>
      </c>
      <c r="E55" s="19"/>
      <c r="F55" s="19" t="s">
        <v>200</v>
      </c>
      <c r="G55" s="19" t="s">
        <v>191</v>
      </c>
      <c r="H55" s="19"/>
      <c r="I55" s="19"/>
      <c r="J55" s="19"/>
      <c r="K55" s="19"/>
      <c r="L55" s="215"/>
      <c r="M55" s="19"/>
      <c r="N55" s="19"/>
      <c r="O55" s="17"/>
      <c r="P55" s="17"/>
      <c r="Q55" s="17"/>
      <c r="R55" s="17"/>
      <c r="S55" s="17"/>
    </row>
    <row r="56" spans="1:19" ht="31.2" x14ac:dyDescent="0.3">
      <c r="A56" s="17"/>
      <c r="B56" s="21">
        <f t="shared" si="0"/>
        <v>52</v>
      </c>
      <c r="C56" s="245" t="s">
        <v>4221</v>
      </c>
      <c r="D56" s="376">
        <v>1</v>
      </c>
      <c r="E56" s="19"/>
      <c r="F56" s="19" t="s">
        <v>200</v>
      </c>
      <c r="G56" s="19" t="s">
        <v>295</v>
      </c>
      <c r="H56" s="19"/>
      <c r="I56" s="19"/>
      <c r="J56" s="19"/>
      <c r="K56" s="19"/>
      <c r="L56" s="215"/>
      <c r="M56" s="215" t="s">
        <v>4222</v>
      </c>
      <c r="N56" s="19"/>
      <c r="O56" s="17"/>
      <c r="P56" s="17"/>
      <c r="Q56" s="17"/>
      <c r="R56" s="17"/>
      <c r="S56" s="17"/>
    </row>
    <row r="57" spans="1:19" ht="15.6" x14ac:dyDescent="0.3">
      <c r="A57" s="17"/>
      <c r="B57" s="21">
        <f t="shared" si="0"/>
        <v>53</v>
      </c>
      <c r="C57" s="245" t="s">
        <v>4223</v>
      </c>
      <c r="D57" s="376">
        <v>1</v>
      </c>
      <c r="E57" s="19"/>
      <c r="F57" s="19" t="s">
        <v>200</v>
      </c>
      <c r="G57" s="19" t="s">
        <v>191</v>
      </c>
      <c r="H57" s="19"/>
      <c r="I57" s="19"/>
      <c r="J57" s="19"/>
      <c r="K57" s="19"/>
      <c r="L57" s="215"/>
      <c r="M57" s="19" t="s">
        <v>4224</v>
      </c>
      <c r="N57" s="19"/>
      <c r="O57" s="17"/>
      <c r="P57" s="17"/>
      <c r="Q57" s="17"/>
      <c r="R57" s="17"/>
      <c r="S57" s="17"/>
    </row>
    <row r="58" spans="1:19" ht="157.94999999999999" customHeight="1" x14ac:dyDescent="0.3">
      <c r="A58" s="17"/>
      <c r="B58" s="21">
        <f t="shared" si="0"/>
        <v>54</v>
      </c>
      <c r="C58" s="245" t="s">
        <v>4225</v>
      </c>
      <c r="D58" s="376">
        <v>1</v>
      </c>
      <c r="E58" s="19"/>
      <c r="F58" s="19" t="s">
        <v>265</v>
      </c>
      <c r="G58" s="19" t="s">
        <v>175</v>
      </c>
      <c r="H58" s="19"/>
      <c r="I58" s="19"/>
      <c r="J58" s="19"/>
      <c r="K58" s="19"/>
      <c r="L58" s="215" t="s">
        <v>4226</v>
      </c>
      <c r="M58" s="19"/>
      <c r="N58" s="215" t="s">
        <v>4227</v>
      </c>
      <c r="O58" s="17"/>
      <c r="P58" s="17"/>
      <c r="Q58" s="17"/>
      <c r="R58" s="17"/>
      <c r="S58" s="17"/>
    </row>
    <row r="59" spans="1:19" ht="31.2" x14ac:dyDescent="0.3">
      <c r="A59" s="17"/>
      <c r="B59" s="21">
        <f t="shared" si="0"/>
        <v>55</v>
      </c>
      <c r="C59" s="245" t="s">
        <v>4228</v>
      </c>
      <c r="D59" s="376">
        <v>1</v>
      </c>
      <c r="E59" s="19"/>
      <c r="F59" s="19" t="s">
        <v>265</v>
      </c>
      <c r="G59" s="19" t="s">
        <v>175</v>
      </c>
      <c r="H59" s="19"/>
      <c r="I59" s="19"/>
      <c r="J59" s="19"/>
      <c r="K59" s="19"/>
      <c r="L59" s="215" t="s">
        <v>4226</v>
      </c>
      <c r="M59" s="19"/>
      <c r="N59" s="19"/>
      <c r="O59" s="17"/>
      <c r="P59" s="17"/>
      <c r="Q59" s="17"/>
      <c r="R59" s="17"/>
      <c r="S59" s="17"/>
    </row>
    <row r="60" spans="1:19" ht="15.6" x14ac:dyDescent="0.3">
      <c r="A60" s="17"/>
      <c r="B60" s="21">
        <f t="shared" si="0"/>
        <v>56</v>
      </c>
      <c r="C60" s="215" t="s">
        <v>4229</v>
      </c>
      <c r="D60" s="376">
        <v>2</v>
      </c>
      <c r="E60" s="19"/>
      <c r="F60" s="19"/>
      <c r="G60" s="19"/>
      <c r="H60" s="19"/>
      <c r="I60" s="19"/>
      <c r="J60" s="19"/>
      <c r="K60" s="19"/>
      <c r="L60" s="215"/>
      <c r="M60" s="19"/>
      <c r="N60" s="19"/>
      <c r="O60" s="17"/>
      <c r="P60" s="17"/>
      <c r="Q60" s="17"/>
      <c r="R60" s="17"/>
      <c r="S60" s="17"/>
    </row>
    <row r="61" spans="1:19" ht="15.6" x14ac:dyDescent="0.3">
      <c r="A61" s="17"/>
      <c r="B61" s="21">
        <f t="shared" si="0"/>
        <v>57</v>
      </c>
      <c r="C61" s="215" t="s">
        <v>4230</v>
      </c>
      <c r="D61" s="376">
        <v>1</v>
      </c>
      <c r="E61" s="19"/>
      <c r="F61" s="19" t="s">
        <v>366</v>
      </c>
      <c r="G61" s="19" t="s">
        <v>778</v>
      </c>
      <c r="H61" s="19"/>
      <c r="I61" s="19"/>
      <c r="J61" s="19"/>
      <c r="K61" s="19"/>
      <c r="L61" s="215"/>
      <c r="M61" s="19"/>
      <c r="N61" s="19"/>
      <c r="O61" s="17"/>
      <c r="P61" s="17"/>
      <c r="Q61" s="17"/>
      <c r="R61" s="17"/>
      <c r="S61" s="17"/>
    </row>
    <row r="62" spans="1:19" ht="15.6" x14ac:dyDescent="0.3">
      <c r="A62" s="17"/>
      <c r="B62" s="21">
        <f t="shared" si="0"/>
        <v>58</v>
      </c>
      <c r="C62" s="215"/>
      <c r="D62" s="376"/>
      <c r="E62" s="19"/>
      <c r="F62" s="19"/>
      <c r="G62" s="19"/>
      <c r="H62" s="19"/>
      <c r="I62" s="19"/>
      <c r="J62" s="19"/>
      <c r="K62" s="19"/>
      <c r="L62" s="215"/>
      <c r="M62" s="19"/>
      <c r="N62" s="19"/>
      <c r="O62" s="17"/>
      <c r="P62" s="17"/>
      <c r="Q62" s="17"/>
      <c r="R62" s="17"/>
      <c r="S62" s="17"/>
    </row>
    <row r="63" spans="1:19" ht="15.6" x14ac:dyDescent="0.3">
      <c r="A63" s="17"/>
      <c r="B63" s="21">
        <f t="shared" si="0"/>
        <v>59</v>
      </c>
      <c r="C63" s="215"/>
      <c r="D63" s="376"/>
      <c r="E63" s="19"/>
      <c r="F63" s="19"/>
      <c r="G63" s="19"/>
      <c r="H63" s="19"/>
      <c r="I63" s="19"/>
      <c r="J63" s="19"/>
      <c r="K63" s="19"/>
      <c r="L63" s="215"/>
      <c r="M63" s="19"/>
      <c r="N63" s="19"/>
      <c r="O63" s="17"/>
      <c r="P63" s="17"/>
      <c r="Q63" s="17"/>
      <c r="R63" s="17"/>
      <c r="S63" s="17"/>
    </row>
    <row r="64" spans="1:19" ht="33" customHeight="1" x14ac:dyDescent="0.3">
      <c r="A64" s="231" t="s">
        <v>0</v>
      </c>
      <c r="B64" s="21">
        <f t="shared" si="0"/>
        <v>60</v>
      </c>
      <c r="C64" s="215" t="s">
        <v>4231</v>
      </c>
      <c r="D64" s="376">
        <v>3</v>
      </c>
      <c r="E64" s="19"/>
      <c r="F64" s="19" t="s">
        <v>190</v>
      </c>
      <c r="G64" s="19" t="s">
        <v>239</v>
      </c>
      <c r="H64" s="19"/>
      <c r="I64" s="19"/>
      <c r="J64" s="19"/>
      <c r="K64" s="19"/>
      <c r="L64" s="215" t="s">
        <v>4232</v>
      </c>
      <c r="M64" s="215" t="s">
        <v>4233</v>
      </c>
      <c r="N64" s="19"/>
      <c r="O64" s="17"/>
      <c r="P64" s="17"/>
      <c r="Q64" s="17"/>
      <c r="R64" s="17"/>
      <c r="S64" s="17"/>
    </row>
    <row r="65" spans="1:19" ht="93.6" customHeight="1" x14ac:dyDescent="0.3">
      <c r="A65" s="17"/>
      <c r="B65" s="21">
        <f t="shared" si="0"/>
        <v>61</v>
      </c>
      <c r="C65" s="215" t="s">
        <v>4234</v>
      </c>
      <c r="D65" s="376">
        <v>1</v>
      </c>
      <c r="E65" s="19"/>
      <c r="F65" s="19" t="s">
        <v>294</v>
      </c>
      <c r="G65" s="19" t="s">
        <v>183</v>
      </c>
      <c r="H65" s="19"/>
      <c r="I65" s="19"/>
      <c r="J65" s="19"/>
      <c r="K65" s="19"/>
      <c r="L65" s="215" t="s">
        <v>4235</v>
      </c>
      <c r="M65" s="215" t="s">
        <v>4236</v>
      </c>
      <c r="N65" s="215" t="s">
        <v>4237</v>
      </c>
      <c r="O65" s="17"/>
      <c r="P65" s="17"/>
      <c r="Q65" s="17"/>
      <c r="R65" s="17"/>
      <c r="S65" s="17"/>
    </row>
    <row r="66" spans="1:19" ht="91.95" customHeight="1" x14ac:dyDescent="0.3">
      <c r="A66" s="17"/>
      <c r="B66" s="21">
        <f t="shared" si="0"/>
        <v>62</v>
      </c>
      <c r="C66" s="215" t="s">
        <v>4238</v>
      </c>
      <c r="D66" s="376">
        <v>1</v>
      </c>
      <c r="E66" s="215" t="s">
        <v>4239</v>
      </c>
      <c r="F66" s="19" t="s">
        <v>161</v>
      </c>
      <c r="G66" s="19"/>
      <c r="H66" s="19"/>
      <c r="I66" s="19"/>
      <c r="J66" s="19"/>
      <c r="K66" s="19"/>
      <c r="L66" s="215"/>
      <c r="M66" s="19" t="s">
        <v>4240</v>
      </c>
      <c r="N66" s="215" t="s">
        <v>4241</v>
      </c>
      <c r="O66" s="17"/>
      <c r="P66" s="17"/>
      <c r="Q66" s="17"/>
      <c r="R66" s="17"/>
      <c r="S66" s="17"/>
    </row>
    <row r="67" spans="1:19" ht="46.8" x14ac:dyDescent="0.3">
      <c r="A67" s="17"/>
      <c r="B67" s="21">
        <f t="shared" si="0"/>
        <v>63</v>
      </c>
      <c r="C67" s="215" t="s">
        <v>4242</v>
      </c>
      <c r="D67" s="376">
        <v>1</v>
      </c>
      <c r="E67" s="19"/>
      <c r="F67" s="19" t="s">
        <v>294</v>
      </c>
      <c r="G67" s="19" t="s">
        <v>239</v>
      </c>
      <c r="H67" s="19"/>
      <c r="I67" s="19"/>
      <c r="J67" s="19"/>
      <c r="K67" s="19"/>
      <c r="L67" s="215"/>
      <c r="M67" s="215" t="s">
        <v>4243</v>
      </c>
      <c r="N67" s="215" t="s">
        <v>4244</v>
      </c>
      <c r="O67" s="17"/>
      <c r="P67" s="17"/>
      <c r="Q67" s="17"/>
      <c r="R67" s="17"/>
      <c r="S67" s="17"/>
    </row>
    <row r="68" spans="1:19" ht="31.2" x14ac:dyDescent="0.3">
      <c r="A68" s="17"/>
      <c r="B68" s="228">
        <f t="shared" si="0"/>
        <v>64</v>
      </c>
      <c r="C68" s="229" t="s">
        <v>4245</v>
      </c>
      <c r="D68" s="224">
        <v>2</v>
      </c>
      <c r="E68" s="230"/>
      <c r="F68" s="230" t="s">
        <v>1060</v>
      </c>
      <c r="G68" s="230"/>
      <c r="H68" s="230"/>
      <c r="I68" s="230"/>
      <c r="J68" s="230"/>
      <c r="K68" s="230"/>
      <c r="L68" s="215" t="s">
        <v>4246</v>
      </c>
      <c r="M68" s="19"/>
      <c r="N68" s="19"/>
      <c r="O68" s="17"/>
      <c r="P68" s="17"/>
      <c r="Q68" s="17"/>
      <c r="R68" s="17"/>
      <c r="S68" s="17"/>
    </row>
    <row r="69" spans="1:19" ht="15.6" x14ac:dyDescent="0.3">
      <c r="A69" s="17"/>
      <c r="B69" s="228">
        <f t="shared" si="0"/>
        <v>65</v>
      </c>
      <c r="C69" s="229" t="s">
        <v>4247</v>
      </c>
      <c r="D69" s="224">
        <v>1</v>
      </c>
      <c r="E69" s="230"/>
      <c r="F69" s="230" t="s">
        <v>1060</v>
      </c>
      <c r="G69" s="230"/>
      <c r="H69" s="230"/>
      <c r="I69" s="230"/>
      <c r="J69" s="230"/>
      <c r="K69" s="230"/>
      <c r="L69" s="215" t="s">
        <v>4248</v>
      </c>
      <c r="M69" s="19"/>
      <c r="N69" s="19"/>
      <c r="O69" s="17"/>
      <c r="P69" s="17"/>
      <c r="Q69" s="17"/>
      <c r="R69" s="17"/>
      <c r="S69" s="17"/>
    </row>
    <row r="70" spans="1:19" ht="15.6" x14ac:dyDescent="0.3">
      <c r="A70" s="17"/>
      <c r="B70" s="228">
        <f t="shared" si="0"/>
        <v>66</v>
      </c>
      <c r="C70" s="229" t="s">
        <v>4249</v>
      </c>
      <c r="D70" s="224">
        <v>1</v>
      </c>
      <c r="E70" s="230"/>
      <c r="F70" s="230" t="s">
        <v>1060</v>
      </c>
      <c r="G70" s="230"/>
      <c r="H70" s="230"/>
      <c r="I70" s="230"/>
      <c r="J70" s="230"/>
      <c r="K70" s="230"/>
      <c r="L70" s="215" t="s">
        <v>4248</v>
      </c>
      <c r="M70" s="19"/>
      <c r="N70" s="19"/>
      <c r="O70" s="17"/>
      <c r="P70" s="17"/>
      <c r="Q70" s="17"/>
      <c r="R70" s="17"/>
      <c r="S70" s="17"/>
    </row>
    <row r="71" spans="1:19" ht="15.6" x14ac:dyDescent="0.3">
      <c r="A71" s="17"/>
      <c r="B71" s="21">
        <f t="shared" si="0"/>
        <v>67</v>
      </c>
      <c r="C71" s="215" t="s">
        <v>4250</v>
      </c>
      <c r="D71" s="376">
        <v>4</v>
      </c>
      <c r="E71" s="19"/>
      <c r="F71" s="19" t="s">
        <v>166</v>
      </c>
      <c r="G71" s="19" t="s">
        <v>778</v>
      </c>
      <c r="H71" s="19"/>
      <c r="I71" s="19"/>
      <c r="J71" s="19"/>
      <c r="K71" s="19"/>
      <c r="L71" s="215"/>
      <c r="M71" s="19"/>
      <c r="N71" s="19"/>
      <c r="O71" s="17"/>
      <c r="P71" s="17"/>
      <c r="Q71" s="17"/>
      <c r="R71" s="17"/>
      <c r="S71" s="17"/>
    </row>
    <row r="72" spans="1:19" ht="15.6" x14ac:dyDescent="0.3">
      <c r="A72" s="17"/>
      <c r="B72" s="21">
        <f t="shared" si="0"/>
        <v>68</v>
      </c>
      <c r="C72" s="215"/>
      <c r="D72" s="376"/>
      <c r="E72" s="19"/>
      <c r="F72" s="19"/>
      <c r="G72" s="19"/>
      <c r="H72" s="19"/>
      <c r="I72" s="19"/>
      <c r="J72" s="19"/>
      <c r="K72" s="19"/>
      <c r="L72" s="215"/>
      <c r="M72" s="19"/>
      <c r="N72" s="19"/>
      <c r="O72" s="17"/>
      <c r="P72" s="17"/>
      <c r="Q72" s="17"/>
      <c r="R72" s="17"/>
      <c r="S72" s="17"/>
    </row>
    <row r="73" spans="1:19" ht="15.6" x14ac:dyDescent="0.3">
      <c r="A73" s="17"/>
      <c r="B73" s="21">
        <f t="shared" si="0"/>
        <v>69</v>
      </c>
      <c r="C73" s="215"/>
      <c r="D73" s="376"/>
      <c r="E73" s="19"/>
      <c r="F73" s="19"/>
      <c r="G73" s="19"/>
      <c r="H73" s="19"/>
      <c r="I73" s="19"/>
      <c r="J73" s="19"/>
      <c r="K73" s="19"/>
      <c r="L73" s="215"/>
      <c r="M73" s="19"/>
      <c r="N73" s="19"/>
      <c r="O73" s="17"/>
      <c r="P73" s="17"/>
      <c r="Q73" s="17"/>
      <c r="R73" s="17"/>
      <c r="S73" s="17"/>
    </row>
    <row r="74" spans="1:19" ht="157.94999999999999" customHeight="1" x14ac:dyDescent="0.3">
      <c r="A74" s="17"/>
      <c r="B74" s="21">
        <f t="shared" si="0"/>
        <v>70</v>
      </c>
      <c r="C74" s="215" t="s">
        <v>4251</v>
      </c>
      <c r="D74" s="376"/>
      <c r="E74" s="19"/>
      <c r="F74" s="19" t="s">
        <v>132</v>
      </c>
      <c r="G74" s="19"/>
      <c r="H74" s="19"/>
      <c r="I74" s="19"/>
      <c r="J74" s="19"/>
      <c r="K74" s="19"/>
      <c r="L74" s="215"/>
      <c r="M74" s="19"/>
      <c r="N74" s="215" t="s">
        <v>4252</v>
      </c>
      <c r="O74" s="17"/>
      <c r="P74" s="17"/>
      <c r="Q74" s="17"/>
      <c r="R74" s="17"/>
      <c r="S74" s="17"/>
    </row>
    <row r="75" spans="1:19" ht="15.6" x14ac:dyDescent="0.3">
      <c r="A75" s="17"/>
      <c r="B75" s="21">
        <f t="shared" si="0"/>
        <v>71</v>
      </c>
      <c r="C75" s="215"/>
      <c r="D75" s="376"/>
      <c r="E75" s="19"/>
      <c r="F75" s="19"/>
      <c r="G75" s="19"/>
      <c r="H75" s="19"/>
      <c r="I75" s="19"/>
      <c r="J75" s="19"/>
      <c r="K75" s="19"/>
      <c r="L75" s="215"/>
      <c r="M75" s="19"/>
      <c r="N75" s="19"/>
      <c r="O75" s="17"/>
      <c r="P75" s="17"/>
      <c r="Q75" s="17"/>
      <c r="R75" s="17"/>
      <c r="S75" s="17"/>
    </row>
    <row r="76" spans="1:19" ht="15.6" x14ac:dyDescent="0.3">
      <c r="A76" s="17"/>
      <c r="B76" s="21">
        <f t="shared" si="0"/>
        <v>72</v>
      </c>
      <c r="C76" s="215"/>
      <c r="D76" s="376"/>
      <c r="E76" s="19"/>
      <c r="F76" s="19"/>
      <c r="G76" s="19"/>
      <c r="H76" s="19"/>
      <c r="I76" s="19"/>
      <c r="J76" s="19"/>
      <c r="K76" s="19"/>
      <c r="L76" s="215"/>
      <c r="M76" s="19"/>
      <c r="N76" s="19"/>
      <c r="O76" s="17"/>
      <c r="P76" s="17"/>
      <c r="Q76" s="17"/>
      <c r="R76" s="17"/>
      <c r="S76" s="17"/>
    </row>
    <row r="77" spans="1:19" ht="15.6" x14ac:dyDescent="0.3">
      <c r="A77" s="17"/>
      <c r="B77" s="21">
        <f t="shared" si="0"/>
        <v>73</v>
      </c>
      <c r="C77" s="215"/>
      <c r="D77" s="376"/>
      <c r="E77" s="19"/>
      <c r="F77" s="19"/>
      <c r="G77" s="19"/>
      <c r="H77" s="19"/>
      <c r="I77" s="19"/>
      <c r="J77" s="19"/>
      <c r="K77" s="19"/>
      <c r="L77" s="215"/>
      <c r="M77" s="19"/>
      <c r="N77" s="19"/>
      <c r="O77" s="17"/>
      <c r="P77" s="17"/>
      <c r="Q77" s="17"/>
      <c r="R77" s="17"/>
      <c r="S77" s="17"/>
    </row>
    <row r="78" spans="1:19" ht="15.6" x14ac:dyDescent="0.3">
      <c r="A78" s="17"/>
      <c r="B78" s="21">
        <f t="shared" si="0"/>
        <v>74</v>
      </c>
      <c r="C78" s="215"/>
      <c r="D78" s="376"/>
      <c r="E78" s="19"/>
      <c r="F78" s="19"/>
      <c r="G78" s="19"/>
      <c r="H78" s="19"/>
      <c r="I78" s="19"/>
      <c r="J78" s="19"/>
      <c r="K78" s="19"/>
      <c r="L78" s="215"/>
      <c r="M78" s="19"/>
      <c r="N78" s="19"/>
      <c r="O78" s="17"/>
      <c r="P78" s="17"/>
      <c r="Q78" s="17"/>
      <c r="R78" s="17"/>
      <c r="S78" s="17"/>
    </row>
    <row r="79" spans="1:19" ht="15.6" x14ac:dyDescent="0.3">
      <c r="A79" s="17"/>
      <c r="B79" s="21">
        <f t="shared" si="0"/>
        <v>75</v>
      </c>
      <c r="C79" s="215"/>
      <c r="D79" s="376"/>
      <c r="E79" s="19"/>
      <c r="F79" s="19"/>
      <c r="G79" s="19"/>
      <c r="H79" s="19"/>
      <c r="I79" s="19"/>
      <c r="J79" s="19"/>
      <c r="K79" s="19"/>
      <c r="L79" s="215"/>
      <c r="M79" s="19"/>
      <c r="N79" s="19"/>
      <c r="O79" s="17"/>
      <c r="P79" s="17"/>
      <c r="Q79" s="17"/>
      <c r="R79" s="17"/>
      <c r="S79" s="17"/>
    </row>
    <row r="80" spans="1:19" ht="15.6" x14ac:dyDescent="0.3">
      <c r="A80" s="17"/>
      <c r="B80" s="21">
        <f t="shared" si="0"/>
        <v>76</v>
      </c>
      <c r="C80" s="215"/>
      <c r="D80" s="376"/>
      <c r="E80" s="19"/>
      <c r="F80" s="19"/>
      <c r="G80" s="19"/>
      <c r="H80" s="19"/>
      <c r="I80" s="19"/>
      <c r="J80" s="19"/>
      <c r="K80" s="19"/>
      <c r="L80" s="215"/>
      <c r="M80" s="19"/>
      <c r="N80" s="19"/>
      <c r="O80" s="17"/>
      <c r="P80" s="17"/>
      <c r="Q80" s="17"/>
      <c r="R80" s="17"/>
      <c r="S80" s="17"/>
    </row>
    <row r="81" spans="1:19" ht="15.6" x14ac:dyDescent="0.3">
      <c r="A81" s="17"/>
      <c r="B81" s="21">
        <f t="shared" si="0"/>
        <v>77</v>
      </c>
      <c r="C81" s="215"/>
      <c r="D81" s="376"/>
      <c r="E81" s="19"/>
      <c r="F81" s="19"/>
      <c r="G81" s="19"/>
      <c r="H81" s="19"/>
      <c r="I81" s="19"/>
      <c r="J81" s="19"/>
      <c r="K81" s="19"/>
      <c r="L81" s="215"/>
      <c r="M81" s="19"/>
      <c r="N81" s="19"/>
      <c r="O81" s="17"/>
      <c r="P81" s="17"/>
      <c r="Q81" s="17"/>
      <c r="R81" s="17"/>
      <c r="S81" s="17"/>
    </row>
    <row r="82" spans="1:19" ht="15.6" x14ac:dyDescent="0.3">
      <c r="A82" s="17"/>
      <c r="B82" s="21">
        <f t="shared" si="0"/>
        <v>78</v>
      </c>
      <c r="C82" s="9"/>
      <c r="D82" s="376"/>
      <c r="E82" s="19"/>
      <c r="F82" s="19"/>
      <c r="G82" s="19"/>
      <c r="H82" s="19"/>
      <c r="I82" s="19"/>
      <c r="J82" s="19"/>
      <c r="K82" s="19"/>
      <c r="L82" s="215"/>
      <c r="M82" s="19"/>
      <c r="N82" s="19"/>
      <c r="O82" s="17"/>
      <c r="P82" s="17"/>
      <c r="Q82" s="17"/>
      <c r="R82" s="17"/>
      <c r="S82" s="17"/>
    </row>
    <row r="83" spans="1:19" ht="15.6" x14ac:dyDescent="0.3">
      <c r="A83" s="17"/>
      <c r="B83" s="17"/>
      <c r="C83" s="226"/>
      <c r="D83" s="379"/>
      <c r="E83" s="17"/>
      <c r="F83" s="17"/>
      <c r="G83" s="17"/>
      <c r="H83" s="17"/>
      <c r="I83" s="17"/>
      <c r="J83" s="17"/>
      <c r="K83" s="17"/>
      <c r="L83" s="226"/>
      <c r="M83" s="17"/>
      <c r="N83" s="17"/>
      <c r="O83" s="17"/>
      <c r="P83" s="17"/>
      <c r="Q83" s="17"/>
      <c r="R83" s="17"/>
      <c r="S83" s="17"/>
    </row>
    <row r="84" spans="1:19" ht="15.6" x14ac:dyDescent="0.3">
      <c r="A84" s="17"/>
      <c r="B84" s="17" t="s">
        <v>4253</v>
      </c>
      <c r="C84" s="226"/>
      <c r="D84" s="379"/>
      <c r="E84" s="17"/>
      <c r="F84" s="17"/>
      <c r="G84" s="17"/>
      <c r="H84" s="17"/>
      <c r="I84" s="17"/>
      <c r="J84" s="17"/>
      <c r="K84" s="17"/>
      <c r="L84" s="226"/>
      <c r="M84" s="17"/>
      <c r="N84" s="17"/>
      <c r="O84" s="17"/>
      <c r="P84" s="17"/>
      <c r="Q84" s="17"/>
      <c r="R84" s="17"/>
      <c r="S84" s="17"/>
    </row>
    <row r="85" spans="1:19" ht="15.6" x14ac:dyDescent="0.3">
      <c r="A85" s="17"/>
      <c r="B85" s="17" t="s">
        <v>4254</v>
      </c>
      <c r="C85" s="226"/>
      <c r="D85" s="379"/>
      <c r="E85" s="17"/>
      <c r="F85" s="17" t="s">
        <v>9</v>
      </c>
      <c r="G85" s="17"/>
      <c r="H85" s="17"/>
      <c r="I85" s="17"/>
      <c r="J85" s="17"/>
      <c r="K85" s="17"/>
      <c r="L85" s="226"/>
      <c r="M85" s="17"/>
      <c r="N85" s="17"/>
      <c r="O85" s="17"/>
      <c r="P85" s="17"/>
      <c r="Q85" s="17"/>
      <c r="R85" s="17"/>
      <c r="S85" s="17"/>
    </row>
    <row r="86" spans="1:19" ht="15.6" x14ac:dyDescent="0.3">
      <c r="A86" s="17"/>
      <c r="B86" s="232" t="s">
        <v>6</v>
      </c>
      <c r="C86" s="233" t="s">
        <v>4102</v>
      </c>
      <c r="D86" s="217"/>
      <c r="E86" s="232"/>
      <c r="F86" s="232">
        <v>3</v>
      </c>
      <c r="G86" s="232" t="s">
        <v>4255</v>
      </c>
      <c r="H86" s="232"/>
      <c r="I86" s="232"/>
      <c r="J86" s="232"/>
      <c r="K86" s="232"/>
      <c r="L86" s="233"/>
      <c r="M86" s="232"/>
      <c r="N86" s="232"/>
      <c r="O86" s="232"/>
      <c r="P86" s="17"/>
      <c r="Q86" s="17"/>
      <c r="R86" s="17"/>
      <c r="S86" s="17"/>
    </row>
    <row r="87" spans="1:19" ht="15.6" x14ac:dyDescent="0.3">
      <c r="A87" s="17"/>
      <c r="B87" s="232" t="s">
        <v>6</v>
      </c>
      <c r="C87" s="233" t="s">
        <v>2835</v>
      </c>
      <c r="D87" s="217"/>
      <c r="E87" s="232"/>
      <c r="F87" s="232">
        <v>9</v>
      </c>
      <c r="G87" s="234" t="s">
        <v>4256</v>
      </c>
      <c r="H87" s="234"/>
      <c r="I87" s="234"/>
      <c r="J87" s="234"/>
      <c r="K87" s="234"/>
      <c r="L87" s="233"/>
      <c r="M87" s="232"/>
      <c r="N87" s="232"/>
      <c r="O87" s="235" t="s">
        <v>4257</v>
      </c>
      <c r="P87" s="17"/>
      <c r="Q87" s="17"/>
      <c r="R87" s="17"/>
      <c r="S87" s="17"/>
    </row>
    <row r="88" spans="1:19" ht="15.6" x14ac:dyDescent="0.3">
      <c r="A88" s="17"/>
      <c r="B88" s="232" t="s">
        <v>6</v>
      </c>
      <c r="C88" s="233" t="s">
        <v>4258</v>
      </c>
      <c r="D88" s="217"/>
      <c r="E88" s="232"/>
      <c r="F88" s="232">
        <v>3</v>
      </c>
      <c r="G88" s="234" t="s">
        <v>4259</v>
      </c>
      <c r="H88" s="234"/>
      <c r="I88" s="234"/>
      <c r="J88" s="234"/>
      <c r="K88" s="234"/>
      <c r="L88" s="233"/>
      <c r="M88" s="232"/>
      <c r="N88" s="232"/>
      <c r="O88" s="235" t="s">
        <v>4260</v>
      </c>
      <c r="P88" s="17"/>
      <c r="Q88" s="17"/>
      <c r="R88" s="17"/>
      <c r="S88" s="17"/>
    </row>
    <row r="89" spans="1:19" ht="15.6" x14ac:dyDescent="0.3">
      <c r="A89" s="17"/>
      <c r="B89" s="17" t="s">
        <v>6</v>
      </c>
      <c r="C89" s="226" t="s">
        <v>4087</v>
      </c>
      <c r="D89" s="379"/>
      <c r="E89" s="17"/>
      <c r="F89" s="17">
        <v>2</v>
      </c>
      <c r="G89" s="17" t="s">
        <v>4261</v>
      </c>
      <c r="H89" s="17"/>
      <c r="I89" s="17"/>
      <c r="J89" s="17"/>
      <c r="K89" s="17"/>
      <c r="L89" s="226"/>
      <c r="M89" s="17"/>
      <c r="N89" s="17"/>
      <c r="O89" s="17"/>
      <c r="P89" s="17"/>
      <c r="Q89" s="17"/>
      <c r="R89" s="17"/>
      <c r="S89" s="17"/>
    </row>
    <row r="90" spans="1:19" ht="15.6" x14ac:dyDescent="0.3">
      <c r="A90" s="17"/>
      <c r="B90" s="17" t="s">
        <v>2150</v>
      </c>
      <c r="C90" s="226" t="s">
        <v>4262</v>
      </c>
      <c r="D90" s="379"/>
      <c r="E90" s="17"/>
      <c r="F90" s="17">
        <v>4</v>
      </c>
      <c r="G90" s="18" t="s">
        <v>4263</v>
      </c>
      <c r="H90" s="18"/>
      <c r="I90" s="18"/>
      <c r="J90" s="18"/>
      <c r="K90" s="18"/>
      <c r="L90" s="226"/>
      <c r="M90" s="17"/>
      <c r="N90" s="17"/>
      <c r="O90" s="17"/>
      <c r="P90" s="17"/>
      <c r="Q90" s="17"/>
      <c r="R90" s="17"/>
      <c r="S90" s="17"/>
    </row>
    <row r="91" spans="1:19" ht="15.6" x14ac:dyDescent="0.3">
      <c r="A91" s="17"/>
      <c r="B91" s="17"/>
      <c r="C91" s="226"/>
      <c r="D91" s="379"/>
      <c r="E91" s="17"/>
      <c r="F91" s="17"/>
      <c r="G91" s="17"/>
      <c r="H91" s="17"/>
      <c r="I91" s="17"/>
      <c r="J91" s="17"/>
      <c r="K91" s="17"/>
      <c r="L91" s="226"/>
      <c r="M91" s="17"/>
      <c r="N91" s="17"/>
      <c r="O91" s="17"/>
      <c r="P91" s="17"/>
      <c r="Q91" s="17"/>
      <c r="R91" s="17"/>
      <c r="S91" s="17"/>
    </row>
    <row r="92" spans="1:19" ht="15.6" x14ac:dyDescent="0.3">
      <c r="A92" s="17"/>
      <c r="B92" s="17" t="s">
        <v>4264</v>
      </c>
      <c r="C92" s="226"/>
      <c r="D92" s="379"/>
      <c r="E92" s="17"/>
      <c r="F92" s="17"/>
      <c r="G92" s="17"/>
      <c r="H92" s="17"/>
      <c r="I92" s="17"/>
      <c r="J92" s="17"/>
      <c r="K92" s="17"/>
      <c r="L92" s="226"/>
      <c r="M92" s="17"/>
      <c r="N92" s="17"/>
      <c r="O92" s="17"/>
      <c r="P92" s="17"/>
      <c r="Q92" s="17"/>
      <c r="R92" s="17"/>
      <c r="S92" s="17"/>
    </row>
    <row r="93" spans="1:19" ht="46.8" x14ac:dyDescent="0.3">
      <c r="A93" s="17"/>
      <c r="B93" s="17" t="s">
        <v>2150</v>
      </c>
      <c r="C93" s="226" t="s">
        <v>541</v>
      </c>
      <c r="D93" s="379"/>
      <c r="E93" s="17"/>
      <c r="F93" s="17">
        <v>1</v>
      </c>
      <c r="G93" s="18" t="s">
        <v>4265</v>
      </c>
      <c r="H93" s="18"/>
      <c r="I93" s="18"/>
      <c r="J93" s="18"/>
      <c r="K93" s="18"/>
      <c r="L93" s="226"/>
      <c r="M93" s="17"/>
      <c r="N93" s="17"/>
      <c r="O93" s="17"/>
      <c r="P93" s="17"/>
      <c r="Q93" s="216" t="s">
        <v>4266</v>
      </c>
      <c r="R93" s="17"/>
      <c r="S93" s="17"/>
    </row>
    <row r="94" spans="1:19" ht="15.6" x14ac:dyDescent="0.3">
      <c r="A94" s="17"/>
      <c r="B94" s="232" t="s">
        <v>2150</v>
      </c>
      <c r="C94" s="233" t="s">
        <v>1540</v>
      </c>
      <c r="D94" s="217"/>
      <c r="E94" s="232"/>
      <c r="F94" s="232">
        <v>1</v>
      </c>
      <c r="G94" s="234" t="s">
        <v>4267</v>
      </c>
      <c r="H94" s="234"/>
      <c r="I94" s="234"/>
      <c r="J94" s="234"/>
      <c r="K94" s="234"/>
      <c r="L94" s="233"/>
      <c r="M94" s="232"/>
      <c r="N94" s="232"/>
      <c r="O94" s="232"/>
      <c r="P94" s="17"/>
      <c r="Q94" s="17"/>
      <c r="R94" s="17"/>
      <c r="S94" s="17"/>
    </row>
    <row r="95" spans="1:19" ht="15.6" x14ac:dyDescent="0.3">
      <c r="A95" s="17"/>
      <c r="B95" s="232" t="s">
        <v>2150</v>
      </c>
      <c r="C95" s="233" t="s">
        <v>1542</v>
      </c>
      <c r="D95" s="217"/>
      <c r="E95" s="232"/>
      <c r="F95" s="232">
        <v>1</v>
      </c>
      <c r="G95" s="234" t="s">
        <v>4267</v>
      </c>
      <c r="H95" s="234"/>
      <c r="I95" s="234"/>
      <c r="J95" s="234"/>
      <c r="K95" s="234"/>
      <c r="L95" s="233"/>
      <c r="M95" s="232"/>
      <c r="N95" s="232"/>
      <c r="O95" s="232"/>
      <c r="P95" s="17"/>
      <c r="Q95" s="17"/>
      <c r="R95" s="17"/>
      <c r="S95" s="17"/>
    </row>
    <row r="96" spans="1:19" ht="31.2" x14ac:dyDescent="0.3">
      <c r="A96" s="17"/>
      <c r="B96" s="17" t="s">
        <v>2150</v>
      </c>
      <c r="C96" s="226" t="s">
        <v>1544</v>
      </c>
      <c r="D96" s="379"/>
      <c r="E96" s="17"/>
      <c r="F96" s="17">
        <v>1</v>
      </c>
      <c r="G96" s="18" t="s">
        <v>4268</v>
      </c>
      <c r="H96" s="18"/>
      <c r="I96" s="18"/>
      <c r="J96" s="18"/>
      <c r="K96" s="18"/>
      <c r="L96" s="236" t="s">
        <v>4269</v>
      </c>
      <c r="M96" s="17"/>
      <c r="N96" s="17"/>
      <c r="O96" s="17"/>
      <c r="P96" s="17"/>
      <c r="Q96" s="17"/>
      <c r="R96" s="17"/>
      <c r="S96" s="17"/>
    </row>
    <row r="97" spans="1:19" ht="31.2" x14ac:dyDescent="0.3">
      <c r="A97" s="17"/>
      <c r="B97" s="17" t="s">
        <v>2150</v>
      </c>
      <c r="C97" s="226" t="s">
        <v>1546</v>
      </c>
      <c r="D97" s="379"/>
      <c r="E97" s="17"/>
      <c r="F97" s="17">
        <v>1</v>
      </c>
      <c r="G97" s="18" t="s">
        <v>4268</v>
      </c>
      <c r="H97" s="18"/>
      <c r="I97" s="18"/>
      <c r="J97" s="18"/>
      <c r="K97" s="18"/>
      <c r="L97" s="236" t="s">
        <v>4269</v>
      </c>
      <c r="M97" s="17"/>
      <c r="N97" s="17"/>
      <c r="O97" s="17"/>
      <c r="P97" s="17"/>
      <c r="Q97" s="17"/>
      <c r="R97" s="17"/>
      <c r="S97" s="17"/>
    </row>
    <row r="98" spans="1:19" ht="46.8" x14ac:dyDescent="0.3">
      <c r="A98" s="17"/>
      <c r="B98" s="17" t="s">
        <v>10</v>
      </c>
      <c r="C98" s="226" t="s">
        <v>768</v>
      </c>
      <c r="D98" s="218"/>
      <c r="E98" s="226"/>
      <c r="F98" s="17">
        <v>1</v>
      </c>
      <c r="G98" s="18" t="s">
        <v>4270</v>
      </c>
      <c r="H98" s="18"/>
      <c r="I98" s="18"/>
      <c r="J98" s="18"/>
      <c r="K98" s="18"/>
      <c r="L98" s="226"/>
      <c r="M98" s="17"/>
      <c r="N98" s="17"/>
      <c r="O98" s="17"/>
      <c r="P98" s="17"/>
      <c r="Q98" s="216" t="s">
        <v>4271</v>
      </c>
      <c r="R98" s="17"/>
      <c r="S98" s="17"/>
    </row>
    <row r="99" spans="1:19" ht="46.8" x14ac:dyDescent="0.3">
      <c r="A99" s="17"/>
      <c r="B99" s="17" t="s">
        <v>10</v>
      </c>
      <c r="C99" s="226" t="s">
        <v>772</v>
      </c>
      <c r="D99" s="218"/>
      <c r="E99" s="226"/>
      <c r="F99" s="17">
        <v>1</v>
      </c>
      <c r="G99" s="18" t="s">
        <v>4270</v>
      </c>
      <c r="H99" s="18"/>
      <c r="I99" s="18"/>
      <c r="J99" s="18"/>
      <c r="K99" s="18"/>
      <c r="L99" s="226"/>
      <c r="M99" s="17"/>
      <c r="N99" s="17"/>
      <c r="O99" s="17"/>
      <c r="P99" s="17"/>
      <c r="Q99" s="216" t="s">
        <v>4271</v>
      </c>
      <c r="R99" s="17"/>
      <c r="S99" s="17"/>
    </row>
    <row r="100" spans="1:19" ht="31.2" x14ac:dyDescent="0.3">
      <c r="A100" s="17"/>
      <c r="B100" s="232" t="s">
        <v>6</v>
      </c>
      <c r="C100" s="233" t="s">
        <v>4272</v>
      </c>
      <c r="D100" s="217"/>
      <c r="E100" s="232"/>
      <c r="F100" s="232">
        <v>10</v>
      </c>
      <c r="G100" s="232"/>
      <c r="H100" s="232"/>
      <c r="I100" s="232"/>
      <c r="J100" s="232"/>
      <c r="K100" s="232"/>
      <c r="L100" s="237" t="s">
        <v>4273</v>
      </c>
      <c r="M100" s="232"/>
      <c r="N100" s="232"/>
      <c r="O100" s="17"/>
      <c r="P100" s="17"/>
      <c r="Q100" s="17"/>
      <c r="R100" s="17"/>
      <c r="S100" s="17"/>
    </row>
    <row r="101" spans="1:19" ht="31.2" x14ac:dyDescent="0.3">
      <c r="A101" s="17"/>
      <c r="B101" s="232" t="s">
        <v>6</v>
      </c>
      <c r="C101" s="233" t="s">
        <v>4274</v>
      </c>
      <c r="D101" s="217"/>
      <c r="E101" s="232"/>
      <c r="F101" s="232">
        <v>0</v>
      </c>
      <c r="G101" s="232"/>
      <c r="H101" s="232"/>
      <c r="I101" s="232"/>
      <c r="J101" s="232"/>
      <c r="K101" s="232"/>
      <c r="L101" s="237" t="s">
        <v>4273</v>
      </c>
      <c r="M101" s="232"/>
      <c r="N101" s="232"/>
      <c r="O101" s="17"/>
      <c r="P101" s="17"/>
      <c r="Q101" s="17"/>
      <c r="R101" s="17"/>
      <c r="S101" s="17"/>
    </row>
    <row r="102" spans="1:19" ht="31.2" x14ac:dyDescent="0.3">
      <c r="A102" s="17"/>
      <c r="B102" s="17" t="s">
        <v>6</v>
      </c>
      <c r="C102" s="226" t="s">
        <v>4275</v>
      </c>
      <c r="D102" s="379"/>
      <c r="E102" s="17"/>
      <c r="F102" s="17">
        <v>0</v>
      </c>
      <c r="G102" s="17"/>
      <c r="H102" s="17"/>
      <c r="I102" s="17"/>
      <c r="J102" s="17"/>
      <c r="K102" s="17"/>
      <c r="L102" s="238" t="s">
        <v>4276</v>
      </c>
      <c r="M102" s="17"/>
      <c r="N102" s="17"/>
      <c r="O102" s="17"/>
      <c r="P102" s="17"/>
      <c r="Q102" s="17"/>
      <c r="R102" s="17"/>
      <c r="S102" s="17"/>
    </row>
    <row r="103" spans="1:19" ht="31.2" x14ac:dyDescent="0.3">
      <c r="A103" s="17"/>
      <c r="B103" s="232" t="s">
        <v>6</v>
      </c>
      <c r="C103" s="233" t="s">
        <v>4277</v>
      </c>
      <c r="D103" s="217"/>
      <c r="E103" s="232"/>
      <c r="F103" s="232">
        <v>4</v>
      </c>
      <c r="G103" s="234" t="s">
        <v>4278</v>
      </c>
      <c r="H103" s="234"/>
      <c r="I103" s="234"/>
      <c r="J103" s="234"/>
      <c r="K103" s="234"/>
      <c r="L103" s="236" t="s">
        <v>4279</v>
      </c>
      <c r="M103" s="17"/>
      <c r="N103" s="17"/>
      <c r="O103" s="17"/>
      <c r="P103" s="17"/>
      <c r="Q103" s="17"/>
      <c r="R103" s="17"/>
      <c r="S103" s="17"/>
    </row>
    <row r="104" spans="1:19" ht="15.6" x14ac:dyDescent="0.3">
      <c r="A104" s="17"/>
      <c r="B104" s="232" t="s">
        <v>6</v>
      </c>
      <c r="C104" s="233" t="s">
        <v>4280</v>
      </c>
      <c r="D104" s="217"/>
      <c r="E104" s="232"/>
      <c r="F104" s="232">
        <v>1</v>
      </c>
      <c r="G104" s="234" t="s">
        <v>4281</v>
      </c>
      <c r="H104" s="234"/>
      <c r="I104" s="234"/>
      <c r="J104" s="234"/>
      <c r="K104" s="234"/>
      <c r="L104" s="226" t="s">
        <v>4103</v>
      </c>
      <c r="M104" s="17"/>
      <c r="N104" s="17"/>
      <c r="O104" s="17"/>
      <c r="P104" s="17"/>
      <c r="Q104" s="17"/>
      <c r="R104" s="17"/>
      <c r="S104" s="17"/>
    </row>
    <row r="105" spans="1:19" ht="15.6" x14ac:dyDescent="0.3">
      <c r="A105" s="17"/>
      <c r="B105" s="232" t="s">
        <v>6</v>
      </c>
      <c r="C105" s="233" t="s">
        <v>4282</v>
      </c>
      <c r="D105" s="217"/>
      <c r="E105" s="232"/>
      <c r="F105" s="232">
        <v>4</v>
      </c>
      <c r="G105" s="234" t="s">
        <v>4283</v>
      </c>
      <c r="H105" s="234"/>
      <c r="I105" s="234"/>
      <c r="J105" s="234"/>
      <c r="K105" s="234"/>
      <c r="L105" s="226" t="s">
        <v>4284</v>
      </c>
      <c r="M105" s="17"/>
      <c r="N105" s="17"/>
      <c r="O105" s="17"/>
      <c r="P105" s="17"/>
      <c r="Q105" s="17"/>
      <c r="R105" s="17"/>
      <c r="S105" s="17"/>
    </row>
    <row r="106" spans="1:19" ht="31.2" x14ac:dyDescent="0.3">
      <c r="A106" s="17"/>
      <c r="B106" s="17" t="s">
        <v>6</v>
      </c>
      <c r="C106" s="226" t="s">
        <v>4101</v>
      </c>
      <c r="D106" s="379"/>
      <c r="E106" s="17"/>
      <c r="F106" s="17">
        <v>9</v>
      </c>
      <c r="G106" s="18" t="s">
        <v>4285</v>
      </c>
      <c r="H106" s="18"/>
      <c r="I106" s="18"/>
      <c r="J106" s="18"/>
      <c r="K106" s="18"/>
      <c r="L106" s="236" t="s">
        <v>4286</v>
      </c>
      <c r="M106" s="17"/>
      <c r="N106" s="17"/>
      <c r="O106" s="17"/>
      <c r="P106" s="17"/>
      <c r="Q106" s="17"/>
      <c r="R106" s="17"/>
      <c r="S106" s="17"/>
    </row>
    <row r="107" spans="1:19" ht="31.2" x14ac:dyDescent="0.3">
      <c r="A107" s="17"/>
      <c r="B107" s="17" t="s">
        <v>6</v>
      </c>
      <c r="C107" s="226" t="s">
        <v>4287</v>
      </c>
      <c r="D107" s="379"/>
      <c r="E107" s="17"/>
      <c r="F107" s="17">
        <v>7</v>
      </c>
      <c r="G107" s="18" t="s">
        <v>4288</v>
      </c>
      <c r="H107" s="18"/>
      <c r="I107" s="18"/>
      <c r="J107" s="18"/>
      <c r="K107" s="18"/>
      <c r="L107" s="238" t="s">
        <v>4289</v>
      </c>
      <c r="M107" s="17"/>
      <c r="N107" s="17"/>
      <c r="O107" s="17"/>
      <c r="P107" s="17"/>
      <c r="Q107" s="17"/>
      <c r="R107" s="17"/>
      <c r="S107" s="17"/>
    </row>
    <row r="108" spans="1:19" ht="31.2" x14ac:dyDescent="0.3">
      <c r="A108" s="17"/>
      <c r="B108" s="17" t="s">
        <v>6</v>
      </c>
      <c r="C108" s="226" t="s">
        <v>350</v>
      </c>
      <c r="D108" s="379"/>
      <c r="E108" s="17"/>
      <c r="F108" s="17">
        <v>3</v>
      </c>
      <c r="G108" s="18" t="s">
        <v>4290</v>
      </c>
      <c r="H108" s="18"/>
      <c r="I108" s="18"/>
      <c r="J108" s="18"/>
      <c r="K108" s="18"/>
      <c r="L108" s="236" t="s">
        <v>4291</v>
      </c>
      <c r="M108" s="17"/>
      <c r="N108" s="17"/>
      <c r="O108" s="17"/>
      <c r="P108" s="17"/>
      <c r="Q108" s="17"/>
      <c r="R108" s="17"/>
      <c r="S108" s="17"/>
    </row>
    <row r="109" spans="1:19" ht="49.2" customHeight="1" x14ac:dyDescent="0.3">
      <c r="A109" s="17"/>
      <c r="B109" s="17" t="s">
        <v>6</v>
      </c>
      <c r="C109" s="226" t="s">
        <v>4086</v>
      </c>
      <c r="D109" s="379"/>
      <c r="E109" s="17"/>
      <c r="F109" s="17">
        <v>8</v>
      </c>
      <c r="G109" s="17" t="s">
        <v>4292</v>
      </c>
      <c r="H109" s="17"/>
      <c r="I109" s="17"/>
      <c r="J109" s="17"/>
      <c r="K109" s="17"/>
      <c r="L109" s="411" t="s">
        <v>4293</v>
      </c>
      <c r="M109" s="411"/>
      <c r="N109" s="411"/>
      <c r="O109" s="411"/>
      <c r="P109" s="411"/>
      <c r="Q109" s="411"/>
      <c r="R109" s="411"/>
      <c r="S109" s="411"/>
    </row>
    <row r="110" spans="1:19" ht="15.6" x14ac:dyDescent="0.3">
      <c r="A110" s="17"/>
      <c r="B110" s="17" t="s">
        <v>6</v>
      </c>
      <c r="C110" s="226" t="s">
        <v>4087</v>
      </c>
      <c r="D110" s="379"/>
      <c r="E110" s="17"/>
      <c r="F110" s="17">
        <v>2</v>
      </c>
      <c r="G110" s="17" t="s">
        <v>4292</v>
      </c>
      <c r="H110" s="17"/>
      <c r="I110" s="17"/>
      <c r="J110" s="17"/>
      <c r="K110" s="17"/>
      <c r="L110" s="236" t="s">
        <v>4294</v>
      </c>
      <c r="M110" s="17"/>
      <c r="N110" s="17"/>
      <c r="O110" s="17"/>
      <c r="P110" s="17"/>
      <c r="Q110" s="17"/>
      <c r="R110" s="17"/>
      <c r="S110" s="17"/>
    </row>
    <row r="111" spans="1:19" ht="15.6" x14ac:dyDescent="0.3">
      <c r="A111" s="17"/>
      <c r="B111" s="17"/>
      <c r="C111" s="226"/>
      <c r="D111" s="379"/>
      <c r="E111" s="17"/>
      <c r="F111" s="17"/>
      <c r="G111" s="17"/>
      <c r="H111" s="17"/>
      <c r="I111" s="17"/>
      <c r="J111" s="17"/>
      <c r="K111" s="17"/>
      <c r="L111" s="226"/>
      <c r="M111" s="17"/>
      <c r="N111" s="17"/>
      <c r="O111" s="17"/>
      <c r="P111" s="17"/>
      <c r="Q111" s="17"/>
      <c r="R111" s="17"/>
      <c r="S111" s="17"/>
    </row>
    <row r="112" spans="1:19" ht="15.6" x14ac:dyDescent="0.3">
      <c r="A112" s="17"/>
      <c r="B112" s="17"/>
      <c r="C112" s="226"/>
      <c r="D112" s="379"/>
      <c r="E112" s="17"/>
      <c r="F112" s="17"/>
      <c r="G112" s="17"/>
      <c r="H112" s="17"/>
      <c r="I112" s="17"/>
      <c r="J112" s="17"/>
      <c r="K112" s="17"/>
      <c r="L112" s="226"/>
      <c r="M112" s="17"/>
      <c r="N112" s="17"/>
      <c r="O112" s="17"/>
      <c r="P112" s="17"/>
      <c r="Q112" s="17"/>
      <c r="R112" s="17"/>
      <c r="S112" s="17"/>
    </row>
    <row r="113" spans="1:19" ht="15.6" x14ac:dyDescent="0.3">
      <c r="A113" s="17"/>
      <c r="B113" s="17"/>
      <c r="C113" s="226" t="s">
        <v>4295</v>
      </c>
      <c r="D113" s="379"/>
      <c r="E113" s="17"/>
      <c r="F113" s="17"/>
      <c r="G113" s="17" t="s">
        <v>4296</v>
      </c>
      <c r="H113" s="17"/>
      <c r="I113" s="17"/>
      <c r="J113" s="17"/>
      <c r="K113" s="17"/>
      <c r="L113" s="226" t="s">
        <v>4080</v>
      </c>
      <c r="M113" s="17"/>
      <c r="N113" s="17"/>
      <c r="O113" s="17"/>
      <c r="P113" s="17"/>
      <c r="Q113" s="17"/>
      <c r="R113" s="17"/>
      <c r="S113" s="17"/>
    </row>
    <row r="114" spans="1:19" ht="15.6" x14ac:dyDescent="0.3">
      <c r="A114" s="17"/>
      <c r="B114" s="17"/>
      <c r="C114" s="226"/>
      <c r="D114" s="379"/>
      <c r="E114" s="17"/>
      <c r="F114" s="17"/>
      <c r="G114" s="17"/>
      <c r="H114" s="17"/>
      <c r="I114" s="17"/>
      <c r="J114" s="17"/>
      <c r="K114" s="17"/>
      <c r="L114" s="226"/>
      <c r="M114" s="17"/>
      <c r="N114" s="17"/>
      <c r="O114" s="17"/>
      <c r="P114" s="17"/>
      <c r="Q114" s="17"/>
      <c r="R114" s="17"/>
      <c r="S114" s="17"/>
    </row>
    <row r="115" spans="1:19" ht="15.6" x14ac:dyDescent="0.3">
      <c r="A115" s="17"/>
      <c r="B115" s="17"/>
      <c r="C115" s="226" t="s">
        <v>4157</v>
      </c>
      <c r="D115" s="379"/>
      <c r="E115" s="17"/>
      <c r="F115" s="17"/>
      <c r="G115" s="17" t="s">
        <v>4296</v>
      </c>
      <c r="H115" s="17"/>
      <c r="I115" s="17"/>
      <c r="J115" s="17"/>
      <c r="K115" s="17"/>
      <c r="L115" s="226" t="s">
        <v>4080</v>
      </c>
      <c r="M115" s="17"/>
      <c r="N115" s="17"/>
      <c r="O115" s="17"/>
      <c r="P115" s="17"/>
      <c r="Q115" s="17"/>
      <c r="R115" s="17"/>
      <c r="S115" s="17"/>
    </row>
    <row r="116" spans="1:19" ht="15.6" x14ac:dyDescent="0.3">
      <c r="A116" s="17"/>
      <c r="B116" s="17"/>
      <c r="C116" s="226"/>
      <c r="D116" s="379"/>
      <c r="E116" s="17"/>
      <c r="F116" s="17"/>
      <c r="G116" s="17"/>
      <c r="H116" s="17"/>
      <c r="I116" s="17"/>
      <c r="J116" s="17"/>
      <c r="K116" s="17"/>
      <c r="L116" s="226"/>
      <c r="M116" s="17"/>
      <c r="N116" s="17"/>
      <c r="O116" s="17"/>
      <c r="P116" s="17"/>
      <c r="Q116" s="17"/>
      <c r="R116" s="17"/>
      <c r="S116" s="17"/>
    </row>
    <row r="117" spans="1:19" ht="15.6" x14ac:dyDescent="0.3">
      <c r="A117" s="17"/>
      <c r="B117" s="17"/>
      <c r="C117" s="226" t="s">
        <v>4085</v>
      </c>
      <c r="D117" s="379"/>
      <c r="E117" s="17"/>
      <c r="F117" s="17"/>
      <c r="G117" s="17" t="s">
        <v>4297</v>
      </c>
      <c r="H117" s="17"/>
      <c r="I117" s="17"/>
      <c r="J117" s="17"/>
      <c r="K117" s="17"/>
      <c r="L117" s="239" t="s">
        <v>4298</v>
      </c>
      <c r="M117" s="17"/>
      <c r="N117" s="17"/>
      <c r="O117" s="17"/>
      <c r="P117" s="17"/>
      <c r="Q117" s="17"/>
      <c r="R117" s="17"/>
      <c r="S117" s="17"/>
    </row>
    <row r="118" spans="1:19" ht="15.6" x14ac:dyDescent="0.3">
      <c r="A118" s="17"/>
      <c r="B118" s="17"/>
      <c r="C118" s="226"/>
      <c r="D118" s="379"/>
      <c r="E118" s="17"/>
      <c r="F118" s="17"/>
      <c r="G118" s="17"/>
      <c r="H118" s="17"/>
      <c r="I118" s="17"/>
      <c r="J118" s="17"/>
      <c r="K118" s="17"/>
      <c r="L118" s="226"/>
      <c r="M118" s="17"/>
      <c r="N118" s="17"/>
      <c r="O118" s="17"/>
      <c r="P118" s="17"/>
      <c r="Q118" s="17"/>
      <c r="R118" s="17"/>
      <c r="S118" s="17"/>
    </row>
    <row r="119" spans="1:19" ht="15.6" x14ac:dyDescent="0.3">
      <c r="A119" s="17"/>
      <c r="B119" s="17"/>
      <c r="C119" s="226" t="s">
        <v>4299</v>
      </c>
      <c r="D119" s="379"/>
      <c r="E119" s="17"/>
      <c r="F119" s="17"/>
      <c r="G119" s="216" t="s">
        <v>4300</v>
      </c>
      <c r="H119" s="216"/>
      <c r="I119" s="216"/>
      <c r="J119" s="216"/>
      <c r="K119" s="216"/>
      <c r="L119" s="226"/>
      <c r="M119" s="17"/>
      <c r="N119" s="17"/>
      <c r="O119" s="17"/>
      <c r="P119" s="17"/>
      <c r="Q119" s="17"/>
      <c r="R119" s="17"/>
      <c r="S119" s="17"/>
    </row>
    <row r="120" spans="1:19" ht="15.6" x14ac:dyDescent="0.3">
      <c r="A120" s="17"/>
      <c r="B120" s="17"/>
      <c r="C120" s="226"/>
      <c r="D120" s="379"/>
      <c r="E120" s="17"/>
      <c r="F120" s="17"/>
      <c r="G120" s="216" t="s">
        <v>4301</v>
      </c>
      <c r="H120" s="216"/>
      <c r="I120" s="216"/>
      <c r="J120" s="216"/>
      <c r="K120" s="216"/>
      <c r="L120" s="226"/>
      <c r="M120" s="17"/>
      <c r="N120" s="17"/>
      <c r="O120" s="17"/>
      <c r="P120" s="17"/>
      <c r="Q120" s="17"/>
      <c r="R120" s="17"/>
      <c r="S120" s="17"/>
    </row>
    <row r="121" spans="1:19" ht="15.6" x14ac:dyDescent="0.3">
      <c r="A121" s="17"/>
      <c r="B121" s="17"/>
      <c r="C121" s="226" t="s">
        <v>4302</v>
      </c>
      <c r="D121" s="379"/>
      <c r="E121" s="17"/>
      <c r="F121" s="17"/>
      <c r="G121" s="17"/>
      <c r="H121" s="17"/>
      <c r="I121" s="17"/>
      <c r="J121" s="17"/>
      <c r="K121" s="17"/>
      <c r="L121" s="226"/>
      <c r="M121" s="17"/>
      <c r="N121" s="17"/>
      <c r="O121" s="17"/>
      <c r="P121" s="17"/>
      <c r="Q121" s="17"/>
      <c r="R121" s="17"/>
      <c r="S121" s="17"/>
    </row>
    <row r="122" spans="1:19" ht="26.4" customHeight="1" x14ac:dyDescent="0.3">
      <c r="A122" s="17"/>
      <c r="B122" s="17" t="s">
        <v>5</v>
      </c>
      <c r="C122" s="226" t="s">
        <v>4303</v>
      </c>
      <c r="D122" s="379"/>
      <c r="E122" s="17"/>
      <c r="F122" s="17"/>
      <c r="G122" s="17"/>
      <c r="H122" s="17"/>
      <c r="I122" s="17"/>
      <c r="J122" s="17"/>
      <c r="K122" s="17"/>
      <c r="L122" s="412" t="s">
        <v>4304</v>
      </c>
      <c r="M122" s="413"/>
      <c r="N122" s="413"/>
      <c r="O122" s="413"/>
      <c r="P122" s="413"/>
      <c r="Q122" s="413"/>
      <c r="R122" s="413"/>
      <c r="S122" s="413"/>
    </row>
    <row r="123" spans="1:19" ht="15.6" x14ac:dyDescent="0.3">
      <c r="A123" s="17"/>
      <c r="B123" s="17"/>
      <c r="C123" s="226" t="s">
        <v>4305</v>
      </c>
      <c r="D123" s="379"/>
      <c r="E123" s="17"/>
      <c r="F123" s="17"/>
      <c r="G123" s="18" t="s">
        <v>4306</v>
      </c>
      <c r="H123" s="18"/>
      <c r="I123" s="18"/>
      <c r="J123" s="18"/>
      <c r="K123" s="18"/>
      <c r="L123" s="240">
        <v>0.95</v>
      </c>
      <c r="M123" s="17"/>
      <c r="N123" s="17"/>
      <c r="O123" s="17"/>
      <c r="P123" s="17"/>
      <c r="Q123" s="17"/>
      <c r="R123" s="17"/>
      <c r="S123" s="17"/>
    </row>
    <row r="124" spans="1:19" ht="15.6" x14ac:dyDescent="0.3">
      <c r="A124" s="17"/>
      <c r="B124" s="17"/>
      <c r="C124" s="226"/>
      <c r="D124" s="379"/>
      <c r="E124" s="17"/>
      <c r="F124" s="17"/>
      <c r="G124" s="17" t="s">
        <v>4307</v>
      </c>
      <c r="H124" s="17"/>
      <c r="I124" s="17"/>
      <c r="J124" s="17"/>
      <c r="K124" s="17"/>
      <c r="L124" s="226" t="s">
        <v>4308</v>
      </c>
      <c r="M124" s="17"/>
      <c r="N124" s="17"/>
      <c r="O124" s="17"/>
      <c r="P124" s="17"/>
      <c r="Q124" s="17"/>
      <c r="R124" s="17"/>
      <c r="S124" s="17"/>
    </row>
    <row r="125" spans="1:19" ht="15.6" x14ac:dyDescent="0.3">
      <c r="A125" s="17"/>
      <c r="B125" s="17"/>
      <c r="C125" s="226"/>
      <c r="D125" s="379"/>
      <c r="E125" s="17"/>
      <c r="F125" s="17"/>
      <c r="G125" s="17" t="s">
        <v>4309</v>
      </c>
      <c r="H125" s="17"/>
      <c r="I125" s="17"/>
      <c r="J125" s="17"/>
      <c r="K125" s="17"/>
      <c r="L125" s="240">
        <v>0.95</v>
      </c>
      <c r="M125" s="17"/>
      <c r="N125" s="17"/>
      <c r="O125" s="17"/>
      <c r="P125" s="17"/>
      <c r="Q125" s="17"/>
      <c r="R125" s="17"/>
      <c r="S125" s="17"/>
    </row>
    <row r="126" spans="1:19" ht="15.6" x14ac:dyDescent="0.3">
      <c r="A126" s="17"/>
      <c r="B126" s="17"/>
      <c r="C126" s="226"/>
      <c r="D126" s="379"/>
      <c r="E126" s="17"/>
      <c r="F126" s="17"/>
      <c r="G126" s="17" t="s">
        <v>4310</v>
      </c>
      <c r="H126" s="17"/>
      <c r="I126" s="17"/>
      <c r="J126" s="17"/>
      <c r="K126" s="17"/>
      <c r="L126" s="240">
        <v>0.95</v>
      </c>
      <c r="M126" s="17"/>
      <c r="N126" s="17"/>
      <c r="O126" s="17"/>
      <c r="P126" s="17"/>
      <c r="Q126" s="17"/>
      <c r="R126" s="17"/>
      <c r="S126" s="17"/>
    </row>
    <row r="127" spans="1:19" ht="15.6" x14ac:dyDescent="0.3">
      <c r="A127" s="17"/>
      <c r="B127" s="17"/>
      <c r="C127" s="226"/>
      <c r="D127" s="379"/>
      <c r="E127" s="17"/>
      <c r="F127" s="17"/>
      <c r="G127" s="17" t="s">
        <v>4311</v>
      </c>
      <c r="H127" s="17"/>
      <c r="I127" s="17"/>
      <c r="J127" s="17"/>
      <c r="K127" s="17"/>
      <c r="L127" s="240">
        <v>0.95</v>
      </c>
      <c r="M127" s="17"/>
      <c r="N127" s="17"/>
      <c r="O127" s="17"/>
      <c r="P127" s="17"/>
      <c r="Q127" s="17"/>
      <c r="R127" s="17"/>
      <c r="S127" s="17"/>
    </row>
    <row r="128" spans="1:19" ht="15.6" x14ac:dyDescent="0.3">
      <c r="A128" s="17"/>
      <c r="B128" s="17"/>
      <c r="C128" s="226"/>
      <c r="D128" s="379"/>
      <c r="E128" s="17"/>
      <c r="F128" s="17"/>
      <c r="G128" s="17" t="s">
        <v>4312</v>
      </c>
      <c r="H128" s="17"/>
      <c r="I128" s="17"/>
      <c r="J128" s="17"/>
      <c r="K128" s="17"/>
      <c r="L128" s="240">
        <v>0.95</v>
      </c>
      <c r="M128" s="17"/>
      <c r="N128" s="17"/>
      <c r="O128" s="17"/>
      <c r="P128" s="17"/>
      <c r="Q128" s="17"/>
      <c r="R128" s="17"/>
      <c r="S128" s="17"/>
    </row>
    <row r="129" spans="1:19" ht="15.6" x14ac:dyDescent="0.3">
      <c r="A129" s="17"/>
      <c r="B129" s="17"/>
      <c r="C129" s="226"/>
      <c r="D129" s="379"/>
      <c r="E129" s="17"/>
      <c r="F129" s="17"/>
      <c r="G129" s="17" t="s">
        <v>4313</v>
      </c>
      <c r="H129" s="17"/>
      <c r="I129" s="17"/>
      <c r="J129" s="17"/>
      <c r="K129" s="17"/>
      <c r="L129" s="226" t="s">
        <v>4314</v>
      </c>
      <c r="M129" s="17"/>
      <c r="N129" s="17"/>
      <c r="O129" s="17"/>
      <c r="P129" s="17"/>
      <c r="Q129" s="17"/>
      <c r="R129" s="17"/>
      <c r="S129" s="17"/>
    </row>
    <row r="130" spans="1:19" ht="15.6" x14ac:dyDescent="0.3">
      <c r="A130" s="17"/>
      <c r="B130" s="17"/>
      <c r="C130" s="226"/>
      <c r="D130" s="379"/>
      <c r="E130" s="17"/>
      <c r="F130" s="17"/>
      <c r="G130" s="17" t="s">
        <v>4315</v>
      </c>
      <c r="H130" s="17"/>
      <c r="I130" s="17"/>
      <c r="J130" s="17"/>
      <c r="K130" s="17"/>
      <c r="L130" s="226" t="s">
        <v>4316</v>
      </c>
      <c r="M130" s="17"/>
      <c r="N130" s="17"/>
      <c r="O130" s="17"/>
      <c r="P130" s="17"/>
      <c r="Q130" s="17"/>
      <c r="R130" s="17"/>
      <c r="S130" s="17"/>
    </row>
    <row r="131" spans="1:19" ht="31.2" x14ac:dyDescent="0.3">
      <c r="A131" s="17"/>
      <c r="B131" s="17"/>
      <c r="C131" s="226"/>
      <c r="D131" s="379"/>
      <c r="E131" s="17"/>
      <c r="F131" s="17"/>
      <c r="G131" s="17" t="s">
        <v>4317</v>
      </c>
      <c r="H131" s="17"/>
      <c r="I131" s="17"/>
      <c r="J131" s="17"/>
      <c r="K131" s="17"/>
      <c r="L131" s="226" t="s">
        <v>4318</v>
      </c>
      <c r="M131" s="17"/>
      <c r="N131" s="17"/>
      <c r="O131" s="17"/>
      <c r="P131" s="17"/>
      <c r="Q131" s="17"/>
      <c r="R131" s="17"/>
      <c r="S131" s="17"/>
    </row>
    <row r="132" spans="1:19" ht="15.6" x14ac:dyDescent="0.3">
      <c r="A132" s="17"/>
      <c r="B132" s="17"/>
      <c r="C132" s="226"/>
      <c r="D132" s="379"/>
      <c r="E132" s="17"/>
      <c r="F132" s="17"/>
      <c r="G132" s="17" t="s">
        <v>4319</v>
      </c>
      <c r="H132" s="17"/>
      <c r="I132" s="17"/>
      <c r="J132" s="17"/>
      <c r="K132" s="17"/>
      <c r="L132" s="240">
        <v>0.9</v>
      </c>
      <c r="M132" s="17"/>
      <c r="N132" s="17"/>
      <c r="O132" s="17"/>
      <c r="P132" s="17"/>
      <c r="Q132" s="17"/>
      <c r="R132" s="17"/>
      <c r="S132" s="17"/>
    </row>
    <row r="133" spans="1:19" ht="15.6" x14ac:dyDescent="0.3">
      <c r="A133" s="17"/>
      <c r="B133" s="17"/>
      <c r="C133" s="226"/>
      <c r="D133" s="379"/>
      <c r="E133" s="17"/>
      <c r="F133" s="17"/>
      <c r="G133" s="17" t="s">
        <v>4320</v>
      </c>
      <c r="H133" s="17"/>
      <c r="I133" s="17"/>
      <c r="J133" s="17"/>
      <c r="K133" s="17"/>
      <c r="L133" s="226" t="s">
        <v>4321</v>
      </c>
      <c r="M133" s="17"/>
      <c r="N133" s="17"/>
      <c r="O133" s="17"/>
      <c r="P133" s="17"/>
      <c r="Q133" s="17"/>
      <c r="R133" s="17"/>
      <c r="S133" s="17"/>
    </row>
    <row r="134" spans="1:19" ht="15.6" x14ac:dyDescent="0.3">
      <c r="A134" s="17"/>
      <c r="B134" s="17"/>
      <c r="C134" s="226"/>
      <c r="D134" s="379"/>
      <c r="E134" s="17"/>
      <c r="F134" s="17"/>
      <c r="G134" s="17" t="s">
        <v>4322</v>
      </c>
      <c r="H134" s="17"/>
      <c r="I134" s="17"/>
      <c r="J134" s="17"/>
      <c r="K134" s="17"/>
      <c r="L134" s="226" t="s">
        <v>4323</v>
      </c>
      <c r="M134" s="17"/>
      <c r="N134" s="17"/>
      <c r="O134" s="17"/>
      <c r="P134" s="17"/>
      <c r="Q134" s="17"/>
      <c r="R134" s="17"/>
      <c r="S134" s="17"/>
    </row>
    <row r="135" spans="1:19" ht="15.6" x14ac:dyDescent="0.3">
      <c r="A135" s="17"/>
      <c r="B135" s="17"/>
      <c r="C135" s="226"/>
      <c r="D135" s="379"/>
      <c r="E135" s="17"/>
      <c r="F135" s="17"/>
      <c r="G135" s="17" t="s">
        <v>4324</v>
      </c>
      <c r="H135" s="17"/>
      <c r="I135" s="17"/>
      <c r="J135" s="17"/>
      <c r="K135" s="17"/>
      <c r="L135" s="240">
        <v>0.9</v>
      </c>
      <c r="M135" s="17"/>
      <c r="N135" s="17"/>
      <c r="O135" s="17"/>
      <c r="P135" s="17"/>
      <c r="Q135" s="17"/>
      <c r="R135" s="17"/>
      <c r="S135" s="17"/>
    </row>
    <row r="136" spans="1:19" ht="15.6" x14ac:dyDescent="0.3">
      <c r="A136" s="17"/>
      <c r="B136" s="17"/>
      <c r="C136" s="226"/>
      <c r="D136" s="379"/>
      <c r="E136" s="17"/>
      <c r="F136" s="17"/>
      <c r="G136" s="17"/>
      <c r="H136" s="17"/>
      <c r="I136" s="17"/>
      <c r="J136" s="17"/>
      <c r="K136" s="17"/>
      <c r="L136" s="240"/>
      <c r="M136" s="17"/>
      <c r="N136" s="17"/>
      <c r="O136" s="17"/>
      <c r="P136" s="17"/>
      <c r="Q136" s="17"/>
      <c r="R136" s="17"/>
      <c r="S136" s="17"/>
    </row>
    <row r="137" spans="1:19" ht="15.6" x14ac:dyDescent="0.3">
      <c r="A137" s="17"/>
      <c r="B137" s="17"/>
      <c r="C137" s="226" t="s">
        <v>4325</v>
      </c>
      <c r="D137" s="379"/>
      <c r="E137" s="17"/>
      <c r="F137" s="17"/>
      <c r="G137" s="18" t="s">
        <v>4326</v>
      </c>
      <c r="H137" s="18"/>
      <c r="I137" s="18"/>
      <c r="J137" s="18"/>
      <c r="K137" s="18"/>
      <c r="L137" s="240"/>
      <c r="M137" s="17"/>
      <c r="N137" s="17"/>
      <c r="O137" s="17"/>
      <c r="P137" s="17"/>
      <c r="Q137" s="17"/>
      <c r="R137" s="17"/>
      <c r="S137" s="17"/>
    </row>
    <row r="138" spans="1:19" ht="15.6" x14ac:dyDescent="0.3">
      <c r="A138" s="17"/>
      <c r="B138" s="17"/>
      <c r="C138" s="226"/>
      <c r="D138" s="379"/>
      <c r="E138" s="17"/>
      <c r="F138" s="17"/>
      <c r="G138" s="17"/>
      <c r="H138" s="17"/>
      <c r="I138" s="17"/>
      <c r="J138" s="17"/>
      <c r="K138" s="17"/>
      <c r="L138" s="240"/>
      <c r="M138" s="17"/>
      <c r="N138" s="17"/>
      <c r="O138" s="17"/>
      <c r="P138" s="17"/>
      <c r="Q138" s="17"/>
      <c r="R138" s="17"/>
      <c r="S138" s="17"/>
    </row>
    <row r="139" spans="1:19" ht="15.6" x14ac:dyDescent="0.3">
      <c r="A139" s="17"/>
      <c r="B139" s="17"/>
      <c r="C139" s="226"/>
      <c r="D139" s="379"/>
      <c r="E139" s="17"/>
      <c r="F139" s="17"/>
      <c r="G139" s="17"/>
      <c r="H139" s="17"/>
      <c r="I139" s="17"/>
      <c r="J139" s="17"/>
      <c r="K139" s="17"/>
      <c r="L139" s="240"/>
      <c r="M139" s="17"/>
      <c r="N139" s="17"/>
      <c r="O139" s="17"/>
      <c r="P139" s="17"/>
      <c r="Q139" s="17"/>
      <c r="R139" s="17"/>
      <c r="S139" s="17"/>
    </row>
    <row r="140" spans="1:19" ht="15.6" x14ac:dyDescent="0.3">
      <c r="A140" s="17"/>
      <c r="B140" s="17"/>
      <c r="C140" s="233" t="s">
        <v>4101</v>
      </c>
      <c r="D140" s="217"/>
      <c r="E140" s="232"/>
      <c r="F140" s="232">
        <v>4</v>
      </c>
      <c r="G140" s="234" t="s">
        <v>4327</v>
      </c>
      <c r="H140" s="234"/>
      <c r="I140" s="234"/>
      <c r="J140" s="234"/>
      <c r="K140" s="234"/>
      <c r="L140" s="226"/>
      <c r="M140" s="17"/>
      <c r="N140" s="17"/>
      <c r="O140" s="17"/>
      <c r="P140" s="17"/>
      <c r="Q140" s="17"/>
      <c r="R140" s="17"/>
      <c r="S140" s="17"/>
    </row>
    <row r="141" spans="1:19" ht="31.2" x14ac:dyDescent="0.3">
      <c r="A141" s="17"/>
      <c r="B141" s="17"/>
      <c r="C141" s="226" t="s">
        <v>4328</v>
      </c>
      <c r="D141" s="379"/>
      <c r="E141" s="17"/>
      <c r="F141" s="17">
        <v>4</v>
      </c>
      <c r="G141" s="18" t="s">
        <v>4329</v>
      </c>
      <c r="H141" s="18"/>
      <c r="I141" s="18"/>
      <c r="J141" s="18"/>
      <c r="K141" s="18"/>
      <c r="L141" s="236" t="s">
        <v>4330</v>
      </c>
      <c r="M141" s="17"/>
      <c r="N141" s="17"/>
      <c r="O141" s="17"/>
      <c r="P141" s="17"/>
      <c r="Q141" s="17"/>
      <c r="R141" s="17"/>
      <c r="S141" s="17"/>
    </row>
    <row r="142" spans="1:19" ht="15.6" x14ac:dyDescent="0.3">
      <c r="A142" s="17"/>
      <c r="B142" s="17"/>
      <c r="C142" s="226"/>
      <c r="D142" s="379"/>
      <c r="E142" s="17"/>
      <c r="F142" s="17"/>
      <c r="G142" s="18"/>
      <c r="H142" s="18"/>
      <c r="I142" s="18"/>
      <c r="J142" s="18"/>
      <c r="K142" s="18"/>
      <c r="L142" s="236"/>
      <c r="M142" s="17"/>
      <c r="N142" s="17"/>
      <c r="O142" s="17"/>
      <c r="P142" s="17"/>
      <c r="Q142" s="17"/>
      <c r="R142" s="17"/>
      <c r="S142" s="17"/>
    </row>
    <row r="143" spans="1:19" ht="15.6" x14ac:dyDescent="0.3">
      <c r="A143" s="17"/>
      <c r="B143" s="17"/>
      <c r="C143" s="226" t="s">
        <v>4331</v>
      </c>
      <c r="D143" s="379"/>
      <c r="E143" s="17"/>
      <c r="F143" s="17">
        <v>4</v>
      </c>
      <c r="G143" s="18" t="s">
        <v>4332</v>
      </c>
      <c r="H143" s="18"/>
      <c r="I143" s="18"/>
      <c r="J143" s="18"/>
      <c r="K143" s="18"/>
      <c r="L143" s="226" t="s">
        <v>4333</v>
      </c>
      <c r="M143" s="17"/>
      <c r="N143" s="17"/>
      <c r="O143" s="17"/>
      <c r="P143" s="17"/>
      <c r="Q143" s="17"/>
      <c r="R143" s="17"/>
      <c r="S143" s="17"/>
    </row>
    <row r="144" spans="1:19" ht="15.6" x14ac:dyDescent="0.3">
      <c r="A144" s="17"/>
      <c r="B144" s="17"/>
      <c r="C144" s="226"/>
      <c r="D144" s="379"/>
      <c r="E144" s="17"/>
      <c r="F144" s="17"/>
      <c r="G144" s="17" t="s">
        <v>4334</v>
      </c>
      <c r="H144" s="17"/>
      <c r="I144" s="17"/>
      <c r="J144" s="17"/>
      <c r="K144" s="17"/>
      <c r="L144" s="240">
        <v>0.8</v>
      </c>
      <c r="M144" s="17"/>
      <c r="N144" s="17"/>
      <c r="O144" s="17"/>
      <c r="P144" s="17"/>
      <c r="Q144" s="17"/>
      <c r="R144" s="17"/>
      <c r="S144" s="17"/>
    </row>
    <row r="145" spans="1:19" ht="15.6" x14ac:dyDescent="0.3">
      <c r="A145" s="17"/>
      <c r="B145" s="17"/>
      <c r="C145" s="226"/>
      <c r="D145" s="379"/>
      <c r="E145" s="17"/>
      <c r="F145" s="17"/>
      <c r="G145" s="17" t="s">
        <v>4335</v>
      </c>
      <c r="H145" s="17"/>
      <c r="I145" s="17"/>
      <c r="J145" s="17"/>
      <c r="K145" s="17"/>
      <c r="L145" s="240">
        <v>0.5</v>
      </c>
      <c r="M145" s="17"/>
      <c r="N145" s="17"/>
      <c r="O145" s="17"/>
      <c r="P145" s="17"/>
      <c r="Q145" s="17"/>
      <c r="R145" s="17"/>
      <c r="S145" s="17"/>
    </row>
    <row r="146" spans="1:19" ht="15.6" x14ac:dyDescent="0.3">
      <c r="A146" s="17"/>
      <c r="B146" s="17"/>
      <c r="C146" s="226"/>
      <c r="D146" s="379"/>
      <c r="E146" s="17"/>
      <c r="F146" s="17"/>
      <c r="G146" s="17" t="s">
        <v>4336</v>
      </c>
      <c r="H146" s="17"/>
      <c r="I146" s="17"/>
      <c r="J146" s="17"/>
      <c r="K146" s="17"/>
      <c r="L146" s="240">
        <v>0.8</v>
      </c>
      <c r="M146" s="17"/>
      <c r="N146" s="17"/>
      <c r="O146" s="17"/>
      <c r="P146" s="17"/>
      <c r="Q146" s="17"/>
      <c r="R146" s="17"/>
      <c r="S146" s="17"/>
    </row>
    <row r="147" spans="1:19" ht="15.6" x14ac:dyDescent="0.3">
      <c r="A147" s="17"/>
      <c r="B147" s="17"/>
      <c r="C147" s="226"/>
      <c r="D147" s="379"/>
      <c r="E147" s="17"/>
      <c r="F147" s="17"/>
      <c r="G147" s="17" t="s">
        <v>4337</v>
      </c>
      <c r="H147" s="17"/>
      <c r="I147" s="17"/>
      <c r="J147" s="17"/>
      <c r="K147" s="17"/>
      <c r="L147" s="240">
        <v>0.8</v>
      </c>
      <c r="M147" s="17"/>
      <c r="N147" s="17"/>
      <c r="O147" s="17"/>
      <c r="P147" s="17"/>
      <c r="Q147" s="17"/>
      <c r="R147" s="17"/>
      <c r="S147" s="17"/>
    </row>
    <row r="148" spans="1:19" ht="15.6" x14ac:dyDescent="0.3">
      <c r="A148" s="17"/>
      <c r="B148" s="17"/>
      <c r="C148" s="226"/>
      <c r="D148" s="379"/>
      <c r="E148" s="17"/>
      <c r="F148" s="17"/>
      <c r="G148" s="17" t="s">
        <v>4338</v>
      </c>
      <c r="H148" s="17"/>
      <c r="I148" s="17"/>
      <c r="J148" s="17"/>
      <c r="K148" s="17"/>
      <c r="L148" s="240">
        <v>0.8</v>
      </c>
      <c r="M148" s="17"/>
      <c r="N148" s="17"/>
      <c r="O148" s="17"/>
      <c r="P148" s="17"/>
      <c r="Q148" s="17"/>
      <c r="R148" s="17"/>
      <c r="S148" s="17"/>
    </row>
    <row r="149" spans="1:19" ht="15.6" x14ac:dyDescent="0.3">
      <c r="A149" s="17"/>
      <c r="B149" s="17"/>
      <c r="C149" s="226"/>
      <c r="D149" s="379"/>
      <c r="E149" s="17"/>
      <c r="F149" s="17"/>
      <c r="G149" s="17" t="s">
        <v>4339</v>
      </c>
      <c r="H149" s="17"/>
      <c r="I149" s="17"/>
      <c r="J149" s="17"/>
      <c r="K149" s="17"/>
      <c r="L149" s="240">
        <v>0.5</v>
      </c>
      <c r="M149" s="17"/>
      <c r="N149" s="17"/>
      <c r="O149" s="17"/>
      <c r="P149" s="17"/>
      <c r="Q149" s="17"/>
      <c r="R149" s="17"/>
      <c r="S149" s="17"/>
    </row>
    <row r="150" spans="1:19" ht="15.6" x14ac:dyDescent="0.3">
      <c r="A150" s="17"/>
      <c r="B150" s="17"/>
      <c r="C150" s="226"/>
      <c r="D150" s="379"/>
      <c r="E150" s="17"/>
      <c r="F150" s="17"/>
      <c r="G150" s="17"/>
      <c r="H150" s="17"/>
      <c r="I150" s="17"/>
      <c r="J150" s="17"/>
      <c r="K150" s="17"/>
      <c r="L150" s="226"/>
      <c r="M150" s="17"/>
      <c r="N150" s="17"/>
      <c r="O150" s="17"/>
      <c r="P150" s="17"/>
      <c r="Q150" s="17"/>
      <c r="R150" s="17"/>
      <c r="S150" s="17"/>
    </row>
    <row r="151" spans="1:19" ht="15.6" x14ac:dyDescent="0.3">
      <c r="A151" s="17"/>
      <c r="B151" s="17"/>
      <c r="C151" s="226" t="s">
        <v>4340</v>
      </c>
      <c r="D151" s="379"/>
      <c r="E151" s="17"/>
      <c r="F151" s="17"/>
      <c r="G151" s="18" t="s">
        <v>4341</v>
      </c>
      <c r="H151" s="18"/>
      <c r="I151" s="18"/>
      <c r="J151" s="18"/>
      <c r="K151" s="18"/>
      <c r="L151" s="226"/>
      <c r="M151" s="17"/>
      <c r="N151" s="17"/>
      <c r="O151" s="17"/>
      <c r="P151" s="17"/>
      <c r="Q151" s="17"/>
      <c r="R151" s="17"/>
      <c r="S151" s="17"/>
    </row>
    <row r="152" spans="1:19" ht="15.6" x14ac:dyDescent="0.3">
      <c r="A152" s="17"/>
      <c r="B152" s="17"/>
      <c r="C152" s="226"/>
      <c r="D152" s="379"/>
      <c r="E152" s="17"/>
      <c r="F152" s="17"/>
      <c r="G152" s="17"/>
      <c r="H152" s="17"/>
      <c r="I152" s="17"/>
      <c r="J152" s="17"/>
      <c r="K152" s="17"/>
      <c r="L152" s="226"/>
      <c r="M152" s="17"/>
      <c r="N152" s="17"/>
      <c r="O152" s="17"/>
      <c r="P152" s="17"/>
      <c r="Q152" s="17"/>
      <c r="R152" s="17"/>
      <c r="S152" s="17"/>
    </row>
    <row r="153" spans="1:19" ht="15.6" x14ac:dyDescent="0.3">
      <c r="A153" s="17"/>
      <c r="B153" s="17"/>
      <c r="C153" s="226" t="s">
        <v>4342</v>
      </c>
      <c r="D153" s="379"/>
      <c r="E153" s="17"/>
      <c r="F153" s="17"/>
      <c r="G153" s="17" t="s">
        <v>4343</v>
      </c>
      <c r="H153" s="17"/>
      <c r="I153" s="17"/>
      <c r="J153" s="17"/>
      <c r="K153" s="17"/>
      <c r="L153" s="226"/>
      <c r="M153" s="17"/>
      <c r="N153" s="17"/>
      <c r="O153" s="17"/>
      <c r="P153" s="17"/>
      <c r="Q153" s="17"/>
      <c r="R153" s="17"/>
      <c r="S153" s="17"/>
    </row>
    <row r="154" spans="1:19" ht="15.6" x14ac:dyDescent="0.3">
      <c r="A154" s="17"/>
      <c r="B154" s="17"/>
      <c r="C154" s="226"/>
      <c r="D154" s="379"/>
      <c r="E154" s="17"/>
      <c r="F154" s="17"/>
      <c r="G154" s="17"/>
      <c r="H154" s="17"/>
      <c r="I154" s="17"/>
      <c r="J154" s="17"/>
      <c r="K154" s="17"/>
      <c r="L154" s="226"/>
      <c r="M154" s="17"/>
      <c r="N154" s="17"/>
      <c r="O154" s="17"/>
      <c r="P154" s="17"/>
      <c r="Q154" s="17"/>
      <c r="R154" s="17"/>
      <c r="S154" s="17"/>
    </row>
    <row r="155" spans="1:19" ht="15.6" x14ac:dyDescent="0.3">
      <c r="A155" s="17"/>
      <c r="B155" s="17"/>
      <c r="C155" s="226" t="s">
        <v>4344</v>
      </c>
      <c r="D155" s="379"/>
      <c r="E155" s="17"/>
      <c r="F155" s="17"/>
      <c r="G155" s="17" t="s">
        <v>4345</v>
      </c>
      <c r="H155" s="17"/>
      <c r="I155" s="17"/>
      <c r="J155" s="17"/>
      <c r="K155" s="17"/>
      <c r="L155" s="226"/>
      <c r="M155" s="17"/>
      <c r="N155" s="17"/>
      <c r="O155" s="17"/>
      <c r="P155" s="17"/>
      <c r="Q155" s="17"/>
      <c r="R155" s="17"/>
      <c r="S155" s="17"/>
    </row>
    <row r="156" spans="1:19" ht="15.6" x14ac:dyDescent="0.3">
      <c r="A156" s="17"/>
      <c r="B156" s="17"/>
      <c r="C156" s="226"/>
      <c r="D156" s="379"/>
      <c r="E156" s="17"/>
      <c r="F156" s="17"/>
      <c r="G156" s="17"/>
      <c r="H156" s="17"/>
      <c r="I156" s="17"/>
      <c r="J156" s="17"/>
      <c r="K156" s="17"/>
      <c r="L156" s="226"/>
      <c r="M156" s="17"/>
      <c r="N156" s="17"/>
      <c r="O156" s="17"/>
      <c r="P156" s="17"/>
      <c r="Q156" s="17"/>
      <c r="R156" s="17"/>
      <c r="S156" s="17"/>
    </row>
    <row r="157" spans="1:19" ht="156" x14ac:dyDescent="0.3">
      <c r="A157" s="17"/>
      <c r="B157" s="17"/>
      <c r="C157" s="226" t="s">
        <v>4346</v>
      </c>
      <c r="D157" s="379"/>
      <c r="E157" s="17"/>
      <c r="F157" s="17"/>
      <c r="G157" s="226" t="s">
        <v>4347</v>
      </c>
      <c r="H157" s="226"/>
      <c r="I157" s="226"/>
      <c r="J157" s="226"/>
      <c r="K157" s="226"/>
      <c r="L157" s="226"/>
      <c r="M157" s="17"/>
      <c r="N157" s="17"/>
      <c r="O157" s="17"/>
      <c r="P157" s="17"/>
      <c r="Q157" s="17"/>
      <c r="R157" s="17"/>
      <c r="S157" s="17"/>
    </row>
    <row r="158" spans="1:19" ht="15.6" x14ac:dyDescent="0.3">
      <c r="A158" s="17"/>
      <c r="B158" s="17"/>
      <c r="C158" s="226"/>
      <c r="D158" s="379"/>
      <c r="E158" s="17"/>
      <c r="F158" s="17"/>
      <c r="G158" s="17"/>
      <c r="H158" s="17"/>
      <c r="I158" s="17"/>
      <c r="J158" s="17"/>
      <c r="K158" s="17"/>
      <c r="L158" s="226"/>
      <c r="M158" s="17"/>
      <c r="N158" s="17"/>
      <c r="O158" s="17"/>
      <c r="P158" s="17"/>
      <c r="Q158" s="17"/>
      <c r="R158" s="17"/>
      <c r="S158" s="17"/>
    </row>
    <row r="159" spans="1:19" ht="15.6" x14ac:dyDescent="0.3">
      <c r="A159" s="17"/>
      <c r="B159" s="17"/>
      <c r="C159" s="226" t="s">
        <v>4348</v>
      </c>
      <c r="D159" s="379"/>
      <c r="E159" s="17"/>
      <c r="F159" s="17"/>
      <c r="G159" s="17"/>
      <c r="H159" s="17"/>
      <c r="I159" s="17"/>
      <c r="J159" s="17"/>
      <c r="K159" s="17"/>
      <c r="L159" s="226"/>
      <c r="M159" s="17"/>
      <c r="N159" s="17"/>
      <c r="O159" s="17"/>
      <c r="P159" s="17"/>
      <c r="Q159" s="17"/>
      <c r="R159" s="17"/>
      <c r="S159" s="17"/>
    </row>
    <row r="160" spans="1:19" ht="15.6" x14ac:dyDescent="0.3">
      <c r="A160" s="17"/>
      <c r="B160" s="17"/>
      <c r="C160" s="226"/>
      <c r="D160" s="379"/>
      <c r="E160" s="17"/>
      <c r="F160" s="17"/>
      <c r="G160" s="17"/>
      <c r="H160" s="17"/>
      <c r="I160" s="17"/>
      <c r="J160" s="17"/>
      <c r="K160" s="17"/>
      <c r="L160" s="226"/>
      <c r="M160" s="17"/>
      <c r="N160" s="17"/>
      <c r="O160" s="17"/>
      <c r="P160" s="17"/>
      <c r="Q160" s="17"/>
      <c r="R160" s="17"/>
      <c r="S160" s="17"/>
    </row>
    <row r="161" spans="1:19" ht="15.6" x14ac:dyDescent="0.3">
      <c r="A161" s="17"/>
      <c r="B161" s="17"/>
      <c r="C161" s="226" t="s">
        <v>4349</v>
      </c>
      <c r="D161" s="379"/>
      <c r="E161" s="17"/>
      <c r="F161" s="17"/>
      <c r="G161" s="17" t="s">
        <v>4350</v>
      </c>
      <c r="H161" s="17"/>
      <c r="I161" s="17"/>
      <c r="J161" s="17"/>
      <c r="K161" s="17"/>
      <c r="L161" s="226"/>
      <c r="M161" s="17"/>
      <c r="N161" s="17"/>
      <c r="O161" s="17"/>
      <c r="P161" s="17"/>
      <c r="Q161" s="17"/>
      <c r="R161" s="17"/>
      <c r="S161" s="17"/>
    </row>
    <row r="162" spans="1:19" ht="15.6" x14ac:dyDescent="0.3">
      <c r="A162" s="17"/>
      <c r="B162" s="17"/>
      <c r="C162" s="226"/>
      <c r="D162" s="379"/>
      <c r="E162" s="17"/>
      <c r="F162" s="17"/>
      <c r="G162" s="17"/>
      <c r="H162" s="17"/>
      <c r="I162" s="17"/>
      <c r="J162" s="17"/>
      <c r="K162" s="17"/>
      <c r="L162" s="226"/>
      <c r="M162" s="17"/>
      <c r="N162" s="17"/>
      <c r="O162" s="17"/>
      <c r="P162" s="17"/>
      <c r="Q162" s="17"/>
      <c r="R162" s="17"/>
      <c r="S162" s="17"/>
    </row>
    <row r="163" spans="1:19" ht="15.6" x14ac:dyDescent="0.3">
      <c r="A163" s="17"/>
      <c r="B163" s="17"/>
      <c r="C163" s="226"/>
      <c r="D163" s="379"/>
      <c r="E163" s="17"/>
      <c r="F163" s="17"/>
      <c r="G163" s="17"/>
      <c r="H163" s="17"/>
      <c r="I163" s="17"/>
      <c r="J163" s="17"/>
      <c r="K163" s="17"/>
      <c r="L163" s="226"/>
      <c r="M163" s="17"/>
      <c r="N163" s="17"/>
      <c r="O163" s="17"/>
      <c r="P163" s="17"/>
      <c r="Q163" s="17"/>
      <c r="R163" s="17"/>
      <c r="S163" s="17"/>
    </row>
    <row r="164" spans="1:19" ht="15.6" x14ac:dyDescent="0.3">
      <c r="A164" s="17"/>
      <c r="B164" s="17"/>
      <c r="C164" s="226"/>
      <c r="D164" s="379"/>
      <c r="E164" s="17"/>
      <c r="F164" s="17"/>
      <c r="G164" s="17"/>
      <c r="H164" s="17"/>
      <c r="I164" s="17"/>
      <c r="J164" s="17"/>
      <c r="K164" s="17"/>
      <c r="L164" s="226"/>
      <c r="M164" s="17"/>
      <c r="N164" s="17"/>
      <c r="O164" s="17"/>
      <c r="P164" s="17"/>
      <c r="Q164" s="17"/>
      <c r="R164" s="17"/>
      <c r="S164" s="17"/>
    </row>
    <row r="165" spans="1:19" ht="15.6" x14ac:dyDescent="0.3">
      <c r="A165" s="17"/>
      <c r="B165" s="17" t="s">
        <v>36</v>
      </c>
      <c r="C165" s="226"/>
      <c r="D165" s="379"/>
      <c r="E165" s="17"/>
      <c r="F165" s="17"/>
      <c r="G165" s="17"/>
      <c r="H165" s="17"/>
      <c r="I165" s="17"/>
      <c r="J165" s="17"/>
      <c r="K165" s="17"/>
      <c r="L165" s="226"/>
      <c r="M165" s="17"/>
      <c r="N165" s="17"/>
      <c r="O165" s="17"/>
      <c r="P165" s="17"/>
      <c r="Q165" s="17"/>
      <c r="R165" s="17"/>
      <c r="S165" s="17"/>
    </row>
    <row r="166" spans="1:19" ht="31.2" x14ac:dyDescent="0.3">
      <c r="A166" s="17"/>
      <c r="B166" s="17"/>
      <c r="C166" s="226" t="s">
        <v>4351</v>
      </c>
      <c r="D166" s="379"/>
      <c r="E166" s="17"/>
      <c r="F166" s="17"/>
      <c r="G166" s="17" t="s">
        <v>4051</v>
      </c>
      <c r="H166" s="17"/>
      <c r="I166" s="17"/>
      <c r="J166" s="17"/>
      <c r="K166" s="17"/>
      <c r="L166" s="226"/>
      <c r="M166" s="17"/>
      <c r="N166" s="17"/>
      <c r="O166" s="17"/>
      <c r="P166" s="17"/>
      <c r="Q166" s="17"/>
      <c r="R166" s="17"/>
      <c r="S166" s="17"/>
    </row>
    <row r="167" spans="1:19" ht="15.6" x14ac:dyDescent="0.3">
      <c r="A167" s="17"/>
      <c r="B167" s="17"/>
      <c r="C167" s="226"/>
      <c r="D167" s="379"/>
      <c r="E167" s="17"/>
      <c r="F167" s="17"/>
      <c r="G167" s="17"/>
      <c r="H167" s="17"/>
      <c r="I167" s="17"/>
      <c r="J167" s="17"/>
      <c r="K167" s="17"/>
      <c r="L167" s="226"/>
      <c r="M167" s="17"/>
      <c r="N167" s="17"/>
      <c r="O167" s="17"/>
      <c r="P167" s="17"/>
      <c r="Q167" s="17"/>
      <c r="R167" s="17"/>
      <c r="S167" s="17"/>
    </row>
    <row r="168" spans="1:19" ht="31.2" x14ac:dyDescent="0.3">
      <c r="A168" s="17"/>
      <c r="B168" s="17" t="s">
        <v>53</v>
      </c>
      <c r="C168" s="226" t="s">
        <v>4352</v>
      </c>
      <c r="D168" s="379"/>
      <c r="E168" s="17"/>
      <c r="F168" s="17"/>
      <c r="G168" s="17" t="s">
        <v>4353</v>
      </c>
      <c r="H168" s="17"/>
      <c r="I168" s="17"/>
      <c r="J168" s="17"/>
      <c r="K168" s="17"/>
      <c r="L168" s="226"/>
      <c r="M168" s="17"/>
      <c r="N168" s="17"/>
      <c r="O168" s="17"/>
      <c r="P168" s="17"/>
      <c r="Q168" s="17"/>
      <c r="R168" s="17"/>
      <c r="S168" s="17"/>
    </row>
    <row r="169" spans="1:19" ht="15.6" x14ac:dyDescent="0.3">
      <c r="A169" s="17"/>
      <c r="B169" s="17"/>
      <c r="C169" s="226"/>
      <c r="D169" s="379"/>
      <c r="E169" s="17"/>
      <c r="F169" s="17"/>
      <c r="G169" s="17"/>
      <c r="H169" s="17"/>
      <c r="I169" s="17"/>
      <c r="J169" s="17"/>
      <c r="K169" s="17"/>
      <c r="L169" s="226"/>
      <c r="M169" s="17"/>
      <c r="N169" s="17"/>
      <c r="O169" s="17"/>
      <c r="P169" s="17"/>
      <c r="Q169" s="17"/>
      <c r="R169" s="17"/>
      <c r="S169" s="17"/>
    </row>
    <row r="170" spans="1:19" ht="15.6" x14ac:dyDescent="0.3">
      <c r="A170" s="17"/>
      <c r="B170" s="17" t="s">
        <v>53</v>
      </c>
      <c r="C170" s="226" t="s">
        <v>4354</v>
      </c>
      <c r="D170" s="379"/>
      <c r="E170" s="17"/>
      <c r="F170" s="17"/>
      <c r="G170" s="17" t="s">
        <v>4355</v>
      </c>
      <c r="H170" s="17"/>
      <c r="I170" s="17"/>
      <c r="J170" s="17"/>
      <c r="K170" s="17"/>
      <c r="L170" s="226"/>
      <c r="M170" s="17"/>
      <c r="N170" s="17"/>
      <c r="O170" s="17"/>
      <c r="P170" s="17"/>
      <c r="Q170" s="17"/>
      <c r="R170" s="17"/>
      <c r="S170" s="17"/>
    </row>
    <row r="171" spans="1:19" ht="15.6" x14ac:dyDescent="0.3">
      <c r="A171" s="17"/>
      <c r="B171" s="17"/>
      <c r="C171" s="226"/>
      <c r="D171" s="379"/>
      <c r="E171" s="17"/>
      <c r="F171" s="17"/>
      <c r="G171" s="17"/>
      <c r="H171" s="17"/>
      <c r="I171" s="17"/>
      <c r="J171" s="17"/>
      <c r="K171" s="17"/>
      <c r="L171" s="226"/>
      <c r="M171" s="17"/>
      <c r="N171" s="17"/>
      <c r="O171" s="17"/>
      <c r="P171" s="17"/>
      <c r="Q171" s="17"/>
      <c r="R171" s="17"/>
      <c r="S171" s="17"/>
    </row>
    <row r="172" spans="1:19" ht="15.6" x14ac:dyDescent="0.3">
      <c r="A172" s="17"/>
      <c r="B172" s="17"/>
      <c r="C172" s="226" t="s">
        <v>1592</v>
      </c>
      <c r="D172" s="379"/>
      <c r="E172" s="17"/>
      <c r="F172" s="17"/>
      <c r="G172" s="17" t="s">
        <v>4356</v>
      </c>
      <c r="H172" s="17"/>
      <c r="I172" s="17"/>
      <c r="J172" s="17"/>
      <c r="K172" s="17"/>
      <c r="L172" s="226"/>
      <c r="M172" s="17"/>
      <c r="N172" s="17"/>
      <c r="O172" s="17"/>
      <c r="P172" s="17"/>
      <c r="Q172" s="17"/>
      <c r="R172" s="17"/>
      <c r="S172" s="17"/>
    </row>
    <row r="173" spans="1:19" ht="15.6" x14ac:dyDescent="0.3">
      <c r="A173" s="17"/>
      <c r="B173" s="17"/>
      <c r="C173" s="226" t="s">
        <v>2835</v>
      </c>
      <c r="D173" s="379"/>
      <c r="E173" s="17"/>
      <c r="F173" s="17"/>
      <c r="G173" s="17" t="s">
        <v>4356</v>
      </c>
      <c r="H173" s="17"/>
      <c r="I173" s="17"/>
      <c r="J173" s="17"/>
      <c r="K173" s="17"/>
      <c r="L173" s="226"/>
      <c r="M173" s="17"/>
      <c r="N173" s="17"/>
      <c r="O173" s="17"/>
      <c r="P173" s="17"/>
      <c r="Q173" s="17"/>
      <c r="R173" s="17"/>
      <c r="S173" s="17"/>
    </row>
    <row r="174" spans="1:19" ht="15.6" x14ac:dyDescent="0.3">
      <c r="A174" s="17"/>
      <c r="B174" s="17"/>
      <c r="C174" s="226" t="s">
        <v>4357</v>
      </c>
      <c r="D174" s="379"/>
      <c r="E174" s="17"/>
      <c r="F174" s="17"/>
      <c r="G174" s="17" t="s">
        <v>4358</v>
      </c>
      <c r="H174" s="17"/>
      <c r="I174" s="17"/>
      <c r="J174" s="17"/>
      <c r="K174" s="17"/>
      <c r="L174" s="226"/>
      <c r="M174" s="17"/>
      <c r="N174" s="17"/>
      <c r="O174" s="17"/>
      <c r="P174" s="17"/>
      <c r="Q174" s="17"/>
      <c r="R174" s="17"/>
      <c r="S174" s="17"/>
    </row>
    <row r="175" spans="1:19" ht="15.6" x14ac:dyDescent="0.3">
      <c r="A175" s="17"/>
      <c r="B175" s="17"/>
      <c r="C175" s="226"/>
      <c r="D175" s="379"/>
      <c r="E175" s="17"/>
      <c r="F175" s="17"/>
      <c r="G175" s="17"/>
      <c r="H175" s="17"/>
      <c r="I175" s="17"/>
      <c r="J175" s="17"/>
      <c r="K175" s="17"/>
      <c r="L175" s="226"/>
      <c r="M175" s="17"/>
      <c r="N175" s="17"/>
      <c r="O175" s="17"/>
      <c r="P175" s="17"/>
      <c r="Q175" s="17"/>
      <c r="R175" s="17"/>
      <c r="S175" s="17"/>
    </row>
    <row r="176" spans="1:19" ht="15.6" x14ac:dyDescent="0.3">
      <c r="A176" s="17"/>
      <c r="B176" s="17"/>
      <c r="C176" s="226"/>
      <c r="D176" s="379"/>
      <c r="E176" s="17"/>
      <c r="F176" s="17"/>
      <c r="G176" s="17"/>
      <c r="H176" s="17"/>
      <c r="I176" s="17"/>
      <c r="J176" s="17"/>
      <c r="K176" s="17"/>
      <c r="L176" s="226"/>
      <c r="M176" s="17"/>
      <c r="N176" s="17"/>
      <c r="O176" s="17"/>
      <c r="P176" s="17"/>
      <c r="Q176" s="17"/>
      <c r="R176" s="17"/>
      <c r="S176" s="17"/>
    </row>
    <row r="177" spans="1:19" ht="31.2" x14ac:dyDescent="0.3">
      <c r="A177" s="17"/>
      <c r="B177" s="17" t="s">
        <v>0</v>
      </c>
      <c r="C177" s="226" t="s">
        <v>4359</v>
      </c>
      <c r="D177" s="379"/>
      <c r="E177" s="17"/>
      <c r="F177" s="17"/>
      <c r="G177" s="17" t="s">
        <v>4360</v>
      </c>
      <c r="H177" s="17"/>
      <c r="I177" s="17"/>
      <c r="J177" s="17"/>
      <c r="K177" s="17"/>
      <c r="L177" s="226"/>
      <c r="M177" s="17"/>
      <c r="N177" s="17"/>
      <c r="O177" s="17"/>
      <c r="P177" s="17"/>
      <c r="Q177" s="17"/>
      <c r="R177" s="17"/>
      <c r="S177" s="17"/>
    </row>
    <row r="178" spans="1:19" ht="31.2" x14ac:dyDescent="0.3">
      <c r="A178" s="17"/>
      <c r="B178" s="17"/>
      <c r="C178" s="226" t="s">
        <v>4361</v>
      </c>
      <c r="D178" s="379"/>
      <c r="E178" s="17"/>
      <c r="F178" s="17"/>
      <c r="G178" s="17" t="s">
        <v>4362</v>
      </c>
      <c r="H178" s="17"/>
      <c r="I178" s="17"/>
      <c r="J178" s="17"/>
      <c r="K178" s="17"/>
      <c r="L178" s="226"/>
      <c r="M178" s="17"/>
      <c r="N178" s="17"/>
      <c r="O178" s="17"/>
      <c r="P178" s="17"/>
      <c r="Q178" s="17"/>
      <c r="R178" s="17"/>
      <c r="S178" s="17"/>
    </row>
    <row r="179" spans="1:19" ht="15.6" x14ac:dyDescent="0.3">
      <c r="A179" s="17"/>
      <c r="B179" s="17"/>
      <c r="C179" s="226"/>
      <c r="D179" s="379"/>
      <c r="E179" s="17"/>
      <c r="F179" s="17"/>
      <c r="G179" s="17"/>
      <c r="H179" s="17"/>
      <c r="I179" s="17"/>
      <c r="J179" s="17"/>
      <c r="K179" s="17"/>
      <c r="L179" s="226"/>
      <c r="M179" s="17"/>
      <c r="N179" s="17"/>
      <c r="O179" s="17"/>
      <c r="P179" s="17"/>
      <c r="Q179" s="17"/>
      <c r="R179" s="17"/>
      <c r="S179" s="17"/>
    </row>
    <row r="180" spans="1:19" ht="15.6" x14ac:dyDescent="0.3">
      <c r="A180" s="17"/>
      <c r="B180" s="17"/>
      <c r="C180" s="226"/>
      <c r="D180" s="379"/>
      <c r="E180" s="17"/>
      <c r="F180" s="17"/>
      <c r="G180" s="17"/>
      <c r="H180" s="17"/>
      <c r="I180" s="17"/>
      <c r="J180" s="17"/>
      <c r="K180" s="17"/>
      <c r="L180" s="226"/>
      <c r="M180" s="17"/>
      <c r="N180" s="17"/>
      <c r="O180" s="17"/>
      <c r="P180" s="17"/>
      <c r="Q180" s="17"/>
      <c r="R180" s="17"/>
      <c r="S180" s="17"/>
    </row>
    <row r="181" spans="1:19" ht="15.6" x14ac:dyDescent="0.3">
      <c r="A181" s="17"/>
      <c r="B181" s="17"/>
      <c r="C181" s="226"/>
      <c r="D181" s="379"/>
      <c r="E181" s="17"/>
      <c r="F181" s="17"/>
      <c r="G181" s="17"/>
      <c r="H181" s="17"/>
      <c r="I181" s="17"/>
      <c r="J181" s="17"/>
      <c r="K181" s="17"/>
      <c r="L181" s="226"/>
      <c r="M181" s="17"/>
      <c r="N181" s="17"/>
      <c r="O181" s="17"/>
      <c r="P181" s="17"/>
      <c r="Q181" s="17"/>
      <c r="R181" s="17"/>
      <c r="S181" s="17"/>
    </row>
    <row r="182" spans="1:19" ht="15.6" x14ac:dyDescent="0.3">
      <c r="A182" s="17"/>
      <c r="B182" s="17"/>
      <c r="C182" s="226"/>
      <c r="D182" s="379"/>
      <c r="E182" s="17"/>
      <c r="F182" s="17"/>
      <c r="G182" s="17"/>
      <c r="H182" s="17"/>
      <c r="I182" s="17"/>
      <c r="J182" s="17"/>
      <c r="K182" s="17"/>
      <c r="L182" s="226"/>
      <c r="M182" s="17"/>
      <c r="N182" s="17"/>
      <c r="O182" s="17"/>
      <c r="P182" s="17"/>
      <c r="Q182" s="17"/>
      <c r="R182" s="17"/>
      <c r="S182" s="17"/>
    </row>
    <row r="183" spans="1:19" ht="15.6" x14ac:dyDescent="0.3">
      <c r="A183" s="17"/>
      <c r="B183" s="17"/>
      <c r="C183" s="226"/>
      <c r="D183" s="379"/>
      <c r="E183" s="17"/>
      <c r="F183" s="17"/>
      <c r="G183" s="17"/>
      <c r="H183" s="17"/>
      <c r="I183" s="17"/>
      <c r="J183" s="17"/>
      <c r="K183" s="17"/>
      <c r="L183" s="226"/>
      <c r="M183" s="17"/>
      <c r="N183" s="17"/>
      <c r="O183" s="17"/>
      <c r="P183" s="17"/>
      <c r="Q183" s="17"/>
      <c r="R183" s="17"/>
      <c r="S183" s="17"/>
    </row>
    <row r="184" spans="1:19" ht="15.6" x14ac:dyDescent="0.3">
      <c r="A184" s="17"/>
      <c r="B184" s="17"/>
      <c r="C184" s="226"/>
      <c r="D184" s="379"/>
      <c r="E184" s="17"/>
      <c r="F184" s="17"/>
      <c r="G184" s="17"/>
      <c r="H184" s="17"/>
      <c r="I184" s="17"/>
      <c r="J184" s="17"/>
      <c r="K184" s="17"/>
      <c r="L184" s="226"/>
      <c r="M184" s="17"/>
      <c r="N184" s="17"/>
      <c r="O184" s="17"/>
      <c r="P184" s="17"/>
      <c r="Q184" s="17"/>
      <c r="R184" s="17"/>
      <c r="S184" s="17"/>
    </row>
    <row r="185" spans="1:19" ht="15.6" x14ac:dyDescent="0.3">
      <c r="A185" s="17"/>
      <c r="B185" s="17"/>
      <c r="C185" s="226"/>
      <c r="D185" s="379"/>
      <c r="E185" s="17"/>
      <c r="F185" s="17"/>
      <c r="G185" s="17"/>
      <c r="H185" s="17"/>
      <c r="I185" s="17"/>
      <c r="J185" s="17"/>
      <c r="K185" s="17"/>
      <c r="L185" s="226"/>
      <c r="M185" s="17"/>
      <c r="N185" s="17"/>
      <c r="O185" s="17"/>
      <c r="P185" s="17"/>
      <c r="Q185" s="17"/>
      <c r="R185" s="17"/>
      <c r="S185" s="17"/>
    </row>
    <row r="186" spans="1:19" ht="15.6" x14ac:dyDescent="0.3">
      <c r="A186" s="17"/>
      <c r="B186" s="17"/>
      <c r="C186" s="226"/>
      <c r="D186" s="379"/>
      <c r="E186" s="17"/>
      <c r="F186" s="17"/>
      <c r="G186" s="17"/>
      <c r="H186" s="17"/>
      <c r="I186" s="17"/>
      <c r="J186" s="17"/>
      <c r="K186" s="17"/>
      <c r="L186" s="226"/>
      <c r="M186" s="17"/>
      <c r="N186" s="17"/>
      <c r="O186" s="17"/>
      <c r="P186" s="17"/>
      <c r="Q186" s="17"/>
      <c r="R186" s="17"/>
      <c r="S186" s="17"/>
    </row>
    <row r="187" spans="1:19" ht="15.6" x14ac:dyDescent="0.3">
      <c r="A187" s="17"/>
      <c r="B187" s="17"/>
      <c r="C187" s="226"/>
      <c r="D187" s="379"/>
      <c r="E187" s="17"/>
      <c r="F187" s="17"/>
      <c r="G187" s="17"/>
      <c r="H187" s="17"/>
      <c r="I187" s="17"/>
      <c r="J187" s="17"/>
      <c r="K187" s="17"/>
      <c r="L187" s="226"/>
      <c r="M187" s="17"/>
      <c r="N187" s="17"/>
      <c r="O187" s="17"/>
      <c r="P187" s="17"/>
      <c r="Q187" s="17"/>
      <c r="R187" s="17"/>
      <c r="S187" s="17"/>
    </row>
    <row r="188" spans="1:19" ht="15.6" x14ac:dyDescent="0.3">
      <c r="A188" s="17"/>
      <c r="B188" s="17"/>
      <c r="C188" s="226"/>
      <c r="D188" s="379"/>
      <c r="E188" s="17"/>
      <c r="F188" s="17"/>
      <c r="G188" s="17"/>
      <c r="H188" s="17"/>
      <c r="I188" s="17"/>
      <c r="J188" s="17"/>
      <c r="K188" s="17"/>
      <c r="L188" s="226"/>
      <c r="M188" s="17"/>
      <c r="N188" s="17"/>
      <c r="O188" s="17"/>
      <c r="P188" s="17"/>
      <c r="Q188" s="17"/>
      <c r="R188" s="17"/>
      <c r="S188" s="17"/>
    </row>
    <row r="189" spans="1:19" ht="15.6" x14ac:dyDescent="0.3">
      <c r="A189" s="17"/>
      <c r="B189" s="17"/>
      <c r="C189" s="226"/>
      <c r="D189" s="379"/>
      <c r="E189" s="17"/>
      <c r="F189" s="17"/>
      <c r="G189" s="17"/>
      <c r="H189" s="17"/>
      <c r="I189" s="17"/>
      <c r="J189" s="17"/>
      <c r="K189" s="17"/>
      <c r="L189" s="226"/>
      <c r="M189" s="17"/>
      <c r="N189" s="17"/>
      <c r="O189" s="17"/>
      <c r="P189" s="17"/>
      <c r="Q189" s="17"/>
      <c r="R189" s="17"/>
      <c r="S189" s="17"/>
    </row>
    <row r="190" spans="1:19" ht="15.6" x14ac:dyDescent="0.3">
      <c r="A190" s="17"/>
      <c r="B190" s="17"/>
      <c r="C190" s="226"/>
      <c r="D190" s="379"/>
      <c r="E190" s="17"/>
      <c r="F190" s="17"/>
      <c r="G190" s="17"/>
      <c r="H190" s="17"/>
      <c r="I190" s="17"/>
      <c r="J190" s="17"/>
      <c r="K190" s="17"/>
      <c r="L190" s="226"/>
      <c r="M190" s="17"/>
      <c r="N190" s="17"/>
      <c r="O190" s="17"/>
      <c r="P190" s="17"/>
      <c r="Q190" s="17"/>
      <c r="R190" s="17"/>
      <c r="S190" s="17"/>
    </row>
    <row r="191" spans="1:19" ht="78" x14ac:dyDescent="0.3">
      <c r="A191" s="17"/>
      <c r="B191" s="17"/>
      <c r="C191" s="226"/>
      <c r="D191" s="379"/>
      <c r="E191" s="17"/>
      <c r="F191" s="17"/>
      <c r="G191" s="17" t="s">
        <v>1119</v>
      </c>
      <c r="H191" s="17"/>
      <c r="I191" s="17"/>
      <c r="J191" s="17"/>
      <c r="K191" s="17"/>
      <c r="L191" s="226" t="str">
        <f>CONCATENATE(G191,",",G192,",",G193,",",G194,",",G195,",",G196,",",G197,",",G198,",",G199,",",G200,",",G201,",",G202,",",G203,",",G204,",",G205,",",G206,",",G207)</f>
        <v>MEC2410040,MEC2410041,MEC2501009,MEC2410057,MEC2410058,MEC2410059,MEC2410064,MEC2410073,MEC2410074,MEC2410075,MEC2410080,MEC2410106,MEC2410107,MEC2410119,MEC2411039,,</v>
      </c>
      <c r="M191" s="17"/>
      <c r="N191" s="17"/>
      <c r="O191" s="17"/>
      <c r="P191" s="17"/>
      <c r="Q191" s="17"/>
      <c r="R191" s="17"/>
      <c r="S191" s="17"/>
    </row>
    <row r="192" spans="1:19" ht="15.6" x14ac:dyDescent="0.3">
      <c r="A192" s="17"/>
      <c r="B192" s="17"/>
      <c r="C192" s="226"/>
      <c r="D192" s="379"/>
      <c r="E192" s="17"/>
      <c r="F192" s="17"/>
      <c r="G192" s="17" t="s">
        <v>1123</v>
      </c>
      <c r="H192" s="17"/>
      <c r="I192" s="17"/>
      <c r="J192" s="17"/>
      <c r="K192" s="17"/>
      <c r="L192" s="226"/>
      <c r="M192" s="17"/>
      <c r="N192" s="17"/>
      <c r="O192" s="17"/>
      <c r="P192" s="17"/>
      <c r="Q192" s="17"/>
      <c r="R192" s="17"/>
      <c r="S192" s="17"/>
    </row>
    <row r="193" spans="1:19" ht="15.6" x14ac:dyDescent="0.3">
      <c r="A193" s="17"/>
      <c r="B193" s="17"/>
      <c r="C193" s="226"/>
      <c r="D193" s="379"/>
      <c r="E193" s="17"/>
      <c r="F193" s="17"/>
      <c r="G193" s="17" t="s">
        <v>1144</v>
      </c>
      <c r="H193" s="17"/>
      <c r="I193" s="17"/>
      <c r="J193" s="17"/>
      <c r="K193" s="17"/>
      <c r="L193" s="226"/>
      <c r="M193" s="17"/>
      <c r="N193" s="17"/>
      <c r="O193" s="17"/>
      <c r="P193" s="17"/>
      <c r="Q193" s="17"/>
      <c r="R193" s="17"/>
      <c r="S193" s="17"/>
    </row>
    <row r="194" spans="1:19" ht="15.6" x14ac:dyDescent="0.3">
      <c r="A194" s="17"/>
      <c r="B194" s="17"/>
      <c r="C194" s="226"/>
      <c r="D194" s="379"/>
      <c r="E194" s="17"/>
      <c r="F194" s="17"/>
      <c r="G194" s="17" t="s">
        <v>1167</v>
      </c>
      <c r="H194" s="17"/>
      <c r="I194" s="17"/>
      <c r="J194" s="17"/>
      <c r="K194" s="17"/>
      <c r="L194" s="226"/>
      <c r="M194" s="17"/>
      <c r="N194" s="17"/>
      <c r="O194" s="17"/>
      <c r="P194" s="17"/>
      <c r="Q194" s="17"/>
      <c r="R194" s="17"/>
      <c r="S194" s="17"/>
    </row>
    <row r="195" spans="1:19" ht="15.6" x14ac:dyDescent="0.3">
      <c r="A195" s="17"/>
      <c r="B195" s="17"/>
      <c r="C195" s="226"/>
      <c r="D195" s="379"/>
      <c r="E195" s="17"/>
      <c r="F195" s="17"/>
      <c r="G195" s="17" t="s">
        <v>1170</v>
      </c>
      <c r="H195" s="17"/>
      <c r="I195" s="17"/>
      <c r="J195" s="17"/>
      <c r="K195" s="17"/>
      <c r="L195" s="226"/>
      <c r="M195" s="17"/>
      <c r="N195" s="17"/>
      <c r="O195" s="17"/>
      <c r="P195" s="17"/>
      <c r="Q195" s="17"/>
      <c r="R195" s="17"/>
      <c r="S195" s="17"/>
    </row>
    <row r="196" spans="1:19" ht="15.6" x14ac:dyDescent="0.3">
      <c r="A196" s="17"/>
      <c r="B196" s="17"/>
      <c r="C196" s="226"/>
      <c r="D196" s="379"/>
      <c r="E196" s="17"/>
      <c r="F196" s="17"/>
      <c r="G196" s="17" t="s">
        <v>1173</v>
      </c>
      <c r="H196" s="17"/>
      <c r="I196" s="17"/>
      <c r="J196" s="17"/>
      <c r="K196" s="17"/>
      <c r="L196" s="226"/>
      <c r="M196" s="17"/>
      <c r="N196" s="17"/>
      <c r="O196" s="17"/>
      <c r="P196" s="17"/>
      <c r="Q196" s="17"/>
      <c r="R196" s="17"/>
      <c r="S196" s="17"/>
    </row>
    <row r="197" spans="1:19" ht="15.6" x14ac:dyDescent="0.3">
      <c r="A197" s="17"/>
      <c r="B197" s="17"/>
      <c r="C197" s="226"/>
      <c r="D197" s="379"/>
      <c r="E197" s="17"/>
      <c r="F197" s="17"/>
      <c r="G197" s="17" t="s">
        <v>1184</v>
      </c>
      <c r="H197" s="17"/>
      <c r="I197" s="17"/>
      <c r="J197" s="17"/>
      <c r="K197" s="17"/>
      <c r="L197" s="226"/>
      <c r="M197" s="17"/>
      <c r="N197" s="17"/>
      <c r="O197" s="17"/>
      <c r="P197" s="17"/>
      <c r="Q197" s="17"/>
      <c r="R197" s="17"/>
      <c r="S197" s="17"/>
    </row>
    <row r="198" spans="1:19" ht="15.6" x14ac:dyDescent="0.3">
      <c r="A198" s="17"/>
      <c r="B198" s="17"/>
      <c r="C198" s="226"/>
      <c r="D198" s="379"/>
      <c r="E198" s="17"/>
      <c r="F198" s="17"/>
      <c r="G198" s="17" t="s">
        <v>1204</v>
      </c>
      <c r="H198" s="17"/>
      <c r="I198" s="17"/>
      <c r="J198" s="17"/>
      <c r="K198" s="17"/>
      <c r="L198" s="226"/>
      <c r="M198" s="17"/>
      <c r="N198" s="17"/>
      <c r="O198" s="17"/>
      <c r="P198" s="17"/>
      <c r="Q198" s="17"/>
      <c r="R198" s="17"/>
      <c r="S198" s="17"/>
    </row>
    <row r="199" spans="1:19" ht="15.6" x14ac:dyDescent="0.3">
      <c r="A199" s="17"/>
      <c r="B199" s="17"/>
      <c r="C199" s="226"/>
      <c r="D199" s="379"/>
      <c r="E199" s="17"/>
      <c r="F199" s="17"/>
      <c r="G199" s="17" t="s">
        <v>1206</v>
      </c>
      <c r="H199" s="17"/>
      <c r="I199" s="17"/>
      <c r="J199" s="17"/>
      <c r="K199" s="17"/>
      <c r="L199" s="226"/>
      <c r="M199" s="17"/>
      <c r="N199" s="17"/>
      <c r="O199" s="17"/>
      <c r="P199" s="17"/>
      <c r="Q199" s="17"/>
      <c r="R199" s="17"/>
      <c r="S199" s="17"/>
    </row>
    <row r="200" spans="1:19" ht="15.6" x14ac:dyDescent="0.3">
      <c r="A200" s="17"/>
      <c r="B200" s="17"/>
      <c r="C200" s="226"/>
      <c r="D200" s="379"/>
      <c r="E200" s="17"/>
      <c r="F200" s="17"/>
      <c r="G200" s="17" t="s">
        <v>1208</v>
      </c>
      <c r="H200" s="17"/>
      <c r="I200" s="17"/>
      <c r="J200" s="17"/>
      <c r="K200" s="17"/>
      <c r="L200" s="226"/>
      <c r="M200" s="17"/>
      <c r="N200" s="17"/>
      <c r="O200" s="17"/>
      <c r="P200" s="17"/>
      <c r="Q200" s="17"/>
      <c r="R200" s="17"/>
      <c r="S200" s="17"/>
    </row>
    <row r="201" spans="1:19" ht="78" x14ac:dyDescent="0.3">
      <c r="A201" s="17"/>
      <c r="B201" s="17"/>
      <c r="C201" s="226"/>
      <c r="D201" s="379"/>
      <c r="E201" s="17"/>
      <c r="F201" s="17"/>
      <c r="G201" s="17" t="s">
        <v>1219</v>
      </c>
      <c r="H201" s="17"/>
      <c r="I201" s="17"/>
      <c r="J201" s="17"/>
      <c r="K201" s="17"/>
      <c r="L201" s="226" t="s">
        <v>4363</v>
      </c>
      <c r="M201" s="17"/>
      <c r="N201" s="17"/>
      <c r="O201" s="17"/>
      <c r="P201" s="17"/>
      <c r="Q201" s="17"/>
      <c r="R201" s="17"/>
      <c r="S201" s="17"/>
    </row>
    <row r="202" spans="1:19" ht="15.6" x14ac:dyDescent="0.3">
      <c r="A202" s="17"/>
      <c r="B202" s="17"/>
      <c r="C202" s="226"/>
      <c r="D202" s="379"/>
      <c r="E202" s="17"/>
      <c r="F202" s="17"/>
      <c r="G202" s="17" t="s">
        <v>1290</v>
      </c>
      <c r="H202" s="17"/>
      <c r="I202" s="17"/>
      <c r="J202" s="17"/>
      <c r="K202" s="17"/>
      <c r="L202" s="226"/>
      <c r="M202" s="17"/>
      <c r="N202" s="17"/>
      <c r="O202" s="17"/>
      <c r="P202" s="17"/>
      <c r="Q202" s="17"/>
      <c r="R202" s="17"/>
      <c r="S202" s="17"/>
    </row>
    <row r="203" spans="1:19" ht="15.6" x14ac:dyDescent="0.3">
      <c r="A203" s="17"/>
      <c r="B203" s="17"/>
      <c r="C203" s="226"/>
      <c r="D203" s="379"/>
      <c r="E203" s="17"/>
      <c r="F203" s="17"/>
      <c r="G203" s="17" t="s">
        <v>1292</v>
      </c>
      <c r="H203" s="17"/>
      <c r="I203" s="17"/>
      <c r="J203" s="17"/>
      <c r="K203" s="17"/>
      <c r="L203" s="226"/>
      <c r="M203" s="17"/>
      <c r="N203" s="17"/>
      <c r="O203" s="17"/>
      <c r="P203" s="17"/>
      <c r="Q203" s="17"/>
      <c r="R203" s="17"/>
      <c r="S203" s="17"/>
    </row>
    <row r="204" spans="1:19" ht="15.6" x14ac:dyDescent="0.3">
      <c r="A204" s="17"/>
      <c r="B204" s="17"/>
      <c r="C204" s="226"/>
      <c r="D204" s="379"/>
      <c r="E204" s="17"/>
      <c r="F204" s="17"/>
      <c r="G204" s="17" t="s">
        <v>1319</v>
      </c>
      <c r="H204" s="17"/>
      <c r="I204" s="17"/>
      <c r="J204" s="17"/>
      <c r="K204" s="17"/>
      <c r="L204" s="226"/>
      <c r="M204" s="17"/>
      <c r="N204" s="17"/>
      <c r="O204" s="17"/>
      <c r="P204" s="17"/>
      <c r="Q204" s="17"/>
      <c r="R204" s="17"/>
      <c r="S204" s="17"/>
    </row>
    <row r="205" spans="1:19" ht="15.6" x14ac:dyDescent="0.3">
      <c r="A205" s="17"/>
      <c r="B205" s="17"/>
      <c r="C205" s="226"/>
      <c r="D205" s="379"/>
      <c r="E205" s="17"/>
      <c r="F205" s="17"/>
      <c r="G205" s="17" t="s">
        <v>1349</v>
      </c>
      <c r="H205" s="17"/>
      <c r="I205" s="17"/>
      <c r="J205" s="17"/>
      <c r="K205" s="17"/>
      <c r="L205" s="226"/>
      <c r="M205" s="17"/>
      <c r="N205" s="17"/>
      <c r="O205" s="17"/>
      <c r="P205" s="17"/>
      <c r="Q205" s="17"/>
      <c r="R205" s="17"/>
      <c r="S205" s="17"/>
    </row>
    <row r="206" spans="1:19" ht="15.6" x14ac:dyDescent="0.3">
      <c r="A206" s="17"/>
      <c r="B206" s="17"/>
      <c r="C206" s="226"/>
      <c r="D206" s="379"/>
      <c r="E206" s="17"/>
      <c r="F206" s="17"/>
      <c r="G206" s="17"/>
      <c r="H206" s="17"/>
      <c r="I206" s="17"/>
      <c r="J206" s="17"/>
      <c r="K206" s="17"/>
      <c r="L206" s="226"/>
      <c r="M206" s="17"/>
      <c r="N206" s="17"/>
      <c r="O206" s="17"/>
      <c r="P206" s="17"/>
      <c r="Q206" s="17"/>
      <c r="R206" s="17"/>
      <c r="S206" s="17"/>
    </row>
    <row r="207" spans="1:19" ht="15.6" x14ac:dyDescent="0.3">
      <c r="A207" s="17"/>
      <c r="B207" s="17"/>
      <c r="C207" s="226"/>
      <c r="D207" s="379"/>
      <c r="E207" s="17"/>
      <c r="F207" s="17"/>
      <c r="G207" s="17"/>
      <c r="H207" s="17"/>
      <c r="I207" s="17"/>
      <c r="J207" s="17"/>
      <c r="K207" s="17"/>
      <c r="L207" s="226"/>
      <c r="M207" s="17"/>
      <c r="N207" s="17"/>
      <c r="O207" s="17"/>
      <c r="P207" s="17"/>
      <c r="Q207" s="17"/>
      <c r="R207" s="17"/>
      <c r="S207" s="17"/>
    </row>
    <row r="208" spans="1:19" ht="15.6" x14ac:dyDescent="0.3">
      <c r="A208" s="17"/>
      <c r="B208" s="17"/>
      <c r="C208" s="226"/>
      <c r="D208" s="379"/>
      <c r="E208" s="17"/>
      <c r="F208" s="17"/>
      <c r="G208" s="17"/>
      <c r="H208" s="17"/>
      <c r="I208" s="17"/>
      <c r="J208" s="17"/>
      <c r="K208" s="17"/>
      <c r="L208" s="226"/>
      <c r="M208" s="17"/>
      <c r="N208" s="17"/>
      <c r="O208" s="17"/>
      <c r="P208" s="17"/>
      <c r="Q208" s="17"/>
      <c r="R208" s="17"/>
      <c r="S208" s="17"/>
    </row>
    <row r="209" spans="1:19" ht="15.6" x14ac:dyDescent="0.3">
      <c r="A209" s="17"/>
      <c r="B209" s="17"/>
      <c r="C209" s="226"/>
      <c r="D209" s="379"/>
      <c r="E209" s="17"/>
      <c r="F209" s="17"/>
      <c r="G209" s="17"/>
      <c r="H209" s="17"/>
      <c r="I209" s="17"/>
      <c r="J209" s="17"/>
      <c r="K209" s="17"/>
      <c r="L209" s="226"/>
      <c r="M209" s="17"/>
      <c r="N209" s="17"/>
      <c r="O209" s="17"/>
      <c r="P209" s="17"/>
      <c r="Q209" s="17"/>
      <c r="R209" s="17"/>
      <c r="S209" s="17"/>
    </row>
    <row r="210" spans="1:19" ht="15.6" x14ac:dyDescent="0.3">
      <c r="A210" s="17"/>
      <c r="B210" s="17"/>
      <c r="C210" s="226"/>
      <c r="D210" s="379"/>
      <c r="E210" s="17"/>
      <c r="F210" s="17"/>
      <c r="G210" s="17"/>
      <c r="H210" s="17"/>
      <c r="I210" s="17"/>
      <c r="J210" s="17"/>
      <c r="K210" s="17"/>
      <c r="L210" s="226"/>
      <c r="M210" s="17"/>
      <c r="N210" s="17"/>
      <c r="O210" s="17"/>
      <c r="P210" s="17"/>
      <c r="Q210" s="17"/>
      <c r="R210" s="17"/>
      <c r="S210" s="17"/>
    </row>
    <row r="211" spans="1:19" ht="15.6" x14ac:dyDescent="0.3">
      <c r="A211" s="17"/>
      <c r="B211" s="17"/>
      <c r="C211" s="226"/>
      <c r="D211" s="379"/>
      <c r="E211" s="17"/>
      <c r="F211" s="17"/>
      <c r="G211" s="17"/>
      <c r="H211" s="17"/>
      <c r="I211" s="17"/>
      <c r="J211" s="17"/>
      <c r="K211" s="17"/>
      <c r="L211" s="226"/>
      <c r="M211" s="17"/>
      <c r="N211" s="17"/>
      <c r="O211" s="17"/>
      <c r="P211" s="17"/>
      <c r="Q211" s="17"/>
      <c r="R211" s="17"/>
      <c r="S211" s="17"/>
    </row>
    <row r="212" spans="1:19" ht="15.6" x14ac:dyDescent="0.3">
      <c r="A212" s="17"/>
      <c r="B212" s="17"/>
      <c r="C212" s="226"/>
      <c r="D212" s="379"/>
      <c r="E212" s="17"/>
      <c r="F212" s="17"/>
      <c r="G212" s="17"/>
      <c r="H212" s="17"/>
      <c r="I212" s="17"/>
      <c r="J212" s="17"/>
      <c r="K212" s="17"/>
      <c r="L212" s="226"/>
      <c r="M212" s="17"/>
      <c r="N212" s="17"/>
      <c r="O212" s="17"/>
      <c r="P212" s="17"/>
      <c r="Q212" s="17"/>
      <c r="R212" s="17"/>
      <c r="S212" s="17"/>
    </row>
    <row r="213" spans="1:19" ht="15.6" x14ac:dyDescent="0.3">
      <c r="A213" s="17"/>
      <c r="B213" s="17"/>
      <c r="C213" s="226"/>
      <c r="D213" s="379"/>
      <c r="E213" s="17"/>
      <c r="F213" s="17"/>
      <c r="G213" s="17"/>
      <c r="H213" s="17"/>
      <c r="I213" s="17"/>
      <c r="J213" s="17"/>
      <c r="K213" s="17"/>
      <c r="L213" s="226"/>
      <c r="M213" s="17"/>
      <c r="N213" s="17"/>
      <c r="O213" s="17"/>
      <c r="P213" s="17"/>
      <c r="Q213" s="17"/>
      <c r="R213" s="17"/>
      <c r="S213" s="17"/>
    </row>
    <row r="214" spans="1:19" ht="70.95" customHeight="1" x14ac:dyDescent="0.3">
      <c r="B214" s="21"/>
      <c r="C214" s="9" t="s">
        <v>4364</v>
      </c>
      <c r="D214" s="377">
        <v>1</v>
      </c>
      <c r="E214" s="21"/>
      <c r="F214" s="21" t="s">
        <v>4055</v>
      </c>
      <c r="G214" s="21"/>
      <c r="H214" s="21"/>
      <c r="I214" s="21"/>
      <c r="J214" s="21"/>
      <c r="K214" s="21"/>
      <c r="L214" s="9"/>
      <c r="M214" s="9"/>
      <c r="N214" s="9" t="s">
        <v>4365</v>
      </c>
    </row>
    <row r="215" spans="1:19" ht="27.6" x14ac:dyDescent="0.3">
      <c r="B215" s="21"/>
      <c r="C215" s="9"/>
      <c r="D215" s="377"/>
      <c r="E215" s="21" t="s">
        <v>4366</v>
      </c>
      <c r="F215" s="21" t="s">
        <v>4054</v>
      </c>
      <c r="G215" s="21"/>
      <c r="H215" s="21"/>
      <c r="I215" s="21"/>
      <c r="J215" s="21"/>
      <c r="K215" s="21"/>
      <c r="L215" s="9"/>
      <c r="M215" s="21"/>
      <c r="N215" s="9" t="s">
        <v>4367</v>
      </c>
    </row>
  </sheetData>
  <autoFilter ref="F1:F215" xr:uid="{5C6E73FA-A225-4FDC-BF55-F38F65481776}"/>
  <mergeCells count="12">
    <mergeCell ref="L109:S109"/>
    <mergeCell ref="L122:S122"/>
    <mergeCell ref="F3:G3"/>
    <mergeCell ref="H3:K3"/>
    <mergeCell ref="B3:B4"/>
    <mergeCell ref="C3:C4"/>
    <mergeCell ref="M27:M28"/>
    <mergeCell ref="A5:A30"/>
    <mergeCell ref="A3:A4"/>
    <mergeCell ref="D3:D4"/>
    <mergeCell ref="L3:R3"/>
    <mergeCell ref="E3:E4"/>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B096C264-FD44-46DC-B638-6B0FFF98C50F}">
          <x14:formula1>
            <xm:f>#REF!</xm:f>
          </x14:formula1>
          <xm:sqref>F5:F83</xm:sqref>
        </x14:dataValidation>
        <x14:dataValidation type="list" allowBlank="1" showInputMessage="1" showErrorMessage="1" xr:uid="{D7E7D8EA-91D2-4570-B118-93E19794C1D9}">
          <x14:formula1>
            <xm:f>#REF!</xm:f>
          </x14:formula1>
          <xm:sqref>G5:G84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2C832-00E5-42EF-9EC8-5A1B36616AF1}">
  <sheetPr codeName="Sheet11"/>
  <dimension ref="A1:X204"/>
  <sheetViews>
    <sheetView zoomScale="85" zoomScaleNormal="85" workbookViewId="0">
      <selection activeCell="R10" sqref="R10"/>
    </sheetView>
  </sheetViews>
  <sheetFormatPr defaultColWidth="8.88671875" defaultRowHeight="13.8" x14ac:dyDescent="0.25"/>
  <cols>
    <col min="1" max="1" width="4.33203125" style="12" customWidth="1"/>
    <col min="2" max="2" width="13.109375" style="11" customWidth="1"/>
    <col min="3" max="3" width="47.88671875" style="11" customWidth="1"/>
    <col min="4" max="5" width="10.33203125" style="12" customWidth="1"/>
    <col min="6" max="8" width="10.5546875" style="12" customWidth="1"/>
    <col min="9" max="9" width="10" style="12" customWidth="1"/>
    <col min="10" max="10" width="8.88671875" style="12"/>
    <col min="11" max="11" width="12" style="12" customWidth="1"/>
    <col min="12" max="12" width="8" style="12" customWidth="1"/>
    <col min="13" max="18" width="8.88671875" style="12"/>
    <col min="19" max="19" width="10.5546875" style="12" customWidth="1"/>
    <col min="20" max="21" width="9.6640625" style="12" customWidth="1"/>
    <col min="22" max="23" width="8.88671875" style="12"/>
    <col min="24" max="24" width="39.88671875" style="5" customWidth="1"/>
    <col min="25" max="16384" width="8.88671875" style="5"/>
  </cols>
  <sheetData>
    <row r="1" spans="1:24" ht="30" x14ac:dyDescent="0.35">
      <c r="A1" s="37" t="s">
        <v>4368</v>
      </c>
      <c r="I1" s="5"/>
      <c r="J1" s="5"/>
      <c r="K1" s="5"/>
      <c r="L1" s="5"/>
      <c r="M1" s="5"/>
      <c r="N1" s="5"/>
      <c r="O1" s="5"/>
      <c r="P1" s="5"/>
      <c r="Q1" s="5" t="s">
        <v>4369</v>
      </c>
      <c r="R1" s="5"/>
      <c r="S1" s="5" t="s">
        <v>4370</v>
      </c>
      <c r="T1" s="5"/>
      <c r="U1" s="5"/>
      <c r="V1" s="24" t="s">
        <v>4371</v>
      </c>
      <c r="W1" s="5"/>
    </row>
    <row r="2" spans="1:24" ht="25.95" customHeight="1" x14ac:dyDescent="0.35">
      <c r="A2" s="23"/>
      <c r="B2" s="11" t="s">
        <v>4372</v>
      </c>
      <c r="I2" s="5"/>
      <c r="J2" s="5"/>
      <c r="K2" s="5"/>
      <c r="L2" s="5"/>
      <c r="M2" s="5"/>
      <c r="N2" s="5"/>
      <c r="O2" s="5"/>
      <c r="P2" s="5"/>
      <c r="Q2" s="5"/>
      <c r="R2" s="5"/>
      <c r="S2" s="5"/>
      <c r="T2" s="5"/>
      <c r="U2" s="5"/>
      <c r="V2" s="24"/>
      <c r="W2" s="5"/>
    </row>
    <row r="3" spans="1:24" ht="79.2" x14ac:dyDescent="0.25">
      <c r="A3" s="377" t="s">
        <v>50</v>
      </c>
      <c r="B3" s="377" t="s">
        <v>4048</v>
      </c>
      <c r="C3" s="31" t="s">
        <v>4079</v>
      </c>
      <c r="D3" s="31" t="s">
        <v>58</v>
      </c>
      <c r="E3" s="32" t="s">
        <v>4373</v>
      </c>
      <c r="F3" s="31" t="s">
        <v>104</v>
      </c>
      <c r="G3" s="31" t="s">
        <v>4096</v>
      </c>
      <c r="H3" s="31" t="s">
        <v>7</v>
      </c>
      <c r="I3" s="29" t="s">
        <v>4374</v>
      </c>
      <c r="J3" s="29" t="s">
        <v>4375</v>
      </c>
      <c r="K3" s="29" t="s">
        <v>4376</v>
      </c>
      <c r="L3" s="29" t="s">
        <v>4377</v>
      </c>
      <c r="M3" s="29" t="s">
        <v>4378</v>
      </c>
      <c r="N3" s="29" t="s">
        <v>4379</v>
      </c>
      <c r="O3" s="29" t="s">
        <v>4380</v>
      </c>
      <c r="P3" s="29" t="s">
        <v>4381</v>
      </c>
      <c r="Q3" s="29" t="s">
        <v>4382</v>
      </c>
      <c r="R3" s="29" t="s">
        <v>4383</v>
      </c>
      <c r="S3" s="29" t="s">
        <v>4384</v>
      </c>
      <c r="T3" s="29" t="s">
        <v>4385</v>
      </c>
      <c r="U3" s="29" t="s">
        <v>4386</v>
      </c>
      <c r="V3" s="29" t="s">
        <v>4387</v>
      </c>
      <c r="W3" s="30" t="s">
        <v>4388</v>
      </c>
      <c r="X3" s="33" t="s">
        <v>4389</v>
      </c>
    </row>
    <row r="4" spans="1:24" ht="24" customHeight="1" x14ac:dyDescent="0.25">
      <c r="A4" s="26" t="s">
        <v>4390</v>
      </c>
      <c r="B4" s="26" t="s">
        <v>4391</v>
      </c>
      <c r="C4" s="27" t="s">
        <v>4392</v>
      </c>
      <c r="D4" s="26" t="s">
        <v>131</v>
      </c>
      <c r="E4" s="26"/>
      <c r="F4" s="26" t="s">
        <v>4393</v>
      </c>
      <c r="G4" s="26" t="s">
        <v>4394</v>
      </c>
      <c r="H4" s="26" t="s">
        <v>4395</v>
      </c>
      <c r="I4" s="28" t="s">
        <v>4396</v>
      </c>
      <c r="J4" s="28" t="s">
        <v>4397</v>
      </c>
      <c r="K4" s="28" t="s">
        <v>4396</v>
      </c>
      <c r="L4" s="28" t="s">
        <v>4397</v>
      </c>
      <c r="M4" s="28" t="s">
        <v>4396</v>
      </c>
      <c r="N4" s="28"/>
      <c r="O4" s="28" t="s">
        <v>4396</v>
      </c>
      <c r="P4" s="28" t="s">
        <v>4396</v>
      </c>
      <c r="Q4" s="28" t="s">
        <v>4396</v>
      </c>
      <c r="R4" s="28" t="s">
        <v>4396</v>
      </c>
      <c r="S4" s="28" t="s">
        <v>4397</v>
      </c>
      <c r="T4" s="28" t="s">
        <v>4396</v>
      </c>
      <c r="U4" s="28" t="s">
        <v>4396</v>
      </c>
      <c r="V4" s="28" t="s">
        <v>4397</v>
      </c>
      <c r="W4" s="28" t="s">
        <v>4396</v>
      </c>
      <c r="X4" s="6"/>
    </row>
    <row r="5" spans="1:24" ht="31.95" customHeight="1" x14ac:dyDescent="0.25">
      <c r="A5" s="377">
        <v>1</v>
      </c>
      <c r="B5" s="15" t="str">
        <f>'Danh sách máy'!B6</f>
        <v>MEC2201011</v>
      </c>
      <c r="C5" s="13" t="str">
        <f>'Danh sách máy'!AC6</f>
        <v>VIAレーザ加工機用マテハン (4軸）＃１
Carrier device (Load/Unload) for Laser VIA (4 Axis) for Ishinomaki #1</v>
      </c>
      <c r="D5" s="14" t="str">
        <f>'Danh sách máy'!AJ6</f>
        <v>Finish</v>
      </c>
      <c r="E5" s="25">
        <f>'Danh sách máy'!E6</f>
        <v>45590</v>
      </c>
      <c r="F5" s="378" t="str">
        <f>'Danh sách máy'!AK6</f>
        <v>M.Tiến</v>
      </c>
      <c r="G5" s="378" t="str">
        <f>'Danh sách máy'!AL9</f>
        <v>V.Anh</v>
      </c>
      <c r="H5" s="378" t="str">
        <f>'Danh sách máy'!AM9</f>
        <v>A1</v>
      </c>
      <c r="I5" s="377"/>
      <c r="J5" s="377"/>
      <c r="K5" s="377"/>
      <c r="L5" s="377"/>
      <c r="M5" s="377"/>
      <c r="N5" s="377"/>
      <c r="O5" s="377"/>
      <c r="P5" s="377"/>
      <c r="Q5" s="377"/>
      <c r="R5" s="377"/>
      <c r="S5" s="377"/>
      <c r="T5" s="377"/>
      <c r="U5" s="377"/>
      <c r="V5" s="377"/>
      <c r="W5" s="377"/>
      <c r="X5" s="6"/>
    </row>
    <row r="6" spans="1:24" ht="31.95" customHeight="1" x14ac:dyDescent="0.25">
      <c r="A6" s="377">
        <v>2</v>
      </c>
      <c r="B6" s="15" t="str">
        <f>'Danh sách máy'!B7</f>
        <v>MEC2403105</v>
      </c>
      <c r="C6" s="13" t="str">
        <f>'Danh sách máy'!AC7</f>
        <v>VIAレーザ加工機用マテハン　 (4軸）＃２
Carrier device (Load/Unload) for Laser VIA (4 Axis) for Ishinomaki #2</v>
      </c>
      <c r="D6" s="14" t="str">
        <f>'Danh sách máy'!AJ7</f>
        <v>Finish</v>
      </c>
      <c r="E6" s="25">
        <f>'Danh sách máy'!E7</f>
        <v>45590</v>
      </c>
      <c r="F6" s="378" t="str">
        <f>'Danh sách máy'!AK7</f>
        <v>M.Tiến</v>
      </c>
      <c r="G6" s="378" t="str">
        <f>'Danh sách máy'!AL10</f>
        <v>H.Khánh</v>
      </c>
      <c r="H6" s="378" t="str">
        <f>'Danh sách máy'!AM10</f>
        <v>A1</v>
      </c>
      <c r="I6" s="377"/>
      <c r="J6" s="377"/>
      <c r="K6" s="377"/>
      <c r="L6" s="377"/>
      <c r="M6" s="377"/>
      <c r="N6" s="377"/>
      <c r="O6" s="377"/>
      <c r="P6" s="377"/>
      <c r="Q6" s="377"/>
      <c r="R6" s="377"/>
      <c r="S6" s="377"/>
      <c r="T6" s="377"/>
      <c r="U6" s="377"/>
      <c r="V6" s="377"/>
      <c r="W6" s="377"/>
      <c r="X6" s="6"/>
    </row>
    <row r="7" spans="1:24" ht="31.95" customHeight="1" x14ac:dyDescent="0.25">
      <c r="A7" s="377">
        <v>3</v>
      </c>
      <c r="B7" s="15" t="str">
        <f>'Danh sách máy'!B8</f>
        <v>MEC2309024</v>
      </c>
      <c r="C7" s="13" t="str">
        <f>'Danh sách máy'!AC8</f>
        <v>Máy đưa bo (Loader) L rack
 投入機（Lラック）</v>
      </c>
      <c r="D7" s="14" t="str">
        <f>'Danh sách máy'!AJ8</f>
        <v>Finish</v>
      </c>
      <c r="E7" s="25">
        <f>'Danh sách máy'!E8</f>
        <v>45471</v>
      </c>
      <c r="F7" s="378" t="str">
        <f>'Danh sách máy'!AK8</f>
        <v>A.Quân</v>
      </c>
      <c r="G7" s="378" t="str">
        <f>'Danh sách máy'!AL11</f>
        <v>H.Khánh</v>
      </c>
      <c r="H7" s="378" t="str">
        <f>'Danh sách máy'!AM11</f>
        <v>A1</v>
      </c>
      <c r="I7" s="377"/>
      <c r="J7" s="377"/>
      <c r="K7" s="377"/>
      <c r="L7" s="377"/>
      <c r="M7" s="377"/>
      <c r="N7" s="377"/>
      <c r="O7" s="377"/>
      <c r="P7" s="377"/>
      <c r="Q7" s="377"/>
      <c r="R7" s="377"/>
      <c r="S7" s="377"/>
      <c r="T7" s="377"/>
      <c r="U7" s="377"/>
      <c r="V7" s="377"/>
      <c r="W7" s="377"/>
      <c r="X7" s="6"/>
    </row>
    <row r="8" spans="1:24" ht="31.95" customHeight="1" x14ac:dyDescent="0.25">
      <c r="A8" s="377">
        <v>4</v>
      </c>
      <c r="B8" s="15" t="str">
        <f>'Danh sách máy'!B9</f>
        <v>MEC2309025</v>
      </c>
      <c r="C8" s="13" t="str">
        <f>'Danh sách máy'!AC9</f>
        <v>Máy nhận bo (Unloader) V rack TYPE ４ có tấm cách bo line DES#2 tạo mạch lớp ngoài
 外層DES＃２　受取機（Vラック, 合紙）</v>
      </c>
      <c r="D8" s="14" t="str">
        <f>'Danh sách máy'!AJ9</f>
        <v>Finish</v>
      </c>
      <c r="E8" s="25">
        <f>'Danh sách máy'!E9</f>
        <v>45408</v>
      </c>
      <c r="F8" s="378" t="str">
        <f>'Danh sách máy'!AK9</f>
        <v>X.Thủy</v>
      </c>
      <c r="G8" s="378" t="str">
        <f>'Danh sách máy'!AL12</f>
        <v>H.Quang</v>
      </c>
      <c r="H8" s="378" t="str">
        <f>'Danh sách máy'!AM12</f>
        <v>A1</v>
      </c>
      <c r="I8" s="377"/>
      <c r="J8" s="377"/>
      <c r="K8" s="377"/>
      <c r="L8" s="377"/>
      <c r="M8" s="377"/>
      <c r="N8" s="377"/>
      <c r="O8" s="377"/>
      <c r="P8" s="377"/>
      <c r="Q8" s="377"/>
      <c r="R8" s="377"/>
      <c r="S8" s="377"/>
      <c r="T8" s="377"/>
      <c r="U8" s="377"/>
      <c r="V8" s="377"/>
      <c r="W8" s="377"/>
      <c r="X8" s="6"/>
    </row>
    <row r="9" spans="1:24" ht="31.95" customHeight="1" x14ac:dyDescent="0.25">
      <c r="A9" s="377">
        <v>5</v>
      </c>
      <c r="B9" s="15" t="str">
        <f>'Danh sách máy'!B10</f>
        <v>MEC2309031</v>
      </c>
      <c r="C9" s="13" t="str">
        <f>'Danh sách máy'!AC10</f>
        <v>Máy đưa bo line Desmear AUTOTECH
デスミア化学銅　投入機　(PKG)</v>
      </c>
      <c r="D9" s="14" t="str">
        <f>'Danh sách máy'!AJ10</f>
        <v>Finish</v>
      </c>
      <c r="E9" s="25">
        <f>'Danh sách máy'!E10</f>
        <v>45408</v>
      </c>
      <c r="F9" s="378" t="str">
        <f>'Danh sách máy'!AK10</f>
        <v>Đ.Thành</v>
      </c>
      <c r="G9" s="378" t="str">
        <f>'Danh sách máy'!AL13</f>
        <v>H.Quang</v>
      </c>
      <c r="H9" s="378" t="str">
        <f>'Danh sách máy'!AM13</f>
        <v>A1</v>
      </c>
      <c r="I9" s="377"/>
      <c r="J9" s="377"/>
      <c r="K9" s="377"/>
      <c r="L9" s="377"/>
      <c r="M9" s="377"/>
      <c r="N9" s="377"/>
      <c r="O9" s="377"/>
      <c r="P9" s="377"/>
      <c r="Q9" s="377"/>
      <c r="R9" s="377"/>
      <c r="S9" s="377"/>
      <c r="T9" s="377"/>
      <c r="U9" s="377"/>
      <c r="V9" s="377"/>
      <c r="W9" s="377"/>
      <c r="X9" s="6"/>
    </row>
    <row r="10" spans="1:24" ht="31.95" customHeight="1" x14ac:dyDescent="0.25">
      <c r="A10" s="377">
        <v>6</v>
      </c>
      <c r="B10" s="15" t="str">
        <f>'Danh sách máy'!B11</f>
        <v>MEC2309032</v>
      </c>
      <c r="C10" s="13" t="str">
        <f>'Danh sách máy'!AC11</f>
        <v>デスミア・BH　方向変換　＃１
Băng tải đổi hướng #1</v>
      </c>
      <c r="D10" s="14" t="str">
        <f>'Danh sách máy'!AJ11</f>
        <v>Finish</v>
      </c>
      <c r="E10" s="25">
        <f>'Danh sách máy'!E11</f>
        <v>45442</v>
      </c>
      <c r="F10" s="378" t="str">
        <f>'Danh sách máy'!AK11</f>
        <v>B.Đăng</v>
      </c>
      <c r="G10" s="378" t="str">
        <f>'Danh sách máy'!AL14</f>
        <v>Đ.Chiến</v>
      </c>
      <c r="H10" s="378" t="str">
        <f>'Danh sách máy'!AM14</f>
        <v>A1</v>
      </c>
      <c r="I10" s="377"/>
      <c r="J10" s="377"/>
      <c r="K10" s="377"/>
      <c r="L10" s="377"/>
      <c r="M10" s="377"/>
      <c r="N10" s="377"/>
      <c r="O10" s="377"/>
      <c r="P10" s="377"/>
      <c r="Q10" s="377"/>
      <c r="R10" s="377"/>
      <c r="S10" s="377"/>
      <c r="T10" s="377"/>
      <c r="U10" s="377"/>
      <c r="V10" s="377"/>
      <c r="W10" s="377"/>
      <c r="X10" s="6"/>
    </row>
    <row r="11" spans="1:24" ht="31.95" customHeight="1" x14ac:dyDescent="0.25">
      <c r="A11" s="377">
        <v>7</v>
      </c>
      <c r="B11" s="15" t="str">
        <f>'Danh sách máy'!B12</f>
        <v>MEC2309033</v>
      </c>
      <c r="C11" s="13" t="str">
        <f>'Danh sách máy'!AC12</f>
        <v>デスミア・BH　連結コンベア
Băng tải liên kết Line</v>
      </c>
      <c r="D11" s="14" t="str">
        <f>'Danh sách máy'!AJ12</f>
        <v>Finish</v>
      </c>
      <c r="E11" s="25">
        <f>'Danh sách máy'!E12</f>
        <v>45442</v>
      </c>
      <c r="F11" s="378" t="str">
        <f>'Danh sách máy'!AK12</f>
        <v>B.Đăng</v>
      </c>
      <c r="G11" s="378" t="str">
        <f>'Danh sách máy'!AL15</f>
        <v>H.Tuấn</v>
      </c>
      <c r="H11" s="378" t="str">
        <f>'Danh sách máy'!AM15</f>
        <v>A1</v>
      </c>
      <c r="I11" s="377"/>
      <c r="J11" s="377"/>
      <c r="K11" s="377"/>
      <c r="L11" s="377"/>
      <c r="M11" s="377"/>
      <c r="N11" s="377"/>
      <c r="O11" s="377"/>
      <c r="P11" s="377"/>
      <c r="Q11" s="377"/>
      <c r="R11" s="377"/>
      <c r="S11" s="377"/>
      <c r="T11" s="377"/>
      <c r="U11" s="377"/>
      <c r="V11" s="377"/>
      <c r="W11" s="377"/>
      <c r="X11" s="6"/>
    </row>
    <row r="12" spans="1:24" ht="31.95" customHeight="1" x14ac:dyDescent="0.25">
      <c r="A12" s="377">
        <v>8</v>
      </c>
      <c r="B12" s="15" t="str">
        <f>'Danh sách máy'!B13</f>
        <v>MEC2309034</v>
      </c>
      <c r="C12" s="13" t="str">
        <f>'Danh sách máy'!AC13</f>
        <v>デスミア・BH　方向変換　＃２
Băng tải đổi hướng #2</v>
      </c>
      <c r="D12" s="14" t="str">
        <f>'Danh sách máy'!AJ13</f>
        <v>Finish</v>
      </c>
      <c r="E12" s="25">
        <f>'Danh sách máy'!E13</f>
        <v>45442</v>
      </c>
      <c r="F12" s="378" t="str">
        <f>'Danh sách máy'!AK13</f>
        <v>B.Đăng</v>
      </c>
      <c r="G12" s="378" t="str">
        <f>'Danh sách máy'!AL16</f>
        <v>V.Lâm</v>
      </c>
      <c r="H12" s="378" t="str">
        <f>'Danh sách máy'!AM16</f>
        <v>A1</v>
      </c>
      <c r="I12" s="377"/>
      <c r="J12" s="377"/>
      <c r="K12" s="377"/>
      <c r="L12" s="377"/>
      <c r="M12" s="377"/>
      <c r="N12" s="377"/>
      <c r="O12" s="377"/>
      <c r="P12" s="377"/>
      <c r="Q12" s="377"/>
      <c r="R12" s="377"/>
      <c r="S12" s="377"/>
      <c r="T12" s="377"/>
      <c r="U12" s="377"/>
      <c r="V12" s="377"/>
      <c r="W12" s="377"/>
      <c r="X12" s="6"/>
    </row>
    <row r="13" spans="1:24" ht="31.95" customHeight="1" x14ac:dyDescent="0.25">
      <c r="A13" s="377">
        <v>9</v>
      </c>
      <c r="B13" s="15" t="str">
        <f>'Danh sách máy'!B14</f>
        <v>MEC2309035</v>
      </c>
      <c r="C13" s="13" t="str">
        <f>'Danh sách máy'!AC14</f>
        <v>Máy nhận bo line Desmear AUTOTECH
デスミア化学銅　受取機　(PKG)</v>
      </c>
      <c r="D13" s="14" t="str">
        <f>'Danh sách máy'!AJ14</f>
        <v>Finish</v>
      </c>
      <c r="E13" s="25">
        <f>'Danh sách máy'!E14</f>
        <v>45408</v>
      </c>
      <c r="F13" s="378" t="str">
        <f>'Danh sách máy'!AK14</f>
        <v>Đ.Thành</v>
      </c>
      <c r="G13" s="378" t="str">
        <f>'Danh sách máy'!AL17</f>
        <v>V.Anh</v>
      </c>
      <c r="H13" s="378" t="str">
        <f>'Danh sách máy'!AM17</f>
        <v>A1</v>
      </c>
      <c r="I13" s="377"/>
      <c r="J13" s="377"/>
      <c r="K13" s="377"/>
      <c r="L13" s="377"/>
      <c r="M13" s="377"/>
      <c r="N13" s="377"/>
      <c r="O13" s="377"/>
      <c r="P13" s="377"/>
      <c r="Q13" s="377"/>
      <c r="R13" s="377"/>
      <c r="S13" s="377"/>
      <c r="T13" s="377"/>
      <c r="U13" s="377"/>
      <c r="V13" s="377"/>
      <c r="W13" s="377"/>
      <c r="X13" s="6"/>
    </row>
    <row r="14" spans="1:24" ht="31.95" customHeight="1" x14ac:dyDescent="0.25">
      <c r="A14" s="377">
        <v>10</v>
      </c>
      <c r="B14" s="15" t="str">
        <f>'Danh sách máy'!B15</f>
        <v>MEC2402003</v>
      </c>
      <c r="C14" s="13" t="str">
        <f>'Danh sách máy'!AC15</f>
        <v>Máy check 2D code đáp ứng bo 365 x575mm, dọc 1 Code/1 mặt</v>
      </c>
      <c r="D14" s="14" t="str">
        <f>'Danh sách máy'!AJ15</f>
        <v>Finish</v>
      </c>
      <c r="E14" s="25">
        <f>'Danh sách máy'!E15</f>
        <v>45442</v>
      </c>
      <c r="F14" s="378" t="str">
        <f>'Danh sách máy'!AK15</f>
        <v>Đ.Thành</v>
      </c>
      <c r="G14" s="378" t="str">
        <f>'Danh sách máy'!AL18</f>
        <v>H.Quang</v>
      </c>
      <c r="H14" s="378" t="str">
        <f>'Danh sách máy'!AM18</f>
        <v>A1</v>
      </c>
      <c r="I14" s="377"/>
      <c r="J14" s="377"/>
      <c r="K14" s="377"/>
      <c r="L14" s="377"/>
      <c r="M14" s="377"/>
      <c r="N14" s="377"/>
      <c r="O14" s="377"/>
      <c r="P14" s="377"/>
      <c r="Q14" s="377"/>
      <c r="R14" s="377"/>
      <c r="S14" s="377"/>
      <c r="T14" s="377"/>
      <c r="U14" s="377"/>
      <c r="V14" s="377"/>
      <c r="W14" s="377"/>
      <c r="X14" s="6"/>
    </row>
    <row r="15" spans="1:24" ht="31.95" customHeight="1" x14ac:dyDescent="0.25">
      <c r="A15" s="377">
        <v>11</v>
      </c>
      <c r="B15" s="15" t="str">
        <f>'Danh sách máy'!B16</f>
        <v>MEC2311012</v>
      </c>
      <c r="C15" s="13" t="str">
        <f>'Danh sách máy'!AC16</f>
        <v>Máy khắc 2D code bo mạch, tự động Load và Unload</v>
      </c>
      <c r="D15" s="14" t="str">
        <f>'Danh sách máy'!AJ16</f>
        <v>Finish</v>
      </c>
      <c r="E15" s="25">
        <f>'Danh sách máy'!E16</f>
        <v>45471</v>
      </c>
      <c r="F15" s="378" t="str">
        <f>'Danh sách máy'!AK16</f>
        <v>X.Thành</v>
      </c>
      <c r="G15" s="378">
        <f>'Danh sách máy'!AL19</f>
        <v>0</v>
      </c>
      <c r="H15" s="378" t="str">
        <f>'Danh sách máy'!AM19</f>
        <v>A1</v>
      </c>
      <c r="I15" s="377"/>
      <c r="J15" s="377"/>
      <c r="K15" s="377"/>
      <c r="L15" s="377"/>
      <c r="M15" s="377"/>
      <c r="N15" s="377"/>
      <c r="O15" s="377"/>
      <c r="P15" s="377"/>
      <c r="Q15" s="377"/>
      <c r="R15" s="377"/>
      <c r="S15" s="377"/>
      <c r="T15" s="377"/>
      <c r="U15" s="377"/>
      <c r="V15" s="377"/>
      <c r="W15" s="377"/>
      <c r="X15" s="6"/>
    </row>
    <row r="16" spans="1:24" ht="31.95" customHeight="1" x14ac:dyDescent="0.25">
      <c r="A16" s="377">
        <v>12</v>
      </c>
      <c r="B16" s="15" t="str">
        <f>'Danh sách máy'!B17</f>
        <v>MEC2403007</v>
      </c>
      <c r="C16" s="13" t="str">
        <f>'Danh sách máy'!AC17</f>
        <v>Máy đưa bo (Loader) V rack TYPE 3 Line mài lỗ (line số 2)
穴埋研磨ライン(2ライン目） 投入機（Vラック）</v>
      </c>
      <c r="D16" s="14" t="str">
        <f>'Danh sách máy'!AJ17</f>
        <v>Finish</v>
      </c>
      <c r="E16" s="25">
        <f>'Danh sách máy'!E17</f>
        <v>45563</v>
      </c>
      <c r="F16" s="378" t="str">
        <f>'Danh sách máy'!AK17</f>
        <v>L.Trường</v>
      </c>
      <c r="G16" s="378" t="str">
        <f>'Danh sách máy'!AL20</f>
        <v>V.Anh</v>
      </c>
      <c r="H16" s="378" t="str">
        <f>'Danh sách máy'!AM20</f>
        <v>A1</v>
      </c>
      <c r="I16" s="377"/>
      <c r="J16" s="377"/>
      <c r="K16" s="377"/>
      <c r="L16" s="377"/>
      <c r="M16" s="377"/>
      <c r="N16" s="377"/>
      <c r="O16" s="377"/>
      <c r="P16" s="377"/>
      <c r="Q16" s="377"/>
      <c r="R16" s="377"/>
      <c r="S16" s="377"/>
      <c r="T16" s="377"/>
      <c r="U16" s="377"/>
      <c r="V16" s="377"/>
      <c r="W16" s="377"/>
      <c r="X16" s="6"/>
    </row>
    <row r="17" spans="1:24" ht="31.95" customHeight="1" x14ac:dyDescent="0.25">
      <c r="A17" s="377">
        <v>13</v>
      </c>
      <c r="B17" s="15" t="str">
        <f>'Danh sách máy'!B18</f>
        <v>MEC2403008</v>
      </c>
      <c r="C17" s="13" t="str">
        <f>'Danh sách máy'!AC18</f>
        <v>Băng tải quay 90deg line Mài lỗ  (line số 2)
穴理研磨(2ライン目）90°回転機　　</v>
      </c>
      <c r="D17" s="14" t="str">
        <f>'Danh sách máy'!AJ18</f>
        <v>Finish</v>
      </c>
      <c r="E17" s="25">
        <f>'Danh sách máy'!E18</f>
        <v>45595</v>
      </c>
      <c r="F17" s="378" t="str">
        <f>'Danh sách máy'!AK18</f>
        <v>X.Thủy</v>
      </c>
      <c r="G17" s="378" t="str">
        <f>'Danh sách máy'!AL21</f>
        <v>V.Anh</v>
      </c>
      <c r="H17" s="378" t="str">
        <f>'Danh sách máy'!AM21</f>
        <v>A1</v>
      </c>
      <c r="I17" s="377"/>
      <c r="J17" s="377"/>
      <c r="K17" s="377"/>
      <c r="L17" s="377"/>
      <c r="M17" s="377"/>
      <c r="N17" s="377"/>
      <c r="O17" s="377"/>
      <c r="P17" s="377"/>
      <c r="Q17" s="377"/>
      <c r="R17" s="377"/>
      <c r="S17" s="377"/>
      <c r="T17" s="377"/>
      <c r="U17" s="377"/>
      <c r="V17" s="377"/>
      <c r="W17" s="377"/>
      <c r="X17" s="6"/>
    </row>
    <row r="18" spans="1:24" ht="31.95" customHeight="1" x14ac:dyDescent="0.25">
      <c r="A18" s="377">
        <v>14</v>
      </c>
      <c r="B18" s="15" t="str">
        <f>'Danh sách máy'!B19</f>
        <v>MEC2403009</v>
      </c>
      <c r="C18" s="13" t="str">
        <f>'Danh sách máy'!AC19</f>
        <v>Máy nhận bo (Unloader) V rack TYPE 3  Line mài lỗ (line số 2)
穴理研磨(2ライン目） 受取機（Vラック）</v>
      </c>
      <c r="D18" s="14" t="str">
        <f>'Danh sách máy'!AJ19</f>
        <v>Doing</v>
      </c>
      <c r="E18" s="25">
        <f>'Danh sách máy'!E19</f>
        <v>0</v>
      </c>
      <c r="F18" s="378" t="str">
        <f>'Danh sách máy'!AK19</f>
        <v>L.Trường</v>
      </c>
      <c r="G18" s="378" t="str">
        <f>'Danh sách máy'!AL22</f>
        <v>V.Anh</v>
      </c>
      <c r="H18" s="378" t="str">
        <f>'Danh sách máy'!AM22</f>
        <v>A1</v>
      </c>
      <c r="I18" s="377"/>
      <c r="J18" s="377"/>
      <c r="K18" s="377"/>
      <c r="L18" s="377"/>
      <c r="M18" s="377"/>
      <c r="N18" s="377"/>
      <c r="O18" s="377"/>
      <c r="P18" s="377"/>
      <c r="Q18" s="377"/>
      <c r="R18" s="377"/>
      <c r="S18" s="377"/>
      <c r="T18" s="377"/>
      <c r="U18" s="377"/>
      <c r="V18" s="377"/>
      <c r="W18" s="377"/>
      <c r="X18" s="6"/>
    </row>
    <row r="19" spans="1:24" ht="31.95" customHeight="1" x14ac:dyDescent="0.25">
      <c r="A19" s="377">
        <v>15</v>
      </c>
      <c r="B19" s="15" t="str">
        <f>'Danh sách máy'!B20</f>
        <v>MEC2403010</v>
      </c>
      <c r="C19" s="13" t="str">
        <f>'Danh sách máy'!AC20</f>
        <v xml:space="preserve">Máy đưa bo cho line mạ xung #1 </v>
      </c>
      <c r="D19" s="14" t="str">
        <f>'Danh sách máy'!AJ20</f>
        <v>Finish</v>
      </c>
      <c r="E19" s="25">
        <f>'Danh sách máy'!E20</f>
        <v>45677</v>
      </c>
      <c r="F19" s="378" t="str">
        <f>'Danh sách máy'!AK20</f>
        <v>L.Trường</v>
      </c>
      <c r="G19" s="378" t="str">
        <f>'Danh sách máy'!AL23</f>
        <v>V.Anh</v>
      </c>
      <c r="H19" s="378" t="str">
        <f>'Danh sách máy'!AM23</f>
        <v>A1</v>
      </c>
      <c r="I19" s="377"/>
      <c r="J19" s="377"/>
      <c r="K19" s="377"/>
      <c r="L19" s="377"/>
      <c r="M19" s="377"/>
      <c r="N19" s="377"/>
      <c r="O19" s="377"/>
      <c r="P19" s="377"/>
      <c r="Q19" s="377"/>
      <c r="R19" s="377"/>
      <c r="S19" s="377"/>
      <c r="T19" s="377"/>
      <c r="U19" s="377"/>
      <c r="V19" s="377"/>
      <c r="W19" s="377"/>
      <c r="X19" s="6"/>
    </row>
    <row r="20" spans="1:24" ht="31.95" customHeight="1" x14ac:dyDescent="0.25">
      <c r="A20" s="377">
        <v>16</v>
      </c>
      <c r="B20" s="15" t="str">
        <f>'Danh sách máy'!B21</f>
        <v>MEC2403011</v>
      </c>
      <c r="C20" s="13" t="str">
        <f>'Danh sách máy'!AC21</f>
        <v xml:space="preserve">Máy nhận bo cho line mạ xung #1 </v>
      </c>
      <c r="D20" s="14" t="str">
        <f>'Danh sách máy'!AJ21</f>
        <v>Finish</v>
      </c>
      <c r="E20" s="25">
        <f>'Danh sách máy'!E21</f>
        <v>45677</v>
      </c>
      <c r="F20" s="378" t="str">
        <f>'Danh sách máy'!AK21</f>
        <v>L.Trường</v>
      </c>
      <c r="G20" s="378" t="str">
        <f>'Danh sách máy'!AL24</f>
        <v>V.Anh</v>
      </c>
      <c r="H20" s="378" t="str">
        <f>'Danh sách máy'!AM24</f>
        <v>A1</v>
      </c>
      <c r="I20" s="377"/>
      <c r="J20" s="377"/>
      <c r="K20" s="377"/>
      <c r="L20" s="377"/>
      <c r="M20" s="377"/>
      <c r="N20" s="377"/>
      <c r="O20" s="377"/>
      <c r="P20" s="377"/>
      <c r="Q20" s="377"/>
      <c r="R20" s="377"/>
      <c r="S20" s="377"/>
      <c r="T20" s="377"/>
      <c r="U20" s="377"/>
      <c r="V20" s="377"/>
      <c r="W20" s="377"/>
      <c r="X20" s="6"/>
    </row>
    <row r="21" spans="1:24" ht="31.95" customHeight="1" x14ac:dyDescent="0.25">
      <c r="A21" s="377">
        <v>17</v>
      </c>
      <c r="B21" s="15" t="str">
        <f>'Danh sách máy'!B22</f>
        <v>MEC2403012</v>
      </c>
      <c r="C21" s="13" t="str">
        <f>'Danh sách máy'!AC22</f>
        <v>Máy nhận bo (Unloader) V rack TYPE 3  Line LPR　＃3
LPR#3　受取機（Vラック）</v>
      </c>
      <c r="D21" s="14" t="str">
        <f>'Danh sách máy'!AJ22</f>
        <v>Finish</v>
      </c>
      <c r="E21" s="25">
        <f>'Danh sách máy'!E22</f>
        <v>45499</v>
      </c>
      <c r="F21" s="378" t="str">
        <f>'Danh sách máy'!AK22</f>
        <v>L.Trường</v>
      </c>
      <c r="G21" s="378" t="str">
        <f>'Danh sách máy'!AL25</f>
        <v>T.Quang</v>
      </c>
      <c r="H21" s="378" t="str">
        <f>'Danh sách máy'!AM25</f>
        <v>A1</v>
      </c>
      <c r="I21" s="377"/>
      <c r="J21" s="377"/>
      <c r="K21" s="377"/>
      <c r="L21" s="377"/>
      <c r="M21" s="377"/>
      <c r="N21" s="377"/>
      <c r="O21" s="377"/>
      <c r="P21" s="377"/>
      <c r="Q21" s="377"/>
      <c r="R21" s="377"/>
      <c r="S21" s="377"/>
      <c r="T21" s="377"/>
      <c r="U21" s="377"/>
      <c r="V21" s="377"/>
      <c r="W21" s="377"/>
      <c r="X21" s="6"/>
    </row>
    <row r="22" spans="1:24" ht="31.95" customHeight="1" x14ac:dyDescent="0.25">
      <c r="A22" s="377">
        <v>18</v>
      </c>
      <c r="B22" s="15" t="str">
        <f>'Danh sách máy'!B23</f>
        <v>MEC2403013</v>
      </c>
      <c r="C22" s="13" t="str">
        <f>'Danh sách máy'!AC23</f>
        <v>Máy nhận bo (Unloader) V rack TYPE 3  Line LPR　＃4
LPR#4　受取機（Vラック）</v>
      </c>
      <c r="D22" s="14" t="str">
        <f>'Danh sách máy'!AJ23</f>
        <v>Finish</v>
      </c>
      <c r="E22" s="25">
        <f>'Danh sách máy'!E23</f>
        <v>45499</v>
      </c>
      <c r="F22" s="378" t="str">
        <f>'Danh sách máy'!AK23</f>
        <v>L.Trường</v>
      </c>
      <c r="G22" s="378" t="str">
        <f>'Danh sách máy'!AL26</f>
        <v>V.Anh</v>
      </c>
      <c r="H22" s="378" t="str">
        <f>'Danh sách máy'!AM26</f>
        <v>A1</v>
      </c>
      <c r="I22" s="377"/>
      <c r="J22" s="377"/>
      <c r="K22" s="377"/>
      <c r="L22" s="377"/>
      <c r="M22" s="377"/>
      <c r="N22" s="377"/>
      <c r="O22" s="377"/>
      <c r="P22" s="377"/>
      <c r="Q22" s="377"/>
      <c r="R22" s="377"/>
      <c r="S22" s="377"/>
      <c r="T22" s="377"/>
      <c r="U22" s="377"/>
      <c r="V22" s="377"/>
      <c r="W22" s="377"/>
      <c r="X22" s="6"/>
    </row>
    <row r="23" spans="1:24" ht="31.95" customHeight="1" x14ac:dyDescent="0.25">
      <c r="A23" s="377">
        <v>19</v>
      </c>
      <c r="B23" s="15" t="str">
        <f>'Danh sách máy'!B24</f>
        <v>MEC2403014</v>
      </c>
      <c r="C23" s="13" t="str">
        <f>'Danh sách máy'!AC24</f>
        <v>Máy đưa bo (Loader) V rack TYPE 3 Line Tự động chụp sáng #1
自動露光ライン#1 投入機（Vラック）</v>
      </c>
      <c r="D23" s="14" t="str">
        <f>'Danh sách máy'!AJ24</f>
        <v>Finish</v>
      </c>
      <c r="E23" s="25">
        <f>'Danh sách máy'!E24</f>
        <v>45520</v>
      </c>
      <c r="F23" s="378" t="str">
        <f>'Danh sách máy'!AK24</f>
        <v>L.Trường</v>
      </c>
      <c r="G23" s="378" t="str">
        <f>'Danh sách máy'!AL27</f>
        <v>V.Anh</v>
      </c>
      <c r="H23" s="378" t="str">
        <f>'Danh sách máy'!AM27</f>
        <v>A1</v>
      </c>
      <c r="I23" s="377"/>
      <c r="J23" s="377"/>
      <c r="K23" s="377"/>
      <c r="L23" s="377"/>
      <c r="M23" s="377"/>
      <c r="N23" s="377"/>
      <c r="O23" s="377"/>
      <c r="P23" s="377"/>
      <c r="Q23" s="377"/>
      <c r="R23" s="377"/>
      <c r="S23" s="377"/>
      <c r="T23" s="377"/>
      <c r="U23" s="377"/>
      <c r="V23" s="377"/>
      <c r="W23" s="377"/>
      <c r="X23" s="6"/>
    </row>
    <row r="24" spans="1:24" ht="31.95" customHeight="1" x14ac:dyDescent="0.25">
      <c r="A24" s="377">
        <v>20</v>
      </c>
      <c r="B24" s="15" t="str">
        <f>'Danh sách máy'!B25</f>
        <v>MEC2403015</v>
      </c>
      <c r="C24" s="13" t="str">
        <f>'Danh sách máy'!AC25</f>
        <v>Máy nâng bo tạm thời (Hanger stock) Line Tự động chụp sáng #1
自動露光ライン#1 ストッカー</v>
      </c>
      <c r="D24" s="14" t="str">
        <f>'Danh sách máy'!AJ25</f>
        <v>Finish</v>
      </c>
      <c r="E24" s="25">
        <f>'Danh sách máy'!E25</f>
        <v>45471</v>
      </c>
      <c r="F24" s="378" t="str">
        <f>'Danh sách máy'!AK25</f>
        <v>A.Quân</v>
      </c>
      <c r="G24" s="378" t="str">
        <f>'Danh sách máy'!AL28</f>
        <v>T.Quang</v>
      </c>
      <c r="H24" s="378" t="str">
        <f>'Danh sách máy'!AM28</f>
        <v>A1</v>
      </c>
      <c r="I24" s="377"/>
      <c r="J24" s="377"/>
      <c r="K24" s="377"/>
      <c r="L24" s="377"/>
      <c r="M24" s="377"/>
      <c r="N24" s="377"/>
      <c r="O24" s="377"/>
      <c r="P24" s="377"/>
      <c r="Q24" s="377"/>
      <c r="R24" s="377"/>
      <c r="S24" s="377"/>
      <c r="T24" s="377"/>
      <c r="U24" s="377"/>
      <c r="V24" s="377"/>
      <c r="W24" s="377"/>
      <c r="X24" s="6"/>
    </row>
    <row r="25" spans="1:24" ht="31.95" customHeight="1" x14ac:dyDescent="0.25">
      <c r="A25" s="377">
        <v>21</v>
      </c>
      <c r="B25" s="15" t="str">
        <f>'Danh sách máy'!B26</f>
        <v>MEC2403016</v>
      </c>
      <c r="C25" s="13" t="str">
        <f>'Danh sách máy'!AC26</f>
        <v>Máy nhận bo (Unloader) V rack TYPE 3  Line Tự động chụp sáng #1
自動露光ライン#1 受取機（Vラック）</v>
      </c>
      <c r="D25" s="14" t="str">
        <f>'Danh sách máy'!AJ26</f>
        <v>Finish</v>
      </c>
      <c r="E25" s="25">
        <f>'Danh sách máy'!E26</f>
        <v>45520</v>
      </c>
      <c r="F25" s="378" t="str">
        <f>'Danh sách máy'!AK26</f>
        <v>L.Trường</v>
      </c>
      <c r="G25" s="378" t="str">
        <f>'Danh sách máy'!AL29</f>
        <v>V.Anh</v>
      </c>
      <c r="H25" s="378" t="str">
        <f>'Danh sách máy'!AM29</f>
        <v>A1</v>
      </c>
      <c r="I25" s="377"/>
      <c r="J25" s="377"/>
      <c r="K25" s="377"/>
      <c r="L25" s="377"/>
      <c r="M25" s="377"/>
      <c r="N25" s="377"/>
      <c r="O25" s="377"/>
      <c r="P25" s="377"/>
      <c r="Q25" s="377"/>
      <c r="R25" s="377"/>
      <c r="S25" s="377"/>
      <c r="T25" s="377"/>
      <c r="U25" s="377"/>
      <c r="V25" s="377"/>
      <c r="W25" s="377"/>
      <c r="X25" s="6"/>
    </row>
    <row r="26" spans="1:24" ht="31.95" customHeight="1" x14ac:dyDescent="0.25">
      <c r="A26" s="377">
        <v>22</v>
      </c>
      <c r="B26" s="15" t="str">
        <f>'Danh sách máy'!B27</f>
        <v>MEC2403017</v>
      </c>
      <c r="C26" s="13" t="str">
        <f>'Danh sách máy'!AC27</f>
        <v>Máy đưa bo (Loader) V rack TYPE 3 Line Tự động chụp sáng #2
自動露光ライン#2 投入機（Vラック）</v>
      </c>
      <c r="D26" s="14" t="str">
        <f>'Danh sách máy'!AJ27</f>
        <v>Finish</v>
      </c>
      <c r="E26" s="25">
        <f>'Danh sách máy'!E27</f>
        <v>45520</v>
      </c>
      <c r="F26" s="378" t="str">
        <f>'Danh sách máy'!AK27</f>
        <v>L.Trường</v>
      </c>
      <c r="G26" s="378" t="str">
        <f>'Danh sách máy'!AL30</f>
        <v>V.Anh</v>
      </c>
      <c r="H26" s="378" t="str">
        <f>'Danh sách máy'!AM30</f>
        <v>A1</v>
      </c>
      <c r="I26" s="377"/>
      <c r="J26" s="377"/>
      <c r="K26" s="377"/>
      <c r="L26" s="377"/>
      <c r="M26" s="377"/>
      <c r="N26" s="377"/>
      <c r="O26" s="377"/>
      <c r="P26" s="377"/>
      <c r="Q26" s="377"/>
      <c r="R26" s="377"/>
      <c r="S26" s="377"/>
      <c r="T26" s="377"/>
      <c r="U26" s="377"/>
      <c r="V26" s="377"/>
      <c r="W26" s="377"/>
      <c r="X26" s="6"/>
    </row>
    <row r="27" spans="1:24" ht="31.95" customHeight="1" x14ac:dyDescent="0.25">
      <c r="A27" s="377">
        <v>23</v>
      </c>
      <c r="B27" s="15" t="str">
        <f>'Danh sách máy'!B28</f>
        <v>MEC2403018</v>
      </c>
      <c r="C27" s="13" t="str">
        <f>'Danh sách máy'!AC28</f>
        <v>Máy nâng bo tạm thời (Hanger stock) Line Tự động chụp sáng #2
自動露光ライン#2　 ストッカー</v>
      </c>
      <c r="D27" s="14" t="str">
        <f>'Danh sách máy'!AJ28</f>
        <v>Finish</v>
      </c>
      <c r="E27" s="25">
        <f>'Danh sách máy'!E28</f>
        <v>45471</v>
      </c>
      <c r="F27" s="378" t="str">
        <f>'Danh sách máy'!AK28</f>
        <v>A.Quân</v>
      </c>
      <c r="G27" s="378" t="str">
        <f>'Danh sách máy'!AL31</f>
        <v>T.Quang</v>
      </c>
      <c r="H27" s="378" t="str">
        <f>'Danh sách máy'!AM31</f>
        <v>A1</v>
      </c>
      <c r="I27" s="377"/>
      <c r="J27" s="377"/>
      <c r="K27" s="377"/>
      <c r="L27" s="377"/>
      <c r="M27" s="377"/>
      <c r="N27" s="377"/>
      <c r="O27" s="377"/>
      <c r="P27" s="377"/>
      <c r="Q27" s="377"/>
      <c r="R27" s="377"/>
      <c r="S27" s="377"/>
      <c r="T27" s="377"/>
      <c r="U27" s="377"/>
      <c r="V27" s="377"/>
      <c r="W27" s="377"/>
      <c r="X27" s="6"/>
    </row>
    <row r="28" spans="1:24" ht="31.95" customHeight="1" x14ac:dyDescent="0.25">
      <c r="A28" s="377">
        <v>24</v>
      </c>
      <c r="B28" s="15" t="str">
        <f>'Danh sách máy'!B29</f>
        <v>MEC2403019</v>
      </c>
      <c r="C28" s="13" t="str">
        <f>'Danh sách máy'!AC29</f>
        <v>Máy nhận bo (Unloader) V rack TYPE 3  Line Tự động chụp sáng #2
自動露光ライン#2 受取機（Vラック）</v>
      </c>
      <c r="D28" s="14" t="str">
        <f>'Danh sách máy'!AJ29</f>
        <v>Finish</v>
      </c>
      <c r="E28" s="25">
        <f>'Danh sách máy'!E29</f>
        <v>45520</v>
      </c>
      <c r="F28" s="378" t="str">
        <f>'Danh sách máy'!AK29</f>
        <v>L.Trường</v>
      </c>
      <c r="G28" s="378" t="str">
        <f>'Danh sách máy'!AL32</f>
        <v>V.Anh</v>
      </c>
      <c r="H28" s="378" t="str">
        <f>'Danh sách máy'!AM32</f>
        <v>A1</v>
      </c>
      <c r="I28" s="377"/>
      <c r="J28" s="377"/>
      <c r="K28" s="377"/>
      <c r="L28" s="377"/>
      <c r="M28" s="377"/>
      <c r="N28" s="377"/>
      <c r="O28" s="377"/>
      <c r="P28" s="377"/>
      <c r="Q28" s="377"/>
      <c r="R28" s="377"/>
      <c r="S28" s="377"/>
      <c r="T28" s="377"/>
      <c r="U28" s="377"/>
      <c r="V28" s="377"/>
      <c r="W28" s="377"/>
      <c r="X28" s="6"/>
    </row>
    <row r="29" spans="1:24" ht="31.95" customHeight="1" x14ac:dyDescent="0.25">
      <c r="A29" s="377">
        <v>25</v>
      </c>
      <c r="B29" s="15" t="str">
        <f>'Danh sách máy'!B30</f>
        <v>MEC2403020</v>
      </c>
      <c r="C29" s="13" t="str">
        <f>'Danh sách máy'!AC30</f>
        <v>Máy đưa bo (Loader) V rack TYPE 3 Line Tự động chụp sáng #3
自動露光ライン#3 投入機（Vラック）</v>
      </c>
      <c r="D29" s="14" t="str">
        <f>'Danh sách máy'!AJ30</f>
        <v>Finish</v>
      </c>
      <c r="E29" s="25">
        <f>'Danh sách máy'!E30</f>
        <v>45520</v>
      </c>
      <c r="F29" s="378" t="str">
        <f>'Danh sách máy'!AK30</f>
        <v>L.Trường</v>
      </c>
      <c r="G29" s="378" t="str">
        <f>'Danh sách máy'!AL33</f>
        <v>V.Anh</v>
      </c>
      <c r="H29" s="378" t="str">
        <f>'Danh sách máy'!AM33</f>
        <v>A1</v>
      </c>
      <c r="I29" s="377"/>
      <c r="J29" s="377"/>
      <c r="K29" s="377"/>
      <c r="L29" s="377"/>
      <c r="M29" s="377"/>
      <c r="N29" s="377"/>
      <c r="O29" s="377"/>
      <c r="P29" s="377"/>
      <c r="Q29" s="377"/>
      <c r="R29" s="377"/>
      <c r="S29" s="377"/>
      <c r="T29" s="377"/>
      <c r="U29" s="377"/>
      <c r="V29" s="377"/>
      <c r="W29" s="377"/>
      <c r="X29" s="6"/>
    </row>
    <row r="30" spans="1:24" ht="31.95" customHeight="1" x14ac:dyDescent="0.25">
      <c r="A30" s="377">
        <v>26</v>
      </c>
      <c r="B30" s="15" t="str">
        <f>'Danh sách máy'!B31</f>
        <v>MEC2403021</v>
      </c>
      <c r="C30" s="13" t="str">
        <f>'Danh sách máy'!AC31</f>
        <v>Máy nâng bo tạm thời (Hanger stock) Line Tự động chụp sáng #3
自動露光ライン#3　 ストッカー</v>
      </c>
      <c r="D30" s="14" t="str">
        <f>'Danh sách máy'!AJ31</f>
        <v>Finish</v>
      </c>
      <c r="E30" s="25">
        <f>'Danh sách máy'!E31</f>
        <v>45471</v>
      </c>
      <c r="F30" s="378" t="str">
        <f>'Danh sách máy'!AK31</f>
        <v>A.Quân</v>
      </c>
      <c r="G30" s="378" t="str">
        <f>'Danh sách máy'!AL34</f>
        <v>H.Khánh</v>
      </c>
      <c r="H30" s="378">
        <f>'Danh sách máy'!AM34</f>
        <v>0</v>
      </c>
      <c r="I30" s="377"/>
      <c r="J30" s="377"/>
      <c r="K30" s="377"/>
      <c r="L30" s="377"/>
      <c r="M30" s="377"/>
      <c r="N30" s="377"/>
      <c r="O30" s="377"/>
      <c r="P30" s="377"/>
      <c r="Q30" s="377"/>
      <c r="R30" s="377"/>
      <c r="S30" s="377"/>
      <c r="T30" s="377"/>
      <c r="U30" s="377"/>
      <c r="V30" s="377"/>
      <c r="W30" s="377"/>
      <c r="X30" s="6"/>
    </row>
    <row r="31" spans="1:24" ht="31.95" customHeight="1" x14ac:dyDescent="0.25">
      <c r="A31" s="377">
        <v>27</v>
      </c>
      <c r="B31" s="15" t="str">
        <f>'Danh sách máy'!B32</f>
        <v>MEC2403022</v>
      </c>
      <c r="C31" s="13" t="str">
        <f>'Danh sách máy'!AC32</f>
        <v>Máy nhận bo (Unloader) V rack TYPE 3  Line Tự động chụp sáng #3
自動露光ライン#3 受取機（Vラック）</v>
      </c>
      <c r="D31" s="14" t="str">
        <f>'Danh sách máy'!AJ32</f>
        <v>Finish</v>
      </c>
      <c r="E31" s="25">
        <f>'Danh sách máy'!E32</f>
        <v>45520</v>
      </c>
      <c r="F31" s="378" t="str">
        <f>'Danh sách máy'!AK32</f>
        <v>L.Trường</v>
      </c>
      <c r="G31" s="378" t="str">
        <f>'Danh sách máy'!AL35</f>
        <v>T.Quang</v>
      </c>
      <c r="H31" s="378" t="str">
        <f>'Danh sách máy'!AM35</f>
        <v>A1</v>
      </c>
      <c r="I31" s="377"/>
      <c r="J31" s="377"/>
      <c r="K31" s="377"/>
      <c r="L31" s="377"/>
      <c r="M31" s="377"/>
      <c r="N31" s="377"/>
      <c r="O31" s="377"/>
      <c r="P31" s="377"/>
      <c r="Q31" s="377"/>
      <c r="R31" s="377"/>
      <c r="S31" s="377"/>
      <c r="T31" s="377"/>
      <c r="U31" s="377"/>
      <c r="V31" s="377"/>
      <c r="W31" s="377"/>
      <c r="X31" s="6"/>
    </row>
    <row r="32" spans="1:24" ht="31.95" customHeight="1" x14ac:dyDescent="0.25">
      <c r="A32" s="377">
        <v>28</v>
      </c>
      <c r="B32" s="15" t="str">
        <f>'Danh sách máy'!B33</f>
        <v>MEC2403023</v>
      </c>
      <c r="C32" s="13" t="str">
        <f>'Danh sách máy'!AC33</f>
        <v>Máy đưa bo (Loader) V rack TYPE 3 Line DES #5
DES #5　投入機（Vラック）</v>
      </c>
      <c r="D32" s="14" t="str">
        <f>'Danh sách máy'!AJ33</f>
        <v>Finish</v>
      </c>
      <c r="E32" s="25">
        <f>'Danh sách máy'!E33</f>
        <v>45499</v>
      </c>
      <c r="F32" s="378" t="str">
        <f>'Danh sách máy'!AK33</f>
        <v>L.Trường</v>
      </c>
      <c r="G32" s="378" t="str">
        <f>'Danh sách máy'!AL36</f>
        <v>T.Quang</v>
      </c>
      <c r="H32" s="378">
        <f>'Danh sách máy'!AM36</f>
        <v>0</v>
      </c>
      <c r="I32" s="377"/>
      <c r="J32" s="377"/>
      <c r="K32" s="377"/>
      <c r="L32" s="377"/>
      <c r="M32" s="377"/>
      <c r="N32" s="377"/>
      <c r="O32" s="377"/>
      <c r="P32" s="377"/>
      <c r="Q32" s="377"/>
      <c r="R32" s="377"/>
      <c r="S32" s="377"/>
      <c r="T32" s="377"/>
      <c r="U32" s="377"/>
      <c r="V32" s="377"/>
      <c r="W32" s="377"/>
      <c r="X32" s="6"/>
    </row>
    <row r="33" spans="1:24" ht="31.95" customHeight="1" x14ac:dyDescent="0.25">
      <c r="A33" s="377">
        <v>29</v>
      </c>
      <c r="B33" s="15" t="str">
        <f>'Danh sách máy'!B34</f>
        <v>MEC2403024</v>
      </c>
      <c r="C33" s="13" t="str">
        <f>'Danh sách máy'!AC34</f>
        <v>DES #5 とAOI Inline 連結コンベヤー
Băng tải kết nối DES#5- AOI Inline</v>
      </c>
      <c r="D33" s="14" t="str">
        <f>'Danh sách máy'!AJ34</f>
        <v>Stop</v>
      </c>
      <c r="E33" s="25">
        <f>'Danh sách máy'!E34</f>
        <v>0</v>
      </c>
      <c r="F33" s="378" t="str">
        <f>'Danh sách máy'!AK34</f>
        <v>H.Minh</v>
      </c>
      <c r="G33" s="378" t="str">
        <f>'Danh sách máy'!AL37</f>
        <v>H.Tuấn</v>
      </c>
      <c r="H33" s="378" t="str">
        <f>'Danh sách máy'!AM37</f>
        <v>A1</v>
      </c>
      <c r="I33" s="377"/>
      <c r="J33" s="377"/>
      <c r="K33" s="377"/>
      <c r="L33" s="377"/>
      <c r="M33" s="377"/>
      <c r="N33" s="377"/>
      <c r="O33" s="377"/>
      <c r="P33" s="377"/>
      <c r="Q33" s="377"/>
      <c r="R33" s="377"/>
      <c r="S33" s="377"/>
      <c r="T33" s="377"/>
      <c r="U33" s="377"/>
      <c r="V33" s="377"/>
      <c r="W33" s="377"/>
      <c r="X33" s="6"/>
    </row>
    <row r="34" spans="1:24" ht="31.95" customHeight="1" x14ac:dyDescent="0.25">
      <c r="A34" s="377">
        <v>30</v>
      </c>
      <c r="B34" s="15" t="str">
        <f>'Danh sách máy'!B35</f>
        <v>MEC2403025</v>
      </c>
      <c r="C34" s="13" t="str">
        <f>'Danh sách máy'!AC35</f>
        <v>DES　受取機（平積・合紙）
Máy nhận bo Des #2 TMN2F</v>
      </c>
      <c r="D34" s="14" t="str">
        <f>'Danh sách máy'!AJ35</f>
        <v>Finish</v>
      </c>
      <c r="E34" s="25">
        <f>'Danh sách máy'!E35</f>
        <v>45625</v>
      </c>
      <c r="F34" s="378" t="str">
        <f>'Danh sách máy'!AK35</f>
        <v>V.Quang</v>
      </c>
      <c r="G34" s="378" t="str">
        <f>'Danh sách máy'!AL38</f>
        <v>H.Tuấn</v>
      </c>
      <c r="H34" s="378" t="str">
        <f>'Danh sách máy'!AM38</f>
        <v>A1</v>
      </c>
      <c r="I34" s="377"/>
      <c r="J34" s="377"/>
      <c r="K34" s="377"/>
      <c r="L34" s="377"/>
      <c r="M34" s="377"/>
      <c r="N34" s="377"/>
      <c r="O34" s="377"/>
      <c r="P34" s="377"/>
      <c r="Q34" s="377"/>
      <c r="R34" s="377"/>
      <c r="S34" s="377"/>
      <c r="T34" s="377"/>
      <c r="U34" s="377"/>
      <c r="V34" s="377"/>
      <c r="W34" s="377"/>
      <c r="X34" s="6"/>
    </row>
    <row r="35" spans="1:24" ht="31.95" customHeight="1" x14ac:dyDescent="0.25">
      <c r="A35" s="377">
        <v>31</v>
      </c>
      <c r="B35" s="15" t="str">
        <f>'Danh sách máy'!B36</f>
        <v>MEC2403026</v>
      </c>
      <c r="C35" s="13" t="str">
        <f>'Danh sách máy'!AC36</f>
        <v>AOI Inline　受取機（平積・合紙）
Máy nhận bo (H rack + IC)</v>
      </c>
      <c r="D35" s="14" t="str">
        <f>'Danh sách máy'!AJ36</f>
        <v>Stop</v>
      </c>
      <c r="E35" s="25">
        <f>'Danh sách máy'!E36</f>
        <v>0</v>
      </c>
      <c r="F35" s="378" t="str">
        <f>'Danh sách máy'!AK36</f>
        <v>V.Quang</v>
      </c>
      <c r="G35" s="378" t="str">
        <f>'Danh sách máy'!AL39</f>
        <v>X.Tuyền</v>
      </c>
      <c r="H35" s="378">
        <f>'Danh sách máy'!AM39</f>
        <v>0</v>
      </c>
      <c r="I35" s="377"/>
      <c r="J35" s="377"/>
      <c r="K35" s="377"/>
      <c r="L35" s="377"/>
      <c r="M35" s="377"/>
      <c r="N35" s="377"/>
      <c r="O35" s="377"/>
      <c r="P35" s="377"/>
      <c r="Q35" s="377"/>
      <c r="R35" s="377"/>
      <c r="S35" s="377"/>
      <c r="T35" s="377"/>
      <c r="U35" s="377"/>
      <c r="V35" s="377"/>
      <c r="W35" s="377"/>
      <c r="X35" s="6"/>
    </row>
    <row r="36" spans="1:24" ht="31.95" customHeight="1" x14ac:dyDescent="0.25">
      <c r="A36" s="377">
        <v>32</v>
      </c>
      <c r="B36" s="15" t="str">
        <f>'Danh sách máy'!B37</f>
        <v>MEC2403027</v>
      </c>
      <c r="C36" s="13" t="str">
        <f>'Danh sách máy'!AC37</f>
        <v>Máy đưa bo (Loader) V rack TYPE4  có tấm cách bo Line Mài sau ép lớp
積層後研磨ライン 投入機　Vラック　合紙抜挿</v>
      </c>
      <c r="D36" s="14" t="str">
        <f>'Danh sách máy'!AJ37</f>
        <v>Finish</v>
      </c>
      <c r="E36" s="25">
        <f>'Danh sách máy'!E37</f>
        <v>45498</v>
      </c>
      <c r="F36" s="378" t="str">
        <f>'Danh sách máy'!AK37</f>
        <v>L.Trường</v>
      </c>
      <c r="G36" s="378" t="str">
        <f>'Danh sách máy'!AL40</f>
        <v>V.Anh</v>
      </c>
      <c r="H36" s="378" t="str">
        <f>'Danh sách máy'!AM40</f>
        <v>A1</v>
      </c>
      <c r="I36" s="377"/>
      <c r="J36" s="377"/>
      <c r="K36" s="377"/>
      <c r="L36" s="377"/>
      <c r="M36" s="377"/>
      <c r="N36" s="377"/>
      <c r="O36" s="377"/>
      <c r="P36" s="377"/>
      <c r="Q36" s="377"/>
      <c r="R36" s="377"/>
      <c r="S36" s="377"/>
      <c r="T36" s="377"/>
      <c r="U36" s="377"/>
      <c r="V36" s="377"/>
      <c r="W36" s="377"/>
      <c r="X36" s="6"/>
    </row>
    <row r="37" spans="1:24" ht="31.95" customHeight="1" x14ac:dyDescent="0.25">
      <c r="A37" s="377">
        <v>33</v>
      </c>
      <c r="B37" s="15" t="str">
        <f>'Danh sách máy'!B38</f>
        <v>MEC2403028</v>
      </c>
      <c r="C37" s="13" t="str">
        <f>'Danh sách máy'!AC38</f>
        <v>Máy nhận bo (Unloader) V rack TYPE4  có tấm cách bo Line Mài sau ép lớp
積層後研磨ライン 受取機　Vラック　合紙抜挿</v>
      </c>
      <c r="D37" s="14" t="str">
        <f>'Danh sách máy'!AJ38</f>
        <v>Finish</v>
      </c>
      <c r="E37" s="25">
        <f>'Danh sách máy'!E38</f>
        <v>45498</v>
      </c>
      <c r="F37" s="378" t="str">
        <f>'Danh sách máy'!AK38</f>
        <v>L.Trường</v>
      </c>
      <c r="G37" s="378" t="str">
        <f>'Danh sách máy'!AL41</f>
        <v>H.Tuấn</v>
      </c>
      <c r="H37" s="378" t="str">
        <f>'Danh sách máy'!AM41</f>
        <v>A1</v>
      </c>
      <c r="I37" s="377"/>
      <c r="J37" s="377"/>
      <c r="K37" s="377"/>
      <c r="L37" s="377"/>
      <c r="M37" s="377"/>
      <c r="N37" s="377"/>
      <c r="O37" s="377"/>
      <c r="P37" s="377"/>
      <c r="Q37" s="377"/>
      <c r="R37" s="377"/>
      <c r="S37" s="377"/>
      <c r="T37" s="377"/>
      <c r="U37" s="377"/>
      <c r="V37" s="377"/>
      <c r="W37" s="377"/>
      <c r="X37" s="6"/>
    </row>
    <row r="38" spans="1:24" ht="31.95" customHeight="1" x14ac:dyDescent="0.25">
      <c r="A38" s="377">
        <v>34</v>
      </c>
      <c r="B38" s="15" t="str">
        <f>'Danh sách máy'!B39</f>
        <v>MEC2403029</v>
      </c>
      <c r="C38" s="13" t="str">
        <f>'Danh sách máy'!AC39</f>
        <v>ピン打ち・テープ貼り機
Máy đóng Pin NC</v>
      </c>
      <c r="D38" s="14" t="str">
        <f>'Danh sách máy'!AJ39</f>
        <v>Stop</v>
      </c>
      <c r="E38" s="25">
        <f>'Danh sách máy'!E39</f>
        <v>0</v>
      </c>
      <c r="F38" s="378" t="str">
        <f>'Danh sách máy'!AK39</f>
        <v>V.Giang</v>
      </c>
      <c r="G38" s="378" t="str">
        <f>'Danh sách máy'!AL42</f>
        <v>V.Anh</v>
      </c>
      <c r="H38" s="378" t="str">
        <f>'Danh sách máy'!AM42</f>
        <v>A1</v>
      </c>
      <c r="I38" s="377"/>
      <c r="J38" s="377"/>
      <c r="K38" s="377"/>
      <c r="L38" s="377"/>
      <c r="M38" s="377"/>
      <c r="N38" s="377"/>
      <c r="O38" s="377"/>
      <c r="P38" s="377"/>
      <c r="Q38" s="377"/>
      <c r="R38" s="377"/>
      <c r="S38" s="377"/>
      <c r="T38" s="377"/>
      <c r="U38" s="377"/>
      <c r="V38" s="377"/>
      <c r="W38" s="377"/>
      <c r="X38" s="6"/>
    </row>
    <row r="39" spans="1:24" ht="31.95" customHeight="1" x14ac:dyDescent="0.25">
      <c r="A39" s="377">
        <v>35</v>
      </c>
      <c r="B39" s="15" t="str">
        <f>'Danh sách máy'!B40</f>
        <v>MEC2403030</v>
      </c>
      <c r="C39" s="13" t="str">
        <f>'Danh sách máy'!AC40</f>
        <v>Máy đưa bo line Mạ xung #2</v>
      </c>
      <c r="D39" s="14" t="str">
        <f>'Danh sách máy'!AJ40</f>
        <v>Finish</v>
      </c>
      <c r="E39" s="25">
        <f>'Danh sách máy'!E40</f>
        <v>45677</v>
      </c>
      <c r="F39" s="378" t="str">
        <f>'Danh sách máy'!AK40</f>
        <v>L.Trường</v>
      </c>
      <c r="G39" s="378" t="str">
        <f>'Danh sách máy'!AL43</f>
        <v>H.Tuấn</v>
      </c>
      <c r="H39" s="378" t="str">
        <f>'Danh sách máy'!AM43</f>
        <v>A1</v>
      </c>
      <c r="I39" s="377"/>
      <c r="J39" s="377"/>
      <c r="K39" s="377"/>
      <c r="L39" s="377"/>
      <c r="M39" s="377"/>
      <c r="N39" s="377"/>
      <c r="O39" s="377"/>
      <c r="P39" s="377"/>
      <c r="Q39" s="377"/>
      <c r="R39" s="377"/>
      <c r="S39" s="377"/>
      <c r="T39" s="377"/>
      <c r="U39" s="377"/>
      <c r="V39" s="377"/>
      <c r="W39" s="377"/>
      <c r="X39" s="6"/>
    </row>
    <row r="40" spans="1:24" ht="31.95" customHeight="1" x14ac:dyDescent="0.25">
      <c r="A40" s="377">
        <v>36</v>
      </c>
      <c r="B40" s="15" t="str">
        <f>'Danh sách máy'!B41</f>
        <v>MEC2403031</v>
      </c>
      <c r="C40" s="13" t="str">
        <f>'Danh sách máy'!AC41</f>
        <v>Máy nhận bo (Unloader) V rack TYPE4  có tấm cách bo Line Desmear #1
水平デスミアライン #1 受取機　Vラック　合紙抜挿</v>
      </c>
      <c r="D40" s="14" t="str">
        <f>'Danh sách máy'!AJ41</f>
        <v>Finish</v>
      </c>
      <c r="E40" s="25">
        <f>'Danh sách máy'!E41</f>
        <v>45498</v>
      </c>
      <c r="F40" s="378" t="str">
        <f>'Danh sách máy'!AK41</f>
        <v>L.Trường</v>
      </c>
      <c r="G40" s="378" t="str">
        <f>'Danh sách máy'!AL44</f>
        <v>V.Anh</v>
      </c>
      <c r="H40" s="378" t="str">
        <f>'Danh sách máy'!AM44</f>
        <v>A1</v>
      </c>
      <c r="I40" s="377"/>
      <c r="J40" s="377"/>
      <c r="K40" s="377"/>
      <c r="L40" s="377"/>
      <c r="M40" s="377"/>
      <c r="N40" s="377"/>
      <c r="O40" s="377"/>
      <c r="P40" s="377"/>
      <c r="Q40" s="377"/>
      <c r="R40" s="377"/>
      <c r="S40" s="377"/>
      <c r="T40" s="377"/>
      <c r="U40" s="377"/>
      <c r="V40" s="377"/>
      <c r="W40" s="377"/>
      <c r="X40" s="6"/>
    </row>
    <row r="41" spans="1:24" ht="31.95" customHeight="1" x14ac:dyDescent="0.25">
      <c r="A41" s="377">
        <v>37</v>
      </c>
      <c r="B41" s="15" t="str">
        <f>'Danh sách máy'!B42</f>
        <v>MEC2403032</v>
      </c>
      <c r="C41" s="13" t="str">
        <f>'Danh sách máy'!AC42</f>
        <v>Máy đưa bo (Loader) V rack TYPE 3 Line Desmear #2
水平デスミアライン #2　 投入機（Vラック）</v>
      </c>
      <c r="D41" s="14" t="str">
        <f>'Danh sách máy'!AJ42</f>
        <v>Finish</v>
      </c>
      <c r="E41" s="25">
        <f>'Danh sách máy'!E42</f>
        <v>45498</v>
      </c>
      <c r="F41" s="378" t="str">
        <f>'Danh sách máy'!AK42</f>
        <v>L.Trường</v>
      </c>
      <c r="G41" s="378" t="str">
        <f>'Danh sách máy'!AL45</f>
        <v>V.Anh</v>
      </c>
      <c r="H41" s="378" t="str">
        <f>'Danh sách máy'!AM45</f>
        <v>A1</v>
      </c>
      <c r="I41" s="377"/>
      <c r="J41" s="377"/>
      <c r="K41" s="377"/>
      <c r="L41" s="377"/>
      <c r="M41" s="377"/>
      <c r="N41" s="377"/>
      <c r="O41" s="377"/>
      <c r="P41" s="377"/>
      <c r="Q41" s="377"/>
      <c r="R41" s="377"/>
      <c r="S41" s="377"/>
      <c r="T41" s="377"/>
      <c r="U41" s="377"/>
      <c r="V41" s="377"/>
      <c r="W41" s="377"/>
      <c r="X41" s="6"/>
    </row>
    <row r="42" spans="1:24" ht="31.95" customHeight="1" x14ac:dyDescent="0.25">
      <c r="A42" s="377">
        <v>38</v>
      </c>
      <c r="B42" s="15" t="str">
        <f>'Danh sách máy'!B43</f>
        <v>MEC2403033</v>
      </c>
      <c r="C42" s="13" t="str">
        <f>'Danh sách máy'!AC43</f>
        <v>Máy nhận bo (Unloader) V rack TYPE4  có tấm cách bo Line Desmear #2
水平デスミアライン #2 受取機　Vラック　合紙抜挿</v>
      </c>
      <c r="D42" s="14" t="str">
        <f>'Danh sách máy'!AJ43</f>
        <v>Finish</v>
      </c>
      <c r="E42" s="25">
        <f>'Danh sách máy'!E43</f>
        <v>45498</v>
      </c>
      <c r="F42" s="378" t="str">
        <f>'Danh sách máy'!AK43</f>
        <v>L.Trường</v>
      </c>
      <c r="G42" s="378" t="str">
        <f>'Danh sách máy'!AL46</f>
        <v>T.Quang</v>
      </c>
      <c r="H42" s="378">
        <f>'Danh sách máy'!AM46</f>
        <v>0</v>
      </c>
      <c r="I42" s="377"/>
      <c r="J42" s="377"/>
      <c r="K42" s="377"/>
      <c r="L42" s="377"/>
      <c r="M42" s="377"/>
      <c r="N42" s="377"/>
      <c r="O42" s="377"/>
      <c r="P42" s="377"/>
      <c r="Q42" s="377"/>
      <c r="R42" s="377"/>
      <c r="S42" s="377"/>
      <c r="T42" s="377"/>
      <c r="U42" s="377"/>
      <c r="V42" s="377"/>
      <c r="W42" s="377"/>
      <c r="X42" s="6"/>
    </row>
    <row r="43" spans="1:24" ht="31.95" customHeight="1" x14ac:dyDescent="0.25">
      <c r="A43" s="377">
        <v>39</v>
      </c>
      <c r="B43" s="15" t="str">
        <f>'Danh sách máy'!B44</f>
        <v>MEC2403034</v>
      </c>
      <c r="C43" s="13" t="str">
        <f>'Danh sách máy'!AC44</f>
        <v>Máy đưa bo (Loader) V rack TYPE 3 Line DFR４・５
DFRライン4・５ライン目　投入機（Vラック）</v>
      </c>
      <c r="D43" s="14" t="str">
        <f>'Danh sách máy'!AJ44</f>
        <v>Finish</v>
      </c>
      <c r="E43" s="25">
        <f>'Danh sách máy'!E44</f>
        <v>45499</v>
      </c>
      <c r="F43" s="378" t="str">
        <f>'Danh sách máy'!AK44</f>
        <v>L.Trường</v>
      </c>
      <c r="G43" s="378" t="str">
        <f>'Danh sách máy'!AL47</f>
        <v>V.Anh</v>
      </c>
      <c r="H43" s="378" t="str">
        <f>'Danh sách máy'!AM47</f>
        <v>A1</v>
      </c>
      <c r="I43" s="377"/>
      <c r="J43" s="377"/>
      <c r="K43" s="377"/>
      <c r="L43" s="377"/>
      <c r="M43" s="377"/>
      <c r="N43" s="377"/>
      <c r="O43" s="377"/>
      <c r="P43" s="377"/>
      <c r="Q43" s="377"/>
      <c r="R43" s="377"/>
      <c r="S43" s="377"/>
      <c r="T43" s="377"/>
      <c r="U43" s="377"/>
      <c r="V43" s="377"/>
      <c r="W43" s="377"/>
      <c r="X43" s="6"/>
    </row>
    <row r="44" spans="1:24" ht="31.95" customHeight="1" x14ac:dyDescent="0.25">
      <c r="A44" s="377">
        <v>40</v>
      </c>
      <c r="B44" s="15" t="str">
        <f>'Danh sách máy'!B45</f>
        <v>MEC2403035</v>
      </c>
      <c r="C44" s="13" t="str">
        <f>'Danh sách máy'!AC45</f>
        <v>自動露光ライン#5 投入機（Vラック）
Máy đưa bo Vrack</v>
      </c>
      <c r="D44" s="14" t="str">
        <f>'Danh sách máy'!AJ45</f>
        <v>Finish</v>
      </c>
      <c r="E44" s="25">
        <f>'Danh sách máy'!E45</f>
        <v>45595</v>
      </c>
      <c r="F44" s="378" t="str">
        <f>'Danh sách máy'!AK45</f>
        <v>L.Trường</v>
      </c>
      <c r="G44" s="378" t="str">
        <f>'Danh sách máy'!AL48</f>
        <v>V.Anh</v>
      </c>
      <c r="H44" s="378" t="str">
        <f>'Danh sách máy'!AM48</f>
        <v>A1</v>
      </c>
      <c r="I44" s="377"/>
      <c r="J44" s="377"/>
      <c r="K44" s="377"/>
      <c r="L44" s="377"/>
      <c r="M44" s="377"/>
      <c r="N44" s="377"/>
      <c r="O44" s="377"/>
      <c r="P44" s="377"/>
      <c r="Q44" s="377"/>
      <c r="R44" s="377"/>
      <c r="S44" s="377"/>
      <c r="T44" s="377"/>
      <c r="U44" s="377"/>
      <c r="V44" s="377"/>
      <c r="W44" s="377"/>
      <c r="X44" s="6"/>
    </row>
    <row r="45" spans="1:24" ht="31.95" customHeight="1" x14ac:dyDescent="0.25">
      <c r="A45" s="377">
        <v>41</v>
      </c>
      <c r="B45" s="15" t="str">
        <f>'Danh sách máy'!B46</f>
        <v>MEC2403036</v>
      </c>
      <c r="C45" s="13" t="str">
        <f>'Danh sách máy'!AC46</f>
        <v>自動露光ライン#5 ストッカ
Hanger Stock chụp sáng #5</v>
      </c>
      <c r="D45" s="14" t="str">
        <f>'Danh sách máy'!AJ46</f>
        <v>Stop</v>
      </c>
      <c r="E45" s="25">
        <f>'Danh sách máy'!E46</f>
        <v>45595</v>
      </c>
      <c r="F45" s="378" t="str">
        <f>'Danh sách máy'!AK46</f>
        <v>A.Quân</v>
      </c>
      <c r="G45" s="378" t="str">
        <f>'Danh sách máy'!AL49</f>
        <v>T.Quang</v>
      </c>
      <c r="H45" s="378" t="str">
        <f>'Danh sách máy'!AM49</f>
        <v>A1</v>
      </c>
      <c r="I45" s="377"/>
      <c r="J45" s="377"/>
      <c r="K45" s="377"/>
      <c r="L45" s="377"/>
      <c r="M45" s="377"/>
      <c r="N45" s="377"/>
      <c r="O45" s="377"/>
      <c r="P45" s="377"/>
      <c r="Q45" s="377"/>
      <c r="R45" s="377"/>
      <c r="S45" s="377"/>
      <c r="T45" s="377"/>
      <c r="U45" s="377"/>
      <c r="V45" s="377"/>
      <c r="W45" s="377"/>
      <c r="X45" s="6"/>
    </row>
    <row r="46" spans="1:24" ht="31.95" customHeight="1" x14ac:dyDescent="0.25">
      <c r="A46" s="377">
        <v>42</v>
      </c>
      <c r="B46" s="15" t="str">
        <f>'Danh sách máy'!B47</f>
        <v>MEC2403037</v>
      </c>
      <c r="C46" s="13" t="str">
        <f>'Danh sách máy'!AC47</f>
        <v>自動露光ライン#5 受取機（Vラック）
Máy nhận bo Vrack</v>
      </c>
      <c r="D46" s="14" t="str">
        <f>'Danh sách máy'!AJ47</f>
        <v>Finish</v>
      </c>
      <c r="E46" s="25">
        <f>'Danh sách máy'!E47</f>
        <v>45595</v>
      </c>
      <c r="F46" s="378" t="str">
        <f>'Danh sách máy'!AK47</f>
        <v>L.Trường</v>
      </c>
      <c r="G46" s="378" t="str">
        <f>'Danh sách máy'!AL50</f>
        <v>V.Anh</v>
      </c>
      <c r="H46" s="378" t="str">
        <f>'Danh sách máy'!AM50</f>
        <v>A1</v>
      </c>
      <c r="I46" s="377"/>
      <c r="J46" s="377"/>
      <c r="K46" s="377"/>
      <c r="L46" s="377"/>
      <c r="M46" s="377"/>
      <c r="N46" s="377"/>
      <c r="O46" s="377"/>
      <c r="P46" s="377"/>
      <c r="Q46" s="377"/>
      <c r="R46" s="377"/>
      <c r="S46" s="377"/>
      <c r="T46" s="377"/>
      <c r="U46" s="377"/>
      <c r="V46" s="377"/>
      <c r="W46" s="377"/>
      <c r="X46" s="6"/>
    </row>
    <row r="47" spans="1:24" ht="31.95" customHeight="1" x14ac:dyDescent="0.25">
      <c r="A47" s="377">
        <v>43</v>
      </c>
      <c r="B47" s="15" t="str">
        <f>'Danh sách máy'!B48</f>
        <v>MEC2403038</v>
      </c>
      <c r="C47" s="13" t="str">
        <f>'Danh sách máy'!AC48</f>
        <v>自動露光ライン#6 投入機（Vラック）
Máy đưa bo Vrack</v>
      </c>
      <c r="D47" s="14" t="str">
        <f>'Danh sách máy'!AJ48</f>
        <v>Finish</v>
      </c>
      <c r="E47" s="25">
        <f>'Danh sách máy'!E48</f>
        <v>45595</v>
      </c>
      <c r="F47" s="378" t="str">
        <f>'Danh sách máy'!AK48</f>
        <v>L.Trường</v>
      </c>
      <c r="G47" s="378" t="str">
        <f>'Danh sách máy'!AL51</f>
        <v>V.Anh</v>
      </c>
      <c r="H47" s="378" t="str">
        <f>'Danh sách máy'!AM51</f>
        <v>A1</v>
      </c>
      <c r="I47" s="377"/>
      <c r="J47" s="377"/>
      <c r="K47" s="377"/>
      <c r="L47" s="377"/>
      <c r="M47" s="377"/>
      <c r="N47" s="377"/>
      <c r="O47" s="377"/>
      <c r="P47" s="377"/>
      <c r="Q47" s="377"/>
      <c r="R47" s="377"/>
      <c r="S47" s="377"/>
      <c r="T47" s="377"/>
      <c r="U47" s="377"/>
      <c r="V47" s="377"/>
      <c r="W47" s="377"/>
      <c r="X47" s="6"/>
    </row>
    <row r="48" spans="1:24" ht="31.95" customHeight="1" x14ac:dyDescent="0.25">
      <c r="A48" s="377">
        <v>44</v>
      </c>
      <c r="B48" s="15" t="str">
        <f>'Danh sách máy'!B49</f>
        <v>MEC2403039</v>
      </c>
      <c r="C48" s="13" t="str">
        <f>'Danh sách máy'!AC49</f>
        <v>自動露光ライン#6 ストッカ
Hanger Stock chụp sáng #6</v>
      </c>
      <c r="D48" s="14" t="str">
        <f>'Danh sách máy'!AJ49</f>
        <v>Waiting</v>
      </c>
      <c r="E48" s="25">
        <f>'Danh sách máy'!E49</f>
        <v>45595</v>
      </c>
      <c r="F48" s="378" t="str">
        <f>'Danh sách máy'!AK49</f>
        <v>A.Quân</v>
      </c>
      <c r="G48" s="378" t="str">
        <f>'Danh sách máy'!AL52</f>
        <v>H.Tuấn</v>
      </c>
      <c r="H48" s="378" t="str">
        <f>'Danh sách máy'!AM52</f>
        <v>A1</v>
      </c>
      <c r="I48" s="377"/>
      <c r="J48" s="377"/>
      <c r="K48" s="377"/>
      <c r="L48" s="377"/>
      <c r="M48" s="377"/>
      <c r="N48" s="377"/>
      <c r="O48" s="377"/>
      <c r="P48" s="377"/>
      <c r="Q48" s="377"/>
      <c r="R48" s="377"/>
      <c r="S48" s="377"/>
      <c r="T48" s="377"/>
      <c r="U48" s="377"/>
      <c r="V48" s="377"/>
      <c r="W48" s="377"/>
      <c r="X48" s="6"/>
    </row>
    <row r="49" spans="1:24" ht="31.95" customHeight="1" x14ac:dyDescent="0.25">
      <c r="A49" s="377">
        <v>45</v>
      </c>
      <c r="B49" s="15" t="str">
        <f>'Danh sách máy'!B50</f>
        <v>MEC2403040</v>
      </c>
      <c r="C49" s="13" t="str">
        <f>'Danh sách máy'!AC50</f>
        <v>自動露光ライン#6 受取機（Vラック）
Máy nhận bo Vrack</v>
      </c>
      <c r="D49" s="14" t="str">
        <f>'Danh sách máy'!AJ50</f>
        <v>Finish</v>
      </c>
      <c r="E49" s="25">
        <f>'Danh sách máy'!E50</f>
        <v>45595</v>
      </c>
      <c r="F49" s="378" t="str">
        <f>'Danh sách máy'!AK50</f>
        <v>L.Trường</v>
      </c>
      <c r="G49" s="378" t="str">
        <f>'Danh sách máy'!AL53</f>
        <v>H.Tuấn</v>
      </c>
      <c r="H49" s="378">
        <f>'Danh sách máy'!AM53</f>
        <v>0</v>
      </c>
      <c r="I49" s="377"/>
      <c r="J49" s="377"/>
      <c r="K49" s="377"/>
      <c r="L49" s="377"/>
      <c r="M49" s="377"/>
      <c r="N49" s="377"/>
      <c r="O49" s="377"/>
      <c r="P49" s="377"/>
      <c r="Q49" s="377"/>
      <c r="R49" s="377"/>
      <c r="S49" s="377"/>
      <c r="T49" s="377"/>
      <c r="U49" s="377"/>
      <c r="V49" s="377"/>
      <c r="W49" s="377"/>
      <c r="X49" s="6"/>
    </row>
    <row r="50" spans="1:24" ht="31.95" customHeight="1" x14ac:dyDescent="0.25">
      <c r="A50" s="377">
        <v>46</v>
      </c>
      <c r="B50" s="15" t="str">
        <f>'Danh sách máy'!B51</f>
        <v>MEC2403041</v>
      </c>
      <c r="C50" s="13" t="str">
        <f>'Danh sách máy'!AC51</f>
        <v>Máy đưa bo (Loader) V rack TYPE 3 Line DES#4
DES#4　 投入機（Vラック）</v>
      </c>
      <c r="D50" s="14" t="str">
        <f>'Danh sách máy'!AJ51</f>
        <v>Finish</v>
      </c>
      <c r="E50" s="25">
        <f>'Danh sách máy'!E51</f>
        <v>45499</v>
      </c>
      <c r="F50" s="378" t="str">
        <f>'Danh sách máy'!AK51</f>
        <v>L.Trường</v>
      </c>
      <c r="G50" s="378" t="str">
        <f>'Danh sách máy'!AL54</f>
        <v>T.Quang</v>
      </c>
      <c r="H50" s="378" t="str">
        <f>'Danh sách máy'!AM54</f>
        <v>A1</v>
      </c>
      <c r="I50" s="377"/>
      <c r="J50" s="377"/>
      <c r="K50" s="377"/>
      <c r="L50" s="377"/>
      <c r="M50" s="377"/>
      <c r="N50" s="377"/>
      <c r="O50" s="377"/>
      <c r="P50" s="377"/>
      <c r="Q50" s="377"/>
      <c r="R50" s="377"/>
      <c r="S50" s="377"/>
      <c r="T50" s="377"/>
      <c r="U50" s="377"/>
      <c r="V50" s="377"/>
      <c r="W50" s="377"/>
      <c r="X50" s="6"/>
    </row>
    <row r="51" spans="1:24" ht="31.95" customHeight="1" x14ac:dyDescent="0.25">
      <c r="A51" s="377">
        <v>47</v>
      </c>
      <c r="B51" s="15" t="str">
        <f>'Danh sách máy'!B52</f>
        <v>MEC2403042</v>
      </c>
      <c r="C51" s="13" t="str">
        <f>'Danh sách máy'!AC52</f>
        <v>Máy nhận bo (Unloader) V rack TYPE4  có tấm cách bo Line DES#4
DES#4  受取機　Vラック　合紙抜挿</v>
      </c>
      <c r="D51" s="14" t="str">
        <f>'Danh sách máy'!AJ52</f>
        <v>Finish</v>
      </c>
      <c r="E51" s="25">
        <f>'Danh sách máy'!E52</f>
        <v>45498</v>
      </c>
      <c r="F51" s="378" t="str">
        <f>'Danh sách máy'!AK52</f>
        <v>L.Trường</v>
      </c>
      <c r="G51" s="378" t="str">
        <f>'Danh sách máy'!AL55</f>
        <v>H.Khánh</v>
      </c>
      <c r="H51" s="378" t="str">
        <f>'Danh sách máy'!AM55</f>
        <v>A1</v>
      </c>
      <c r="I51" s="377"/>
      <c r="J51" s="377"/>
      <c r="K51" s="377"/>
      <c r="L51" s="377"/>
      <c r="M51" s="377"/>
      <c r="N51" s="377"/>
      <c r="O51" s="377"/>
      <c r="P51" s="377"/>
      <c r="Q51" s="377"/>
      <c r="R51" s="377"/>
      <c r="S51" s="377"/>
      <c r="T51" s="377"/>
      <c r="U51" s="377"/>
      <c r="V51" s="377"/>
      <c r="W51" s="377"/>
      <c r="X51" s="6"/>
    </row>
    <row r="52" spans="1:24" ht="31.95" customHeight="1" x14ac:dyDescent="0.25">
      <c r="A52" s="377">
        <v>48</v>
      </c>
      <c r="B52" s="15" t="str">
        <f>'Danh sách máy'!B53</f>
        <v>MEC2403043</v>
      </c>
      <c r="C52" s="13" t="str">
        <f>'Danh sách máy'!AC53</f>
        <v>InlineAOIライン 投入機（Vラック・合紙）
Máy đưa bo V rack TYPE 4</v>
      </c>
      <c r="D52" s="14" t="str">
        <f>'Danh sách máy'!AJ53</f>
        <v>Stop</v>
      </c>
      <c r="E52" s="25">
        <f>'Danh sách máy'!E53</f>
        <v>0</v>
      </c>
      <c r="F52" s="378" t="str">
        <f>'Danh sách máy'!AK53</f>
        <v>L.Trường</v>
      </c>
      <c r="G52" s="378" t="str">
        <f>'Danh sách máy'!AL56</f>
        <v>T.Quang</v>
      </c>
      <c r="H52" s="378" t="str">
        <f>'Danh sách máy'!AM56</f>
        <v>A1</v>
      </c>
      <c r="I52" s="377"/>
      <c r="J52" s="377"/>
      <c r="K52" s="377"/>
      <c r="L52" s="377"/>
      <c r="M52" s="377"/>
      <c r="N52" s="377"/>
      <c r="O52" s="377"/>
      <c r="P52" s="377"/>
      <c r="Q52" s="377"/>
      <c r="R52" s="377"/>
      <c r="S52" s="377"/>
      <c r="T52" s="377"/>
      <c r="U52" s="377"/>
      <c r="V52" s="377"/>
      <c r="W52" s="377"/>
      <c r="X52" s="6"/>
    </row>
    <row r="53" spans="1:24" ht="31.95" customHeight="1" x14ac:dyDescent="0.25">
      <c r="A53" s="377">
        <v>49</v>
      </c>
      <c r="B53" s="15" t="str">
        <f>'Danh sách máy'!B54</f>
        <v>MEC2403044</v>
      </c>
      <c r="C53" s="13" t="str">
        <f>'Danh sách máy'!AC54</f>
        <v>InlineAOIライン 受取機（平積・合紙）
Máy nhận bo (H rack + IC)</v>
      </c>
      <c r="D53" s="14" t="str">
        <f>'Danh sách máy'!AJ54</f>
        <v>Finish</v>
      </c>
      <c r="E53" s="25">
        <f>'Danh sách máy'!E54</f>
        <v>45625</v>
      </c>
      <c r="F53" s="378" t="str">
        <f>'Danh sách máy'!AK54</f>
        <v>V.Quang</v>
      </c>
      <c r="G53" s="378" t="str">
        <f>'Danh sách máy'!AL57</f>
        <v>H.Khánh</v>
      </c>
      <c r="H53" s="378" t="str">
        <f>'Danh sách máy'!AM57</f>
        <v>A1</v>
      </c>
      <c r="I53" s="377"/>
      <c r="J53" s="377"/>
      <c r="K53" s="377"/>
      <c r="L53" s="377"/>
      <c r="M53" s="377"/>
      <c r="N53" s="377"/>
      <c r="O53" s="377"/>
      <c r="P53" s="377"/>
      <c r="Q53" s="377"/>
      <c r="R53" s="377"/>
      <c r="S53" s="377"/>
      <c r="T53" s="377"/>
      <c r="U53" s="377"/>
      <c r="V53" s="377"/>
      <c r="W53" s="377"/>
      <c r="X53" s="6"/>
    </row>
    <row r="54" spans="1:24" ht="31.95" customHeight="1" x14ac:dyDescent="0.25">
      <c r="A54" s="377">
        <v>50</v>
      </c>
      <c r="B54" s="15" t="str">
        <f>'Danh sách máy'!B55</f>
        <v>MEC2403045</v>
      </c>
      <c r="C54" s="13" t="str">
        <f>'Danh sách máy'!AC55</f>
        <v>自動露光 SR・シルク 投入機
Máy đưa bo Patapata</v>
      </c>
      <c r="D54" s="14" t="str">
        <f>'Danh sách máy'!AJ55</f>
        <v>Finish</v>
      </c>
      <c r="E54" s="25">
        <f>'Danh sách máy'!E55</f>
        <v>45625</v>
      </c>
      <c r="F54" s="378" t="str">
        <f>'Danh sách máy'!AK55</f>
        <v>V.Quang</v>
      </c>
      <c r="G54" s="378" t="str">
        <f>'Danh sách máy'!AL58</f>
        <v>H.Quang</v>
      </c>
      <c r="H54" s="378">
        <f>'Danh sách máy'!AM58</f>
        <v>0</v>
      </c>
      <c r="I54" s="377"/>
      <c r="J54" s="377"/>
      <c r="K54" s="377"/>
      <c r="L54" s="377"/>
      <c r="M54" s="377"/>
      <c r="N54" s="377"/>
      <c r="O54" s="377"/>
      <c r="P54" s="377"/>
      <c r="Q54" s="377"/>
      <c r="R54" s="377"/>
      <c r="S54" s="377"/>
      <c r="T54" s="377"/>
      <c r="U54" s="377"/>
      <c r="V54" s="377"/>
      <c r="W54" s="377"/>
      <c r="X54" s="6"/>
    </row>
    <row r="55" spans="1:24" ht="31.95" customHeight="1" x14ac:dyDescent="0.25">
      <c r="A55" s="377">
        <v>51</v>
      </c>
      <c r="B55" s="15" t="str">
        <f>'Danh sách máy'!B56</f>
        <v>MEC2403046</v>
      </c>
      <c r="C55" s="13" t="e">
        <f>'Danh sách máy'!#REF!</f>
        <v>#REF!</v>
      </c>
      <c r="D55" s="14" t="str">
        <f>'Danh sách máy'!AJ56</f>
        <v>Finish</v>
      </c>
      <c r="E55" s="25">
        <f>'Danh sách máy'!E56</f>
        <v>45595</v>
      </c>
      <c r="F55" s="378" t="str">
        <f>'Danh sách máy'!AK56</f>
        <v>A.Quân</v>
      </c>
      <c r="G55" s="378" t="str">
        <f>'Danh sách máy'!AL59</f>
        <v>H.Quang</v>
      </c>
      <c r="H55" s="378">
        <f>'Danh sách máy'!AM59</f>
        <v>0</v>
      </c>
      <c r="I55" s="377"/>
      <c r="J55" s="377"/>
      <c r="K55" s="377"/>
      <c r="L55" s="377"/>
      <c r="M55" s="377"/>
      <c r="N55" s="377"/>
      <c r="O55" s="377"/>
      <c r="P55" s="377"/>
      <c r="Q55" s="377"/>
      <c r="R55" s="377"/>
      <c r="S55" s="377"/>
      <c r="T55" s="377"/>
      <c r="U55" s="377"/>
      <c r="V55" s="377"/>
      <c r="W55" s="377"/>
      <c r="X55" s="6"/>
    </row>
    <row r="56" spans="1:24" ht="31.95" customHeight="1" x14ac:dyDescent="0.25">
      <c r="A56" s="377">
        <v>52</v>
      </c>
      <c r="B56" s="15" t="str">
        <f>'Danh sách máy'!B57</f>
        <v>MEC2403047</v>
      </c>
      <c r="C56" s="13" t="str">
        <f>'Danh sách máy'!AC56</f>
        <v>自動露光 SR・シルク ストッカー
Hanger stock line Tự động chụp sáng SR</v>
      </c>
      <c r="D56" s="14" t="str">
        <f>'Danh sách máy'!AJ57</f>
        <v>Finish</v>
      </c>
      <c r="E56" s="25">
        <f>'Danh sách máy'!E57</f>
        <v>45625</v>
      </c>
      <c r="F56" s="378" t="str">
        <f>'Danh sách máy'!AK57</f>
        <v>V.Quang</v>
      </c>
      <c r="G56" s="378" t="str">
        <f>'Danh sách máy'!AL60</f>
        <v>V.Anh</v>
      </c>
      <c r="H56" s="378" t="str">
        <f>'Danh sách máy'!AM60</f>
        <v>A1</v>
      </c>
      <c r="I56" s="377"/>
      <c r="J56" s="377"/>
      <c r="K56" s="377"/>
      <c r="L56" s="377"/>
      <c r="M56" s="377"/>
      <c r="N56" s="377"/>
      <c r="O56" s="377"/>
      <c r="P56" s="377"/>
      <c r="Q56" s="377"/>
      <c r="R56" s="377"/>
      <c r="S56" s="377"/>
      <c r="T56" s="377"/>
      <c r="U56" s="377"/>
      <c r="V56" s="377"/>
      <c r="W56" s="377"/>
      <c r="X56" s="6"/>
    </row>
    <row r="57" spans="1:24" ht="31.95" customHeight="1" x14ac:dyDescent="0.25">
      <c r="A57" s="377">
        <v>53</v>
      </c>
      <c r="B57" s="15" t="str">
        <f>'Danh sách máy'!B58</f>
        <v>MEC2403048</v>
      </c>
      <c r="C57" s="13" t="str">
        <f>'Danh sách máy'!AC58</f>
        <v xml:space="preserve">Máy đưa bo nhiều hàng </v>
      </c>
      <c r="D57" s="14" t="str">
        <f>'Danh sách máy'!AJ58</f>
        <v>Stop</v>
      </c>
      <c r="E57" s="25">
        <f>'Danh sách máy'!E58</f>
        <v>0</v>
      </c>
      <c r="F57" s="378" t="str">
        <f>'Danh sách máy'!AK58</f>
        <v>Đ.Thành</v>
      </c>
      <c r="G57" s="378" t="str">
        <f>'Danh sách máy'!AL61</f>
        <v>V.Anh</v>
      </c>
      <c r="H57" s="378" t="str">
        <f>'Danh sách máy'!AM61</f>
        <v>A1</v>
      </c>
      <c r="I57" s="377"/>
      <c r="J57" s="377"/>
      <c r="K57" s="377"/>
      <c r="L57" s="377"/>
      <c r="M57" s="377"/>
      <c r="N57" s="377"/>
      <c r="O57" s="377"/>
      <c r="P57" s="377"/>
      <c r="Q57" s="377"/>
      <c r="R57" s="377"/>
      <c r="S57" s="377"/>
      <c r="T57" s="377"/>
      <c r="U57" s="377"/>
      <c r="V57" s="377"/>
      <c r="W57" s="377"/>
      <c r="X57" s="6"/>
    </row>
    <row r="58" spans="1:24" ht="31.95" customHeight="1" x14ac:dyDescent="0.25">
      <c r="A58" s="377">
        <v>54</v>
      </c>
      <c r="B58" s="15" t="str">
        <f>'Danh sách máy'!B59</f>
        <v>MEC2403049</v>
      </c>
      <c r="C58" s="13" t="str">
        <f>'Danh sách máy'!AC59</f>
        <v xml:space="preserve">Máy đưa bo nhiều hàng </v>
      </c>
      <c r="D58" s="14" t="str">
        <f>'Danh sách máy'!AJ59</f>
        <v>Stop</v>
      </c>
      <c r="E58" s="25">
        <f>'Danh sách máy'!E59</f>
        <v>0</v>
      </c>
      <c r="F58" s="378" t="str">
        <f>'Danh sách máy'!AK59</f>
        <v>T.Tuấn</v>
      </c>
      <c r="G58" s="378" t="str">
        <f>'Danh sách máy'!AL62</f>
        <v>H.Tuấn</v>
      </c>
      <c r="H58" s="378" t="str">
        <f>'Danh sách máy'!AM62</f>
        <v>A1</v>
      </c>
      <c r="I58" s="377"/>
      <c r="J58" s="377"/>
      <c r="K58" s="377"/>
      <c r="L58" s="377"/>
      <c r="M58" s="377"/>
      <c r="N58" s="377"/>
      <c r="O58" s="377"/>
      <c r="P58" s="377"/>
      <c r="Q58" s="377"/>
      <c r="R58" s="377"/>
      <c r="S58" s="377"/>
      <c r="T58" s="377"/>
      <c r="U58" s="377"/>
      <c r="V58" s="377"/>
      <c r="W58" s="377"/>
      <c r="X58" s="6"/>
    </row>
    <row r="59" spans="1:24" ht="31.95" customHeight="1" x14ac:dyDescent="0.25">
      <c r="A59" s="377">
        <v>55</v>
      </c>
      <c r="B59" s="15" t="str">
        <f>'Danh sách máy'!B60</f>
        <v>MEC2403050</v>
      </c>
      <c r="C59" s="13" t="str">
        <f>'Danh sách máy'!AC60</f>
        <v>内層回路　DES♯3 投入機（Vラック）
Máy đưa bo Vrack line Tạo mạch lớp trong DES#3</v>
      </c>
      <c r="D59" s="14" t="str">
        <f>'Danh sách máy'!AJ60</f>
        <v>Finish</v>
      </c>
      <c r="E59" s="25">
        <f>'Danh sách máy'!E60</f>
        <v>45681</v>
      </c>
      <c r="F59" s="378" t="str">
        <f>'Danh sách máy'!AK60</f>
        <v>L.Trường</v>
      </c>
      <c r="G59" s="378" t="str">
        <f>'Danh sách máy'!AL63</f>
        <v>V.Anh</v>
      </c>
      <c r="H59" s="378">
        <f>'Danh sách máy'!AM63</f>
        <v>0</v>
      </c>
      <c r="I59" s="377"/>
      <c r="J59" s="377"/>
      <c r="K59" s="377"/>
      <c r="L59" s="377"/>
      <c r="M59" s="377"/>
      <c r="N59" s="377"/>
      <c r="O59" s="377"/>
      <c r="P59" s="377"/>
      <c r="Q59" s="377"/>
      <c r="R59" s="377"/>
      <c r="S59" s="377"/>
      <c r="T59" s="377"/>
      <c r="U59" s="377"/>
      <c r="V59" s="377"/>
      <c r="W59" s="377"/>
      <c r="X59" s="6"/>
    </row>
    <row r="60" spans="1:24" ht="31.95" customHeight="1" x14ac:dyDescent="0.25">
      <c r="A60" s="377">
        <v>56</v>
      </c>
      <c r="B60" s="15" t="str">
        <f>'Danh sách máy'!B61</f>
        <v>MEC2403051</v>
      </c>
      <c r="C60" s="13" t="str">
        <f>'Danh sách máy'!AC61</f>
        <v>内層回路　DES♯4 投入機（Vラック）
Máy đưa bo Vrack line Tạo mạch lớp trong DES#4</v>
      </c>
      <c r="D60" s="14" t="str">
        <f>'Danh sách máy'!AJ61</f>
        <v>Finish</v>
      </c>
      <c r="E60" s="25">
        <f>'Danh sách máy'!E61</f>
        <v>45681</v>
      </c>
      <c r="F60" s="378" t="str">
        <f>'Danh sách máy'!AK61</f>
        <v>L.Trường</v>
      </c>
      <c r="G60" s="378" t="str">
        <f>'Danh sách máy'!AL64</f>
        <v>H.Tuấn</v>
      </c>
      <c r="H60" s="378" t="str">
        <f>'Danh sách máy'!AM64</f>
        <v>A1</v>
      </c>
      <c r="I60" s="377"/>
      <c r="J60" s="377"/>
      <c r="K60" s="377"/>
      <c r="L60" s="377"/>
      <c r="M60" s="377"/>
      <c r="N60" s="377"/>
      <c r="O60" s="377"/>
      <c r="P60" s="377"/>
      <c r="Q60" s="377"/>
      <c r="R60" s="377"/>
      <c r="S60" s="377"/>
      <c r="T60" s="377"/>
      <c r="U60" s="377"/>
      <c r="V60" s="377"/>
      <c r="W60" s="377"/>
      <c r="X60" s="6"/>
    </row>
    <row r="61" spans="1:24" ht="31.95" customHeight="1" x14ac:dyDescent="0.25">
      <c r="A61" s="377">
        <v>57</v>
      </c>
      <c r="B61" s="15" t="str">
        <f>'Danh sách máy'!B62</f>
        <v>MEC2403052</v>
      </c>
      <c r="C61" s="13" t="str">
        <f>'Danh sách máy'!AC62</f>
        <v>内層回路　DFR 投入機（Vラック・合紙）
Máy đưa bo V rack TYPE 4 line Tạo mạch lớp trong DFR</v>
      </c>
      <c r="D61" s="14" t="str">
        <f>'Danh sách máy'!AJ62</f>
        <v>Waiting</v>
      </c>
      <c r="E61" s="25">
        <f>'Danh sách máy'!E62</f>
        <v>45681</v>
      </c>
      <c r="F61" s="378" t="str">
        <f>'Danh sách máy'!AK62</f>
        <v>L.Trường</v>
      </c>
      <c r="G61" s="378" t="str">
        <f>'Danh sách máy'!AL65</f>
        <v>H.Tuấn</v>
      </c>
      <c r="H61" s="378" t="str">
        <f>'Danh sách máy'!AM65</f>
        <v>A1</v>
      </c>
      <c r="I61" s="377"/>
      <c r="J61" s="377"/>
      <c r="K61" s="377"/>
      <c r="L61" s="377"/>
      <c r="M61" s="377"/>
      <c r="N61" s="377"/>
      <c r="O61" s="377"/>
      <c r="P61" s="377"/>
      <c r="Q61" s="377"/>
      <c r="R61" s="377"/>
      <c r="S61" s="377"/>
      <c r="T61" s="377"/>
      <c r="U61" s="377"/>
      <c r="V61" s="377"/>
      <c r="W61" s="377"/>
      <c r="X61" s="6"/>
    </row>
    <row r="62" spans="1:24" ht="31.95" customHeight="1" x14ac:dyDescent="0.25">
      <c r="A62" s="377">
        <v>58</v>
      </c>
      <c r="B62" s="15" t="str">
        <f>'Danh sách máy'!B63</f>
        <v>MEC2403053</v>
      </c>
      <c r="C62" s="13" t="str">
        <f>'Danh sách máy'!AC63</f>
        <v>受取機（Vラック）内層回路　DFR
Máy nhận bo Vrack line Tạo mạch lớp trong DFR</v>
      </c>
      <c r="D62" s="14" t="str">
        <f>'Danh sách máy'!AJ63</f>
        <v>Stop</v>
      </c>
      <c r="E62" s="25">
        <f>'Danh sách máy'!E63</f>
        <v>45681</v>
      </c>
      <c r="F62" s="378" t="str">
        <f>'Danh sách máy'!AK63</f>
        <v>L.Trường</v>
      </c>
      <c r="G62" s="378" t="str">
        <f>'Danh sách máy'!AL66</f>
        <v>H.Tuấn</v>
      </c>
      <c r="H62" s="378" t="str">
        <f>'Danh sách máy'!AM66</f>
        <v>A1</v>
      </c>
      <c r="I62" s="377"/>
      <c r="J62" s="377"/>
      <c r="K62" s="377"/>
      <c r="L62" s="377"/>
      <c r="M62" s="377"/>
      <c r="N62" s="377"/>
      <c r="O62" s="377"/>
      <c r="P62" s="377"/>
      <c r="Q62" s="377"/>
      <c r="R62" s="377"/>
      <c r="S62" s="377"/>
      <c r="T62" s="377"/>
      <c r="U62" s="377"/>
      <c r="V62" s="377"/>
      <c r="W62" s="377"/>
      <c r="X62" s="6"/>
    </row>
    <row r="63" spans="1:24" ht="31.95" customHeight="1" x14ac:dyDescent="0.25">
      <c r="A63" s="377">
        <v>59</v>
      </c>
      <c r="B63" s="15" t="str">
        <f>'Danh sách máy'!B64</f>
        <v>MEC2403054</v>
      </c>
      <c r="C63" s="13" t="str">
        <f>'Danh sách máy'!AC64</f>
        <v>積層後水洗 受取機（Vラック, 合紙）
Máy nhận bo V rack TYPE 4 line Rửa nước sau ép lớp</v>
      </c>
      <c r="D63" s="14" t="str">
        <f>'Danh sách máy'!AJ64</f>
        <v>Finish</v>
      </c>
      <c r="E63" s="25">
        <f>'Danh sách máy'!E64</f>
        <v>45681</v>
      </c>
      <c r="F63" s="378" t="str">
        <f>'Danh sách máy'!AK64</f>
        <v>L.Trường</v>
      </c>
      <c r="G63" s="378" t="str">
        <f>'Danh sách máy'!AL67</f>
        <v>H.Tuấn</v>
      </c>
      <c r="H63" s="378" t="str">
        <f>'Danh sách máy'!AM67</f>
        <v>A1</v>
      </c>
      <c r="I63" s="377"/>
      <c r="J63" s="377"/>
      <c r="K63" s="377"/>
      <c r="L63" s="377"/>
      <c r="M63" s="377"/>
      <c r="N63" s="377"/>
      <c r="O63" s="377"/>
      <c r="P63" s="377"/>
      <c r="Q63" s="377"/>
      <c r="R63" s="377"/>
      <c r="S63" s="377"/>
      <c r="T63" s="377"/>
      <c r="U63" s="377"/>
      <c r="V63" s="377"/>
      <c r="W63" s="377"/>
      <c r="X63" s="6"/>
    </row>
    <row r="64" spans="1:24" ht="31.95" customHeight="1" x14ac:dyDescent="0.25">
      <c r="A64" s="377">
        <v>60</v>
      </c>
      <c r="B64" s="15" t="str">
        <f>'Danh sách máy'!B65</f>
        <v>MEC2403055</v>
      </c>
      <c r="C64" s="13" t="str">
        <f>'Danh sách máy'!AC65</f>
        <v>積層後水洗  受取機（Vラック, 合紙）
Máy nhận bo V rack TYPE 4 line Rửa nước sau ép lớp</v>
      </c>
      <c r="D64" s="14" t="str">
        <f>'Danh sách máy'!AJ65</f>
        <v>Stop</v>
      </c>
      <c r="E64" s="25">
        <f>'Danh sách máy'!E65</f>
        <v>0</v>
      </c>
      <c r="F64" s="378" t="str">
        <f>'Danh sách máy'!AK65</f>
        <v>L.Trường</v>
      </c>
      <c r="G64" s="378" t="str">
        <f>'Danh sách máy'!AL68</f>
        <v>H.Tuấn</v>
      </c>
      <c r="H64" s="378" t="str">
        <f>'Danh sách máy'!AM68</f>
        <v>A1</v>
      </c>
      <c r="I64" s="377"/>
      <c r="J64" s="377"/>
      <c r="K64" s="377"/>
      <c r="L64" s="377"/>
      <c r="M64" s="377"/>
      <c r="N64" s="377"/>
      <c r="O64" s="377"/>
      <c r="P64" s="377"/>
      <c r="Q64" s="377"/>
      <c r="R64" s="377"/>
      <c r="S64" s="377"/>
      <c r="T64" s="377"/>
      <c r="U64" s="377"/>
      <c r="V64" s="377"/>
      <c r="W64" s="377"/>
      <c r="X64" s="6"/>
    </row>
    <row r="65" spans="1:24" ht="31.95" customHeight="1" x14ac:dyDescent="0.25">
      <c r="A65" s="377">
        <v>61</v>
      </c>
      <c r="B65" s="15" t="str">
        <f>'Danh sách máy'!B66</f>
        <v>MEC2403056</v>
      </c>
      <c r="C65" s="13" t="str">
        <f>'Danh sách máy'!AC66</f>
        <v>積層後水洗 受取機（Vラック, 合紙）
Máy nhận bo V rack TYPE 4 line Rửa nước sau ép lớp</v>
      </c>
      <c r="D65" s="14" t="str">
        <f>'Danh sách máy'!AJ66</f>
        <v>Finish</v>
      </c>
      <c r="E65" s="25">
        <f>'Danh sách máy'!E66</f>
        <v>45681</v>
      </c>
      <c r="F65" s="378" t="str">
        <f>'Danh sách máy'!AK66</f>
        <v>L.Trường</v>
      </c>
      <c r="G65" s="378" t="str">
        <f>'Danh sách máy'!AL69</f>
        <v>H.Tuấn</v>
      </c>
      <c r="H65" s="378">
        <f>'Danh sách máy'!AM69</f>
        <v>0</v>
      </c>
      <c r="I65" s="377"/>
      <c r="J65" s="377"/>
      <c r="K65" s="377"/>
      <c r="L65" s="377"/>
      <c r="M65" s="377"/>
      <c r="N65" s="377"/>
      <c r="O65" s="377"/>
      <c r="P65" s="377"/>
      <c r="Q65" s="377"/>
      <c r="R65" s="377"/>
      <c r="S65" s="377"/>
      <c r="T65" s="377"/>
      <c r="U65" s="377"/>
      <c r="V65" s="377"/>
      <c r="W65" s="377"/>
      <c r="X65" s="6"/>
    </row>
    <row r="66" spans="1:24" ht="31.95" customHeight="1" x14ac:dyDescent="0.25">
      <c r="A66" s="377">
        <v>62</v>
      </c>
      <c r="B66" s="15">
        <f>'Danh sách máy'!B67</f>
        <v>0</v>
      </c>
      <c r="C66" s="13" t="str">
        <f>'Danh sách máy'!AC67</f>
        <v>積層後水洗 受取機（Vラック, 合紙）
Máy nhận bo V rack TYPE 4 line Rửa nước sau ép lớp</v>
      </c>
      <c r="D66" s="14" t="str">
        <f>'Danh sách máy'!AJ67</f>
        <v>Stop</v>
      </c>
      <c r="E66" s="25">
        <f>'Danh sách máy'!E67</f>
        <v>0</v>
      </c>
      <c r="F66" s="378" t="str">
        <f>'Danh sách máy'!AK67</f>
        <v>L.Trường</v>
      </c>
      <c r="G66" s="378" t="str">
        <f>'Danh sách máy'!AL70</f>
        <v>H.Tuấn</v>
      </c>
      <c r="H66" s="378" t="str">
        <f>'Danh sách máy'!AM70</f>
        <v>A1</v>
      </c>
      <c r="I66" s="377"/>
      <c r="J66" s="377"/>
      <c r="K66" s="377"/>
      <c r="L66" s="377"/>
      <c r="M66" s="377"/>
      <c r="N66" s="377"/>
      <c r="O66" s="377"/>
      <c r="P66" s="377"/>
      <c r="Q66" s="377"/>
      <c r="R66" s="377"/>
      <c r="S66" s="377"/>
      <c r="T66" s="377"/>
      <c r="U66" s="377"/>
      <c r="V66" s="377"/>
      <c r="W66" s="377"/>
      <c r="X66" s="6"/>
    </row>
    <row r="67" spans="1:24" ht="31.95" customHeight="1" x14ac:dyDescent="0.25">
      <c r="A67" s="377">
        <v>63</v>
      </c>
      <c r="B67" s="15" t="str">
        <f>'Danh sách máy'!B68</f>
        <v>MEC2403058</v>
      </c>
      <c r="C67" s="13" t="str">
        <f>'Danh sách máy'!AC68</f>
        <v>積層後水洗 受取機（Vラック, 合紙）
Máy nhận bo V rack TYPE 4 line Rửa nước sau ép lớp</v>
      </c>
      <c r="D67" s="14" t="str">
        <f>'Danh sách máy'!AJ68</f>
        <v>Waiting</v>
      </c>
      <c r="E67" s="25">
        <f>'Danh sách máy'!E68</f>
        <v>45681</v>
      </c>
      <c r="F67" s="378" t="str">
        <f>'Danh sách máy'!AK68</f>
        <v>L.Trường</v>
      </c>
      <c r="G67" s="378" t="str">
        <f>'Danh sách máy'!AL71</f>
        <v>H.Tuấn</v>
      </c>
      <c r="H67" s="378" t="str">
        <f>'Danh sách máy'!AM71</f>
        <v>A1</v>
      </c>
      <c r="I67" s="377"/>
      <c r="J67" s="377"/>
      <c r="K67" s="377"/>
      <c r="L67" s="377"/>
      <c r="M67" s="377"/>
      <c r="N67" s="377"/>
      <c r="O67" s="377"/>
      <c r="P67" s="377"/>
      <c r="Q67" s="377"/>
      <c r="R67" s="377"/>
      <c r="S67" s="377"/>
      <c r="T67" s="377"/>
      <c r="U67" s="377"/>
      <c r="V67" s="377"/>
      <c r="W67" s="377"/>
      <c r="X67" s="6"/>
    </row>
    <row r="68" spans="1:24" ht="31.95" customHeight="1" x14ac:dyDescent="0.25">
      <c r="A68" s="377">
        <v>64</v>
      </c>
      <c r="B68" s="15" t="str">
        <f>'Danh sách máy'!B69</f>
        <v>MEC2403059</v>
      </c>
      <c r="C68" s="13" t="str">
        <f>'Danh sách máy'!AC69</f>
        <v>積層後水洗 受取機（Vラック, 合紙）
Máy nhận bo V rack TYPE 4 line Rửa nước sau ép lớp</v>
      </c>
      <c r="D68" s="14" t="str">
        <f>'Danh sách máy'!AJ69</f>
        <v>Stop</v>
      </c>
      <c r="E68" s="25">
        <f>'Danh sách máy'!E69</f>
        <v>0</v>
      </c>
      <c r="F68" s="378" t="str">
        <f>'Danh sách máy'!AK69</f>
        <v>L.Trường</v>
      </c>
      <c r="G68" s="378" t="str">
        <f>'Danh sách máy'!AL72</f>
        <v>V.Anh</v>
      </c>
      <c r="H68" s="378" t="str">
        <f>'Danh sách máy'!AM72</f>
        <v>A1</v>
      </c>
      <c r="I68" s="377"/>
      <c r="J68" s="377"/>
      <c r="K68" s="377"/>
      <c r="L68" s="377"/>
      <c r="M68" s="377"/>
      <c r="N68" s="377"/>
      <c r="O68" s="377"/>
      <c r="P68" s="377"/>
      <c r="Q68" s="377"/>
      <c r="R68" s="377"/>
      <c r="S68" s="377"/>
      <c r="T68" s="377"/>
      <c r="U68" s="377"/>
      <c r="V68" s="377"/>
      <c r="W68" s="377"/>
      <c r="X68" s="6"/>
    </row>
    <row r="69" spans="1:24" ht="31.95" customHeight="1" x14ac:dyDescent="0.25">
      <c r="A69" s="377">
        <v>65</v>
      </c>
      <c r="B69" s="15" t="str">
        <f>'Danh sách máy'!B70</f>
        <v>MEC2403060</v>
      </c>
      <c r="C69" s="13" t="str">
        <f>'Danh sách máy'!AC70</f>
        <v>積層後水洗 受取機（Vラック, 合紙）
Máy nhận bo V rack TYPE 4  line Rửa nước sau ép lớp</v>
      </c>
      <c r="D69" s="14" t="str">
        <f>'Danh sách máy'!AJ70</f>
        <v>Finish</v>
      </c>
      <c r="E69" s="25">
        <f>'Danh sách máy'!E70</f>
        <v>45681</v>
      </c>
      <c r="F69" s="378" t="str">
        <f>'Danh sách máy'!AK70</f>
        <v>L.Trường</v>
      </c>
      <c r="G69" s="378" t="str">
        <f>'Danh sách máy'!AL73</f>
        <v>V.Lâm</v>
      </c>
      <c r="H69" s="378">
        <f>'Danh sách máy'!AM73</f>
        <v>0</v>
      </c>
      <c r="I69" s="377"/>
      <c r="J69" s="377"/>
      <c r="K69" s="377"/>
      <c r="L69" s="377"/>
      <c r="M69" s="377"/>
      <c r="N69" s="377"/>
      <c r="O69" s="377"/>
      <c r="P69" s="377"/>
      <c r="Q69" s="377"/>
      <c r="R69" s="377"/>
      <c r="S69" s="377"/>
      <c r="T69" s="377"/>
      <c r="U69" s="377"/>
      <c r="V69" s="377"/>
      <c r="W69" s="377"/>
      <c r="X69" s="6"/>
    </row>
    <row r="70" spans="1:24" ht="31.95" customHeight="1" x14ac:dyDescent="0.25">
      <c r="A70" s="377">
        <v>66</v>
      </c>
      <c r="B70" s="15" t="str">
        <f>'Danh sách máy'!B71</f>
        <v>MEC2403061</v>
      </c>
      <c r="C70" s="13" t="str">
        <f>'Danh sách máy'!AC71</f>
        <v>積層後水洗 受取機（Vラック, 合紙）
Máy nhận bo V rack TYPE 4 line Rửa nước sau ép lớp</v>
      </c>
      <c r="D70" s="14" t="str">
        <f>'Danh sách máy'!AJ71</f>
        <v>Finish</v>
      </c>
      <c r="E70" s="25">
        <f>'Danh sách máy'!E71</f>
        <v>45656</v>
      </c>
      <c r="F70" s="378" t="str">
        <f>'Danh sách máy'!AK71</f>
        <v>L.Trường</v>
      </c>
      <c r="G70" s="378" t="str">
        <f>'Danh sách máy'!AL74</f>
        <v>H.Tuấn</v>
      </c>
      <c r="H70" s="378" t="str">
        <f>'Danh sách máy'!AM74</f>
        <v>A1</v>
      </c>
      <c r="I70" s="377"/>
      <c r="J70" s="377"/>
      <c r="K70" s="377"/>
      <c r="L70" s="377"/>
      <c r="M70" s="377"/>
      <c r="N70" s="377"/>
      <c r="O70" s="377"/>
      <c r="P70" s="377"/>
      <c r="Q70" s="377"/>
      <c r="R70" s="377"/>
      <c r="S70" s="377"/>
      <c r="T70" s="377"/>
      <c r="U70" s="377"/>
      <c r="V70" s="377"/>
      <c r="W70" s="377"/>
      <c r="X70" s="6"/>
    </row>
    <row r="71" spans="1:24" ht="31.95" customHeight="1" x14ac:dyDescent="0.25">
      <c r="A71" s="377">
        <v>67</v>
      </c>
      <c r="B71" s="15" t="str">
        <f>'Danh sách máy'!B72</f>
        <v>MEC2403062</v>
      </c>
      <c r="C71" s="13" t="str">
        <f>'Danh sách máy'!AC72</f>
        <v>第3工場積層後水洗 投入機（Vラック）
Máy đưa bo Vrack line Rửa nước sau ép lớp Fact.3</v>
      </c>
      <c r="D71" s="14" t="str">
        <f>'Danh sách máy'!AJ72</f>
        <v>Finish</v>
      </c>
      <c r="E71" s="25">
        <f>'Danh sách máy'!E72</f>
        <v>45656</v>
      </c>
      <c r="F71" s="378" t="str">
        <f>'Danh sách máy'!AK72</f>
        <v>L.Trường</v>
      </c>
      <c r="G71" s="378" t="str">
        <f>'Danh sách máy'!AL75</f>
        <v>H.Tuấn</v>
      </c>
      <c r="H71" s="378" t="str">
        <f>'Danh sách máy'!AM75</f>
        <v>A1</v>
      </c>
      <c r="I71" s="377"/>
      <c r="J71" s="377"/>
      <c r="K71" s="377"/>
      <c r="L71" s="377"/>
      <c r="M71" s="377"/>
      <c r="N71" s="377"/>
      <c r="O71" s="377"/>
      <c r="P71" s="377"/>
      <c r="Q71" s="377"/>
      <c r="R71" s="377"/>
      <c r="S71" s="377"/>
      <c r="T71" s="377"/>
      <c r="U71" s="377"/>
      <c r="V71" s="377"/>
      <c r="W71" s="377"/>
      <c r="X71" s="6"/>
    </row>
    <row r="72" spans="1:24" ht="31.95" customHeight="1" x14ac:dyDescent="0.25">
      <c r="A72" s="377">
        <v>68</v>
      </c>
      <c r="B72" s="15" t="str">
        <f>'Danh sách máy'!B73</f>
        <v>MEC2403063</v>
      </c>
      <c r="C72" s="13" t="str">
        <f>'Danh sách máy'!AC73</f>
        <v>自動スタック機 投入合紙抜取改造
Cải tiến thêm cụm gắp IC máy NC stacking</v>
      </c>
      <c r="D72" s="14" t="str">
        <f>'Danh sách máy'!AJ73</f>
        <v>Stop</v>
      </c>
      <c r="E72" s="25">
        <f>'Danh sách máy'!E73</f>
        <v>0</v>
      </c>
      <c r="F72" s="378" t="str">
        <f>'Danh sách máy'!AK73</f>
        <v>X.Thành</v>
      </c>
      <c r="G72" s="378" t="str">
        <f>'Danh sách máy'!AL76</f>
        <v>H.Tuấn</v>
      </c>
      <c r="H72" s="378" t="str">
        <f>'Danh sách máy'!AM76</f>
        <v>A1</v>
      </c>
      <c r="I72" s="377"/>
      <c r="J72" s="377"/>
      <c r="K72" s="377"/>
      <c r="L72" s="377"/>
      <c r="M72" s="377"/>
      <c r="N72" s="377"/>
      <c r="O72" s="377"/>
      <c r="P72" s="377"/>
      <c r="Q72" s="377"/>
      <c r="R72" s="377"/>
      <c r="S72" s="377"/>
      <c r="T72" s="377"/>
      <c r="U72" s="377"/>
      <c r="V72" s="377"/>
      <c r="W72" s="377"/>
      <c r="X72" s="6"/>
    </row>
    <row r="73" spans="1:24" ht="31.95" customHeight="1" x14ac:dyDescent="0.25">
      <c r="A73" s="377">
        <v>69</v>
      </c>
      <c r="B73" s="15" t="str">
        <f>'Danh sách máy'!B74</f>
        <v>MEC2403064</v>
      </c>
      <c r="C73" s="13" t="str">
        <f>'Danh sách máy'!AC74</f>
        <v>穴洗浄後 受取機（Vラック, 合紙）
Máy nhận bo V rack TYPE 4</v>
      </c>
      <c r="D73" s="14" t="str">
        <f>'Danh sách máy'!AJ74</f>
        <v>finish</v>
      </c>
      <c r="E73" s="25">
        <f>'Danh sách máy'!E74</f>
        <v>45681</v>
      </c>
      <c r="F73" s="378" t="str">
        <f>'Danh sách máy'!AK74</f>
        <v>L.Trường</v>
      </c>
      <c r="G73" s="378" t="str">
        <f>'Danh sách máy'!AL77</f>
        <v>H.Tuấn</v>
      </c>
      <c r="H73" s="378" t="str">
        <f>'Danh sách máy'!AM77</f>
        <v>A1</v>
      </c>
      <c r="I73" s="377"/>
      <c r="J73" s="377"/>
      <c r="K73" s="377"/>
      <c r="L73" s="377"/>
      <c r="M73" s="377"/>
      <c r="N73" s="377"/>
      <c r="O73" s="377"/>
      <c r="P73" s="377"/>
      <c r="Q73" s="377"/>
      <c r="R73" s="377"/>
      <c r="S73" s="377"/>
      <c r="T73" s="377"/>
      <c r="U73" s="377"/>
      <c r="V73" s="377"/>
      <c r="W73" s="377"/>
      <c r="X73" s="6"/>
    </row>
    <row r="74" spans="1:24" ht="31.95" customHeight="1" x14ac:dyDescent="0.25">
      <c r="A74" s="377">
        <v>70</v>
      </c>
      <c r="B74" s="15" t="str">
        <f>'Danh sách máy'!B75</f>
        <v>MEC2403065</v>
      </c>
      <c r="C74" s="13" t="str">
        <f>'Danh sách máy'!AC75</f>
        <v>穴洗浄後 受取機（Vラック, 合紙）
Máy nhận bo V rack TYPE 4</v>
      </c>
      <c r="D74" s="14" t="str">
        <f>'Danh sách máy'!AJ75</f>
        <v>Waiting</v>
      </c>
      <c r="E74" s="25">
        <f>'Danh sách máy'!E75</f>
        <v>45681</v>
      </c>
      <c r="F74" s="378" t="str">
        <f>'Danh sách máy'!AK75</f>
        <v>L.Trường</v>
      </c>
      <c r="G74" s="378" t="str">
        <f>'Danh sách máy'!AL78</f>
        <v>H.Tuấn</v>
      </c>
      <c r="H74" s="378" t="str">
        <f>'Danh sách máy'!AM78</f>
        <v>A1</v>
      </c>
      <c r="I74" s="377"/>
      <c r="J74" s="377"/>
      <c r="K74" s="377"/>
      <c r="L74" s="377"/>
      <c r="M74" s="377"/>
      <c r="N74" s="377"/>
      <c r="O74" s="377"/>
      <c r="P74" s="377"/>
      <c r="Q74" s="377"/>
      <c r="R74" s="377"/>
      <c r="S74" s="377"/>
      <c r="T74" s="377"/>
      <c r="U74" s="377"/>
      <c r="V74" s="377"/>
      <c r="W74" s="377"/>
      <c r="X74" s="6"/>
    </row>
    <row r="75" spans="1:24" ht="31.95" customHeight="1" x14ac:dyDescent="0.25">
      <c r="A75" s="377">
        <v>71</v>
      </c>
      <c r="B75" s="15">
        <f>'Danh sách máy'!B76</f>
        <v>0</v>
      </c>
      <c r="C75" s="13" t="str">
        <f>'Danh sách máy'!AC76</f>
        <v>穴洗浄後 受取機（Vラック, 合紙）
Máy nhận bo V rack TYPE 4</v>
      </c>
      <c r="D75" s="14" t="str">
        <f>'Danh sách máy'!AJ76</f>
        <v>Stop</v>
      </c>
      <c r="E75" s="25">
        <f>'Danh sách máy'!E76</f>
        <v>0</v>
      </c>
      <c r="F75" s="378" t="str">
        <f>'Danh sách máy'!AK76</f>
        <v>L.Trường</v>
      </c>
      <c r="G75" s="378" t="str">
        <f>'Danh sách máy'!AL79</f>
        <v>H.Tuấn</v>
      </c>
      <c r="H75" s="378" t="str">
        <f>'Danh sách máy'!AM79</f>
        <v>A1</v>
      </c>
      <c r="I75" s="377"/>
      <c r="J75" s="377"/>
      <c r="K75" s="377"/>
      <c r="L75" s="377"/>
      <c r="M75" s="377"/>
      <c r="N75" s="377"/>
      <c r="O75" s="377"/>
      <c r="P75" s="377"/>
      <c r="Q75" s="377"/>
      <c r="R75" s="377"/>
      <c r="S75" s="377"/>
      <c r="T75" s="377"/>
      <c r="U75" s="377"/>
      <c r="V75" s="377"/>
      <c r="W75" s="377"/>
      <c r="X75" s="6"/>
    </row>
    <row r="76" spans="1:24" ht="31.95" customHeight="1" x14ac:dyDescent="0.25">
      <c r="A76" s="377">
        <v>72</v>
      </c>
      <c r="B76" s="15" t="str">
        <f>'Danh sách máy'!B77</f>
        <v>MEC2403067</v>
      </c>
      <c r="C76" s="13" t="str">
        <f>'Danh sách máy'!AC77</f>
        <v>穴洗浄後 受取機（Vラック, 合紙）
Máy nhận bo V rack TYPE 4</v>
      </c>
      <c r="D76" s="14" t="str">
        <f>'Danh sách máy'!AJ77</f>
        <v>Stop</v>
      </c>
      <c r="E76" s="25">
        <f>'Danh sách máy'!E77</f>
        <v>45681</v>
      </c>
      <c r="F76" s="378" t="str">
        <f>'Danh sách máy'!AK77</f>
        <v>L.Trường</v>
      </c>
      <c r="G76" s="378" t="str">
        <f>'Danh sách máy'!AL80</f>
        <v>H.Tuấn</v>
      </c>
      <c r="H76" s="378" t="str">
        <f>'Danh sách máy'!AM80</f>
        <v>A1</v>
      </c>
      <c r="I76" s="377"/>
      <c r="J76" s="377"/>
      <c r="K76" s="377"/>
      <c r="L76" s="377"/>
      <c r="M76" s="377"/>
      <c r="N76" s="377"/>
      <c r="O76" s="377"/>
      <c r="P76" s="377"/>
      <c r="Q76" s="377"/>
      <c r="R76" s="377"/>
      <c r="S76" s="377"/>
      <c r="T76" s="377"/>
      <c r="U76" s="377"/>
      <c r="V76" s="377"/>
      <c r="W76" s="377"/>
      <c r="X76" s="6"/>
    </row>
    <row r="77" spans="1:24" ht="31.95" customHeight="1" x14ac:dyDescent="0.25">
      <c r="A77" s="377">
        <v>73</v>
      </c>
      <c r="B77" s="15" t="str">
        <f>'Danh sách máy'!B78</f>
        <v>MEC2403068</v>
      </c>
      <c r="C77" s="13" t="str">
        <f>'Danh sách máy'!AC78</f>
        <v>穴洗浄後 受取機（Vラック, 合紙）
Máy nhận bo V rack TYPE 4</v>
      </c>
      <c r="D77" s="14" t="str">
        <f>'Danh sách máy'!AJ78</f>
        <v>Stop</v>
      </c>
      <c r="E77" s="25">
        <f>'Danh sách máy'!E78</f>
        <v>0</v>
      </c>
      <c r="F77" s="378" t="str">
        <f>'Danh sách máy'!AK78</f>
        <v>L.Trường</v>
      </c>
      <c r="G77" s="378" t="str">
        <f>'Danh sách máy'!AL81</f>
        <v>H.Tuấn</v>
      </c>
      <c r="H77" s="378" t="str">
        <f>'Danh sách máy'!AM81</f>
        <v>A1</v>
      </c>
      <c r="I77" s="377"/>
      <c r="J77" s="377"/>
      <c r="K77" s="377"/>
      <c r="L77" s="377"/>
      <c r="M77" s="377"/>
      <c r="N77" s="377"/>
      <c r="O77" s="377"/>
      <c r="P77" s="377"/>
      <c r="Q77" s="377"/>
      <c r="R77" s="377"/>
      <c r="S77" s="377"/>
      <c r="T77" s="377"/>
      <c r="U77" s="377"/>
      <c r="V77" s="377"/>
      <c r="W77" s="377"/>
      <c r="X77" s="6"/>
    </row>
    <row r="78" spans="1:24" ht="31.95" customHeight="1" x14ac:dyDescent="0.25">
      <c r="A78" s="377">
        <v>74</v>
      </c>
      <c r="B78" s="15" t="str">
        <f>'Danh sách máy'!B79</f>
        <v>MEC2403069</v>
      </c>
      <c r="C78" s="13" t="str">
        <f>'Danh sách máy'!AC79</f>
        <v>銅めっき酸洗 受取機（Vラック, 合紙）
Máy nhận bo V rack TYPE 4 line DES</v>
      </c>
      <c r="D78" s="14" t="str">
        <f>'Danh sách máy'!AJ79</f>
        <v>Finish</v>
      </c>
      <c r="E78" s="25">
        <f>'Danh sách máy'!E79</f>
        <v>45681</v>
      </c>
      <c r="F78" s="378" t="str">
        <f>'Danh sách máy'!AK79</f>
        <v>L.Trường</v>
      </c>
      <c r="G78" s="378" t="str">
        <f>'Danh sách máy'!AL82</f>
        <v>H.Tuấn</v>
      </c>
      <c r="H78" s="378" t="str">
        <f>'Danh sách máy'!AM82</f>
        <v>A1</v>
      </c>
      <c r="I78" s="377"/>
      <c r="J78" s="377"/>
      <c r="K78" s="377"/>
      <c r="L78" s="377"/>
      <c r="M78" s="377"/>
      <c r="N78" s="377"/>
      <c r="O78" s="377"/>
      <c r="P78" s="377"/>
      <c r="Q78" s="377"/>
      <c r="R78" s="377"/>
      <c r="S78" s="377"/>
      <c r="T78" s="377"/>
      <c r="U78" s="377"/>
      <c r="V78" s="377"/>
      <c r="W78" s="377"/>
      <c r="X78" s="6"/>
    </row>
    <row r="79" spans="1:24" ht="31.95" customHeight="1" x14ac:dyDescent="0.25">
      <c r="A79" s="377">
        <v>75</v>
      </c>
      <c r="B79" s="15" t="str">
        <f>'Danh sách máy'!B80</f>
        <v>MEC2403070</v>
      </c>
      <c r="C79" s="13" t="str">
        <f>'Danh sách máy'!AC80</f>
        <v>ガラスエッチ 投入機（Vラック・合紙）
Máy đưa bo V rack TYPE 4 line Glass Etching</v>
      </c>
      <c r="D79" s="14" t="str">
        <f>'Danh sách máy'!AJ80</f>
        <v>Waiting</v>
      </c>
      <c r="E79" s="25">
        <f>'Danh sách máy'!E80</f>
        <v>45681</v>
      </c>
      <c r="F79" s="378" t="str">
        <f>'Danh sách máy'!AK80</f>
        <v>L.Trường</v>
      </c>
      <c r="G79" s="378" t="str">
        <f>'Danh sách máy'!AL83</f>
        <v>H.Tuấn</v>
      </c>
      <c r="H79" s="378" t="str">
        <f>'Danh sách máy'!AM83</f>
        <v>A1</v>
      </c>
      <c r="I79" s="377"/>
      <c r="J79" s="377"/>
      <c r="K79" s="377"/>
      <c r="L79" s="377"/>
      <c r="M79" s="377"/>
      <c r="N79" s="377"/>
      <c r="O79" s="377"/>
      <c r="P79" s="377"/>
      <c r="Q79" s="377"/>
      <c r="R79" s="377"/>
      <c r="S79" s="377"/>
      <c r="T79" s="377"/>
      <c r="U79" s="377"/>
      <c r="V79" s="377"/>
      <c r="W79" s="377"/>
      <c r="X79" s="6"/>
    </row>
    <row r="80" spans="1:24" ht="31.95" customHeight="1" x14ac:dyDescent="0.25">
      <c r="A80" s="377">
        <v>76</v>
      </c>
      <c r="B80" s="15" t="str">
        <f>'Danh sách máy'!B81</f>
        <v>MEC2403071</v>
      </c>
      <c r="C80" s="13" t="str">
        <f>'Danh sách máy'!AC81</f>
        <v>ガラスエッチ 受取機（Vラック, 合紙）
Máy nhận bo V rack TYPE 4 line Glass Etching</v>
      </c>
      <c r="D80" s="14" t="str">
        <f>'Danh sách máy'!AJ81</f>
        <v>Finish</v>
      </c>
      <c r="E80" s="25">
        <f>'Danh sách máy'!E81</f>
        <v>45656</v>
      </c>
      <c r="F80" s="378" t="str">
        <f>'Danh sách máy'!AK81</f>
        <v>L.Trường</v>
      </c>
      <c r="G80" s="378" t="str">
        <f>'Danh sách máy'!AL84</f>
        <v>H.Tuấn</v>
      </c>
      <c r="H80" s="378" t="str">
        <f>'Danh sách máy'!AM84</f>
        <v>A1</v>
      </c>
      <c r="I80" s="377"/>
      <c r="J80" s="377"/>
      <c r="K80" s="377"/>
      <c r="L80" s="377"/>
      <c r="M80" s="377"/>
      <c r="N80" s="377"/>
      <c r="O80" s="377"/>
      <c r="P80" s="377"/>
      <c r="Q80" s="377"/>
      <c r="R80" s="377"/>
      <c r="S80" s="377"/>
      <c r="T80" s="377"/>
      <c r="U80" s="377"/>
      <c r="V80" s="377"/>
      <c r="W80" s="377"/>
      <c r="X80" s="6"/>
    </row>
    <row r="81" spans="1:24" ht="31.95" customHeight="1" x14ac:dyDescent="0.25">
      <c r="A81" s="377">
        <v>77</v>
      </c>
      <c r="B81" s="15">
        <f>'Danh sách máy'!B82</f>
        <v>0</v>
      </c>
      <c r="C81" s="13" t="str">
        <f>'Danh sách máy'!AC82</f>
        <v>ガラスエッチ 投入機（Vラック・合紙）
Máy đưa bo V rack TYPE 4 line Glass Etching</v>
      </c>
      <c r="D81" s="14" t="str">
        <f>'Danh sách máy'!AJ82</f>
        <v>Stop</v>
      </c>
      <c r="E81" s="25">
        <f>'Danh sách máy'!E82</f>
        <v>45681</v>
      </c>
      <c r="F81" s="378" t="str">
        <f>'Danh sách máy'!AK82</f>
        <v>L.Trường</v>
      </c>
      <c r="G81" s="378" t="str">
        <f>'Danh sách máy'!AL85</f>
        <v>H.Tuấn</v>
      </c>
      <c r="H81" s="378" t="str">
        <f>'Danh sách máy'!AM85</f>
        <v>A1</v>
      </c>
      <c r="I81" s="377"/>
      <c r="J81" s="377"/>
      <c r="K81" s="377"/>
      <c r="L81" s="377"/>
      <c r="M81" s="377"/>
      <c r="N81" s="377"/>
      <c r="O81" s="377"/>
      <c r="P81" s="377"/>
      <c r="Q81" s="377"/>
      <c r="R81" s="377"/>
      <c r="S81" s="377"/>
      <c r="T81" s="377"/>
      <c r="U81" s="377"/>
      <c r="V81" s="377"/>
      <c r="W81" s="377"/>
      <c r="X81" s="6"/>
    </row>
    <row r="82" spans="1:24" ht="31.95" customHeight="1" x14ac:dyDescent="0.25">
      <c r="A82" s="377">
        <v>78</v>
      </c>
      <c r="B82" s="15" t="str">
        <f>'Danh sách máy'!B83</f>
        <v>MEC2403073</v>
      </c>
      <c r="C82" s="13" t="str">
        <f>'Danh sách máy'!AC83</f>
        <v>ガラスエッチ 受取機（Vラック, 合紙）
Máy nhận bo V rack TYPE 4 line Glass Etching</v>
      </c>
      <c r="D82" s="14" t="str">
        <f>'Danh sách máy'!AJ83</f>
        <v>Finish</v>
      </c>
      <c r="E82" s="25">
        <f>'Danh sách máy'!E83</f>
        <v>45656</v>
      </c>
      <c r="F82" s="378" t="str">
        <f>'Danh sách máy'!AK83</f>
        <v>L.Trường</v>
      </c>
      <c r="G82" s="378" t="str">
        <f>'Danh sách máy'!AL86</f>
        <v>H.Tuấn</v>
      </c>
      <c r="H82" s="378" t="str">
        <f>'Danh sách máy'!AM86</f>
        <v>A1</v>
      </c>
      <c r="I82" s="377"/>
      <c r="J82" s="377"/>
      <c r="K82" s="377"/>
      <c r="L82" s="377"/>
      <c r="M82" s="377"/>
      <c r="N82" s="377"/>
      <c r="O82" s="377"/>
      <c r="P82" s="377"/>
      <c r="Q82" s="377"/>
      <c r="R82" s="377"/>
      <c r="S82" s="377"/>
      <c r="T82" s="377"/>
      <c r="U82" s="377"/>
      <c r="V82" s="377"/>
      <c r="W82" s="377"/>
      <c r="X82" s="6"/>
    </row>
    <row r="83" spans="1:24" ht="31.95" customHeight="1" x14ac:dyDescent="0.25">
      <c r="A83" s="377">
        <v>79</v>
      </c>
      <c r="B83" s="15" t="str">
        <f>'Danh sách máy'!B84</f>
        <v>MEC2403074</v>
      </c>
      <c r="C83" s="13" t="str">
        <f>'Danh sách máy'!AC84</f>
        <v>ﾌﾗｯｼｭｴｯﾁ 投入機（Vラック・合紙）
Máy đưa bo V rack TYPE 4 line Flash Etching</v>
      </c>
      <c r="D83" s="14" t="str">
        <f>'Danh sách máy'!AJ84</f>
        <v>Finish</v>
      </c>
      <c r="E83" s="25">
        <f>'Danh sách máy'!E84</f>
        <v>45681</v>
      </c>
      <c r="F83" s="378" t="str">
        <f>'Danh sách máy'!AK84</f>
        <v>L.Trường</v>
      </c>
      <c r="G83" s="378" t="str">
        <f>'Danh sách máy'!AL87</f>
        <v>H.Tuấn</v>
      </c>
      <c r="H83" s="378" t="str">
        <f>'Danh sách máy'!AM87</f>
        <v>A1</v>
      </c>
      <c r="I83" s="377"/>
      <c r="J83" s="377"/>
      <c r="K83" s="377"/>
      <c r="L83" s="377"/>
      <c r="M83" s="377"/>
      <c r="N83" s="377"/>
      <c r="O83" s="377"/>
      <c r="P83" s="377"/>
      <c r="Q83" s="377"/>
      <c r="R83" s="377"/>
      <c r="S83" s="377"/>
      <c r="T83" s="377"/>
      <c r="U83" s="377"/>
      <c r="V83" s="377"/>
      <c r="W83" s="377"/>
      <c r="X83" s="6"/>
    </row>
    <row r="84" spans="1:24" ht="31.95" customHeight="1" x14ac:dyDescent="0.25">
      <c r="A84" s="377">
        <v>80</v>
      </c>
      <c r="B84" s="15" t="str">
        <f>'Danh sách máy'!B85</f>
        <v>MEC2403075</v>
      </c>
      <c r="C84" s="13" t="str">
        <f>'Danh sách máy'!AC85</f>
        <v>ﾌﾗｯｼｭｴｯﾁ 受取機（Vラック, 合紙）
Máy nhận bo V rack TYPE 4 Flash Etching</v>
      </c>
      <c r="D84" s="14" t="str">
        <f>'Danh sách máy'!AJ85</f>
        <v>Finish</v>
      </c>
      <c r="E84" s="25">
        <f>'Danh sách máy'!E85</f>
        <v>45681</v>
      </c>
      <c r="F84" s="378" t="str">
        <f>'Danh sách máy'!AK85</f>
        <v>L.Trường</v>
      </c>
      <c r="G84" s="378" t="str">
        <f>'Danh sách máy'!AL88</f>
        <v>H.Tuấn</v>
      </c>
      <c r="H84" s="378" t="str">
        <f>'Danh sách máy'!AM88</f>
        <v>A1</v>
      </c>
      <c r="I84" s="377"/>
      <c r="J84" s="377"/>
      <c r="K84" s="377"/>
      <c r="L84" s="377"/>
      <c r="M84" s="377"/>
      <c r="N84" s="377"/>
      <c r="O84" s="377"/>
      <c r="P84" s="377"/>
      <c r="Q84" s="377"/>
      <c r="R84" s="377"/>
      <c r="S84" s="377"/>
      <c r="T84" s="377"/>
      <c r="U84" s="377"/>
      <c r="V84" s="377"/>
      <c r="W84" s="377"/>
      <c r="X84" s="6"/>
    </row>
    <row r="85" spans="1:24" ht="31.95" customHeight="1" x14ac:dyDescent="0.25">
      <c r="A85" s="377">
        <v>81</v>
      </c>
      <c r="B85" s="15" t="str">
        <f>'Danh sách máy'!B86</f>
        <v>MEC2403076</v>
      </c>
      <c r="C85" s="13" t="str">
        <f>'Danh sách máy'!AC86</f>
        <v>ハーフエッチ 投入機（Vラック・合紙）
Máy đưa bo V rack TYPE 4 line Haft Etching</v>
      </c>
      <c r="D85" s="14" t="str">
        <f>'Danh sách máy'!AJ86</f>
        <v>Finish</v>
      </c>
      <c r="E85" s="25">
        <f>'Danh sách máy'!E86</f>
        <v>45681</v>
      </c>
      <c r="F85" s="378" t="str">
        <f>'Danh sách máy'!AK86</f>
        <v>L.Trường</v>
      </c>
      <c r="G85" s="378" t="str">
        <f>'Danh sách máy'!AL89</f>
        <v>H.Tuấn</v>
      </c>
      <c r="H85" s="378" t="str">
        <f>'Danh sách máy'!AM89</f>
        <v>A1</v>
      </c>
      <c r="I85" s="377"/>
      <c r="J85" s="377"/>
      <c r="K85" s="377"/>
      <c r="L85" s="377"/>
      <c r="M85" s="377"/>
      <c r="N85" s="377"/>
      <c r="O85" s="377"/>
      <c r="P85" s="377"/>
      <c r="Q85" s="377"/>
      <c r="R85" s="377"/>
      <c r="S85" s="377"/>
      <c r="T85" s="377"/>
      <c r="U85" s="377"/>
      <c r="V85" s="377"/>
      <c r="W85" s="377"/>
      <c r="X85" s="6"/>
    </row>
    <row r="86" spans="1:24" ht="31.95" customHeight="1" x14ac:dyDescent="0.25">
      <c r="A86" s="377">
        <v>82</v>
      </c>
      <c r="B86" s="15" t="str">
        <f>'Danh sách máy'!B87</f>
        <v>MEC2403077</v>
      </c>
      <c r="C86" s="13" t="str">
        <f>'Danh sách máy'!AC87</f>
        <v>DES #2 受取機（Vラック, 合紙）
Máy nhận bo V rack TYPE 4 line Hiện ảnh bóc màng DES#2</v>
      </c>
      <c r="D86" s="14" t="str">
        <f>'Danh sách máy'!AJ87</f>
        <v>Finish</v>
      </c>
      <c r="E86" s="25">
        <f>'Danh sách máy'!E87</f>
        <v>45681</v>
      </c>
      <c r="F86" s="378" t="str">
        <f>'Danh sách máy'!AK87</f>
        <v>L.Trường</v>
      </c>
      <c r="G86" s="378">
        <f>'Danh sách máy'!AL90</f>
        <v>0</v>
      </c>
      <c r="H86" s="378">
        <f>'Danh sách máy'!AM90</f>
        <v>0</v>
      </c>
      <c r="I86" s="377"/>
      <c r="J86" s="377"/>
      <c r="K86" s="377"/>
      <c r="L86" s="377"/>
      <c r="M86" s="377"/>
      <c r="N86" s="377"/>
      <c r="O86" s="377"/>
      <c r="P86" s="377"/>
      <c r="Q86" s="377"/>
      <c r="R86" s="377"/>
      <c r="S86" s="377"/>
      <c r="T86" s="377"/>
      <c r="U86" s="377"/>
      <c r="V86" s="377"/>
      <c r="W86" s="377"/>
      <c r="X86" s="6"/>
    </row>
    <row r="87" spans="1:24" ht="31.95" customHeight="1" x14ac:dyDescent="0.25">
      <c r="A87" s="377">
        <v>83</v>
      </c>
      <c r="B87" s="15" t="str">
        <f>'Danh sách máy'!B88</f>
        <v>MEC2403078</v>
      </c>
      <c r="C87" s="13" t="str">
        <f>'Danh sách máy'!AC88</f>
        <v>ハーフエッチ 投入機（Vラック・合紙）
Máy đưa bo V rack TYPE 4 line Haft Etching</v>
      </c>
      <c r="D87" s="14" t="str">
        <f>'Danh sách máy'!AJ88</f>
        <v>Finish</v>
      </c>
      <c r="E87" s="25">
        <f>'Danh sách máy'!E88</f>
        <v>45681</v>
      </c>
      <c r="F87" s="378" t="str">
        <f>'Danh sách máy'!AK88</f>
        <v>L.Trường</v>
      </c>
      <c r="G87" s="378">
        <f>'Danh sách máy'!AL91</f>
        <v>0</v>
      </c>
      <c r="H87" s="378">
        <f>'Danh sách máy'!AM91</f>
        <v>0</v>
      </c>
      <c r="I87" s="377"/>
      <c r="J87" s="377"/>
      <c r="K87" s="377"/>
      <c r="L87" s="377"/>
      <c r="M87" s="377"/>
      <c r="N87" s="377"/>
      <c r="O87" s="377"/>
      <c r="P87" s="377"/>
      <c r="Q87" s="377"/>
      <c r="R87" s="377"/>
      <c r="S87" s="377"/>
      <c r="T87" s="377"/>
      <c r="U87" s="377"/>
      <c r="V87" s="377"/>
      <c r="W87" s="377"/>
      <c r="X87" s="6"/>
    </row>
    <row r="88" spans="1:24" ht="31.95" customHeight="1" x14ac:dyDescent="0.25">
      <c r="A88" s="377">
        <v>84</v>
      </c>
      <c r="B88" s="15">
        <f>'Danh sách máy'!B89</f>
        <v>0</v>
      </c>
      <c r="C88" s="13" t="str">
        <f>'Danh sách máy'!AC89</f>
        <v>ハーフエッチ 受取機（Vラック, 合紙）
Máy nhận bo V rack TYPE 4 line Haft Etching</v>
      </c>
      <c r="D88" s="14" t="str">
        <f>'Danh sách máy'!AJ89</f>
        <v>Stop</v>
      </c>
      <c r="E88" s="25">
        <f>'Danh sách máy'!E89</f>
        <v>45701</v>
      </c>
      <c r="F88" s="378" t="str">
        <f>'Danh sách máy'!AK89</f>
        <v>L.Trường</v>
      </c>
      <c r="G88" s="378" t="str">
        <f>'Danh sách máy'!AL92</f>
        <v>H.Quang</v>
      </c>
      <c r="H88" s="378">
        <f>'Danh sách máy'!AM92</f>
        <v>0</v>
      </c>
      <c r="I88" s="377"/>
      <c r="J88" s="377"/>
      <c r="K88" s="377"/>
      <c r="L88" s="377"/>
      <c r="M88" s="377"/>
      <c r="N88" s="377"/>
      <c r="O88" s="377"/>
      <c r="P88" s="377"/>
      <c r="Q88" s="377"/>
      <c r="R88" s="377"/>
      <c r="S88" s="377"/>
      <c r="T88" s="377"/>
      <c r="U88" s="377"/>
      <c r="V88" s="377"/>
      <c r="W88" s="377"/>
      <c r="X88" s="6"/>
    </row>
    <row r="89" spans="1:24" ht="31.95" customHeight="1" x14ac:dyDescent="0.25">
      <c r="A89" s="377">
        <v>85</v>
      </c>
      <c r="B89" s="15" t="str">
        <f>'Danh sách máy'!B90</f>
        <v>MEC2403080</v>
      </c>
      <c r="C89" s="13" t="str">
        <f>'Danh sách máy'!AC90</f>
        <v>D-PTHカゴ挿入機
Máy đưa bo vào Rack Magazine D-PTH</v>
      </c>
      <c r="D89" s="14" t="str">
        <f>'Danh sách máy'!AJ90</f>
        <v>Stop</v>
      </c>
      <c r="E89" s="25">
        <f>'Danh sách máy'!E90</f>
        <v>0</v>
      </c>
      <c r="F89" s="378">
        <f>'Danh sách máy'!AK90</f>
        <v>0</v>
      </c>
      <c r="G89" s="378" t="str">
        <f>'Danh sách máy'!AL93</f>
        <v>T.Quang</v>
      </c>
      <c r="H89" s="378" t="str">
        <f>'Danh sách máy'!AM93</f>
        <v>A1</v>
      </c>
      <c r="I89" s="377"/>
      <c r="J89" s="377"/>
      <c r="K89" s="377"/>
      <c r="L89" s="377"/>
      <c r="M89" s="377"/>
      <c r="N89" s="377"/>
      <c r="O89" s="377"/>
      <c r="P89" s="377"/>
      <c r="Q89" s="377"/>
      <c r="R89" s="377"/>
      <c r="S89" s="377"/>
      <c r="T89" s="377"/>
      <c r="U89" s="377"/>
      <c r="V89" s="377"/>
      <c r="W89" s="377"/>
      <c r="X89" s="6"/>
    </row>
    <row r="90" spans="1:24" ht="31.95" customHeight="1" x14ac:dyDescent="0.25">
      <c r="A90" s="377">
        <v>86</v>
      </c>
      <c r="B90" s="15" t="str">
        <f>'Danh sách máy'!B91</f>
        <v>MEC2403081</v>
      </c>
      <c r="C90" s="13" t="str">
        <f>'Danh sách máy'!AC91</f>
        <v>D-PTHカゴ取出機
Máy lấy bo từ Rack Magazine D-PTH</v>
      </c>
      <c r="D90" s="14" t="str">
        <f>'Danh sách máy'!AJ91</f>
        <v>Stop</v>
      </c>
      <c r="E90" s="25">
        <f>'Danh sách máy'!E91</f>
        <v>0</v>
      </c>
      <c r="F90" s="378">
        <f>'Danh sách máy'!AK91</f>
        <v>0</v>
      </c>
      <c r="G90" s="378" t="str">
        <f>'Danh sách máy'!AL94</f>
        <v>T.Quang</v>
      </c>
      <c r="H90" s="378" t="str">
        <f>'Danh sách máy'!AM94</f>
        <v>A1</v>
      </c>
      <c r="I90" s="377"/>
      <c r="J90" s="377"/>
      <c r="K90" s="377"/>
      <c r="L90" s="377"/>
      <c r="M90" s="377"/>
      <c r="N90" s="377"/>
      <c r="O90" s="377"/>
      <c r="P90" s="377"/>
      <c r="Q90" s="377"/>
      <c r="R90" s="377"/>
      <c r="S90" s="377"/>
      <c r="T90" s="377"/>
      <c r="U90" s="377"/>
      <c r="V90" s="377"/>
      <c r="W90" s="377"/>
      <c r="X90" s="6"/>
    </row>
    <row r="91" spans="1:24" ht="31.95" customHeight="1" x14ac:dyDescent="0.25">
      <c r="A91" s="377">
        <v>87</v>
      </c>
      <c r="B91" s="15" t="str">
        <f>'Danh sách máy'!B92</f>
        <v>MEC2403082</v>
      </c>
      <c r="C91" s="13" t="str">
        <f>'Danh sách máy'!AC92</f>
        <v>穴埋研磨　90°回転機
Băng tải quay bo 90deg　line mài lấp lỗ vĩnh cửu</v>
      </c>
      <c r="D91" s="14" t="str">
        <f>'Danh sách máy'!AJ92</f>
        <v>Stop</v>
      </c>
      <c r="E91" s="25">
        <f>'Danh sách máy'!E92</f>
        <v>0</v>
      </c>
      <c r="F91" s="378" t="str">
        <f>'Danh sách máy'!AK92</f>
        <v>X.Thủy</v>
      </c>
      <c r="G91" s="378" t="str">
        <f>'Danh sách máy'!AL95</f>
        <v>H.Khánh</v>
      </c>
      <c r="H91" s="378">
        <f>'Danh sách máy'!AM95</f>
        <v>0</v>
      </c>
      <c r="I91" s="377"/>
      <c r="J91" s="377"/>
      <c r="K91" s="377"/>
      <c r="L91" s="377"/>
      <c r="M91" s="377"/>
      <c r="N91" s="377"/>
      <c r="O91" s="377"/>
      <c r="P91" s="377"/>
      <c r="Q91" s="377"/>
      <c r="R91" s="377"/>
      <c r="S91" s="377"/>
      <c r="T91" s="377"/>
      <c r="U91" s="377"/>
      <c r="V91" s="377"/>
      <c r="W91" s="377"/>
      <c r="X91" s="6"/>
    </row>
    <row r="92" spans="1:24" ht="31.95" customHeight="1" x14ac:dyDescent="0.25">
      <c r="A92" s="377">
        <v>88</v>
      </c>
      <c r="B92" s="15" t="str">
        <f>'Danh sách máy'!B93</f>
        <v>MEC2403083</v>
      </c>
      <c r="C92" s="13" t="str">
        <f>'Danh sách máy'!AC93</f>
        <v>外層回路　DES 受取機（平積・合紙）
Máy nhận bo (H rack + IC) line DES tạo mạch lớp ngoài</v>
      </c>
      <c r="D92" s="14" t="str">
        <f>'Danh sách máy'!AJ93</f>
        <v>Stop</v>
      </c>
      <c r="E92" s="25">
        <f>'Danh sách máy'!E93</f>
        <v>0</v>
      </c>
      <c r="F92" s="378" t="str">
        <f>'Danh sách máy'!AK93</f>
        <v>V.Quang</v>
      </c>
      <c r="G92" s="378" t="str">
        <f>'Danh sách máy'!AL96</f>
        <v>T.Quang</v>
      </c>
      <c r="H92" s="378">
        <f>'Danh sách máy'!AM96</f>
        <v>0</v>
      </c>
      <c r="I92" s="377"/>
      <c r="J92" s="377"/>
      <c r="K92" s="377"/>
      <c r="L92" s="377"/>
      <c r="M92" s="377"/>
      <c r="N92" s="377"/>
      <c r="O92" s="377"/>
      <c r="P92" s="377"/>
      <c r="Q92" s="377"/>
      <c r="R92" s="377"/>
      <c r="S92" s="377"/>
      <c r="T92" s="377"/>
      <c r="U92" s="377"/>
      <c r="V92" s="377"/>
      <c r="W92" s="377"/>
      <c r="X92" s="6"/>
    </row>
    <row r="93" spans="1:24" ht="31.95" customHeight="1" x14ac:dyDescent="0.25">
      <c r="A93" s="377">
        <v>89</v>
      </c>
      <c r="B93" s="15" t="str">
        <f>'Danh sách máy'!B94</f>
        <v>MEC2403084</v>
      </c>
      <c r="C93" s="13" t="str">
        <f>'Danh sách máy'!AC94</f>
        <v>InlineAOIライン 投入機（Vラック・合紙）
Máy đưa bo V rack TYPE 4 InlineAOI, MEC2409084</v>
      </c>
      <c r="D93" s="14" t="str">
        <f>'Danh sách máy'!AJ94</f>
        <v>Stop</v>
      </c>
      <c r="E93" s="25">
        <f>'Danh sách máy'!E94</f>
        <v>0</v>
      </c>
      <c r="F93" s="378" t="str">
        <f>'Danh sách máy'!AK94</f>
        <v>V.Quang</v>
      </c>
      <c r="G93" s="378" t="str">
        <f>'Danh sách máy'!AL97</f>
        <v>Đ.Chiến</v>
      </c>
      <c r="H93" s="378">
        <f>'Danh sách máy'!AM97</f>
        <v>0</v>
      </c>
      <c r="I93" s="377"/>
      <c r="J93" s="377"/>
      <c r="K93" s="377"/>
      <c r="L93" s="377"/>
      <c r="M93" s="377"/>
      <c r="N93" s="377"/>
      <c r="O93" s="377"/>
      <c r="P93" s="377"/>
      <c r="Q93" s="377"/>
      <c r="R93" s="377"/>
      <c r="S93" s="377"/>
      <c r="T93" s="377"/>
      <c r="U93" s="377"/>
      <c r="V93" s="377"/>
      <c r="W93" s="377"/>
      <c r="X93" s="6"/>
    </row>
    <row r="94" spans="1:24" ht="31.95" customHeight="1" x14ac:dyDescent="0.25">
      <c r="A94" s="377">
        <v>90</v>
      </c>
      <c r="B94" s="15" t="str">
        <f>'Danh sách máy'!B95</f>
        <v>MEC2403085</v>
      </c>
      <c r="C94" s="13" t="str">
        <f>'Danh sách máy'!AC95</f>
        <v>回路DI露光機 投入機
Máy đưa bo PKG line Tạo mạch chụp sáng DI</v>
      </c>
      <c r="D94" s="14" t="str">
        <f>'Danh sách máy'!AJ95</f>
        <v>Stop</v>
      </c>
      <c r="E94" s="25">
        <f>'Danh sách máy'!E95</f>
        <v>0</v>
      </c>
      <c r="F94" s="378" t="str">
        <f>'Danh sách máy'!AK95</f>
        <v>Đ.Thành</v>
      </c>
      <c r="G94" s="378" t="str">
        <f>'Danh sách máy'!AL98</f>
        <v>H.Khánh</v>
      </c>
      <c r="H94" s="378">
        <f>'Danh sách máy'!AM98</f>
        <v>0</v>
      </c>
      <c r="I94" s="377"/>
      <c r="J94" s="377"/>
      <c r="K94" s="377"/>
      <c r="L94" s="377"/>
      <c r="M94" s="377"/>
      <c r="N94" s="377"/>
      <c r="O94" s="377"/>
      <c r="P94" s="377"/>
      <c r="Q94" s="377"/>
      <c r="R94" s="377"/>
      <c r="S94" s="377"/>
      <c r="T94" s="377"/>
      <c r="U94" s="377"/>
      <c r="V94" s="377"/>
      <c r="W94" s="377"/>
      <c r="X94" s="6"/>
    </row>
    <row r="95" spans="1:24" ht="31.95" customHeight="1" x14ac:dyDescent="0.25">
      <c r="A95" s="377">
        <v>91</v>
      </c>
      <c r="B95" s="15" t="str">
        <f>'Danh sách máy'!B96</f>
        <v>MEC2403086</v>
      </c>
      <c r="C95" s="13" t="str">
        <f>'Danh sách máy'!AC96</f>
        <v>回路DI露光機 ストッカー
Hanger Stock  line Tạo mạch chụp sáng DI</v>
      </c>
      <c r="D95" s="14" t="str">
        <f>'Danh sách máy'!AJ96</f>
        <v>Stop</v>
      </c>
      <c r="E95" s="25">
        <f>'Danh sách máy'!E96</f>
        <v>0</v>
      </c>
      <c r="F95" s="378" t="str">
        <f>'Danh sách máy'!AK96</f>
        <v>A.Quân</v>
      </c>
      <c r="G95" s="378" t="str">
        <f>'Danh sách máy'!AL99</f>
        <v>H.Khánh</v>
      </c>
      <c r="H95" s="378">
        <f>'Danh sách máy'!AM99</f>
        <v>0</v>
      </c>
      <c r="I95" s="377"/>
      <c r="J95" s="377"/>
      <c r="K95" s="377"/>
      <c r="L95" s="377"/>
      <c r="M95" s="377"/>
      <c r="N95" s="377"/>
      <c r="O95" s="377"/>
      <c r="P95" s="377"/>
      <c r="Q95" s="377"/>
      <c r="R95" s="377"/>
      <c r="S95" s="377"/>
      <c r="T95" s="377"/>
      <c r="U95" s="377"/>
      <c r="V95" s="377"/>
      <c r="W95" s="377"/>
      <c r="X95" s="6"/>
    </row>
    <row r="96" spans="1:24" ht="31.95" customHeight="1" x14ac:dyDescent="0.25">
      <c r="A96" s="377">
        <v>92</v>
      </c>
      <c r="B96" s="15" t="str">
        <f>'Danh sách máy'!B97</f>
        <v>MEC2403087</v>
      </c>
      <c r="C96" s="13" t="str">
        <f>'Danh sách máy'!AC97</f>
        <v>回路DI露光機　受取機
Máy nhận bo PKG line Tạo mạch chụp sáng DI</v>
      </c>
      <c r="D96" s="14" t="str">
        <f>'Danh sách máy'!AJ97</f>
        <v>Stop</v>
      </c>
      <c r="E96" s="25">
        <f>'Danh sách máy'!E97</f>
        <v>0</v>
      </c>
      <c r="F96" s="378" t="str">
        <f>'Danh sách máy'!AK97</f>
        <v>Đ.Thành</v>
      </c>
      <c r="G96" s="378" t="str">
        <f>'Danh sách máy'!AL100</f>
        <v>H.Khánh</v>
      </c>
      <c r="H96" s="378">
        <f>'Danh sách máy'!AM100</f>
        <v>0</v>
      </c>
      <c r="I96" s="377"/>
      <c r="J96" s="377"/>
      <c r="K96" s="377"/>
      <c r="L96" s="377"/>
      <c r="M96" s="377"/>
      <c r="N96" s="377"/>
      <c r="O96" s="377"/>
      <c r="P96" s="377"/>
      <c r="Q96" s="377"/>
      <c r="R96" s="377"/>
      <c r="S96" s="377"/>
      <c r="T96" s="377"/>
      <c r="U96" s="377"/>
      <c r="V96" s="377"/>
      <c r="W96" s="377"/>
      <c r="X96" s="6"/>
    </row>
    <row r="97" spans="1:24" ht="31.95" customHeight="1" x14ac:dyDescent="0.25">
      <c r="A97" s="377">
        <v>93</v>
      </c>
      <c r="B97" s="15" t="str">
        <f>'Danh sách máy'!B98</f>
        <v>MEC2403088</v>
      </c>
      <c r="C97" s="13" t="str">
        <f>'Danh sách máy'!AC98</f>
        <v>回路DI露光機 投入機
Máy đưa bo PKG line Tạo mạch chụp sáng DI</v>
      </c>
      <c r="D97" s="14" t="str">
        <f>'Danh sách máy'!AJ98</f>
        <v>Stop</v>
      </c>
      <c r="E97" s="25">
        <f>'Danh sách máy'!E98</f>
        <v>0</v>
      </c>
      <c r="F97" s="378" t="str">
        <f>'Danh sách máy'!AK98</f>
        <v>Đ.Thành</v>
      </c>
      <c r="G97" s="378" t="str">
        <f>'Danh sách máy'!AL101</f>
        <v>Đ.Chiến</v>
      </c>
      <c r="H97" s="378">
        <f>'Danh sách máy'!AM101</f>
        <v>0</v>
      </c>
      <c r="I97" s="377"/>
      <c r="J97" s="377"/>
      <c r="K97" s="377"/>
      <c r="L97" s="377"/>
      <c r="M97" s="377"/>
      <c r="N97" s="377"/>
      <c r="O97" s="377"/>
      <c r="P97" s="377"/>
      <c r="Q97" s="377"/>
      <c r="R97" s="377"/>
      <c r="S97" s="377"/>
      <c r="T97" s="377"/>
      <c r="U97" s="377"/>
      <c r="V97" s="377"/>
      <c r="W97" s="377"/>
      <c r="X97" s="6"/>
    </row>
    <row r="98" spans="1:24" ht="31.95" customHeight="1" x14ac:dyDescent="0.25">
      <c r="A98" s="377">
        <v>94</v>
      </c>
      <c r="B98" s="15" t="str">
        <f>'Danh sách máy'!B99</f>
        <v>MEC2403089</v>
      </c>
      <c r="C98" s="13" t="str">
        <f>'Danh sách máy'!AC99</f>
        <v>回路DI露光機 投入機
Máy đưa bo PKG line Tạo mạch chụp sáng DI</v>
      </c>
      <c r="D98" s="14" t="str">
        <f>'Danh sách máy'!AJ99</f>
        <v>Stop</v>
      </c>
      <c r="E98" s="25">
        <f>'Danh sách máy'!E99</f>
        <v>0</v>
      </c>
      <c r="F98" s="378" t="str">
        <f>'Danh sách máy'!AK99</f>
        <v>Đ.Thành</v>
      </c>
      <c r="G98" s="378" t="str">
        <f>'Danh sách máy'!AL102</f>
        <v>Đ.Chiến</v>
      </c>
      <c r="H98" s="378">
        <f>'Danh sách máy'!AM102</f>
        <v>0</v>
      </c>
      <c r="I98" s="377"/>
      <c r="J98" s="377"/>
      <c r="K98" s="377"/>
      <c r="L98" s="377"/>
      <c r="M98" s="377"/>
      <c r="N98" s="377"/>
      <c r="O98" s="377"/>
      <c r="P98" s="377"/>
      <c r="Q98" s="377"/>
      <c r="R98" s="377"/>
      <c r="S98" s="377"/>
      <c r="T98" s="377"/>
      <c r="U98" s="377"/>
      <c r="V98" s="377"/>
      <c r="W98" s="377"/>
      <c r="X98" s="6"/>
    </row>
    <row r="99" spans="1:24" ht="31.95" customHeight="1" x14ac:dyDescent="0.25">
      <c r="A99" s="377">
        <v>95</v>
      </c>
      <c r="B99" s="15" t="str">
        <f>'Danh sách máy'!B100</f>
        <v>MEC2403090</v>
      </c>
      <c r="C99" s="13" t="str">
        <f>'Danh sách máy'!AC100</f>
        <v>回路DI露光機 投入機
Máy đưa bo PKG line Tạo mạch chụp sáng DI</v>
      </c>
      <c r="D99" s="14" t="str">
        <f>'Danh sách máy'!AJ100</f>
        <v>Stop</v>
      </c>
      <c r="E99" s="25">
        <f>'Danh sách máy'!E100</f>
        <v>0</v>
      </c>
      <c r="F99" s="378" t="str">
        <f>'Danh sách máy'!AK100</f>
        <v>Đ.Thành</v>
      </c>
      <c r="G99" s="378" t="str">
        <f>'Danh sách máy'!AL103</f>
        <v>X.Tuyền</v>
      </c>
      <c r="H99" s="378">
        <f>'Danh sách máy'!AM103</f>
        <v>0</v>
      </c>
      <c r="I99" s="377"/>
      <c r="J99" s="377"/>
      <c r="K99" s="377"/>
      <c r="L99" s="377"/>
      <c r="M99" s="377"/>
      <c r="N99" s="377"/>
      <c r="O99" s="377"/>
      <c r="P99" s="377"/>
      <c r="Q99" s="377"/>
      <c r="R99" s="377"/>
      <c r="S99" s="377"/>
      <c r="T99" s="377"/>
      <c r="U99" s="377"/>
      <c r="V99" s="377"/>
      <c r="W99" s="377"/>
      <c r="X99" s="6"/>
    </row>
    <row r="100" spans="1:24" ht="31.95" customHeight="1" x14ac:dyDescent="0.25">
      <c r="A100" s="377">
        <v>96</v>
      </c>
      <c r="B100" s="15" t="str">
        <f>'Danh sách máy'!B101</f>
        <v>MEC2403091</v>
      </c>
      <c r="C100" s="13" t="str">
        <f>'Danh sách máy'!AC101</f>
        <v>回路DI露光機　受取機
Máy nhận bo PKG line Tạo mạch chụp sáng DI</v>
      </c>
      <c r="D100" s="14" t="str">
        <f>'Danh sách máy'!AJ101</f>
        <v>Stop</v>
      </c>
      <c r="E100" s="25">
        <f>'Danh sách máy'!E101</f>
        <v>0</v>
      </c>
      <c r="F100" s="378" t="str">
        <f>'Danh sách máy'!AK101</f>
        <v>Đ.Thành</v>
      </c>
      <c r="G100" s="378" t="str">
        <f>'Danh sách máy'!AL104</f>
        <v>T.Quang</v>
      </c>
      <c r="H100" s="378">
        <f>'Danh sách máy'!AM104</f>
        <v>0</v>
      </c>
      <c r="I100" s="377"/>
      <c r="J100" s="377"/>
      <c r="K100" s="377"/>
      <c r="L100" s="377"/>
      <c r="M100" s="377"/>
      <c r="N100" s="377"/>
      <c r="O100" s="377"/>
      <c r="P100" s="377"/>
      <c r="Q100" s="377"/>
      <c r="R100" s="377"/>
      <c r="S100" s="377"/>
      <c r="T100" s="377"/>
      <c r="U100" s="377"/>
      <c r="V100" s="377"/>
      <c r="W100" s="377"/>
      <c r="X100" s="6"/>
    </row>
    <row r="101" spans="1:24" ht="31.95" customHeight="1" x14ac:dyDescent="0.25">
      <c r="A101" s="377">
        <v>97</v>
      </c>
      <c r="B101" s="15" t="str">
        <f>'Danh sách máy'!B102</f>
        <v>MEC2403092</v>
      </c>
      <c r="C101" s="13" t="str">
        <f>'Danh sách máy'!AC102</f>
        <v>回路DI露光機　受取機
Máy nhận bo PKG line Tạo mạch chụp sáng DI</v>
      </c>
      <c r="D101" s="14" t="str">
        <f>'Danh sách máy'!AJ102</f>
        <v>Stop</v>
      </c>
      <c r="E101" s="25">
        <f>'Danh sách máy'!E102</f>
        <v>0</v>
      </c>
      <c r="F101" s="378" t="str">
        <f>'Danh sách máy'!AK102</f>
        <v>Đ.Thành</v>
      </c>
      <c r="G101" s="378" t="str">
        <f>'Danh sách máy'!AL105</f>
        <v>V.Lâm</v>
      </c>
      <c r="H101" s="378">
        <f>'Danh sách máy'!AM105</f>
        <v>0</v>
      </c>
      <c r="I101" s="377"/>
      <c r="J101" s="377"/>
      <c r="K101" s="377"/>
      <c r="L101" s="377"/>
      <c r="M101" s="377"/>
      <c r="N101" s="377"/>
      <c r="O101" s="377"/>
      <c r="P101" s="377"/>
      <c r="Q101" s="377"/>
      <c r="R101" s="377"/>
      <c r="S101" s="377"/>
      <c r="T101" s="377"/>
      <c r="U101" s="377"/>
      <c r="V101" s="377"/>
      <c r="W101" s="377"/>
      <c r="X101" s="6"/>
    </row>
    <row r="102" spans="1:24" ht="31.95" customHeight="1" x14ac:dyDescent="0.25">
      <c r="A102" s="377">
        <v>98</v>
      </c>
      <c r="B102" s="15" t="str">
        <f>'Danh sách máy'!B103</f>
        <v>MEC2403093</v>
      </c>
      <c r="C102" s="13" t="str">
        <f>'Danh sách máy'!AC103</f>
        <v>Máy lật mặt A-&gt; B sau khoan Laser</v>
      </c>
      <c r="D102" s="14" t="str">
        <f>'Danh sách máy'!AJ103</f>
        <v>Stop</v>
      </c>
      <c r="E102" s="25">
        <f>'Danh sách máy'!E103</f>
        <v>0</v>
      </c>
      <c r="F102" s="378" t="str">
        <f>'Danh sách máy'!AK103</f>
        <v>B.Đăng</v>
      </c>
      <c r="G102" s="378" t="str">
        <f>'Danh sách máy'!AL106</f>
        <v>V.Lâm</v>
      </c>
      <c r="H102" s="378">
        <f>'Danh sách máy'!AM106</f>
        <v>0</v>
      </c>
      <c r="I102" s="377"/>
      <c r="J102" s="377"/>
      <c r="K102" s="377"/>
      <c r="L102" s="377"/>
      <c r="M102" s="377"/>
      <c r="N102" s="377"/>
      <c r="O102" s="377"/>
      <c r="P102" s="377"/>
      <c r="Q102" s="377"/>
      <c r="R102" s="377"/>
      <c r="S102" s="377"/>
      <c r="T102" s="377"/>
      <c r="U102" s="377"/>
      <c r="V102" s="377"/>
      <c r="W102" s="377"/>
      <c r="X102" s="6"/>
    </row>
    <row r="103" spans="1:24" ht="31.95" customHeight="1" x14ac:dyDescent="0.25">
      <c r="A103" s="377">
        <v>99</v>
      </c>
      <c r="B103" s="15" t="str">
        <f>'Danh sách máy'!B104</f>
        <v>MEC2403094</v>
      </c>
      <c r="C103" s="13" t="str">
        <f>'Danh sách máy'!AC104</f>
        <v>回路露光後のストッカー
Hanger Stock　Sau chụp sáng tạo mạch</v>
      </c>
      <c r="D103" s="14" t="str">
        <f>'Danh sách máy'!AJ104</f>
        <v>Stop</v>
      </c>
      <c r="E103" s="25">
        <f>'Danh sách máy'!E104</f>
        <v>0</v>
      </c>
      <c r="F103" s="378" t="str">
        <f>'Danh sách máy'!AK104</f>
        <v>A.Quân</v>
      </c>
      <c r="G103" s="378" t="str">
        <f>'Danh sách máy'!AL107</f>
        <v>V.Lâm</v>
      </c>
      <c r="H103" s="378">
        <f>'Danh sách máy'!AM107</f>
        <v>0</v>
      </c>
      <c r="I103" s="377"/>
      <c r="J103" s="377"/>
      <c r="K103" s="377"/>
      <c r="L103" s="377"/>
      <c r="M103" s="377"/>
      <c r="N103" s="377"/>
      <c r="O103" s="377"/>
      <c r="P103" s="377"/>
      <c r="Q103" s="377"/>
      <c r="R103" s="377"/>
      <c r="S103" s="377"/>
      <c r="T103" s="377"/>
      <c r="U103" s="377"/>
      <c r="V103" s="377"/>
      <c r="W103" s="377"/>
      <c r="X103" s="6"/>
    </row>
    <row r="104" spans="1:24" ht="31.95" customHeight="1" x14ac:dyDescent="0.25">
      <c r="A104" s="377">
        <v>100</v>
      </c>
      <c r="B104" s="15" t="str">
        <f>'Danh sách máy'!B105</f>
        <v>MEC2403095</v>
      </c>
      <c r="C104" s="13" t="str">
        <f>'Danh sách máy'!AC105</f>
        <v>Cải tiến quay bo 90deg VCP#9</v>
      </c>
      <c r="D104" s="14" t="str">
        <f>'Danh sách máy'!AJ105</f>
        <v>Stop</v>
      </c>
      <c r="E104" s="25">
        <f>'Danh sách máy'!E105</f>
        <v>0</v>
      </c>
      <c r="F104" s="378" t="str">
        <f>'Danh sách máy'!AK105</f>
        <v>V.Quang</v>
      </c>
      <c r="G104" s="378" t="str">
        <f>'Danh sách máy'!AL110</f>
        <v>V.Lâm</v>
      </c>
      <c r="H104" s="378" t="str">
        <f>'Danh sách máy'!AM110</f>
        <v>A1</v>
      </c>
      <c r="I104" s="377"/>
      <c r="J104" s="377"/>
      <c r="K104" s="377"/>
      <c r="L104" s="377"/>
      <c r="M104" s="377"/>
      <c r="N104" s="377"/>
      <c r="O104" s="377"/>
      <c r="P104" s="377"/>
      <c r="Q104" s="377"/>
      <c r="R104" s="377"/>
      <c r="S104" s="377"/>
      <c r="T104" s="377"/>
      <c r="U104" s="377"/>
      <c r="V104" s="377"/>
      <c r="W104" s="377"/>
      <c r="X104" s="6"/>
    </row>
    <row r="105" spans="1:24" ht="31.95" customHeight="1" x14ac:dyDescent="0.25">
      <c r="A105" s="377">
        <v>101</v>
      </c>
      <c r="B105" s="15" t="str">
        <f>'Danh sách máy'!B106</f>
        <v>MEC2403096</v>
      </c>
      <c r="C105" s="13" t="str">
        <f>'Danh sách máy'!AC106</f>
        <v>Cải tiến quay bo 90deg VCP#8</v>
      </c>
      <c r="D105" s="14" t="str">
        <f>'Danh sách máy'!AJ106</f>
        <v>Stop</v>
      </c>
      <c r="E105" s="25">
        <f>'Danh sách máy'!E106</f>
        <v>0</v>
      </c>
      <c r="F105" s="378" t="str">
        <f>'Danh sách máy'!AK106</f>
        <v>V.Quang</v>
      </c>
      <c r="G105" s="378" t="str">
        <f>'Danh sách máy'!AL111</f>
        <v>X.Tuyền</v>
      </c>
      <c r="H105" s="378">
        <f>'Danh sách máy'!AM111</f>
        <v>0</v>
      </c>
      <c r="I105" s="377"/>
      <c r="J105" s="377"/>
      <c r="K105" s="377"/>
      <c r="L105" s="377"/>
      <c r="M105" s="377"/>
      <c r="N105" s="377"/>
      <c r="O105" s="377"/>
      <c r="P105" s="377"/>
      <c r="Q105" s="377"/>
      <c r="R105" s="377"/>
      <c r="S105" s="377"/>
      <c r="T105" s="377"/>
      <c r="U105" s="377"/>
      <c r="V105" s="377"/>
      <c r="W105" s="377"/>
      <c r="X105" s="6"/>
    </row>
    <row r="106" spans="1:24" ht="31.95" customHeight="1" x14ac:dyDescent="0.25">
      <c r="A106" s="377">
        <v>102</v>
      </c>
      <c r="B106" s="15" t="str">
        <f>'Danh sách máy'!B107</f>
        <v>MEC2403097</v>
      </c>
      <c r="C106" s="13" t="str">
        <f>'Danh sách máy'!AC107</f>
        <v>Cải tiến máy từ V rack --&gt; L rack</v>
      </c>
      <c r="D106" s="14" t="str">
        <f>'Danh sách máy'!AJ107</f>
        <v>Stop</v>
      </c>
      <c r="E106" s="25">
        <f>'Danh sách máy'!E107</f>
        <v>0</v>
      </c>
      <c r="F106" s="378" t="str">
        <f>'Danh sách máy'!AK107</f>
        <v>V.Giang</v>
      </c>
      <c r="G106" s="378" t="str">
        <f>'Danh sách máy'!AL112</f>
        <v>X.Tuyền</v>
      </c>
      <c r="H106" s="378">
        <f>'Danh sách máy'!AM112</f>
        <v>0</v>
      </c>
      <c r="I106" s="377"/>
      <c r="J106" s="377"/>
      <c r="K106" s="377"/>
      <c r="L106" s="377"/>
      <c r="M106" s="377"/>
      <c r="N106" s="377"/>
      <c r="O106" s="377"/>
      <c r="P106" s="377"/>
      <c r="Q106" s="377"/>
      <c r="R106" s="377"/>
      <c r="S106" s="377"/>
      <c r="T106" s="377"/>
      <c r="U106" s="377"/>
      <c r="V106" s="377"/>
      <c r="W106" s="377"/>
      <c r="X106" s="6"/>
    </row>
    <row r="107" spans="1:24" ht="31.95" customHeight="1" x14ac:dyDescent="0.25">
      <c r="A107" s="377">
        <v>103</v>
      </c>
      <c r="B107" s="15" t="str">
        <f>'Danh sách máy'!B110</f>
        <v>MEC2310018</v>
      </c>
      <c r="C107" s="13" t="str">
        <f>'Danh sách máy'!AC110</f>
        <v>マテハン改造(河北サイズ対応)
Cải tiến đối ứng bo nhỏ TENDOU</v>
      </c>
      <c r="D107" s="14" t="str">
        <f>'Danh sách máy'!AJ110</f>
        <v>Assembling</v>
      </c>
      <c r="E107" s="25">
        <f>'Danh sách máy'!E110</f>
        <v>0</v>
      </c>
      <c r="F107" s="378" t="str">
        <f>'Danh sách máy'!AK110</f>
        <v>L.Trường</v>
      </c>
      <c r="G107" s="378">
        <f>'Danh sách máy'!AL113</f>
        <v>0</v>
      </c>
      <c r="H107" s="378">
        <f>'Danh sách máy'!AM113</f>
        <v>0</v>
      </c>
      <c r="I107" s="377"/>
      <c r="J107" s="377"/>
      <c r="K107" s="377"/>
      <c r="L107" s="377"/>
      <c r="M107" s="377"/>
      <c r="N107" s="377"/>
      <c r="O107" s="377"/>
      <c r="P107" s="377"/>
      <c r="Q107" s="377"/>
      <c r="R107" s="377"/>
      <c r="S107" s="377"/>
      <c r="T107" s="377"/>
      <c r="U107" s="377"/>
      <c r="V107" s="377"/>
      <c r="W107" s="377"/>
      <c r="X107" s="6"/>
    </row>
    <row r="108" spans="1:24" ht="31.95" customHeight="1" x14ac:dyDescent="0.25">
      <c r="A108" s="377">
        <v>104</v>
      </c>
      <c r="B108" s="15" t="str">
        <f>'Danh sách máy'!B111</f>
        <v>MEC2403099</v>
      </c>
      <c r="C108" s="13" t="str">
        <f>'Danh sách máy'!AC111</f>
        <v>Máy đưa bo line OSP TENDOU</v>
      </c>
      <c r="D108" s="14" t="str">
        <f>'Danh sách máy'!AJ111</f>
        <v>Stop</v>
      </c>
      <c r="E108" s="25">
        <f>'Danh sách máy'!E111</f>
        <v>0</v>
      </c>
      <c r="F108" s="378" t="str">
        <f>'Danh sách máy'!AK111</f>
        <v>B.Đăng</v>
      </c>
      <c r="G108" s="378" t="str">
        <f>'Danh sách máy'!AL114</f>
        <v>V.Lâm</v>
      </c>
      <c r="H108" s="378" t="str">
        <f>'Danh sách máy'!AM114</f>
        <v>A1</v>
      </c>
      <c r="I108" s="377"/>
      <c r="J108" s="377"/>
      <c r="K108" s="377"/>
      <c r="L108" s="377"/>
      <c r="M108" s="377"/>
      <c r="N108" s="377"/>
      <c r="O108" s="377"/>
      <c r="P108" s="377"/>
      <c r="Q108" s="377"/>
      <c r="R108" s="377"/>
      <c r="S108" s="377"/>
      <c r="T108" s="377"/>
      <c r="U108" s="377"/>
      <c r="V108" s="377"/>
      <c r="W108" s="377"/>
      <c r="X108" s="6"/>
    </row>
    <row r="109" spans="1:24" ht="31.95" customHeight="1" x14ac:dyDescent="0.25">
      <c r="A109" s="377">
        <v>105</v>
      </c>
      <c r="B109" s="15" t="str">
        <f>'Danh sách máy'!B112</f>
        <v>MEC2403100</v>
      </c>
      <c r="C109" s="13" t="str">
        <f>'Danh sách máy'!AC112</f>
        <v>Máy nhận bo line OSP TENDOU</v>
      </c>
      <c r="D109" s="14" t="str">
        <f>'Danh sách máy'!AJ112</f>
        <v>Stop</v>
      </c>
      <c r="E109" s="25">
        <f>'Danh sách máy'!E112</f>
        <v>0</v>
      </c>
      <c r="F109" s="378" t="str">
        <f>'Danh sách máy'!AK112</f>
        <v>B.Đăng</v>
      </c>
      <c r="G109" s="378" t="str">
        <f>'Danh sách máy'!AL115</f>
        <v>H.Tuấn</v>
      </c>
      <c r="H109" s="378" t="str">
        <f>'Danh sách máy'!AM115</f>
        <v>A1</v>
      </c>
      <c r="I109" s="377"/>
      <c r="J109" s="377"/>
      <c r="K109" s="377"/>
      <c r="L109" s="377"/>
      <c r="M109" s="377"/>
      <c r="N109" s="377"/>
      <c r="O109" s="377"/>
      <c r="P109" s="377"/>
      <c r="Q109" s="377"/>
      <c r="R109" s="377"/>
      <c r="S109" s="377"/>
      <c r="T109" s="377"/>
      <c r="U109" s="377"/>
      <c r="V109" s="377"/>
      <c r="W109" s="377"/>
      <c r="X109" s="6"/>
    </row>
    <row r="110" spans="1:24" ht="31.95" customHeight="1" x14ac:dyDescent="0.25">
      <c r="A110" s="377">
        <v>106</v>
      </c>
      <c r="B110" s="15" t="str">
        <f>'Danh sách máy'!B113</f>
        <v>MEC2403101</v>
      </c>
      <c r="C110" s="13" t="str">
        <f>'Danh sách máy'!AC113</f>
        <v>Vラック追加</v>
      </c>
      <c r="D110" s="14" t="str">
        <f>'Danh sách máy'!AJ113</f>
        <v>Stop</v>
      </c>
      <c r="E110" s="25">
        <f>'Danh sách máy'!E113</f>
        <v>0</v>
      </c>
      <c r="F110" s="378">
        <f>'Danh sách máy'!AK113</f>
        <v>0</v>
      </c>
      <c r="G110" s="378" t="str">
        <f>'Danh sách máy'!AL116</f>
        <v>M.Quyết</v>
      </c>
      <c r="H110" s="378" t="str">
        <f>'Danh sách máy'!AM116</f>
        <v>A1</v>
      </c>
      <c r="I110" s="377"/>
      <c r="J110" s="377"/>
      <c r="K110" s="377"/>
      <c r="L110" s="377"/>
      <c r="M110" s="377"/>
      <c r="N110" s="377"/>
      <c r="O110" s="377"/>
      <c r="P110" s="377"/>
      <c r="Q110" s="377"/>
      <c r="R110" s="377"/>
      <c r="S110" s="377"/>
      <c r="T110" s="377"/>
      <c r="U110" s="377"/>
      <c r="V110" s="377"/>
      <c r="W110" s="377"/>
      <c r="X110" s="6"/>
    </row>
    <row r="111" spans="1:24" ht="31.95" customHeight="1" x14ac:dyDescent="0.25">
      <c r="A111" s="377">
        <v>107</v>
      </c>
      <c r="B111" s="15" t="str">
        <f>'Danh sách máy'!B114</f>
        <v>MEC2310017</v>
      </c>
      <c r="C111" s="13" t="str">
        <f>'Danh sách máy'!AC114</f>
        <v>Máy Unloading dạng PCB transfer dùng xe Laser</v>
      </c>
      <c r="D111" s="14" t="str">
        <f>'Danh sách máy'!AJ114</f>
        <v>Finish</v>
      </c>
      <c r="E111" s="25">
        <f>'Danh sách máy'!E114</f>
        <v>45442</v>
      </c>
      <c r="F111" s="378" t="str">
        <f>'Danh sách máy'!AK114</f>
        <v>V.Quang</v>
      </c>
      <c r="G111" s="378" t="str">
        <f>'Danh sách máy'!AL117</f>
        <v>T.Quang</v>
      </c>
      <c r="H111" s="378">
        <f>'Danh sách máy'!AM117</f>
        <v>0</v>
      </c>
      <c r="I111" s="377"/>
      <c r="J111" s="377"/>
      <c r="K111" s="377"/>
      <c r="L111" s="377"/>
      <c r="M111" s="377"/>
      <c r="N111" s="377"/>
      <c r="O111" s="377"/>
      <c r="P111" s="377"/>
      <c r="Q111" s="377"/>
      <c r="R111" s="377"/>
      <c r="S111" s="377"/>
      <c r="T111" s="377"/>
      <c r="U111" s="377"/>
      <c r="V111" s="377"/>
      <c r="W111" s="377"/>
      <c r="X111" s="6"/>
    </row>
    <row r="112" spans="1:24" ht="31.95" customHeight="1" x14ac:dyDescent="0.25">
      <c r="A112" s="377">
        <v>108</v>
      </c>
      <c r="B112" s="15" t="str">
        <f>'Danh sách máy'!B115</f>
        <v>MEC2310016</v>
      </c>
      <c r="C112" s="13" t="str">
        <f>'Danh sách máy'!AC115</f>
        <v>Máy Unloading Magazine dạng sheet</v>
      </c>
      <c r="D112" s="14" t="str">
        <f>'Danh sách máy'!AJ115</f>
        <v>Finish</v>
      </c>
      <c r="E112" s="25">
        <f>'Danh sách máy'!E115</f>
        <v>45656</v>
      </c>
      <c r="F112" s="378" t="str">
        <f>'Danh sách máy'!AK115</f>
        <v>T.Tuấn</v>
      </c>
      <c r="G112" s="378" t="str">
        <f>'Danh sách máy'!AL118</f>
        <v>H.Quang</v>
      </c>
      <c r="H112" s="378" t="str">
        <f>'Danh sách máy'!AM118</f>
        <v>A1</v>
      </c>
      <c r="I112" s="377"/>
      <c r="J112" s="377"/>
      <c r="K112" s="377"/>
      <c r="L112" s="377"/>
      <c r="M112" s="377"/>
      <c r="N112" s="377"/>
      <c r="O112" s="377"/>
      <c r="P112" s="377"/>
      <c r="Q112" s="377"/>
      <c r="R112" s="377"/>
      <c r="S112" s="377"/>
      <c r="T112" s="377"/>
      <c r="U112" s="377"/>
      <c r="V112" s="377"/>
      <c r="W112" s="377"/>
      <c r="X112" s="6"/>
    </row>
    <row r="113" spans="1:24" x14ac:dyDescent="0.25">
      <c r="A113" s="377">
        <v>109</v>
      </c>
      <c r="B113" s="15" t="str">
        <f>'Danh sách máy'!B116</f>
        <v>MEC2401011</v>
      </c>
      <c r="C113" s="13" t="str">
        <f>'Danh sách máy'!AC116</f>
        <v xml:space="preserve">Máy rửa con lăn cản nước </v>
      </c>
      <c r="D113" s="14" t="str">
        <f>'Danh sách máy'!AJ116</f>
        <v>Finish</v>
      </c>
      <c r="E113" s="25">
        <f>'Danh sách máy'!E116</f>
        <v>45503</v>
      </c>
      <c r="F113" s="378" t="str">
        <f>'Danh sách máy'!AK116</f>
        <v>H.Minh</v>
      </c>
      <c r="G113" s="378" t="str">
        <f>'Danh sách máy'!AL119</f>
        <v>H.Khánh</v>
      </c>
      <c r="H113" s="378">
        <f>'Danh sách máy'!AM119</f>
        <v>0</v>
      </c>
      <c r="I113" s="377"/>
      <c r="J113" s="377"/>
      <c r="K113" s="377"/>
      <c r="L113" s="377"/>
      <c r="M113" s="377"/>
      <c r="N113" s="377"/>
      <c r="O113" s="377"/>
      <c r="P113" s="377"/>
      <c r="Q113" s="377"/>
      <c r="R113" s="377"/>
      <c r="S113" s="377"/>
      <c r="T113" s="377"/>
      <c r="U113" s="377"/>
      <c r="V113" s="377"/>
      <c r="W113" s="377"/>
      <c r="X113" s="6"/>
    </row>
    <row r="114" spans="1:24" x14ac:dyDescent="0.25">
      <c r="A114" s="377">
        <v>110</v>
      </c>
      <c r="B114" s="15" t="str">
        <f>'Danh sách máy'!B117</f>
        <v>MEC2303004</v>
      </c>
      <c r="C114" s="13" t="str">
        <f>'Danh sách máy'!AC117</f>
        <v>Cải tiến máy 2D code số 1 MKVC</v>
      </c>
      <c r="D114" s="14" t="str">
        <f>'Danh sách máy'!AJ117</f>
        <v>Stop</v>
      </c>
      <c r="E114" s="25">
        <f>'Danh sách máy'!E117</f>
        <v>0</v>
      </c>
      <c r="F114" s="378" t="str">
        <f>'Danh sách máy'!AK117</f>
        <v>H.Minh</v>
      </c>
      <c r="G114" s="378" t="str">
        <f>'Danh sách máy'!AL120</f>
        <v>H.Khánh</v>
      </c>
      <c r="H114" s="378">
        <f>'Danh sách máy'!AM120</f>
        <v>0</v>
      </c>
      <c r="I114" s="377"/>
      <c r="J114" s="377"/>
      <c r="K114" s="377"/>
      <c r="L114" s="377"/>
      <c r="M114" s="377"/>
      <c r="N114" s="377"/>
      <c r="O114" s="377"/>
      <c r="P114" s="377"/>
      <c r="Q114" s="377"/>
      <c r="R114" s="377"/>
      <c r="S114" s="377"/>
      <c r="T114" s="377"/>
      <c r="U114" s="377"/>
      <c r="V114" s="377"/>
      <c r="W114" s="377"/>
      <c r="X114" s="6"/>
    </row>
    <row r="115" spans="1:24" x14ac:dyDescent="0.25">
      <c r="A115" s="377">
        <v>111</v>
      </c>
      <c r="B115" s="15" t="str">
        <f>'Danh sách máy'!B118</f>
        <v>MEC2403108</v>
      </c>
      <c r="C115" s="13" t="str">
        <f>'Danh sách máy'!AC118</f>
        <v>Máy sheet unload line mạ thiếc kiểu Băng tải ngắn</v>
      </c>
      <c r="D115" s="14" t="str">
        <f>'Danh sách máy'!AJ118</f>
        <v>Finish</v>
      </c>
      <c r="E115" s="25">
        <f>'Danh sách máy'!E118</f>
        <v>45471</v>
      </c>
      <c r="F115" s="378" t="str">
        <f>'Danh sách máy'!AK118</f>
        <v>T.Tuấn</v>
      </c>
      <c r="G115" s="378" t="str">
        <f>'Danh sách máy'!AL121</f>
        <v>H.Khánh</v>
      </c>
      <c r="H115" s="378">
        <f>'Danh sách máy'!AM121</f>
        <v>0</v>
      </c>
      <c r="I115" s="377"/>
      <c r="J115" s="377"/>
      <c r="K115" s="377"/>
      <c r="L115" s="377"/>
      <c r="M115" s="377"/>
      <c r="N115" s="377"/>
      <c r="O115" s="377"/>
      <c r="P115" s="377"/>
      <c r="Q115" s="377"/>
      <c r="R115" s="377"/>
      <c r="S115" s="377"/>
      <c r="T115" s="377"/>
      <c r="U115" s="377"/>
      <c r="V115" s="377"/>
      <c r="W115" s="377"/>
      <c r="X115" s="6"/>
    </row>
    <row r="116" spans="1:24" x14ac:dyDescent="0.25">
      <c r="A116" s="377">
        <v>112</v>
      </c>
      <c r="B116" s="15" t="str">
        <f>'Danh sách máy'!B119</f>
        <v>MEC2112012</v>
      </c>
      <c r="C116" s="13" t="str">
        <f>'Danh sách máy'!AC119</f>
        <v>Cụm nâng hạ trong Passbox #3</v>
      </c>
      <c r="D116" s="14" t="str">
        <f>'Danh sách máy'!AJ119</f>
        <v>Stop</v>
      </c>
      <c r="E116" s="25">
        <f>'Danh sách máy'!E119</f>
        <v>0</v>
      </c>
      <c r="F116" s="378">
        <f>'Danh sách máy'!AK119</f>
        <v>0</v>
      </c>
      <c r="G116" s="378" t="str">
        <f>'Danh sách máy'!AL122</f>
        <v>H.Khánh</v>
      </c>
      <c r="H116" s="378">
        <f>'Danh sách máy'!AM122</f>
        <v>0</v>
      </c>
      <c r="I116" s="377"/>
      <c r="J116" s="377"/>
      <c r="K116" s="377"/>
      <c r="L116" s="377"/>
      <c r="M116" s="377"/>
      <c r="N116" s="377"/>
      <c r="O116" s="377"/>
      <c r="P116" s="377"/>
      <c r="Q116" s="377"/>
      <c r="R116" s="377"/>
      <c r="S116" s="377"/>
      <c r="T116" s="377"/>
      <c r="U116" s="377"/>
      <c r="V116" s="377"/>
      <c r="W116" s="377"/>
      <c r="X116" s="6"/>
    </row>
    <row r="117" spans="1:24" x14ac:dyDescent="0.25">
      <c r="A117" s="377">
        <v>113</v>
      </c>
      <c r="B117" s="15" t="str">
        <f>'Danh sách máy'!B120</f>
        <v>MEC2112013</v>
      </c>
      <c r="C117" s="13" t="str">
        <f>'Danh sách máy'!AC120</f>
        <v>Cụm nâng hạ trong Passbox #4</v>
      </c>
      <c r="D117" s="14" t="str">
        <f>'Danh sách máy'!AJ120</f>
        <v>Stop</v>
      </c>
      <c r="E117" s="25">
        <f>'Danh sách máy'!E120</f>
        <v>0</v>
      </c>
      <c r="F117" s="378">
        <f>'Danh sách máy'!AK120</f>
        <v>0</v>
      </c>
      <c r="G117" s="378" t="str">
        <f>'Danh sách máy'!AL123</f>
        <v>H.Khánh</v>
      </c>
      <c r="H117" s="378">
        <f>'Danh sách máy'!AM123</f>
        <v>0</v>
      </c>
      <c r="I117" s="377"/>
      <c r="J117" s="377"/>
      <c r="K117" s="377"/>
      <c r="L117" s="377"/>
      <c r="M117" s="377"/>
      <c r="N117" s="377"/>
      <c r="O117" s="377"/>
      <c r="P117" s="377"/>
      <c r="Q117" s="377"/>
      <c r="R117" s="377"/>
      <c r="S117" s="377"/>
      <c r="T117" s="377"/>
      <c r="U117" s="377"/>
      <c r="V117" s="377"/>
      <c r="W117" s="377"/>
      <c r="X117" s="6"/>
    </row>
    <row r="118" spans="1:24" x14ac:dyDescent="0.25">
      <c r="A118" s="377">
        <v>114</v>
      </c>
      <c r="B118" s="15" t="str">
        <f>'Danh sách máy'!B121</f>
        <v>MEC2112014</v>
      </c>
      <c r="C118" s="13" t="str">
        <f>'Danh sách máy'!AC121</f>
        <v>Cụm nâng hạ trong Passbox #5</v>
      </c>
      <c r="D118" s="14" t="str">
        <f>'Danh sách máy'!AJ121</f>
        <v>Stop</v>
      </c>
      <c r="E118" s="25">
        <f>'Danh sách máy'!E121</f>
        <v>0</v>
      </c>
      <c r="F118" s="378">
        <f>'Danh sách máy'!AK121</f>
        <v>0</v>
      </c>
      <c r="G118" s="378" t="str">
        <f>'Danh sách máy'!AL124</f>
        <v>M.Quyết</v>
      </c>
      <c r="H118" s="378" t="str">
        <f>'Danh sách máy'!AM124</f>
        <v>A1</v>
      </c>
      <c r="I118" s="377"/>
      <c r="J118" s="377"/>
      <c r="K118" s="377"/>
      <c r="L118" s="377"/>
      <c r="M118" s="377"/>
      <c r="N118" s="377"/>
      <c r="O118" s="377"/>
      <c r="P118" s="377"/>
      <c r="Q118" s="377"/>
      <c r="R118" s="377"/>
      <c r="S118" s="377"/>
      <c r="T118" s="377"/>
      <c r="U118" s="377"/>
      <c r="V118" s="377"/>
      <c r="W118" s="377"/>
      <c r="X118" s="6"/>
    </row>
    <row r="119" spans="1:24" x14ac:dyDescent="0.25">
      <c r="A119" s="377">
        <v>115</v>
      </c>
      <c r="B119" s="15" t="str">
        <f>'Danh sách máy'!B122</f>
        <v>MEC2112015</v>
      </c>
      <c r="C119" s="13" t="str">
        <f>'Danh sách máy'!AC122</f>
        <v>Cụm nâng hạ trong Passbox #6</v>
      </c>
      <c r="D119" s="14" t="str">
        <f>'Danh sách máy'!AJ122</f>
        <v>Stop</v>
      </c>
      <c r="E119" s="25">
        <f>'Danh sách máy'!E122</f>
        <v>0</v>
      </c>
      <c r="F119" s="378">
        <f>'Danh sách máy'!AK122</f>
        <v>0</v>
      </c>
      <c r="G119" s="378" t="str">
        <f>'Danh sách máy'!AL125</f>
        <v>M.Quyết</v>
      </c>
      <c r="H119" s="378" t="str">
        <f>'Danh sách máy'!AM125</f>
        <v>A1</v>
      </c>
      <c r="I119" s="377"/>
      <c r="J119" s="377"/>
      <c r="K119" s="377"/>
      <c r="L119" s="377"/>
      <c r="M119" s="377"/>
      <c r="N119" s="377"/>
      <c r="O119" s="377"/>
      <c r="P119" s="377"/>
      <c r="Q119" s="377"/>
      <c r="R119" s="377"/>
      <c r="S119" s="377"/>
      <c r="T119" s="377"/>
      <c r="U119" s="377"/>
      <c r="V119" s="377"/>
      <c r="W119" s="377"/>
      <c r="X119" s="6"/>
    </row>
    <row r="120" spans="1:24" x14ac:dyDescent="0.25">
      <c r="A120" s="377">
        <v>116</v>
      </c>
      <c r="B120" s="15" t="str">
        <f>'Danh sách máy'!B123</f>
        <v>MEC2112016</v>
      </c>
      <c r="C120" s="13" t="str">
        <f>'Danh sách máy'!AC123</f>
        <v>Cụm nâng hạ trong Passbox #7</v>
      </c>
      <c r="D120" s="14" t="str">
        <f>'Danh sách máy'!AJ123</f>
        <v>Stop</v>
      </c>
      <c r="E120" s="25">
        <f>'Danh sách máy'!E123</f>
        <v>0</v>
      </c>
      <c r="F120" s="378">
        <f>'Danh sách máy'!AK123</f>
        <v>0</v>
      </c>
      <c r="G120" s="378" t="str">
        <f>'Danh sách máy'!AL126</f>
        <v>M.Quyết</v>
      </c>
      <c r="H120" s="378" t="str">
        <f>'Danh sách máy'!AM126</f>
        <v>A1</v>
      </c>
      <c r="I120" s="377"/>
      <c r="J120" s="377"/>
      <c r="K120" s="377"/>
      <c r="L120" s="377"/>
      <c r="M120" s="377"/>
      <c r="N120" s="377"/>
      <c r="O120" s="377"/>
      <c r="P120" s="377"/>
      <c r="Q120" s="377"/>
      <c r="R120" s="377"/>
      <c r="S120" s="377"/>
      <c r="T120" s="377"/>
      <c r="U120" s="377"/>
      <c r="V120" s="377"/>
      <c r="W120" s="377"/>
      <c r="X120" s="6"/>
    </row>
    <row r="121" spans="1:24" x14ac:dyDescent="0.25">
      <c r="A121" s="377">
        <v>117</v>
      </c>
      <c r="B121" s="15" t="str">
        <f>'Danh sách máy'!B124</f>
        <v>MEC2309004</v>
      </c>
      <c r="C121" s="13" t="str">
        <f>'Danh sách máy'!AC124</f>
        <v>Mitsubishi Laser GTW-Ⅵ matehan　＃５  FITC</v>
      </c>
      <c r="D121" s="14" t="str">
        <f>'Danh sách máy'!AJ124</f>
        <v>Finish</v>
      </c>
      <c r="E121" s="25">
        <f>'Danh sách máy'!E124</f>
        <v>45488</v>
      </c>
      <c r="F121" s="378" t="str">
        <f>'Danh sách máy'!AK124</f>
        <v>M.Tiến</v>
      </c>
      <c r="G121" s="378" t="str">
        <f>'Danh sách máy'!AL127</f>
        <v>M.Quyết</v>
      </c>
      <c r="H121" s="378" t="str">
        <f>'Danh sách máy'!AM127</f>
        <v>A1</v>
      </c>
      <c r="I121" s="377"/>
      <c r="J121" s="377"/>
      <c r="K121" s="377"/>
      <c r="L121" s="377"/>
      <c r="M121" s="377"/>
      <c r="N121" s="377"/>
      <c r="O121" s="377"/>
      <c r="P121" s="377"/>
      <c r="Q121" s="377"/>
      <c r="R121" s="377"/>
      <c r="S121" s="377"/>
      <c r="T121" s="377"/>
      <c r="U121" s="377"/>
      <c r="V121" s="377"/>
      <c r="W121" s="377"/>
      <c r="X121" s="6"/>
    </row>
    <row r="122" spans="1:24" x14ac:dyDescent="0.25">
      <c r="A122" s="377">
        <v>118</v>
      </c>
      <c r="B122" s="15" t="str">
        <f>'Danh sách máy'!B125</f>
        <v>MEC2309005</v>
      </c>
      <c r="C122" s="13" t="str">
        <f>'Danh sách máy'!AC125</f>
        <v>Mitsubishi Laser GTW-Ⅵ matehan　＃６  FITC</v>
      </c>
      <c r="D122" s="14" t="str">
        <f>'Danh sách máy'!AJ125</f>
        <v>Finish</v>
      </c>
      <c r="E122" s="25">
        <f>'Danh sách máy'!E125</f>
        <v>45488</v>
      </c>
      <c r="F122" s="378" t="str">
        <f>'Danh sách máy'!AK125</f>
        <v>M.Tiến</v>
      </c>
      <c r="G122" s="378">
        <f>'Danh sách máy'!AL128</f>
        <v>0</v>
      </c>
      <c r="H122" s="378" t="str">
        <f>'Danh sách máy'!AM128</f>
        <v>A1</v>
      </c>
      <c r="I122" s="377"/>
      <c r="J122" s="377"/>
      <c r="K122" s="377"/>
      <c r="L122" s="377"/>
      <c r="M122" s="377"/>
      <c r="N122" s="377"/>
      <c r="O122" s="377"/>
      <c r="P122" s="377"/>
      <c r="Q122" s="377"/>
      <c r="R122" s="377"/>
      <c r="S122" s="377"/>
      <c r="T122" s="377"/>
      <c r="U122" s="377"/>
      <c r="V122" s="377"/>
      <c r="W122" s="377"/>
      <c r="X122" s="6"/>
    </row>
    <row r="123" spans="1:24" x14ac:dyDescent="0.25">
      <c r="A123" s="377">
        <v>119</v>
      </c>
      <c r="B123" s="15" t="str">
        <f>'Danh sách máy'!B126</f>
        <v>MEC2309006</v>
      </c>
      <c r="C123" s="13" t="str">
        <f>'Danh sách máy'!AC126</f>
        <v>Mitsubishi Laser GTW-Ⅵ matehan　＃７  FITC</v>
      </c>
      <c r="D123" s="14" t="str">
        <f>'Danh sách máy'!AJ126</f>
        <v>Finish</v>
      </c>
      <c r="E123" s="25">
        <f>'Danh sách máy'!E126</f>
        <v>45488</v>
      </c>
      <c r="F123" s="378" t="str">
        <f>'Danh sách máy'!AK126</f>
        <v>M.Tiến</v>
      </c>
      <c r="G123" s="378" t="str">
        <f>'Danh sách máy'!AL129</f>
        <v>H.Khánh</v>
      </c>
      <c r="H123" s="378" t="str">
        <f>'Danh sách máy'!AM129</f>
        <v>A1</v>
      </c>
      <c r="I123" s="377"/>
      <c r="J123" s="377"/>
      <c r="K123" s="377"/>
      <c r="L123" s="377"/>
      <c r="M123" s="377"/>
      <c r="N123" s="377"/>
      <c r="O123" s="377"/>
      <c r="P123" s="377"/>
      <c r="Q123" s="377"/>
      <c r="R123" s="377"/>
      <c r="S123" s="377"/>
      <c r="T123" s="377"/>
      <c r="U123" s="377"/>
      <c r="V123" s="377"/>
      <c r="W123" s="377"/>
      <c r="X123" s="6"/>
    </row>
    <row r="124" spans="1:24" x14ac:dyDescent="0.25">
      <c r="A124" s="377">
        <v>120</v>
      </c>
      <c r="B124" s="15" t="str">
        <f>'Danh sách máy'!B127</f>
        <v>MEC2309007</v>
      </c>
      <c r="C124" s="13" t="str">
        <f>'Danh sách máy'!AC127</f>
        <v>Mitsubishi Laser GTW-Ⅵ matehan　＃８  FITC</v>
      </c>
      <c r="D124" s="14" t="str">
        <f>'Danh sách máy'!AJ127</f>
        <v>Finish</v>
      </c>
      <c r="E124" s="25">
        <f>'Danh sách máy'!E127</f>
        <v>45488</v>
      </c>
      <c r="F124" s="378" t="str">
        <f>'Danh sách máy'!AK127</f>
        <v>M.Tiến</v>
      </c>
      <c r="G124" s="378" t="str">
        <f>'Danh sách máy'!AL130</f>
        <v>H.Khánh</v>
      </c>
      <c r="H124" s="378" t="str">
        <f>'Danh sách máy'!AM130</f>
        <v>A1</v>
      </c>
      <c r="I124" s="377"/>
      <c r="J124" s="377"/>
      <c r="K124" s="377"/>
      <c r="L124" s="377"/>
      <c r="M124" s="377"/>
      <c r="N124" s="377"/>
      <c r="O124" s="377"/>
      <c r="P124" s="377"/>
      <c r="Q124" s="377"/>
      <c r="R124" s="377"/>
      <c r="S124" s="377"/>
      <c r="T124" s="377"/>
      <c r="U124" s="377"/>
      <c r="V124" s="377"/>
      <c r="W124" s="377"/>
      <c r="X124" s="6"/>
    </row>
    <row r="125" spans="1:24" ht="27.6" x14ac:dyDescent="0.25">
      <c r="A125" s="377">
        <v>121</v>
      </c>
      <c r="B125" s="15" t="str">
        <f>'Danh sách máy'!B128</f>
        <v>MEC2309014</v>
      </c>
      <c r="C125" s="13" t="str">
        <f>'Danh sách máy'!AC128</f>
        <v>Băng tải thường line Tiền xử lý ép lớp
一般コンベヤー　積層前処理受取</v>
      </c>
      <c r="D125" s="14" t="str">
        <f>'Danh sách máy'!AJ128</f>
        <v>Finish</v>
      </c>
      <c r="E125" s="25">
        <f>'Danh sách máy'!E128</f>
        <v>45401</v>
      </c>
      <c r="F125" s="378" t="str">
        <f>'Danh sách máy'!AK128</f>
        <v>X.Thủy</v>
      </c>
      <c r="G125" s="378" t="str">
        <f>'Danh sách máy'!AL131</f>
        <v>M.Quyết</v>
      </c>
      <c r="H125" s="378" t="str">
        <f>'Danh sách máy'!AM131</f>
        <v>A1</v>
      </c>
      <c r="I125" s="377"/>
      <c r="J125" s="377"/>
      <c r="K125" s="377"/>
      <c r="L125" s="377"/>
      <c r="M125" s="377"/>
      <c r="N125" s="377"/>
      <c r="O125" s="377"/>
      <c r="P125" s="377"/>
      <c r="Q125" s="377"/>
      <c r="R125" s="377"/>
      <c r="S125" s="377"/>
      <c r="T125" s="377"/>
      <c r="U125" s="377"/>
      <c r="V125" s="377"/>
      <c r="W125" s="377"/>
      <c r="X125" s="6"/>
    </row>
    <row r="126" spans="1:24" ht="41.4" x14ac:dyDescent="0.25">
      <c r="A126" s="377">
        <v>122</v>
      </c>
      <c r="B126" s="15" t="str">
        <f>'Danh sách máy'!B129</f>
        <v>MEC2309026</v>
      </c>
      <c r="C126" s="13" t="str">
        <f>'Danh sách máy'!AC129</f>
        <v>SR自動露光機　投入機
Máy đưa bo line chụp sáng SR (xe Patapata?), có xoay bo 90deg</v>
      </c>
      <c r="D126" s="14" t="str">
        <f>'Danh sách máy'!AJ129</f>
        <v>Finish</v>
      </c>
      <c r="E126" s="25">
        <f>'Danh sách máy'!E129</f>
        <v>45408</v>
      </c>
      <c r="F126" s="378" t="str">
        <f>'Danh sách máy'!AK129</f>
        <v>V.Quang</v>
      </c>
      <c r="G126" s="378" t="str">
        <f>'Danh sách máy'!AL132</f>
        <v>M.Quyết</v>
      </c>
      <c r="H126" s="378">
        <f>'Danh sách máy'!AM132</f>
        <v>0</v>
      </c>
      <c r="I126" s="377"/>
      <c r="J126" s="377"/>
      <c r="K126" s="377"/>
      <c r="L126" s="377"/>
      <c r="M126" s="377"/>
      <c r="N126" s="377"/>
      <c r="O126" s="377"/>
      <c r="P126" s="377"/>
      <c r="Q126" s="377"/>
      <c r="R126" s="377"/>
      <c r="S126" s="377"/>
      <c r="T126" s="377"/>
      <c r="U126" s="377"/>
      <c r="V126" s="377"/>
      <c r="W126" s="377"/>
      <c r="X126" s="6"/>
    </row>
    <row r="127" spans="1:24" ht="41.4" x14ac:dyDescent="0.25">
      <c r="A127" s="377">
        <v>123</v>
      </c>
      <c r="B127" s="15" t="str">
        <f>'Danh sách máy'!B130</f>
        <v>MEC2309027</v>
      </c>
      <c r="C127" s="13" t="str">
        <f>'Danh sách máy'!AC130</f>
        <v>SR自動露光機　受取機
Máy nhận bo line chụp sáng SR (xe Patapata?) có xoay bo 90deg</v>
      </c>
      <c r="D127" s="14" t="str">
        <f>'Danh sách máy'!AJ130</f>
        <v>Finish</v>
      </c>
      <c r="E127" s="25">
        <f>'Danh sách máy'!E130</f>
        <v>45408</v>
      </c>
      <c r="F127" s="378" t="str">
        <f>'Danh sách máy'!AK130</f>
        <v>V.Quang</v>
      </c>
      <c r="G127" s="378" t="str">
        <f>'Danh sách máy'!AL133</f>
        <v>X.Tuyền</v>
      </c>
      <c r="H127" s="378">
        <f>'Danh sách máy'!AM133</f>
        <v>0</v>
      </c>
      <c r="I127" s="377"/>
      <c r="J127" s="377"/>
      <c r="K127" s="377"/>
      <c r="L127" s="377"/>
      <c r="M127" s="377"/>
      <c r="N127" s="377"/>
      <c r="O127" s="377"/>
      <c r="P127" s="377"/>
      <c r="Q127" s="377"/>
      <c r="R127" s="377"/>
      <c r="S127" s="377"/>
      <c r="T127" s="377"/>
      <c r="U127" s="377"/>
      <c r="V127" s="377"/>
      <c r="W127" s="377"/>
      <c r="X127" s="6"/>
    </row>
    <row r="128" spans="1:24" ht="41.4" x14ac:dyDescent="0.25">
      <c r="A128" s="377">
        <v>124</v>
      </c>
      <c r="B128" s="15" t="str">
        <f>'Danh sách máy'!B131</f>
        <v>MEC2201013</v>
      </c>
      <c r="C128" s="13" t="str">
        <f>'Danh sách máy'!AC131</f>
        <v>VIAレーザ加工機用マテハン
Carrier device (Load/Unload) for Laser VIA (2 Axis) for Ishinomaki #1</v>
      </c>
      <c r="D128" s="14" t="str">
        <f>'Danh sách máy'!AJ131</f>
        <v>Quotation</v>
      </c>
      <c r="E128" s="25">
        <f>'Danh sách máy'!E131</f>
        <v>0</v>
      </c>
      <c r="F128" s="378" t="str">
        <f>'Danh sách máy'!AK131</f>
        <v>M.Tiến</v>
      </c>
      <c r="G128" s="378" t="str">
        <f>'Danh sách máy'!AL134</f>
        <v>X.Tuyền</v>
      </c>
      <c r="H128" s="378">
        <f>'Danh sách máy'!AM134</f>
        <v>0</v>
      </c>
      <c r="I128" s="377"/>
      <c r="J128" s="377"/>
      <c r="K128" s="377"/>
      <c r="L128" s="377"/>
      <c r="M128" s="377"/>
      <c r="N128" s="377"/>
      <c r="O128" s="377"/>
      <c r="P128" s="377"/>
      <c r="Q128" s="377"/>
      <c r="R128" s="377"/>
      <c r="S128" s="377"/>
      <c r="T128" s="377"/>
      <c r="U128" s="377"/>
      <c r="V128" s="377"/>
      <c r="W128" s="377"/>
      <c r="X128" s="6"/>
    </row>
    <row r="129" spans="1:24" ht="41.4" x14ac:dyDescent="0.25">
      <c r="A129" s="377">
        <v>125</v>
      </c>
      <c r="B129" s="15" t="str">
        <f>'Danh sách máy'!B132</f>
        <v>MEC2401017</v>
      </c>
      <c r="C129" s="13" t="str">
        <f>'Danh sách máy'!AC132</f>
        <v>VIAレーザ加工機用マテハン
Carrier device (Load/Unload) for Laser VIA (2 Axis) for Ishinomaki #2</v>
      </c>
      <c r="D129" s="14" t="str">
        <f>'Danh sách máy'!AJ132</f>
        <v>Stop</v>
      </c>
      <c r="E129" s="25">
        <f>'Danh sách máy'!E132</f>
        <v>0</v>
      </c>
      <c r="F129" s="378" t="str">
        <f>'Danh sách máy'!AK132</f>
        <v>M.Tiến</v>
      </c>
      <c r="G129" s="378" t="str">
        <f>'Danh sách máy'!AL135</f>
        <v>H.Tuấn</v>
      </c>
      <c r="H129" s="378" t="str">
        <f>'Danh sách máy'!AM135</f>
        <v>A1</v>
      </c>
      <c r="I129" s="377"/>
      <c r="J129" s="377"/>
      <c r="K129" s="377"/>
      <c r="L129" s="377"/>
      <c r="M129" s="377"/>
      <c r="N129" s="377"/>
      <c r="O129" s="377"/>
      <c r="P129" s="377"/>
      <c r="Q129" s="377"/>
      <c r="R129" s="377"/>
      <c r="S129" s="377"/>
      <c r="T129" s="377"/>
      <c r="U129" s="377"/>
      <c r="V129" s="377"/>
      <c r="W129" s="377"/>
      <c r="X129" s="6"/>
    </row>
    <row r="130" spans="1:24" ht="41.4" x14ac:dyDescent="0.25">
      <c r="A130" s="377">
        <v>126</v>
      </c>
      <c r="B130" s="15" t="str">
        <f>'Danh sách máy'!B133</f>
        <v>MEC2404004</v>
      </c>
      <c r="C130" s="13" t="str">
        <f>'Danh sách máy'!AC133</f>
        <v>石巻工場向け中圧水洗機用投入機 
Máy Loading cho line rửa nước áp lực trung bình nhà máy Ishinomaki</v>
      </c>
      <c r="D130" s="14" t="str">
        <f>'Danh sách máy'!AJ133</f>
        <v>Stop</v>
      </c>
      <c r="E130" s="25">
        <f>'Danh sách máy'!E133</f>
        <v>0</v>
      </c>
      <c r="F130" s="378" t="str">
        <f>'Danh sách máy'!AK133</f>
        <v>V.Quang</v>
      </c>
      <c r="G130" s="378">
        <f>'Danh sách máy'!AL136</f>
        <v>0</v>
      </c>
      <c r="H130" s="378" t="str">
        <f>'Danh sách máy'!AM136</f>
        <v>A1</v>
      </c>
      <c r="I130" s="377"/>
      <c r="J130" s="377"/>
      <c r="K130" s="377"/>
      <c r="L130" s="377"/>
      <c r="M130" s="377"/>
      <c r="N130" s="377"/>
      <c r="O130" s="377"/>
      <c r="P130" s="377"/>
      <c r="Q130" s="377"/>
      <c r="R130" s="377"/>
      <c r="S130" s="377"/>
      <c r="T130" s="377"/>
      <c r="U130" s="377"/>
      <c r="V130" s="377"/>
      <c r="W130" s="377"/>
      <c r="X130" s="6"/>
    </row>
    <row r="131" spans="1:24" ht="27.6" x14ac:dyDescent="0.25">
      <c r="A131" s="377">
        <v>127</v>
      </c>
      <c r="B131" s="15" t="str">
        <f>'Danh sách máy'!B134</f>
        <v>MEC2404005</v>
      </c>
      <c r="C131" s="13" t="str">
        <f>'Danh sách máy'!AC134</f>
        <v>石巻工場向け中圧水洗機用受取機 Máy Unloading cho line rửa nước áp lực trung bình nhà máy Ishinomaki</v>
      </c>
      <c r="D131" s="14" t="str">
        <f>'Danh sách máy'!AJ134</f>
        <v>Stop</v>
      </c>
      <c r="E131" s="25">
        <f>'Danh sách máy'!E134</f>
        <v>0</v>
      </c>
      <c r="F131" s="378" t="str">
        <f>'Danh sách máy'!AK134</f>
        <v>V.Quang</v>
      </c>
      <c r="G131" s="378">
        <f>'Danh sách máy'!AL137</f>
        <v>0</v>
      </c>
      <c r="H131" s="378" t="str">
        <f>'Danh sách máy'!AM137</f>
        <v>A1</v>
      </c>
      <c r="I131" s="377"/>
      <c r="J131" s="377"/>
      <c r="K131" s="377"/>
      <c r="L131" s="377"/>
      <c r="M131" s="377"/>
      <c r="N131" s="377"/>
      <c r="O131" s="377"/>
      <c r="P131" s="377"/>
      <c r="Q131" s="377"/>
      <c r="R131" s="377"/>
      <c r="S131" s="377"/>
      <c r="T131" s="377"/>
      <c r="U131" s="377"/>
      <c r="V131" s="377"/>
      <c r="W131" s="377"/>
      <c r="X131" s="6"/>
    </row>
    <row r="132" spans="1:24" x14ac:dyDescent="0.25">
      <c r="A132" s="377">
        <v>128</v>
      </c>
      <c r="B132" s="15" t="str">
        <f>'Danh sách máy'!B135</f>
        <v>MEC2307019</v>
      </c>
      <c r="C132" s="13" t="str">
        <f>'Danh sách máy'!AC135</f>
        <v>Cải tiến Tool Robot đầu ra Line VCP#3, #4 Fact.3 1F</v>
      </c>
      <c r="D132" s="14" t="str">
        <f>'Danh sách máy'!AJ135</f>
        <v>Waiting</v>
      </c>
      <c r="E132" s="25">
        <f>'Danh sách máy'!E135</f>
        <v>0</v>
      </c>
      <c r="F132" s="378" t="str">
        <f>'Danh sách máy'!AK135</f>
        <v>V.Quang</v>
      </c>
      <c r="G132" s="378" t="str">
        <f>'Danh sách máy'!AL138</f>
        <v>M.Quyết</v>
      </c>
      <c r="H132" s="378">
        <f>'Danh sách máy'!AM138</f>
        <v>0</v>
      </c>
      <c r="I132" s="377"/>
      <c r="J132" s="377"/>
      <c r="K132" s="377"/>
      <c r="L132" s="377"/>
      <c r="M132" s="377"/>
      <c r="N132" s="377"/>
      <c r="O132" s="377"/>
      <c r="P132" s="377"/>
      <c r="Q132" s="377"/>
      <c r="R132" s="377"/>
      <c r="S132" s="377"/>
      <c r="T132" s="377"/>
      <c r="U132" s="377"/>
      <c r="V132" s="377"/>
      <c r="W132" s="377"/>
      <c r="X132" s="6"/>
    </row>
    <row r="133" spans="1:24" x14ac:dyDescent="0.25">
      <c r="A133" s="377">
        <v>129</v>
      </c>
      <c r="B133" s="15" t="str">
        <f>'Danh sách máy'!B136</f>
        <v>MEC2403113</v>
      </c>
      <c r="C133" s="13" t="str">
        <f>'Danh sách máy'!AC136</f>
        <v>Băng tải cho reflow 2 công đoạn phủ sơn 3F Fact.2</v>
      </c>
      <c r="D133" s="14" t="str">
        <f>'Danh sách máy'!AJ136</f>
        <v>Finish</v>
      </c>
      <c r="E133" s="25">
        <f>'Danh sách máy'!E136</f>
        <v>45496</v>
      </c>
      <c r="F133" s="378" t="str">
        <f>'Danh sách máy'!AK136</f>
        <v>T.Tuấn</v>
      </c>
      <c r="G133" s="378" t="str">
        <f>'Danh sách máy'!AL139</f>
        <v>Đ.Chiến</v>
      </c>
      <c r="H133" s="378" t="str">
        <f>'Danh sách máy'!AM139</f>
        <v>A1</v>
      </c>
      <c r="I133" s="377"/>
      <c r="J133" s="377"/>
      <c r="K133" s="377"/>
      <c r="L133" s="377"/>
      <c r="M133" s="377"/>
      <c r="N133" s="377"/>
      <c r="O133" s="377"/>
      <c r="P133" s="377"/>
      <c r="Q133" s="377"/>
      <c r="R133" s="377"/>
      <c r="S133" s="377"/>
      <c r="T133" s="377"/>
      <c r="U133" s="377"/>
      <c r="V133" s="377"/>
      <c r="W133" s="377"/>
      <c r="X133" s="6"/>
    </row>
    <row r="134" spans="1:24" x14ac:dyDescent="0.25">
      <c r="A134" s="377">
        <v>130</v>
      </c>
      <c r="B134" s="15" t="str">
        <f>'Danh sách máy'!B137</f>
        <v>MEC2403114</v>
      </c>
      <c r="C134" s="13" t="str">
        <f>'Danh sách máy'!AC137</f>
        <v>Băng tải txl-Cz  công đoạn phủ sơn 3F Fact.2</v>
      </c>
      <c r="D134" s="14" t="str">
        <f>'Danh sách máy'!AJ137</f>
        <v>Finish</v>
      </c>
      <c r="E134" s="25">
        <f>'Danh sách máy'!E137</f>
        <v>45496</v>
      </c>
      <c r="F134" s="378" t="str">
        <f>'Danh sách máy'!AK137</f>
        <v>T.Tuấn</v>
      </c>
      <c r="G134" s="378" t="str">
        <f>'Danh sách máy'!AL140</f>
        <v>Đ.Chiến</v>
      </c>
      <c r="H134" s="378" t="str">
        <f>'Danh sách máy'!AM140</f>
        <v>A1</v>
      </c>
      <c r="I134" s="377"/>
      <c r="J134" s="377"/>
      <c r="K134" s="377"/>
      <c r="L134" s="377"/>
      <c r="M134" s="377"/>
      <c r="N134" s="377"/>
      <c r="O134" s="377"/>
      <c r="P134" s="377"/>
      <c r="Q134" s="377"/>
      <c r="R134" s="377"/>
      <c r="S134" s="377"/>
      <c r="T134" s="377"/>
      <c r="U134" s="377"/>
      <c r="V134" s="377"/>
      <c r="W134" s="377"/>
      <c r="X134" s="6"/>
    </row>
    <row r="135" spans="1:24" ht="27.6" x14ac:dyDescent="0.25">
      <c r="A135" s="377">
        <v>131</v>
      </c>
      <c r="B135" s="15" t="str">
        <f>'Danh sách máy'!B138</f>
        <v>MEC2404012</v>
      </c>
      <c r="C135" s="13" t="str">
        <f>'Danh sách máy'!AC138</f>
        <v>Dự án làm máy Pick and Place Ecoflac Mix Machine cho khách hàng B.Braun</v>
      </c>
      <c r="D135" s="14" t="str">
        <f>'Danh sách máy'!AJ138</f>
        <v>Stop</v>
      </c>
      <c r="E135" s="25">
        <f>'Danh sách máy'!E138</f>
        <v>0</v>
      </c>
      <c r="F135" s="378" t="str">
        <f>'Danh sách máy'!AK138</f>
        <v>B.Đăng</v>
      </c>
      <c r="G135" s="378" t="str">
        <f>'Danh sách máy'!AL141</f>
        <v>Đ.Chiến</v>
      </c>
      <c r="H135" s="378">
        <f>'Danh sách máy'!AM141</f>
        <v>0</v>
      </c>
      <c r="I135" s="377"/>
      <c r="J135" s="377"/>
      <c r="K135" s="377"/>
      <c r="L135" s="377"/>
      <c r="M135" s="377"/>
      <c r="N135" s="377"/>
      <c r="O135" s="377"/>
      <c r="P135" s="377"/>
      <c r="Q135" s="377"/>
      <c r="R135" s="377"/>
      <c r="S135" s="377"/>
      <c r="T135" s="377"/>
      <c r="U135" s="377"/>
      <c r="V135" s="377"/>
      <c r="W135" s="377"/>
      <c r="X135" s="6"/>
    </row>
    <row r="136" spans="1:24" ht="27.6" x14ac:dyDescent="0.25">
      <c r="A136" s="377">
        <v>132</v>
      </c>
      <c r="B136" s="15" t="str">
        <f>'Danh sách máy'!B139</f>
        <v>MEC2404025</v>
      </c>
      <c r="C136" s="13" t="str">
        <f>'Danh sách máy'!AC139</f>
        <v>Máy Loading dạng sheet (robot nhện) line rửa nước sau GCNH 最終水洗用蜘蛛の手の投入機</v>
      </c>
      <c r="D136" s="14" t="str">
        <f>'Danh sách máy'!AJ139</f>
        <v>Setting</v>
      </c>
      <c r="E136" s="25">
        <f>'Danh sách máy'!E139</f>
        <v>45886</v>
      </c>
      <c r="F136" s="378" t="str">
        <f>'Danh sách máy'!AK139</f>
        <v>H.Minh</v>
      </c>
      <c r="G136" s="378" t="str">
        <f>'Danh sách máy'!AL142</f>
        <v>Đ.Chiến</v>
      </c>
      <c r="H136" s="378">
        <f>'Danh sách máy'!AM142</f>
        <v>0</v>
      </c>
      <c r="I136" s="377"/>
      <c r="J136" s="377"/>
      <c r="K136" s="377"/>
      <c r="L136" s="377"/>
      <c r="M136" s="377"/>
      <c r="N136" s="377"/>
      <c r="O136" s="377"/>
      <c r="P136" s="377"/>
      <c r="Q136" s="377"/>
      <c r="R136" s="377"/>
      <c r="S136" s="377"/>
      <c r="T136" s="377"/>
      <c r="U136" s="377"/>
      <c r="V136" s="377"/>
      <c r="W136" s="377"/>
      <c r="X136" s="6"/>
    </row>
    <row r="137" spans="1:24" ht="27.6" x14ac:dyDescent="0.25">
      <c r="A137" s="377">
        <v>133</v>
      </c>
      <c r="B137" s="15" t="str">
        <f>'Danh sách máy'!B140</f>
        <v>MEC2404018</v>
      </c>
      <c r="C137" s="13" t="str">
        <f>'Danh sách máy'!AC140</f>
        <v>Máy Unloading dạng sheet (robot nhện)+ Băng tải line rửa nước sau GCNH　最終水洗用蜘蛛の手の受取機</v>
      </c>
      <c r="D137" s="14" t="str">
        <f>'Danh sách máy'!AJ140</f>
        <v>Setting</v>
      </c>
      <c r="E137" s="25">
        <f>'Danh sách máy'!E140</f>
        <v>45886</v>
      </c>
      <c r="F137" s="378" t="str">
        <f>'Danh sách máy'!AK140</f>
        <v>H.Minh</v>
      </c>
      <c r="G137" s="378" t="str">
        <f>'Danh sách máy'!AL143</f>
        <v>Đ.Chiến</v>
      </c>
      <c r="H137" s="378" t="str">
        <f>'Danh sách máy'!AM143</f>
        <v>A1</v>
      </c>
      <c r="I137" s="377"/>
      <c r="J137" s="377"/>
      <c r="K137" s="377"/>
      <c r="L137" s="377"/>
      <c r="M137" s="377"/>
      <c r="N137" s="377"/>
      <c r="O137" s="377"/>
      <c r="P137" s="377"/>
      <c r="Q137" s="377"/>
      <c r="R137" s="377"/>
      <c r="S137" s="377"/>
      <c r="T137" s="377"/>
      <c r="U137" s="377"/>
      <c r="V137" s="377"/>
      <c r="W137" s="377"/>
      <c r="X137" s="6"/>
    </row>
    <row r="138" spans="1:24" ht="27.6" x14ac:dyDescent="0.25">
      <c r="A138" s="377">
        <v>134</v>
      </c>
      <c r="B138" s="15" t="str">
        <f>'Danh sách máy'!B141</f>
        <v>MEC2404019</v>
      </c>
      <c r="C138" s="13" t="str">
        <f>'Danh sách máy'!AC141</f>
        <v>Máy Loading dạng sheet (robot nhện) line kiểm tra cong vênh　反り矯正検査用蜘蛛の手の投入機</v>
      </c>
      <c r="D138" s="14" t="str">
        <f>'Danh sách máy'!AJ141</f>
        <v>Stop</v>
      </c>
      <c r="E138" s="25">
        <f>'Danh sách máy'!E141</f>
        <v>0</v>
      </c>
      <c r="F138" s="378" t="str">
        <f>'Danh sách máy'!AK141</f>
        <v>H.Minh</v>
      </c>
      <c r="G138" s="378" t="str">
        <f>'Danh sách máy'!AL144</f>
        <v>Đ.Chiến</v>
      </c>
      <c r="H138" s="378" t="str">
        <f>'Danh sách máy'!AM144</f>
        <v>A1</v>
      </c>
      <c r="I138" s="377"/>
      <c r="J138" s="377"/>
      <c r="K138" s="377"/>
      <c r="L138" s="377"/>
      <c r="M138" s="377"/>
      <c r="N138" s="377"/>
      <c r="O138" s="377"/>
      <c r="P138" s="377"/>
      <c r="Q138" s="377"/>
      <c r="R138" s="377"/>
      <c r="S138" s="377"/>
      <c r="T138" s="377"/>
      <c r="U138" s="377"/>
      <c r="V138" s="377"/>
      <c r="W138" s="377"/>
      <c r="X138" s="6"/>
    </row>
    <row r="139" spans="1:24" ht="41.4" x14ac:dyDescent="0.25">
      <c r="A139" s="377">
        <v>135</v>
      </c>
      <c r="B139" s="15" t="str">
        <f>'Danh sách máy'!B142</f>
        <v>MEC2404020</v>
      </c>
      <c r="C139" s="13" t="str">
        <f>'Danh sách máy'!AC142</f>
        <v>Máy Unloading dạng sheet (robot nhện)+ Băng tải  line kiểm tra cong vênh　反り矯正検査用蜘蛛の手の受取機</v>
      </c>
      <c r="D139" s="14" t="str">
        <f>'Danh sách máy'!AJ142</f>
        <v>Stop</v>
      </c>
      <c r="E139" s="25">
        <f>'Danh sách máy'!E142</f>
        <v>0</v>
      </c>
      <c r="F139" s="378" t="str">
        <f>'Danh sách máy'!AK142</f>
        <v>H.Minh</v>
      </c>
      <c r="G139" s="378" t="str">
        <f>'Danh sách máy'!AL145</f>
        <v>Đ.Chiến</v>
      </c>
      <c r="H139" s="378">
        <f>'Danh sách máy'!AM145</f>
        <v>0</v>
      </c>
      <c r="I139" s="377"/>
      <c r="J139" s="377"/>
      <c r="K139" s="377"/>
      <c r="L139" s="377"/>
      <c r="M139" s="377"/>
      <c r="N139" s="377"/>
      <c r="O139" s="377"/>
      <c r="P139" s="377"/>
      <c r="Q139" s="377"/>
      <c r="R139" s="377"/>
      <c r="S139" s="377"/>
      <c r="T139" s="377"/>
      <c r="U139" s="377"/>
      <c r="V139" s="377"/>
      <c r="W139" s="377"/>
      <c r="X139" s="6"/>
    </row>
    <row r="140" spans="1:24" ht="27.6" x14ac:dyDescent="0.25">
      <c r="A140" s="377">
        <v>136</v>
      </c>
      <c r="B140" s="15" t="str">
        <f>'Danh sách máy'!B143</f>
        <v>MEC2404021</v>
      </c>
      <c r="C140" s="13" t="str">
        <f>'Danh sách máy'!AC143</f>
        <v>Máy Loading dạng sheet (robot nhện) line FLUX
フラックス用蜘蛛の手の投入機</v>
      </c>
      <c r="D140" s="14" t="str">
        <f>'Danh sách máy'!AJ143</f>
        <v>Setting</v>
      </c>
      <c r="E140" s="25">
        <f>'Danh sách máy'!E143</f>
        <v>45841</v>
      </c>
      <c r="F140" s="378" t="str">
        <f>'Danh sách máy'!AK143</f>
        <v>H.Minh</v>
      </c>
      <c r="G140" s="378" t="str">
        <f>'Danh sách máy'!AL146</f>
        <v>M.Quyết</v>
      </c>
      <c r="H140" s="378">
        <f>'Danh sách máy'!AM146</f>
        <v>0</v>
      </c>
      <c r="I140" s="377"/>
      <c r="J140" s="377"/>
      <c r="K140" s="377"/>
      <c r="L140" s="377"/>
      <c r="M140" s="377"/>
      <c r="N140" s="377"/>
      <c r="O140" s="377"/>
      <c r="P140" s="377"/>
      <c r="Q140" s="377"/>
      <c r="R140" s="377"/>
      <c r="S140" s="377"/>
      <c r="T140" s="377"/>
      <c r="U140" s="377"/>
      <c r="V140" s="377"/>
      <c r="W140" s="377"/>
      <c r="X140" s="6"/>
    </row>
    <row r="141" spans="1:24" ht="27.6" x14ac:dyDescent="0.25">
      <c r="A141" s="377">
        <v>137</v>
      </c>
      <c r="B141" s="15" t="str">
        <f>'Danh sách máy'!B144</f>
        <v>MEC2404022</v>
      </c>
      <c r="C141" s="13" t="str">
        <f>'Danh sách máy'!AC144</f>
        <v>Máy Unloading dạng sheet (robot nhện)+ Băng tải line FLUX　フラックス用蜘蛛の手の受取機</v>
      </c>
      <c r="D141" s="14" t="str">
        <f>'Danh sách máy'!AJ144</f>
        <v>Setting</v>
      </c>
      <c r="E141" s="25">
        <f>'Danh sách máy'!E144</f>
        <v>45841</v>
      </c>
      <c r="F141" s="378" t="str">
        <f>'Danh sách máy'!AK144</f>
        <v>H.Minh</v>
      </c>
      <c r="G141" s="378" t="str">
        <f>'Danh sách máy'!AL147</f>
        <v>X.Tuyền</v>
      </c>
      <c r="H141" s="378" t="str">
        <f>'Danh sách máy'!AM147</f>
        <v>A1</v>
      </c>
      <c r="I141" s="377"/>
      <c r="J141" s="377"/>
      <c r="K141" s="377"/>
      <c r="L141" s="377"/>
      <c r="M141" s="377"/>
      <c r="N141" s="377"/>
      <c r="O141" s="377"/>
      <c r="P141" s="377"/>
      <c r="Q141" s="377"/>
      <c r="R141" s="377"/>
      <c r="S141" s="377"/>
      <c r="T141" s="377"/>
      <c r="U141" s="377"/>
      <c r="V141" s="377"/>
      <c r="W141" s="377"/>
      <c r="X141" s="6"/>
    </row>
    <row r="142" spans="1:24" ht="27.6" x14ac:dyDescent="0.25">
      <c r="A142" s="377">
        <v>138</v>
      </c>
      <c r="B142" s="15" t="str">
        <f>'Danh sách máy'!B145</f>
        <v>MEC2404023</v>
      </c>
      <c r="C142" s="13" t="str">
        <f>'Danh sách máy'!AC145</f>
        <v>Máy Unloading dạng sheet (robot nhện) + Băng tải
AVI用蜘蛛の手の受取機</v>
      </c>
      <c r="D142" s="14" t="str">
        <f>'Danh sách máy'!AJ145</f>
        <v>Stop</v>
      </c>
      <c r="E142" s="25">
        <f>'Danh sách máy'!E145</f>
        <v>0</v>
      </c>
      <c r="F142" s="378" t="str">
        <f>'Danh sách máy'!AK145</f>
        <v>H.Minh</v>
      </c>
      <c r="G142" s="378" t="str">
        <f>'Danh sách máy'!AL148</f>
        <v>H.Khánh</v>
      </c>
      <c r="H142" s="378">
        <f>'Danh sách máy'!AM148</f>
        <v>0</v>
      </c>
      <c r="I142" s="377"/>
      <c r="J142" s="377"/>
      <c r="K142" s="377"/>
      <c r="L142" s="377"/>
      <c r="M142" s="377"/>
      <c r="N142" s="377"/>
      <c r="O142" s="377"/>
      <c r="P142" s="377"/>
      <c r="Q142" s="377"/>
      <c r="R142" s="377"/>
      <c r="S142" s="377"/>
      <c r="T142" s="377"/>
      <c r="U142" s="377"/>
      <c r="V142" s="377"/>
      <c r="W142" s="377"/>
      <c r="X142" s="6"/>
    </row>
    <row r="143" spans="1:24" ht="27.6" x14ac:dyDescent="0.25">
      <c r="A143" s="377">
        <v>139</v>
      </c>
      <c r="B143" s="15" t="str">
        <f>'Danh sách máy'!B146</f>
        <v>MEC2404024</v>
      </c>
      <c r="C143" s="13" t="str">
        <f>'Danh sách máy'!AC146</f>
        <v xml:space="preserve">スキンパック包装機
Máy đóng gói </v>
      </c>
      <c r="D143" s="14" t="str">
        <f>'Danh sách máy'!AJ146</f>
        <v>stop</v>
      </c>
      <c r="E143" s="25">
        <f>'Danh sách máy'!E146</f>
        <v>0</v>
      </c>
      <c r="F143" s="378" t="str">
        <f>'Danh sách máy'!AK146</f>
        <v>Đ.Thành</v>
      </c>
      <c r="G143" s="378" t="str">
        <f>'Danh sách máy'!AL149</f>
        <v>H.Khánh</v>
      </c>
      <c r="H143" s="378">
        <f>'Danh sách máy'!AM149</f>
        <v>0</v>
      </c>
      <c r="I143" s="377"/>
      <c r="J143" s="377"/>
      <c r="K143" s="377"/>
      <c r="L143" s="377"/>
      <c r="M143" s="377"/>
      <c r="N143" s="377"/>
      <c r="O143" s="377"/>
      <c r="P143" s="377"/>
      <c r="Q143" s="377"/>
      <c r="R143" s="377"/>
      <c r="S143" s="377"/>
      <c r="T143" s="377"/>
      <c r="U143" s="377"/>
      <c r="V143" s="377"/>
      <c r="W143" s="377"/>
      <c r="X143" s="6"/>
    </row>
    <row r="144" spans="1:24" ht="27.6" x14ac:dyDescent="0.25">
      <c r="A144" s="377">
        <v>140</v>
      </c>
      <c r="B144" s="15" t="str">
        <f>'Danh sách máy'!B147</f>
        <v>MEC2403004</v>
      </c>
      <c r="C144" s="13" t="str">
        <f>'Danh sách máy'!AC147</f>
        <v>Test xác nhận concept robot Duaro Kawasaki áp dụng mạch FPC</v>
      </c>
      <c r="D144" s="14" t="str">
        <f>'Danh sách máy'!AJ147</f>
        <v>Finish</v>
      </c>
      <c r="E144" s="25">
        <f>'Danh sách máy'!E147</f>
        <v>45473</v>
      </c>
      <c r="F144" s="378" t="str">
        <f>'Danh sách máy'!AK147</f>
        <v>Đ.Thành</v>
      </c>
      <c r="G144" s="378" t="str">
        <f>'Danh sách máy'!AL150</f>
        <v>H.Khánh</v>
      </c>
      <c r="H144" s="378">
        <f>'Danh sách máy'!AM150</f>
        <v>0</v>
      </c>
      <c r="I144" s="377"/>
      <c r="J144" s="377"/>
      <c r="K144" s="377"/>
      <c r="L144" s="377"/>
      <c r="M144" s="377"/>
      <c r="N144" s="377"/>
      <c r="O144" s="377"/>
      <c r="P144" s="377"/>
      <c r="Q144" s="377"/>
      <c r="R144" s="377"/>
      <c r="S144" s="377"/>
      <c r="T144" s="377"/>
      <c r="U144" s="377"/>
      <c r="V144" s="377"/>
      <c r="W144" s="377"/>
      <c r="X144" s="6"/>
    </row>
    <row r="145" spans="1:24" ht="41.4" x14ac:dyDescent="0.25">
      <c r="A145" s="377">
        <v>141</v>
      </c>
      <c r="B145" s="15" t="str">
        <f>'Danh sách máy'!B148</f>
        <v>MEC2404027</v>
      </c>
      <c r="C145" s="13" t="str">
        <f>'Danh sách máy'!AC148</f>
        <v>SR前処理　受取機
Máy nhận bo line TXL SR (xe Patapata), có xoay bo 180deg</v>
      </c>
      <c r="D145" s="14" t="str">
        <f>'Danh sách máy'!AJ148</f>
        <v>Stop</v>
      </c>
      <c r="E145" s="25">
        <f>'Danh sách máy'!E148</f>
        <v>0</v>
      </c>
      <c r="F145" s="378" t="str">
        <f>'Danh sách máy'!AK148</f>
        <v>V.Quang</v>
      </c>
      <c r="G145" s="378" t="str">
        <f>'Danh sách máy'!AL151</f>
        <v>H.Khánh</v>
      </c>
      <c r="H145" s="378">
        <f>'Danh sách máy'!AM151</f>
        <v>0</v>
      </c>
      <c r="I145" s="377"/>
      <c r="J145" s="377"/>
      <c r="K145" s="377"/>
      <c r="L145" s="377"/>
      <c r="M145" s="377"/>
      <c r="N145" s="377"/>
      <c r="O145" s="377"/>
      <c r="P145" s="377"/>
      <c r="Q145" s="377"/>
      <c r="R145" s="377"/>
      <c r="S145" s="377"/>
      <c r="T145" s="377"/>
      <c r="U145" s="377"/>
      <c r="V145" s="377"/>
      <c r="W145" s="377"/>
      <c r="X145" s="6"/>
    </row>
    <row r="146" spans="1:24" ht="27.6" x14ac:dyDescent="0.25">
      <c r="A146" s="377">
        <v>142</v>
      </c>
      <c r="B146" s="15" t="str">
        <f>'Danh sách máy'!B149</f>
        <v>MEC2404028</v>
      </c>
      <c r="C146" s="13" t="str">
        <f>'Danh sách máy'!AC149</f>
        <v>静電塗布ライン　投入機
Máy đưa bo line phun sơn tĩnh điện (xe Patapata)</v>
      </c>
      <c r="D146" s="14" t="str">
        <f>'Danh sách máy'!AJ149</f>
        <v>Stop</v>
      </c>
      <c r="E146" s="25">
        <f>'Danh sách máy'!E149</f>
        <v>0</v>
      </c>
      <c r="F146" s="378" t="str">
        <f>'Danh sách máy'!AK149</f>
        <v>V.Quang</v>
      </c>
      <c r="G146" s="378" t="str">
        <f>'Danh sách máy'!AL152</f>
        <v>H.Khánh</v>
      </c>
      <c r="H146" s="378">
        <f>'Danh sách máy'!AM152</f>
        <v>0</v>
      </c>
      <c r="I146" s="377"/>
      <c r="J146" s="377"/>
      <c r="K146" s="377"/>
      <c r="L146" s="377"/>
      <c r="M146" s="377"/>
      <c r="N146" s="377"/>
      <c r="O146" s="377"/>
      <c r="P146" s="377"/>
      <c r="Q146" s="377"/>
      <c r="R146" s="377"/>
      <c r="S146" s="377"/>
      <c r="T146" s="377"/>
      <c r="U146" s="377"/>
      <c r="V146" s="377"/>
      <c r="W146" s="377"/>
      <c r="X146" s="6"/>
    </row>
    <row r="147" spans="1:24" ht="41.4" x14ac:dyDescent="0.25">
      <c r="A147" s="377">
        <v>143</v>
      </c>
      <c r="B147" s="15" t="str">
        <f>'Danh sách máy'!B150</f>
        <v>MEC2404029</v>
      </c>
      <c r="C147" s="13" t="str">
        <f>'Danh sách máy'!AC150</f>
        <v>静電塗布ライン　受取機
Máy nhận bo line phun sơn tĩnh điện (xe Patapata), có xoay bo 180deg</v>
      </c>
      <c r="D147" s="14" t="str">
        <f>'Danh sách máy'!AJ150</f>
        <v>Stop</v>
      </c>
      <c r="E147" s="25">
        <f>'Danh sách máy'!E150</f>
        <v>0</v>
      </c>
      <c r="F147" s="378" t="str">
        <f>'Danh sách máy'!AK150</f>
        <v>V.Quang</v>
      </c>
      <c r="G147" s="378" t="str">
        <f>'Danh sách máy'!AL153</f>
        <v>H.Khánh</v>
      </c>
      <c r="H147" s="378">
        <f>'Danh sách máy'!AM153</f>
        <v>0</v>
      </c>
      <c r="I147" s="377"/>
      <c r="J147" s="377"/>
      <c r="K147" s="377"/>
      <c r="L147" s="377"/>
      <c r="M147" s="377"/>
      <c r="N147" s="377"/>
      <c r="O147" s="377"/>
      <c r="P147" s="377"/>
      <c r="Q147" s="377"/>
      <c r="R147" s="377"/>
      <c r="S147" s="377"/>
      <c r="T147" s="377"/>
      <c r="U147" s="377"/>
      <c r="V147" s="377"/>
      <c r="W147" s="377"/>
      <c r="X147" s="6"/>
    </row>
    <row r="148" spans="1:24" ht="41.4" x14ac:dyDescent="0.25">
      <c r="A148" s="377">
        <v>144</v>
      </c>
      <c r="B148" s="15" t="str">
        <f>'Danh sách máy'!B151</f>
        <v>MEC2404030</v>
      </c>
      <c r="C148" s="13" t="str">
        <f>'Danh sách máy'!AC151</f>
        <v>印刷Aライン　投入機 (180度回転投入有無)
Máy đưa bo line in chữ mặt A (xe Patapata), có Mode xoay bo 180deg or not</v>
      </c>
      <c r="D148" s="14" t="str">
        <f>'Danh sách máy'!AJ151</f>
        <v>Stop</v>
      </c>
      <c r="E148" s="25">
        <f>'Danh sách máy'!E151</f>
        <v>0</v>
      </c>
      <c r="F148" s="378" t="str">
        <f>'Danh sách máy'!AK151</f>
        <v>V.Quang</v>
      </c>
      <c r="G148" s="378" t="str">
        <f>'Danh sách máy'!AL154</f>
        <v>H.Khánh</v>
      </c>
      <c r="H148" s="378">
        <f>'Danh sách máy'!AM154</f>
        <v>0</v>
      </c>
      <c r="I148" s="377"/>
      <c r="J148" s="377"/>
      <c r="K148" s="377"/>
      <c r="L148" s="377"/>
      <c r="M148" s="377"/>
      <c r="N148" s="377"/>
      <c r="O148" s="377"/>
      <c r="P148" s="377"/>
      <c r="Q148" s="377"/>
      <c r="R148" s="377"/>
      <c r="S148" s="377"/>
      <c r="T148" s="377"/>
      <c r="U148" s="377"/>
      <c r="V148" s="377"/>
      <c r="W148" s="377"/>
      <c r="X148" s="6"/>
    </row>
    <row r="149" spans="1:24" ht="41.4" x14ac:dyDescent="0.25">
      <c r="A149" s="377">
        <v>145</v>
      </c>
      <c r="B149" s="15" t="str">
        <f>'Danh sách máy'!B152</f>
        <v>MEC2404031</v>
      </c>
      <c r="C149" s="13" t="str">
        <f>'Danh sách máy'!AC152</f>
        <v>印刷Aライン　受取機
Máy nhận bo line  in chữ mặt A (xe Patapata), có xoay bo 180deg</v>
      </c>
      <c r="D149" s="14" t="str">
        <f>'Danh sách máy'!AJ152</f>
        <v>Stop</v>
      </c>
      <c r="E149" s="25">
        <f>'Danh sách máy'!E152</f>
        <v>0</v>
      </c>
      <c r="F149" s="378" t="str">
        <f>'Danh sách máy'!AK152</f>
        <v>V.Quang</v>
      </c>
      <c r="G149" s="378" t="str">
        <f>'Danh sách máy'!AL155</f>
        <v>H.Khánh</v>
      </c>
      <c r="H149" s="378">
        <f>'Danh sách máy'!AM155</f>
        <v>0</v>
      </c>
      <c r="I149" s="377"/>
      <c r="J149" s="377"/>
      <c r="K149" s="377"/>
      <c r="L149" s="377"/>
      <c r="M149" s="377"/>
      <c r="N149" s="377"/>
      <c r="O149" s="377"/>
      <c r="P149" s="377"/>
      <c r="Q149" s="377"/>
      <c r="R149" s="377"/>
      <c r="S149" s="377"/>
      <c r="T149" s="377"/>
      <c r="U149" s="377"/>
      <c r="V149" s="377"/>
      <c r="W149" s="377"/>
      <c r="X149" s="6"/>
    </row>
    <row r="150" spans="1:24" ht="41.4" x14ac:dyDescent="0.25">
      <c r="A150" s="377">
        <v>146</v>
      </c>
      <c r="B150" s="15" t="str">
        <f>'Danh sách máy'!B153</f>
        <v>MEC2404032</v>
      </c>
      <c r="C150" s="13" t="str">
        <f>'Danh sách máy'!AC153</f>
        <v>印刷Bライン　投入機 (180度回転投入有無)
Máy đưa bo line in chữ mặt B (xe Patapata),  có Mode xoay bo 180deg or not</v>
      </c>
      <c r="D150" s="14" t="str">
        <f>'Danh sách máy'!AJ153</f>
        <v>Stop</v>
      </c>
      <c r="E150" s="25">
        <f>'Danh sách máy'!E153</f>
        <v>0</v>
      </c>
      <c r="F150" s="378" t="str">
        <f>'Danh sách máy'!AK153</f>
        <v>V.Quang</v>
      </c>
      <c r="G150" s="378" t="str">
        <f>'Danh sách máy'!AL156</f>
        <v>V.Lâm</v>
      </c>
      <c r="H150" s="378" t="str">
        <f>'Danh sách máy'!AM156</f>
        <v>A1</v>
      </c>
      <c r="I150" s="377"/>
      <c r="J150" s="377"/>
      <c r="K150" s="377"/>
      <c r="L150" s="377"/>
      <c r="M150" s="377"/>
      <c r="N150" s="377"/>
      <c r="O150" s="377"/>
      <c r="P150" s="377"/>
      <c r="Q150" s="377"/>
      <c r="R150" s="377"/>
      <c r="S150" s="377"/>
      <c r="T150" s="377"/>
      <c r="U150" s="377"/>
      <c r="V150" s="377"/>
      <c r="W150" s="377"/>
      <c r="X150" s="6"/>
    </row>
    <row r="151" spans="1:24" ht="41.4" x14ac:dyDescent="0.25">
      <c r="A151" s="377">
        <v>147</v>
      </c>
      <c r="B151" s="15" t="str">
        <f>'Danh sách máy'!B154</f>
        <v>MEC2404033</v>
      </c>
      <c r="C151" s="13" t="str">
        <f>'Danh sách máy'!AC154</f>
        <v>印刷Bライン　受取機
Máy nhận bo line  in chữ mặt B (xe Patapata), có xoay bo 180deg</v>
      </c>
      <c r="D151" s="14" t="str">
        <f>'Danh sách máy'!AJ154</f>
        <v>Stop</v>
      </c>
      <c r="E151" s="25">
        <f>'Danh sách máy'!E154</f>
        <v>0</v>
      </c>
      <c r="F151" s="378" t="str">
        <f>'Danh sách máy'!AK154</f>
        <v>V.Quang</v>
      </c>
      <c r="G151" s="378" t="str">
        <f>'Danh sách máy'!AL157</f>
        <v>V.Lâm</v>
      </c>
      <c r="H151" s="378" t="str">
        <f>'Danh sách máy'!AM157</f>
        <v>A1</v>
      </c>
      <c r="I151" s="377"/>
      <c r="J151" s="377"/>
      <c r="K151" s="377"/>
      <c r="L151" s="377"/>
      <c r="M151" s="377"/>
      <c r="N151" s="377"/>
      <c r="O151" s="377"/>
      <c r="P151" s="377"/>
      <c r="Q151" s="377"/>
      <c r="R151" s="377"/>
      <c r="S151" s="377"/>
      <c r="T151" s="377"/>
      <c r="U151" s="377"/>
      <c r="V151" s="377"/>
      <c r="W151" s="377"/>
      <c r="X151" s="6"/>
    </row>
    <row r="152" spans="1:24" ht="41.4" x14ac:dyDescent="0.25">
      <c r="A152" s="377">
        <v>148</v>
      </c>
      <c r="B152" s="15" t="str">
        <f>'Danh sách máy'!B155</f>
        <v>MEC2404034</v>
      </c>
      <c r="C152" s="13" t="str">
        <f>'Danh sách máy'!AC155</f>
        <v>露光Aライン 　投入機 (90度回転)
Máy đưa bo line in chữ mặt B (xe Patapata),  có xoay bo 90deg</v>
      </c>
      <c r="D152" s="14" t="str">
        <f>'Danh sách máy'!AJ155</f>
        <v>Stop</v>
      </c>
      <c r="E152" s="25">
        <f>'Danh sách máy'!E155</f>
        <v>0</v>
      </c>
      <c r="F152" s="378" t="str">
        <f>'Danh sách máy'!AK155</f>
        <v>V.Quang</v>
      </c>
      <c r="G152" s="378" t="str">
        <f>'Danh sách máy'!AL158</f>
        <v>T.Quang</v>
      </c>
      <c r="H152" s="378" t="str">
        <f>'Danh sách máy'!AM158</f>
        <v>A3</v>
      </c>
      <c r="I152" s="377"/>
      <c r="J152" s="377"/>
      <c r="K152" s="377"/>
      <c r="L152" s="377"/>
      <c r="M152" s="377"/>
      <c r="N152" s="377"/>
      <c r="O152" s="377"/>
      <c r="P152" s="377"/>
      <c r="Q152" s="377"/>
      <c r="R152" s="377"/>
      <c r="S152" s="377"/>
      <c r="T152" s="377"/>
      <c r="U152" s="377"/>
      <c r="V152" s="377"/>
      <c r="W152" s="377"/>
      <c r="X152" s="6"/>
    </row>
    <row r="153" spans="1:24" ht="27.6" x14ac:dyDescent="0.25">
      <c r="A153" s="377">
        <v>149</v>
      </c>
      <c r="B153" s="15" t="str">
        <f>'Danh sách máy'!B156</f>
        <v>MEC2404035</v>
      </c>
      <c r="C153" s="13" t="str">
        <f>'Danh sách máy'!AC156</f>
        <v>CCD穴明機 #1 用 投入機
Máy đưa bo cho máy gia công lỗ CCD#1</v>
      </c>
      <c r="D153" s="14" t="str">
        <f>'Danh sách máy'!AJ156</f>
        <v>Finish</v>
      </c>
      <c r="E153" s="25">
        <f>'Danh sách máy'!E156</f>
        <v>45886</v>
      </c>
      <c r="F153" s="378" t="str">
        <f>'Danh sách máy'!AK156</f>
        <v>L.Trường</v>
      </c>
      <c r="G153" s="378" t="str">
        <f>'Danh sách máy'!AL159</f>
        <v>T.Quang</v>
      </c>
      <c r="H153" s="378" t="str">
        <f>'Danh sách máy'!AM159</f>
        <v>A3</v>
      </c>
      <c r="I153" s="377"/>
      <c r="J153" s="377"/>
      <c r="K153" s="377"/>
      <c r="L153" s="377"/>
      <c r="M153" s="377"/>
      <c r="N153" s="377"/>
      <c r="O153" s="377"/>
      <c r="P153" s="377"/>
      <c r="Q153" s="377"/>
      <c r="R153" s="377"/>
      <c r="S153" s="377"/>
      <c r="T153" s="377"/>
      <c r="U153" s="377"/>
      <c r="V153" s="377"/>
      <c r="W153" s="377"/>
      <c r="X153" s="6"/>
    </row>
    <row r="154" spans="1:24" ht="27.6" x14ac:dyDescent="0.25">
      <c r="A154" s="377">
        <v>150</v>
      </c>
      <c r="B154" s="15" t="str">
        <f>'Danh sách máy'!B157</f>
        <v>MEC2404036</v>
      </c>
      <c r="C154" s="13" t="str">
        <f>'Danh sách máy'!AC157</f>
        <v>CCD穴明機 #1 用 受取機
Máy nhận bo cho máy gia công lỗ CCD#1</v>
      </c>
      <c r="D154" s="14" t="str">
        <f>'Danh sách máy'!AJ157</f>
        <v>Finish</v>
      </c>
      <c r="E154" s="25">
        <f>'Danh sách máy'!E157</f>
        <v>45886</v>
      </c>
      <c r="F154" s="378" t="str">
        <f>'Danh sách máy'!AK157</f>
        <v>L.Trường</v>
      </c>
      <c r="G154" s="378" t="str">
        <f>'Danh sách máy'!AL160</f>
        <v>X.Tuyền</v>
      </c>
      <c r="H154" s="378" t="str">
        <f>'Danh sách máy'!AM160</f>
        <v>A1</v>
      </c>
      <c r="I154" s="377"/>
      <c r="J154" s="377"/>
      <c r="K154" s="377"/>
      <c r="L154" s="377"/>
      <c r="M154" s="377"/>
      <c r="N154" s="377"/>
      <c r="O154" s="377"/>
      <c r="P154" s="377"/>
      <c r="Q154" s="377"/>
      <c r="R154" s="377"/>
      <c r="S154" s="377"/>
      <c r="T154" s="377"/>
      <c r="U154" s="377"/>
      <c r="V154" s="377"/>
      <c r="W154" s="377"/>
      <c r="X154" s="6"/>
    </row>
    <row r="155" spans="1:24" x14ac:dyDescent="0.25">
      <c r="A155" s="377">
        <v>151</v>
      </c>
      <c r="B155" s="15" t="str">
        <f>'Danh sách máy'!B158</f>
        <v>MEC2501034</v>
      </c>
      <c r="C155" s="13" t="str">
        <f>'Danh sách máy'!AC158</f>
        <v>Loading machine for line VCP</v>
      </c>
      <c r="D155" s="14" t="str">
        <f>'Danh sách máy'!AJ158</f>
        <v>Finish</v>
      </c>
      <c r="E155" s="25">
        <f>'Danh sách máy'!E158</f>
        <v>45868</v>
      </c>
      <c r="F155" s="378" t="str">
        <f>'Danh sách máy'!AK158</f>
        <v>L.Trường</v>
      </c>
      <c r="G155" s="378" t="str">
        <f>'Danh sách máy'!AL161</f>
        <v>H.Quang</v>
      </c>
      <c r="H155" s="378" t="str">
        <f>'Danh sách máy'!AM161</f>
        <v>A1</v>
      </c>
      <c r="I155" s="377"/>
      <c r="J155" s="377"/>
      <c r="K155" s="377"/>
      <c r="L155" s="377"/>
      <c r="M155" s="377"/>
      <c r="N155" s="377"/>
      <c r="O155" s="377"/>
      <c r="P155" s="377"/>
      <c r="Q155" s="377"/>
      <c r="R155" s="377"/>
      <c r="S155" s="377"/>
      <c r="T155" s="377"/>
      <c r="U155" s="377"/>
      <c r="V155" s="377"/>
      <c r="W155" s="377"/>
      <c r="X155" s="6"/>
    </row>
    <row r="156" spans="1:24" x14ac:dyDescent="0.25">
      <c r="A156" s="377">
        <v>152</v>
      </c>
      <c r="B156" s="15" t="str">
        <f>'Danh sách máy'!B159</f>
        <v>MEC2501035</v>
      </c>
      <c r="C156" s="13" t="str">
        <f>'Danh sách máy'!AC159</f>
        <v>Unloading machine for line VCP</v>
      </c>
      <c r="D156" s="14" t="str">
        <f>'Danh sách máy'!AJ159</f>
        <v>Finish</v>
      </c>
      <c r="E156" s="25">
        <f>'Danh sách máy'!E159</f>
        <v>45868</v>
      </c>
      <c r="F156" s="378" t="str">
        <f>'Danh sách máy'!AK159</f>
        <v>L.Trường</v>
      </c>
      <c r="G156" s="378" t="str">
        <f>'Danh sách máy'!AL162</f>
        <v>V.Lâm</v>
      </c>
      <c r="H156" s="378" t="str">
        <f>'Danh sách máy'!AM162</f>
        <v>A1</v>
      </c>
      <c r="I156" s="377"/>
      <c r="J156" s="377"/>
      <c r="K156" s="377"/>
      <c r="L156" s="377"/>
      <c r="M156" s="377"/>
      <c r="N156" s="377"/>
      <c r="O156" s="377"/>
      <c r="P156" s="377"/>
      <c r="Q156" s="377"/>
      <c r="R156" s="377"/>
      <c r="S156" s="377"/>
      <c r="T156" s="377"/>
      <c r="U156" s="377"/>
      <c r="V156" s="377"/>
      <c r="W156" s="377"/>
      <c r="X156" s="6"/>
    </row>
    <row r="157" spans="1:24" ht="27.6" x14ac:dyDescent="0.25">
      <c r="A157" s="377">
        <v>153</v>
      </c>
      <c r="B157" s="15" t="str">
        <f>'Danh sách máy'!B160</f>
        <v>MEC2404026</v>
      </c>
      <c r="C157" s="13" t="str">
        <f>'Danh sách máy'!AC160</f>
        <v>Cải tiến lắp thêm đầu đọc 2D và xuất tín hiệu NG cho băng tải Line DES TENDOU</v>
      </c>
      <c r="D157" s="14" t="str">
        <f>'Danh sách máy'!AJ160</f>
        <v>Finish</v>
      </c>
      <c r="E157" s="25">
        <f>'Danh sách máy'!E160</f>
        <v>45446</v>
      </c>
      <c r="F157" s="378" t="str">
        <f>'Danh sách máy'!AK160</f>
        <v>T.Tuấn</v>
      </c>
      <c r="G157" s="378" t="str">
        <f>'Danh sách máy'!AL163</f>
        <v>V.Lâm</v>
      </c>
      <c r="H157" s="378" t="str">
        <f>'Danh sách máy'!AM163</f>
        <v>A1</v>
      </c>
      <c r="I157" s="377"/>
      <c r="J157" s="377"/>
      <c r="K157" s="377"/>
      <c r="L157" s="377"/>
      <c r="M157" s="377"/>
      <c r="N157" s="377"/>
      <c r="O157" s="377"/>
      <c r="P157" s="377"/>
      <c r="Q157" s="377"/>
      <c r="R157" s="377"/>
      <c r="S157" s="377"/>
      <c r="T157" s="377"/>
      <c r="U157" s="377"/>
      <c r="V157" s="377"/>
      <c r="W157" s="377"/>
      <c r="X157" s="6"/>
    </row>
    <row r="158" spans="1:24" x14ac:dyDescent="0.25">
      <c r="A158" s="377">
        <v>154</v>
      </c>
      <c r="B158" s="15" t="str">
        <f>'Danh sách máy'!B161</f>
        <v>MEC2403109</v>
      </c>
      <c r="C158" s="13" t="str">
        <f>'Danh sách máy'!AC161</f>
        <v>Máy sheet unload line mạ thiếc kiểu Băng tải ngắn</v>
      </c>
      <c r="D158" s="14" t="str">
        <f>'Danh sách máy'!AJ161</f>
        <v>Finish</v>
      </c>
      <c r="E158" s="25">
        <f>'Danh sách máy'!E161</f>
        <v>45471</v>
      </c>
      <c r="F158" s="378" t="str">
        <f>'Danh sách máy'!AK161</f>
        <v>T.Tuấn</v>
      </c>
      <c r="G158" s="378" t="str">
        <f>'Danh sách máy'!AL164</f>
        <v>V.Lâm</v>
      </c>
      <c r="H158" s="378" t="str">
        <f>'Danh sách máy'!AM164</f>
        <v>A1</v>
      </c>
      <c r="I158" s="377"/>
      <c r="J158" s="377"/>
      <c r="K158" s="377"/>
      <c r="L158" s="377"/>
      <c r="M158" s="377"/>
      <c r="N158" s="377"/>
      <c r="O158" s="377"/>
      <c r="P158" s="377"/>
      <c r="Q158" s="377"/>
      <c r="R158" s="377"/>
      <c r="S158" s="377"/>
      <c r="T158" s="377"/>
      <c r="U158" s="377"/>
      <c r="V158" s="377"/>
      <c r="W158" s="377"/>
      <c r="X158" s="6"/>
    </row>
    <row r="159" spans="1:24" ht="27.6" x14ac:dyDescent="0.25">
      <c r="A159" s="377">
        <v>155</v>
      </c>
      <c r="B159" s="15" t="str">
        <f>'Danh sách máy'!B162</f>
        <v>MEC2403006</v>
      </c>
      <c r="C159" s="13" t="str">
        <f>'Danh sách máy'!AC162</f>
        <v>Cải tiến máy 2d barcode số 1 MKVC (nâng cấp máy 1 đang hỏng như máy 2 và 3)</v>
      </c>
      <c r="D159" s="14" t="str">
        <f>'Danh sách máy'!AJ162</f>
        <v>Finish</v>
      </c>
      <c r="E159" s="25">
        <f>'Danh sách máy'!E162</f>
        <v>45503</v>
      </c>
      <c r="F159" s="378" t="str">
        <f>'Danh sách máy'!AK162</f>
        <v>H.Minh</v>
      </c>
      <c r="G159" s="378">
        <f>'Danh sách máy'!AL165</f>
        <v>0</v>
      </c>
      <c r="H159" s="378">
        <f>'Danh sách máy'!AM165</f>
        <v>0</v>
      </c>
      <c r="I159" s="377"/>
      <c r="J159" s="377"/>
      <c r="K159" s="377"/>
      <c r="L159" s="377"/>
      <c r="M159" s="377"/>
      <c r="N159" s="377"/>
      <c r="O159" s="377"/>
      <c r="P159" s="377"/>
      <c r="Q159" s="377"/>
      <c r="R159" s="377"/>
      <c r="S159" s="377"/>
      <c r="T159" s="377"/>
      <c r="U159" s="377"/>
      <c r="V159" s="377"/>
      <c r="W159" s="377"/>
      <c r="X159" s="6"/>
    </row>
    <row r="160" spans="1:24" ht="27.6" x14ac:dyDescent="0.25">
      <c r="A160" s="377">
        <v>156</v>
      </c>
      <c r="B160" s="15" t="str">
        <f>'Danh sách máy'!B163</f>
        <v>MEC2405019</v>
      </c>
      <c r="C160" s="13" t="str">
        <f>'Danh sách máy'!AC163</f>
        <v>Máy khắc 2D code bo mạch, tự động Load và Unload #2</v>
      </c>
      <c r="D160" s="14" t="str">
        <f>'Danh sách máy'!AJ163</f>
        <v>Finish</v>
      </c>
      <c r="E160" s="25">
        <f>'Danh sách máy'!E163</f>
        <v>45533</v>
      </c>
      <c r="F160" s="378" t="str">
        <f>'Danh sách máy'!AK163</f>
        <v>X.Thành</v>
      </c>
      <c r="G160" s="378">
        <f>'Danh sách máy'!AL166</f>
        <v>0</v>
      </c>
      <c r="H160" s="378">
        <f>'Danh sách máy'!AM166</f>
        <v>0</v>
      </c>
      <c r="I160" s="377"/>
      <c r="J160" s="377"/>
      <c r="K160" s="377"/>
      <c r="L160" s="377"/>
      <c r="M160" s="377"/>
      <c r="N160" s="377"/>
      <c r="O160" s="377"/>
      <c r="P160" s="377"/>
      <c r="Q160" s="377"/>
      <c r="R160" s="377"/>
      <c r="S160" s="377"/>
      <c r="T160" s="377"/>
      <c r="U160" s="377"/>
      <c r="V160" s="377"/>
      <c r="W160" s="377"/>
      <c r="X160" s="6"/>
    </row>
    <row r="161" spans="1:24" x14ac:dyDescent="0.25">
      <c r="A161" s="377">
        <v>157</v>
      </c>
      <c r="B161" s="15" t="str">
        <f>'Danh sách máy'!B164</f>
        <v>MEC2401015</v>
      </c>
      <c r="C161" s="13" t="str">
        <f>'Danh sách máy'!AC164</f>
        <v>Máy check 2D code hệ X-Y MKTC</v>
      </c>
      <c r="D161" s="14" t="str">
        <f>'Danh sách máy'!AJ164</f>
        <v>Finish</v>
      </c>
      <c r="E161" s="25">
        <f>'Danh sách máy'!E164</f>
        <v>45532</v>
      </c>
      <c r="F161" s="378" t="str">
        <f>'Danh sách máy'!AK164</f>
        <v>V.Giang</v>
      </c>
      <c r="G161" s="378">
        <f>'Danh sách máy'!AL167</f>
        <v>0</v>
      </c>
      <c r="H161" s="378">
        <f>'Danh sách máy'!AM167</f>
        <v>0</v>
      </c>
      <c r="I161" s="377"/>
      <c r="J161" s="377"/>
      <c r="K161" s="377"/>
      <c r="L161" s="377"/>
      <c r="M161" s="377"/>
      <c r="N161" s="377"/>
      <c r="O161" s="377"/>
      <c r="P161" s="377"/>
      <c r="Q161" s="377"/>
      <c r="R161" s="377"/>
      <c r="S161" s="377"/>
      <c r="T161" s="377"/>
      <c r="U161" s="377"/>
      <c r="V161" s="377"/>
      <c r="W161" s="377"/>
      <c r="X161" s="6"/>
    </row>
    <row r="162" spans="1:24" ht="27.6" x14ac:dyDescent="0.25">
      <c r="A162" s="377">
        <v>158</v>
      </c>
      <c r="B162" s="15">
        <f>'Danh sách máy'!B165</f>
        <v>0</v>
      </c>
      <c r="C162" s="13" t="str">
        <f>'Danh sách máy'!AC165</f>
        <v>VCP電解銅メッキライン  投入機（Lラック)_1号機
Máy đưa bo Lrack Line mạ đồng VCP (Máy số 1)</v>
      </c>
      <c r="D162" s="14" t="str">
        <f>'Danh sách máy'!AJ165</f>
        <v>Stop</v>
      </c>
      <c r="E162" s="25">
        <f>'Danh sách máy'!E165</f>
        <v>0</v>
      </c>
      <c r="F162" s="378">
        <f>'Danh sách máy'!AK165</f>
        <v>0</v>
      </c>
      <c r="G162" s="378">
        <f>'Danh sách máy'!AL168</f>
        <v>0</v>
      </c>
      <c r="H162" s="378">
        <f>'Danh sách máy'!AM168</f>
        <v>0</v>
      </c>
      <c r="I162" s="377"/>
      <c r="J162" s="377"/>
      <c r="K162" s="377"/>
      <c r="L162" s="377"/>
      <c r="M162" s="377"/>
      <c r="N162" s="377"/>
      <c r="O162" s="377"/>
      <c r="P162" s="377"/>
      <c r="Q162" s="377"/>
      <c r="R162" s="377"/>
      <c r="S162" s="377"/>
      <c r="T162" s="377"/>
      <c r="U162" s="377"/>
      <c r="V162" s="377"/>
      <c r="W162" s="377"/>
      <c r="X162" s="6"/>
    </row>
    <row r="163" spans="1:24" ht="27.6" x14ac:dyDescent="0.25">
      <c r="A163" s="377">
        <v>159</v>
      </c>
      <c r="B163" s="15">
        <f>'Danh sách máy'!B166</f>
        <v>0</v>
      </c>
      <c r="C163" s="13" t="str">
        <f>'Danh sách máy'!AC166</f>
        <v>VCP電解銅メッキライン  投入機（Lラック)_2号機
Máy đưa bo Lrack Line mạ đồng VCP (Máy số 21)</v>
      </c>
      <c r="D163" s="14" t="str">
        <f>'Danh sách máy'!AJ166</f>
        <v>Stop</v>
      </c>
      <c r="E163" s="25">
        <f>'Danh sách máy'!E166</f>
        <v>0</v>
      </c>
      <c r="F163" s="378">
        <f>'Danh sách máy'!AK166</f>
        <v>0</v>
      </c>
      <c r="G163" s="378">
        <f>'Danh sách máy'!AL169</f>
        <v>0</v>
      </c>
      <c r="H163" s="378">
        <f>'Danh sách máy'!AM169</f>
        <v>0</v>
      </c>
      <c r="I163" s="377"/>
      <c r="J163" s="377"/>
      <c r="K163" s="377"/>
      <c r="L163" s="377"/>
      <c r="M163" s="377"/>
      <c r="N163" s="377"/>
      <c r="O163" s="377"/>
      <c r="P163" s="377"/>
      <c r="Q163" s="377"/>
      <c r="R163" s="377"/>
      <c r="S163" s="377"/>
      <c r="T163" s="377"/>
      <c r="U163" s="377"/>
      <c r="V163" s="377"/>
      <c r="W163" s="377"/>
      <c r="X163" s="6"/>
    </row>
    <row r="164" spans="1:24" ht="27.6" x14ac:dyDescent="0.25">
      <c r="A164" s="377">
        <v>160</v>
      </c>
      <c r="B164" s="15">
        <f>'Danh sách máy'!B167</f>
        <v>0</v>
      </c>
      <c r="C164" s="13" t="str">
        <f>'Danh sách máy'!AC167</f>
        <v>VCP電解銅メッキライン  投入機（Lラック)_3号機
Máy đưa bo Lrack Line mạ đồng VCP (Máy số 3)</v>
      </c>
      <c r="D164" s="14" t="str">
        <f>'Danh sách máy'!AJ167</f>
        <v>Stop</v>
      </c>
      <c r="E164" s="25">
        <f>'Danh sách máy'!E167</f>
        <v>0</v>
      </c>
      <c r="F164" s="378">
        <f>'Danh sách máy'!AK167</f>
        <v>0</v>
      </c>
      <c r="G164" s="378">
        <f>'Danh sách máy'!AL170</f>
        <v>0</v>
      </c>
      <c r="H164" s="378">
        <f>'Danh sách máy'!AM170</f>
        <v>0</v>
      </c>
      <c r="I164" s="377"/>
      <c r="J164" s="377"/>
      <c r="K164" s="377"/>
      <c r="L164" s="377"/>
      <c r="M164" s="377"/>
      <c r="N164" s="377"/>
      <c r="O164" s="377"/>
      <c r="P164" s="377"/>
      <c r="Q164" s="377"/>
      <c r="R164" s="377"/>
      <c r="S164" s="377"/>
      <c r="T164" s="377"/>
      <c r="U164" s="377"/>
      <c r="V164" s="377"/>
      <c r="W164" s="377"/>
      <c r="X164" s="6"/>
    </row>
    <row r="165" spans="1:24" ht="27.6" x14ac:dyDescent="0.25">
      <c r="A165" s="377">
        <v>161</v>
      </c>
      <c r="B165" s="15">
        <f>'Danh sách máy'!B168</f>
        <v>0</v>
      </c>
      <c r="C165" s="13" t="str">
        <f>'Danh sách máy'!AC168</f>
        <v>VCP電解銅メッキライン  投入機（Lラック)_4号機
Máy đưa bo Lrack Line mạ đồng VCP (Máy số 4)</v>
      </c>
      <c r="D165" s="14" t="str">
        <f>'Danh sách máy'!AJ168</f>
        <v>Stop</v>
      </c>
      <c r="E165" s="25">
        <f>'Danh sách máy'!E168</f>
        <v>0</v>
      </c>
      <c r="F165" s="378">
        <f>'Danh sách máy'!AK168</f>
        <v>0</v>
      </c>
      <c r="G165" s="378">
        <f>'Danh sách máy'!AL171</f>
        <v>0</v>
      </c>
      <c r="H165" s="378">
        <f>'Danh sách máy'!AM171</f>
        <v>0</v>
      </c>
      <c r="I165" s="377"/>
      <c r="J165" s="377"/>
      <c r="K165" s="377"/>
      <c r="L165" s="377"/>
      <c r="M165" s="377"/>
      <c r="N165" s="377"/>
      <c r="O165" s="377"/>
      <c r="P165" s="377"/>
      <c r="Q165" s="377"/>
      <c r="R165" s="377"/>
      <c r="S165" s="377"/>
      <c r="T165" s="377"/>
      <c r="U165" s="377"/>
      <c r="V165" s="377"/>
      <c r="W165" s="377"/>
      <c r="X165" s="6"/>
    </row>
    <row r="166" spans="1:24" ht="27.6" x14ac:dyDescent="0.25">
      <c r="A166" s="377">
        <v>162</v>
      </c>
      <c r="B166" s="15">
        <f>'Danh sách máy'!B169</f>
        <v>0</v>
      </c>
      <c r="C166" s="13" t="str">
        <f>'Danh sách máy'!AC169</f>
        <v>CZ前処理ライン 投入機（Lラック・合紙）
Máy đưa bo L rack có tấm cách bo line tiền xử lý CZ</v>
      </c>
      <c r="D166" s="14" t="str">
        <f>'Danh sách máy'!AJ169</f>
        <v>Stop</v>
      </c>
      <c r="E166" s="25">
        <f>'Danh sách máy'!E169</f>
        <v>0</v>
      </c>
      <c r="F166" s="378">
        <f>'Danh sách máy'!AK169</f>
        <v>0</v>
      </c>
      <c r="G166" s="378">
        <f>'Danh sách máy'!AL172</f>
        <v>0</v>
      </c>
      <c r="H166" s="378">
        <f>'Danh sách máy'!AM172</f>
        <v>0</v>
      </c>
      <c r="I166" s="377"/>
      <c r="J166" s="377"/>
      <c r="K166" s="377"/>
      <c r="L166" s="377"/>
      <c r="M166" s="377"/>
      <c r="N166" s="377"/>
      <c r="O166" s="377"/>
      <c r="P166" s="377"/>
      <c r="Q166" s="377"/>
      <c r="R166" s="377"/>
      <c r="S166" s="377"/>
      <c r="T166" s="377"/>
      <c r="U166" s="377"/>
      <c r="V166" s="377"/>
      <c r="W166" s="377"/>
      <c r="X166" s="6"/>
    </row>
    <row r="167" spans="1:24" ht="27.6" x14ac:dyDescent="0.25">
      <c r="A167" s="377">
        <v>163</v>
      </c>
      <c r="B167" s="15">
        <f>'Danh sách máy'!B170</f>
        <v>0</v>
      </c>
      <c r="C167" s="13" t="str">
        <f>'Danh sách máy'!AC170</f>
        <v>CZ前処理ライン  投入機（Vラック)
Máy đưa bo Vrack Line tiền xử lý CZ</v>
      </c>
      <c r="D167" s="14" t="str">
        <f>'Danh sách máy'!AJ170</f>
        <v>Stop</v>
      </c>
      <c r="E167" s="25">
        <f>'Danh sách máy'!E170</f>
        <v>0</v>
      </c>
      <c r="F167" s="378">
        <f>'Danh sách máy'!AK170</f>
        <v>0</v>
      </c>
      <c r="G167" s="378">
        <f>'Danh sách máy'!AL173</f>
        <v>0</v>
      </c>
      <c r="H167" s="378">
        <f>'Danh sách máy'!AM173</f>
        <v>0</v>
      </c>
      <c r="I167" s="377"/>
      <c r="J167" s="377"/>
      <c r="K167" s="377"/>
      <c r="L167" s="377"/>
      <c r="M167" s="377"/>
      <c r="N167" s="377"/>
      <c r="O167" s="377"/>
      <c r="P167" s="377"/>
      <c r="Q167" s="377"/>
      <c r="R167" s="377"/>
      <c r="S167" s="377"/>
      <c r="T167" s="377"/>
      <c r="U167" s="377"/>
      <c r="V167" s="377"/>
      <c r="W167" s="377"/>
      <c r="X167" s="6"/>
    </row>
    <row r="168" spans="1:24" ht="27.6" x14ac:dyDescent="0.25">
      <c r="A168" s="377">
        <v>164</v>
      </c>
      <c r="B168" s="15">
        <f>'Danh sách máy'!B171</f>
        <v>0</v>
      </c>
      <c r="C168" s="13" t="str">
        <f>'Danh sách máy'!AC171</f>
        <v>VCP電気メッキ(#9) 投入機（Vラック・合紙）
Máy đưa bo V rack TYPE 4 line mạ đông #9</v>
      </c>
      <c r="D168" s="14" t="str">
        <f>'Danh sách máy'!AJ171</f>
        <v>Stop</v>
      </c>
      <c r="E168" s="25">
        <f>'Danh sách máy'!E171</f>
        <v>0</v>
      </c>
      <c r="F168" s="378">
        <f>'Danh sách máy'!AK171</f>
        <v>0</v>
      </c>
      <c r="G168" s="378">
        <f>'Danh sách máy'!AL174</f>
        <v>0</v>
      </c>
      <c r="H168" s="378">
        <f>'Danh sách máy'!AM174</f>
        <v>0</v>
      </c>
      <c r="I168" s="377"/>
      <c r="J168" s="377"/>
      <c r="K168" s="377"/>
      <c r="L168" s="377"/>
      <c r="M168" s="377"/>
      <c r="N168" s="377"/>
      <c r="O168" s="377"/>
      <c r="P168" s="377"/>
      <c r="Q168" s="377"/>
      <c r="R168" s="377"/>
      <c r="S168" s="377"/>
      <c r="T168" s="377"/>
      <c r="U168" s="377"/>
      <c r="V168" s="377"/>
      <c r="W168" s="377"/>
      <c r="X168" s="6"/>
    </row>
    <row r="169" spans="1:24" ht="27.6" x14ac:dyDescent="0.25">
      <c r="A169" s="377">
        <v>165</v>
      </c>
      <c r="B169" s="15">
        <f>'Danh sách máy'!B172</f>
        <v>0</v>
      </c>
      <c r="C169" s="13" t="str">
        <f>'Danh sách máy'!AC172</f>
        <v>VCP電気メッキ(#10) 投入機（Vラック・合紙）
Máy đưa bo V rack TYPE 4 line mạ đông #10</v>
      </c>
      <c r="D169" s="14" t="str">
        <f>'Danh sách máy'!AJ172</f>
        <v>Stop</v>
      </c>
      <c r="E169" s="25">
        <f>'Danh sách máy'!E172</f>
        <v>0</v>
      </c>
      <c r="F169" s="378">
        <f>'Danh sách máy'!AK172</f>
        <v>0</v>
      </c>
      <c r="G169" s="378">
        <f>'Danh sách máy'!AL175</f>
        <v>0</v>
      </c>
      <c r="H169" s="378">
        <f>'Danh sách máy'!AM175</f>
        <v>0</v>
      </c>
      <c r="I169" s="377"/>
      <c r="J169" s="377"/>
      <c r="K169" s="377"/>
      <c r="L169" s="377"/>
      <c r="M169" s="377"/>
      <c r="N169" s="377"/>
      <c r="O169" s="377"/>
      <c r="P169" s="377"/>
      <c r="Q169" s="377"/>
      <c r="R169" s="377"/>
      <c r="S169" s="377"/>
      <c r="T169" s="377"/>
      <c r="U169" s="377"/>
      <c r="V169" s="377"/>
      <c r="W169" s="377"/>
      <c r="X169" s="6"/>
    </row>
    <row r="170" spans="1:24" ht="27.6" x14ac:dyDescent="0.25">
      <c r="A170" s="377">
        <v>166</v>
      </c>
      <c r="B170" s="15">
        <f>'Danh sách máy'!B173</f>
        <v>0</v>
      </c>
      <c r="C170" s="13" t="str">
        <f>'Danh sách máy'!AC173</f>
        <v>VCP電気メッキ(#11) 投入機（Vラック・合紙）
Máy đưa bo V rack TYPE 4 line mạ đông #11</v>
      </c>
      <c r="D170" s="14" t="str">
        <f>'Danh sách máy'!AJ173</f>
        <v>Stop</v>
      </c>
      <c r="E170" s="25">
        <f>'Danh sách máy'!E173</f>
        <v>0</v>
      </c>
      <c r="F170" s="378">
        <f>'Danh sách máy'!AK173</f>
        <v>0</v>
      </c>
      <c r="G170" s="378">
        <f>'Danh sách máy'!AL176</f>
        <v>0</v>
      </c>
      <c r="H170" s="378">
        <f>'Danh sách máy'!AM176</f>
        <v>0</v>
      </c>
      <c r="I170" s="377"/>
      <c r="J170" s="377"/>
      <c r="K170" s="377"/>
      <c r="L170" s="377"/>
      <c r="M170" s="377"/>
      <c r="N170" s="377"/>
      <c r="O170" s="377"/>
      <c r="P170" s="377"/>
      <c r="Q170" s="377"/>
      <c r="R170" s="377"/>
      <c r="S170" s="377"/>
      <c r="T170" s="377"/>
      <c r="U170" s="377"/>
      <c r="V170" s="377"/>
      <c r="W170" s="377"/>
      <c r="X170" s="6"/>
    </row>
    <row r="171" spans="1:24" ht="27.6" x14ac:dyDescent="0.25">
      <c r="A171" s="377">
        <v>167</v>
      </c>
      <c r="B171" s="15">
        <f>'Danh sách máy'!B174</f>
        <v>0</v>
      </c>
      <c r="C171" s="13" t="str">
        <f>'Danh sách máy'!AC174</f>
        <v>VCP電気メッキ(#12) 投入機（Vラック・合紙）
Máy đưa bo V rack TYPE 4 line mạ đông #12</v>
      </c>
      <c r="D171" s="14" t="str">
        <f>'Danh sách máy'!AJ174</f>
        <v>Stop</v>
      </c>
      <c r="E171" s="25">
        <f>'Danh sách máy'!E174</f>
        <v>0</v>
      </c>
      <c r="F171" s="378">
        <f>'Danh sách máy'!AK174</f>
        <v>0</v>
      </c>
      <c r="G171" s="378">
        <f>'Danh sách máy'!AL177</f>
        <v>0</v>
      </c>
      <c r="H171" s="378" t="str">
        <f>'Danh sách máy'!AM177</f>
        <v>A1</v>
      </c>
      <c r="I171" s="377"/>
      <c r="J171" s="377"/>
      <c r="K171" s="377"/>
      <c r="L171" s="377"/>
      <c r="M171" s="377"/>
      <c r="N171" s="377"/>
      <c r="O171" s="377"/>
      <c r="P171" s="377"/>
      <c r="Q171" s="377"/>
      <c r="R171" s="377"/>
      <c r="S171" s="377"/>
      <c r="T171" s="377"/>
      <c r="U171" s="377"/>
      <c r="V171" s="377"/>
      <c r="W171" s="377"/>
      <c r="X171" s="6"/>
    </row>
    <row r="172" spans="1:24" ht="27.6" x14ac:dyDescent="0.25">
      <c r="A172" s="377">
        <v>168</v>
      </c>
      <c r="B172" s="15">
        <f>'Danh sách máy'!B175</f>
        <v>0</v>
      </c>
      <c r="C172" s="13" t="str">
        <f>'Danh sách máy'!AC175</f>
        <v>VCP電気メッキ  投入機（Vラック・合紙）#1
Máy đưa bo V rack TYPE 4 line mạ đông #1</v>
      </c>
      <c r="D172" s="14" t="str">
        <f>'Danh sách máy'!AJ175</f>
        <v>Stop</v>
      </c>
      <c r="E172" s="25">
        <f>'Danh sách máy'!E175</f>
        <v>0</v>
      </c>
      <c r="F172" s="378">
        <f>'Danh sách máy'!AK175</f>
        <v>0</v>
      </c>
      <c r="G172" s="378" t="str">
        <f>'Danh sách máy'!AL178</f>
        <v>V.Anh</v>
      </c>
      <c r="H172" s="378" t="str">
        <f>'Danh sách máy'!AM178</f>
        <v>A1</v>
      </c>
      <c r="I172" s="377"/>
      <c r="J172" s="377"/>
      <c r="K172" s="377"/>
      <c r="L172" s="377"/>
      <c r="M172" s="377"/>
      <c r="N172" s="377"/>
      <c r="O172" s="377"/>
      <c r="P172" s="377"/>
      <c r="Q172" s="377"/>
      <c r="R172" s="377"/>
      <c r="S172" s="377"/>
      <c r="T172" s="377"/>
      <c r="U172" s="377"/>
      <c r="V172" s="377"/>
      <c r="W172" s="377"/>
      <c r="X172" s="6"/>
    </row>
    <row r="173" spans="1:24" ht="27.6" x14ac:dyDescent="0.25">
      <c r="A173" s="377">
        <v>169</v>
      </c>
      <c r="B173" s="15">
        <f>'Danh sách máy'!B176</f>
        <v>0</v>
      </c>
      <c r="C173" s="13" t="str">
        <f>'Danh sách máy'!AC176</f>
        <v>VCP電気メッキ  投入機（Vラック・合紙）#2
Máy đưa bo V rack TYPE 4 line mạ đông #2</v>
      </c>
      <c r="D173" s="14" t="str">
        <f>'Danh sách máy'!AJ176</f>
        <v>Stop</v>
      </c>
      <c r="E173" s="25">
        <f>'Danh sách máy'!E176</f>
        <v>0</v>
      </c>
      <c r="F173" s="378">
        <f>'Danh sách máy'!AK176</f>
        <v>0</v>
      </c>
      <c r="G173" s="378" t="str">
        <f>'Danh sách máy'!AL179</f>
        <v>V.Anh</v>
      </c>
      <c r="H173" s="378" t="str">
        <f>'Danh sách máy'!AM179</f>
        <v>A1</v>
      </c>
      <c r="I173" s="377"/>
      <c r="J173" s="377"/>
      <c r="K173" s="377"/>
      <c r="L173" s="377"/>
      <c r="M173" s="377"/>
      <c r="N173" s="377"/>
      <c r="O173" s="377"/>
      <c r="P173" s="377"/>
      <c r="Q173" s="377"/>
      <c r="R173" s="377"/>
      <c r="S173" s="377"/>
      <c r="T173" s="377"/>
      <c r="U173" s="377"/>
      <c r="V173" s="377"/>
      <c r="W173" s="377"/>
      <c r="X173" s="6"/>
    </row>
    <row r="174" spans="1:24" x14ac:dyDescent="0.25">
      <c r="A174" s="377">
        <v>170</v>
      </c>
      <c r="B174" s="15" t="str">
        <f>'Danh sách máy'!B177</f>
        <v>MEC2407002</v>
      </c>
      <c r="C174" s="13" t="str">
        <f>'Danh sách máy'!AC177</f>
        <v>Băng tải thường L600mm</v>
      </c>
      <c r="D174" s="14" t="str">
        <f>'Danh sách máy'!AJ177</f>
        <v>Finish</v>
      </c>
      <c r="E174" s="25">
        <f>'Danh sách máy'!E177</f>
        <v>45496</v>
      </c>
      <c r="F174" s="378" t="str">
        <f>'Danh sách máy'!AK177</f>
        <v>B.Đăng</v>
      </c>
      <c r="G174" s="378" t="str">
        <f>'Danh sách máy'!AL180</f>
        <v>X.Tuyền</v>
      </c>
      <c r="H174" s="378" t="str">
        <f>'Danh sách máy'!AM180</f>
        <v>A1</v>
      </c>
      <c r="I174" s="377"/>
      <c r="J174" s="377"/>
      <c r="K174" s="377"/>
      <c r="L174" s="377"/>
      <c r="M174" s="377"/>
      <c r="N174" s="377"/>
      <c r="O174" s="377"/>
      <c r="P174" s="377"/>
      <c r="Q174" s="377"/>
      <c r="R174" s="377"/>
      <c r="S174" s="377"/>
      <c r="T174" s="377"/>
      <c r="U174" s="377"/>
      <c r="V174" s="377"/>
      <c r="W174" s="377"/>
      <c r="X174" s="6"/>
    </row>
    <row r="175" spans="1:24" ht="27.6" x14ac:dyDescent="0.25">
      <c r="A175" s="377">
        <v>171</v>
      </c>
      <c r="B175" s="15" t="str">
        <f>'Danh sách máy'!B178</f>
        <v>MEC2407013</v>
      </c>
      <c r="C175" s="13" t="str">
        <f>'Danh sách máy'!AC178</f>
        <v>投入機（Vラック・合紙）
Máy đưa bo V rack TYPE 4</v>
      </c>
      <c r="D175" s="14" t="str">
        <f>'Danh sách máy'!AJ178</f>
        <v>Finish</v>
      </c>
      <c r="E175" s="25">
        <f>'Danh sách máy'!E178</f>
        <v>45701</v>
      </c>
      <c r="F175" s="378" t="str">
        <f>'Danh sách máy'!AK178</f>
        <v>L.Trường</v>
      </c>
      <c r="G175" s="378" t="str">
        <f>'Danh sách máy'!AL181</f>
        <v>X.Tuyền</v>
      </c>
      <c r="H175" s="378" t="str">
        <f>'Danh sách máy'!AM181</f>
        <v>A1</v>
      </c>
      <c r="I175" s="377"/>
      <c r="J175" s="377"/>
      <c r="K175" s="377"/>
      <c r="L175" s="377"/>
      <c r="M175" s="377"/>
      <c r="N175" s="377"/>
      <c r="O175" s="377"/>
      <c r="P175" s="377"/>
      <c r="Q175" s="377"/>
      <c r="R175" s="377"/>
      <c r="S175" s="377"/>
      <c r="T175" s="377"/>
      <c r="U175" s="377"/>
      <c r="V175" s="377"/>
      <c r="W175" s="377"/>
      <c r="X175" s="6"/>
    </row>
    <row r="176" spans="1:24" ht="27.6" x14ac:dyDescent="0.25">
      <c r="A176" s="377">
        <v>172</v>
      </c>
      <c r="B176" s="15" t="str">
        <f>'Danh sách máy'!B179</f>
        <v>MEC2407014</v>
      </c>
      <c r="C176" s="13" t="str">
        <f>'Danh sách máy'!AC179</f>
        <v>受取機（Vラック, 合紙）
Máy nhận bo V rack TYPE 4</v>
      </c>
      <c r="D176" s="14" t="str">
        <f>'Danh sách máy'!AJ179</f>
        <v>Stop</v>
      </c>
      <c r="E176" s="25">
        <f>'Danh sách máy'!E179</f>
        <v>45770</v>
      </c>
      <c r="F176" s="378" t="str">
        <f>'Danh sách máy'!AK179</f>
        <v>L.Trường</v>
      </c>
      <c r="G176" s="378" t="str">
        <f>'Danh sách máy'!AL182</f>
        <v>H.Khánh</v>
      </c>
      <c r="H176" s="378">
        <f>'Danh sách máy'!AM182</f>
        <v>0</v>
      </c>
      <c r="I176" s="377"/>
      <c r="J176" s="377"/>
      <c r="K176" s="377"/>
      <c r="L176" s="377"/>
      <c r="M176" s="377"/>
      <c r="N176" s="377"/>
      <c r="O176" s="377"/>
      <c r="P176" s="377"/>
      <c r="Q176" s="377"/>
      <c r="R176" s="377"/>
      <c r="S176" s="377"/>
      <c r="T176" s="377"/>
      <c r="U176" s="377"/>
      <c r="V176" s="377"/>
      <c r="W176" s="377"/>
      <c r="X176" s="6"/>
    </row>
    <row r="177" spans="1:24" ht="27.6" x14ac:dyDescent="0.25">
      <c r="A177" s="377">
        <v>173</v>
      </c>
      <c r="B177" s="15" t="str">
        <f>'Danh sách máy'!B180</f>
        <v>MEC2408024</v>
      </c>
      <c r="C177" s="13" t="str">
        <f>'Danh sách máy'!AC180</f>
        <v>Máy đưa bo line tiền xử lý CZ dùng robot Duaro Kawasaki áp dụng mạch FPC</v>
      </c>
      <c r="D177" s="14" t="str">
        <f>'Danh sách máy'!AJ180</f>
        <v>Finish</v>
      </c>
      <c r="E177" s="25">
        <f>'Danh sách máy'!E180</f>
        <v>45793</v>
      </c>
      <c r="F177" s="378" t="str">
        <f>'Danh sách máy'!AK180</f>
        <v>Đ.Thành</v>
      </c>
      <c r="G177" s="378" t="str">
        <f>'Danh sách máy'!AL183</f>
        <v>H.Khánh</v>
      </c>
      <c r="H177" s="378">
        <f>'Danh sách máy'!AM183</f>
        <v>0</v>
      </c>
      <c r="I177" s="377"/>
      <c r="J177" s="377"/>
      <c r="K177" s="377"/>
      <c r="L177" s="377"/>
      <c r="M177" s="377"/>
      <c r="N177" s="377"/>
      <c r="O177" s="377"/>
      <c r="P177" s="377"/>
      <c r="Q177" s="377"/>
      <c r="R177" s="377"/>
      <c r="S177" s="377"/>
      <c r="T177" s="377"/>
      <c r="U177" s="377"/>
      <c r="V177" s="377"/>
      <c r="W177" s="377"/>
      <c r="X177" s="6"/>
    </row>
    <row r="178" spans="1:24" ht="27.6" x14ac:dyDescent="0.25">
      <c r="A178" s="377">
        <v>174</v>
      </c>
      <c r="B178" s="15" t="str">
        <f>'Danh sách máy'!B181</f>
        <v>MEC2408025</v>
      </c>
      <c r="C178" s="13" t="str">
        <f>'Danh sách máy'!AC181</f>
        <v>Máy đưa bo line rửa tấm cách bo dùng robot Duaro Kawasaki áp dụng mạch FPC</v>
      </c>
      <c r="D178" s="14" t="str">
        <f>'Danh sách máy'!AJ181</f>
        <v>Finish</v>
      </c>
      <c r="E178" s="25">
        <f>'Danh sách máy'!E181</f>
        <v>45793</v>
      </c>
      <c r="F178" s="378" t="str">
        <f>'Danh sách máy'!AK181</f>
        <v>Đ.Thành</v>
      </c>
      <c r="G178" s="378" t="str">
        <f>'Danh sách máy'!AL184</f>
        <v>Hanh</v>
      </c>
      <c r="H178" s="378">
        <f>'Danh sách máy'!AM184</f>
        <v>0</v>
      </c>
      <c r="I178" s="377"/>
      <c r="J178" s="377"/>
      <c r="K178" s="377"/>
      <c r="L178" s="377"/>
      <c r="M178" s="377"/>
      <c r="N178" s="377"/>
      <c r="O178" s="377"/>
      <c r="P178" s="377"/>
      <c r="Q178" s="377"/>
      <c r="R178" s="377"/>
      <c r="S178" s="377"/>
      <c r="T178" s="377"/>
      <c r="U178" s="377"/>
      <c r="V178" s="377"/>
      <c r="W178" s="377"/>
      <c r="X178" s="6"/>
    </row>
    <row r="179" spans="1:24" x14ac:dyDescent="0.25">
      <c r="A179" s="377">
        <v>175</v>
      </c>
      <c r="B179" s="15">
        <f>'Danh sách máy'!B182</f>
        <v>0</v>
      </c>
      <c r="C179" s="13" t="str">
        <f>'Danh sách máy'!AC182</f>
        <v>Máy Loading line mài tấm SUS</v>
      </c>
      <c r="D179" s="14" t="str">
        <f>'Danh sách máy'!AJ182</f>
        <v>Stop</v>
      </c>
      <c r="E179" s="25">
        <f>'Danh sách máy'!E182</f>
        <v>0</v>
      </c>
      <c r="F179" s="378" t="str">
        <f>'Danh sách máy'!AK182</f>
        <v>X.Thành</v>
      </c>
      <c r="G179" s="378" t="str">
        <f>'Danh sách máy'!AL185</f>
        <v>Hanh</v>
      </c>
      <c r="H179" s="378">
        <f>'Danh sách máy'!AM185</f>
        <v>0</v>
      </c>
      <c r="I179" s="377"/>
      <c r="J179" s="377"/>
      <c r="K179" s="377"/>
      <c r="L179" s="377"/>
      <c r="M179" s="377"/>
      <c r="N179" s="377"/>
      <c r="O179" s="377"/>
      <c r="P179" s="377"/>
      <c r="Q179" s="377"/>
      <c r="R179" s="377"/>
      <c r="S179" s="377"/>
      <c r="T179" s="377"/>
      <c r="U179" s="377"/>
      <c r="V179" s="377"/>
      <c r="W179" s="377"/>
      <c r="X179" s="6"/>
    </row>
    <row r="180" spans="1:24" x14ac:dyDescent="0.25">
      <c r="A180" s="377">
        <v>176</v>
      </c>
      <c r="B180" s="15">
        <f>'Danh sách máy'!B183</f>
        <v>0</v>
      </c>
      <c r="C180" s="13" t="str">
        <f>'Danh sách máy'!AC183</f>
        <v>Máy Unloading line mài tấm SUS</v>
      </c>
      <c r="D180" s="14" t="str">
        <f>'Danh sách máy'!AJ183</f>
        <v>Stop</v>
      </c>
      <c r="E180" s="25">
        <f>'Danh sách máy'!E183</f>
        <v>0</v>
      </c>
      <c r="F180" s="378" t="str">
        <f>'Danh sách máy'!AK183</f>
        <v>X.Thành</v>
      </c>
      <c r="G180" s="378" t="str">
        <f>'Danh sách máy'!AL186</f>
        <v>V.Lâm</v>
      </c>
      <c r="H180" s="378">
        <f>'Danh sách máy'!AM186</f>
        <v>0</v>
      </c>
      <c r="I180" s="377"/>
      <c r="J180" s="377"/>
      <c r="K180" s="377"/>
      <c r="L180" s="377"/>
      <c r="M180" s="377"/>
      <c r="N180" s="377"/>
      <c r="O180" s="377"/>
      <c r="P180" s="377"/>
      <c r="Q180" s="377"/>
      <c r="R180" s="377"/>
      <c r="S180" s="377"/>
      <c r="T180" s="377"/>
      <c r="U180" s="377"/>
      <c r="V180" s="377"/>
      <c r="W180" s="377"/>
      <c r="X180" s="6"/>
    </row>
    <row r="181" spans="1:24" ht="27.6" x14ac:dyDescent="0.25">
      <c r="A181" s="377">
        <v>177</v>
      </c>
      <c r="B181" s="15" t="str">
        <f>'Danh sách máy'!B184</f>
        <v>MEC2408016</v>
      </c>
      <c r="C181" s="13" t="str">
        <f>'Danh sách máy'!AC184</f>
        <v>Hanger Stocker Máy nâng bo tạm thời Line TXL #1 FPC</v>
      </c>
      <c r="D181" s="14" t="str">
        <f>'Danh sách máy'!AJ184</f>
        <v>Stop</v>
      </c>
      <c r="E181" s="25">
        <f>'Danh sách máy'!E184</f>
        <v>0</v>
      </c>
      <c r="F181" s="378" t="str">
        <f>'Danh sách máy'!AK184</f>
        <v>X.Thành</v>
      </c>
      <c r="G181" s="378" t="str">
        <f>'Danh sách máy'!AL187</f>
        <v>V.Anh</v>
      </c>
      <c r="H181" s="378">
        <f>'Danh sách máy'!AM187</f>
        <v>0</v>
      </c>
      <c r="I181" s="377"/>
      <c r="J181" s="377"/>
      <c r="K181" s="377"/>
      <c r="L181" s="377"/>
      <c r="M181" s="377"/>
      <c r="N181" s="377"/>
      <c r="O181" s="377"/>
      <c r="P181" s="377"/>
      <c r="Q181" s="377"/>
      <c r="R181" s="377"/>
      <c r="S181" s="377"/>
      <c r="T181" s="377"/>
      <c r="U181" s="377"/>
      <c r="V181" s="377"/>
      <c r="W181" s="377"/>
      <c r="X181" s="6"/>
    </row>
    <row r="182" spans="1:24" ht="27.6" x14ac:dyDescent="0.25">
      <c r="A182" s="377">
        <v>178</v>
      </c>
      <c r="B182" s="15" t="str">
        <f>'Danh sách máy'!B185</f>
        <v>MEC2408017</v>
      </c>
      <c r="C182" s="13" t="str">
        <f>'Danh sách máy'!AC185</f>
        <v>Hanger Stocker Máy nâng bo tạm thời Line TXL #2 FPC</v>
      </c>
      <c r="D182" s="14" t="str">
        <f>'Danh sách máy'!AJ185</f>
        <v>Stop</v>
      </c>
      <c r="E182" s="25">
        <f>'Danh sách máy'!E185</f>
        <v>0</v>
      </c>
      <c r="F182" s="378" t="str">
        <f>'Danh sách máy'!AK185</f>
        <v>X.Thành</v>
      </c>
      <c r="G182" s="378" t="str">
        <f>'Danh sách máy'!AL188</f>
        <v>H.Tuấn</v>
      </c>
      <c r="H182" s="378" t="str">
        <f>'Danh sách máy'!AM188</f>
        <v>A1</v>
      </c>
      <c r="I182" s="377"/>
      <c r="J182" s="377"/>
      <c r="K182" s="377"/>
      <c r="L182" s="377"/>
      <c r="M182" s="377"/>
      <c r="N182" s="377"/>
      <c r="O182" s="377"/>
      <c r="P182" s="377"/>
      <c r="Q182" s="377"/>
      <c r="R182" s="377"/>
      <c r="S182" s="377"/>
      <c r="T182" s="377"/>
      <c r="U182" s="377"/>
      <c r="V182" s="377"/>
      <c r="W182" s="377"/>
      <c r="X182" s="6"/>
    </row>
    <row r="183" spans="1:24" x14ac:dyDescent="0.25">
      <c r="A183" s="377">
        <v>179</v>
      </c>
      <c r="B183" s="15" t="str">
        <f>'Danh sách máy'!B186</f>
        <v>MEC2408019</v>
      </c>
      <c r="C183" s="13" t="str">
        <f>'Danh sách máy'!AC186</f>
        <v>Máy cắt băng dính tổ hợp khoan NC- FPC</v>
      </c>
      <c r="D183" s="14" t="str">
        <f>'Danh sách máy'!AJ186</f>
        <v>Stop</v>
      </c>
      <c r="E183" s="25">
        <f>'Danh sách máy'!E186</f>
        <v>0</v>
      </c>
      <c r="F183" s="378" t="str">
        <f>'Danh sách máy'!AK186</f>
        <v>V.Giang</v>
      </c>
      <c r="G183" s="378">
        <f>'Danh sách máy'!AL189</f>
        <v>0</v>
      </c>
      <c r="H183" s="378" t="str">
        <f>'Danh sách máy'!AM189</f>
        <v>A1</v>
      </c>
      <c r="I183" s="377"/>
      <c r="J183" s="377"/>
      <c r="K183" s="377"/>
      <c r="L183" s="377"/>
      <c r="M183" s="377"/>
      <c r="N183" s="377"/>
      <c r="O183" s="377"/>
      <c r="P183" s="377"/>
      <c r="Q183" s="377"/>
      <c r="R183" s="377"/>
      <c r="S183" s="377"/>
      <c r="T183" s="377"/>
      <c r="U183" s="377"/>
      <c r="V183" s="377"/>
      <c r="W183" s="377"/>
      <c r="X183" s="6"/>
    </row>
    <row r="184" spans="1:24" ht="27.6" x14ac:dyDescent="0.25">
      <c r="A184" s="377">
        <v>180</v>
      </c>
      <c r="B184" s="15" t="str">
        <f>'Danh sách máy'!B187</f>
        <v>MEC2408032</v>
      </c>
      <c r="C184" s="13" t="str">
        <f>'Danh sách máy'!AC187</f>
        <v>Dịch vụ cải tiến máy 2D bar code số 1 từ hệ robot sang hệ trục XYZ</v>
      </c>
      <c r="D184" s="14" t="str">
        <f>'Danh sách máy'!AJ187</f>
        <v>Stop</v>
      </c>
      <c r="E184" s="25">
        <f>'Danh sách máy'!E187</f>
        <v>0</v>
      </c>
      <c r="F184" s="378" t="str">
        <f>'Danh sách máy'!AK187</f>
        <v>V.Giang</v>
      </c>
      <c r="G184" s="378">
        <f>'Danh sách máy'!AL190</f>
        <v>0</v>
      </c>
      <c r="H184" s="378" t="str">
        <f>'Danh sách máy'!AM190</f>
        <v>A1</v>
      </c>
      <c r="I184" s="377"/>
      <c r="J184" s="377"/>
      <c r="K184" s="377"/>
      <c r="L184" s="377"/>
      <c r="M184" s="377"/>
      <c r="N184" s="377"/>
      <c r="O184" s="377"/>
      <c r="P184" s="377"/>
      <c r="Q184" s="377"/>
      <c r="R184" s="377"/>
      <c r="S184" s="377"/>
      <c r="T184" s="377"/>
      <c r="U184" s="377"/>
      <c r="V184" s="377"/>
      <c r="W184" s="377"/>
      <c r="X184" s="6"/>
    </row>
    <row r="185" spans="1:24" x14ac:dyDescent="0.25">
      <c r="A185" s="377">
        <v>181</v>
      </c>
      <c r="B185" s="15" t="str">
        <f>'Danh sách máy'!B188</f>
        <v>MEC2409003</v>
      </c>
      <c r="C185" s="13" t="str">
        <f>'Danh sách máy'!AC188</f>
        <v>Máy Unloading Magazine dạng sheet #2</v>
      </c>
      <c r="D185" s="14" t="str">
        <f>'Danh sách máy'!AJ188</f>
        <v>Finish</v>
      </c>
      <c r="E185" s="25">
        <f>'Danh sách máy'!E188</f>
        <v>45656</v>
      </c>
      <c r="F185" s="378" t="str">
        <f>'Danh sách máy'!AK188</f>
        <v>T.Tuấn</v>
      </c>
      <c r="G185" s="378">
        <f>'Danh sách máy'!AL191</f>
        <v>0</v>
      </c>
      <c r="H185" s="378">
        <f>'Danh sách máy'!AM191</f>
        <v>0</v>
      </c>
      <c r="I185" s="377"/>
      <c r="J185" s="377"/>
      <c r="K185" s="377"/>
      <c r="L185" s="377"/>
      <c r="M185" s="377"/>
      <c r="N185" s="377"/>
      <c r="O185" s="377"/>
      <c r="P185" s="377"/>
      <c r="Q185" s="377"/>
      <c r="R185" s="377"/>
      <c r="S185" s="377"/>
      <c r="T185" s="377"/>
      <c r="U185" s="377"/>
      <c r="V185" s="377"/>
      <c r="W185" s="377"/>
      <c r="X185" s="6"/>
    </row>
    <row r="186" spans="1:24" x14ac:dyDescent="0.25">
      <c r="A186" s="377">
        <v>182</v>
      </c>
      <c r="B186" s="15" t="str">
        <f>'Danh sách máy'!B189</f>
        <v>MEC2409004</v>
      </c>
      <c r="C186" s="13" t="str">
        <f>'Danh sách máy'!AC189</f>
        <v>Băng tải thường L 600mm MEC2409004</v>
      </c>
      <c r="D186" s="14" t="str">
        <f>'Danh sách máy'!AJ189</f>
        <v>Finish</v>
      </c>
      <c r="E186" s="25">
        <f>'Danh sách máy'!E189</f>
        <v>45573</v>
      </c>
      <c r="F186" s="378" t="str">
        <f>'Danh sách máy'!AK189</f>
        <v>B.Đăng</v>
      </c>
      <c r="G186" s="378">
        <f>'Danh sách máy'!AL192</f>
        <v>0</v>
      </c>
      <c r="H186" s="378">
        <f>'Danh sách máy'!AM192</f>
        <v>0</v>
      </c>
      <c r="I186" s="377"/>
      <c r="J186" s="377"/>
      <c r="K186" s="377"/>
      <c r="L186" s="377"/>
      <c r="M186" s="377"/>
      <c r="N186" s="377"/>
      <c r="O186" s="377"/>
      <c r="P186" s="377"/>
      <c r="Q186" s="377"/>
      <c r="R186" s="377"/>
      <c r="S186" s="377"/>
      <c r="T186" s="377"/>
      <c r="U186" s="377"/>
      <c r="V186" s="377"/>
      <c r="W186" s="377"/>
      <c r="X186" s="6"/>
    </row>
    <row r="187" spans="1:24" x14ac:dyDescent="0.25">
      <c r="A187" s="377">
        <v>183</v>
      </c>
      <c r="B187" s="15" t="str">
        <f>'Danh sách máy'!B190</f>
        <v>MEC2409005</v>
      </c>
      <c r="C187" s="13" t="str">
        <f>'Danh sách máy'!AC190</f>
        <v>Băng tải thường L 600mm MEC2409005</v>
      </c>
      <c r="D187" s="14" t="str">
        <f>'Danh sách máy'!AJ190</f>
        <v>Finish</v>
      </c>
      <c r="E187" s="25">
        <f>'Danh sách máy'!E190</f>
        <v>45573</v>
      </c>
      <c r="F187" s="378" t="str">
        <f>'Danh sách máy'!AK190</f>
        <v>B.Đăng</v>
      </c>
      <c r="G187" s="378">
        <f>'Danh sách máy'!AL193</f>
        <v>0</v>
      </c>
      <c r="H187" s="378">
        <f>'Danh sách máy'!AM193</f>
        <v>0</v>
      </c>
      <c r="I187" s="377"/>
      <c r="J187" s="377"/>
      <c r="K187" s="377"/>
      <c r="L187" s="377"/>
      <c r="M187" s="377"/>
      <c r="N187" s="377"/>
      <c r="O187" s="377"/>
      <c r="P187" s="377"/>
      <c r="Q187" s="377"/>
      <c r="R187" s="377"/>
      <c r="S187" s="377"/>
      <c r="T187" s="377"/>
      <c r="U187" s="377"/>
      <c r="V187" s="377"/>
      <c r="W187" s="377"/>
      <c r="X187" s="6"/>
    </row>
    <row r="188" spans="1:24" ht="27.6" x14ac:dyDescent="0.25">
      <c r="A188" s="377">
        <v>184</v>
      </c>
      <c r="B188" s="15" t="str">
        <f>'Danh sách máy'!B191</f>
        <v>MEC2407011</v>
      </c>
      <c r="C188" s="13" t="str">
        <f>'Danh sách máy'!AC191</f>
        <v>InlineAOIライン 受取機（平積・合紙）
Máy nhận bo (H rack + IC)</v>
      </c>
      <c r="D188" s="14" t="str">
        <f>'Danh sách máy'!AJ191</f>
        <v>Stop</v>
      </c>
      <c r="E188" s="25">
        <f>'Danh sách máy'!E191</f>
        <v>0</v>
      </c>
      <c r="F188" s="378">
        <f>'Danh sách máy'!AK191</f>
        <v>0</v>
      </c>
      <c r="G188" s="378" t="str">
        <f>'Danh sách máy'!AL197</f>
        <v>V.Lâm</v>
      </c>
      <c r="H188" s="378" t="str">
        <f>'Danh sách máy'!AM197</f>
        <v>A1</v>
      </c>
      <c r="I188" s="377"/>
      <c r="J188" s="377"/>
      <c r="K188" s="377"/>
      <c r="L188" s="377"/>
      <c r="M188" s="377"/>
      <c r="N188" s="377"/>
      <c r="O188" s="377"/>
      <c r="P188" s="377"/>
      <c r="Q188" s="377"/>
      <c r="R188" s="377"/>
      <c r="S188" s="377"/>
      <c r="T188" s="377"/>
      <c r="U188" s="377"/>
      <c r="V188" s="377"/>
      <c r="W188" s="377"/>
      <c r="X188" s="6"/>
    </row>
    <row r="189" spans="1:24" ht="41.4" x14ac:dyDescent="0.25">
      <c r="A189" s="377">
        <v>185</v>
      </c>
      <c r="B189" s="15" t="str">
        <f>'Danh sách máy'!B192</f>
        <v>MEC2407012</v>
      </c>
      <c r="C189" s="13" t="str">
        <f>'Danh sách máy'!AC192</f>
        <v>内層回路　DFR 投入機（Vラック・合紙）
Máy đưa bo V rack TYPE 4 line Tạo mạch lớp trong DFR</v>
      </c>
      <c r="D189" s="14" t="str">
        <f>'Danh sách máy'!AJ192</f>
        <v>Stop</v>
      </c>
      <c r="E189" s="25">
        <f>'Danh sách máy'!E192</f>
        <v>0</v>
      </c>
      <c r="F189" s="378">
        <f>'Danh sách máy'!AK192</f>
        <v>0</v>
      </c>
      <c r="G189" s="378" t="str">
        <f>'Danh sách máy'!AL198</f>
        <v>V.Lâm</v>
      </c>
      <c r="H189" s="378" t="str">
        <f>'Danh sách máy'!AM198</f>
        <v>A1</v>
      </c>
      <c r="I189" s="377"/>
      <c r="J189" s="377"/>
      <c r="K189" s="377"/>
      <c r="L189" s="377"/>
      <c r="M189" s="377"/>
      <c r="N189" s="377"/>
      <c r="O189" s="377"/>
      <c r="P189" s="377"/>
      <c r="Q189" s="377"/>
      <c r="R189" s="377"/>
      <c r="S189" s="377"/>
      <c r="T189" s="377"/>
      <c r="U189" s="377"/>
      <c r="V189" s="377"/>
      <c r="W189" s="377"/>
      <c r="X189" s="6"/>
    </row>
    <row r="190" spans="1:24" ht="27.6" x14ac:dyDescent="0.25">
      <c r="A190" s="377">
        <v>186</v>
      </c>
      <c r="B190" s="15" t="str">
        <f>'Danh sách máy'!B193</f>
        <v>MEC2407015</v>
      </c>
      <c r="C190" s="13" t="str">
        <f>'Danh sách máy'!AC193</f>
        <v>穴埋研磨 投入機（L型）
Máy đưa bo L rack  line mài lấp lỗ vĩnh cửu</v>
      </c>
      <c r="D190" s="14" t="str">
        <f>'Danh sách máy'!AJ193</f>
        <v>Stop</v>
      </c>
      <c r="E190" s="25">
        <f>'Danh sách máy'!E193</f>
        <v>0</v>
      </c>
      <c r="F190" s="378">
        <f>'Danh sách máy'!AK193</f>
        <v>0</v>
      </c>
      <c r="G190" s="378">
        <f>'Danh sách máy'!AL199</f>
        <v>0</v>
      </c>
      <c r="H190" s="378" t="str">
        <f>'Danh sách máy'!AM199</f>
        <v>A3</v>
      </c>
      <c r="I190" s="377"/>
      <c r="J190" s="377"/>
      <c r="K190" s="377"/>
      <c r="L190" s="377"/>
      <c r="M190" s="377"/>
      <c r="N190" s="377"/>
      <c r="O190" s="377"/>
      <c r="P190" s="377"/>
      <c r="Q190" s="377"/>
      <c r="R190" s="377"/>
      <c r="S190" s="377"/>
      <c r="T190" s="377"/>
      <c r="U190" s="377"/>
      <c r="V190" s="377"/>
      <c r="W190" s="377"/>
      <c r="X190" s="6"/>
    </row>
    <row r="191" spans="1:24" ht="27.6" x14ac:dyDescent="0.25">
      <c r="A191" s="377">
        <v>187</v>
      </c>
      <c r="B191" s="15" t="str">
        <f>'Danh sách máy'!B197</f>
        <v>MEC2409010</v>
      </c>
      <c r="C191" s="13" t="str">
        <f>'Danh sách máy'!AC197</f>
        <v>ハーフエッチ マガジンラックの投入機
Máy đưa bo Magazine rack line Haft Etch</v>
      </c>
      <c r="D191" s="14" t="str">
        <f>'Danh sách máy'!AJ197</f>
        <v>Finish</v>
      </c>
      <c r="E191" s="25">
        <f>'Danh sách máy'!E197</f>
        <v>45813</v>
      </c>
      <c r="F191" s="378" t="str">
        <f>'Danh sách máy'!AK197</f>
        <v>B.Đăng</v>
      </c>
      <c r="G191" s="378" t="str">
        <f>'Danh sách máy'!AL200</f>
        <v>V.Lâm</v>
      </c>
      <c r="H191" s="378" t="str">
        <f>'Danh sách máy'!AM200</f>
        <v>A3</v>
      </c>
      <c r="I191" s="377"/>
      <c r="J191" s="377"/>
      <c r="K191" s="377"/>
      <c r="L191" s="377"/>
      <c r="M191" s="377"/>
      <c r="N191" s="377"/>
      <c r="O191" s="377"/>
      <c r="P191" s="377"/>
      <c r="Q191" s="377"/>
      <c r="R191" s="377"/>
      <c r="S191" s="377"/>
      <c r="T191" s="377"/>
      <c r="U191" s="377"/>
      <c r="V191" s="377"/>
      <c r="W191" s="377"/>
      <c r="X191" s="6"/>
    </row>
    <row r="192" spans="1:24" ht="27.6" x14ac:dyDescent="0.25">
      <c r="A192" s="377">
        <v>188</v>
      </c>
      <c r="B192" s="15" t="str">
        <f>'Danh sách máy'!B198</f>
        <v>MEC2409011</v>
      </c>
      <c r="C192" s="13" t="str">
        <f>'Danh sách máy'!AC198</f>
        <v>ハーフエッチ マガジンラックの受取機
Máy nhận bo Magazine rack line Haft Etch</v>
      </c>
      <c r="D192" s="14" t="str">
        <f>'Danh sách máy'!AJ198</f>
        <v>Finish</v>
      </c>
      <c r="E192" s="25">
        <f>'Danh sách máy'!E198</f>
        <v>45813</v>
      </c>
      <c r="F192" s="378" t="str">
        <f>'Danh sách máy'!AK198</f>
        <v>B.Đăng</v>
      </c>
      <c r="G192" s="378" t="str">
        <f>'Danh sách máy'!AL201</f>
        <v>Duy Anh</v>
      </c>
      <c r="H192" s="378" t="str">
        <f>'Danh sách máy'!AM201</f>
        <v>A1</v>
      </c>
      <c r="I192" s="377"/>
      <c r="J192" s="377"/>
      <c r="K192" s="377"/>
      <c r="L192" s="377"/>
      <c r="M192" s="377"/>
      <c r="N192" s="377"/>
      <c r="O192" s="377"/>
      <c r="P192" s="377"/>
      <c r="Q192" s="377"/>
      <c r="R192" s="377"/>
      <c r="S192" s="377"/>
      <c r="T192" s="377"/>
      <c r="U192" s="377"/>
      <c r="V192" s="377"/>
      <c r="W192" s="377"/>
      <c r="X192" s="6"/>
    </row>
    <row r="193" spans="1:24" ht="27.6" x14ac:dyDescent="0.25">
      <c r="A193" s="377">
        <v>189</v>
      </c>
      <c r="B193" s="15" t="str">
        <f>'Danh sách máy'!B199</f>
        <v>MEC2409012</v>
      </c>
      <c r="C193" s="13" t="str">
        <f>'Danh sách máy'!AC199</f>
        <v>積層前処理 マガジンラックの投入機
Máy đưa bo Magazine rack line Tiền xử lý ép lớp</v>
      </c>
      <c r="D193" s="14" t="str">
        <f>'Danh sách máy'!AJ199</f>
        <v>Finish</v>
      </c>
      <c r="E193" s="25">
        <f>'Danh sách máy'!E199</f>
        <v>45864</v>
      </c>
      <c r="F193" s="378" t="str">
        <f>'Danh sách máy'!AK199</f>
        <v>B.Đăng</v>
      </c>
      <c r="G193" s="378" t="str">
        <f>'Danh sách máy'!AL202</f>
        <v>V.Lâm</v>
      </c>
      <c r="H193" s="378" t="str">
        <f>'Danh sách máy'!AM202</f>
        <v>A3</v>
      </c>
      <c r="I193" s="377"/>
      <c r="J193" s="377"/>
      <c r="K193" s="377"/>
      <c r="L193" s="377"/>
      <c r="M193" s="377"/>
      <c r="N193" s="377"/>
      <c r="O193" s="377"/>
      <c r="P193" s="377"/>
      <c r="Q193" s="377"/>
      <c r="R193" s="377"/>
      <c r="S193" s="377"/>
      <c r="T193" s="377"/>
      <c r="U193" s="377"/>
      <c r="V193" s="377"/>
      <c r="W193" s="377"/>
      <c r="X193" s="6"/>
    </row>
    <row r="194" spans="1:24" ht="27.6" x14ac:dyDescent="0.25">
      <c r="A194" s="377">
        <v>190</v>
      </c>
      <c r="B194" s="15" t="str">
        <f>'Danh sách máy'!B200</f>
        <v>MEC2409013</v>
      </c>
      <c r="C194" s="13" t="str">
        <f>'Danh sách máy'!AC200</f>
        <v>積層前処理 マガジンラックの受取機
Máy nhận bo Magazine rack line Tiền xử lý ép lớp</v>
      </c>
      <c r="D194" s="14" t="str">
        <f>'Danh sách máy'!AJ200</f>
        <v>Finish</v>
      </c>
      <c r="E194" s="25">
        <f>'Danh sách máy'!E200</f>
        <v>45818</v>
      </c>
      <c r="F194" s="378" t="str">
        <f>'Danh sách máy'!AK200</f>
        <v>B.Đăng</v>
      </c>
      <c r="G194" s="378" t="str">
        <f>'Danh sách máy'!AL203</f>
        <v>V.Lâm</v>
      </c>
      <c r="H194" s="378" t="str">
        <f>'Danh sách máy'!AM203</f>
        <v>A3</v>
      </c>
      <c r="I194" s="377"/>
      <c r="J194" s="377"/>
      <c r="K194" s="377"/>
      <c r="L194" s="377"/>
      <c r="M194" s="377"/>
      <c r="N194" s="377"/>
      <c r="O194" s="377"/>
      <c r="P194" s="377"/>
      <c r="Q194" s="377"/>
      <c r="R194" s="377"/>
      <c r="S194" s="377"/>
      <c r="T194" s="377"/>
      <c r="U194" s="377"/>
      <c r="V194" s="377"/>
      <c r="W194" s="377"/>
      <c r="X194" s="6"/>
    </row>
    <row r="195" spans="1:24" ht="27.6" x14ac:dyDescent="0.25">
      <c r="A195" s="377">
        <v>191</v>
      </c>
      <c r="B195" s="15" t="str">
        <f>'Danh sách máy'!B201</f>
        <v>MEC2409014</v>
      </c>
      <c r="C195" s="13" t="str">
        <f>'Danh sách máy'!AC201</f>
        <v>積層後外周加工 Hラックの投入機
Máy đưa bo H rack line Cắt viền sau ép lớp</v>
      </c>
      <c r="D195" s="14" t="str">
        <f>'Danh sách máy'!AJ201</f>
        <v>Finish</v>
      </c>
      <c r="E195" s="25">
        <f>'Danh sách máy'!E201</f>
        <v>45897</v>
      </c>
      <c r="F195" s="378" t="str">
        <f>'Danh sách máy'!AK201</f>
        <v>L.V.Luyện</v>
      </c>
      <c r="G195" s="378" t="str">
        <f>'Danh sách máy'!AL204</f>
        <v>V.Lâm</v>
      </c>
      <c r="H195" s="378" t="str">
        <f>'Danh sách máy'!AM204</f>
        <v>A3</v>
      </c>
      <c r="I195" s="377"/>
      <c r="J195" s="377"/>
      <c r="K195" s="377"/>
      <c r="L195" s="377"/>
      <c r="M195" s="377"/>
      <c r="N195" s="377"/>
      <c r="O195" s="377"/>
      <c r="P195" s="377"/>
      <c r="Q195" s="377"/>
      <c r="R195" s="377"/>
      <c r="S195" s="377"/>
      <c r="T195" s="377"/>
      <c r="U195" s="377"/>
      <c r="V195" s="377"/>
      <c r="W195" s="377"/>
      <c r="X195" s="6"/>
    </row>
    <row r="196" spans="1:24" ht="27.6" x14ac:dyDescent="0.25">
      <c r="A196" s="377">
        <v>192</v>
      </c>
      <c r="B196" s="15" t="str">
        <f>'Danh sách máy'!B202</f>
        <v>MEC2409015</v>
      </c>
      <c r="C196" s="13" t="str">
        <f>'Danh sách máy'!AC202</f>
        <v>積層後外周加工 マガジンラックの受取機
Máy nhận bo Magazine rack line Cắt viền sau ép lớp</v>
      </c>
      <c r="D196" s="14" t="str">
        <f>'Danh sách máy'!AJ202</f>
        <v>Finish</v>
      </c>
      <c r="E196" s="25">
        <f>'Danh sách máy'!E202</f>
        <v>45817</v>
      </c>
      <c r="F196" s="378" t="str">
        <f>'Danh sách máy'!AK202</f>
        <v>B.Đăng</v>
      </c>
      <c r="G196" s="378" t="str">
        <f>'Danh sách máy'!AL205</f>
        <v>Đ.Chiến</v>
      </c>
      <c r="H196" s="378" t="str">
        <f>'Danh sách máy'!AM205</f>
        <v>A1</v>
      </c>
      <c r="I196" s="377"/>
      <c r="J196" s="377"/>
      <c r="K196" s="377"/>
      <c r="L196" s="377"/>
      <c r="M196" s="377"/>
      <c r="N196" s="377"/>
      <c r="O196" s="377"/>
      <c r="P196" s="377"/>
      <c r="Q196" s="377"/>
      <c r="R196" s="377"/>
      <c r="S196" s="377"/>
      <c r="T196" s="377"/>
      <c r="U196" s="377"/>
      <c r="V196" s="377"/>
      <c r="W196" s="377"/>
      <c r="X196" s="6"/>
    </row>
    <row r="197" spans="1:24" ht="27.6" x14ac:dyDescent="0.25">
      <c r="A197" s="377">
        <v>193</v>
      </c>
      <c r="B197" s="15" t="str">
        <f>'Danh sách máy'!B203</f>
        <v>MEC2409016</v>
      </c>
      <c r="C197" s="13" t="str">
        <f>'Danh sách máy'!AC203</f>
        <v>レーザー前処理 マガジンラックの投入機
Máy đưa bo Magazine rack line Tiền xử lý Laser</v>
      </c>
      <c r="D197" s="14" t="str">
        <f>'Danh sách máy'!AJ203</f>
        <v>Finish</v>
      </c>
      <c r="E197" s="25">
        <f>'Danh sách máy'!E203</f>
        <v>45813</v>
      </c>
      <c r="F197" s="378" t="str">
        <f>'Danh sách máy'!AK203</f>
        <v>B.Đăng</v>
      </c>
      <c r="G197" s="378">
        <f>'Danh sách máy'!AL416</f>
        <v>0</v>
      </c>
      <c r="H197" s="378">
        <f>'Danh sách máy'!AM416</f>
        <v>0</v>
      </c>
      <c r="I197" s="377"/>
      <c r="J197" s="377"/>
      <c r="K197" s="377"/>
      <c r="L197" s="377"/>
      <c r="M197" s="377"/>
      <c r="N197" s="377"/>
      <c r="O197" s="377"/>
      <c r="P197" s="377"/>
      <c r="Q197" s="377"/>
      <c r="R197" s="377"/>
      <c r="S197" s="377"/>
      <c r="T197" s="377"/>
      <c r="U197" s="377"/>
      <c r="V197" s="377"/>
      <c r="W197" s="377"/>
      <c r="X197" s="6"/>
    </row>
    <row r="198" spans="1:24" ht="27.6" x14ac:dyDescent="0.25">
      <c r="A198" s="377">
        <v>194</v>
      </c>
      <c r="B198" s="15" t="str">
        <f>'Danh sách máy'!B204</f>
        <v>MEC2409017</v>
      </c>
      <c r="C198" s="13" t="str">
        <f>'Danh sách máy'!AC204</f>
        <v>レーザー前処理 マガジンラックの投入機
Máy nhận bo Magazine rack line Tiền xử lý Laser</v>
      </c>
      <c r="D198" s="14" t="str">
        <f>'Danh sách máy'!AJ204</f>
        <v>Finish</v>
      </c>
      <c r="E198" s="25">
        <f>'Danh sách máy'!E204</f>
        <v>45817</v>
      </c>
      <c r="F198" s="378" t="str">
        <f>'Danh sách máy'!AK204</f>
        <v>B.Đăng</v>
      </c>
      <c r="G198" s="378">
        <f>'Danh sách máy'!AL417</f>
        <v>0</v>
      </c>
      <c r="H198" s="378" t="str">
        <f>'Danh sách máy'!AM417</f>
        <v>A1</v>
      </c>
      <c r="I198" s="377"/>
      <c r="J198" s="377"/>
      <c r="K198" s="377"/>
      <c r="L198" s="377"/>
      <c r="M198" s="377"/>
      <c r="N198" s="377"/>
      <c r="O198" s="377"/>
      <c r="P198" s="377"/>
      <c r="Q198" s="377"/>
      <c r="R198" s="377"/>
      <c r="S198" s="377"/>
      <c r="T198" s="377"/>
      <c r="U198" s="377"/>
      <c r="V198" s="377"/>
      <c r="W198" s="377"/>
      <c r="X198" s="6"/>
    </row>
    <row r="199" spans="1:24" ht="41.4" x14ac:dyDescent="0.25">
      <c r="A199" s="377">
        <v>195</v>
      </c>
      <c r="B199" s="15" t="str">
        <f>'Danh sách máy'!B205</f>
        <v>MEC2409018</v>
      </c>
      <c r="C199" s="13" t="str">
        <f>'Danh sách máy'!AC205</f>
        <v>Carrier Device (Load &amp; Unload) for ML605 laser processing HOABINH (ホアビン向けレーザー機用マテハン） #1</v>
      </c>
      <c r="D199" s="14" t="str">
        <f>'Danh sách máy'!AJ205</f>
        <v>Finish</v>
      </c>
      <c r="E199" s="25">
        <f>'Danh sách máy'!E205</f>
        <v>45821</v>
      </c>
      <c r="F199" s="378" t="str">
        <f>'Danh sách máy'!AK205</f>
        <v>Đ.Thành</v>
      </c>
      <c r="G199" s="378">
        <f>'Danh sách máy'!AL418</f>
        <v>0</v>
      </c>
      <c r="H199" s="378" t="str">
        <f>'Danh sách máy'!AM418</f>
        <v>A1</v>
      </c>
      <c r="I199" s="377"/>
      <c r="J199" s="377"/>
      <c r="K199" s="377"/>
      <c r="L199" s="377"/>
      <c r="M199" s="377"/>
      <c r="N199" s="377"/>
      <c r="O199" s="377"/>
      <c r="P199" s="377"/>
      <c r="Q199" s="377"/>
      <c r="R199" s="377"/>
      <c r="S199" s="377"/>
      <c r="T199" s="377"/>
      <c r="U199" s="377"/>
      <c r="V199" s="377"/>
      <c r="W199" s="377"/>
      <c r="X199" s="6"/>
    </row>
    <row r="200" spans="1:24" ht="41.4" x14ac:dyDescent="0.25">
      <c r="A200" s="377">
        <v>196</v>
      </c>
      <c r="B200" s="15" t="str">
        <f>'Danh sách máy'!B416</f>
        <v>MEC2411059</v>
      </c>
      <c r="C200" s="13" t="str">
        <f>'Danh sách máy'!AC416</f>
        <v>４F　（外形）超音波水洗ライン  受取機（シート)
Máy nhận bo dạng sheet Line rửa siêu âm gia công ngoại hình 4F</v>
      </c>
      <c r="D200" s="14" t="str">
        <f>'Danh sách máy'!AJ416</f>
        <v>Stop</v>
      </c>
      <c r="E200" s="25">
        <f>'Danh sách máy'!E416</f>
        <v>0</v>
      </c>
      <c r="F200" s="378">
        <f>'Danh sách máy'!AK416</f>
        <v>0</v>
      </c>
      <c r="G200" s="378" t="str">
        <f>'Danh sách máy'!AL419</f>
        <v>Hanh</v>
      </c>
      <c r="H200" s="378" t="str">
        <f>'Danh sách máy'!AM419</f>
        <v>A3</v>
      </c>
      <c r="I200" s="377"/>
      <c r="J200" s="377"/>
      <c r="K200" s="377"/>
      <c r="L200" s="377"/>
      <c r="M200" s="377"/>
      <c r="N200" s="377"/>
      <c r="O200" s="377"/>
      <c r="P200" s="377"/>
      <c r="Q200" s="377"/>
      <c r="R200" s="377"/>
      <c r="S200" s="377"/>
      <c r="T200" s="377"/>
      <c r="U200" s="377"/>
      <c r="V200" s="377"/>
      <c r="W200" s="377"/>
      <c r="X200" s="6"/>
    </row>
    <row r="201" spans="1:24" ht="55.2" x14ac:dyDescent="0.25">
      <c r="A201" s="377">
        <v>197</v>
      </c>
      <c r="B201" s="15" t="str">
        <f>'Danh sách máy'!B417</f>
        <v>MEC2412022</v>
      </c>
      <c r="C201" s="13" t="str">
        <f>'Danh sách máy'!AC417</f>
        <v>4F　外層　露光ライン#2 (A面)  投入機（パタパタラック)
Máy đưa bo　Patapata rack Line Chụp sáng SR mặt A tạo mạch ngoài 4F</v>
      </c>
      <c r="D201" s="14" t="str">
        <f>'Danh sách máy'!AJ417</f>
        <v>Finish</v>
      </c>
      <c r="E201" s="25">
        <f>'Danh sách máy'!E417</f>
        <v>45786</v>
      </c>
      <c r="F201" s="378" t="str">
        <f>'Danh sách máy'!AK417</f>
        <v>T.Tuấn</v>
      </c>
      <c r="G201" s="378">
        <f>'Danh sách máy'!AL420</f>
        <v>0</v>
      </c>
      <c r="H201" s="378" t="str">
        <f>'Danh sách máy'!AM420</f>
        <v>A1</v>
      </c>
      <c r="I201" s="377"/>
      <c r="J201" s="377"/>
      <c r="K201" s="377"/>
      <c r="L201" s="377"/>
      <c r="M201" s="377"/>
      <c r="N201" s="377"/>
      <c r="O201" s="377"/>
      <c r="P201" s="377"/>
      <c r="Q201" s="377"/>
      <c r="R201" s="377"/>
      <c r="S201" s="377"/>
      <c r="T201" s="377"/>
      <c r="U201" s="377"/>
      <c r="V201" s="377"/>
      <c r="W201" s="377"/>
      <c r="X201" s="6"/>
    </row>
    <row r="202" spans="1:24" x14ac:dyDescent="0.25">
      <c r="A202" s="377">
        <v>198</v>
      </c>
      <c r="B202" s="15" t="str">
        <f>'Danh sách máy'!B418</f>
        <v>MEC2505144</v>
      </c>
      <c r="C202" s="13" t="str">
        <f>'Danh sách máy'!AC418</f>
        <v>Băng tải thường (L580mm)</v>
      </c>
      <c r="D202" s="14" t="str">
        <f>'Danh sách máy'!AJ418</f>
        <v>Finish</v>
      </c>
      <c r="E202" s="25">
        <f>'Danh sách máy'!E418</f>
        <v>45825</v>
      </c>
      <c r="F202" s="378" t="str">
        <f>'Danh sách máy'!AK418</f>
        <v>T.Quỳnh</v>
      </c>
      <c r="G202" s="378" t="str">
        <f>'Danh sách máy'!AL421</f>
        <v>Đ.Chiến</v>
      </c>
      <c r="H202" s="378" t="str">
        <f>'Danh sách máy'!AM421</f>
        <v>A3</v>
      </c>
      <c r="I202" s="377"/>
      <c r="J202" s="377"/>
      <c r="K202" s="377"/>
      <c r="L202" s="377"/>
      <c r="M202" s="377"/>
      <c r="N202" s="377"/>
      <c r="O202" s="377"/>
      <c r="P202" s="377"/>
      <c r="Q202" s="377"/>
      <c r="R202" s="377"/>
      <c r="S202" s="377"/>
      <c r="T202" s="377"/>
      <c r="U202" s="377"/>
      <c r="V202" s="377"/>
      <c r="W202" s="377"/>
      <c r="X202" s="6"/>
    </row>
    <row r="203" spans="1:24" ht="55.2" x14ac:dyDescent="0.25">
      <c r="A203" s="377">
        <v>199</v>
      </c>
      <c r="B203" s="15" t="str">
        <f>'Danh sách máy'!B419</f>
        <v>MEC2412024</v>
      </c>
      <c r="C203" s="13" t="str">
        <f>'Danh sách máy'!AC419</f>
        <v>4F　外層　露光ライン#2  ストッカー (B面　NG基板）
Máy nâng bo NG tạm thời Line Chụp sáng SR mặt B tạo mạch ngoài 4F</v>
      </c>
      <c r="D203" s="14" t="str">
        <f>'Danh sách máy'!AJ419</f>
        <v>Finish</v>
      </c>
      <c r="E203" s="25">
        <f>'Danh sách máy'!E419</f>
        <v>45745</v>
      </c>
      <c r="F203" s="378" t="str">
        <f>'Danh sách máy'!AK419</f>
        <v>T.Tuấn</v>
      </c>
      <c r="G203" s="378">
        <f>'Danh sách máy'!AL422</f>
        <v>0</v>
      </c>
      <c r="H203" s="378" t="str">
        <f>'Danh sách máy'!AM422</f>
        <v>A3</v>
      </c>
      <c r="I203" s="377"/>
      <c r="J203" s="377"/>
      <c r="K203" s="377"/>
      <c r="L203" s="377"/>
      <c r="M203" s="377"/>
      <c r="N203" s="377"/>
      <c r="O203" s="377"/>
      <c r="P203" s="377"/>
      <c r="Q203" s="377"/>
      <c r="R203" s="377"/>
      <c r="S203" s="377"/>
      <c r="T203" s="377"/>
      <c r="U203" s="377"/>
      <c r="V203" s="377"/>
      <c r="W203" s="377"/>
      <c r="X203" s="6"/>
    </row>
    <row r="204" spans="1:24" ht="55.2" x14ac:dyDescent="0.25">
      <c r="A204" s="377">
        <v>200</v>
      </c>
      <c r="B204" s="15" t="str">
        <f>'Danh sách máy'!B420</f>
        <v>MEC2412025</v>
      </c>
      <c r="C204" s="13" t="str">
        <f>'Danh sách máy'!AC420</f>
        <v>4F　外層　露光ライン#2  受取機（パタパタラック)
Máy nhận bo　Patapata rack Line Chụp sáng SR tạo mạch ngoài 4F</v>
      </c>
      <c r="D204" s="14" t="str">
        <f>'Danh sách máy'!AJ420</f>
        <v>Finish</v>
      </c>
      <c r="E204" s="25">
        <f>'Danh sách máy'!E420</f>
        <v>45786</v>
      </c>
      <c r="F204" s="378" t="str">
        <f>'Danh sách máy'!AK420</f>
        <v>T.Tuấn</v>
      </c>
      <c r="G204" s="378" t="str">
        <f>'Danh sách máy'!AL423</f>
        <v>Hanh</v>
      </c>
      <c r="H204" s="378" t="str">
        <f>'Danh sách máy'!AM423</f>
        <v>A3</v>
      </c>
      <c r="I204" s="377"/>
      <c r="J204" s="377"/>
      <c r="K204" s="377"/>
      <c r="L204" s="377"/>
      <c r="M204" s="377"/>
      <c r="N204" s="377"/>
      <c r="O204" s="377"/>
      <c r="P204" s="377"/>
      <c r="Q204" s="377"/>
      <c r="R204" s="377"/>
      <c r="S204" s="377"/>
      <c r="T204" s="377"/>
      <c r="U204" s="377"/>
      <c r="V204" s="377"/>
      <c r="W204" s="377"/>
      <c r="X204" s="6"/>
    </row>
  </sheetData>
  <autoFilter ref="A3:X204" xr:uid="{CF62C832-00E5-42EF-9EC8-5A1B36616AF1}"/>
  <conditionalFormatting sqref="I3:V125">
    <cfRule type="cellIs" dxfId="14" priority="5" stopIfTrue="1" operator="equal">
      <formula>"O"</formula>
    </cfRule>
    <cfRule type="cellIs" dxfId="13" priority="8" stopIfTrue="1" operator="equal">
      <formula>"X"</formula>
    </cfRule>
  </conditionalFormatting>
  <conditionalFormatting sqref="A4:H1000">
    <cfRule type="expression" dxfId="12" priority="2">
      <formula>$D4="Assembling"</formula>
    </cfRule>
    <cfRule type="expression" dxfId="11" priority="3">
      <formula>$D4="Testing"</formula>
    </cfRule>
    <cfRule type="expression" dxfId="10" priority="4">
      <formula>$D4="Waiting"</formula>
    </cfRule>
    <cfRule type="expression" dxfId="9" priority="9">
      <formula>$D4="Finish"</formula>
    </cfRule>
  </conditionalFormatting>
  <conditionalFormatting sqref="A4:X10000">
    <cfRule type="expression" dxfId="8" priority="1">
      <formula>$D4="Stop"</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F01B6-84FE-4E2E-8086-52D35D84EB60}">
  <sheetPr codeName="Sheet1"/>
  <dimension ref="M6:M7"/>
  <sheetViews>
    <sheetView workbookViewId="0">
      <selection activeCell="I13" sqref="I13"/>
    </sheetView>
  </sheetViews>
  <sheetFormatPr defaultRowHeight="14.4" x14ac:dyDescent="0.3"/>
  <cols>
    <col min="13" max="13" width="11.5546875" bestFit="1" customWidth="1"/>
  </cols>
  <sheetData>
    <row r="6" spans="13:13" x14ac:dyDescent="0.3">
      <c r="M6" s="38"/>
    </row>
    <row r="7" spans="13:13" x14ac:dyDescent="0.3">
      <c r="M7" s="38"/>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A0E1-282E-4E67-96AB-0921D34E66E9}">
  <sheetPr codeName="Sheet5"/>
  <dimension ref="D7:K43"/>
  <sheetViews>
    <sheetView workbookViewId="0">
      <selection activeCell="Q22" sqref="Q22"/>
    </sheetView>
  </sheetViews>
  <sheetFormatPr defaultRowHeight="14.4" x14ac:dyDescent="0.3"/>
  <cols>
    <col min="2" max="2" width="18.5546875" customWidth="1"/>
    <col min="10" max="10" width="17.44140625" bestFit="1" customWidth="1"/>
  </cols>
  <sheetData>
    <row r="7" spans="4:11" x14ac:dyDescent="0.3">
      <c r="K7" s="41"/>
    </row>
    <row r="9" spans="4:11" x14ac:dyDescent="0.3">
      <c r="K9" s="41"/>
    </row>
    <row r="12" spans="4:11" x14ac:dyDescent="0.3">
      <c r="J12" s="40"/>
    </row>
    <row r="16" spans="4:11" x14ac:dyDescent="0.3">
      <c r="D16" s="44"/>
    </row>
    <row r="17" spans="4:4" x14ac:dyDescent="0.3">
      <c r="D17" s="44"/>
    </row>
    <row r="18" spans="4:4" x14ac:dyDescent="0.3">
      <c r="D18" s="44"/>
    </row>
    <row r="19" spans="4:4" x14ac:dyDescent="0.3">
      <c r="D19" s="44"/>
    </row>
    <row r="20" spans="4:4" x14ac:dyDescent="0.3">
      <c r="D20" s="44"/>
    </row>
    <row r="21" spans="4:4" x14ac:dyDescent="0.3">
      <c r="D21" s="44"/>
    </row>
    <row r="22" spans="4:4" x14ac:dyDescent="0.3">
      <c r="D22" s="44"/>
    </row>
    <row r="23" spans="4:4" x14ac:dyDescent="0.3">
      <c r="D23" s="44"/>
    </row>
    <row r="24" spans="4:4" x14ac:dyDescent="0.3">
      <c r="D24" s="44"/>
    </row>
    <row r="25" spans="4:4" x14ac:dyDescent="0.3">
      <c r="D25" s="44"/>
    </row>
    <row r="26" spans="4:4" x14ac:dyDescent="0.3">
      <c r="D26" s="44"/>
    </row>
    <row r="27" spans="4:4" x14ac:dyDescent="0.3">
      <c r="D27" s="44"/>
    </row>
    <row r="28" spans="4:4" x14ac:dyDescent="0.3">
      <c r="D28" s="44"/>
    </row>
    <row r="29" spans="4:4" x14ac:dyDescent="0.3">
      <c r="D29" s="44"/>
    </row>
    <row r="30" spans="4:4" x14ac:dyDescent="0.3">
      <c r="D30" s="44"/>
    </row>
    <row r="31" spans="4:4" x14ac:dyDescent="0.3">
      <c r="D31" s="44"/>
    </row>
    <row r="32" spans="4:4" x14ac:dyDescent="0.3">
      <c r="D32" s="44"/>
    </row>
    <row r="33" spans="4:4" x14ac:dyDescent="0.3">
      <c r="D33" s="44"/>
    </row>
    <row r="34" spans="4:4" x14ac:dyDescent="0.3">
      <c r="D34" s="44"/>
    </row>
    <row r="35" spans="4:4" x14ac:dyDescent="0.3">
      <c r="D35" s="44"/>
    </row>
    <row r="36" spans="4:4" x14ac:dyDescent="0.3">
      <c r="D36" s="44"/>
    </row>
    <row r="37" spans="4:4" x14ac:dyDescent="0.3">
      <c r="D37" s="44"/>
    </row>
    <row r="38" spans="4:4" x14ac:dyDescent="0.3">
      <c r="D38" s="44"/>
    </row>
    <row r="39" spans="4:4" x14ac:dyDescent="0.3">
      <c r="D39" s="44"/>
    </row>
    <row r="40" spans="4:4" x14ac:dyDescent="0.3">
      <c r="D40" s="44"/>
    </row>
    <row r="41" spans="4:4" x14ac:dyDescent="0.3">
      <c r="D41" s="44"/>
    </row>
    <row r="42" spans="4:4" x14ac:dyDescent="0.3">
      <c r="D42" s="44"/>
    </row>
    <row r="43" spans="4:4" x14ac:dyDescent="0.3">
      <c r="D43" s="44"/>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84776-B1A7-41C3-9056-5F199C25A7E4}">
  <sheetPr codeName="Sheet6"/>
  <dimension ref="E8:I13"/>
  <sheetViews>
    <sheetView workbookViewId="0">
      <selection activeCell="N22" sqref="N22"/>
    </sheetView>
  </sheetViews>
  <sheetFormatPr defaultRowHeight="14.4" x14ac:dyDescent="0.3"/>
  <cols>
    <col min="5" max="6" width="17.44140625" customWidth="1"/>
  </cols>
  <sheetData>
    <row r="8" spans="5:9" ht="16.2" x14ac:dyDescent="0.3">
      <c r="E8" s="34"/>
      <c r="F8" s="34"/>
      <c r="G8" s="35"/>
    </row>
    <row r="9" spans="5:9" ht="16.2" x14ac:dyDescent="0.3">
      <c r="E9" s="34"/>
      <c r="F9" s="34"/>
      <c r="G9" s="35"/>
    </row>
    <row r="10" spans="5:9" ht="16.2" x14ac:dyDescent="0.3">
      <c r="E10" s="35"/>
      <c r="F10" s="35"/>
      <c r="G10" s="35"/>
    </row>
    <row r="13" spans="5:9" x14ac:dyDescent="0.3">
      <c r="I13" s="39"/>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B369A-DAD2-409B-89EA-DF7F3FB4E7FD}">
  <sheetPr codeName="Sheet13" filterMode="1"/>
  <dimension ref="A1:U1500"/>
  <sheetViews>
    <sheetView zoomScale="85" zoomScaleNormal="85" workbookViewId="0">
      <selection activeCell="S4" sqref="S4"/>
    </sheetView>
  </sheetViews>
  <sheetFormatPr defaultRowHeight="14.4" x14ac:dyDescent="0.3"/>
  <cols>
    <col min="1" max="1" width="5.6640625" style="319" customWidth="1"/>
    <col min="2" max="3" width="7.6640625" customWidth="1"/>
    <col min="4" max="4" width="14.33203125" customWidth="1"/>
    <col min="6" max="6" width="72" customWidth="1"/>
    <col min="7" max="7" width="19.5546875" customWidth="1"/>
    <col min="8" max="8" width="11.88671875" customWidth="1"/>
    <col min="9" max="9" width="9" hidden="1" customWidth="1"/>
    <col min="10" max="10" width="8.88671875" hidden="1" customWidth="1"/>
    <col min="11" max="11" width="10.6640625" customWidth="1"/>
    <col min="12" max="12" width="9" hidden="1" customWidth="1"/>
    <col min="13" max="13" width="8.88671875" hidden="1" customWidth="1"/>
    <col min="14" max="14" width="12.88671875" customWidth="1"/>
    <col min="15" max="15" width="9.44140625" hidden="1" customWidth="1"/>
    <col min="16" max="16" width="9.109375" hidden="1" customWidth="1"/>
    <col min="17" max="18" width="13.88671875" customWidth="1"/>
    <col min="19" max="19" width="43.6640625" style="36" customWidth="1"/>
    <col min="20" max="20" width="14.6640625" customWidth="1"/>
    <col min="21" max="21" width="52" style="7" customWidth="1"/>
  </cols>
  <sheetData>
    <row r="1" spans="1:21" ht="35.4" x14ac:dyDescent="0.65">
      <c r="A1" s="328" t="s">
        <v>4398</v>
      </c>
      <c r="B1" s="183"/>
      <c r="C1" s="183"/>
      <c r="D1" s="184"/>
      <c r="E1" s="185"/>
      <c r="F1" s="186"/>
      <c r="G1" s="187"/>
      <c r="H1" s="187"/>
      <c r="I1" s="188"/>
      <c r="J1" s="189"/>
      <c r="K1" s="189"/>
      <c r="L1" s="188"/>
      <c r="M1" s="189"/>
      <c r="N1" s="212">
        <v>2025</v>
      </c>
      <c r="O1" s="190"/>
      <c r="P1" s="190"/>
      <c r="Q1" s="190"/>
      <c r="R1" s="190"/>
    </row>
    <row r="2" spans="1:21" ht="22.95" customHeight="1" x14ac:dyDescent="0.65">
      <c r="A2" s="316"/>
      <c r="B2" s="191"/>
      <c r="C2" s="191"/>
      <c r="D2" s="191"/>
      <c r="E2" s="191"/>
      <c r="F2" s="191"/>
      <c r="G2" s="190"/>
      <c r="H2" s="190"/>
      <c r="I2" s="190"/>
      <c r="J2" s="190"/>
      <c r="K2" s="190"/>
      <c r="L2" s="4"/>
      <c r="M2" s="189"/>
      <c r="N2" s="420" t="s">
        <v>4399</v>
      </c>
      <c r="O2" s="421"/>
      <c r="P2" s="421"/>
      <c r="Q2" s="420"/>
      <c r="R2" s="320"/>
    </row>
    <row r="3" spans="1:21" ht="35.4" x14ac:dyDescent="0.65">
      <c r="A3" s="316"/>
      <c r="B3" s="191"/>
      <c r="C3" s="191"/>
      <c r="D3" s="191"/>
      <c r="E3" s="191"/>
      <c r="F3" s="191"/>
      <c r="G3" s="190"/>
      <c r="H3" s="190"/>
      <c r="I3" s="190"/>
      <c r="J3" s="190"/>
      <c r="K3" s="190"/>
      <c r="L3" s="4"/>
      <c r="M3" s="189"/>
      <c r="N3" s="380" t="s">
        <v>4400</v>
      </c>
      <c r="O3" s="369" t="s">
        <v>8</v>
      </c>
      <c r="P3" s="369" t="s">
        <v>7</v>
      </c>
      <c r="Q3" s="369">
        <f>COUNTIF(D11:D300,"&lt;&gt;0")</f>
        <v>290</v>
      </c>
      <c r="R3" s="321"/>
      <c r="T3" s="223">
        <v>1</v>
      </c>
      <c r="U3" s="8">
        <f>COUNTIF(T11:T517,T3)</f>
        <v>110</v>
      </c>
    </row>
    <row r="4" spans="1:21" ht="35.4" x14ac:dyDescent="0.65">
      <c r="A4" s="316"/>
      <c r="B4" s="191"/>
      <c r="C4" s="191"/>
      <c r="D4" s="191"/>
      <c r="E4" s="191"/>
      <c r="F4" s="191"/>
      <c r="G4" s="190"/>
      <c r="H4" s="190"/>
      <c r="I4" s="190"/>
      <c r="J4" s="190"/>
      <c r="K4" s="190"/>
      <c r="L4" s="4"/>
      <c r="M4" s="189"/>
      <c r="N4" s="141" t="s">
        <v>4082</v>
      </c>
      <c r="O4" s="192"/>
      <c r="P4" s="193"/>
      <c r="Q4" s="194">
        <f>COUNTIF(H11:H520,"Finish")+COUNTIF(H11:H520,"Setting")+COUNTIF(H11:H520,"Waiting")</f>
        <v>0</v>
      </c>
      <c r="R4" s="322"/>
      <c r="T4" s="223" t="s">
        <v>4401</v>
      </c>
      <c r="U4" s="8">
        <f>COUNTIF(T11:T518,T4)</f>
        <v>7</v>
      </c>
    </row>
    <row r="5" spans="1:21" ht="35.4" x14ac:dyDescent="0.65">
      <c r="A5" s="316"/>
      <c r="B5" s="191"/>
      <c r="C5" s="191"/>
      <c r="D5" s="191"/>
      <c r="E5" s="191"/>
      <c r="F5" s="191"/>
      <c r="G5" s="190"/>
      <c r="H5" s="190"/>
      <c r="I5" s="190"/>
      <c r="J5" s="190"/>
      <c r="K5" s="195" t="e">
        <f>Q5/Q4</f>
        <v>#DIV/0!</v>
      </c>
      <c r="L5" s="4"/>
      <c r="M5" s="189"/>
      <c r="N5" s="196" t="s">
        <v>374</v>
      </c>
      <c r="O5" s="197">
        <f>COUNTIF(O11:O276,N5)</f>
        <v>266</v>
      </c>
      <c r="P5" s="197">
        <f>COUNTIF(P11:P276,N5)</f>
        <v>0</v>
      </c>
      <c r="Q5" s="198">
        <f>COUNTIF(R11:R10000,N5)</f>
        <v>0</v>
      </c>
      <c r="R5" s="323"/>
    </row>
    <row r="6" spans="1:21" ht="35.4" x14ac:dyDescent="0.65">
      <c r="A6" s="316"/>
      <c r="B6" s="191"/>
      <c r="C6" s="191"/>
      <c r="D6" s="191"/>
      <c r="E6" s="191"/>
      <c r="F6" s="191"/>
      <c r="G6" s="190"/>
      <c r="H6" s="190"/>
      <c r="I6" s="190"/>
      <c r="J6" s="190"/>
      <c r="K6" s="195" t="e">
        <f>Q6/Q4</f>
        <v>#DIV/0!</v>
      </c>
      <c r="L6" s="4"/>
      <c r="M6" s="189"/>
      <c r="N6" s="199" t="s">
        <v>4402</v>
      </c>
      <c r="O6" s="197">
        <f>COUNTIF(O11:O276,N6)</f>
        <v>0</v>
      </c>
      <c r="P6" s="197">
        <f>COUNTIF(P11:P276,N6)</f>
        <v>0</v>
      </c>
      <c r="Q6" s="200">
        <f>COUNTIF(R11:R10000,N6)</f>
        <v>0</v>
      </c>
      <c r="R6" s="324"/>
      <c r="T6" s="222"/>
    </row>
    <row r="7" spans="1:21" ht="35.4" x14ac:dyDescent="0.65">
      <c r="A7" s="316"/>
      <c r="B7" s="191"/>
      <c r="C7" s="191"/>
      <c r="D7" s="191"/>
      <c r="E7" s="191"/>
      <c r="F7" s="191"/>
      <c r="G7" s="190"/>
      <c r="H7" s="190"/>
      <c r="I7" s="190"/>
      <c r="J7" s="190"/>
      <c r="K7" s="190"/>
      <c r="L7" s="4"/>
      <c r="M7" s="189"/>
      <c r="N7" s="199" t="s">
        <v>4403</v>
      </c>
      <c r="O7" s="201" t="e">
        <f>O6/O4</f>
        <v>#DIV/0!</v>
      </c>
      <c r="P7" s="201" t="e">
        <f>P6/O4</f>
        <v>#DIV/0!</v>
      </c>
      <c r="Q7" s="202" t="e">
        <f>Q6/Q4</f>
        <v>#DIV/0!</v>
      </c>
      <c r="R7" s="325"/>
    </row>
    <row r="8" spans="1:21" ht="22.8" x14ac:dyDescent="0.45">
      <c r="A8" s="317"/>
      <c r="B8" s="203"/>
      <c r="C8" s="203"/>
      <c r="D8" s="184"/>
      <c r="E8" s="185"/>
      <c r="F8" s="186"/>
      <c r="G8" s="187"/>
      <c r="H8" s="187" t="s">
        <v>60</v>
      </c>
      <c r="I8" s="188"/>
      <c r="J8" s="189"/>
      <c r="K8" s="189"/>
      <c r="L8" s="188"/>
      <c r="M8" s="189"/>
      <c r="N8" s="188"/>
      <c r="O8" s="204"/>
      <c r="P8" s="205"/>
      <c r="Q8" s="205"/>
      <c r="R8" s="205"/>
    </row>
    <row r="9" spans="1:21" ht="31.95" customHeight="1" x14ac:dyDescent="0.3">
      <c r="A9" s="416" t="s">
        <v>50</v>
      </c>
      <c r="B9" s="418" t="s">
        <v>4404</v>
      </c>
      <c r="C9" s="418" t="s">
        <v>52</v>
      </c>
      <c r="D9" s="414" t="s">
        <v>4405</v>
      </c>
      <c r="E9" s="414" t="s">
        <v>4406</v>
      </c>
      <c r="F9" s="414" t="s">
        <v>93</v>
      </c>
      <c r="G9" s="414" t="s">
        <v>94</v>
      </c>
      <c r="H9" s="414" t="s">
        <v>4407</v>
      </c>
      <c r="I9" s="422" t="s">
        <v>54</v>
      </c>
      <c r="J9" s="423"/>
      <c r="K9" s="424"/>
      <c r="L9" s="425" t="s">
        <v>62</v>
      </c>
      <c r="M9" s="426"/>
      <c r="N9" s="426"/>
      <c r="O9" s="428" t="s">
        <v>4408</v>
      </c>
      <c r="P9" s="429"/>
      <c r="Q9" s="430"/>
      <c r="R9" s="430"/>
      <c r="T9" s="427" t="s">
        <v>4409</v>
      </c>
    </row>
    <row r="10" spans="1:21" ht="25.2" x14ac:dyDescent="0.3">
      <c r="A10" s="417"/>
      <c r="B10" s="419"/>
      <c r="C10" s="419"/>
      <c r="D10" s="415"/>
      <c r="E10" s="415"/>
      <c r="F10" s="415"/>
      <c r="G10" s="415"/>
      <c r="H10" s="415"/>
      <c r="I10" s="207" t="s">
        <v>8</v>
      </c>
      <c r="J10" s="208" t="s">
        <v>7</v>
      </c>
      <c r="K10" s="208" t="s">
        <v>4082</v>
      </c>
      <c r="L10" s="207" t="s">
        <v>8</v>
      </c>
      <c r="M10" s="208" t="s">
        <v>7</v>
      </c>
      <c r="N10" s="207" t="s">
        <v>4410</v>
      </c>
      <c r="O10" s="207" t="s">
        <v>8</v>
      </c>
      <c r="P10" s="208" t="s">
        <v>7</v>
      </c>
      <c r="Q10" s="327" t="s">
        <v>4410</v>
      </c>
      <c r="R10" s="219" t="s">
        <v>4411</v>
      </c>
      <c r="S10" s="219" t="s">
        <v>4412</v>
      </c>
      <c r="T10" s="427"/>
    </row>
    <row r="11" spans="1:21" ht="30" hidden="1" x14ac:dyDescent="0.3">
      <c r="A11" s="318" t="e">
        <f>#REF!</f>
        <v>#REF!</v>
      </c>
      <c r="B11" s="305" t="e">
        <f>#REF!</f>
        <v>#REF!</v>
      </c>
      <c r="C11" s="305" t="str">
        <f>'Danh sách máy'!C6</f>
        <v>ISHI</v>
      </c>
      <c r="D11" s="90" t="e">
        <f>#REF!</f>
        <v>#REF!</v>
      </c>
      <c r="E11" s="97">
        <f>'Danh sách máy'!E6</f>
        <v>45590</v>
      </c>
      <c r="F11" s="206" t="e">
        <f>#REF!</f>
        <v>#REF!</v>
      </c>
      <c r="G11" s="102" t="e">
        <f>#REF!</f>
        <v>#REF!</v>
      </c>
      <c r="H11" s="102" t="e">
        <f>#REF!</f>
        <v>#REF!</v>
      </c>
      <c r="I11" s="209">
        <v>44285</v>
      </c>
      <c r="J11" s="210"/>
      <c r="K11" s="210" t="e">
        <f>#REF!</f>
        <v>#REF!</v>
      </c>
      <c r="L11" s="210">
        <v>44280</v>
      </c>
      <c r="M11" s="210"/>
      <c r="N11" s="210">
        <f>'Danh sách máy'!F6</f>
        <v>45595</v>
      </c>
      <c r="O11" s="211" t="str" cm="1">
        <f t="array" ref="O11">IF(L11&lt;&gt;0,IF(L11&lt;I11,"OK","NG"),Blank)</f>
        <v>OK</v>
      </c>
      <c r="P11" s="211" t="e" cm="1">
        <f t="array" ref="P11">IF(M11&lt;&gt;0,IF(M11&lt;J11,"OK","NG"),Blank)</f>
        <v>#NAME?</v>
      </c>
      <c r="Q11" s="211" t="e" cm="1">
        <f t="array" ref="Q11">IF(H11&lt;&gt;"Stop",IF(N11&lt;&gt;0,IF(N11&lt;=K11,"OK","NG"),Blank),"-")</f>
        <v>#REF!</v>
      </c>
      <c r="R11" s="326" t="e" cm="1">
        <f t="array" ref="R11">IF(H11&lt;&gt;"Stop",IF(E11&lt;&gt;0,IF(E11&lt;=K11,"OK","NG"),Blank),"-")</f>
        <v>#REF!</v>
      </c>
      <c r="S11" s="220" t="s">
        <v>4413</v>
      </c>
      <c r="T11" s="221">
        <v>0.9</v>
      </c>
    </row>
    <row r="12" spans="1:21" ht="30" hidden="1" x14ac:dyDescent="0.3">
      <c r="A12" s="318" t="e">
        <f>#REF!</f>
        <v>#REF!</v>
      </c>
      <c r="B12" s="305" t="e">
        <f>#REF!</f>
        <v>#REF!</v>
      </c>
      <c r="C12" s="305" t="str">
        <f>'Danh sách máy'!C7</f>
        <v>ISHI</v>
      </c>
      <c r="D12" s="90" t="e">
        <f>#REF!</f>
        <v>#REF!</v>
      </c>
      <c r="E12" s="97">
        <f>'Danh sách máy'!E7</f>
        <v>45590</v>
      </c>
      <c r="F12" s="206" t="e">
        <f>#REF!</f>
        <v>#REF!</v>
      </c>
      <c r="G12" s="102" t="e">
        <f>#REF!</f>
        <v>#REF!</v>
      </c>
      <c r="H12" s="102" t="e">
        <f>#REF!</f>
        <v>#REF!</v>
      </c>
      <c r="I12" s="209">
        <v>44286</v>
      </c>
      <c r="J12" s="210"/>
      <c r="K12" s="210" t="e">
        <f>#REF!</f>
        <v>#REF!</v>
      </c>
      <c r="L12" s="210">
        <v>44281</v>
      </c>
      <c r="M12" s="210"/>
      <c r="N12" s="210">
        <f>'Danh sách máy'!F7</f>
        <v>45595</v>
      </c>
      <c r="O12" s="211" t="str" cm="1">
        <f t="array" ref="O12">IF(L12&lt;&gt;0,IF(L12&lt;I12,"OK","NG"),Blank)</f>
        <v>OK</v>
      </c>
      <c r="P12" s="211" t="e" cm="1">
        <f t="array" ref="P12">IF(M12&lt;&gt;0,IF(M12&lt;J12,"OK","NG"),Blank)</f>
        <v>#NAME?</v>
      </c>
      <c r="Q12" s="211" t="e" cm="1">
        <f t="array" ref="Q12">IF(H12&lt;&gt;"Stop",IF(N12&lt;&gt;0,IF(N12&lt;=K12,"OK","NG"),Blank),"-")</f>
        <v>#REF!</v>
      </c>
      <c r="R12" s="326" t="e" cm="1">
        <f t="array" ref="R12">IF(H12&lt;&gt;"Stop",IF(E12&lt;&gt;0,IF(E12&lt;=K12,"OK","NG"),Blank),"-")</f>
        <v>#REF!</v>
      </c>
      <c r="S12" s="220" t="s">
        <v>4413</v>
      </c>
      <c r="T12" s="221">
        <v>0.9</v>
      </c>
    </row>
    <row r="13" spans="1:21" ht="30" hidden="1" x14ac:dyDescent="0.3">
      <c r="A13" s="318" t="e">
        <f>#REF!</f>
        <v>#REF!</v>
      </c>
      <c r="B13" s="305" t="e">
        <f>#REF!</f>
        <v>#REF!</v>
      </c>
      <c r="C13" s="305" t="str">
        <f>'Danh sách máy'!C8</f>
        <v>MKVC</v>
      </c>
      <c r="D13" s="90" t="e">
        <f>#REF!</f>
        <v>#REF!</v>
      </c>
      <c r="E13" s="97">
        <f>'Danh sách máy'!E8</f>
        <v>45471</v>
      </c>
      <c r="F13" s="206" t="e">
        <f>#REF!</f>
        <v>#REF!</v>
      </c>
      <c r="G13" s="102" t="e">
        <f>#REF!</f>
        <v>#REF!</v>
      </c>
      <c r="H13" s="102" t="e">
        <f>#REF!</f>
        <v>#REF!</v>
      </c>
      <c r="I13" s="209">
        <v>44287</v>
      </c>
      <c r="J13" s="210"/>
      <c r="K13" s="210" t="e">
        <f>#REF!</f>
        <v>#REF!</v>
      </c>
      <c r="L13" s="210">
        <v>44282</v>
      </c>
      <c r="M13" s="210"/>
      <c r="N13" s="210">
        <f>'Danh sách máy'!F8</f>
        <v>45597</v>
      </c>
      <c r="O13" s="211" t="str" cm="1">
        <f t="array" ref="O13">IF(L13&lt;&gt;0,IF(L13&lt;I13,"OK","NG"),Blank)</f>
        <v>OK</v>
      </c>
      <c r="P13" s="211" t="e" cm="1">
        <f t="array" ref="P13">IF(M13&lt;&gt;0,IF(M13&lt;J13,"OK","NG"),Blank)</f>
        <v>#NAME?</v>
      </c>
      <c r="Q13" s="211" t="e" cm="1">
        <f t="array" ref="Q13">IF(H13&lt;&gt;"Stop",IF(N13&lt;&gt;0,IF(N13&lt;=K13,"OK","NG"),Blank),"-")</f>
        <v>#REF!</v>
      </c>
      <c r="R13" s="326" t="e" cm="1">
        <f t="array" ref="R13">IF(H13&lt;&gt;"Stop",IF(E13&lt;&gt;0,IF(E13&lt;=K13,"OK","NG"),Blank),"-")</f>
        <v>#REF!</v>
      </c>
      <c r="S13" s="220"/>
      <c r="T13" s="221">
        <v>1</v>
      </c>
      <c r="U13"/>
    </row>
    <row r="14" spans="1:21" ht="45" hidden="1" x14ac:dyDescent="0.3">
      <c r="A14" s="318" t="e">
        <f>#REF!</f>
        <v>#REF!</v>
      </c>
      <c r="B14" s="305" t="e">
        <f>#REF!</f>
        <v>#REF!</v>
      </c>
      <c r="C14" s="305" t="str">
        <f>'Danh sách máy'!C9</f>
        <v>MKVC</v>
      </c>
      <c r="D14" s="90" t="e">
        <f>#REF!</f>
        <v>#REF!</v>
      </c>
      <c r="E14" s="97">
        <f>'Danh sách máy'!E9</f>
        <v>45408</v>
      </c>
      <c r="F14" s="206" t="e">
        <f>#REF!</f>
        <v>#REF!</v>
      </c>
      <c r="G14" s="102" t="e">
        <f>#REF!</f>
        <v>#REF!</v>
      </c>
      <c r="H14" s="102" t="e">
        <f>#REF!</f>
        <v>#REF!</v>
      </c>
      <c r="I14" s="209">
        <v>44288</v>
      </c>
      <c r="J14" s="210"/>
      <c r="K14" s="210" t="e">
        <f>#REF!</f>
        <v>#REF!</v>
      </c>
      <c r="L14" s="210">
        <v>44283</v>
      </c>
      <c r="M14" s="210"/>
      <c r="N14" s="210">
        <f>'Danh sách máy'!F9</f>
        <v>0</v>
      </c>
      <c r="O14" s="211" t="str" cm="1">
        <f t="array" ref="O14">IF(L14&lt;&gt;0,IF(L14&lt;I14,"OK","NG"),Blank)</f>
        <v>OK</v>
      </c>
      <c r="P14" s="211" t="e" cm="1">
        <f t="array" ref="P14">IF(M14&lt;&gt;0,IF(M14&lt;J14,"OK","NG"),Blank)</f>
        <v>#NAME?</v>
      </c>
      <c r="Q14" s="211" t="e" cm="1">
        <f t="array" ref="Q14">IF(H14&lt;&gt;"Stop",IF(N14&lt;&gt;0,IF(N14&lt;=K14,"OK","NG"),Blank),"-")</f>
        <v>#REF!</v>
      </c>
      <c r="R14" s="326" t="e" cm="1">
        <f t="array" ref="R14">IF(H14&lt;&gt;"Stop",IF(E14&lt;&gt;0,IF(E14&lt;=K14,"OK","NG"),Blank),"-")</f>
        <v>#REF!</v>
      </c>
      <c r="S14" s="22"/>
      <c r="T14" s="221">
        <v>1</v>
      </c>
      <c r="U14"/>
    </row>
    <row r="15" spans="1:21" ht="30" hidden="1" x14ac:dyDescent="0.3">
      <c r="A15" s="318" t="e">
        <f>#REF!</f>
        <v>#REF!</v>
      </c>
      <c r="B15" s="305" t="e">
        <f>#REF!</f>
        <v>#REF!</v>
      </c>
      <c r="C15" s="305" t="str">
        <f>'Danh sách máy'!C10</f>
        <v>MKVC</v>
      </c>
      <c r="D15" s="90" t="e">
        <f>#REF!</f>
        <v>#REF!</v>
      </c>
      <c r="E15" s="97">
        <f>'Danh sách máy'!E10</f>
        <v>45408</v>
      </c>
      <c r="F15" s="206" t="e">
        <f>#REF!</f>
        <v>#REF!</v>
      </c>
      <c r="G15" s="102" t="e">
        <f>#REF!</f>
        <v>#REF!</v>
      </c>
      <c r="H15" s="102" t="e">
        <f>#REF!</f>
        <v>#REF!</v>
      </c>
      <c r="I15" s="209">
        <v>44289</v>
      </c>
      <c r="J15" s="210"/>
      <c r="K15" s="210" t="e">
        <f>#REF!</f>
        <v>#REF!</v>
      </c>
      <c r="L15" s="210">
        <v>44284</v>
      </c>
      <c r="M15" s="210"/>
      <c r="N15" s="210">
        <f>'Danh sách máy'!F10</f>
        <v>45737</v>
      </c>
      <c r="O15" s="211" t="str" cm="1">
        <f t="array" ref="O15">IF(L15&lt;&gt;0,IF(L15&lt;I15,"OK","NG"),Blank)</f>
        <v>OK</v>
      </c>
      <c r="P15" s="211" t="e" cm="1">
        <f t="array" ref="P15">IF(M15&lt;&gt;0,IF(M15&lt;J15,"OK","NG"),Blank)</f>
        <v>#NAME?</v>
      </c>
      <c r="Q15" s="211" t="e" cm="1">
        <f t="array" ref="Q15">IF(H15&lt;&gt;"Stop",IF(N15&lt;&gt;0,IF(N15&lt;=K15,"OK","NG"),Blank),"-")</f>
        <v>#REF!</v>
      </c>
      <c r="R15" s="326" t="e" cm="1">
        <f t="array" ref="R15">IF(H15&lt;&gt;"Stop",IF(E15&lt;&gt;0,IF(E15&lt;=K15,"OK","NG"),Blank),"-")</f>
        <v>#REF!</v>
      </c>
      <c r="S15" s="22"/>
      <c r="T15" s="221">
        <v>1</v>
      </c>
      <c r="U15"/>
    </row>
    <row r="16" spans="1:21" ht="30" hidden="1" x14ac:dyDescent="0.3">
      <c r="A16" s="318" t="e">
        <f>#REF!</f>
        <v>#REF!</v>
      </c>
      <c r="B16" s="305" t="e">
        <f>#REF!</f>
        <v>#REF!</v>
      </c>
      <c r="C16" s="305" t="str">
        <f>'Danh sách máy'!C11</f>
        <v>MKVC</v>
      </c>
      <c r="D16" s="90" t="e">
        <f>#REF!</f>
        <v>#REF!</v>
      </c>
      <c r="E16" s="97">
        <f>'Danh sách máy'!E11</f>
        <v>45442</v>
      </c>
      <c r="F16" s="206" t="e">
        <f>#REF!</f>
        <v>#REF!</v>
      </c>
      <c r="G16" s="102" t="e">
        <f>#REF!</f>
        <v>#REF!</v>
      </c>
      <c r="H16" s="102" t="e">
        <f>#REF!</f>
        <v>#REF!</v>
      </c>
      <c r="I16" s="209">
        <v>44290</v>
      </c>
      <c r="J16" s="210"/>
      <c r="K16" s="210" t="e">
        <f>#REF!</f>
        <v>#REF!</v>
      </c>
      <c r="L16" s="210">
        <v>44285</v>
      </c>
      <c r="M16" s="210"/>
      <c r="N16" s="210">
        <f>'Danh sách máy'!F11</f>
        <v>45737</v>
      </c>
      <c r="O16" s="211" t="str" cm="1">
        <f t="array" ref="O16">IF(L16&lt;&gt;0,IF(L16&lt;I16,"OK","NG"),Blank)</f>
        <v>OK</v>
      </c>
      <c r="P16" s="211" t="e" cm="1">
        <f t="array" ref="P16">IF(M16&lt;&gt;0,IF(M16&lt;J16,"OK","NG"),Blank)</f>
        <v>#NAME?</v>
      </c>
      <c r="Q16" s="211" t="e" cm="1">
        <f t="array" ref="Q16">IF(H16&lt;&gt;"Stop",IF(N16&lt;&gt;0,IF(N16&lt;=K16,"OK","NG"),Blank),"-")</f>
        <v>#REF!</v>
      </c>
      <c r="R16" s="326" t="e" cm="1">
        <f t="array" ref="R16">IF(H16&lt;&gt;"Stop",IF(E16&lt;&gt;0,IF(E16&lt;=K16,"OK","NG"),Blank),"-")</f>
        <v>#REF!</v>
      </c>
      <c r="S16" s="22"/>
      <c r="T16" s="221">
        <v>1</v>
      </c>
      <c r="U16"/>
    </row>
    <row r="17" spans="1:21" ht="30" hidden="1" x14ac:dyDescent="0.3">
      <c r="A17" s="318" t="e">
        <f>#REF!</f>
        <v>#REF!</v>
      </c>
      <c r="B17" s="305" t="e">
        <f>#REF!</f>
        <v>#REF!</v>
      </c>
      <c r="C17" s="305" t="str">
        <f>'Danh sách máy'!C12</f>
        <v>MKVC</v>
      </c>
      <c r="D17" s="90" t="e">
        <f>#REF!</f>
        <v>#REF!</v>
      </c>
      <c r="E17" s="97">
        <f>'Danh sách máy'!E12</f>
        <v>45442</v>
      </c>
      <c r="F17" s="206" t="e">
        <f>#REF!</f>
        <v>#REF!</v>
      </c>
      <c r="G17" s="102" t="e">
        <f>#REF!</f>
        <v>#REF!</v>
      </c>
      <c r="H17" s="102" t="e">
        <f>#REF!</f>
        <v>#REF!</v>
      </c>
      <c r="I17" s="209">
        <v>44291</v>
      </c>
      <c r="J17" s="210"/>
      <c r="K17" s="210" t="e">
        <f>#REF!</f>
        <v>#REF!</v>
      </c>
      <c r="L17" s="210">
        <v>44286</v>
      </c>
      <c r="M17" s="210"/>
      <c r="N17" s="210">
        <f>'Danh sách máy'!F12</f>
        <v>45737</v>
      </c>
      <c r="O17" s="211" t="str" cm="1">
        <f t="array" ref="O17">IF(L17&lt;&gt;0,IF(L17&lt;I17,"OK","NG"),Blank)</f>
        <v>OK</v>
      </c>
      <c r="P17" s="211" t="e" cm="1">
        <f t="array" ref="P17">IF(M17&lt;&gt;0,IF(M17&lt;J17,"OK","NG"),Blank)</f>
        <v>#NAME?</v>
      </c>
      <c r="Q17" s="211" t="e" cm="1">
        <f t="array" ref="Q17">IF(H17&lt;&gt;"Stop",IF(N17&lt;&gt;0,IF(N17&lt;=K17,"OK","NG"),Blank),"-")</f>
        <v>#REF!</v>
      </c>
      <c r="R17" s="326" t="e" cm="1">
        <f t="array" ref="R17">IF(H17&lt;&gt;"Stop",IF(E17&lt;&gt;0,IF(E17&lt;=K17,"OK","NG"),Blank),"-")</f>
        <v>#REF!</v>
      </c>
      <c r="S17" s="22"/>
      <c r="T17" s="221">
        <v>1</v>
      </c>
      <c r="U17"/>
    </row>
    <row r="18" spans="1:21" ht="30" hidden="1" x14ac:dyDescent="0.3">
      <c r="A18" s="318" t="e">
        <f>#REF!</f>
        <v>#REF!</v>
      </c>
      <c r="B18" s="305" t="e">
        <f>#REF!</f>
        <v>#REF!</v>
      </c>
      <c r="C18" s="305" t="str">
        <f>'Danh sách máy'!C13</f>
        <v>MKVC</v>
      </c>
      <c r="D18" s="90" t="e">
        <f>#REF!</f>
        <v>#REF!</v>
      </c>
      <c r="E18" s="97">
        <f>'Danh sách máy'!E13</f>
        <v>45442</v>
      </c>
      <c r="F18" s="206" t="e">
        <f>#REF!</f>
        <v>#REF!</v>
      </c>
      <c r="G18" s="102" t="e">
        <f>#REF!</f>
        <v>#REF!</v>
      </c>
      <c r="H18" s="102" t="e">
        <f>#REF!</f>
        <v>#REF!</v>
      </c>
      <c r="I18" s="209">
        <v>44292</v>
      </c>
      <c r="J18" s="210"/>
      <c r="K18" s="210" t="e">
        <f>#REF!</f>
        <v>#REF!</v>
      </c>
      <c r="L18" s="210">
        <v>44287</v>
      </c>
      <c r="M18" s="210"/>
      <c r="N18" s="210">
        <f>'Danh sách máy'!F13</f>
        <v>45737</v>
      </c>
      <c r="O18" s="211" t="str" cm="1">
        <f t="array" ref="O18">IF(L18&lt;&gt;0,IF(L18&lt;I18,"OK","NG"),Blank)</f>
        <v>OK</v>
      </c>
      <c r="P18" s="211" t="e" cm="1">
        <f t="array" ref="P18">IF(M18&lt;&gt;0,IF(M18&lt;J18,"OK","NG"),Blank)</f>
        <v>#NAME?</v>
      </c>
      <c r="Q18" s="211" t="e" cm="1">
        <f t="array" ref="Q18">IF(H18&lt;&gt;"Stop",IF(N18&lt;&gt;0,IF(N18&lt;=K18,"OK","NG"),Blank),"-")</f>
        <v>#REF!</v>
      </c>
      <c r="R18" s="326" t="e" cm="1">
        <f t="array" ref="R18">IF(H18&lt;&gt;"Stop",IF(E18&lt;&gt;0,IF(E18&lt;=K18,"OK","NG"),Blank),"-")</f>
        <v>#REF!</v>
      </c>
      <c r="S18" s="22"/>
      <c r="T18" s="221">
        <v>1</v>
      </c>
      <c r="U18"/>
    </row>
    <row r="19" spans="1:21" ht="30" hidden="1" x14ac:dyDescent="0.3">
      <c r="A19" s="318" t="e">
        <f>#REF!</f>
        <v>#REF!</v>
      </c>
      <c r="B19" s="305" t="e">
        <f>#REF!</f>
        <v>#REF!</v>
      </c>
      <c r="C19" s="305" t="str">
        <f>'Danh sách máy'!C14</f>
        <v>MKVC</v>
      </c>
      <c r="D19" s="90" t="e">
        <f>#REF!</f>
        <v>#REF!</v>
      </c>
      <c r="E19" s="97">
        <f>'Danh sách máy'!E14</f>
        <v>45408</v>
      </c>
      <c r="F19" s="206" t="e">
        <f>#REF!</f>
        <v>#REF!</v>
      </c>
      <c r="G19" s="102" t="e">
        <f>#REF!</f>
        <v>#REF!</v>
      </c>
      <c r="H19" s="102" t="e">
        <f>#REF!</f>
        <v>#REF!</v>
      </c>
      <c r="I19" s="209">
        <v>44293</v>
      </c>
      <c r="J19" s="210"/>
      <c r="K19" s="210" t="e">
        <f>#REF!</f>
        <v>#REF!</v>
      </c>
      <c r="L19" s="210">
        <v>44288</v>
      </c>
      <c r="M19" s="210"/>
      <c r="N19" s="210">
        <f>'Danh sách máy'!F14</f>
        <v>45737</v>
      </c>
      <c r="O19" s="211" t="str" cm="1">
        <f t="array" ref="O19">IF(L19&lt;&gt;0,IF(L19&lt;I19,"OK","NG"),Blank)</f>
        <v>OK</v>
      </c>
      <c r="P19" s="211" t="e" cm="1">
        <f t="array" ref="P19">IF(M19&lt;&gt;0,IF(M19&lt;J19,"OK","NG"),Blank)</f>
        <v>#NAME?</v>
      </c>
      <c r="Q19" s="211" t="e" cm="1">
        <f t="array" ref="Q19">IF(H19&lt;&gt;"Stop",IF(N19&lt;&gt;0,IF(N19&lt;=K19,"OK","NG"),Blank),"-")</f>
        <v>#REF!</v>
      </c>
      <c r="R19" s="326" t="e" cm="1">
        <f t="array" ref="R19">IF(H19&lt;&gt;"Stop",IF(E19&lt;&gt;0,IF(E19&lt;=K19,"OK","NG"),Blank),"-")</f>
        <v>#REF!</v>
      </c>
      <c r="S19" s="22"/>
      <c r="T19" s="221">
        <v>1</v>
      </c>
      <c r="U19"/>
    </row>
    <row r="20" spans="1:21" ht="30" hidden="1" x14ac:dyDescent="0.3">
      <c r="A20" s="318" t="e">
        <f>#REF!</f>
        <v>#REF!</v>
      </c>
      <c r="B20" s="305" t="e">
        <f>#REF!</f>
        <v>#REF!</v>
      </c>
      <c r="C20" s="305" t="str">
        <f>'Danh sách máy'!C15</f>
        <v>MKVC</v>
      </c>
      <c r="D20" s="90" t="e">
        <f>#REF!</f>
        <v>#REF!</v>
      </c>
      <c r="E20" s="97">
        <f>'Danh sách máy'!E15</f>
        <v>45442</v>
      </c>
      <c r="F20" s="206" t="e">
        <f>#REF!</f>
        <v>#REF!</v>
      </c>
      <c r="G20" s="102" t="e">
        <f>#REF!</f>
        <v>#REF!</v>
      </c>
      <c r="H20" s="102" t="e">
        <f>#REF!</f>
        <v>#REF!</v>
      </c>
      <c r="I20" s="209">
        <v>44294</v>
      </c>
      <c r="J20" s="210"/>
      <c r="K20" s="210" t="e">
        <f>#REF!</f>
        <v>#REF!</v>
      </c>
      <c r="L20" s="210">
        <v>44289</v>
      </c>
      <c r="M20" s="210"/>
      <c r="N20" s="210">
        <f>'Danh sách máy'!F15</f>
        <v>45447</v>
      </c>
      <c r="O20" s="211" t="str" cm="1">
        <f t="array" ref="O20">IF(L20&lt;&gt;0,IF(L20&lt;I20,"OK","NG"),Blank)</f>
        <v>OK</v>
      </c>
      <c r="P20" s="211" t="e" cm="1">
        <f t="array" ref="P20">IF(M20&lt;&gt;0,IF(M20&lt;J20,"OK","NG"),Blank)</f>
        <v>#NAME?</v>
      </c>
      <c r="Q20" s="211" t="e" cm="1">
        <f t="array" ref="Q20">IF(H20&lt;&gt;"Stop",IF(N20&lt;&gt;0,IF(N20&lt;=K20,"OK","NG"),Blank),"-")</f>
        <v>#REF!</v>
      </c>
      <c r="R20" s="326" t="e" cm="1">
        <f t="array" ref="R20">IF(H20&lt;&gt;"Stop",IF(E20&lt;&gt;0,IF(E20&lt;=K20,"OK","NG"),Blank),"-")</f>
        <v>#REF!</v>
      </c>
      <c r="S20" s="220"/>
      <c r="T20" s="221">
        <v>1</v>
      </c>
      <c r="U20"/>
    </row>
    <row r="21" spans="1:21" ht="15" hidden="1" x14ac:dyDescent="0.3">
      <c r="A21" s="318" t="e">
        <f>#REF!</f>
        <v>#REF!</v>
      </c>
      <c r="B21" s="305" t="e">
        <f>#REF!</f>
        <v>#REF!</v>
      </c>
      <c r="C21" s="305" t="str">
        <f>'Danh sách máy'!C16</f>
        <v>MKVC</v>
      </c>
      <c r="D21" s="90" t="e">
        <f>#REF!</f>
        <v>#REF!</v>
      </c>
      <c r="E21" s="97">
        <f>'Danh sách máy'!E16</f>
        <v>45471</v>
      </c>
      <c r="F21" s="206" t="e">
        <f>#REF!</f>
        <v>#REF!</v>
      </c>
      <c r="G21" s="102" t="e">
        <f>#REF!</f>
        <v>#REF!</v>
      </c>
      <c r="H21" s="102" t="e">
        <f>#REF!</f>
        <v>#REF!</v>
      </c>
      <c r="I21" s="209">
        <v>44295</v>
      </c>
      <c r="J21" s="210"/>
      <c r="K21" s="210" t="e">
        <f>#REF!</f>
        <v>#REF!</v>
      </c>
      <c r="L21" s="210">
        <v>44290</v>
      </c>
      <c r="M21" s="210"/>
      <c r="N21" s="210">
        <f>'Danh sách máy'!F16</f>
        <v>45483</v>
      </c>
      <c r="O21" s="211" t="str" cm="1">
        <f t="array" ref="O21">IF(L21&lt;&gt;0,IF(L21&lt;I21,"OK","NG"),Blank)</f>
        <v>OK</v>
      </c>
      <c r="P21" s="211" t="e" cm="1">
        <f t="array" ref="P21">IF(M21&lt;&gt;0,IF(M21&lt;J21,"OK","NG"),Blank)</f>
        <v>#NAME?</v>
      </c>
      <c r="Q21" s="211" t="e" cm="1">
        <f t="array" ref="Q21">IF(H21&lt;&gt;"Stop",IF(N21&lt;&gt;0,IF(N21&lt;=K21,"OK","NG"),Blank),"-")</f>
        <v>#REF!</v>
      </c>
      <c r="R21" s="326" t="e" cm="1">
        <f t="array" ref="R21">IF(H21&lt;&gt;"Stop",IF(E21&lt;&gt;0,IF(E21&lt;=K21,"OK","NG"),Blank),"-")</f>
        <v>#REF!</v>
      </c>
      <c r="S21" s="220"/>
      <c r="T21" s="221">
        <v>1</v>
      </c>
      <c r="U21"/>
    </row>
    <row r="22" spans="1:21" ht="49.95" hidden="1" customHeight="1" x14ac:dyDescent="0.3">
      <c r="A22" s="318" t="e">
        <f>#REF!</f>
        <v>#REF!</v>
      </c>
      <c r="B22" s="305" t="e">
        <f>#REF!</f>
        <v>#REF!</v>
      </c>
      <c r="C22" s="305" t="str">
        <f>'Danh sách máy'!C17</f>
        <v>MKVC</v>
      </c>
      <c r="D22" s="90" t="e">
        <f>#REF!</f>
        <v>#REF!</v>
      </c>
      <c r="E22" s="97">
        <f>'Danh sách máy'!E17</f>
        <v>45563</v>
      </c>
      <c r="F22" s="206" t="e">
        <f>#REF!</f>
        <v>#REF!</v>
      </c>
      <c r="G22" s="102" t="e">
        <f>#REF!</f>
        <v>#REF!</v>
      </c>
      <c r="H22" s="102" t="e">
        <f>#REF!</f>
        <v>#REF!</v>
      </c>
      <c r="I22" s="209">
        <v>44296</v>
      </c>
      <c r="J22" s="210"/>
      <c r="K22" s="210" t="e">
        <f>#REF!</f>
        <v>#REF!</v>
      </c>
      <c r="L22" s="210">
        <v>44291</v>
      </c>
      <c r="M22" s="210"/>
      <c r="N22" s="210">
        <f>'Danh sách máy'!F17</f>
        <v>45602</v>
      </c>
      <c r="O22" s="211" t="str" cm="1">
        <f t="array" ref="O22">IF(L22&lt;&gt;0,IF(L22&lt;I22,"OK","NG"),Blank)</f>
        <v>OK</v>
      </c>
      <c r="P22" s="211" t="e" cm="1">
        <f t="array" ref="P22">IF(M22&lt;&gt;0,IF(M22&lt;J22,"OK","NG"),Blank)</f>
        <v>#NAME?</v>
      </c>
      <c r="Q22" s="211" t="e" cm="1">
        <f t="array" ref="Q22">IF(H22&lt;&gt;"Stop",IF(N22&lt;&gt;0,IF(N22&lt;=K22,"OK","NG"),Blank),"-")</f>
        <v>#REF!</v>
      </c>
      <c r="R22" s="326" t="e" cm="1">
        <f t="array" ref="R22">IF(H22&lt;&gt;"Stop",IF(E22&lt;&gt;0,IF(E22&lt;=K22,"OK","NG"),Blank),"-")</f>
        <v>#REF!</v>
      </c>
      <c r="S22" s="220" t="s">
        <v>4414</v>
      </c>
      <c r="T22" s="221">
        <v>0.9</v>
      </c>
      <c r="U22" s="7" t="s">
        <v>4415</v>
      </c>
    </row>
    <row r="23" spans="1:21" ht="40.200000000000003" hidden="1" customHeight="1" x14ac:dyDescent="0.3">
      <c r="A23" s="318" t="e">
        <f>#REF!</f>
        <v>#REF!</v>
      </c>
      <c r="B23" s="305" t="e">
        <f>#REF!</f>
        <v>#REF!</v>
      </c>
      <c r="C23" s="305" t="str">
        <f>'Danh sách máy'!C18</f>
        <v>MKVC</v>
      </c>
      <c r="D23" s="90" t="e">
        <f>#REF!</f>
        <v>#REF!</v>
      </c>
      <c r="E23" s="97">
        <f>'Danh sách máy'!E18</f>
        <v>45595</v>
      </c>
      <c r="F23" s="206" t="e">
        <f>#REF!</f>
        <v>#REF!</v>
      </c>
      <c r="G23" s="102" t="e">
        <f>#REF!</f>
        <v>#REF!</v>
      </c>
      <c r="H23" s="102" t="e">
        <f>#REF!</f>
        <v>#REF!</v>
      </c>
      <c r="I23" s="209">
        <v>44297</v>
      </c>
      <c r="J23" s="210"/>
      <c r="K23" s="210" t="e">
        <f>#REF!</f>
        <v>#REF!</v>
      </c>
      <c r="L23" s="210">
        <v>44292</v>
      </c>
      <c r="M23" s="210"/>
      <c r="N23" s="210">
        <f>'Danh sách máy'!F18</f>
        <v>45601</v>
      </c>
      <c r="O23" s="211" t="str" cm="1">
        <f t="array" ref="O23">IF(L23&lt;&gt;0,IF(L23&lt;I23,"OK","NG"),Blank)</f>
        <v>OK</v>
      </c>
      <c r="P23" s="211" t="e" cm="1">
        <f t="array" ref="P23">IF(M23&lt;&gt;0,IF(M23&lt;J23,"OK","NG"),Blank)</f>
        <v>#NAME?</v>
      </c>
      <c r="Q23" s="211" t="e" cm="1">
        <f t="array" ref="Q23">IF(H23&lt;&gt;"Stop",IF(N23&lt;&gt;0,IF(N23&lt;=K23,"OK","NG"),Blank),"-")</f>
        <v>#REF!</v>
      </c>
      <c r="R23" s="326" t="e" cm="1">
        <f t="array" ref="R23">IF(H23&lt;&gt;"Stop",IF(E23&lt;&gt;0,IF(E23&lt;=K23,"OK","NG"),Blank),"-")</f>
        <v>#REF!</v>
      </c>
      <c r="S23" s="220"/>
      <c r="T23" s="221">
        <v>1</v>
      </c>
      <c r="U23"/>
    </row>
    <row r="24" spans="1:21" ht="30" hidden="1" x14ac:dyDescent="0.3">
      <c r="A24" s="318" t="e">
        <f>#REF!</f>
        <v>#REF!</v>
      </c>
      <c r="B24" s="305" t="e">
        <f>#REF!</f>
        <v>#REF!</v>
      </c>
      <c r="C24" s="305" t="str">
        <f>'Danh sách máy'!C19</f>
        <v>MKVC</v>
      </c>
      <c r="D24" s="90" t="e">
        <f>#REF!</f>
        <v>#REF!</v>
      </c>
      <c r="E24" s="97">
        <f>'Danh sách máy'!E19</f>
        <v>0</v>
      </c>
      <c r="F24" s="206" t="e">
        <f>#REF!</f>
        <v>#REF!</v>
      </c>
      <c r="G24" s="102" t="e">
        <f>#REF!</f>
        <v>#REF!</v>
      </c>
      <c r="H24" s="102" t="e">
        <f>#REF!</f>
        <v>#REF!</v>
      </c>
      <c r="I24" s="209">
        <v>44298</v>
      </c>
      <c r="J24" s="210"/>
      <c r="K24" s="210" t="e">
        <f>#REF!</f>
        <v>#REF!</v>
      </c>
      <c r="L24" s="210">
        <v>44293</v>
      </c>
      <c r="M24" s="210"/>
      <c r="N24" s="210">
        <f>'Danh sách máy'!F19</f>
        <v>0</v>
      </c>
      <c r="O24" s="211" t="str" cm="1">
        <f t="array" ref="O24">IF(L24&lt;&gt;0,IF(L24&lt;I24,"OK","NG"),Blank)</f>
        <v>OK</v>
      </c>
      <c r="P24" s="211" t="e" cm="1">
        <f t="array" ref="P24">IF(M24&lt;&gt;0,IF(M24&lt;J24,"OK","NG"),Blank)</f>
        <v>#NAME?</v>
      </c>
      <c r="Q24" s="211" t="e" cm="1">
        <f t="array" ref="Q24">IF(H24&lt;&gt;"Stop",IF(N24&lt;&gt;0,IF(N24&lt;=K24,"OK","NG"),Blank),"-")</f>
        <v>#REF!</v>
      </c>
      <c r="R24" s="326" t="e" cm="1">
        <f t="array" ref="R24">IF(H24&lt;&gt;"Stop",IF(E24&lt;&gt;0,IF(E24&lt;=K24,"OK","NG"),Blank),"-")</f>
        <v>#REF!</v>
      </c>
      <c r="S24" s="22"/>
      <c r="T24" s="221"/>
      <c r="U24"/>
    </row>
    <row r="25" spans="1:21" ht="15" hidden="1" x14ac:dyDescent="0.3">
      <c r="A25" s="318" t="e">
        <f>#REF!</f>
        <v>#REF!</v>
      </c>
      <c r="B25" s="305" t="e">
        <f>#REF!</f>
        <v>#REF!</v>
      </c>
      <c r="C25" s="305" t="str">
        <f>'Danh sách máy'!C20</f>
        <v>MKVC</v>
      </c>
      <c r="D25" s="90" t="e">
        <f>#REF!</f>
        <v>#REF!</v>
      </c>
      <c r="E25" s="97">
        <f>'Danh sách máy'!E20</f>
        <v>45677</v>
      </c>
      <c r="F25" s="206" t="e">
        <f>#REF!</f>
        <v>#REF!</v>
      </c>
      <c r="G25" s="102" t="e">
        <f>#REF!</f>
        <v>#REF!</v>
      </c>
      <c r="H25" s="102" t="e">
        <f>#REF!</f>
        <v>#REF!</v>
      </c>
      <c r="I25" s="209">
        <v>44299</v>
      </c>
      <c r="J25" s="210"/>
      <c r="K25" s="210" t="e">
        <f>#REF!</f>
        <v>#REF!</v>
      </c>
      <c r="L25" s="210">
        <v>44294</v>
      </c>
      <c r="M25" s="210"/>
      <c r="N25" s="210">
        <f>'Danh sách máy'!F20</f>
        <v>45680</v>
      </c>
      <c r="O25" s="211" t="str" cm="1">
        <f t="array" ref="O25">IF(L25&lt;&gt;0,IF(L25&lt;I25,"OK","NG"),Blank)</f>
        <v>OK</v>
      </c>
      <c r="P25" s="211" t="e" cm="1">
        <f t="array" ref="P25">IF(M25&lt;&gt;0,IF(M25&lt;J25,"OK","NG"),Blank)</f>
        <v>#NAME?</v>
      </c>
      <c r="Q25" s="211" t="e" cm="1">
        <f t="array" ref="Q25">IF(H25&lt;&gt;"Stop",IF(N25&lt;&gt;0,IF(N25&lt;=K25,"OK","NG"),Blank),"-")</f>
        <v>#REF!</v>
      </c>
      <c r="R25" s="326" t="e" cm="1">
        <f t="array" ref="R25">IF(H25&lt;&gt;"Stop",IF(E25&lt;&gt;0,IF(E25&lt;=K25,"OK","NG"),Blank),"-")</f>
        <v>#REF!</v>
      </c>
      <c r="S25" s="220"/>
      <c r="T25" s="221">
        <v>1</v>
      </c>
      <c r="U25"/>
    </row>
    <row r="26" spans="1:21" ht="15" hidden="1" x14ac:dyDescent="0.3">
      <c r="A26" s="318" t="e">
        <f>#REF!</f>
        <v>#REF!</v>
      </c>
      <c r="B26" s="305" t="e">
        <f>#REF!</f>
        <v>#REF!</v>
      </c>
      <c r="C26" s="305" t="str">
        <f>'Danh sách máy'!C21</f>
        <v>MKVC</v>
      </c>
      <c r="D26" s="90" t="e">
        <f>#REF!</f>
        <v>#REF!</v>
      </c>
      <c r="E26" s="97">
        <f>'Danh sách máy'!E21</f>
        <v>45677</v>
      </c>
      <c r="F26" s="206" t="e">
        <f>#REF!</f>
        <v>#REF!</v>
      </c>
      <c r="G26" s="102" t="e">
        <f>#REF!</f>
        <v>#REF!</v>
      </c>
      <c r="H26" s="102" t="e">
        <f>#REF!</f>
        <v>#REF!</v>
      </c>
      <c r="I26" s="209">
        <v>44300</v>
      </c>
      <c r="J26" s="210"/>
      <c r="K26" s="210" t="e">
        <f>#REF!</f>
        <v>#REF!</v>
      </c>
      <c r="L26" s="210">
        <v>44295</v>
      </c>
      <c r="M26" s="210"/>
      <c r="N26" s="210">
        <f>'Danh sách máy'!F21</f>
        <v>45680</v>
      </c>
      <c r="O26" s="211" t="str" cm="1">
        <f t="array" ref="O26">IF(L26&lt;&gt;0,IF(L26&lt;I26,"OK","NG"),Blank)</f>
        <v>OK</v>
      </c>
      <c r="P26" s="211" t="e" cm="1">
        <f t="array" ref="P26">IF(M26&lt;&gt;0,IF(M26&lt;J26,"OK","NG"),Blank)</f>
        <v>#NAME?</v>
      </c>
      <c r="Q26" s="211" t="e" cm="1">
        <f t="array" ref="Q26">IF(H26&lt;&gt;"Stop",IF(N26&lt;&gt;0,IF(N26&lt;=K26,"OK","NG"),Blank),"-")</f>
        <v>#REF!</v>
      </c>
      <c r="R26" s="326" t="e" cm="1">
        <f t="array" ref="R26">IF(H26&lt;&gt;"Stop",IF(E26&lt;&gt;0,IF(E26&lt;=K26,"OK","NG"),Blank),"-")</f>
        <v>#REF!</v>
      </c>
      <c r="S26" s="220"/>
      <c r="T26" s="221">
        <v>1</v>
      </c>
      <c r="U26"/>
    </row>
    <row r="27" spans="1:21" ht="30" hidden="1" x14ac:dyDescent="0.3">
      <c r="A27" s="318" t="e">
        <f>#REF!</f>
        <v>#REF!</v>
      </c>
      <c r="B27" s="305" t="e">
        <f>#REF!</f>
        <v>#REF!</v>
      </c>
      <c r="C27" s="305" t="str">
        <f>'Danh sách máy'!C22</f>
        <v>MKVC</v>
      </c>
      <c r="D27" s="90" t="e">
        <f>#REF!</f>
        <v>#REF!</v>
      </c>
      <c r="E27" s="97">
        <f>'Danh sách máy'!E22</f>
        <v>45499</v>
      </c>
      <c r="F27" s="206" t="e">
        <f>#REF!</f>
        <v>#REF!</v>
      </c>
      <c r="G27" s="102" t="e">
        <f>#REF!</f>
        <v>#REF!</v>
      </c>
      <c r="H27" s="102" t="e">
        <f>#REF!</f>
        <v>#REF!</v>
      </c>
      <c r="I27" s="209">
        <v>44301</v>
      </c>
      <c r="J27" s="210"/>
      <c r="K27" s="210" t="e">
        <f>#REF!</f>
        <v>#REF!</v>
      </c>
      <c r="L27" s="210">
        <v>44296</v>
      </c>
      <c r="M27" s="210"/>
      <c r="N27" s="210">
        <f>'Danh sách máy'!F22</f>
        <v>45579</v>
      </c>
      <c r="O27" s="211" t="str" cm="1">
        <f t="array" ref="O27">IF(L27&lt;&gt;0,IF(L27&lt;I27,"OK","NG"),Blank)</f>
        <v>OK</v>
      </c>
      <c r="P27" s="211" t="e" cm="1">
        <f t="array" ref="P27">IF(M27&lt;&gt;0,IF(M27&lt;J27,"OK","NG"),Blank)</f>
        <v>#NAME?</v>
      </c>
      <c r="Q27" s="211" t="e" cm="1">
        <f t="array" ref="Q27">IF(H27&lt;&gt;"Stop",IF(N27&lt;&gt;0,IF(N27&lt;=K27,"OK","NG"),Blank),"-")</f>
        <v>#REF!</v>
      </c>
      <c r="R27" s="326" t="e" cm="1">
        <f t="array" ref="R27">IF(H27&lt;&gt;"Stop",IF(E27&lt;&gt;0,IF(E27&lt;=K27,"OK","NG"),Blank),"-")</f>
        <v>#REF!</v>
      </c>
      <c r="S27" s="220"/>
      <c r="T27" s="221">
        <v>1</v>
      </c>
      <c r="U27"/>
    </row>
    <row r="28" spans="1:21" ht="30" hidden="1" x14ac:dyDescent="0.3">
      <c r="A28" s="318" t="e">
        <f>#REF!</f>
        <v>#REF!</v>
      </c>
      <c r="B28" s="305" t="e">
        <f>#REF!</f>
        <v>#REF!</v>
      </c>
      <c r="C28" s="305" t="str">
        <f>'Danh sách máy'!C23</f>
        <v>MKVC</v>
      </c>
      <c r="D28" s="90" t="e">
        <f>#REF!</f>
        <v>#REF!</v>
      </c>
      <c r="E28" s="97">
        <f>'Danh sách máy'!E23</f>
        <v>45499</v>
      </c>
      <c r="F28" s="206" t="e">
        <f>#REF!</f>
        <v>#REF!</v>
      </c>
      <c r="G28" s="102" t="e">
        <f>#REF!</f>
        <v>#REF!</v>
      </c>
      <c r="H28" s="102" t="e">
        <f>#REF!</f>
        <v>#REF!</v>
      </c>
      <c r="I28" s="209">
        <v>44302</v>
      </c>
      <c r="J28" s="210"/>
      <c r="K28" s="210" t="e">
        <f>#REF!</f>
        <v>#REF!</v>
      </c>
      <c r="L28" s="210">
        <v>44297</v>
      </c>
      <c r="M28" s="210"/>
      <c r="N28" s="210">
        <f>'Danh sách máy'!F23</f>
        <v>45580</v>
      </c>
      <c r="O28" s="211" t="str" cm="1">
        <f t="array" ref="O28">IF(L28&lt;&gt;0,IF(L28&lt;I28,"OK","NG"),Blank)</f>
        <v>OK</v>
      </c>
      <c r="P28" s="211" t="e" cm="1">
        <f t="array" ref="P28">IF(M28&lt;&gt;0,IF(M28&lt;J28,"OK","NG"),Blank)</f>
        <v>#NAME?</v>
      </c>
      <c r="Q28" s="211" t="e" cm="1">
        <f t="array" ref="Q28">IF(H28&lt;&gt;"Stop",IF(N28&lt;&gt;0,IF(N28&lt;=K28,"OK","NG"),Blank),"-")</f>
        <v>#REF!</v>
      </c>
      <c r="R28" s="326" t="e" cm="1">
        <f t="array" ref="R28">IF(H28&lt;&gt;"Stop",IF(E28&lt;&gt;0,IF(E28&lt;=K28,"OK","NG"),Blank),"-")</f>
        <v>#REF!</v>
      </c>
      <c r="S28" s="220"/>
      <c r="T28" s="221">
        <v>1</v>
      </c>
      <c r="U28"/>
    </row>
    <row r="29" spans="1:21" ht="30" hidden="1" x14ac:dyDescent="0.3">
      <c r="A29" s="318" t="e">
        <f>#REF!</f>
        <v>#REF!</v>
      </c>
      <c r="B29" s="305" t="e">
        <f>#REF!</f>
        <v>#REF!</v>
      </c>
      <c r="C29" s="305" t="str">
        <f>'Danh sách máy'!C24</f>
        <v>MKVC</v>
      </c>
      <c r="D29" s="90" t="e">
        <f>#REF!</f>
        <v>#REF!</v>
      </c>
      <c r="E29" s="97">
        <f>'Danh sách máy'!E24</f>
        <v>45520</v>
      </c>
      <c r="F29" s="206" t="e">
        <f>#REF!</f>
        <v>#REF!</v>
      </c>
      <c r="G29" s="102" t="e">
        <f>#REF!</f>
        <v>#REF!</v>
      </c>
      <c r="H29" s="102" t="e">
        <f>#REF!</f>
        <v>#REF!</v>
      </c>
      <c r="I29" s="209">
        <v>44303</v>
      </c>
      <c r="J29" s="210"/>
      <c r="K29" s="210" t="e">
        <f>#REF!</f>
        <v>#REF!</v>
      </c>
      <c r="L29" s="210">
        <v>44298</v>
      </c>
      <c r="M29" s="210"/>
      <c r="N29" s="210">
        <f>'Danh sách máy'!F24</f>
        <v>0</v>
      </c>
      <c r="O29" s="211" t="str" cm="1">
        <f t="array" ref="O29">IF(L29&lt;&gt;0,IF(L29&lt;I29,"OK","NG"),Blank)</f>
        <v>OK</v>
      </c>
      <c r="P29" s="211" t="e" cm="1">
        <f t="array" ref="P29">IF(M29&lt;&gt;0,IF(M29&lt;J29,"OK","NG"),Blank)</f>
        <v>#NAME?</v>
      </c>
      <c r="Q29" s="211" t="e" cm="1">
        <f t="array" ref="Q29">IF(H29&lt;&gt;"Stop",IF(N29&lt;&gt;0,IF(N29&lt;=K29,"OK","NG"),Blank),"-")</f>
        <v>#REF!</v>
      </c>
      <c r="R29" s="326" t="e" cm="1">
        <f t="array" ref="R29">IF(H29&lt;&gt;"Stop",IF(E29&lt;&gt;0,IF(E29&lt;=K29,"OK","NG"),Blank),"-")</f>
        <v>#REF!</v>
      </c>
      <c r="S29" s="220"/>
      <c r="T29" s="221">
        <v>1</v>
      </c>
      <c r="U29"/>
    </row>
    <row r="30" spans="1:21" ht="30" hidden="1" x14ac:dyDescent="0.3">
      <c r="A30" s="318" t="e">
        <f>#REF!</f>
        <v>#REF!</v>
      </c>
      <c r="B30" s="305" t="e">
        <f>#REF!</f>
        <v>#REF!</v>
      </c>
      <c r="C30" s="305" t="str">
        <f>'Danh sách máy'!C25</f>
        <v>MKVC</v>
      </c>
      <c r="D30" s="90" t="e">
        <f>#REF!</f>
        <v>#REF!</v>
      </c>
      <c r="E30" s="97">
        <f>'Danh sách máy'!E25</f>
        <v>45471</v>
      </c>
      <c r="F30" s="206" t="e">
        <f>#REF!</f>
        <v>#REF!</v>
      </c>
      <c r="G30" s="102" t="e">
        <f>#REF!</f>
        <v>#REF!</v>
      </c>
      <c r="H30" s="102" t="e">
        <f>#REF!</f>
        <v>#REF!</v>
      </c>
      <c r="I30" s="209">
        <v>44304</v>
      </c>
      <c r="J30" s="210"/>
      <c r="K30" s="210" t="e">
        <f>#REF!</f>
        <v>#REF!</v>
      </c>
      <c r="L30" s="210">
        <v>44299</v>
      </c>
      <c r="M30" s="210"/>
      <c r="N30" s="210">
        <f>'Danh sách máy'!F25</f>
        <v>45472</v>
      </c>
      <c r="O30" s="211" t="str" cm="1">
        <f t="array" ref="O30">IF(L30&lt;&gt;0,IF(L30&lt;I30,"OK","NG"),Blank)</f>
        <v>OK</v>
      </c>
      <c r="P30" s="211" t="e" cm="1">
        <f t="array" ref="P30">IF(M30&lt;&gt;0,IF(M30&lt;J30,"OK","NG"),Blank)</f>
        <v>#NAME?</v>
      </c>
      <c r="Q30" s="211" t="e" cm="1">
        <f t="array" ref="Q30">IF(H30&lt;&gt;"Stop",IF(N30&lt;&gt;0,IF(N30&lt;=K30,"OK","NG"),Blank),"-")</f>
        <v>#REF!</v>
      </c>
      <c r="R30" s="326" t="e" cm="1">
        <f t="array" ref="R30">IF(H30&lt;&gt;"Stop",IF(E30&lt;&gt;0,IF(E30&lt;=K30,"OK","NG"),Blank),"-")</f>
        <v>#REF!</v>
      </c>
      <c r="S30" s="220"/>
      <c r="T30" s="221">
        <v>1</v>
      </c>
      <c r="U30"/>
    </row>
    <row r="31" spans="1:21" ht="30" hidden="1" x14ac:dyDescent="0.3">
      <c r="A31" s="318" t="e">
        <f>#REF!</f>
        <v>#REF!</v>
      </c>
      <c r="B31" s="305" t="e">
        <f>#REF!</f>
        <v>#REF!</v>
      </c>
      <c r="C31" s="305" t="str">
        <f>'Danh sách máy'!C26</f>
        <v>MKVC</v>
      </c>
      <c r="D31" s="90" t="e">
        <f>#REF!</f>
        <v>#REF!</v>
      </c>
      <c r="E31" s="97">
        <f>'Danh sách máy'!E26</f>
        <v>45520</v>
      </c>
      <c r="F31" s="206" t="e">
        <f>#REF!</f>
        <v>#REF!</v>
      </c>
      <c r="G31" s="102" t="e">
        <f>#REF!</f>
        <v>#REF!</v>
      </c>
      <c r="H31" s="102" t="e">
        <f>#REF!</f>
        <v>#REF!</v>
      </c>
      <c r="I31" s="209">
        <v>44305</v>
      </c>
      <c r="J31" s="210"/>
      <c r="K31" s="210" t="e">
        <f>#REF!</f>
        <v>#REF!</v>
      </c>
      <c r="L31" s="210">
        <v>44300</v>
      </c>
      <c r="M31" s="210"/>
      <c r="N31" s="210">
        <f>'Danh sách máy'!F26</f>
        <v>0</v>
      </c>
      <c r="O31" s="211" t="str" cm="1">
        <f t="array" ref="O31">IF(L31&lt;&gt;0,IF(L31&lt;I31,"OK","NG"),Blank)</f>
        <v>OK</v>
      </c>
      <c r="P31" s="211" t="e" cm="1">
        <f t="array" ref="P31">IF(M31&lt;&gt;0,IF(M31&lt;J31,"OK","NG"),Blank)</f>
        <v>#NAME?</v>
      </c>
      <c r="Q31" s="211" t="e" cm="1">
        <f t="array" ref="Q31">IF(H31&lt;&gt;"Stop",IF(N31&lt;&gt;0,IF(N31&lt;=K31,"OK","NG"),Blank),"-")</f>
        <v>#REF!</v>
      </c>
      <c r="R31" s="326" t="e" cm="1">
        <f t="array" ref="R31">IF(H31&lt;&gt;"Stop",IF(E31&lt;&gt;0,IF(E31&lt;=K31,"OK","NG"),Blank),"-")</f>
        <v>#REF!</v>
      </c>
      <c r="S31" s="220"/>
      <c r="T31" s="221">
        <v>1</v>
      </c>
      <c r="U31"/>
    </row>
    <row r="32" spans="1:21" ht="30" hidden="1" x14ac:dyDescent="0.3">
      <c r="A32" s="318" t="e">
        <f>#REF!</f>
        <v>#REF!</v>
      </c>
      <c r="B32" s="305" t="e">
        <f>#REF!</f>
        <v>#REF!</v>
      </c>
      <c r="C32" s="305" t="str">
        <f>'Danh sách máy'!C27</f>
        <v>MKVC</v>
      </c>
      <c r="D32" s="90" t="e">
        <f>#REF!</f>
        <v>#REF!</v>
      </c>
      <c r="E32" s="97">
        <f>'Danh sách máy'!E27</f>
        <v>45520</v>
      </c>
      <c r="F32" s="206" t="e">
        <f>#REF!</f>
        <v>#REF!</v>
      </c>
      <c r="G32" s="102" t="e">
        <f>#REF!</f>
        <v>#REF!</v>
      </c>
      <c r="H32" s="102" t="e">
        <f>#REF!</f>
        <v>#REF!</v>
      </c>
      <c r="I32" s="209">
        <v>44306</v>
      </c>
      <c r="J32" s="210"/>
      <c r="K32" s="210" t="e">
        <f>#REF!</f>
        <v>#REF!</v>
      </c>
      <c r="L32" s="210">
        <v>44301</v>
      </c>
      <c r="M32" s="210"/>
      <c r="N32" s="210">
        <f>'Danh sách máy'!F27</f>
        <v>0</v>
      </c>
      <c r="O32" s="211" t="str" cm="1">
        <f t="array" ref="O32">IF(L32&lt;&gt;0,IF(L32&lt;I32,"OK","NG"),Blank)</f>
        <v>OK</v>
      </c>
      <c r="P32" s="211" t="e" cm="1">
        <f t="array" ref="P32">IF(M32&lt;&gt;0,IF(M32&lt;J32,"OK","NG"),Blank)</f>
        <v>#NAME?</v>
      </c>
      <c r="Q32" s="211" t="e" cm="1">
        <f t="array" ref="Q32">IF(H32&lt;&gt;"Stop",IF(N32&lt;&gt;0,IF(N32&lt;=K32,"OK","NG"),Blank),"-")</f>
        <v>#REF!</v>
      </c>
      <c r="R32" s="326" t="e" cm="1">
        <f t="array" ref="R32">IF(H32&lt;&gt;"Stop",IF(E32&lt;&gt;0,IF(E32&lt;=K32,"OK","NG"),Blank),"-")</f>
        <v>#REF!</v>
      </c>
      <c r="S32" s="220"/>
      <c r="T32" s="221">
        <v>1</v>
      </c>
      <c r="U32"/>
    </row>
    <row r="33" spans="1:21" ht="30" hidden="1" x14ac:dyDescent="0.3">
      <c r="A33" s="318" t="e">
        <f>#REF!</f>
        <v>#REF!</v>
      </c>
      <c r="B33" s="305" t="e">
        <f>#REF!</f>
        <v>#REF!</v>
      </c>
      <c r="C33" s="305" t="str">
        <f>'Danh sách máy'!C28</f>
        <v>MKVC</v>
      </c>
      <c r="D33" s="90" t="e">
        <f>#REF!</f>
        <v>#REF!</v>
      </c>
      <c r="E33" s="97">
        <f>'Danh sách máy'!E28</f>
        <v>45471</v>
      </c>
      <c r="F33" s="206" t="e">
        <f>#REF!</f>
        <v>#REF!</v>
      </c>
      <c r="G33" s="102" t="e">
        <f>#REF!</f>
        <v>#REF!</v>
      </c>
      <c r="H33" s="102" t="e">
        <f>#REF!</f>
        <v>#REF!</v>
      </c>
      <c r="I33" s="209">
        <v>44307</v>
      </c>
      <c r="J33" s="210"/>
      <c r="K33" s="210" t="e">
        <f>#REF!</f>
        <v>#REF!</v>
      </c>
      <c r="L33" s="210">
        <v>44302</v>
      </c>
      <c r="M33" s="210"/>
      <c r="N33" s="210">
        <f>'Danh sách máy'!F28</f>
        <v>45472</v>
      </c>
      <c r="O33" s="211" t="str" cm="1">
        <f t="array" ref="O33">IF(L33&lt;&gt;0,IF(L33&lt;I33,"OK","NG"),Blank)</f>
        <v>OK</v>
      </c>
      <c r="P33" s="211" t="e" cm="1">
        <f t="array" ref="P33">IF(M33&lt;&gt;0,IF(M33&lt;J33,"OK","NG"),Blank)</f>
        <v>#NAME?</v>
      </c>
      <c r="Q33" s="211" t="e" cm="1">
        <f t="array" ref="Q33">IF(H33&lt;&gt;"Stop",IF(N33&lt;&gt;0,IF(N33&lt;=K33,"OK","NG"),Blank),"-")</f>
        <v>#REF!</v>
      </c>
      <c r="R33" s="326" t="e" cm="1">
        <f t="array" ref="R33">IF(H33&lt;&gt;"Stop",IF(E33&lt;&gt;0,IF(E33&lt;=K33,"OK","NG"),Blank),"-")</f>
        <v>#REF!</v>
      </c>
      <c r="S33" s="220"/>
      <c r="T33" s="221">
        <v>1</v>
      </c>
      <c r="U33"/>
    </row>
    <row r="34" spans="1:21" ht="30" hidden="1" x14ac:dyDescent="0.3">
      <c r="A34" s="318" t="e">
        <f>#REF!</f>
        <v>#REF!</v>
      </c>
      <c r="B34" s="305" t="e">
        <f>#REF!</f>
        <v>#REF!</v>
      </c>
      <c r="C34" s="305" t="str">
        <f>'Danh sách máy'!C29</f>
        <v>MKVC</v>
      </c>
      <c r="D34" s="90" t="e">
        <f>#REF!</f>
        <v>#REF!</v>
      </c>
      <c r="E34" s="97">
        <f>'Danh sách máy'!E29</f>
        <v>45520</v>
      </c>
      <c r="F34" s="206" t="e">
        <f>#REF!</f>
        <v>#REF!</v>
      </c>
      <c r="G34" s="102" t="e">
        <f>#REF!</f>
        <v>#REF!</v>
      </c>
      <c r="H34" s="102" t="e">
        <f>#REF!</f>
        <v>#REF!</v>
      </c>
      <c r="I34" s="209">
        <v>44308</v>
      </c>
      <c r="J34" s="210"/>
      <c r="K34" s="210" t="e">
        <f>#REF!</f>
        <v>#REF!</v>
      </c>
      <c r="L34" s="210">
        <v>44303</v>
      </c>
      <c r="M34" s="210"/>
      <c r="N34" s="210">
        <f>'Danh sách máy'!F29</f>
        <v>0</v>
      </c>
      <c r="O34" s="211" t="str" cm="1">
        <f t="array" ref="O34">IF(L34&lt;&gt;0,IF(L34&lt;I34,"OK","NG"),Blank)</f>
        <v>OK</v>
      </c>
      <c r="P34" s="211" t="e" cm="1">
        <f t="array" ref="P34">IF(M34&lt;&gt;0,IF(M34&lt;J34,"OK","NG"),Blank)</f>
        <v>#NAME?</v>
      </c>
      <c r="Q34" s="211" t="e" cm="1">
        <f t="array" ref="Q34">IF(H34&lt;&gt;"Stop",IF(N34&lt;&gt;0,IF(N34&lt;=K34,"OK","NG"),Blank),"-")</f>
        <v>#REF!</v>
      </c>
      <c r="R34" s="326" t="e" cm="1">
        <f t="array" ref="R34">IF(H34&lt;&gt;"Stop",IF(E34&lt;&gt;0,IF(E34&lt;=K34,"OK","NG"),Blank),"-")</f>
        <v>#REF!</v>
      </c>
      <c r="S34" s="220"/>
      <c r="T34" s="221">
        <v>1</v>
      </c>
      <c r="U34"/>
    </row>
    <row r="35" spans="1:21" ht="30" hidden="1" x14ac:dyDescent="0.3">
      <c r="A35" s="318" t="e">
        <f>#REF!</f>
        <v>#REF!</v>
      </c>
      <c r="B35" s="305" t="e">
        <f>#REF!</f>
        <v>#REF!</v>
      </c>
      <c r="C35" s="305" t="str">
        <f>'Danh sách máy'!C30</f>
        <v>MKVC</v>
      </c>
      <c r="D35" s="90" t="e">
        <f>#REF!</f>
        <v>#REF!</v>
      </c>
      <c r="E35" s="97">
        <f>'Danh sách máy'!E30</f>
        <v>45520</v>
      </c>
      <c r="F35" s="206" t="e">
        <f>#REF!</f>
        <v>#REF!</v>
      </c>
      <c r="G35" s="102" t="e">
        <f>#REF!</f>
        <v>#REF!</v>
      </c>
      <c r="H35" s="102" t="e">
        <f>#REF!</f>
        <v>#REF!</v>
      </c>
      <c r="I35" s="209">
        <v>44309</v>
      </c>
      <c r="J35" s="210"/>
      <c r="K35" s="210" t="e">
        <f>#REF!</f>
        <v>#REF!</v>
      </c>
      <c r="L35" s="210">
        <v>44304</v>
      </c>
      <c r="M35" s="210"/>
      <c r="N35" s="210">
        <f>'Danh sách máy'!F30</f>
        <v>45562</v>
      </c>
      <c r="O35" s="211" t="str" cm="1">
        <f t="array" ref="O35">IF(L35&lt;&gt;0,IF(L35&lt;I35,"OK","NG"),Blank)</f>
        <v>OK</v>
      </c>
      <c r="P35" s="211" t="e" cm="1">
        <f t="array" ref="P35">IF(M35&lt;&gt;0,IF(M35&lt;J35,"OK","NG"),Blank)</f>
        <v>#NAME?</v>
      </c>
      <c r="Q35" s="211" t="e" cm="1">
        <f t="array" ref="Q35">IF(H35&lt;&gt;"Stop",IF(N35&lt;&gt;0,IF(N35&lt;=K35,"OK","NG"),Blank),"-")</f>
        <v>#REF!</v>
      </c>
      <c r="R35" s="326" t="e" cm="1">
        <f t="array" ref="R35">IF(H35&lt;&gt;"Stop",IF(E35&lt;&gt;0,IF(E35&lt;=K35,"OK","NG"),Blank),"-")</f>
        <v>#REF!</v>
      </c>
      <c r="S35" s="220"/>
      <c r="T35" s="221">
        <v>1</v>
      </c>
      <c r="U35"/>
    </row>
    <row r="36" spans="1:21" ht="30" hidden="1" x14ac:dyDescent="0.3">
      <c r="A36" s="318" t="e">
        <f>#REF!</f>
        <v>#REF!</v>
      </c>
      <c r="B36" s="305" t="e">
        <f>#REF!</f>
        <v>#REF!</v>
      </c>
      <c r="C36" s="305" t="str">
        <f>'Danh sách máy'!C31</f>
        <v>MKVC</v>
      </c>
      <c r="D36" s="90" t="e">
        <f>#REF!</f>
        <v>#REF!</v>
      </c>
      <c r="E36" s="97">
        <f>'Danh sách máy'!E31</f>
        <v>45471</v>
      </c>
      <c r="F36" s="206" t="e">
        <f>#REF!</f>
        <v>#REF!</v>
      </c>
      <c r="G36" s="102" t="e">
        <f>#REF!</f>
        <v>#REF!</v>
      </c>
      <c r="H36" s="102" t="e">
        <f>#REF!</f>
        <v>#REF!</v>
      </c>
      <c r="I36" s="209">
        <v>44310</v>
      </c>
      <c r="J36" s="210"/>
      <c r="K36" s="210" t="e">
        <f>#REF!</f>
        <v>#REF!</v>
      </c>
      <c r="L36" s="210">
        <v>44305</v>
      </c>
      <c r="M36" s="210"/>
      <c r="N36" s="210">
        <f>'Danh sách máy'!F31</f>
        <v>45472</v>
      </c>
      <c r="O36" s="211" t="str" cm="1">
        <f t="array" ref="O36">IF(L36&lt;&gt;0,IF(L36&lt;I36,"OK","NG"),Blank)</f>
        <v>OK</v>
      </c>
      <c r="P36" s="211" t="e" cm="1">
        <f t="array" ref="P36">IF(M36&lt;&gt;0,IF(M36&lt;J36,"OK","NG"),Blank)</f>
        <v>#NAME?</v>
      </c>
      <c r="Q36" s="211" t="e" cm="1">
        <f t="array" ref="Q36">IF(H36&lt;&gt;"Stop",IF(N36&lt;&gt;0,IF(N36&lt;=K36,"OK","NG"),Blank),"-")</f>
        <v>#REF!</v>
      </c>
      <c r="R36" s="326" t="e" cm="1">
        <f t="array" ref="R36">IF(H36&lt;&gt;"Stop",IF(E36&lt;&gt;0,IF(E36&lt;=K36,"OK","NG"),Blank),"-")</f>
        <v>#REF!</v>
      </c>
      <c r="S36" s="220"/>
      <c r="T36" s="221">
        <v>1</v>
      </c>
      <c r="U36"/>
    </row>
    <row r="37" spans="1:21" ht="30" hidden="1" x14ac:dyDescent="0.3">
      <c r="A37" s="318" t="e">
        <f>#REF!</f>
        <v>#REF!</v>
      </c>
      <c r="B37" s="305" t="e">
        <f>#REF!</f>
        <v>#REF!</v>
      </c>
      <c r="C37" s="305" t="str">
        <f>'Danh sách máy'!C32</f>
        <v>MKVC</v>
      </c>
      <c r="D37" s="90" t="e">
        <f>#REF!</f>
        <v>#REF!</v>
      </c>
      <c r="E37" s="97">
        <f>'Danh sách máy'!E32</f>
        <v>45520</v>
      </c>
      <c r="F37" s="206" t="e">
        <f>#REF!</f>
        <v>#REF!</v>
      </c>
      <c r="G37" s="102" t="e">
        <f>#REF!</f>
        <v>#REF!</v>
      </c>
      <c r="H37" s="102" t="e">
        <f>#REF!</f>
        <v>#REF!</v>
      </c>
      <c r="I37" s="209">
        <v>44311</v>
      </c>
      <c r="J37" s="210"/>
      <c r="K37" s="210" t="e">
        <f>#REF!</f>
        <v>#REF!</v>
      </c>
      <c r="L37" s="210">
        <v>44306</v>
      </c>
      <c r="M37" s="210"/>
      <c r="N37" s="210">
        <f>'Danh sách máy'!F32</f>
        <v>45472</v>
      </c>
      <c r="O37" s="211" t="str" cm="1">
        <f t="array" ref="O37">IF(L37&lt;&gt;0,IF(L37&lt;I37,"OK","NG"),Blank)</f>
        <v>OK</v>
      </c>
      <c r="P37" s="211" t="e" cm="1">
        <f t="array" ref="P37">IF(M37&lt;&gt;0,IF(M37&lt;J37,"OK","NG"),Blank)</f>
        <v>#NAME?</v>
      </c>
      <c r="Q37" s="211" t="e" cm="1">
        <f t="array" ref="Q37">IF(H37&lt;&gt;"Stop",IF(N37&lt;&gt;0,IF(N37&lt;=K37,"OK","NG"),Blank),"-")</f>
        <v>#REF!</v>
      </c>
      <c r="R37" s="326" t="e" cm="1">
        <f t="array" ref="R37">IF(H37&lt;&gt;"Stop",IF(E37&lt;&gt;0,IF(E37&lt;=K37,"OK","NG"),Blank),"-")</f>
        <v>#REF!</v>
      </c>
      <c r="S37" s="220"/>
      <c r="T37" s="221">
        <v>1</v>
      </c>
      <c r="U37"/>
    </row>
    <row r="38" spans="1:21" ht="30" hidden="1" x14ac:dyDescent="0.3">
      <c r="A38" s="318" t="e">
        <f>#REF!</f>
        <v>#REF!</v>
      </c>
      <c r="B38" s="305" t="e">
        <f>#REF!</f>
        <v>#REF!</v>
      </c>
      <c r="C38" s="305" t="str">
        <f>'Danh sách máy'!C33</f>
        <v>MKVC</v>
      </c>
      <c r="D38" s="90" t="e">
        <f>#REF!</f>
        <v>#REF!</v>
      </c>
      <c r="E38" s="97">
        <f>'Danh sách máy'!E33</f>
        <v>45499</v>
      </c>
      <c r="F38" s="206" t="e">
        <f>#REF!</f>
        <v>#REF!</v>
      </c>
      <c r="G38" s="102" t="e">
        <f>#REF!</f>
        <v>#REF!</v>
      </c>
      <c r="H38" s="102" t="e">
        <f>#REF!</f>
        <v>#REF!</v>
      </c>
      <c r="I38" s="209">
        <v>44312</v>
      </c>
      <c r="J38" s="210"/>
      <c r="K38" s="210" t="e">
        <f>#REF!</f>
        <v>#REF!</v>
      </c>
      <c r="L38" s="210">
        <v>44307</v>
      </c>
      <c r="M38" s="210"/>
      <c r="N38" s="210">
        <f>'Danh sách máy'!F33</f>
        <v>0</v>
      </c>
      <c r="O38" s="211" t="str" cm="1">
        <f t="array" ref="O38">IF(L38&lt;&gt;0,IF(L38&lt;I38,"OK","NG"),Blank)</f>
        <v>OK</v>
      </c>
      <c r="P38" s="211" t="e" cm="1">
        <f t="array" ref="P38">IF(M38&lt;&gt;0,IF(M38&lt;J38,"OK","NG"),Blank)</f>
        <v>#NAME?</v>
      </c>
      <c r="Q38" s="211" t="e" cm="1">
        <f t="array" ref="Q38">IF(H38&lt;&gt;"Stop",IF(N38&lt;&gt;0,IF(N38&lt;=K38,"OK","NG"),Blank),"-")</f>
        <v>#REF!</v>
      </c>
      <c r="R38" s="326" t="e" cm="1">
        <f t="array" ref="R38">IF(H38&lt;&gt;"Stop",IF(E38&lt;&gt;0,IF(E38&lt;=K38,"OK","NG"),Blank),"-")</f>
        <v>#REF!</v>
      </c>
      <c r="S38" s="22"/>
      <c r="T38" s="221">
        <v>1</v>
      </c>
      <c r="U38"/>
    </row>
    <row r="39" spans="1:21" ht="30" hidden="1" x14ac:dyDescent="0.3">
      <c r="A39" s="318" t="e">
        <f>#REF!</f>
        <v>#REF!</v>
      </c>
      <c r="B39" s="305" t="e">
        <f>#REF!</f>
        <v>#REF!</v>
      </c>
      <c r="C39" s="305" t="str">
        <f>'Danh sách máy'!C34</f>
        <v>MKVC</v>
      </c>
      <c r="D39" s="90" t="e">
        <f>#REF!</f>
        <v>#REF!</v>
      </c>
      <c r="E39" s="97">
        <f>'Danh sách máy'!E34</f>
        <v>0</v>
      </c>
      <c r="F39" s="206" t="e">
        <f>#REF!</f>
        <v>#REF!</v>
      </c>
      <c r="G39" s="102" t="e">
        <f>#REF!</f>
        <v>#REF!</v>
      </c>
      <c r="H39" s="102" t="e">
        <f>#REF!</f>
        <v>#REF!</v>
      </c>
      <c r="I39" s="209">
        <v>44313</v>
      </c>
      <c r="J39" s="210"/>
      <c r="K39" s="210" t="e">
        <f>#REF!</f>
        <v>#REF!</v>
      </c>
      <c r="L39" s="210">
        <v>44308</v>
      </c>
      <c r="M39" s="210"/>
      <c r="N39" s="210">
        <f>'Danh sách máy'!F34</f>
        <v>0</v>
      </c>
      <c r="O39" s="211" t="str" cm="1">
        <f t="array" ref="O39">IF(L39&lt;&gt;0,IF(L39&lt;I39,"OK","NG"),Blank)</f>
        <v>OK</v>
      </c>
      <c r="P39" s="211" t="e" cm="1">
        <f t="array" ref="P39">IF(M39&lt;&gt;0,IF(M39&lt;J39,"OK","NG"),Blank)</f>
        <v>#NAME?</v>
      </c>
      <c r="Q39" s="211" t="e" cm="1">
        <f t="array" ref="Q39">IF(H39&lt;&gt;"Stop",IF(N39&lt;&gt;0,IF(N39&lt;=K39,"OK","NG"),Blank),"-")</f>
        <v>#REF!</v>
      </c>
      <c r="R39" s="326" t="e" cm="1">
        <f t="array" ref="R39">IF(H39&lt;&gt;"Stop",IF(E39&lt;&gt;0,IF(E39&lt;=K39,"OK","NG"),Blank),"-")</f>
        <v>#REF!</v>
      </c>
      <c r="S39" s="22"/>
      <c r="T39" s="221"/>
      <c r="U39"/>
    </row>
    <row r="40" spans="1:21" ht="30" hidden="1" x14ac:dyDescent="0.3">
      <c r="A40" s="318" t="e">
        <f>#REF!</f>
        <v>#REF!</v>
      </c>
      <c r="B40" s="305" t="e">
        <f>#REF!</f>
        <v>#REF!</v>
      </c>
      <c r="C40" s="305" t="str">
        <f>'Danh sách máy'!C35</f>
        <v>MKVC</v>
      </c>
      <c r="D40" s="90" t="e">
        <f>#REF!</f>
        <v>#REF!</v>
      </c>
      <c r="E40" s="97">
        <f>'Danh sách máy'!E35</f>
        <v>45625</v>
      </c>
      <c r="F40" s="206" t="e">
        <f>#REF!</f>
        <v>#REF!</v>
      </c>
      <c r="G40" s="102" t="e">
        <f>#REF!</f>
        <v>#REF!</v>
      </c>
      <c r="H40" s="102" t="e">
        <f>#REF!</f>
        <v>#REF!</v>
      </c>
      <c r="I40" s="209">
        <v>44314</v>
      </c>
      <c r="J40" s="210"/>
      <c r="K40" s="210" t="e">
        <f>#REF!</f>
        <v>#REF!</v>
      </c>
      <c r="L40" s="210">
        <v>44309</v>
      </c>
      <c r="M40" s="210"/>
      <c r="N40" s="210">
        <f>'Danh sách máy'!F35</f>
        <v>45722</v>
      </c>
      <c r="O40" s="211" t="str" cm="1">
        <f t="array" ref="O40">IF(L40&lt;&gt;0,IF(L40&lt;I40,"OK","NG"),Blank)</f>
        <v>OK</v>
      </c>
      <c r="P40" s="211" t="e" cm="1">
        <f t="array" ref="P40">IF(M40&lt;&gt;0,IF(M40&lt;J40,"OK","NG"),Blank)</f>
        <v>#NAME?</v>
      </c>
      <c r="Q40" s="211" t="e" cm="1">
        <f t="array" ref="Q40">IF(H40&lt;&gt;"Stop",IF(N40&lt;&gt;0,IF(N40&lt;=K40,"OK","NG"),Blank),"-")</f>
        <v>#REF!</v>
      </c>
      <c r="R40" s="326" t="e" cm="1">
        <f t="array" ref="R40">IF(H40&lt;&gt;"Stop",IF(E40&lt;&gt;0,IF(E40&lt;=K40,"OK","NG"),Blank),"-")</f>
        <v>#REF!</v>
      </c>
      <c r="S40" s="22"/>
      <c r="T40" s="221">
        <v>1</v>
      </c>
      <c r="U40"/>
    </row>
    <row r="41" spans="1:21" ht="30" hidden="1" x14ac:dyDescent="0.3">
      <c r="A41" s="318" t="e">
        <f>#REF!</f>
        <v>#REF!</v>
      </c>
      <c r="B41" s="305" t="e">
        <f>#REF!</f>
        <v>#REF!</v>
      </c>
      <c r="C41" s="305" t="str">
        <f>'Danh sách máy'!C36</f>
        <v>MKVC</v>
      </c>
      <c r="D41" s="90" t="e">
        <f>#REF!</f>
        <v>#REF!</v>
      </c>
      <c r="E41" s="97">
        <f>'Danh sách máy'!E36</f>
        <v>0</v>
      </c>
      <c r="F41" s="206" t="e">
        <f>#REF!</f>
        <v>#REF!</v>
      </c>
      <c r="G41" s="102" t="e">
        <f>#REF!</f>
        <v>#REF!</v>
      </c>
      <c r="H41" s="102" t="e">
        <f>#REF!</f>
        <v>#REF!</v>
      </c>
      <c r="I41" s="209">
        <v>44315</v>
      </c>
      <c r="J41" s="210"/>
      <c r="K41" s="210" t="e">
        <f>#REF!</f>
        <v>#REF!</v>
      </c>
      <c r="L41" s="210">
        <v>44310</v>
      </c>
      <c r="M41" s="210"/>
      <c r="N41" s="210">
        <f>'Danh sách máy'!F36</f>
        <v>0</v>
      </c>
      <c r="O41" s="211" t="str" cm="1">
        <f t="array" ref="O41">IF(L41&lt;&gt;0,IF(L41&lt;I41,"OK","NG"),Blank)</f>
        <v>OK</v>
      </c>
      <c r="P41" s="211" t="e" cm="1">
        <f t="array" ref="P41">IF(M41&lt;&gt;0,IF(M41&lt;J41,"OK","NG"),Blank)</f>
        <v>#NAME?</v>
      </c>
      <c r="Q41" s="211" t="e" cm="1">
        <f t="array" ref="Q41">IF(H41&lt;&gt;"Stop",IF(N41&lt;&gt;0,IF(N41&lt;=K41,"OK","NG"),Blank),"-")</f>
        <v>#REF!</v>
      </c>
      <c r="R41" s="326" t="e" cm="1">
        <f t="array" ref="R41">IF(H41&lt;&gt;"Stop",IF(E41&lt;&gt;0,IF(E41&lt;=K41,"OK","NG"),Blank),"-")</f>
        <v>#REF!</v>
      </c>
      <c r="S41" s="22"/>
      <c r="T41" s="221"/>
      <c r="U41"/>
    </row>
    <row r="42" spans="1:21" ht="30" hidden="1" x14ac:dyDescent="0.3">
      <c r="A42" s="318" t="e">
        <f>#REF!</f>
        <v>#REF!</v>
      </c>
      <c r="B42" s="305" t="e">
        <f>#REF!</f>
        <v>#REF!</v>
      </c>
      <c r="C42" s="305" t="str">
        <f>'Danh sách máy'!C37</f>
        <v>MKVC</v>
      </c>
      <c r="D42" s="90" t="e">
        <f>#REF!</f>
        <v>#REF!</v>
      </c>
      <c r="E42" s="97">
        <f>'Danh sách máy'!E37</f>
        <v>45498</v>
      </c>
      <c r="F42" s="206" t="e">
        <f>#REF!</f>
        <v>#REF!</v>
      </c>
      <c r="G42" s="102" t="e">
        <f>#REF!</f>
        <v>#REF!</v>
      </c>
      <c r="H42" s="102" t="e">
        <f>#REF!</f>
        <v>#REF!</v>
      </c>
      <c r="I42" s="209">
        <v>44316</v>
      </c>
      <c r="J42" s="210"/>
      <c r="K42" s="210" t="e">
        <f>#REF!</f>
        <v>#REF!</v>
      </c>
      <c r="L42" s="210">
        <v>44311</v>
      </c>
      <c r="M42" s="210"/>
      <c r="N42" s="210">
        <f>'Danh sách máy'!F37</f>
        <v>45552</v>
      </c>
      <c r="O42" s="211" t="str" cm="1">
        <f t="array" ref="O42">IF(L42&lt;&gt;0,IF(L42&lt;I42,"OK","NG"),Blank)</f>
        <v>OK</v>
      </c>
      <c r="P42" s="211" t="e" cm="1">
        <f t="array" ref="P42">IF(M42&lt;&gt;0,IF(M42&lt;J42,"OK","NG"),Blank)</f>
        <v>#NAME?</v>
      </c>
      <c r="Q42" s="211" t="e" cm="1">
        <f t="array" ref="Q42">IF(H42&lt;&gt;"Stop",IF(N42&lt;&gt;0,IF(N42&lt;=K42,"OK","NG"),Blank),"-")</f>
        <v>#REF!</v>
      </c>
      <c r="R42" s="326" t="e" cm="1">
        <f t="array" ref="R42">IF(H42&lt;&gt;"Stop",IF(E42&lt;&gt;0,IF(E42&lt;=K42,"OK","NG"),Blank),"-")</f>
        <v>#REF!</v>
      </c>
      <c r="S42" s="220"/>
      <c r="T42" s="221">
        <v>1</v>
      </c>
      <c r="U42"/>
    </row>
    <row r="43" spans="1:21" ht="45" hidden="1" x14ac:dyDescent="0.3">
      <c r="A43" s="318" t="e">
        <f>#REF!</f>
        <v>#REF!</v>
      </c>
      <c r="B43" s="305" t="e">
        <f>#REF!</f>
        <v>#REF!</v>
      </c>
      <c r="C43" s="305" t="str">
        <f>'Danh sách máy'!C38</f>
        <v>MKVC</v>
      </c>
      <c r="D43" s="90" t="e">
        <f>#REF!</f>
        <v>#REF!</v>
      </c>
      <c r="E43" s="97">
        <f>'Danh sách máy'!E38</f>
        <v>45498</v>
      </c>
      <c r="F43" s="206" t="e">
        <f>#REF!</f>
        <v>#REF!</v>
      </c>
      <c r="G43" s="102" t="e">
        <f>#REF!</f>
        <v>#REF!</v>
      </c>
      <c r="H43" s="102" t="e">
        <f>#REF!</f>
        <v>#REF!</v>
      </c>
      <c r="I43" s="209">
        <v>44317</v>
      </c>
      <c r="J43" s="210"/>
      <c r="K43" s="210" t="e">
        <f>#REF!</f>
        <v>#REF!</v>
      </c>
      <c r="L43" s="210">
        <v>44312</v>
      </c>
      <c r="M43" s="210"/>
      <c r="N43" s="210">
        <f>'Danh sách máy'!F38</f>
        <v>0</v>
      </c>
      <c r="O43" s="211" t="str" cm="1">
        <f t="array" ref="O43">IF(L43&lt;&gt;0,IF(L43&lt;I43,"OK","NG"),Blank)</f>
        <v>OK</v>
      </c>
      <c r="P43" s="211" t="e" cm="1">
        <f t="array" ref="P43">IF(M43&lt;&gt;0,IF(M43&lt;J43,"OK","NG"),Blank)</f>
        <v>#NAME?</v>
      </c>
      <c r="Q43" s="211" t="e" cm="1">
        <f t="array" ref="Q43">IF(H43&lt;&gt;"Stop",IF(N43&lt;&gt;0,IF(N43&lt;=K43,"OK","NG"),Blank),"-")</f>
        <v>#REF!</v>
      </c>
      <c r="R43" s="326" t="e" cm="1">
        <f t="array" ref="R43">IF(H43&lt;&gt;"Stop",IF(E43&lt;&gt;0,IF(E43&lt;=K43,"OK","NG"),Blank),"-")</f>
        <v>#REF!</v>
      </c>
      <c r="S43" s="22"/>
      <c r="T43" s="221">
        <v>1</v>
      </c>
      <c r="U43"/>
    </row>
    <row r="44" spans="1:21" ht="30" hidden="1" x14ac:dyDescent="0.3">
      <c r="A44" s="318" t="e">
        <f>#REF!</f>
        <v>#REF!</v>
      </c>
      <c r="B44" s="305" t="e">
        <f>#REF!</f>
        <v>#REF!</v>
      </c>
      <c r="C44" s="305" t="str">
        <f>'Danh sách máy'!C39</f>
        <v>MKVC</v>
      </c>
      <c r="D44" s="90" t="e">
        <f>#REF!</f>
        <v>#REF!</v>
      </c>
      <c r="E44" s="97">
        <f>'Danh sách máy'!E39</f>
        <v>0</v>
      </c>
      <c r="F44" s="206" t="e">
        <f>#REF!</f>
        <v>#REF!</v>
      </c>
      <c r="G44" s="102" t="e">
        <f>#REF!</f>
        <v>#REF!</v>
      </c>
      <c r="H44" s="102" t="e">
        <f>#REF!</f>
        <v>#REF!</v>
      </c>
      <c r="I44" s="209">
        <v>44318</v>
      </c>
      <c r="J44" s="210"/>
      <c r="K44" s="210" t="e">
        <f>#REF!</f>
        <v>#REF!</v>
      </c>
      <c r="L44" s="210">
        <v>44313</v>
      </c>
      <c r="M44" s="210"/>
      <c r="N44" s="210">
        <f>'Danh sách máy'!F39</f>
        <v>0</v>
      </c>
      <c r="O44" s="211" t="str" cm="1">
        <f t="array" ref="O44">IF(L44&lt;&gt;0,IF(L44&lt;I44,"OK","NG"),Blank)</f>
        <v>OK</v>
      </c>
      <c r="P44" s="211" t="e" cm="1">
        <f t="array" ref="P44">IF(M44&lt;&gt;0,IF(M44&lt;J44,"OK","NG"),Blank)</f>
        <v>#NAME?</v>
      </c>
      <c r="Q44" s="211" t="e" cm="1">
        <f t="array" ref="Q44">IF(H44&lt;&gt;"Stop",IF(N44&lt;&gt;0,IF(N44&lt;=K44,"OK","NG"),Blank),"-")</f>
        <v>#REF!</v>
      </c>
      <c r="R44" s="326" t="e" cm="1">
        <f t="array" ref="R44">IF(H44&lt;&gt;"Stop",IF(E44&lt;&gt;0,IF(E44&lt;=K44,"OK","NG"),Blank),"-")</f>
        <v>#REF!</v>
      </c>
      <c r="S44" s="22"/>
      <c r="T44" s="221"/>
      <c r="U44"/>
    </row>
    <row r="45" spans="1:21" ht="15" hidden="1" x14ac:dyDescent="0.3">
      <c r="A45" s="318" t="e">
        <f>#REF!</f>
        <v>#REF!</v>
      </c>
      <c r="B45" s="305" t="e">
        <f>#REF!</f>
        <v>#REF!</v>
      </c>
      <c r="C45" s="305" t="str">
        <f>'Danh sách máy'!C40</f>
        <v>MKVC</v>
      </c>
      <c r="D45" s="90" t="e">
        <f>#REF!</f>
        <v>#REF!</v>
      </c>
      <c r="E45" s="97">
        <f>'Danh sách máy'!E40</f>
        <v>45677</v>
      </c>
      <c r="F45" s="206" t="e">
        <f>#REF!</f>
        <v>#REF!</v>
      </c>
      <c r="G45" s="102" t="e">
        <f>#REF!</f>
        <v>#REF!</v>
      </c>
      <c r="H45" s="102" t="e">
        <f>#REF!</f>
        <v>#REF!</v>
      </c>
      <c r="I45" s="209">
        <v>44319</v>
      </c>
      <c r="J45" s="210"/>
      <c r="K45" s="210" t="e">
        <f>#REF!</f>
        <v>#REF!</v>
      </c>
      <c r="L45" s="210">
        <v>44314</v>
      </c>
      <c r="M45" s="210"/>
      <c r="N45" s="210">
        <f>'Danh sách máy'!F40</f>
        <v>45680</v>
      </c>
      <c r="O45" s="211" t="str" cm="1">
        <f t="array" ref="O45">IF(L45&lt;&gt;0,IF(L45&lt;I45,"OK","NG"),Blank)</f>
        <v>OK</v>
      </c>
      <c r="P45" s="211" t="e" cm="1">
        <f t="array" ref="P45">IF(M45&lt;&gt;0,IF(M45&lt;J45,"OK","NG"),Blank)</f>
        <v>#NAME?</v>
      </c>
      <c r="Q45" s="211" t="e" cm="1">
        <f t="array" ref="Q45">IF(H45&lt;&gt;"Stop",IF(N45&lt;&gt;0,IF(N45&lt;=K45,"OK","NG"),Blank),"-")</f>
        <v>#REF!</v>
      </c>
      <c r="R45" s="326" t="e" cm="1">
        <f t="array" ref="R45">IF(H45&lt;&gt;"Stop",IF(E45&lt;&gt;0,IF(E45&lt;=K45,"OK","NG"),Blank),"-")</f>
        <v>#REF!</v>
      </c>
      <c r="S45" s="220"/>
      <c r="T45" s="221">
        <v>1</v>
      </c>
      <c r="U45"/>
    </row>
    <row r="46" spans="1:21" ht="45" hidden="1" x14ac:dyDescent="0.3">
      <c r="A46" s="318" t="e">
        <f>#REF!</f>
        <v>#REF!</v>
      </c>
      <c r="B46" s="305" t="e">
        <f>#REF!</f>
        <v>#REF!</v>
      </c>
      <c r="C46" s="305" t="str">
        <f>'Danh sách máy'!C41</f>
        <v>MKVC</v>
      </c>
      <c r="D46" s="90" t="e">
        <f>#REF!</f>
        <v>#REF!</v>
      </c>
      <c r="E46" s="97">
        <f>'Danh sách máy'!E41</f>
        <v>45498</v>
      </c>
      <c r="F46" s="206" t="e">
        <f>#REF!</f>
        <v>#REF!</v>
      </c>
      <c r="G46" s="102" t="e">
        <f>#REF!</f>
        <v>#REF!</v>
      </c>
      <c r="H46" s="102" t="e">
        <f>#REF!</f>
        <v>#REF!</v>
      </c>
      <c r="I46" s="209">
        <v>44320</v>
      </c>
      <c r="J46" s="210"/>
      <c r="K46" s="210" t="e">
        <f>#REF!</f>
        <v>#REF!</v>
      </c>
      <c r="L46" s="210">
        <v>44315</v>
      </c>
      <c r="M46" s="210"/>
      <c r="N46" s="210">
        <f>'Danh sách máy'!F41</f>
        <v>0</v>
      </c>
      <c r="O46" s="211" t="str" cm="1">
        <f t="array" ref="O46">IF(L46&lt;&gt;0,IF(L46&lt;I46,"OK","NG"),Blank)</f>
        <v>OK</v>
      </c>
      <c r="P46" s="211" t="e" cm="1">
        <f t="array" ref="P46">IF(M46&lt;&gt;0,IF(M46&lt;J46,"OK","NG"),Blank)</f>
        <v>#NAME?</v>
      </c>
      <c r="Q46" s="211" t="e" cm="1">
        <f t="array" ref="Q46">IF(H46&lt;&gt;"Stop",IF(N46&lt;&gt;0,IF(N46&lt;=K46,"OK","NG"),Blank),"-")</f>
        <v>#REF!</v>
      </c>
      <c r="R46" s="326" t="e" cm="1">
        <f t="array" ref="R46">IF(H46&lt;&gt;"Stop",IF(E46&lt;&gt;0,IF(E46&lt;=K46,"OK","NG"),Blank),"-")</f>
        <v>#REF!</v>
      </c>
      <c r="S46" s="220"/>
      <c r="T46" s="221">
        <v>1</v>
      </c>
      <c r="U46"/>
    </row>
    <row r="47" spans="1:21" ht="30" hidden="1" x14ac:dyDescent="0.3">
      <c r="A47" s="318" t="e">
        <f>#REF!</f>
        <v>#REF!</v>
      </c>
      <c r="B47" s="305" t="e">
        <f>#REF!</f>
        <v>#REF!</v>
      </c>
      <c r="C47" s="305" t="str">
        <f>'Danh sách máy'!C42</f>
        <v>MKVC</v>
      </c>
      <c r="D47" s="90" t="e">
        <f>#REF!</f>
        <v>#REF!</v>
      </c>
      <c r="E47" s="97">
        <f>'Danh sách máy'!E42</f>
        <v>45498</v>
      </c>
      <c r="F47" s="206" t="e">
        <f>#REF!</f>
        <v>#REF!</v>
      </c>
      <c r="G47" s="102" t="e">
        <f>#REF!</f>
        <v>#REF!</v>
      </c>
      <c r="H47" s="102" t="e">
        <f>#REF!</f>
        <v>#REF!</v>
      </c>
      <c r="I47" s="209">
        <v>44321</v>
      </c>
      <c r="J47" s="210"/>
      <c r="K47" s="210" t="e">
        <f>#REF!</f>
        <v>#REF!</v>
      </c>
      <c r="L47" s="210">
        <v>44316</v>
      </c>
      <c r="M47" s="210"/>
      <c r="N47" s="210">
        <f>'Danh sách máy'!F42</f>
        <v>0</v>
      </c>
      <c r="O47" s="211" t="str" cm="1">
        <f t="array" ref="O47">IF(L47&lt;&gt;0,IF(L47&lt;I47,"OK","NG"),Blank)</f>
        <v>OK</v>
      </c>
      <c r="P47" s="211" t="e" cm="1">
        <f t="array" ref="P47">IF(M47&lt;&gt;0,IF(M47&lt;J47,"OK","NG"),Blank)</f>
        <v>#NAME?</v>
      </c>
      <c r="Q47" s="211" t="e" cm="1">
        <f t="array" ref="Q47">IF(H47&lt;&gt;"Stop",IF(N47&lt;&gt;0,IF(N47&lt;=K47,"OK","NG"),Blank),"-")</f>
        <v>#REF!</v>
      </c>
      <c r="R47" s="326" t="e" cm="1">
        <f t="array" ref="R47">IF(H47&lt;&gt;"Stop",IF(E47&lt;&gt;0,IF(E47&lt;=K47,"OK","NG"),Blank),"-")</f>
        <v>#REF!</v>
      </c>
      <c r="S47" s="22" t="s">
        <v>4416</v>
      </c>
      <c r="T47" s="221">
        <v>1</v>
      </c>
    </row>
    <row r="48" spans="1:21" ht="45" hidden="1" x14ac:dyDescent="0.3">
      <c r="A48" s="318" t="e">
        <f>#REF!</f>
        <v>#REF!</v>
      </c>
      <c r="B48" s="305" t="e">
        <f>#REF!</f>
        <v>#REF!</v>
      </c>
      <c r="C48" s="305" t="str">
        <f>'Danh sách máy'!C43</f>
        <v>MKVC</v>
      </c>
      <c r="D48" s="90" t="e">
        <f>#REF!</f>
        <v>#REF!</v>
      </c>
      <c r="E48" s="97">
        <f>'Danh sách máy'!E43</f>
        <v>45498</v>
      </c>
      <c r="F48" s="206" t="e">
        <f>#REF!</f>
        <v>#REF!</v>
      </c>
      <c r="G48" s="102" t="e">
        <f>#REF!</f>
        <v>#REF!</v>
      </c>
      <c r="H48" s="102" t="e">
        <f>#REF!</f>
        <v>#REF!</v>
      </c>
      <c r="I48" s="209">
        <v>44322</v>
      </c>
      <c r="J48" s="210"/>
      <c r="K48" s="210" t="e">
        <f>#REF!</f>
        <v>#REF!</v>
      </c>
      <c r="L48" s="210">
        <v>44317</v>
      </c>
      <c r="M48" s="210"/>
      <c r="N48" s="210">
        <f>'Danh sách máy'!F43</f>
        <v>0</v>
      </c>
      <c r="O48" s="211" t="str" cm="1">
        <f t="array" ref="O48">IF(L48&lt;&gt;0,IF(L48&lt;I48,"OK","NG"),Blank)</f>
        <v>OK</v>
      </c>
      <c r="P48" s="211" t="e" cm="1">
        <f t="array" ref="P48">IF(M48&lt;&gt;0,IF(M48&lt;J48,"OK","NG"),Blank)</f>
        <v>#NAME?</v>
      </c>
      <c r="Q48" s="211" t="e" cm="1">
        <f t="array" ref="Q48">IF(H48&lt;&gt;"Stop",IF(N48&lt;&gt;0,IF(N48&lt;=K48,"OK","NG"),Blank),"-")</f>
        <v>#REF!</v>
      </c>
      <c r="R48" s="326" t="e" cm="1">
        <f t="array" ref="R48">IF(H48&lt;&gt;"Stop",IF(E48&lt;&gt;0,IF(E48&lt;=K48,"OK","NG"),Blank),"-")</f>
        <v>#REF!</v>
      </c>
      <c r="S48" s="22"/>
      <c r="T48" s="221">
        <v>1</v>
      </c>
      <c r="U48"/>
    </row>
    <row r="49" spans="1:21" ht="30" hidden="1" x14ac:dyDescent="0.3">
      <c r="A49" s="318" t="e">
        <f>#REF!</f>
        <v>#REF!</v>
      </c>
      <c r="B49" s="305" t="e">
        <f>#REF!</f>
        <v>#REF!</v>
      </c>
      <c r="C49" s="305" t="str">
        <f>'Danh sách máy'!C44</f>
        <v>MKVC</v>
      </c>
      <c r="D49" s="90" t="e">
        <f>#REF!</f>
        <v>#REF!</v>
      </c>
      <c r="E49" s="97">
        <f>'Danh sách máy'!E44</f>
        <v>45499</v>
      </c>
      <c r="F49" s="206" t="e">
        <f>#REF!</f>
        <v>#REF!</v>
      </c>
      <c r="G49" s="102" t="e">
        <f>#REF!</f>
        <v>#REF!</v>
      </c>
      <c r="H49" s="102" t="e">
        <f>#REF!</f>
        <v>#REF!</v>
      </c>
      <c r="I49" s="209">
        <v>44323</v>
      </c>
      <c r="J49" s="210"/>
      <c r="K49" s="210" t="e">
        <f>#REF!</f>
        <v>#REF!</v>
      </c>
      <c r="L49" s="210">
        <v>44318</v>
      </c>
      <c r="M49" s="210"/>
      <c r="N49" s="210">
        <f>'Danh sách máy'!F44</f>
        <v>0</v>
      </c>
      <c r="O49" s="211" t="str" cm="1">
        <f t="array" ref="O49">IF(L49&lt;&gt;0,IF(L49&lt;I49,"OK","NG"),Blank)</f>
        <v>OK</v>
      </c>
      <c r="P49" s="211" t="e" cm="1">
        <f t="array" ref="P49">IF(M49&lt;&gt;0,IF(M49&lt;J49,"OK","NG"),Blank)</f>
        <v>#NAME?</v>
      </c>
      <c r="Q49" s="211" t="e" cm="1">
        <f t="array" ref="Q49">IF(H49&lt;&gt;"Stop",IF(N49&lt;&gt;0,IF(N49&lt;=K49,"OK","NG"),Blank),"-")</f>
        <v>#REF!</v>
      </c>
      <c r="R49" s="326" t="e" cm="1">
        <f t="array" ref="R49">IF(H49&lt;&gt;"Stop",IF(E49&lt;&gt;0,IF(E49&lt;=K49,"OK","NG"),Blank),"-")</f>
        <v>#REF!</v>
      </c>
      <c r="S49" s="220" t="s">
        <v>4416</v>
      </c>
      <c r="T49" s="221">
        <v>1</v>
      </c>
    </row>
    <row r="50" spans="1:21" ht="30" hidden="1" x14ac:dyDescent="0.3">
      <c r="A50" s="318" t="e">
        <f>#REF!</f>
        <v>#REF!</v>
      </c>
      <c r="B50" s="305" t="e">
        <f>#REF!</f>
        <v>#REF!</v>
      </c>
      <c r="C50" s="305" t="str">
        <f>'Danh sách máy'!C45</f>
        <v>MKVC</v>
      </c>
      <c r="D50" s="90" t="e">
        <f>#REF!</f>
        <v>#REF!</v>
      </c>
      <c r="E50" s="97">
        <f>'Danh sách máy'!E45</f>
        <v>45595</v>
      </c>
      <c r="F50" s="206" t="e">
        <f>#REF!</f>
        <v>#REF!</v>
      </c>
      <c r="G50" s="102" t="e">
        <f>#REF!</f>
        <v>#REF!</v>
      </c>
      <c r="H50" s="102" t="e">
        <f>#REF!</f>
        <v>#REF!</v>
      </c>
      <c r="I50" s="209">
        <v>44324</v>
      </c>
      <c r="J50" s="210"/>
      <c r="K50" s="210" t="e">
        <f>#REF!</f>
        <v>#REF!</v>
      </c>
      <c r="L50" s="210">
        <v>44319</v>
      </c>
      <c r="M50" s="210"/>
      <c r="N50" s="210">
        <f>'Danh sách máy'!F45</f>
        <v>45601</v>
      </c>
      <c r="O50" s="211" t="str" cm="1">
        <f t="array" ref="O50">IF(L50&lt;&gt;0,IF(L50&lt;I50,"OK","NG"),Blank)</f>
        <v>OK</v>
      </c>
      <c r="P50" s="211" t="e" cm="1">
        <f t="array" ref="P50">IF(M50&lt;&gt;0,IF(M50&lt;J50,"OK","NG"),Blank)</f>
        <v>#NAME?</v>
      </c>
      <c r="Q50" s="211" t="e" cm="1">
        <f t="array" ref="Q50">IF(H50&lt;&gt;"Stop",IF(N50&lt;&gt;0,IF(N50&lt;=K50,"OK","NG"),Blank),"-")</f>
        <v>#REF!</v>
      </c>
      <c r="R50" s="326" t="e" cm="1">
        <f t="array" ref="R50">IF(H50&lt;&gt;"Stop",IF(E50&lt;&gt;0,IF(E50&lt;=K50,"OK","NG"),Blank),"-")</f>
        <v>#REF!</v>
      </c>
      <c r="S50" s="220"/>
      <c r="T50" s="221">
        <v>1</v>
      </c>
      <c r="U50"/>
    </row>
    <row r="51" spans="1:21" ht="30" hidden="1" x14ac:dyDescent="0.3">
      <c r="A51" s="318" t="e">
        <f>#REF!</f>
        <v>#REF!</v>
      </c>
      <c r="B51" s="305" t="e">
        <f>#REF!</f>
        <v>#REF!</v>
      </c>
      <c r="C51" s="305" t="str">
        <f>'Danh sách máy'!C46</f>
        <v>MKVC</v>
      </c>
      <c r="D51" s="90" t="e">
        <f>#REF!</f>
        <v>#REF!</v>
      </c>
      <c r="E51" s="97">
        <f>'Danh sách máy'!E46</f>
        <v>45595</v>
      </c>
      <c r="F51" s="206" t="e">
        <f>#REF!</f>
        <v>#REF!</v>
      </c>
      <c r="G51" s="102" t="e">
        <f>#REF!</f>
        <v>#REF!</v>
      </c>
      <c r="H51" s="102" t="e">
        <f>#REF!</f>
        <v>#REF!</v>
      </c>
      <c r="I51" s="209">
        <v>44325</v>
      </c>
      <c r="J51" s="210"/>
      <c r="K51" s="210" t="e">
        <f>#REF!</f>
        <v>#REF!</v>
      </c>
      <c r="L51" s="210">
        <v>44320</v>
      </c>
      <c r="M51" s="210"/>
      <c r="N51" s="210">
        <f>'Danh sách máy'!F46</f>
        <v>0</v>
      </c>
      <c r="O51" s="211" t="str" cm="1">
        <f t="array" ref="O51">IF(L51&lt;&gt;0,IF(L51&lt;I51,"OK","NG"),Blank)</f>
        <v>OK</v>
      </c>
      <c r="P51" s="211" t="e" cm="1">
        <f t="array" ref="P51">IF(M51&lt;&gt;0,IF(M51&lt;J51,"OK","NG"),Blank)</f>
        <v>#NAME?</v>
      </c>
      <c r="Q51" s="211" t="e" cm="1">
        <f t="array" ref="Q51">IF(H51&lt;&gt;"Stop",IF(N51&lt;&gt;0,IF(N51&lt;=K51,"OK","NG"),Blank),"-")</f>
        <v>#REF!</v>
      </c>
      <c r="R51" s="326" t="e" cm="1">
        <f t="array" ref="R51">IF(H51&lt;&gt;"Stop",IF(E51&lt;&gt;0,IF(E51&lt;=K51,"OK","NG"),Blank),"-")</f>
        <v>#REF!</v>
      </c>
      <c r="S51" s="22"/>
      <c r="T51" s="221">
        <v>1</v>
      </c>
      <c r="U51"/>
    </row>
    <row r="52" spans="1:21" ht="30" hidden="1" x14ac:dyDescent="0.3">
      <c r="A52" s="318" t="e">
        <f>#REF!</f>
        <v>#REF!</v>
      </c>
      <c r="B52" s="305" t="e">
        <f>#REF!</f>
        <v>#REF!</v>
      </c>
      <c r="C52" s="305" t="str">
        <f>'Danh sách máy'!C47</f>
        <v>MKVC</v>
      </c>
      <c r="D52" s="90" t="e">
        <f>#REF!</f>
        <v>#REF!</v>
      </c>
      <c r="E52" s="97">
        <f>'Danh sách máy'!E47</f>
        <v>45595</v>
      </c>
      <c r="F52" s="206" t="e">
        <f>#REF!</f>
        <v>#REF!</v>
      </c>
      <c r="G52" s="102" t="e">
        <f>#REF!</f>
        <v>#REF!</v>
      </c>
      <c r="H52" s="102" t="e">
        <f>#REF!</f>
        <v>#REF!</v>
      </c>
      <c r="I52" s="209">
        <v>44326</v>
      </c>
      <c r="J52" s="210"/>
      <c r="K52" s="210" t="e">
        <f>#REF!</f>
        <v>#REF!</v>
      </c>
      <c r="L52" s="210">
        <v>44321</v>
      </c>
      <c r="M52" s="210"/>
      <c r="N52" s="210">
        <f>'Danh sách máy'!F47</f>
        <v>45601</v>
      </c>
      <c r="O52" s="211" t="str" cm="1">
        <f t="array" ref="O52">IF(L52&lt;&gt;0,IF(L52&lt;I52,"OK","NG"),Blank)</f>
        <v>OK</v>
      </c>
      <c r="P52" s="211" t="e" cm="1">
        <f t="array" ref="P52">IF(M52&lt;&gt;0,IF(M52&lt;J52,"OK","NG"),Blank)</f>
        <v>#NAME?</v>
      </c>
      <c r="Q52" s="211" t="e" cm="1">
        <f t="array" ref="Q52">IF(H52&lt;&gt;"Stop",IF(N52&lt;&gt;0,IF(N52&lt;=K52,"OK","NG"),Blank),"-")</f>
        <v>#REF!</v>
      </c>
      <c r="R52" s="326" t="e" cm="1">
        <f t="array" ref="R52">IF(H52&lt;&gt;"Stop",IF(E52&lt;&gt;0,IF(E52&lt;=K52,"OK","NG"),Blank),"-")</f>
        <v>#REF!</v>
      </c>
      <c r="S52" s="220"/>
      <c r="T52" s="221">
        <v>1</v>
      </c>
      <c r="U52"/>
    </row>
    <row r="53" spans="1:21" ht="30" hidden="1" x14ac:dyDescent="0.3">
      <c r="A53" s="318" t="e">
        <f>#REF!</f>
        <v>#REF!</v>
      </c>
      <c r="B53" s="305" t="e">
        <f>#REF!</f>
        <v>#REF!</v>
      </c>
      <c r="C53" s="305" t="str">
        <f>'Danh sách máy'!C48</f>
        <v>MKVC</v>
      </c>
      <c r="D53" s="90" t="e">
        <f>#REF!</f>
        <v>#REF!</v>
      </c>
      <c r="E53" s="97">
        <f>'Danh sách máy'!E48</f>
        <v>45595</v>
      </c>
      <c r="F53" s="206" t="e">
        <f>#REF!</f>
        <v>#REF!</v>
      </c>
      <c r="G53" s="102" t="e">
        <f>#REF!</f>
        <v>#REF!</v>
      </c>
      <c r="H53" s="102" t="e">
        <f>#REF!</f>
        <v>#REF!</v>
      </c>
      <c r="I53" s="209">
        <v>44327</v>
      </c>
      <c r="J53" s="210"/>
      <c r="K53" s="210" t="e">
        <f>#REF!</f>
        <v>#REF!</v>
      </c>
      <c r="L53" s="210">
        <v>44322</v>
      </c>
      <c r="M53" s="210"/>
      <c r="N53" s="210">
        <f>'Danh sách máy'!F48</f>
        <v>45601</v>
      </c>
      <c r="O53" s="211" t="str" cm="1">
        <f t="array" ref="O53">IF(L53&lt;&gt;0,IF(L53&lt;I53,"OK","NG"),Blank)</f>
        <v>OK</v>
      </c>
      <c r="P53" s="211" t="e" cm="1">
        <f t="array" ref="P53">IF(M53&lt;&gt;0,IF(M53&lt;J53,"OK","NG"),Blank)</f>
        <v>#NAME?</v>
      </c>
      <c r="Q53" s="211" t="e" cm="1">
        <f t="array" ref="Q53">IF(H53&lt;&gt;"Stop",IF(N53&lt;&gt;0,IF(N53&lt;=K53,"OK","NG"),Blank),"-")</f>
        <v>#REF!</v>
      </c>
      <c r="R53" s="326" t="e" cm="1">
        <f t="array" ref="R53">IF(H53&lt;&gt;"Stop",IF(E53&lt;&gt;0,IF(E53&lt;=K53,"OK","NG"),Blank),"-")</f>
        <v>#REF!</v>
      </c>
      <c r="S53" s="220"/>
      <c r="T53" s="221">
        <v>1</v>
      </c>
      <c r="U53"/>
    </row>
    <row r="54" spans="1:21" ht="30" hidden="1" x14ac:dyDescent="0.3">
      <c r="A54" s="318" t="e">
        <f>#REF!</f>
        <v>#REF!</v>
      </c>
      <c r="B54" s="305" t="e">
        <f>#REF!</f>
        <v>#REF!</v>
      </c>
      <c r="C54" s="305" t="str">
        <f>'Danh sách máy'!C49</f>
        <v>MKVC</v>
      </c>
      <c r="D54" s="90" t="e">
        <f>#REF!</f>
        <v>#REF!</v>
      </c>
      <c r="E54" s="97">
        <f>'Danh sách máy'!E49</f>
        <v>45595</v>
      </c>
      <c r="F54" s="206" t="e">
        <f>#REF!</f>
        <v>#REF!</v>
      </c>
      <c r="G54" s="102" t="e">
        <f>#REF!</f>
        <v>#REF!</v>
      </c>
      <c r="H54" s="102" t="e">
        <f>#REF!</f>
        <v>#REF!</v>
      </c>
      <c r="I54" s="209">
        <v>44328</v>
      </c>
      <c r="J54" s="210"/>
      <c r="K54" s="210" t="e">
        <f>#REF!</f>
        <v>#REF!</v>
      </c>
      <c r="L54" s="210">
        <v>44323</v>
      </c>
      <c r="M54" s="210"/>
      <c r="N54" s="210">
        <f>'Danh sách máy'!F49</f>
        <v>1</v>
      </c>
      <c r="O54" s="211" t="str" cm="1">
        <f t="array" ref="O54">IF(L54&lt;&gt;0,IF(L54&lt;I54,"OK","NG"),Blank)</f>
        <v>OK</v>
      </c>
      <c r="P54" s="211" t="e" cm="1">
        <f t="array" ref="P54">IF(M54&lt;&gt;0,IF(M54&lt;J54,"OK","NG"),Blank)</f>
        <v>#NAME?</v>
      </c>
      <c r="Q54" s="211" t="e" cm="1">
        <f t="array" ref="Q54">IF(H54&lt;&gt;"Stop",IF(N54&lt;&gt;0,IF(N54&lt;=K54,"OK","NG"),Blank),"-")</f>
        <v>#REF!</v>
      </c>
      <c r="R54" s="326" t="e" cm="1">
        <f t="array" ref="R54">IF(H54&lt;&gt;"Stop",IF(E54&lt;&gt;0,IF(E54&lt;=K54,"OK","NG"),Blank),"-")</f>
        <v>#REF!</v>
      </c>
      <c r="S54" s="22"/>
      <c r="T54" s="221">
        <v>1</v>
      </c>
      <c r="U54"/>
    </row>
    <row r="55" spans="1:21" ht="30" hidden="1" x14ac:dyDescent="0.3">
      <c r="A55" s="318" t="e">
        <f>#REF!</f>
        <v>#REF!</v>
      </c>
      <c r="B55" s="305" t="e">
        <f>#REF!</f>
        <v>#REF!</v>
      </c>
      <c r="C55" s="305" t="str">
        <f>'Danh sách máy'!C50</f>
        <v>MKVC</v>
      </c>
      <c r="D55" s="90" t="e">
        <f>#REF!</f>
        <v>#REF!</v>
      </c>
      <c r="E55" s="97">
        <f>'Danh sách máy'!E50</f>
        <v>45595</v>
      </c>
      <c r="F55" s="206" t="e">
        <f>#REF!</f>
        <v>#REF!</v>
      </c>
      <c r="G55" s="102" t="e">
        <f>#REF!</f>
        <v>#REF!</v>
      </c>
      <c r="H55" s="102" t="e">
        <f>#REF!</f>
        <v>#REF!</v>
      </c>
      <c r="I55" s="209">
        <v>44329</v>
      </c>
      <c r="J55" s="210"/>
      <c r="K55" s="210" t="e">
        <f>#REF!</f>
        <v>#REF!</v>
      </c>
      <c r="L55" s="210">
        <v>44324</v>
      </c>
      <c r="M55" s="210"/>
      <c r="N55" s="210">
        <f>'Danh sách máy'!F50</f>
        <v>45601</v>
      </c>
      <c r="O55" s="211" t="str" cm="1">
        <f t="array" ref="O55">IF(L55&lt;&gt;0,IF(L55&lt;I55,"OK","NG"),Blank)</f>
        <v>OK</v>
      </c>
      <c r="P55" s="211" t="e" cm="1">
        <f t="array" ref="P55">IF(M55&lt;&gt;0,IF(M55&lt;J55,"OK","NG"),Blank)</f>
        <v>#NAME?</v>
      </c>
      <c r="Q55" s="211" t="e" cm="1">
        <f t="array" ref="Q55">IF(H55&lt;&gt;"Stop",IF(N55&lt;&gt;0,IF(N55&lt;=K55,"OK","NG"),Blank),"-")</f>
        <v>#REF!</v>
      </c>
      <c r="R55" s="326" t="e" cm="1">
        <f t="array" ref="R55">IF(H55&lt;&gt;"Stop",IF(E55&lt;&gt;0,IF(E55&lt;=K55,"OK","NG"),Blank),"-")</f>
        <v>#REF!</v>
      </c>
      <c r="S55" s="220"/>
      <c r="T55" s="221">
        <v>1</v>
      </c>
      <c r="U55"/>
    </row>
    <row r="56" spans="1:21" ht="30" hidden="1" x14ac:dyDescent="0.3">
      <c r="A56" s="318" t="e">
        <f>#REF!</f>
        <v>#REF!</v>
      </c>
      <c r="B56" s="305" t="e">
        <f>#REF!</f>
        <v>#REF!</v>
      </c>
      <c r="C56" s="305" t="str">
        <f>'Danh sách máy'!C51</f>
        <v>MKVC</v>
      </c>
      <c r="D56" s="90" t="e">
        <f>#REF!</f>
        <v>#REF!</v>
      </c>
      <c r="E56" s="97">
        <f>'Danh sách máy'!E51</f>
        <v>45499</v>
      </c>
      <c r="F56" s="206" t="e">
        <f>#REF!</f>
        <v>#REF!</v>
      </c>
      <c r="G56" s="102" t="e">
        <f>#REF!</f>
        <v>#REF!</v>
      </c>
      <c r="H56" s="102" t="e">
        <f>#REF!</f>
        <v>#REF!</v>
      </c>
      <c r="I56" s="209">
        <v>44330</v>
      </c>
      <c r="J56" s="210"/>
      <c r="K56" s="210" t="e">
        <f>#REF!</f>
        <v>#REF!</v>
      </c>
      <c r="L56" s="210">
        <v>44325</v>
      </c>
      <c r="M56" s="210"/>
      <c r="N56" s="210">
        <f>'Danh sách máy'!F51</f>
        <v>0</v>
      </c>
      <c r="O56" s="211" t="str" cm="1">
        <f t="array" ref="O56">IF(L56&lt;&gt;0,IF(L56&lt;I56,"OK","NG"),Blank)</f>
        <v>OK</v>
      </c>
      <c r="P56" s="211" t="e" cm="1">
        <f t="array" ref="P56">IF(M56&lt;&gt;0,IF(M56&lt;J56,"OK","NG"),Blank)</f>
        <v>#NAME?</v>
      </c>
      <c r="Q56" s="211" t="e" cm="1">
        <f t="array" ref="Q56">IF(H56&lt;&gt;"Stop",IF(N56&lt;&gt;0,IF(N56&lt;=K56,"OK","NG"),Blank),"-")</f>
        <v>#REF!</v>
      </c>
      <c r="R56" s="326" t="e" cm="1">
        <f t="array" ref="R56">IF(H56&lt;&gt;"Stop",IF(E56&lt;&gt;0,IF(E56&lt;=K56,"OK","NG"),Blank),"-")</f>
        <v>#REF!</v>
      </c>
      <c r="S56" s="220"/>
      <c r="T56" s="221">
        <v>1</v>
      </c>
      <c r="U56"/>
    </row>
    <row r="57" spans="1:21" ht="30" hidden="1" x14ac:dyDescent="0.3">
      <c r="A57" s="318" t="e">
        <f>#REF!</f>
        <v>#REF!</v>
      </c>
      <c r="B57" s="305" t="e">
        <f>#REF!</f>
        <v>#REF!</v>
      </c>
      <c r="C57" s="305" t="str">
        <f>'Danh sách máy'!C52</f>
        <v>MKVC</v>
      </c>
      <c r="D57" s="90" t="e">
        <f>#REF!</f>
        <v>#REF!</v>
      </c>
      <c r="E57" s="97">
        <f>'Danh sách máy'!E52</f>
        <v>45498</v>
      </c>
      <c r="F57" s="206" t="e">
        <f>#REF!</f>
        <v>#REF!</v>
      </c>
      <c r="G57" s="102" t="e">
        <f>#REF!</f>
        <v>#REF!</v>
      </c>
      <c r="H57" s="102" t="e">
        <f>#REF!</f>
        <v>#REF!</v>
      </c>
      <c r="I57" s="209">
        <v>44331</v>
      </c>
      <c r="J57" s="210"/>
      <c r="K57" s="210" t="e">
        <f>#REF!</f>
        <v>#REF!</v>
      </c>
      <c r="L57" s="210">
        <v>44326</v>
      </c>
      <c r="M57" s="210"/>
      <c r="N57" s="210">
        <f>'Danh sách máy'!F52</f>
        <v>0</v>
      </c>
      <c r="O57" s="211" t="str" cm="1">
        <f t="array" ref="O57">IF(L57&lt;&gt;0,IF(L57&lt;I57,"OK","NG"),Blank)</f>
        <v>OK</v>
      </c>
      <c r="P57" s="211" t="e" cm="1">
        <f t="array" ref="P57">IF(M57&lt;&gt;0,IF(M57&lt;J57,"OK","NG"),Blank)</f>
        <v>#NAME?</v>
      </c>
      <c r="Q57" s="211" t="e" cm="1">
        <f t="array" ref="Q57">IF(H57&lt;&gt;"Stop",IF(N57&lt;&gt;0,IF(N57&lt;=K57,"OK","NG"),Blank),"-")</f>
        <v>#REF!</v>
      </c>
      <c r="R57" s="326" t="e" cm="1">
        <f t="array" ref="R57">IF(H57&lt;&gt;"Stop",IF(E57&lt;&gt;0,IF(E57&lt;=K57,"OK","NG"),Blank),"-")</f>
        <v>#REF!</v>
      </c>
      <c r="S57" s="220"/>
      <c r="T57" s="221">
        <v>1</v>
      </c>
      <c r="U57"/>
    </row>
    <row r="58" spans="1:21" ht="30" hidden="1" x14ac:dyDescent="0.3">
      <c r="A58" s="318" t="e">
        <f>#REF!</f>
        <v>#REF!</v>
      </c>
      <c r="B58" s="305" t="e">
        <f>#REF!</f>
        <v>#REF!</v>
      </c>
      <c r="C58" s="305" t="str">
        <f>'Danh sách máy'!C53</f>
        <v>MKVC</v>
      </c>
      <c r="D58" s="90" t="e">
        <f>#REF!</f>
        <v>#REF!</v>
      </c>
      <c r="E58" s="97">
        <f>'Danh sách máy'!E53</f>
        <v>0</v>
      </c>
      <c r="F58" s="206" t="e">
        <f>#REF!</f>
        <v>#REF!</v>
      </c>
      <c r="G58" s="102" t="e">
        <f>#REF!</f>
        <v>#REF!</v>
      </c>
      <c r="H58" s="102" t="e">
        <f>#REF!</f>
        <v>#REF!</v>
      </c>
      <c r="I58" s="209">
        <v>44332</v>
      </c>
      <c r="J58" s="210"/>
      <c r="K58" s="210" t="e">
        <f>#REF!</f>
        <v>#REF!</v>
      </c>
      <c r="L58" s="210">
        <v>44327</v>
      </c>
      <c r="M58" s="210"/>
      <c r="N58" s="210">
        <f>'Danh sách máy'!F53</f>
        <v>0</v>
      </c>
      <c r="O58" s="211" t="str" cm="1">
        <f t="array" ref="O58">IF(L58&lt;&gt;0,IF(L58&lt;I58,"OK","NG"),Blank)</f>
        <v>OK</v>
      </c>
      <c r="P58" s="211" t="e" cm="1">
        <f t="array" ref="P58">IF(M58&lt;&gt;0,IF(M58&lt;J58,"OK","NG"),Blank)</f>
        <v>#NAME?</v>
      </c>
      <c r="Q58" s="211" t="e" cm="1">
        <f t="array" ref="Q58">IF(H58&lt;&gt;"Stop",IF(N58&lt;&gt;0,IF(N58&lt;=K58,"OK","NG"),Blank),"-")</f>
        <v>#REF!</v>
      </c>
      <c r="R58" s="326" t="e" cm="1">
        <f t="array" ref="R58">IF(H58&lt;&gt;"Stop",IF(E58&lt;&gt;0,IF(E58&lt;=K58,"OK","NG"),Blank),"-")</f>
        <v>#REF!</v>
      </c>
      <c r="S58" s="22"/>
      <c r="T58" s="221"/>
      <c r="U58"/>
    </row>
    <row r="59" spans="1:21" ht="30" hidden="1" x14ac:dyDescent="0.3">
      <c r="A59" s="318" t="e">
        <f>#REF!</f>
        <v>#REF!</v>
      </c>
      <c r="B59" s="305" t="e">
        <f>#REF!</f>
        <v>#REF!</v>
      </c>
      <c r="C59" s="305" t="str">
        <f>'Danh sách máy'!C54</f>
        <v>MKVC</v>
      </c>
      <c r="D59" s="90" t="e">
        <f>#REF!</f>
        <v>#REF!</v>
      </c>
      <c r="E59" s="97">
        <f>'Danh sách máy'!E54</f>
        <v>45625</v>
      </c>
      <c r="F59" s="206" t="e">
        <f>#REF!</f>
        <v>#REF!</v>
      </c>
      <c r="G59" s="102" t="e">
        <f>#REF!</f>
        <v>#REF!</v>
      </c>
      <c r="H59" s="102" t="e">
        <f>#REF!</f>
        <v>#REF!</v>
      </c>
      <c r="I59" s="209">
        <v>44333</v>
      </c>
      <c r="J59" s="210"/>
      <c r="K59" s="210" t="e">
        <f>#REF!</f>
        <v>#REF!</v>
      </c>
      <c r="L59" s="210">
        <v>44328</v>
      </c>
      <c r="M59" s="210"/>
      <c r="N59" s="210">
        <f>'Danh sách máy'!F54</f>
        <v>45643</v>
      </c>
      <c r="O59" s="211" t="str" cm="1">
        <f t="array" ref="O59">IF(L59&lt;&gt;0,IF(L59&lt;I59,"OK","NG"),Blank)</f>
        <v>OK</v>
      </c>
      <c r="P59" s="211" t="e" cm="1">
        <f t="array" ref="P59">IF(M59&lt;&gt;0,IF(M59&lt;J59,"OK","NG"),Blank)</f>
        <v>#NAME?</v>
      </c>
      <c r="Q59" s="211" t="e" cm="1">
        <f t="array" ref="Q59">IF(H59&lt;&gt;"Stop",IF(N59&lt;&gt;0,IF(N59&lt;=K59,"OK","NG"),Blank),"-")</f>
        <v>#REF!</v>
      </c>
      <c r="R59" s="326" t="e" cm="1">
        <f t="array" ref="R59">IF(H59&lt;&gt;"Stop",IF(E59&lt;&gt;0,IF(E59&lt;=K59,"OK","NG"),Blank),"-")</f>
        <v>#REF!</v>
      </c>
      <c r="S59" s="220"/>
      <c r="T59" s="221">
        <v>1</v>
      </c>
      <c r="U59"/>
    </row>
    <row r="60" spans="1:21" ht="30" hidden="1" x14ac:dyDescent="0.3">
      <c r="A60" s="318" t="e">
        <f>#REF!</f>
        <v>#REF!</v>
      </c>
      <c r="B60" s="305" t="e">
        <f>#REF!</f>
        <v>#REF!</v>
      </c>
      <c r="C60" s="305" t="str">
        <f>'Danh sách máy'!C55</f>
        <v>MKVC</v>
      </c>
      <c r="D60" s="90" t="e">
        <f>#REF!</f>
        <v>#REF!</v>
      </c>
      <c r="E60" s="97">
        <f>'Danh sách máy'!E55</f>
        <v>45625</v>
      </c>
      <c r="F60" s="206" t="e">
        <f>#REF!</f>
        <v>#REF!</v>
      </c>
      <c r="G60" s="102" t="e">
        <f>#REF!</f>
        <v>#REF!</v>
      </c>
      <c r="H60" s="102" t="e">
        <f>#REF!</f>
        <v>#REF!</v>
      </c>
      <c r="I60" s="209">
        <v>44334</v>
      </c>
      <c r="J60" s="210"/>
      <c r="K60" s="210" t="e">
        <f>#REF!</f>
        <v>#REF!</v>
      </c>
      <c r="L60" s="210">
        <v>44329</v>
      </c>
      <c r="M60" s="210"/>
      <c r="N60" s="210">
        <f>'Danh sách máy'!F55</f>
        <v>45630</v>
      </c>
      <c r="O60" s="211" t="str" cm="1">
        <f t="array" ref="O60">IF(L60&lt;&gt;0,IF(L60&lt;I60,"OK","NG"),Blank)</f>
        <v>OK</v>
      </c>
      <c r="P60" s="211" t="e" cm="1">
        <f t="array" ref="P60">IF(M60&lt;&gt;0,IF(M60&lt;J60,"OK","NG"),Blank)</f>
        <v>#NAME?</v>
      </c>
      <c r="Q60" s="211" t="e" cm="1">
        <f t="array" ref="Q60">IF(H60&lt;&gt;"Stop",IF(N60&lt;&gt;0,IF(N60&lt;=K60,"OK","NG"),Blank),"-")</f>
        <v>#REF!</v>
      </c>
      <c r="R60" s="326" t="e" cm="1">
        <f t="array" ref="R60">IF(H60&lt;&gt;"Stop",IF(E60&lt;&gt;0,IF(E60&lt;=K60,"OK","NG"),Blank),"-")</f>
        <v>#REF!</v>
      </c>
      <c r="S60" s="220"/>
      <c r="T60" s="221">
        <v>1</v>
      </c>
      <c r="U60"/>
    </row>
    <row r="61" spans="1:21" ht="30" hidden="1" x14ac:dyDescent="0.3">
      <c r="A61" s="318" t="e">
        <f>#REF!</f>
        <v>#REF!</v>
      </c>
      <c r="B61" s="305" t="e">
        <f>#REF!</f>
        <v>#REF!</v>
      </c>
      <c r="C61" s="305" t="str">
        <f>'Danh sách máy'!C56</f>
        <v>MKVC</v>
      </c>
      <c r="D61" s="90" t="e">
        <f>#REF!</f>
        <v>#REF!</v>
      </c>
      <c r="E61" s="97">
        <f>'Danh sách máy'!E56</f>
        <v>45595</v>
      </c>
      <c r="F61" s="206" t="e">
        <f>#REF!</f>
        <v>#REF!</v>
      </c>
      <c r="G61" s="102" t="e">
        <f>#REF!</f>
        <v>#REF!</v>
      </c>
      <c r="H61" s="102" t="e">
        <f>#REF!</f>
        <v>#REF!</v>
      </c>
      <c r="I61" s="209">
        <v>44335</v>
      </c>
      <c r="J61" s="210"/>
      <c r="K61" s="210" t="e">
        <f>#REF!</f>
        <v>#REF!</v>
      </c>
      <c r="L61" s="210">
        <v>44330</v>
      </c>
      <c r="M61" s="210"/>
      <c r="N61" s="210">
        <f>'Danh sách máy'!F56</f>
        <v>0</v>
      </c>
      <c r="O61" s="211" t="str" cm="1">
        <f t="array" ref="O61">IF(L61&lt;&gt;0,IF(L61&lt;I61,"OK","NG"),Blank)</f>
        <v>OK</v>
      </c>
      <c r="P61" s="211" t="e" cm="1">
        <f t="array" ref="P61">IF(M61&lt;&gt;0,IF(M61&lt;J61,"OK","NG"),Blank)</f>
        <v>#NAME?</v>
      </c>
      <c r="Q61" s="211" t="e" cm="1">
        <f t="array" ref="Q61">IF(H61&lt;&gt;"Stop",IF(N61&lt;&gt;0,IF(N61&lt;=K61,"OK","NG"),Blank),"-")</f>
        <v>#REF!</v>
      </c>
      <c r="R61" s="326" t="e" cm="1">
        <f t="array" ref="R61">IF(H61&lt;&gt;"Stop",IF(E61&lt;&gt;0,IF(E61&lt;=K61,"OK","NG"),Blank),"-")</f>
        <v>#REF!</v>
      </c>
      <c r="S61" s="220"/>
      <c r="T61" s="221">
        <v>1</v>
      </c>
      <c r="U61"/>
    </row>
    <row r="62" spans="1:21" ht="30" hidden="1" x14ac:dyDescent="0.3">
      <c r="A62" s="318" t="e">
        <f>#REF!</f>
        <v>#REF!</v>
      </c>
      <c r="B62" s="305" t="e">
        <f>#REF!</f>
        <v>#REF!</v>
      </c>
      <c r="C62" s="305" t="str">
        <f>'Danh sách máy'!C57</f>
        <v>MKVC</v>
      </c>
      <c r="D62" s="90" t="e">
        <f>#REF!</f>
        <v>#REF!</v>
      </c>
      <c r="E62" s="97">
        <f>'Danh sách máy'!E57</f>
        <v>45625</v>
      </c>
      <c r="F62" s="206" t="e">
        <f>#REF!</f>
        <v>#REF!</v>
      </c>
      <c r="G62" s="102" t="e">
        <f>#REF!</f>
        <v>#REF!</v>
      </c>
      <c r="H62" s="102" t="e">
        <f>#REF!</f>
        <v>#REF!</v>
      </c>
      <c r="I62" s="209">
        <v>44336</v>
      </c>
      <c r="J62" s="210"/>
      <c r="K62" s="210" t="e">
        <f>#REF!</f>
        <v>#REF!</v>
      </c>
      <c r="L62" s="210">
        <v>44331</v>
      </c>
      <c r="M62" s="210"/>
      <c r="N62" s="210">
        <f>'Danh sách máy'!F57</f>
        <v>45630</v>
      </c>
      <c r="O62" s="211" t="str" cm="1">
        <f t="array" ref="O62">IF(L62&lt;&gt;0,IF(L62&lt;I62,"OK","NG"),Blank)</f>
        <v>OK</v>
      </c>
      <c r="P62" s="211" t="e" cm="1">
        <f t="array" ref="P62">IF(M62&lt;&gt;0,IF(M62&lt;J62,"OK","NG"),Blank)</f>
        <v>#NAME?</v>
      </c>
      <c r="Q62" s="211" t="e" cm="1">
        <f t="array" ref="Q62">IF(H62&lt;&gt;"Stop",IF(N62&lt;&gt;0,IF(N62&lt;=K62,"OK","NG"),Blank),"-")</f>
        <v>#REF!</v>
      </c>
      <c r="R62" s="326" t="e" cm="1">
        <f t="array" ref="R62">IF(H62&lt;&gt;"Stop",IF(E62&lt;&gt;0,IF(E62&lt;=K62,"OK","NG"),Blank),"-")</f>
        <v>#REF!</v>
      </c>
      <c r="S62" s="220"/>
      <c r="T62" s="221">
        <v>1</v>
      </c>
      <c r="U62"/>
    </row>
    <row r="63" spans="1:21" ht="15" hidden="1" x14ac:dyDescent="0.3">
      <c r="A63" s="318" t="e">
        <f>#REF!</f>
        <v>#REF!</v>
      </c>
      <c r="B63" s="305" t="e">
        <f>#REF!</f>
        <v>#REF!</v>
      </c>
      <c r="C63" s="305" t="str">
        <f>'Danh sách máy'!C58</f>
        <v>MKVC</v>
      </c>
      <c r="D63" s="90" t="e">
        <f>#REF!</f>
        <v>#REF!</v>
      </c>
      <c r="E63" s="97">
        <f>'Danh sách máy'!E58</f>
        <v>0</v>
      </c>
      <c r="F63" s="206" t="e">
        <f>#REF!</f>
        <v>#REF!</v>
      </c>
      <c r="G63" s="102" t="e">
        <f>#REF!</f>
        <v>#REF!</v>
      </c>
      <c r="H63" s="102" t="e">
        <f>#REF!</f>
        <v>#REF!</v>
      </c>
      <c r="I63" s="209">
        <v>44337</v>
      </c>
      <c r="J63" s="210"/>
      <c r="K63" s="210" t="e">
        <f>#REF!</f>
        <v>#REF!</v>
      </c>
      <c r="L63" s="210">
        <v>44332</v>
      </c>
      <c r="M63" s="210"/>
      <c r="N63" s="210">
        <f>'Danh sách máy'!F58</f>
        <v>0</v>
      </c>
      <c r="O63" s="211" t="str" cm="1">
        <f t="array" ref="O63">IF(L63&lt;&gt;0,IF(L63&lt;I63,"OK","NG"),Blank)</f>
        <v>OK</v>
      </c>
      <c r="P63" s="211" t="e" cm="1">
        <f t="array" ref="P63">IF(M63&lt;&gt;0,IF(M63&lt;J63,"OK","NG"),Blank)</f>
        <v>#NAME?</v>
      </c>
      <c r="Q63" s="211" t="e" cm="1">
        <f t="array" ref="Q63">IF(H63&lt;&gt;"Stop",IF(N63&lt;&gt;0,IF(N63&lt;=K63,"OK","NG"),Blank),"-")</f>
        <v>#REF!</v>
      </c>
      <c r="R63" s="326" t="e" cm="1">
        <f t="array" ref="R63">IF(H63&lt;&gt;"Stop",IF(E63&lt;&gt;0,IF(E63&lt;=K63,"OK","NG"),Blank),"-")</f>
        <v>#REF!</v>
      </c>
      <c r="S63" s="22"/>
      <c r="T63" s="221"/>
      <c r="U63"/>
    </row>
    <row r="64" spans="1:21" ht="15" hidden="1" x14ac:dyDescent="0.3">
      <c r="A64" s="318" t="e">
        <f>#REF!</f>
        <v>#REF!</v>
      </c>
      <c r="B64" s="305" t="e">
        <f>#REF!</f>
        <v>#REF!</v>
      </c>
      <c r="C64" s="305" t="str">
        <f>'Danh sách máy'!C59</f>
        <v>MKVC</v>
      </c>
      <c r="D64" s="90" t="e">
        <f>#REF!</f>
        <v>#REF!</v>
      </c>
      <c r="E64" s="97">
        <f>'Danh sách máy'!E59</f>
        <v>0</v>
      </c>
      <c r="F64" s="206" t="e">
        <f>#REF!</f>
        <v>#REF!</v>
      </c>
      <c r="G64" s="102" t="e">
        <f>#REF!</f>
        <v>#REF!</v>
      </c>
      <c r="H64" s="102" t="e">
        <f>#REF!</f>
        <v>#REF!</v>
      </c>
      <c r="I64" s="209">
        <v>44338</v>
      </c>
      <c r="J64" s="210"/>
      <c r="K64" s="210" t="e">
        <f>#REF!</f>
        <v>#REF!</v>
      </c>
      <c r="L64" s="210">
        <v>44333</v>
      </c>
      <c r="M64" s="210"/>
      <c r="N64" s="210">
        <f>'Danh sách máy'!F59</f>
        <v>0</v>
      </c>
      <c r="O64" s="211" t="str" cm="1">
        <f t="array" ref="O64">IF(L64&lt;&gt;0,IF(L64&lt;I64,"OK","NG"),Blank)</f>
        <v>OK</v>
      </c>
      <c r="P64" s="211" t="e" cm="1">
        <f t="array" ref="P64">IF(M64&lt;&gt;0,IF(M64&lt;J64,"OK","NG"),Blank)</f>
        <v>#NAME?</v>
      </c>
      <c r="Q64" s="211" t="e" cm="1">
        <f t="array" ref="Q64">IF(H64&lt;&gt;"Stop",IF(N64&lt;&gt;0,IF(N64&lt;=K64,"OK","NG"),Blank),"-")</f>
        <v>#REF!</v>
      </c>
      <c r="R64" s="326" t="e" cm="1">
        <f t="array" ref="R64">IF(H64&lt;&gt;"Stop",IF(E64&lt;&gt;0,IF(E64&lt;=K64,"OK","NG"),Blank),"-")</f>
        <v>#REF!</v>
      </c>
      <c r="S64" s="22"/>
      <c r="T64" s="221"/>
      <c r="U64"/>
    </row>
    <row r="65" spans="1:21" ht="30" x14ac:dyDescent="0.3">
      <c r="A65" s="318" t="e">
        <f>#REF!</f>
        <v>#REF!</v>
      </c>
      <c r="B65" s="305" t="e">
        <f>#REF!</f>
        <v>#REF!</v>
      </c>
      <c r="C65" s="305" t="str">
        <f>'Danh sách máy'!C60</f>
        <v>MKVC</v>
      </c>
      <c r="D65" s="90" t="e">
        <f>#REF!</f>
        <v>#REF!</v>
      </c>
      <c r="E65" s="97">
        <f>'Danh sách máy'!E60</f>
        <v>45681</v>
      </c>
      <c r="F65" s="206" t="e">
        <f>#REF!</f>
        <v>#REF!</v>
      </c>
      <c r="G65" s="102" t="e">
        <f>#REF!</f>
        <v>#REF!</v>
      </c>
      <c r="H65" s="102" t="e">
        <f>#REF!</f>
        <v>#REF!</v>
      </c>
      <c r="I65" s="209">
        <v>44339</v>
      </c>
      <c r="J65" s="210"/>
      <c r="K65" s="210" t="e">
        <f>#REF!</f>
        <v>#REF!</v>
      </c>
      <c r="L65" s="210">
        <v>44334</v>
      </c>
      <c r="M65" s="210"/>
      <c r="N65" s="210">
        <f>'Danh sách máy'!F60</f>
        <v>45748</v>
      </c>
      <c r="O65" s="211" t="str" cm="1">
        <f t="array" ref="O65">IF(L65&lt;&gt;0,IF(L65&lt;I65,"OK","NG"),Blank)</f>
        <v>OK</v>
      </c>
      <c r="P65" s="211" t="e" cm="1">
        <f t="array" ref="P65">IF(M65&lt;&gt;0,IF(M65&lt;J65,"OK","NG"),Blank)</f>
        <v>#NAME?</v>
      </c>
      <c r="Q65" s="211" t="e" cm="1">
        <f t="array" ref="Q65">IF(H65&lt;&gt;"Stop",IF(N65&lt;&gt;0,IF(N65&lt;=K65,"OK","NG"),Blank),"-")</f>
        <v>#REF!</v>
      </c>
      <c r="R65" s="326" t="e" cm="1">
        <f t="array" ref="R65">IF(H65&lt;&gt;"Stop",IF(E65&lt;&gt;0,IF(E65&lt;=K65,"OK","NG"),Blank),"-")</f>
        <v>#REF!</v>
      </c>
      <c r="S65" s="22"/>
      <c r="T65" s="221">
        <v>1</v>
      </c>
      <c r="U65"/>
    </row>
    <row r="66" spans="1:21" ht="30" x14ac:dyDescent="0.3">
      <c r="A66" s="318" t="e">
        <f>#REF!</f>
        <v>#REF!</v>
      </c>
      <c r="B66" s="305" t="e">
        <f>#REF!</f>
        <v>#REF!</v>
      </c>
      <c r="C66" s="305" t="str">
        <f>'Danh sách máy'!C61</f>
        <v>MKVC</v>
      </c>
      <c r="D66" s="90" t="e">
        <f>#REF!</f>
        <v>#REF!</v>
      </c>
      <c r="E66" s="97">
        <f>'Danh sách máy'!E61</f>
        <v>45681</v>
      </c>
      <c r="F66" s="206" t="e">
        <f>#REF!</f>
        <v>#REF!</v>
      </c>
      <c r="G66" s="102" t="e">
        <f>#REF!</f>
        <v>#REF!</v>
      </c>
      <c r="H66" s="102" t="e">
        <f>#REF!</f>
        <v>#REF!</v>
      </c>
      <c r="I66" s="209">
        <v>44340</v>
      </c>
      <c r="J66" s="210"/>
      <c r="K66" s="210" t="e">
        <f>#REF!</f>
        <v>#REF!</v>
      </c>
      <c r="L66" s="210">
        <v>44335</v>
      </c>
      <c r="M66" s="210"/>
      <c r="N66" s="210">
        <f>'Danh sách máy'!F61</f>
        <v>45748</v>
      </c>
      <c r="O66" s="211" t="str" cm="1">
        <f t="array" ref="O66">IF(L66&lt;&gt;0,IF(L66&lt;I66,"OK","NG"),Blank)</f>
        <v>OK</v>
      </c>
      <c r="P66" s="211" t="e" cm="1">
        <f t="array" ref="P66">IF(M66&lt;&gt;0,IF(M66&lt;J66,"OK","NG"),Blank)</f>
        <v>#NAME?</v>
      </c>
      <c r="Q66" s="211" t="e" cm="1">
        <f t="array" ref="Q66">IF(H66&lt;&gt;"Stop",IF(N66&lt;&gt;0,IF(N66&lt;=K66,"OK","NG"),Blank),"-")</f>
        <v>#REF!</v>
      </c>
      <c r="R66" s="326" t="e" cm="1">
        <f t="array" ref="R66">IF(H66&lt;&gt;"Stop",IF(E66&lt;&gt;0,IF(E66&lt;=K66,"OK","NG"),Blank),"-")</f>
        <v>#REF!</v>
      </c>
      <c r="S66" s="22"/>
      <c r="T66" s="221">
        <v>1</v>
      </c>
      <c r="U66"/>
    </row>
    <row r="67" spans="1:21" ht="30" hidden="1" x14ac:dyDescent="0.3">
      <c r="A67" s="318" t="e">
        <f>#REF!</f>
        <v>#REF!</v>
      </c>
      <c r="B67" s="305" t="e">
        <f>#REF!</f>
        <v>#REF!</v>
      </c>
      <c r="C67" s="305" t="str">
        <f>'Danh sách máy'!C62</f>
        <v>MKVC</v>
      </c>
      <c r="D67" s="90" t="e">
        <f>#REF!</f>
        <v>#REF!</v>
      </c>
      <c r="E67" s="97">
        <f>'Danh sách máy'!E62</f>
        <v>45681</v>
      </c>
      <c r="F67" s="206" t="e">
        <f>#REF!</f>
        <v>#REF!</v>
      </c>
      <c r="G67" s="102" t="e">
        <f>#REF!</f>
        <v>#REF!</v>
      </c>
      <c r="H67" s="102" t="e">
        <f>#REF!</f>
        <v>#REF!</v>
      </c>
      <c r="I67" s="209">
        <v>44341</v>
      </c>
      <c r="J67" s="210"/>
      <c r="K67" s="210" t="e">
        <f>#REF!</f>
        <v>#REF!</v>
      </c>
      <c r="L67" s="210">
        <v>44336</v>
      </c>
      <c r="M67" s="210"/>
      <c r="N67" s="210">
        <f>'Danh sách máy'!F62</f>
        <v>0</v>
      </c>
      <c r="O67" s="211" t="str" cm="1">
        <f t="array" ref="O67">IF(L67&lt;&gt;0,IF(L67&lt;I67,"OK","NG"),Blank)</f>
        <v>OK</v>
      </c>
      <c r="P67" s="211" t="e" cm="1">
        <f t="array" ref="P67">IF(M67&lt;&gt;0,IF(M67&lt;J67,"OK","NG"),Blank)</f>
        <v>#NAME?</v>
      </c>
      <c r="Q67" s="211" t="e" cm="1">
        <f t="array" ref="Q67">IF(H67&lt;&gt;"Stop",IF(N67&lt;&gt;0,IF(N67&lt;=K67,"OK","NG"),Blank),"-")</f>
        <v>#REF!</v>
      </c>
      <c r="R67" s="326" t="e" cm="1">
        <f t="array" ref="R67">IF(H67&lt;&gt;"Stop",IF(E67&lt;&gt;0,IF(E67&lt;=K67,"OK","NG"),Blank),"-")</f>
        <v>#REF!</v>
      </c>
      <c r="S67" s="22"/>
      <c r="T67" s="221">
        <v>1</v>
      </c>
      <c r="U67"/>
    </row>
    <row r="68" spans="1:21" ht="30" hidden="1" x14ac:dyDescent="0.3">
      <c r="A68" s="318" t="e">
        <f>#REF!</f>
        <v>#REF!</v>
      </c>
      <c r="B68" s="305" t="e">
        <f>#REF!</f>
        <v>#REF!</v>
      </c>
      <c r="C68" s="305" t="str">
        <f>'Danh sách máy'!C63</f>
        <v>MKVC</v>
      </c>
      <c r="D68" s="90" t="e">
        <f>#REF!</f>
        <v>#REF!</v>
      </c>
      <c r="E68" s="97">
        <f>'Danh sách máy'!E63</f>
        <v>45681</v>
      </c>
      <c r="F68" s="206" t="e">
        <f>#REF!</f>
        <v>#REF!</v>
      </c>
      <c r="G68" s="102" t="e">
        <f>#REF!</f>
        <v>#REF!</v>
      </c>
      <c r="H68" s="102" t="e">
        <f>#REF!</f>
        <v>#REF!</v>
      </c>
      <c r="I68" s="209">
        <v>44342</v>
      </c>
      <c r="J68" s="210"/>
      <c r="K68" s="210" t="e">
        <f>#REF!</f>
        <v>#REF!</v>
      </c>
      <c r="L68" s="210">
        <v>44337</v>
      </c>
      <c r="M68" s="210"/>
      <c r="N68" s="210">
        <f>'Danh sách máy'!F63</f>
        <v>0</v>
      </c>
      <c r="O68" s="211" t="str" cm="1">
        <f t="array" ref="O68">IF(L68&lt;&gt;0,IF(L68&lt;I68,"OK","NG"),Blank)</f>
        <v>OK</v>
      </c>
      <c r="P68" s="211" t="e" cm="1">
        <f t="array" ref="P68">IF(M68&lt;&gt;0,IF(M68&lt;J68,"OK","NG"),Blank)</f>
        <v>#NAME?</v>
      </c>
      <c r="Q68" s="211" t="e" cm="1">
        <f t="array" ref="Q68">IF(H68&lt;&gt;"Stop",IF(N68&lt;&gt;0,IF(N68&lt;=K68,"OK","NG"),Blank),"-")</f>
        <v>#REF!</v>
      </c>
      <c r="R68" s="326" t="e" cm="1">
        <f t="array" ref="R68">IF(H68&lt;&gt;"Stop",IF(E68&lt;&gt;0,IF(E68&lt;=K68,"OK","NG"),Blank),"-")</f>
        <v>#REF!</v>
      </c>
      <c r="S68" s="22"/>
      <c r="T68" s="221">
        <v>1</v>
      </c>
      <c r="U68"/>
    </row>
    <row r="69" spans="1:21" ht="30" hidden="1" x14ac:dyDescent="0.3">
      <c r="A69" s="318" t="e">
        <f>#REF!</f>
        <v>#REF!</v>
      </c>
      <c r="B69" s="305" t="e">
        <f>#REF!</f>
        <v>#REF!</v>
      </c>
      <c r="C69" s="305" t="str">
        <f>'Danh sách máy'!C64</f>
        <v>MKVC</v>
      </c>
      <c r="D69" s="90" t="e">
        <f>#REF!</f>
        <v>#REF!</v>
      </c>
      <c r="E69" s="97">
        <f>'Danh sách máy'!E64</f>
        <v>45681</v>
      </c>
      <c r="F69" s="206" t="e">
        <f>#REF!</f>
        <v>#REF!</v>
      </c>
      <c r="G69" s="102" t="e">
        <f>#REF!</f>
        <v>#REF!</v>
      </c>
      <c r="H69" s="102" t="e">
        <f>#REF!</f>
        <v>#REF!</v>
      </c>
      <c r="I69" s="209">
        <v>44343</v>
      </c>
      <c r="J69" s="210"/>
      <c r="K69" s="210" t="e">
        <f>#REF!</f>
        <v>#REF!</v>
      </c>
      <c r="L69" s="210">
        <v>44338</v>
      </c>
      <c r="M69" s="210"/>
      <c r="N69" s="210">
        <f>'Danh sách máy'!F64</f>
        <v>45719</v>
      </c>
      <c r="O69" s="211" t="str" cm="1">
        <f t="array" ref="O69">IF(L69&lt;&gt;0,IF(L69&lt;I69,"OK","NG"),Blank)</f>
        <v>OK</v>
      </c>
      <c r="P69" s="211" t="e" cm="1">
        <f t="array" ref="P69">IF(M69&lt;&gt;0,IF(M69&lt;J69,"OK","NG"),Blank)</f>
        <v>#NAME?</v>
      </c>
      <c r="Q69" s="211" t="e" cm="1">
        <f t="array" ref="Q69">IF(H69&lt;&gt;"Stop",IF(N69&lt;&gt;0,IF(N69&lt;=K69,"OK","NG"),Blank),"-")</f>
        <v>#REF!</v>
      </c>
      <c r="R69" s="326" t="e" cm="1">
        <f t="array" ref="R69">IF(H69&lt;&gt;"Stop",IF(E69&lt;&gt;0,IF(E69&lt;=K69,"OK","NG"),Blank),"-")</f>
        <v>#REF!</v>
      </c>
      <c r="S69" s="22"/>
      <c r="T69" s="221">
        <v>1</v>
      </c>
      <c r="U69"/>
    </row>
    <row r="70" spans="1:21" ht="30" hidden="1" x14ac:dyDescent="0.3">
      <c r="A70" s="318" t="e">
        <f>#REF!</f>
        <v>#REF!</v>
      </c>
      <c r="B70" s="305" t="e">
        <f>#REF!</f>
        <v>#REF!</v>
      </c>
      <c r="C70" s="305" t="str">
        <f>'Danh sách máy'!C65</f>
        <v>MKVC</v>
      </c>
      <c r="D70" s="90" t="e">
        <f>#REF!</f>
        <v>#REF!</v>
      </c>
      <c r="E70" s="97">
        <f>'Danh sách máy'!E65</f>
        <v>0</v>
      </c>
      <c r="F70" s="206" t="e">
        <f>#REF!</f>
        <v>#REF!</v>
      </c>
      <c r="G70" s="102" t="e">
        <f>#REF!</f>
        <v>#REF!</v>
      </c>
      <c r="H70" s="102" t="e">
        <f>#REF!</f>
        <v>#REF!</v>
      </c>
      <c r="I70" s="209">
        <v>44344</v>
      </c>
      <c r="J70" s="210"/>
      <c r="K70" s="210" t="e">
        <f>#REF!</f>
        <v>#REF!</v>
      </c>
      <c r="L70" s="210">
        <v>44339</v>
      </c>
      <c r="M70" s="210"/>
      <c r="N70" s="210">
        <f>'Danh sách máy'!F65</f>
        <v>0</v>
      </c>
      <c r="O70" s="211" t="str" cm="1">
        <f t="array" ref="O70">IF(L70&lt;&gt;0,IF(L70&lt;I70,"OK","NG"),Blank)</f>
        <v>OK</v>
      </c>
      <c r="P70" s="211" t="e" cm="1">
        <f t="array" ref="P70">IF(M70&lt;&gt;0,IF(M70&lt;J70,"OK","NG"),Blank)</f>
        <v>#NAME?</v>
      </c>
      <c r="Q70" s="211" t="e" cm="1">
        <f t="array" ref="Q70">IF(H70&lt;&gt;"Stop",IF(N70&lt;&gt;0,IF(N70&lt;=K70,"OK","NG"),Blank),"-")</f>
        <v>#REF!</v>
      </c>
      <c r="R70" s="326" t="e" cm="1">
        <f t="array" ref="R70">IF(H70&lt;&gt;"Stop",IF(E70&lt;&gt;0,IF(E70&lt;=K70,"OK","NG"),Blank),"-")</f>
        <v>#REF!</v>
      </c>
      <c r="S70" s="22"/>
      <c r="T70" s="221">
        <v>1</v>
      </c>
      <c r="U70"/>
    </row>
    <row r="71" spans="1:21" ht="30" hidden="1" x14ac:dyDescent="0.3">
      <c r="A71" s="318" t="e">
        <f>#REF!</f>
        <v>#REF!</v>
      </c>
      <c r="B71" s="305" t="e">
        <f>#REF!</f>
        <v>#REF!</v>
      </c>
      <c r="C71" s="305" t="str">
        <f>'Danh sách máy'!C66</f>
        <v>MKVC</v>
      </c>
      <c r="D71" s="90" t="e">
        <f>#REF!</f>
        <v>#REF!</v>
      </c>
      <c r="E71" s="97">
        <f>'Danh sách máy'!E66</f>
        <v>45681</v>
      </c>
      <c r="F71" s="206" t="e">
        <f>#REF!</f>
        <v>#REF!</v>
      </c>
      <c r="G71" s="102" t="e">
        <f>#REF!</f>
        <v>#REF!</v>
      </c>
      <c r="H71" s="102" t="e">
        <f>#REF!</f>
        <v>#REF!</v>
      </c>
      <c r="I71" s="209">
        <v>44345</v>
      </c>
      <c r="J71" s="210"/>
      <c r="K71" s="210" t="e">
        <f>#REF!</f>
        <v>#REF!</v>
      </c>
      <c r="L71" s="210">
        <v>44340</v>
      </c>
      <c r="M71" s="210"/>
      <c r="N71" s="210">
        <f>'Danh sách máy'!F66</f>
        <v>45734</v>
      </c>
      <c r="O71" s="211" t="str" cm="1">
        <f t="array" ref="O71">IF(L71&lt;&gt;0,IF(L71&lt;I71,"OK","NG"),Blank)</f>
        <v>OK</v>
      </c>
      <c r="P71" s="211" t="e" cm="1">
        <f t="array" ref="P71">IF(M71&lt;&gt;0,IF(M71&lt;J71,"OK","NG"),Blank)</f>
        <v>#NAME?</v>
      </c>
      <c r="Q71" s="211" t="e" cm="1">
        <f t="array" ref="Q71">IF(H71&lt;&gt;"Stop",IF(N71&lt;&gt;0,IF(N71&lt;=K71,"OK","NG"),Blank),"-")</f>
        <v>#REF!</v>
      </c>
      <c r="R71" s="326" t="e" cm="1">
        <f t="array" ref="R71">IF(H71&lt;&gt;"Stop",IF(E71&lt;&gt;0,IF(E71&lt;=K71,"OK","NG"),Blank),"-")</f>
        <v>#REF!</v>
      </c>
      <c r="S71" s="22"/>
      <c r="T71" s="221">
        <v>1</v>
      </c>
      <c r="U71"/>
    </row>
    <row r="72" spans="1:21" ht="30" hidden="1" x14ac:dyDescent="0.3">
      <c r="A72" s="318" t="e">
        <f>#REF!</f>
        <v>#REF!</v>
      </c>
      <c r="B72" s="305" t="e">
        <f>#REF!</f>
        <v>#REF!</v>
      </c>
      <c r="C72" s="305" t="str">
        <f>'Danh sách máy'!C67</f>
        <v>MKVC</v>
      </c>
      <c r="D72" s="90" t="e">
        <f>#REF!</f>
        <v>#REF!</v>
      </c>
      <c r="E72" s="97">
        <f>'Danh sách máy'!E67</f>
        <v>0</v>
      </c>
      <c r="F72" s="206" t="e">
        <f>#REF!</f>
        <v>#REF!</v>
      </c>
      <c r="G72" s="102" t="e">
        <f>#REF!</f>
        <v>#REF!</v>
      </c>
      <c r="H72" s="102" t="e">
        <f>#REF!</f>
        <v>#REF!</v>
      </c>
      <c r="I72" s="209">
        <v>44346</v>
      </c>
      <c r="J72" s="210"/>
      <c r="K72" s="210" t="e">
        <f>#REF!</f>
        <v>#REF!</v>
      </c>
      <c r="L72" s="210">
        <v>44341</v>
      </c>
      <c r="M72" s="210"/>
      <c r="N72" s="210">
        <f>'Danh sách máy'!F67</f>
        <v>0</v>
      </c>
      <c r="O72" s="211" t="str" cm="1">
        <f t="array" ref="O72">IF(L72&lt;&gt;0,IF(L72&lt;I72,"OK","NG"),Blank)</f>
        <v>OK</v>
      </c>
      <c r="P72" s="211" t="e" cm="1">
        <f t="array" ref="P72">IF(M72&lt;&gt;0,IF(M72&lt;J72,"OK","NG"),Blank)</f>
        <v>#NAME?</v>
      </c>
      <c r="Q72" s="211" t="e" cm="1">
        <f t="array" ref="Q72">IF(H72&lt;&gt;"Stop",IF(N72&lt;&gt;0,IF(N72&lt;=K72,"OK","NG"),Blank),"-")</f>
        <v>#REF!</v>
      </c>
      <c r="R72" s="326" t="e" cm="1">
        <f t="array" ref="R72">IF(H72&lt;&gt;"Stop",IF(E72&lt;&gt;0,IF(E72&lt;=K72,"OK","NG"),Blank),"-")</f>
        <v>#REF!</v>
      </c>
      <c r="S72" s="22"/>
      <c r="T72" s="221">
        <v>1</v>
      </c>
      <c r="U72"/>
    </row>
    <row r="73" spans="1:21" ht="30" hidden="1" x14ac:dyDescent="0.3">
      <c r="A73" s="318" t="e">
        <f>#REF!</f>
        <v>#REF!</v>
      </c>
      <c r="B73" s="305" t="e">
        <f>#REF!</f>
        <v>#REF!</v>
      </c>
      <c r="C73" s="305" t="str">
        <f>'Danh sách máy'!C68</f>
        <v>MKVC</v>
      </c>
      <c r="D73" s="90" t="e">
        <f>#REF!</f>
        <v>#REF!</v>
      </c>
      <c r="E73" s="97">
        <f>'Danh sách máy'!E68</f>
        <v>45681</v>
      </c>
      <c r="F73" s="206" t="e">
        <f>#REF!</f>
        <v>#REF!</v>
      </c>
      <c r="G73" s="102" t="e">
        <f>#REF!</f>
        <v>#REF!</v>
      </c>
      <c r="H73" s="102" t="e">
        <f>#REF!</f>
        <v>#REF!</v>
      </c>
      <c r="I73" s="209">
        <v>44347</v>
      </c>
      <c r="J73" s="210"/>
      <c r="K73" s="210" t="e">
        <f>#REF!</f>
        <v>#REF!</v>
      </c>
      <c r="L73" s="210">
        <v>44342</v>
      </c>
      <c r="M73" s="210"/>
      <c r="N73" s="210">
        <f>'Danh sách máy'!F68</f>
        <v>0</v>
      </c>
      <c r="O73" s="211" t="str" cm="1">
        <f t="array" ref="O73">IF(L73&lt;&gt;0,IF(L73&lt;I73,"OK","NG"),Blank)</f>
        <v>OK</v>
      </c>
      <c r="P73" s="211" t="e" cm="1">
        <f t="array" ref="P73">IF(M73&lt;&gt;0,IF(M73&lt;J73,"OK","NG"),Blank)</f>
        <v>#NAME?</v>
      </c>
      <c r="Q73" s="211" t="e" cm="1">
        <f t="array" ref="Q73">IF(H73&lt;&gt;"Stop",IF(N73&lt;&gt;0,IF(N73&lt;=K73,"OK","NG"),Blank),"-")</f>
        <v>#REF!</v>
      </c>
      <c r="R73" s="326" t="e" cm="1">
        <f t="array" ref="R73">IF(H73&lt;&gt;"Stop",IF(E73&lt;&gt;0,IF(E73&lt;=K73,"OK","NG"),Blank),"-")</f>
        <v>#REF!</v>
      </c>
      <c r="S73" s="22"/>
      <c r="T73" s="221">
        <v>1</v>
      </c>
      <c r="U73"/>
    </row>
    <row r="74" spans="1:21" ht="30" hidden="1" x14ac:dyDescent="0.3">
      <c r="A74" s="318" t="e">
        <f>#REF!</f>
        <v>#REF!</v>
      </c>
      <c r="B74" s="305" t="e">
        <f>#REF!</f>
        <v>#REF!</v>
      </c>
      <c r="C74" s="305" t="str">
        <f>'Danh sách máy'!C69</f>
        <v>MKVC</v>
      </c>
      <c r="D74" s="90" t="e">
        <f>#REF!</f>
        <v>#REF!</v>
      </c>
      <c r="E74" s="97">
        <f>'Danh sách máy'!E69</f>
        <v>0</v>
      </c>
      <c r="F74" s="206" t="e">
        <f>#REF!</f>
        <v>#REF!</v>
      </c>
      <c r="G74" s="102" t="e">
        <f>#REF!</f>
        <v>#REF!</v>
      </c>
      <c r="H74" s="102" t="e">
        <f>#REF!</f>
        <v>#REF!</v>
      </c>
      <c r="I74" s="209">
        <v>44348</v>
      </c>
      <c r="J74" s="210"/>
      <c r="K74" s="210" t="e">
        <f>#REF!</f>
        <v>#REF!</v>
      </c>
      <c r="L74" s="210">
        <v>44343</v>
      </c>
      <c r="M74" s="210"/>
      <c r="N74" s="210">
        <f>'Danh sách máy'!F69</f>
        <v>0</v>
      </c>
      <c r="O74" s="211" t="str" cm="1">
        <f t="array" ref="O74">IF(L74&lt;&gt;0,IF(L74&lt;I74,"OK","NG"),Blank)</f>
        <v>OK</v>
      </c>
      <c r="P74" s="211" t="e" cm="1">
        <f t="array" ref="P74">IF(M74&lt;&gt;0,IF(M74&lt;J74,"OK","NG"),Blank)</f>
        <v>#NAME?</v>
      </c>
      <c r="Q74" s="211" t="e" cm="1">
        <f t="array" ref="Q74">IF(H74&lt;&gt;"Stop",IF(N74&lt;&gt;0,IF(N74&lt;=K74,"OK","NG"),Blank),"-")</f>
        <v>#REF!</v>
      </c>
      <c r="R74" s="326" t="e" cm="1">
        <f t="array" ref="R74">IF(H74&lt;&gt;"Stop",IF(E74&lt;&gt;0,IF(E74&lt;=K74,"OK","NG"),Blank),"-")</f>
        <v>#REF!</v>
      </c>
      <c r="S74" s="22"/>
      <c r="T74" s="221">
        <v>1</v>
      </c>
      <c r="U74"/>
    </row>
    <row r="75" spans="1:21" ht="30" hidden="1" x14ac:dyDescent="0.3">
      <c r="A75" s="318" t="e">
        <f>#REF!</f>
        <v>#REF!</v>
      </c>
      <c r="B75" s="305" t="e">
        <f>#REF!</f>
        <v>#REF!</v>
      </c>
      <c r="C75" s="305" t="str">
        <f>'Danh sách máy'!C70</f>
        <v>MKVC</v>
      </c>
      <c r="D75" s="90" t="e">
        <f>#REF!</f>
        <v>#REF!</v>
      </c>
      <c r="E75" s="97">
        <f>'Danh sách máy'!E70</f>
        <v>45681</v>
      </c>
      <c r="F75" s="206" t="e">
        <f>#REF!</f>
        <v>#REF!</v>
      </c>
      <c r="G75" s="102" t="e">
        <f>#REF!</f>
        <v>#REF!</v>
      </c>
      <c r="H75" s="102" t="e">
        <f>#REF!</f>
        <v>#REF!</v>
      </c>
      <c r="I75" s="209">
        <v>44349</v>
      </c>
      <c r="J75" s="210"/>
      <c r="K75" s="210" t="e">
        <f>#REF!</f>
        <v>#REF!</v>
      </c>
      <c r="L75" s="210">
        <v>44344</v>
      </c>
      <c r="M75" s="210"/>
      <c r="N75" s="210">
        <f>'Danh sách máy'!F70</f>
        <v>0</v>
      </c>
      <c r="O75" s="211" t="str" cm="1">
        <f t="array" ref="O75">IF(L75&lt;&gt;0,IF(L75&lt;I75,"OK","NG"),Blank)</f>
        <v>OK</v>
      </c>
      <c r="P75" s="211" t="e" cm="1">
        <f t="array" ref="P75">IF(M75&lt;&gt;0,IF(M75&lt;J75,"OK","NG"),Blank)</f>
        <v>#NAME?</v>
      </c>
      <c r="Q75" s="211" t="e" cm="1">
        <f t="array" ref="Q75">IF(H75&lt;&gt;"Stop",IF(N75&lt;&gt;0,IF(N75&lt;=K75,"OK","NG"),Blank),"-")</f>
        <v>#REF!</v>
      </c>
      <c r="R75" s="326" t="e" cm="1">
        <f t="array" ref="R75">IF(H75&lt;&gt;"Stop",IF(E75&lt;&gt;0,IF(E75&lt;=K75,"OK","NG"),Blank),"-")</f>
        <v>#REF!</v>
      </c>
      <c r="S75" s="22"/>
      <c r="T75" s="221">
        <v>1</v>
      </c>
      <c r="U75"/>
    </row>
    <row r="76" spans="1:21" ht="30" hidden="1" x14ac:dyDescent="0.3">
      <c r="A76" s="318" t="e">
        <f>#REF!</f>
        <v>#REF!</v>
      </c>
      <c r="B76" s="305" t="e">
        <f>#REF!</f>
        <v>#REF!</v>
      </c>
      <c r="C76" s="305" t="str">
        <f>'Danh sách máy'!C71</f>
        <v>MKVC</v>
      </c>
      <c r="D76" s="90" t="e">
        <f>#REF!</f>
        <v>#REF!</v>
      </c>
      <c r="E76" s="97">
        <f>'Danh sách máy'!E71</f>
        <v>45656</v>
      </c>
      <c r="F76" s="206" t="e">
        <f>#REF!</f>
        <v>#REF!</v>
      </c>
      <c r="G76" s="102" t="e">
        <f>#REF!</f>
        <v>#REF!</v>
      </c>
      <c r="H76" s="102" t="e">
        <f>#REF!</f>
        <v>#REF!</v>
      </c>
      <c r="I76" s="209">
        <v>44350</v>
      </c>
      <c r="J76" s="210"/>
      <c r="K76" s="210" t="e">
        <f>#REF!</f>
        <v>#REF!</v>
      </c>
      <c r="L76" s="210">
        <v>44345</v>
      </c>
      <c r="M76" s="210"/>
      <c r="N76" s="210">
        <f>'Danh sách máy'!F71</f>
        <v>0</v>
      </c>
      <c r="O76" s="211" t="str" cm="1">
        <f t="array" ref="O76">IF(L76&lt;&gt;0,IF(L76&lt;I76,"OK","NG"),Blank)</f>
        <v>OK</v>
      </c>
      <c r="P76" s="211" t="e" cm="1">
        <f t="array" ref="P76">IF(M76&lt;&gt;0,IF(M76&lt;J76,"OK","NG"),Blank)</f>
        <v>#NAME?</v>
      </c>
      <c r="Q76" s="211" t="e" cm="1">
        <f t="array" ref="Q76">IF(H76&lt;&gt;"Stop",IF(N76&lt;&gt;0,IF(N76&lt;=K76,"OK","NG"),Blank),"-")</f>
        <v>#REF!</v>
      </c>
      <c r="R76" s="326" t="e" cm="1">
        <f t="array" ref="R76">IF(H76&lt;&gt;"Stop",IF(E76&lt;&gt;0,IF(E76&lt;=K76,"OK","NG"),Blank),"-")</f>
        <v>#REF!</v>
      </c>
      <c r="S76" s="220"/>
      <c r="T76" s="221">
        <v>1</v>
      </c>
      <c r="U76"/>
    </row>
    <row r="77" spans="1:21" ht="30" hidden="1" x14ac:dyDescent="0.3">
      <c r="A77" s="318" t="e">
        <f>#REF!</f>
        <v>#REF!</v>
      </c>
      <c r="B77" s="305" t="e">
        <f>#REF!</f>
        <v>#REF!</v>
      </c>
      <c r="C77" s="305" t="str">
        <f>'Danh sách máy'!C72</f>
        <v>MKVC</v>
      </c>
      <c r="D77" s="90" t="e">
        <f>#REF!</f>
        <v>#REF!</v>
      </c>
      <c r="E77" s="97">
        <f>'Danh sách máy'!E72</f>
        <v>45656</v>
      </c>
      <c r="F77" s="206" t="e">
        <f>#REF!</f>
        <v>#REF!</v>
      </c>
      <c r="G77" s="102" t="e">
        <f>#REF!</f>
        <v>#REF!</v>
      </c>
      <c r="H77" s="102" t="e">
        <f>#REF!</f>
        <v>#REF!</v>
      </c>
      <c r="I77" s="209">
        <v>44351</v>
      </c>
      <c r="J77" s="210"/>
      <c r="K77" s="210" t="e">
        <f>#REF!</f>
        <v>#REF!</v>
      </c>
      <c r="L77" s="210">
        <v>44346</v>
      </c>
      <c r="M77" s="210"/>
      <c r="N77" s="210">
        <f>'Danh sách máy'!F72</f>
        <v>0</v>
      </c>
      <c r="O77" s="211" t="str" cm="1">
        <f t="array" ref="O77">IF(L77&lt;&gt;0,IF(L77&lt;I77,"OK","NG"),Blank)</f>
        <v>OK</v>
      </c>
      <c r="P77" s="211" t="e" cm="1">
        <f t="array" ref="P77">IF(M77&lt;&gt;0,IF(M77&lt;J77,"OK","NG"),Blank)</f>
        <v>#NAME?</v>
      </c>
      <c r="Q77" s="211" t="e" cm="1">
        <f t="array" ref="Q77">IF(H77&lt;&gt;"Stop",IF(N77&lt;&gt;0,IF(N77&lt;=K77,"OK","NG"),Blank),"-")</f>
        <v>#REF!</v>
      </c>
      <c r="R77" s="326" t="e" cm="1">
        <f t="array" ref="R77">IF(H77&lt;&gt;"Stop",IF(E77&lt;&gt;0,IF(E77&lt;=K77,"OK","NG"),Blank),"-")</f>
        <v>#REF!</v>
      </c>
      <c r="S77" s="22"/>
      <c r="T77" s="221">
        <v>1</v>
      </c>
      <c r="U77"/>
    </row>
    <row r="78" spans="1:21" ht="30" hidden="1" x14ac:dyDescent="0.3">
      <c r="A78" s="318" t="e">
        <f>#REF!</f>
        <v>#REF!</v>
      </c>
      <c r="B78" s="305" t="e">
        <f>#REF!</f>
        <v>#REF!</v>
      </c>
      <c r="C78" s="305" t="str">
        <f>'Danh sách máy'!C73</f>
        <v>MKVC</v>
      </c>
      <c r="D78" s="90" t="e">
        <f>#REF!</f>
        <v>#REF!</v>
      </c>
      <c r="E78" s="97">
        <f>'Danh sách máy'!E73</f>
        <v>0</v>
      </c>
      <c r="F78" s="206" t="e">
        <f>#REF!</f>
        <v>#REF!</v>
      </c>
      <c r="G78" s="102" t="e">
        <f>#REF!</f>
        <v>#REF!</v>
      </c>
      <c r="H78" s="102" t="e">
        <f>#REF!</f>
        <v>#REF!</v>
      </c>
      <c r="I78" s="209">
        <v>44352</v>
      </c>
      <c r="J78" s="210"/>
      <c r="K78" s="210" t="e">
        <f>#REF!</f>
        <v>#REF!</v>
      </c>
      <c r="L78" s="210">
        <v>44347</v>
      </c>
      <c r="M78" s="210"/>
      <c r="N78" s="210">
        <f>'Danh sách máy'!F73</f>
        <v>0</v>
      </c>
      <c r="O78" s="211" t="str" cm="1">
        <f t="array" ref="O78">IF(L78&lt;&gt;0,IF(L78&lt;I78,"OK","NG"),Blank)</f>
        <v>OK</v>
      </c>
      <c r="P78" s="211" t="e" cm="1">
        <f t="array" ref="P78">IF(M78&lt;&gt;0,IF(M78&lt;J78,"OK","NG"),Blank)</f>
        <v>#NAME?</v>
      </c>
      <c r="Q78" s="211" t="e" cm="1">
        <f t="array" ref="Q78">IF(H78&lt;&gt;"Stop",IF(N78&lt;&gt;0,IF(N78&lt;=K78,"OK","NG"),Blank),"-")</f>
        <v>#REF!</v>
      </c>
      <c r="R78" s="326" t="e" cm="1">
        <f t="array" ref="R78">IF(H78&lt;&gt;"Stop",IF(E78&lt;&gt;0,IF(E78&lt;=K78,"OK","NG"),Blank),"-")</f>
        <v>#REF!</v>
      </c>
      <c r="S78" s="22"/>
      <c r="T78" s="221"/>
      <c r="U78"/>
    </row>
    <row r="79" spans="1:21" ht="30" x14ac:dyDescent="0.3">
      <c r="A79" s="318" t="e">
        <f>#REF!</f>
        <v>#REF!</v>
      </c>
      <c r="B79" s="305" t="e">
        <f>#REF!</f>
        <v>#REF!</v>
      </c>
      <c r="C79" s="305" t="str">
        <f>'Danh sách máy'!C74</f>
        <v>MKVC</v>
      </c>
      <c r="D79" s="90" t="e">
        <f>#REF!</f>
        <v>#REF!</v>
      </c>
      <c r="E79" s="97">
        <f>'Danh sách máy'!E74</f>
        <v>45681</v>
      </c>
      <c r="F79" s="206" t="e">
        <f>#REF!</f>
        <v>#REF!</v>
      </c>
      <c r="G79" s="102" t="e">
        <f>#REF!</f>
        <v>#REF!</v>
      </c>
      <c r="H79" s="102" t="e">
        <f>#REF!</f>
        <v>#REF!</v>
      </c>
      <c r="I79" s="209">
        <v>44353</v>
      </c>
      <c r="J79" s="210"/>
      <c r="K79" s="210" t="e">
        <f>#REF!</f>
        <v>#REF!</v>
      </c>
      <c r="L79" s="210">
        <v>44348</v>
      </c>
      <c r="M79" s="210"/>
      <c r="N79" s="210">
        <f>'Danh sách máy'!F74</f>
        <v>45758</v>
      </c>
      <c r="O79" s="211" t="str" cm="1">
        <f t="array" ref="O79">IF(L79&lt;&gt;0,IF(L79&lt;I79,"OK","NG"),Blank)</f>
        <v>OK</v>
      </c>
      <c r="P79" s="211" t="e" cm="1">
        <f t="array" ref="P79">IF(M79&lt;&gt;0,IF(M79&lt;J79,"OK","NG"),Blank)</f>
        <v>#NAME?</v>
      </c>
      <c r="Q79" s="211" t="e" cm="1">
        <f t="array" ref="Q79">IF(H79&lt;&gt;"Stop",IF(N79&lt;&gt;0,IF(N79&lt;=K79,"OK","NG"),Blank),"-")</f>
        <v>#REF!</v>
      </c>
      <c r="R79" s="326" t="e" cm="1">
        <f t="array" ref="R79">IF(H79&lt;&gt;"Stop",IF(E79&lt;&gt;0,IF(E79&lt;=K79,"OK","NG"),Blank),"-")</f>
        <v>#REF!</v>
      </c>
      <c r="S79" s="22"/>
      <c r="T79" s="221">
        <v>1</v>
      </c>
      <c r="U79"/>
    </row>
    <row r="80" spans="1:21" ht="30" hidden="1" x14ac:dyDescent="0.3">
      <c r="A80" s="318" t="e">
        <f>#REF!</f>
        <v>#REF!</v>
      </c>
      <c r="B80" s="305" t="e">
        <f>#REF!</f>
        <v>#REF!</v>
      </c>
      <c r="C80" s="305" t="str">
        <f>'Danh sách máy'!C75</f>
        <v>MKVC</v>
      </c>
      <c r="D80" s="90" t="e">
        <f>#REF!</f>
        <v>#REF!</v>
      </c>
      <c r="E80" s="97">
        <f>'Danh sách máy'!E75</f>
        <v>45681</v>
      </c>
      <c r="F80" s="206" t="e">
        <f>#REF!</f>
        <v>#REF!</v>
      </c>
      <c r="G80" s="102" t="e">
        <f>#REF!</f>
        <v>#REF!</v>
      </c>
      <c r="H80" s="102" t="e">
        <f>#REF!</f>
        <v>#REF!</v>
      </c>
      <c r="I80" s="209">
        <v>44354</v>
      </c>
      <c r="J80" s="210"/>
      <c r="K80" s="210" t="e">
        <f>#REF!</f>
        <v>#REF!</v>
      </c>
      <c r="L80" s="210">
        <v>44349</v>
      </c>
      <c r="M80" s="210"/>
      <c r="N80" s="210">
        <f>'Danh sách máy'!F75</f>
        <v>0</v>
      </c>
      <c r="O80" s="211" t="str" cm="1">
        <f t="array" ref="O80">IF(L80&lt;&gt;0,IF(L80&lt;I80,"OK","NG"),Blank)</f>
        <v>OK</v>
      </c>
      <c r="P80" s="211" t="e" cm="1">
        <f t="array" ref="P80">IF(M80&lt;&gt;0,IF(M80&lt;J80,"OK","NG"),Blank)</f>
        <v>#NAME?</v>
      </c>
      <c r="Q80" s="211" t="e" cm="1">
        <f t="array" ref="Q80">IF(H80&lt;&gt;"Stop",IF(N80&lt;&gt;0,IF(N80&lt;=K80,"OK","NG"),Blank),"-")</f>
        <v>#REF!</v>
      </c>
      <c r="R80" s="326" t="e" cm="1">
        <f t="array" ref="R80">IF(H80&lt;&gt;"Stop",IF(E80&lt;&gt;0,IF(E80&lt;=K80,"OK","NG"),Blank),"-")</f>
        <v>#REF!</v>
      </c>
      <c r="S80" s="22"/>
      <c r="T80" s="221">
        <v>1</v>
      </c>
      <c r="U80"/>
    </row>
    <row r="81" spans="1:21" ht="30" hidden="1" x14ac:dyDescent="0.3">
      <c r="A81" s="318" t="e">
        <f>#REF!</f>
        <v>#REF!</v>
      </c>
      <c r="B81" s="305" t="e">
        <f>#REF!</f>
        <v>#REF!</v>
      </c>
      <c r="C81" s="305" t="str">
        <f>'Danh sách máy'!C76</f>
        <v>MKVC</v>
      </c>
      <c r="D81" s="90" t="e">
        <f>#REF!</f>
        <v>#REF!</v>
      </c>
      <c r="E81" s="97">
        <f>'Danh sách máy'!E76</f>
        <v>0</v>
      </c>
      <c r="F81" s="206" t="e">
        <f>#REF!</f>
        <v>#REF!</v>
      </c>
      <c r="G81" s="102" t="e">
        <f>#REF!</f>
        <v>#REF!</v>
      </c>
      <c r="H81" s="102" t="e">
        <f>#REF!</f>
        <v>#REF!</v>
      </c>
      <c r="I81" s="209">
        <v>44355</v>
      </c>
      <c r="J81" s="210"/>
      <c r="K81" s="210" t="e">
        <f>#REF!</f>
        <v>#REF!</v>
      </c>
      <c r="L81" s="210">
        <v>44350</v>
      </c>
      <c r="M81" s="210"/>
      <c r="N81" s="210">
        <f>'Danh sách máy'!F76</f>
        <v>0</v>
      </c>
      <c r="O81" s="211" t="str" cm="1">
        <f t="array" ref="O81">IF(L81&lt;&gt;0,IF(L81&lt;I81,"OK","NG"),Blank)</f>
        <v>OK</v>
      </c>
      <c r="P81" s="211" t="e" cm="1">
        <f t="array" ref="P81">IF(M81&lt;&gt;0,IF(M81&lt;J81,"OK","NG"),Blank)</f>
        <v>#NAME?</v>
      </c>
      <c r="Q81" s="211" t="e" cm="1">
        <f t="array" ref="Q81">IF(H81&lt;&gt;"Stop",IF(N81&lt;&gt;0,IF(N81&lt;=K81,"OK","NG"),Blank),"-")</f>
        <v>#REF!</v>
      </c>
      <c r="R81" s="326" t="e" cm="1">
        <f t="array" ref="R81">IF(H81&lt;&gt;"Stop",IF(E81&lt;&gt;0,IF(E81&lt;=K81,"OK","NG"),Blank),"-")</f>
        <v>#REF!</v>
      </c>
      <c r="S81" s="22"/>
      <c r="T81" s="221">
        <v>1</v>
      </c>
      <c r="U81"/>
    </row>
    <row r="82" spans="1:21" ht="30" hidden="1" x14ac:dyDescent="0.3">
      <c r="A82" s="318" t="e">
        <f>#REF!</f>
        <v>#REF!</v>
      </c>
      <c r="B82" s="305" t="e">
        <f>#REF!</f>
        <v>#REF!</v>
      </c>
      <c r="C82" s="305" t="str">
        <f>'Danh sách máy'!C77</f>
        <v>MKVC</v>
      </c>
      <c r="D82" s="90" t="e">
        <f>#REF!</f>
        <v>#REF!</v>
      </c>
      <c r="E82" s="97">
        <f>'Danh sách máy'!E77</f>
        <v>45681</v>
      </c>
      <c r="F82" s="206" t="e">
        <f>#REF!</f>
        <v>#REF!</v>
      </c>
      <c r="G82" s="102" t="e">
        <f>#REF!</f>
        <v>#REF!</v>
      </c>
      <c r="H82" s="102" t="e">
        <f>#REF!</f>
        <v>#REF!</v>
      </c>
      <c r="I82" s="209">
        <v>44356</v>
      </c>
      <c r="J82" s="210"/>
      <c r="K82" s="210" t="e">
        <f>#REF!</f>
        <v>#REF!</v>
      </c>
      <c r="L82" s="210">
        <v>44351</v>
      </c>
      <c r="M82" s="210"/>
      <c r="N82" s="210">
        <f>'Danh sách máy'!F77</f>
        <v>1</v>
      </c>
      <c r="O82" s="211" t="str" cm="1">
        <f t="array" ref="O82">IF(L82&lt;&gt;0,IF(L82&lt;I82,"OK","NG"),Blank)</f>
        <v>OK</v>
      </c>
      <c r="P82" s="211" t="e" cm="1">
        <f t="array" ref="P82">IF(M82&lt;&gt;0,IF(M82&lt;J82,"OK","NG"),Blank)</f>
        <v>#NAME?</v>
      </c>
      <c r="Q82" s="211" t="e" cm="1">
        <f t="array" ref="Q82">IF(H82&lt;&gt;"Stop",IF(N82&lt;&gt;0,IF(N82&lt;=K82,"OK","NG"),Blank),"-")</f>
        <v>#REF!</v>
      </c>
      <c r="R82" s="326" t="e" cm="1">
        <f t="array" ref="R82">IF(H82&lt;&gt;"Stop",IF(E82&lt;&gt;0,IF(E82&lt;=K82,"OK","NG"),Blank),"-")</f>
        <v>#REF!</v>
      </c>
      <c r="S82" s="22"/>
      <c r="T82" s="221">
        <v>1</v>
      </c>
      <c r="U82"/>
    </row>
    <row r="83" spans="1:21" ht="30" hidden="1" x14ac:dyDescent="0.3">
      <c r="A83" s="318" t="e">
        <f>#REF!</f>
        <v>#REF!</v>
      </c>
      <c r="B83" s="305" t="e">
        <f>#REF!</f>
        <v>#REF!</v>
      </c>
      <c r="C83" s="305" t="str">
        <f>'Danh sách máy'!C78</f>
        <v>MKVC</v>
      </c>
      <c r="D83" s="90" t="e">
        <f>#REF!</f>
        <v>#REF!</v>
      </c>
      <c r="E83" s="97">
        <f>'Danh sách máy'!E78</f>
        <v>0</v>
      </c>
      <c r="F83" s="206" t="e">
        <f>#REF!</f>
        <v>#REF!</v>
      </c>
      <c r="G83" s="102" t="e">
        <f>#REF!</f>
        <v>#REF!</v>
      </c>
      <c r="H83" s="102" t="e">
        <f>#REF!</f>
        <v>#REF!</v>
      </c>
      <c r="I83" s="209">
        <v>44357</v>
      </c>
      <c r="J83" s="210"/>
      <c r="K83" s="210" t="e">
        <f>#REF!</f>
        <v>#REF!</v>
      </c>
      <c r="L83" s="210">
        <v>44352</v>
      </c>
      <c r="M83" s="210"/>
      <c r="N83" s="210">
        <f>'Danh sách máy'!F78</f>
        <v>0</v>
      </c>
      <c r="O83" s="211" t="str" cm="1">
        <f t="array" ref="O83">IF(L83&lt;&gt;0,IF(L83&lt;I83,"OK","NG"),Blank)</f>
        <v>OK</v>
      </c>
      <c r="P83" s="211" t="e" cm="1">
        <f t="array" ref="P83">IF(M83&lt;&gt;0,IF(M83&lt;J83,"OK","NG"),Blank)</f>
        <v>#NAME?</v>
      </c>
      <c r="Q83" s="211" t="e" cm="1">
        <f t="array" ref="Q83">IF(H83&lt;&gt;"Stop",IF(N83&lt;&gt;0,IF(N83&lt;=K83,"OK","NG"),Blank),"-")</f>
        <v>#REF!</v>
      </c>
      <c r="R83" s="326" t="e" cm="1">
        <f t="array" ref="R83">IF(H83&lt;&gt;"Stop",IF(E83&lt;&gt;0,IF(E83&lt;=K83,"OK","NG"),Blank),"-")</f>
        <v>#REF!</v>
      </c>
      <c r="S83" s="22"/>
      <c r="T83" s="221"/>
      <c r="U83"/>
    </row>
    <row r="84" spans="1:21" ht="30" hidden="1" x14ac:dyDescent="0.3">
      <c r="A84" s="318" t="e">
        <f>#REF!</f>
        <v>#REF!</v>
      </c>
      <c r="B84" s="305" t="e">
        <f>#REF!</f>
        <v>#REF!</v>
      </c>
      <c r="C84" s="305" t="str">
        <f>'Danh sách máy'!C79</f>
        <v>MKVC</v>
      </c>
      <c r="D84" s="90" t="e">
        <f>#REF!</f>
        <v>#REF!</v>
      </c>
      <c r="E84" s="97">
        <f>'Danh sách máy'!E79</f>
        <v>45681</v>
      </c>
      <c r="F84" s="206" t="e">
        <f>#REF!</f>
        <v>#REF!</v>
      </c>
      <c r="G84" s="102" t="e">
        <f>#REF!</f>
        <v>#REF!</v>
      </c>
      <c r="H84" s="102" t="e">
        <f>#REF!</f>
        <v>#REF!</v>
      </c>
      <c r="I84" s="209">
        <v>44358</v>
      </c>
      <c r="J84" s="210"/>
      <c r="K84" s="210" t="e">
        <f>#REF!</f>
        <v>#REF!</v>
      </c>
      <c r="L84" s="210">
        <v>44353</v>
      </c>
      <c r="M84" s="210"/>
      <c r="N84" s="210">
        <f>'Danh sách máy'!F79</f>
        <v>45722</v>
      </c>
      <c r="O84" s="211" t="str" cm="1">
        <f t="array" ref="O84">IF(L84&lt;&gt;0,IF(L84&lt;I84,"OK","NG"),Blank)</f>
        <v>OK</v>
      </c>
      <c r="P84" s="211" t="e" cm="1">
        <f t="array" ref="P84">IF(M84&lt;&gt;0,IF(M84&lt;J84,"OK","NG"),Blank)</f>
        <v>#NAME?</v>
      </c>
      <c r="Q84" s="211" t="e" cm="1">
        <f t="array" ref="Q84">IF(H84&lt;&gt;"Stop",IF(N84&lt;&gt;0,IF(N84&lt;=K84,"OK","NG"),Blank),"-")</f>
        <v>#REF!</v>
      </c>
      <c r="R84" s="326" t="e" cm="1">
        <f t="array" ref="R84">IF(H84&lt;&gt;"Stop",IF(E84&lt;&gt;0,IF(E84&lt;=K84,"OK","NG"),Blank),"-")</f>
        <v>#REF!</v>
      </c>
      <c r="S84" s="22"/>
      <c r="T84" s="221">
        <v>1</v>
      </c>
      <c r="U84"/>
    </row>
    <row r="85" spans="1:21" ht="30" hidden="1" x14ac:dyDescent="0.3">
      <c r="A85" s="318" t="e">
        <f>#REF!</f>
        <v>#REF!</v>
      </c>
      <c r="B85" s="305" t="e">
        <f>#REF!</f>
        <v>#REF!</v>
      </c>
      <c r="C85" s="305" t="str">
        <f>'Danh sách máy'!C80</f>
        <v>MKVC</v>
      </c>
      <c r="D85" s="90" t="e">
        <f>#REF!</f>
        <v>#REF!</v>
      </c>
      <c r="E85" s="97">
        <f>'Danh sách máy'!E80</f>
        <v>45681</v>
      </c>
      <c r="F85" s="206" t="e">
        <f>#REF!</f>
        <v>#REF!</v>
      </c>
      <c r="G85" s="102" t="e">
        <f>#REF!</f>
        <v>#REF!</v>
      </c>
      <c r="H85" s="102" t="e">
        <f>#REF!</f>
        <v>#REF!</v>
      </c>
      <c r="I85" s="209">
        <v>44359</v>
      </c>
      <c r="J85" s="210"/>
      <c r="K85" s="210" t="e">
        <f>#REF!</f>
        <v>#REF!</v>
      </c>
      <c r="L85" s="210">
        <v>44354</v>
      </c>
      <c r="M85" s="210"/>
      <c r="N85" s="210">
        <f>'Danh sách máy'!F80</f>
        <v>0</v>
      </c>
      <c r="O85" s="211" t="str" cm="1">
        <f t="array" ref="O85">IF(L85&lt;&gt;0,IF(L85&lt;I85,"OK","NG"),Blank)</f>
        <v>OK</v>
      </c>
      <c r="P85" s="211" t="e" cm="1">
        <f t="array" ref="P85">IF(M85&lt;&gt;0,IF(M85&lt;J85,"OK","NG"),Blank)</f>
        <v>#NAME?</v>
      </c>
      <c r="Q85" s="211" t="e" cm="1">
        <f t="array" ref="Q85">IF(H85&lt;&gt;"Stop",IF(N85&lt;&gt;0,IF(N85&lt;=K85,"OK","NG"),Blank),"-")</f>
        <v>#REF!</v>
      </c>
      <c r="R85" s="326" t="e" cm="1">
        <f t="array" ref="R85">IF(H85&lt;&gt;"Stop",IF(E85&lt;&gt;0,IF(E85&lt;=K85,"OK","NG"),Blank),"-")</f>
        <v>#REF!</v>
      </c>
      <c r="S85" s="22"/>
      <c r="T85" s="221">
        <v>1</v>
      </c>
      <c r="U85"/>
    </row>
    <row r="86" spans="1:21" ht="30" hidden="1" x14ac:dyDescent="0.3">
      <c r="A86" s="318" t="e">
        <f>#REF!</f>
        <v>#REF!</v>
      </c>
      <c r="B86" s="305" t="e">
        <f>#REF!</f>
        <v>#REF!</v>
      </c>
      <c r="C86" s="305" t="str">
        <f>'Danh sách máy'!C81</f>
        <v>MKVC</v>
      </c>
      <c r="D86" s="90" t="e">
        <f>#REF!</f>
        <v>#REF!</v>
      </c>
      <c r="E86" s="97">
        <f>'Danh sách máy'!E81</f>
        <v>45656</v>
      </c>
      <c r="F86" s="206" t="e">
        <f>#REF!</f>
        <v>#REF!</v>
      </c>
      <c r="G86" s="102" t="e">
        <f>#REF!</f>
        <v>#REF!</v>
      </c>
      <c r="H86" s="102" t="e">
        <f>#REF!</f>
        <v>#REF!</v>
      </c>
      <c r="I86" s="209">
        <v>44360</v>
      </c>
      <c r="J86" s="210"/>
      <c r="K86" s="210" t="e">
        <f>#REF!</f>
        <v>#REF!</v>
      </c>
      <c r="L86" s="210">
        <v>44355</v>
      </c>
      <c r="M86" s="210"/>
      <c r="N86" s="210">
        <f>'Danh sách máy'!F81</f>
        <v>45677</v>
      </c>
      <c r="O86" s="211" t="str" cm="1">
        <f t="array" ref="O86">IF(L86&lt;&gt;0,IF(L86&lt;I86,"OK","NG"),Blank)</f>
        <v>OK</v>
      </c>
      <c r="P86" s="211" t="e" cm="1">
        <f t="array" ref="P86">IF(M86&lt;&gt;0,IF(M86&lt;J86,"OK","NG"),Blank)</f>
        <v>#NAME?</v>
      </c>
      <c r="Q86" s="211" t="e" cm="1">
        <f t="array" ref="Q86">IF(H86&lt;&gt;"Stop",IF(N86&lt;&gt;0,IF(N86&lt;=K86,"OK","NG"),Blank),"-")</f>
        <v>#REF!</v>
      </c>
      <c r="R86" s="326" t="e" cm="1">
        <f t="array" ref="R86">IF(H86&lt;&gt;"Stop",IF(E86&lt;&gt;0,IF(E86&lt;=K86,"OK","NG"),Blank),"-")</f>
        <v>#REF!</v>
      </c>
      <c r="S86" s="22"/>
      <c r="T86" s="221">
        <v>1</v>
      </c>
      <c r="U86"/>
    </row>
    <row r="87" spans="1:21" ht="30" hidden="1" x14ac:dyDescent="0.3">
      <c r="A87" s="318" t="e">
        <f>#REF!</f>
        <v>#REF!</v>
      </c>
      <c r="B87" s="305" t="e">
        <f>#REF!</f>
        <v>#REF!</v>
      </c>
      <c r="C87" s="305" t="str">
        <f>'Danh sách máy'!C82</f>
        <v>MKVC</v>
      </c>
      <c r="D87" s="90" t="e">
        <f>#REF!</f>
        <v>#REF!</v>
      </c>
      <c r="E87" s="97">
        <f>'Danh sách máy'!E82</f>
        <v>45681</v>
      </c>
      <c r="F87" s="206" t="e">
        <f>#REF!</f>
        <v>#REF!</v>
      </c>
      <c r="G87" s="102" t="e">
        <f>#REF!</f>
        <v>#REF!</v>
      </c>
      <c r="H87" s="102" t="e">
        <f>#REF!</f>
        <v>#REF!</v>
      </c>
      <c r="I87" s="209">
        <v>44361</v>
      </c>
      <c r="J87" s="210"/>
      <c r="K87" s="210" t="e">
        <f>#REF!</f>
        <v>#REF!</v>
      </c>
      <c r="L87" s="210">
        <v>44356</v>
      </c>
      <c r="M87" s="210"/>
      <c r="N87" s="210">
        <f>'Danh sách máy'!F82</f>
        <v>1</v>
      </c>
      <c r="O87" s="211" t="str" cm="1">
        <f t="array" ref="O87">IF(L87&lt;&gt;0,IF(L87&lt;I87,"OK","NG"),Blank)</f>
        <v>OK</v>
      </c>
      <c r="P87" s="211" t="e" cm="1">
        <f t="array" ref="P87">IF(M87&lt;&gt;0,IF(M87&lt;J87,"OK","NG"),Blank)</f>
        <v>#NAME?</v>
      </c>
      <c r="Q87" s="211" t="e" cm="1">
        <f t="array" ref="Q87">IF(H87&lt;&gt;"Stop",IF(N87&lt;&gt;0,IF(N87&lt;=K87,"OK","NG"),Blank),"-")</f>
        <v>#REF!</v>
      </c>
      <c r="R87" s="326" t="e" cm="1">
        <f t="array" ref="R87">IF(H87&lt;&gt;"Stop",IF(E87&lt;&gt;0,IF(E87&lt;=K87,"OK","NG"),Blank),"-")</f>
        <v>#REF!</v>
      </c>
      <c r="S87" s="22"/>
      <c r="T87" s="221">
        <v>1</v>
      </c>
      <c r="U87"/>
    </row>
    <row r="88" spans="1:21" ht="30" hidden="1" x14ac:dyDescent="0.3">
      <c r="A88" s="318" t="e">
        <f>#REF!</f>
        <v>#REF!</v>
      </c>
      <c r="B88" s="305" t="e">
        <f>#REF!</f>
        <v>#REF!</v>
      </c>
      <c r="C88" s="305" t="str">
        <f>'Danh sách máy'!C83</f>
        <v>MKVC</v>
      </c>
      <c r="D88" s="90" t="e">
        <f>#REF!</f>
        <v>#REF!</v>
      </c>
      <c r="E88" s="97">
        <f>'Danh sách máy'!E83</f>
        <v>45656</v>
      </c>
      <c r="F88" s="206" t="e">
        <f>#REF!</f>
        <v>#REF!</v>
      </c>
      <c r="G88" s="102" t="e">
        <f>#REF!</f>
        <v>#REF!</v>
      </c>
      <c r="H88" s="102" t="e">
        <f>#REF!</f>
        <v>#REF!</v>
      </c>
      <c r="I88" s="209">
        <v>44362</v>
      </c>
      <c r="J88" s="210"/>
      <c r="K88" s="210" t="e">
        <f>#REF!</f>
        <v>#REF!</v>
      </c>
      <c r="L88" s="210">
        <v>44357</v>
      </c>
      <c r="M88" s="210"/>
      <c r="N88" s="210">
        <f>'Danh sách máy'!F83</f>
        <v>45677</v>
      </c>
      <c r="O88" s="211" t="str" cm="1">
        <f t="array" ref="O88">IF(L88&lt;&gt;0,IF(L88&lt;I88,"OK","NG"),Blank)</f>
        <v>OK</v>
      </c>
      <c r="P88" s="211" t="e" cm="1">
        <f t="array" ref="P88">IF(M88&lt;&gt;0,IF(M88&lt;J88,"OK","NG"),Blank)</f>
        <v>#NAME?</v>
      </c>
      <c r="Q88" s="211" t="e" cm="1">
        <f t="array" ref="Q88">IF(H88&lt;&gt;"Stop",IF(N88&lt;&gt;0,IF(N88&lt;=K88,"OK","NG"),Blank),"-")</f>
        <v>#REF!</v>
      </c>
      <c r="R88" s="326" t="e" cm="1">
        <f t="array" ref="R88">IF(H88&lt;&gt;"Stop",IF(E88&lt;&gt;0,IF(E88&lt;=K88,"OK","NG"),Blank),"-")</f>
        <v>#REF!</v>
      </c>
      <c r="S88" s="22"/>
      <c r="T88" s="221">
        <v>1</v>
      </c>
      <c r="U88"/>
    </row>
    <row r="89" spans="1:21" ht="30" hidden="1" x14ac:dyDescent="0.3">
      <c r="A89" s="318" t="e">
        <f>#REF!</f>
        <v>#REF!</v>
      </c>
      <c r="B89" s="305" t="e">
        <f>#REF!</f>
        <v>#REF!</v>
      </c>
      <c r="C89" s="305" t="str">
        <f>'Danh sách máy'!C84</f>
        <v>MKVC</v>
      </c>
      <c r="D89" s="90" t="e">
        <f>#REF!</f>
        <v>#REF!</v>
      </c>
      <c r="E89" s="97">
        <f>'Danh sách máy'!E84</f>
        <v>45681</v>
      </c>
      <c r="F89" s="206" t="e">
        <f>#REF!</f>
        <v>#REF!</v>
      </c>
      <c r="G89" s="102" t="e">
        <f>#REF!</f>
        <v>#REF!</v>
      </c>
      <c r="H89" s="102" t="e">
        <f>#REF!</f>
        <v>#REF!</v>
      </c>
      <c r="I89" s="209">
        <v>44363</v>
      </c>
      <c r="J89" s="210"/>
      <c r="K89" s="210" t="e">
        <f>#REF!</f>
        <v>#REF!</v>
      </c>
      <c r="L89" s="210">
        <v>44358</v>
      </c>
      <c r="M89" s="210"/>
      <c r="N89" s="210">
        <f>'Danh sách máy'!F84</f>
        <v>45734</v>
      </c>
      <c r="O89" s="211" t="str" cm="1">
        <f t="array" ref="O89">IF(L89&lt;&gt;0,IF(L89&lt;I89,"OK","NG"),Blank)</f>
        <v>OK</v>
      </c>
      <c r="P89" s="211" t="e" cm="1">
        <f t="array" ref="P89">IF(M89&lt;&gt;0,IF(M89&lt;J89,"OK","NG"),Blank)</f>
        <v>#NAME?</v>
      </c>
      <c r="Q89" s="211" t="e" cm="1">
        <f t="array" ref="Q89">IF(H89&lt;&gt;"Stop",IF(N89&lt;&gt;0,IF(N89&lt;=K89,"OK","NG"),Blank),"-")</f>
        <v>#REF!</v>
      </c>
      <c r="R89" s="326" t="e" cm="1">
        <f t="array" ref="R89">IF(H89&lt;&gt;"Stop",IF(E89&lt;&gt;0,IF(E89&lt;=K89,"OK","NG"),Blank),"-")</f>
        <v>#REF!</v>
      </c>
      <c r="S89" s="22"/>
      <c r="T89" s="221">
        <v>1</v>
      </c>
      <c r="U89"/>
    </row>
    <row r="90" spans="1:21" ht="30" hidden="1" x14ac:dyDescent="0.3">
      <c r="A90" s="318" t="e">
        <f>#REF!</f>
        <v>#REF!</v>
      </c>
      <c r="B90" s="305" t="e">
        <f>#REF!</f>
        <v>#REF!</v>
      </c>
      <c r="C90" s="305" t="str">
        <f>'Danh sách máy'!C85</f>
        <v>MKVC</v>
      </c>
      <c r="D90" s="90" t="e">
        <f>#REF!</f>
        <v>#REF!</v>
      </c>
      <c r="E90" s="97">
        <f>'Danh sách máy'!E85</f>
        <v>45681</v>
      </c>
      <c r="F90" s="206" t="e">
        <f>#REF!</f>
        <v>#REF!</v>
      </c>
      <c r="G90" s="102" t="e">
        <f>#REF!</f>
        <v>#REF!</v>
      </c>
      <c r="H90" s="102" t="e">
        <f>#REF!</f>
        <v>#REF!</v>
      </c>
      <c r="I90" s="209">
        <v>44364</v>
      </c>
      <c r="J90" s="210"/>
      <c r="K90" s="210" t="e">
        <f>#REF!</f>
        <v>#REF!</v>
      </c>
      <c r="L90" s="210">
        <v>44359</v>
      </c>
      <c r="M90" s="210"/>
      <c r="N90" s="210">
        <f>'Danh sách máy'!F85</f>
        <v>45734</v>
      </c>
      <c r="O90" s="211" t="str" cm="1">
        <f t="array" ref="O90">IF(L90&lt;&gt;0,IF(L90&lt;I90,"OK","NG"),Blank)</f>
        <v>OK</v>
      </c>
      <c r="P90" s="211" t="e" cm="1">
        <f t="array" ref="P90">IF(M90&lt;&gt;0,IF(M90&lt;J90,"OK","NG"),Blank)</f>
        <v>#NAME?</v>
      </c>
      <c r="Q90" s="211" t="e" cm="1">
        <f t="array" ref="Q90">IF(H90&lt;&gt;"Stop",IF(N90&lt;&gt;0,IF(N90&lt;=K90,"OK","NG"),Blank),"-")</f>
        <v>#REF!</v>
      </c>
      <c r="R90" s="326" t="e" cm="1">
        <f t="array" ref="R90">IF(H90&lt;&gt;"Stop",IF(E90&lt;&gt;0,IF(E90&lt;=K90,"OK","NG"),Blank),"-")</f>
        <v>#REF!</v>
      </c>
      <c r="S90" s="22"/>
      <c r="T90" s="221">
        <v>1</v>
      </c>
      <c r="U90"/>
    </row>
    <row r="91" spans="1:21" ht="30" hidden="1" x14ac:dyDescent="0.3">
      <c r="A91" s="318" t="e">
        <f>#REF!</f>
        <v>#REF!</v>
      </c>
      <c r="B91" s="305" t="e">
        <f>#REF!</f>
        <v>#REF!</v>
      </c>
      <c r="C91" s="305" t="str">
        <f>'Danh sách máy'!C86</f>
        <v>MKVC</v>
      </c>
      <c r="D91" s="90" t="e">
        <f>#REF!</f>
        <v>#REF!</v>
      </c>
      <c r="E91" s="97">
        <f>'Danh sách máy'!E86</f>
        <v>45681</v>
      </c>
      <c r="F91" s="206" t="e">
        <f>#REF!</f>
        <v>#REF!</v>
      </c>
      <c r="G91" s="102" t="e">
        <f>#REF!</f>
        <v>#REF!</v>
      </c>
      <c r="H91" s="102" t="e">
        <f>#REF!</f>
        <v>#REF!</v>
      </c>
      <c r="I91" s="209">
        <v>44365</v>
      </c>
      <c r="J91" s="210"/>
      <c r="K91" s="210" t="e">
        <f>#REF!</f>
        <v>#REF!</v>
      </c>
      <c r="L91" s="210">
        <v>44360</v>
      </c>
      <c r="M91" s="210"/>
      <c r="N91" s="210">
        <f>'Danh sách máy'!F86</f>
        <v>0</v>
      </c>
      <c r="O91" s="211" t="str" cm="1">
        <f t="array" ref="O91">IF(L91&lt;&gt;0,IF(L91&lt;I91,"OK","NG"),Blank)</f>
        <v>OK</v>
      </c>
      <c r="P91" s="211" t="e" cm="1">
        <f t="array" ref="P91">IF(M91&lt;&gt;0,IF(M91&lt;J91,"OK","NG"),Blank)</f>
        <v>#NAME?</v>
      </c>
      <c r="Q91" s="211" t="e" cm="1">
        <f t="array" ref="Q91">IF(H91&lt;&gt;"Stop",IF(N91&lt;&gt;0,IF(N91&lt;=K91,"OK","NG"),Blank),"-")</f>
        <v>#REF!</v>
      </c>
      <c r="R91" s="326" t="e" cm="1">
        <f t="array" ref="R91">IF(H91&lt;&gt;"Stop",IF(E91&lt;&gt;0,IF(E91&lt;=K91,"OK","NG"),Blank),"-")</f>
        <v>#REF!</v>
      </c>
      <c r="S91" s="22"/>
      <c r="T91" s="221">
        <v>1</v>
      </c>
      <c r="U91"/>
    </row>
    <row r="92" spans="1:21" ht="30" hidden="1" x14ac:dyDescent="0.3">
      <c r="A92" s="318" t="e">
        <f>#REF!</f>
        <v>#REF!</v>
      </c>
      <c r="B92" s="305" t="e">
        <f>#REF!</f>
        <v>#REF!</v>
      </c>
      <c r="C92" s="305" t="str">
        <f>'Danh sách máy'!C87</f>
        <v>MKVC</v>
      </c>
      <c r="D92" s="90" t="e">
        <f>#REF!</f>
        <v>#REF!</v>
      </c>
      <c r="E92" s="97">
        <f>'Danh sách máy'!E87</f>
        <v>45681</v>
      </c>
      <c r="F92" s="206" t="e">
        <f>#REF!</f>
        <v>#REF!</v>
      </c>
      <c r="G92" s="102" t="e">
        <f>#REF!</f>
        <v>#REF!</v>
      </c>
      <c r="H92" s="102" t="e">
        <f>#REF!</f>
        <v>#REF!</v>
      </c>
      <c r="I92" s="209">
        <v>44366</v>
      </c>
      <c r="J92" s="210"/>
      <c r="K92" s="210" t="e">
        <f>#REF!</f>
        <v>#REF!</v>
      </c>
      <c r="L92" s="210">
        <v>44361</v>
      </c>
      <c r="M92" s="210"/>
      <c r="N92" s="210">
        <f>'Danh sách máy'!F87</f>
        <v>45726</v>
      </c>
      <c r="O92" s="211" t="str" cm="1">
        <f t="array" ref="O92">IF(L92&lt;&gt;0,IF(L92&lt;I92,"OK","NG"),Blank)</f>
        <v>OK</v>
      </c>
      <c r="P92" s="211" t="e" cm="1">
        <f t="array" ref="P92">IF(M92&lt;&gt;0,IF(M92&lt;J92,"OK","NG"),Blank)</f>
        <v>#NAME?</v>
      </c>
      <c r="Q92" s="211" t="e" cm="1">
        <f t="array" ref="Q92">IF(H92&lt;&gt;"Stop",IF(N92&lt;&gt;0,IF(N92&lt;=K92,"OK","NG"),Blank),"-")</f>
        <v>#REF!</v>
      </c>
      <c r="R92" s="326" t="e" cm="1">
        <f t="array" ref="R92">IF(H92&lt;&gt;"Stop",IF(E92&lt;&gt;0,IF(E92&lt;=K92,"OK","NG"),Blank),"-")</f>
        <v>#REF!</v>
      </c>
      <c r="S92" s="22"/>
      <c r="T92" s="221">
        <v>1</v>
      </c>
      <c r="U92"/>
    </row>
    <row r="93" spans="1:21" ht="30" hidden="1" x14ac:dyDescent="0.3">
      <c r="A93" s="318" t="e">
        <f>#REF!</f>
        <v>#REF!</v>
      </c>
      <c r="B93" s="305" t="e">
        <f>#REF!</f>
        <v>#REF!</v>
      </c>
      <c r="C93" s="305" t="str">
        <f>'Danh sách máy'!C88</f>
        <v>MKVC</v>
      </c>
      <c r="D93" s="90" t="e">
        <f>#REF!</f>
        <v>#REF!</v>
      </c>
      <c r="E93" s="97">
        <f>'Danh sách máy'!E88</f>
        <v>45681</v>
      </c>
      <c r="F93" s="206" t="e">
        <f>#REF!</f>
        <v>#REF!</v>
      </c>
      <c r="G93" s="102" t="e">
        <f>#REF!</f>
        <v>#REF!</v>
      </c>
      <c r="H93" s="102" t="e">
        <f>#REF!</f>
        <v>#REF!</v>
      </c>
      <c r="I93" s="209">
        <v>44367</v>
      </c>
      <c r="J93" s="210"/>
      <c r="K93" s="210" t="e">
        <f>#REF!</f>
        <v>#REF!</v>
      </c>
      <c r="L93" s="210">
        <v>44362</v>
      </c>
      <c r="M93" s="210"/>
      <c r="N93" s="210">
        <f>'Danh sách máy'!F88</f>
        <v>45726</v>
      </c>
      <c r="O93" s="211" t="str" cm="1">
        <f t="array" ref="O93">IF(L93&lt;&gt;0,IF(L93&lt;I93,"OK","NG"),Blank)</f>
        <v>OK</v>
      </c>
      <c r="P93" s="211" t="e" cm="1">
        <f t="array" ref="P93">IF(M93&lt;&gt;0,IF(M93&lt;J93,"OK","NG"),Blank)</f>
        <v>#NAME?</v>
      </c>
      <c r="Q93" s="211" t="e" cm="1">
        <f t="array" ref="Q93">IF(H93&lt;&gt;"Stop",IF(N93&lt;&gt;0,IF(N93&lt;=K93,"OK","NG"),Blank),"-")</f>
        <v>#REF!</v>
      </c>
      <c r="R93" s="326" t="e" cm="1">
        <f t="array" ref="R93">IF(H93&lt;&gt;"Stop",IF(E93&lt;&gt;0,IF(E93&lt;=K93,"OK","NG"),Blank),"-")</f>
        <v>#REF!</v>
      </c>
      <c r="S93" s="22"/>
      <c r="T93" s="221">
        <v>1</v>
      </c>
      <c r="U93"/>
    </row>
    <row r="94" spans="1:21" ht="30" hidden="1" x14ac:dyDescent="0.3">
      <c r="A94" s="318" t="e">
        <f>#REF!</f>
        <v>#REF!</v>
      </c>
      <c r="B94" s="305" t="e">
        <f>#REF!</f>
        <v>#REF!</v>
      </c>
      <c r="C94" s="305" t="str">
        <f>'Danh sách máy'!C89</f>
        <v>MKVC</v>
      </c>
      <c r="D94" s="90" t="e">
        <f>#REF!</f>
        <v>#REF!</v>
      </c>
      <c r="E94" s="97">
        <f>'Danh sách máy'!E89</f>
        <v>45701</v>
      </c>
      <c r="F94" s="206" t="e">
        <f>#REF!</f>
        <v>#REF!</v>
      </c>
      <c r="G94" s="102" t="e">
        <f>#REF!</f>
        <v>#REF!</v>
      </c>
      <c r="H94" s="102" t="e">
        <f>#REF!</f>
        <v>#REF!</v>
      </c>
      <c r="I94" s="209">
        <v>44368</v>
      </c>
      <c r="J94" s="210"/>
      <c r="K94" s="210" t="e">
        <f>#REF!</f>
        <v>#REF!</v>
      </c>
      <c r="L94" s="210">
        <v>44363</v>
      </c>
      <c r="M94" s="210"/>
      <c r="N94" s="210">
        <f>'Danh sách máy'!F89</f>
        <v>0</v>
      </c>
      <c r="O94" s="211" t="str" cm="1">
        <f t="array" ref="O94">IF(L94&lt;&gt;0,IF(L94&lt;I94,"OK","NG"),Blank)</f>
        <v>OK</v>
      </c>
      <c r="P94" s="211" t="e" cm="1">
        <f t="array" ref="P94">IF(M94&lt;&gt;0,IF(M94&lt;J94,"OK","NG"),Blank)</f>
        <v>#NAME?</v>
      </c>
      <c r="Q94" s="211" t="e" cm="1">
        <f t="array" ref="Q94">IF(H94&lt;&gt;"Stop",IF(N94&lt;&gt;0,IF(N94&lt;=K94,"OK","NG"),Blank),"-")</f>
        <v>#REF!</v>
      </c>
      <c r="R94" s="326" t="e" cm="1">
        <f t="array" ref="R94">IF(H94&lt;&gt;"Stop",IF(E94&lt;&gt;0,IF(E94&lt;=K94,"OK","NG"),Blank),"-")</f>
        <v>#REF!</v>
      </c>
      <c r="S94" s="22"/>
      <c r="T94" s="221">
        <v>1</v>
      </c>
      <c r="U94"/>
    </row>
    <row r="95" spans="1:21" ht="30" hidden="1" x14ac:dyDescent="0.3">
      <c r="A95" s="318" t="e">
        <f>#REF!</f>
        <v>#REF!</v>
      </c>
      <c r="B95" s="305" t="e">
        <f>#REF!</f>
        <v>#REF!</v>
      </c>
      <c r="C95" s="305" t="str">
        <f>'Danh sách máy'!C90</f>
        <v>MKVC</v>
      </c>
      <c r="D95" s="90" t="e">
        <f>#REF!</f>
        <v>#REF!</v>
      </c>
      <c r="E95" s="97">
        <f>'Danh sách máy'!E90</f>
        <v>0</v>
      </c>
      <c r="F95" s="206" t="e">
        <f>#REF!</f>
        <v>#REF!</v>
      </c>
      <c r="G95" s="102" t="e">
        <f>#REF!</f>
        <v>#REF!</v>
      </c>
      <c r="H95" s="102" t="e">
        <f>#REF!</f>
        <v>#REF!</v>
      </c>
      <c r="I95" s="209">
        <v>44369</v>
      </c>
      <c r="J95" s="210"/>
      <c r="K95" s="210" t="e">
        <f>#REF!</f>
        <v>#REF!</v>
      </c>
      <c r="L95" s="210">
        <v>44364</v>
      </c>
      <c r="M95" s="210"/>
      <c r="N95" s="210">
        <f>'Danh sách máy'!F90</f>
        <v>0</v>
      </c>
      <c r="O95" s="211" t="str" cm="1">
        <f t="array" ref="O95">IF(L95&lt;&gt;0,IF(L95&lt;I95,"OK","NG"),Blank)</f>
        <v>OK</v>
      </c>
      <c r="P95" s="211" t="e" cm="1">
        <f t="array" ref="P95">IF(M95&lt;&gt;0,IF(M95&lt;J95,"OK","NG"),Blank)</f>
        <v>#NAME?</v>
      </c>
      <c r="Q95" s="211" t="e" cm="1">
        <f t="array" ref="Q95">IF(H95&lt;&gt;"Stop",IF(N95&lt;&gt;0,IF(N95&lt;=K95,"OK","NG"),Blank),"-")</f>
        <v>#REF!</v>
      </c>
      <c r="R95" s="326" t="e" cm="1">
        <f t="array" ref="R95">IF(H95&lt;&gt;"Stop",IF(E95&lt;&gt;0,IF(E95&lt;=K95,"OK","NG"),Blank),"-")</f>
        <v>#REF!</v>
      </c>
      <c r="S95" s="22"/>
      <c r="T95" s="221"/>
      <c r="U95"/>
    </row>
    <row r="96" spans="1:21" ht="30" hidden="1" x14ac:dyDescent="0.3">
      <c r="A96" s="318" t="e">
        <f>#REF!</f>
        <v>#REF!</v>
      </c>
      <c r="B96" s="305" t="e">
        <f>#REF!</f>
        <v>#REF!</v>
      </c>
      <c r="C96" s="305" t="str">
        <f>'Danh sách máy'!C91</f>
        <v>MKVC</v>
      </c>
      <c r="D96" s="90" t="e">
        <f>#REF!</f>
        <v>#REF!</v>
      </c>
      <c r="E96" s="97">
        <f>'Danh sách máy'!E91</f>
        <v>0</v>
      </c>
      <c r="F96" s="206" t="e">
        <f>#REF!</f>
        <v>#REF!</v>
      </c>
      <c r="G96" s="102" t="e">
        <f>#REF!</f>
        <v>#REF!</v>
      </c>
      <c r="H96" s="102" t="e">
        <f>#REF!</f>
        <v>#REF!</v>
      </c>
      <c r="I96" s="209">
        <v>44370</v>
      </c>
      <c r="J96" s="210"/>
      <c r="K96" s="210" t="e">
        <f>#REF!</f>
        <v>#REF!</v>
      </c>
      <c r="L96" s="210">
        <v>44365</v>
      </c>
      <c r="M96" s="210"/>
      <c r="N96" s="210">
        <f>'Danh sách máy'!F91</f>
        <v>0</v>
      </c>
      <c r="O96" s="211" t="str" cm="1">
        <f t="array" ref="O96">IF(L96&lt;&gt;0,IF(L96&lt;I96,"OK","NG"),Blank)</f>
        <v>OK</v>
      </c>
      <c r="P96" s="211" t="e" cm="1">
        <f t="array" ref="P96">IF(M96&lt;&gt;0,IF(M96&lt;J96,"OK","NG"),Blank)</f>
        <v>#NAME?</v>
      </c>
      <c r="Q96" s="211" t="e" cm="1">
        <f t="array" ref="Q96">IF(H96&lt;&gt;"Stop",IF(N96&lt;&gt;0,IF(N96&lt;=K96,"OK","NG"),Blank),"-")</f>
        <v>#REF!</v>
      </c>
      <c r="R96" s="326" t="e" cm="1">
        <f t="array" ref="R96">IF(H96&lt;&gt;"Stop",IF(E96&lt;&gt;0,IF(E96&lt;=K96,"OK","NG"),Blank),"-")</f>
        <v>#REF!</v>
      </c>
      <c r="S96" s="22"/>
      <c r="T96" s="221"/>
      <c r="U96"/>
    </row>
    <row r="97" spans="1:21" ht="30" hidden="1" x14ac:dyDescent="0.3">
      <c r="A97" s="318" t="e">
        <f>#REF!</f>
        <v>#REF!</v>
      </c>
      <c r="B97" s="305" t="e">
        <f>#REF!</f>
        <v>#REF!</v>
      </c>
      <c r="C97" s="305" t="str">
        <f>'Danh sách máy'!C92</f>
        <v>MKVC</v>
      </c>
      <c r="D97" s="90" t="e">
        <f>#REF!</f>
        <v>#REF!</v>
      </c>
      <c r="E97" s="97">
        <f>'Danh sách máy'!E92</f>
        <v>0</v>
      </c>
      <c r="F97" s="206" t="e">
        <f>#REF!</f>
        <v>#REF!</v>
      </c>
      <c r="G97" s="102" t="e">
        <f>#REF!</f>
        <v>#REF!</v>
      </c>
      <c r="H97" s="102" t="e">
        <f>#REF!</f>
        <v>#REF!</v>
      </c>
      <c r="I97" s="209">
        <v>44371</v>
      </c>
      <c r="J97" s="210"/>
      <c r="K97" s="210" t="e">
        <f>#REF!</f>
        <v>#REF!</v>
      </c>
      <c r="L97" s="210">
        <v>44366</v>
      </c>
      <c r="M97" s="210"/>
      <c r="N97" s="210">
        <f>'Danh sách máy'!F92</f>
        <v>0</v>
      </c>
      <c r="O97" s="211" t="str" cm="1">
        <f t="array" ref="O97">IF(L97&lt;&gt;0,IF(L97&lt;I97,"OK","NG"),Blank)</f>
        <v>OK</v>
      </c>
      <c r="P97" s="211" t="e" cm="1">
        <f t="array" ref="P97">IF(M97&lt;&gt;0,IF(M97&lt;J97,"OK","NG"),Blank)</f>
        <v>#NAME?</v>
      </c>
      <c r="Q97" s="211" t="e" cm="1">
        <f t="array" ref="Q97">IF(H97&lt;&gt;"Stop",IF(N97&lt;&gt;0,IF(N97&lt;=K97,"OK","NG"),Blank),"-")</f>
        <v>#REF!</v>
      </c>
      <c r="R97" s="326" t="e" cm="1">
        <f t="array" ref="R97">IF(H97&lt;&gt;"Stop",IF(E97&lt;&gt;0,IF(E97&lt;=K97,"OK","NG"),Blank),"-")</f>
        <v>#REF!</v>
      </c>
      <c r="S97" s="22"/>
      <c r="T97" s="221"/>
      <c r="U97"/>
    </row>
    <row r="98" spans="1:21" ht="30" hidden="1" x14ac:dyDescent="0.3">
      <c r="A98" s="318" t="e">
        <f>#REF!</f>
        <v>#REF!</v>
      </c>
      <c r="B98" s="305" t="e">
        <f>#REF!</f>
        <v>#REF!</v>
      </c>
      <c r="C98" s="305" t="str">
        <f>'Danh sách máy'!C93</f>
        <v>MKVC</v>
      </c>
      <c r="D98" s="90" t="e">
        <f>#REF!</f>
        <v>#REF!</v>
      </c>
      <c r="E98" s="97">
        <f>'Danh sách máy'!E93</f>
        <v>0</v>
      </c>
      <c r="F98" s="206" t="e">
        <f>#REF!</f>
        <v>#REF!</v>
      </c>
      <c r="G98" s="102" t="e">
        <f>#REF!</f>
        <v>#REF!</v>
      </c>
      <c r="H98" s="102" t="e">
        <f>#REF!</f>
        <v>#REF!</v>
      </c>
      <c r="I98" s="209">
        <v>44372</v>
      </c>
      <c r="J98" s="210"/>
      <c r="K98" s="210" t="e">
        <f>#REF!</f>
        <v>#REF!</v>
      </c>
      <c r="L98" s="210">
        <v>44367</v>
      </c>
      <c r="M98" s="210"/>
      <c r="N98" s="210">
        <f>'Danh sách máy'!F93</f>
        <v>0</v>
      </c>
      <c r="O98" s="211" t="str" cm="1">
        <f t="array" ref="O98">IF(L98&lt;&gt;0,IF(L98&lt;I98,"OK","NG"),Blank)</f>
        <v>OK</v>
      </c>
      <c r="P98" s="211" t="e" cm="1">
        <f t="array" ref="P98">IF(M98&lt;&gt;0,IF(M98&lt;J98,"OK","NG"),Blank)</f>
        <v>#NAME?</v>
      </c>
      <c r="Q98" s="211" t="e" cm="1">
        <f t="array" ref="Q98">IF(H98&lt;&gt;"Stop",IF(N98&lt;&gt;0,IF(N98&lt;=K98,"OK","NG"),Blank),"-")</f>
        <v>#REF!</v>
      </c>
      <c r="R98" s="326" t="e" cm="1">
        <f t="array" ref="R98">IF(H98&lt;&gt;"Stop",IF(E98&lt;&gt;0,IF(E98&lt;=K98,"OK","NG"),Blank),"-")</f>
        <v>#REF!</v>
      </c>
      <c r="S98" s="22"/>
      <c r="T98" s="221"/>
      <c r="U98"/>
    </row>
    <row r="99" spans="1:21" ht="30" hidden="1" x14ac:dyDescent="0.3">
      <c r="A99" s="318" t="e">
        <f>#REF!</f>
        <v>#REF!</v>
      </c>
      <c r="B99" s="305" t="e">
        <f>#REF!</f>
        <v>#REF!</v>
      </c>
      <c r="C99" s="305" t="str">
        <f>'Danh sách máy'!C94</f>
        <v>MKVC</v>
      </c>
      <c r="D99" s="90" t="e">
        <f>#REF!</f>
        <v>#REF!</v>
      </c>
      <c r="E99" s="97">
        <f>'Danh sách máy'!E94</f>
        <v>0</v>
      </c>
      <c r="F99" s="206" t="e">
        <f>#REF!</f>
        <v>#REF!</v>
      </c>
      <c r="G99" s="102" t="e">
        <f>#REF!</f>
        <v>#REF!</v>
      </c>
      <c r="H99" s="102" t="e">
        <f>#REF!</f>
        <v>#REF!</v>
      </c>
      <c r="I99" s="209">
        <v>44373</v>
      </c>
      <c r="J99" s="210"/>
      <c r="K99" s="210" t="e">
        <f>#REF!</f>
        <v>#REF!</v>
      </c>
      <c r="L99" s="210">
        <v>44368</v>
      </c>
      <c r="M99" s="210"/>
      <c r="N99" s="210">
        <f>'Danh sách máy'!F94</f>
        <v>0</v>
      </c>
      <c r="O99" s="211" t="str" cm="1">
        <f t="array" ref="O99">IF(L99&lt;&gt;0,IF(L99&lt;I99,"OK","NG"),Blank)</f>
        <v>OK</v>
      </c>
      <c r="P99" s="211" t="e" cm="1">
        <f t="array" ref="P99">IF(M99&lt;&gt;0,IF(M99&lt;J99,"OK","NG"),Blank)</f>
        <v>#NAME?</v>
      </c>
      <c r="Q99" s="211" t="e" cm="1">
        <f t="array" ref="Q99">IF(H99&lt;&gt;"Stop",IF(N99&lt;&gt;0,IF(N99&lt;=K99,"OK","NG"),Blank),"-")</f>
        <v>#REF!</v>
      </c>
      <c r="R99" s="326" t="e" cm="1">
        <f t="array" ref="R99">IF(H99&lt;&gt;"Stop",IF(E99&lt;&gt;0,IF(E99&lt;=K99,"OK","NG"),Blank),"-")</f>
        <v>#REF!</v>
      </c>
      <c r="S99" s="22"/>
      <c r="T99" s="221"/>
      <c r="U99"/>
    </row>
    <row r="100" spans="1:21" ht="30" hidden="1" x14ac:dyDescent="0.3">
      <c r="A100" s="318" t="e">
        <f>#REF!</f>
        <v>#REF!</v>
      </c>
      <c r="B100" s="305" t="e">
        <f>#REF!</f>
        <v>#REF!</v>
      </c>
      <c r="C100" s="305" t="str">
        <f>'Danh sách máy'!C95</f>
        <v>MKVC</v>
      </c>
      <c r="D100" s="90" t="e">
        <f>#REF!</f>
        <v>#REF!</v>
      </c>
      <c r="E100" s="97">
        <f>'Danh sách máy'!E95</f>
        <v>0</v>
      </c>
      <c r="F100" s="206" t="e">
        <f>#REF!</f>
        <v>#REF!</v>
      </c>
      <c r="G100" s="102" t="e">
        <f>#REF!</f>
        <v>#REF!</v>
      </c>
      <c r="H100" s="102" t="e">
        <f>#REF!</f>
        <v>#REF!</v>
      </c>
      <c r="I100" s="209">
        <v>44374</v>
      </c>
      <c r="J100" s="210"/>
      <c r="K100" s="210" t="e">
        <f>#REF!</f>
        <v>#REF!</v>
      </c>
      <c r="L100" s="210">
        <v>44369</v>
      </c>
      <c r="M100" s="210"/>
      <c r="N100" s="210">
        <f>'Danh sách máy'!F95</f>
        <v>0</v>
      </c>
      <c r="O100" s="211" t="str" cm="1">
        <f t="array" ref="O100">IF(L100&lt;&gt;0,IF(L100&lt;I100,"OK","NG"),Blank)</f>
        <v>OK</v>
      </c>
      <c r="P100" s="211" t="e" cm="1">
        <f t="array" ref="P100">IF(M100&lt;&gt;0,IF(M100&lt;J100,"OK","NG"),Blank)</f>
        <v>#NAME?</v>
      </c>
      <c r="Q100" s="211" t="e" cm="1">
        <f t="array" ref="Q100">IF(H100&lt;&gt;"Stop",IF(N100&lt;&gt;0,IF(N100&lt;=K100,"OK","NG"),Blank),"-")</f>
        <v>#REF!</v>
      </c>
      <c r="R100" s="326" t="e" cm="1">
        <f t="array" ref="R100">IF(H100&lt;&gt;"Stop",IF(E100&lt;&gt;0,IF(E100&lt;=K100,"OK","NG"),Blank),"-")</f>
        <v>#REF!</v>
      </c>
      <c r="S100" s="22"/>
      <c r="T100" s="221"/>
      <c r="U100"/>
    </row>
    <row r="101" spans="1:21" ht="30" hidden="1" x14ac:dyDescent="0.3">
      <c r="A101" s="318" t="e">
        <f>#REF!</f>
        <v>#REF!</v>
      </c>
      <c r="B101" s="305" t="e">
        <f>#REF!</f>
        <v>#REF!</v>
      </c>
      <c r="C101" s="305" t="str">
        <f>'Danh sách máy'!C96</f>
        <v>MKVC</v>
      </c>
      <c r="D101" s="90" t="e">
        <f>#REF!</f>
        <v>#REF!</v>
      </c>
      <c r="E101" s="97">
        <f>'Danh sách máy'!E96</f>
        <v>0</v>
      </c>
      <c r="F101" s="206" t="e">
        <f>#REF!</f>
        <v>#REF!</v>
      </c>
      <c r="G101" s="102" t="e">
        <f>#REF!</f>
        <v>#REF!</v>
      </c>
      <c r="H101" s="102" t="e">
        <f>#REF!</f>
        <v>#REF!</v>
      </c>
      <c r="I101" s="209">
        <v>44375</v>
      </c>
      <c r="J101" s="210"/>
      <c r="K101" s="210" t="e">
        <f>#REF!</f>
        <v>#REF!</v>
      </c>
      <c r="L101" s="210">
        <v>44370</v>
      </c>
      <c r="M101" s="210"/>
      <c r="N101" s="210">
        <f>'Danh sách máy'!F96</f>
        <v>0</v>
      </c>
      <c r="O101" s="211" t="str" cm="1">
        <f t="array" ref="O101">IF(L101&lt;&gt;0,IF(L101&lt;I101,"OK","NG"),Blank)</f>
        <v>OK</v>
      </c>
      <c r="P101" s="211" t="e" cm="1">
        <f t="array" ref="P101">IF(M101&lt;&gt;0,IF(M101&lt;J101,"OK","NG"),Blank)</f>
        <v>#NAME?</v>
      </c>
      <c r="Q101" s="211" t="e" cm="1">
        <f t="array" ref="Q101">IF(H101&lt;&gt;"Stop",IF(N101&lt;&gt;0,IF(N101&lt;=K101,"OK","NG"),Blank),"-")</f>
        <v>#REF!</v>
      </c>
      <c r="R101" s="326" t="e" cm="1">
        <f t="array" ref="R101">IF(H101&lt;&gt;"Stop",IF(E101&lt;&gt;0,IF(E101&lt;=K101,"OK","NG"),Blank),"-")</f>
        <v>#REF!</v>
      </c>
      <c r="S101" s="22"/>
      <c r="T101" s="221"/>
      <c r="U101"/>
    </row>
    <row r="102" spans="1:21" ht="30" hidden="1" x14ac:dyDescent="0.3">
      <c r="A102" s="318" t="e">
        <f>#REF!</f>
        <v>#REF!</v>
      </c>
      <c r="B102" s="305" t="e">
        <f>#REF!</f>
        <v>#REF!</v>
      </c>
      <c r="C102" s="305" t="str">
        <f>'Danh sách máy'!C97</f>
        <v>MKVC</v>
      </c>
      <c r="D102" s="90" t="e">
        <f>#REF!</f>
        <v>#REF!</v>
      </c>
      <c r="E102" s="97">
        <f>'Danh sách máy'!E97</f>
        <v>0</v>
      </c>
      <c r="F102" s="206" t="e">
        <f>#REF!</f>
        <v>#REF!</v>
      </c>
      <c r="G102" s="102" t="e">
        <f>#REF!</f>
        <v>#REF!</v>
      </c>
      <c r="H102" s="102" t="e">
        <f>#REF!</f>
        <v>#REF!</v>
      </c>
      <c r="I102" s="209">
        <v>44376</v>
      </c>
      <c r="J102" s="210"/>
      <c r="K102" s="210" t="e">
        <f>#REF!</f>
        <v>#REF!</v>
      </c>
      <c r="L102" s="210">
        <v>44371</v>
      </c>
      <c r="M102" s="210"/>
      <c r="N102" s="210">
        <f>'Danh sách máy'!F97</f>
        <v>0</v>
      </c>
      <c r="O102" s="211" t="str" cm="1">
        <f t="array" ref="O102">IF(L102&lt;&gt;0,IF(L102&lt;I102,"OK","NG"),Blank)</f>
        <v>OK</v>
      </c>
      <c r="P102" s="211" t="e" cm="1">
        <f t="array" ref="P102">IF(M102&lt;&gt;0,IF(M102&lt;J102,"OK","NG"),Blank)</f>
        <v>#NAME?</v>
      </c>
      <c r="Q102" s="211" t="e" cm="1">
        <f t="array" ref="Q102">IF(H102&lt;&gt;"Stop",IF(N102&lt;&gt;0,IF(N102&lt;=K102,"OK","NG"),Blank),"-")</f>
        <v>#REF!</v>
      </c>
      <c r="R102" s="326" t="e" cm="1">
        <f t="array" ref="R102">IF(H102&lt;&gt;"Stop",IF(E102&lt;&gt;0,IF(E102&lt;=K102,"OK","NG"),Blank),"-")</f>
        <v>#REF!</v>
      </c>
      <c r="S102" s="22"/>
      <c r="T102" s="221"/>
      <c r="U102"/>
    </row>
    <row r="103" spans="1:21" ht="30" hidden="1" x14ac:dyDescent="0.3">
      <c r="A103" s="318" t="e">
        <f>#REF!</f>
        <v>#REF!</v>
      </c>
      <c r="B103" s="305" t="e">
        <f>#REF!</f>
        <v>#REF!</v>
      </c>
      <c r="C103" s="305" t="str">
        <f>'Danh sách máy'!C98</f>
        <v>MKVC</v>
      </c>
      <c r="D103" s="90" t="e">
        <f>#REF!</f>
        <v>#REF!</v>
      </c>
      <c r="E103" s="97">
        <f>'Danh sách máy'!E98</f>
        <v>0</v>
      </c>
      <c r="F103" s="206" t="e">
        <f>#REF!</f>
        <v>#REF!</v>
      </c>
      <c r="G103" s="102" t="e">
        <f>#REF!</f>
        <v>#REF!</v>
      </c>
      <c r="H103" s="102" t="e">
        <f>#REF!</f>
        <v>#REF!</v>
      </c>
      <c r="I103" s="209">
        <v>44377</v>
      </c>
      <c r="J103" s="210"/>
      <c r="K103" s="210" t="e">
        <f>#REF!</f>
        <v>#REF!</v>
      </c>
      <c r="L103" s="210">
        <v>44372</v>
      </c>
      <c r="M103" s="210"/>
      <c r="N103" s="210">
        <f>'Danh sách máy'!F98</f>
        <v>0</v>
      </c>
      <c r="O103" s="211" t="str" cm="1">
        <f t="array" ref="O103">IF(L103&lt;&gt;0,IF(L103&lt;I103,"OK","NG"),Blank)</f>
        <v>OK</v>
      </c>
      <c r="P103" s="211" t="e" cm="1">
        <f t="array" ref="P103">IF(M103&lt;&gt;0,IF(M103&lt;J103,"OK","NG"),Blank)</f>
        <v>#NAME?</v>
      </c>
      <c r="Q103" s="211" t="e" cm="1">
        <f t="array" ref="Q103">IF(H103&lt;&gt;"Stop",IF(N103&lt;&gt;0,IF(N103&lt;=K103,"OK","NG"),Blank),"-")</f>
        <v>#REF!</v>
      </c>
      <c r="R103" s="326" t="e" cm="1">
        <f t="array" ref="R103">IF(H103&lt;&gt;"Stop",IF(E103&lt;&gt;0,IF(E103&lt;=K103,"OK","NG"),Blank),"-")</f>
        <v>#REF!</v>
      </c>
      <c r="S103" s="22"/>
      <c r="T103" s="221"/>
      <c r="U103"/>
    </row>
    <row r="104" spans="1:21" ht="30" hidden="1" x14ac:dyDescent="0.3">
      <c r="A104" s="318" t="e">
        <f>#REF!</f>
        <v>#REF!</v>
      </c>
      <c r="B104" s="305" t="e">
        <f>#REF!</f>
        <v>#REF!</v>
      </c>
      <c r="C104" s="305" t="str">
        <f>'Danh sách máy'!C99</f>
        <v>MKVC</v>
      </c>
      <c r="D104" s="90" t="e">
        <f>#REF!</f>
        <v>#REF!</v>
      </c>
      <c r="E104" s="97">
        <f>'Danh sách máy'!E99</f>
        <v>0</v>
      </c>
      <c r="F104" s="206" t="e">
        <f>#REF!</f>
        <v>#REF!</v>
      </c>
      <c r="G104" s="102" t="e">
        <f>#REF!</f>
        <v>#REF!</v>
      </c>
      <c r="H104" s="102" t="e">
        <f>#REF!</f>
        <v>#REF!</v>
      </c>
      <c r="I104" s="209">
        <v>44378</v>
      </c>
      <c r="J104" s="210"/>
      <c r="K104" s="210" t="e">
        <f>#REF!</f>
        <v>#REF!</v>
      </c>
      <c r="L104" s="210">
        <v>44373</v>
      </c>
      <c r="M104" s="210"/>
      <c r="N104" s="210">
        <f>'Danh sách máy'!F99</f>
        <v>0</v>
      </c>
      <c r="O104" s="211" t="str" cm="1">
        <f t="array" ref="O104">IF(L104&lt;&gt;0,IF(L104&lt;I104,"OK","NG"),Blank)</f>
        <v>OK</v>
      </c>
      <c r="P104" s="211" t="e" cm="1">
        <f t="array" ref="P104">IF(M104&lt;&gt;0,IF(M104&lt;J104,"OK","NG"),Blank)</f>
        <v>#NAME?</v>
      </c>
      <c r="Q104" s="211" t="e" cm="1">
        <f t="array" ref="Q104">IF(H104&lt;&gt;"Stop",IF(N104&lt;&gt;0,IF(N104&lt;=K104,"OK","NG"),Blank),"-")</f>
        <v>#REF!</v>
      </c>
      <c r="R104" s="326" t="e" cm="1">
        <f t="array" ref="R104">IF(H104&lt;&gt;"Stop",IF(E104&lt;&gt;0,IF(E104&lt;=K104,"OK","NG"),Blank),"-")</f>
        <v>#REF!</v>
      </c>
      <c r="S104" s="22"/>
      <c r="T104" s="221"/>
      <c r="U104"/>
    </row>
    <row r="105" spans="1:21" ht="30" hidden="1" x14ac:dyDescent="0.3">
      <c r="A105" s="318" t="e">
        <f>#REF!</f>
        <v>#REF!</v>
      </c>
      <c r="B105" s="305" t="e">
        <f>#REF!</f>
        <v>#REF!</v>
      </c>
      <c r="C105" s="305" t="str">
        <f>'Danh sách máy'!C100</f>
        <v>MKVC</v>
      </c>
      <c r="D105" s="90" t="e">
        <f>#REF!</f>
        <v>#REF!</v>
      </c>
      <c r="E105" s="97">
        <f>'Danh sách máy'!E100</f>
        <v>0</v>
      </c>
      <c r="F105" s="206" t="e">
        <f>#REF!</f>
        <v>#REF!</v>
      </c>
      <c r="G105" s="102" t="e">
        <f>#REF!</f>
        <v>#REF!</v>
      </c>
      <c r="H105" s="102" t="e">
        <f>#REF!</f>
        <v>#REF!</v>
      </c>
      <c r="I105" s="209">
        <v>44379</v>
      </c>
      <c r="J105" s="210"/>
      <c r="K105" s="210" t="e">
        <f>#REF!</f>
        <v>#REF!</v>
      </c>
      <c r="L105" s="210">
        <v>44374</v>
      </c>
      <c r="M105" s="210"/>
      <c r="N105" s="210">
        <f>'Danh sách máy'!F100</f>
        <v>0</v>
      </c>
      <c r="O105" s="211" t="str" cm="1">
        <f t="array" ref="O105">IF(L105&lt;&gt;0,IF(L105&lt;I105,"OK","NG"),Blank)</f>
        <v>OK</v>
      </c>
      <c r="P105" s="211" t="e" cm="1">
        <f t="array" ref="P105">IF(M105&lt;&gt;0,IF(M105&lt;J105,"OK","NG"),Blank)</f>
        <v>#NAME?</v>
      </c>
      <c r="Q105" s="211" t="e" cm="1">
        <f t="array" ref="Q105">IF(H105&lt;&gt;"Stop",IF(N105&lt;&gt;0,IF(N105&lt;=K105,"OK","NG"),Blank),"-")</f>
        <v>#REF!</v>
      </c>
      <c r="R105" s="326" t="e" cm="1">
        <f t="array" ref="R105">IF(H105&lt;&gt;"Stop",IF(E105&lt;&gt;0,IF(E105&lt;=K105,"OK","NG"),Blank),"-")</f>
        <v>#REF!</v>
      </c>
      <c r="S105" s="22"/>
      <c r="T105" s="221"/>
      <c r="U105"/>
    </row>
    <row r="106" spans="1:21" ht="30" hidden="1" x14ac:dyDescent="0.3">
      <c r="A106" s="318" t="e">
        <f>#REF!</f>
        <v>#REF!</v>
      </c>
      <c r="B106" s="305" t="e">
        <f>#REF!</f>
        <v>#REF!</v>
      </c>
      <c r="C106" s="305" t="str">
        <f>'Danh sách máy'!C101</f>
        <v>MKVC</v>
      </c>
      <c r="D106" s="90" t="e">
        <f>#REF!</f>
        <v>#REF!</v>
      </c>
      <c r="E106" s="97">
        <f>'Danh sách máy'!E101</f>
        <v>0</v>
      </c>
      <c r="F106" s="206" t="e">
        <f>#REF!</f>
        <v>#REF!</v>
      </c>
      <c r="G106" s="102" t="e">
        <f>#REF!</f>
        <v>#REF!</v>
      </c>
      <c r="H106" s="102" t="e">
        <f>#REF!</f>
        <v>#REF!</v>
      </c>
      <c r="I106" s="209">
        <v>44380</v>
      </c>
      <c r="J106" s="210"/>
      <c r="K106" s="210" t="e">
        <f>#REF!</f>
        <v>#REF!</v>
      </c>
      <c r="L106" s="210">
        <v>44375</v>
      </c>
      <c r="M106" s="210"/>
      <c r="N106" s="210">
        <f>'Danh sách máy'!F101</f>
        <v>0</v>
      </c>
      <c r="O106" s="211" t="str" cm="1">
        <f t="array" ref="O106">IF(L106&lt;&gt;0,IF(L106&lt;I106,"OK","NG"),Blank)</f>
        <v>OK</v>
      </c>
      <c r="P106" s="211" t="e" cm="1">
        <f t="array" ref="P106">IF(M106&lt;&gt;0,IF(M106&lt;J106,"OK","NG"),Blank)</f>
        <v>#NAME?</v>
      </c>
      <c r="Q106" s="211" t="e" cm="1">
        <f t="array" ref="Q106">IF(H106&lt;&gt;"Stop",IF(N106&lt;&gt;0,IF(N106&lt;=K106,"OK","NG"),Blank),"-")</f>
        <v>#REF!</v>
      </c>
      <c r="R106" s="326" t="e" cm="1">
        <f t="array" ref="R106">IF(H106&lt;&gt;"Stop",IF(E106&lt;&gt;0,IF(E106&lt;=K106,"OK","NG"),Blank),"-")</f>
        <v>#REF!</v>
      </c>
      <c r="S106" s="22"/>
      <c r="T106" s="221"/>
      <c r="U106"/>
    </row>
    <row r="107" spans="1:21" ht="30" hidden="1" x14ac:dyDescent="0.3">
      <c r="A107" s="318" t="e">
        <f>#REF!</f>
        <v>#REF!</v>
      </c>
      <c r="B107" s="305" t="e">
        <f>#REF!</f>
        <v>#REF!</v>
      </c>
      <c r="C107" s="305" t="str">
        <f>'Danh sách máy'!C102</f>
        <v>MKVC</v>
      </c>
      <c r="D107" s="90" t="e">
        <f>#REF!</f>
        <v>#REF!</v>
      </c>
      <c r="E107" s="97">
        <f>'Danh sách máy'!E102</f>
        <v>0</v>
      </c>
      <c r="F107" s="206" t="e">
        <f>#REF!</f>
        <v>#REF!</v>
      </c>
      <c r="G107" s="102" t="e">
        <f>#REF!</f>
        <v>#REF!</v>
      </c>
      <c r="H107" s="102" t="e">
        <f>#REF!</f>
        <v>#REF!</v>
      </c>
      <c r="I107" s="209">
        <v>44381</v>
      </c>
      <c r="J107" s="210"/>
      <c r="K107" s="210" t="e">
        <f>#REF!</f>
        <v>#REF!</v>
      </c>
      <c r="L107" s="210">
        <v>44376</v>
      </c>
      <c r="M107" s="210"/>
      <c r="N107" s="210">
        <f>'Danh sách máy'!F102</f>
        <v>0</v>
      </c>
      <c r="O107" s="211" t="str" cm="1">
        <f t="array" ref="O107">IF(L107&lt;&gt;0,IF(L107&lt;I107,"OK","NG"),Blank)</f>
        <v>OK</v>
      </c>
      <c r="P107" s="211" t="e" cm="1">
        <f t="array" ref="P107">IF(M107&lt;&gt;0,IF(M107&lt;J107,"OK","NG"),Blank)</f>
        <v>#NAME?</v>
      </c>
      <c r="Q107" s="211" t="e" cm="1">
        <f t="array" ref="Q107">IF(H107&lt;&gt;"Stop",IF(N107&lt;&gt;0,IF(N107&lt;=K107,"OK","NG"),Blank),"-")</f>
        <v>#REF!</v>
      </c>
      <c r="R107" s="326" t="e" cm="1">
        <f t="array" ref="R107">IF(H107&lt;&gt;"Stop",IF(E107&lt;&gt;0,IF(E107&lt;=K107,"OK","NG"),Blank),"-")</f>
        <v>#REF!</v>
      </c>
      <c r="S107" s="22"/>
      <c r="T107" s="221"/>
      <c r="U107"/>
    </row>
    <row r="108" spans="1:21" ht="15" hidden="1" x14ac:dyDescent="0.3">
      <c r="A108" s="318" t="e">
        <f>#REF!</f>
        <v>#REF!</v>
      </c>
      <c r="B108" s="305" t="e">
        <f>#REF!</f>
        <v>#REF!</v>
      </c>
      <c r="C108" s="305" t="str">
        <f>'Danh sách máy'!C103</f>
        <v>MKVC</v>
      </c>
      <c r="D108" s="90" t="e">
        <f>#REF!</f>
        <v>#REF!</v>
      </c>
      <c r="E108" s="97">
        <f>'Danh sách máy'!E103</f>
        <v>0</v>
      </c>
      <c r="F108" s="206" t="e">
        <f>#REF!</f>
        <v>#REF!</v>
      </c>
      <c r="G108" s="102" t="e">
        <f>#REF!</f>
        <v>#REF!</v>
      </c>
      <c r="H108" s="102" t="e">
        <f>#REF!</f>
        <v>#REF!</v>
      </c>
      <c r="I108" s="209">
        <v>44382</v>
      </c>
      <c r="J108" s="210"/>
      <c r="K108" s="210" t="e">
        <f>#REF!</f>
        <v>#REF!</v>
      </c>
      <c r="L108" s="210">
        <v>44377</v>
      </c>
      <c r="M108" s="210"/>
      <c r="N108" s="210">
        <f>'Danh sách máy'!F103</f>
        <v>0</v>
      </c>
      <c r="O108" s="211" t="str" cm="1">
        <f t="array" ref="O108">IF(L108&lt;&gt;0,IF(L108&lt;I108,"OK","NG"),Blank)</f>
        <v>OK</v>
      </c>
      <c r="P108" s="211" t="e" cm="1">
        <f t="array" ref="P108">IF(M108&lt;&gt;0,IF(M108&lt;J108,"OK","NG"),Blank)</f>
        <v>#NAME?</v>
      </c>
      <c r="Q108" s="211" t="e" cm="1">
        <f t="array" ref="Q108">IF(H108&lt;&gt;"Stop",IF(N108&lt;&gt;0,IF(N108&lt;=K108,"OK","NG"),Blank),"-")</f>
        <v>#REF!</v>
      </c>
      <c r="R108" s="326" t="e" cm="1">
        <f t="array" ref="R108">IF(H108&lt;&gt;"Stop",IF(E108&lt;&gt;0,IF(E108&lt;=K108,"OK","NG"),Blank),"-")</f>
        <v>#REF!</v>
      </c>
      <c r="S108" s="22"/>
      <c r="T108" s="221"/>
      <c r="U108"/>
    </row>
    <row r="109" spans="1:21" ht="30" hidden="1" x14ac:dyDescent="0.3">
      <c r="A109" s="318" t="e">
        <f>#REF!</f>
        <v>#REF!</v>
      </c>
      <c r="B109" s="305" t="e">
        <f>#REF!</f>
        <v>#REF!</v>
      </c>
      <c r="C109" s="305" t="str">
        <f>'Danh sách máy'!C104</f>
        <v>MKVC</v>
      </c>
      <c r="D109" s="90" t="e">
        <f>#REF!</f>
        <v>#REF!</v>
      </c>
      <c r="E109" s="97">
        <f>'Danh sách máy'!E104</f>
        <v>0</v>
      </c>
      <c r="F109" s="206" t="e">
        <f>#REF!</f>
        <v>#REF!</v>
      </c>
      <c r="G109" s="102" t="e">
        <f>#REF!</f>
        <v>#REF!</v>
      </c>
      <c r="H109" s="102" t="e">
        <f>#REF!</f>
        <v>#REF!</v>
      </c>
      <c r="I109" s="209">
        <v>44383</v>
      </c>
      <c r="J109" s="210"/>
      <c r="K109" s="210" t="e">
        <f>#REF!</f>
        <v>#REF!</v>
      </c>
      <c r="L109" s="210">
        <v>44378</v>
      </c>
      <c r="M109" s="210"/>
      <c r="N109" s="210">
        <f>'Danh sách máy'!F104</f>
        <v>0</v>
      </c>
      <c r="O109" s="211" t="str" cm="1">
        <f t="array" ref="O109">IF(L109&lt;&gt;0,IF(L109&lt;I109,"OK","NG"),Blank)</f>
        <v>OK</v>
      </c>
      <c r="P109" s="211" t="e" cm="1">
        <f t="array" ref="P109">IF(M109&lt;&gt;0,IF(M109&lt;J109,"OK","NG"),Blank)</f>
        <v>#NAME?</v>
      </c>
      <c r="Q109" s="211" t="e" cm="1">
        <f t="array" ref="Q109">IF(H109&lt;&gt;"Stop",IF(N109&lt;&gt;0,IF(N109&lt;=K109,"OK","NG"),Blank),"-")</f>
        <v>#REF!</v>
      </c>
      <c r="R109" s="326" t="e" cm="1">
        <f t="array" ref="R109">IF(H109&lt;&gt;"Stop",IF(E109&lt;&gt;0,IF(E109&lt;=K109,"OK","NG"),Blank),"-")</f>
        <v>#REF!</v>
      </c>
      <c r="S109" s="22"/>
      <c r="T109" s="221"/>
      <c r="U109"/>
    </row>
    <row r="110" spans="1:21" ht="15" hidden="1" x14ac:dyDescent="0.3">
      <c r="A110" s="318" t="e">
        <f>#REF!</f>
        <v>#REF!</v>
      </c>
      <c r="B110" s="305" t="e">
        <f>#REF!</f>
        <v>#REF!</v>
      </c>
      <c r="C110" s="305" t="str">
        <f>'Danh sách máy'!C105</f>
        <v>MKVC</v>
      </c>
      <c r="D110" s="90" t="e">
        <f>#REF!</f>
        <v>#REF!</v>
      </c>
      <c r="E110" s="97">
        <f>'Danh sách máy'!E105</f>
        <v>0</v>
      </c>
      <c r="F110" s="206" t="e">
        <f>#REF!</f>
        <v>#REF!</v>
      </c>
      <c r="G110" s="102" t="e">
        <f>#REF!</f>
        <v>#REF!</v>
      </c>
      <c r="H110" s="102" t="e">
        <f>#REF!</f>
        <v>#REF!</v>
      </c>
      <c r="I110" s="209">
        <v>44384</v>
      </c>
      <c r="J110" s="210"/>
      <c r="K110" s="210" t="e">
        <f>#REF!</f>
        <v>#REF!</v>
      </c>
      <c r="L110" s="210">
        <v>44379</v>
      </c>
      <c r="M110" s="210"/>
      <c r="N110" s="210">
        <f>'Danh sách máy'!F105</f>
        <v>0</v>
      </c>
      <c r="O110" s="211" t="str" cm="1">
        <f t="array" ref="O110">IF(L110&lt;&gt;0,IF(L110&lt;I110,"OK","NG"),Blank)</f>
        <v>OK</v>
      </c>
      <c r="P110" s="211" t="e" cm="1">
        <f t="array" ref="P110">IF(M110&lt;&gt;0,IF(M110&lt;J110,"OK","NG"),Blank)</f>
        <v>#NAME?</v>
      </c>
      <c r="Q110" s="211" t="e" cm="1">
        <f t="array" ref="Q110">IF(H110&lt;&gt;"Stop",IF(N110&lt;&gt;0,IF(N110&lt;=K110,"OK","NG"),Blank),"-")</f>
        <v>#REF!</v>
      </c>
      <c r="R110" s="326" t="e" cm="1">
        <f t="array" ref="R110">IF(H110&lt;&gt;"Stop",IF(E110&lt;&gt;0,IF(E110&lt;=K110,"OK","NG"),Blank),"-")</f>
        <v>#REF!</v>
      </c>
      <c r="S110" s="22"/>
      <c r="T110" s="221"/>
      <c r="U110"/>
    </row>
    <row r="111" spans="1:21" ht="15" hidden="1" x14ac:dyDescent="0.3">
      <c r="A111" s="318" t="e">
        <f>#REF!</f>
        <v>#REF!</v>
      </c>
      <c r="B111" s="305" t="e">
        <f>#REF!</f>
        <v>#REF!</v>
      </c>
      <c r="C111" s="305" t="str">
        <f>'Danh sách máy'!C106</f>
        <v>MKVC</v>
      </c>
      <c r="D111" s="90" t="e">
        <f>#REF!</f>
        <v>#REF!</v>
      </c>
      <c r="E111" s="97">
        <f>'Danh sách máy'!E106</f>
        <v>0</v>
      </c>
      <c r="F111" s="206" t="e">
        <f>#REF!</f>
        <v>#REF!</v>
      </c>
      <c r="G111" s="102" t="e">
        <f>#REF!</f>
        <v>#REF!</v>
      </c>
      <c r="H111" s="102" t="e">
        <f>#REF!</f>
        <v>#REF!</v>
      </c>
      <c r="I111" s="209">
        <v>44385</v>
      </c>
      <c r="J111" s="210"/>
      <c r="K111" s="210" t="e">
        <f>#REF!</f>
        <v>#REF!</v>
      </c>
      <c r="L111" s="210">
        <v>44380</v>
      </c>
      <c r="M111" s="210"/>
      <c r="N111" s="210">
        <f>'Danh sách máy'!F106</f>
        <v>0</v>
      </c>
      <c r="O111" s="211" t="str" cm="1">
        <f t="array" ref="O111">IF(L111&lt;&gt;0,IF(L111&lt;I111,"OK","NG"),Blank)</f>
        <v>OK</v>
      </c>
      <c r="P111" s="211" t="e" cm="1">
        <f t="array" ref="P111">IF(M111&lt;&gt;0,IF(M111&lt;J111,"OK","NG"),Blank)</f>
        <v>#NAME?</v>
      </c>
      <c r="Q111" s="211" t="e" cm="1">
        <f t="array" ref="Q111">IF(H111&lt;&gt;"Stop",IF(N111&lt;&gt;0,IF(N111&lt;=K111,"OK","NG"),Blank),"-")</f>
        <v>#REF!</v>
      </c>
      <c r="R111" s="326" t="e" cm="1">
        <f t="array" ref="R111">IF(H111&lt;&gt;"Stop",IF(E111&lt;&gt;0,IF(E111&lt;=K111,"OK","NG"),Blank),"-")</f>
        <v>#REF!</v>
      </c>
      <c r="S111" s="22"/>
      <c r="T111" s="221"/>
      <c r="U111"/>
    </row>
    <row r="112" spans="1:21" ht="15" hidden="1" x14ac:dyDescent="0.3">
      <c r="A112" s="318" t="e">
        <f>#REF!</f>
        <v>#REF!</v>
      </c>
      <c r="B112" s="305" t="e">
        <f>#REF!</f>
        <v>#REF!</v>
      </c>
      <c r="C112" s="305" t="str">
        <f>'Danh sách máy'!C107</f>
        <v>MKVC</v>
      </c>
      <c r="D112" s="90" t="e">
        <f>#REF!</f>
        <v>#REF!</v>
      </c>
      <c r="E112" s="97">
        <f>'Danh sách máy'!E107</f>
        <v>0</v>
      </c>
      <c r="F112" s="206" t="e">
        <f>#REF!</f>
        <v>#REF!</v>
      </c>
      <c r="G112" s="102" t="e">
        <f>#REF!</f>
        <v>#REF!</v>
      </c>
      <c r="H112" s="102" t="e">
        <f>#REF!</f>
        <v>#REF!</v>
      </c>
      <c r="I112" s="209">
        <v>44386</v>
      </c>
      <c r="J112" s="210"/>
      <c r="K112" s="210" t="e">
        <f>#REF!</f>
        <v>#REF!</v>
      </c>
      <c r="L112" s="210">
        <v>44381</v>
      </c>
      <c r="M112" s="210"/>
      <c r="N112" s="210">
        <f>'Danh sách máy'!F107</f>
        <v>0</v>
      </c>
      <c r="O112" s="211" t="str" cm="1">
        <f t="array" ref="O112">IF(L112&lt;&gt;0,IF(L112&lt;I112,"OK","NG"),Blank)</f>
        <v>OK</v>
      </c>
      <c r="P112" s="211" t="e" cm="1">
        <f t="array" ref="P112">IF(M112&lt;&gt;0,IF(M112&lt;J112,"OK","NG"),Blank)</f>
        <v>#NAME?</v>
      </c>
      <c r="Q112" s="211" t="e" cm="1">
        <f t="array" ref="Q112">IF(H112&lt;&gt;"Stop",IF(N112&lt;&gt;0,IF(N112&lt;=K112,"OK","NG"),Blank),"-")</f>
        <v>#REF!</v>
      </c>
      <c r="R112" s="326" t="e" cm="1">
        <f t="array" ref="R112">IF(H112&lt;&gt;"Stop",IF(E112&lt;&gt;0,IF(E112&lt;=K112,"OK","NG"),Blank),"-")</f>
        <v>#REF!</v>
      </c>
      <c r="S112" s="22"/>
      <c r="T112" s="221"/>
      <c r="U112"/>
    </row>
    <row r="113" spans="1:21" ht="30" x14ac:dyDescent="0.3">
      <c r="A113" s="318" t="e">
        <f>#REF!</f>
        <v>#REF!</v>
      </c>
      <c r="B113" s="305" t="e">
        <f>#REF!</f>
        <v>#REF!</v>
      </c>
      <c r="C113" s="305" t="str">
        <f>'Danh sách máy'!C108</f>
        <v>MKVC</v>
      </c>
      <c r="D113" s="90" t="e">
        <f>#REF!</f>
        <v>#REF!</v>
      </c>
      <c r="E113" s="97">
        <f>'Danh sách máy'!E108</f>
        <v>45800</v>
      </c>
      <c r="F113" s="206" t="e">
        <f>#REF!</f>
        <v>#REF!</v>
      </c>
      <c r="G113" s="102" t="e">
        <f>#REF!</f>
        <v>#REF!</v>
      </c>
      <c r="H113" s="102" t="e">
        <f>#REF!</f>
        <v>#REF!</v>
      </c>
      <c r="I113" s="209">
        <v>44387</v>
      </c>
      <c r="J113" s="210"/>
      <c r="K113" s="210" t="e">
        <f>#REF!</f>
        <v>#REF!</v>
      </c>
      <c r="L113" s="210">
        <v>44382</v>
      </c>
      <c r="M113" s="210"/>
      <c r="N113" s="210">
        <f>'Danh sách máy'!F108</f>
        <v>45801</v>
      </c>
      <c r="O113" s="211" t="str" cm="1">
        <f t="array" ref="O113">IF(L113&lt;&gt;0,IF(L113&lt;I113,"OK","NG"),Blank)</f>
        <v>OK</v>
      </c>
      <c r="P113" s="211" t="e" cm="1">
        <f t="array" ref="P113">IF(M113&lt;&gt;0,IF(M113&lt;J113,"OK","NG"),Blank)</f>
        <v>#NAME?</v>
      </c>
      <c r="Q113" s="211" t="e" cm="1">
        <f t="array" ref="Q113">IF(H113&lt;&gt;"Stop",IF(N113&lt;&gt;0,IF(N113&lt;=K113,"OK","NG"),Blank),"-")</f>
        <v>#REF!</v>
      </c>
      <c r="R113" s="326" t="e" cm="1">
        <f t="array" ref="R113">IF(H113&lt;&gt;"Stop",IF(E113&lt;&gt;0,IF(E113&lt;=K113,"OK","NG"),Blank),"-")</f>
        <v>#REF!</v>
      </c>
      <c r="S113" s="22"/>
      <c r="T113" s="221"/>
      <c r="U113"/>
    </row>
    <row r="114" spans="1:21" ht="30" hidden="1" x14ac:dyDescent="0.3">
      <c r="A114" s="318" t="e">
        <f>#REF!</f>
        <v>#REF!</v>
      </c>
      <c r="B114" s="305" t="e">
        <f>#REF!</f>
        <v>#REF!</v>
      </c>
      <c r="C114" s="305" t="str">
        <f>'Danh sách máy'!C109</f>
        <v>MKVC</v>
      </c>
      <c r="D114" s="90" t="e">
        <f>#REF!</f>
        <v>#REF!</v>
      </c>
      <c r="E114" s="97">
        <f>'Danh sách máy'!E109</f>
        <v>0</v>
      </c>
      <c r="F114" s="206" t="e">
        <f>#REF!</f>
        <v>#REF!</v>
      </c>
      <c r="G114" s="102" t="e">
        <f>#REF!</f>
        <v>#REF!</v>
      </c>
      <c r="H114" s="102" t="e">
        <f>#REF!</f>
        <v>#REF!</v>
      </c>
      <c r="I114" s="209">
        <v>44388</v>
      </c>
      <c r="J114" s="210"/>
      <c r="K114" s="210" t="e">
        <f>#REF!</f>
        <v>#REF!</v>
      </c>
      <c r="L114" s="210">
        <v>44383</v>
      </c>
      <c r="M114" s="210"/>
      <c r="N114" s="210">
        <f>'Danh sách máy'!F109</f>
        <v>0</v>
      </c>
      <c r="O114" s="211" t="str" cm="1">
        <f t="array" ref="O114">IF(L114&lt;&gt;0,IF(L114&lt;I114,"OK","NG"),Blank)</f>
        <v>OK</v>
      </c>
      <c r="P114" s="211" t="e" cm="1">
        <f t="array" ref="P114">IF(M114&lt;&gt;0,IF(M114&lt;J114,"OK","NG"),Blank)</f>
        <v>#NAME?</v>
      </c>
      <c r="Q114" s="211" t="e" cm="1">
        <f t="array" ref="Q114">IF(H114&lt;&gt;"Stop",IF(N114&lt;&gt;0,IF(N114&lt;=K114,"OK","NG"),Blank),"-")</f>
        <v>#REF!</v>
      </c>
      <c r="R114" s="326" t="e" cm="1">
        <f t="array" ref="R114">IF(H114&lt;&gt;"Stop",IF(E114&lt;&gt;0,IF(E114&lt;=K114,"OK","NG"),Blank),"-")</f>
        <v>#REF!</v>
      </c>
      <c r="S114" s="22"/>
      <c r="T114" s="221"/>
      <c r="U114"/>
    </row>
    <row r="115" spans="1:21" ht="30" hidden="1" x14ac:dyDescent="0.3">
      <c r="A115" s="318" t="e">
        <f>#REF!</f>
        <v>#REF!</v>
      </c>
      <c r="B115" s="305" t="e">
        <f>#REF!</f>
        <v>#REF!</v>
      </c>
      <c r="C115" s="305" t="str">
        <f>'Danh sách máy'!C110</f>
        <v>TEN</v>
      </c>
      <c r="D115" s="90" t="e">
        <f>#REF!</f>
        <v>#REF!</v>
      </c>
      <c r="E115" s="97">
        <f>'Danh sách máy'!E110</f>
        <v>0</v>
      </c>
      <c r="F115" s="206" t="e">
        <f>#REF!</f>
        <v>#REF!</v>
      </c>
      <c r="G115" s="102" t="e">
        <f>#REF!</f>
        <v>#REF!</v>
      </c>
      <c r="H115" s="102" t="e">
        <f>#REF!</f>
        <v>#REF!</v>
      </c>
      <c r="I115" s="209">
        <v>44389</v>
      </c>
      <c r="J115" s="210"/>
      <c r="K115" s="210" t="e">
        <f>#REF!</f>
        <v>#REF!</v>
      </c>
      <c r="L115" s="210">
        <v>44384</v>
      </c>
      <c r="M115" s="210"/>
      <c r="N115" s="210">
        <f>'Danh sách máy'!F110</f>
        <v>0</v>
      </c>
      <c r="O115" s="211" t="str" cm="1">
        <f t="array" ref="O115">IF(L115&lt;&gt;0,IF(L115&lt;I115,"OK","NG"),Blank)</f>
        <v>OK</v>
      </c>
      <c r="P115" s="211" t="e" cm="1">
        <f t="array" ref="P115">IF(M115&lt;&gt;0,IF(M115&lt;J115,"OK","NG"),Blank)</f>
        <v>#NAME?</v>
      </c>
      <c r="Q115" s="211" t="e" cm="1">
        <f t="array" ref="Q115">IF(H115&lt;&gt;"Stop",IF(N115&lt;&gt;0,IF(N115&lt;=K115,"OK","NG"),Blank),"-")</f>
        <v>#REF!</v>
      </c>
      <c r="R115" s="326" t="e" cm="1">
        <f t="array" ref="R115">IF(H115&lt;&gt;"Stop",IF(E115&lt;&gt;0,IF(E115&lt;=K115,"OK","NG"),Blank),"-")</f>
        <v>#REF!</v>
      </c>
      <c r="S115" s="22"/>
      <c r="T115" s="221"/>
      <c r="U115"/>
    </row>
    <row r="116" spans="1:21" ht="15" hidden="1" x14ac:dyDescent="0.3">
      <c r="A116" s="318" t="e">
        <f>#REF!</f>
        <v>#REF!</v>
      </c>
      <c r="B116" s="305" t="e">
        <f>#REF!</f>
        <v>#REF!</v>
      </c>
      <c r="C116" s="305" t="str">
        <f>'Danh sách máy'!C111</f>
        <v>TEN</v>
      </c>
      <c r="D116" s="90" t="e">
        <f>#REF!</f>
        <v>#REF!</v>
      </c>
      <c r="E116" s="97">
        <f>'Danh sách máy'!E111</f>
        <v>0</v>
      </c>
      <c r="F116" s="206" t="e">
        <f>#REF!</f>
        <v>#REF!</v>
      </c>
      <c r="G116" s="102" t="e">
        <f>#REF!</f>
        <v>#REF!</v>
      </c>
      <c r="H116" s="102" t="e">
        <f>#REF!</f>
        <v>#REF!</v>
      </c>
      <c r="I116" s="209">
        <v>44390</v>
      </c>
      <c r="J116" s="210"/>
      <c r="K116" s="210" t="e">
        <f>#REF!</f>
        <v>#REF!</v>
      </c>
      <c r="L116" s="210">
        <v>44385</v>
      </c>
      <c r="M116" s="210"/>
      <c r="N116" s="210">
        <f>'Danh sách máy'!F111</f>
        <v>0</v>
      </c>
      <c r="O116" s="211" t="str" cm="1">
        <f t="array" ref="O116">IF(L116&lt;&gt;0,IF(L116&lt;I116,"OK","NG"),Blank)</f>
        <v>OK</v>
      </c>
      <c r="P116" s="211" t="e" cm="1">
        <f t="array" ref="P116">IF(M116&lt;&gt;0,IF(M116&lt;J116,"OK","NG"),Blank)</f>
        <v>#NAME?</v>
      </c>
      <c r="Q116" s="211" t="e" cm="1">
        <f t="array" ref="Q116">IF(H116&lt;&gt;"Stop",IF(N116&lt;&gt;0,IF(N116&lt;=K116,"OK","NG"),Blank),"-")</f>
        <v>#REF!</v>
      </c>
      <c r="R116" s="326" t="e" cm="1">
        <f t="array" ref="R116">IF(H116&lt;&gt;"Stop",IF(E116&lt;&gt;0,IF(E116&lt;=K116,"OK","NG"),Blank),"-")</f>
        <v>#REF!</v>
      </c>
      <c r="S116" s="22"/>
      <c r="T116" s="221"/>
      <c r="U116"/>
    </row>
    <row r="117" spans="1:21" ht="15" hidden="1" x14ac:dyDescent="0.3">
      <c r="A117" s="318" t="e">
        <f>#REF!</f>
        <v>#REF!</v>
      </c>
      <c r="B117" s="305" t="e">
        <f>#REF!</f>
        <v>#REF!</v>
      </c>
      <c r="C117" s="305" t="str">
        <f>'Danh sách máy'!C112</f>
        <v>TEN</v>
      </c>
      <c r="D117" s="90" t="e">
        <f>#REF!</f>
        <v>#REF!</v>
      </c>
      <c r="E117" s="97">
        <f>'Danh sách máy'!E112</f>
        <v>0</v>
      </c>
      <c r="F117" s="206" t="e">
        <f>#REF!</f>
        <v>#REF!</v>
      </c>
      <c r="G117" s="102" t="e">
        <f>#REF!</f>
        <v>#REF!</v>
      </c>
      <c r="H117" s="102" t="e">
        <f>#REF!</f>
        <v>#REF!</v>
      </c>
      <c r="I117" s="209">
        <v>44391</v>
      </c>
      <c r="J117" s="210"/>
      <c r="K117" s="210" t="e">
        <f>#REF!</f>
        <v>#REF!</v>
      </c>
      <c r="L117" s="210">
        <v>44386</v>
      </c>
      <c r="M117" s="210"/>
      <c r="N117" s="210">
        <f>'Danh sách máy'!F112</f>
        <v>0</v>
      </c>
      <c r="O117" s="211" t="str" cm="1">
        <f t="array" ref="O117">IF(L117&lt;&gt;0,IF(L117&lt;I117,"OK","NG"),Blank)</f>
        <v>OK</v>
      </c>
      <c r="P117" s="211" t="e" cm="1">
        <f t="array" ref="P117">IF(M117&lt;&gt;0,IF(M117&lt;J117,"OK","NG"),Blank)</f>
        <v>#NAME?</v>
      </c>
      <c r="Q117" s="211" t="e" cm="1">
        <f t="array" ref="Q117">IF(H117&lt;&gt;"Stop",IF(N117&lt;&gt;0,IF(N117&lt;=K117,"OK","NG"),Blank),"-")</f>
        <v>#REF!</v>
      </c>
      <c r="R117" s="326" t="e" cm="1">
        <f t="array" ref="R117">IF(H117&lt;&gt;"Stop",IF(E117&lt;&gt;0,IF(E117&lt;=K117,"OK","NG"),Blank),"-")</f>
        <v>#REF!</v>
      </c>
      <c r="S117" s="22"/>
      <c r="T117" s="221"/>
      <c r="U117"/>
    </row>
    <row r="118" spans="1:21" ht="15" hidden="1" x14ac:dyDescent="0.3">
      <c r="A118" s="318" t="e">
        <f>#REF!</f>
        <v>#REF!</v>
      </c>
      <c r="B118" s="305" t="e">
        <f>#REF!</f>
        <v>#REF!</v>
      </c>
      <c r="C118" s="305" t="str">
        <f>'Danh sách máy'!C113</f>
        <v>TEN</v>
      </c>
      <c r="D118" s="90" t="e">
        <f>#REF!</f>
        <v>#REF!</v>
      </c>
      <c r="E118" s="97">
        <f>'Danh sách máy'!E113</f>
        <v>0</v>
      </c>
      <c r="F118" s="206" t="e">
        <f>#REF!</f>
        <v>#REF!</v>
      </c>
      <c r="G118" s="102" t="e">
        <f>#REF!</f>
        <v>#REF!</v>
      </c>
      <c r="H118" s="102" t="e">
        <f>#REF!</f>
        <v>#REF!</v>
      </c>
      <c r="I118" s="209">
        <v>44392</v>
      </c>
      <c r="J118" s="210"/>
      <c r="K118" s="210" t="e">
        <f>#REF!</f>
        <v>#REF!</v>
      </c>
      <c r="L118" s="210">
        <v>44387</v>
      </c>
      <c r="M118" s="210"/>
      <c r="N118" s="210">
        <f>'Danh sách máy'!F113</f>
        <v>0</v>
      </c>
      <c r="O118" s="211" t="str" cm="1">
        <f t="array" ref="O118">IF(L118&lt;&gt;0,IF(L118&lt;I118,"OK","NG"),Blank)</f>
        <v>OK</v>
      </c>
      <c r="P118" s="211" t="e" cm="1">
        <f t="array" ref="P118">IF(M118&lt;&gt;0,IF(M118&lt;J118,"OK","NG"),Blank)</f>
        <v>#NAME?</v>
      </c>
      <c r="Q118" s="211" t="e" cm="1">
        <f t="array" ref="Q118">IF(H118&lt;&gt;"Stop",IF(N118&lt;&gt;0,IF(N118&lt;=K118,"OK","NG"),Blank),"-")</f>
        <v>#REF!</v>
      </c>
      <c r="R118" s="326" t="e" cm="1">
        <f t="array" ref="R118">IF(H118&lt;&gt;"Stop",IF(E118&lt;&gt;0,IF(E118&lt;=K118,"OK","NG"),Blank),"-")</f>
        <v>#REF!</v>
      </c>
      <c r="S118" s="22"/>
      <c r="T118" s="221"/>
      <c r="U118"/>
    </row>
    <row r="119" spans="1:21" ht="15" hidden="1" x14ac:dyDescent="0.3">
      <c r="A119" s="318" t="e">
        <f>#REF!</f>
        <v>#REF!</v>
      </c>
      <c r="B119" s="305" t="e">
        <f>#REF!</f>
        <v>#REF!</v>
      </c>
      <c r="C119" s="305" t="str">
        <f>'Danh sách máy'!C114</f>
        <v>ISHI</v>
      </c>
      <c r="D119" s="90" t="e">
        <f>#REF!</f>
        <v>#REF!</v>
      </c>
      <c r="E119" s="97">
        <f>'Danh sách máy'!E114</f>
        <v>45442</v>
      </c>
      <c r="F119" s="206" t="e">
        <f>#REF!</f>
        <v>#REF!</v>
      </c>
      <c r="G119" s="102" t="e">
        <f>#REF!</f>
        <v>#REF!</v>
      </c>
      <c r="H119" s="102" t="e">
        <f>#REF!</f>
        <v>#REF!</v>
      </c>
      <c r="I119" s="209">
        <v>44393</v>
      </c>
      <c r="J119" s="210"/>
      <c r="K119" s="210" t="e">
        <f>#REF!</f>
        <v>#REF!</v>
      </c>
      <c r="L119" s="210">
        <v>44388</v>
      </c>
      <c r="M119" s="210"/>
      <c r="N119" s="210">
        <f>'Danh sách máy'!F114</f>
        <v>45442</v>
      </c>
      <c r="O119" s="211" t="str" cm="1">
        <f t="array" ref="O119">IF(L119&lt;&gt;0,IF(L119&lt;I119,"OK","NG"),Blank)</f>
        <v>OK</v>
      </c>
      <c r="P119" s="211" t="e" cm="1">
        <f t="array" ref="P119">IF(M119&lt;&gt;0,IF(M119&lt;J119,"OK","NG"),Blank)</f>
        <v>#NAME?</v>
      </c>
      <c r="Q119" s="211" t="e" cm="1">
        <f t="array" ref="Q119">IF(H119&lt;&gt;"Stop",IF(N119&lt;&gt;0,IF(N119&lt;=K119,"OK","NG"),Blank),"-")</f>
        <v>#REF!</v>
      </c>
      <c r="R119" s="326" t="e" cm="1">
        <f t="array" ref="R119">IF(H119&lt;&gt;"Stop",IF(E119&lt;&gt;0,IF(E119&lt;=K119,"OK","NG"),Blank),"-")</f>
        <v>#REF!</v>
      </c>
      <c r="S119" s="220"/>
      <c r="T119" s="221">
        <v>1</v>
      </c>
      <c r="U119"/>
    </row>
    <row r="120" spans="1:21" ht="30" hidden="1" x14ac:dyDescent="0.3">
      <c r="A120" s="318" t="e">
        <f>#REF!</f>
        <v>#REF!</v>
      </c>
      <c r="B120" s="305" t="e">
        <f>#REF!</f>
        <v>#REF!</v>
      </c>
      <c r="C120" s="305" t="str">
        <f>'Danh sách máy'!C115</f>
        <v>ISHI</v>
      </c>
      <c r="D120" s="90" t="e">
        <f>#REF!</f>
        <v>#REF!</v>
      </c>
      <c r="E120" s="97">
        <f>'Danh sách máy'!E115</f>
        <v>45656</v>
      </c>
      <c r="F120" s="206" t="e">
        <f>#REF!</f>
        <v>#REF!</v>
      </c>
      <c r="G120" s="102" t="e">
        <f>#REF!</f>
        <v>#REF!</v>
      </c>
      <c r="H120" s="102" t="e">
        <f>#REF!</f>
        <v>#REF!</v>
      </c>
      <c r="I120" s="209">
        <v>44394</v>
      </c>
      <c r="J120" s="210"/>
      <c r="K120" s="210" t="e">
        <f>#REF!</f>
        <v>#REF!</v>
      </c>
      <c r="L120" s="210">
        <v>44389</v>
      </c>
      <c r="M120" s="210"/>
      <c r="N120" s="210">
        <f>'Danh sách máy'!F115</f>
        <v>0</v>
      </c>
      <c r="O120" s="211" t="str" cm="1">
        <f t="array" ref="O120">IF(L120&lt;&gt;0,IF(L120&lt;I120,"OK","NG"),Blank)</f>
        <v>OK</v>
      </c>
      <c r="P120" s="211" t="e" cm="1">
        <f t="array" ref="P120">IF(M120&lt;&gt;0,IF(M120&lt;J120,"OK","NG"),Blank)</f>
        <v>#NAME?</v>
      </c>
      <c r="Q120" s="211" t="e" cm="1">
        <f t="array" ref="Q120">IF(H120&lt;&gt;"Stop",IF(N120&lt;&gt;0,IF(N120&lt;=K120,"OK","NG"),Blank),"-")</f>
        <v>#REF!</v>
      </c>
      <c r="R120" s="326" t="e" cm="1">
        <f t="array" ref="R120">IF(H120&lt;&gt;"Stop",IF(E120&lt;&gt;0,IF(E120&lt;=K120,"OK","NG"),Blank),"-")</f>
        <v>#REF!</v>
      </c>
      <c r="S120" s="220"/>
      <c r="T120" s="221">
        <v>1</v>
      </c>
      <c r="U120"/>
    </row>
    <row r="121" spans="1:21" ht="15" hidden="1" x14ac:dyDescent="0.3">
      <c r="A121" s="318" t="e">
        <f>#REF!</f>
        <v>#REF!</v>
      </c>
      <c r="B121" s="305" t="e">
        <f>#REF!</f>
        <v>#REF!</v>
      </c>
      <c r="C121" s="305" t="str">
        <f>'Danh sách máy'!C116</f>
        <v>MKVC</v>
      </c>
      <c r="D121" s="90" t="e">
        <f>#REF!</f>
        <v>#REF!</v>
      </c>
      <c r="E121" s="97">
        <f>'Danh sách máy'!E116</f>
        <v>45503</v>
      </c>
      <c r="F121" s="206" t="e">
        <f>#REF!</f>
        <v>#REF!</v>
      </c>
      <c r="G121" s="102" t="e">
        <f>#REF!</f>
        <v>#REF!</v>
      </c>
      <c r="H121" s="102" t="e">
        <f>#REF!</f>
        <v>#REF!</v>
      </c>
      <c r="I121" s="209">
        <v>44395</v>
      </c>
      <c r="J121" s="210"/>
      <c r="K121" s="210" t="e">
        <f>#REF!</f>
        <v>#REF!</v>
      </c>
      <c r="L121" s="210">
        <v>44390</v>
      </c>
      <c r="M121" s="210"/>
      <c r="N121" s="210">
        <f>'Danh sách máy'!F116</f>
        <v>0</v>
      </c>
      <c r="O121" s="211" t="str" cm="1">
        <f t="array" ref="O121">IF(L121&lt;&gt;0,IF(L121&lt;I121,"OK","NG"),Blank)</f>
        <v>OK</v>
      </c>
      <c r="P121" s="211" t="e" cm="1">
        <f t="array" ref="P121">IF(M121&lt;&gt;0,IF(M121&lt;J121,"OK","NG"),Blank)</f>
        <v>#NAME?</v>
      </c>
      <c r="Q121" s="211" t="e" cm="1">
        <f t="array" ref="Q121">IF(H121&lt;&gt;"Stop",IF(N121&lt;&gt;0,IF(N121&lt;=K121,"OK","NG"),Blank),"-")</f>
        <v>#REF!</v>
      </c>
      <c r="R121" s="326" t="e" cm="1">
        <f t="array" ref="R121">IF(H121&lt;&gt;"Stop",IF(E121&lt;&gt;0,IF(E121&lt;=K121,"OK","NG"),Blank),"-")</f>
        <v>#REF!</v>
      </c>
      <c r="S121" s="220"/>
      <c r="T121" s="221">
        <v>1</v>
      </c>
      <c r="U121"/>
    </row>
    <row r="122" spans="1:21" ht="15" hidden="1" x14ac:dyDescent="0.3">
      <c r="A122" s="318" t="e">
        <f>#REF!</f>
        <v>#REF!</v>
      </c>
      <c r="B122" s="305" t="e">
        <f>#REF!</f>
        <v>#REF!</v>
      </c>
      <c r="C122" s="305" t="str">
        <f>'Danh sách máy'!C117</f>
        <v>MKVC</v>
      </c>
      <c r="D122" s="90" t="e">
        <f>#REF!</f>
        <v>#REF!</v>
      </c>
      <c r="E122" s="97">
        <f>'Danh sách máy'!E117</f>
        <v>0</v>
      </c>
      <c r="F122" s="206" t="e">
        <f>#REF!</f>
        <v>#REF!</v>
      </c>
      <c r="G122" s="102" t="e">
        <f>#REF!</f>
        <v>#REF!</v>
      </c>
      <c r="H122" s="102" t="e">
        <f>#REF!</f>
        <v>#REF!</v>
      </c>
      <c r="I122" s="209">
        <v>44396</v>
      </c>
      <c r="J122" s="210"/>
      <c r="K122" s="210" t="e">
        <f>#REF!</f>
        <v>#REF!</v>
      </c>
      <c r="L122" s="210">
        <v>44391</v>
      </c>
      <c r="M122" s="210"/>
      <c r="N122" s="210">
        <f>'Danh sách máy'!F117</f>
        <v>0</v>
      </c>
      <c r="O122" s="211" t="str" cm="1">
        <f t="array" ref="O122">IF(L122&lt;&gt;0,IF(L122&lt;I122,"OK","NG"),Blank)</f>
        <v>OK</v>
      </c>
      <c r="P122" s="211" t="e" cm="1">
        <f t="array" ref="P122">IF(M122&lt;&gt;0,IF(M122&lt;J122,"OK","NG"),Blank)</f>
        <v>#NAME?</v>
      </c>
      <c r="Q122" s="211" t="e" cm="1">
        <f t="array" ref="Q122">IF(H122&lt;&gt;"Stop",IF(N122&lt;&gt;0,IF(N122&lt;=K122,"OK","NG"),Blank),"-")</f>
        <v>#REF!</v>
      </c>
      <c r="R122" s="326" t="e" cm="1">
        <f t="array" ref="R122">IF(H122&lt;&gt;"Stop",IF(E122&lt;&gt;0,IF(E122&lt;=K122,"OK","NG"),Blank),"-")</f>
        <v>#REF!</v>
      </c>
      <c r="S122" s="22"/>
      <c r="T122" s="221"/>
      <c r="U122"/>
    </row>
    <row r="123" spans="1:21" ht="15" hidden="1" x14ac:dyDescent="0.3">
      <c r="A123" s="318" t="e">
        <f>#REF!</f>
        <v>#REF!</v>
      </c>
      <c r="B123" s="305" t="e">
        <f>#REF!</f>
        <v>#REF!</v>
      </c>
      <c r="C123" s="305" t="str">
        <f>'Danh sách máy'!C118</f>
        <v>MKVC</v>
      </c>
      <c r="D123" s="90" t="e">
        <f>#REF!</f>
        <v>#REF!</v>
      </c>
      <c r="E123" s="97">
        <f>'Danh sách máy'!E118</f>
        <v>45471</v>
      </c>
      <c r="F123" s="206" t="e">
        <f>#REF!</f>
        <v>#REF!</v>
      </c>
      <c r="G123" s="102" t="e">
        <f>#REF!</f>
        <v>#REF!</v>
      </c>
      <c r="H123" s="102" t="e">
        <f>#REF!</f>
        <v>#REF!</v>
      </c>
      <c r="I123" s="209">
        <v>44397</v>
      </c>
      <c r="J123" s="210"/>
      <c r="K123" s="210" t="e">
        <f>#REF!</f>
        <v>#REF!</v>
      </c>
      <c r="L123" s="210">
        <v>44392</v>
      </c>
      <c r="M123" s="210"/>
      <c r="N123" s="210">
        <f>'Danh sách máy'!F118</f>
        <v>45492</v>
      </c>
      <c r="O123" s="211" t="str" cm="1">
        <f t="array" ref="O123">IF(L123&lt;&gt;0,IF(L123&lt;I123,"OK","NG"),Blank)</f>
        <v>OK</v>
      </c>
      <c r="P123" s="211" t="e" cm="1">
        <f t="array" ref="P123">IF(M123&lt;&gt;0,IF(M123&lt;J123,"OK","NG"),Blank)</f>
        <v>#NAME?</v>
      </c>
      <c r="Q123" s="211" t="e" cm="1">
        <f t="array" ref="Q123">IF(H123&lt;&gt;"Stop",IF(N123&lt;&gt;0,IF(N123&lt;=K123,"OK","NG"),Blank),"-")</f>
        <v>#REF!</v>
      </c>
      <c r="R123" s="326" t="e" cm="1">
        <f t="array" ref="R123">IF(H123&lt;&gt;"Stop",IF(E123&lt;&gt;0,IF(E123&lt;=K123,"OK","NG"),Blank),"-")</f>
        <v>#REF!</v>
      </c>
      <c r="S123" s="220"/>
      <c r="T123" s="221">
        <v>1</v>
      </c>
      <c r="U123"/>
    </row>
    <row r="124" spans="1:21" ht="15" hidden="1" x14ac:dyDescent="0.3">
      <c r="A124" s="318" t="e">
        <f>#REF!</f>
        <v>#REF!</v>
      </c>
      <c r="B124" s="305" t="e">
        <f>#REF!</f>
        <v>#REF!</v>
      </c>
      <c r="C124" s="305" t="str">
        <f>'Danh sách máy'!C119</f>
        <v>MKVC</v>
      </c>
      <c r="D124" s="90" t="e">
        <f>#REF!</f>
        <v>#REF!</v>
      </c>
      <c r="E124" s="97">
        <f>'Danh sách máy'!E119</f>
        <v>0</v>
      </c>
      <c r="F124" s="206" t="e">
        <f>#REF!</f>
        <v>#REF!</v>
      </c>
      <c r="G124" s="102" t="e">
        <f>#REF!</f>
        <v>#REF!</v>
      </c>
      <c r="H124" s="102" t="e">
        <f>#REF!</f>
        <v>#REF!</v>
      </c>
      <c r="I124" s="209">
        <v>44398</v>
      </c>
      <c r="J124" s="210"/>
      <c r="K124" s="210" t="e">
        <f>#REF!</f>
        <v>#REF!</v>
      </c>
      <c r="L124" s="210">
        <v>44393</v>
      </c>
      <c r="M124" s="210"/>
      <c r="N124" s="210">
        <f>'Danh sách máy'!F119</f>
        <v>0</v>
      </c>
      <c r="O124" s="211" t="str" cm="1">
        <f t="array" ref="O124">IF(L124&lt;&gt;0,IF(L124&lt;I124,"OK","NG"),Blank)</f>
        <v>OK</v>
      </c>
      <c r="P124" s="211" t="e" cm="1">
        <f t="array" ref="P124">IF(M124&lt;&gt;0,IF(M124&lt;J124,"OK","NG"),Blank)</f>
        <v>#NAME?</v>
      </c>
      <c r="Q124" s="211" t="e" cm="1">
        <f t="array" ref="Q124">IF(H124&lt;&gt;"Stop",IF(N124&lt;&gt;0,IF(N124&lt;=K124,"OK","NG"),Blank),"-")</f>
        <v>#REF!</v>
      </c>
      <c r="R124" s="326" t="e" cm="1">
        <f t="array" ref="R124">IF(H124&lt;&gt;"Stop",IF(E124&lt;&gt;0,IF(E124&lt;=K124,"OK","NG"),Blank),"-")</f>
        <v>#REF!</v>
      </c>
      <c r="S124" s="22"/>
      <c r="T124" s="221"/>
      <c r="U124"/>
    </row>
    <row r="125" spans="1:21" ht="15" hidden="1" x14ac:dyDescent="0.3">
      <c r="A125" s="318" t="e">
        <f>#REF!</f>
        <v>#REF!</v>
      </c>
      <c r="B125" s="305" t="e">
        <f>#REF!</f>
        <v>#REF!</v>
      </c>
      <c r="C125" s="305" t="str">
        <f>'Danh sách máy'!C120</f>
        <v>MKVC</v>
      </c>
      <c r="D125" s="90" t="e">
        <f>#REF!</f>
        <v>#REF!</v>
      </c>
      <c r="E125" s="97">
        <f>'Danh sách máy'!E120</f>
        <v>0</v>
      </c>
      <c r="F125" s="206" t="e">
        <f>#REF!</f>
        <v>#REF!</v>
      </c>
      <c r="G125" s="102" t="e">
        <f>#REF!</f>
        <v>#REF!</v>
      </c>
      <c r="H125" s="102" t="e">
        <f>#REF!</f>
        <v>#REF!</v>
      </c>
      <c r="I125" s="209">
        <v>44399</v>
      </c>
      <c r="J125" s="210"/>
      <c r="K125" s="210" t="e">
        <f>#REF!</f>
        <v>#REF!</v>
      </c>
      <c r="L125" s="210">
        <v>44394</v>
      </c>
      <c r="M125" s="210"/>
      <c r="N125" s="210">
        <f>'Danh sách máy'!F120</f>
        <v>0</v>
      </c>
      <c r="O125" s="211" t="str" cm="1">
        <f t="array" ref="O125">IF(L125&lt;&gt;0,IF(L125&lt;I125,"OK","NG"),Blank)</f>
        <v>OK</v>
      </c>
      <c r="P125" s="211" t="e" cm="1">
        <f t="array" ref="P125">IF(M125&lt;&gt;0,IF(M125&lt;J125,"OK","NG"),Blank)</f>
        <v>#NAME?</v>
      </c>
      <c r="Q125" s="211" t="e" cm="1">
        <f t="array" ref="Q125">IF(H125&lt;&gt;"Stop",IF(N125&lt;&gt;0,IF(N125&lt;=K125,"OK","NG"),Blank),"-")</f>
        <v>#REF!</v>
      </c>
      <c r="R125" s="326" t="e" cm="1">
        <f t="array" ref="R125">IF(H125&lt;&gt;"Stop",IF(E125&lt;&gt;0,IF(E125&lt;=K125,"OK","NG"),Blank),"-")</f>
        <v>#REF!</v>
      </c>
      <c r="S125" s="22"/>
      <c r="T125" s="221"/>
      <c r="U125"/>
    </row>
    <row r="126" spans="1:21" ht="15" hidden="1" x14ac:dyDescent="0.3">
      <c r="A126" s="318" t="e">
        <f>#REF!</f>
        <v>#REF!</v>
      </c>
      <c r="B126" s="305" t="e">
        <f>#REF!</f>
        <v>#REF!</v>
      </c>
      <c r="C126" s="305" t="str">
        <f>'Danh sách máy'!C121</f>
        <v>MKVC</v>
      </c>
      <c r="D126" s="90" t="e">
        <f>#REF!</f>
        <v>#REF!</v>
      </c>
      <c r="E126" s="97">
        <f>'Danh sách máy'!E121</f>
        <v>0</v>
      </c>
      <c r="F126" s="206" t="e">
        <f>#REF!</f>
        <v>#REF!</v>
      </c>
      <c r="G126" s="102" t="e">
        <f>#REF!</f>
        <v>#REF!</v>
      </c>
      <c r="H126" s="102" t="e">
        <f>#REF!</f>
        <v>#REF!</v>
      </c>
      <c r="I126" s="209">
        <v>44400</v>
      </c>
      <c r="J126" s="210"/>
      <c r="K126" s="210" t="e">
        <f>#REF!</f>
        <v>#REF!</v>
      </c>
      <c r="L126" s="210">
        <v>44395</v>
      </c>
      <c r="M126" s="210"/>
      <c r="N126" s="210">
        <f>'Danh sách máy'!F121</f>
        <v>0</v>
      </c>
      <c r="O126" s="211" t="str" cm="1">
        <f t="array" ref="O126">IF(L126&lt;&gt;0,IF(L126&lt;I126,"OK","NG"),Blank)</f>
        <v>OK</v>
      </c>
      <c r="P126" s="211" t="e" cm="1">
        <f t="array" ref="P126">IF(M126&lt;&gt;0,IF(M126&lt;J126,"OK","NG"),Blank)</f>
        <v>#NAME?</v>
      </c>
      <c r="Q126" s="211" t="e" cm="1">
        <f t="array" ref="Q126">IF(H126&lt;&gt;"Stop",IF(N126&lt;&gt;0,IF(N126&lt;=K126,"OK","NG"),Blank),"-")</f>
        <v>#REF!</v>
      </c>
      <c r="R126" s="326" t="e" cm="1">
        <f t="array" ref="R126">IF(H126&lt;&gt;"Stop",IF(E126&lt;&gt;0,IF(E126&lt;=K126,"OK","NG"),Blank),"-")</f>
        <v>#REF!</v>
      </c>
      <c r="S126" s="22"/>
      <c r="T126" s="221"/>
      <c r="U126"/>
    </row>
    <row r="127" spans="1:21" ht="15" hidden="1" x14ac:dyDescent="0.3">
      <c r="A127" s="318" t="e">
        <f>#REF!</f>
        <v>#REF!</v>
      </c>
      <c r="B127" s="305" t="e">
        <f>#REF!</f>
        <v>#REF!</v>
      </c>
      <c r="C127" s="305" t="str">
        <f>'Danh sách máy'!C122</f>
        <v>MKVC</v>
      </c>
      <c r="D127" s="90" t="e">
        <f>#REF!</f>
        <v>#REF!</v>
      </c>
      <c r="E127" s="97">
        <f>'Danh sách máy'!E122</f>
        <v>0</v>
      </c>
      <c r="F127" s="206" t="e">
        <f>#REF!</f>
        <v>#REF!</v>
      </c>
      <c r="G127" s="102" t="e">
        <f>#REF!</f>
        <v>#REF!</v>
      </c>
      <c r="H127" s="102" t="e">
        <f>#REF!</f>
        <v>#REF!</v>
      </c>
      <c r="I127" s="209">
        <v>44401</v>
      </c>
      <c r="J127" s="210"/>
      <c r="K127" s="210" t="e">
        <f>#REF!</f>
        <v>#REF!</v>
      </c>
      <c r="L127" s="210">
        <v>44396</v>
      </c>
      <c r="M127" s="210"/>
      <c r="N127" s="210">
        <f>'Danh sách máy'!F122</f>
        <v>0</v>
      </c>
      <c r="O127" s="211" t="str" cm="1">
        <f t="array" ref="O127">IF(L127&lt;&gt;0,IF(L127&lt;I127,"OK","NG"),Blank)</f>
        <v>OK</v>
      </c>
      <c r="P127" s="211" t="e" cm="1">
        <f t="array" ref="P127">IF(M127&lt;&gt;0,IF(M127&lt;J127,"OK","NG"),Blank)</f>
        <v>#NAME?</v>
      </c>
      <c r="Q127" s="211" t="e" cm="1">
        <f t="array" ref="Q127">IF(H127&lt;&gt;"Stop",IF(N127&lt;&gt;0,IF(N127&lt;=K127,"OK","NG"),Blank),"-")</f>
        <v>#REF!</v>
      </c>
      <c r="R127" s="326" t="e" cm="1">
        <f t="array" ref="R127">IF(H127&lt;&gt;"Stop",IF(E127&lt;&gt;0,IF(E127&lt;=K127,"OK","NG"),Blank),"-")</f>
        <v>#REF!</v>
      </c>
      <c r="S127" s="22"/>
      <c r="T127" s="221"/>
      <c r="U127"/>
    </row>
    <row r="128" spans="1:21" ht="15" hidden="1" x14ac:dyDescent="0.3">
      <c r="A128" s="318" t="e">
        <f>#REF!</f>
        <v>#REF!</v>
      </c>
      <c r="B128" s="305" t="e">
        <f>#REF!</f>
        <v>#REF!</v>
      </c>
      <c r="C128" s="305" t="str">
        <f>'Danh sách máy'!C123</f>
        <v>MKVC</v>
      </c>
      <c r="D128" s="90" t="e">
        <f>#REF!</f>
        <v>#REF!</v>
      </c>
      <c r="E128" s="97">
        <f>'Danh sách máy'!E123</f>
        <v>0</v>
      </c>
      <c r="F128" s="206" t="e">
        <f>#REF!</f>
        <v>#REF!</v>
      </c>
      <c r="G128" s="102" t="e">
        <f>#REF!</f>
        <v>#REF!</v>
      </c>
      <c r="H128" s="102" t="e">
        <f>#REF!</f>
        <v>#REF!</v>
      </c>
      <c r="I128" s="209">
        <v>44402</v>
      </c>
      <c r="J128" s="210"/>
      <c r="K128" s="210" t="e">
        <f>#REF!</f>
        <v>#REF!</v>
      </c>
      <c r="L128" s="210">
        <v>44397</v>
      </c>
      <c r="M128" s="210"/>
      <c r="N128" s="210">
        <f>'Danh sách máy'!F123</f>
        <v>0</v>
      </c>
      <c r="O128" s="211" t="str" cm="1">
        <f t="array" ref="O128">IF(L128&lt;&gt;0,IF(L128&lt;I128,"OK","NG"),Blank)</f>
        <v>OK</v>
      </c>
      <c r="P128" s="211" t="e" cm="1">
        <f t="array" ref="P128">IF(M128&lt;&gt;0,IF(M128&lt;J128,"OK","NG"),Blank)</f>
        <v>#NAME?</v>
      </c>
      <c r="Q128" s="211" t="e" cm="1">
        <f t="array" ref="Q128">IF(H128&lt;&gt;"Stop",IF(N128&lt;&gt;0,IF(N128&lt;=K128,"OK","NG"),Blank),"-")</f>
        <v>#REF!</v>
      </c>
      <c r="R128" s="326" t="e" cm="1">
        <f t="array" ref="R128">IF(H128&lt;&gt;"Stop",IF(E128&lt;&gt;0,IF(E128&lt;=K128,"OK","NG"),Blank),"-")</f>
        <v>#REF!</v>
      </c>
      <c r="S128" s="22"/>
      <c r="T128" s="221"/>
      <c r="U128"/>
    </row>
    <row r="129" spans="1:21" ht="43.2" hidden="1" x14ac:dyDescent="0.3">
      <c r="A129" s="318" t="e">
        <f>#REF!</f>
        <v>#REF!</v>
      </c>
      <c r="B129" s="305" t="e">
        <f>#REF!</f>
        <v>#REF!</v>
      </c>
      <c r="C129" s="305" t="str">
        <f>'Danh sách máy'!C124</f>
        <v>OUT</v>
      </c>
      <c r="D129" s="90" t="e">
        <f>#REF!</f>
        <v>#REF!</v>
      </c>
      <c r="E129" s="97">
        <f>'Danh sách máy'!E124</f>
        <v>45488</v>
      </c>
      <c r="F129" s="206" t="e">
        <f>#REF!</f>
        <v>#REF!</v>
      </c>
      <c r="G129" s="102" t="e">
        <f>#REF!</f>
        <v>#REF!</v>
      </c>
      <c r="H129" s="102" t="e">
        <f>#REF!</f>
        <v>#REF!</v>
      </c>
      <c r="I129" s="209">
        <v>44403</v>
      </c>
      <c r="J129" s="210"/>
      <c r="K129" s="210" t="e">
        <f>#REF!</f>
        <v>#REF!</v>
      </c>
      <c r="L129" s="210">
        <v>44398</v>
      </c>
      <c r="M129" s="210"/>
      <c r="N129" s="210">
        <f>'Danh sách máy'!F124</f>
        <v>45488</v>
      </c>
      <c r="O129" s="211" t="str" cm="1">
        <f t="array" ref="O129">IF(L129&lt;&gt;0,IF(L129&lt;I129,"OK","NG"),Blank)</f>
        <v>OK</v>
      </c>
      <c r="P129" s="211" t="e" cm="1">
        <f t="array" ref="P129">IF(M129&lt;&gt;0,IF(M129&lt;J129,"OK","NG"),Blank)</f>
        <v>#NAME?</v>
      </c>
      <c r="Q129" s="211" t="e" cm="1">
        <f t="array" ref="Q129">IF(H129&lt;&gt;"Stop",IF(N129&lt;&gt;0,IF(N129&lt;=K129,"OK","NG"),Blank),"-")</f>
        <v>#REF!</v>
      </c>
      <c r="R129" s="326" t="e" cm="1">
        <f t="array" ref="R129">IF(H129&lt;&gt;"Stop",IF(E129&lt;&gt;0,IF(E129&lt;=K129,"OK","NG"),Blank),"-")</f>
        <v>#REF!</v>
      </c>
      <c r="S129" s="220" t="s">
        <v>4417</v>
      </c>
      <c r="T129" s="221">
        <v>0.95</v>
      </c>
      <c r="U129" s="7" t="s">
        <v>4418</v>
      </c>
    </row>
    <row r="130" spans="1:21" ht="43.2" hidden="1" x14ac:dyDescent="0.3">
      <c r="A130" s="318" t="e">
        <f>#REF!</f>
        <v>#REF!</v>
      </c>
      <c r="B130" s="305" t="e">
        <f>#REF!</f>
        <v>#REF!</v>
      </c>
      <c r="C130" s="305" t="str">
        <f>'Danh sách máy'!C125</f>
        <v>OUT</v>
      </c>
      <c r="D130" s="90" t="e">
        <f>#REF!</f>
        <v>#REF!</v>
      </c>
      <c r="E130" s="97">
        <f>'Danh sách máy'!E125</f>
        <v>45488</v>
      </c>
      <c r="F130" s="206" t="e">
        <f>#REF!</f>
        <v>#REF!</v>
      </c>
      <c r="G130" s="102" t="e">
        <f>#REF!</f>
        <v>#REF!</v>
      </c>
      <c r="H130" s="102" t="e">
        <f>#REF!</f>
        <v>#REF!</v>
      </c>
      <c r="I130" s="209">
        <v>44404</v>
      </c>
      <c r="J130" s="210"/>
      <c r="K130" s="210" t="e">
        <f>#REF!</f>
        <v>#REF!</v>
      </c>
      <c r="L130" s="210">
        <v>44399</v>
      </c>
      <c r="M130" s="210"/>
      <c r="N130" s="210">
        <f>'Danh sách máy'!F125</f>
        <v>45488</v>
      </c>
      <c r="O130" s="211" t="str" cm="1">
        <f t="array" ref="O130">IF(L130&lt;&gt;0,IF(L130&lt;I130,"OK","NG"),Blank)</f>
        <v>OK</v>
      </c>
      <c r="P130" s="211" t="e" cm="1">
        <f t="array" ref="P130">IF(M130&lt;&gt;0,IF(M130&lt;J130,"OK","NG"),Blank)</f>
        <v>#NAME?</v>
      </c>
      <c r="Q130" s="211" t="e" cm="1">
        <f t="array" ref="Q130">IF(H130&lt;&gt;"Stop",IF(N130&lt;&gt;0,IF(N130&lt;=K130,"OK","NG"),Blank),"-")</f>
        <v>#REF!</v>
      </c>
      <c r="R130" s="326" t="e" cm="1">
        <f t="array" ref="R130">IF(H130&lt;&gt;"Stop",IF(E130&lt;&gt;0,IF(E130&lt;=K130,"OK","NG"),Blank),"-")</f>
        <v>#REF!</v>
      </c>
      <c r="S130" s="220" t="s">
        <v>4417</v>
      </c>
      <c r="T130" s="221">
        <v>0.95</v>
      </c>
      <c r="U130" s="7" t="s">
        <v>4418</v>
      </c>
    </row>
    <row r="131" spans="1:21" ht="43.2" hidden="1" x14ac:dyDescent="0.3">
      <c r="A131" s="318" t="e">
        <f>#REF!</f>
        <v>#REF!</v>
      </c>
      <c r="B131" s="305" t="e">
        <f>#REF!</f>
        <v>#REF!</v>
      </c>
      <c r="C131" s="305" t="str">
        <f>'Danh sách máy'!C126</f>
        <v>OUT</v>
      </c>
      <c r="D131" s="90" t="e">
        <f>#REF!</f>
        <v>#REF!</v>
      </c>
      <c r="E131" s="97">
        <f>'Danh sách máy'!E126</f>
        <v>45488</v>
      </c>
      <c r="F131" s="206" t="e">
        <f>#REF!</f>
        <v>#REF!</v>
      </c>
      <c r="G131" s="102" t="e">
        <f>#REF!</f>
        <v>#REF!</v>
      </c>
      <c r="H131" s="102" t="e">
        <f>#REF!</f>
        <v>#REF!</v>
      </c>
      <c r="I131" s="209">
        <v>44405</v>
      </c>
      <c r="J131" s="210"/>
      <c r="K131" s="210" t="e">
        <f>#REF!</f>
        <v>#REF!</v>
      </c>
      <c r="L131" s="210">
        <v>44400</v>
      </c>
      <c r="M131" s="210"/>
      <c r="N131" s="210">
        <f>'Danh sách máy'!F126</f>
        <v>45488</v>
      </c>
      <c r="O131" s="211" t="str" cm="1">
        <f t="array" ref="O131">IF(L131&lt;&gt;0,IF(L131&lt;I131,"OK","NG"),Blank)</f>
        <v>OK</v>
      </c>
      <c r="P131" s="211" t="e" cm="1">
        <f t="array" ref="P131">IF(M131&lt;&gt;0,IF(M131&lt;J131,"OK","NG"),Blank)</f>
        <v>#NAME?</v>
      </c>
      <c r="Q131" s="211" t="e" cm="1">
        <f t="array" ref="Q131">IF(H131&lt;&gt;"Stop",IF(N131&lt;&gt;0,IF(N131&lt;=K131,"OK","NG"),Blank),"-")</f>
        <v>#REF!</v>
      </c>
      <c r="R131" s="326" t="e" cm="1">
        <f t="array" ref="R131">IF(H131&lt;&gt;"Stop",IF(E131&lt;&gt;0,IF(E131&lt;=K131,"OK","NG"),Blank),"-")</f>
        <v>#REF!</v>
      </c>
      <c r="S131" s="220" t="s">
        <v>4417</v>
      </c>
      <c r="T131" s="221">
        <v>0.95</v>
      </c>
      <c r="U131" s="7" t="s">
        <v>4418</v>
      </c>
    </row>
    <row r="132" spans="1:21" ht="43.2" hidden="1" x14ac:dyDescent="0.3">
      <c r="A132" s="318" t="e">
        <f>#REF!</f>
        <v>#REF!</v>
      </c>
      <c r="B132" s="305" t="e">
        <f>#REF!</f>
        <v>#REF!</v>
      </c>
      <c r="C132" s="305" t="str">
        <f>'Danh sách máy'!C127</f>
        <v>OUT</v>
      </c>
      <c r="D132" s="90" t="e">
        <f>#REF!</f>
        <v>#REF!</v>
      </c>
      <c r="E132" s="97">
        <f>'Danh sách máy'!E127</f>
        <v>45488</v>
      </c>
      <c r="F132" s="206" t="e">
        <f>#REF!</f>
        <v>#REF!</v>
      </c>
      <c r="G132" s="102" t="e">
        <f>#REF!</f>
        <v>#REF!</v>
      </c>
      <c r="H132" s="102" t="e">
        <f>#REF!</f>
        <v>#REF!</v>
      </c>
      <c r="I132" s="209">
        <v>44406</v>
      </c>
      <c r="J132" s="210"/>
      <c r="K132" s="210" t="e">
        <f>#REF!</f>
        <v>#REF!</v>
      </c>
      <c r="L132" s="210">
        <v>44401</v>
      </c>
      <c r="M132" s="210"/>
      <c r="N132" s="210">
        <f>'Danh sách máy'!F127</f>
        <v>45488</v>
      </c>
      <c r="O132" s="211" t="str" cm="1">
        <f t="array" ref="O132">IF(L132&lt;&gt;0,IF(L132&lt;I132,"OK","NG"),Blank)</f>
        <v>OK</v>
      </c>
      <c r="P132" s="211" t="e" cm="1">
        <f t="array" ref="P132">IF(M132&lt;&gt;0,IF(M132&lt;J132,"OK","NG"),Blank)</f>
        <v>#NAME?</v>
      </c>
      <c r="Q132" s="211" t="e" cm="1">
        <f t="array" ref="Q132">IF(H132&lt;&gt;"Stop",IF(N132&lt;&gt;0,IF(N132&lt;=K132,"OK","NG"),Blank),"-")</f>
        <v>#REF!</v>
      </c>
      <c r="R132" s="326" t="e" cm="1">
        <f t="array" ref="R132">IF(H132&lt;&gt;"Stop",IF(E132&lt;&gt;0,IF(E132&lt;=K132,"OK","NG"),Blank),"-")</f>
        <v>#REF!</v>
      </c>
      <c r="S132" s="220" t="s">
        <v>4417</v>
      </c>
      <c r="T132" s="221">
        <v>0.95</v>
      </c>
      <c r="U132" s="7" t="s">
        <v>4418</v>
      </c>
    </row>
    <row r="133" spans="1:21" ht="30" hidden="1" x14ac:dyDescent="0.3">
      <c r="A133" s="318" t="e">
        <f>#REF!</f>
        <v>#REF!</v>
      </c>
      <c r="B133" s="305" t="e">
        <f>#REF!</f>
        <v>#REF!</v>
      </c>
      <c r="C133" s="305" t="str">
        <f>'Danh sách máy'!C128</f>
        <v>MKVC</v>
      </c>
      <c r="D133" s="90" t="e">
        <f>#REF!</f>
        <v>#REF!</v>
      </c>
      <c r="E133" s="97">
        <f>'Danh sách máy'!E128</f>
        <v>45401</v>
      </c>
      <c r="F133" s="206" t="e">
        <f>#REF!</f>
        <v>#REF!</v>
      </c>
      <c r="G133" s="102" t="e">
        <f>#REF!</f>
        <v>#REF!</v>
      </c>
      <c r="H133" s="102" t="e">
        <f>#REF!</f>
        <v>#REF!</v>
      </c>
      <c r="I133" s="209">
        <v>44407</v>
      </c>
      <c r="J133" s="210"/>
      <c r="K133" s="210" t="e">
        <f>#REF!</f>
        <v>#REF!</v>
      </c>
      <c r="L133" s="210">
        <v>44402</v>
      </c>
      <c r="M133" s="210"/>
      <c r="N133" s="210">
        <f>'Danh sách máy'!F128</f>
        <v>45447</v>
      </c>
      <c r="O133" s="211" t="str" cm="1">
        <f t="array" ref="O133">IF(L133&lt;&gt;0,IF(L133&lt;I133,"OK","NG"),Blank)</f>
        <v>OK</v>
      </c>
      <c r="P133" s="211" t="e" cm="1">
        <f t="array" ref="P133">IF(M133&lt;&gt;0,IF(M133&lt;J133,"OK","NG"),Blank)</f>
        <v>#NAME?</v>
      </c>
      <c r="Q133" s="211" t="e" cm="1">
        <f t="array" ref="Q133">IF(H133&lt;&gt;"Stop",IF(N133&lt;&gt;0,IF(N133&lt;=K133,"OK","NG"),Blank),"-")</f>
        <v>#REF!</v>
      </c>
      <c r="R133" s="326" t="e" cm="1">
        <f t="array" ref="R133">IF(H133&lt;&gt;"Stop",IF(E133&lt;&gt;0,IF(E133&lt;=K133,"OK","NG"),Blank),"-")</f>
        <v>#REF!</v>
      </c>
      <c r="S133" s="220"/>
      <c r="T133" s="221">
        <v>1</v>
      </c>
      <c r="U133"/>
    </row>
    <row r="134" spans="1:21" ht="30" hidden="1" x14ac:dyDescent="0.3">
      <c r="A134" s="318" t="e">
        <f>#REF!</f>
        <v>#REF!</v>
      </c>
      <c r="B134" s="305" t="e">
        <f>#REF!</f>
        <v>#REF!</v>
      </c>
      <c r="C134" s="305" t="str">
        <f>'Danh sách máy'!C129</f>
        <v>MKVC</v>
      </c>
      <c r="D134" s="90" t="e">
        <f>#REF!</f>
        <v>#REF!</v>
      </c>
      <c r="E134" s="97">
        <f>'Danh sách máy'!E129</f>
        <v>45408</v>
      </c>
      <c r="F134" s="206" t="e">
        <f>#REF!</f>
        <v>#REF!</v>
      </c>
      <c r="G134" s="102" t="e">
        <f>#REF!</f>
        <v>#REF!</v>
      </c>
      <c r="H134" s="102" t="e">
        <f>#REF!</f>
        <v>#REF!</v>
      </c>
      <c r="I134" s="209">
        <v>44408</v>
      </c>
      <c r="J134" s="210"/>
      <c r="K134" s="210" t="e">
        <f>#REF!</f>
        <v>#REF!</v>
      </c>
      <c r="L134" s="210">
        <v>44403</v>
      </c>
      <c r="M134" s="210"/>
      <c r="N134" s="210">
        <f>'Danh sách máy'!F129</f>
        <v>0</v>
      </c>
      <c r="O134" s="211" t="str" cm="1">
        <f t="array" ref="O134">IF(L134&lt;&gt;0,IF(L134&lt;I134,"OK","NG"),Blank)</f>
        <v>OK</v>
      </c>
      <c r="P134" s="211" t="e" cm="1">
        <f t="array" ref="P134">IF(M134&lt;&gt;0,IF(M134&lt;J134,"OK","NG"),Blank)</f>
        <v>#NAME?</v>
      </c>
      <c r="Q134" s="211" t="e" cm="1">
        <f t="array" ref="Q134">IF(H134&lt;&gt;"Stop",IF(N134&lt;&gt;0,IF(N134&lt;=K134,"OK","NG"),Blank),"-")</f>
        <v>#REF!</v>
      </c>
      <c r="R134" s="326" t="e" cm="1">
        <f t="array" ref="R134">IF(H134&lt;&gt;"Stop",IF(E134&lt;&gt;0,IF(E134&lt;=K134,"OK","NG"),Blank),"-")</f>
        <v>#REF!</v>
      </c>
      <c r="S134" s="22"/>
      <c r="T134" s="221">
        <v>1</v>
      </c>
      <c r="U134"/>
    </row>
    <row r="135" spans="1:21" ht="30" hidden="1" x14ac:dyDescent="0.3">
      <c r="A135" s="318" t="e">
        <f>#REF!</f>
        <v>#REF!</v>
      </c>
      <c r="B135" s="305" t="e">
        <f>#REF!</f>
        <v>#REF!</v>
      </c>
      <c r="C135" s="305" t="str">
        <f>'Danh sách máy'!C130</f>
        <v>MKVC</v>
      </c>
      <c r="D135" s="90" t="e">
        <f>#REF!</f>
        <v>#REF!</v>
      </c>
      <c r="E135" s="97">
        <f>'Danh sách máy'!E130</f>
        <v>45408</v>
      </c>
      <c r="F135" s="206" t="e">
        <f>#REF!</f>
        <v>#REF!</v>
      </c>
      <c r="G135" s="102" t="e">
        <f>#REF!</f>
        <v>#REF!</v>
      </c>
      <c r="H135" s="102" t="e">
        <f>#REF!</f>
        <v>#REF!</v>
      </c>
      <c r="I135" s="209">
        <v>44409</v>
      </c>
      <c r="J135" s="210"/>
      <c r="K135" s="210" t="e">
        <f>#REF!</f>
        <v>#REF!</v>
      </c>
      <c r="L135" s="210">
        <v>44404</v>
      </c>
      <c r="M135" s="210"/>
      <c r="N135" s="210">
        <f>'Danh sách máy'!F130</f>
        <v>0</v>
      </c>
      <c r="O135" s="211" t="str" cm="1">
        <f t="array" ref="O135">IF(L135&lt;&gt;0,IF(L135&lt;I135,"OK","NG"),Blank)</f>
        <v>OK</v>
      </c>
      <c r="P135" s="211" t="e" cm="1">
        <f t="array" ref="P135">IF(M135&lt;&gt;0,IF(M135&lt;J135,"OK","NG"),Blank)</f>
        <v>#NAME?</v>
      </c>
      <c r="Q135" s="211" t="e" cm="1">
        <f t="array" ref="Q135">IF(H135&lt;&gt;"Stop",IF(N135&lt;&gt;0,IF(N135&lt;=K135,"OK","NG"),Blank),"-")</f>
        <v>#REF!</v>
      </c>
      <c r="R135" s="326" t="e" cm="1">
        <f t="array" ref="R135">IF(H135&lt;&gt;"Stop",IF(E135&lt;&gt;0,IF(E135&lt;=K135,"OK","NG"),Blank),"-")</f>
        <v>#REF!</v>
      </c>
      <c r="S135" s="22"/>
      <c r="T135" s="221">
        <v>1</v>
      </c>
      <c r="U135"/>
    </row>
    <row r="136" spans="1:21" ht="30" hidden="1" x14ac:dyDescent="0.3">
      <c r="A136" s="318" t="e">
        <f>#REF!</f>
        <v>#REF!</v>
      </c>
      <c r="B136" s="305" t="e">
        <f>#REF!</f>
        <v>#REF!</v>
      </c>
      <c r="C136" s="305" t="str">
        <f>'Danh sách máy'!C131</f>
        <v>ISHI</v>
      </c>
      <c r="D136" s="90" t="e">
        <f>#REF!</f>
        <v>#REF!</v>
      </c>
      <c r="E136" s="97">
        <f>'Danh sách máy'!E131</f>
        <v>0</v>
      </c>
      <c r="F136" s="206" t="e">
        <f>#REF!</f>
        <v>#REF!</v>
      </c>
      <c r="G136" s="102" t="e">
        <f>#REF!</f>
        <v>#REF!</v>
      </c>
      <c r="H136" s="102" t="e">
        <f>#REF!</f>
        <v>#REF!</v>
      </c>
      <c r="I136" s="209">
        <v>44410</v>
      </c>
      <c r="J136" s="210"/>
      <c r="K136" s="210" t="e">
        <f>#REF!</f>
        <v>#REF!</v>
      </c>
      <c r="L136" s="210">
        <v>44405</v>
      </c>
      <c r="M136" s="210"/>
      <c r="N136" s="210">
        <f>'Danh sách máy'!F131</f>
        <v>0</v>
      </c>
      <c r="O136" s="211" t="str" cm="1">
        <f t="array" ref="O136">IF(L136&lt;&gt;0,IF(L136&lt;I136,"OK","NG"),Blank)</f>
        <v>OK</v>
      </c>
      <c r="P136" s="211" t="e" cm="1">
        <f t="array" ref="P136">IF(M136&lt;&gt;0,IF(M136&lt;J136,"OK","NG"),Blank)</f>
        <v>#NAME?</v>
      </c>
      <c r="Q136" s="211" t="e" cm="1">
        <f t="array" ref="Q136">IF(H136&lt;&gt;"Stop",IF(N136&lt;&gt;0,IF(N136&lt;=K136,"OK","NG"),Blank),"-")</f>
        <v>#REF!</v>
      </c>
      <c r="R136" s="326" t="e" cm="1">
        <f t="array" ref="R136">IF(H136&lt;&gt;"Stop",IF(E136&lt;&gt;0,IF(E136&lt;=K136,"OK","NG"),Blank),"-")</f>
        <v>#REF!</v>
      </c>
      <c r="S136" s="22"/>
      <c r="T136" s="221"/>
      <c r="U136"/>
    </row>
    <row r="137" spans="1:21" ht="30" hidden="1" x14ac:dyDescent="0.3">
      <c r="A137" s="318" t="e">
        <f>#REF!</f>
        <v>#REF!</v>
      </c>
      <c r="B137" s="305" t="e">
        <f>#REF!</f>
        <v>#REF!</v>
      </c>
      <c r="C137" s="305" t="str">
        <f>'Danh sách máy'!C132</f>
        <v>ISHI</v>
      </c>
      <c r="D137" s="90" t="e">
        <f>#REF!</f>
        <v>#REF!</v>
      </c>
      <c r="E137" s="97">
        <f>'Danh sách máy'!E132</f>
        <v>0</v>
      </c>
      <c r="F137" s="206" t="e">
        <f>#REF!</f>
        <v>#REF!</v>
      </c>
      <c r="G137" s="102" t="e">
        <f>#REF!</f>
        <v>#REF!</v>
      </c>
      <c r="H137" s="102" t="e">
        <f>#REF!</f>
        <v>#REF!</v>
      </c>
      <c r="I137" s="209">
        <v>44411</v>
      </c>
      <c r="J137" s="210"/>
      <c r="K137" s="210" t="e">
        <f>#REF!</f>
        <v>#REF!</v>
      </c>
      <c r="L137" s="210">
        <v>44406</v>
      </c>
      <c r="M137" s="210"/>
      <c r="N137" s="210">
        <f>'Danh sách máy'!F132</f>
        <v>0</v>
      </c>
      <c r="O137" s="211" t="str" cm="1">
        <f t="array" ref="O137">IF(L137&lt;&gt;0,IF(L137&lt;I137,"OK","NG"),Blank)</f>
        <v>OK</v>
      </c>
      <c r="P137" s="211" t="e" cm="1">
        <f t="array" ref="P137">IF(M137&lt;&gt;0,IF(M137&lt;J137,"OK","NG"),Blank)</f>
        <v>#NAME?</v>
      </c>
      <c r="Q137" s="211" t="e" cm="1">
        <f t="array" ref="Q137">IF(H137&lt;&gt;"Stop",IF(N137&lt;&gt;0,IF(N137&lt;=K137,"OK","NG"),Blank),"-")</f>
        <v>#REF!</v>
      </c>
      <c r="R137" s="326" t="e" cm="1">
        <f t="array" ref="R137">IF(H137&lt;&gt;"Stop",IF(E137&lt;&gt;0,IF(E137&lt;=K137,"OK","NG"),Blank),"-")</f>
        <v>#REF!</v>
      </c>
      <c r="S137" s="22"/>
      <c r="T137" s="221"/>
      <c r="U137"/>
    </row>
    <row r="138" spans="1:21" ht="30" hidden="1" x14ac:dyDescent="0.3">
      <c r="A138" s="318" t="e">
        <f>#REF!</f>
        <v>#REF!</v>
      </c>
      <c r="B138" s="305" t="e">
        <f>#REF!</f>
        <v>#REF!</v>
      </c>
      <c r="C138" s="305" t="str">
        <f>'Danh sách máy'!C133</f>
        <v>ISHI</v>
      </c>
      <c r="D138" s="90" t="e">
        <f>#REF!</f>
        <v>#REF!</v>
      </c>
      <c r="E138" s="97">
        <f>'Danh sách máy'!E133</f>
        <v>0</v>
      </c>
      <c r="F138" s="206" t="e">
        <f>#REF!</f>
        <v>#REF!</v>
      </c>
      <c r="G138" s="102" t="e">
        <f>#REF!</f>
        <v>#REF!</v>
      </c>
      <c r="H138" s="102" t="e">
        <f>#REF!</f>
        <v>#REF!</v>
      </c>
      <c r="I138" s="209">
        <v>44412</v>
      </c>
      <c r="J138" s="210"/>
      <c r="K138" s="210" t="e">
        <f>#REF!</f>
        <v>#REF!</v>
      </c>
      <c r="L138" s="210">
        <v>44407</v>
      </c>
      <c r="M138" s="210"/>
      <c r="N138" s="210">
        <f>'Danh sách máy'!F133</f>
        <v>0</v>
      </c>
      <c r="O138" s="211" t="str" cm="1">
        <f t="array" ref="O138">IF(L138&lt;&gt;0,IF(L138&lt;I138,"OK","NG"),Blank)</f>
        <v>OK</v>
      </c>
      <c r="P138" s="211" t="e" cm="1">
        <f t="array" ref="P138">IF(M138&lt;&gt;0,IF(M138&lt;J138,"OK","NG"),Blank)</f>
        <v>#NAME?</v>
      </c>
      <c r="Q138" s="211" t="e" cm="1">
        <f t="array" ref="Q138">IF(H138&lt;&gt;"Stop",IF(N138&lt;&gt;0,IF(N138&lt;=K138,"OK","NG"),Blank),"-")</f>
        <v>#REF!</v>
      </c>
      <c r="R138" s="326" t="e" cm="1">
        <f t="array" ref="R138">IF(H138&lt;&gt;"Stop",IF(E138&lt;&gt;0,IF(E138&lt;=K138,"OK","NG"),Blank),"-")</f>
        <v>#REF!</v>
      </c>
      <c r="S138" s="22"/>
      <c r="T138" s="221"/>
      <c r="U138"/>
    </row>
    <row r="139" spans="1:21" ht="30" hidden="1" x14ac:dyDescent="0.3">
      <c r="A139" s="318" t="e">
        <f>#REF!</f>
        <v>#REF!</v>
      </c>
      <c r="B139" s="305" t="e">
        <f>#REF!</f>
        <v>#REF!</v>
      </c>
      <c r="C139" s="305" t="str">
        <f>'Danh sách máy'!C134</f>
        <v>ISHI</v>
      </c>
      <c r="D139" s="90" t="e">
        <f>#REF!</f>
        <v>#REF!</v>
      </c>
      <c r="E139" s="97">
        <f>'Danh sách máy'!E134</f>
        <v>0</v>
      </c>
      <c r="F139" s="206" t="e">
        <f>#REF!</f>
        <v>#REF!</v>
      </c>
      <c r="G139" s="102" t="e">
        <f>#REF!</f>
        <v>#REF!</v>
      </c>
      <c r="H139" s="102" t="e">
        <f>#REF!</f>
        <v>#REF!</v>
      </c>
      <c r="I139" s="209">
        <v>44413</v>
      </c>
      <c r="J139" s="210"/>
      <c r="K139" s="210" t="e">
        <f>#REF!</f>
        <v>#REF!</v>
      </c>
      <c r="L139" s="210">
        <v>44408</v>
      </c>
      <c r="M139" s="210"/>
      <c r="N139" s="210">
        <f>'Danh sách máy'!F134</f>
        <v>0</v>
      </c>
      <c r="O139" s="211" t="str" cm="1">
        <f t="array" ref="O139">IF(L139&lt;&gt;0,IF(L139&lt;I139,"OK","NG"),Blank)</f>
        <v>OK</v>
      </c>
      <c r="P139" s="211" t="e" cm="1">
        <f t="array" ref="P139">IF(M139&lt;&gt;0,IF(M139&lt;J139,"OK","NG"),Blank)</f>
        <v>#NAME?</v>
      </c>
      <c r="Q139" s="211" t="e" cm="1">
        <f t="array" ref="Q139">IF(H139&lt;&gt;"Stop",IF(N139&lt;&gt;0,IF(N139&lt;=K139,"OK","NG"),Blank),"-")</f>
        <v>#REF!</v>
      </c>
      <c r="R139" s="326" t="e" cm="1">
        <f t="array" ref="R139">IF(H139&lt;&gt;"Stop",IF(E139&lt;&gt;0,IF(E139&lt;=K139,"OK","NG"),Blank),"-")</f>
        <v>#REF!</v>
      </c>
      <c r="S139" s="22"/>
      <c r="T139" s="221"/>
      <c r="U139"/>
    </row>
    <row r="140" spans="1:21" ht="15" hidden="1" x14ac:dyDescent="0.3">
      <c r="A140" s="318" t="e">
        <f>#REF!</f>
        <v>#REF!</v>
      </c>
      <c r="B140" s="305" t="e">
        <f>#REF!</f>
        <v>#REF!</v>
      </c>
      <c r="C140" s="305" t="str">
        <f>'Danh sách máy'!C135</f>
        <v>MKVC</v>
      </c>
      <c r="D140" s="90" t="e">
        <f>#REF!</f>
        <v>#REF!</v>
      </c>
      <c r="E140" s="97">
        <f>'Danh sách máy'!E135</f>
        <v>0</v>
      </c>
      <c r="F140" s="206" t="e">
        <f>#REF!</f>
        <v>#REF!</v>
      </c>
      <c r="G140" s="102" t="e">
        <f>#REF!</f>
        <v>#REF!</v>
      </c>
      <c r="H140" s="102" t="e">
        <f>#REF!</f>
        <v>#REF!</v>
      </c>
      <c r="I140" s="209">
        <v>44414</v>
      </c>
      <c r="J140" s="210"/>
      <c r="K140" s="210" t="e">
        <f>#REF!</f>
        <v>#REF!</v>
      </c>
      <c r="L140" s="210">
        <v>44409</v>
      </c>
      <c r="M140" s="210"/>
      <c r="N140" s="210">
        <f>'Danh sách máy'!F135</f>
        <v>0</v>
      </c>
      <c r="O140" s="211" t="str" cm="1">
        <f t="array" ref="O140">IF(L140&lt;&gt;0,IF(L140&lt;I140,"OK","NG"),Blank)</f>
        <v>OK</v>
      </c>
      <c r="P140" s="211" t="e" cm="1">
        <f t="array" ref="P140">IF(M140&lt;&gt;0,IF(M140&lt;J140,"OK","NG"),Blank)</f>
        <v>#NAME?</v>
      </c>
      <c r="Q140" s="211" t="e" cm="1">
        <f t="array" ref="Q140">IF(H140&lt;&gt;"Stop",IF(N140&lt;&gt;0,IF(N140&lt;=K140,"OK","NG"),Blank),"-")</f>
        <v>#REF!</v>
      </c>
      <c r="R140" s="326" t="e" cm="1">
        <f t="array" ref="R140">IF(H140&lt;&gt;"Stop",IF(E140&lt;&gt;0,IF(E140&lt;=K140,"OK","NG"),Blank),"-")</f>
        <v>#REF!</v>
      </c>
      <c r="S140" s="22"/>
      <c r="T140" s="221">
        <v>1</v>
      </c>
      <c r="U140"/>
    </row>
    <row r="141" spans="1:21" ht="15" hidden="1" x14ac:dyDescent="0.3">
      <c r="A141" s="318" t="e">
        <f>#REF!</f>
        <v>#REF!</v>
      </c>
      <c r="B141" s="305" t="e">
        <f>#REF!</f>
        <v>#REF!</v>
      </c>
      <c r="C141" s="305" t="str">
        <f>'Danh sách máy'!C136</f>
        <v>MKVC</v>
      </c>
      <c r="D141" s="90" t="e">
        <f>#REF!</f>
        <v>#REF!</v>
      </c>
      <c r="E141" s="97">
        <f>'Danh sách máy'!E136</f>
        <v>45496</v>
      </c>
      <c r="F141" s="206" t="e">
        <f>#REF!</f>
        <v>#REF!</v>
      </c>
      <c r="G141" s="102" t="e">
        <f>#REF!</f>
        <v>#REF!</v>
      </c>
      <c r="H141" s="102" t="e">
        <f>#REF!</f>
        <v>#REF!</v>
      </c>
      <c r="I141" s="209">
        <v>44415</v>
      </c>
      <c r="J141" s="210"/>
      <c r="K141" s="210" t="e">
        <f>#REF!</f>
        <v>#REF!</v>
      </c>
      <c r="L141" s="210">
        <v>44410</v>
      </c>
      <c r="M141" s="210"/>
      <c r="N141" s="210">
        <f>'Danh sách máy'!F136</f>
        <v>0</v>
      </c>
      <c r="O141" s="211" t="str" cm="1">
        <f t="array" ref="O141">IF(L141&lt;&gt;0,IF(L141&lt;I141,"OK","NG"),Blank)</f>
        <v>OK</v>
      </c>
      <c r="P141" s="211" t="e" cm="1">
        <f t="array" ref="P141">IF(M141&lt;&gt;0,IF(M141&lt;J141,"OK","NG"),Blank)</f>
        <v>#NAME?</v>
      </c>
      <c r="Q141" s="211" t="e" cm="1">
        <f t="array" ref="Q141">IF(H141&lt;&gt;"Stop",IF(N141&lt;&gt;0,IF(N141&lt;=K141,"OK","NG"),Blank),"-")</f>
        <v>#REF!</v>
      </c>
      <c r="R141" s="326" t="e" cm="1">
        <f t="array" ref="R141">IF(H141&lt;&gt;"Stop",IF(E141&lt;&gt;0,IF(E141&lt;=K141,"OK","NG"),Blank),"-")</f>
        <v>#REF!</v>
      </c>
      <c r="S141" s="220"/>
      <c r="T141" s="221">
        <v>1</v>
      </c>
      <c r="U141"/>
    </row>
    <row r="142" spans="1:21" ht="15" hidden="1" x14ac:dyDescent="0.3">
      <c r="A142" s="318" t="e">
        <f>#REF!</f>
        <v>#REF!</v>
      </c>
      <c r="B142" s="305" t="e">
        <f>#REF!</f>
        <v>#REF!</v>
      </c>
      <c r="C142" s="305" t="str">
        <f>'Danh sách máy'!C137</f>
        <v>MKVC</v>
      </c>
      <c r="D142" s="90" t="e">
        <f>#REF!</f>
        <v>#REF!</v>
      </c>
      <c r="E142" s="97">
        <f>'Danh sách máy'!E137</f>
        <v>45496</v>
      </c>
      <c r="F142" s="206" t="e">
        <f>#REF!</f>
        <v>#REF!</v>
      </c>
      <c r="G142" s="102" t="e">
        <f>#REF!</f>
        <v>#REF!</v>
      </c>
      <c r="H142" s="102" t="e">
        <f>#REF!</f>
        <v>#REF!</v>
      </c>
      <c r="I142" s="209">
        <v>44416</v>
      </c>
      <c r="J142" s="210"/>
      <c r="K142" s="210" t="e">
        <f>#REF!</f>
        <v>#REF!</v>
      </c>
      <c r="L142" s="210">
        <v>44411</v>
      </c>
      <c r="M142" s="210"/>
      <c r="N142" s="210">
        <f>'Danh sách máy'!F137</f>
        <v>0</v>
      </c>
      <c r="O142" s="211" t="str" cm="1">
        <f t="array" ref="O142">IF(L142&lt;&gt;0,IF(L142&lt;I142,"OK","NG"),Blank)</f>
        <v>OK</v>
      </c>
      <c r="P142" s="211" t="e" cm="1">
        <f t="array" ref="P142">IF(M142&lt;&gt;0,IF(M142&lt;J142,"OK","NG"),Blank)</f>
        <v>#NAME?</v>
      </c>
      <c r="Q142" s="211" t="e" cm="1">
        <f t="array" ref="Q142">IF(H142&lt;&gt;"Stop",IF(N142&lt;&gt;0,IF(N142&lt;=K142,"OK","NG"),Blank),"-")</f>
        <v>#REF!</v>
      </c>
      <c r="R142" s="326" t="e" cm="1">
        <f t="array" ref="R142">IF(H142&lt;&gt;"Stop",IF(E142&lt;&gt;0,IF(E142&lt;=K142,"OK","NG"),Blank),"-")</f>
        <v>#REF!</v>
      </c>
      <c r="S142" s="220"/>
      <c r="T142" s="221">
        <v>1</v>
      </c>
      <c r="U142"/>
    </row>
    <row r="143" spans="1:21" ht="30" hidden="1" x14ac:dyDescent="0.3">
      <c r="A143" s="318" t="e">
        <f>#REF!</f>
        <v>#REF!</v>
      </c>
      <c r="B143" s="305" t="e">
        <f>#REF!</f>
        <v>#REF!</v>
      </c>
      <c r="C143" s="305" t="str">
        <f>'Danh sách máy'!C138</f>
        <v>B.Braun</v>
      </c>
      <c r="D143" s="90" t="e">
        <f>#REF!</f>
        <v>#REF!</v>
      </c>
      <c r="E143" s="97">
        <f>'Danh sách máy'!E138</f>
        <v>0</v>
      </c>
      <c r="F143" s="206" t="e">
        <f>#REF!</f>
        <v>#REF!</v>
      </c>
      <c r="G143" s="102" t="e">
        <f>#REF!</f>
        <v>#REF!</v>
      </c>
      <c r="H143" s="102" t="e">
        <f>#REF!</f>
        <v>#REF!</v>
      </c>
      <c r="I143" s="209">
        <v>44417</v>
      </c>
      <c r="J143" s="210"/>
      <c r="K143" s="210" t="e">
        <f>#REF!</f>
        <v>#REF!</v>
      </c>
      <c r="L143" s="210">
        <v>44412</v>
      </c>
      <c r="M143" s="210"/>
      <c r="N143" s="210">
        <f>'Danh sách máy'!F138</f>
        <v>0</v>
      </c>
      <c r="O143" s="211" t="str" cm="1">
        <f t="array" ref="O143">IF(L143&lt;&gt;0,IF(L143&lt;I143,"OK","NG"),Blank)</f>
        <v>OK</v>
      </c>
      <c r="P143" s="211" t="e" cm="1">
        <f t="array" ref="P143">IF(M143&lt;&gt;0,IF(M143&lt;J143,"OK","NG"),Blank)</f>
        <v>#NAME?</v>
      </c>
      <c r="Q143" s="211" t="e" cm="1">
        <f t="array" ref="Q143">IF(H143&lt;&gt;"Stop",IF(N143&lt;&gt;0,IF(N143&lt;=K143,"OK","NG"),Blank),"-")</f>
        <v>#REF!</v>
      </c>
      <c r="R143" s="326" t="e" cm="1">
        <f t="array" ref="R143">IF(H143&lt;&gt;"Stop",IF(E143&lt;&gt;0,IF(E143&lt;=K143,"OK","NG"),Blank),"-")</f>
        <v>#REF!</v>
      </c>
      <c r="S143" s="22"/>
      <c r="T143" s="221"/>
      <c r="U143"/>
    </row>
    <row r="144" spans="1:21" ht="30" hidden="1" x14ac:dyDescent="0.3">
      <c r="A144" s="318" t="e">
        <f>#REF!</f>
        <v>#REF!</v>
      </c>
      <c r="B144" s="305" t="e">
        <f>#REF!</f>
        <v>#REF!</v>
      </c>
      <c r="C144" s="305" t="str">
        <f>'Danh sách máy'!C139</f>
        <v>TEN</v>
      </c>
      <c r="D144" s="90" t="e">
        <f>#REF!</f>
        <v>#REF!</v>
      </c>
      <c r="E144" s="97">
        <f>'Danh sách máy'!E139</f>
        <v>45886</v>
      </c>
      <c r="F144" s="206" t="e">
        <f>#REF!</f>
        <v>#REF!</v>
      </c>
      <c r="G144" s="102" t="e">
        <f>#REF!</f>
        <v>#REF!</v>
      </c>
      <c r="H144" s="102" t="e">
        <f>#REF!</f>
        <v>#REF!</v>
      </c>
      <c r="I144" s="209">
        <v>44418</v>
      </c>
      <c r="J144" s="210"/>
      <c r="K144" s="210" t="e">
        <f>#REF!</f>
        <v>#REF!</v>
      </c>
      <c r="L144" s="210">
        <v>44413</v>
      </c>
      <c r="M144" s="210"/>
      <c r="N144" s="210">
        <f>'Danh sách máy'!F139</f>
        <v>0</v>
      </c>
      <c r="O144" s="211" t="str" cm="1">
        <f t="array" ref="O144">IF(L144&lt;&gt;0,IF(L144&lt;I144,"OK","NG"),Blank)</f>
        <v>OK</v>
      </c>
      <c r="P144" s="211" t="e" cm="1">
        <f t="array" ref="P144">IF(M144&lt;&gt;0,IF(M144&lt;J144,"OK","NG"),Blank)</f>
        <v>#NAME?</v>
      </c>
      <c r="Q144" s="211" t="e" cm="1">
        <f t="array" ref="Q144">IF(H144&lt;&gt;"Stop",IF(N144&lt;&gt;0,IF(N144&lt;=K144,"OK","NG"),Blank),"-")</f>
        <v>#REF!</v>
      </c>
      <c r="R144" s="326" t="e" cm="1">
        <f t="array" ref="R144">IF(H144&lt;&gt;"Stop",IF(E144&lt;&gt;0,IF(E144&lt;=K144,"OK","NG"),Blank),"-")</f>
        <v>#REF!</v>
      </c>
      <c r="S144" s="22"/>
      <c r="T144" s="221"/>
      <c r="U144"/>
    </row>
    <row r="145" spans="1:21" ht="30" hidden="1" x14ac:dyDescent="0.3">
      <c r="A145" s="318" t="e">
        <f>#REF!</f>
        <v>#REF!</v>
      </c>
      <c r="B145" s="305" t="e">
        <f>#REF!</f>
        <v>#REF!</v>
      </c>
      <c r="C145" s="305" t="str">
        <f>'Danh sách máy'!C140</f>
        <v>TEN</v>
      </c>
      <c r="D145" s="90" t="e">
        <f>#REF!</f>
        <v>#REF!</v>
      </c>
      <c r="E145" s="97">
        <f>'Danh sách máy'!E140</f>
        <v>45886</v>
      </c>
      <c r="F145" s="206" t="e">
        <f>#REF!</f>
        <v>#REF!</v>
      </c>
      <c r="G145" s="102" t="e">
        <f>#REF!</f>
        <v>#REF!</v>
      </c>
      <c r="H145" s="102" t="e">
        <f>#REF!</f>
        <v>#REF!</v>
      </c>
      <c r="I145" s="209">
        <v>44419</v>
      </c>
      <c r="J145" s="210"/>
      <c r="K145" s="210" t="e">
        <f>#REF!</f>
        <v>#REF!</v>
      </c>
      <c r="L145" s="210">
        <v>44414</v>
      </c>
      <c r="M145" s="210"/>
      <c r="N145" s="210">
        <f>'Danh sách máy'!F140</f>
        <v>0</v>
      </c>
      <c r="O145" s="211" t="str" cm="1">
        <f t="array" ref="O145">IF(L145&lt;&gt;0,IF(L145&lt;I145,"OK","NG"),Blank)</f>
        <v>OK</v>
      </c>
      <c r="P145" s="211" t="e" cm="1">
        <f t="array" ref="P145">IF(M145&lt;&gt;0,IF(M145&lt;J145,"OK","NG"),Blank)</f>
        <v>#NAME?</v>
      </c>
      <c r="Q145" s="211" t="e" cm="1">
        <f t="array" ref="Q145">IF(H145&lt;&gt;"Stop",IF(N145&lt;&gt;0,IF(N145&lt;=K145,"OK","NG"),Blank),"-")</f>
        <v>#REF!</v>
      </c>
      <c r="R145" s="326" t="e" cm="1">
        <f t="array" ref="R145">IF(H145&lt;&gt;"Stop",IF(E145&lt;&gt;0,IF(E145&lt;=K145,"OK","NG"),Blank),"-")</f>
        <v>#REF!</v>
      </c>
      <c r="S145" s="22"/>
      <c r="T145" s="221"/>
      <c r="U145"/>
    </row>
    <row r="146" spans="1:21" ht="30" hidden="1" x14ac:dyDescent="0.3">
      <c r="A146" s="318" t="e">
        <f>#REF!</f>
        <v>#REF!</v>
      </c>
      <c r="B146" s="305" t="e">
        <f>#REF!</f>
        <v>#REF!</v>
      </c>
      <c r="C146" s="305" t="str">
        <f>'Danh sách máy'!C141</f>
        <v>TEN</v>
      </c>
      <c r="D146" s="90" t="e">
        <f>#REF!</f>
        <v>#REF!</v>
      </c>
      <c r="E146" s="97">
        <f>'Danh sách máy'!E141</f>
        <v>0</v>
      </c>
      <c r="F146" s="206" t="e">
        <f>#REF!</f>
        <v>#REF!</v>
      </c>
      <c r="G146" s="102" t="e">
        <f>#REF!</f>
        <v>#REF!</v>
      </c>
      <c r="H146" s="102" t="e">
        <f>#REF!</f>
        <v>#REF!</v>
      </c>
      <c r="I146" s="209">
        <v>44420</v>
      </c>
      <c r="J146" s="210"/>
      <c r="K146" s="210" t="e">
        <f>#REF!</f>
        <v>#REF!</v>
      </c>
      <c r="L146" s="210">
        <v>44415</v>
      </c>
      <c r="M146" s="210"/>
      <c r="N146" s="210">
        <f>'Danh sách máy'!F141</f>
        <v>0</v>
      </c>
      <c r="O146" s="211" t="str" cm="1">
        <f t="array" ref="O146">IF(L146&lt;&gt;0,IF(L146&lt;I146,"OK","NG"),Blank)</f>
        <v>OK</v>
      </c>
      <c r="P146" s="211" t="e" cm="1">
        <f t="array" ref="P146">IF(M146&lt;&gt;0,IF(M146&lt;J146,"OK","NG"),Blank)</f>
        <v>#NAME?</v>
      </c>
      <c r="Q146" s="211" t="e" cm="1">
        <f t="array" ref="Q146">IF(H146&lt;&gt;"Stop",IF(N146&lt;&gt;0,IF(N146&lt;=K146,"OK","NG"),Blank),"-")</f>
        <v>#REF!</v>
      </c>
      <c r="R146" s="326" t="e" cm="1">
        <f t="array" ref="R146">IF(H146&lt;&gt;"Stop",IF(E146&lt;&gt;0,IF(E146&lt;=K146,"OK","NG"),Blank),"-")</f>
        <v>#REF!</v>
      </c>
      <c r="S146" s="22"/>
      <c r="T146" s="221"/>
      <c r="U146"/>
    </row>
    <row r="147" spans="1:21" ht="30" hidden="1" x14ac:dyDescent="0.3">
      <c r="A147" s="318" t="e">
        <f>#REF!</f>
        <v>#REF!</v>
      </c>
      <c r="B147" s="305" t="e">
        <f>#REF!</f>
        <v>#REF!</v>
      </c>
      <c r="C147" s="305" t="str">
        <f>'Danh sách máy'!C142</f>
        <v>TEN</v>
      </c>
      <c r="D147" s="90" t="e">
        <f>#REF!</f>
        <v>#REF!</v>
      </c>
      <c r="E147" s="97">
        <f>'Danh sách máy'!E142</f>
        <v>0</v>
      </c>
      <c r="F147" s="206" t="e">
        <f>#REF!</f>
        <v>#REF!</v>
      </c>
      <c r="G147" s="102" t="e">
        <f>#REF!</f>
        <v>#REF!</v>
      </c>
      <c r="H147" s="102" t="e">
        <f>#REF!</f>
        <v>#REF!</v>
      </c>
      <c r="I147" s="209">
        <v>44421</v>
      </c>
      <c r="J147" s="210"/>
      <c r="K147" s="210" t="e">
        <f>#REF!</f>
        <v>#REF!</v>
      </c>
      <c r="L147" s="210">
        <v>44416</v>
      </c>
      <c r="M147" s="210"/>
      <c r="N147" s="210">
        <f>'Danh sách máy'!F142</f>
        <v>0</v>
      </c>
      <c r="O147" s="211" t="str" cm="1">
        <f t="array" ref="O147">IF(L147&lt;&gt;0,IF(L147&lt;I147,"OK","NG"),Blank)</f>
        <v>OK</v>
      </c>
      <c r="P147" s="211" t="e" cm="1">
        <f t="array" ref="P147">IF(M147&lt;&gt;0,IF(M147&lt;J147,"OK","NG"),Blank)</f>
        <v>#NAME?</v>
      </c>
      <c r="Q147" s="211" t="e" cm="1">
        <f t="array" ref="Q147">IF(H147&lt;&gt;"Stop",IF(N147&lt;&gt;0,IF(N147&lt;=K147,"OK","NG"),Blank),"-")</f>
        <v>#REF!</v>
      </c>
      <c r="R147" s="326" t="e" cm="1">
        <f t="array" ref="R147">IF(H147&lt;&gt;"Stop",IF(E147&lt;&gt;0,IF(E147&lt;=K147,"OK","NG"),Blank),"-")</f>
        <v>#REF!</v>
      </c>
      <c r="S147" s="22"/>
      <c r="T147" s="221"/>
      <c r="U147"/>
    </row>
    <row r="148" spans="1:21" ht="30" hidden="1" x14ac:dyDescent="0.3">
      <c r="A148" s="318" t="e">
        <f>#REF!</f>
        <v>#REF!</v>
      </c>
      <c r="B148" s="305" t="e">
        <f>#REF!</f>
        <v>#REF!</v>
      </c>
      <c r="C148" s="305" t="str">
        <f>'Danh sách máy'!C143</f>
        <v>TEN</v>
      </c>
      <c r="D148" s="90" t="e">
        <f>#REF!</f>
        <v>#REF!</v>
      </c>
      <c r="E148" s="97">
        <f>'Danh sách máy'!E143</f>
        <v>45841</v>
      </c>
      <c r="F148" s="206" t="e">
        <f>#REF!</f>
        <v>#REF!</v>
      </c>
      <c r="G148" s="102" t="e">
        <f>#REF!</f>
        <v>#REF!</v>
      </c>
      <c r="H148" s="102" t="e">
        <f>#REF!</f>
        <v>#REF!</v>
      </c>
      <c r="I148" s="209">
        <v>44422</v>
      </c>
      <c r="J148" s="210"/>
      <c r="K148" s="210" t="e">
        <f>#REF!</f>
        <v>#REF!</v>
      </c>
      <c r="L148" s="210">
        <v>44417</v>
      </c>
      <c r="M148" s="210"/>
      <c r="N148" s="210">
        <f>'Danh sách máy'!F143</f>
        <v>0</v>
      </c>
      <c r="O148" s="211" t="str" cm="1">
        <f t="array" ref="O148">IF(L148&lt;&gt;0,IF(L148&lt;I148,"OK","NG"),Blank)</f>
        <v>OK</v>
      </c>
      <c r="P148" s="211" t="e" cm="1">
        <f t="array" ref="P148">IF(M148&lt;&gt;0,IF(M148&lt;J148,"OK","NG"),Blank)</f>
        <v>#NAME?</v>
      </c>
      <c r="Q148" s="211" t="e" cm="1">
        <f t="array" ref="Q148">IF(H148&lt;&gt;"Stop",IF(N148&lt;&gt;0,IF(N148&lt;=K148,"OK","NG"),Blank),"-")</f>
        <v>#REF!</v>
      </c>
      <c r="R148" s="326" t="e" cm="1">
        <f t="array" ref="R148">IF(H148&lt;&gt;"Stop",IF(E148&lt;&gt;0,IF(E148&lt;=K148,"OK","NG"),Blank),"-")</f>
        <v>#REF!</v>
      </c>
      <c r="S148" s="22"/>
      <c r="T148" s="221"/>
      <c r="U148"/>
    </row>
    <row r="149" spans="1:21" ht="30" hidden="1" x14ac:dyDescent="0.3">
      <c r="A149" s="318" t="e">
        <f>#REF!</f>
        <v>#REF!</v>
      </c>
      <c r="B149" s="305" t="e">
        <f>#REF!</f>
        <v>#REF!</v>
      </c>
      <c r="C149" s="305" t="str">
        <f>'Danh sách máy'!C144</f>
        <v>TEN</v>
      </c>
      <c r="D149" s="90" t="e">
        <f>#REF!</f>
        <v>#REF!</v>
      </c>
      <c r="E149" s="97">
        <f>'Danh sách máy'!E144</f>
        <v>45841</v>
      </c>
      <c r="F149" s="206" t="e">
        <f>#REF!</f>
        <v>#REF!</v>
      </c>
      <c r="G149" s="102" t="e">
        <f>#REF!</f>
        <v>#REF!</v>
      </c>
      <c r="H149" s="102" t="e">
        <f>#REF!</f>
        <v>#REF!</v>
      </c>
      <c r="I149" s="209">
        <v>44423</v>
      </c>
      <c r="J149" s="210"/>
      <c r="K149" s="210" t="e">
        <f>#REF!</f>
        <v>#REF!</v>
      </c>
      <c r="L149" s="210">
        <v>44418</v>
      </c>
      <c r="M149" s="210"/>
      <c r="N149" s="210">
        <f>'Danh sách máy'!F144</f>
        <v>0</v>
      </c>
      <c r="O149" s="211" t="str" cm="1">
        <f t="array" ref="O149">IF(L149&lt;&gt;0,IF(L149&lt;I149,"OK","NG"),Blank)</f>
        <v>OK</v>
      </c>
      <c r="P149" s="211" t="e" cm="1">
        <f t="array" ref="P149">IF(M149&lt;&gt;0,IF(M149&lt;J149,"OK","NG"),Blank)</f>
        <v>#NAME?</v>
      </c>
      <c r="Q149" s="211" t="e" cm="1">
        <f t="array" ref="Q149">IF(H149&lt;&gt;"Stop",IF(N149&lt;&gt;0,IF(N149&lt;=K149,"OK","NG"),Blank),"-")</f>
        <v>#REF!</v>
      </c>
      <c r="R149" s="326" t="e" cm="1">
        <f t="array" ref="R149">IF(H149&lt;&gt;"Stop",IF(E149&lt;&gt;0,IF(E149&lt;=K149,"OK","NG"),Blank),"-")</f>
        <v>#REF!</v>
      </c>
      <c r="S149" s="22"/>
      <c r="T149" s="221"/>
      <c r="U149"/>
    </row>
    <row r="150" spans="1:21" ht="30" hidden="1" x14ac:dyDescent="0.3">
      <c r="A150" s="318" t="e">
        <f>#REF!</f>
        <v>#REF!</v>
      </c>
      <c r="B150" s="305" t="e">
        <f>#REF!</f>
        <v>#REF!</v>
      </c>
      <c r="C150" s="305" t="str">
        <f>'Danh sách máy'!C145</f>
        <v>TEN</v>
      </c>
      <c r="D150" s="90" t="e">
        <f>#REF!</f>
        <v>#REF!</v>
      </c>
      <c r="E150" s="97">
        <f>'Danh sách máy'!E145</f>
        <v>0</v>
      </c>
      <c r="F150" s="206" t="e">
        <f>#REF!</f>
        <v>#REF!</v>
      </c>
      <c r="G150" s="102" t="e">
        <f>#REF!</f>
        <v>#REF!</v>
      </c>
      <c r="H150" s="102" t="e">
        <f>#REF!</f>
        <v>#REF!</v>
      </c>
      <c r="I150" s="209">
        <v>44424</v>
      </c>
      <c r="J150" s="210"/>
      <c r="K150" s="210" t="e">
        <f>#REF!</f>
        <v>#REF!</v>
      </c>
      <c r="L150" s="210">
        <v>44419</v>
      </c>
      <c r="M150" s="210"/>
      <c r="N150" s="210">
        <f>'Danh sách máy'!F145</f>
        <v>0</v>
      </c>
      <c r="O150" s="211" t="str" cm="1">
        <f t="array" ref="O150">IF(L150&lt;&gt;0,IF(L150&lt;I150,"OK","NG"),Blank)</f>
        <v>OK</v>
      </c>
      <c r="P150" s="211" t="e" cm="1">
        <f t="array" ref="P150">IF(M150&lt;&gt;0,IF(M150&lt;J150,"OK","NG"),Blank)</f>
        <v>#NAME?</v>
      </c>
      <c r="Q150" s="211" t="e" cm="1">
        <f t="array" ref="Q150">IF(H150&lt;&gt;"Stop",IF(N150&lt;&gt;0,IF(N150&lt;=K150,"OK","NG"),Blank),"-")</f>
        <v>#REF!</v>
      </c>
      <c r="R150" s="326" t="e" cm="1">
        <f t="array" ref="R150">IF(H150&lt;&gt;"Stop",IF(E150&lt;&gt;0,IF(E150&lt;=K150,"OK","NG"),Blank),"-")</f>
        <v>#REF!</v>
      </c>
      <c r="S150" s="22"/>
      <c r="T150" s="221"/>
      <c r="U150"/>
    </row>
    <row r="151" spans="1:21" ht="30" hidden="1" x14ac:dyDescent="0.3">
      <c r="A151" s="318" t="e">
        <f>#REF!</f>
        <v>#REF!</v>
      </c>
      <c r="B151" s="305" t="e">
        <f>#REF!</f>
        <v>#REF!</v>
      </c>
      <c r="C151" s="305" t="str">
        <f>'Danh sách máy'!C146</f>
        <v>TEN</v>
      </c>
      <c r="D151" s="90" t="e">
        <f>#REF!</f>
        <v>#REF!</v>
      </c>
      <c r="E151" s="97">
        <f>'Danh sách máy'!E146</f>
        <v>0</v>
      </c>
      <c r="F151" s="206" t="e">
        <f>#REF!</f>
        <v>#REF!</v>
      </c>
      <c r="G151" s="102" t="e">
        <f>#REF!</f>
        <v>#REF!</v>
      </c>
      <c r="H151" s="102" t="e">
        <f>#REF!</f>
        <v>#REF!</v>
      </c>
      <c r="I151" s="209">
        <v>44425</v>
      </c>
      <c r="J151" s="210"/>
      <c r="K151" s="210" t="e">
        <f>#REF!</f>
        <v>#REF!</v>
      </c>
      <c r="L151" s="210">
        <v>44420</v>
      </c>
      <c r="M151" s="210"/>
      <c r="N151" s="210">
        <f>'Danh sách máy'!F146</f>
        <v>0</v>
      </c>
      <c r="O151" s="211" t="str" cm="1">
        <f t="array" ref="O151">IF(L151&lt;&gt;0,IF(L151&lt;I151,"OK","NG"),Blank)</f>
        <v>OK</v>
      </c>
      <c r="P151" s="211" t="e" cm="1">
        <f t="array" ref="P151">IF(M151&lt;&gt;0,IF(M151&lt;J151,"OK","NG"),Blank)</f>
        <v>#NAME?</v>
      </c>
      <c r="Q151" s="211" t="e" cm="1">
        <f t="array" ref="Q151">IF(H151&lt;&gt;"Stop",IF(N151&lt;&gt;0,IF(N151&lt;=K151,"OK","NG"),Blank),"-")</f>
        <v>#REF!</v>
      </c>
      <c r="R151" s="326" t="e" cm="1">
        <f t="array" ref="R151">IF(H151&lt;&gt;"Stop",IF(E151&lt;&gt;0,IF(E151&lt;=K151,"OK","NG"),Blank),"-")</f>
        <v>#REF!</v>
      </c>
      <c r="S151" s="22"/>
      <c r="T151" s="221"/>
      <c r="U151"/>
    </row>
    <row r="152" spans="1:21" ht="15" hidden="1" x14ac:dyDescent="0.3">
      <c r="A152" s="318" t="e">
        <f>#REF!</f>
        <v>#REF!</v>
      </c>
      <c r="B152" s="305" t="e">
        <f>#REF!</f>
        <v>#REF!</v>
      </c>
      <c r="C152" s="305" t="str">
        <f>'Danh sách máy'!C147</f>
        <v>FPC</v>
      </c>
      <c r="D152" s="90" t="e">
        <f>#REF!</f>
        <v>#REF!</v>
      </c>
      <c r="E152" s="97">
        <f>'Danh sách máy'!E147</f>
        <v>45473</v>
      </c>
      <c r="F152" s="206" t="e">
        <f>#REF!</f>
        <v>#REF!</v>
      </c>
      <c r="G152" s="102" t="e">
        <f>#REF!</f>
        <v>#REF!</v>
      </c>
      <c r="H152" s="102" t="e">
        <f>#REF!</f>
        <v>#REF!</v>
      </c>
      <c r="I152" s="209">
        <v>44426</v>
      </c>
      <c r="J152" s="210"/>
      <c r="K152" s="210" t="e">
        <f>#REF!</f>
        <v>#REF!</v>
      </c>
      <c r="L152" s="210">
        <v>44421</v>
      </c>
      <c r="M152" s="210"/>
      <c r="N152" s="210">
        <f>'Danh sách máy'!F147</f>
        <v>0</v>
      </c>
      <c r="O152" s="211" t="str" cm="1">
        <f t="array" ref="O152">IF(L152&lt;&gt;0,IF(L152&lt;I152,"OK","NG"),Blank)</f>
        <v>OK</v>
      </c>
      <c r="P152" s="211" t="e" cm="1">
        <f t="array" ref="P152">IF(M152&lt;&gt;0,IF(M152&lt;J152,"OK","NG"),Blank)</f>
        <v>#NAME?</v>
      </c>
      <c r="Q152" s="211" t="e" cm="1">
        <f t="array" ref="Q152">IF(H152&lt;&gt;"Stop",IF(N152&lt;&gt;0,IF(N152&lt;=K152,"OK","NG"),Blank),"-")</f>
        <v>#REF!</v>
      </c>
      <c r="R152" s="326" t="e" cm="1">
        <f t="array" ref="R152">IF(H152&lt;&gt;"Stop",IF(E152&lt;&gt;0,IF(E152&lt;=K152,"OK","NG"),Blank),"-")</f>
        <v>#REF!</v>
      </c>
      <c r="S152" s="220"/>
      <c r="T152" s="221">
        <v>1</v>
      </c>
      <c r="U152"/>
    </row>
    <row r="153" spans="1:21" ht="30" hidden="1" x14ac:dyDescent="0.3">
      <c r="A153" s="318" t="e">
        <f>#REF!</f>
        <v>#REF!</v>
      </c>
      <c r="B153" s="305" t="e">
        <f>#REF!</f>
        <v>#REF!</v>
      </c>
      <c r="C153" s="305" t="str">
        <f>'Danh sách máy'!C148</f>
        <v>TEN</v>
      </c>
      <c r="D153" s="90" t="e">
        <f>#REF!</f>
        <v>#REF!</v>
      </c>
      <c r="E153" s="97">
        <f>'Danh sách máy'!E148</f>
        <v>0</v>
      </c>
      <c r="F153" s="206" t="e">
        <f>#REF!</f>
        <v>#REF!</v>
      </c>
      <c r="G153" s="102" t="e">
        <f>#REF!</f>
        <v>#REF!</v>
      </c>
      <c r="H153" s="102" t="e">
        <f>#REF!</f>
        <v>#REF!</v>
      </c>
      <c r="I153" s="209">
        <v>44427</v>
      </c>
      <c r="J153" s="210"/>
      <c r="K153" s="210" t="e">
        <f>#REF!</f>
        <v>#REF!</v>
      </c>
      <c r="L153" s="210">
        <v>44422</v>
      </c>
      <c r="M153" s="210"/>
      <c r="N153" s="210">
        <f>'Danh sách máy'!F148</f>
        <v>0</v>
      </c>
      <c r="O153" s="211" t="str" cm="1">
        <f t="array" ref="O153">IF(L153&lt;&gt;0,IF(L153&lt;I153,"OK","NG"),Blank)</f>
        <v>OK</v>
      </c>
      <c r="P153" s="211" t="e" cm="1">
        <f t="array" ref="P153">IF(M153&lt;&gt;0,IF(M153&lt;J153,"OK","NG"),Blank)</f>
        <v>#NAME?</v>
      </c>
      <c r="Q153" s="211" t="e" cm="1">
        <f t="array" ref="Q153">IF(H153&lt;&gt;"Stop",IF(N153&lt;&gt;0,IF(N153&lt;=K153,"OK","NG"),Blank),"-")</f>
        <v>#REF!</v>
      </c>
      <c r="R153" s="326" t="e" cm="1">
        <f t="array" ref="R153">IF(H153&lt;&gt;"Stop",IF(E153&lt;&gt;0,IF(E153&lt;=K153,"OK","NG"),Blank),"-")</f>
        <v>#REF!</v>
      </c>
      <c r="S153" s="22"/>
      <c r="T153" s="221"/>
      <c r="U153"/>
    </row>
    <row r="154" spans="1:21" ht="30" hidden="1" x14ac:dyDescent="0.3">
      <c r="A154" s="318" t="e">
        <f>#REF!</f>
        <v>#REF!</v>
      </c>
      <c r="B154" s="305" t="e">
        <f>#REF!</f>
        <v>#REF!</v>
      </c>
      <c r="C154" s="305" t="str">
        <f>'Danh sách máy'!C149</f>
        <v>TEN</v>
      </c>
      <c r="D154" s="90" t="e">
        <f>#REF!</f>
        <v>#REF!</v>
      </c>
      <c r="E154" s="97">
        <f>'Danh sách máy'!E149</f>
        <v>0</v>
      </c>
      <c r="F154" s="206" t="e">
        <f>#REF!</f>
        <v>#REF!</v>
      </c>
      <c r="G154" s="102" t="e">
        <f>#REF!</f>
        <v>#REF!</v>
      </c>
      <c r="H154" s="102" t="e">
        <f>#REF!</f>
        <v>#REF!</v>
      </c>
      <c r="I154" s="209">
        <v>44428</v>
      </c>
      <c r="J154" s="210"/>
      <c r="K154" s="210" t="e">
        <f>#REF!</f>
        <v>#REF!</v>
      </c>
      <c r="L154" s="210">
        <v>44423</v>
      </c>
      <c r="M154" s="210"/>
      <c r="N154" s="210">
        <f>'Danh sách máy'!F149</f>
        <v>0</v>
      </c>
      <c r="O154" s="211" t="str" cm="1">
        <f t="array" ref="O154">IF(L154&lt;&gt;0,IF(L154&lt;I154,"OK","NG"),Blank)</f>
        <v>OK</v>
      </c>
      <c r="P154" s="211" t="e" cm="1">
        <f t="array" ref="P154">IF(M154&lt;&gt;0,IF(M154&lt;J154,"OK","NG"),Blank)</f>
        <v>#NAME?</v>
      </c>
      <c r="Q154" s="211" t="e" cm="1">
        <f t="array" ref="Q154">IF(H154&lt;&gt;"Stop",IF(N154&lt;&gt;0,IF(N154&lt;=K154,"OK","NG"),Blank),"-")</f>
        <v>#REF!</v>
      </c>
      <c r="R154" s="326" t="e" cm="1">
        <f t="array" ref="R154">IF(H154&lt;&gt;"Stop",IF(E154&lt;&gt;0,IF(E154&lt;=K154,"OK","NG"),Blank),"-")</f>
        <v>#REF!</v>
      </c>
      <c r="S154" s="22"/>
      <c r="T154" s="221"/>
      <c r="U154"/>
    </row>
    <row r="155" spans="1:21" ht="30" hidden="1" x14ac:dyDescent="0.3">
      <c r="A155" s="318" t="e">
        <f>#REF!</f>
        <v>#REF!</v>
      </c>
      <c r="B155" s="305" t="e">
        <f>#REF!</f>
        <v>#REF!</v>
      </c>
      <c r="C155" s="305" t="str">
        <f>'Danh sách máy'!C150</f>
        <v>TEN</v>
      </c>
      <c r="D155" s="90" t="e">
        <f>#REF!</f>
        <v>#REF!</v>
      </c>
      <c r="E155" s="97">
        <f>'Danh sách máy'!E150</f>
        <v>0</v>
      </c>
      <c r="F155" s="206" t="e">
        <f>#REF!</f>
        <v>#REF!</v>
      </c>
      <c r="G155" s="102" t="e">
        <f>#REF!</f>
        <v>#REF!</v>
      </c>
      <c r="H155" s="102" t="e">
        <f>#REF!</f>
        <v>#REF!</v>
      </c>
      <c r="I155" s="209">
        <v>44429</v>
      </c>
      <c r="J155" s="210"/>
      <c r="K155" s="210" t="e">
        <f>#REF!</f>
        <v>#REF!</v>
      </c>
      <c r="L155" s="210">
        <v>44424</v>
      </c>
      <c r="M155" s="210"/>
      <c r="N155" s="210">
        <f>'Danh sách máy'!F150</f>
        <v>0</v>
      </c>
      <c r="O155" s="211" t="str" cm="1">
        <f t="array" ref="O155">IF(L155&lt;&gt;0,IF(L155&lt;I155,"OK","NG"),Blank)</f>
        <v>OK</v>
      </c>
      <c r="P155" s="211" t="e" cm="1">
        <f t="array" ref="P155">IF(M155&lt;&gt;0,IF(M155&lt;J155,"OK","NG"),Blank)</f>
        <v>#NAME?</v>
      </c>
      <c r="Q155" s="211" t="e" cm="1">
        <f t="array" ref="Q155">IF(H155&lt;&gt;"Stop",IF(N155&lt;&gt;0,IF(N155&lt;=K155,"OK","NG"),Blank),"-")</f>
        <v>#REF!</v>
      </c>
      <c r="R155" s="326" t="e" cm="1">
        <f t="array" ref="R155">IF(H155&lt;&gt;"Stop",IF(E155&lt;&gt;0,IF(E155&lt;=K155,"OK","NG"),Blank),"-")</f>
        <v>#REF!</v>
      </c>
      <c r="S155" s="22"/>
      <c r="T155" s="221"/>
      <c r="U155"/>
    </row>
    <row r="156" spans="1:21" ht="45" hidden="1" x14ac:dyDescent="0.3">
      <c r="A156" s="318" t="e">
        <f>#REF!</f>
        <v>#REF!</v>
      </c>
      <c r="B156" s="305" t="e">
        <f>#REF!</f>
        <v>#REF!</v>
      </c>
      <c r="C156" s="305" t="str">
        <f>'Danh sách máy'!C151</f>
        <v>TEN</v>
      </c>
      <c r="D156" s="90" t="e">
        <f>#REF!</f>
        <v>#REF!</v>
      </c>
      <c r="E156" s="97">
        <f>'Danh sách máy'!E151</f>
        <v>0</v>
      </c>
      <c r="F156" s="206" t="e">
        <f>#REF!</f>
        <v>#REF!</v>
      </c>
      <c r="G156" s="102" t="e">
        <f>#REF!</f>
        <v>#REF!</v>
      </c>
      <c r="H156" s="102" t="e">
        <f>#REF!</f>
        <v>#REF!</v>
      </c>
      <c r="I156" s="209">
        <v>44430</v>
      </c>
      <c r="J156" s="210"/>
      <c r="K156" s="210" t="e">
        <f>#REF!</f>
        <v>#REF!</v>
      </c>
      <c r="L156" s="210">
        <v>44425</v>
      </c>
      <c r="M156" s="210"/>
      <c r="N156" s="210">
        <f>'Danh sách máy'!F151</f>
        <v>0</v>
      </c>
      <c r="O156" s="211" t="str" cm="1">
        <f t="array" ref="O156">IF(L156&lt;&gt;0,IF(L156&lt;I156,"OK","NG"),Blank)</f>
        <v>OK</v>
      </c>
      <c r="P156" s="211" t="e" cm="1">
        <f t="array" ref="P156">IF(M156&lt;&gt;0,IF(M156&lt;J156,"OK","NG"),Blank)</f>
        <v>#NAME?</v>
      </c>
      <c r="Q156" s="211" t="e" cm="1">
        <f t="array" ref="Q156">IF(H156&lt;&gt;"Stop",IF(N156&lt;&gt;0,IF(N156&lt;=K156,"OK","NG"),Blank),"-")</f>
        <v>#REF!</v>
      </c>
      <c r="R156" s="326" t="e" cm="1">
        <f t="array" ref="R156">IF(H156&lt;&gt;"Stop",IF(E156&lt;&gt;0,IF(E156&lt;=K156,"OK","NG"),Blank),"-")</f>
        <v>#REF!</v>
      </c>
      <c r="S156" s="22"/>
      <c r="T156" s="221"/>
      <c r="U156"/>
    </row>
    <row r="157" spans="1:21" ht="30" hidden="1" x14ac:dyDescent="0.3">
      <c r="A157" s="318" t="e">
        <f>#REF!</f>
        <v>#REF!</v>
      </c>
      <c r="B157" s="305" t="e">
        <f>#REF!</f>
        <v>#REF!</v>
      </c>
      <c r="C157" s="305" t="str">
        <f>'Danh sách máy'!C152</f>
        <v>TEN</v>
      </c>
      <c r="D157" s="90" t="e">
        <f>#REF!</f>
        <v>#REF!</v>
      </c>
      <c r="E157" s="97">
        <f>'Danh sách máy'!E152</f>
        <v>0</v>
      </c>
      <c r="F157" s="206" t="e">
        <f>#REF!</f>
        <v>#REF!</v>
      </c>
      <c r="G157" s="102" t="e">
        <f>#REF!</f>
        <v>#REF!</v>
      </c>
      <c r="H157" s="102" t="e">
        <f>#REF!</f>
        <v>#REF!</v>
      </c>
      <c r="I157" s="209">
        <v>44431</v>
      </c>
      <c r="J157" s="210"/>
      <c r="K157" s="210" t="e">
        <f>#REF!</f>
        <v>#REF!</v>
      </c>
      <c r="L157" s="210">
        <v>44426</v>
      </c>
      <c r="M157" s="210"/>
      <c r="N157" s="210">
        <f>'Danh sách máy'!F152</f>
        <v>0</v>
      </c>
      <c r="O157" s="211" t="str" cm="1">
        <f t="array" ref="O157">IF(L157&lt;&gt;0,IF(L157&lt;I157,"OK","NG"),Blank)</f>
        <v>OK</v>
      </c>
      <c r="P157" s="211" t="e" cm="1">
        <f t="array" ref="P157">IF(M157&lt;&gt;0,IF(M157&lt;J157,"OK","NG"),Blank)</f>
        <v>#NAME?</v>
      </c>
      <c r="Q157" s="211" t="e" cm="1">
        <f t="array" ref="Q157">IF(H157&lt;&gt;"Stop",IF(N157&lt;&gt;0,IF(N157&lt;=K157,"OK","NG"),Blank),"-")</f>
        <v>#REF!</v>
      </c>
      <c r="R157" s="326" t="e" cm="1">
        <f t="array" ref="R157">IF(H157&lt;&gt;"Stop",IF(E157&lt;&gt;0,IF(E157&lt;=K157,"OK","NG"),Blank),"-")</f>
        <v>#REF!</v>
      </c>
      <c r="S157" s="22"/>
      <c r="T157" s="221"/>
      <c r="U157"/>
    </row>
    <row r="158" spans="1:21" ht="45" hidden="1" x14ac:dyDescent="0.3">
      <c r="A158" s="318" t="e">
        <f>#REF!</f>
        <v>#REF!</v>
      </c>
      <c r="B158" s="305" t="e">
        <f>#REF!</f>
        <v>#REF!</v>
      </c>
      <c r="C158" s="305" t="str">
        <f>'Danh sách máy'!C153</f>
        <v>TEN</v>
      </c>
      <c r="D158" s="90" t="e">
        <f>#REF!</f>
        <v>#REF!</v>
      </c>
      <c r="E158" s="97">
        <f>'Danh sách máy'!E153</f>
        <v>0</v>
      </c>
      <c r="F158" s="206" t="e">
        <f>#REF!</f>
        <v>#REF!</v>
      </c>
      <c r="G158" s="102" t="e">
        <f>#REF!</f>
        <v>#REF!</v>
      </c>
      <c r="H158" s="102" t="e">
        <f>#REF!</f>
        <v>#REF!</v>
      </c>
      <c r="I158" s="209">
        <v>44432</v>
      </c>
      <c r="J158" s="210"/>
      <c r="K158" s="210" t="e">
        <f>#REF!</f>
        <v>#REF!</v>
      </c>
      <c r="L158" s="210">
        <v>44427</v>
      </c>
      <c r="M158" s="210"/>
      <c r="N158" s="210">
        <f>'Danh sách máy'!F153</f>
        <v>0</v>
      </c>
      <c r="O158" s="211" t="str" cm="1">
        <f t="array" ref="O158">IF(L158&lt;&gt;0,IF(L158&lt;I158,"OK","NG"),Blank)</f>
        <v>OK</v>
      </c>
      <c r="P158" s="211" t="e" cm="1">
        <f t="array" ref="P158">IF(M158&lt;&gt;0,IF(M158&lt;J158,"OK","NG"),Blank)</f>
        <v>#NAME?</v>
      </c>
      <c r="Q158" s="211" t="e" cm="1">
        <f t="array" ref="Q158">IF(H158&lt;&gt;"Stop",IF(N158&lt;&gt;0,IF(N158&lt;=K158,"OK","NG"),Blank),"-")</f>
        <v>#REF!</v>
      </c>
      <c r="R158" s="326" t="e" cm="1">
        <f t="array" ref="R158">IF(H158&lt;&gt;"Stop",IF(E158&lt;&gt;0,IF(E158&lt;=K158,"OK","NG"),Blank),"-")</f>
        <v>#REF!</v>
      </c>
      <c r="S158" s="22"/>
      <c r="T158" s="221"/>
      <c r="U158"/>
    </row>
    <row r="159" spans="1:21" ht="30" hidden="1" x14ac:dyDescent="0.3">
      <c r="A159" s="318" t="e">
        <f>#REF!</f>
        <v>#REF!</v>
      </c>
      <c r="B159" s="305" t="e">
        <f>#REF!</f>
        <v>#REF!</v>
      </c>
      <c r="C159" s="305" t="str">
        <f>'Danh sách máy'!C154</f>
        <v>TEN</v>
      </c>
      <c r="D159" s="90" t="e">
        <f>#REF!</f>
        <v>#REF!</v>
      </c>
      <c r="E159" s="97">
        <f>'Danh sách máy'!E154</f>
        <v>0</v>
      </c>
      <c r="F159" s="206" t="e">
        <f>#REF!</f>
        <v>#REF!</v>
      </c>
      <c r="G159" s="102" t="e">
        <f>#REF!</f>
        <v>#REF!</v>
      </c>
      <c r="H159" s="102" t="e">
        <f>#REF!</f>
        <v>#REF!</v>
      </c>
      <c r="I159" s="209">
        <v>44433</v>
      </c>
      <c r="J159" s="210"/>
      <c r="K159" s="210" t="e">
        <f>#REF!</f>
        <v>#REF!</v>
      </c>
      <c r="L159" s="210">
        <v>44428</v>
      </c>
      <c r="M159" s="210"/>
      <c r="N159" s="210">
        <f>'Danh sách máy'!F154</f>
        <v>0</v>
      </c>
      <c r="O159" s="211" t="str" cm="1">
        <f t="array" ref="O159">IF(L159&lt;&gt;0,IF(L159&lt;I159,"OK","NG"),Blank)</f>
        <v>OK</v>
      </c>
      <c r="P159" s="211" t="e" cm="1">
        <f t="array" ref="P159">IF(M159&lt;&gt;0,IF(M159&lt;J159,"OK","NG"),Blank)</f>
        <v>#NAME?</v>
      </c>
      <c r="Q159" s="211" t="e" cm="1">
        <f t="array" ref="Q159">IF(H159&lt;&gt;"Stop",IF(N159&lt;&gt;0,IF(N159&lt;=K159,"OK","NG"),Blank),"-")</f>
        <v>#REF!</v>
      </c>
      <c r="R159" s="326" t="e" cm="1">
        <f t="array" ref="R159">IF(H159&lt;&gt;"Stop",IF(E159&lt;&gt;0,IF(E159&lt;=K159,"OK","NG"),Blank),"-")</f>
        <v>#REF!</v>
      </c>
      <c r="S159" s="22"/>
      <c r="T159" s="221"/>
      <c r="U159"/>
    </row>
    <row r="160" spans="1:21" ht="30" hidden="1" x14ac:dyDescent="0.3">
      <c r="A160" s="318" t="e">
        <f>#REF!</f>
        <v>#REF!</v>
      </c>
      <c r="B160" s="305" t="e">
        <f>#REF!</f>
        <v>#REF!</v>
      </c>
      <c r="C160" s="305" t="str">
        <f>'Danh sách máy'!C155</f>
        <v>TEN</v>
      </c>
      <c r="D160" s="90" t="e">
        <f>#REF!</f>
        <v>#REF!</v>
      </c>
      <c r="E160" s="97">
        <f>'Danh sách máy'!E155</f>
        <v>0</v>
      </c>
      <c r="F160" s="206" t="e">
        <f>#REF!</f>
        <v>#REF!</v>
      </c>
      <c r="G160" s="102" t="e">
        <f>#REF!</f>
        <v>#REF!</v>
      </c>
      <c r="H160" s="102" t="e">
        <f>#REF!</f>
        <v>#REF!</v>
      </c>
      <c r="I160" s="209">
        <v>44434</v>
      </c>
      <c r="J160" s="210"/>
      <c r="K160" s="210" t="e">
        <f>#REF!</f>
        <v>#REF!</v>
      </c>
      <c r="L160" s="210">
        <v>44429</v>
      </c>
      <c r="M160" s="210"/>
      <c r="N160" s="210">
        <f>'Danh sách máy'!F155</f>
        <v>0</v>
      </c>
      <c r="O160" s="211" t="str" cm="1">
        <f t="array" ref="O160">IF(L160&lt;&gt;0,IF(L160&lt;I160,"OK","NG"),Blank)</f>
        <v>OK</v>
      </c>
      <c r="P160" s="211" t="e" cm="1">
        <f t="array" ref="P160">IF(M160&lt;&gt;0,IF(M160&lt;J160,"OK","NG"),Blank)</f>
        <v>#NAME?</v>
      </c>
      <c r="Q160" s="211" t="e" cm="1">
        <f t="array" ref="Q160">IF(H160&lt;&gt;"Stop",IF(N160&lt;&gt;0,IF(N160&lt;=K160,"OK","NG"),Blank),"-")</f>
        <v>#REF!</v>
      </c>
      <c r="R160" s="326" t="e" cm="1">
        <f t="array" ref="R160">IF(H160&lt;&gt;"Stop",IF(E160&lt;&gt;0,IF(E160&lt;=K160,"OK","NG"),Blank),"-")</f>
        <v>#REF!</v>
      </c>
      <c r="S160" s="22"/>
      <c r="T160" s="221"/>
      <c r="U160"/>
    </row>
    <row r="161" spans="1:21" ht="30" hidden="1" x14ac:dyDescent="0.3">
      <c r="A161" s="318" t="e">
        <f>#REF!</f>
        <v>#REF!</v>
      </c>
      <c r="B161" s="305" t="e">
        <f>#REF!</f>
        <v>#REF!</v>
      </c>
      <c r="C161" s="305" t="str">
        <f>'Danh sách máy'!C156</f>
        <v>TEN</v>
      </c>
      <c r="D161" s="90" t="e">
        <f>#REF!</f>
        <v>#REF!</v>
      </c>
      <c r="E161" s="97">
        <f>'Danh sách máy'!E156</f>
        <v>45886</v>
      </c>
      <c r="F161" s="206" t="e">
        <f>#REF!</f>
        <v>#REF!</v>
      </c>
      <c r="G161" s="102" t="e">
        <f>#REF!</f>
        <v>#REF!</v>
      </c>
      <c r="H161" s="102" t="e">
        <f>#REF!</f>
        <v>#REF!</v>
      </c>
      <c r="I161" s="209">
        <v>44435</v>
      </c>
      <c r="J161" s="210"/>
      <c r="K161" s="210" t="e">
        <f>#REF!</f>
        <v>#REF!</v>
      </c>
      <c r="L161" s="210">
        <v>44430</v>
      </c>
      <c r="M161" s="210"/>
      <c r="N161" s="210">
        <f>'Danh sách máy'!F156</f>
        <v>0</v>
      </c>
      <c r="O161" s="211" t="str" cm="1">
        <f t="array" ref="O161">IF(L161&lt;&gt;0,IF(L161&lt;I161,"OK","NG"),Blank)</f>
        <v>OK</v>
      </c>
      <c r="P161" s="211" t="e" cm="1">
        <f t="array" ref="P161">IF(M161&lt;&gt;0,IF(M161&lt;J161,"OK","NG"),Blank)</f>
        <v>#NAME?</v>
      </c>
      <c r="Q161" s="211" t="e" cm="1">
        <f t="array" ref="Q161">IF(H161&lt;&gt;"Stop",IF(N161&lt;&gt;0,IF(N161&lt;=K161,"OK","NG"),Blank),"-")</f>
        <v>#REF!</v>
      </c>
      <c r="R161" s="326" t="e" cm="1">
        <f t="array" ref="R161">IF(H161&lt;&gt;"Stop",IF(E161&lt;&gt;0,IF(E161&lt;=K161,"OK","NG"),Blank),"-")</f>
        <v>#REF!</v>
      </c>
      <c r="S161" s="22"/>
      <c r="T161" s="221"/>
      <c r="U161"/>
    </row>
    <row r="162" spans="1:21" ht="30" hidden="1" x14ac:dyDescent="0.3">
      <c r="A162" s="318" t="e">
        <f>#REF!</f>
        <v>#REF!</v>
      </c>
      <c r="B162" s="305" t="e">
        <f>#REF!</f>
        <v>#REF!</v>
      </c>
      <c r="C162" s="305" t="str">
        <f>'Danh sách máy'!C157</f>
        <v>TEN</v>
      </c>
      <c r="D162" s="90" t="e">
        <f>#REF!</f>
        <v>#REF!</v>
      </c>
      <c r="E162" s="97">
        <f>'Danh sách máy'!E157</f>
        <v>45886</v>
      </c>
      <c r="F162" s="206" t="e">
        <f>#REF!</f>
        <v>#REF!</v>
      </c>
      <c r="G162" s="102" t="e">
        <f>#REF!</f>
        <v>#REF!</v>
      </c>
      <c r="H162" s="102" t="e">
        <f>#REF!</f>
        <v>#REF!</v>
      </c>
      <c r="I162" s="209">
        <v>44436</v>
      </c>
      <c r="J162" s="210"/>
      <c r="K162" s="210" t="e">
        <f>#REF!</f>
        <v>#REF!</v>
      </c>
      <c r="L162" s="210">
        <v>44431</v>
      </c>
      <c r="M162" s="210"/>
      <c r="N162" s="210">
        <f>'Danh sách máy'!F157</f>
        <v>0</v>
      </c>
      <c r="O162" s="211" t="str" cm="1">
        <f t="array" ref="O162">IF(L162&lt;&gt;0,IF(L162&lt;I162,"OK","NG"),Blank)</f>
        <v>OK</v>
      </c>
      <c r="P162" s="211" t="e" cm="1">
        <f t="array" ref="P162">IF(M162&lt;&gt;0,IF(M162&lt;J162,"OK","NG"),Blank)</f>
        <v>#NAME?</v>
      </c>
      <c r="Q162" s="211" t="e" cm="1">
        <f t="array" ref="Q162">IF(H162&lt;&gt;"Stop",IF(N162&lt;&gt;0,IF(N162&lt;=K162,"OK","NG"),Blank),"-")</f>
        <v>#REF!</v>
      </c>
      <c r="R162" s="326" t="e" cm="1">
        <f t="array" ref="R162">IF(H162&lt;&gt;"Stop",IF(E162&lt;&gt;0,IF(E162&lt;=K162,"OK","NG"),Blank),"-")</f>
        <v>#REF!</v>
      </c>
      <c r="S162" s="22"/>
      <c r="T162" s="221"/>
      <c r="U162"/>
    </row>
    <row r="163" spans="1:21" ht="15" hidden="1" x14ac:dyDescent="0.3">
      <c r="A163" s="318" t="e">
        <f>#REF!</f>
        <v>#REF!</v>
      </c>
      <c r="B163" s="305" t="e">
        <f>#REF!</f>
        <v>#REF!</v>
      </c>
      <c r="C163" s="305" t="str">
        <f>'Danh sách máy'!C158</f>
        <v>TEN</v>
      </c>
      <c r="D163" s="90" t="e">
        <f>#REF!</f>
        <v>#REF!</v>
      </c>
      <c r="E163" s="97">
        <f>'Danh sách máy'!E158</f>
        <v>45868</v>
      </c>
      <c r="F163" s="206" t="e">
        <f>#REF!</f>
        <v>#REF!</v>
      </c>
      <c r="G163" s="102" t="e">
        <f>#REF!</f>
        <v>#REF!</v>
      </c>
      <c r="H163" s="102" t="e">
        <f>#REF!</f>
        <v>#REF!</v>
      </c>
      <c r="I163" s="209">
        <v>44437</v>
      </c>
      <c r="J163" s="210"/>
      <c r="K163" s="210" t="e">
        <f>#REF!</f>
        <v>#REF!</v>
      </c>
      <c r="L163" s="210">
        <v>44432</v>
      </c>
      <c r="M163" s="210"/>
      <c r="N163" s="210">
        <f>'Danh sách máy'!F158</f>
        <v>0</v>
      </c>
      <c r="O163" s="211" t="str" cm="1">
        <f t="array" ref="O163">IF(L163&lt;&gt;0,IF(L163&lt;I163,"OK","NG"),Blank)</f>
        <v>OK</v>
      </c>
      <c r="P163" s="211" t="e" cm="1">
        <f t="array" ref="P163">IF(M163&lt;&gt;0,IF(M163&lt;J163,"OK","NG"),Blank)</f>
        <v>#NAME?</v>
      </c>
      <c r="Q163" s="211" t="e" cm="1">
        <f t="array" ref="Q163">IF(H163&lt;&gt;"Stop",IF(N163&lt;&gt;0,IF(N163&lt;=K163,"OK","NG"),Blank),"-")</f>
        <v>#REF!</v>
      </c>
      <c r="R163" s="326" t="e" cm="1">
        <f t="array" ref="R163">IF(H163&lt;&gt;"Stop",IF(E163&lt;&gt;0,IF(E163&lt;=K163,"OK","NG"),Blank),"-")</f>
        <v>#REF!</v>
      </c>
      <c r="S163" s="22"/>
      <c r="T163" s="221"/>
      <c r="U163"/>
    </row>
    <row r="164" spans="1:21" ht="15" hidden="1" x14ac:dyDescent="0.3">
      <c r="A164" s="318" t="e">
        <f>#REF!</f>
        <v>#REF!</v>
      </c>
      <c r="B164" s="305" t="e">
        <f>#REF!</f>
        <v>#REF!</v>
      </c>
      <c r="C164" s="305" t="str">
        <f>'Danh sách máy'!C159</f>
        <v>TEN</v>
      </c>
      <c r="D164" s="90" t="e">
        <f>#REF!</f>
        <v>#REF!</v>
      </c>
      <c r="E164" s="97">
        <f>'Danh sách máy'!E159</f>
        <v>45868</v>
      </c>
      <c r="F164" s="206" t="e">
        <f>#REF!</f>
        <v>#REF!</v>
      </c>
      <c r="G164" s="102" t="e">
        <f>#REF!</f>
        <v>#REF!</v>
      </c>
      <c r="H164" s="102" t="e">
        <f>#REF!</f>
        <v>#REF!</v>
      </c>
      <c r="I164" s="209">
        <v>44438</v>
      </c>
      <c r="J164" s="210"/>
      <c r="K164" s="210" t="e">
        <f>#REF!</f>
        <v>#REF!</v>
      </c>
      <c r="L164" s="210">
        <v>44433</v>
      </c>
      <c r="M164" s="210"/>
      <c r="N164" s="210">
        <f>'Danh sách máy'!F159</f>
        <v>0</v>
      </c>
      <c r="O164" s="211" t="str" cm="1">
        <f t="array" ref="O164">IF(L164&lt;&gt;0,IF(L164&lt;I164,"OK","NG"),Blank)</f>
        <v>OK</v>
      </c>
      <c r="P164" s="211" t="e" cm="1">
        <f t="array" ref="P164">IF(M164&lt;&gt;0,IF(M164&lt;J164,"OK","NG"),Blank)</f>
        <v>#NAME?</v>
      </c>
      <c r="Q164" s="211" t="e" cm="1">
        <f t="array" ref="Q164">IF(H164&lt;&gt;"Stop",IF(N164&lt;&gt;0,IF(N164&lt;=K164,"OK","NG"),Blank),"-")</f>
        <v>#REF!</v>
      </c>
      <c r="R164" s="326" t="e" cm="1">
        <f t="array" ref="R164">IF(H164&lt;&gt;"Stop",IF(E164&lt;&gt;0,IF(E164&lt;=K164,"OK","NG"),Blank),"-")</f>
        <v>#REF!</v>
      </c>
      <c r="S164" s="22"/>
      <c r="T164" s="221"/>
      <c r="U164"/>
    </row>
    <row r="165" spans="1:21" ht="43.2" hidden="1" x14ac:dyDescent="0.3">
      <c r="A165" s="318" t="e">
        <f>#REF!</f>
        <v>#REF!</v>
      </c>
      <c r="B165" s="305" t="e">
        <f>#REF!</f>
        <v>#REF!</v>
      </c>
      <c r="C165" s="305" t="str">
        <f>'Danh sách máy'!C160</f>
        <v>TEN</v>
      </c>
      <c r="D165" s="90" t="e">
        <f>#REF!</f>
        <v>#REF!</v>
      </c>
      <c r="E165" s="97">
        <f>'Danh sách máy'!E160</f>
        <v>45446</v>
      </c>
      <c r="F165" s="206" t="e">
        <f>#REF!</f>
        <v>#REF!</v>
      </c>
      <c r="G165" s="102" t="e">
        <f>#REF!</f>
        <v>#REF!</v>
      </c>
      <c r="H165" s="102" t="e">
        <f>#REF!</f>
        <v>#REF!</v>
      </c>
      <c r="I165" s="209">
        <v>44439</v>
      </c>
      <c r="J165" s="210"/>
      <c r="K165" s="210" t="e">
        <f>#REF!</f>
        <v>#REF!</v>
      </c>
      <c r="L165" s="210">
        <v>44434</v>
      </c>
      <c r="M165" s="210"/>
      <c r="N165" s="210">
        <f>'Danh sách máy'!F160</f>
        <v>45446</v>
      </c>
      <c r="O165" s="211" t="str" cm="1">
        <f t="array" ref="O165">IF(L165&lt;&gt;0,IF(L165&lt;I165,"OK","NG"),Blank)</f>
        <v>OK</v>
      </c>
      <c r="P165" s="211" t="e" cm="1">
        <f t="array" ref="P165">IF(M165&lt;&gt;0,IF(M165&lt;J165,"OK","NG"),Blank)</f>
        <v>#NAME?</v>
      </c>
      <c r="Q165" s="211" t="e" cm="1">
        <f t="array" ref="Q165">IF(H165&lt;&gt;"Stop",IF(N165&lt;&gt;0,IF(N165&lt;=K165,"OK","NG"),Blank),"-")</f>
        <v>#REF!</v>
      </c>
      <c r="R165" s="326" t="e" cm="1">
        <f t="array" ref="R165">IF(H165&lt;&gt;"Stop",IF(E165&lt;&gt;0,IF(E165&lt;=K165,"OK","NG"),Blank),"-")</f>
        <v>#REF!</v>
      </c>
      <c r="S165" s="220" t="s">
        <v>4419</v>
      </c>
      <c r="T165" s="221">
        <v>1</v>
      </c>
    </row>
    <row r="166" spans="1:21" ht="15" hidden="1" x14ac:dyDescent="0.3">
      <c r="A166" s="318" t="e">
        <f>#REF!</f>
        <v>#REF!</v>
      </c>
      <c r="B166" s="305" t="e">
        <f>#REF!</f>
        <v>#REF!</v>
      </c>
      <c r="C166" s="305" t="str">
        <f>'Danh sách máy'!C161</f>
        <v>MKVC</v>
      </c>
      <c r="D166" s="90" t="e">
        <f>#REF!</f>
        <v>#REF!</v>
      </c>
      <c r="E166" s="97">
        <f>'Danh sách máy'!E161</f>
        <v>45471</v>
      </c>
      <c r="F166" s="206" t="e">
        <f>#REF!</f>
        <v>#REF!</v>
      </c>
      <c r="G166" s="102" t="e">
        <f>#REF!</f>
        <v>#REF!</v>
      </c>
      <c r="H166" s="102" t="e">
        <f>#REF!</f>
        <v>#REF!</v>
      </c>
      <c r="I166" s="209">
        <v>44440</v>
      </c>
      <c r="J166" s="210"/>
      <c r="K166" s="210" t="e">
        <f>#REF!</f>
        <v>#REF!</v>
      </c>
      <c r="L166" s="210">
        <v>44435</v>
      </c>
      <c r="M166" s="210"/>
      <c r="N166" s="210">
        <f>'Danh sách máy'!F161</f>
        <v>45492</v>
      </c>
      <c r="O166" s="211" t="str" cm="1">
        <f t="array" ref="O166">IF(L166&lt;&gt;0,IF(L166&lt;I166,"OK","NG"),Blank)</f>
        <v>OK</v>
      </c>
      <c r="P166" s="211" t="e" cm="1">
        <f t="array" ref="P166">IF(M166&lt;&gt;0,IF(M166&lt;J166,"OK","NG"),Blank)</f>
        <v>#NAME?</v>
      </c>
      <c r="Q166" s="211" t="e" cm="1">
        <f t="array" ref="Q166">IF(H166&lt;&gt;"Stop",IF(N166&lt;&gt;0,IF(N166&lt;=K166,"OK","NG"),Blank),"-")</f>
        <v>#REF!</v>
      </c>
      <c r="R166" s="326" t="e" cm="1">
        <f t="array" ref="R166">IF(H166&lt;&gt;"Stop",IF(E166&lt;&gt;0,IF(E166&lt;=K166,"OK","NG"),Blank),"-")</f>
        <v>#REF!</v>
      </c>
      <c r="S166" s="220"/>
      <c r="T166" s="221">
        <v>1</v>
      </c>
      <c r="U166"/>
    </row>
    <row r="167" spans="1:21" ht="30" hidden="1" x14ac:dyDescent="0.3">
      <c r="A167" s="318" t="e">
        <f>#REF!</f>
        <v>#REF!</v>
      </c>
      <c r="B167" s="305" t="e">
        <f>#REF!</f>
        <v>#REF!</v>
      </c>
      <c r="C167" s="305" t="str">
        <f>'Danh sách máy'!C162</f>
        <v>MKVC</v>
      </c>
      <c r="D167" s="90" t="e">
        <f>#REF!</f>
        <v>#REF!</v>
      </c>
      <c r="E167" s="97">
        <f>'Danh sách máy'!E162</f>
        <v>45503</v>
      </c>
      <c r="F167" s="206" t="e">
        <f>#REF!</f>
        <v>#REF!</v>
      </c>
      <c r="G167" s="102" t="e">
        <f>#REF!</f>
        <v>#REF!</v>
      </c>
      <c r="H167" s="102" t="e">
        <f>#REF!</f>
        <v>#REF!</v>
      </c>
      <c r="I167" s="209">
        <v>44441</v>
      </c>
      <c r="J167" s="210"/>
      <c r="K167" s="210" t="e">
        <f>#REF!</f>
        <v>#REF!</v>
      </c>
      <c r="L167" s="210">
        <v>44436</v>
      </c>
      <c r="M167" s="210"/>
      <c r="N167" s="210">
        <f>'Danh sách máy'!F162</f>
        <v>0</v>
      </c>
      <c r="O167" s="211" t="str" cm="1">
        <f t="array" ref="O167">IF(L167&lt;&gt;0,IF(L167&lt;I167,"OK","NG"),Blank)</f>
        <v>OK</v>
      </c>
      <c r="P167" s="211" t="e" cm="1">
        <f t="array" ref="P167">IF(M167&lt;&gt;0,IF(M167&lt;J167,"OK","NG"),Blank)</f>
        <v>#NAME?</v>
      </c>
      <c r="Q167" s="211" t="e" cm="1">
        <f t="array" ref="Q167">IF(H167&lt;&gt;"Stop",IF(N167&lt;&gt;0,IF(N167&lt;=K167,"OK","NG"),Blank),"-")</f>
        <v>#REF!</v>
      </c>
      <c r="R167" s="326" t="e" cm="1">
        <f t="array" ref="R167">IF(H167&lt;&gt;"Stop",IF(E167&lt;&gt;0,IF(E167&lt;=K167,"OK","NG"),Blank),"-")</f>
        <v>#REF!</v>
      </c>
      <c r="S167" s="220"/>
      <c r="T167" s="221">
        <v>1</v>
      </c>
      <c r="U167"/>
    </row>
    <row r="168" spans="1:21" ht="28.8" hidden="1" x14ac:dyDescent="0.3">
      <c r="A168" s="318" t="e">
        <f>#REF!</f>
        <v>#REF!</v>
      </c>
      <c r="B168" s="305" t="e">
        <f>#REF!</f>
        <v>#REF!</v>
      </c>
      <c r="C168" s="305" t="str">
        <f>'Danh sách máy'!C163</f>
        <v>MKVC</v>
      </c>
      <c r="D168" s="90" t="e">
        <f>#REF!</f>
        <v>#REF!</v>
      </c>
      <c r="E168" s="97">
        <f>'Danh sách máy'!E163</f>
        <v>45533</v>
      </c>
      <c r="F168" s="206" t="e">
        <f>#REF!</f>
        <v>#REF!</v>
      </c>
      <c r="G168" s="102" t="e">
        <f>#REF!</f>
        <v>#REF!</v>
      </c>
      <c r="H168" s="102" t="e">
        <f>#REF!</f>
        <v>#REF!</v>
      </c>
      <c r="I168" s="209">
        <v>44442</v>
      </c>
      <c r="J168" s="210"/>
      <c r="K168" s="210" t="e">
        <f>#REF!</f>
        <v>#REF!</v>
      </c>
      <c r="L168" s="210">
        <v>44437</v>
      </c>
      <c r="M168" s="210"/>
      <c r="N168" s="210">
        <f>'Danh sách máy'!F163</f>
        <v>45555</v>
      </c>
      <c r="O168" s="211" t="str" cm="1">
        <f t="array" ref="O168">IF(L168&lt;&gt;0,IF(L168&lt;I168,"OK","NG"),Blank)</f>
        <v>OK</v>
      </c>
      <c r="P168" s="211" t="e" cm="1">
        <f t="array" ref="P168">IF(M168&lt;&gt;0,IF(M168&lt;J168,"OK","NG"),Blank)</f>
        <v>#NAME?</v>
      </c>
      <c r="Q168" s="211" t="e" cm="1">
        <f t="array" ref="Q168">IF(H168&lt;&gt;"Stop",IF(N168&lt;&gt;0,IF(N168&lt;=K168,"OK","NG"),Blank),"-")</f>
        <v>#REF!</v>
      </c>
      <c r="R168" s="326" t="e" cm="1">
        <f t="array" ref="R168">IF(H168&lt;&gt;"Stop",IF(E168&lt;&gt;0,IF(E168&lt;=K168,"OK","NG"),Blank),"-")</f>
        <v>#REF!</v>
      </c>
      <c r="S168" s="220" t="s">
        <v>4420</v>
      </c>
      <c r="T168" s="221">
        <v>1</v>
      </c>
    </row>
    <row r="169" spans="1:21" ht="43.2" hidden="1" x14ac:dyDescent="0.3">
      <c r="A169" s="318" t="e">
        <f>#REF!</f>
        <v>#REF!</v>
      </c>
      <c r="B169" s="305" t="e">
        <f>#REF!</f>
        <v>#REF!</v>
      </c>
      <c r="C169" s="305" t="str">
        <f>'Danh sách máy'!C164</f>
        <v>MKTC</v>
      </c>
      <c r="D169" s="90" t="e">
        <f>#REF!</f>
        <v>#REF!</v>
      </c>
      <c r="E169" s="97">
        <f>'Danh sách máy'!E164</f>
        <v>45532</v>
      </c>
      <c r="F169" s="206" t="e">
        <f>#REF!</f>
        <v>#REF!</v>
      </c>
      <c r="G169" s="102" t="e">
        <f>#REF!</f>
        <v>#REF!</v>
      </c>
      <c r="H169" s="102" t="e">
        <f>#REF!</f>
        <v>#REF!</v>
      </c>
      <c r="I169" s="209">
        <v>44443</v>
      </c>
      <c r="J169" s="210"/>
      <c r="K169" s="210" t="e">
        <f>#REF!</f>
        <v>#REF!</v>
      </c>
      <c r="L169" s="210">
        <v>44438</v>
      </c>
      <c r="M169" s="210"/>
      <c r="N169" s="210">
        <f>'Danh sách máy'!F164</f>
        <v>45532</v>
      </c>
      <c r="O169" s="211" t="str" cm="1">
        <f t="array" ref="O169">IF(L169&lt;&gt;0,IF(L169&lt;I169,"OK","NG"),Blank)</f>
        <v>OK</v>
      </c>
      <c r="P169" s="211" t="e" cm="1">
        <f t="array" ref="P169">IF(M169&lt;&gt;0,IF(M169&lt;J169,"OK","NG"),Blank)</f>
        <v>#NAME?</v>
      </c>
      <c r="Q169" s="211" t="e" cm="1">
        <f t="array" ref="Q169">IF(H169&lt;&gt;"Stop",IF(N169&lt;&gt;0,IF(N169&lt;=K169,"OK","NG"),Blank),"-")</f>
        <v>#REF!</v>
      </c>
      <c r="R169" s="326" t="e" cm="1">
        <f t="array" ref="R169">IF(H169&lt;&gt;"Stop",IF(E169&lt;&gt;0,IF(E169&lt;=K169,"OK","NG"),Blank),"-")</f>
        <v>#REF!</v>
      </c>
      <c r="S169" s="220" t="s">
        <v>4421</v>
      </c>
      <c r="T169" s="221">
        <v>1</v>
      </c>
    </row>
    <row r="170" spans="1:21" ht="30" hidden="1" x14ac:dyDescent="0.3">
      <c r="A170" s="318" t="e">
        <f>#REF!</f>
        <v>#REF!</v>
      </c>
      <c r="B170" s="305" t="e">
        <f>#REF!</f>
        <v>#REF!</v>
      </c>
      <c r="C170" s="305" t="str">
        <f>'Danh sách máy'!C165</f>
        <v>VUH</v>
      </c>
      <c r="D170" s="90" t="e">
        <f>#REF!</f>
        <v>#REF!</v>
      </c>
      <c r="E170" s="97">
        <f>'Danh sách máy'!E165</f>
        <v>0</v>
      </c>
      <c r="F170" s="206" t="e">
        <f>#REF!</f>
        <v>#REF!</v>
      </c>
      <c r="G170" s="102" t="e">
        <f>#REF!</f>
        <v>#REF!</v>
      </c>
      <c r="H170" s="102" t="e">
        <f>#REF!</f>
        <v>#REF!</v>
      </c>
      <c r="I170" s="209">
        <v>44444</v>
      </c>
      <c r="J170" s="210"/>
      <c r="K170" s="210" t="e">
        <f>#REF!</f>
        <v>#REF!</v>
      </c>
      <c r="L170" s="210">
        <v>44439</v>
      </c>
      <c r="M170" s="210"/>
      <c r="N170" s="210">
        <f>'Danh sách máy'!F165</f>
        <v>0</v>
      </c>
      <c r="O170" s="211" t="str" cm="1">
        <f t="array" ref="O170">IF(L170&lt;&gt;0,IF(L170&lt;I170,"OK","NG"),Blank)</f>
        <v>OK</v>
      </c>
      <c r="P170" s="211" t="e" cm="1">
        <f t="array" ref="P170">IF(M170&lt;&gt;0,IF(M170&lt;J170,"OK","NG"),Blank)</f>
        <v>#NAME?</v>
      </c>
      <c r="Q170" s="211" t="e" cm="1">
        <f t="array" ref="Q170">IF(H170&lt;&gt;"Stop",IF(N170&lt;&gt;0,IF(N170&lt;=K170,"OK","NG"),Blank),"-")</f>
        <v>#REF!</v>
      </c>
      <c r="R170" s="326" t="e" cm="1">
        <f t="array" ref="R170">IF(H170&lt;&gt;"Stop",IF(E170&lt;&gt;0,IF(E170&lt;=K170,"OK","NG"),Blank),"-")</f>
        <v>#REF!</v>
      </c>
      <c r="S170" s="22"/>
      <c r="T170" s="221"/>
      <c r="U170"/>
    </row>
    <row r="171" spans="1:21" ht="30" hidden="1" x14ac:dyDescent="0.3">
      <c r="A171" s="318" t="e">
        <f>#REF!</f>
        <v>#REF!</v>
      </c>
      <c r="B171" s="305" t="e">
        <f>#REF!</f>
        <v>#REF!</v>
      </c>
      <c r="C171" s="305" t="str">
        <f>'Danh sách máy'!C166</f>
        <v>VUH</v>
      </c>
      <c r="D171" s="90" t="e">
        <f>#REF!</f>
        <v>#REF!</v>
      </c>
      <c r="E171" s="97">
        <f>'Danh sách máy'!E166</f>
        <v>0</v>
      </c>
      <c r="F171" s="206" t="e">
        <f>#REF!</f>
        <v>#REF!</v>
      </c>
      <c r="G171" s="102" t="e">
        <f>#REF!</f>
        <v>#REF!</v>
      </c>
      <c r="H171" s="102" t="e">
        <f>#REF!</f>
        <v>#REF!</v>
      </c>
      <c r="I171" s="209">
        <v>44445</v>
      </c>
      <c r="J171" s="210"/>
      <c r="K171" s="210" t="e">
        <f>#REF!</f>
        <v>#REF!</v>
      </c>
      <c r="L171" s="210">
        <v>44440</v>
      </c>
      <c r="M171" s="210"/>
      <c r="N171" s="210">
        <f>'Danh sách máy'!F166</f>
        <v>0</v>
      </c>
      <c r="O171" s="211" t="str" cm="1">
        <f t="array" ref="O171">IF(L171&lt;&gt;0,IF(L171&lt;I171,"OK","NG"),Blank)</f>
        <v>OK</v>
      </c>
      <c r="P171" s="211" t="e" cm="1">
        <f t="array" ref="P171">IF(M171&lt;&gt;0,IF(M171&lt;J171,"OK","NG"),Blank)</f>
        <v>#NAME?</v>
      </c>
      <c r="Q171" s="211" t="e" cm="1">
        <f t="array" ref="Q171">IF(H171&lt;&gt;"Stop",IF(N171&lt;&gt;0,IF(N171&lt;=K171,"OK","NG"),Blank),"-")</f>
        <v>#REF!</v>
      </c>
      <c r="R171" s="326" t="e" cm="1">
        <f t="array" ref="R171">IF(H171&lt;&gt;"Stop",IF(E171&lt;&gt;0,IF(E171&lt;=K171,"OK","NG"),Blank),"-")</f>
        <v>#REF!</v>
      </c>
      <c r="S171" s="22"/>
      <c r="T171" s="221"/>
      <c r="U171"/>
    </row>
    <row r="172" spans="1:21" ht="30" hidden="1" x14ac:dyDescent="0.3">
      <c r="A172" s="318" t="e">
        <f>#REF!</f>
        <v>#REF!</v>
      </c>
      <c r="B172" s="305" t="e">
        <f>#REF!</f>
        <v>#REF!</v>
      </c>
      <c r="C172" s="305" t="str">
        <f>'Danh sách máy'!C167</f>
        <v>VUH</v>
      </c>
      <c r="D172" s="90" t="e">
        <f>#REF!</f>
        <v>#REF!</v>
      </c>
      <c r="E172" s="97">
        <f>'Danh sách máy'!E167</f>
        <v>0</v>
      </c>
      <c r="F172" s="206" t="e">
        <f>#REF!</f>
        <v>#REF!</v>
      </c>
      <c r="G172" s="102" t="e">
        <f>#REF!</f>
        <v>#REF!</v>
      </c>
      <c r="H172" s="102" t="e">
        <f>#REF!</f>
        <v>#REF!</v>
      </c>
      <c r="I172" s="209">
        <v>44446</v>
      </c>
      <c r="J172" s="210"/>
      <c r="K172" s="210" t="e">
        <f>#REF!</f>
        <v>#REF!</v>
      </c>
      <c r="L172" s="210">
        <v>44441</v>
      </c>
      <c r="M172" s="210"/>
      <c r="N172" s="210">
        <f>'Danh sách máy'!F167</f>
        <v>0</v>
      </c>
      <c r="O172" s="211" t="str" cm="1">
        <f t="array" ref="O172">IF(L172&lt;&gt;0,IF(L172&lt;I172,"OK","NG"),Blank)</f>
        <v>OK</v>
      </c>
      <c r="P172" s="211" t="e" cm="1">
        <f t="array" ref="P172">IF(M172&lt;&gt;0,IF(M172&lt;J172,"OK","NG"),Blank)</f>
        <v>#NAME?</v>
      </c>
      <c r="Q172" s="211" t="e" cm="1">
        <f t="array" ref="Q172">IF(H172&lt;&gt;"Stop",IF(N172&lt;&gt;0,IF(N172&lt;=K172,"OK","NG"),Blank),"-")</f>
        <v>#REF!</v>
      </c>
      <c r="R172" s="326" t="e" cm="1">
        <f t="array" ref="R172">IF(H172&lt;&gt;"Stop",IF(E172&lt;&gt;0,IF(E172&lt;=K172,"OK","NG"),Blank),"-")</f>
        <v>#REF!</v>
      </c>
      <c r="S172" s="22"/>
      <c r="T172" s="221"/>
      <c r="U172"/>
    </row>
    <row r="173" spans="1:21" ht="30" hidden="1" x14ac:dyDescent="0.3">
      <c r="A173" s="318" t="e">
        <f>#REF!</f>
        <v>#REF!</v>
      </c>
      <c r="B173" s="305" t="e">
        <f>#REF!</f>
        <v>#REF!</v>
      </c>
      <c r="C173" s="305" t="str">
        <f>'Danh sách máy'!C168</f>
        <v>VUH</v>
      </c>
      <c r="D173" s="90" t="e">
        <f>#REF!</f>
        <v>#REF!</v>
      </c>
      <c r="E173" s="97">
        <f>'Danh sách máy'!E168</f>
        <v>0</v>
      </c>
      <c r="F173" s="206" t="e">
        <f>#REF!</f>
        <v>#REF!</v>
      </c>
      <c r="G173" s="102" t="e">
        <f>#REF!</f>
        <v>#REF!</v>
      </c>
      <c r="H173" s="102" t="e">
        <f>#REF!</f>
        <v>#REF!</v>
      </c>
      <c r="I173" s="209">
        <v>44447</v>
      </c>
      <c r="J173" s="210"/>
      <c r="K173" s="210" t="e">
        <f>#REF!</f>
        <v>#REF!</v>
      </c>
      <c r="L173" s="210">
        <v>44442</v>
      </c>
      <c r="M173" s="210"/>
      <c r="N173" s="210">
        <f>'Danh sách máy'!F168</f>
        <v>0</v>
      </c>
      <c r="O173" s="211" t="str" cm="1">
        <f t="array" ref="O173">IF(L173&lt;&gt;0,IF(L173&lt;I173,"OK","NG"),Blank)</f>
        <v>OK</v>
      </c>
      <c r="P173" s="211" t="e" cm="1">
        <f t="array" ref="P173">IF(M173&lt;&gt;0,IF(M173&lt;J173,"OK","NG"),Blank)</f>
        <v>#NAME?</v>
      </c>
      <c r="Q173" s="211" t="e" cm="1">
        <f t="array" ref="Q173">IF(H173&lt;&gt;"Stop",IF(N173&lt;&gt;0,IF(N173&lt;=K173,"OK","NG"),Blank),"-")</f>
        <v>#REF!</v>
      </c>
      <c r="R173" s="326" t="e" cm="1">
        <f t="array" ref="R173">IF(H173&lt;&gt;"Stop",IF(E173&lt;&gt;0,IF(E173&lt;=K173,"OK","NG"),Blank),"-")</f>
        <v>#REF!</v>
      </c>
      <c r="S173" s="22"/>
      <c r="T173" s="221"/>
      <c r="U173"/>
    </row>
    <row r="174" spans="1:21" ht="30" hidden="1" x14ac:dyDescent="0.3">
      <c r="A174" s="318" t="e">
        <f>#REF!</f>
        <v>#REF!</v>
      </c>
      <c r="B174" s="305" t="e">
        <f>#REF!</f>
        <v>#REF!</v>
      </c>
      <c r="C174" s="305" t="str">
        <f>'Danh sách máy'!C169</f>
        <v>VUH</v>
      </c>
      <c r="D174" s="90" t="e">
        <f>#REF!</f>
        <v>#REF!</v>
      </c>
      <c r="E174" s="97">
        <f>'Danh sách máy'!E169</f>
        <v>0</v>
      </c>
      <c r="F174" s="206" t="e">
        <f>#REF!</f>
        <v>#REF!</v>
      </c>
      <c r="G174" s="102" t="e">
        <f>#REF!</f>
        <v>#REF!</v>
      </c>
      <c r="H174" s="102" t="e">
        <f>#REF!</f>
        <v>#REF!</v>
      </c>
      <c r="I174" s="209">
        <v>44448</v>
      </c>
      <c r="J174" s="210"/>
      <c r="K174" s="210" t="e">
        <f>#REF!</f>
        <v>#REF!</v>
      </c>
      <c r="L174" s="210">
        <v>44443</v>
      </c>
      <c r="M174" s="210"/>
      <c r="N174" s="210">
        <f>'Danh sách máy'!F169</f>
        <v>0</v>
      </c>
      <c r="O174" s="211" t="str" cm="1">
        <f t="array" ref="O174">IF(L174&lt;&gt;0,IF(L174&lt;I174,"OK","NG"),Blank)</f>
        <v>OK</v>
      </c>
      <c r="P174" s="211" t="e" cm="1">
        <f t="array" ref="P174">IF(M174&lt;&gt;0,IF(M174&lt;J174,"OK","NG"),Blank)</f>
        <v>#NAME?</v>
      </c>
      <c r="Q174" s="211" t="e" cm="1">
        <f t="array" ref="Q174">IF(H174&lt;&gt;"Stop",IF(N174&lt;&gt;0,IF(N174&lt;=K174,"OK","NG"),Blank),"-")</f>
        <v>#REF!</v>
      </c>
      <c r="R174" s="326" t="e" cm="1">
        <f t="array" ref="R174">IF(H174&lt;&gt;"Stop",IF(E174&lt;&gt;0,IF(E174&lt;=K174,"OK","NG"),Blank),"-")</f>
        <v>#REF!</v>
      </c>
      <c r="S174" s="22"/>
      <c r="T174" s="221"/>
      <c r="U174"/>
    </row>
    <row r="175" spans="1:21" ht="30" hidden="1" x14ac:dyDescent="0.3">
      <c r="A175" s="318" t="e">
        <f>#REF!</f>
        <v>#REF!</v>
      </c>
      <c r="B175" s="305" t="e">
        <f>#REF!</f>
        <v>#REF!</v>
      </c>
      <c r="C175" s="305" t="str">
        <f>'Danh sách máy'!C170</f>
        <v>VUH</v>
      </c>
      <c r="D175" s="90" t="e">
        <f>#REF!</f>
        <v>#REF!</v>
      </c>
      <c r="E175" s="97">
        <f>'Danh sách máy'!E170</f>
        <v>0</v>
      </c>
      <c r="F175" s="206" t="e">
        <f>#REF!</f>
        <v>#REF!</v>
      </c>
      <c r="G175" s="102" t="e">
        <f>#REF!</f>
        <v>#REF!</v>
      </c>
      <c r="H175" s="102" t="e">
        <f>#REF!</f>
        <v>#REF!</v>
      </c>
      <c r="I175" s="209">
        <v>44449</v>
      </c>
      <c r="J175" s="210"/>
      <c r="K175" s="210" t="e">
        <f>#REF!</f>
        <v>#REF!</v>
      </c>
      <c r="L175" s="210">
        <v>44444</v>
      </c>
      <c r="M175" s="210"/>
      <c r="N175" s="210">
        <f>'Danh sách máy'!F170</f>
        <v>0</v>
      </c>
      <c r="O175" s="211" t="str" cm="1">
        <f t="array" ref="O175">IF(L175&lt;&gt;0,IF(L175&lt;I175,"OK","NG"),Blank)</f>
        <v>OK</v>
      </c>
      <c r="P175" s="211" t="e" cm="1">
        <f t="array" ref="P175">IF(M175&lt;&gt;0,IF(M175&lt;J175,"OK","NG"),Blank)</f>
        <v>#NAME?</v>
      </c>
      <c r="Q175" s="211" t="e" cm="1">
        <f t="array" ref="Q175">IF(H175&lt;&gt;"Stop",IF(N175&lt;&gt;0,IF(N175&lt;=K175,"OK","NG"),Blank),"-")</f>
        <v>#REF!</v>
      </c>
      <c r="R175" s="326" t="e" cm="1">
        <f t="array" ref="R175">IF(H175&lt;&gt;"Stop",IF(E175&lt;&gt;0,IF(E175&lt;=K175,"OK","NG"),Blank),"-")</f>
        <v>#REF!</v>
      </c>
      <c r="S175" s="22"/>
      <c r="T175" s="221"/>
      <c r="U175"/>
    </row>
    <row r="176" spans="1:21" ht="30" hidden="1" x14ac:dyDescent="0.3">
      <c r="A176" s="318" t="e">
        <f>#REF!</f>
        <v>#REF!</v>
      </c>
      <c r="B176" s="305" t="e">
        <f>#REF!</f>
        <v>#REF!</v>
      </c>
      <c r="C176" s="305" t="str">
        <f>'Danh sách máy'!C171</f>
        <v>VUH</v>
      </c>
      <c r="D176" s="90" t="e">
        <f>#REF!</f>
        <v>#REF!</v>
      </c>
      <c r="E176" s="97">
        <f>'Danh sách máy'!E171</f>
        <v>0</v>
      </c>
      <c r="F176" s="206" t="e">
        <f>#REF!</f>
        <v>#REF!</v>
      </c>
      <c r="G176" s="102" t="e">
        <f>#REF!</f>
        <v>#REF!</v>
      </c>
      <c r="H176" s="102" t="e">
        <f>#REF!</f>
        <v>#REF!</v>
      </c>
      <c r="I176" s="209">
        <v>44450</v>
      </c>
      <c r="J176" s="210"/>
      <c r="K176" s="210" t="e">
        <f>#REF!</f>
        <v>#REF!</v>
      </c>
      <c r="L176" s="210">
        <v>44445</v>
      </c>
      <c r="M176" s="210"/>
      <c r="N176" s="210">
        <f>'Danh sách máy'!F171</f>
        <v>0</v>
      </c>
      <c r="O176" s="211" t="str" cm="1">
        <f t="array" ref="O176">IF(L176&lt;&gt;0,IF(L176&lt;I176,"OK","NG"),Blank)</f>
        <v>OK</v>
      </c>
      <c r="P176" s="211" t="e" cm="1">
        <f t="array" ref="P176">IF(M176&lt;&gt;0,IF(M176&lt;J176,"OK","NG"),Blank)</f>
        <v>#NAME?</v>
      </c>
      <c r="Q176" s="211" t="e" cm="1">
        <f t="array" ref="Q176">IF(H176&lt;&gt;"Stop",IF(N176&lt;&gt;0,IF(N176&lt;=K176,"OK","NG"),Blank),"-")</f>
        <v>#REF!</v>
      </c>
      <c r="R176" s="326" t="e" cm="1">
        <f t="array" ref="R176">IF(H176&lt;&gt;"Stop",IF(E176&lt;&gt;0,IF(E176&lt;=K176,"OK","NG"),Blank),"-")</f>
        <v>#REF!</v>
      </c>
      <c r="S176" s="22"/>
      <c r="T176" s="221"/>
      <c r="U176"/>
    </row>
    <row r="177" spans="1:21" ht="30" hidden="1" x14ac:dyDescent="0.3">
      <c r="A177" s="318" t="e">
        <f>#REF!</f>
        <v>#REF!</v>
      </c>
      <c r="B177" s="305" t="e">
        <f>#REF!</f>
        <v>#REF!</v>
      </c>
      <c r="C177" s="305" t="str">
        <f>'Danh sách máy'!C172</f>
        <v>VUH</v>
      </c>
      <c r="D177" s="90" t="e">
        <f>#REF!</f>
        <v>#REF!</v>
      </c>
      <c r="E177" s="97">
        <f>'Danh sách máy'!E172</f>
        <v>0</v>
      </c>
      <c r="F177" s="206" t="e">
        <f>#REF!</f>
        <v>#REF!</v>
      </c>
      <c r="G177" s="102" t="e">
        <f>#REF!</f>
        <v>#REF!</v>
      </c>
      <c r="H177" s="102" t="e">
        <f>#REF!</f>
        <v>#REF!</v>
      </c>
      <c r="I177" s="209">
        <v>44451</v>
      </c>
      <c r="J177" s="210"/>
      <c r="K177" s="210" t="e">
        <f>#REF!</f>
        <v>#REF!</v>
      </c>
      <c r="L177" s="210">
        <v>44446</v>
      </c>
      <c r="M177" s="210"/>
      <c r="N177" s="210">
        <f>'Danh sách máy'!F172</f>
        <v>0</v>
      </c>
      <c r="O177" s="211" t="str" cm="1">
        <f t="array" ref="O177">IF(L177&lt;&gt;0,IF(L177&lt;I177,"OK","NG"),Blank)</f>
        <v>OK</v>
      </c>
      <c r="P177" s="211" t="e" cm="1">
        <f t="array" ref="P177">IF(M177&lt;&gt;0,IF(M177&lt;J177,"OK","NG"),Blank)</f>
        <v>#NAME?</v>
      </c>
      <c r="Q177" s="211" t="e" cm="1">
        <f t="array" ref="Q177">IF(H177&lt;&gt;"Stop",IF(N177&lt;&gt;0,IF(N177&lt;=K177,"OK","NG"),Blank),"-")</f>
        <v>#REF!</v>
      </c>
      <c r="R177" s="326" t="e" cm="1">
        <f t="array" ref="R177">IF(H177&lt;&gt;"Stop",IF(E177&lt;&gt;0,IF(E177&lt;=K177,"OK","NG"),Blank),"-")</f>
        <v>#REF!</v>
      </c>
      <c r="S177" s="22"/>
      <c r="T177" s="221"/>
      <c r="U177"/>
    </row>
    <row r="178" spans="1:21" ht="30" hidden="1" x14ac:dyDescent="0.3">
      <c r="A178" s="318" t="e">
        <f>#REF!</f>
        <v>#REF!</v>
      </c>
      <c r="B178" s="305" t="e">
        <f>#REF!</f>
        <v>#REF!</v>
      </c>
      <c r="C178" s="305" t="str">
        <f>'Danh sách máy'!C173</f>
        <v>VUH</v>
      </c>
      <c r="D178" s="90" t="e">
        <f>#REF!</f>
        <v>#REF!</v>
      </c>
      <c r="E178" s="97">
        <f>'Danh sách máy'!E173</f>
        <v>0</v>
      </c>
      <c r="F178" s="206" t="e">
        <f>#REF!</f>
        <v>#REF!</v>
      </c>
      <c r="G178" s="102" t="e">
        <f>#REF!</f>
        <v>#REF!</v>
      </c>
      <c r="H178" s="102" t="e">
        <f>#REF!</f>
        <v>#REF!</v>
      </c>
      <c r="I178" s="209">
        <v>44452</v>
      </c>
      <c r="J178" s="210"/>
      <c r="K178" s="210" t="e">
        <f>#REF!</f>
        <v>#REF!</v>
      </c>
      <c r="L178" s="210">
        <v>44447</v>
      </c>
      <c r="M178" s="210"/>
      <c r="N178" s="210">
        <f>'Danh sách máy'!F173</f>
        <v>0</v>
      </c>
      <c r="O178" s="211" t="str" cm="1">
        <f t="array" ref="O178">IF(L178&lt;&gt;0,IF(L178&lt;I178,"OK","NG"),Blank)</f>
        <v>OK</v>
      </c>
      <c r="P178" s="211" t="e" cm="1">
        <f t="array" ref="P178">IF(M178&lt;&gt;0,IF(M178&lt;J178,"OK","NG"),Blank)</f>
        <v>#NAME?</v>
      </c>
      <c r="Q178" s="211" t="e" cm="1">
        <f t="array" ref="Q178">IF(H178&lt;&gt;"Stop",IF(N178&lt;&gt;0,IF(N178&lt;=K178,"OK","NG"),Blank),"-")</f>
        <v>#REF!</v>
      </c>
      <c r="R178" s="326" t="e" cm="1">
        <f t="array" ref="R178">IF(H178&lt;&gt;"Stop",IF(E178&lt;&gt;0,IF(E178&lt;=K178,"OK","NG"),Blank),"-")</f>
        <v>#REF!</v>
      </c>
      <c r="S178" s="22"/>
      <c r="T178" s="221"/>
      <c r="U178"/>
    </row>
    <row r="179" spans="1:21" ht="30" hidden="1" x14ac:dyDescent="0.3">
      <c r="A179" s="318" t="e">
        <f>#REF!</f>
        <v>#REF!</v>
      </c>
      <c r="B179" s="305" t="e">
        <f>#REF!</f>
        <v>#REF!</v>
      </c>
      <c r="C179" s="305" t="str">
        <f>'Danh sách máy'!C174</f>
        <v>VUH</v>
      </c>
      <c r="D179" s="90" t="e">
        <f>#REF!</f>
        <v>#REF!</v>
      </c>
      <c r="E179" s="97">
        <f>'Danh sách máy'!E174</f>
        <v>0</v>
      </c>
      <c r="F179" s="206" t="e">
        <f>#REF!</f>
        <v>#REF!</v>
      </c>
      <c r="G179" s="102" t="e">
        <f>#REF!</f>
        <v>#REF!</v>
      </c>
      <c r="H179" s="102" t="e">
        <f>#REF!</f>
        <v>#REF!</v>
      </c>
      <c r="I179" s="209">
        <v>44453</v>
      </c>
      <c r="J179" s="210"/>
      <c r="K179" s="210" t="e">
        <f>#REF!</f>
        <v>#REF!</v>
      </c>
      <c r="L179" s="210">
        <v>44448</v>
      </c>
      <c r="M179" s="210"/>
      <c r="N179" s="210">
        <f>'Danh sách máy'!F174</f>
        <v>0</v>
      </c>
      <c r="O179" s="211" t="str" cm="1">
        <f t="array" ref="O179">IF(L179&lt;&gt;0,IF(L179&lt;I179,"OK","NG"),Blank)</f>
        <v>OK</v>
      </c>
      <c r="P179" s="211" t="e" cm="1">
        <f t="array" ref="P179">IF(M179&lt;&gt;0,IF(M179&lt;J179,"OK","NG"),Blank)</f>
        <v>#NAME?</v>
      </c>
      <c r="Q179" s="211" t="e" cm="1">
        <f t="array" ref="Q179">IF(H179&lt;&gt;"Stop",IF(N179&lt;&gt;0,IF(N179&lt;=K179,"OK","NG"),Blank),"-")</f>
        <v>#REF!</v>
      </c>
      <c r="R179" s="326" t="e" cm="1">
        <f t="array" ref="R179">IF(H179&lt;&gt;"Stop",IF(E179&lt;&gt;0,IF(E179&lt;=K179,"OK","NG"),Blank),"-")</f>
        <v>#REF!</v>
      </c>
      <c r="S179" s="22"/>
      <c r="T179" s="221"/>
      <c r="U179"/>
    </row>
    <row r="180" spans="1:21" ht="30" hidden="1" x14ac:dyDescent="0.3">
      <c r="A180" s="318" t="e">
        <f>#REF!</f>
        <v>#REF!</v>
      </c>
      <c r="B180" s="305" t="e">
        <f>#REF!</f>
        <v>#REF!</v>
      </c>
      <c r="C180" s="305" t="str">
        <f>'Danh sách máy'!C175</f>
        <v>VUH</v>
      </c>
      <c r="D180" s="90" t="e">
        <f>#REF!</f>
        <v>#REF!</v>
      </c>
      <c r="E180" s="97">
        <f>'Danh sách máy'!E175</f>
        <v>0</v>
      </c>
      <c r="F180" s="206" t="e">
        <f>#REF!</f>
        <v>#REF!</v>
      </c>
      <c r="G180" s="102" t="e">
        <f>#REF!</f>
        <v>#REF!</v>
      </c>
      <c r="H180" s="102" t="e">
        <f>#REF!</f>
        <v>#REF!</v>
      </c>
      <c r="I180" s="209">
        <v>44454</v>
      </c>
      <c r="J180" s="210"/>
      <c r="K180" s="210" t="e">
        <f>#REF!</f>
        <v>#REF!</v>
      </c>
      <c r="L180" s="210">
        <v>44449</v>
      </c>
      <c r="M180" s="210"/>
      <c r="N180" s="210">
        <f>'Danh sách máy'!F175</f>
        <v>0</v>
      </c>
      <c r="O180" s="211" t="str" cm="1">
        <f t="array" ref="O180">IF(L180&lt;&gt;0,IF(L180&lt;I180,"OK","NG"),Blank)</f>
        <v>OK</v>
      </c>
      <c r="P180" s="211" t="e" cm="1">
        <f t="array" ref="P180">IF(M180&lt;&gt;0,IF(M180&lt;J180,"OK","NG"),Blank)</f>
        <v>#NAME?</v>
      </c>
      <c r="Q180" s="211" t="e" cm="1">
        <f t="array" ref="Q180">IF(H180&lt;&gt;"Stop",IF(N180&lt;&gt;0,IF(N180&lt;=K180,"OK","NG"),Blank),"-")</f>
        <v>#REF!</v>
      </c>
      <c r="R180" s="326" t="e" cm="1">
        <f t="array" ref="R180">IF(H180&lt;&gt;"Stop",IF(E180&lt;&gt;0,IF(E180&lt;=K180,"OK","NG"),Blank),"-")</f>
        <v>#REF!</v>
      </c>
      <c r="S180" s="22"/>
      <c r="T180" s="221"/>
      <c r="U180"/>
    </row>
    <row r="181" spans="1:21" ht="30" hidden="1" x14ac:dyDescent="0.3">
      <c r="A181" s="318" t="e">
        <f>#REF!</f>
        <v>#REF!</v>
      </c>
      <c r="B181" s="305" t="e">
        <f>#REF!</f>
        <v>#REF!</v>
      </c>
      <c r="C181" s="305" t="str">
        <f>'Danh sách máy'!C176</f>
        <v>VUH</v>
      </c>
      <c r="D181" s="90" t="e">
        <f>#REF!</f>
        <v>#REF!</v>
      </c>
      <c r="E181" s="97">
        <f>'Danh sách máy'!E176</f>
        <v>0</v>
      </c>
      <c r="F181" s="206" t="e">
        <f>#REF!</f>
        <v>#REF!</v>
      </c>
      <c r="G181" s="102" t="e">
        <f>#REF!</f>
        <v>#REF!</v>
      </c>
      <c r="H181" s="102" t="e">
        <f>#REF!</f>
        <v>#REF!</v>
      </c>
      <c r="I181" s="209">
        <v>44455</v>
      </c>
      <c r="J181" s="210"/>
      <c r="K181" s="210" t="e">
        <f>#REF!</f>
        <v>#REF!</v>
      </c>
      <c r="L181" s="210">
        <v>44450</v>
      </c>
      <c r="M181" s="210"/>
      <c r="N181" s="210">
        <f>'Danh sách máy'!F176</f>
        <v>0</v>
      </c>
      <c r="O181" s="211" t="str" cm="1">
        <f t="array" ref="O181">IF(L181&lt;&gt;0,IF(L181&lt;I181,"OK","NG"),Blank)</f>
        <v>OK</v>
      </c>
      <c r="P181" s="211" t="e" cm="1">
        <f t="array" ref="P181">IF(M181&lt;&gt;0,IF(M181&lt;J181,"OK","NG"),Blank)</f>
        <v>#NAME?</v>
      </c>
      <c r="Q181" s="211" t="e" cm="1">
        <f t="array" ref="Q181">IF(H181&lt;&gt;"Stop",IF(N181&lt;&gt;0,IF(N181&lt;=K181,"OK","NG"),Blank),"-")</f>
        <v>#REF!</v>
      </c>
      <c r="R181" s="326" t="e" cm="1">
        <f t="array" ref="R181">IF(H181&lt;&gt;"Stop",IF(E181&lt;&gt;0,IF(E181&lt;=K181,"OK","NG"),Blank),"-")</f>
        <v>#REF!</v>
      </c>
      <c r="S181" s="22"/>
      <c r="T181" s="221"/>
      <c r="U181"/>
    </row>
    <row r="182" spans="1:21" ht="15" hidden="1" x14ac:dyDescent="0.3">
      <c r="A182" s="318" t="e">
        <f>#REF!</f>
        <v>#REF!</v>
      </c>
      <c r="B182" s="305" t="e">
        <f>#REF!</f>
        <v>#REF!</v>
      </c>
      <c r="C182" s="305" t="str">
        <f>'Danh sách máy'!C177</f>
        <v>MKVC</v>
      </c>
      <c r="D182" s="90" t="e">
        <f>#REF!</f>
        <v>#REF!</v>
      </c>
      <c r="E182" s="97">
        <f>'Danh sách máy'!E177</f>
        <v>45496</v>
      </c>
      <c r="F182" s="206" t="e">
        <f>#REF!</f>
        <v>#REF!</v>
      </c>
      <c r="G182" s="102" t="e">
        <f>#REF!</f>
        <v>#REF!</v>
      </c>
      <c r="H182" s="102" t="e">
        <f>#REF!</f>
        <v>#REF!</v>
      </c>
      <c r="I182" s="209">
        <v>44456</v>
      </c>
      <c r="J182" s="210"/>
      <c r="K182" s="210" t="e">
        <f>#REF!</f>
        <v>#REF!</v>
      </c>
      <c r="L182" s="210">
        <v>44451</v>
      </c>
      <c r="M182" s="210"/>
      <c r="N182" s="210">
        <f>'Danh sách máy'!F177</f>
        <v>0</v>
      </c>
      <c r="O182" s="211" t="str" cm="1">
        <f t="array" ref="O182">IF(L182&lt;&gt;0,IF(L182&lt;I182,"OK","NG"),Blank)</f>
        <v>OK</v>
      </c>
      <c r="P182" s="211" t="e" cm="1">
        <f t="array" ref="P182">IF(M182&lt;&gt;0,IF(M182&lt;J182,"OK","NG"),Blank)</f>
        <v>#NAME?</v>
      </c>
      <c r="Q182" s="211" t="e" cm="1">
        <f t="array" ref="Q182">IF(H182&lt;&gt;"Stop",IF(N182&lt;&gt;0,IF(N182&lt;=K182,"OK","NG"),Blank),"-")</f>
        <v>#REF!</v>
      </c>
      <c r="R182" s="326" t="e" cm="1">
        <f t="array" ref="R182">IF(H182&lt;&gt;"Stop",IF(E182&lt;&gt;0,IF(E182&lt;=K182,"OK","NG"),Blank),"-")</f>
        <v>#REF!</v>
      </c>
      <c r="S182" s="220"/>
      <c r="T182" s="221">
        <v>1</v>
      </c>
      <c r="U182"/>
    </row>
    <row r="183" spans="1:21" ht="30" hidden="1" x14ac:dyDescent="0.3">
      <c r="A183" s="318" t="e">
        <f>#REF!</f>
        <v>#REF!</v>
      </c>
      <c r="B183" s="305" t="e">
        <f>#REF!</f>
        <v>#REF!</v>
      </c>
      <c r="C183" s="305" t="str">
        <f>'Danh sách máy'!C178</f>
        <v>MKVC</v>
      </c>
      <c r="D183" s="90" t="e">
        <f>#REF!</f>
        <v>#REF!</v>
      </c>
      <c r="E183" s="97">
        <f>'Danh sách máy'!E178</f>
        <v>45701</v>
      </c>
      <c r="F183" s="206" t="e">
        <f>#REF!</f>
        <v>#REF!</v>
      </c>
      <c r="G183" s="102" t="e">
        <f>#REF!</f>
        <v>#REF!</v>
      </c>
      <c r="H183" s="102" t="e">
        <f>#REF!</f>
        <v>#REF!</v>
      </c>
      <c r="I183" s="209">
        <v>44457</v>
      </c>
      <c r="J183" s="210"/>
      <c r="K183" s="210" t="e">
        <f>#REF!</f>
        <v>#REF!</v>
      </c>
      <c r="L183" s="210">
        <v>44452</v>
      </c>
      <c r="M183" s="210"/>
      <c r="N183" s="210">
        <f>'Danh sách máy'!F178</f>
        <v>0</v>
      </c>
      <c r="O183" s="211" t="str" cm="1">
        <f t="array" ref="O183">IF(L183&lt;&gt;0,IF(L183&lt;I183,"OK","NG"),Blank)</f>
        <v>OK</v>
      </c>
      <c r="P183" s="211" t="e" cm="1">
        <f t="array" ref="P183">IF(M183&lt;&gt;0,IF(M183&lt;J183,"OK","NG"),Blank)</f>
        <v>#NAME?</v>
      </c>
      <c r="Q183" s="211" t="e" cm="1">
        <f t="array" ref="Q183">IF(H183&lt;&gt;"Stop",IF(N183&lt;&gt;0,IF(N183&lt;=K183,"OK","NG"),Blank),"-")</f>
        <v>#REF!</v>
      </c>
      <c r="R183" s="326" t="e" cm="1">
        <f t="array" ref="R183">IF(H183&lt;&gt;"Stop",IF(E183&lt;&gt;0,IF(E183&lt;=K183,"OK","NG"),Blank),"-")</f>
        <v>#REF!</v>
      </c>
      <c r="S183" s="22"/>
      <c r="T183" s="221">
        <v>1</v>
      </c>
      <c r="U183"/>
    </row>
    <row r="184" spans="1:21" ht="30" hidden="1" x14ac:dyDescent="0.3">
      <c r="A184" s="318" t="e">
        <f>#REF!</f>
        <v>#REF!</v>
      </c>
      <c r="B184" s="305" t="e">
        <f>#REF!</f>
        <v>#REF!</v>
      </c>
      <c r="C184" s="305" t="str">
        <f>'Danh sách máy'!C179</f>
        <v>MKVC</v>
      </c>
      <c r="D184" s="90" t="e">
        <f>#REF!</f>
        <v>#REF!</v>
      </c>
      <c r="E184" s="97">
        <f>'Danh sách máy'!E179</f>
        <v>45770</v>
      </c>
      <c r="F184" s="206" t="e">
        <f>#REF!</f>
        <v>#REF!</v>
      </c>
      <c r="G184" s="102" t="e">
        <f>#REF!</f>
        <v>#REF!</v>
      </c>
      <c r="H184" s="102" t="e">
        <f>#REF!</f>
        <v>#REF!</v>
      </c>
      <c r="I184" s="209">
        <v>44458</v>
      </c>
      <c r="J184" s="210"/>
      <c r="K184" s="210" t="e">
        <f>#REF!</f>
        <v>#REF!</v>
      </c>
      <c r="L184" s="210">
        <v>44453</v>
      </c>
      <c r="M184" s="210"/>
      <c r="N184" s="210">
        <f>'Danh sách máy'!F179</f>
        <v>1</v>
      </c>
      <c r="O184" s="211" t="str" cm="1">
        <f t="array" ref="O184">IF(L184&lt;&gt;0,IF(L184&lt;I184,"OK","NG"),Blank)</f>
        <v>OK</v>
      </c>
      <c r="P184" s="211" t="e" cm="1">
        <f t="array" ref="P184">IF(M184&lt;&gt;0,IF(M184&lt;J184,"OK","NG"),Blank)</f>
        <v>#NAME?</v>
      </c>
      <c r="Q184" s="211" t="e" cm="1">
        <f t="array" ref="Q184">IF(H184&lt;&gt;"Stop",IF(N184&lt;&gt;0,IF(N184&lt;=K184,"OK","NG"),Blank),"-")</f>
        <v>#REF!</v>
      </c>
      <c r="R184" s="326" t="e" cm="1">
        <f t="array" ref="R184">IF(H184&lt;&gt;"Stop",IF(E184&lt;&gt;0,IF(E184&lt;=K184,"OK","NG"),Blank),"-")</f>
        <v>#REF!</v>
      </c>
      <c r="S184" s="22"/>
      <c r="T184" s="221">
        <v>1</v>
      </c>
      <c r="U184"/>
    </row>
    <row r="185" spans="1:21" ht="30" x14ac:dyDescent="0.3">
      <c r="A185" s="318" t="e">
        <f>#REF!</f>
        <v>#REF!</v>
      </c>
      <c r="B185" s="305" t="e">
        <f>#REF!</f>
        <v>#REF!</v>
      </c>
      <c r="C185" s="305" t="str">
        <f>'Danh sách máy'!C180</f>
        <v>FPC</v>
      </c>
      <c r="D185" s="90" t="e">
        <f>#REF!</f>
        <v>#REF!</v>
      </c>
      <c r="E185" s="97">
        <f>'Danh sách máy'!E180</f>
        <v>45793</v>
      </c>
      <c r="F185" s="206" t="e">
        <f>#REF!</f>
        <v>#REF!</v>
      </c>
      <c r="G185" s="102" t="e">
        <f>#REF!</f>
        <v>#REF!</v>
      </c>
      <c r="H185" s="102" t="e">
        <f>#REF!</f>
        <v>#REF!</v>
      </c>
      <c r="I185" s="209">
        <v>44459</v>
      </c>
      <c r="J185" s="210"/>
      <c r="K185" s="210" t="e">
        <f>#REF!</f>
        <v>#REF!</v>
      </c>
      <c r="L185" s="210">
        <v>44454</v>
      </c>
      <c r="M185" s="210"/>
      <c r="N185" s="210">
        <f>'Danh sách máy'!F180</f>
        <v>45796</v>
      </c>
      <c r="O185" s="211" t="str" cm="1">
        <f t="array" ref="O185">IF(L185&lt;&gt;0,IF(L185&lt;I185,"OK","NG"),Blank)</f>
        <v>OK</v>
      </c>
      <c r="P185" s="211" t="e" cm="1">
        <f t="array" ref="P185">IF(M185&lt;&gt;0,IF(M185&lt;J185,"OK","NG"),Blank)</f>
        <v>#NAME?</v>
      </c>
      <c r="Q185" s="211" t="e" cm="1">
        <f t="array" ref="Q185">IF(H185&lt;&gt;"Stop",IF(N185&lt;&gt;0,IF(N185&lt;=K185,"OK","NG"),Blank),"-")</f>
        <v>#REF!</v>
      </c>
      <c r="R185" s="326" t="e" cm="1">
        <f t="array" ref="R185">IF(H185&lt;&gt;"Stop",IF(E185&lt;&gt;0,IF(E185&lt;=K185,"OK","NG"),Blank),"-")</f>
        <v>#REF!</v>
      </c>
      <c r="S185" s="22"/>
      <c r="T185" s="221"/>
      <c r="U185"/>
    </row>
    <row r="186" spans="1:21" ht="30" hidden="1" x14ac:dyDescent="0.3">
      <c r="A186" s="318" t="e">
        <f>#REF!</f>
        <v>#REF!</v>
      </c>
      <c r="B186" s="305" t="e">
        <f>#REF!</f>
        <v>#REF!</v>
      </c>
      <c r="C186" s="305" t="str">
        <f>'Danh sách máy'!C181</f>
        <v>FPC</v>
      </c>
      <c r="D186" s="90" t="e">
        <f>#REF!</f>
        <v>#REF!</v>
      </c>
      <c r="E186" s="97">
        <f>'Danh sách máy'!E181</f>
        <v>45793</v>
      </c>
      <c r="F186" s="206" t="e">
        <f>#REF!</f>
        <v>#REF!</v>
      </c>
      <c r="G186" s="102" t="e">
        <f>#REF!</f>
        <v>#REF!</v>
      </c>
      <c r="H186" s="102" t="e">
        <f>#REF!</f>
        <v>#REF!</v>
      </c>
      <c r="I186" s="209">
        <v>44460</v>
      </c>
      <c r="J186" s="210"/>
      <c r="K186" s="210" t="e">
        <f>#REF!</f>
        <v>#REF!</v>
      </c>
      <c r="L186" s="210">
        <v>44455</v>
      </c>
      <c r="M186" s="210"/>
      <c r="N186" s="210">
        <f>'Danh sách máy'!F181</f>
        <v>0</v>
      </c>
      <c r="O186" s="211" t="str" cm="1">
        <f t="array" ref="O186">IF(L186&lt;&gt;0,IF(L186&lt;I186,"OK","NG"),Blank)</f>
        <v>OK</v>
      </c>
      <c r="P186" s="211" t="e" cm="1">
        <f t="array" ref="P186">IF(M186&lt;&gt;0,IF(M186&lt;J186,"OK","NG"),Blank)</f>
        <v>#NAME?</v>
      </c>
      <c r="Q186" s="211" t="e" cm="1">
        <f t="array" ref="Q186">IF(H186&lt;&gt;"Stop",IF(N186&lt;&gt;0,IF(N186&lt;=K186,"OK","NG"),Blank),"-")</f>
        <v>#REF!</v>
      </c>
      <c r="R186" s="326" t="e" cm="1">
        <f t="array" ref="R186">IF(H186&lt;&gt;"Stop",IF(E186&lt;&gt;0,IF(E186&lt;=K186,"OK","NG"),Blank),"-")</f>
        <v>#REF!</v>
      </c>
      <c r="S186" s="22"/>
      <c r="T186" s="221"/>
      <c r="U186"/>
    </row>
    <row r="187" spans="1:21" ht="15" hidden="1" x14ac:dyDescent="0.3">
      <c r="A187" s="318" t="e">
        <f>#REF!</f>
        <v>#REF!</v>
      </c>
      <c r="B187" s="305" t="e">
        <f>#REF!</f>
        <v>#REF!</v>
      </c>
      <c r="C187" s="305" t="str">
        <f>'Danh sách máy'!C182</f>
        <v>ISHI</v>
      </c>
      <c r="D187" s="90" t="e">
        <f>#REF!</f>
        <v>#REF!</v>
      </c>
      <c r="E187" s="97">
        <f>'Danh sách máy'!E182</f>
        <v>0</v>
      </c>
      <c r="F187" s="206" t="e">
        <f>#REF!</f>
        <v>#REF!</v>
      </c>
      <c r="G187" s="102" t="e">
        <f>#REF!</f>
        <v>#REF!</v>
      </c>
      <c r="H187" s="102" t="e">
        <f>#REF!</f>
        <v>#REF!</v>
      </c>
      <c r="I187" s="209">
        <v>44461</v>
      </c>
      <c r="J187" s="210"/>
      <c r="K187" s="210" t="e">
        <f>#REF!</f>
        <v>#REF!</v>
      </c>
      <c r="L187" s="210">
        <v>44456</v>
      </c>
      <c r="M187" s="210"/>
      <c r="N187" s="210">
        <f>'Danh sách máy'!F182</f>
        <v>0</v>
      </c>
      <c r="O187" s="211" t="str" cm="1">
        <f t="array" ref="O187">IF(L187&lt;&gt;0,IF(L187&lt;I187,"OK","NG"),Blank)</f>
        <v>OK</v>
      </c>
      <c r="P187" s="211" t="e" cm="1">
        <f t="array" ref="P187">IF(M187&lt;&gt;0,IF(M187&lt;J187,"OK","NG"),Blank)</f>
        <v>#NAME?</v>
      </c>
      <c r="Q187" s="211" t="e" cm="1">
        <f t="array" ref="Q187">IF(H187&lt;&gt;"Stop",IF(N187&lt;&gt;0,IF(N187&lt;=K187,"OK","NG"),Blank),"-")</f>
        <v>#REF!</v>
      </c>
      <c r="R187" s="326" t="e" cm="1">
        <f t="array" ref="R187">IF(H187&lt;&gt;"Stop",IF(E187&lt;&gt;0,IF(E187&lt;=K187,"OK","NG"),Blank),"-")</f>
        <v>#REF!</v>
      </c>
      <c r="S187" s="22"/>
      <c r="T187" s="221"/>
      <c r="U187"/>
    </row>
    <row r="188" spans="1:21" ht="15" hidden="1" x14ac:dyDescent="0.3">
      <c r="A188" s="318" t="e">
        <f>#REF!</f>
        <v>#REF!</v>
      </c>
      <c r="B188" s="305" t="e">
        <f>#REF!</f>
        <v>#REF!</v>
      </c>
      <c r="C188" s="305" t="str">
        <f>'Danh sách máy'!C183</f>
        <v>ISHI</v>
      </c>
      <c r="D188" s="90" t="e">
        <f>#REF!</f>
        <v>#REF!</v>
      </c>
      <c r="E188" s="97">
        <f>'Danh sách máy'!E183</f>
        <v>0</v>
      </c>
      <c r="F188" s="206" t="e">
        <f>#REF!</f>
        <v>#REF!</v>
      </c>
      <c r="G188" s="102" t="e">
        <f>#REF!</f>
        <v>#REF!</v>
      </c>
      <c r="H188" s="102" t="e">
        <f>#REF!</f>
        <v>#REF!</v>
      </c>
      <c r="I188" s="209">
        <v>44462</v>
      </c>
      <c r="J188" s="210"/>
      <c r="K188" s="210" t="e">
        <f>#REF!</f>
        <v>#REF!</v>
      </c>
      <c r="L188" s="210">
        <v>44457</v>
      </c>
      <c r="M188" s="210"/>
      <c r="N188" s="210">
        <f>'Danh sách máy'!F183</f>
        <v>0</v>
      </c>
      <c r="O188" s="211" t="str" cm="1">
        <f t="array" ref="O188">IF(L188&lt;&gt;0,IF(L188&lt;I188,"OK","NG"),Blank)</f>
        <v>OK</v>
      </c>
      <c r="P188" s="211" t="e" cm="1">
        <f t="array" ref="P188">IF(M188&lt;&gt;0,IF(M188&lt;J188,"OK","NG"),Blank)</f>
        <v>#NAME?</v>
      </c>
      <c r="Q188" s="211" t="e" cm="1">
        <f t="array" ref="Q188">IF(H188&lt;&gt;"Stop",IF(N188&lt;&gt;0,IF(N188&lt;=K188,"OK","NG"),Blank),"-")</f>
        <v>#REF!</v>
      </c>
      <c r="R188" s="326" t="e" cm="1">
        <f t="array" ref="R188">IF(H188&lt;&gt;"Stop",IF(E188&lt;&gt;0,IF(E188&lt;=K188,"OK","NG"),Blank),"-")</f>
        <v>#REF!</v>
      </c>
      <c r="S188" s="22"/>
      <c r="T188" s="221"/>
      <c r="U188"/>
    </row>
    <row r="189" spans="1:21" ht="15" hidden="1" x14ac:dyDescent="0.3">
      <c r="A189" s="318" t="e">
        <f>#REF!</f>
        <v>#REF!</v>
      </c>
      <c r="B189" s="305" t="e">
        <f>#REF!</f>
        <v>#REF!</v>
      </c>
      <c r="C189" s="305" t="str">
        <f>'Danh sách máy'!C184</f>
        <v>FPC</v>
      </c>
      <c r="D189" s="90" t="e">
        <f>#REF!</f>
        <v>#REF!</v>
      </c>
      <c r="E189" s="97">
        <f>'Danh sách máy'!E184</f>
        <v>0</v>
      </c>
      <c r="F189" s="206" t="e">
        <f>#REF!</f>
        <v>#REF!</v>
      </c>
      <c r="G189" s="102" t="e">
        <f>#REF!</f>
        <v>#REF!</v>
      </c>
      <c r="H189" s="102" t="e">
        <f>#REF!</f>
        <v>#REF!</v>
      </c>
      <c r="I189" s="209">
        <v>44463</v>
      </c>
      <c r="J189" s="210"/>
      <c r="K189" s="210" t="e">
        <f>#REF!</f>
        <v>#REF!</v>
      </c>
      <c r="L189" s="210">
        <v>44458</v>
      </c>
      <c r="M189" s="210"/>
      <c r="N189" s="210">
        <f>'Danh sách máy'!F184</f>
        <v>0</v>
      </c>
      <c r="O189" s="211" t="str" cm="1">
        <f t="array" ref="O189">IF(L189&lt;&gt;0,IF(L189&lt;I189,"OK","NG"),Blank)</f>
        <v>OK</v>
      </c>
      <c r="P189" s="211" t="e" cm="1">
        <f t="array" ref="P189">IF(M189&lt;&gt;0,IF(M189&lt;J189,"OK","NG"),Blank)</f>
        <v>#NAME?</v>
      </c>
      <c r="Q189" s="211" t="e" cm="1">
        <f t="array" ref="Q189">IF(H189&lt;&gt;"Stop",IF(N189&lt;&gt;0,IF(N189&lt;=K189,"OK","NG"),Blank),"-")</f>
        <v>#REF!</v>
      </c>
      <c r="R189" s="326" t="e" cm="1">
        <f t="array" ref="R189">IF(H189&lt;&gt;"Stop",IF(E189&lt;&gt;0,IF(E189&lt;=K189,"OK","NG"),Blank),"-")</f>
        <v>#REF!</v>
      </c>
      <c r="S189" s="22"/>
      <c r="T189" s="221"/>
      <c r="U189"/>
    </row>
    <row r="190" spans="1:21" ht="15" hidden="1" x14ac:dyDescent="0.3">
      <c r="A190" s="318" t="e">
        <f>#REF!</f>
        <v>#REF!</v>
      </c>
      <c r="B190" s="305" t="e">
        <f>#REF!</f>
        <v>#REF!</v>
      </c>
      <c r="C190" s="305" t="str">
        <f>'Danh sách máy'!C185</f>
        <v>FPC</v>
      </c>
      <c r="D190" s="90" t="e">
        <f>#REF!</f>
        <v>#REF!</v>
      </c>
      <c r="E190" s="97">
        <f>'Danh sách máy'!E185</f>
        <v>0</v>
      </c>
      <c r="F190" s="206" t="e">
        <f>#REF!</f>
        <v>#REF!</v>
      </c>
      <c r="G190" s="102" t="e">
        <f>#REF!</f>
        <v>#REF!</v>
      </c>
      <c r="H190" s="102" t="e">
        <f>#REF!</f>
        <v>#REF!</v>
      </c>
      <c r="I190" s="209">
        <v>44464</v>
      </c>
      <c r="J190" s="210"/>
      <c r="K190" s="210" t="e">
        <f>#REF!</f>
        <v>#REF!</v>
      </c>
      <c r="L190" s="210">
        <v>44459</v>
      </c>
      <c r="M190" s="210"/>
      <c r="N190" s="210">
        <f>'Danh sách máy'!F185</f>
        <v>0</v>
      </c>
      <c r="O190" s="211" t="str" cm="1">
        <f t="array" ref="O190">IF(L190&lt;&gt;0,IF(L190&lt;I190,"OK","NG"),Blank)</f>
        <v>OK</v>
      </c>
      <c r="P190" s="211" t="e" cm="1">
        <f t="array" ref="P190">IF(M190&lt;&gt;0,IF(M190&lt;J190,"OK","NG"),Blank)</f>
        <v>#NAME?</v>
      </c>
      <c r="Q190" s="211" t="e" cm="1">
        <f t="array" ref="Q190">IF(H190&lt;&gt;"Stop",IF(N190&lt;&gt;0,IF(N190&lt;=K190,"OK","NG"),Blank),"-")</f>
        <v>#REF!</v>
      </c>
      <c r="R190" s="326" t="e" cm="1">
        <f t="array" ref="R190">IF(H190&lt;&gt;"Stop",IF(E190&lt;&gt;0,IF(E190&lt;=K190,"OK","NG"),Blank),"-")</f>
        <v>#REF!</v>
      </c>
      <c r="S190" s="22"/>
      <c r="T190" s="221"/>
      <c r="U190"/>
    </row>
    <row r="191" spans="1:21" ht="15" hidden="1" x14ac:dyDescent="0.3">
      <c r="A191" s="318" t="e">
        <f>#REF!</f>
        <v>#REF!</v>
      </c>
      <c r="B191" s="305" t="e">
        <f>#REF!</f>
        <v>#REF!</v>
      </c>
      <c r="C191" s="305" t="str">
        <f>'Danh sách máy'!C186</f>
        <v>FPC</v>
      </c>
      <c r="D191" s="90" t="e">
        <f>#REF!</f>
        <v>#REF!</v>
      </c>
      <c r="E191" s="97">
        <f>'Danh sách máy'!E186</f>
        <v>0</v>
      </c>
      <c r="F191" s="206" t="e">
        <f>#REF!</f>
        <v>#REF!</v>
      </c>
      <c r="G191" s="102" t="e">
        <f>#REF!</f>
        <v>#REF!</v>
      </c>
      <c r="H191" s="102" t="e">
        <f>#REF!</f>
        <v>#REF!</v>
      </c>
      <c r="I191" s="209">
        <v>44465</v>
      </c>
      <c r="J191" s="210"/>
      <c r="K191" s="210" t="e">
        <f>#REF!</f>
        <v>#REF!</v>
      </c>
      <c r="L191" s="210">
        <v>44460</v>
      </c>
      <c r="M191" s="210"/>
      <c r="N191" s="210">
        <f>'Danh sách máy'!F186</f>
        <v>0</v>
      </c>
      <c r="O191" s="211" t="str" cm="1">
        <f t="array" ref="O191">IF(L191&lt;&gt;0,IF(L191&lt;I191,"OK","NG"),Blank)</f>
        <v>OK</v>
      </c>
      <c r="P191" s="211" t="e" cm="1">
        <f t="array" ref="P191">IF(M191&lt;&gt;0,IF(M191&lt;J191,"OK","NG"),Blank)</f>
        <v>#NAME?</v>
      </c>
      <c r="Q191" s="211" t="e" cm="1">
        <f t="array" ref="Q191">IF(H191&lt;&gt;"Stop",IF(N191&lt;&gt;0,IF(N191&lt;=K191,"OK","NG"),Blank),"-")</f>
        <v>#REF!</v>
      </c>
      <c r="R191" s="326" t="e" cm="1">
        <f t="array" ref="R191">IF(H191&lt;&gt;"Stop",IF(E191&lt;&gt;0,IF(E191&lt;=K191,"OK","NG"),Blank),"-")</f>
        <v>#REF!</v>
      </c>
      <c r="S191" s="22"/>
      <c r="T191" s="221"/>
      <c r="U191"/>
    </row>
    <row r="192" spans="1:21" ht="30" hidden="1" x14ac:dyDescent="0.3">
      <c r="A192" s="318" t="e">
        <f>#REF!</f>
        <v>#REF!</v>
      </c>
      <c r="B192" s="305" t="e">
        <f>#REF!</f>
        <v>#REF!</v>
      </c>
      <c r="C192" s="305" t="str">
        <f>'Danh sách máy'!C187</f>
        <v>MKTC</v>
      </c>
      <c r="D192" s="90" t="e">
        <f>#REF!</f>
        <v>#REF!</v>
      </c>
      <c r="E192" s="97">
        <f>'Danh sách máy'!E187</f>
        <v>0</v>
      </c>
      <c r="F192" s="206" t="e">
        <f>#REF!</f>
        <v>#REF!</v>
      </c>
      <c r="G192" s="102" t="e">
        <f>#REF!</f>
        <v>#REF!</v>
      </c>
      <c r="H192" s="102" t="e">
        <f>#REF!</f>
        <v>#REF!</v>
      </c>
      <c r="I192" s="209">
        <v>44466</v>
      </c>
      <c r="J192" s="210"/>
      <c r="K192" s="210" t="e">
        <f>#REF!</f>
        <v>#REF!</v>
      </c>
      <c r="L192" s="210">
        <v>44461</v>
      </c>
      <c r="M192" s="210"/>
      <c r="N192" s="210">
        <f>'Danh sách máy'!F187</f>
        <v>0</v>
      </c>
      <c r="O192" s="211" t="str" cm="1">
        <f t="array" ref="O192">IF(L192&lt;&gt;0,IF(L192&lt;I192,"OK","NG"),Blank)</f>
        <v>OK</v>
      </c>
      <c r="P192" s="211" t="e" cm="1">
        <f t="array" ref="P192">IF(M192&lt;&gt;0,IF(M192&lt;J192,"OK","NG"),Blank)</f>
        <v>#NAME?</v>
      </c>
      <c r="Q192" s="211" t="e" cm="1">
        <f t="array" ref="Q192">IF(H192&lt;&gt;"Stop",IF(N192&lt;&gt;0,IF(N192&lt;=K192,"OK","NG"),Blank),"-")</f>
        <v>#REF!</v>
      </c>
      <c r="R192" s="326" t="e" cm="1">
        <f t="array" ref="R192">IF(H192&lt;&gt;"Stop",IF(E192&lt;&gt;0,IF(E192&lt;=K192,"OK","NG"),Blank),"-")</f>
        <v>#REF!</v>
      </c>
      <c r="S192" s="22"/>
      <c r="T192" s="221"/>
      <c r="U192"/>
    </row>
    <row r="193" spans="1:21" ht="15" hidden="1" x14ac:dyDescent="0.3">
      <c r="A193" s="318" t="e">
        <f>#REF!</f>
        <v>#REF!</v>
      </c>
      <c r="B193" s="305" t="e">
        <f>#REF!</f>
        <v>#REF!</v>
      </c>
      <c r="C193" s="305" t="str">
        <f>'Danh sách máy'!C188</f>
        <v>ISHI</v>
      </c>
      <c r="D193" s="90" t="e">
        <f>#REF!</f>
        <v>#REF!</v>
      </c>
      <c r="E193" s="97">
        <f>'Danh sách máy'!E188</f>
        <v>45656</v>
      </c>
      <c r="F193" s="206" t="e">
        <f>#REF!</f>
        <v>#REF!</v>
      </c>
      <c r="G193" s="102" t="e">
        <f>#REF!</f>
        <v>#REF!</v>
      </c>
      <c r="H193" s="102" t="e">
        <f>#REF!</f>
        <v>#REF!</v>
      </c>
      <c r="I193" s="209">
        <v>44467</v>
      </c>
      <c r="J193" s="210"/>
      <c r="K193" s="210" t="e">
        <f>#REF!</f>
        <v>#REF!</v>
      </c>
      <c r="L193" s="210">
        <v>44462</v>
      </c>
      <c r="M193" s="210"/>
      <c r="N193" s="210">
        <f>'Danh sách máy'!F188</f>
        <v>0</v>
      </c>
      <c r="O193" s="211" t="str" cm="1">
        <f t="array" ref="O193">IF(L193&lt;&gt;0,IF(L193&lt;I193,"OK","NG"),Blank)</f>
        <v>OK</v>
      </c>
      <c r="P193" s="211" t="e" cm="1">
        <f t="array" ref="P193">IF(M193&lt;&gt;0,IF(M193&lt;J193,"OK","NG"),Blank)</f>
        <v>#NAME?</v>
      </c>
      <c r="Q193" s="211" t="e" cm="1">
        <f t="array" ref="Q193">IF(H193&lt;&gt;"Stop",IF(N193&lt;&gt;0,IF(N193&lt;=K193,"OK","NG"),Blank),"-")</f>
        <v>#REF!</v>
      </c>
      <c r="R193" s="326" t="e" cm="1">
        <f t="array" ref="R193">IF(H193&lt;&gt;"Stop",IF(E193&lt;&gt;0,IF(E193&lt;=K193,"OK","NG"),Blank),"-")</f>
        <v>#REF!</v>
      </c>
      <c r="S193" s="220"/>
      <c r="T193" s="221">
        <v>1</v>
      </c>
      <c r="U193"/>
    </row>
    <row r="194" spans="1:21" ht="15" hidden="1" x14ac:dyDescent="0.3">
      <c r="A194" s="318" t="e">
        <f>#REF!</f>
        <v>#REF!</v>
      </c>
      <c r="B194" s="305" t="e">
        <f>#REF!</f>
        <v>#REF!</v>
      </c>
      <c r="C194" s="305" t="str">
        <f>'Danh sách máy'!C189</f>
        <v>MKVC</v>
      </c>
      <c r="D194" s="90" t="e">
        <f>#REF!</f>
        <v>#REF!</v>
      </c>
      <c r="E194" s="97">
        <f>'Danh sách máy'!E189</f>
        <v>45573</v>
      </c>
      <c r="F194" s="206" t="e">
        <f>#REF!</f>
        <v>#REF!</v>
      </c>
      <c r="G194" s="102" t="e">
        <f>#REF!</f>
        <v>#REF!</v>
      </c>
      <c r="H194" s="102" t="e">
        <f>#REF!</f>
        <v>#REF!</v>
      </c>
      <c r="I194" s="209">
        <v>44468</v>
      </c>
      <c r="J194" s="210"/>
      <c r="K194" s="210" t="e">
        <f>#REF!</f>
        <v>#REF!</v>
      </c>
      <c r="L194" s="210">
        <v>44463</v>
      </c>
      <c r="M194" s="210"/>
      <c r="N194" s="210">
        <f>'Danh sách máy'!F189</f>
        <v>45576</v>
      </c>
      <c r="O194" s="211" t="str" cm="1">
        <f t="array" ref="O194">IF(L194&lt;&gt;0,IF(L194&lt;I194,"OK","NG"),Blank)</f>
        <v>OK</v>
      </c>
      <c r="P194" s="211" t="e" cm="1">
        <f t="array" ref="P194">IF(M194&lt;&gt;0,IF(M194&lt;J194,"OK","NG"),Blank)</f>
        <v>#NAME?</v>
      </c>
      <c r="Q194" s="211" t="e" cm="1">
        <f t="array" ref="Q194">IF(H194&lt;&gt;"Stop",IF(N194&lt;&gt;0,IF(N194&lt;=K194,"OK","NG"),Blank),"-")</f>
        <v>#REF!</v>
      </c>
      <c r="R194" s="326" t="e" cm="1">
        <f t="array" ref="R194">IF(H194&lt;&gt;"Stop",IF(E194&lt;&gt;0,IF(E194&lt;=K194,"OK","NG"),Blank),"-")</f>
        <v>#REF!</v>
      </c>
      <c r="S194" s="220"/>
      <c r="T194" s="221">
        <v>1</v>
      </c>
      <c r="U194"/>
    </row>
    <row r="195" spans="1:21" ht="15" hidden="1" x14ac:dyDescent="0.3">
      <c r="A195" s="318" t="e">
        <f>#REF!</f>
        <v>#REF!</v>
      </c>
      <c r="B195" s="305" t="e">
        <f>#REF!</f>
        <v>#REF!</v>
      </c>
      <c r="C195" s="305" t="str">
        <f>'Danh sách máy'!C190</f>
        <v>MKVC</v>
      </c>
      <c r="D195" s="90" t="e">
        <f>#REF!</f>
        <v>#REF!</v>
      </c>
      <c r="E195" s="97">
        <f>'Danh sách máy'!E190</f>
        <v>45573</v>
      </c>
      <c r="F195" s="206" t="e">
        <f>#REF!</f>
        <v>#REF!</v>
      </c>
      <c r="G195" s="102" t="e">
        <f>#REF!</f>
        <v>#REF!</v>
      </c>
      <c r="H195" s="102" t="e">
        <f>#REF!</f>
        <v>#REF!</v>
      </c>
      <c r="I195" s="209">
        <v>44469</v>
      </c>
      <c r="J195" s="210"/>
      <c r="K195" s="210" t="e">
        <f>#REF!</f>
        <v>#REF!</v>
      </c>
      <c r="L195" s="210">
        <v>44464</v>
      </c>
      <c r="M195" s="210"/>
      <c r="N195" s="210">
        <f>'Danh sách máy'!F190</f>
        <v>45576</v>
      </c>
      <c r="O195" s="211" t="str" cm="1">
        <f t="array" ref="O195">IF(L195&lt;&gt;0,IF(L195&lt;I195,"OK","NG"),Blank)</f>
        <v>OK</v>
      </c>
      <c r="P195" s="211" t="e" cm="1">
        <f t="array" ref="P195">IF(M195&lt;&gt;0,IF(M195&lt;J195,"OK","NG"),Blank)</f>
        <v>#NAME?</v>
      </c>
      <c r="Q195" s="211" t="e" cm="1">
        <f t="array" ref="Q195">IF(H195&lt;&gt;"Stop",IF(N195&lt;&gt;0,IF(N195&lt;=K195,"OK","NG"),Blank),"-")</f>
        <v>#REF!</v>
      </c>
      <c r="R195" s="326" t="e" cm="1">
        <f t="array" ref="R195">IF(H195&lt;&gt;"Stop",IF(E195&lt;&gt;0,IF(E195&lt;=K195,"OK","NG"),Blank),"-")</f>
        <v>#REF!</v>
      </c>
      <c r="S195" s="220"/>
      <c r="T195" s="221">
        <v>1</v>
      </c>
      <c r="U195"/>
    </row>
    <row r="196" spans="1:21" ht="30" hidden="1" x14ac:dyDescent="0.3">
      <c r="A196" s="318" t="e">
        <f>#REF!</f>
        <v>#REF!</v>
      </c>
      <c r="B196" s="305" t="e">
        <f>#REF!</f>
        <v>#REF!</v>
      </c>
      <c r="C196" s="305" t="str">
        <f>'Danh sách máy'!C191</f>
        <v>MKVC</v>
      </c>
      <c r="D196" s="90" t="e">
        <f>#REF!</f>
        <v>#REF!</v>
      </c>
      <c r="E196" s="97">
        <f>'Danh sách máy'!E191</f>
        <v>0</v>
      </c>
      <c r="F196" s="206" t="e">
        <f>#REF!</f>
        <v>#REF!</v>
      </c>
      <c r="G196" s="102" t="e">
        <f>#REF!</f>
        <v>#REF!</v>
      </c>
      <c r="H196" s="102" t="e">
        <f>#REF!</f>
        <v>#REF!</v>
      </c>
      <c r="I196" s="209">
        <v>44470</v>
      </c>
      <c r="J196" s="210"/>
      <c r="K196" s="210" t="e">
        <f>#REF!</f>
        <v>#REF!</v>
      </c>
      <c r="L196" s="210">
        <v>44465</v>
      </c>
      <c r="M196" s="210"/>
      <c r="N196" s="210">
        <f>'Danh sách máy'!F191</f>
        <v>0</v>
      </c>
      <c r="O196" s="211" t="str" cm="1">
        <f t="array" ref="O196">IF(L196&lt;&gt;0,IF(L196&lt;I196,"OK","NG"),Blank)</f>
        <v>OK</v>
      </c>
      <c r="P196" s="211" t="e" cm="1">
        <f t="array" ref="P196">IF(M196&lt;&gt;0,IF(M196&lt;J196,"OK","NG"),Blank)</f>
        <v>#NAME?</v>
      </c>
      <c r="Q196" s="211" t="e" cm="1">
        <f t="array" ref="Q196">IF(H196&lt;&gt;"Stop",IF(N196&lt;&gt;0,IF(N196&lt;=K196,"OK","NG"),Blank),"-")</f>
        <v>#REF!</v>
      </c>
      <c r="R196" s="326" t="e" cm="1">
        <f t="array" ref="R196">IF(H196&lt;&gt;"Stop",IF(E196&lt;&gt;0,IF(E196&lt;=K196,"OK","NG"),Blank),"-")</f>
        <v>#REF!</v>
      </c>
      <c r="S196" s="22"/>
      <c r="T196" s="221"/>
      <c r="U196"/>
    </row>
    <row r="197" spans="1:21" ht="30" hidden="1" x14ac:dyDescent="0.3">
      <c r="A197" s="318" t="e">
        <f>#REF!</f>
        <v>#REF!</v>
      </c>
      <c r="B197" s="305" t="e">
        <f>#REF!</f>
        <v>#REF!</v>
      </c>
      <c r="C197" s="305" t="str">
        <f>'Danh sách máy'!C192</f>
        <v>MKVC</v>
      </c>
      <c r="D197" s="90" t="e">
        <f>#REF!</f>
        <v>#REF!</v>
      </c>
      <c r="E197" s="97">
        <f>'Danh sách máy'!E192</f>
        <v>0</v>
      </c>
      <c r="F197" s="206" t="e">
        <f>#REF!</f>
        <v>#REF!</v>
      </c>
      <c r="G197" s="102" t="e">
        <f>#REF!</f>
        <v>#REF!</v>
      </c>
      <c r="H197" s="102" t="e">
        <f>#REF!</f>
        <v>#REF!</v>
      </c>
      <c r="I197" s="209">
        <v>44471</v>
      </c>
      <c r="J197" s="210"/>
      <c r="K197" s="210" t="e">
        <f>#REF!</f>
        <v>#REF!</v>
      </c>
      <c r="L197" s="210">
        <v>44466</v>
      </c>
      <c r="M197" s="210"/>
      <c r="N197" s="210">
        <f>'Danh sách máy'!F192</f>
        <v>0</v>
      </c>
      <c r="O197" s="211" t="str" cm="1">
        <f t="array" ref="O197">IF(L197&lt;&gt;0,IF(L197&lt;I197,"OK","NG"),Blank)</f>
        <v>OK</v>
      </c>
      <c r="P197" s="211" t="e" cm="1">
        <f t="array" ref="P197">IF(M197&lt;&gt;0,IF(M197&lt;J197,"OK","NG"),Blank)</f>
        <v>#NAME?</v>
      </c>
      <c r="Q197" s="211" t="e" cm="1">
        <f t="array" ref="Q197">IF(H197&lt;&gt;"Stop",IF(N197&lt;&gt;0,IF(N197&lt;=K197,"OK","NG"),Blank),"-")</f>
        <v>#REF!</v>
      </c>
      <c r="R197" s="326" t="e" cm="1">
        <f t="array" ref="R197">IF(H197&lt;&gt;"Stop",IF(E197&lt;&gt;0,IF(E197&lt;=K197,"OK","NG"),Blank),"-")</f>
        <v>#REF!</v>
      </c>
      <c r="S197" s="22"/>
      <c r="T197" s="221">
        <v>1</v>
      </c>
      <c r="U197"/>
    </row>
    <row r="198" spans="1:21" ht="30" hidden="1" x14ac:dyDescent="0.3">
      <c r="A198" s="318" t="e">
        <f>#REF!</f>
        <v>#REF!</v>
      </c>
      <c r="B198" s="305" t="e">
        <f>#REF!</f>
        <v>#REF!</v>
      </c>
      <c r="C198" s="305" t="str">
        <f>'Danh sách máy'!C193</f>
        <v>MKVC</v>
      </c>
      <c r="D198" s="90" t="e">
        <f>#REF!</f>
        <v>#REF!</v>
      </c>
      <c r="E198" s="97">
        <f>'Danh sách máy'!E193</f>
        <v>0</v>
      </c>
      <c r="F198" s="206" t="e">
        <f>#REF!</f>
        <v>#REF!</v>
      </c>
      <c r="G198" s="102" t="e">
        <f>#REF!</f>
        <v>#REF!</v>
      </c>
      <c r="H198" s="102" t="e">
        <f>#REF!</f>
        <v>#REF!</v>
      </c>
      <c r="I198" s="209">
        <v>44472</v>
      </c>
      <c r="J198" s="210"/>
      <c r="K198" s="210" t="e">
        <f>#REF!</f>
        <v>#REF!</v>
      </c>
      <c r="L198" s="210">
        <v>44467</v>
      </c>
      <c r="M198" s="210"/>
      <c r="N198" s="210">
        <f>'Danh sách máy'!F193</f>
        <v>0</v>
      </c>
      <c r="O198" s="211" t="str" cm="1">
        <f t="array" ref="O198">IF(L198&lt;&gt;0,IF(L198&lt;I198,"OK","NG"),Blank)</f>
        <v>OK</v>
      </c>
      <c r="P198" s="211" t="e" cm="1">
        <f t="array" ref="P198">IF(M198&lt;&gt;0,IF(M198&lt;J198,"OK","NG"),Blank)</f>
        <v>#NAME?</v>
      </c>
      <c r="Q198" s="211" t="e" cm="1">
        <f t="array" ref="Q198">IF(H198&lt;&gt;"Stop",IF(N198&lt;&gt;0,IF(N198&lt;=K198,"OK","NG"),Blank),"-")</f>
        <v>#REF!</v>
      </c>
      <c r="R198" s="326" t="e" cm="1">
        <f t="array" ref="R198">IF(H198&lt;&gt;"Stop",IF(E198&lt;&gt;0,IF(E198&lt;=K198,"OK","NG"),Blank),"-")</f>
        <v>#REF!</v>
      </c>
      <c r="S198" s="22"/>
      <c r="T198" s="221"/>
      <c r="U198"/>
    </row>
    <row r="199" spans="1:21" ht="15" hidden="1" x14ac:dyDescent="0.3">
      <c r="A199" s="318" t="e">
        <f>#REF!</f>
        <v>#REF!</v>
      </c>
      <c r="B199" s="305" t="e">
        <f>#REF!</f>
        <v>#REF!</v>
      </c>
      <c r="C199" s="305" t="str">
        <f>'Danh sách máy'!C194</f>
        <v>MKVC</v>
      </c>
      <c r="D199" s="90" t="e">
        <f>#REF!</f>
        <v>#REF!</v>
      </c>
      <c r="E199" s="97">
        <f>'Danh sách máy'!E194</f>
        <v>0</v>
      </c>
      <c r="F199" s="206" t="e">
        <f>#REF!</f>
        <v>#REF!</v>
      </c>
      <c r="G199" s="102" t="e">
        <f>#REF!</f>
        <v>#REF!</v>
      </c>
      <c r="H199" s="102" t="e">
        <f>#REF!</f>
        <v>#REF!</v>
      </c>
      <c r="I199" s="209">
        <v>44473</v>
      </c>
      <c r="J199" s="210"/>
      <c r="K199" s="210" t="e">
        <f>#REF!</f>
        <v>#REF!</v>
      </c>
      <c r="L199" s="210">
        <v>44468</v>
      </c>
      <c r="M199" s="210"/>
      <c r="N199" s="210">
        <f>'Danh sách máy'!F194</f>
        <v>0</v>
      </c>
      <c r="O199" s="211" t="str" cm="1">
        <f t="array" ref="O199">IF(L199&lt;&gt;0,IF(L199&lt;I199,"OK","NG"),Blank)</f>
        <v>OK</v>
      </c>
      <c r="P199" s="211" t="e" cm="1">
        <f t="array" ref="P199">IF(M199&lt;&gt;0,IF(M199&lt;J199,"OK","NG"),Blank)</f>
        <v>#NAME?</v>
      </c>
      <c r="Q199" s="211" t="e" cm="1">
        <f t="array" ref="Q199">IF(H199&lt;&gt;"Stop",IF(N199&lt;&gt;0,IF(N199&lt;=K199,"OK","NG"),Blank),"-")</f>
        <v>#REF!</v>
      </c>
      <c r="R199" s="326" t="e" cm="1">
        <f t="array" ref="R199">IF(H199&lt;&gt;"Stop",IF(E199&lt;&gt;0,IF(E199&lt;=K199,"OK","NG"),Blank),"-")</f>
        <v>#REF!</v>
      </c>
      <c r="S199" s="22"/>
      <c r="T199" s="221"/>
      <c r="U199"/>
    </row>
    <row r="200" spans="1:21" ht="15" hidden="1" x14ac:dyDescent="0.3">
      <c r="A200" s="318" t="e">
        <f>#REF!</f>
        <v>#REF!</v>
      </c>
      <c r="B200" s="305" t="e">
        <f>#REF!</f>
        <v>#REF!</v>
      </c>
      <c r="C200" s="305" t="str">
        <f>'Danh sách máy'!C195</f>
        <v>MKVC</v>
      </c>
      <c r="D200" s="90" t="e">
        <f>#REF!</f>
        <v>#REF!</v>
      </c>
      <c r="E200" s="97">
        <f>'Danh sách máy'!E195</f>
        <v>0</v>
      </c>
      <c r="F200" s="206" t="e">
        <f>#REF!</f>
        <v>#REF!</v>
      </c>
      <c r="G200" s="102" t="e">
        <f>#REF!</f>
        <v>#REF!</v>
      </c>
      <c r="H200" s="102" t="e">
        <f>#REF!</f>
        <v>#REF!</v>
      </c>
      <c r="I200" s="209">
        <v>44474</v>
      </c>
      <c r="J200" s="210"/>
      <c r="K200" s="210" t="e">
        <f>#REF!</f>
        <v>#REF!</v>
      </c>
      <c r="L200" s="210">
        <v>44469</v>
      </c>
      <c r="M200" s="210"/>
      <c r="N200" s="210">
        <f>'Danh sách máy'!F195</f>
        <v>0</v>
      </c>
      <c r="O200" s="211" t="str" cm="1">
        <f t="array" ref="O200">IF(L200&lt;&gt;0,IF(L200&lt;I200,"OK","NG"),Blank)</f>
        <v>OK</v>
      </c>
      <c r="P200" s="211" t="e" cm="1">
        <f t="array" ref="P200">IF(M200&lt;&gt;0,IF(M200&lt;J200,"OK","NG"),Blank)</f>
        <v>#NAME?</v>
      </c>
      <c r="Q200" s="211" t="e" cm="1">
        <f t="array" ref="Q200">IF(H200&lt;&gt;"Stop",IF(N200&lt;&gt;0,IF(N200&lt;=K200,"OK","NG"),Blank),"-")</f>
        <v>#REF!</v>
      </c>
      <c r="R200" s="326" t="e" cm="1">
        <f t="array" ref="R200">IF(H200&lt;&gt;"Stop",IF(E200&lt;&gt;0,IF(E200&lt;=K200,"OK","NG"),Blank),"-")</f>
        <v>#REF!</v>
      </c>
      <c r="S200" s="22"/>
      <c r="T200" s="221"/>
      <c r="U200"/>
    </row>
    <row r="201" spans="1:21" ht="15" hidden="1" x14ac:dyDescent="0.3">
      <c r="A201" s="318" t="e">
        <f>#REF!</f>
        <v>#REF!</v>
      </c>
      <c r="B201" s="305" t="e">
        <f>#REF!</f>
        <v>#REF!</v>
      </c>
      <c r="C201" s="305">
        <f>'Danh sách máy'!C196</f>
        <v>0</v>
      </c>
      <c r="D201" s="90" t="e">
        <f>#REF!</f>
        <v>#REF!</v>
      </c>
      <c r="E201" s="97">
        <f>'Danh sách máy'!E196</f>
        <v>0</v>
      </c>
      <c r="F201" s="206" t="e">
        <f>#REF!</f>
        <v>#REF!</v>
      </c>
      <c r="G201" s="102" t="e">
        <f>#REF!</f>
        <v>#REF!</v>
      </c>
      <c r="H201" s="102" t="e">
        <f>#REF!</f>
        <v>#REF!</v>
      </c>
      <c r="I201" s="209">
        <v>44475</v>
      </c>
      <c r="J201" s="210"/>
      <c r="K201" s="210" t="e">
        <f>#REF!</f>
        <v>#REF!</v>
      </c>
      <c r="L201" s="210">
        <v>44470</v>
      </c>
      <c r="M201" s="210"/>
      <c r="N201" s="210">
        <f>'Danh sách máy'!F196</f>
        <v>0</v>
      </c>
      <c r="O201" s="211" t="str" cm="1">
        <f t="array" ref="O201">IF(L201&lt;&gt;0,IF(L201&lt;I201,"OK","NG"),Blank)</f>
        <v>OK</v>
      </c>
      <c r="P201" s="211" t="e" cm="1">
        <f t="array" ref="P201">IF(M201&lt;&gt;0,IF(M201&lt;J201,"OK","NG"),Blank)</f>
        <v>#NAME?</v>
      </c>
      <c r="Q201" s="211" t="e" cm="1">
        <f t="array" ref="Q201">IF(H201&lt;&gt;"Stop",IF(N201&lt;&gt;0,IF(N201&lt;=K201,"OK","NG"),Blank),"-")</f>
        <v>#REF!</v>
      </c>
      <c r="R201" s="326" t="e" cm="1">
        <f t="array" ref="R201">IF(H201&lt;&gt;"Stop",IF(E201&lt;&gt;0,IF(E201&lt;=K201,"OK","NG"),Blank),"-")</f>
        <v>#REF!</v>
      </c>
      <c r="S201" s="22"/>
      <c r="T201" s="221"/>
      <c r="U201"/>
    </row>
    <row r="202" spans="1:21" ht="30" x14ac:dyDescent="0.3">
      <c r="A202" s="318" t="e">
        <f>#REF!</f>
        <v>#REF!</v>
      </c>
      <c r="B202" s="305" t="e">
        <f>#REF!</f>
        <v>#REF!</v>
      </c>
      <c r="C202" s="305" t="str">
        <f>'Danh sách máy'!C197</f>
        <v>MKHC</v>
      </c>
      <c r="D202" s="90" t="e">
        <f>#REF!</f>
        <v>#REF!</v>
      </c>
      <c r="E202" s="97">
        <f>'Danh sách máy'!E197</f>
        <v>45813</v>
      </c>
      <c r="F202" s="206" t="e">
        <f>#REF!</f>
        <v>#REF!</v>
      </c>
      <c r="G202" s="102" t="e">
        <f>#REF!</f>
        <v>#REF!</v>
      </c>
      <c r="H202" s="102" t="e">
        <f>#REF!</f>
        <v>#REF!</v>
      </c>
      <c r="I202" s="209">
        <v>44476</v>
      </c>
      <c r="J202" s="210"/>
      <c r="K202" s="210" t="e">
        <f>#REF!</f>
        <v>#REF!</v>
      </c>
      <c r="L202" s="210">
        <v>44471</v>
      </c>
      <c r="M202" s="210"/>
      <c r="N202" s="210">
        <f>'Danh sách máy'!F197</f>
        <v>45813</v>
      </c>
      <c r="O202" s="211" t="str" cm="1">
        <f t="array" ref="O202">IF(L202&lt;&gt;0,IF(L202&lt;I202,"OK","NG"),Blank)</f>
        <v>OK</v>
      </c>
      <c r="P202" s="211" t="e" cm="1">
        <f t="array" ref="P202">IF(M202&lt;&gt;0,IF(M202&lt;J202,"OK","NG"),Blank)</f>
        <v>#NAME?</v>
      </c>
      <c r="Q202" s="211" t="e" cm="1">
        <f t="array" ref="Q202">IF(H202&lt;&gt;"Stop",IF(N202&lt;&gt;0,IF(N202&lt;=K202,"OK","NG"),Blank),"-")</f>
        <v>#REF!</v>
      </c>
      <c r="R202" s="326" t="e" cm="1">
        <f t="array" ref="R202">IF(H202&lt;&gt;"Stop",IF(E202&lt;&gt;0,IF(E202&lt;=K202,"OK","NG"),Blank),"-")</f>
        <v>#REF!</v>
      </c>
      <c r="S202" s="22"/>
      <c r="T202" s="221"/>
      <c r="U202"/>
    </row>
    <row r="203" spans="1:21" ht="30" x14ac:dyDescent="0.3">
      <c r="A203" s="318" t="e">
        <f>#REF!</f>
        <v>#REF!</v>
      </c>
      <c r="B203" s="305" t="e">
        <f>#REF!</f>
        <v>#REF!</v>
      </c>
      <c r="C203" s="305" t="str">
        <f>'Danh sách máy'!C198</f>
        <v>MKHC</v>
      </c>
      <c r="D203" s="90" t="e">
        <f>#REF!</f>
        <v>#REF!</v>
      </c>
      <c r="E203" s="97">
        <f>'Danh sách máy'!E198</f>
        <v>45813</v>
      </c>
      <c r="F203" s="206" t="e">
        <f>#REF!</f>
        <v>#REF!</v>
      </c>
      <c r="G203" s="102" t="e">
        <f>#REF!</f>
        <v>#REF!</v>
      </c>
      <c r="H203" s="102" t="e">
        <f>#REF!</f>
        <v>#REF!</v>
      </c>
      <c r="I203" s="209">
        <v>44477</v>
      </c>
      <c r="J203" s="210"/>
      <c r="K203" s="210" t="e">
        <f>#REF!</f>
        <v>#REF!</v>
      </c>
      <c r="L203" s="210">
        <v>44472</v>
      </c>
      <c r="M203" s="210"/>
      <c r="N203" s="210">
        <f>'Danh sách máy'!F198</f>
        <v>45813</v>
      </c>
      <c r="O203" s="211" t="str" cm="1">
        <f t="array" ref="O203">IF(L203&lt;&gt;0,IF(L203&lt;I203,"OK","NG"),Blank)</f>
        <v>OK</v>
      </c>
      <c r="P203" s="211" t="e" cm="1">
        <f t="array" ref="P203">IF(M203&lt;&gt;0,IF(M203&lt;J203,"OK","NG"),Blank)</f>
        <v>#NAME?</v>
      </c>
      <c r="Q203" s="211" t="e" cm="1">
        <f t="array" ref="Q203">IF(H203&lt;&gt;"Stop",IF(N203&lt;&gt;0,IF(N203&lt;=K203,"OK","NG"),Blank),"-")</f>
        <v>#REF!</v>
      </c>
      <c r="R203" s="326" t="e" cm="1">
        <f t="array" ref="R203">IF(H203&lt;&gt;"Stop",IF(E203&lt;&gt;0,IF(E203&lt;=K203,"OK","NG"),Blank),"-")</f>
        <v>#REF!</v>
      </c>
      <c r="S203" s="22"/>
      <c r="T203" s="221"/>
      <c r="U203"/>
    </row>
    <row r="204" spans="1:21" ht="30" hidden="1" x14ac:dyDescent="0.3">
      <c r="A204" s="318" t="e">
        <f>#REF!</f>
        <v>#REF!</v>
      </c>
      <c r="B204" s="305" t="e">
        <f>#REF!</f>
        <v>#REF!</v>
      </c>
      <c r="C204" s="305" t="str">
        <f>'Danh sách máy'!C199</f>
        <v>MKHC</v>
      </c>
      <c r="D204" s="90" t="e">
        <f>#REF!</f>
        <v>#REF!</v>
      </c>
      <c r="E204" s="97">
        <f>'Danh sách máy'!E199</f>
        <v>45864</v>
      </c>
      <c r="F204" s="206" t="e">
        <f>#REF!</f>
        <v>#REF!</v>
      </c>
      <c r="G204" s="102" t="e">
        <f>#REF!</f>
        <v>#REF!</v>
      </c>
      <c r="H204" s="102" t="e">
        <f>#REF!</f>
        <v>#REF!</v>
      </c>
      <c r="I204" s="209">
        <v>44478</v>
      </c>
      <c r="J204" s="210"/>
      <c r="K204" s="210" t="e">
        <f>#REF!</f>
        <v>#REF!</v>
      </c>
      <c r="L204" s="210">
        <v>44473</v>
      </c>
      <c r="M204" s="210"/>
      <c r="N204" s="210">
        <f>'Danh sách máy'!F199</f>
        <v>0</v>
      </c>
      <c r="O204" s="211" t="str" cm="1">
        <f t="array" ref="O204">IF(L204&lt;&gt;0,IF(L204&lt;I204,"OK","NG"),Blank)</f>
        <v>OK</v>
      </c>
      <c r="P204" s="211" t="e" cm="1">
        <f t="array" ref="P204">IF(M204&lt;&gt;0,IF(M204&lt;J204,"OK","NG"),Blank)</f>
        <v>#NAME?</v>
      </c>
      <c r="Q204" s="211" t="e" cm="1">
        <f t="array" ref="Q204">IF(H204&lt;&gt;"Stop",IF(N204&lt;&gt;0,IF(N204&lt;=K204,"OK","NG"),Blank),"-")</f>
        <v>#REF!</v>
      </c>
      <c r="R204" s="326" t="e" cm="1">
        <f t="array" ref="R204">IF(H204&lt;&gt;"Stop",IF(E204&lt;&gt;0,IF(E204&lt;=K204,"OK","NG"),Blank),"-")</f>
        <v>#REF!</v>
      </c>
      <c r="S204" s="22"/>
      <c r="T204" s="221"/>
      <c r="U204"/>
    </row>
    <row r="205" spans="1:21" ht="30" hidden="1" x14ac:dyDescent="0.3">
      <c r="A205" s="318" t="e">
        <f>#REF!</f>
        <v>#REF!</v>
      </c>
      <c r="B205" s="305" t="e">
        <f>#REF!</f>
        <v>#REF!</v>
      </c>
      <c r="C205" s="305" t="str">
        <f>'Danh sách máy'!C200</f>
        <v>MKHC</v>
      </c>
      <c r="D205" s="90" t="e">
        <f>#REF!</f>
        <v>#REF!</v>
      </c>
      <c r="E205" s="97">
        <f>'Danh sách máy'!E200</f>
        <v>45818</v>
      </c>
      <c r="F205" s="206" t="e">
        <f>#REF!</f>
        <v>#REF!</v>
      </c>
      <c r="G205" s="102" t="e">
        <f>#REF!</f>
        <v>#REF!</v>
      </c>
      <c r="H205" s="102" t="e">
        <f>#REF!</f>
        <v>#REF!</v>
      </c>
      <c r="I205" s="209">
        <v>44479</v>
      </c>
      <c r="J205" s="210"/>
      <c r="K205" s="210" t="e">
        <f>#REF!</f>
        <v>#REF!</v>
      </c>
      <c r="L205" s="210">
        <v>44474</v>
      </c>
      <c r="M205" s="210"/>
      <c r="N205" s="210">
        <f>'Danh sách máy'!F200</f>
        <v>0</v>
      </c>
      <c r="O205" s="211" t="str" cm="1">
        <f t="array" ref="O205">IF(L205&lt;&gt;0,IF(L205&lt;I205,"OK","NG"),Blank)</f>
        <v>OK</v>
      </c>
      <c r="P205" s="211" t="e" cm="1">
        <f t="array" ref="P205">IF(M205&lt;&gt;0,IF(M205&lt;J205,"OK","NG"),Blank)</f>
        <v>#NAME?</v>
      </c>
      <c r="Q205" s="211" t="e" cm="1">
        <f t="array" ref="Q205">IF(H205&lt;&gt;"Stop",IF(N205&lt;&gt;0,IF(N205&lt;=K205,"OK","NG"),Blank),"-")</f>
        <v>#REF!</v>
      </c>
      <c r="R205" s="326" t="e" cm="1">
        <f t="array" ref="R205">IF(H205&lt;&gt;"Stop",IF(E205&lt;&gt;0,IF(E205&lt;=K205,"OK","NG"),Blank),"-")</f>
        <v>#REF!</v>
      </c>
      <c r="S205" s="22"/>
      <c r="T205" s="221"/>
      <c r="U205"/>
    </row>
    <row r="206" spans="1:21" ht="30" x14ac:dyDescent="0.3">
      <c r="A206" s="318" t="e">
        <f>#REF!</f>
        <v>#REF!</v>
      </c>
      <c r="B206" s="305" t="e">
        <f>#REF!</f>
        <v>#REF!</v>
      </c>
      <c r="C206" s="305" t="str">
        <f>'Danh sách máy'!C201</f>
        <v>MKHC</v>
      </c>
      <c r="D206" s="90" t="e">
        <f>#REF!</f>
        <v>#REF!</v>
      </c>
      <c r="E206" s="97">
        <f>'Danh sách máy'!E201</f>
        <v>45897</v>
      </c>
      <c r="F206" s="206" t="e">
        <f>#REF!</f>
        <v>#REF!</v>
      </c>
      <c r="G206" s="102" t="e">
        <f>#REF!</f>
        <v>#REF!</v>
      </c>
      <c r="H206" s="102" t="e">
        <f>#REF!</f>
        <v>#REF!</v>
      </c>
      <c r="I206" s="209">
        <v>44480</v>
      </c>
      <c r="J206" s="210"/>
      <c r="K206" s="210" t="e">
        <f>#REF!</f>
        <v>#REF!</v>
      </c>
      <c r="L206" s="210">
        <v>44475</v>
      </c>
      <c r="M206" s="210"/>
      <c r="N206" s="210">
        <f>'Danh sách máy'!F201</f>
        <v>45897</v>
      </c>
      <c r="O206" s="211" t="str" cm="1">
        <f t="array" ref="O206">IF(L206&lt;&gt;0,IF(L206&lt;I206,"OK","NG"),Blank)</f>
        <v>OK</v>
      </c>
      <c r="P206" s="211" t="e" cm="1">
        <f t="array" ref="P206">IF(M206&lt;&gt;0,IF(M206&lt;J206,"OK","NG"),Blank)</f>
        <v>#NAME?</v>
      </c>
      <c r="Q206" s="211" t="e" cm="1">
        <f t="array" ref="Q206">IF(H206&lt;&gt;"Stop",IF(N206&lt;&gt;0,IF(N206&lt;=K206,"OK","NG"),Blank),"-")</f>
        <v>#REF!</v>
      </c>
      <c r="R206" s="326" t="e" cm="1">
        <f t="array" ref="R206">IF(H206&lt;&gt;"Stop",IF(E206&lt;&gt;0,IF(E206&lt;=K206,"OK","NG"),Blank),"-")</f>
        <v>#REF!</v>
      </c>
      <c r="S206" s="22"/>
      <c r="T206" s="221"/>
      <c r="U206"/>
    </row>
    <row r="207" spans="1:21" ht="30" x14ac:dyDescent="0.3">
      <c r="A207" s="318" t="e">
        <f>#REF!</f>
        <v>#REF!</v>
      </c>
      <c r="B207" s="305" t="e">
        <f>#REF!</f>
        <v>#REF!</v>
      </c>
      <c r="C207" s="305" t="str">
        <f>'Danh sách máy'!C202</f>
        <v>MKHC</v>
      </c>
      <c r="D207" s="90" t="e">
        <f>#REF!</f>
        <v>#REF!</v>
      </c>
      <c r="E207" s="97">
        <f>'Danh sách máy'!E202</f>
        <v>45817</v>
      </c>
      <c r="F207" s="206" t="e">
        <f>#REF!</f>
        <v>#REF!</v>
      </c>
      <c r="G207" s="102" t="e">
        <f>#REF!</f>
        <v>#REF!</v>
      </c>
      <c r="H207" s="102" t="e">
        <f>#REF!</f>
        <v>#REF!</v>
      </c>
      <c r="I207" s="209">
        <v>44481</v>
      </c>
      <c r="J207" s="210"/>
      <c r="K207" s="210" t="e">
        <f>#REF!</f>
        <v>#REF!</v>
      </c>
      <c r="L207" s="210">
        <v>44476</v>
      </c>
      <c r="M207" s="210"/>
      <c r="N207" s="210">
        <f>'Danh sách máy'!F202</f>
        <v>45817</v>
      </c>
      <c r="O207" s="211" t="str" cm="1">
        <f t="array" ref="O207">IF(L207&lt;&gt;0,IF(L207&lt;I207,"OK","NG"),Blank)</f>
        <v>OK</v>
      </c>
      <c r="P207" s="211" t="e" cm="1">
        <f t="array" ref="P207">IF(M207&lt;&gt;0,IF(M207&lt;J207,"OK","NG"),Blank)</f>
        <v>#NAME?</v>
      </c>
      <c r="Q207" s="211" t="e" cm="1">
        <f t="array" ref="Q207">IF(H207&lt;&gt;"Stop",IF(N207&lt;&gt;0,IF(N207&lt;=K207,"OK","NG"),Blank),"-")</f>
        <v>#REF!</v>
      </c>
      <c r="R207" s="326" t="e" cm="1">
        <f t="array" ref="R207">IF(H207&lt;&gt;"Stop",IF(E207&lt;&gt;0,IF(E207&lt;=K207,"OK","NG"),Blank),"-")</f>
        <v>#REF!</v>
      </c>
      <c r="S207" s="22"/>
      <c r="T207" s="221"/>
      <c r="U207"/>
    </row>
    <row r="208" spans="1:21" ht="30" x14ac:dyDescent="0.3">
      <c r="A208" s="318" t="e">
        <f>#REF!</f>
        <v>#REF!</v>
      </c>
      <c r="B208" s="305" t="e">
        <f>#REF!</f>
        <v>#REF!</v>
      </c>
      <c r="C208" s="305" t="str">
        <f>'Danh sách máy'!C203</f>
        <v>MKHC</v>
      </c>
      <c r="D208" s="90" t="e">
        <f>#REF!</f>
        <v>#REF!</v>
      </c>
      <c r="E208" s="97">
        <f>'Danh sách máy'!E203</f>
        <v>45813</v>
      </c>
      <c r="F208" s="206" t="e">
        <f>#REF!</f>
        <v>#REF!</v>
      </c>
      <c r="G208" s="102" t="e">
        <f>#REF!</f>
        <v>#REF!</v>
      </c>
      <c r="H208" s="102" t="e">
        <f>#REF!</f>
        <v>#REF!</v>
      </c>
      <c r="I208" s="209">
        <v>44482</v>
      </c>
      <c r="J208" s="210"/>
      <c r="K208" s="210" t="e">
        <f>#REF!</f>
        <v>#REF!</v>
      </c>
      <c r="L208" s="210">
        <v>44477</v>
      </c>
      <c r="M208" s="210"/>
      <c r="N208" s="210">
        <f>'Danh sách máy'!F203</f>
        <v>45813</v>
      </c>
      <c r="O208" s="211" t="str" cm="1">
        <f t="array" ref="O208">IF(L208&lt;&gt;0,IF(L208&lt;I208,"OK","NG"),Blank)</f>
        <v>OK</v>
      </c>
      <c r="P208" s="211" t="e" cm="1">
        <f t="array" ref="P208">IF(M208&lt;&gt;0,IF(M208&lt;J208,"OK","NG"),Blank)</f>
        <v>#NAME?</v>
      </c>
      <c r="Q208" s="211" t="e" cm="1">
        <f t="array" ref="Q208">IF(H208&lt;&gt;"Stop",IF(N208&lt;&gt;0,IF(N208&lt;=K208,"OK","NG"),Blank),"-")</f>
        <v>#REF!</v>
      </c>
      <c r="R208" s="326" t="e" cm="1">
        <f t="array" ref="R208">IF(H208&lt;&gt;"Stop",IF(E208&lt;&gt;0,IF(E208&lt;=K208,"OK","NG"),Blank),"-")</f>
        <v>#REF!</v>
      </c>
      <c r="S208" s="22"/>
      <c r="T208" s="221"/>
      <c r="U208"/>
    </row>
    <row r="209" spans="1:21" ht="30" x14ac:dyDescent="0.3">
      <c r="A209" s="318" t="e">
        <f>#REF!</f>
        <v>#REF!</v>
      </c>
      <c r="B209" s="305" t="e">
        <f>#REF!</f>
        <v>#REF!</v>
      </c>
      <c r="C209" s="305" t="str">
        <f>'Danh sách máy'!C204</f>
        <v>MKHC</v>
      </c>
      <c r="D209" s="90" t="e">
        <f>#REF!</f>
        <v>#REF!</v>
      </c>
      <c r="E209" s="97">
        <f>'Danh sách máy'!E204</f>
        <v>45817</v>
      </c>
      <c r="F209" s="206" t="e">
        <f>#REF!</f>
        <v>#REF!</v>
      </c>
      <c r="G209" s="102" t="e">
        <f>#REF!</f>
        <v>#REF!</v>
      </c>
      <c r="H209" s="102" t="e">
        <f>#REF!</f>
        <v>#REF!</v>
      </c>
      <c r="I209" s="209">
        <v>44483</v>
      </c>
      <c r="J209" s="210"/>
      <c r="K209" s="210" t="e">
        <f>#REF!</f>
        <v>#REF!</v>
      </c>
      <c r="L209" s="210">
        <v>44478</v>
      </c>
      <c r="M209" s="210"/>
      <c r="N209" s="210">
        <f>'Danh sách máy'!F204</f>
        <v>45817</v>
      </c>
      <c r="O209" s="211" t="str" cm="1">
        <f t="array" ref="O209">IF(L209&lt;&gt;0,IF(L209&lt;I209,"OK","NG"),Blank)</f>
        <v>OK</v>
      </c>
      <c r="P209" s="211" t="e" cm="1">
        <f t="array" ref="P209">IF(M209&lt;&gt;0,IF(M209&lt;J209,"OK","NG"),Blank)</f>
        <v>#NAME?</v>
      </c>
      <c r="Q209" s="211" t="e" cm="1">
        <f t="array" ref="Q209">IF(H209&lt;&gt;"Stop",IF(N209&lt;&gt;0,IF(N209&lt;=K209,"OK","NG"),Blank),"-")</f>
        <v>#REF!</v>
      </c>
      <c r="R209" s="326" t="e" cm="1">
        <f t="array" ref="R209">IF(H209&lt;&gt;"Stop",IF(E209&lt;&gt;0,IF(E209&lt;=K209,"OK","NG"),Blank),"-")</f>
        <v>#REF!</v>
      </c>
      <c r="S209" s="22"/>
      <c r="T209" s="221"/>
      <c r="U209"/>
    </row>
    <row r="210" spans="1:21" ht="30" x14ac:dyDescent="0.3">
      <c r="A210" s="318" t="e">
        <f>#REF!</f>
        <v>#REF!</v>
      </c>
      <c r="B210" s="305" t="e">
        <f>#REF!</f>
        <v>#REF!</v>
      </c>
      <c r="C210" s="305" t="str">
        <f>'Danh sách máy'!C205</f>
        <v>MKHC</v>
      </c>
      <c r="D210" s="90" t="e">
        <f>#REF!</f>
        <v>#REF!</v>
      </c>
      <c r="E210" s="97">
        <f>'Danh sách máy'!E205</f>
        <v>45821</v>
      </c>
      <c r="F210" s="206" t="e">
        <f>#REF!</f>
        <v>#REF!</v>
      </c>
      <c r="G210" s="102" t="e">
        <f>#REF!</f>
        <v>#REF!</v>
      </c>
      <c r="H210" s="102" t="e">
        <f>#REF!</f>
        <v>#REF!</v>
      </c>
      <c r="I210" s="209">
        <v>44484</v>
      </c>
      <c r="J210" s="210"/>
      <c r="K210" s="210" t="e">
        <f>#REF!</f>
        <v>#REF!</v>
      </c>
      <c r="L210" s="210">
        <v>44479</v>
      </c>
      <c r="M210" s="210"/>
      <c r="N210" s="210">
        <f>'Danh sách máy'!F205</f>
        <v>45821</v>
      </c>
      <c r="O210" s="211" t="str" cm="1">
        <f t="array" ref="O210">IF(L210&lt;&gt;0,IF(L210&lt;I210,"OK","NG"),Blank)</f>
        <v>OK</v>
      </c>
      <c r="P210" s="211" t="e" cm="1">
        <f t="array" ref="P210">IF(M210&lt;&gt;0,IF(M210&lt;J210,"OK","NG"),Blank)</f>
        <v>#NAME?</v>
      </c>
      <c r="Q210" s="211" t="e" cm="1">
        <f t="array" ref="Q210">IF(H210&lt;&gt;"Stop",IF(N210&lt;&gt;0,IF(N210&lt;=K210,"OK","NG"),Blank),"-")</f>
        <v>#REF!</v>
      </c>
      <c r="R210" s="326" t="e" cm="1">
        <f t="array" ref="R210">IF(H210&lt;&gt;"Stop",IF(E210&lt;&gt;0,IF(E210&lt;=K210,"OK","NG"),Blank),"-")</f>
        <v>#REF!</v>
      </c>
      <c r="S210" s="22"/>
      <c r="T210" s="221"/>
      <c r="U210"/>
    </row>
    <row r="211" spans="1:21" ht="30" x14ac:dyDescent="0.3">
      <c r="A211" s="318" t="e">
        <f>#REF!</f>
        <v>#REF!</v>
      </c>
      <c r="B211" s="305" t="e">
        <f>#REF!</f>
        <v>#REF!</v>
      </c>
      <c r="C211" s="305" t="str">
        <f>'Danh sách máy'!C206</f>
        <v>MKHC</v>
      </c>
      <c r="D211" s="90" t="e">
        <f>#REF!</f>
        <v>#REF!</v>
      </c>
      <c r="E211" s="97">
        <f>'Danh sách máy'!E206</f>
        <v>45813</v>
      </c>
      <c r="F211" s="206" t="e">
        <f>#REF!</f>
        <v>#REF!</v>
      </c>
      <c r="G211" s="102" t="e">
        <f>#REF!</f>
        <v>#REF!</v>
      </c>
      <c r="H211" s="102" t="e">
        <f>#REF!</f>
        <v>#REF!</v>
      </c>
      <c r="I211" s="209">
        <v>44485</v>
      </c>
      <c r="J211" s="210"/>
      <c r="K211" s="210" t="e">
        <f>#REF!</f>
        <v>#REF!</v>
      </c>
      <c r="L211" s="210">
        <v>44480</v>
      </c>
      <c r="M211" s="210"/>
      <c r="N211" s="210">
        <f>'Danh sách máy'!F206</f>
        <v>45813</v>
      </c>
      <c r="O211" s="211" t="str" cm="1">
        <f t="array" ref="O211">IF(L211&lt;&gt;0,IF(L211&lt;I211,"OK","NG"),Blank)</f>
        <v>OK</v>
      </c>
      <c r="P211" s="211" t="e" cm="1">
        <f t="array" ref="P211">IF(M211&lt;&gt;0,IF(M211&lt;J211,"OK","NG"),Blank)</f>
        <v>#NAME?</v>
      </c>
      <c r="Q211" s="211" t="e" cm="1">
        <f t="array" ref="Q211">IF(H211&lt;&gt;"Stop",IF(N211&lt;&gt;0,IF(N211&lt;=K211,"OK","NG"),Blank),"-")</f>
        <v>#REF!</v>
      </c>
      <c r="R211" s="326" t="e" cm="1">
        <f t="array" ref="R211">IF(H211&lt;&gt;"Stop",IF(E211&lt;&gt;0,IF(E211&lt;=K211,"OK","NG"),Blank),"-")</f>
        <v>#REF!</v>
      </c>
      <c r="S211" s="22"/>
      <c r="T211" s="221"/>
      <c r="U211"/>
    </row>
    <row r="212" spans="1:21" ht="30" x14ac:dyDescent="0.3">
      <c r="A212" s="318" t="e">
        <f>#REF!</f>
        <v>#REF!</v>
      </c>
      <c r="B212" s="305" t="e">
        <f>#REF!</f>
        <v>#REF!</v>
      </c>
      <c r="C212" s="305" t="str">
        <f>'Danh sách máy'!C207</f>
        <v>MKHC</v>
      </c>
      <c r="D212" s="90" t="e">
        <f>#REF!</f>
        <v>#REF!</v>
      </c>
      <c r="E212" s="97">
        <f>'Danh sách máy'!E207</f>
        <v>45817</v>
      </c>
      <c r="F212" s="206" t="e">
        <f>#REF!</f>
        <v>#REF!</v>
      </c>
      <c r="G212" s="102" t="e">
        <f>#REF!</f>
        <v>#REF!</v>
      </c>
      <c r="H212" s="102" t="e">
        <f>#REF!</f>
        <v>#REF!</v>
      </c>
      <c r="I212" s="209">
        <v>44486</v>
      </c>
      <c r="J212" s="210"/>
      <c r="K212" s="210" t="e">
        <f>#REF!</f>
        <v>#REF!</v>
      </c>
      <c r="L212" s="210">
        <v>44481</v>
      </c>
      <c r="M212" s="210"/>
      <c r="N212" s="210">
        <f>'Danh sách máy'!F207</f>
        <v>45817</v>
      </c>
      <c r="O212" s="211" t="str" cm="1">
        <f t="array" ref="O212">IF(L212&lt;&gt;0,IF(L212&lt;I212,"OK","NG"),Blank)</f>
        <v>OK</v>
      </c>
      <c r="P212" s="211" t="e" cm="1">
        <f t="array" ref="P212">IF(M212&lt;&gt;0,IF(M212&lt;J212,"OK","NG"),Blank)</f>
        <v>#NAME?</v>
      </c>
      <c r="Q212" s="211" t="e" cm="1">
        <f t="array" ref="Q212">IF(H212&lt;&gt;"Stop",IF(N212&lt;&gt;0,IF(N212&lt;=K212,"OK","NG"),Blank),"-")</f>
        <v>#REF!</v>
      </c>
      <c r="R212" s="326" t="e" cm="1">
        <f t="array" ref="R212">IF(H212&lt;&gt;"Stop",IF(E212&lt;&gt;0,IF(E212&lt;=K212,"OK","NG"),Blank),"-")</f>
        <v>#REF!</v>
      </c>
      <c r="S212" s="22"/>
      <c r="T212" s="221"/>
      <c r="U212"/>
    </row>
    <row r="213" spans="1:21" ht="30" x14ac:dyDescent="0.3">
      <c r="A213" s="318" t="e">
        <f>#REF!</f>
        <v>#REF!</v>
      </c>
      <c r="B213" s="305" t="e">
        <f>#REF!</f>
        <v>#REF!</v>
      </c>
      <c r="C213" s="305" t="str">
        <f>'Danh sách máy'!C208</f>
        <v>MKHC</v>
      </c>
      <c r="D213" s="90" t="e">
        <f>#REF!</f>
        <v>#REF!</v>
      </c>
      <c r="E213" s="97">
        <f>'Danh sách máy'!E208</f>
        <v>45813</v>
      </c>
      <c r="F213" s="206" t="e">
        <f>#REF!</f>
        <v>#REF!</v>
      </c>
      <c r="G213" s="102" t="e">
        <f>#REF!</f>
        <v>#REF!</v>
      </c>
      <c r="H213" s="102" t="e">
        <f>#REF!</f>
        <v>#REF!</v>
      </c>
      <c r="I213" s="209">
        <v>44487</v>
      </c>
      <c r="J213" s="210"/>
      <c r="K213" s="210" t="e">
        <f>#REF!</f>
        <v>#REF!</v>
      </c>
      <c r="L213" s="210">
        <v>44482</v>
      </c>
      <c r="M213" s="210"/>
      <c r="N213" s="210">
        <f>'Danh sách máy'!F208</f>
        <v>45813</v>
      </c>
      <c r="O213" s="211" t="str" cm="1">
        <f t="array" ref="O213">IF(L213&lt;&gt;0,IF(L213&lt;I213,"OK","NG"),Blank)</f>
        <v>OK</v>
      </c>
      <c r="P213" s="211" t="e" cm="1">
        <f t="array" ref="P213">IF(M213&lt;&gt;0,IF(M213&lt;J213,"OK","NG"),Blank)</f>
        <v>#NAME?</v>
      </c>
      <c r="Q213" s="211" t="e" cm="1">
        <f t="array" ref="Q213">IF(H213&lt;&gt;"Stop",IF(N213&lt;&gt;0,IF(N213&lt;=K213,"OK","NG"),Blank),"-")</f>
        <v>#REF!</v>
      </c>
      <c r="R213" s="326" t="e" cm="1">
        <f t="array" ref="R213">IF(H213&lt;&gt;"Stop",IF(E213&lt;&gt;0,IF(E213&lt;=K213,"OK","NG"),Blank),"-")</f>
        <v>#REF!</v>
      </c>
      <c r="S213" s="22"/>
      <c r="T213" s="221"/>
      <c r="U213"/>
    </row>
    <row r="214" spans="1:21" ht="30" x14ac:dyDescent="0.3">
      <c r="A214" s="318" t="e">
        <f>#REF!</f>
        <v>#REF!</v>
      </c>
      <c r="B214" s="305" t="e">
        <f>#REF!</f>
        <v>#REF!</v>
      </c>
      <c r="C214" s="305" t="str">
        <f>'Danh sách máy'!C209</f>
        <v>MKHC</v>
      </c>
      <c r="D214" s="90" t="e">
        <f>#REF!</f>
        <v>#REF!</v>
      </c>
      <c r="E214" s="97">
        <f>'Danh sách máy'!E209</f>
        <v>45819</v>
      </c>
      <c r="F214" s="206" t="e">
        <f>#REF!</f>
        <v>#REF!</v>
      </c>
      <c r="G214" s="102" t="e">
        <f>#REF!</f>
        <v>#REF!</v>
      </c>
      <c r="H214" s="102" t="e">
        <f>#REF!</f>
        <v>#REF!</v>
      </c>
      <c r="I214" s="209">
        <v>44488</v>
      </c>
      <c r="J214" s="210"/>
      <c r="K214" s="210" t="e">
        <f>#REF!</f>
        <v>#REF!</v>
      </c>
      <c r="L214" s="210">
        <v>44483</v>
      </c>
      <c r="M214" s="210"/>
      <c r="N214" s="210">
        <f>'Danh sách máy'!F209</f>
        <v>45819</v>
      </c>
      <c r="O214" s="211" t="str" cm="1">
        <f t="array" ref="O214">IF(L214&lt;&gt;0,IF(L214&lt;I214,"OK","NG"),Blank)</f>
        <v>OK</v>
      </c>
      <c r="P214" s="211" t="e" cm="1">
        <f t="array" ref="P214">IF(M214&lt;&gt;0,IF(M214&lt;J214,"OK","NG"),Blank)</f>
        <v>#NAME?</v>
      </c>
      <c r="Q214" s="211" t="e" cm="1">
        <f t="array" ref="Q214">IF(H214&lt;&gt;"Stop",IF(N214&lt;&gt;0,IF(N214&lt;=K214,"OK","NG"),Blank),"-")</f>
        <v>#REF!</v>
      </c>
      <c r="R214" s="326" t="e" cm="1">
        <f t="array" ref="R214">IF(H214&lt;&gt;"Stop",IF(E214&lt;&gt;0,IF(E214&lt;=K214,"OK","NG"),Blank),"-")</f>
        <v>#REF!</v>
      </c>
      <c r="S214" s="22"/>
      <c r="T214" s="221"/>
      <c r="U214"/>
    </row>
    <row r="215" spans="1:21" ht="30" x14ac:dyDescent="0.3">
      <c r="A215" s="318" t="e">
        <f>#REF!</f>
        <v>#REF!</v>
      </c>
      <c r="B215" s="305" t="e">
        <f>#REF!</f>
        <v>#REF!</v>
      </c>
      <c r="C215" s="305" t="str">
        <f>'Danh sách máy'!C210</f>
        <v>MKHC</v>
      </c>
      <c r="D215" s="90" t="e">
        <f>#REF!</f>
        <v>#REF!</v>
      </c>
      <c r="E215" s="97">
        <f>'Danh sách máy'!E210</f>
        <v>45817</v>
      </c>
      <c r="F215" s="206" t="e">
        <f>#REF!</f>
        <v>#REF!</v>
      </c>
      <c r="G215" s="102" t="e">
        <f>#REF!</f>
        <v>#REF!</v>
      </c>
      <c r="H215" s="102" t="e">
        <f>#REF!</f>
        <v>#REF!</v>
      </c>
      <c r="I215" s="209">
        <v>44489</v>
      </c>
      <c r="J215" s="210"/>
      <c r="K215" s="210" t="e">
        <f>#REF!</f>
        <v>#REF!</v>
      </c>
      <c r="L215" s="210">
        <v>44484</v>
      </c>
      <c r="M215" s="210"/>
      <c r="N215" s="210">
        <f>'Danh sách máy'!F210</f>
        <v>45817</v>
      </c>
      <c r="O215" s="211" t="str" cm="1">
        <f t="array" ref="O215">IF(L215&lt;&gt;0,IF(L215&lt;I215,"OK","NG"),Blank)</f>
        <v>OK</v>
      </c>
      <c r="P215" s="211" t="e" cm="1">
        <f t="array" ref="P215">IF(M215&lt;&gt;0,IF(M215&lt;J215,"OK","NG"),Blank)</f>
        <v>#NAME?</v>
      </c>
      <c r="Q215" s="211" t="e" cm="1">
        <f t="array" ref="Q215">IF(H215&lt;&gt;"Stop",IF(N215&lt;&gt;0,IF(N215&lt;=K215,"OK","NG"),Blank),"-")</f>
        <v>#REF!</v>
      </c>
      <c r="R215" s="326" t="e" cm="1">
        <f t="array" ref="R215">IF(H215&lt;&gt;"Stop",IF(E215&lt;&gt;0,IF(E215&lt;=K215,"OK","NG"),Blank),"-")</f>
        <v>#REF!</v>
      </c>
      <c r="S215" s="22"/>
      <c r="T215" s="221"/>
      <c r="U215"/>
    </row>
    <row r="216" spans="1:21" ht="30" x14ac:dyDescent="0.3">
      <c r="A216" s="318" t="e">
        <f>#REF!</f>
        <v>#REF!</v>
      </c>
      <c r="B216" s="305" t="e">
        <f>#REF!</f>
        <v>#REF!</v>
      </c>
      <c r="C216" s="305" t="str">
        <f>'Danh sách máy'!C211</f>
        <v>MKHC</v>
      </c>
      <c r="D216" s="90" t="e">
        <f>#REF!</f>
        <v>#REF!</v>
      </c>
      <c r="E216" s="97">
        <f>'Danh sách máy'!E211</f>
        <v>45819</v>
      </c>
      <c r="F216" s="206" t="e">
        <f>#REF!</f>
        <v>#REF!</v>
      </c>
      <c r="G216" s="102" t="e">
        <f>#REF!</f>
        <v>#REF!</v>
      </c>
      <c r="H216" s="102" t="e">
        <f>#REF!</f>
        <v>#REF!</v>
      </c>
      <c r="I216" s="209">
        <v>44490</v>
      </c>
      <c r="J216" s="210"/>
      <c r="K216" s="210" t="e">
        <f>#REF!</f>
        <v>#REF!</v>
      </c>
      <c r="L216" s="210">
        <v>44485</v>
      </c>
      <c r="M216" s="210"/>
      <c r="N216" s="210">
        <f>'Danh sách máy'!F211</f>
        <v>45819</v>
      </c>
      <c r="O216" s="211" t="str" cm="1">
        <f t="array" ref="O216">IF(L216&lt;&gt;0,IF(L216&lt;I216,"OK","NG"),Blank)</f>
        <v>OK</v>
      </c>
      <c r="P216" s="211" t="e" cm="1">
        <f t="array" ref="P216">IF(M216&lt;&gt;0,IF(M216&lt;J216,"OK","NG"),Blank)</f>
        <v>#NAME?</v>
      </c>
      <c r="Q216" s="211" t="e" cm="1">
        <f t="array" ref="Q216">IF(H216&lt;&gt;"Stop",IF(N216&lt;&gt;0,IF(N216&lt;=K216,"OK","NG"),Blank),"-")</f>
        <v>#REF!</v>
      </c>
      <c r="R216" s="326" t="e" cm="1">
        <f t="array" ref="R216">IF(H216&lt;&gt;"Stop",IF(E216&lt;&gt;0,IF(E216&lt;=K216,"OK","NG"),Blank),"-")</f>
        <v>#REF!</v>
      </c>
      <c r="S216" s="22"/>
      <c r="T216" s="221"/>
      <c r="U216"/>
    </row>
    <row r="217" spans="1:21" ht="30" x14ac:dyDescent="0.3">
      <c r="A217" s="318" t="e">
        <f>#REF!</f>
        <v>#REF!</v>
      </c>
      <c r="B217" s="305" t="e">
        <f>#REF!</f>
        <v>#REF!</v>
      </c>
      <c r="C217" s="305" t="str">
        <f>'Danh sách máy'!C212</f>
        <v>MKHC</v>
      </c>
      <c r="D217" s="90" t="e">
        <f>#REF!</f>
        <v>#REF!</v>
      </c>
      <c r="E217" s="97">
        <f>'Danh sách máy'!E212</f>
        <v>45813</v>
      </c>
      <c r="F217" s="206" t="e">
        <f>#REF!</f>
        <v>#REF!</v>
      </c>
      <c r="G217" s="102" t="e">
        <f>#REF!</f>
        <v>#REF!</v>
      </c>
      <c r="H217" s="102" t="e">
        <f>#REF!</f>
        <v>#REF!</v>
      </c>
      <c r="I217" s="209">
        <v>44491</v>
      </c>
      <c r="J217" s="210"/>
      <c r="K217" s="210" t="e">
        <f>#REF!</f>
        <v>#REF!</v>
      </c>
      <c r="L217" s="210">
        <v>44486</v>
      </c>
      <c r="M217" s="210"/>
      <c r="N217" s="210">
        <f>'Danh sách máy'!F212</f>
        <v>45813</v>
      </c>
      <c r="O217" s="211" t="str" cm="1">
        <f t="array" ref="O217">IF(L217&lt;&gt;0,IF(L217&lt;I217,"OK","NG"),Blank)</f>
        <v>OK</v>
      </c>
      <c r="P217" s="211" t="e" cm="1">
        <f t="array" ref="P217">IF(M217&lt;&gt;0,IF(M217&lt;J217,"OK","NG"),Blank)</f>
        <v>#NAME?</v>
      </c>
      <c r="Q217" s="211" t="e" cm="1">
        <f t="array" ref="Q217">IF(H217&lt;&gt;"Stop",IF(N217&lt;&gt;0,IF(N217&lt;=K217,"OK","NG"),Blank),"-")</f>
        <v>#REF!</v>
      </c>
      <c r="R217" s="326" t="e" cm="1">
        <f t="array" ref="R217">IF(H217&lt;&gt;"Stop",IF(E217&lt;&gt;0,IF(E217&lt;=K217,"OK","NG"),Blank),"-")</f>
        <v>#REF!</v>
      </c>
      <c r="S217" s="22"/>
      <c r="T217" s="221"/>
      <c r="U217"/>
    </row>
    <row r="218" spans="1:21" ht="30" x14ac:dyDescent="0.3">
      <c r="A218" s="318" t="e">
        <f>#REF!</f>
        <v>#REF!</v>
      </c>
      <c r="B218" s="305" t="e">
        <f>#REF!</f>
        <v>#REF!</v>
      </c>
      <c r="C218" s="305" t="str">
        <f>'Danh sách máy'!C213</f>
        <v>MKHC</v>
      </c>
      <c r="D218" s="90" t="e">
        <f>#REF!</f>
        <v>#REF!</v>
      </c>
      <c r="E218" s="97">
        <f>'Danh sách máy'!E213</f>
        <v>45819</v>
      </c>
      <c r="F218" s="206" t="e">
        <f>#REF!</f>
        <v>#REF!</v>
      </c>
      <c r="G218" s="102" t="e">
        <f>#REF!</f>
        <v>#REF!</v>
      </c>
      <c r="H218" s="102" t="e">
        <f>#REF!</f>
        <v>#REF!</v>
      </c>
      <c r="I218" s="209">
        <v>44492</v>
      </c>
      <c r="J218" s="210"/>
      <c r="K218" s="210" t="e">
        <f>#REF!</f>
        <v>#REF!</v>
      </c>
      <c r="L218" s="210">
        <v>44487</v>
      </c>
      <c r="M218" s="210"/>
      <c r="N218" s="210">
        <f>'Danh sách máy'!F213</f>
        <v>45819</v>
      </c>
      <c r="O218" s="211" t="str" cm="1">
        <f t="array" ref="O218">IF(L218&lt;&gt;0,IF(L218&lt;I218,"OK","NG"),Blank)</f>
        <v>OK</v>
      </c>
      <c r="P218" s="211" t="e" cm="1">
        <f t="array" ref="P218">IF(M218&lt;&gt;0,IF(M218&lt;J218,"OK","NG"),Blank)</f>
        <v>#NAME?</v>
      </c>
      <c r="Q218" s="211" t="e" cm="1">
        <f t="array" ref="Q218">IF(H218&lt;&gt;"Stop",IF(N218&lt;&gt;0,IF(N218&lt;=K218,"OK","NG"),Blank),"-")</f>
        <v>#REF!</v>
      </c>
      <c r="R218" s="326" t="e" cm="1">
        <f t="array" ref="R218">IF(H218&lt;&gt;"Stop",IF(E218&lt;&gt;0,IF(E218&lt;=K218,"OK","NG"),Blank),"-")</f>
        <v>#REF!</v>
      </c>
      <c r="S218" s="22"/>
      <c r="T218" s="221"/>
      <c r="U218"/>
    </row>
    <row r="219" spans="1:21" ht="30" x14ac:dyDescent="0.3">
      <c r="A219" s="318" t="e">
        <f>#REF!</f>
        <v>#REF!</v>
      </c>
      <c r="B219" s="305" t="e">
        <f>#REF!</f>
        <v>#REF!</v>
      </c>
      <c r="C219" s="305" t="str">
        <f>'Danh sách máy'!C214</f>
        <v>MKHC</v>
      </c>
      <c r="D219" s="90" t="e">
        <f>#REF!</f>
        <v>#REF!</v>
      </c>
      <c r="E219" s="97">
        <f>'Danh sách máy'!E214</f>
        <v>45817</v>
      </c>
      <c r="F219" s="206" t="e">
        <f>#REF!</f>
        <v>#REF!</v>
      </c>
      <c r="G219" s="102" t="e">
        <f>#REF!</f>
        <v>#REF!</v>
      </c>
      <c r="H219" s="102" t="e">
        <f>#REF!</f>
        <v>#REF!</v>
      </c>
      <c r="I219" s="209">
        <v>44493</v>
      </c>
      <c r="J219" s="210"/>
      <c r="K219" s="210" t="e">
        <f>#REF!</f>
        <v>#REF!</v>
      </c>
      <c r="L219" s="210">
        <v>44488</v>
      </c>
      <c r="M219" s="210"/>
      <c r="N219" s="210">
        <f>'Danh sách máy'!F214</f>
        <v>45817</v>
      </c>
      <c r="O219" s="211" t="str" cm="1">
        <f t="array" ref="O219">IF(L219&lt;&gt;0,IF(L219&lt;I219,"OK","NG"),Blank)</f>
        <v>OK</v>
      </c>
      <c r="P219" s="211" t="e" cm="1">
        <f t="array" ref="P219">IF(M219&lt;&gt;0,IF(M219&lt;J219,"OK","NG"),Blank)</f>
        <v>#NAME?</v>
      </c>
      <c r="Q219" s="211" t="e" cm="1">
        <f t="array" ref="Q219">IF(H219&lt;&gt;"Stop",IF(N219&lt;&gt;0,IF(N219&lt;=K219,"OK","NG"),Blank),"-")</f>
        <v>#REF!</v>
      </c>
      <c r="R219" s="326" t="e" cm="1">
        <f t="array" ref="R219">IF(H219&lt;&gt;"Stop",IF(E219&lt;&gt;0,IF(E219&lt;=K219,"OK","NG"),Blank),"-")</f>
        <v>#REF!</v>
      </c>
      <c r="S219" s="22"/>
      <c r="T219" s="221"/>
      <c r="U219"/>
    </row>
    <row r="220" spans="1:21" ht="30" x14ac:dyDescent="0.3">
      <c r="A220" s="318" t="e">
        <f>#REF!</f>
        <v>#REF!</v>
      </c>
      <c r="B220" s="305" t="e">
        <f>#REF!</f>
        <v>#REF!</v>
      </c>
      <c r="C220" s="305" t="str">
        <f>'Danh sách máy'!C215</f>
        <v>MKHC</v>
      </c>
      <c r="D220" s="90" t="e">
        <f>#REF!</f>
        <v>#REF!</v>
      </c>
      <c r="E220" s="97">
        <f>'Danh sách máy'!E215</f>
        <v>45818</v>
      </c>
      <c r="F220" s="206" t="e">
        <f>#REF!</f>
        <v>#REF!</v>
      </c>
      <c r="G220" s="102" t="e">
        <f>#REF!</f>
        <v>#REF!</v>
      </c>
      <c r="H220" s="102" t="e">
        <f>#REF!</f>
        <v>#REF!</v>
      </c>
      <c r="I220" s="209">
        <v>44494</v>
      </c>
      <c r="J220" s="210"/>
      <c r="K220" s="210" t="e">
        <f>#REF!</f>
        <v>#REF!</v>
      </c>
      <c r="L220" s="210">
        <v>44489</v>
      </c>
      <c r="M220" s="210"/>
      <c r="N220" s="210">
        <f>'Danh sách máy'!F215</f>
        <v>45818</v>
      </c>
      <c r="O220" s="211" t="str" cm="1">
        <f t="array" ref="O220">IF(L220&lt;&gt;0,IF(L220&lt;I220,"OK","NG"),Blank)</f>
        <v>OK</v>
      </c>
      <c r="P220" s="211" t="e" cm="1">
        <f t="array" ref="P220">IF(M220&lt;&gt;0,IF(M220&lt;J220,"OK","NG"),Blank)</f>
        <v>#NAME?</v>
      </c>
      <c r="Q220" s="211" t="e" cm="1">
        <f t="array" ref="Q220">IF(H220&lt;&gt;"Stop",IF(N220&lt;&gt;0,IF(N220&lt;=K220,"OK","NG"),Blank),"-")</f>
        <v>#REF!</v>
      </c>
      <c r="R220" s="326" t="e" cm="1">
        <f t="array" ref="R220">IF(H220&lt;&gt;"Stop",IF(E220&lt;&gt;0,IF(E220&lt;=K220,"OK","NG"),Blank),"-")</f>
        <v>#REF!</v>
      </c>
      <c r="S220" s="22"/>
      <c r="T220" s="221"/>
      <c r="U220"/>
    </row>
    <row r="221" spans="1:21" ht="30" x14ac:dyDescent="0.3">
      <c r="A221" s="318" t="e">
        <f>#REF!</f>
        <v>#REF!</v>
      </c>
      <c r="B221" s="305" t="e">
        <f>#REF!</f>
        <v>#REF!</v>
      </c>
      <c r="C221" s="305" t="str">
        <f>'Danh sách máy'!C216</f>
        <v>MKHC</v>
      </c>
      <c r="D221" s="90" t="e">
        <f>#REF!</f>
        <v>#REF!</v>
      </c>
      <c r="E221" s="97">
        <f>'Danh sách máy'!E216</f>
        <v>0</v>
      </c>
      <c r="F221" s="206" t="e">
        <f>#REF!</f>
        <v>#REF!</v>
      </c>
      <c r="G221" s="102" t="e">
        <f>#REF!</f>
        <v>#REF!</v>
      </c>
      <c r="H221" s="102" t="e">
        <f>#REF!</f>
        <v>#REF!</v>
      </c>
      <c r="I221" s="209">
        <v>44495</v>
      </c>
      <c r="J221" s="210"/>
      <c r="K221" s="210" t="e">
        <f>#REF!</f>
        <v>#REF!</v>
      </c>
      <c r="L221" s="210">
        <v>44490</v>
      </c>
      <c r="M221" s="210"/>
      <c r="N221" s="210">
        <f>'Danh sách máy'!F216</f>
        <v>45819</v>
      </c>
      <c r="O221" s="211" t="str" cm="1">
        <f t="array" ref="O221">IF(L221&lt;&gt;0,IF(L221&lt;I221,"OK","NG"),Blank)</f>
        <v>OK</v>
      </c>
      <c r="P221" s="211" t="e" cm="1">
        <f t="array" ref="P221">IF(M221&lt;&gt;0,IF(M221&lt;J221,"OK","NG"),Blank)</f>
        <v>#NAME?</v>
      </c>
      <c r="Q221" s="211" t="e" cm="1">
        <f t="array" ref="Q221">IF(H221&lt;&gt;"Stop",IF(N221&lt;&gt;0,IF(N221&lt;=K221,"OK","NG"),Blank),"-")</f>
        <v>#REF!</v>
      </c>
      <c r="R221" s="326" t="e" cm="1">
        <f t="array" ref="R221">IF(H221&lt;&gt;"Stop",IF(E221&lt;&gt;0,IF(E221&lt;=K221,"OK","NG"),Blank),"-")</f>
        <v>#REF!</v>
      </c>
      <c r="S221" s="22"/>
      <c r="T221" s="221"/>
      <c r="U221"/>
    </row>
    <row r="222" spans="1:21" ht="30" x14ac:dyDescent="0.3">
      <c r="A222" s="318" t="e">
        <f>#REF!</f>
        <v>#REF!</v>
      </c>
      <c r="B222" s="305" t="e">
        <f>#REF!</f>
        <v>#REF!</v>
      </c>
      <c r="C222" s="305" t="str">
        <f>'Danh sách máy'!C217</f>
        <v>MKHC</v>
      </c>
      <c r="D222" s="90" t="e">
        <f>#REF!</f>
        <v>#REF!</v>
      </c>
      <c r="E222" s="97">
        <f>'Danh sách máy'!E217</f>
        <v>0</v>
      </c>
      <c r="F222" s="206" t="e">
        <f>#REF!</f>
        <v>#REF!</v>
      </c>
      <c r="G222" s="102" t="e">
        <f>#REF!</f>
        <v>#REF!</v>
      </c>
      <c r="H222" s="102" t="e">
        <f>#REF!</f>
        <v>#REF!</v>
      </c>
      <c r="I222" s="209">
        <v>44496</v>
      </c>
      <c r="J222" s="210"/>
      <c r="K222" s="210" t="e">
        <f>#REF!</f>
        <v>#REF!</v>
      </c>
      <c r="L222" s="210">
        <v>44491</v>
      </c>
      <c r="M222" s="210"/>
      <c r="N222" s="210">
        <f>'Danh sách máy'!F217</f>
        <v>45819</v>
      </c>
      <c r="O222" s="211" t="str" cm="1">
        <f t="array" ref="O222">IF(L222&lt;&gt;0,IF(L222&lt;I222,"OK","NG"),Blank)</f>
        <v>OK</v>
      </c>
      <c r="P222" s="211" t="e" cm="1">
        <f t="array" ref="P222">IF(M222&lt;&gt;0,IF(M222&lt;J222,"OK","NG"),Blank)</f>
        <v>#NAME?</v>
      </c>
      <c r="Q222" s="211" t="e" cm="1">
        <f t="array" ref="Q222">IF(H222&lt;&gt;"Stop",IF(N222&lt;&gt;0,IF(N222&lt;=K222,"OK","NG"),Blank),"-")</f>
        <v>#REF!</v>
      </c>
      <c r="R222" s="326" t="e" cm="1">
        <f t="array" ref="R222">IF(H222&lt;&gt;"Stop",IF(E222&lt;&gt;0,IF(E222&lt;=K222,"OK","NG"),Blank),"-")</f>
        <v>#REF!</v>
      </c>
      <c r="S222" s="22"/>
      <c r="T222" s="221"/>
      <c r="U222"/>
    </row>
    <row r="223" spans="1:21" ht="30" x14ac:dyDescent="0.3">
      <c r="A223" s="318" t="e">
        <f>#REF!</f>
        <v>#REF!</v>
      </c>
      <c r="B223" s="305" t="e">
        <f>#REF!</f>
        <v>#REF!</v>
      </c>
      <c r="C223" s="305" t="str">
        <f>'Danh sách máy'!C218</f>
        <v>MKHC</v>
      </c>
      <c r="D223" s="90" t="e">
        <f>#REF!</f>
        <v>#REF!</v>
      </c>
      <c r="E223" s="97">
        <f>'Danh sách máy'!E218</f>
        <v>45817</v>
      </c>
      <c r="F223" s="206" t="e">
        <f>#REF!</f>
        <v>#REF!</v>
      </c>
      <c r="G223" s="102" t="e">
        <f>#REF!</f>
        <v>#REF!</v>
      </c>
      <c r="H223" s="102" t="e">
        <f>#REF!</f>
        <v>#REF!</v>
      </c>
      <c r="I223" s="209">
        <v>44497</v>
      </c>
      <c r="J223" s="210"/>
      <c r="K223" s="210" t="e">
        <f>#REF!</f>
        <v>#REF!</v>
      </c>
      <c r="L223" s="210">
        <v>44492</v>
      </c>
      <c r="M223" s="210"/>
      <c r="N223" s="210">
        <f>'Danh sách máy'!F218</f>
        <v>45817</v>
      </c>
      <c r="O223" s="211" t="str" cm="1">
        <f t="array" ref="O223">IF(L223&lt;&gt;0,IF(L223&lt;I223,"OK","NG"),Blank)</f>
        <v>OK</v>
      </c>
      <c r="P223" s="211" t="e" cm="1">
        <f t="array" ref="P223">IF(M223&lt;&gt;0,IF(M223&lt;J223,"OK","NG"),Blank)</f>
        <v>#NAME?</v>
      </c>
      <c r="Q223" s="211" t="e" cm="1">
        <f t="array" ref="Q223">IF(H223&lt;&gt;"Stop",IF(N223&lt;&gt;0,IF(N223&lt;=K223,"OK","NG"),Blank),"-")</f>
        <v>#REF!</v>
      </c>
      <c r="R223" s="326" t="e" cm="1">
        <f t="array" ref="R223">IF(H223&lt;&gt;"Stop",IF(E223&lt;&gt;0,IF(E223&lt;=K223,"OK","NG"),Blank),"-")</f>
        <v>#REF!</v>
      </c>
      <c r="S223" s="22"/>
      <c r="T223" s="221"/>
      <c r="U223"/>
    </row>
    <row r="224" spans="1:21" ht="30" hidden="1" x14ac:dyDescent="0.3">
      <c r="A224" s="318" t="e">
        <f>#REF!</f>
        <v>#REF!</v>
      </c>
      <c r="B224" s="305" t="e">
        <f>#REF!</f>
        <v>#REF!</v>
      </c>
      <c r="C224" s="305" t="str">
        <f>'Danh sách máy'!C219</f>
        <v>MKHC</v>
      </c>
      <c r="D224" s="90" t="e">
        <f>#REF!</f>
        <v>#REF!</v>
      </c>
      <c r="E224" s="97">
        <f>'Danh sách máy'!E219</f>
        <v>45864</v>
      </c>
      <c r="F224" s="206" t="e">
        <f>#REF!</f>
        <v>#REF!</v>
      </c>
      <c r="G224" s="102" t="e">
        <f>#REF!</f>
        <v>#REF!</v>
      </c>
      <c r="H224" s="102" t="e">
        <f>#REF!</f>
        <v>#REF!</v>
      </c>
      <c r="I224" s="209">
        <v>44498</v>
      </c>
      <c r="J224" s="210"/>
      <c r="K224" s="210" t="e">
        <f>#REF!</f>
        <v>#REF!</v>
      </c>
      <c r="L224" s="210">
        <v>44493</v>
      </c>
      <c r="M224" s="210"/>
      <c r="N224" s="210">
        <f>'Danh sách máy'!F219</f>
        <v>0</v>
      </c>
      <c r="O224" s="211" t="str" cm="1">
        <f t="array" ref="O224">IF(L224&lt;&gt;0,IF(L224&lt;I224,"OK","NG"),Blank)</f>
        <v>OK</v>
      </c>
      <c r="P224" s="211" t="e" cm="1">
        <f t="array" ref="P224">IF(M224&lt;&gt;0,IF(M224&lt;J224,"OK","NG"),Blank)</f>
        <v>#NAME?</v>
      </c>
      <c r="Q224" s="211" t="e" cm="1">
        <f t="array" ref="Q224">IF(H224&lt;&gt;"Stop",IF(N224&lt;&gt;0,IF(N224&lt;=K224,"OK","NG"),Blank),"-")</f>
        <v>#REF!</v>
      </c>
      <c r="R224" s="326" t="e" cm="1">
        <f t="array" ref="R224">IF(H224&lt;&gt;"Stop",IF(E224&lt;&gt;0,IF(E224&lt;=K224,"OK","NG"),Blank),"-")</f>
        <v>#REF!</v>
      </c>
      <c r="S224" s="22"/>
      <c r="T224" s="221"/>
      <c r="U224"/>
    </row>
    <row r="225" spans="1:21" ht="30" hidden="1" x14ac:dyDescent="0.3">
      <c r="A225" s="318" t="e">
        <f>#REF!</f>
        <v>#REF!</v>
      </c>
      <c r="B225" s="305" t="e">
        <f>#REF!</f>
        <v>#REF!</v>
      </c>
      <c r="C225" s="305" t="str">
        <f>'Danh sách máy'!C220</f>
        <v>MKHC</v>
      </c>
      <c r="D225" s="90" t="e">
        <f>#REF!</f>
        <v>#REF!</v>
      </c>
      <c r="E225" s="97">
        <f>'Danh sách máy'!E220</f>
        <v>45864</v>
      </c>
      <c r="F225" s="206" t="e">
        <f>#REF!</f>
        <v>#REF!</v>
      </c>
      <c r="G225" s="102" t="e">
        <f>#REF!</f>
        <v>#REF!</v>
      </c>
      <c r="H225" s="102" t="e">
        <f>#REF!</f>
        <v>#REF!</v>
      </c>
      <c r="I225" s="209">
        <v>44499</v>
      </c>
      <c r="J225" s="210"/>
      <c r="K225" s="210" t="e">
        <f>#REF!</f>
        <v>#REF!</v>
      </c>
      <c r="L225" s="210">
        <v>44494</v>
      </c>
      <c r="M225" s="210"/>
      <c r="N225" s="210">
        <f>'Danh sách máy'!F220</f>
        <v>0</v>
      </c>
      <c r="O225" s="211" t="str" cm="1">
        <f t="array" ref="O225">IF(L225&lt;&gt;0,IF(L225&lt;I225,"OK","NG"),Blank)</f>
        <v>OK</v>
      </c>
      <c r="P225" s="211" t="e" cm="1">
        <f t="array" ref="P225">IF(M225&lt;&gt;0,IF(M225&lt;J225,"OK","NG"),Blank)</f>
        <v>#NAME?</v>
      </c>
      <c r="Q225" s="211" t="e" cm="1">
        <f t="array" ref="Q225">IF(H225&lt;&gt;"Stop",IF(N225&lt;&gt;0,IF(N225&lt;=K225,"OK","NG"),Blank),"-")</f>
        <v>#REF!</v>
      </c>
      <c r="R225" s="326" t="e" cm="1">
        <f t="array" ref="R225">IF(H225&lt;&gt;"Stop",IF(E225&lt;&gt;0,IF(E225&lt;=K225,"OK","NG"),Blank),"-")</f>
        <v>#REF!</v>
      </c>
      <c r="S225" s="22"/>
      <c r="T225" s="221"/>
      <c r="U225"/>
    </row>
    <row r="226" spans="1:21" ht="30" x14ac:dyDescent="0.3">
      <c r="A226" s="318" t="e">
        <f>#REF!</f>
        <v>#REF!</v>
      </c>
      <c r="B226" s="305" t="e">
        <f>#REF!</f>
        <v>#REF!</v>
      </c>
      <c r="C226" s="305" t="str">
        <f>'Danh sách máy'!C221</f>
        <v>MKHC</v>
      </c>
      <c r="D226" s="90" t="e">
        <f>#REF!</f>
        <v>#REF!</v>
      </c>
      <c r="E226" s="97">
        <f>'Danh sách máy'!E221</f>
        <v>45770</v>
      </c>
      <c r="F226" s="206" t="e">
        <f>#REF!</f>
        <v>#REF!</v>
      </c>
      <c r="G226" s="102" t="e">
        <f>#REF!</f>
        <v>#REF!</v>
      </c>
      <c r="H226" s="102" t="e">
        <f>#REF!</f>
        <v>#REF!</v>
      </c>
      <c r="I226" s="209">
        <v>44500</v>
      </c>
      <c r="J226" s="210"/>
      <c r="K226" s="210" t="e">
        <f>#REF!</f>
        <v>#REF!</v>
      </c>
      <c r="L226" s="210">
        <v>44495</v>
      </c>
      <c r="M226" s="210"/>
      <c r="N226" s="210">
        <f>'Danh sách máy'!F221</f>
        <v>45818</v>
      </c>
      <c r="O226" s="211" t="str" cm="1">
        <f t="array" ref="O226">IF(L226&lt;&gt;0,IF(L226&lt;I226,"OK","NG"),Blank)</f>
        <v>OK</v>
      </c>
      <c r="P226" s="211" t="e" cm="1">
        <f t="array" ref="P226">IF(M226&lt;&gt;0,IF(M226&lt;J226,"OK","NG"),Blank)</f>
        <v>#NAME?</v>
      </c>
      <c r="Q226" s="211" t="e" cm="1">
        <f t="array" ref="Q226">IF(H226&lt;&gt;"Stop",IF(N226&lt;&gt;0,IF(N226&lt;=K226,"OK","NG"),Blank),"-")</f>
        <v>#REF!</v>
      </c>
      <c r="R226" s="326" t="e" cm="1">
        <f t="array" ref="R226">IF(H226&lt;&gt;"Stop",IF(E226&lt;&gt;0,IF(E226&lt;=K226,"OK","NG"),Blank),"-")</f>
        <v>#REF!</v>
      </c>
      <c r="S226" s="22"/>
      <c r="T226" s="221"/>
      <c r="U226"/>
    </row>
    <row r="227" spans="1:21" ht="30" x14ac:dyDescent="0.3">
      <c r="A227" s="318" t="e">
        <f>#REF!</f>
        <v>#REF!</v>
      </c>
      <c r="B227" s="305" t="e">
        <f>#REF!</f>
        <v>#REF!</v>
      </c>
      <c r="C227" s="305" t="str">
        <f>'Danh sách máy'!C222</f>
        <v>MKHC</v>
      </c>
      <c r="D227" s="90" t="e">
        <f>#REF!</f>
        <v>#REF!</v>
      </c>
      <c r="E227" s="97">
        <f>'Danh sách máy'!E222</f>
        <v>45782</v>
      </c>
      <c r="F227" s="206" t="e">
        <f>#REF!</f>
        <v>#REF!</v>
      </c>
      <c r="G227" s="102" t="e">
        <f>#REF!</f>
        <v>#REF!</v>
      </c>
      <c r="H227" s="102" t="e">
        <f>#REF!</f>
        <v>#REF!</v>
      </c>
      <c r="I227" s="209">
        <v>44501</v>
      </c>
      <c r="J227" s="210"/>
      <c r="K227" s="210" t="e">
        <f>#REF!</f>
        <v>#REF!</v>
      </c>
      <c r="L227" s="210">
        <v>44496</v>
      </c>
      <c r="M227" s="210"/>
      <c r="N227" s="210">
        <f>'Danh sách máy'!F222</f>
        <v>45819</v>
      </c>
      <c r="O227" s="211" t="str" cm="1">
        <f t="array" ref="O227">IF(L227&lt;&gt;0,IF(L227&lt;I227,"OK","NG"),Blank)</f>
        <v>OK</v>
      </c>
      <c r="P227" s="211" t="e" cm="1">
        <f t="array" ref="P227">IF(M227&lt;&gt;0,IF(M227&lt;J227,"OK","NG"),Blank)</f>
        <v>#NAME?</v>
      </c>
      <c r="Q227" s="211" t="e" cm="1">
        <f t="array" ref="Q227">IF(H227&lt;&gt;"Stop",IF(N227&lt;&gt;0,IF(N227&lt;=K227,"OK","NG"),Blank),"-")</f>
        <v>#REF!</v>
      </c>
      <c r="R227" s="326" t="e" cm="1">
        <f t="array" ref="R227">IF(H227&lt;&gt;"Stop",IF(E227&lt;&gt;0,IF(E227&lt;=K227,"OK","NG"),Blank),"-")</f>
        <v>#REF!</v>
      </c>
      <c r="S227" s="22"/>
      <c r="T227" s="221"/>
      <c r="U227"/>
    </row>
    <row r="228" spans="1:21" ht="30" x14ac:dyDescent="0.3">
      <c r="A228" s="318" t="e">
        <f>#REF!</f>
        <v>#REF!</v>
      </c>
      <c r="B228" s="305" t="e">
        <f>#REF!</f>
        <v>#REF!</v>
      </c>
      <c r="C228" s="305" t="str">
        <f>'Danh sách máy'!C223</f>
        <v>MKHC</v>
      </c>
      <c r="D228" s="90" t="e">
        <f>#REF!</f>
        <v>#REF!</v>
      </c>
      <c r="E228" s="97">
        <f>'Danh sách máy'!E223</f>
        <v>45818</v>
      </c>
      <c r="F228" s="206" t="e">
        <f>#REF!</f>
        <v>#REF!</v>
      </c>
      <c r="G228" s="102" t="e">
        <f>#REF!</f>
        <v>#REF!</v>
      </c>
      <c r="H228" s="102" t="e">
        <f>#REF!</f>
        <v>#REF!</v>
      </c>
      <c r="I228" s="209">
        <v>44502</v>
      </c>
      <c r="J228" s="210"/>
      <c r="K228" s="210" t="e">
        <f>#REF!</f>
        <v>#REF!</v>
      </c>
      <c r="L228" s="210">
        <v>44497</v>
      </c>
      <c r="M228" s="210"/>
      <c r="N228" s="210">
        <f>'Danh sách máy'!F223</f>
        <v>45818</v>
      </c>
      <c r="O228" s="211" t="str" cm="1">
        <f t="array" ref="O228">IF(L228&lt;&gt;0,IF(L228&lt;I228,"OK","NG"),Blank)</f>
        <v>OK</v>
      </c>
      <c r="P228" s="211" t="e" cm="1">
        <f t="array" ref="P228">IF(M228&lt;&gt;0,IF(M228&lt;J228,"OK","NG"),Blank)</f>
        <v>#NAME?</v>
      </c>
      <c r="Q228" s="211" t="e" cm="1">
        <f t="array" ref="Q228">IF(H228&lt;&gt;"Stop",IF(N228&lt;&gt;0,IF(N228&lt;=K228,"OK","NG"),Blank),"-")</f>
        <v>#REF!</v>
      </c>
      <c r="R228" s="326" t="e" cm="1">
        <f t="array" ref="R228">IF(H228&lt;&gt;"Stop",IF(E228&lt;&gt;0,IF(E228&lt;=K228,"OK","NG"),Blank),"-")</f>
        <v>#REF!</v>
      </c>
      <c r="S228" s="22"/>
      <c r="T228" s="221"/>
      <c r="U228"/>
    </row>
    <row r="229" spans="1:21" ht="30" x14ac:dyDescent="0.3">
      <c r="A229" s="318" t="e">
        <f>#REF!</f>
        <v>#REF!</v>
      </c>
      <c r="B229" s="305" t="e">
        <f>#REF!</f>
        <v>#REF!</v>
      </c>
      <c r="C229" s="305" t="str">
        <f>'Danh sách máy'!C224</f>
        <v>MKHC</v>
      </c>
      <c r="D229" s="90" t="e">
        <f>#REF!</f>
        <v>#REF!</v>
      </c>
      <c r="E229" s="97">
        <f>'Danh sách máy'!E224</f>
        <v>45818</v>
      </c>
      <c r="F229" s="206" t="e">
        <f>#REF!</f>
        <v>#REF!</v>
      </c>
      <c r="G229" s="102" t="e">
        <f>#REF!</f>
        <v>#REF!</v>
      </c>
      <c r="H229" s="102" t="e">
        <f>#REF!</f>
        <v>#REF!</v>
      </c>
      <c r="I229" s="209">
        <v>44503</v>
      </c>
      <c r="J229" s="210"/>
      <c r="K229" s="210" t="e">
        <f>#REF!</f>
        <v>#REF!</v>
      </c>
      <c r="L229" s="210">
        <v>44498</v>
      </c>
      <c r="M229" s="210"/>
      <c r="N229" s="210">
        <f>'Danh sách máy'!F224</f>
        <v>45818</v>
      </c>
      <c r="O229" s="211" t="str" cm="1">
        <f t="array" ref="O229">IF(L229&lt;&gt;0,IF(L229&lt;I229,"OK","NG"),Blank)</f>
        <v>OK</v>
      </c>
      <c r="P229" s="211" t="e" cm="1">
        <f t="array" ref="P229">IF(M229&lt;&gt;0,IF(M229&lt;J229,"OK","NG"),Blank)</f>
        <v>#NAME?</v>
      </c>
      <c r="Q229" s="211" t="e" cm="1">
        <f t="array" ref="Q229">IF(H229&lt;&gt;"Stop",IF(N229&lt;&gt;0,IF(N229&lt;=K229,"OK","NG"),Blank),"-")</f>
        <v>#REF!</v>
      </c>
      <c r="R229" s="326" t="e" cm="1">
        <f t="array" ref="R229">IF(H229&lt;&gt;"Stop",IF(E229&lt;&gt;0,IF(E229&lt;=K229,"OK","NG"),Blank),"-")</f>
        <v>#REF!</v>
      </c>
      <c r="S229" s="22"/>
      <c r="T229" s="221"/>
      <c r="U229"/>
    </row>
    <row r="230" spans="1:21" ht="30" x14ac:dyDescent="0.3">
      <c r="A230" s="318" t="e">
        <f>#REF!</f>
        <v>#REF!</v>
      </c>
      <c r="B230" s="305" t="e">
        <f>#REF!</f>
        <v>#REF!</v>
      </c>
      <c r="C230" s="305" t="str">
        <f>'Danh sách máy'!C225</f>
        <v>MKHC</v>
      </c>
      <c r="D230" s="90" t="e">
        <f>#REF!</f>
        <v>#REF!</v>
      </c>
      <c r="E230" s="97">
        <f>'Danh sách máy'!E225</f>
        <v>45770</v>
      </c>
      <c r="F230" s="206" t="e">
        <f>#REF!</f>
        <v>#REF!</v>
      </c>
      <c r="G230" s="102" t="e">
        <f>#REF!</f>
        <v>#REF!</v>
      </c>
      <c r="H230" s="102" t="e">
        <f>#REF!</f>
        <v>#REF!</v>
      </c>
      <c r="I230" s="209">
        <v>44504</v>
      </c>
      <c r="J230" s="210"/>
      <c r="K230" s="210" t="e">
        <f>#REF!</f>
        <v>#REF!</v>
      </c>
      <c r="L230" s="210">
        <v>44499</v>
      </c>
      <c r="M230" s="210"/>
      <c r="N230" s="210">
        <f>'Danh sách máy'!F225</f>
        <v>45819</v>
      </c>
      <c r="O230" s="211" t="str" cm="1">
        <f t="array" ref="O230">IF(L230&lt;&gt;0,IF(L230&lt;I230,"OK","NG"),Blank)</f>
        <v>OK</v>
      </c>
      <c r="P230" s="211" t="e" cm="1">
        <f t="array" ref="P230">IF(M230&lt;&gt;0,IF(M230&lt;J230,"OK","NG"),Blank)</f>
        <v>#NAME?</v>
      </c>
      <c r="Q230" s="211" t="e" cm="1">
        <f t="array" ref="Q230">IF(H230&lt;&gt;"Stop",IF(N230&lt;&gt;0,IF(N230&lt;=K230,"OK","NG"),Blank),"-")</f>
        <v>#REF!</v>
      </c>
      <c r="R230" s="326" t="e" cm="1">
        <f t="array" ref="R230">IF(H230&lt;&gt;"Stop",IF(E230&lt;&gt;0,IF(E230&lt;=K230,"OK","NG"),Blank),"-")</f>
        <v>#REF!</v>
      </c>
      <c r="S230" s="22"/>
      <c r="T230" s="221"/>
      <c r="U230"/>
    </row>
    <row r="231" spans="1:21" ht="30" x14ac:dyDescent="0.3">
      <c r="A231" s="318" t="e">
        <f>#REF!</f>
        <v>#REF!</v>
      </c>
      <c r="B231" s="305" t="e">
        <f>#REF!</f>
        <v>#REF!</v>
      </c>
      <c r="C231" s="305" t="str">
        <f>'Danh sách máy'!C226</f>
        <v>MKHC</v>
      </c>
      <c r="D231" s="90" t="e">
        <f>#REF!</f>
        <v>#REF!</v>
      </c>
      <c r="E231" s="97">
        <f>'Danh sách máy'!E226</f>
        <v>45817</v>
      </c>
      <c r="F231" s="206" t="e">
        <f>#REF!</f>
        <v>#REF!</v>
      </c>
      <c r="G231" s="102" t="e">
        <f>#REF!</f>
        <v>#REF!</v>
      </c>
      <c r="H231" s="102" t="e">
        <f>#REF!</f>
        <v>#REF!</v>
      </c>
      <c r="I231" s="209">
        <v>44505</v>
      </c>
      <c r="J231" s="210"/>
      <c r="K231" s="210" t="e">
        <f>#REF!</f>
        <v>#REF!</v>
      </c>
      <c r="L231" s="210">
        <v>44500</v>
      </c>
      <c r="M231" s="210"/>
      <c r="N231" s="210">
        <f>'Danh sách máy'!F226</f>
        <v>45817</v>
      </c>
      <c r="O231" s="211" t="str" cm="1">
        <f t="array" ref="O231">IF(L231&lt;&gt;0,IF(L231&lt;I231,"OK","NG"),Blank)</f>
        <v>OK</v>
      </c>
      <c r="P231" s="211" t="e" cm="1">
        <f t="array" ref="P231">IF(M231&lt;&gt;0,IF(M231&lt;J231,"OK","NG"),Blank)</f>
        <v>#NAME?</v>
      </c>
      <c r="Q231" s="211" t="e" cm="1">
        <f t="array" ref="Q231">IF(H231&lt;&gt;"Stop",IF(N231&lt;&gt;0,IF(N231&lt;=K231,"OK","NG"),Blank),"-")</f>
        <v>#REF!</v>
      </c>
      <c r="R231" s="326" t="e" cm="1">
        <f t="array" ref="R231">IF(H231&lt;&gt;"Stop",IF(E231&lt;&gt;0,IF(E231&lt;=K231,"OK","NG"),Blank),"-")</f>
        <v>#REF!</v>
      </c>
      <c r="S231" s="22"/>
      <c r="T231" s="221"/>
      <c r="U231"/>
    </row>
    <row r="232" spans="1:21" ht="30" hidden="1" x14ac:dyDescent="0.3">
      <c r="A232" s="318" t="e">
        <f>#REF!</f>
        <v>#REF!</v>
      </c>
      <c r="B232" s="305" t="e">
        <f>#REF!</f>
        <v>#REF!</v>
      </c>
      <c r="C232" s="305" t="str">
        <f>'Danh sách máy'!C227</f>
        <v>MKHC</v>
      </c>
      <c r="D232" s="90" t="e">
        <f>#REF!</f>
        <v>#REF!</v>
      </c>
      <c r="E232" s="97">
        <f>'Danh sách máy'!E227</f>
        <v>45864</v>
      </c>
      <c r="F232" s="206" t="e">
        <f>#REF!</f>
        <v>#REF!</v>
      </c>
      <c r="G232" s="102" t="e">
        <f>#REF!</f>
        <v>#REF!</v>
      </c>
      <c r="H232" s="102" t="e">
        <f>#REF!</f>
        <v>#REF!</v>
      </c>
      <c r="I232" s="209">
        <v>44506</v>
      </c>
      <c r="J232" s="210"/>
      <c r="K232" s="210" t="e">
        <f>#REF!</f>
        <v>#REF!</v>
      </c>
      <c r="L232" s="210">
        <v>44501</v>
      </c>
      <c r="M232" s="210"/>
      <c r="N232" s="210">
        <f>'Danh sách máy'!F227</f>
        <v>0</v>
      </c>
      <c r="O232" s="211" t="str" cm="1">
        <f t="array" ref="O232">IF(L232&lt;&gt;0,IF(L232&lt;I232,"OK","NG"),Blank)</f>
        <v>OK</v>
      </c>
      <c r="P232" s="211" t="e" cm="1">
        <f t="array" ref="P232">IF(M232&lt;&gt;0,IF(M232&lt;J232,"OK","NG"),Blank)</f>
        <v>#NAME?</v>
      </c>
      <c r="Q232" s="211" t="e" cm="1">
        <f t="array" ref="Q232">IF(H232&lt;&gt;"Stop",IF(N232&lt;&gt;0,IF(N232&lt;=K232,"OK","NG"),Blank),"-")</f>
        <v>#REF!</v>
      </c>
      <c r="R232" s="326" t="e" cm="1">
        <f t="array" ref="R232">IF(H232&lt;&gt;"Stop",IF(E232&lt;&gt;0,IF(E232&lt;=K232,"OK","NG"),Blank),"-")</f>
        <v>#REF!</v>
      </c>
      <c r="S232" s="22"/>
      <c r="T232" s="221"/>
      <c r="U232"/>
    </row>
    <row r="233" spans="1:21" ht="30" x14ac:dyDescent="0.3">
      <c r="A233" s="318" t="e">
        <f>#REF!</f>
        <v>#REF!</v>
      </c>
      <c r="B233" s="305" t="e">
        <f>#REF!</f>
        <v>#REF!</v>
      </c>
      <c r="C233" s="305" t="str">
        <f>'Danh sách máy'!C228</f>
        <v>MKHC</v>
      </c>
      <c r="D233" s="90" t="e">
        <f>#REF!</f>
        <v>#REF!</v>
      </c>
      <c r="E233" s="97">
        <f>'Danh sách máy'!E228</f>
        <v>45819</v>
      </c>
      <c r="F233" s="206" t="e">
        <f>#REF!</f>
        <v>#REF!</v>
      </c>
      <c r="G233" s="102" t="e">
        <f>#REF!</f>
        <v>#REF!</v>
      </c>
      <c r="H233" s="102" t="e">
        <f>#REF!</f>
        <v>#REF!</v>
      </c>
      <c r="I233" s="209">
        <v>44507</v>
      </c>
      <c r="J233" s="210"/>
      <c r="K233" s="210" t="e">
        <f>#REF!</f>
        <v>#REF!</v>
      </c>
      <c r="L233" s="210">
        <v>44502</v>
      </c>
      <c r="M233" s="210"/>
      <c r="N233" s="210">
        <f>'Danh sách máy'!F228</f>
        <v>45819</v>
      </c>
      <c r="O233" s="211" t="str" cm="1">
        <f t="array" ref="O233">IF(L233&lt;&gt;0,IF(L233&lt;I233,"OK","NG"),Blank)</f>
        <v>OK</v>
      </c>
      <c r="P233" s="211" t="e" cm="1">
        <f t="array" ref="P233">IF(M233&lt;&gt;0,IF(M233&lt;J233,"OK","NG"),Blank)</f>
        <v>#NAME?</v>
      </c>
      <c r="Q233" s="211" t="e" cm="1">
        <f t="array" ref="Q233">IF(H233&lt;&gt;"Stop",IF(N233&lt;&gt;0,IF(N233&lt;=K233,"OK","NG"),Blank),"-")</f>
        <v>#REF!</v>
      </c>
      <c r="R233" s="326" t="e" cm="1">
        <f t="array" ref="R233">IF(H233&lt;&gt;"Stop",IF(E233&lt;&gt;0,IF(E233&lt;=K233,"OK","NG"),Blank),"-")</f>
        <v>#REF!</v>
      </c>
      <c r="S233" s="22"/>
      <c r="T233" s="221"/>
      <c r="U233"/>
    </row>
    <row r="234" spans="1:21" ht="30" x14ac:dyDescent="0.3">
      <c r="A234" s="318" t="e">
        <f>#REF!</f>
        <v>#REF!</v>
      </c>
      <c r="B234" s="305" t="e">
        <f>#REF!</f>
        <v>#REF!</v>
      </c>
      <c r="C234" s="305" t="str">
        <f>'Danh sách máy'!C229</f>
        <v>MKHC</v>
      </c>
      <c r="D234" s="90" t="e">
        <f>#REF!</f>
        <v>#REF!</v>
      </c>
      <c r="E234" s="97">
        <f>'Danh sách máy'!E229</f>
        <v>45891</v>
      </c>
      <c r="F234" s="206" t="e">
        <f>#REF!</f>
        <v>#REF!</v>
      </c>
      <c r="G234" s="102" t="e">
        <f>#REF!</f>
        <v>#REF!</v>
      </c>
      <c r="H234" s="102" t="e">
        <f>#REF!</f>
        <v>#REF!</v>
      </c>
      <c r="I234" s="209">
        <v>44508</v>
      </c>
      <c r="J234" s="210"/>
      <c r="K234" s="210" t="e">
        <f>#REF!</f>
        <v>#REF!</v>
      </c>
      <c r="L234" s="210">
        <v>44503</v>
      </c>
      <c r="M234" s="210"/>
      <c r="N234" s="210">
        <f>'Danh sách máy'!F229</f>
        <v>45891</v>
      </c>
      <c r="O234" s="211" t="str" cm="1">
        <f t="array" ref="O234">IF(L234&lt;&gt;0,IF(L234&lt;I234,"OK","NG"),Blank)</f>
        <v>OK</v>
      </c>
      <c r="P234" s="211" t="e" cm="1">
        <f t="array" ref="P234">IF(M234&lt;&gt;0,IF(M234&lt;J234,"OK","NG"),Blank)</f>
        <v>#NAME?</v>
      </c>
      <c r="Q234" s="211" t="e" cm="1">
        <f t="array" ref="Q234">IF(H234&lt;&gt;"Stop",IF(N234&lt;&gt;0,IF(N234&lt;=K234,"OK","NG"),Blank),"-")</f>
        <v>#REF!</v>
      </c>
      <c r="R234" s="326" t="e" cm="1">
        <f t="array" ref="R234">IF(H234&lt;&gt;"Stop",IF(E234&lt;&gt;0,IF(E234&lt;=K234,"OK","NG"),Blank),"-")</f>
        <v>#REF!</v>
      </c>
      <c r="S234" s="22"/>
      <c r="T234" s="221"/>
      <c r="U234"/>
    </row>
    <row r="235" spans="1:21" ht="30" x14ac:dyDescent="0.3">
      <c r="A235" s="318" t="e">
        <f>#REF!</f>
        <v>#REF!</v>
      </c>
      <c r="B235" s="305" t="e">
        <f>#REF!</f>
        <v>#REF!</v>
      </c>
      <c r="C235" s="305" t="str">
        <f>'Danh sách máy'!C230</f>
        <v>MKHC</v>
      </c>
      <c r="D235" s="90" t="e">
        <f>#REF!</f>
        <v>#REF!</v>
      </c>
      <c r="E235" s="97">
        <f>'Danh sách máy'!E230</f>
        <v>45891</v>
      </c>
      <c r="F235" s="206" t="e">
        <f>#REF!</f>
        <v>#REF!</v>
      </c>
      <c r="G235" s="102" t="e">
        <f>#REF!</f>
        <v>#REF!</v>
      </c>
      <c r="H235" s="102" t="e">
        <f>#REF!</f>
        <v>#REF!</v>
      </c>
      <c r="I235" s="209">
        <v>44509</v>
      </c>
      <c r="J235" s="210"/>
      <c r="K235" s="210" t="e">
        <f>#REF!</f>
        <v>#REF!</v>
      </c>
      <c r="L235" s="210">
        <v>44504</v>
      </c>
      <c r="M235" s="210"/>
      <c r="N235" s="210">
        <f>'Danh sách máy'!F230</f>
        <v>45891</v>
      </c>
      <c r="O235" s="211" t="str" cm="1">
        <f t="array" ref="O235">IF(L235&lt;&gt;0,IF(L235&lt;I235,"OK","NG"),Blank)</f>
        <v>OK</v>
      </c>
      <c r="P235" s="211" t="e" cm="1">
        <f t="array" ref="P235">IF(M235&lt;&gt;0,IF(M235&lt;J235,"OK","NG"),Blank)</f>
        <v>#NAME?</v>
      </c>
      <c r="Q235" s="211" t="e" cm="1">
        <f t="array" ref="Q235">IF(H235&lt;&gt;"Stop",IF(N235&lt;&gt;0,IF(N235&lt;=K235,"OK","NG"),Blank),"-")</f>
        <v>#REF!</v>
      </c>
      <c r="R235" s="326" t="e" cm="1">
        <f t="array" ref="R235">IF(H235&lt;&gt;"Stop",IF(E235&lt;&gt;0,IF(E235&lt;=K235,"OK","NG"),Blank),"-")</f>
        <v>#REF!</v>
      </c>
      <c r="S235" s="22"/>
      <c r="T235" s="221"/>
      <c r="U235"/>
    </row>
    <row r="236" spans="1:21" ht="30" x14ac:dyDescent="0.3">
      <c r="A236" s="318" t="e">
        <f>#REF!</f>
        <v>#REF!</v>
      </c>
      <c r="B236" s="305" t="e">
        <f>#REF!</f>
        <v>#REF!</v>
      </c>
      <c r="C236" s="305" t="str">
        <f>'Danh sách máy'!C231</f>
        <v>MKHC</v>
      </c>
      <c r="D236" s="90" t="e">
        <f>#REF!</f>
        <v>#REF!</v>
      </c>
      <c r="E236" s="97">
        <f>'Danh sách máy'!E231</f>
        <v>45887</v>
      </c>
      <c r="F236" s="206" t="e">
        <f>#REF!</f>
        <v>#REF!</v>
      </c>
      <c r="G236" s="102" t="e">
        <f>#REF!</f>
        <v>#REF!</v>
      </c>
      <c r="H236" s="102" t="e">
        <f>#REF!</f>
        <v>#REF!</v>
      </c>
      <c r="I236" s="209">
        <v>44510</v>
      </c>
      <c r="J236" s="210"/>
      <c r="K236" s="210" t="e">
        <f>#REF!</f>
        <v>#REF!</v>
      </c>
      <c r="L236" s="210">
        <v>44505</v>
      </c>
      <c r="M236" s="210"/>
      <c r="N236" s="210">
        <f>'Danh sách máy'!F231</f>
        <v>45887</v>
      </c>
      <c r="O236" s="211" t="str" cm="1">
        <f t="array" ref="O236">IF(L236&lt;&gt;0,IF(L236&lt;I236,"OK","NG"),Blank)</f>
        <v>OK</v>
      </c>
      <c r="P236" s="211" t="e" cm="1">
        <f t="array" ref="P236">IF(M236&lt;&gt;0,IF(M236&lt;J236,"OK","NG"),Blank)</f>
        <v>#NAME?</v>
      </c>
      <c r="Q236" s="211" t="e" cm="1">
        <f t="array" ref="Q236">IF(H236&lt;&gt;"Stop",IF(N236&lt;&gt;0,IF(N236&lt;=K236,"OK","NG"),Blank),"-")</f>
        <v>#REF!</v>
      </c>
      <c r="R236" s="326" t="e" cm="1">
        <f t="array" ref="R236">IF(H236&lt;&gt;"Stop",IF(E236&lt;&gt;0,IF(E236&lt;=K236,"OK","NG"),Blank),"-")</f>
        <v>#REF!</v>
      </c>
      <c r="S236" s="22"/>
      <c r="T236" s="221"/>
      <c r="U236"/>
    </row>
    <row r="237" spans="1:21" ht="30" x14ac:dyDescent="0.3">
      <c r="A237" s="318" t="e">
        <f>#REF!</f>
        <v>#REF!</v>
      </c>
      <c r="B237" s="305" t="e">
        <f>#REF!</f>
        <v>#REF!</v>
      </c>
      <c r="C237" s="305" t="str">
        <f>'Danh sách máy'!C232</f>
        <v>MKHC</v>
      </c>
      <c r="D237" s="90" t="e">
        <f>#REF!</f>
        <v>#REF!</v>
      </c>
      <c r="E237" s="97">
        <f>'Danh sách máy'!E232</f>
        <v>45819</v>
      </c>
      <c r="F237" s="206" t="e">
        <f>#REF!</f>
        <v>#REF!</v>
      </c>
      <c r="G237" s="102" t="e">
        <f>#REF!</f>
        <v>#REF!</v>
      </c>
      <c r="H237" s="102" t="e">
        <f>#REF!</f>
        <v>#REF!</v>
      </c>
      <c r="I237" s="209">
        <v>44511</v>
      </c>
      <c r="J237" s="210"/>
      <c r="K237" s="210" t="e">
        <f>#REF!</f>
        <v>#REF!</v>
      </c>
      <c r="L237" s="210">
        <v>44506</v>
      </c>
      <c r="M237" s="210"/>
      <c r="N237" s="210">
        <f>'Danh sách máy'!F232</f>
        <v>45819</v>
      </c>
      <c r="O237" s="211" t="str" cm="1">
        <f t="array" ref="O237">IF(L237&lt;&gt;0,IF(L237&lt;I237,"OK","NG"),Blank)</f>
        <v>OK</v>
      </c>
      <c r="P237" s="211" t="e" cm="1">
        <f t="array" ref="P237">IF(M237&lt;&gt;0,IF(M237&lt;J237,"OK","NG"),Blank)</f>
        <v>#NAME?</v>
      </c>
      <c r="Q237" s="211" t="e" cm="1">
        <f t="array" ref="Q237">IF(H237&lt;&gt;"Stop",IF(N237&lt;&gt;0,IF(N237&lt;=K237,"OK","NG"),Blank),"-")</f>
        <v>#REF!</v>
      </c>
      <c r="R237" s="326" t="e" cm="1">
        <f t="array" ref="R237">IF(H237&lt;&gt;"Stop",IF(E237&lt;&gt;0,IF(E237&lt;=K237,"OK","NG"),Blank),"-")</f>
        <v>#REF!</v>
      </c>
      <c r="S237" s="22"/>
      <c r="T237" s="221"/>
      <c r="U237"/>
    </row>
    <row r="238" spans="1:21" ht="30" x14ac:dyDescent="0.3">
      <c r="A238" s="318" t="e">
        <f>#REF!</f>
        <v>#REF!</v>
      </c>
      <c r="B238" s="305" t="e">
        <f>#REF!</f>
        <v>#REF!</v>
      </c>
      <c r="C238" s="305" t="str">
        <f>'Danh sách máy'!C233</f>
        <v>MKHC</v>
      </c>
      <c r="D238" s="90" t="e">
        <f>#REF!</f>
        <v>#REF!</v>
      </c>
      <c r="E238" s="97">
        <f>'Danh sách máy'!E233</f>
        <v>45817</v>
      </c>
      <c r="F238" s="206" t="e">
        <f>#REF!</f>
        <v>#REF!</v>
      </c>
      <c r="G238" s="102" t="e">
        <f>#REF!</f>
        <v>#REF!</v>
      </c>
      <c r="H238" s="102" t="e">
        <f>#REF!</f>
        <v>#REF!</v>
      </c>
      <c r="I238" s="209">
        <v>44512</v>
      </c>
      <c r="J238" s="210"/>
      <c r="K238" s="210" t="e">
        <f>#REF!</f>
        <v>#REF!</v>
      </c>
      <c r="L238" s="210">
        <v>44507</v>
      </c>
      <c r="M238" s="210"/>
      <c r="N238" s="210">
        <f>'Danh sách máy'!F233</f>
        <v>45817</v>
      </c>
      <c r="O238" s="211" t="str" cm="1">
        <f t="array" ref="O238">IF(L238&lt;&gt;0,IF(L238&lt;I238,"OK","NG"),Blank)</f>
        <v>OK</v>
      </c>
      <c r="P238" s="211" t="e" cm="1">
        <f t="array" ref="P238">IF(M238&lt;&gt;0,IF(M238&lt;J238,"OK","NG"),Blank)</f>
        <v>#NAME?</v>
      </c>
      <c r="Q238" s="211" t="e" cm="1">
        <f t="array" ref="Q238">IF(H238&lt;&gt;"Stop",IF(N238&lt;&gt;0,IF(N238&lt;=K238,"OK","NG"),Blank),"-")</f>
        <v>#REF!</v>
      </c>
      <c r="R238" s="326" t="e" cm="1">
        <f t="array" ref="R238">IF(H238&lt;&gt;"Stop",IF(E238&lt;&gt;0,IF(E238&lt;=K238,"OK","NG"),Blank),"-")</f>
        <v>#REF!</v>
      </c>
      <c r="S238" s="22"/>
      <c r="T238" s="221"/>
      <c r="U238"/>
    </row>
    <row r="239" spans="1:21" ht="30" x14ac:dyDescent="0.3">
      <c r="A239" s="318" t="e">
        <f>#REF!</f>
        <v>#REF!</v>
      </c>
      <c r="B239" s="305" t="e">
        <f>#REF!</f>
        <v>#REF!</v>
      </c>
      <c r="C239" s="305" t="str">
        <f>'Danh sách máy'!C234</f>
        <v>MKHC</v>
      </c>
      <c r="D239" s="90" t="e">
        <f>#REF!</f>
        <v>#REF!</v>
      </c>
      <c r="E239" s="97">
        <f>'Danh sách máy'!E234</f>
        <v>45818</v>
      </c>
      <c r="F239" s="206" t="e">
        <f>#REF!</f>
        <v>#REF!</v>
      </c>
      <c r="G239" s="102" t="e">
        <f>#REF!</f>
        <v>#REF!</v>
      </c>
      <c r="H239" s="102" t="e">
        <f>#REF!</f>
        <v>#REF!</v>
      </c>
      <c r="I239" s="209">
        <v>44513</v>
      </c>
      <c r="J239" s="210"/>
      <c r="K239" s="210" t="e">
        <f>#REF!</f>
        <v>#REF!</v>
      </c>
      <c r="L239" s="210">
        <v>44508</v>
      </c>
      <c r="M239" s="210"/>
      <c r="N239" s="210">
        <f>'Danh sách máy'!F234</f>
        <v>45818</v>
      </c>
      <c r="O239" s="211" t="str" cm="1">
        <f t="array" ref="O239">IF(L239&lt;&gt;0,IF(L239&lt;I239,"OK","NG"),Blank)</f>
        <v>OK</v>
      </c>
      <c r="P239" s="211" t="e" cm="1">
        <f t="array" ref="P239">IF(M239&lt;&gt;0,IF(M239&lt;J239,"OK","NG"),Blank)</f>
        <v>#NAME?</v>
      </c>
      <c r="Q239" s="211" t="e" cm="1">
        <f t="array" ref="Q239">IF(H239&lt;&gt;"Stop",IF(N239&lt;&gt;0,IF(N239&lt;=K239,"OK","NG"),Blank),"-")</f>
        <v>#REF!</v>
      </c>
      <c r="R239" s="326" t="e" cm="1">
        <f t="array" ref="R239">IF(H239&lt;&gt;"Stop",IF(E239&lt;&gt;0,IF(E239&lt;=K239,"OK","NG"),Blank),"-")</f>
        <v>#REF!</v>
      </c>
      <c r="S239" s="22"/>
      <c r="T239" s="221"/>
      <c r="U239"/>
    </row>
    <row r="240" spans="1:21" ht="30" x14ac:dyDescent="0.3">
      <c r="A240" s="318" t="e">
        <f>#REF!</f>
        <v>#REF!</v>
      </c>
      <c r="B240" s="305" t="e">
        <f>#REF!</f>
        <v>#REF!</v>
      </c>
      <c r="C240" s="305" t="str">
        <f>'Danh sách máy'!C235</f>
        <v>MKHC</v>
      </c>
      <c r="D240" s="90" t="e">
        <f>#REF!</f>
        <v>#REF!</v>
      </c>
      <c r="E240" s="97">
        <f>'Danh sách máy'!E235</f>
        <v>45818</v>
      </c>
      <c r="F240" s="206" t="e">
        <f>#REF!</f>
        <v>#REF!</v>
      </c>
      <c r="G240" s="102" t="e">
        <f>#REF!</f>
        <v>#REF!</v>
      </c>
      <c r="H240" s="102" t="e">
        <f>#REF!</f>
        <v>#REF!</v>
      </c>
      <c r="I240" s="209">
        <v>44514</v>
      </c>
      <c r="J240" s="210"/>
      <c r="K240" s="210" t="e">
        <f>#REF!</f>
        <v>#REF!</v>
      </c>
      <c r="L240" s="210">
        <v>44509</v>
      </c>
      <c r="M240" s="210"/>
      <c r="N240" s="210">
        <f>'Danh sách máy'!F235</f>
        <v>45818</v>
      </c>
      <c r="O240" s="211" t="str" cm="1">
        <f t="array" ref="O240">IF(L240&lt;&gt;0,IF(L240&lt;I240,"OK","NG"),Blank)</f>
        <v>OK</v>
      </c>
      <c r="P240" s="211" t="e" cm="1">
        <f t="array" ref="P240">IF(M240&lt;&gt;0,IF(M240&lt;J240,"OK","NG"),Blank)</f>
        <v>#NAME?</v>
      </c>
      <c r="Q240" s="211" t="e" cm="1">
        <f t="array" ref="Q240">IF(H240&lt;&gt;"Stop",IF(N240&lt;&gt;0,IF(N240&lt;=K240,"OK","NG"),Blank),"-")</f>
        <v>#REF!</v>
      </c>
      <c r="R240" s="326" t="e" cm="1">
        <f t="array" ref="R240">IF(H240&lt;&gt;"Stop",IF(E240&lt;&gt;0,IF(E240&lt;=K240,"OK","NG"),Blank),"-")</f>
        <v>#REF!</v>
      </c>
      <c r="S240" s="22"/>
      <c r="T240" s="221"/>
      <c r="U240"/>
    </row>
    <row r="241" spans="1:21" ht="30" x14ac:dyDescent="0.3">
      <c r="A241" s="318" t="e">
        <f>#REF!</f>
        <v>#REF!</v>
      </c>
      <c r="B241" s="305" t="e">
        <f>#REF!</f>
        <v>#REF!</v>
      </c>
      <c r="C241" s="305" t="str">
        <f>'Danh sách máy'!C236</f>
        <v>MKHC</v>
      </c>
      <c r="D241" s="90" t="e">
        <f>#REF!</f>
        <v>#REF!</v>
      </c>
      <c r="E241" s="97">
        <f>'Danh sách máy'!E236</f>
        <v>45818</v>
      </c>
      <c r="F241" s="206" t="e">
        <f>#REF!</f>
        <v>#REF!</v>
      </c>
      <c r="G241" s="102" t="e">
        <f>#REF!</f>
        <v>#REF!</v>
      </c>
      <c r="H241" s="102" t="e">
        <f>#REF!</f>
        <v>#REF!</v>
      </c>
      <c r="I241" s="209">
        <v>44515</v>
      </c>
      <c r="J241" s="210"/>
      <c r="K241" s="210" t="e">
        <f>#REF!</f>
        <v>#REF!</v>
      </c>
      <c r="L241" s="210">
        <v>44510</v>
      </c>
      <c r="M241" s="210"/>
      <c r="N241" s="210">
        <f>'Danh sách máy'!F236</f>
        <v>45818</v>
      </c>
      <c r="O241" s="211" t="str" cm="1">
        <f t="array" ref="O241">IF(L241&lt;&gt;0,IF(L241&lt;I241,"OK","NG"),Blank)</f>
        <v>OK</v>
      </c>
      <c r="P241" s="211" t="e" cm="1">
        <f t="array" ref="P241">IF(M241&lt;&gt;0,IF(M241&lt;J241,"OK","NG"),Blank)</f>
        <v>#NAME?</v>
      </c>
      <c r="Q241" s="211" t="e" cm="1">
        <f t="array" ref="Q241">IF(H241&lt;&gt;"Stop",IF(N241&lt;&gt;0,IF(N241&lt;=K241,"OK","NG"),Blank),"-")</f>
        <v>#REF!</v>
      </c>
      <c r="R241" s="326" t="e" cm="1">
        <f t="array" ref="R241">IF(H241&lt;&gt;"Stop",IF(E241&lt;&gt;0,IF(E241&lt;=K241,"OK","NG"),Blank),"-")</f>
        <v>#REF!</v>
      </c>
      <c r="S241" s="22"/>
      <c r="T241" s="221"/>
      <c r="U241"/>
    </row>
    <row r="242" spans="1:21" ht="30" x14ac:dyDescent="0.3">
      <c r="A242" s="318" t="e">
        <f>#REF!</f>
        <v>#REF!</v>
      </c>
      <c r="B242" s="305" t="e">
        <f>#REF!</f>
        <v>#REF!</v>
      </c>
      <c r="C242" s="305" t="str">
        <f>'Danh sách máy'!C237</f>
        <v>MKHC</v>
      </c>
      <c r="D242" s="90" t="e">
        <f>#REF!</f>
        <v>#REF!</v>
      </c>
      <c r="E242" s="97">
        <f>'Danh sách máy'!E237</f>
        <v>45819</v>
      </c>
      <c r="F242" s="206" t="e">
        <f>#REF!</f>
        <v>#REF!</v>
      </c>
      <c r="G242" s="102" t="e">
        <f>#REF!</f>
        <v>#REF!</v>
      </c>
      <c r="H242" s="102" t="e">
        <f>#REF!</f>
        <v>#REF!</v>
      </c>
      <c r="I242" s="209">
        <v>44516</v>
      </c>
      <c r="J242" s="210"/>
      <c r="K242" s="210" t="e">
        <f>#REF!</f>
        <v>#REF!</v>
      </c>
      <c r="L242" s="210">
        <v>44511</v>
      </c>
      <c r="M242" s="210"/>
      <c r="N242" s="210">
        <f>'Danh sách máy'!F237</f>
        <v>45819</v>
      </c>
      <c r="O242" s="211" t="str" cm="1">
        <f t="array" ref="O242">IF(L242&lt;&gt;0,IF(L242&lt;I242,"OK","NG"),Blank)</f>
        <v>OK</v>
      </c>
      <c r="P242" s="211" t="e" cm="1">
        <f t="array" ref="P242">IF(M242&lt;&gt;0,IF(M242&lt;J242,"OK","NG"),Blank)</f>
        <v>#NAME?</v>
      </c>
      <c r="Q242" s="211" t="e" cm="1">
        <f t="array" ref="Q242">IF(H242&lt;&gt;"Stop",IF(N242&lt;&gt;0,IF(N242&lt;=K242,"OK","NG"),Blank),"-")</f>
        <v>#REF!</v>
      </c>
      <c r="R242" s="326" t="e" cm="1">
        <f t="array" ref="R242">IF(H242&lt;&gt;"Stop",IF(E242&lt;&gt;0,IF(E242&lt;=K242,"OK","NG"),Blank),"-")</f>
        <v>#REF!</v>
      </c>
      <c r="S242" s="22"/>
      <c r="T242" s="221"/>
      <c r="U242"/>
    </row>
    <row r="243" spans="1:21" ht="30" hidden="1" x14ac:dyDescent="0.3">
      <c r="A243" s="318" t="e">
        <f>#REF!</f>
        <v>#REF!</v>
      </c>
      <c r="B243" s="305" t="e">
        <f>#REF!</f>
        <v>#REF!</v>
      </c>
      <c r="C243" s="305" t="str">
        <f>'Danh sách máy'!C238</f>
        <v>MKHC</v>
      </c>
      <c r="D243" s="90" t="e">
        <f>#REF!</f>
        <v>#REF!</v>
      </c>
      <c r="E243" s="97">
        <f>'Danh sách máy'!E238</f>
        <v>45866</v>
      </c>
      <c r="F243" s="206" t="e">
        <f>#REF!</f>
        <v>#REF!</v>
      </c>
      <c r="G243" s="102" t="e">
        <f>#REF!</f>
        <v>#REF!</v>
      </c>
      <c r="H243" s="102" t="e">
        <f>#REF!</f>
        <v>#REF!</v>
      </c>
      <c r="I243" s="209">
        <v>44517</v>
      </c>
      <c r="J243" s="210"/>
      <c r="K243" s="210" t="e">
        <f>#REF!</f>
        <v>#REF!</v>
      </c>
      <c r="L243" s="210">
        <v>44512</v>
      </c>
      <c r="M243" s="210"/>
      <c r="N243" s="210">
        <f>'Danh sách máy'!F238</f>
        <v>0</v>
      </c>
      <c r="O243" s="211" t="str" cm="1">
        <f t="array" ref="O243">IF(L243&lt;&gt;0,IF(L243&lt;I243,"OK","NG"),Blank)</f>
        <v>OK</v>
      </c>
      <c r="P243" s="211" t="e" cm="1">
        <f t="array" ref="P243">IF(M243&lt;&gt;0,IF(M243&lt;J243,"OK","NG"),Blank)</f>
        <v>#NAME?</v>
      </c>
      <c r="Q243" s="211" t="e" cm="1">
        <f t="array" ref="Q243">IF(H243&lt;&gt;"Stop",IF(N243&lt;&gt;0,IF(N243&lt;=K243,"OK","NG"),Blank),"-")</f>
        <v>#REF!</v>
      </c>
      <c r="R243" s="326" t="e" cm="1">
        <f t="array" ref="R243">IF(H243&lt;&gt;"Stop",IF(E243&lt;&gt;0,IF(E243&lt;=K243,"OK","NG"),Blank),"-")</f>
        <v>#REF!</v>
      </c>
      <c r="S243" s="22"/>
      <c r="T243" s="221"/>
      <c r="U243"/>
    </row>
    <row r="244" spans="1:21" ht="30" hidden="1" x14ac:dyDescent="0.3">
      <c r="A244" s="318" t="e">
        <f>#REF!</f>
        <v>#REF!</v>
      </c>
      <c r="B244" s="305" t="e">
        <f>#REF!</f>
        <v>#REF!</v>
      </c>
      <c r="C244" s="305" t="str">
        <f>'Danh sách máy'!C239</f>
        <v>MKHC</v>
      </c>
      <c r="D244" s="90" t="e">
        <f>#REF!</f>
        <v>#REF!</v>
      </c>
      <c r="E244" s="97">
        <f>'Danh sách máy'!E239</f>
        <v>45913</v>
      </c>
      <c r="F244" s="206" t="e">
        <f>#REF!</f>
        <v>#REF!</v>
      </c>
      <c r="G244" s="102" t="e">
        <f>#REF!</f>
        <v>#REF!</v>
      </c>
      <c r="H244" s="102" t="e">
        <f>#REF!</f>
        <v>#REF!</v>
      </c>
      <c r="I244" s="209">
        <v>44518</v>
      </c>
      <c r="J244" s="210"/>
      <c r="K244" s="210" t="e">
        <f>#REF!</f>
        <v>#REF!</v>
      </c>
      <c r="L244" s="210">
        <v>44513</v>
      </c>
      <c r="M244" s="210"/>
      <c r="N244" s="210">
        <f>'Danh sách máy'!F239</f>
        <v>0</v>
      </c>
      <c r="O244" s="211" t="str" cm="1">
        <f t="array" ref="O244">IF(L244&lt;&gt;0,IF(L244&lt;I244,"OK","NG"),Blank)</f>
        <v>OK</v>
      </c>
      <c r="P244" s="211" t="e" cm="1">
        <f t="array" ref="P244">IF(M244&lt;&gt;0,IF(M244&lt;J244,"OK","NG"),Blank)</f>
        <v>#NAME?</v>
      </c>
      <c r="Q244" s="211" t="e" cm="1">
        <f t="array" ref="Q244">IF(H244&lt;&gt;"Stop",IF(N244&lt;&gt;0,IF(N244&lt;=K244,"OK","NG"),Blank),"-")</f>
        <v>#REF!</v>
      </c>
      <c r="R244" s="326" t="e" cm="1">
        <f t="array" ref="R244">IF(H244&lt;&gt;"Stop",IF(E244&lt;&gt;0,IF(E244&lt;=K244,"OK","NG"),Blank),"-")</f>
        <v>#REF!</v>
      </c>
      <c r="S244" s="22"/>
      <c r="T244" s="221"/>
      <c r="U244"/>
    </row>
    <row r="245" spans="1:21" ht="30" hidden="1" x14ac:dyDescent="0.3">
      <c r="A245" s="318" t="e">
        <f>#REF!</f>
        <v>#REF!</v>
      </c>
      <c r="B245" s="305" t="e">
        <f>#REF!</f>
        <v>#REF!</v>
      </c>
      <c r="C245" s="305" t="str">
        <f>'Danh sách máy'!C240</f>
        <v>MKHC</v>
      </c>
      <c r="D245" s="90" t="e">
        <f>#REF!</f>
        <v>#REF!</v>
      </c>
      <c r="E245" s="97">
        <f>'Danh sách máy'!E240</f>
        <v>0</v>
      </c>
      <c r="F245" s="206" t="e">
        <f>#REF!</f>
        <v>#REF!</v>
      </c>
      <c r="G245" s="102" t="e">
        <f>#REF!</f>
        <v>#REF!</v>
      </c>
      <c r="H245" s="102" t="e">
        <f>#REF!</f>
        <v>#REF!</v>
      </c>
      <c r="I245" s="209">
        <v>44519</v>
      </c>
      <c r="J245" s="210"/>
      <c r="K245" s="210" t="e">
        <f>#REF!</f>
        <v>#REF!</v>
      </c>
      <c r="L245" s="210">
        <v>44514</v>
      </c>
      <c r="M245" s="210"/>
      <c r="N245" s="210">
        <f>'Danh sách máy'!F240</f>
        <v>0</v>
      </c>
      <c r="O245" s="211" t="str" cm="1">
        <f t="array" ref="O245">IF(L245&lt;&gt;0,IF(L245&lt;I245,"OK","NG"),Blank)</f>
        <v>OK</v>
      </c>
      <c r="P245" s="211" t="e" cm="1">
        <f t="array" ref="P245">IF(M245&lt;&gt;0,IF(M245&lt;J245,"OK","NG"),Blank)</f>
        <v>#NAME?</v>
      </c>
      <c r="Q245" s="211" t="e" cm="1">
        <f t="array" ref="Q245">IF(H245&lt;&gt;"Stop",IF(N245&lt;&gt;0,IF(N245&lt;=K245,"OK","NG"),Blank),"-")</f>
        <v>#REF!</v>
      </c>
      <c r="R245" s="326" t="e" cm="1">
        <f t="array" ref="R245">IF(H245&lt;&gt;"Stop",IF(E245&lt;&gt;0,IF(E245&lt;=K245,"OK","NG"),Blank),"-")</f>
        <v>#REF!</v>
      </c>
      <c r="S245" s="22"/>
      <c r="T245" s="221"/>
      <c r="U245"/>
    </row>
    <row r="246" spans="1:21" ht="30" x14ac:dyDescent="0.3">
      <c r="A246" s="318" t="e">
        <f>#REF!</f>
        <v>#REF!</v>
      </c>
      <c r="B246" s="305" t="e">
        <f>#REF!</f>
        <v>#REF!</v>
      </c>
      <c r="C246" s="305" t="str">
        <f>'Danh sách máy'!C241</f>
        <v>MKHC</v>
      </c>
      <c r="D246" s="90" t="e">
        <f>#REF!</f>
        <v>#REF!</v>
      </c>
      <c r="E246" s="97">
        <f>'Danh sách máy'!E241</f>
        <v>45819</v>
      </c>
      <c r="F246" s="206" t="e">
        <f>#REF!</f>
        <v>#REF!</v>
      </c>
      <c r="G246" s="102" t="e">
        <f>#REF!</f>
        <v>#REF!</v>
      </c>
      <c r="H246" s="102" t="e">
        <f>#REF!</f>
        <v>#REF!</v>
      </c>
      <c r="I246" s="209">
        <v>44520</v>
      </c>
      <c r="J246" s="210"/>
      <c r="K246" s="210" t="e">
        <f>#REF!</f>
        <v>#REF!</v>
      </c>
      <c r="L246" s="210">
        <v>44515</v>
      </c>
      <c r="M246" s="210"/>
      <c r="N246" s="210">
        <f>'Danh sách máy'!F241</f>
        <v>45819</v>
      </c>
      <c r="O246" s="211" t="str" cm="1">
        <f t="array" ref="O246">IF(L246&lt;&gt;0,IF(L246&lt;I246,"OK","NG"),Blank)</f>
        <v>OK</v>
      </c>
      <c r="P246" s="211" t="e" cm="1">
        <f t="array" ref="P246">IF(M246&lt;&gt;0,IF(M246&lt;J246,"OK","NG"),Blank)</f>
        <v>#NAME?</v>
      </c>
      <c r="Q246" s="211" t="e" cm="1">
        <f t="array" ref="Q246">IF(H246&lt;&gt;"Stop",IF(N246&lt;&gt;0,IF(N246&lt;=K246,"OK","NG"),Blank),"-")</f>
        <v>#REF!</v>
      </c>
      <c r="R246" s="326" t="e" cm="1">
        <f t="array" ref="R246">IF(H246&lt;&gt;"Stop",IF(E246&lt;&gt;0,IF(E246&lt;=K246,"OK","NG"),Blank),"-")</f>
        <v>#REF!</v>
      </c>
      <c r="S246" s="22"/>
      <c r="T246" s="221"/>
      <c r="U246"/>
    </row>
    <row r="247" spans="1:21" ht="30" x14ac:dyDescent="0.3">
      <c r="A247" s="318" t="e">
        <f>#REF!</f>
        <v>#REF!</v>
      </c>
      <c r="B247" s="305" t="e">
        <f>#REF!</f>
        <v>#REF!</v>
      </c>
      <c r="C247" s="305" t="str">
        <f>'Danh sách máy'!C242</f>
        <v>MKHC</v>
      </c>
      <c r="D247" s="90" t="e">
        <f>#REF!</f>
        <v>#REF!</v>
      </c>
      <c r="E247" s="97">
        <f>'Danh sách máy'!E242</f>
        <v>45833</v>
      </c>
      <c r="F247" s="206" t="e">
        <f>#REF!</f>
        <v>#REF!</v>
      </c>
      <c r="G247" s="102" t="e">
        <f>#REF!</f>
        <v>#REF!</v>
      </c>
      <c r="H247" s="102" t="e">
        <f>#REF!</f>
        <v>#REF!</v>
      </c>
      <c r="I247" s="209">
        <v>44521</v>
      </c>
      <c r="J247" s="210"/>
      <c r="K247" s="210" t="e">
        <f>#REF!</f>
        <v>#REF!</v>
      </c>
      <c r="L247" s="210">
        <v>44516</v>
      </c>
      <c r="M247" s="210"/>
      <c r="N247" s="210">
        <f>'Danh sách máy'!F242</f>
        <v>45833</v>
      </c>
      <c r="O247" s="211" t="str" cm="1">
        <f t="array" ref="O247">IF(L247&lt;&gt;0,IF(L247&lt;I247,"OK","NG"),Blank)</f>
        <v>OK</v>
      </c>
      <c r="P247" s="211" t="e" cm="1">
        <f t="array" ref="P247">IF(M247&lt;&gt;0,IF(M247&lt;J247,"OK","NG"),Blank)</f>
        <v>#NAME?</v>
      </c>
      <c r="Q247" s="211" t="e" cm="1">
        <f t="array" ref="Q247">IF(H247&lt;&gt;"Stop",IF(N247&lt;&gt;0,IF(N247&lt;=K247,"OK","NG"),Blank),"-")</f>
        <v>#REF!</v>
      </c>
      <c r="R247" s="326" t="e" cm="1">
        <f t="array" ref="R247">IF(H247&lt;&gt;"Stop",IF(E247&lt;&gt;0,IF(E247&lt;=K247,"OK","NG"),Blank),"-")</f>
        <v>#REF!</v>
      </c>
      <c r="S247" s="22"/>
      <c r="T247" s="221"/>
      <c r="U247"/>
    </row>
    <row r="248" spans="1:21" ht="30" hidden="1" x14ac:dyDescent="0.3">
      <c r="A248" s="318" t="e">
        <f>#REF!</f>
        <v>#REF!</v>
      </c>
      <c r="B248" s="305" t="e">
        <f>#REF!</f>
        <v>#REF!</v>
      </c>
      <c r="C248" s="305" t="str">
        <f>'Danh sách máy'!C243</f>
        <v>MKHC</v>
      </c>
      <c r="D248" s="90" t="e">
        <f>#REF!</f>
        <v>#REF!</v>
      </c>
      <c r="E248" s="97">
        <f>'Danh sách máy'!E243</f>
        <v>45866</v>
      </c>
      <c r="F248" s="206" t="e">
        <f>#REF!</f>
        <v>#REF!</v>
      </c>
      <c r="G248" s="102" t="e">
        <f>#REF!</f>
        <v>#REF!</v>
      </c>
      <c r="H248" s="102" t="e">
        <f>#REF!</f>
        <v>#REF!</v>
      </c>
      <c r="I248" s="209">
        <v>44522</v>
      </c>
      <c r="J248" s="210"/>
      <c r="K248" s="210" t="e">
        <f>#REF!</f>
        <v>#REF!</v>
      </c>
      <c r="L248" s="210">
        <v>44517</v>
      </c>
      <c r="M248" s="210"/>
      <c r="N248" s="210">
        <f>'Danh sách máy'!F243</f>
        <v>0</v>
      </c>
      <c r="O248" s="211" t="str" cm="1">
        <f t="array" ref="O248">IF(L248&lt;&gt;0,IF(L248&lt;I248,"OK","NG"),Blank)</f>
        <v>OK</v>
      </c>
      <c r="P248" s="211" t="e" cm="1">
        <f t="array" ref="P248">IF(M248&lt;&gt;0,IF(M248&lt;J248,"OK","NG"),Blank)</f>
        <v>#NAME?</v>
      </c>
      <c r="Q248" s="211" t="e" cm="1">
        <f t="array" ref="Q248">IF(H248&lt;&gt;"Stop",IF(N248&lt;&gt;0,IF(N248&lt;=K248,"OK","NG"),Blank),"-")</f>
        <v>#REF!</v>
      </c>
      <c r="R248" s="326" t="e" cm="1">
        <f t="array" ref="R248">IF(H248&lt;&gt;"Stop",IF(E248&lt;&gt;0,IF(E248&lt;=K248,"OK","NG"),Blank),"-")</f>
        <v>#REF!</v>
      </c>
      <c r="S248" s="22"/>
      <c r="T248" s="221"/>
      <c r="U248"/>
    </row>
    <row r="249" spans="1:21" ht="30" x14ac:dyDescent="0.3">
      <c r="A249" s="318" t="e">
        <f>#REF!</f>
        <v>#REF!</v>
      </c>
      <c r="B249" s="305" t="e">
        <f>#REF!</f>
        <v>#REF!</v>
      </c>
      <c r="C249" s="305" t="str">
        <f>'Danh sách máy'!C244</f>
        <v>MKHC</v>
      </c>
      <c r="D249" s="90" t="e">
        <f>#REF!</f>
        <v>#REF!</v>
      </c>
      <c r="E249" s="97">
        <f>'Danh sách máy'!E244</f>
        <v>45782</v>
      </c>
      <c r="F249" s="206" t="e">
        <f>#REF!</f>
        <v>#REF!</v>
      </c>
      <c r="G249" s="102" t="e">
        <f>#REF!</f>
        <v>#REF!</v>
      </c>
      <c r="H249" s="102" t="e">
        <f>#REF!</f>
        <v>#REF!</v>
      </c>
      <c r="I249" s="209">
        <v>44523</v>
      </c>
      <c r="J249" s="210"/>
      <c r="K249" s="210" t="e">
        <f>#REF!</f>
        <v>#REF!</v>
      </c>
      <c r="L249" s="210">
        <v>44518</v>
      </c>
      <c r="M249" s="210"/>
      <c r="N249" s="210">
        <f>'Danh sách máy'!F244</f>
        <v>45819</v>
      </c>
      <c r="O249" s="211" t="str" cm="1">
        <f t="array" ref="O249">IF(L249&lt;&gt;0,IF(L249&lt;I249,"OK","NG"),Blank)</f>
        <v>OK</v>
      </c>
      <c r="P249" s="211" t="e" cm="1">
        <f t="array" ref="P249">IF(M249&lt;&gt;0,IF(M249&lt;J249,"OK","NG"),Blank)</f>
        <v>#NAME?</v>
      </c>
      <c r="Q249" s="211" t="e" cm="1">
        <f t="array" ref="Q249">IF(H249&lt;&gt;"Stop",IF(N249&lt;&gt;0,IF(N249&lt;=K249,"OK","NG"),Blank),"-")</f>
        <v>#REF!</v>
      </c>
      <c r="R249" s="326" t="e" cm="1">
        <f t="array" ref="R249">IF(H249&lt;&gt;"Stop",IF(E249&lt;&gt;0,IF(E249&lt;=K249,"OK","NG"),Blank),"-")</f>
        <v>#REF!</v>
      </c>
      <c r="S249" s="22"/>
      <c r="T249" s="221"/>
      <c r="U249"/>
    </row>
    <row r="250" spans="1:21" ht="30" x14ac:dyDescent="0.3">
      <c r="A250" s="318" t="e">
        <f>#REF!</f>
        <v>#REF!</v>
      </c>
      <c r="B250" s="305" t="e">
        <f>#REF!</f>
        <v>#REF!</v>
      </c>
      <c r="C250" s="305" t="str">
        <f>'Danh sách máy'!C245</f>
        <v>MKHC</v>
      </c>
      <c r="D250" s="90" t="e">
        <f>#REF!</f>
        <v>#REF!</v>
      </c>
      <c r="E250" s="97">
        <f>'Danh sách máy'!E245</f>
        <v>45818</v>
      </c>
      <c r="F250" s="206" t="e">
        <f>#REF!</f>
        <v>#REF!</v>
      </c>
      <c r="G250" s="102" t="e">
        <f>#REF!</f>
        <v>#REF!</v>
      </c>
      <c r="H250" s="102" t="e">
        <f>#REF!</f>
        <v>#REF!</v>
      </c>
      <c r="I250" s="209">
        <v>44524</v>
      </c>
      <c r="J250" s="210"/>
      <c r="K250" s="210" t="e">
        <f>#REF!</f>
        <v>#REF!</v>
      </c>
      <c r="L250" s="210">
        <v>44519</v>
      </c>
      <c r="M250" s="210"/>
      <c r="N250" s="210">
        <f>'Danh sách máy'!F245</f>
        <v>45818</v>
      </c>
      <c r="O250" s="211" t="str" cm="1">
        <f t="array" ref="O250">IF(L250&lt;&gt;0,IF(L250&lt;I250,"OK","NG"),Blank)</f>
        <v>OK</v>
      </c>
      <c r="P250" s="211" t="e" cm="1">
        <f t="array" ref="P250">IF(M250&lt;&gt;0,IF(M250&lt;J250,"OK","NG"),Blank)</f>
        <v>#NAME?</v>
      </c>
      <c r="Q250" s="211" t="e" cm="1">
        <f t="array" ref="Q250">IF(H250&lt;&gt;"Stop",IF(N250&lt;&gt;0,IF(N250&lt;=K250,"OK","NG"),Blank),"-")</f>
        <v>#REF!</v>
      </c>
      <c r="R250" s="326" t="e" cm="1">
        <f t="array" ref="R250">IF(H250&lt;&gt;"Stop",IF(E250&lt;&gt;0,IF(E250&lt;=K250,"OK","NG"),Blank),"-")</f>
        <v>#REF!</v>
      </c>
      <c r="S250" s="22"/>
      <c r="T250" s="221"/>
      <c r="U250"/>
    </row>
    <row r="251" spans="1:21" ht="30" x14ac:dyDescent="0.3">
      <c r="A251" s="318" t="e">
        <f>#REF!</f>
        <v>#REF!</v>
      </c>
      <c r="B251" s="305" t="e">
        <f>#REF!</f>
        <v>#REF!</v>
      </c>
      <c r="C251" s="305" t="str">
        <f>'Danh sách máy'!C246</f>
        <v>MKHC</v>
      </c>
      <c r="D251" s="90" t="e">
        <f>#REF!</f>
        <v>#REF!</v>
      </c>
      <c r="E251" s="97">
        <f>'Danh sách máy'!E246</f>
        <v>45819</v>
      </c>
      <c r="F251" s="206" t="e">
        <f>#REF!</f>
        <v>#REF!</v>
      </c>
      <c r="G251" s="102" t="e">
        <f>#REF!</f>
        <v>#REF!</v>
      </c>
      <c r="H251" s="102" t="e">
        <f>#REF!</f>
        <v>#REF!</v>
      </c>
      <c r="I251" s="209">
        <v>44525</v>
      </c>
      <c r="J251" s="210"/>
      <c r="K251" s="210" t="e">
        <f>#REF!</f>
        <v>#REF!</v>
      </c>
      <c r="L251" s="210">
        <v>44520</v>
      </c>
      <c r="M251" s="210"/>
      <c r="N251" s="210">
        <f>'Danh sách máy'!F246</f>
        <v>45819</v>
      </c>
      <c r="O251" s="211" t="str" cm="1">
        <f t="array" ref="O251">IF(L251&lt;&gt;0,IF(L251&lt;I251,"OK","NG"),Blank)</f>
        <v>OK</v>
      </c>
      <c r="P251" s="211" t="e" cm="1">
        <f t="array" ref="P251">IF(M251&lt;&gt;0,IF(M251&lt;J251,"OK","NG"),Blank)</f>
        <v>#NAME?</v>
      </c>
      <c r="Q251" s="211" t="e" cm="1">
        <f t="array" ref="Q251">IF(H251&lt;&gt;"Stop",IF(N251&lt;&gt;0,IF(N251&lt;=K251,"OK","NG"),Blank),"-")</f>
        <v>#REF!</v>
      </c>
      <c r="R251" s="326" t="e" cm="1">
        <f t="array" ref="R251">IF(H251&lt;&gt;"Stop",IF(E251&lt;&gt;0,IF(E251&lt;=K251,"OK","NG"),Blank),"-")</f>
        <v>#REF!</v>
      </c>
      <c r="S251" s="22"/>
      <c r="T251" s="221"/>
      <c r="U251"/>
    </row>
    <row r="252" spans="1:21" ht="30" x14ac:dyDescent="0.3">
      <c r="A252" s="318" t="e">
        <f>#REF!</f>
        <v>#REF!</v>
      </c>
      <c r="B252" s="305" t="e">
        <f>#REF!</f>
        <v>#REF!</v>
      </c>
      <c r="C252" s="305" t="str">
        <f>'Danh sách máy'!C247</f>
        <v>MKHC</v>
      </c>
      <c r="D252" s="90" t="e">
        <f>#REF!</f>
        <v>#REF!</v>
      </c>
      <c r="E252" s="97">
        <f>'Danh sách máy'!E247</f>
        <v>45818</v>
      </c>
      <c r="F252" s="206" t="e">
        <f>#REF!</f>
        <v>#REF!</v>
      </c>
      <c r="G252" s="102" t="e">
        <f>#REF!</f>
        <v>#REF!</v>
      </c>
      <c r="H252" s="102" t="e">
        <f>#REF!</f>
        <v>#REF!</v>
      </c>
      <c r="I252" s="209">
        <v>44526</v>
      </c>
      <c r="J252" s="210"/>
      <c r="K252" s="210" t="e">
        <f>#REF!</f>
        <v>#REF!</v>
      </c>
      <c r="L252" s="210">
        <v>44521</v>
      </c>
      <c r="M252" s="210"/>
      <c r="N252" s="210">
        <f>'Danh sách máy'!F247</f>
        <v>45818</v>
      </c>
      <c r="O252" s="211" t="str" cm="1">
        <f t="array" ref="O252">IF(L252&lt;&gt;0,IF(L252&lt;I252,"OK","NG"),Blank)</f>
        <v>OK</v>
      </c>
      <c r="P252" s="211" t="e" cm="1">
        <f t="array" ref="P252">IF(M252&lt;&gt;0,IF(M252&lt;J252,"OK","NG"),Blank)</f>
        <v>#NAME?</v>
      </c>
      <c r="Q252" s="211" t="e" cm="1">
        <f t="array" ref="Q252">IF(H252&lt;&gt;"Stop",IF(N252&lt;&gt;0,IF(N252&lt;=K252,"OK","NG"),Blank),"-")</f>
        <v>#REF!</v>
      </c>
      <c r="R252" s="326" t="e" cm="1">
        <f t="array" ref="R252">IF(H252&lt;&gt;"Stop",IF(E252&lt;&gt;0,IF(E252&lt;=K252,"OK","NG"),Blank),"-")</f>
        <v>#REF!</v>
      </c>
      <c r="S252" s="22"/>
      <c r="T252" s="221"/>
      <c r="U252"/>
    </row>
    <row r="253" spans="1:21" ht="30" x14ac:dyDescent="0.3">
      <c r="A253" s="318" t="e">
        <f>#REF!</f>
        <v>#REF!</v>
      </c>
      <c r="B253" s="305" t="e">
        <f>#REF!</f>
        <v>#REF!</v>
      </c>
      <c r="C253" s="305" t="str">
        <f>'Danh sách máy'!C248</f>
        <v>MKHC</v>
      </c>
      <c r="D253" s="90" t="e">
        <f>#REF!</f>
        <v>#REF!</v>
      </c>
      <c r="E253" s="97">
        <f>'Danh sách máy'!E248</f>
        <v>45819</v>
      </c>
      <c r="F253" s="206" t="e">
        <f>#REF!</f>
        <v>#REF!</v>
      </c>
      <c r="G253" s="102" t="e">
        <f>#REF!</f>
        <v>#REF!</v>
      </c>
      <c r="H253" s="102" t="e">
        <f>#REF!</f>
        <v>#REF!</v>
      </c>
      <c r="I253" s="209">
        <v>44527</v>
      </c>
      <c r="J253" s="210"/>
      <c r="K253" s="210" t="e">
        <f>#REF!</f>
        <v>#REF!</v>
      </c>
      <c r="L253" s="210">
        <v>44522</v>
      </c>
      <c r="M253" s="210"/>
      <c r="N253" s="210">
        <f>'Danh sách máy'!F248</f>
        <v>45819</v>
      </c>
      <c r="O253" s="211" t="str" cm="1">
        <f t="array" ref="O253">IF(L253&lt;&gt;0,IF(L253&lt;I253,"OK","NG"),Blank)</f>
        <v>OK</v>
      </c>
      <c r="P253" s="211" t="e" cm="1">
        <f t="array" ref="P253">IF(M253&lt;&gt;0,IF(M253&lt;J253,"OK","NG"),Blank)</f>
        <v>#NAME?</v>
      </c>
      <c r="Q253" s="211" t="e" cm="1">
        <f t="array" ref="Q253">IF(H253&lt;&gt;"Stop",IF(N253&lt;&gt;0,IF(N253&lt;=K253,"OK","NG"),Blank),"-")</f>
        <v>#REF!</v>
      </c>
      <c r="R253" s="326" t="e" cm="1">
        <f t="array" ref="R253">IF(H253&lt;&gt;"Stop",IF(E253&lt;&gt;0,IF(E253&lt;=K253,"OK","NG"),Blank),"-")</f>
        <v>#REF!</v>
      </c>
      <c r="S253" s="22"/>
      <c r="T253" s="221"/>
      <c r="U253"/>
    </row>
    <row r="254" spans="1:21" ht="30" x14ac:dyDescent="0.3">
      <c r="A254" s="318" t="e">
        <f>#REF!</f>
        <v>#REF!</v>
      </c>
      <c r="B254" s="305" t="e">
        <f>#REF!</f>
        <v>#REF!</v>
      </c>
      <c r="C254" s="305" t="str">
        <f>'Danh sách máy'!C249</f>
        <v>MKHC</v>
      </c>
      <c r="D254" s="90" t="e">
        <f>#REF!</f>
        <v>#REF!</v>
      </c>
      <c r="E254" s="97">
        <f>'Danh sách máy'!E249</f>
        <v>45833</v>
      </c>
      <c r="F254" s="206" t="e">
        <f>#REF!</f>
        <v>#REF!</v>
      </c>
      <c r="G254" s="102" t="e">
        <f>#REF!</f>
        <v>#REF!</v>
      </c>
      <c r="H254" s="102" t="e">
        <f>#REF!</f>
        <v>#REF!</v>
      </c>
      <c r="I254" s="209">
        <v>44528</v>
      </c>
      <c r="J254" s="210"/>
      <c r="K254" s="210" t="e">
        <f>#REF!</f>
        <v>#REF!</v>
      </c>
      <c r="L254" s="210">
        <v>44523</v>
      </c>
      <c r="M254" s="210"/>
      <c r="N254" s="210">
        <f>'Danh sách máy'!F249</f>
        <v>45833</v>
      </c>
      <c r="O254" s="211" t="str" cm="1">
        <f t="array" ref="O254">IF(L254&lt;&gt;0,IF(L254&lt;I254,"OK","NG"),Blank)</f>
        <v>OK</v>
      </c>
      <c r="P254" s="211" t="e" cm="1">
        <f t="array" ref="P254">IF(M254&lt;&gt;0,IF(M254&lt;J254,"OK","NG"),Blank)</f>
        <v>#NAME?</v>
      </c>
      <c r="Q254" s="211" t="e" cm="1">
        <f t="array" ref="Q254">IF(H254&lt;&gt;"Stop",IF(N254&lt;&gt;0,IF(N254&lt;=K254,"OK","NG"),Blank),"-")</f>
        <v>#REF!</v>
      </c>
      <c r="R254" s="326" t="e" cm="1">
        <f t="array" ref="R254">IF(H254&lt;&gt;"Stop",IF(E254&lt;&gt;0,IF(E254&lt;=K254,"OK","NG"),Blank),"-")</f>
        <v>#REF!</v>
      </c>
      <c r="S254" s="22"/>
      <c r="T254" s="221"/>
      <c r="U254"/>
    </row>
    <row r="255" spans="1:21" ht="30" hidden="1" x14ac:dyDescent="0.3">
      <c r="A255" s="318" t="e">
        <f>#REF!</f>
        <v>#REF!</v>
      </c>
      <c r="B255" s="305" t="e">
        <f>#REF!</f>
        <v>#REF!</v>
      </c>
      <c r="C255" s="305" t="str">
        <f>'Danh sách máy'!C250</f>
        <v>MKHC</v>
      </c>
      <c r="D255" s="90" t="e">
        <f>#REF!</f>
        <v>#REF!</v>
      </c>
      <c r="E255" s="97">
        <f>'Danh sách máy'!E250</f>
        <v>45866</v>
      </c>
      <c r="F255" s="206" t="e">
        <f>#REF!</f>
        <v>#REF!</v>
      </c>
      <c r="G255" s="102" t="e">
        <f>#REF!</f>
        <v>#REF!</v>
      </c>
      <c r="H255" s="102" t="e">
        <f>#REF!</f>
        <v>#REF!</v>
      </c>
      <c r="I255" s="209">
        <v>44529</v>
      </c>
      <c r="J255" s="210"/>
      <c r="K255" s="210" t="e">
        <f>#REF!</f>
        <v>#REF!</v>
      </c>
      <c r="L255" s="210">
        <v>44524</v>
      </c>
      <c r="M255" s="210"/>
      <c r="N255" s="210">
        <f>'Danh sách máy'!F250</f>
        <v>0</v>
      </c>
      <c r="O255" s="211" t="str" cm="1">
        <f t="array" ref="O255">IF(L255&lt;&gt;0,IF(L255&lt;I255,"OK","NG"),Blank)</f>
        <v>OK</v>
      </c>
      <c r="P255" s="211" t="e" cm="1">
        <f t="array" ref="P255">IF(M255&lt;&gt;0,IF(M255&lt;J255,"OK","NG"),Blank)</f>
        <v>#NAME?</v>
      </c>
      <c r="Q255" s="211" t="e" cm="1">
        <f t="array" ref="Q255">IF(H255&lt;&gt;"Stop",IF(N255&lt;&gt;0,IF(N255&lt;=K255,"OK","NG"),Blank),"-")</f>
        <v>#REF!</v>
      </c>
      <c r="R255" s="326" t="e" cm="1">
        <f t="array" ref="R255">IF(H255&lt;&gt;"Stop",IF(E255&lt;&gt;0,IF(E255&lt;=K255,"OK","NG"),Blank),"-")</f>
        <v>#REF!</v>
      </c>
      <c r="S255" s="22"/>
      <c r="T255" s="221"/>
      <c r="U255"/>
    </row>
    <row r="256" spans="1:21" ht="30" x14ac:dyDescent="0.3">
      <c r="A256" s="318" t="e">
        <f>#REF!</f>
        <v>#REF!</v>
      </c>
      <c r="B256" s="305" t="e">
        <f>#REF!</f>
        <v>#REF!</v>
      </c>
      <c r="C256" s="305" t="str">
        <f>'Danh sách máy'!C251</f>
        <v>MKHC</v>
      </c>
      <c r="D256" s="90" t="e">
        <f>#REF!</f>
        <v>#REF!</v>
      </c>
      <c r="E256" s="97">
        <f>'Danh sách máy'!E251</f>
        <v>45833</v>
      </c>
      <c r="F256" s="206" t="e">
        <f>#REF!</f>
        <v>#REF!</v>
      </c>
      <c r="G256" s="102" t="e">
        <f>#REF!</f>
        <v>#REF!</v>
      </c>
      <c r="H256" s="102" t="e">
        <f>#REF!</f>
        <v>#REF!</v>
      </c>
      <c r="I256" s="209">
        <v>44530</v>
      </c>
      <c r="J256" s="210"/>
      <c r="K256" s="210" t="e">
        <f>#REF!</f>
        <v>#REF!</v>
      </c>
      <c r="L256" s="210">
        <v>44525</v>
      </c>
      <c r="M256" s="210"/>
      <c r="N256" s="210">
        <f>'Danh sách máy'!F251</f>
        <v>45833</v>
      </c>
      <c r="O256" s="211" t="str" cm="1">
        <f t="array" ref="O256">IF(L256&lt;&gt;0,IF(L256&lt;I256,"OK","NG"),Blank)</f>
        <v>OK</v>
      </c>
      <c r="P256" s="211" t="e" cm="1">
        <f t="array" ref="P256">IF(M256&lt;&gt;0,IF(M256&lt;J256,"OK","NG"),Blank)</f>
        <v>#NAME?</v>
      </c>
      <c r="Q256" s="211" t="e" cm="1">
        <f t="array" ref="Q256">IF(H256&lt;&gt;"Stop",IF(N256&lt;&gt;0,IF(N256&lt;=K256,"OK","NG"),Blank),"-")</f>
        <v>#REF!</v>
      </c>
      <c r="R256" s="326" t="e" cm="1">
        <f t="array" ref="R256">IF(H256&lt;&gt;"Stop",IF(E256&lt;&gt;0,IF(E256&lt;=K256,"OK","NG"),Blank),"-")</f>
        <v>#REF!</v>
      </c>
      <c r="S256" s="22"/>
      <c r="T256" s="221"/>
      <c r="U256"/>
    </row>
    <row r="257" spans="1:21" ht="30" hidden="1" x14ac:dyDescent="0.3">
      <c r="A257" s="318" t="e">
        <f>#REF!</f>
        <v>#REF!</v>
      </c>
      <c r="B257" s="305" t="e">
        <f>#REF!</f>
        <v>#REF!</v>
      </c>
      <c r="C257" s="305" t="str">
        <f>'Danh sách máy'!C252</f>
        <v>MKHC</v>
      </c>
      <c r="D257" s="90" t="e">
        <f>#REF!</f>
        <v>#REF!</v>
      </c>
      <c r="E257" s="97">
        <f>'Danh sách máy'!E252</f>
        <v>45866</v>
      </c>
      <c r="F257" s="206" t="e">
        <f>#REF!</f>
        <v>#REF!</v>
      </c>
      <c r="G257" s="102" t="e">
        <f>#REF!</f>
        <v>#REF!</v>
      </c>
      <c r="H257" s="102" t="e">
        <f>#REF!</f>
        <v>#REF!</v>
      </c>
      <c r="I257" s="209">
        <v>44531</v>
      </c>
      <c r="J257" s="210"/>
      <c r="K257" s="210" t="e">
        <f>#REF!</f>
        <v>#REF!</v>
      </c>
      <c r="L257" s="210">
        <v>44526</v>
      </c>
      <c r="M257" s="210"/>
      <c r="N257" s="210">
        <f>'Danh sách máy'!F252</f>
        <v>0</v>
      </c>
      <c r="O257" s="211" t="str" cm="1">
        <f t="array" ref="O257">IF(L257&lt;&gt;0,IF(L257&lt;I257,"OK","NG"),Blank)</f>
        <v>OK</v>
      </c>
      <c r="P257" s="211" t="e" cm="1">
        <f t="array" ref="P257">IF(M257&lt;&gt;0,IF(M257&lt;J257,"OK","NG"),Blank)</f>
        <v>#NAME?</v>
      </c>
      <c r="Q257" s="211" t="e" cm="1">
        <f t="array" ref="Q257">IF(H257&lt;&gt;"Stop",IF(N257&lt;&gt;0,IF(N257&lt;=K257,"OK","NG"),Blank),"-")</f>
        <v>#REF!</v>
      </c>
      <c r="R257" s="326" t="e" cm="1">
        <f t="array" ref="R257">IF(H257&lt;&gt;"Stop",IF(E257&lt;&gt;0,IF(E257&lt;=K257,"OK","NG"),Blank),"-")</f>
        <v>#REF!</v>
      </c>
      <c r="S257" s="22"/>
      <c r="T257" s="221"/>
      <c r="U257"/>
    </row>
    <row r="258" spans="1:21" ht="30" x14ac:dyDescent="0.3">
      <c r="A258" s="318" t="e">
        <f>#REF!</f>
        <v>#REF!</v>
      </c>
      <c r="B258" s="305" t="e">
        <f>#REF!</f>
        <v>#REF!</v>
      </c>
      <c r="C258" s="305" t="str">
        <f>'Danh sách máy'!C253</f>
        <v>MKHC</v>
      </c>
      <c r="D258" s="90" t="e">
        <f>#REF!</f>
        <v>#REF!</v>
      </c>
      <c r="E258" s="97">
        <f>'Danh sách máy'!E253</f>
        <v>45770</v>
      </c>
      <c r="F258" s="206" t="e">
        <f>#REF!</f>
        <v>#REF!</v>
      </c>
      <c r="G258" s="102" t="e">
        <f>#REF!</f>
        <v>#REF!</v>
      </c>
      <c r="H258" s="102" t="e">
        <f>#REF!</f>
        <v>#REF!</v>
      </c>
      <c r="I258" s="209">
        <v>44532</v>
      </c>
      <c r="J258" s="210"/>
      <c r="K258" s="210" t="e">
        <f>#REF!</f>
        <v>#REF!</v>
      </c>
      <c r="L258" s="210">
        <v>44527</v>
      </c>
      <c r="M258" s="210"/>
      <c r="N258" s="210">
        <f>'Danh sách máy'!F253</f>
        <v>45770</v>
      </c>
      <c r="O258" s="211" t="str" cm="1">
        <f t="array" ref="O258">IF(L258&lt;&gt;0,IF(L258&lt;I258,"OK","NG"),Blank)</f>
        <v>OK</v>
      </c>
      <c r="P258" s="211" t="e" cm="1">
        <f t="array" ref="P258">IF(M258&lt;&gt;0,IF(M258&lt;J258,"OK","NG"),Blank)</f>
        <v>#NAME?</v>
      </c>
      <c r="Q258" s="211" t="e" cm="1">
        <f t="array" ref="Q258">IF(H258&lt;&gt;"Stop",IF(N258&lt;&gt;0,IF(N258&lt;=K258,"OK","NG"),Blank),"-")</f>
        <v>#REF!</v>
      </c>
      <c r="R258" s="326" t="e" cm="1">
        <f t="array" ref="R258">IF(H258&lt;&gt;"Stop",IF(E258&lt;&gt;0,IF(E258&lt;=K258,"OK","NG"),Blank),"-")</f>
        <v>#REF!</v>
      </c>
      <c r="S258" s="22"/>
      <c r="T258" s="221"/>
      <c r="U258"/>
    </row>
    <row r="259" spans="1:21" ht="30" hidden="1" x14ac:dyDescent="0.3">
      <c r="A259" s="318" t="e">
        <f>#REF!</f>
        <v>#REF!</v>
      </c>
      <c r="B259" s="305" t="e">
        <f>#REF!</f>
        <v>#REF!</v>
      </c>
      <c r="C259" s="305" t="str">
        <f>'Danh sách máy'!C254</f>
        <v>MKHC</v>
      </c>
      <c r="D259" s="90" t="e">
        <f>#REF!</f>
        <v>#REF!</v>
      </c>
      <c r="E259" s="97">
        <f>'Danh sách máy'!E254</f>
        <v>45782</v>
      </c>
      <c r="F259" s="206" t="e">
        <f>#REF!</f>
        <v>#REF!</v>
      </c>
      <c r="G259" s="102" t="e">
        <f>#REF!</f>
        <v>#REF!</v>
      </c>
      <c r="H259" s="102" t="e">
        <f>#REF!</f>
        <v>#REF!</v>
      </c>
      <c r="I259" s="209">
        <v>44533</v>
      </c>
      <c r="J259" s="210"/>
      <c r="K259" s="210" t="e">
        <f>#REF!</f>
        <v>#REF!</v>
      </c>
      <c r="L259" s="210">
        <v>44528</v>
      </c>
      <c r="M259" s="210"/>
      <c r="N259" s="210">
        <f>'Danh sách máy'!F254</f>
        <v>0</v>
      </c>
      <c r="O259" s="211" t="str" cm="1">
        <f t="array" ref="O259">IF(L259&lt;&gt;0,IF(L259&lt;I259,"OK","NG"),Blank)</f>
        <v>OK</v>
      </c>
      <c r="P259" s="211" t="e" cm="1">
        <f t="array" ref="P259">IF(M259&lt;&gt;0,IF(M259&lt;J259,"OK","NG"),Blank)</f>
        <v>#NAME?</v>
      </c>
      <c r="Q259" s="211" t="e" cm="1">
        <f t="array" ref="Q259">IF(H259&lt;&gt;"Stop",IF(N259&lt;&gt;0,IF(N259&lt;=K259,"OK","NG"),Blank),"-")</f>
        <v>#REF!</v>
      </c>
      <c r="R259" s="326" t="e" cm="1">
        <f t="array" ref="R259">IF(H259&lt;&gt;"Stop",IF(E259&lt;&gt;0,IF(E259&lt;=K259,"OK","NG"),Blank),"-")</f>
        <v>#REF!</v>
      </c>
      <c r="S259" s="22"/>
      <c r="T259" s="221"/>
      <c r="U259"/>
    </row>
    <row r="260" spans="1:21" ht="30" x14ac:dyDescent="0.3">
      <c r="A260" s="318" t="e">
        <f>#REF!</f>
        <v>#REF!</v>
      </c>
      <c r="B260" s="305" t="e">
        <f>#REF!</f>
        <v>#REF!</v>
      </c>
      <c r="C260" s="305" t="str">
        <f>'Danh sách máy'!C255</f>
        <v>MKHC</v>
      </c>
      <c r="D260" s="90" t="e">
        <f>#REF!</f>
        <v>#REF!</v>
      </c>
      <c r="E260" s="97">
        <f>'Danh sách máy'!E255</f>
        <v>45770</v>
      </c>
      <c r="F260" s="206" t="e">
        <f>#REF!</f>
        <v>#REF!</v>
      </c>
      <c r="G260" s="102" t="e">
        <f>#REF!</f>
        <v>#REF!</v>
      </c>
      <c r="H260" s="102" t="e">
        <f>#REF!</f>
        <v>#REF!</v>
      </c>
      <c r="I260" s="209">
        <v>44534</v>
      </c>
      <c r="J260" s="210"/>
      <c r="K260" s="210" t="e">
        <f>#REF!</f>
        <v>#REF!</v>
      </c>
      <c r="L260" s="210">
        <v>44529</v>
      </c>
      <c r="M260" s="210"/>
      <c r="N260" s="210">
        <f>'Danh sách máy'!F255</f>
        <v>45770</v>
      </c>
      <c r="O260" s="211" t="str" cm="1">
        <f t="array" ref="O260">IF(L260&lt;&gt;0,IF(L260&lt;I260,"OK","NG"),Blank)</f>
        <v>OK</v>
      </c>
      <c r="P260" s="211" t="e" cm="1">
        <f t="array" ref="P260">IF(M260&lt;&gt;0,IF(M260&lt;J260,"OK","NG"),Blank)</f>
        <v>#NAME?</v>
      </c>
      <c r="Q260" s="211" t="e" cm="1">
        <f t="array" ref="Q260">IF(H260&lt;&gt;"Stop",IF(N260&lt;&gt;0,IF(N260&lt;=K260,"OK","NG"),Blank),"-")</f>
        <v>#REF!</v>
      </c>
      <c r="R260" s="326" t="e" cm="1">
        <f t="array" ref="R260">IF(H260&lt;&gt;"Stop",IF(E260&lt;&gt;0,IF(E260&lt;=K260,"OK","NG"),Blank),"-")</f>
        <v>#REF!</v>
      </c>
      <c r="S260" s="22"/>
      <c r="T260" s="221"/>
      <c r="U260"/>
    </row>
    <row r="261" spans="1:21" ht="30" x14ac:dyDescent="0.3">
      <c r="A261" s="318" t="e">
        <f>#REF!</f>
        <v>#REF!</v>
      </c>
      <c r="B261" s="305" t="e">
        <f>#REF!</f>
        <v>#REF!</v>
      </c>
      <c r="C261" s="305" t="str">
        <f>'Danh sách máy'!C256</f>
        <v>MKHC</v>
      </c>
      <c r="D261" s="90" t="e">
        <f>#REF!</f>
        <v>#REF!</v>
      </c>
      <c r="E261" s="97">
        <f>'Danh sách máy'!E256</f>
        <v>45833</v>
      </c>
      <c r="F261" s="206" t="e">
        <f>#REF!</f>
        <v>#REF!</v>
      </c>
      <c r="G261" s="102" t="e">
        <f>#REF!</f>
        <v>#REF!</v>
      </c>
      <c r="H261" s="102" t="e">
        <f>#REF!</f>
        <v>#REF!</v>
      </c>
      <c r="I261" s="209">
        <v>44535</v>
      </c>
      <c r="J261" s="210"/>
      <c r="K261" s="210" t="e">
        <f>#REF!</f>
        <v>#REF!</v>
      </c>
      <c r="L261" s="210">
        <v>44530</v>
      </c>
      <c r="M261" s="210"/>
      <c r="N261" s="210">
        <f>'Danh sách máy'!F256</f>
        <v>45833</v>
      </c>
      <c r="O261" s="211" t="str" cm="1">
        <f t="array" ref="O261">IF(L261&lt;&gt;0,IF(L261&lt;I261,"OK","NG"),Blank)</f>
        <v>OK</v>
      </c>
      <c r="P261" s="211" t="e" cm="1">
        <f t="array" ref="P261">IF(M261&lt;&gt;0,IF(M261&lt;J261,"OK","NG"),Blank)</f>
        <v>#NAME?</v>
      </c>
      <c r="Q261" s="211" t="e" cm="1">
        <f t="array" ref="Q261">IF(H261&lt;&gt;"Stop",IF(N261&lt;&gt;0,IF(N261&lt;=K261,"OK","NG"),Blank),"-")</f>
        <v>#REF!</v>
      </c>
      <c r="R261" s="326" t="e" cm="1">
        <f t="array" ref="R261">IF(H261&lt;&gt;"Stop",IF(E261&lt;&gt;0,IF(E261&lt;=K261,"OK","NG"),Blank),"-")</f>
        <v>#REF!</v>
      </c>
      <c r="S261" s="22"/>
      <c r="T261" s="221"/>
      <c r="U261"/>
    </row>
    <row r="262" spans="1:21" ht="30" hidden="1" x14ac:dyDescent="0.3">
      <c r="A262" s="318" t="e">
        <f>#REF!</f>
        <v>#REF!</v>
      </c>
      <c r="B262" s="305" t="e">
        <f>#REF!</f>
        <v>#REF!</v>
      </c>
      <c r="C262" s="305" t="str">
        <f>'Danh sách máy'!C257</f>
        <v>MKHC</v>
      </c>
      <c r="D262" s="90" t="e">
        <f>#REF!</f>
        <v>#REF!</v>
      </c>
      <c r="E262" s="97">
        <f>'Danh sách máy'!E257</f>
        <v>45866</v>
      </c>
      <c r="F262" s="206" t="e">
        <f>#REF!</f>
        <v>#REF!</v>
      </c>
      <c r="G262" s="102" t="e">
        <f>#REF!</f>
        <v>#REF!</v>
      </c>
      <c r="H262" s="102" t="e">
        <f>#REF!</f>
        <v>#REF!</v>
      </c>
      <c r="I262" s="209">
        <v>44536</v>
      </c>
      <c r="J262" s="210"/>
      <c r="K262" s="210" t="e">
        <f>#REF!</f>
        <v>#REF!</v>
      </c>
      <c r="L262" s="210">
        <v>44531</v>
      </c>
      <c r="M262" s="210"/>
      <c r="N262" s="210">
        <f>'Danh sách máy'!F257</f>
        <v>0</v>
      </c>
      <c r="O262" s="211" t="str" cm="1">
        <f t="array" ref="O262">IF(L262&lt;&gt;0,IF(L262&lt;I262,"OK","NG"),Blank)</f>
        <v>OK</v>
      </c>
      <c r="P262" s="211" t="e" cm="1">
        <f t="array" ref="P262">IF(M262&lt;&gt;0,IF(M262&lt;J262,"OK","NG"),Blank)</f>
        <v>#NAME?</v>
      </c>
      <c r="Q262" s="211" t="e" cm="1">
        <f t="array" ref="Q262">IF(H262&lt;&gt;"Stop",IF(N262&lt;&gt;0,IF(N262&lt;=K262,"OK","NG"),Blank),"-")</f>
        <v>#REF!</v>
      </c>
      <c r="R262" s="326" t="e" cm="1">
        <f t="array" ref="R262">IF(H262&lt;&gt;"Stop",IF(E262&lt;&gt;0,IF(E262&lt;=K262,"OK","NG"),Blank),"-")</f>
        <v>#REF!</v>
      </c>
      <c r="S262" s="22"/>
      <c r="T262" s="221"/>
      <c r="U262"/>
    </row>
    <row r="263" spans="1:21" ht="30" hidden="1" x14ac:dyDescent="0.3">
      <c r="A263" s="318" t="e">
        <f>#REF!</f>
        <v>#REF!</v>
      </c>
      <c r="B263" s="305" t="e">
        <f>#REF!</f>
        <v>#REF!</v>
      </c>
      <c r="C263" s="305" t="str">
        <f>'Danh sách máy'!C258</f>
        <v>MKHC</v>
      </c>
      <c r="D263" s="90" t="e">
        <f>#REF!</f>
        <v>#REF!</v>
      </c>
      <c r="E263" s="97">
        <f>'Danh sách máy'!E258</f>
        <v>45847</v>
      </c>
      <c r="F263" s="206" t="e">
        <f>#REF!</f>
        <v>#REF!</v>
      </c>
      <c r="G263" s="102" t="e">
        <f>#REF!</f>
        <v>#REF!</v>
      </c>
      <c r="H263" s="102" t="e">
        <f>#REF!</f>
        <v>#REF!</v>
      </c>
      <c r="I263" s="209">
        <v>44537</v>
      </c>
      <c r="J263" s="210"/>
      <c r="K263" s="210" t="e">
        <f>#REF!</f>
        <v>#REF!</v>
      </c>
      <c r="L263" s="210">
        <v>44532</v>
      </c>
      <c r="M263" s="210"/>
      <c r="N263" s="210">
        <f>'Danh sách máy'!F258</f>
        <v>0</v>
      </c>
      <c r="O263" s="211" t="str" cm="1">
        <f t="array" ref="O263">IF(L263&lt;&gt;0,IF(L263&lt;I263,"OK","NG"),Blank)</f>
        <v>OK</v>
      </c>
      <c r="P263" s="211" t="e" cm="1">
        <f t="array" ref="P263">IF(M263&lt;&gt;0,IF(M263&lt;J263,"OK","NG"),Blank)</f>
        <v>#NAME?</v>
      </c>
      <c r="Q263" s="211" t="e" cm="1">
        <f t="array" ref="Q263">IF(H263&lt;&gt;"Stop",IF(N263&lt;&gt;0,IF(N263&lt;=K263,"OK","NG"),Blank),"-")</f>
        <v>#REF!</v>
      </c>
      <c r="R263" s="326" t="e" cm="1">
        <f t="array" ref="R263">IF(H263&lt;&gt;"Stop",IF(E263&lt;&gt;0,IF(E263&lt;=K263,"OK","NG"),Blank),"-")</f>
        <v>#REF!</v>
      </c>
      <c r="S263" s="22"/>
      <c r="T263" s="221"/>
      <c r="U263"/>
    </row>
    <row r="264" spans="1:21" ht="30" x14ac:dyDescent="0.3">
      <c r="A264" s="318" t="e">
        <f>#REF!</f>
        <v>#REF!</v>
      </c>
      <c r="B264" s="305" t="e">
        <f>#REF!</f>
        <v>#REF!</v>
      </c>
      <c r="C264" s="305" t="str">
        <f>'Danh sách máy'!C259</f>
        <v>MKHC</v>
      </c>
      <c r="D264" s="90" t="e">
        <f>#REF!</f>
        <v>#REF!</v>
      </c>
      <c r="E264" s="97">
        <f>'Danh sách máy'!E259</f>
        <v>45819</v>
      </c>
      <c r="F264" s="206" t="e">
        <f>#REF!</f>
        <v>#REF!</v>
      </c>
      <c r="G264" s="102" t="e">
        <f>#REF!</f>
        <v>#REF!</v>
      </c>
      <c r="H264" s="102" t="e">
        <f>#REF!</f>
        <v>#REF!</v>
      </c>
      <c r="I264" s="209">
        <v>44538</v>
      </c>
      <c r="J264" s="210"/>
      <c r="K264" s="210" t="e">
        <f>#REF!</f>
        <v>#REF!</v>
      </c>
      <c r="L264" s="210">
        <v>44533</v>
      </c>
      <c r="M264" s="210"/>
      <c r="N264" s="210">
        <f>'Danh sách máy'!F259</f>
        <v>45819</v>
      </c>
      <c r="O264" s="211" t="str" cm="1">
        <f t="array" ref="O264">IF(L264&lt;&gt;0,IF(L264&lt;I264,"OK","NG"),Blank)</f>
        <v>OK</v>
      </c>
      <c r="P264" s="211" t="e" cm="1">
        <f t="array" ref="P264">IF(M264&lt;&gt;0,IF(M264&lt;J264,"OK","NG"),Blank)</f>
        <v>#NAME?</v>
      </c>
      <c r="Q264" s="211" t="e" cm="1">
        <f t="array" ref="Q264">IF(H264&lt;&gt;"Stop",IF(N264&lt;&gt;0,IF(N264&lt;=K264,"OK","NG"),Blank),"-")</f>
        <v>#REF!</v>
      </c>
      <c r="R264" s="326" t="e" cm="1">
        <f t="array" ref="R264">IF(H264&lt;&gt;"Stop",IF(E264&lt;&gt;0,IF(E264&lt;=K264,"OK","NG"),Blank),"-")</f>
        <v>#REF!</v>
      </c>
      <c r="S264" s="22"/>
      <c r="T264" s="221"/>
      <c r="U264"/>
    </row>
    <row r="265" spans="1:21" ht="30" hidden="1" x14ac:dyDescent="0.3">
      <c r="A265" s="318" t="e">
        <f>#REF!</f>
        <v>#REF!</v>
      </c>
      <c r="B265" s="305" t="e">
        <f>#REF!</f>
        <v>#REF!</v>
      </c>
      <c r="C265" s="305" t="str">
        <f>'Danh sách máy'!C260</f>
        <v>MKHC</v>
      </c>
      <c r="D265" s="90" t="e">
        <f>#REF!</f>
        <v>#REF!</v>
      </c>
      <c r="E265" s="97">
        <f>'Danh sách máy'!E260</f>
        <v>45782</v>
      </c>
      <c r="F265" s="206" t="e">
        <f>#REF!</f>
        <v>#REF!</v>
      </c>
      <c r="G265" s="102" t="e">
        <f>#REF!</f>
        <v>#REF!</v>
      </c>
      <c r="H265" s="102" t="e">
        <f>#REF!</f>
        <v>#REF!</v>
      </c>
      <c r="I265" s="209">
        <v>44539</v>
      </c>
      <c r="J265" s="210"/>
      <c r="K265" s="210" t="e">
        <f>#REF!</f>
        <v>#REF!</v>
      </c>
      <c r="L265" s="210">
        <v>44534</v>
      </c>
      <c r="M265" s="210"/>
      <c r="N265" s="210">
        <f>'Danh sách máy'!F260</f>
        <v>0</v>
      </c>
      <c r="O265" s="211" t="str" cm="1">
        <f t="array" ref="O265">IF(L265&lt;&gt;0,IF(L265&lt;I265,"OK","NG"),Blank)</f>
        <v>OK</v>
      </c>
      <c r="P265" s="211" t="e" cm="1">
        <f t="array" ref="P265">IF(M265&lt;&gt;0,IF(M265&lt;J265,"OK","NG"),Blank)</f>
        <v>#NAME?</v>
      </c>
      <c r="Q265" s="211" t="e" cm="1">
        <f t="array" ref="Q265">IF(H265&lt;&gt;"Stop",IF(N265&lt;&gt;0,IF(N265&lt;=K265,"OK","NG"),Blank),"-")</f>
        <v>#REF!</v>
      </c>
      <c r="R265" s="326" t="e" cm="1">
        <f t="array" ref="R265">IF(H265&lt;&gt;"Stop",IF(E265&lt;&gt;0,IF(E265&lt;=K265,"OK","NG"),Blank),"-")</f>
        <v>#REF!</v>
      </c>
      <c r="S265" s="22"/>
      <c r="T265" s="221"/>
      <c r="U265"/>
    </row>
    <row r="266" spans="1:21" ht="30" hidden="1" x14ac:dyDescent="0.3">
      <c r="A266" s="318" t="e">
        <f>#REF!</f>
        <v>#REF!</v>
      </c>
      <c r="B266" s="305" t="e">
        <f>#REF!</f>
        <v>#REF!</v>
      </c>
      <c r="C266" s="305" t="str">
        <f>'Danh sách máy'!C261</f>
        <v>MKHC</v>
      </c>
      <c r="D266" s="90" t="e">
        <f>#REF!</f>
        <v>#REF!</v>
      </c>
      <c r="E266" s="97">
        <f>'Danh sách máy'!E261</f>
        <v>45847</v>
      </c>
      <c r="F266" s="206" t="e">
        <f>#REF!</f>
        <v>#REF!</v>
      </c>
      <c r="G266" s="102" t="e">
        <f>#REF!</f>
        <v>#REF!</v>
      </c>
      <c r="H266" s="102" t="e">
        <f>#REF!</f>
        <v>#REF!</v>
      </c>
      <c r="I266" s="209">
        <v>44540</v>
      </c>
      <c r="J266" s="210"/>
      <c r="K266" s="210" t="e">
        <f>#REF!</f>
        <v>#REF!</v>
      </c>
      <c r="L266" s="210">
        <v>44535</v>
      </c>
      <c r="M266" s="210"/>
      <c r="N266" s="210">
        <f>'Danh sách máy'!F261</f>
        <v>0</v>
      </c>
      <c r="O266" s="211" t="str" cm="1">
        <f t="array" ref="O266">IF(L266&lt;&gt;0,IF(L266&lt;I266,"OK","NG"),Blank)</f>
        <v>OK</v>
      </c>
      <c r="P266" s="211" t="e" cm="1">
        <f t="array" ref="P266">IF(M266&lt;&gt;0,IF(M266&lt;J266,"OK","NG"),Blank)</f>
        <v>#NAME?</v>
      </c>
      <c r="Q266" s="211" t="e" cm="1">
        <f t="array" ref="Q266">IF(H266&lt;&gt;"Stop",IF(N266&lt;&gt;0,IF(N266&lt;=K266,"OK","NG"),Blank),"-")</f>
        <v>#REF!</v>
      </c>
      <c r="R266" s="326" t="e" cm="1">
        <f t="array" ref="R266">IF(H266&lt;&gt;"Stop",IF(E266&lt;&gt;0,IF(E266&lt;=K266,"OK","NG"),Blank),"-")</f>
        <v>#REF!</v>
      </c>
      <c r="S266" s="22"/>
      <c r="T266" s="221"/>
      <c r="U266"/>
    </row>
    <row r="267" spans="1:21" ht="30" x14ac:dyDescent="0.3">
      <c r="A267" s="318" t="e">
        <f>#REF!</f>
        <v>#REF!</v>
      </c>
      <c r="B267" s="305" t="e">
        <f>#REF!</f>
        <v>#REF!</v>
      </c>
      <c r="C267" s="305" t="str">
        <f>'Danh sách máy'!C262</f>
        <v>MKHC</v>
      </c>
      <c r="D267" s="90" t="e">
        <f>#REF!</f>
        <v>#REF!</v>
      </c>
      <c r="E267" s="97">
        <f>'Danh sách máy'!E262</f>
        <v>45819</v>
      </c>
      <c r="F267" s="206" t="e">
        <f>#REF!</f>
        <v>#REF!</v>
      </c>
      <c r="G267" s="102" t="e">
        <f>#REF!</f>
        <v>#REF!</v>
      </c>
      <c r="H267" s="102" t="e">
        <f>#REF!</f>
        <v>#REF!</v>
      </c>
      <c r="I267" s="209">
        <v>44541</v>
      </c>
      <c r="J267" s="210"/>
      <c r="K267" s="210" t="e">
        <f>#REF!</f>
        <v>#REF!</v>
      </c>
      <c r="L267" s="210">
        <v>44536</v>
      </c>
      <c r="M267" s="210"/>
      <c r="N267" s="210">
        <f>'Danh sách máy'!F262</f>
        <v>45819</v>
      </c>
      <c r="O267" s="211" t="str" cm="1">
        <f t="array" ref="O267">IF(L267&lt;&gt;0,IF(L267&lt;I267,"OK","NG"),Blank)</f>
        <v>OK</v>
      </c>
      <c r="P267" s="211" t="e" cm="1">
        <f t="array" ref="P267">IF(M267&lt;&gt;0,IF(M267&lt;J267,"OK","NG"),Blank)</f>
        <v>#NAME?</v>
      </c>
      <c r="Q267" s="211" t="e" cm="1">
        <f t="array" ref="Q267">IF(H267&lt;&gt;"Stop",IF(N267&lt;&gt;0,IF(N267&lt;=K267,"OK","NG"),Blank),"-")</f>
        <v>#REF!</v>
      </c>
      <c r="R267" s="326" t="e" cm="1">
        <f t="array" ref="R267">IF(H267&lt;&gt;"Stop",IF(E267&lt;&gt;0,IF(E267&lt;=K267,"OK","NG"),Blank),"-")</f>
        <v>#REF!</v>
      </c>
      <c r="S267" s="22"/>
      <c r="T267" s="221"/>
      <c r="U267"/>
    </row>
    <row r="268" spans="1:21" ht="30" hidden="1" x14ac:dyDescent="0.3">
      <c r="A268" s="318" t="e">
        <f>#REF!</f>
        <v>#REF!</v>
      </c>
      <c r="B268" s="305" t="e">
        <f>#REF!</f>
        <v>#REF!</v>
      </c>
      <c r="C268" s="305" t="str">
        <f>'Danh sách máy'!C263</f>
        <v>MKHC</v>
      </c>
      <c r="D268" s="90" t="e">
        <f>#REF!</f>
        <v>#REF!</v>
      </c>
      <c r="E268" s="97">
        <f>'Danh sách máy'!E263</f>
        <v>45819</v>
      </c>
      <c r="F268" s="206" t="e">
        <f>#REF!</f>
        <v>#REF!</v>
      </c>
      <c r="G268" s="102" t="e">
        <f>#REF!</f>
        <v>#REF!</v>
      </c>
      <c r="H268" s="102" t="e">
        <f>#REF!</f>
        <v>#REF!</v>
      </c>
      <c r="I268" s="209">
        <v>44542</v>
      </c>
      <c r="J268" s="210"/>
      <c r="K268" s="210" t="e">
        <f>#REF!</f>
        <v>#REF!</v>
      </c>
      <c r="L268" s="210">
        <v>44537</v>
      </c>
      <c r="M268" s="210"/>
      <c r="N268" s="210">
        <f>'Danh sách máy'!F263</f>
        <v>0</v>
      </c>
      <c r="O268" s="211" t="str" cm="1">
        <f t="array" ref="O268">IF(L268&lt;&gt;0,IF(L268&lt;I268,"OK","NG"),Blank)</f>
        <v>OK</v>
      </c>
      <c r="P268" s="211" t="e" cm="1">
        <f t="array" ref="P268">IF(M268&lt;&gt;0,IF(M268&lt;J268,"OK","NG"),Blank)</f>
        <v>#NAME?</v>
      </c>
      <c r="Q268" s="211" t="e" cm="1">
        <f t="array" ref="Q268">IF(H268&lt;&gt;"Stop",IF(N268&lt;&gt;0,IF(N268&lt;=K268,"OK","NG"),Blank),"-")</f>
        <v>#REF!</v>
      </c>
      <c r="R268" s="326" t="e" cm="1">
        <f t="array" ref="R268">IF(H268&lt;&gt;"Stop",IF(E268&lt;&gt;0,IF(E268&lt;=K268,"OK","NG"),Blank),"-")</f>
        <v>#REF!</v>
      </c>
      <c r="S268" s="22"/>
      <c r="T268" s="221"/>
      <c r="U268"/>
    </row>
    <row r="269" spans="1:21" ht="30" hidden="1" x14ac:dyDescent="0.3">
      <c r="A269" s="318" t="e">
        <f>#REF!</f>
        <v>#REF!</v>
      </c>
      <c r="B269" s="305" t="e">
        <f>#REF!</f>
        <v>#REF!</v>
      </c>
      <c r="C269" s="305" t="str">
        <f>'Danh sách máy'!C264</f>
        <v>MKHC</v>
      </c>
      <c r="D269" s="90" t="e">
        <f>#REF!</f>
        <v>#REF!</v>
      </c>
      <c r="E269" s="97">
        <f>'Danh sách máy'!E264</f>
        <v>45847</v>
      </c>
      <c r="F269" s="206" t="e">
        <f>#REF!</f>
        <v>#REF!</v>
      </c>
      <c r="G269" s="102" t="e">
        <f>#REF!</f>
        <v>#REF!</v>
      </c>
      <c r="H269" s="102" t="e">
        <f>#REF!</f>
        <v>#REF!</v>
      </c>
      <c r="I269" s="209">
        <v>44543</v>
      </c>
      <c r="J269" s="210"/>
      <c r="K269" s="210" t="e">
        <f>#REF!</f>
        <v>#REF!</v>
      </c>
      <c r="L269" s="210">
        <v>44538</v>
      </c>
      <c r="M269" s="210"/>
      <c r="N269" s="210">
        <f>'Danh sách máy'!F264</f>
        <v>0</v>
      </c>
      <c r="O269" s="211" t="str" cm="1">
        <f t="array" ref="O269">IF(L269&lt;&gt;0,IF(L269&lt;I269,"OK","NG"),Blank)</f>
        <v>OK</v>
      </c>
      <c r="P269" s="211" t="e" cm="1">
        <f t="array" ref="P269">IF(M269&lt;&gt;0,IF(M269&lt;J269,"OK","NG"),Blank)</f>
        <v>#NAME?</v>
      </c>
      <c r="Q269" s="211" t="e" cm="1">
        <f t="array" ref="Q269">IF(H269&lt;&gt;"Stop",IF(N269&lt;&gt;0,IF(N269&lt;=K269,"OK","NG"),Blank),"-")</f>
        <v>#REF!</v>
      </c>
      <c r="R269" s="326" t="e" cm="1">
        <f t="array" ref="R269">IF(H269&lt;&gt;"Stop",IF(E269&lt;&gt;0,IF(E269&lt;=K269,"OK","NG"),Blank),"-")</f>
        <v>#REF!</v>
      </c>
      <c r="S269" s="22"/>
      <c r="T269" s="221"/>
      <c r="U269"/>
    </row>
    <row r="270" spans="1:21" ht="30" x14ac:dyDescent="0.3">
      <c r="A270" s="318" t="e">
        <f>#REF!</f>
        <v>#REF!</v>
      </c>
      <c r="B270" s="305" t="e">
        <f>#REF!</f>
        <v>#REF!</v>
      </c>
      <c r="C270" s="305" t="str">
        <f>'Danh sách máy'!C265</f>
        <v>MKHC</v>
      </c>
      <c r="D270" s="90" t="e">
        <f>#REF!</f>
        <v>#REF!</v>
      </c>
      <c r="E270" s="97">
        <f>'Danh sách máy'!E265</f>
        <v>45898</v>
      </c>
      <c r="F270" s="206" t="e">
        <f>#REF!</f>
        <v>#REF!</v>
      </c>
      <c r="G270" s="102" t="e">
        <f>#REF!</f>
        <v>#REF!</v>
      </c>
      <c r="H270" s="102" t="e">
        <f>#REF!</f>
        <v>#REF!</v>
      </c>
      <c r="I270" s="209">
        <v>44544</v>
      </c>
      <c r="J270" s="210"/>
      <c r="K270" s="210" t="e">
        <f>#REF!</f>
        <v>#REF!</v>
      </c>
      <c r="L270" s="210">
        <v>44539</v>
      </c>
      <c r="M270" s="210"/>
      <c r="N270" s="210">
        <f>'Danh sách máy'!F265</f>
        <v>45898</v>
      </c>
      <c r="O270" s="211" t="str" cm="1">
        <f t="array" ref="O270">IF(L270&lt;&gt;0,IF(L270&lt;I270,"OK","NG"),Blank)</f>
        <v>OK</v>
      </c>
      <c r="P270" s="211" t="e" cm="1">
        <f t="array" ref="P270">IF(M270&lt;&gt;0,IF(M270&lt;J270,"OK","NG"),Blank)</f>
        <v>#NAME?</v>
      </c>
      <c r="Q270" s="211" t="e" cm="1">
        <f t="array" ref="Q270">IF(H270&lt;&gt;"Stop",IF(N270&lt;&gt;0,IF(N270&lt;=K270,"OK","NG"),Blank),"-")</f>
        <v>#REF!</v>
      </c>
      <c r="R270" s="326" t="e" cm="1">
        <f t="array" ref="R270">IF(H270&lt;&gt;"Stop",IF(E270&lt;&gt;0,IF(E270&lt;=K270,"OK","NG"),Blank),"-")</f>
        <v>#REF!</v>
      </c>
      <c r="S270" s="22"/>
      <c r="T270" s="221"/>
      <c r="U270"/>
    </row>
    <row r="271" spans="1:21" ht="30" x14ac:dyDescent="0.3">
      <c r="A271" s="318" t="e">
        <f>#REF!</f>
        <v>#REF!</v>
      </c>
      <c r="B271" s="305" t="e">
        <f>#REF!</f>
        <v>#REF!</v>
      </c>
      <c r="C271" s="305" t="str">
        <f>'Danh sách máy'!C266</f>
        <v>MKHC</v>
      </c>
      <c r="D271" s="90" t="e">
        <f>#REF!</f>
        <v>#REF!</v>
      </c>
      <c r="E271" s="97">
        <f>'Danh sách máy'!E266</f>
        <v>46013</v>
      </c>
      <c r="F271" s="206" t="e">
        <f>#REF!</f>
        <v>#REF!</v>
      </c>
      <c r="G271" s="102" t="e">
        <f>#REF!</f>
        <v>#REF!</v>
      </c>
      <c r="H271" s="102" t="e">
        <f>#REF!</f>
        <v>#REF!</v>
      </c>
      <c r="I271" s="209">
        <v>44545</v>
      </c>
      <c r="J271" s="210"/>
      <c r="K271" s="210" t="e">
        <f>#REF!</f>
        <v>#REF!</v>
      </c>
      <c r="L271" s="210">
        <v>44540</v>
      </c>
      <c r="M271" s="210"/>
      <c r="N271" s="210">
        <f>'Danh sách máy'!F266</f>
        <v>46013</v>
      </c>
      <c r="O271" s="211" t="str" cm="1">
        <f t="array" ref="O271">IF(L271&lt;&gt;0,IF(L271&lt;I271,"OK","NG"),Blank)</f>
        <v>OK</v>
      </c>
      <c r="P271" s="211" t="e" cm="1">
        <f t="array" ref="P271">IF(M271&lt;&gt;0,IF(M271&lt;J271,"OK","NG"),Blank)</f>
        <v>#NAME?</v>
      </c>
      <c r="Q271" s="211" t="e" cm="1">
        <f t="array" ref="Q271">IF(H271&lt;&gt;"Stop",IF(N271&lt;&gt;0,IF(N271&lt;=K271,"OK","NG"),Blank),"-")</f>
        <v>#REF!</v>
      </c>
      <c r="R271" s="326" t="e" cm="1">
        <f t="array" ref="R271">IF(H271&lt;&gt;"Stop",IF(E271&lt;&gt;0,IF(E271&lt;=K271,"OK","NG"),Blank),"-")</f>
        <v>#REF!</v>
      </c>
      <c r="S271" s="22"/>
      <c r="T271" s="221"/>
      <c r="U271"/>
    </row>
    <row r="272" spans="1:21" ht="30" hidden="1" x14ac:dyDescent="0.3">
      <c r="A272" s="318" t="e">
        <f>#REF!</f>
        <v>#REF!</v>
      </c>
      <c r="B272" s="305" t="e">
        <f>#REF!</f>
        <v>#REF!</v>
      </c>
      <c r="C272" s="305" t="str">
        <f>'Danh sách máy'!C267</f>
        <v>MKHC</v>
      </c>
      <c r="D272" s="90" t="e">
        <f>#REF!</f>
        <v>#REF!</v>
      </c>
      <c r="E272" s="97">
        <f>'Danh sách máy'!E267</f>
        <v>0</v>
      </c>
      <c r="F272" s="206" t="e">
        <f>#REF!</f>
        <v>#REF!</v>
      </c>
      <c r="G272" s="102" t="e">
        <f>#REF!</f>
        <v>#REF!</v>
      </c>
      <c r="H272" s="102" t="e">
        <f>#REF!</f>
        <v>#REF!</v>
      </c>
      <c r="I272" s="209">
        <v>44546</v>
      </c>
      <c r="J272" s="210"/>
      <c r="K272" s="210" t="e">
        <f>#REF!</f>
        <v>#REF!</v>
      </c>
      <c r="L272" s="210">
        <v>44541</v>
      </c>
      <c r="M272" s="210"/>
      <c r="N272" s="210">
        <f>'Danh sách máy'!F267</f>
        <v>0</v>
      </c>
      <c r="O272" s="211" t="str" cm="1">
        <f t="array" ref="O272">IF(L272&lt;&gt;0,IF(L272&lt;I272,"OK","NG"),Blank)</f>
        <v>OK</v>
      </c>
      <c r="P272" s="211" t="e" cm="1">
        <f t="array" ref="P272">IF(M272&lt;&gt;0,IF(M272&lt;J272,"OK","NG"),Blank)</f>
        <v>#NAME?</v>
      </c>
      <c r="Q272" s="211" t="e" cm="1">
        <f t="array" ref="Q272">IF(H272&lt;&gt;"Stop",IF(N272&lt;&gt;0,IF(N272&lt;=K272,"OK","NG"),Blank),"-")</f>
        <v>#REF!</v>
      </c>
      <c r="R272" s="326" t="e" cm="1">
        <f t="array" ref="R272">IF(H272&lt;&gt;"Stop",IF(E272&lt;&gt;0,IF(E272&lt;=K272,"OK","NG"),Blank),"-")</f>
        <v>#REF!</v>
      </c>
      <c r="S272" s="22"/>
      <c r="T272" s="221"/>
      <c r="U272"/>
    </row>
    <row r="273" spans="1:21" ht="30" hidden="1" x14ac:dyDescent="0.3">
      <c r="A273" s="318" t="e">
        <f>#REF!</f>
        <v>#REF!</v>
      </c>
      <c r="B273" s="305" t="e">
        <f>#REF!</f>
        <v>#REF!</v>
      </c>
      <c r="C273" s="305" t="str">
        <f>'Danh sách máy'!C268</f>
        <v>MKHC</v>
      </c>
      <c r="D273" s="90" t="e">
        <f>#REF!</f>
        <v>#REF!</v>
      </c>
      <c r="E273" s="97">
        <f>'Danh sách máy'!E268</f>
        <v>0</v>
      </c>
      <c r="F273" s="206" t="e">
        <f>#REF!</f>
        <v>#REF!</v>
      </c>
      <c r="G273" s="102" t="e">
        <f>#REF!</f>
        <v>#REF!</v>
      </c>
      <c r="H273" s="102" t="e">
        <f>#REF!</f>
        <v>#REF!</v>
      </c>
      <c r="I273" s="209">
        <v>44547</v>
      </c>
      <c r="J273" s="210"/>
      <c r="K273" s="210" t="e">
        <f>#REF!</f>
        <v>#REF!</v>
      </c>
      <c r="L273" s="210">
        <v>44542</v>
      </c>
      <c r="M273" s="210"/>
      <c r="N273" s="210">
        <f>'Danh sách máy'!F268</f>
        <v>0</v>
      </c>
      <c r="O273" s="211" t="str" cm="1">
        <f t="array" ref="O273">IF(L273&lt;&gt;0,IF(L273&lt;I273,"OK","NG"),Blank)</f>
        <v>OK</v>
      </c>
      <c r="P273" s="211" t="e" cm="1">
        <f t="array" ref="P273">IF(M273&lt;&gt;0,IF(M273&lt;J273,"OK","NG"),Blank)</f>
        <v>#NAME?</v>
      </c>
      <c r="Q273" s="211" t="e" cm="1">
        <f t="array" ref="Q273">IF(H273&lt;&gt;"Stop",IF(N273&lt;&gt;0,IF(N273&lt;=K273,"OK","NG"),Blank),"-")</f>
        <v>#REF!</v>
      </c>
      <c r="R273" s="326" t="e" cm="1">
        <f t="array" ref="R273">IF(H273&lt;&gt;"Stop",IF(E273&lt;&gt;0,IF(E273&lt;=K273,"OK","NG"),Blank),"-")</f>
        <v>#REF!</v>
      </c>
      <c r="S273" s="22"/>
      <c r="T273" s="221"/>
      <c r="U273"/>
    </row>
    <row r="274" spans="1:21" ht="30" x14ac:dyDescent="0.3">
      <c r="A274" s="318" t="e">
        <f>#REF!</f>
        <v>#REF!</v>
      </c>
      <c r="B274" s="305" t="e">
        <f>#REF!</f>
        <v>#REF!</v>
      </c>
      <c r="C274" s="305" t="str">
        <f>'Danh sách máy'!C269</f>
        <v>MKHC</v>
      </c>
      <c r="D274" s="90" t="e">
        <f>#REF!</f>
        <v>#REF!</v>
      </c>
      <c r="E274" s="97">
        <f>'Danh sách máy'!E269</f>
        <v>45898</v>
      </c>
      <c r="F274" s="206" t="e">
        <f>#REF!</f>
        <v>#REF!</v>
      </c>
      <c r="G274" s="102" t="e">
        <f>#REF!</f>
        <v>#REF!</v>
      </c>
      <c r="H274" s="102" t="e">
        <f>#REF!</f>
        <v>#REF!</v>
      </c>
      <c r="I274" s="209">
        <v>44548</v>
      </c>
      <c r="J274" s="210"/>
      <c r="K274" s="210" t="e">
        <f>#REF!</f>
        <v>#REF!</v>
      </c>
      <c r="L274" s="210">
        <v>44543</v>
      </c>
      <c r="M274" s="210"/>
      <c r="N274" s="210">
        <f>'Danh sách máy'!F269</f>
        <v>45898</v>
      </c>
      <c r="O274" s="211" t="str" cm="1">
        <f t="array" ref="O274">IF(L274&lt;&gt;0,IF(L274&lt;I274,"OK","NG"),Blank)</f>
        <v>OK</v>
      </c>
      <c r="P274" s="211" t="e" cm="1">
        <f t="array" ref="P274">IF(M274&lt;&gt;0,IF(M274&lt;J274,"OK","NG"),Blank)</f>
        <v>#NAME?</v>
      </c>
      <c r="Q274" s="211" t="e" cm="1">
        <f t="array" ref="Q274">IF(H274&lt;&gt;"Stop",IF(N274&lt;&gt;0,IF(N274&lt;=K274,"OK","NG"),Blank),"-")</f>
        <v>#REF!</v>
      </c>
      <c r="R274" s="326" t="e" cm="1">
        <f t="array" ref="R274">IF(H274&lt;&gt;"Stop",IF(E274&lt;&gt;0,IF(E274&lt;=K274,"OK","NG"),Blank),"-")</f>
        <v>#REF!</v>
      </c>
      <c r="S274" s="22"/>
      <c r="T274" s="221"/>
      <c r="U274"/>
    </row>
    <row r="275" spans="1:21" ht="30" hidden="1" x14ac:dyDescent="0.3">
      <c r="A275" s="318" t="e">
        <f>#REF!</f>
        <v>#REF!</v>
      </c>
      <c r="B275" s="305" t="e">
        <f>#REF!</f>
        <v>#REF!</v>
      </c>
      <c r="C275" s="305" t="str">
        <f>'Danh sách máy'!C270</f>
        <v>MKHC</v>
      </c>
      <c r="D275" s="90" t="e">
        <f>#REF!</f>
        <v>#REF!</v>
      </c>
      <c r="E275" s="97">
        <f>'Danh sách máy'!E270</f>
        <v>0</v>
      </c>
      <c r="F275" s="206" t="e">
        <f>#REF!</f>
        <v>#REF!</v>
      </c>
      <c r="G275" s="102" t="e">
        <f>#REF!</f>
        <v>#REF!</v>
      </c>
      <c r="H275" s="102" t="e">
        <f>#REF!</f>
        <v>#REF!</v>
      </c>
      <c r="I275" s="209">
        <v>44549</v>
      </c>
      <c r="J275" s="210"/>
      <c r="K275" s="210" t="e">
        <f>#REF!</f>
        <v>#REF!</v>
      </c>
      <c r="L275" s="210">
        <v>44544</v>
      </c>
      <c r="M275" s="210"/>
      <c r="N275" s="210">
        <f>'Danh sách máy'!F270</f>
        <v>0</v>
      </c>
      <c r="O275" s="211" t="str" cm="1">
        <f t="array" ref="O275">IF(L275&lt;&gt;0,IF(L275&lt;I275,"OK","NG"),Blank)</f>
        <v>OK</v>
      </c>
      <c r="P275" s="211" t="e" cm="1">
        <f t="array" ref="P275">IF(M275&lt;&gt;0,IF(M275&lt;J275,"OK","NG"),Blank)</f>
        <v>#NAME?</v>
      </c>
      <c r="Q275" s="211" t="e" cm="1">
        <f t="array" ref="Q275">IF(H275&lt;&gt;"Stop",IF(N275&lt;&gt;0,IF(N275&lt;=K275,"OK","NG"),Blank),"-")</f>
        <v>#REF!</v>
      </c>
      <c r="R275" s="326" t="e" cm="1">
        <f t="array" ref="R275">IF(H275&lt;&gt;"Stop",IF(E275&lt;&gt;0,IF(E275&lt;=K275,"OK","NG"),Blank),"-")</f>
        <v>#REF!</v>
      </c>
      <c r="S275" s="22"/>
      <c r="T275" s="221"/>
      <c r="U275"/>
    </row>
    <row r="276" spans="1:21" ht="30" hidden="1" x14ac:dyDescent="0.3">
      <c r="A276" s="318" t="e">
        <f>#REF!</f>
        <v>#REF!</v>
      </c>
      <c r="B276" s="305" t="e">
        <f>#REF!</f>
        <v>#REF!</v>
      </c>
      <c r="C276" s="305" t="str">
        <f>'Danh sách máy'!C271</f>
        <v>MKVC</v>
      </c>
      <c r="D276" s="90" t="e">
        <f>#REF!</f>
        <v>#REF!</v>
      </c>
      <c r="E276" s="97">
        <f>'Danh sách máy'!E271</f>
        <v>45621</v>
      </c>
      <c r="F276" s="206" t="e">
        <f>#REF!</f>
        <v>#REF!</v>
      </c>
      <c r="G276" s="102" t="e">
        <f>#REF!</f>
        <v>#REF!</v>
      </c>
      <c r="H276" s="102" t="e">
        <f>#REF!</f>
        <v>#REF!</v>
      </c>
      <c r="I276" s="209">
        <v>44550</v>
      </c>
      <c r="J276" s="210"/>
      <c r="K276" s="210" t="e">
        <f>#REF!</f>
        <v>#REF!</v>
      </c>
      <c r="L276" s="210">
        <v>44545</v>
      </c>
      <c r="M276" s="210"/>
      <c r="N276" s="210">
        <f>'Danh sách máy'!F271</f>
        <v>45642</v>
      </c>
      <c r="O276" s="211" t="str" cm="1">
        <f t="array" ref="O276">IF(L276&lt;&gt;0,IF(L276&lt;I276,"OK","NG"),Blank)</f>
        <v>OK</v>
      </c>
      <c r="P276" s="211" t="e" cm="1">
        <f t="array" ref="P276">IF(M276&lt;&gt;0,IF(M276&lt;J276,"OK","NG"),Blank)</f>
        <v>#NAME?</v>
      </c>
      <c r="Q276" s="211" t="e" cm="1">
        <f t="array" ref="Q276">IF(H276&lt;&gt;"Stop",IF(N276&lt;&gt;0,IF(N276&lt;=K276,"OK","NG"),Blank),"-")</f>
        <v>#REF!</v>
      </c>
      <c r="R276" s="326" t="e" cm="1">
        <f t="array" ref="R276">IF(H276&lt;&gt;"Stop",IF(E276&lt;&gt;0,IF(E276&lt;=K276,"OK","NG"),Blank),"-")</f>
        <v>#REF!</v>
      </c>
      <c r="S276" s="220"/>
      <c r="T276" s="221">
        <v>1</v>
      </c>
      <c r="U276"/>
    </row>
    <row r="277" spans="1:21" ht="30" hidden="1" x14ac:dyDescent="0.3">
      <c r="A277" s="318" t="e">
        <f>#REF!</f>
        <v>#REF!</v>
      </c>
      <c r="B277" s="305" t="e">
        <f>#REF!</f>
        <v>#REF!</v>
      </c>
      <c r="C277" s="305" t="str">
        <f>'Danh sách máy'!C272</f>
        <v>MKVC</v>
      </c>
      <c r="D277" s="90" t="e">
        <f>#REF!</f>
        <v>#REF!</v>
      </c>
      <c r="E277" s="97">
        <f>'Danh sách máy'!E272</f>
        <v>0</v>
      </c>
      <c r="F277" s="206" t="e">
        <f>#REF!</f>
        <v>#REF!</v>
      </c>
      <c r="G277" s="102" t="e">
        <f>#REF!</f>
        <v>#REF!</v>
      </c>
      <c r="H277" s="102" t="e">
        <f>#REF!</f>
        <v>#REF!</v>
      </c>
      <c r="I277" s="209">
        <v>44551</v>
      </c>
      <c r="J277" s="210"/>
      <c r="K277" s="210" t="e">
        <f>#REF!</f>
        <v>#REF!</v>
      </c>
      <c r="L277" s="210">
        <v>44546</v>
      </c>
      <c r="M277" s="210"/>
      <c r="N277" s="210">
        <f>'Danh sách máy'!F272</f>
        <v>0</v>
      </c>
      <c r="O277" s="211" t="str" cm="1">
        <f t="array" ref="O277">IF(L277&lt;&gt;0,IF(L277&lt;I277,"OK","NG"),Blank)</f>
        <v>OK</v>
      </c>
      <c r="P277" s="211" t="e" cm="1">
        <f t="array" ref="P277">IF(M277&lt;&gt;0,IF(M277&lt;J277,"OK","NG"),Blank)</f>
        <v>#NAME?</v>
      </c>
      <c r="Q277" s="211" t="e" cm="1">
        <f t="array" ref="Q277">IF(H277&lt;&gt;"Stop",IF(N277&lt;&gt;0,IF(N277&lt;=K277,"OK","NG"),Blank),"-")</f>
        <v>#REF!</v>
      </c>
      <c r="R277" s="326" t="e" cm="1">
        <f t="array" ref="R277">IF(H277&lt;&gt;"Stop",IF(E277&lt;&gt;0,IF(E277&lt;=K277,"OK","NG"),Blank),"-")</f>
        <v>#REF!</v>
      </c>
      <c r="S277" s="22"/>
      <c r="T277" s="221"/>
      <c r="U277"/>
    </row>
    <row r="278" spans="1:21" ht="30" hidden="1" x14ac:dyDescent="0.3">
      <c r="A278" s="318" t="e">
        <f>#REF!</f>
        <v>#REF!</v>
      </c>
      <c r="B278" s="305" t="e">
        <f>#REF!</f>
        <v>#REF!</v>
      </c>
      <c r="C278" s="305" t="str">
        <f>'Danh sách máy'!C273</f>
        <v>VUH</v>
      </c>
      <c r="D278" s="90" t="e">
        <f>#REF!</f>
        <v>#REF!</v>
      </c>
      <c r="E278" s="97">
        <f>'Danh sách máy'!E273</f>
        <v>45674</v>
      </c>
      <c r="F278" s="206" t="e">
        <f>#REF!</f>
        <v>#REF!</v>
      </c>
      <c r="G278" s="102" t="e">
        <f>#REF!</f>
        <v>#REF!</v>
      </c>
      <c r="H278" s="102" t="e">
        <f>#REF!</f>
        <v>#REF!</v>
      </c>
      <c r="I278" s="209">
        <v>44552</v>
      </c>
      <c r="J278" s="210"/>
      <c r="K278" s="210" t="e">
        <f>#REF!</f>
        <v>#REF!</v>
      </c>
      <c r="L278" s="210">
        <v>44547</v>
      </c>
      <c r="M278" s="210"/>
      <c r="N278" s="210">
        <f>'Danh sách máy'!F273</f>
        <v>45674</v>
      </c>
      <c r="O278" s="211" t="str" cm="1">
        <f t="array" ref="O278">IF(L278&lt;&gt;0,IF(L278&lt;I278,"OK","NG"),Blank)</f>
        <v>OK</v>
      </c>
      <c r="P278" s="211" t="e" cm="1">
        <f t="array" ref="P278">IF(M278&lt;&gt;0,IF(M278&lt;J278,"OK","NG"),Blank)</f>
        <v>#NAME?</v>
      </c>
      <c r="Q278" s="211" t="e" cm="1">
        <f t="array" ref="Q278">IF(H278&lt;&gt;"Stop",IF(N278&lt;&gt;0,IF(N278&lt;=K278,"OK","NG"),Blank),"-")</f>
        <v>#REF!</v>
      </c>
      <c r="R278" s="326" t="e" cm="1">
        <f t="array" ref="R278">IF(H278&lt;&gt;"Stop",IF(E278&lt;&gt;0,IF(E278&lt;=K278,"OK","NG"),Blank),"-")</f>
        <v>#REF!</v>
      </c>
      <c r="S278" s="22"/>
      <c r="T278" s="221">
        <v>1</v>
      </c>
      <c r="U278"/>
    </row>
    <row r="279" spans="1:21" ht="30" hidden="1" x14ac:dyDescent="0.3">
      <c r="A279" s="318" t="e">
        <f>#REF!</f>
        <v>#REF!</v>
      </c>
      <c r="B279" s="305" t="e">
        <f>#REF!</f>
        <v>#REF!</v>
      </c>
      <c r="C279" s="305" t="str">
        <f>'Danh sách máy'!C274</f>
        <v>VUH</v>
      </c>
      <c r="D279" s="90" t="e">
        <f>#REF!</f>
        <v>#REF!</v>
      </c>
      <c r="E279" s="97">
        <f>'Danh sách máy'!E274</f>
        <v>45674</v>
      </c>
      <c r="F279" s="206" t="e">
        <f>#REF!</f>
        <v>#REF!</v>
      </c>
      <c r="G279" s="102" t="e">
        <f>#REF!</f>
        <v>#REF!</v>
      </c>
      <c r="H279" s="102" t="e">
        <f>#REF!</f>
        <v>#REF!</v>
      </c>
      <c r="I279" s="209">
        <v>44553</v>
      </c>
      <c r="J279" s="210"/>
      <c r="K279" s="210" t="e">
        <f>#REF!</f>
        <v>#REF!</v>
      </c>
      <c r="L279" s="210">
        <v>44548</v>
      </c>
      <c r="M279" s="210"/>
      <c r="N279" s="210">
        <f>'Danh sách máy'!F274</f>
        <v>45674</v>
      </c>
      <c r="O279" s="211" t="str" cm="1">
        <f t="array" ref="O279">IF(L279&lt;&gt;0,IF(L279&lt;I279,"OK","NG"),Blank)</f>
        <v>OK</v>
      </c>
      <c r="P279" s="211" t="e" cm="1">
        <f t="array" ref="P279">IF(M279&lt;&gt;0,IF(M279&lt;J279,"OK","NG"),Blank)</f>
        <v>#NAME?</v>
      </c>
      <c r="Q279" s="211" t="e" cm="1">
        <f t="array" ref="Q279">IF(H279&lt;&gt;"Stop",IF(N279&lt;&gt;0,IF(N279&lt;=K279,"OK","NG"),Blank),"-")</f>
        <v>#REF!</v>
      </c>
      <c r="R279" s="326" t="e" cm="1">
        <f t="array" ref="R279">IF(H279&lt;&gt;"Stop",IF(E279&lt;&gt;0,IF(E279&lt;=K279,"OK","NG"),Blank),"-")</f>
        <v>#REF!</v>
      </c>
      <c r="S279" s="22"/>
      <c r="T279" s="221">
        <v>1</v>
      </c>
      <c r="U279"/>
    </row>
    <row r="280" spans="1:21" ht="30" hidden="1" x14ac:dyDescent="0.3">
      <c r="A280" s="318" t="e">
        <f>#REF!</f>
        <v>#REF!</v>
      </c>
      <c r="B280" s="305" t="e">
        <f>#REF!</f>
        <v>#REF!</v>
      </c>
      <c r="C280" s="305" t="str">
        <f>'Danh sách máy'!C275</f>
        <v>VUH</v>
      </c>
      <c r="D280" s="90" t="e">
        <f>#REF!</f>
        <v>#REF!</v>
      </c>
      <c r="E280" s="97">
        <f>'Danh sách máy'!E275</f>
        <v>45674</v>
      </c>
      <c r="F280" s="206" t="e">
        <f>#REF!</f>
        <v>#REF!</v>
      </c>
      <c r="G280" s="102" t="e">
        <f>#REF!</f>
        <v>#REF!</v>
      </c>
      <c r="H280" s="102" t="e">
        <f>#REF!</f>
        <v>#REF!</v>
      </c>
      <c r="I280" s="209">
        <v>44554</v>
      </c>
      <c r="J280" s="210"/>
      <c r="K280" s="210" t="e">
        <f>#REF!</f>
        <v>#REF!</v>
      </c>
      <c r="L280" s="210">
        <v>44549</v>
      </c>
      <c r="M280" s="210"/>
      <c r="N280" s="210">
        <f>'Danh sách máy'!F275</f>
        <v>45674</v>
      </c>
      <c r="O280" s="211" t="str" cm="1">
        <f t="array" ref="O280">IF(L280&lt;&gt;0,IF(L280&lt;I280,"OK","NG"),Blank)</f>
        <v>OK</v>
      </c>
      <c r="P280" s="211" t="e" cm="1">
        <f t="array" ref="P280">IF(M280&lt;&gt;0,IF(M280&lt;J280,"OK","NG"),Blank)</f>
        <v>#NAME?</v>
      </c>
      <c r="Q280" s="211" t="e" cm="1">
        <f t="array" ref="Q280">IF(H280&lt;&gt;"Stop",IF(N280&lt;&gt;0,IF(N280&lt;=K280,"OK","NG"),Blank),"-")</f>
        <v>#REF!</v>
      </c>
      <c r="R280" s="326" t="e" cm="1">
        <f t="array" ref="R280">IF(H280&lt;&gt;"Stop",IF(E280&lt;&gt;0,IF(E280&lt;=K280,"OK","NG"),Blank),"-")</f>
        <v>#REF!</v>
      </c>
      <c r="S280" s="22"/>
      <c r="T280" s="221">
        <v>1</v>
      </c>
      <c r="U280"/>
    </row>
    <row r="281" spans="1:21" ht="30" hidden="1" x14ac:dyDescent="0.3">
      <c r="A281" s="318" t="e">
        <f>#REF!</f>
        <v>#REF!</v>
      </c>
      <c r="B281" s="305" t="e">
        <f>#REF!</f>
        <v>#REF!</v>
      </c>
      <c r="C281" s="305" t="str">
        <f>'Danh sách máy'!C276</f>
        <v>VUH</v>
      </c>
      <c r="D281" s="90" t="e">
        <f>#REF!</f>
        <v>#REF!</v>
      </c>
      <c r="E281" s="97">
        <f>'Danh sách máy'!E276</f>
        <v>45674</v>
      </c>
      <c r="F281" s="206" t="e">
        <f>#REF!</f>
        <v>#REF!</v>
      </c>
      <c r="G281" s="102" t="e">
        <f>#REF!</f>
        <v>#REF!</v>
      </c>
      <c r="H281" s="102" t="e">
        <f>#REF!</f>
        <v>#REF!</v>
      </c>
      <c r="I281" s="209">
        <v>44555</v>
      </c>
      <c r="J281" s="210"/>
      <c r="K281" s="210" t="e">
        <f>#REF!</f>
        <v>#REF!</v>
      </c>
      <c r="L281" s="210">
        <v>44550</v>
      </c>
      <c r="M281" s="210"/>
      <c r="N281" s="210">
        <f>'Danh sách máy'!F276</f>
        <v>45674</v>
      </c>
      <c r="O281" s="211" t="str" cm="1">
        <f t="array" ref="O281">IF(L281&lt;&gt;0,IF(L281&lt;I281,"OK","NG"),Blank)</f>
        <v>OK</v>
      </c>
      <c r="P281" s="211" t="e" cm="1">
        <f t="array" ref="P281">IF(M281&lt;&gt;0,IF(M281&lt;J281,"OK","NG"),Blank)</f>
        <v>#NAME?</v>
      </c>
      <c r="Q281" s="211" t="e" cm="1">
        <f t="array" ref="Q281">IF(H281&lt;&gt;"Stop",IF(N281&lt;&gt;0,IF(N281&lt;=K281,"OK","NG"),Blank),"-")</f>
        <v>#REF!</v>
      </c>
      <c r="R281" s="326" t="e" cm="1">
        <f t="array" ref="R281">IF(H281&lt;&gt;"Stop",IF(E281&lt;&gt;0,IF(E281&lt;=K281,"OK","NG"),Blank),"-")</f>
        <v>#REF!</v>
      </c>
      <c r="S281" s="22"/>
      <c r="T281" s="221">
        <v>1</v>
      </c>
      <c r="U281"/>
    </row>
    <row r="282" spans="1:21" ht="30" hidden="1" x14ac:dyDescent="0.3">
      <c r="A282" s="318" t="e">
        <f>#REF!</f>
        <v>#REF!</v>
      </c>
      <c r="B282" s="305" t="e">
        <f>#REF!</f>
        <v>#REF!</v>
      </c>
      <c r="C282" s="305" t="str">
        <f>'Danh sách máy'!C277</f>
        <v>VUH</v>
      </c>
      <c r="D282" s="90" t="e">
        <f>#REF!</f>
        <v>#REF!</v>
      </c>
      <c r="E282" s="97">
        <f>'Danh sách máy'!E277</f>
        <v>45674</v>
      </c>
      <c r="F282" s="206" t="e">
        <f>#REF!</f>
        <v>#REF!</v>
      </c>
      <c r="G282" s="102" t="e">
        <f>#REF!</f>
        <v>#REF!</v>
      </c>
      <c r="H282" s="102" t="e">
        <f>#REF!</f>
        <v>#REF!</v>
      </c>
      <c r="I282" s="209">
        <v>44556</v>
      </c>
      <c r="J282" s="210"/>
      <c r="K282" s="210" t="e">
        <f>#REF!</f>
        <v>#REF!</v>
      </c>
      <c r="L282" s="210">
        <v>44551</v>
      </c>
      <c r="M282" s="210"/>
      <c r="N282" s="210">
        <f>'Danh sách máy'!F277</f>
        <v>45674</v>
      </c>
      <c r="O282" s="211" t="str" cm="1">
        <f t="array" ref="O282">IF(L282&lt;&gt;0,IF(L282&lt;I282,"OK","NG"),Blank)</f>
        <v>OK</v>
      </c>
      <c r="P282" s="211" t="e" cm="1">
        <f t="array" ref="P282">IF(M282&lt;&gt;0,IF(M282&lt;J282,"OK","NG"),Blank)</f>
        <v>#NAME?</v>
      </c>
      <c r="Q282" s="211" t="e" cm="1">
        <f t="array" ref="Q282">IF(H282&lt;&gt;"Stop",IF(N282&lt;&gt;0,IF(N282&lt;=K282,"OK","NG"),Blank),"-")</f>
        <v>#REF!</v>
      </c>
      <c r="R282" s="326" t="e" cm="1">
        <f t="array" ref="R282">IF(H282&lt;&gt;"Stop",IF(E282&lt;&gt;0,IF(E282&lt;=K282,"OK","NG"),Blank),"-")</f>
        <v>#REF!</v>
      </c>
      <c r="S282" s="22"/>
      <c r="T282" s="221">
        <v>1</v>
      </c>
      <c r="U282"/>
    </row>
    <row r="283" spans="1:21" ht="30" x14ac:dyDescent="0.3">
      <c r="A283" s="318" t="e">
        <f>#REF!</f>
        <v>#REF!</v>
      </c>
      <c r="B283" s="305" t="e">
        <f>#REF!</f>
        <v>#REF!</v>
      </c>
      <c r="C283" s="305" t="str">
        <f>'Danh sách máy'!C278</f>
        <v>MKHC</v>
      </c>
      <c r="D283" s="90" t="e">
        <f>#REF!</f>
        <v>#REF!</v>
      </c>
      <c r="E283" s="97">
        <f>'Danh sách máy'!E278</f>
        <v>45833</v>
      </c>
      <c r="F283" s="206" t="e">
        <f>#REF!</f>
        <v>#REF!</v>
      </c>
      <c r="G283" s="102" t="e">
        <f>#REF!</f>
        <v>#REF!</v>
      </c>
      <c r="H283" s="102" t="e">
        <f>#REF!</f>
        <v>#REF!</v>
      </c>
      <c r="I283" s="209">
        <v>44557</v>
      </c>
      <c r="J283" s="210"/>
      <c r="K283" s="210" t="e">
        <f>#REF!</f>
        <v>#REF!</v>
      </c>
      <c r="L283" s="210">
        <v>44552</v>
      </c>
      <c r="M283" s="210"/>
      <c r="N283" s="210">
        <f>'Danh sách máy'!F278</f>
        <v>45833</v>
      </c>
      <c r="O283" s="211" t="str" cm="1">
        <f t="array" ref="O283">IF(L283&lt;&gt;0,IF(L283&lt;I283,"OK","NG"),Blank)</f>
        <v>OK</v>
      </c>
      <c r="P283" s="211" t="e" cm="1">
        <f t="array" ref="P283">IF(M283&lt;&gt;0,IF(M283&lt;J283,"OK","NG"),Blank)</f>
        <v>#NAME?</v>
      </c>
      <c r="Q283" s="211" t="e" cm="1">
        <f t="array" ref="Q283">IF(H283&lt;&gt;"Stop",IF(N283&lt;&gt;0,IF(N283&lt;=K283,"OK","NG"),Blank),"-")</f>
        <v>#REF!</v>
      </c>
      <c r="R283" s="326" t="e" cm="1">
        <f t="array" ref="R283">IF(H283&lt;&gt;"Stop",IF(E283&lt;&gt;0,IF(E283&lt;=K283,"OK","NG"),Blank),"-")</f>
        <v>#REF!</v>
      </c>
      <c r="S283" s="22"/>
      <c r="T283" s="221"/>
      <c r="U283"/>
    </row>
    <row r="284" spans="1:21" ht="30" hidden="1" x14ac:dyDescent="0.3">
      <c r="A284" s="318" t="e">
        <f>#REF!</f>
        <v>#REF!</v>
      </c>
      <c r="B284" s="305" t="e">
        <f>#REF!</f>
        <v>#REF!</v>
      </c>
      <c r="C284" s="305" t="str">
        <f>'Danh sách máy'!C279</f>
        <v>TEN</v>
      </c>
      <c r="D284" s="90" t="e">
        <f>#REF!</f>
        <v>#REF!</v>
      </c>
      <c r="E284" s="97">
        <f>'Danh sách máy'!E279</f>
        <v>46122</v>
      </c>
      <c r="F284" s="206" t="e">
        <f>#REF!</f>
        <v>#REF!</v>
      </c>
      <c r="G284" s="102" t="e">
        <f>#REF!</f>
        <v>#REF!</v>
      </c>
      <c r="H284" s="102" t="e">
        <f>#REF!</f>
        <v>#REF!</v>
      </c>
      <c r="I284" s="209">
        <v>44558</v>
      </c>
      <c r="J284" s="210"/>
      <c r="K284" s="210" t="e">
        <f>#REF!</f>
        <v>#REF!</v>
      </c>
      <c r="L284" s="210">
        <v>44553</v>
      </c>
      <c r="M284" s="210"/>
      <c r="N284" s="210">
        <f>'Danh sách máy'!F279</f>
        <v>46134</v>
      </c>
      <c r="O284" s="211" t="str" cm="1">
        <f t="array" ref="O284">IF(L284&lt;&gt;0,IF(L284&lt;I284,"OK","NG"),Blank)</f>
        <v>OK</v>
      </c>
      <c r="P284" s="211" t="e" cm="1">
        <f t="array" ref="P284">IF(M284&lt;&gt;0,IF(M284&lt;J284,"OK","NG"),Blank)</f>
        <v>#NAME?</v>
      </c>
      <c r="Q284" s="211" t="e" cm="1">
        <f t="array" ref="Q284">IF(H284&lt;&gt;"Stop",IF(N284&lt;&gt;0,IF(N284&lt;=K284,"OK","NG"),Blank),"-")</f>
        <v>#REF!</v>
      </c>
      <c r="R284" s="326" t="e" cm="1">
        <f t="array" ref="R284">IF(H284&lt;&gt;"Stop",IF(E284&lt;&gt;0,IF(E284&lt;=K284,"OK","NG"),Blank),"-")</f>
        <v>#REF!</v>
      </c>
      <c r="S284" s="22"/>
      <c r="T284" s="221"/>
      <c r="U284"/>
    </row>
    <row r="285" spans="1:21" ht="15" hidden="1" x14ac:dyDescent="0.3">
      <c r="A285" s="318" t="e">
        <f>#REF!</f>
        <v>#REF!</v>
      </c>
      <c r="B285" s="305" t="e">
        <f>#REF!</f>
        <v>#REF!</v>
      </c>
      <c r="C285" s="305" t="str">
        <f>'Danh sách máy'!C280</f>
        <v>MKVC</v>
      </c>
      <c r="D285" s="90" t="e">
        <f>#REF!</f>
        <v>#REF!</v>
      </c>
      <c r="E285" s="97">
        <f>'Danh sách máy'!E280</f>
        <v>0</v>
      </c>
      <c r="F285" s="206" t="e">
        <f>#REF!</f>
        <v>#REF!</v>
      </c>
      <c r="G285" s="102" t="e">
        <f>#REF!</f>
        <v>#REF!</v>
      </c>
      <c r="H285" s="102" t="e">
        <f>#REF!</f>
        <v>#REF!</v>
      </c>
      <c r="I285" s="209">
        <v>44559</v>
      </c>
      <c r="J285" s="210"/>
      <c r="K285" s="210" t="e">
        <f>#REF!</f>
        <v>#REF!</v>
      </c>
      <c r="L285" s="210">
        <v>44554</v>
      </c>
      <c r="M285" s="210"/>
      <c r="N285" s="210">
        <f>'Danh sách máy'!F280</f>
        <v>0</v>
      </c>
      <c r="O285" s="211" t="str" cm="1">
        <f t="array" ref="O285">IF(L285&lt;&gt;0,IF(L285&lt;I285,"OK","NG"),Blank)</f>
        <v>OK</v>
      </c>
      <c r="P285" s="211" t="e" cm="1">
        <f t="array" ref="P285">IF(M285&lt;&gt;0,IF(M285&lt;J285,"OK","NG"),Blank)</f>
        <v>#NAME?</v>
      </c>
      <c r="Q285" s="211" t="e" cm="1">
        <f t="array" ref="Q285">IF(H285&lt;&gt;"Stop",IF(N285&lt;&gt;0,IF(N285&lt;=K285,"OK","NG"),Blank),"-")</f>
        <v>#REF!</v>
      </c>
      <c r="R285" s="326" t="e" cm="1">
        <f t="array" ref="R285">IF(H285&lt;&gt;"Stop",IF(E285&lt;&gt;0,IF(E285&lt;=K285,"OK","NG"),Blank),"-")</f>
        <v>#REF!</v>
      </c>
      <c r="S285" s="22"/>
      <c r="T285" s="221"/>
      <c r="U285"/>
    </row>
    <row r="286" spans="1:21" ht="30" x14ac:dyDescent="0.3">
      <c r="A286" s="318" t="e">
        <f>#REF!</f>
        <v>#REF!</v>
      </c>
      <c r="B286" s="305" t="e">
        <f>#REF!</f>
        <v>#REF!</v>
      </c>
      <c r="C286" s="305" t="str">
        <f>'Danh sách máy'!C281</f>
        <v>Fact.4</v>
      </c>
      <c r="D286" s="90" t="e">
        <f>#REF!</f>
        <v>#REF!</v>
      </c>
      <c r="E286" s="97">
        <f>'Danh sách máy'!E281</f>
        <v>45857</v>
      </c>
      <c r="F286" s="206" t="e">
        <f>#REF!</f>
        <v>#REF!</v>
      </c>
      <c r="G286" s="102" t="e">
        <f>#REF!</f>
        <v>#REF!</v>
      </c>
      <c r="H286" s="102" t="e">
        <f>#REF!</f>
        <v>#REF!</v>
      </c>
      <c r="I286" s="209">
        <v>44560</v>
      </c>
      <c r="J286" s="210"/>
      <c r="K286" s="210" t="e">
        <f>#REF!</f>
        <v>#REF!</v>
      </c>
      <c r="L286" s="210">
        <v>44555</v>
      </c>
      <c r="M286" s="210"/>
      <c r="N286" s="210">
        <f>'Danh sách máy'!F281</f>
        <v>45857</v>
      </c>
      <c r="O286" s="211" t="str" cm="1">
        <f t="array" ref="O286">IF(L286&lt;&gt;0,IF(L286&lt;I286,"OK","NG"),Blank)</f>
        <v>OK</v>
      </c>
      <c r="P286" s="211" t="e" cm="1">
        <f t="array" ref="P286">IF(M286&lt;&gt;0,IF(M286&lt;J286,"OK","NG"),Blank)</f>
        <v>#NAME?</v>
      </c>
      <c r="Q286" s="211" t="e" cm="1">
        <f t="array" ref="Q286">IF(H286&lt;&gt;"Stop",IF(N286&lt;&gt;0,IF(N286&lt;=K286,"OK","NG"),Blank),"-")</f>
        <v>#REF!</v>
      </c>
      <c r="R286" s="326" t="e" cm="1">
        <f t="array" ref="R286">IF(H286&lt;&gt;"Stop",IF(E286&lt;&gt;0,IF(E286&lt;=K286,"OK","NG"),Blank),"-")</f>
        <v>#REF!</v>
      </c>
      <c r="S286" s="22"/>
      <c r="T286" s="221"/>
      <c r="U286"/>
    </row>
    <row r="287" spans="1:21" ht="30" hidden="1" x14ac:dyDescent="0.3">
      <c r="A287" s="318" t="e">
        <f>#REF!</f>
        <v>#REF!</v>
      </c>
      <c r="B287" s="305" t="e">
        <f>#REF!</f>
        <v>#REF!</v>
      </c>
      <c r="C287" s="305" t="str">
        <f>'Danh sách máy'!C282</f>
        <v>Fact.4</v>
      </c>
      <c r="D287" s="90" t="e">
        <f>#REF!</f>
        <v>#REF!</v>
      </c>
      <c r="E287" s="97">
        <f>'Danh sách máy'!E282</f>
        <v>45708</v>
      </c>
      <c r="F287" s="206" t="e">
        <f>#REF!</f>
        <v>#REF!</v>
      </c>
      <c r="G287" s="102" t="e">
        <f>#REF!</f>
        <v>#REF!</v>
      </c>
      <c r="H287" s="102" t="e">
        <f>#REF!</f>
        <v>#REF!</v>
      </c>
      <c r="I287" s="209">
        <v>44561</v>
      </c>
      <c r="J287" s="210"/>
      <c r="K287" s="210" t="e">
        <f>#REF!</f>
        <v>#REF!</v>
      </c>
      <c r="L287" s="210">
        <v>44556</v>
      </c>
      <c r="M287" s="210"/>
      <c r="N287" s="210">
        <f>'Danh sách máy'!F282</f>
        <v>0</v>
      </c>
      <c r="O287" s="211" t="str" cm="1">
        <f t="array" ref="O287">IF(L287&lt;&gt;0,IF(L287&lt;I287,"OK","NG"),Blank)</f>
        <v>OK</v>
      </c>
      <c r="P287" s="211" t="e" cm="1">
        <f t="array" ref="P287">IF(M287&lt;&gt;0,IF(M287&lt;J287,"OK","NG"),Blank)</f>
        <v>#NAME?</v>
      </c>
      <c r="Q287" s="211" t="e" cm="1">
        <f t="array" ref="Q287">IF(H287&lt;&gt;"Stop",IF(N287&lt;&gt;0,IF(N287&lt;=K287,"OK","NG"),Blank),"-")</f>
        <v>#REF!</v>
      </c>
      <c r="R287" s="326" t="e" cm="1">
        <f t="array" ref="R287">IF(H287&lt;&gt;"Stop",IF(E287&lt;&gt;0,IF(E287&lt;=K287,"OK","NG"),Blank),"-")</f>
        <v>#REF!</v>
      </c>
      <c r="S287" s="22"/>
      <c r="T287" s="221">
        <v>1</v>
      </c>
      <c r="U287"/>
    </row>
    <row r="288" spans="1:21" ht="30" x14ac:dyDescent="0.3">
      <c r="A288" s="318" t="e">
        <f>#REF!</f>
        <v>#REF!</v>
      </c>
      <c r="B288" s="305" t="e">
        <f>#REF!</f>
        <v>#REF!</v>
      </c>
      <c r="C288" s="305" t="str">
        <f>'Danh sách máy'!C283</f>
        <v>Fact.4</v>
      </c>
      <c r="D288" s="90" t="e">
        <f>#REF!</f>
        <v>#REF!</v>
      </c>
      <c r="E288" s="97">
        <f>'Danh sách máy'!E283</f>
        <v>45857</v>
      </c>
      <c r="F288" s="206" t="e">
        <f>#REF!</f>
        <v>#REF!</v>
      </c>
      <c r="G288" s="102" t="e">
        <f>#REF!</f>
        <v>#REF!</v>
      </c>
      <c r="H288" s="102" t="e">
        <f>#REF!</f>
        <v>#REF!</v>
      </c>
      <c r="I288" s="209">
        <v>44562</v>
      </c>
      <c r="J288" s="210"/>
      <c r="K288" s="210" t="e">
        <f>#REF!</f>
        <v>#REF!</v>
      </c>
      <c r="L288" s="210">
        <v>44557</v>
      </c>
      <c r="M288" s="210"/>
      <c r="N288" s="210">
        <f>'Danh sách máy'!F283</f>
        <v>45857</v>
      </c>
      <c r="O288" s="211" t="str" cm="1">
        <f t="array" ref="O288">IF(L288&lt;&gt;0,IF(L288&lt;I288,"OK","NG"),Blank)</f>
        <v>OK</v>
      </c>
      <c r="P288" s="211" t="e" cm="1">
        <f t="array" ref="P288">IF(M288&lt;&gt;0,IF(M288&lt;J288,"OK","NG"),Blank)</f>
        <v>#NAME?</v>
      </c>
      <c r="Q288" s="211" t="e" cm="1">
        <f t="array" ref="Q288">IF(H288&lt;&gt;"Stop",IF(N288&lt;&gt;0,IF(N288&lt;=K288,"OK","NG"),Blank),"-")</f>
        <v>#REF!</v>
      </c>
      <c r="R288" s="326" t="e" cm="1">
        <f t="array" ref="R288">IF(H288&lt;&gt;"Stop",IF(E288&lt;&gt;0,IF(E288&lt;=K288,"OK","NG"),Blank),"-")</f>
        <v>#REF!</v>
      </c>
      <c r="S288" s="22"/>
      <c r="T288" s="221"/>
      <c r="U288"/>
    </row>
    <row r="289" spans="1:21" ht="30" hidden="1" x14ac:dyDescent="0.3">
      <c r="A289" s="318" t="e">
        <f>#REF!</f>
        <v>#REF!</v>
      </c>
      <c r="B289" s="305" t="e">
        <f>#REF!</f>
        <v>#REF!</v>
      </c>
      <c r="C289" s="305" t="str">
        <f>'Danh sách máy'!C284</f>
        <v>Fact.4</v>
      </c>
      <c r="D289" s="90" t="e">
        <f>#REF!</f>
        <v>#REF!</v>
      </c>
      <c r="E289" s="97">
        <f>'Danh sách máy'!E284</f>
        <v>45708</v>
      </c>
      <c r="F289" s="206" t="e">
        <f>#REF!</f>
        <v>#REF!</v>
      </c>
      <c r="G289" s="102" t="e">
        <f>#REF!</f>
        <v>#REF!</v>
      </c>
      <c r="H289" s="102" t="e">
        <f>#REF!</f>
        <v>#REF!</v>
      </c>
      <c r="I289" s="209">
        <v>44563</v>
      </c>
      <c r="J289" s="210"/>
      <c r="K289" s="210" t="e">
        <f>#REF!</f>
        <v>#REF!</v>
      </c>
      <c r="L289" s="210">
        <v>44558</v>
      </c>
      <c r="M289" s="210"/>
      <c r="N289" s="210">
        <f>'Danh sách máy'!F284</f>
        <v>0</v>
      </c>
      <c r="O289" s="211" t="str" cm="1">
        <f t="array" ref="O289">IF(L289&lt;&gt;0,IF(L289&lt;I289,"OK","NG"),Blank)</f>
        <v>OK</v>
      </c>
      <c r="P289" s="211" t="e" cm="1">
        <f t="array" ref="P289">IF(M289&lt;&gt;0,IF(M289&lt;J289,"OK","NG"),Blank)</f>
        <v>#NAME?</v>
      </c>
      <c r="Q289" s="211" t="e" cm="1">
        <f t="array" ref="Q289">IF(H289&lt;&gt;"Stop",IF(N289&lt;&gt;0,IF(N289&lt;=K289,"OK","NG"),Blank),"-")</f>
        <v>#REF!</v>
      </c>
      <c r="R289" s="326" t="e" cm="1">
        <f t="array" ref="R289">IF(H289&lt;&gt;"Stop",IF(E289&lt;&gt;0,IF(E289&lt;=K289,"OK","NG"),Blank),"-")</f>
        <v>#REF!</v>
      </c>
      <c r="S289" s="22"/>
      <c r="T289" s="221">
        <v>1</v>
      </c>
      <c r="U289"/>
    </row>
    <row r="290" spans="1:21" ht="30" x14ac:dyDescent="0.3">
      <c r="A290" s="318" t="e">
        <f>#REF!</f>
        <v>#REF!</v>
      </c>
      <c r="B290" s="305" t="e">
        <f>#REF!</f>
        <v>#REF!</v>
      </c>
      <c r="C290" s="305" t="str">
        <f>'Danh sách máy'!C285</f>
        <v>Fact.4</v>
      </c>
      <c r="D290" s="90" t="e">
        <f>#REF!</f>
        <v>#REF!</v>
      </c>
      <c r="E290" s="97">
        <f>'Danh sách máy'!E285</f>
        <v>45765</v>
      </c>
      <c r="F290" s="206" t="e">
        <f>#REF!</f>
        <v>#REF!</v>
      </c>
      <c r="G290" s="102" t="e">
        <f>#REF!</f>
        <v>#REF!</v>
      </c>
      <c r="H290" s="102" t="e">
        <f>#REF!</f>
        <v>#REF!</v>
      </c>
      <c r="I290" s="209">
        <v>44564</v>
      </c>
      <c r="J290" s="210"/>
      <c r="K290" s="210" t="e">
        <f>#REF!</f>
        <v>#REF!</v>
      </c>
      <c r="L290" s="210">
        <v>44559</v>
      </c>
      <c r="M290" s="210"/>
      <c r="N290" s="210">
        <f>'Danh sách máy'!F285</f>
        <v>45765</v>
      </c>
      <c r="O290" s="211" t="str" cm="1">
        <f t="array" ref="O290">IF(L290&lt;&gt;0,IF(L290&lt;I290,"OK","NG"),Blank)</f>
        <v>OK</v>
      </c>
      <c r="P290" s="211" t="e" cm="1">
        <f t="array" ref="P290">IF(M290&lt;&gt;0,IF(M290&lt;J290,"OK","NG"),Blank)</f>
        <v>#NAME?</v>
      </c>
      <c r="Q290" s="211" t="e" cm="1">
        <f t="array" ref="Q290">IF(H290&lt;&gt;"Stop",IF(N290&lt;&gt;0,IF(N290&lt;=K290,"OK","NG"),Blank),"-")</f>
        <v>#REF!</v>
      </c>
      <c r="R290" s="326" t="e" cm="1">
        <f t="array" ref="R290">IF(H290&lt;&gt;"Stop",IF(E290&lt;&gt;0,IF(E290&lt;=K290,"OK","NG"),Blank),"-")</f>
        <v>#REF!</v>
      </c>
      <c r="S290" s="22"/>
      <c r="T290" s="221"/>
      <c r="U290"/>
    </row>
    <row r="291" spans="1:21" ht="30" hidden="1" x14ac:dyDescent="0.3">
      <c r="A291" s="318" t="e">
        <f>#REF!</f>
        <v>#REF!</v>
      </c>
      <c r="B291" s="305" t="e">
        <f>#REF!</f>
        <v>#REF!</v>
      </c>
      <c r="C291" s="305" t="str">
        <f>'Danh sách máy'!C286</f>
        <v>Fact.4</v>
      </c>
      <c r="D291" s="90" t="e">
        <f>#REF!</f>
        <v>#REF!</v>
      </c>
      <c r="E291" s="97">
        <f>'Danh sách máy'!E286</f>
        <v>0</v>
      </c>
      <c r="F291" s="206" t="e">
        <f>#REF!</f>
        <v>#REF!</v>
      </c>
      <c r="G291" s="102" t="e">
        <f>#REF!</f>
        <v>#REF!</v>
      </c>
      <c r="H291" s="102" t="e">
        <f>#REF!</f>
        <v>#REF!</v>
      </c>
      <c r="I291" s="209">
        <v>44565</v>
      </c>
      <c r="J291" s="210"/>
      <c r="K291" s="210" t="e">
        <f>#REF!</f>
        <v>#REF!</v>
      </c>
      <c r="L291" s="210">
        <v>44560</v>
      </c>
      <c r="M291" s="210"/>
      <c r="N291" s="210">
        <f>'Danh sách máy'!F286</f>
        <v>0</v>
      </c>
      <c r="O291" s="211" t="str" cm="1">
        <f t="array" ref="O291">IF(L291&lt;&gt;0,IF(L291&lt;I291,"OK","NG"),Blank)</f>
        <v>OK</v>
      </c>
      <c r="P291" s="211" t="e" cm="1">
        <f t="array" ref="P291">IF(M291&lt;&gt;0,IF(M291&lt;J291,"OK","NG"),Blank)</f>
        <v>#NAME?</v>
      </c>
      <c r="Q291" s="211" t="e" cm="1">
        <f t="array" ref="Q291">IF(H291&lt;&gt;"Stop",IF(N291&lt;&gt;0,IF(N291&lt;=K291,"OK","NG"),Blank),"-")</f>
        <v>#REF!</v>
      </c>
      <c r="R291" s="326" t="e" cm="1">
        <f t="array" ref="R291">IF(H291&lt;&gt;"Stop",IF(E291&lt;&gt;0,IF(E291&lt;=K291,"OK","NG"),Blank),"-")</f>
        <v>#REF!</v>
      </c>
      <c r="S291" s="22"/>
      <c r="T291" s="221"/>
      <c r="U291"/>
    </row>
    <row r="292" spans="1:21" ht="30" x14ac:dyDescent="0.3">
      <c r="A292" s="318" t="e">
        <f>#REF!</f>
        <v>#REF!</v>
      </c>
      <c r="B292" s="305" t="e">
        <f>#REF!</f>
        <v>#REF!</v>
      </c>
      <c r="C292" s="305" t="str">
        <f>'Danh sách máy'!C287</f>
        <v>Fact.4</v>
      </c>
      <c r="D292" s="90" t="e">
        <f>#REF!</f>
        <v>#REF!</v>
      </c>
      <c r="E292" s="97">
        <f>'Danh sách máy'!E287</f>
        <v>45807</v>
      </c>
      <c r="F292" s="206" t="e">
        <f>#REF!</f>
        <v>#REF!</v>
      </c>
      <c r="G292" s="102" t="e">
        <f>#REF!</f>
        <v>#REF!</v>
      </c>
      <c r="H292" s="102" t="e">
        <f>#REF!</f>
        <v>#REF!</v>
      </c>
      <c r="I292" s="209">
        <v>44566</v>
      </c>
      <c r="J292" s="210"/>
      <c r="K292" s="210" t="e">
        <f>#REF!</f>
        <v>#REF!</v>
      </c>
      <c r="L292" s="210">
        <v>44561</v>
      </c>
      <c r="M292" s="210"/>
      <c r="N292" s="210">
        <f>'Danh sách máy'!F287</f>
        <v>45821</v>
      </c>
      <c r="O292" s="211" t="str" cm="1">
        <f t="array" ref="O292">IF(L292&lt;&gt;0,IF(L292&lt;I292,"OK","NG"),Blank)</f>
        <v>OK</v>
      </c>
      <c r="P292" s="211" t="e" cm="1">
        <f t="array" ref="P292">IF(M292&lt;&gt;0,IF(M292&lt;J292,"OK","NG"),Blank)</f>
        <v>#NAME?</v>
      </c>
      <c r="Q292" s="211" t="e" cm="1">
        <f t="array" ref="Q292">IF(H292&lt;&gt;"Stop",IF(N292&lt;&gt;0,IF(N292&lt;=K292,"OK","NG"),Blank),"-")</f>
        <v>#REF!</v>
      </c>
      <c r="R292" s="326" t="e" cm="1">
        <f t="array" ref="R292">IF(H292&lt;&gt;"Stop",IF(E292&lt;&gt;0,IF(E292&lt;=K292,"OK","NG"),Blank),"-")</f>
        <v>#REF!</v>
      </c>
      <c r="S292" s="22"/>
      <c r="T292" s="221"/>
      <c r="U292"/>
    </row>
    <row r="293" spans="1:21" ht="30" hidden="1" x14ac:dyDescent="0.3">
      <c r="A293" s="318" t="e">
        <f>#REF!</f>
        <v>#REF!</v>
      </c>
      <c r="B293" s="305" t="e">
        <f>#REF!</f>
        <v>#REF!</v>
      </c>
      <c r="C293" s="305" t="str">
        <f>'Danh sách máy'!C288</f>
        <v>Fact.4</v>
      </c>
      <c r="D293" s="90" t="e">
        <f>#REF!</f>
        <v>#REF!</v>
      </c>
      <c r="E293" s="97">
        <f>'Danh sách máy'!E288</f>
        <v>0</v>
      </c>
      <c r="F293" s="206" t="e">
        <f>#REF!</f>
        <v>#REF!</v>
      </c>
      <c r="G293" s="102" t="e">
        <f>#REF!</f>
        <v>#REF!</v>
      </c>
      <c r="H293" s="102" t="e">
        <f>#REF!</f>
        <v>#REF!</v>
      </c>
      <c r="I293" s="209">
        <v>44567</v>
      </c>
      <c r="J293" s="210"/>
      <c r="K293" s="210" t="e">
        <f>#REF!</f>
        <v>#REF!</v>
      </c>
      <c r="L293" s="210">
        <v>44562</v>
      </c>
      <c r="M293" s="210"/>
      <c r="N293" s="210">
        <f>'Danh sách máy'!F288</f>
        <v>0</v>
      </c>
      <c r="O293" s="211" t="str" cm="1">
        <f t="array" ref="O293">IF(L293&lt;&gt;0,IF(L293&lt;I293,"OK","NG"),Blank)</f>
        <v>OK</v>
      </c>
      <c r="P293" s="211" t="e" cm="1">
        <f t="array" ref="P293">IF(M293&lt;&gt;0,IF(M293&lt;J293,"OK","NG"),Blank)</f>
        <v>#NAME?</v>
      </c>
      <c r="Q293" s="211" t="e" cm="1">
        <f t="array" ref="Q293">IF(H293&lt;&gt;"Stop",IF(N293&lt;&gt;0,IF(N293&lt;=K293,"OK","NG"),Blank),"-")</f>
        <v>#REF!</v>
      </c>
      <c r="R293" s="326" t="e" cm="1">
        <f t="array" ref="R293">IF(H293&lt;&gt;"Stop",IF(E293&lt;&gt;0,IF(E293&lt;=K293,"OK","NG"),Blank),"-")</f>
        <v>#REF!</v>
      </c>
      <c r="S293" s="22"/>
      <c r="T293" s="221"/>
      <c r="U293"/>
    </row>
    <row r="294" spans="1:21" ht="30" hidden="1" x14ac:dyDescent="0.3">
      <c r="A294" s="318" t="e">
        <f>#REF!</f>
        <v>#REF!</v>
      </c>
      <c r="B294" s="305" t="e">
        <f>#REF!</f>
        <v>#REF!</v>
      </c>
      <c r="C294" s="305" t="str">
        <f>'Danh sách máy'!C289</f>
        <v>Fact.4</v>
      </c>
      <c r="D294" s="90" t="e">
        <f>#REF!</f>
        <v>#REF!</v>
      </c>
      <c r="E294" s="97">
        <f>'Danh sách máy'!E289</f>
        <v>0</v>
      </c>
      <c r="F294" s="206" t="e">
        <f>#REF!</f>
        <v>#REF!</v>
      </c>
      <c r="G294" s="102" t="e">
        <f>#REF!</f>
        <v>#REF!</v>
      </c>
      <c r="H294" s="102" t="e">
        <f>#REF!</f>
        <v>#REF!</v>
      </c>
      <c r="I294" s="209">
        <v>44568</v>
      </c>
      <c r="J294" s="210"/>
      <c r="K294" s="210" t="e">
        <f>#REF!</f>
        <v>#REF!</v>
      </c>
      <c r="L294" s="210">
        <v>44563</v>
      </c>
      <c r="M294" s="210"/>
      <c r="N294" s="210">
        <f>'Danh sách máy'!F289</f>
        <v>0</v>
      </c>
      <c r="O294" s="211" t="str" cm="1">
        <f t="array" ref="O294">IF(L294&lt;&gt;0,IF(L294&lt;I294,"OK","NG"),Blank)</f>
        <v>OK</v>
      </c>
      <c r="P294" s="211" t="e" cm="1">
        <f t="array" ref="P294">IF(M294&lt;&gt;0,IF(M294&lt;J294,"OK","NG"),Blank)</f>
        <v>#NAME?</v>
      </c>
      <c r="Q294" s="211" t="e" cm="1">
        <f t="array" ref="Q294">IF(H294&lt;&gt;"Stop",IF(N294&lt;&gt;0,IF(N294&lt;=K294,"OK","NG"),Blank),"-")</f>
        <v>#REF!</v>
      </c>
      <c r="R294" s="326" t="e" cm="1">
        <f t="array" ref="R294">IF(H294&lt;&gt;"Stop",IF(E294&lt;&gt;0,IF(E294&lt;=K294,"OK","NG"),Blank),"-")</f>
        <v>#REF!</v>
      </c>
      <c r="S294" s="22"/>
      <c r="T294" s="221"/>
      <c r="U294"/>
    </row>
    <row r="295" spans="1:21" ht="30" x14ac:dyDescent="0.3">
      <c r="A295" s="318" t="e">
        <f>#REF!</f>
        <v>#REF!</v>
      </c>
      <c r="B295" s="305" t="e">
        <f>#REF!</f>
        <v>#REF!</v>
      </c>
      <c r="C295" s="305" t="str">
        <f>'Danh sách máy'!C290</f>
        <v>Fact.4</v>
      </c>
      <c r="D295" s="90" t="e">
        <f>#REF!</f>
        <v>#REF!</v>
      </c>
      <c r="E295" s="97">
        <f>'Danh sách máy'!E290</f>
        <v>45807</v>
      </c>
      <c r="F295" s="206" t="e">
        <f>#REF!</f>
        <v>#REF!</v>
      </c>
      <c r="G295" s="102" t="e">
        <f>#REF!</f>
        <v>#REF!</v>
      </c>
      <c r="H295" s="102" t="e">
        <f>#REF!</f>
        <v>#REF!</v>
      </c>
      <c r="I295" s="209">
        <v>44569</v>
      </c>
      <c r="J295" s="210"/>
      <c r="K295" s="210" t="e">
        <f>#REF!</f>
        <v>#REF!</v>
      </c>
      <c r="L295" s="210">
        <v>44564</v>
      </c>
      <c r="M295" s="210"/>
      <c r="N295" s="210">
        <f>'Danh sách máy'!F290</f>
        <v>45821</v>
      </c>
      <c r="O295" s="211" t="str" cm="1">
        <f t="array" ref="O295">IF(L295&lt;&gt;0,IF(L295&lt;I295,"OK","NG"),Blank)</f>
        <v>OK</v>
      </c>
      <c r="P295" s="211" t="e" cm="1">
        <f t="array" ref="P295">IF(M295&lt;&gt;0,IF(M295&lt;J295,"OK","NG"),Blank)</f>
        <v>#NAME?</v>
      </c>
      <c r="Q295" s="211" t="e" cm="1">
        <f t="array" ref="Q295">IF(H295&lt;&gt;"Stop",IF(N295&lt;&gt;0,IF(N295&lt;=K295,"OK","NG"),Blank),"-")</f>
        <v>#REF!</v>
      </c>
      <c r="R295" s="326" t="e" cm="1">
        <f t="array" ref="R295">IF(H295&lt;&gt;"Stop",IF(E295&lt;&gt;0,IF(E295&lt;=K295,"OK","NG"),Blank),"-")</f>
        <v>#REF!</v>
      </c>
      <c r="S295" s="22"/>
      <c r="T295" s="221"/>
      <c r="U295"/>
    </row>
    <row r="296" spans="1:21" ht="30" x14ac:dyDescent="0.3">
      <c r="A296" s="318" t="e">
        <f>#REF!</f>
        <v>#REF!</v>
      </c>
      <c r="B296" s="305" t="e">
        <f>#REF!</f>
        <v>#REF!</v>
      </c>
      <c r="C296" s="305" t="str">
        <f>'Danh sách máy'!C291</f>
        <v>Fact.4</v>
      </c>
      <c r="D296" s="90" t="e">
        <f>#REF!</f>
        <v>#REF!</v>
      </c>
      <c r="E296" s="97">
        <f>'Danh sách máy'!E291</f>
        <v>45736</v>
      </c>
      <c r="F296" s="206" t="e">
        <f>#REF!</f>
        <v>#REF!</v>
      </c>
      <c r="G296" s="102" t="e">
        <f>#REF!</f>
        <v>#REF!</v>
      </c>
      <c r="H296" s="102" t="e">
        <f>#REF!</f>
        <v>#REF!</v>
      </c>
      <c r="I296" s="209">
        <v>44570</v>
      </c>
      <c r="J296" s="210"/>
      <c r="K296" s="210" t="e">
        <f>#REF!</f>
        <v>#REF!</v>
      </c>
      <c r="L296" s="210">
        <v>44565</v>
      </c>
      <c r="M296" s="210"/>
      <c r="N296" s="210">
        <f>'Danh sách máy'!F291</f>
        <v>45752</v>
      </c>
      <c r="O296" s="211" t="str" cm="1">
        <f t="array" ref="O296">IF(L296&lt;&gt;0,IF(L296&lt;I296,"OK","NG"),Blank)</f>
        <v>OK</v>
      </c>
      <c r="P296" s="211" t="e" cm="1">
        <f t="array" ref="P296">IF(M296&lt;&gt;0,IF(M296&lt;J296,"OK","NG"),Blank)</f>
        <v>#NAME?</v>
      </c>
      <c r="Q296" s="211" t="e" cm="1">
        <f t="array" ref="Q296">IF(H296&lt;&gt;"Stop",IF(N296&lt;&gt;0,IF(N296&lt;=K296,"OK","NG"),Blank),"-")</f>
        <v>#REF!</v>
      </c>
      <c r="R296" s="326" t="e" cm="1">
        <f t="array" ref="R296">IF(H296&lt;&gt;"Stop",IF(E296&lt;&gt;0,IF(E296&lt;=K296,"OK","NG"),Blank),"-")</f>
        <v>#REF!</v>
      </c>
      <c r="S296" s="22"/>
      <c r="T296" s="221"/>
      <c r="U296"/>
    </row>
    <row r="297" spans="1:21" ht="30" hidden="1" x14ac:dyDescent="0.3">
      <c r="A297" s="318" t="e">
        <f>#REF!</f>
        <v>#REF!</v>
      </c>
      <c r="B297" s="305" t="e">
        <f>#REF!</f>
        <v>#REF!</v>
      </c>
      <c r="C297" s="305" t="str">
        <f>'Danh sách máy'!C292</f>
        <v>Fact.4</v>
      </c>
      <c r="D297" s="90" t="e">
        <f>#REF!</f>
        <v>#REF!</v>
      </c>
      <c r="E297" s="97">
        <f>'Danh sách máy'!E292</f>
        <v>45745</v>
      </c>
      <c r="F297" s="206" t="e">
        <f>#REF!</f>
        <v>#REF!</v>
      </c>
      <c r="G297" s="102" t="e">
        <f>#REF!</f>
        <v>#REF!</v>
      </c>
      <c r="H297" s="102" t="e">
        <f>#REF!</f>
        <v>#REF!</v>
      </c>
      <c r="I297" s="209">
        <v>44571</v>
      </c>
      <c r="J297" s="210"/>
      <c r="K297" s="210" t="e">
        <f>#REF!</f>
        <v>#REF!</v>
      </c>
      <c r="L297" s="210">
        <v>44566</v>
      </c>
      <c r="M297" s="210"/>
      <c r="N297" s="210">
        <f>'Danh sách máy'!F292</f>
        <v>0</v>
      </c>
      <c r="O297" s="211" t="str" cm="1">
        <f t="array" ref="O297">IF(L297&lt;&gt;0,IF(L297&lt;I297,"OK","NG"),Blank)</f>
        <v>OK</v>
      </c>
      <c r="P297" s="211" t="e" cm="1">
        <f t="array" ref="P297">IF(M297&lt;&gt;0,IF(M297&lt;J297,"OK","NG"),Blank)</f>
        <v>#NAME?</v>
      </c>
      <c r="Q297" s="211" t="e" cm="1">
        <f t="array" ref="Q297">IF(H297&lt;&gt;"Stop",IF(N297&lt;&gt;0,IF(N297&lt;=K297,"OK","NG"),Blank),"-")</f>
        <v>#REF!</v>
      </c>
      <c r="R297" s="326" t="e" cm="1">
        <f t="array" ref="R297">IF(H297&lt;&gt;"Stop",IF(E297&lt;&gt;0,IF(E297&lt;=K297,"OK","NG"),Blank),"-")</f>
        <v>#REF!</v>
      </c>
      <c r="S297" s="22"/>
      <c r="T297" s="221"/>
      <c r="U297"/>
    </row>
    <row r="298" spans="1:21" ht="30" x14ac:dyDescent="0.3">
      <c r="A298" s="318" t="e">
        <f>#REF!</f>
        <v>#REF!</v>
      </c>
      <c r="B298" s="305" t="e">
        <f>#REF!</f>
        <v>#REF!</v>
      </c>
      <c r="C298" s="305" t="str">
        <f>'Danh sách máy'!C293</f>
        <v>Fact.4</v>
      </c>
      <c r="D298" s="90" t="e">
        <f>#REF!</f>
        <v>#REF!</v>
      </c>
      <c r="E298" s="97">
        <f>'Danh sách máy'!E293</f>
        <v>45807</v>
      </c>
      <c r="F298" s="206" t="e">
        <f>#REF!</f>
        <v>#REF!</v>
      </c>
      <c r="G298" s="102" t="e">
        <f>#REF!</f>
        <v>#REF!</v>
      </c>
      <c r="H298" s="102" t="e">
        <f>#REF!</f>
        <v>#REF!</v>
      </c>
      <c r="I298" s="209">
        <v>44572</v>
      </c>
      <c r="J298" s="210"/>
      <c r="K298" s="210" t="e">
        <f>#REF!</f>
        <v>#REF!</v>
      </c>
      <c r="L298" s="210">
        <v>44567</v>
      </c>
      <c r="M298" s="210"/>
      <c r="N298" s="210">
        <f>'Danh sách máy'!F293</f>
        <v>45821</v>
      </c>
      <c r="O298" s="211" t="str" cm="1">
        <f t="array" ref="O298">IF(L298&lt;&gt;0,IF(L298&lt;I298,"OK","NG"),Blank)</f>
        <v>OK</v>
      </c>
      <c r="P298" s="211" t="e" cm="1">
        <f t="array" ref="P298">IF(M298&lt;&gt;0,IF(M298&lt;J298,"OK","NG"),Blank)</f>
        <v>#NAME?</v>
      </c>
      <c r="Q298" s="211" t="e" cm="1">
        <f t="array" ref="Q298">IF(H298&lt;&gt;"Stop",IF(N298&lt;&gt;0,IF(N298&lt;=K298,"OK","NG"),Blank),"-")</f>
        <v>#REF!</v>
      </c>
      <c r="R298" s="326" t="e" cm="1">
        <f t="array" ref="R298">IF(H298&lt;&gt;"Stop",IF(E298&lt;&gt;0,IF(E298&lt;=K298,"OK","NG"),Blank),"-")</f>
        <v>#REF!</v>
      </c>
      <c r="S298" s="22"/>
      <c r="T298" s="221"/>
      <c r="U298"/>
    </row>
    <row r="299" spans="1:21" ht="30" x14ac:dyDescent="0.3">
      <c r="A299" s="318" t="e">
        <f>#REF!</f>
        <v>#REF!</v>
      </c>
      <c r="B299" s="305" t="e">
        <f>#REF!</f>
        <v>#REF!</v>
      </c>
      <c r="C299" s="305" t="str">
        <f>'Danh sách máy'!C294</f>
        <v>Fact.4</v>
      </c>
      <c r="D299" s="90" t="e">
        <f>#REF!</f>
        <v>#REF!</v>
      </c>
      <c r="E299" s="97">
        <f>'Danh sách máy'!E294</f>
        <v>45954</v>
      </c>
      <c r="F299" s="206" t="e">
        <f>#REF!</f>
        <v>#REF!</v>
      </c>
      <c r="G299" s="102" t="e">
        <f>#REF!</f>
        <v>#REF!</v>
      </c>
      <c r="H299" s="102" t="e">
        <f>#REF!</f>
        <v>#REF!</v>
      </c>
      <c r="I299" s="209">
        <v>44573</v>
      </c>
      <c r="J299" s="210"/>
      <c r="K299" s="210" t="e">
        <f>#REF!</f>
        <v>#REF!</v>
      </c>
      <c r="L299" s="210">
        <v>44568</v>
      </c>
      <c r="M299" s="210"/>
      <c r="N299" s="210">
        <f>'Danh sách máy'!F294</f>
        <v>45965</v>
      </c>
      <c r="O299" s="211" t="str" cm="1">
        <f t="array" ref="O299">IF(L299&lt;&gt;0,IF(L299&lt;I299,"OK","NG"),Blank)</f>
        <v>OK</v>
      </c>
      <c r="P299" s="211" t="e" cm="1">
        <f t="array" ref="P299">IF(M299&lt;&gt;0,IF(M299&lt;J299,"OK","NG"),Blank)</f>
        <v>#NAME?</v>
      </c>
      <c r="Q299" s="211" t="e" cm="1">
        <f t="array" ref="Q299">IF(H299&lt;&gt;"Stop",IF(N299&lt;&gt;0,IF(N299&lt;=K299,"OK","NG"),Blank),"-")</f>
        <v>#REF!</v>
      </c>
      <c r="R299" s="326" t="e" cm="1">
        <f t="array" ref="R299">IF(H299&lt;&gt;"Stop",IF(E299&lt;&gt;0,IF(E299&lt;=K299,"OK","NG"),Blank),"-")</f>
        <v>#REF!</v>
      </c>
      <c r="S299" s="22"/>
      <c r="T299" s="221"/>
      <c r="U299"/>
    </row>
    <row r="300" spans="1:21" ht="30" x14ac:dyDescent="0.3">
      <c r="A300" s="318" t="e">
        <f>#REF!</f>
        <v>#REF!</v>
      </c>
      <c r="B300" s="305" t="e">
        <f>#REF!</f>
        <v>#REF!</v>
      </c>
      <c r="C300" s="305" t="str">
        <f>'Danh sách máy'!C295</f>
        <v>Fact.4</v>
      </c>
      <c r="D300" s="90" t="e">
        <f>#REF!</f>
        <v>#REF!</v>
      </c>
      <c r="E300" s="97">
        <f>'Danh sách máy'!E295</f>
        <v>45770</v>
      </c>
      <c r="F300" s="206" t="e">
        <f>#REF!</f>
        <v>#REF!</v>
      </c>
      <c r="G300" s="102" t="e">
        <f>#REF!</f>
        <v>#REF!</v>
      </c>
      <c r="H300" s="102" t="e">
        <f>#REF!</f>
        <v>#REF!</v>
      </c>
      <c r="I300" s="209">
        <v>44574</v>
      </c>
      <c r="J300" s="210"/>
      <c r="K300" s="210" t="e">
        <f>#REF!</f>
        <v>#REF!</v>
      </c>
      <c r="L300" s="210">
        <v>44569</v>
      </c>
      <c r="M300" s="210"/>
      <c r="N300" s="210">
        <f>'Danh sách máy'!F295</f>
        <v>45770</v>
      </c>
      <c r="O300" s="211" t="str" cm="1">
        <f t="array" ref="O300">IF(L300&lt;&gt;0,IF(L300&lt;I300,"OK","NG"),Blank)</f>
        <v>OK</v>
      </c>
      <c r="P300" s="211" t="e" cm="1">
        <f t="array" ref="P300">IF(M300&lt;&gt;0,IF(M300&lt;J300,"OK","NG"),Blank)</f>
        <v>#NAME?</v>
      </c>
      <c r="Q300" s="211" t="e" cm="1">
        <f t="array" ref="Q300">IF(H300&lt;&gt;"Stop",IF(N300&lt;&gt;0,IF(N300&lt;=K300,"OK","NG"),Blank),"-")</f>
        <v>#REF!</v>
      </c>
      <c r="R300" s="326" t="e" cm="1">
        <f t="array" ref="R300">IF(H300&lt;&gt;"Stop",IF(E300&lt;&gt;0,IF(E300&lt;=K300,"OK","NG"),Blank),"-")</f>
        <v>#REF!</v>
      </c>
      <c r="S300" s="22"/>
      <c r="T300" s="221"/>
      <c r="U300"/>
    </row>
    <row r="301" spans="1:21" ht="30" hidden="1" x14ac:dyDescent="0.3">
      <c r="A301" s="318" t="e">
        <f>#REF!</f>
        <v>#REF!</v>
      </c>
      <c r="B301" s="305" t="e">
        <f>#REF!</f>
        <v>#REF!</v>
      </c>
      <c r="C301" s="305" t="str">
        <f>'Danh sách máy'!C296</f>
        <v>Fact.4</v>
      </c>
      <c r="D301" s="90" t="e">
        <f>#REF!</f>
        <v>#REF!</v>
      </c>
      <c r="E301" s="97">
        <f>'Danh sách máy'!E296</f>
        <v>45736</v>
      </c>
      <c r="F301" s="206" t="e">
        <f>#REF!</f>
        <v>#REF!</v>
      </c>
      <c r="G301" s="102" t="e">
        <f>#REF!</f>
        <v>#REF!</v>
      </c>
      <c r="H301" s="102" t="e">
        <f>#REF!</f>
        <v>#REF!</v>
      </c>
      <c r="I301" s="209">
        <v>44575</v>
      </c>
      <c r="J301" s="210"/>
      <c r="K301" s="210" t="e">
        <f>#REF!</f>
        <v>#REF!</v>
      </c>
      <c r="L301" s="210">
        <v>44570</v>
      </c>
      <c r="M301" s="210"/>
      <c r="N301" s="210">
        <f>'Danh sách máy'!F296</f>
        <v>0</v>
      </c>
      <c r="O301" s="211" t="str" cm="1">
        <f t="array" ref="O301">IF(L301&lt;&gt;0,IF(L301&lt;I301,"OK","NG"),Blank)</f>
        <v>OK</v>
      </c>
      <c r="P301" s="211" t="e" cm="1">
        <f t="array" ref="P301">IF(M301&lt;&gt;0,IF(M301&lt;J301,"OK","NG"),Blank)</f>
        <v>#NAME?</v>
      </c>
      <c r="Q301" s="211" t="e" cm="1">
        <f t="array" ref="Q301">IF(H301&lt;&gt;"Stop",IF(N301&lt;&gt;0,IF(N301&lt;=K301,"OK","NG"),Blank),"-")</f>
        <v>#REF!</v>
      </c>
      <c r="R301" s="326" t="e" cm="1">
        <f t="array" ref="R301">IF(H301&lt;&gt;"Stop",IF(E301&lt;&gt;0,IF(E301&lt;=K301,"OK","NG"),Blank),"-")</f>
        <v>#REF!</v>
      </c>
      <c r="S301" s="22"/>
      <c r="T301" s="221"/>
      <c r="U301"/>
    </row>
    <row r="302" spans="1:21" ht="30" hidden="1" x14ac:dyDescent="0.3">
      <c r="A302" s="318" t="e">
        <f>#REF!</f>
        <v>#REF!</v>
      </c>
      <c r="B302" s="305" t="e">
        <f>#REF!</f>
        <v>#REF!</v>
      </c>
      <c r="C302" s="305" t="str">
        <f>'Danh sách máy'!C297</f>
        <v>Fact.4</v>
      </c>
      <c r="D302" s="90" t="e">
        <f>#REF!</f>
        <v>#REF!</v>
      </c>
      <c r="E302" s="97">
        <f>'Danh sách máy'!E297</f>
        <v>45770</v>
      </c>
      <c r="F302" s="206" t="e">
        <f>#REF!</f>
        <v>#REF!</v>
      </c>
      <c r="G302" s="102" t="e">
        <f>#REF!</f>
        <v>#REF!</v>
      </c>
      <c r="H302" s="102" t="e">
        <f>#REF!</f>
        <v>#REF!</v>
      </c>
      <c r="I302" s="209">
        <v>44576</v>
      </c>
      <c r="J302" s="210"/>
      <c r="K302" s="210" t="e">
        <f>#REF!</f>
        <v>#REF!</v>
      </c>
      <c r="L302" s="210">
        <v>44571</v>
      </c>
      <c r="M302" s="210"/>
      <c r="N302" s="210">
        <f>'Danh sách máy'!F297</f>
        <v>0</v>
      </c>
      <c r="O302" s="211" t="str" cm="1">
        <f t="array" ref="O302">IF(L302&lt;&gt;0,IF(L302&lt;I302,"OK","NG"),Blank)</f>
        <v>OK</v>
      </c>
      <c r="P302" s="211" t="e" cm="1">
        <f t="array" ref="P302">IF(M302&lt;&gt;0,IF(M302&lt;J302,"OK","NG"),Blank)</f>
        <v>#NAME?</v>
      </c>
      <c r="Q302" s="211" t="e" cm="1">
        <f t="array" ref="Q302">IF(H302&lt;&gt;"Stop",IF(N302&lt;&gt;0,IF(N302&lt;=K302,"OK","NG"),Blank),"-")</f>
        <v>#REF!</v>
      </c>
      <c r="R302" s="326" t="e" cm="1">
        <f t="array" ref="R302">IF(H302&lt;&gt;"Stop",IF(E302&lt;&gt;0,IF(E302&lt;=K302,"OK","NG"),Blank),"-")</f>
        <v>#REF!</v>
      </c>
      <c r="S302" s="22"/>
      <c r="T302" s="221"/>
      <c r="U302"/>
    </row>
    <row r="303" spans="1:21" ht="30" hidden="1" x14ac:dyDescent="0.3">
      <c r="A303" s="318" t="e">
        <f>#REF!</f>
        <v>#REF!</v>
      </c>
      <c r="B303" s="305" t="e">
        <f>#REF!</f>
        <v>#REF!</v>
      </c>
      <c r="C303" s="305" t="str">
        <f>'Danh sách máy'!C298</f>
        <v>Fact.4</v>
      </c>
      <c r="D303" s="90" t="e">
        <f>#REF!</f>
        <v>#REF!</v>
      </c>
      <c r="E303" s="97">
        <f>'Danh sách máy'!E298</f>
        <v>45770</v>
      </c>
      <c r="F303" s="206" t="e">
        <f>#REF!</f>
        <v>#REF!</v>
      </c>
      <c r="G303" s="102" t="e">
        <f>#REF!</f>
        <v>#REF!</v>
      </c>
      <c r="H303" s="102" t="e">
        <f>#REF!</f>
        <v>#REF!</v>
      </c>
      <c r="I303" s="209">
        <v>44577</v>
      </c>
      <c r="J303" s="210"/>
      <c r="K303" s="210" t="e">
        <f>#REF!</f>
        <v>#REF!</v>
      </c>
      <c r="L303" s="210">
        <v>44572</v>
      </c>
      <c r="M303" s="210"/>
      <c r="N303" s="210">
        <f>'Danh sách máy'!F298</f>
        <v>0</v>
      </c>
      <c r="O303" s="211" t="str" cm="1">
        <f t="array" ref="O303">IF(L303&lt;&gt;0,IF(L303&lt;I303,"OK","NG"),Blank)</f>
        <v>OK</v>
      </c>
      <c r="P303" s="211" t="e" cm="1">
        <f t="array" ref="P303">IF(M303&lt;&gt;0,IF(M303&lt;J303,"OK","NG"),Blank)</f>
        <v>#NAME?</v>
      </c>
      <c r="Q303" s="211" t="e" cm="1">
        <f t="array" ref="Q303">IF(H303&lt;&gt;"Stop",IF(N303&lt;&gt;0,IF(N303&lt;=K303,"OK","NG"),Blank),"-")</f>
        <v>#REF!</v>
      </c>
      <c r="R303" s="326" t="e" cm="1">
        <f t="array" ref="R303">IF(H303&lt;&gt;"Stop",IF(E303&lt;&gt;0,IF(E303&lt;=K303,"OK","NG"),Blank),"-")</f>
        <v>#REF!</v>
      </c>
      <c r="S303" s="22"/>
      <c r="T303" s="221"/>
      <c r="U303"/>
    </row>
    <row r="304" spans="1:21" ht="30" x14ac:dyDescent="0.3">
      <c r="A304" s="318" t="e">
        <f>#REF!</f>
        <v>#REF!</v>
      </c>
      <c r="B304" s="305" t="e">
        <f>#REF!</f>
        <v>#REF!</v>
      </c>
      <c r="C304" s="305" t="str">
        <f>'Danh sách máy'!C299</f>
        <v>Fact.4</v>
      </c>
      <c r="D304" s="90" t="e">
        <f>#REF!</f>
        <v>#REF!</v>
      </c>
      <c r="E304" s="97">
        <f>'Danh sách máy'!E299</f>
        <v>45770</v>
      </c>
      <c r="F304" s="206" t="e">
        <f>#REF!</f>
        <v>#REF!</v>
      </c>
      <c r="G304" s="102" t="e">
        <f>#REF!</f>
        <v>#REF!</v>
      </c>
      <c r="H304" s="102" t="e">
        <f>#REF!</f>
        <v>#REF!</v>
      </c>
      <c r="I304" s="209">
        <v>44578</v>
      </c>
      <c r="J304" s="210"/>
      <c r="K304" s="210" t="e">
        <f>#REF!</f>
        <v>#REF!</v>
      </c>
      <c r="L304" s="210">
        <v>44573</v>
      </c>
      <c r="M304" s="210"/>
      <c r="N304" s="210">
        <f>'Danh sách máy'!F299</f>
        <v>45770</v>
      </c>
      <c r="O304" s="211" t="str" cm="1">
        <f t="array" ref="O304">IF(L304&lt;&gt;0,IF(L304&lt;I304,"OK","NG"),Blank)</f>
        <v>OK</v>
      </c>
      <c r="P304" s="211" t="e" cm="1">
        <f t="array" ref="P304">IF(M304&lt;&gt;0,IF(M304&lt;J304,"OK","NG"),Blank)</f>
        <v>#NAME?</v>
      </c>
      <c r="Q304" s="211" t="e" cm="1">
        <f t="array" ref="Q304">IF(H304&lt;&gt;"Stop",IF(N304&lt;&gt;0,IF(N304&lt;=K304,"OK","NG"),Blank),"-")</f>
        <v>#REF!</v>
      </c>
      <c r="R304" s="326" t="e" cm="1">
        <f t="array" ref="R304">IF(H304&lt;&gt;"Stop",IF(E304&lt;&gt;0,IF(E304&lt;=K304,"OK","NG"),Blank),"-")</f>
        <v>#REF!</v>
      </c>
      <c r="S304" s="22"/>
      <c r="T304" s="221"/>
      <c r="U304"/>
    </row>
    <row r="305" spans="1:21" ht="30" hidden="1" x14ac:dyDescent="0.3">
      <c r="A305" s="318" t="e">
        <f>#REF!</f>
        <v>#REF!</v>
      </c>
      <c r="B305" s="305" t="e">
        <f>#REF!</f>
        <v>#REF!</v>
      </c>
      <c r="C305" s="305" t="str">
        <f>'Danh sách máy'!C300</f>
        <v>Fact.4</v>
      </c>
      <c r="D305" s="90" t="e">
        <f>#REF!</f>
        <v>#REF!</v>
      </c>
      <c r="E305" s="97">
        <f>'Danh sách máy'!E300</f>
        <v>45736</v>
      </c>
      <c r="F305" s="206" t="e">
        <f>#REF!</f>
        <v>#REF!</v>
      </c>
      <c r="G305" s="102" t="e">
        <f>#REF!</f>
        <v>#REF!</v>
      </c>
      <c r="H305" s="102" t="e">
        <f>#REF!</f>
        <v>#REF!</v>
      </c>
      <c r="I305" s="209">
        <v>44579</v>
      </c>
      <c r="J305" s="210"/>
      <c r="K305" s="210" t="e">
        <f>#REF!</f>
        <v>#REF!</v>
      </c>
      <c r="L305" s="210">
        <v>44574</v>
      </c>
      <c r="M305" s="210"/>
      <c r="N305" s="210">
        <f>'Danh sách máy'!F300</f>
        <v>0</v>
      </c>
      <c r="O305" s="211" t="str" cm="1">
        <f t="array" ref="O305">IF(L305&lt;&gt;0,IF(L305&lt;I305,"OK","NG"),Blank)</f>
        <v>OK</v>
      </c>
      <c r="P305" s="211" t="e" cm="1">
        <f t="array" ref="P305">IF(M305&lt;&gt;0,IF(M305&lt;J305,"OK","NG"),Blank)</f>
        <v>#NAME?</v>
      </c>
      <c r="Q305" s="211" t="e" cm="1">
        <f t="array" ref="Q305">IF(H305&lt;&gt;"Stop",IF(N305&lt;&gt;0,IF(N305&lt;=K305,"OK","NG"),Blank),"-")</f>
        <v>#REF!</v>
      </c>
      <c r="R305" s="326" t="e" cm="1">
        <f t="array" ref="R305">IF(H305&lt;&gt;"Stop",IF(E305&lt;&gt;0,IF(E305&lt;=K305,"OK","NG"),Blank),"-")</f>
        <v>#REF!</v>
      </c>
      <c r="S305" s="22"/>
      <c r="T305" s="221"/>
      <c r="U305"/>
    </row>
    <row r="306" spans="1:21" ht="30" hidden="1" x14ac:dyDescent="0.3">
      <c r="A306" s="318" t="e">
        <f>#REF!</f>
        <v>#REF!</v>
      </c>
      <c r="B306" s="305" t="e">
        <f>#REF!</f>
        <v>#REF!</v>
      </c>
      <c r="C306" s="305" t="str">
        <f>'Danh sách máy'!C301</f>
        <v>Fact.4</v>
      </c>
      <c r="D306" s="90" t="e">
        <f>#REF!</f>
        <v>#REF!</v>
      </c>
      <c r="E306" s="97">
        <f>'Danh sách máy'!E301</f>
        <v>45745</v>
      </c>
      <c r="F306" s="206" t="e">
        <f>#REF!</f>
        <v>#REF!</v>
      </c>
      <c r="G306" s="102" t="e">
        <f>#REF!</f>
        <v>#REF!</v>
      </c>
      <c r="H306" s="102" t="e">
        <f>#REF!</f>
        <v>#REF!</v>
      </c>
      <c r="I306" s="209">
        <v>44580</v>
      </c>
      <c r="J306" s="210"/>
      <c r="K306" s="210" t="e">
        <f>#REF!</f>
        <v>#REF!</v>
      </c>
      <c r="L306" s="210">
        <v>44575</v>
      </c>
      <c r="M306" s="210"/>
      <c r="N306" s="210">
        <f>'Danh sách máy'!F301</f>
        <v>0</v>
      </c>
      <c r="O306" s="211" t="str" cm="1">
        <f t="array" ref="O306">IF(L306&lt;&gt;0,IF(L306&lt;I306,"OK","NG"),Blank)</f>
        <v>OK</v>
      </c>
      <c r="P306" s="211" t="e" cm="1">
        <f t="array" ref="P306">IF(M306&lt;&gt;0,IF(M306&lt;J306,"OK","NG"),Blank)</f>
        <v>#NAME?</v>
      </c>
      <c r="Q306" s="211" t="e" cm="1">
        <f t="array" ref="Q306">IF(H306&lt;&gt;"Stop",IF(N306&lt;&gt;0,IF(N306&lt;=K306,"OK","NG"),Blank),"-")</f>
        <v>#REF!</v>
      </c>
      <c r="R306" s="326" t="e" cm="1">
        <f t="array" ref="R306">IF(H306&lt;&gt;"Stop",IF(E306&lt;&gt;0,IF(E306&lt;=K306,"OK","NG"),Blank),"-")</f>
        <v>#REF!</v>
      </c>
      <c r="S306" s="22"/>
      <c r="T306" s="221"/>
      <c r="U306"/>
    </row>
    <row r="307" spans="1:21" ht="30" x14ac:dyDescent="0.3">
      <c r="A307" s="318" t="e">
        <f>#REF!</f>
        <v>#REF!</v>
      </c>
      <c r="B307" s="305" t="e">
        <f>#REF!</f>
        <v>#REF!</v>
      </c>
      <c r="C307" s="305" t="str">
        <f>'Danh sách máy'!C302</f>
        <v>Fact.4</v>
      </c>
      <c r="D307" s="90" t="e">
        <f>#REF!</f>
        <v>#REF!</v>
      </c>
      <c r="E307" s="97">
        <f>'Danh sách máy'!E302</f>
        <v>45852</v>
      </c>
      <c r="F307" s="206" t="e">
        <f>#REF!</f>
        <v>#REF!</v>
      </c>
      <c r="G307" s="102" t="e">
        <f>#REF!</f>
        <v>#REF!</v>
      </c>
      <c r="H307" s="102" t="e">
        <f>#REF!</f>
        <v>#REF!</v>
      </c>
      <c r="I307" s="209">
        <v>44581</v>
      </c>
      <c r="J307" s="210"/>
      <c r="K307" s="210" t="e">
        <f>#REF!</f>
        <v>#REF!</v>
      </c>
      <c r="L307" s="210">
        <v>44576</v>
      </c>
      <c r="M307" s="210"/>
      <c r="N307" s="210">
        <f>'Danh sách máy'!F302</f>
        <v>45852</v>
      </c>
      <c r="O307" s="211" t="str" cm="1">
        <f t="array" ref="O307">IF(L307&lt;&gt;0,IF(L307&lt;I307,"OK","NG"),Blank)</f>
        <v>OK</v>
      </c>
      <c r="P307" s="211" t="e" cm="1">
        <f t="array" ref="P307">IF(M307&lt;&gt;0,IF(M307&lt;J307,"OK","NG"),Blank)</f>
        <v>#NAME?</v>
      </c>
      <c r="Q307" s="211" t="e" cm="1">
        <f t="array" ref="Q307">IF(H307&lt;&gt;"Stop",IF(N307&lt;&gt;0,IF(N307&lt;=K307,"OK","NG"),Blank),"-")</f>
        <v>#REF!</v>
      </c>
      <c r="R307" s="326" t="e" cm="1">
        <f t="array" ref="R307">IF(H307&lt;&gt;"Stop",IF(E307&lt;&gt;0,IF(E307&lt;=K307,"OK","NG"),Blank),"-")</f>
        <v>#REF!</v>
      </c>
      <c r="S307" s="22"/>
      <c r="T307" s="221"/>
      <c r="U307"/>
    </row>
    <row r="308" spans="1:21" ht="30" x14ac:dyDescent="0.3">
      <c r="A308" s="318" t="e">
        <f>#REF!</f>
        <v>#REF!</v>
      </c>
      <c r="B308" s="305" t="e">
        <f>#REF!</f>
        <v>#REF!</v>
      </c>
      <c r="C308" s="305" t="str">
        <f>'Danh sách máy'!C303</f>
        <v>Fact.4</v>
      </c>
      <c r="D308" s="90" t="e">
        <f>#REF!</f>
        <v>#REF!</v>
      </c>
      <c r="E308" s="97">
        <f>'Danh sách máy'!E303</f>
        <v>45852</v>
      </c>
      <c r="F308" s="206" t="e">
        <f>#REF!</f>
        <v>#REF!</v>
      </c>
      <c r="G308" s="102" t="e">
        <f>#REF!</f>
        <v>#REF!</v>
      </c>
      <c r="H308" s="102" t="e">
        <f>#REF!</f>
        <v>#REF!</v>
      </c>
      <c r="I308" s="209">
        <v>44582</v>
      </c>
      <c r="J308" s="210"/>
      <c r="K308" s="210" t="e">
        <f>#REF!</f>
        <v>#REF!</v>
      </c>
      <c r="L308" s="210">
        <v>44577</v>
      </c>
      <c r="M308" s="210"/>
      <c r="N308" s="210">
        <f>'Danh sách máy'!F303</f>
        <v>45852</v>
      </c>
      <c r="O308" s="211" t="str" cm="1">
        <f t="array" ref="O308">IF(L308&lt;&gt;0,IF(L308&lt;I308,"OK","NG"),Blank)</f>
        <v>OK</v>
      </c>
      <c r="P308" s="211" t="e" cm="1">
        <f t="array" ref="P308">IF(M308&lt;&gt;0,IF(M308&lt;J308,"OK","NG"),Blank)</f>
        <v>#NAME?</v>
      </c>
      <c r="Q308" s="211" t="e" cm="1">
        <f t="array" ref="Q308">IF(H308&lt;&gt;"Stop",IF(N308&lt;&gt;0,IF(N308&lt;=K308,"OK","NG"),Blank),"-")</f>
        <v>#REF!</v>
      </c>
      <c r="R308" s="326" t="e" cm="1">
        <f t="array" ref="R308">IF(H308&lt;&gt;"Stop",IF(E308&lt;&gt;0,IF(E308&lt;=K308,"OK","NG"),Blank),"-")</f>
        <v>#REF!</v>
      </c>
      <c r="S308" s="22"/>
      <c r="T308" s="221"/>
      <c r="U308"/>
    </row>
    <row r="309" spans="1:21" ht="30" x14ac:dyDescent="0.3">
      <c r="A309" s="318" t="e">
        <f>#REF!</f>
        <v>#REF!</v>
      </c>
      <c r="B309" s="305" t="e">
        <f>#REF!</f>
        <v>#REF!</v>
      </c>
      <c r="C309" s="305" t="str">
        <f>'Danh sách máy'!C304</f>
        <v>Fact.4</v>
      </c>
      <c r="D309" s="90" t="e">
        <f>#REF!</f>
        <v>#REF!</v>
      </c>
      <c r="E309" s="97">
        <f>'Danh sách máy'!E304</f>
        <v>45770</v>
      </c>
      <c r="F309" s="206" t="e">
        <f>#REF!</f>
        <v>#REF!</v>
      </c>
      <c r="G309" s="102" t="e">
        <f>#REF!</f>
        <v>#REF!</v>
      </c>
      <c r="H309" s="102" t="e">
        <f>#REF!</f>
        <v>#REF!</v>
      </c>
      <c r="I309" s="209">
        <v>44583</v>
      </c>
      <c r="J309" s="210"/>
      <c r="K309" s="210" t="e">
        <f>#REF!</f>
        <v>#REF!</v>
      </c>
      <c r="L309" s="210">
        <v>44578</v>
      </c>
      <c r="M309" s="210"/>
      <c r="N309" s="210">
        <f>'Danh sách máy'!F304</f>
        <v>45770</v>
      </c>
      <c r="O309" s="211" t="str" cm="1">
        <f t="array" ref="O309">IF(L309&lt;&gt;0,IF(L309&lt;I309,"OK","NG"),Blank)</f>
        <v>OK</v>
      </c>
      <c r="P309" s="211" t="e" cm="1">
        <f t="array" ref="P309">IF(M309&lt;&gt;0,IF(M309&lt;J309,"OK","NG"),Blank)</f>
        <v>#NAME?</v>
      </c>
      <c r="Q309" s="211" t="e" cm="1">
        <f t="array" ref="Q309">IF(H309&lt;&gt;"Stop",IF(N309&lt;&gt;0,IF(N309&lt;=K309,"OK","NG"),Blank),"-")</f>
        <v>#REF!</v>
      </c>
      <c r="R309" s="326" t="e" cm="1">
        <f t="array" ref="R309">IF(H309&lt;&gt;"Stop",IF(E309&lt;&gt;0,IF(E309&lt;=K309,"OK","NG"),Blank),"-")</f>
        <v>#REF!</v>
      </c>
      <c r="S309" s="22"/>
      <c r="T309" s="221"/>
      <c r="U309"/>
    </row>
    <row r="310" spans="1:21" ht="30" hidden="1" x14ac:dyDescent="0.3">
      <c r="A310" s="318" t="e">
        <f>#REF!</f>
        <v>#REF!</v>
      </c>
      <c r="B310" s="305" t="e">
        <f>#REF!</f>
        <v>#REF!</v>
      </c>
      <c r="C310" s="305" t="str">
        <f>'Danh sách máy'!C305</f>
        <v>Fact.4</v>
      </c>
      <c r="D310" s="90" t="e">
        <f>#REF!</f>
        <v>#REF!</v>
      </c>
      <c r="E310" s="97">
        <f>'Danh sách máy'!E305</f>
        <v>45736</v>
      </c>
      <c r="F310" s="206" t="e">
        <f>#REF!</f>
        <v>#REF!</v>
      </c>
      <c r="G310" s="102" t="e">
        <f>#REF!</f>
        <v>#REF!</v>
      </c>
      <c r="H310" s="102" t="e">
        <f>#REF!</f>
        <v>#REF!</v>
      </c>
      <c r="I310" s="209">
        <v>44584</v>
      </c>
      <c r="J310" s="210"/>
      <c r="K310" s="210" t="e">
        <f>#REF!</f>
        <v>#REF!</v>
      </c>
      <c r="L310" s="210">
        <v>44579</v>
      </c>
      <c r="M310" s="210"/>
      <c r="N310" s="210">
        <f>'Danh sách máy'!F305</f>
        <v>0</v>
      </c>
      <c r="O310" s="211" t="str" cm="1">
        <f t="array" ref="O310">IF(L310&lt;&gt;0,IF(L310&lt;I310,"OK","NG"),Blank)</f>
        <v>OK</v>
      </c>
      <c r="P310" s="211" t="e" cm="1">
        <f t="array" ref="P310">IF(M310&lt;&gt;0,IF(M310&lt;J310,"OK","NG"),Blank)</f>
        <v>#NAME?</v>
      </c>
      <c r="Q310" s="211" t="e" cm="1">
        <f t="array" ref="Q310">IF(H310&lt;&gt;"Stop",IF(N310&lt;&gt;0,IF(N310&lt;=K310,"OK","NG"),Blank),"-")</f>
        <v>#REF!</v>
      </c>
      <c r="R310" s="326" t="e" cm="1">
        <f t="array" ref="R310">IF(H310&lt;&gt;"Stop",IF(E310&lt;&gt;0,IF(E310&lt;=K310,"OK","NG"),Blank),"-")</f>
        <v>#REF!</v>
      </c>
      <c r="S310" s="22"/>
      <c r="T310" s="221"/>
      <c r="U310"/>
    </row>
    <row r="311" spans="1:21" ht="30" hidden="1" x14ac:dyDescent="0.3">
      <c r="A311" s="318" t="e">
        <f>#REF!</f>
        <v>#REF!</v>
      </c>
      <c r="B311" s="305" t="e">
        <f>#REF!</f>
        <v>#REF!</v>
      </c>
      <c r="C311" s="305" t="str">
        <f>'Danh sách máy'!C306</f>
        <v>Fact.4</v>
      </c>
      <c r="D311" s="90" t="e">
        <f>#REF!</f>
        <v>#REF!</v>
      </c>
      <c r="E311" s="97">
        <f>'Danh sách máy'!E306</f>
        <v>45770</v>
      </c>
      <c r="F311" s="206" t="e">
        <f>#REF!</f>
        <v>#REF!</v>
      </c>
      <c r="G311" s="102" t="e">
        <f>#REF!</f>
        <v>#REF!</v>
      </c>
      <c r="H311" s="102" t="e">
        <f>#REF!</f>
        <v>#REF!</v>
      </c>
      <c r="I311" s="209">
        <v>44585</v>
      </c>
      <c r="J311" s="210"/>
      <c r="K311" s="210" t="e">
        <f>#REF!</f>
        <v>#REF!</v>
      </c>
      <c r="L311" s="210">
        <v>44580</v>
      </c>
      <c r="M311" s="210"/>
      <c r="N311" s="210">
        <f>'Danh sách máy'!F306</f>
        <v>0</v>
      </c>
      <c r="O311" s="211" t="str" cm="1">
        <f t="array" ref="O311">IF(L311&lt;&gt;0,IF(L311&lt;I311,"OK","NG"),Blank)</f>
        <v>OK</v>
      </c>
      <c r="P311" s="211" t="e" cm="1">
        <f t="array" ref="P311">IF(M311&lt;&gt;0,IF(M311&lt;J311,"OK","NG"),Blank)</f>
        <v>#NAME?</v>
      </c>
      <c r="Q311" s="211" t="e" cm="1">
        <f t="array" ref="Q311">IF(H311&lt;&gt;"Stop",IF(N311&lt;&gt;0,IF(N311&lt;=K311,"OK","NG"),Blank),"-")</f>
        <v>#REF!</v>
      </c>
      <c r="R311" s="326" t="e" cm="1">
        <f t="array" ref="R311">IF(H311&lt;&gt;"Stop",IF(E311&lt;&gt;0,IF(E311&lt;=K311,"OK","NG"),Blank),"-")</f>
        <v>#REF!</v>
      </c>
      <c r="S311" s="22"/>
      <c r="T311" s="221"/>
      <c r="U311"/>
    </row>
    <row r="312" spans="1:21" ht="45" x14ac:dyDescent="0.3">
      <c r="A312" s="318" t="e">
        <f>#REF!</f>
        <v>#REF!</v>
      </c>
      <c r="B312" s="305" t="e">
        <f>#REF!</f>
        <v>#REF!</v>
      </c>
      <c r="C312" s="305" t="str">
        <f>'Danh sách máy'!C307</f>
        <v>Fact.4</v>
      </c>
      <c r="D312" s="90" t="e">
        <f>#REF!</f>
        <v>#REF!</v>
      </c>
      <c r="E312" s="97">
        <f>'Danh sách máy'!E307</f>
        <v>0</v>
      </c>
      <c r="F312" s="206" t="e">
        <f>#REF!</f>
        <v>#REF!</v>
      </c>
      <c r="G312" s="102" t="e">
        <f>#REF!</f>
        <v>#REF!</v>
      </c>
      <c r="H312" s="102" t="e">
        <f>#REF!</f>
        <v>#REF!</v>
      </c>
      <c r="I312" s="209">
        <v>44586</v>
      </c>
      <c r="J312" s="210"/>
      <c r="K312" s="210" t="e">
        <f>#REF!</f>
        <v>#REF!</v>
      </c>
      <c r="L312" s="210">
        <v>44581</v>
      </c>
      <c r="M312" s="210"/>
      <c r="N312" s="210">
        <f>'Danh sách máy'!F307</f>
        <v>45898</v>
      </c>
      <c r="O312" s="211" t="str" cm="1">
        <f t="array" ref="O312">IF(L312&lt;&gt;0,IF(L312&lt;I312,"OK","NG"),Blank)</f>
        <v>OK</v>
      </c>
      <c r="P312" s="211" t="e" cm="1">
        <f t="array" ref="P312">IF(M312&lt;&gt;0,IF(M312&lt;J312,"OK","NG"),Blank)</f>
        <v>#NAME?</v>
      </c>
      <c r="Q312" s="211" t="e" cm="1">
        <f t="array" ref="Q312">IF(H312&lt;&gt;"Stop",IF(N312&lt;&gt;0,IF(N312&lt;=K312,"OK","NG"),Blank),"-")</f>
        <v>#REF!</v>
      </c>
      <c r="R312" s="326" t="e" cm="1">
        <f t="array" ref="R312">IF(H312&lt;&gt;"Stop",IF(E312&lt;&gt;0,IF(E312&lt;=K312,"OK","NG"),Blank),"-")</f>
        <v>#REF!</v>
      </c>
      <c r="S312" s="22"/>
      <c r="T312" s="221"/>
      <c r="U312"/>
    </row>
    <row r="313" spans="1:21" ht="30" x14ac:dyDescent="0.3">
      <c r="A313" s="318" t="e">
        <f>#REF!</f>
        <v>#REF!</v>
      </c>
      <c r="B313" s="305" t="e">
        <f>#REF!</f>
        <v>#REF!</v>
      </c>
      <c r="C313" s="305" t="str">
        <f>'Danh sách máy'!C308</f>
        <v>Fact.4</v>
      </c>
      <c r="D313" s="90" t="e">
        <f>#REF!</f>
        <v>#REF!</v>
      </c>
      <c r="E313" s="97">
        <f>'Danh sách máy'!E308</f>
        <v>45927</v>
      </c>
      <c r="F313" s="206" t="e">
        <f>#REF!</f>
        <v>#REF!</v>
      </c>
      <c r="G313" s="102" t="e">
        <f>#REF!</f>
        <v>#REF!</v>
      </c>
      <c r="H313" s="102" t="e">
        <f>#REF!</f>
        <v>#REF!</v>
      </c>
      <c r="I313" s="209">
        <v>44587</v>
      </c>
      <c r="J313" s="210"/>
      <c r="K313" s="210" t="e">
        <f>#REF!</f>
        <v>#REF!</v>
      </c>
      <c r="L313" s="210">
        <v>44582</v>
      </c>
      <c r="M313" s="210"/>
      <c r="N313" s="210">
        <f>'Danh sách máy'!F308</f>
        <v>45933</v>
      </c>
      <c r="O313" s="211" t="str" cm="1">
        <f t="array" ref="O313">IF(L313&lt;&gt;0,IF(L313&lt;I313,"OK","NG"),Blank)</f>
        <v>OK</v>
      </c>
      <c r="P313" s="211" t="e" cm="1">
        <f t="array" ref="P313">IF(M313&lt;&gt;0,IF(M313&lt;J313,"OK","NG"),Blank)</f>
        <v>#NAME?</v>
      </c>
      <c r="Q313" s="211" t="e" cm="1">
        <f t="array" ref="Q313">IF(H313&lt;&gt;"Stop",IF(N313&lt;&gt;0,IF(N313&lt;=K313,"OK","NG"),Blank),"-")</f>
        <v>#REF!</v>
      </c>
      <c r="R313" s="326" t="e" cm="1">
        <f t="array" ref="R313">IF(H313&lt;&gt;"Stop",IF(E313&lt;&gt;0,IF(E313&lt;=K313,"OK","NG"),Blank),"-")</f>
        <v>#REF!</v>
      </c>
      <c r="S313" s="22"/>
      <c r="T313" s="221"/>
      <c r="U313"/>
    </row>
    <row r="314" spans="1:21" ht="30" x14ac:dyDescent="0.3">
      <c r="A314" s="318" t="e">
        <f>#REF!</f>
        <v>#REF!</v>
      </c>
      <c r="B314" s="305" t="e">
        <f>#REF!</f>
        <v>#REF!</v>
      </c>
      <c r="C314" s="305" t="str">
        <f>'Danh sách máy'!C309</f>
        <v>Fact.4</v>
      </c>
      <c r="D314" s="90" t="e">
        <f>#REF!</f>
        <v>#REF!</v>
      </c>
      <c r="E314" s="97">
        <f>'Danh sách máy'!E309</f>
        <v>45789</v>
      </c>
      <c r="F314" s="206" t="e">
        <f>#REF!</f>
        <v>#REF!</v>
      </c>
      <c r="G314" s="102" t="e">
        <f>#REF!</f>
        <v>#REF!</v>
      </c>
      <c r="H314" s="102" t="e">
        <f>#REF!</f>
        <v>#REF!</v>
      </c>
      <c r="I314" s="209">
        <v>44588</v>
      </c>
      <c r="J314" s="210"/>
      <c r="K314" s="210" t="e">
        <f>#REF!</f>
        <v>#REF!</v>
      </c>
      <c r="L314" s="210">
        <v>44583</v>
      </c>
      <c r="M314" s="210"/>
      <c r="N314" s="210">
        <f>'Danh sách máy'!F309</f>
        <v>45789</v>
      </c>
      <c r="O314" s="211" t="str" cm="1">
        <f t="array" ref="O314">IF(L314&lt;&gt;0,IF(L314&lt;I314,"OK","NG"),Blank)</f>
        <v>OK</v>
      </c>
      <c r="P314" s="211" t="e" cm="1">
        <f t="array" ref="P314">IF(M314&lt;&gt;0,IF(M314&lt;J314,"OK","NG"),Blank)</f>
        <v>#NAME?</v>
      </c>
      <c r="Q314" s="211" t="e" cm="1">
        <f t="array" ref="Q314">IF(H314&lt;&gt;"Stop",IF(N314&lt;&gt;0,IF(N314&lt;=K314,"OK","NG"),Blank),"-")</f>
        <v>#REF!</v>
      </c>
      <c r="R314" s="326" t="e" cm="1">
        <f t="array" ref="R314">IF(H314&lt;&gt;"Stop",IF(E314&lt;&gt;0,IF(E314&lt;=K314,"OK","NG"),Blank),"-")</f>
        <v>#REF!</v>
      </c>
      <c r="S314" s="22"/>
      <c r="T314" s="221"/>
      <c r="U314"/>
    </row>
    <row r="315" spans="1:21" ht="30" x14ac:dyDescent="0.3">
      <c r="A315" s="318" t="e">
        <f>#REF!</f>
        <v>#REF!</v>
      </c>
      <c r="B315" s="305" t="e">
        <f>#REF!</f>
        <v>#REF!</v>
      </c>
      <c r="C315" s="305" t="str">
        <f>'Danh sách máy'!C310</f>
        <v>Fact.4</v>
      </c>
      <c r="D315" s="90" t="e">
        <f>#REF!</f>
        <v>#REF!</v>
      </c>
      <c r="E315" s="97">
        <f>'Danh sách máy'!E310</f>
        <v>45789</v>
      </c>
      <c r="F315" s="206" t="e">
        <f>#REF!</f>
        <v>#REF!</v>
      </c>
      <c r="G315" s="102" t="e">
        <f>#REF!</f>
        <v>#REF!</v>
      </c>
      <c r="H315" s="102" t="e">
        <f>#REF!</f>
        <v>#REF!</v>
      </c>
      <c r="I315" s="209">
        <v>44589</v>
      </c>
      <c r="J315" s="210"/>
      <c r="K315" s="210" t="e">
        <f>#REF!</f>
        <v>#REF!</v>
      </c>
      <c r="L315" s="210">
        <v>44584</v>
      </c>
      <c r="M315" s="210"/>
      <c r="N315" s="210">
        <f>'Danh sách máy'!F310</f>
        <v>45789</v>
      </c>
      <c r="O315" s="211" t="str" cm="1">
        <f t="array" ref="O315">IF(L315&lt;&gt;0,IF(L315&lt;I315,"OK","NG"),Blank)</f>
        <v>OK</v>
      </c>
      <c r="P315" s="211" t="e" cm="1">
        <f t="array" ref="P315">IF(M315&lt;&gt;0,IF(M315&lt;J315,"OK","NG"),Blank)</f>
        <v>#NAME?</v>
      </c>
      <c r="Q315" s="211" t="e" cm="1">
        <f t="array" ref="Q315">IF(H315&lt;&gt;"Stop",IF(N315&lt;&gt;0,IF(N315&lt;=K315,"OK","NG"),Blank),"-")</f>
        <v>#REF!</v>
      </c>
      <c r="R315" s="326" t="e" cm="1">
        <f t="array" ref="R315">IF(H315&lt;&gt;"Stop",IF(E315&lt;&gt;0,IF(E315&lt;=K315,"OK","NG"),Blank),"-")</f>
        <v>#REF!</v>
      </c>
      <c r="S315" s="22"/>
      <c r="T315" s="221"/>
      <c r="U315"/>
    </row>
    <row r="316" spans="1:21" ht="30" x14ac:dyDescent="0.3">
      <c r="A316" s="318" t="e">
        <f>#REF!</f>
        <v>#REF!</v>
      </c>
      <c r="B316" s="305" t="e">
        <f>#REF!</f>
        <v>#REF!</v>
      </c>
      <c r="C316" s="305" t="str">
        <f>'Danh sách máy'!C311</f>
        <v>Fact.4</v>
      </c>
      <c r="D316" s="90" t="e">
        <f>#REF!</f>
        <v>#REF!</v>
      </c>
      <c r="E316" s="97">
        <f>'Danh sách máy'!E311</f>
        <v>45773</v>
      </c>
      <c r="F316" s="206" t="e">
        <f>#REF!</f>
        <v>#REF!</v>
      </c>
      <c r="G316" s="102" t="e">
        <f>#REF!</f>
        <v>#REF!</v>
      </c>
      <c r="H316" s="102" t="e">
        <f>#REF!</f>
        <v>#REF!</v>
      </c>
      <c r="I316" s="209">
        <v>44590</v>
      </c>
      <c r="J316" s="210"/>
      <c r="K316" s="210" t="e">
        <f>#REF!</f>
        <v>#REF!</v>
      </c>
      <c r="L316" s="210">
        <v>44585</v>
      </c>
      <c r="M316" s="210"/>
      <c r="N316" s="210">
        <f>'Danh sách máy'!F311</f>
        <v>45789</v>
      </c>
      <c r="O316" s="211" t="str" cm="1">
        <f t="array" ref="O316">IF(L316&lt;&gt;0,IF(L316&lt;I316,"OK","NG"),Blank)</f>
        <v>OK</v>
      </c>
      <c r="P316" s="211" t="e" cm="1">
        <f t="array" ref="P316">IF(M316&lt;&gt;0,IF(M316&lt;J316,"OK","NG"),Blank)</f>
        <v>#NAME?</v>
      </c>
      <c r="Q316" s="211" t="e" cm="1">
        <f t="array" ref="Q316">IF(H316&lt;&gt;"Stop",IF(N316&lt;&gt;0,IF(N316&lt;=K316,"OK","NG"),Blank),"-")</f>
        <v>#REF!</v>
      </c>
      <c r="R316" s="326" t="e" cm="1">
        <f t="array" ref="R316">IF(H316&lt;&gt;"Stop",IF(E316&lt;&gt;0,IF(E316&lt;=K316,"OK","NG"),Blank),"-")</f>
        <v>#REF!</v>
      </c>
      <c r="S316" s="22"/>
      <c r="T316" s="221"/>
      <c r="U316"/>
    </row>
    <row r="317" spans="1:21" ht="30" x14ac:dyDescent="0.3">
      <c r="A317" s="318" t="e">
        <f>#REF!</f>
        <v>#REF!</v>
      </c>
      <c r="B317" s="305" t="e">
        <f>#REF!</f>
        <v>#REF!</v>
      </c>
      <c r="C317" s="305" t="str">
        <f>'Danh sách máy'!C312</f>
        <v>Fact.4</v>
      </c>
      <c r="D317" s="90" t="e">
        <f>#REF!</f>
        <v>#REF!</v>
      </c>
      <c r="E317" s="97">
        <f>'Danh sách máy'!E312</f>
        <v>45773</v>
      </c>
      <c r="F317" s="206" t="e">
        <f>#REF!</f>
        <v>#REF!</v>
      </c>
      <c r="G317" s="102" t="e">
        <f>#REF!</f>
        <v>#REF!</v>
      </c>
      <c r="H317" s="102" t="e">
        <f>#REF!</f>
        <v>#REF!</v>
      </c>
      <c r="I317" s="209">
        <v>44591</v>
      </c>
      <c r="J317" s="210"/>
      <c r="K317" s="210" t="e">
        <f>#REF!</f>
        <v>#REF!</v>
      </c>
      <c r="L317" s="210">
        <v>44586</v>
      </c>
      <c r="M317" s="210"/>
      <c r="N317" s="210">
        <f>'Danh sách máy'!F312</f>
        <v>45789</v>
      </c>
      <c r="O317" s="211" t="str" cm="1">
        <f t="array" ref="O317">IF(L317&lt;&gt;0,IF(L317&lt;I317,"OK","NG"),Blank)</f>
        <v>OK</v>
      </c>
      <c r="P317" s="211" t="e" cm="1">
        <f t="array" ref="P317">IF(M317&lt;&gt;0,IF(M317&lt;J317,"OK","NG"),Blank)</f>
        <v>#NAME?</v>
      </c>
      <c r="Q317" s="211" t="e" cm="1">
        <f t="array" ref="Q317">IF(H317&lt;&gt;"Stop",IF(N317&lt;&gt;0,IF(N317&lt;=K317,"OK","NG"),Blank),"-")</f>
        <v>#REF!</v>
      </c>
      <c r="R317" s="326" t="e" cm="1">
        <f t="array" ref="R317">IF(H317&lt;&gt;"Stop",IF(E317&lt;&gt;0,IF(E317&lt;=K317,"OK","NG"),Blank),"-")</f>
        <v>#REF!</v>
      </c>
      <c r="S317" s="22"/>
      <c r="T317" s="221"/>
      <c r="U317"/>
    </row>
    <row r="318" spans="1:21" ht="30" hidden="1" x14ac:dyDescent="0.3">
      <c r="A318" s="318" t="e">
        <f>#REF!</f>
        <v>#REF!</v>
      </c>
      <c r="B318" s="305" t="e">
        <f>#REF!</f>
        <v>#REF!</v>
      </c>
      <c r="C318" s="305" t="str">
        <f>'Danh sách máy'!C313</f>
        <v>Fact.4</v>
      </c>
      <c r="D318" s="90" t="e">
        <f>#REF!</f>
        <v>#REF!</v>
      </c>
      <c r="E318" s="97">
        <f>'Danh sách máy'!E313</f>
        <v>45745</v>
      </c>
      <c r="F318" s="206" t="e">
        <f>#REF!</f>
        <v>#REF!</v>
      </c>
      <c r="G318" s="102" t="e">
        <f>#REF!</f>
        <v>#REF!</v>
      </c>
      <c r="H318" s="102" t="e">
        <f>#REF!</f>
        <v>#REF!</v>
      </c>
      <c r="I318" s="209">
        <v>44592</v>
      </c>
      <c r="J318" s="210"/>
      <c r="K318" s="210" t="e">
        <f>#REF!</f>
        <v>#REF!</v>
      </c>
      <c r="L318" s="210">
        <v>44587</v>
      </c>
      <c r="M318" s="210"/>
      <c r="N318" s="210">
        <f>'Danh sách máy'!F313</f>
        <v>0</v>
      </c>
      <c r="O318" s="211" t="str" cm="1">
        <f t="array" ref="O318">IF(L318&lt;&gt;0,IF(L318&lt;I318,"OK","NG"),Blank)</f>
        <v>OK</v>
      </c>
      <c r="P318" s="211" t="e" cm="1">
        <f t="array" ref="P318">IF(M318&lt;&gt;0,IF(M318&lt;J318,"OK","NG"),Blank)</f>
        <v>#NAME?</v>
      </c>
      <c r="Q318" s="211" t="e" cm="1">
        <f t="array" ref="Q318">IF(H318&lt;&gt;"Stop",IF(N318&lt;&gt;0,IF(N318&lt;=K318,"OK","NG"),Blank),"-")</f>
        <v>#REF!</v>
      </c>
      <c r="R318" s="326" t="e" cm="1">
        <f t="array" ref="R318">IF(H318&lt;&gt;"Stop",IF(E318&lt;&gt;0,IF(E318&lt;=K318,"OK","NG"),Blank),"-")</f>
        <v>#REF!</v>
      </c>
      <c r="S318" s="22"/>
      <c r="T318" s="221"/>
      <c r="U318"/>
    </row>
    <row r="319" spans="1:21" ht="30" hidden="1" x14ac:dyDescent="0.3">
      <c r="A319" s="318" t="e">
        <f>#REF!</f>
        <v>#REF!</v>
      </c>
      <c r="B319" s="305" t="e">
        <f>#REF!</f>
        <v>#REF!</v>
      </c>
      <c r="C319" s="305" t="str">
        <f>'Danh sách máy'!C314</f>
        <v>Fact.4</v>
      </c>
      <c r="D319" s="90" t="e">
        <f>#REF!</f>
        <v>#REF!</v>
      </c>
      <c r="E319" s="97">
        <f>'Danh sách máy'!E314</f>
        <v>45770</v>
      </c>
      <c r="F319" s="206" t="e">
        <f>#REF!</f>
        <v>#REF!</v>
      </c>
      <c r="G319" s="102" t="e">
        <f>#REF!</f>
        <v>#REF!</v>
      </c>
      <c r="H319" s="102" t="e">
        <f>#REF!</f>
        <v>#REF!</v>
      </c>
      <c r="I319" s="209">
        <v>44593</v>
      </c>
      <c r="J319" s="210"/>
      <c r="K319" s="210" t="e">
        <f>#REF!</f>
        <v>#REF!</v>
      </c>
      <c r="L319" s="210">
        <v>44588</v>
      </c>
      <c r="M319" s="210"/>
      <c r="N319" s="210">
        <f>'Danh sách máy'!F314</f>
        <v>0</v>
      </c>
      <c r="O319" s="211" t="str" cm="1">
        <f t="array" ref="O319">IF(L319&lt;&gt;0,IF(L319&lt;I319,"OK","NG"),Blank)</f>
        <v>OK</v>
      </c>
      <c r="P319" s="211" t="e" cm="1">
        <f t="array" ref="P319">IF(M319&lt;&gt;0,IF(M319&lt;J319,"OK","NG"),Blank)</f>
        <v>#NAME?</v>
      </c>
      <c r="Q319" s="211" t="e" cm="1">
        <f t="array" ref="Q319">IF(H319&lt;&gt;"Stop",IF(N319&lt;&gt;0,IF(N319&lt;=K319,"OK","NG"),Blank),"-")</f>
        <v>#REF!</v>
      </c>
      <c r="R319" s="326" t="e" cm="1">
        <f t="array" ref="R319">IF(H319&lt;&gt;"Stop",IF(E319&lt;&gt;0,IF(E319&lt;=K319,"OK","NG"),Blank),"-")</f>
        <v>#REF!</v>
      </c>
      <c r="S319" s="22"/>
      <c r="T319" s="221"/>
      <c r="U319"/>
    </row>
    <row r="320" spans="1:21" ht="30" hidden="1" x14ac:dyDescent="0.3">
      <c r="A320" s="318" t="e">
        <f>#REF!</f>
        <v>#REF!</v>
      </c>
      <c r="B320" s="305" t="e">
        <f>#REF!</f>
        <v>#REF!</v>
      </c>
      <c r="C320" s="305" t="str">
        <f>'Danh sách máy'!C315</f>
        <v>Fact.4</v>
      </c>
      <c r="D320" s="90" t="e">
        <f>#REF!</f>
        <v>#REF!</v>
      </c>
      <c r="E320" s="97">
        <f>'Danh sách máy'!E315</f>
        <v>45770</v>
      </c>
      <c r="F320" s="206" t="e">
        <f>#REF!</f>
        <v>#REF!</v>
      </c>
      <c r="G320" s="102" t="e">
        <f>#REF!</f>
        <v>#REF!</v>
      </c>
      <c r="H320" s="102" t="e">
        <f>#REF!</f>
        <v>#REF!</v>
      </c>
      <c r="I320" s="209">
        <v>44594</v>
      </c>
      <c r="J320" s="210"/>
      <c r="K320" s="210" t="e">
        <f>#REF!</f>
        <v>#REF!</v>
      </c>
      <c r="L320" s="210">
        <v>44589</v>
      </c>
      <c r="M320" s="210"/>
      <c r="N320" s="210">
        <f>'Danh sách máy'!F315</f>
        <v>0</v>
      </c>
      <c r="O320" s="211" t="str" cm="1">
        <f t="array" ref="O320">IF(L320&lt;&gt;0,IF(L320&lt;I320,"OK","NG"),Blank)</f>
        <v>OK</v>
      </c>
      <c r="P320" s="211" t="e" cm="1">
        <f t="array" ref="P320">IF(M320&lt;&gt;0,IF(M320&lt;J320,"OK","NG"),Blank)</f>
        <v>#NAME?</v>
      </c>
      <c r="Q320" s="211" t="e" cm="1">
        <f t="array" ref="Q320">IF(H320&lt;&gt;"Stop",IF(N320&lt;&gt;0,IF(N320&lt;=K320,"OK","NG"),Blank),"-")</f>
        <v>#REF!</v>
      </c>
      <c r="R320" s="326" t="e" cm="1">
        <f t="array" ref="R320">IF(H320&lt;&gt;"Stop",IF(E320&lt;&gt;0,IF(E320&lt;=K320,"OK","NG"),Blank),"-")</f>
        <v>#REF!</v>
      </c>
      <c r="S320" s="22"/>
      <c r="T320" s="221"/>
      <c r="U320"/>
    </row>
    <row r="321" spans="1:21" ht="30" hidden="1" x14ac:dyDescent="0.3">
      <c r="A321" s="318" t="e">
        <f>#REF!</f>
        <v>#REF!</v>
      </c>
      <c r="B321" s="305" t="e">
        <f>#REF!</f>
        <v>#REF!</v>
      </c>
      <c r="C321" s="305" t="str">
        <f>'Danh sách máy'!C316</f>
        <v>Fact.4</v>
      </c>
      <c r="D321" s="90" t="e">
        <f>#REF!</f>
        <v>#REF!</v>
      </c>
      <c r="E321" s="97">
        <f>'Danh sách máy'!E316</f>
        <v>45770</v>
      </c>
      <c r="F321" s="206" t="e">
        <f>#REF!</f>
        <v>#REF!</v>
      </c>
      <c r="G321" s="102" t="e">
        <f>#REF!</f>
        <v>#REF!</v>
      </c>
      <c r="H321" s="102" t="e">
        <f>#REF!</f>
        <v>#REF!</v>
      </c>
      <c r="I321" s="209">
        <v>44595</v>
      </c>
      <c r="J321" s="210"/>
      <c r="K321" s="210" t="e">
        <f>#REF!</f>
        <v>#REF!</v>
      </c>
      <c r="L321" s="210">
        <v>44590</v>
      </c>
      <c r="M321" s="210"/>
      <c r="N321" s="210">
        <f>'Danh sách máy'!F316</f>
        <v>0</v>
      </c>
      <c r="O321" s="211" t="str" cm="1">
        <f t="array" ref="O321">IF(L321&lt;&gt;0,IF(L321&lt;I321,"OK","NG"),Blank)</f>
        <v>OK</v>
      </c>
      <c r="P321" s="211" t="e" cm="1">
        <f t="array" ref="P321">IF(M321&lt;&gt;0,IF(M321&lt;J321,"OK","NG"),Blank)</f>
        <v>#NAME?</v>
      </c>
      <c r="Q321" s="211" t="e" cm="1">
        <f t="array" ref="Q321">IF(H321&lt;&gt;"Stop",IF(N321&lt;&gt;0,IF(N321&lt;=K321,"OK","NG"),Blank),"-")</f>
        <v>#REF!</v>
      </c>
      <c r="R321" s="326" t="e" cm="1">
        <f t="array" ref="R321">IF(H321&lt;&gt;"Stop",IF(E321&lt;&gt;0,IF(E321&lt;=K321,"OK","NG"),Blank),"-")</f>
        <v>#REF!</v>
      </c>
      <c r="S321" s="22"/>
      <c r="T321" s="221"/>
      <c r="U321"/>
    </row>
    <row r="322" spans="1:21" ht="30" hidden="1" x14ac:dyDescent="0.3">
      <c r="A322" s="318" t="e">
        <f>#REF!</f>
        <v>#REF!</v>
      </c>
      <c r="B322" s="305" t="e">
        <f>#REF!</f>
        <v>#REF!</v>
      </c>
      <c r="C322" s="305" t="str">
        <f>'Danh sách máy'!C317</f>
        <v>Fact.4</v>
      </c>
      <c r="D322" s="90" t="e">
        <f>#REF!</f>
        <v>#REF!</v>
      </c>
      <c r="E322" s="97">
        <f>'Danh sách máy'!E317</f>
        <v>45773</v>
      </c>
      <c r="F322" s="206" t="e">
        <f>#REF!</f>
        <v>#REF!</v>
      </c>
      <c r="G322" s="102" t="e">
        <f>#REF!</f>
        <v>#REF!</v>
      </c>
      <c r="H322" s="102" t="e">
        <f>#REF!</f>
        <v>#REF!</v>
      </c>
      <c r="I322" s="209">
        <v>44596</v>
      </c>
      <c r="J322" s="210"/>
      <c r="K322" s="210" t="e">
        <f>#REF!</f>
        <v>#REF!</v>
      </c>
      <c r="L322" s="210">
        <v>44591</v>
      </c>
      <c r="M322" s="210"/>
      <c r="N322" s="210">
        <f>'Danh sách máy'!F317</f>
        <v>0</v>
      </c>
      <c r="O322" s="211" t="str" cm="1">
        <f t="array" ref="O322">IF(L322&lt;&gt;0,IF(L322&lt;I322,"OK","NG"),Blank)</f>
        <v>OK</v>
      </c>
      <c r="P322" s="211" t="e" cm="1">
        <f t="array" ref="P322">IF(M322&lt;&gt;0,IF(M322&lt;J322,"OK","NG"),Blank)</f>
        <v>#NAME?</v>
      </c>
      <c r="Q322" s="211" t="e" cm="1">
        <f t="array" ref="Q322">IF(H322&lt;&gt;"Stop",IF(N322&lt;&gt;0,IF(N322&lt;=K322,"OK","NG"),Blank),"-")</f>
        <v>#REF!</v>
      </c>
      <c r="R322" s="326" t="e" cm="1">
        <f t="array" ref="R322">IF(H322&lt;&gt;"Stop",IF(E322&lt;&gt;0,IF(E322&lt;=K322,"OK","NG"),Blank),"-")</f>
        <v>#REF!</v>
      </c>
      <c r="S322" s="22"/>
      <c r="T322" s="221"/>
      <c r="U322"/>
    </row>
    <row r="323" spans="1:21" ht="45" hidden="1" x14ac:dyDescent="0.3">
      <c r="A323" s="318" t="e">
        <f>#REF!</f>
        <v>#REF!</v>
      </c>
      <c r="B323" s="305" t="e">
        <f>#REF!</f>
        <v>#REF!</v>
      </c>
      <c r="C323" s="305" t="str">
        <f>'Danh sách máy'!C318</f>
        <v>Fact.4</v>
      </c>
      <c r="D323" s="90" t="e">
        <f>#REF!</f>
        <v>#REF!</v>
      </c>
      <c r="E323" s="97">
        <f>'Danh sách máy'!E318</f>
        <v>45773</v>
      </c>
      <c r="F323" s="206" t="e">
        <f>#REF!</f>
        <v>#REF!</v>
      </c>
      <c r="G323" s="102" t="e">
        <f>#REF!</f>
        <v>#REF!</v>
      </c>
      <c r="H323" s="102" t="e">
        <f>#REF!</f>
        <v>#REF!</v>
      </c>
      <c r="I323" s="209">
        <v>44597</v>
      </c>
      <c r="J323" s="210"/>
      <c r="K323" s="210" t="e">
        <f>#REF!</f>
        <v>#REF!</v>
      </c>
      <c r="L323" s="210">
        <v>44592</v>
      </c>
      <c r="M323" s="210"/>
      <c r="N323" s="210">
        <f>'Danh sách máy'!F318</f>
        <v>0</v>
      </c>
      <c r="O323" s="211" t="str" cm="1">
        <f t="array" ref="O323">IF(L323&lt;&gt;0,IF(L323&lt;I323,"OK","NG"),Blank)</f>
        <v>OK</v>
      </c>
      <c r="P323" s="211" t="e" cm="1">
        <f t="array" ref="P323">IF(M323&lt;&gt;0,IF(M323&lt;J323,"OK","NG"),Blank)</f>
        <v>#NAME?</v>
      </c>
      <c r="Q323" s="211" t="e" cm="1">
        <f t="array" ref="Q323">IF(H323&lt;&gt;"Stop",IF(N323&lt;&gt;0,IF(N323&lt;=K323,"OK","NG"),Blank),"-")</f>
        <v>#REF!</v>
      </c>
      <c r="R323" s="326" t="e" cm="1">
        <f t="array" ref="R323">IF(H323&lt;&gt;"Stop",IF(E323&lt;&gt;0,IF(E323&lt;=K323,"OK","NG"),Blank),"-")</f>
        <v>#REF!</v>
      </c>
      <c r="S323" s="22"/>
      <c r="T323" s="221"/>
      <c r="U323"/>
    </row>
    <row r="324" spans="1:21" ht="30" hidden="1" x14ac:dyDescent="0.3">
      <c r="A324" s="318" t="e">
        <f>#REF!</f>
        <v>#REF!</v>
      </c>
      <c r="B324" s="305" t="e">
        <f>#REF!</f>
        <v>#REF!</v>
      </c>
      <c r="C324" s="305" t="str">
        <f>'Danh sách máy'!C319</f>
        <v>Fact.4</v>
      </c>
      <c r="D324" s="90" t="e">
        <f>#REF!</f>
        <v>#REF!</v>
      </c>
      <c r="E324" s="97">
        <f>'Danh sách máy'!E319</f>
        <v>45770</v>
      </c>
      <c r="F324" s="206" t="e">
        <f>#REF!</f>
        <v>#REF!</v>
      </c>
      <c r="G324" s="102" t="e">
        <f>#REF!</f>
        <v>#REF!</v>
      </c>
      <c r="H324" s="102" t="e">
        <f>#REF!</f>
        <v>#REF!</v>
      </c>
      <c r="I324" s="209">
        <v>44598</v>
      </c>
      <c r="J324" s="210"/>
      <c r="K324" s="210" t="e">
        <f>#REF!</f>
        <v>#REF!</v>
      </c>
      <c r="L324" s="210">
        <v>44593</v>
      </c>
      <c r="M324" s="210"/>
      <c r="N324" s="210">
        <f>'Danh sách máy'!F319</f>
        <v>0</v>
      </c>
      <c r="O324" s="211" t="str" cm="1">
        <f t="array" ref="O324">IF(L324&lt;&gt;0,IF(L324&lt;I324,"OK","NG"),Blank)</f>
        <v>OK</v>
      </c>
      <c r="P324" s="211" t="e" cm="1">
        <f t="array" ref="P324">IF(M324&lt;&gt;0,IF(M324&lt;J324,"OK","NG"),Blank)</f>
        <v>#NAME?</v>
      </c>
      <c r="Q324" s="211" t="e" cm="1">
        <f t="array" ref="Q324">IF(H324&lt;&gt;"Stop",IF(N324&lt;&gt;0,IF(N324&lt;=K324,"OK","NG"),Blank),"-")</f>
        <v>#REF!</v>
      </c>
      <c r="R324" s="326" t="e" cm="1">
        <f t="array" ref="R324">IF(H324&lt;&gt;"Stop",IF(E324&lt;&gt;0,IF(E324&lt;=K324,"OK","NG"),Blank),"-")</f>
        <v>#REF!</v>
      </c>
      <c r="S324" s="22"/>
      <c r="T324" s="221"/>
      <c r="U324"/>
    </row>
    <row r="325" spans="1:21" ht="30" hidden="1" x14ac:dyDescent="0.3">
      <c r="A325" s="318" t="e">
        <f>#REF!</f>
        <v>#REF!</v>
      </c>
      <c r="B325" s="305" t="e">
        <f>#REF!</f>
        <v>#REF!</v>
      </c>
      <c r="C325" s="305" t="str">
        <f>'Danh sách máy'!C320</f>
        <v>Fact.4</v>
      </c>
      <c r="D325" s="90" t="e">
        <f>#REF!</f>
        <v>#REF!</v>
      </c>
      <c r="E325" s="97">
        <f>'Danh sách máy'!E320</f>
        <v>45736</v>
      </c>
      <c r="F325" s="206" t="e">
        <f>#REF!</f>
        <v>#REF!</v>
      </c>
      <c r="G325" s="102" t="e">
        <f>#REF!</f>
        <v>#REF!</v>
      </c>
      <c r="H325" s="102" t="e">
        <f>#REF!</f>
        <v>#REF!</v>
      </c>
      <c r="I325" s="209">
        <v>44599</v>
      </c>
      <c r="J325" s="210"/>
      <c r="K325" s="210" t="e">
        <f>#REF!</f>
        <v>#REF!</v>
      </c>
      <c r="L325" s="210">
        <v>44594</v>
      </c>
      <c r="M325" s="210"/>
      <c r="N325" s="210">
        <f>'Danh sách máy'!F320</f>
        <v>0</v>
      </c>
      <c r="O325" s="211" t="str" cm="1">
        <f t="array" ref="O325">IF(L325&lt;&gt;0,IF(L325&lt;I325,"OK","NG"),Blank)</f>
        <v>OK</v>
      </c>
      <c r="P325" s="211" t="e" cm="1">
        <f t="array" ref="P325">IF(M325&lt;&gt;0,IF(M325&lt;J325,"OK","NG"),Blank)</f>
        <v>#NAME?</v>
      </c>
      <c r="Q325" s="211" t="e" cm="1">
        <f t="array" ref="Q325">IF(H325&lt;&gt;"Stop",IF(N325&lt;&gt;0,IF(N325&lt;=K325,"OK","NG"),Blank),"-")</f>
        <v>#REF!</v>
      </c>
      <c r="R325" s="326" t="e" cm="1">
        <f t="array" ref="R325">IF(H325&lt;&gt;"Stop",IF(E325&lt;&gt;0,IF(E325&lt;=K325,"OK","NG"),Blank),"-")</f>
        <v>#REF!</v>
      </c>
      <c r="S325" s="22"/>
      <c r="T325" s="221"/>
      <c r="U325"/>
    </row>
    <row r="326" spans="1:21" ht="30" hidden="1" x14ac:dyDescent="0.3">
      <c r="A326" s="318" t="e">
        <f>#REF!</f>
        <v>#REF!</v>
      </c>
      <c r="B326" s="305" t="e">
        <f>#REF!</f>
        <v>#REF!</v>
      </c>
      <c r="C326" s="305" t="str">
        <f>'Danh sách máy'!C321</f>
        <v>Fact.4</v>
      </c>
      <c r="D326" s="90" t="e">
        <f>#REF!</f>
        <v>#REF!</v>
      </c>
      <c r="E326" s="97">
        <f>'Danh sách máy'!E321</f>
        <v>45770</v>
      </c>
      <c r="F326" s="206" t="e">
        <f>#REF!</f>
        <v>#REF!</v>
      </c>
      <c r="G326" s="102" t="e">
        <f>#REF!</f>
        <v>#REF!</v>
      </c>
      <c r="H326" s="102" t="e">
        <f>#REF!</f>
        <v>#REF!</v>
      </c>
      <c r="I326" s="209">
        <v>44600</v>
      </c>
      <c r="J326" s="210"/>
      <c r="K326" s="210" t="e">
        <f>#REF!</f>
        <v>#REF!</v>
      </c>
      <c r="L326" s="210">
        <v>44595</v>
      </c>
      <c r="M326" s="210"/>
      <c r="N326" s="210">
        <f>'Danh sách máy'!F321</f>
        <v>0</v>
      </c>
      <c r="O326" s="211" t="str" cm="1">
        <f t="array" ref="O326">IF(L326&lt;&gt;0,IF(L326&lt;I326,"OK","NG"),Blank)</f>
        <v>OK</v>
      </c>
      <c r="P326" s="211" t="e" cm="1">
        <f t="array" ref="P326">IF(M326&lt;&gt;0,IF(M326&lt;J326,"OK","NG"),Blank)</f>
        <v>#NAME?</v>
      </c>
      <c r="Q326" s="211" t="e" cm="1">
        <f t="array" ref="Q326">IF(H326&lt;&gt;"Stop",IF(N326&lt;&gt;0,IF(N326&lt;=K326,"OK","NG"),Blank),"-")</f>
        <v>#REF!</v>
      </c>
      <c r="R326" s="326" t="e" cm="1">
        <f t="array" ref="R326">IF(H326&lt;&gt;"Stop",IF(E326&lt;&gt;0,IF(E326&lt;=K326,"OK","NG"),Blank),"-")</f>
        <v>#REF!</v>
      </c>
      <c r="S326" s="22"/>
      <c r="T326" s="221"/>
      <c r="U326"/>
    </row>
    <row r="327" spans="1:21" ht="30" hidden="1" x14ac:dyDescent="0.3">
      <c r="A327" s="318" t="e">
        <f>#REF!</f>
        <v>#REF!</v>
      </c>
      <c r="B327" s="305" t="e">
        <f>#REF!</f>
        <v>#REF!</v>
      </c>
      <c r="C327" s="305" t="str">
        <f>'Danh sách máy'!C322</f>
        <v>Fact.4</v>
      </c>
      <c r="D327" s="90" t="e">
        <f>#REF!</f>
        <v>#REF!</v>
      </c>
      <c r="E327" s="97">
        <f>'Danh sách máy'!E322</f>
        <v>0</v>
      </c>
      <c r="F327" s="206" t="e">
        <f>#REF!</f>
        <v>#REF!</v>
      </c>
      <c r="G327" s="102" t="e">
        <f>#REF!</f>
        <v>#REF!</v>
      </c>
      <c r="H327" s="102" t="e">
        <f>#REF!</f>
        <v>#REF!</v>
      </c>
      <c r="I327" s="209">
        <v>44601</v>
      </c>
      <c r="J327" s="210"/>
      <c r="K327" s="210" t="e">
        <f>#REF!</f>
        <v>#REF!</v>
      </c>
      <c r="L327" s="210">
        <v>44596</v>
      </c>
      <c r="M327" s="210"/>
      <c r="N327" s="210">
        <f>'Danh sách máy'!F322</f>
        <v>0</v>
      </c>
      <c r="O327" s="211" t="str" cm="1">
        <f t="array" ref="O327">IF(L327&lt;&gt;0,IF(L327&lt;I327,"OK","NG"),Blank)</f>
        <v>OK</v>
      </c>
      <c r="P327" s="211" t="e" cm="1">
        <f t="array" ref="P327">IF(M327&lt;&gt;0,IF(M327&lt;J327,"OK","NG"),Blank)</f>
        <v>#NAME?</v>
      </c>
      <c r="Q327" s="211" t="e" cm="1">
        <f t="array" ref="Q327">IF(H327&lt;&gt;"Stop",IF(N327&lt;&gt;0,IF(N327&lt;=K327,"OK","NG"),Blank),"-")</f>
        <v>#REF!</v>
      </c>
      <c r="R327" s="326" t="e" cm="1">
        <f t="array" ref="R327">IF(H327&lt;&gt;"Stop",IF(E327&lt;&gt;0,IF(E327&lt;=K327,"OK","NG"),Blank),"-")</f>
        <v>#REF!</v>
      </c>
      <c r="S327" s="22"/>
      <c r="T327" s="221"/>
      <c r="U327"/>
    </row>
    <row r="328" spans="1:21" ht="45" x14ac:dyDescent="0.3">
      <c r="A328" s="318" t="e">
        <f>#REF!</f>
        <v>#REF!</v>
      </c>
      <c r="B328" s="305" t="e">
        <f>#REF!</f>
        <v>#REF!</v>
      </c>
      <c r="C328" s="305" t="str">
        <f>'Danh sách máy'!C323</f>
        <v>Fact.4</v>
      </c>
      <c r="D328" s="90" t="e">
        <f>#REF!</f>
        <v>#REF!</v>
      </c>
      <c r="E328" s="97">
        <f>'Danh sách máy'!E323</f>
        <v>45968</v>
      </c>
      <c r="F328" s="206" t="e">
        <f>#REF!</f>
        <v>#REF!</v>
      </c>
      <c r="G328" s="102" t="e">
        <f>#REF!</f>
        <v>#REF!</v>
      </c>
      <c r="H328" s="102" t="e">
        <f>#REF!</f>
        <v>#REF!</v>
      </c>
      <c r="I328" s="209">
        <v>44602</v>
      </c>
      <c r="J328" s="210"/>
      <c r="K328" s="210" t="e">
        <f>#REF!</f>
        <v>#REF!</v>
      </c>
      <c r="L328" s="210">
        <v>44597</v>
      </c>
      <c r="M328" s="210"/>
      <c r="N328" s="210">
        <f>'Danh sách máy'!F323</f>
        <v>45968</v>
      </c>
      <c r="O328" s="211" t="str" cm="1">
        <f t="array" ref="O328">IF(L328&lt;&gt;0,IF(L328&lt;I328,"OK","NG"),Blank)</f>
        <v>OK</v>
      </c>
      <c r="P328" s="211" t="e" cm="1">
        <f t="array" ref="P328">IF(M328&lt;&gt;0,IF(M328&lt;J328,"OK","NG"),Blank)</f>
        <v>#NAME?</v>
      </c>
      <c r="Q328" s="211" t="e" cm="1">
        <f t="array" ref="Q328">IF(H328&lt;&gt;"Stop",IF(N328&lt;&gt;0,IF(N328&lt;=K328,"OK","NG"),Blank),"-")</f>
        <v>#REF!</v>
      </c>
      <c r="R328" s="326" t="e" cm="1">
        <f t="array" ref="R328">IF(H328&lt;&gt;"Stop",IF(E328&lt;&gt;0,IF(E328&lt;=K328,"OK","NG"),Blank),"-")</f>
        <v>#REF!</v>
      </c>
      <c r="S328" s="22"/>
      <c r="T328" s="221"/>
      <c r="U328"/>
    </row>
    <row r="329" spans="1:21" ht="30" x14ac:dyDescent="0.3">
      <c r="A329" s="318" t="e">
        <f>#REF!</f>
        <v>#REF!</v>
      </c>
      <c r="B329" s="305" t="e">
        <f>#REF!</f>
        <v>#REF!</v>
      </c>
      <c r="C329" s="305" t="str">
        <f>'Danh sách máy'!C324</f>
        <v>Fact.4</v>
      </c>
      <c r="D329" s="90" t="e">
        <f>#REF!</f>
        <v>#REF!</v>
      </c>
      <c r="E329" s="97">
        <f>'Danh sách máy'!E324</f>
        <v>45927</v>
      </c>
      <c r="F329" s="206" t="e">
        <f>#REF!</f>
        <v>#REF!</v>
      </c>
      <c r="G329" s="102" t="e">
        <f>#REF!</f>
        <v>#REF!</v>
      </c>
      <c r="H329" s="102" t="e">
        <f>#REF!</f>
        <v>#REF!</v>
      </c>
      <c r="I329" s="209">
        <v>44603</v>
      </c>
      <c r="J329" s="210"/>
      <c r="K329" s="210" t="e">
        <f>#REF!</f>
        <v>#REF!</v>
      </c>
      <c r="L329" s="210">
        <v>44598</v>
      </c>
      <c r="M329" s="210"/>
      <c r="N329" s="210">
        <f>'Danh sách máy'!F324</f>
        <v>45933</v>
      </c>
      <c r="O329" s="211" t="str" cm="1">
        <f t="array" ref="O329">IF(L329&lt;&gt;0,IF(L329&lt;I329,"OK","NG"),Blank)</f>
        <v>OK</v>
      </c>
      <c r="P329" s="211" t="e" cm="1">
        <f t="array" ref="P329">IF(M329&lt;&gt;0,IF(M329&lt;J329,"OK","NG"),Blank)</f>
        <v>#NAME?</v>
      </c>
      <c r="Q329" s="211" t="e" cm="1">
        <f t="array" ref="Q329">IF(H329&lt;&gt;"Stop",IF(N329&lt;&gt;0,IF(N329&lt;=K329,"OK","NG"),Blank),"-")</f>
        <v>#REF!</v>
      </c>
      <c r="R329" s="326" t="e" cm="1">
        <f t="array" ref="R329">IF(H329&lt;&gt;"Stop",IF(E329&lt;&gt;0,IF(E329&lt;=K329,"OK","NG"),Blank),"-")</f>
        <v>#REF!</v>
      </c>
      <c r="S329" s="22"/>
      <c r="T329" s="221"/>
      <c r="U329"/>
    </row>
    <row r="330" spans="1:21" ht="30" x14ac:dyDescent="0.3">
      <c r="A330" s="318" t="e">
        <f>#REF!</f>
        <v>#REF!</v>
      </c>
      <c r="B330" s="305" t="e">
        <f>#REF!</f>
        <v>#REF!</v>
      </c>
      <c r="C330" s="305" t="str">
        <f>'Danh sách máy'!C325</f>
        <v>Fact.4</v>
      </c>
      <c r="D330" s="90" t="e">
        <f>#REF!</f>
        <v>#REF!</v>
      </c>
      <c r="E330" s="97">
        <f>'Danh sách máy'!E325</f>
        <v>45789</v>
      </c>
      <c r="F330" s="206" t="e">
        <f>#REF!</f>
        <v>#REF!</v>
      </c>
      <c r="G330" s="102" t="e">
        <f>#REF!</f>
        <v>#REF!</v>
      </c>
      <c r="H330" s="102" t="e">
        <f>#REF!</f>
        <v>#REF!</v>
      </c>
      <c r="I330" s="209">
        <v>44604</v>
      </c>
      <c r="J330" s="210"/>
      <c r="K330" s="210" t="e">
        <f>#REF!</f>
        <v>#REF!</v>
      </c>
      <c r="L330" s="210">
        <v>44599</v>
      </c>
      <c r="M330" s="210"/>
      <c r="N330" s="210">
        <f>'Danh sách máy'!F325</f>
        <v>45789</v>
      </c>
      <c r="O330" s="211" t="str" cm="1">
        <f t="array" ref="O330">IF(L330&lt;&gt;0,IF(L330&lt;I330,"OK","NG"),Blank)</f>
        <v>OK</v>
      </c>
      <c r="P330" s="211" t="e" cm="1">
        <f t="array" ref="P330">IF(M330&lt;&gt;0,IF(M330&lt;J330,"OK","NG"),Blank)</f>
        <v>#NAME?</v>
      </c>
      <c r="Q330" s="211" t="e" cm="1">
        <f t="array" ref="Q330">IF(H330&lt;&gt;"Stop",IF(N330&lt;&gt;0,IF(N330&lt;=K330,"OK","NG"),Blank),"-")</f>
        <v>#REF!</v>
      </c>
      <c r="R330" s="326" t="e" cm="1">
        <f t="array" ref="R330">IF(H330&lt;&gt;"Stop",IF(E330&lt;&gt;0,IF(E330&lt;=K330,"OK","NG"),Blank),"-")</f>
        <v>#REF!</v>
      </c>
      <c r="S330" s="22"/>
      <c r="T330" s="221"/>
      <c r="U330"/>
    </row>
    <row r="331" spans="1:21" ht="30" x14ac:dyDescent="0.3">
      <c r="A331" s="318" t="e">
        <f>#REF!</f>
        <v>#REF!</v>
      </c>
      <c r="B331" s="305" t="e">
        <f>#REF!</f>
        <v>#REF!</v>
      </c>
      <c r="C331" s="305" t="str">
        <f>'Danh sách máy'!C326</f>
        <v>Fact.4</v>
      </c>
      <c r="D331" s="90" t="e">
        <f>#REF!</f>
        <v>#REF!</v>
      </c>
      <c r="E331" s="97">
        <f>'Danh sách máy'!E326</f>
        <v>45789</v>
      </c>
      <c r="F331" s="206" t="e">
        <f>#REF!</f>
        <v>#REF!</v>
      </c>
      <c r="G331" s="102" t="e">
        <f>#REF!</f>
        <v>#REF!</v>
      </c>
      <c r="H331" s="102" t="e">
        <f>#REF!</f>
        <v>#REF!</v>
      </c>
      <c r="I331" s="209">
        <v>44605</v>
      </c>
      <c r="J331" s="210"/>
      <c r="K331" s="210" t="e">
        <f>#REF!</f>
        <v>#REF!</v>
      </c>
      <c r="L331" s="210">
        <v>44600</v>
      </c>
      <c r="M331" s="210"/>
      <c r="N331" s="210">
        <f>'Danh sách máy'!F326</f>
        <v>45789</v>
      </c>
      <c r="O331" s="211" t="str" cm="1">
        <f t="array" ref="O331">IF(L331&lt;&gt;0,IF(L331&lt;I331,"OK","NG"),Blank)</f>
        <v>OK</v>
      </c>
      <c r="P331" s="211" t="e" cm="1">
        <f t="array" ref="P331">IF(M331&lt;&gt;0,IF(M331&lt;J331,"OK","NG"),Blank)</f>
        <v>#NAME?</v>
      </c>
      <c r="Q331" s="211" t="e" cm="1">
        <f t="array" ref="Q331">IF(H331&lt;&gt;"Stop",IF(N331&lt;&gt;0,IF(N331&lt;=K331,"OK","NG"),Blank),"-")</f>
        <v>#REF!</v>
      </c>
      <c r="R331" s="326" t="e" cm="1">
        <f t="array" ref="R331">IF(H331&lt;&gt;"Stop",IF(E331&lt;&gt;0,IF(E331&lt;=K331,"OK","NG"),Blank),"-")</f>
        <v>#REF!</v>
      </c>
      <c r="S331" s="22"/>
      <c r="T331" s="221"/>
      <c r="U331"/>
    </row>
    <row r="332" spans="1:21" ht="30" x14ac:dyDescent="0.3">
      <c r="A332" s="318" t="e">
        <f>#REF!</f>
        <v>#REF!</v>
      </c>
      <c r="B332" s="305" t="e">
        <f>#REF!</f>
        <v>#REF!</v>
      </c>
      <c r="C332" s="305" t="str">
        <f>'Danh sách máy'!C327</f>
        <v>Fact.4</v>
      </c>
      <c r="D332" s="90" t="e">
        <f>#REF!</f>
        <v>#REF!</v>
      </c>
      <c r="E332" s="97">
        <f>'Danh sách máy'!E327</f>
        <v>45773</v>
      </c>
      <c r="F332" s="206" t="e">
        <f>#REF!</f>
        <v>#REF!</v>
      </c>
      <c r="G332" s="102" t="e">
        <f>#REF!</f>
        <v>#REF!</v>
      </c>
      <c r="H332" s="102" t="e">
        <f>#REF!</f>
        <v>#REF!</v>
      </c>
      <c r="I332" s="209">
        <v>44606</v>
      </c>
      <c r="J332" s="210"/>
      <c r="K332" s="210" t="e">
        <f>#REF!</f>
        <v>#REF!</v>
      </c>
      <c r="L332" s="210">
        <v>44601</v>
      </c>
      <c r="M332" s="210"/>
      <c r="N332" s="210">
        <f>'Danh sách máy'!F327</f>
        <v>45789</v>
      </c>
      <c r="O332" s="211" t="str" cm="1">
        <f t="array" ref="O332">IF(L332&lt;&gt;0,IF(L332&lt;I332,"OK","NG"),Blank)</f>
        <v>OK</v>
      </c>
      <c r="P332" s="211" t="e" cm="1">
        <f t="array" ref="P332">IF(M332&lt;&gt;0,IF(M332&lt;J332,"OK","NG"),Blank)</f>
        <v>#NAME?</v>
      </c>
      <c r="Q332" s="211" t="e" cm="1">
        <f t="array" ref="Q332">IF(H332&lt;&gt;"Stop",IF(N332&lt;&gt;0,IF(N332&lt;=K332,"OK","NG"),Blank),"-")</f>
        <v>#REF!</v>
      </c>
      <c r="R332" s="326" t="e" cm="1">
        <f t="array" ref="R332">IF(H332&lt;&gt;"Stop",IF(E332&lt;&gt;0,IF(E332&lt;=K332,"OK","NG"),Blank),"-")</f>
        <v>#REF!</v>
      </c>
      <c r="S332" s="22"/>
      <c r="T332" s="221"/>
      <c r="U332"/>
    </row>
    <row r="333" spans="1:21" ht="30" x14ac:dyDescent="0.3">
      <c r="A333" s="318" t="e">
        <f>#REF!</f>
        <v>#REF!</v>
      </c>
      <c r="B333" s="305" t="e">
        <f>#REF!</f>
        <v>#REF!</v>
      </c>
      <c r="C333" s="305" t="str">
        <f>'Danh sách máy'!C328</f>
        <v>Fact.4</v>
      </c>
      <c r="D333" s="90" t="e">
        <f>#REF!</f>
        <v>#REF!</v>
      </c>
      <c r="E333" s="97">
        <f>'Danh sách máy'!E328</f>
        <v>45773</v>
      </c>
      <c r="F333" s="206" t="e">
        <f>#REF!</f>
        <v>#REF!</v>
      </c>
      <c r="G333" s="102" t="e">
        <f>#REF!</f>
        <v>#REF!</v>
      </c>
      <c r="H333" s="102" t="e">
        <f>#REF!</f>
        <v>#REF!</v>
      </c>
      <c r="I333" s="209">
        <v>44607</v>
      </c>
      <c r="J333" s="210"/>
      <c r="K333" s="210" t="e">
        <f>#REF!</f>
        <v>#REF!</v>
      </c>
      <c r="L333" s="210">
        <v>44602</v>
      </c>
      <c r="M333" s="210"/>
      <c r="N333" s="210">
        <f>'Danh sách máy'!F328</f>
        <v>45789</v>
      </c>
      <c r="O333" s="211" t="str" cm="1">
        <f t="array" ref="O333">IF(L333&lt;&gt;0,IF(L333&lt;I333,"OK","NG"),Blank)</f>
        <v>OK</v>
      </c>
      <c r="P333" s="211" t="e" cm="1">
        <f t="array" ref="P333">IF(M333&lt;&gt;0,IF(M333&lt;J333,"OK","NG"),Blank)</f>
        <v>#NAME?</v>
      </c>
      <c r="Q333" s="211" t="e" cm="1">
        <f t="array" ref="Q333">IF(H333&lt;&gt;"Stop",IF(N333&lt;&gt;0,IF(N333&lt;=K333,"OK","NG"),Blank),"-")</f>
        <v>#REF!</v>
      </c>
      <c r="R333" s="326" t="e" cm="1">
        <f t="array" ref="R333">IF(H333&lt;&gt;"Stop",IF(E333&lt;&gt;0,IF(E333&lt;=K333,"OK","NG"),Blank),"-")</f>
        <v>#REF!</v>
      </c>
      <c r="S333" s="22"/>
      <c r="T333" s="221"/>
      <c r="U333"/>
    </row>
    <row r="334" spans="1:21" ht="30" x14ac:dyDescent="0.3">
      <c r="A334" s="318" t="e">
        <f>#REF!</f>
        <v>#REF!</v>
      </c>
      <c r="B334" s="305" t="e">
        <f>#REF!</f>
        <v>#REF!</v>
      </c>
      <c r="C334" s="305" t="str">
        <f>'Danh sách máy'!C329</f>
        <v>Fact.4</v>
      </c>
      <c r="D334" s="90" t="e">
        <f>#REF!</f>
        <v>#REF!</v>
      </c>
      <c r="E334" s="97">
        <f>'Danh sách máy'!E329</f>
        <v>45745</v>
      </c>
      <c r="F334" s="206" t="e">
        <f>#REF!</f>
        <v>#REF!</v>
      </c>
      <c r="G334" s="102" t="e">
        <f>#REF!</f>
        <v>#REF!</v>
      </c>
      <c r="H334" s="102" t="e">
        <f>#REF!</f>
        <v>#REF!</v>
      </c>
      <c r="I334" s="209">
        <v>44608</v>
      </c>
      <c r="J334" s="210"/>
      <c r="K334" s="210" t="e">
        <f>#REF!</f>
        <v>#REF!</v>
      </c>
      <c r="L334" s="210">
        <v>44603</v>
      </c>
      <c r="M334" s="210"/>
      <c r="N334" s="210">
        <f>'Danh sách máy'!F329</f>
        <v>45815</v>
      </c>
      <c r="O334" s="211" t="str" cm="1">
        <f t="array" ref="O334">IF(L334&lt;&gt;0,IF(L334&lt;I334,"OK","NG"),Blank)</f>
        <v>OK</v>
      </c>
      <c r="P334" s="211" t="e" cm="1">
        <f t="array" ref="P334">IF(M334&lt;&gt;0,IF(M334&lt;J334,"OK","NG"),Blank)</f>
        <v>#NAME?</v>
      </c>
      <c r="Q334" s="211" t="e" cm="1">
        <f t="array" ref="Q334">IF(H334&lt;&gt;"Stop",IF(N334&lt;&gt;0,IF(N334&lt;=K334,"OK","NG"),Blank),"-")</f>
        <v>#REF!</v>
      </c>
      <c r="R334" s="326" t="e" cm="1">
        <f t="array" ref="R334">IF(H334&lt;&gt;"Stop",IF(E334&lt;&gt;0,IF(E334&lt;=K334,"OK","NG"),Blank),"-")</f>
        <v>#REF!</v>
      </c>
      <c r="S334" s="22"/>
      <c r="T334" s="221"/>
      <c r="U334"/>
    </row>
    <row r="335" spans="1:21" ht="30" x14ac:dyDescent="0.3">
      <c r="A335" s="318" t="e">
        <f>#REF!</f>
        <v>#REF!</v>
      </c>
      <c r="B335" s="305" t="e">
        <f>#REF!</f>
        <v>#REF!</v>
      </c>
      <c r="C335" s="305" t="str">
        <f>'Danh sách máy'!C330</f>
        <v>Fact.4</v>
      </c>
      <c r="D335" s="90" t="e">
        <f>#REF!</f>
        <v>#REF!</v>
      </c>
      <c r="E335" s="97">
        <f>'Danh sách máy'!E330</f>
        <v>45770</v>
      </c>
      <c r="F335" s="206" t="e">
        <f>#REF!</f>
        <v>#REF!</v>
      </c>
      <c r="G335" s="102" t="e">
        <f>#REF!</f>
        <v>#REF!</v>
      </c>
      <c r="H335" s="102" t="e">
        <f>#REF!</f>
        <v>#REF!</v>
      </c>
      <c r="I335" s="209">
        <v>44609</v>
      </c>
      <c r="J335" s="210"/>
      <c r="K335" s="210" t="e">
        <f>#REF!</f>
        <v>#REF!</v>
      </c>
      <c r="L335" s="210">
        <v>44604</v>
      </c>
      <c r="M335" s="210"/>
      <c r="N335" s="210">
        <f>'Danh sách máy'!F330</f>
        <v>45815</v>
      </c>
      <c r="O335" s="211" t="str" cm="1">
        <f t="array" ref="O335">IF(L335&lt;&gt;0,IF(L335&lt;I335,"OK","NG"),Blank)</f>
        <v>OK</v>
      </c>
      <c r="P335" s="211" t="e" cm="1">
        <f t="array" ref="P335">IF(M335&lt;&gt;0,IF(M335&lt;J335,"OK","NG"),Blank)</f>
        <v>#NAME?</v>
      </c>
      <c r="Q335" s="211" t="e" cm="1">
        <f t="array" ref="Q335">IF(H335&lt;&gt;"Stop",IF(N335&lt;&gt;0,IF(N335&lt;=K335,"OK","NG"),Blank),"-")</f>
        <v>#REF!</v>
      </c>
      <c r="R335" s="326" t="e" cm="1">
        <f t="array" ref="R335">IF(H335&lt;&gt;"Stop",IF(E335&lt;&gt;0,IF(E335&lt;=K335,"OK","NG"),Blank),"-")</f>
        <v>#REF!</v>
      </c>
      <c r="S335" s="22"/>
      <c r="T335" s="221"/>
      <c r="U335"/>
    </row>
    <row r="336" spans="1:21" ht="30" x14ac:dyDescent="0.3">
      <c r="A336" s="318" t="e">
        <f>#REF!</f>
        <v>#REF!</v>
      </c>
      <c r="B336" s="305" t="e">
        <f>#REF!</f>
        <v>#REF!</v>
      </c>
      <c r="C336" s="305" t="str">
        <f>'Danh sách máy'!C331</f>
        <v>Fact.4</v>
      </c>
      <c r="D336" s="90" t="e">
        <f>#REF!</f>
        <v>#REF!</v>
      </c>
      <c r="E336" s="97">
        <f>'Danh sách máy'!E331</f>
        <v>45770</v>
      </c>
      <c r="F336" s="206" t="e">
        <f>#REF!</f>
        <v>#REF!</v>
      </c>
      <c r="G336" s="102" t="e">
        <f>#REF!</f>
        <v>#REF!</v>
      </c>
      <c r="H336" s="102" t="e">
        <f>#REF!</f>
        <v>#REF!</v>
      </c>
      <c r="I336" s="209">
        <v>44610</v>
      </c>
      <c r="J336" s="210"/>
      <c r="K336" s="210" t="e">
        <f>#REF!</f>
        <v>#REF!</v>
      </c>
      <c r="L336" s="210">
        <v>44605</v>
      </c>
      <c r="M336" s="210"/>
      <c r="N336" s="210">
        <f>'Danh sách máy'!F331</f>
        <v>45815</v>
      </c>
      <c r="O336" s="211" t="str" cm="1">
        <f t="array" ref="O336">IF(L336&lt;&gt;0,IF(L336&lt;I336,"OK","NG"),Blank)</f>
        <v>OK</v>
      </c>
      <c r="P336" s="211" t="e" cm="1">
        <f t="array" ref="P336">IF(M336&lt;&gt;0,IF(M336&lt;J336,"OK","NG"),Blank)</f>
        <v>#NAME?</v>
      </c>
      <c r="Q336" s="211" t="e" cm="1">
        <f t="array" ref="Q336">IF(H336&lt;&gt;"Stop",IF(N336&lt;&gt;0,IF(N336&lt;=K336,"OK","NG"),Blank),"-")</f>
        <v>#REF!</v>
      </c>
      <c r="R336" s="326" t="e" cm="1">
        <f t="array" ref="R336">IF(H336&lt;&gt;"Stop",IF(E336&lt;&gt;0,IF(E336&lt;=K336,"OK","NG"),Blank),"-")</f>
        <v>#REF!</v>
      </c>
      <c r="S336" s="22"/>
      <c r="T336" s="221"/>
      <c r="U336"/>
    </row>
    <row r="337" spans="1:21" ht="30" x14ac:dyDescent="0.3">
      <c r="A337" s="318" t="e">
        <f>#REF!</f>
        <v>#REF!</v>
      </c>
      <c r="B337" s="305" t="e">
        <f>#REF!</f>
        <v>#REF!</v>
      </c>
      <c r="C337" s="305" t="str">
        <f>'Danh sách máy'!C332</f>
        <v>Fact.4</v>
      </c>
      <c r="D337" s="90" t="e">
        <f>#REF!</f>
        <v>#REF!</v>
      </c>
      <c r="E337" s="97">
        <f>'Danh sách máy'!E332</f>
        <v>45770</v>
      </c>
      <c r="F337" s="206" t="e">
        <f>#REF!</f>
        <v>#REF!</v>
      </c>
      <c r="G337" s="102" t="e">
        <f>#REF!</f>
        <v>#REF!</v>
      </c>
      <c r="H337" s="102" t="e">
        <f>#REF!</f>
        <v>#REF!</v>
      </c>
      <c r="I337" s="209">
        <v>44611</v>
      </c>
      <c r="J337" s="210"/>
      <c r="K337" s="210" t="e">
        <f>#REF!</f>
        <v>#REF!</v>
      </c>
      <c r="L337" s="210">
        <v>44606</v>
      </c>
      <c r="M337" s="210"/>
      <c r="N337" s="210">
        <f>'Danh sách máy'!F332</f>
        <v>45815</v>
      </c>
      <c r="O337" s="211" t="str" cm="1">
        <f t="array" ref="O337">IF(L337&lt;&gt;0,IF(L337&lt;I337,"OK","NG"),Blank)</f>
        <v>OK</v>
      </c>
      <c r="P337" s="211" t="e" cm="1">
        <f t="array" ref="P337">IF(M337&lt;&gt;0,IF(M337&lt;J337,"OK","NG"),Blank)</f>
        <v>#NAME?</v>
      </c>
      <c r="Q337" s="211" t="e" cm="1">
        <f t="array" ref="Q337">IF(H337&lt;&gt;"Stop",IF(N337&lt;&gt;0,IF(N337&lt;=K337,"OK","NG"),Blank),"-")</f>
        <v>#REF!</v>
      </c>
      <c r="R337" s="326" t="e" cm="1">
        <f t="array" ref="R337">IF(H337&lt;&gt;"Stop",IF(E337&lt;&gt;0,IF(E337&lt;=K337,"OK","NG"),Blank),"-")</f>
        <v>#REF!</v>
      </c>
      <c r="S337" s="22"/>
      <c r="T337" s="221"/>
      <c r="U337"/>
    </row>
    <row r="338" spans="1:21" ht="30" x14ac:dyDescent="0.3">
      <c r="A338" s="318" t="e">
        <f>#REF!</f>
        <v>#REF!</v>
      </c>
      <c r="B338" s="305" t="e">
        <f>#REF!</f>
        <v>#REF!</v>
      </c>
      <c r="C338" s="305" t="str">
        <f>'Danh sách máy'!C333</f>
        <v>Fact.4</v>
      </c>
      <c r="D338" s="90" t="e">
        <f>#REF!</f>
        <v>#REF!</v>
      </c>
      <c r="E338" s="97">
        <f>'Danh sách máy'!E333</f>
        <v>45773</v>
      </c>
      <c r="F338" s="206" t="e">
        <f>#REF!</f>
        <v>#REF!</v>
      </c>
      <c r="G338" s="102" t="e">
        <f>#REF!</f>
        <v>#REF!</v>
      </c>
      <c r="H338" s="102" t="e">
        <f>#REF!</f>
        <v>#REF!</v>
      </c>
      <c r="I338" s="209">
        <v>44612</v>
      </c>
      <c r="J338" s="210"/>
      <c r="K338" s="210" t="e">
        <f>#REF!</f>
        <v>#REF!</v>
      </c>
      <c r="L338" s="210">
        <v>44607</v>
      </c>
      <c r="M338" s="210"/>
      <c r="N338" s="210">
        <f>'Danh sách máy'!F333</f>
        <v>45789</v>
      </c>
      <c r="O338" s="211" t="str" cm="1">
        <f t="array" ref="O338">IF(L338&lt;&gt;0,IF(L338&lt;I338,"OK","NG"),Blank)</f>
        <v>OK</v>
      </c>
      <c r="P338" s="211" t="e" cm="1">
        <f t="array" ref="P338">IF(M338&lt;&gt;0,IF(M338&lt;J338,"OK","NG"),Blank)</f>
        <v>#NAME?</v>
      </c>
      <c r="Q338" s="211" t="e" cm="1">
        <f t="array" ref="Q338">IF(H338&lt;&gt;"Stop",IF(N338&lt;&gt;0,IF(N338&lt;=K338,"OK","NG"),Blank),"-")</f>
        <v>#REF!</v>
      </c>
      <c r="R338" s="326" t="e" cm="1">
        <f t="array" ref="R338">IF(H338&lt;&gt;"Stop",IF(E338&lt;&gt;0,IF(E338&lt;=K338,"OK","NG"),Blank),"-")</f>
        <v>#REF!</v>
      </c>
      <c r="S338" s="22"/>
      <c r="T338" s="221"/>
      <c r="U338"/>
    </row>
    <row r="339" spans="1:21" ht="45" x14ac:dyDescent="0.3">
      <c r="A339" s="318" t="e">
        <f>#REF!</f>
        <v>#REF!</v>
      </c>
      <c r="B339" s="305" t="e">
        <f>#REF!</f>
        <v>#REF!</v>
      </c>
      <c r="C339" s="305" t="str">
        <f>'Danh sách máy'!C334</f>
        <v>Fact.4</v>
      </c>
      <c r="D339" s="90" t="e">
        <f>#REF!</f>
        <v>#REF!</v>
      </c>
      <c r="E339" s="97">
        <f>'Danh sách máy'!E334</f>
        <v>45773</v>
      </c>
      <c r="F339" s="206" t="e">
        <f>#REF!</f>
        <v>#REF!</v>
      </c>
      <c r="G339" s="102" t="e">
        <f>#REF!</f>
        <v>#REF!</v>
      </c>
      <c r="H339" s="102" t="e">
        <f>#REF!</f>
        <v>#REF!</v>
      </c>
      <c r="I339" s="209">
        <v>44613</v>
      </c>
      <c r="J339" s="210"/>
      <c r="K339" s="210" t="e">
        <f>#REF!</f>
        <v>#REF!</v>
      </c>
      <c r="L339" s="210">
        <v>44608</v>
      </c>
      <c r="M339" s="210"/>
      <c r="N339" s="210">
        <f>'Danh sách máy'!F334</f>
        <v>45789</v>
      </c>
      <c r="O339" s="211" t="str" cm="1">
        <f t="array" ref="O339">IF(L339&lt;&gt;0,IF(L339&lt;I339,"OK","NG"),Blank)</f>
        <v>OK</v>
      </c>
      <c r="P339" s="211" t="e" cm="1">
        <f t="array" ref="P339">IF(M339&lt;&gt;0,IF(M339&lt;J339,"OK","NG"),Blank)</f>
        <v>#NAME?</v>
      </c>
      <c r="Q339" s="211" t="e" cm="1">
        <f t="array" ref="Q339">IF(H339&lt;&gt;"Stop",IF(N339&lt;&gt;0,IF(N339&lt;=K339,"OK","NG"),Blank),"-")</f>
        <v>#REF!</v>
      </c>
      <c r="R339" s="326" t="e" cm="1">
        <f t="array" ref="R339">IF(H339&lt;&gt;"Stop",IF(E339&lt;&gt;0,IF(E339&lt;=K339,"OK","NG"),Blank),"-")</f>
        <v>#REF!</v>
      </c>
      <c r="S339" s="22"/>
      <c r="T339" s="221"/>
      <c r="U339"/>
    </row>
    <row r="340" spans="1:21" ht="30" x14ac:dyDescent="0.3">
      <c r="A340" s="318" t="e">
        <f>#REF!</f>
        <v>#REF!</v>
      </c>
      <c r="B340" s="305" t="e">
        <f>#REF!</f>
        <v>#REF!</v>
      </c>
      <c r="C340" s="305" t="str">
        <f>'Danh sách máy'!C335</f>
        <v>Fact.4</v>
      </c>
      <c r="D340" s="90" t="e">
        <f>#REF!</f>
        <v>#REF!</v>
      </c>
      <c r="E340" s="97">
        <f>'Danh sách máy'!E335</f>
        <v>45770</v>
      </c>
      <c r="F340" s="206" t="e">
        <f>#REF!</f>
        <v>#REF!</v>
      </c>
      <c r="G340" s="102" t="e">
        <f>#REF!</f>
        <v>#REF!</v>
      </c>
      <c r="H340" s="102" t="e">
        <f>#REF!</f>
        <v>#REF!</v>
      </c>
      <c r="I340" s="209">
        <v>44614</v>
      </c>
      <c r="J340" s="210"/>
      <c r="K340" s="210" t="e">
        <f>#REF!</f>
        <v>#REF!</v>
      </c>
      <c r="L340" s="210">
        <v>44609</v>
      </c>
      <c r="M340" s="210"/>
      <c r="N340" s="210">
        <f>'Danh sách máy'!F335</f>
        <v>45770</v>
      </c>
      <c r="O340" s="211" t="str" cm="1">
        <f t="array" ref="O340">IF(L340&lt;&gt;0,IF(L340&lt;I340,"OK","NG"),Blank)</f>
        <v>OK</v>
      </c>
      <c r="P340" s="211" t="e" cm="1">
        <f t="array" ref="P340">IF(M340&lt;&gt;0,IF(M340&lt;J340,"OK","NG"),Blank)</f>
        <v>#NAME?</v>
      </c>
      <c r="Q340" s="211" t="e" cm="1">
        <f t="array" ref="Q340">IF(H340&lt;&gt;"Stop",IF(N340&lt;&gt;0,IF(N340&lt;=K340,"OK","NG"),Blank),"-")</f>
        <v>#REF!</v>
      </c>
      <c r="R340" s="326" t="e" cm="1">
        <f t="array" ref="R340">IF(H340&lt;&gt;"Stop",IF(E340&lt;&gt;0,IF(E340&lt;=K340,"OK","NG"),Blank),"-")</f>
        <v>#REF!</v>
      </c>
      <c r="S340" s="22"/>
      <c r="T340" s="221"/>
      <c r="U340"/>
    </row>
    <row r="341" spans="1:21" ht="30" hidden="1" x14ac:dyDescent="0.3">
      <c r="A341" s="318" t="e">
        <f>#REF!</f>
        <v>#REF!</v>
      </c>
      <c r="B341" s="305" t="e">
        <f>#REF!</f>
        <v>#REF!</v>
      </c>
      <c r="C341" s="305" t="str">
        <f>'Danh sách máy'!C336</f>
        <v>Fact.4</v>
      </c>
      <c r="D341" s="90" t="e">
        <f>#REF!</f>
        <v>#REF!</v>
      </c>
      <c r="E341" s="97">
        <f>'Danh sách máy'!E336</f>
        <v>45736</v>
      </c>
      <c r="F341" s="206" t="e">
        <f>#REF!</f>
        <v>#REF!</v>
      </c>
      <c r="G341" s="102" t="e">
        <f>#REF!</f>
        <v>#REF!</v>
      </c>
      <c r="H341" s="102" t="e">
        <f>#REF!</f>
        <v>#REF!</v>
      </c>
      <c r="I341" s="209">
        <v>44615</v>
      </c>
      <c r="J341" s="210"/>
      <c r="K341" s="210" t="e">
        <f>#REF!</f>
        <v>#REF!</v>
      </c>
      <c r="L341" s="210">
        <v>44610</v>
      </c>
      <c r="M341" s="210"/>
      <c r="N341" s="210">
        <f>'Danh sách máy'!F336</f>
        <v>0</v>
      </c>
      <c r="O341" s="211" t="str" cm="1">
        <f t="array" ref="O341">IF(L341&lt;&gt;0,IF(L341&lt;I341,"OK","NG"),Blank)</f>
        <v>OK</v>
      </c>
      <c r="P341" s="211" t="e" cm="1">
        <f t="array" ref="P341">IF(M341&lt;&gt;0,IF(M341&lt;J341,"OK","NG"),Blank)</f>
        <v>#NAME?</v>
      </c>
      <c r="Q341" s="211" t="e" cm="1">
        <f t="array" ref="Q341">IF(H341&lt;&gt;"Stop",IF(N341&lt;&gt;0,IF(N341&lt;=K341,"OK","NG"),Blank),"-")</f>
        <v>#REF!</v>
      </c>
      <c r="R341" s="326" t="e" cm="1">
        <f t="array" ref="R341">IF(H341&lt;&gt;"Stop",IF(E341&lt;&gt;0,IF(E341&lt;=K341,"OK","NG"),Blank),"-")</f>
        <v>#REF!</v>
      </c>
      <c r="S341" s="22"/>
      <c r="T341" s="221"/>
      <c r="U341"/>
    </row>
    <row r="342" spans="1:21" ht="30" hidden="1" x14ac:dyDescent="0.3">
      <c r="A342" s="318" t="e">
        <f>#REF!</f>
        <v>#REF!</v>
      </c>
      <c r="B342" s="305" t="e">
        <f>#REF!</f>
        <v>#REF!</v>
      </c>
      <c r="C342" s="305" t="str">
        <f>'Danh sách máy'!C337</f>
        <v>Fact.4</v>
      </c>
      <c r="D342" s="90" t="e">
        <f>#REF!</f>
        <v>#REF!</v>
      </c>
      <c r="E342" s="97">
        <f>'Danh sách máy'!E337</f>
        <v>45770</v>
      </c>
      <c r="F342" s="206" t="e">
        <f>#REF!</f>
        <v>#REF!</v>
      </c>
      <c r="G342" s="102" t="e">
        <f>#REF!</f>
        <v>#REF!</v>
      </c>
      <c r="H342" s="102" t="e">
        <f>#REF!</f>
        <v>#REF!</v>
      </c>
      <c r="I342" s="209">
        <v>44616</v>
      </c>
      <c r="J342" s="210"/>
      <c r="K342" s="210" t="e">
        <f>#REF!</f>
        <v>#REF!</v>
      </c>
      <c r="L342" s="210">
        <v>44611</v>
      </c>
      <c r="M342" s="210"/>
      <c r="N342" s="210">
        <f>'Danh sách máy'!F337</f>
        <v>0</v>
      </c>
      <c r="O342" s="211" t="str" cm="1">
        <f t="array" ref="O342">IF(L342&lt;&gt;0,IF(L342&lt;I342,"OK","NG"),Blank)</f>
        <v>OK</v>
      </c>
      <c r="P342" s="211" t="e" cm="1">
        <f t="array" ref="P342">IF(M342&lt;&gt;0,IF(M342&lt;J342,"OK","NG"),Blank)</f>
        <v>#NAME?</v>
      </c>
      <c r="Q342" s="211" t="e" cm="1">
        <f t="array" ref="Q342">IF(H342&lt;&gt;"Stop",IF(N342&lt;&gt;0,IF(N342&lt;=K342,"OK","NG"),Blank),"-")</f>
        <v>#REF!</v>
      </c>
      <c r="R342" s="326" t="e" cm="1">
        <f t="array" ref="R342">IF(H342&lt;&gt;"Stop",IF(E342&lt;&gt;0,IF(E342&lt;=K342,"OK","NG"),Blank),"-")</f>
        <v>#REF!</v>
      </c>
      <c r="S342" s="22"/>
      <c r="T342" s="221"/>
      <c r="U342"/>
    </row>
    <row r="343" spans="1:21" ht="30" hidden="1" x14ac:dyDescent="0.3">
      <c r="A343" s="318" t="e">
        <f>#REF!</f>
        <v>#REF!</v>
      </c>
      <c r="B343" s="305" t="e">
        <f>#REF!</f>
        <v>#REF!</v>
      </c>
      <c r="C343" s="305" t="str">
        <f>'Danh sách máy'!C338</f>
        <v>Fact.4</v>
      </c>
      <c r="D343" s="90" t="e">
        <f>#REF!</f>
        <v>#REF!</v>
      </c>
      <c r="E343" s="97">
        <f>'Danh sách máy'!E338</f>
        <v>0</v>
      </c>
      <c r="F343" s="206" t="e">
        <f>#REF!</f>
        <v>#REF!</v>
      </c>
      <c r="G343" s="102" t="e">
        <f>#REF!</f>
        <v>#REF!</v>
      </c>
      <c r="H343" s="102" t="e">
        <f>#REF!</f>
        <v>#REF!</v>
      </c>
      <c r="I343" s="209">
        <v>44617</v>
      </c>
      <c r="J343" s="210"/>
      <c r="K343" s="210" t="e">
        <f>#REF!</f>
        <v>#REF!</v>
      </c>
      <c r="L343" s="210">
        <v>44612</v>
      </c>
      <c r="M343" s="210"/>
      <c r="N343" s="210">
        <f>'Danh sách máy'!F338</f>
        <v>0</v>
      </c>
      <c r="O343" s="211" t="str" cm="1">
        <f t="array" ref="O343">IF(L343&lt;&gt;0,IF(L343&lt;I343,"OK","NG"),Blank)</f>
        <v>OK</v>
      </c>
      <c r="P343" s="211" t="e" cm="1">
        <f t="array" ref="P343">IF(M343&lt;&gt;0,IF(M343&lt;J343,"OK","NG"),Blank)</f>
        <v>#NAME?</v>
      </c>
      <c r="Q343" s="211" t="e" cm="1">
        <f t="array" ref="Q343">IF(H343&lt;&gt;"Stop",IF(N343&lt;&gt;0,IF(N343&lt;=K343,"OK","NG"),Blank),"-")</f>
        <v>#REF!</v>
      </c>
      <c r="R343" s="326" t="e" cm="1">
        <f t="array" ref="R343">IF(H343&lt;&gt;"Stop",IF(E343&lt;&gt;0,IF(E343&lt;=K343,"OK","NG"),Blank),"-")</f>
        <v>#REF!</v>
      </c>
      <c r="S343" s="22"/>
      <c r="T343" s="221"/>
      <c r="U343"/>
    </row>
    <row r="344" spans="1:21" ht="45" x14ac:dyDescent="0.3">
      <c r="A344" s="318" t="e">
        <f>#REF!</f>
        <v>#REF!</v>
      </c>
      <c r="B344" s="305" t="e">
        <f>#REF!</f>
        <v>#REF!</v>
      </c>
      <c r="C344" s="305" t="str">
        <f>'Danh sách máy'!C339</f>
        <v>Fact.4</v>
      </c>
      <c r="D344" s="90" t="e">
        <f>#REF!</f>
        <v>#REF!</v>
      </c>
      <c r="E344" s="97">
        <f>'Danh sách máy'!E339</f>
        <v>45968</v>
      </c>
      <c r="F344" s="206" t="e">
        <f>#REF!</f>
        <v>#REF!</v>
      </c>
      <c r="G344" s="102" t="e">
        <f>#REF!</f>
        <v>#REF!</v>
      </c>
      <c r="H344" s="102" t="e">
        <f>#REF!</f>
        <v>#REF!</v>
      </c>
      <c r="I344" s="209">
        <v>44618</v>
      </c>
      <c r="J344" s="210"/>
      <c r="K344" s="210" t="e">
        <f>#REF!</f>
        <v>#REF!</v>
      </c>
      <c r="L344" s="210">
        <v>44613</v>
      </c>
      <c r="M344" s="210"/>
      <c r="N344" s="210">
        <f>'Danh sách máy'!F339</f>
        <v>45968</v>
      </c>
      <c r="O344" s="211" t="str" cm="1">
        <f t="array" ref="O344">IF(L344&lt;&gt;0,IF(L344&lt;I344,"OK","NG"),Blank)</f>
        <v>OK</v>
      </c>
      <c r="P344" s="211" t="e" cm="1">
        <f t="array" ref="P344">IF(M344&lt;&gt;0,IF(M344&lt;J344,"OK","NG"),Blank)</f>
        <v>#NAME?</v>
      </c>
      <c r="Q344" s="211" t="e" cm="1">
        <f t="array" ref="Q344">IF(H344&lt;&gt;"Stop",IF(N344&lt;&gt;0,IF(N344&lt;=K344,"OK","NG"),Blank),"-")</f>
        <v>#REF!</v>
      </c>
      <c r="R344" s="326" t="e" cm="1">
        <f t="array" ref="R344">IF(H344&lt;&gt;"Stop",IF(E344&lt;&gt;0,IF(E344&lt;=K344,"OK","NG"),Blank),"-")</f>
        <v>#REF!</v>
      </c>
      <c r="S344" s="22"/>
      <c r="T344" s="221"/>
      <c r="U344"/>
    </row>
    <row r="345" spans="1:21" ht="30" x14ac:dyDescent="0.3">
      <c r="A345" s="318" t="e">
        <f>#REF!</f>
        <v>#REF!</v>
      </c>
      <c r="B345" s="305" t="e">
        <f>#REF!</f>
        <v>#REF!</v>
      </c>
      <c r="C345" s="305" t="str">
        <f>'Danh sách máy'!C340</f>
        <v>Fact.4</v>
      </c>
      <c r="D345" s="90" t="e">
        <f>#REF!</f>
        <v>#REF!</v>
      </c>
      <c r="E345" s="97">
        <f>'Danh sách máy'!E340</f>
        <v>45813</v>
      </c>
      <c r="F345" s="206" t="e">
        <f>#REF!</f>
        <v>#REF!</v>
      </c>
      <c r="G345" s="102" t="e">
        <f>#REF!</f>
        <v>#REF!</v>
      </c>
      <c r="H345" s="102" t="e">
        <f>#REF!</f>
        <v>#REF!</v>
      </c>
      <c r="I345" s="209">
        <v>44619</v>
      </c>
      <c r="J345" s="210"/>
      <c r="K345" s="210" t="e">
        <f>#REF!</f>
        <v>#REF!</v>
      </c>
      <c r="L345" s="210">
        <v>44614</v>
      </c>
      <c r="M345" s="210"/>
      <c r="N345" s="210">
        <f>'Danh sách máy'!F340</f>
        <v>45821</v>
      </c>
      <c r="O345" s="211" t="str" cm="1">
        <f t="array" ref="O345">IF(L345&lt;&gt;0,IF(L345&lt;I345,"OK","NG"),Blank)</f>
        <v>OK</v>
      </c>
      <c r="P345" s="211" t="e" cm="1">
        <f t="array" ref="P345">IF(M345&lt;&gt;0,IF(M345&lt;J345,"OK","NG"),Blank)</f>
        <v>#NAME?</v>
      </c>
      <c r="Q345" s="211" t="e" cm="1">
        <f t="array" ref="Q345">IF(H345&lt;&gt;"Stop",IF(N345&lt;&gt;0,IF(N345&lt;=K345,"OK","NG"),Blank),"-")</f>
        <v>#REF!</v>
      </c>
      <c r="R345" s="326" t="e" cm="1">
        <f t="array" ref="R345">IF(H345&lt;&gt;"Stop",IF(E345&lt;&gt;0,IF(E345&lt;=K345,"OK","NG"),Blank),"-")</f>
        <v>#REF!</v>
      </c>
      <c r="S345" s="22"/>
      <c r="T345" s="221"/>
      <c r="U345"/>
    </row>
    <row r="346" spans="1:21" ht="30" x14ac:dyDescent="0.3">
      <c r="A346" s="318" t="e">
        <f>#REF!</f>
        <v>#REF!</v>
      </c>
      <c r="B346" s="305" t="e">
        <f>#REF!</f>
        <v>#REF!</v>
      </c>
      <c r="C346" s="305" t="str">
        <f>'Danh sách máy'!C341</f>
        <v>Fact.4</v>
      </c>
      <c r="D346" s="90" t="e">
        <f>#REF!</f>
        <v>#REF!</v>
      </c>
      <c r="E346" s="97">
        <f>'Danh sách máy'!E341</f>
        <v>45807</v>
      </c>
      <c r="F346" s="206" t="e">
        <f>#REF!</f>
        <v>#REF!</v>
      </c>
      <c r="G346" s="102" t="e">
        <f>#REF!</f>
        <v>#REF!</v>
      </c>
      <c r="H346" s="102" t="e">
        <f>#REF!</f>
        <v>#REF!</v>
      </c>
      <c r="I346" s="209">
        <v>44620</v>
      </c>
      <c r="J346" s="210"/>
      <c r="K346" s="210" t="e">
        <f>#REF!</f>
        <v>#REF!</v>
      </c>
      <c r="L346" s="210">
        <v>44615</v>
      </c>
      <c r="M346" s="210"/>
      <c r="N346" s="210">
        <f>'Danh sách máy'!F341</f>
        <v>45821</v>
      </c>
      <c r="O346" s="211" t="str" cm="1">
        <f t="array" ref="O346">IF(L346&lt;&gt;0,IF(L346&lt;I346,"OK","NG"),Blank)</f>
        <v>OK</v>
      </c>
      <c r="P346" s="211" t="e" cm="1">
        <f t="array" ref="P346">IF(M346&lt;&gt;0,IF(M346&lt;J346,"OK","NG"),Blank)</f>
        <v>#NAME?</v>
      </c>
      <c r="Q346" s="211" t="e" cm="1">
        <f t="array" ref="Q346">IF(H346&lt;&gt;"Stop",IF(N346&lt;&gt;0,IF(N346&lt;=K346,"OK","NG"),Blank),"-")</f>
        <v>#REF!</v>
      </c>
      <c r="R346" s="326" t="e" cm="1">
        <f t="array" ref="R346">IF(H346&lt;&gt;"Stop",IF(E346&lt;&gt;0,IF(E346&lt;=K346,"OK","NG"),Blank),"-")</f>
        <v>#REF!</v>
      </c>
      <c r="S346" s="22"/>
      <c r="T346" s="221"/>
      <c r="U346"/>
    </row>
    <row r="347" spans="1:21" ht="30" hidden="1" x14ac:dyDescent="0.3">
      <c r="A347" s="318" t="e">
        <f>#REF!</f>
        <v>#REF!</v>
      </c>
      <c r="B347" s="305" t="e">
        <f>#REF!</f>
        <v>#REF!</v>
      </c>
      <c r="C347" s="305" t="str">
        <f>'Danh sách máy'!C342</f>
        <v>Fact.4</v>
      </c>
      <c r="D347" s="90" t="e">
        <f>#REF!</f>
        <v>#REF!</v>
      </c>
      <c r="E347" s="97">
        <f>'Danh sách máy'!E342</f>
        <v>0</v>
      </c>
      <c r="F347" s="206" t="e">
        <f>#REF!</f>
        <v>#REF!</v>
      </c>
      <c r="G347" s="102" t="e">
        <f>#REF!</f>
        <v>#REF!</v>
      </c>
      <c r="H347" s="102" t="e">
        <f>#REF!</f>
        <v>#REF!</v>
      </c>
      <c r="I347" s="209">
        <v>44621</v>
      </c>
      <c r="J347" s="210"/>
      <c r="K347" s="210" t="e">
        <f>#REF!</f>
        <v>#REF!</v>
      </c>
      <c r="L347" s="210">
        <v>44616</v>
      </c>
      <c r="M347" s="210"/>
      <c r="N347" s="210">
        <f>'Danh sách máy'!F342</f>
        <v>0</v>
      </c>
      <c r="O347" s="211" t="str" cm="1">
        <f t="array" ref="O347">IF(L347&lt;&gt;0,IF(L347&lt;I347,"OK","NG"),Blank)</f>
        <v>OK</v>
      </c>
      <c r="P347" s="211" t="e" cm="1">
        <f t="array" ref="P347">IF(M347&lt;&gt;0,IF(M347&lt;J347,"OK","NG"),Blank)</f>
        <v>#NAME?</v>
      </c>
      <c r="Q347" s="211" t="e" cm="1">
        <f t="array" ref="Q347">IF(H347&lt;&gt;"Stop",IF(N347&lt;&gt;0,IF(N347&lt;=K347,"OK","NG"),Blank),"-")</f>
        <v>#REF!</v>
      </c>
      <c r="R347" s="326" t="e" cm="1">
        <f t="array" ref="R347">IF(H347&lt;&gt;"Stop",IF(E347&lt;&gt;0,IF(E347&lt;=K347,"OK","NG"),Blank),"-")</f>
        <v>#REF!</v>
      </c>
      <c r="S347" s="22"/>
      <c r="T347" s="221"/>
      <c r="U347"/>
    </row>
    <row r="348" spans="1:21" ht="30" hidden="1" x14ac:dyDescent="0.3">
      <c r="A348" s="318" t="e">
        <f>#REF!</f>
        <v>#REF!</v>
      </c>
      <c r="B348" s="305" t="e">
        <f>#REF!</f>
        <v>#REF!</v>
      </c>
      <c r="C348" s="305" t="str">
        <f>'Danh sách máy'!C343</f>
        <v>Fact.4</v>
      </c>
      <c r="D348" s="90" t="e">
        <f>#REF!</f>
        <v>#REF!</v>
      </c>
      <c r="E348" s="97">
        <f>'Danh sách máy'!E343</f>
        <v>0</v>
      </c>
      <c r="F348" s="206" t="e">
        <f>#REF!</f>
        <v>#REF!</v>
      </c>
      <c r="G348" s="102" t="e">
        <f>#REF!</f>
        <v>#REF!</v>
      </c>
      <c r="H348" s="102" t="e">
        <f>#REF!</f>
        <v>#REF!</v>
      </c>
      <c r="I348" s="209">
        <v>44622</v>
      </c>
      <c r="J348" s="210"/>
      <c r="K348" s="210" t="e">
        <f>#REF!</f>
        <v>#REF!</v>
      </c>
      <c r="L348" s="210">
        <v>44617</v>
      </c>
      <c r="M348" s="210"/>
      <c r="N348" s="210">
        <f>'Danh sách máy'!F343</f>
        <v>0</v>
      </c>
      <c r="O348" s="211" t="str" cm="1">
        <f t="array" ref="O348">IF(L348&lt;&gt;0,IF(L348&lt;I348,"OK","NG"),Blank)</f>
        <v>OK</v>
      </c>
      <c r="P348" s="211" t="e" cm="1">
        <f t="array" ref="P348">IF(M348&lt;&gt;0,IF(M348&lt;J348,"OK","NG"),Blank)</f>
        <v>#NAME?</v>
      </c>
      <c r="Q348" s="211" t="e" cm="1">
        <f t="array" ref="Q348">IF(H348&lt;&gt;"Stop",IF(N348&lt;&gt;0,IF(N348&lt;=K348,"OK","NG"),Blank),"-")</f>
        <v>#REF!</v>
      </c>
      <c r="R348" s="326" t="e" cm="1">
        <f t="array" ref="R348">IF(H348&lt;&gt;"Stop",IF(E348&lt;&gt;0,IF(E348&lt;=K348,"OK","NG"),Blank),"-")</f>
        <v>#REF!</v>
      </c>
      <c r="S348" s="22"/>
      <c r="T348" s="221"/>
      <c r="U348"/>
    </row>
    <row r="349" spans="1:21" ht="30" x14ac:dyDescent="0.3">
      <c r="A349" s="318" t="e">
        <f>#REF!</f>
        <v>#REF!</v>
      </c>
      <c r="B349" s="305" t="e">
        <f>#REF!</f>
        <v>#REF!</v>
      </c>
      <c r="C349" s="305" t="str">
        <f>'Danh sách máy'!C344</f>
        <v>Fact.4</v>
      </c>
      <c r="D349" s="90" t="e">
        <f>#REF!</f>
        <v>#REF!</v>
      </c>
      <c r="E349" s="97">
        <f>'Danh sách máy'!E344</f>
        <v>45807</v>
      </c>
      <c r="F349" s="206" t="e">
        <f>#REF!</f>
        <v>#REF!</v>
      </c>
      <c r="G349" s="102" t="e">
        <f>#REF!</f>
        <v>#REF!</v>
      </c>
      <c r="H349" s="102" t="e">
        <f>#REF!</f>
        <v>#REF!</v>
      </c>
      <c r="I349" s="209">
        <v>44623</v>
      </c>
      <c r="J349" s="210"/>
      <c r="K349" s="210" t="e">
        <f>#REF!</f>
        <v>#REF!</v>
      </c>
      <c r="L349" s="210">
        <v>44618</v>
      </c>
      <c r="M349" s="210"/>
      <c r="N349" s="210">
        <f>'Danh sách máy'!F344</f>
        <v>45821</v>
      </c>
      <c r="O349" s="211" t="str" cm="1">
        <f t="array" ref="O349">IF(L349&lt;&gt;0,IF(L349&lt;I349,"OK","NG"),Blank)</f>
        <v>OK</v>
      </c>
      <c r="P349" s="211" t="e" cm="1">
        <f t="array" ref="P349">IF(M349&lt;&gt;0,IF(M349&lt;J349,"OK","NG"),Blank)</f>
        <v>#NAME?</v>
      </c>
      <c r="Q349" s="211" t="e" cm="1">
        <f t="array" ref="Q349">IF(H349&lt;&gt;"Stop",IF(N349&lt;&gt;0,IF(N349&lt;=K349,"OK","NG"),Blank),"-")</f>
        <v>#REF!</v>
      </c>
      <c r="R349" s="326" t="e" cm="1">
        <f t="array" ref="R349">IF(H349&lt;&gt;"Stop",IF(E349&lt;&gt;0,IF(E349&lt;=K349,"OK","NG"),Blank),"-")</f>
        <v>#REF!</v>
      </c>
      <c r="S349" s="22"/>
      <c r="T349" s="221"/>
      <c r="U349"/>
    </row>
    <row r="350" spans="1:21" ht="30" x14ac:dyDescent="0.3">
      <c r="A350" s="318" t="e">
        <f>#REF!</f>
        <v>#REF!</v>
      </c>
      <c r="B350" s="305" t="e">
        <f>#REF!</f>
        <v>#REF!</v>
      </c>
      <c r="C350" s="305" t="str">
        <f>'Danh sách máy'!C345</f>
        <v>Fact.4</v>
      </c>
      <c r="D350" s="90" t="e">
        <f>#REF!</f>
        <v>#REF!</v>
      </c>
      <c r="E350" s="97">
        <f>'Danh sách máy'!E345</f>
        <v>45793</v>
      </c>
      <c r="F350" s="206" t="e">
        <f>#REF!</f>
        <v>#REF!</v>
      </c>
      <c r="G350" s="102" t="e">
        <f>#REF!</f>
        <v>#REF!</v>
      </c>
      <c r="H350" s="102" t="e">
        <f>#REF!</f>
        <v>#REF!</v>
      </c>
      <c r="I350" s="209">
        <v>44624</v>
      </c>
      <c r="J350" s="210"/>
      <c r="K350" s="210" t="e">
        <f>#REF!</f>
        <v>#REF!</v>
      </c>
      <c r="L350" s="210">
        <v>44619</v>
      </c>
      <c r="M350" s="210"/>
      <c r="N350" s="210">
        <f>'Danh sách máy'!F345</f>
        <v>45793</v>
      </c>
      <c r="O350" s="211" t="str" cm="1">
        <f t="array" ref="O350">IF(L350&lt;&gt;0,IF(L350&lt;I350,"OK","NG"),Blank)</f>
        <v>OK</v>
      </c>
      <c r="P350" s="211" t="e" cm="1">
        <f t="array" ref="P350">IF(M350&lt;&gt;0,IF(M350&lt;J350,"OK","NG"),Blank)</f>
        <v>#NAME?</v>
      </c>
      <c r="Q350" s="211" t="e" cm="1">
        <f t="array" ref="Q350">IF(H350&lt;&gt;"Stop",IF(N350&lt;&gt;0,IF(N350&lt;=K350,"OK","NG"),Blank),"-")</f>
        <v>#REF!</v>
      </c>
      <c r="R350" s="326" t="e" cm="1">
        <f t="array" ref="R350">IF(H350&lt;&gt;"Stop",IF(E350&lt;&gt;0,IF(E350&lt;=K350,"OK","NG"),Blank),"-")</f>
        <v>#REF!</v>
      </c>
      <c r="S350" s="22"/>
      <c r="T350" s="221"/>
      <c r="U350"/>
    </row>
    <row r="351" spans="1:21" ht="30" x14ac:dyDescent="0.3">
      <c r="A351" s="318" t="e">
        <f>#REF!</f>
        <v>#REF!</v>
      </c>
      <c r="B351" s="305" t="e">
        <f>#REF!</f>
        <v>#REF!</v>
      </c>
      <c r="C351" s="305" t="str">
        <f>'Danh sách máy'!C346</f>
        <v>Fact.4</v>
      </c>
      <c r="D351" s="90" t="e">
        <f>#REF!</f>
        <v>#REF!</v>
      </c>
      <c r="E351" s="97">
        <f>'Danh sách máy'!E346</f>
        <v>45793</v>
      </c>
      <c r="F351" s="206" t="e">
        <f>#REF!</f>
        <v>#REF!</v>
      </c>
      <c r="G351" s="102" t="e">
        <f>#REF!</f>
        <v>#REF!</v>
      </c>
      <c r="H351" s="102" t="e">
        <f>#REF!</f>
        <v>#REF!</v>
      </c>
      <c r="I351" s="209">
        <v>44625</v>
      </c>
      <c r="J351" s="210"/>
      <c r="K351" s="210" t="e">
        <f>#REF!</f>
        <v>#REF!</v>
      </c>
      <c r="L351" s="210">
        <v>44620</v>
      </c>
      <c r="M351" s="210"/>
      <c r="N351" s="210">
        <f>'Danh sách máy'!F346</f>
        <v>45793</v>
      </c>
      <c r="O351" s="211" t="str" cm="1">
        <f t="array" ref="O351">IF(L351&lt;&gt;0,IF(L351&lt;I351,"OK","NG"),Blank)</f>
        <v>OK</v>
      </c>
      <c r="P351" s="211" t="e" cm="1">
        <f t="array" ref="P351">IF(M351&lt;&gt;0,IF(M351&lt;J351,"OK","NG"),Blank)</f>
        <v>#NAME?</v>
      </c>
      <c r="Q351" s="211" t="e" cm="1">
        <f t="array" ref="Q351">IF(H351&lt;&gt;"Stop",IF(N351&lt;&gt;0,IF(N351&lt;=K351,"OK","NG"),Blank),"-")</f>
        <v>#REF!</v>
      </c>
      <c r="R351" s="326" t="e" cm="1">
        <f t="array" ref="R351">IF(H351&lt;&gt;"Stop",IF(E351&lt;&gt;0,IF(E351&lt;=K351,"OK","NG"),Blank),"-")</f>
        <v>#REF!</v>
      </c>
      <c r="S351" s="22"/>
      <c r="T351" s="221"/>
      <c r="U351"/>
    </row>
    <row r="352" spans="1:21" ht="30" x14ac:dyDescent="0.3">
      <c r="A352" s="318" t="e">
        <f>#REF!</f>
        <v>#REF!</v>
      </c>
      <c r="B352" s="305" t="e">
        <f>#REF!</f>
        <v>#REF!</v>
      </c>
      <c r="C352" s="305" t="str">
        <f>'Danh sách máy'!C347</f>
        <v>Fact.4</v>
      </c>
      <c r="D352" s="90" t="e">
        <f>#REF!</f>
        <v>#REF!</v>
      </c>
      <c r="E352" s="97">
        <f>'Danh sách máy'!E347</f>
        <v>45807</v>
      </c>
      <c r="F352" s="206" t="e">
        <f>#REF!</f>
        <v>#REF!</v>
      </c>
      <c r="G352" s="102" t="e">
        <f>#REF!</f>
        <v>#REF!</v>
      </c>
      <c r="H352" s="102" t="e">
        <f>#REF!</f>
        <v>#REF!</v>
      </c>
      <c r="I352" s="209">
        <v>44626</v>
      </c>
      <c r="J352" s="210"/>
      <c r="K352" s="210" t="e">
        <f>#REF!</f>
        <v>#REF!</v>
      </c>
      <c r="L352" s="210">
        <v>44621</v>
      </c>
      <c r="M352" s="210"/>
      <c r="N352" s="210">
        <f>'Danh sách máy'!F347</f>
        <v>45821</v>
      </c>
      <c r="O352" s="211" t="str" cm="1">
        <f t="array" ref="O352">IF(L352&lt;&gt;0,IF(L352&lt;I352,"OK","NG"),Blank)</f>
        <v>OK</v>
      </c>
      <c r="P352" s="211" t="e" cm="1">
        <f t="array" ref="P352">IF(M352&lt;&gt;0,IF(M352&lt;J352,"OK","NG"),Blank)</f>
        <v>#NAME?</v>
      </c>
      <c r="Q352" s="211" t="e" cm="1">
        <f t="array" ref="Q352">IF(H352&lt;&gt;"Stop",IF(N352&lt;&gt;0,IF(N352&lt;=K352,"OK","NG"),Blank),"-")</f>
        <v>#REF!</v>
      </c>
      <c r="R352" s="326" t="e" cm="1">
        <f t="array" ref="R352">IF(H352&lt;&gt;"Stop",IF(E352&lt;&gt;0,IF(E352&lt;=K352,"OK","NG"),Blank),"-")</f>
        <v>#REF!</v>
      </c>
      <c r="S352" s="22"/>
      <c r="T352" s="221"/>
      <c r="U352"/>
    </row>
    <row r="353" spans="1:21" ht="30" hidden="1" x14ac:dyDescent="0.3">
      <c r="A353" s="318" t="e">
        <f>#REF!</f>
        <v>#REF!</v>
      </c>
      <c r="B353" s="305" t="e">
        <f>#REF!</f>
        <v>#REF!</v>
      </c>
      <c r="C353" s="305" t="str">
        <f>'Danh sách máy'!C348</f>
        <v>Fact.4</v>
      </c>
      <c r="D353" s="90" t="e">
        <f>#REF!</f>
        <v>#REF!</v>
      </c>
      <c r="E353" s="97">
        <f>'Danh sách máy'!E348</f>
        <v>45891</v>
      </c>
      <c r="F353" s="206" t="e">
        <f>#REF!</f>
        <v>#REF!</v>
      </c>
      <c r="G353" s="102" t="e">
        <f>#REF!</f>
        <v>#REF!</v>
      </c>
      <c r="H353" s="102" t="e">
        <f>#REF!</f>
        <v>#REF!</v>
      </c>
      <c r="I353" s="209">
        <v>44627</v>
      </c>
      <c r="J353" s="210"/>
      <c r="K353" s="210" t="e">
        <f>#REF!</f>
        <v>#REF!</v>
      </c>
      <c r="L353" s="210">
        <v>44622</v>
      </c>
      <c r="M353" s="210"/>
      <c r="N353" s="210">
        <f>'Danh sách máy'!F348</f>
        <v>0</v>
      </c>
      <c r="O353" s="211" t="str" cm="1">
        <f t="array" ref="O353">IF(L353&lt;&gt;0,IF(L353&lt;I353,"OK","NG"),Blank)</f>
        <v>OK</v>
      </c>
      <c r="P353" s="211" t="e" cm="1">
        <f t="array" ref="P353">IF(M353&lt;&gt;0,IF(M353&lt;J353,"OK","NG"),Blank)</f>
        <v>#NAME?</v>
      </c>
      <c r="Q353" s="211" t="e" cm="1">
        <f t="array" ref="Q353">IF(H353&lt;&gt;"Stop",IF(N353&lt;&gt;0,IF(N353&lt;=K353,"OK","NG"),Blank),"-")</f>
        <v>#REF!</v>
      </c>
      <c r="R353" s="326" t="e" cm="1">
        <f t="array" ref="R353">IF(H353&lt;&gt;"Stop",IF(E353&lt;&gt;0,IF(E353&lt;=K353,"OK","NG"),Blank),"-")</f>
        <v>#REF!</v>
      </c>
      <c r="S353" s="22"/>
      <c r="T353" s="221"/>
      <c r="U353"/>
    </row>
    <row r="354" spans="1:21" ht="30" hidden="1" x14ac:dyDescent="0.3">
      <c r="A354" s="318" t="e">
        <f>#REF!</f>
        <v>#REF!</v>
      </c>
      <c r="B354" s="305" t="e">
        <f>#REF!</f>
        <v>#REF!</v>
      </c>
      <c r="C354" s="305" t="str">
        <f>'Danh sách máy'!C349</f>
        <v>Fact.4</v>
      </c>
      <c r="D354" s="90" t="e">
        <f>#REF!</f>
        <v>#REF!</v>
      </c>
      <c r="E354" s="97">
        <f>'Danh sách máy'!E349</f>
        <v>0</v>
      </c>
      <c r="F354" s="206" t="e">
        <f>#REF!</f>
        <v>#REF!</v>
      </c>
      <c r="G354" s="102" t="e">
        <f>#REF!</f>
        <v>#REF!</v>
      </c>
      <c r="H354" s="102" t="e">
        <f>#REF!</f>
        <v>#REF!</v>
      </c>
      <c r="I354" s="209">
        <v>44628</v>
      </c>
      <c r="J354" s="210"/>
      <c r="K354" s="210" t="e">
        <f>#REF!</f>
        <v>#REF!</v>
      </c>
      <c r="L354" s="210">
        <v>44623</v>
      </c>
      <c r="M354" s="210"/>
      <c r="N354" s="210">
        <f>'Danh sách máy'!F349</f>
        <v>0</v>
      </c>
      <c r="O354" s="211" t="str" cm="1">
        <f t="array" ref="O354">IF(L354&lt;&gt;0,IF(L354&lt;I354,"OK","NG"),Blank)</f>
        <v>OK</v>
      </c>
      <c r="P354" s="211" t="e" cm="1">
        <f t="array" ref="P354">IF(M354&lt;&gt;0,IF(M354&lt;J354,"OK","NG"),Blank)</f>
        <v>#NAME?</v>
      </c>
      <c r="Q354" s="211" t="e" cm="1">
        <f t="array" ref="Q354">IF(H354&lt;&gt;"Stop",IF(N354&lt;&gt;0,IF(N354&lt;=K354,"OK","NG"),Blank),"-")</f>
        <v>#REF!</v>
      </c>
      <c r="R354" s="326" t="e" cm="1">
        <f t="array" ref="R354">IF(H354&lt;&gt;"Stop",IF(E354&lt;&gt;0,IF(E354&lt;=K354,"OK","NG"),Blank),"-")</f>
        <v>#REF!</v>
      </c>
      <c r="S354" s="22"/>
      <c r="T354" s="221"/>
      <c r="U354"/>
    </row>
    <row r="355" spans="1:21" ht="30" hidden="1" x14ac:dyDescent="0.3">
      <c r="A355" s="318" t="e">
        <f>#REF!</f>
        <v>#REF!</v>
      </c>
      <c r="B355" s="305" t="e">
        <f>#REF!</f>
        <v>#REF!</v>
      </c>
      <c r="C355" s="305" t="str">
        <f>'Danh sách máy'!C350</f>
        <v>Fact.4</v>
      </c>
      <c r="D355" s="90" t="e">
        <f>#REF!</f>
        <v>#REF!</v>
      </c>
      <c r="E355" s="97">
        <f>'Danh sách máy'!E350</f>
        <v>0</v>
      </c>
      <c r="F355" s="206" t="e">
        <f>#REF!</f>
        <v>#REF!</v>
      </c>
      <c r="G355" s="102" t="e">
        <f>#REF!</f>
        <v>#REF!</v>
      </c>
      <c r="H355" s="102" t="e">
        <f>#REF!</f>
        <v>#REF!</v>
      </c>
      <c r="I355" s="209">
        <v>44629</v>
      </c>
      <c r="J355" s="210"/>
      <c r="K355" s="210" t="e">
        <f>#REF!</f>
        <v>#REF!</v>
      </c>
      <c r="L355" s="210">
        <v>44624</v>
      </c>
      <c r="M355" s="210"/>
      <c r="N355" s="210">
        <f>'Danh sách máy'!F350</f>
        <v>0</v>
      </c>
      <c r="O355" s="211" t="str" cm="1">
        <f t="array" ref="O355">IF(L355&lt;&gt;0,IF(L355&lt;I355,"OK","NG"),Blank)</f>
        <v>OK</v>
      </c>
      <c r="P355" s="211" t="e" cm="1">
        <f t="array" ref="P355">IF(M355&lt;&gt;0,IF(M355&lt;J355,"OK","NG"),Blank)</f>
        <v>#NAME?</v>
      </c>
      <c r="Q355" s="211" t="e" cm="1">
        <f t="array" ref="Q355">IF(H355&lt;&gt;"Stop",IF(N355&lt;&gt;0,IF(N355&lt;=K355,"OK","NG"),Blank),"-")</f>
        <v>#REF!</v>
      </c>
      <c r="R355" s="326" t="e" cm="1">
        <f t="array" ref="R355">IF(H355&lt;&gt;"Stop",IF(E355&lt;&gt;0,IF(E355&lt;=K355,"OK","NG"),Blank),"-")</f>
        <v>#REF!</v>
      </c>
      <c r="S355" s="22"/>
      <c r="T355" s="221"/>
      <c r="U355"/>
    </row>
    <row r="356" spans="1:21" ht="30" hidden="1" x14ac:dyDescent="0.3">
      <c r="A356" s="318" t="e">
        <f>#REF!</f>
        <v>#REF!</v>
      </c>
      <c r="B356" s="305" t="e">
        <f>#REF!</f>
        <v>#REF!</v>
      </c>
      <c r="C356" s="305" t="str">
        <f>'Danh sách máy'!C351</f>
        <v>Fact.4</v>
      </c>
      <c r="D356" s="90" t="e">
        <f>#REF!</f>
        <v>#REF!</v>
      </c>
      <c r="E356" s="97">
        <f>'Danh sách máy'!E351</f>
        <v>45891</v>
      </c>
      <c r="F356" s="206" t="e">
        <f>#REF!</f>
        <v>#REF!</v>
      </c>
      <c r="G356" s="102" t="e">
        <f>#REF!</f>
        <v>#REF!</v>
      </c>
      <c r="H356" s="102" t="e">
        <f>#REF!</f>
        <v>#REF!</v>
      </c>
      <c r="I356" s="209">
        <v>44630</v>
      </c>
      <c r="J356" s="210"/>
      <c r="K356" s="210" t="e">
        <f>#REF!</f>
        <v>#REF!</v>
      </c>
      <c r="L356" s="210">
        <v>44625</v>
      </c>
      <c r="M356" s="210"/>
      <c r="N356" s="210">
        <f>'Danh sách máy'!F351</f>
        <v>0</v>
      </c>
      <c r="O356" s="211" t="str" cm="1">
        <f t="array" ref="O356">IF(L356&lt;&gt;0,IF(L356&lt;I356,"OK","NG"),Blank)</f>
        <v>OK</v>
      </c>
      <c r="P356" s="211" t="e" cm="1">
        <f t="array" ref="P356">IF(M356&lt;&gt;0,IF(M356&lt;J356,"OK","NG"),Blank)</f>
        <v>#NAME?</v>
      </c>
      <c r="Q356" s="211" t="e" cm="1">
        <f t="array" ref="Q356">IF(H356&lt;&gt;"Stop",IF(N356&lt;&gt;0,IF(N356&lt;=K356,"OK","NG"),Blank),"-")</f>
        <v>#REF!</v>
      </c>
      <c r="R356" s="326" t="e" cm="1">
        <f t="array" ref="R356">IF(H356&lt;&gt;"Stop",IF(E356&lt;&gt;0,IF(E356&lt;=K356,"OK","NG"),Blank),"-")</f>
        <v>#REF!</v>
      </c>
      <c r="S356" s="22"/>
      <c r="T356" s="221"/>
      <c r="U356"/>
    </row>
    <row r="357" spans="1:21" ht="30" hidden="1" x14ac:dyDescent="0.3">
      <c r="A357" s="318" t="e">
        <f>#REF!</f>
        <v>#REF!</v>
      </c>
      <c r="B357" s="305" t="e">
        <f>#REF!</f>
        <v>#REF!</v>
      </c>
      <c r="C357" s="305" t="str">
        <f>'Danh sách máy'!C352</f>
        <v>Fact.4</v>
      </c>
      <c r="D357" s="90" t="e">
        <f>#REF!</f>
        <v>#REF!</v>
      </c>
      <c r="E357" s="97">
        <f>'Danh sách máy'!E352</f>
        <v>45891</v>
      </c>
      <c r="F357" s="206" t="e">
        <f>#REF!</f>
        <v>#REF!</v>
      </c>
      <c r="G357" s="102" t="e">
        <f>#REF!</f>
        <v>#REF!</v>
      </c>
      <c r="H357" s="102" t="e">
        <f>#REF!</f>
        <v>#REF!</v>
      </c>
      <c r="I357" s="209">
        <v>44631</v>
      </c>
      <c r="J357" s="210"/>
      <c r="K357" s="210" t="e">
        <f>#REF!</f>
        <v>#REF!</v>
      </c>
      <c r="L357" s="210">
        <v>44626</v>
      </c>
      <c r="M357" s="210"/>
      <c r="N357" s="210">
        <f>'Danh sách máy'!F352</f>
        <v>0</v>
      </c>
      <c r="O357" s="211" t="str" cm="1">
        <f t="array" ref="O357">IF(L357&lt;&gt;0,IF(L357&lt;I357,"OK","NG"),Blank)</f>
        <v>OK</v>
      </c>
      <c r="P357" s="211" t="e" cm="1">
        <f t="array" ref="P357">IF(M357&lt;&gt;0,IF(M357&lt;J357,"OK","NG"),Blank)</f>
        <v>#NAME?</v>
      </c>
      <c r="Q357" s="211" t="e" cm="1">
        <f t="array" ref="Q357">IF(H357&lt;&gt;"Stop",IF(N357&lt;&gt;0,IF(N357&lt;=K357,"OK","NG"),Blank),"-")</f>
        <v>#REF!</v>
      </c>
      <c r="R357" s="326" t="e" cm="1">
        <f t="array" ref="R357">IF(H357&lt;&gt;"Stop",IF(E357&lt;&gt;0,IF(E357&lt;=K357,"OK","NG"),Blank),"-")</f>
        <v>#REF!</v>
      </c>
      <c r="S357" s="22"/>
      <c r="T357" s="221"/>
      <c r="U357"/>
    </row>
    <row r="358" spans="1:21" ht="30" hidden="1" x14ac:dyDescent="0.3">
      <c r="A358" s="318" t="e">
        <f>#REF!</f>
        <v>#REF!</v>
      </c>
      <c r="B358" s="305" t="e">
        <f>#REF!</f>
        <v>#REF!</v>
      </c>
      <c r="C358" s="305" t="str">
        <f>'Danh sách máy'!C353</f>
        <v>Fact.4</v>
      </c>
      <c r="D358" s="90" t="e">
        <f>#REF!</f>
        <v>#REF!</v>
      </c>
      <c r="E358" s="97">
        <f>'Danh sách máy'!E353</f>
        <v>0</v>
      </c>
      <c r="F358" s="206" t="e">
        <f>#REF!</f>
        <v>#REF!</v>
      </c>
      <c r="G358" s="102" t="e">
        <f>#REF!</f>
        <v>#REF!</v>
      </c>
      <c r="H358" s="102" t="e">
        <f>#REF!</f>
        <v>#REF!</v>
      </c>
      <c r="I358" s="209">
        <v>44632</v>
      </c>
      <c r="J358" s="210"/>
      <c r="K358" s="210" t="e">
        <f>#REF!</f>
        <v>#REF!</v>
      </c>
      <c r="L358" s="210">
        <v>44627</v>
      </c>
      <c r="M358" s="210"/>
      <c r="N358" s="210">
        <f>'Danh sách máy'!F353</f>
        <v>0</v>
      </c>
      <c r="O358" s="211" t="str" cm="1">
        <f t="array" ref="O358">IF(L358&lt;&gt;0,IF(L358&lt;I358,"OK","NG"),Blank)</f>
        <v>OK</v>
      </c>
      <c r="P358" s="211" t="e" cm="1">
        <f t="array" ref="P358">IF(M358&lt;&gt;0,IF(M358&lt;J358,"OK","NG"),Blank)</f>
        <v>#NAME?</v>
      </c>
      <c r="Q358" s="211" t="e" cm="1">
        <f t="array" ref="Q358">IF(H358&lt;&gt;"Stop",IF(N358&lt;&gt;0,IF(N358&lt;=K358,"OK","NG"),Blank),"-")</f>
        <v>#REF!</v>
      </c>
      <c r="R358" s="326" t="e" cm="1">
        <f t="array" ref="R358">IF(H358&lt;&gt;"Stop",IF(E358&lt;&gt;0,IF(E358&lt;=K358,"OK","NG"),Blank),"-")</f>
        <v>#REF!</v>
      </c>
      <c r="S358" s="22"/>
      <c r="T358" s="221"/>
      <c r="U358"/>
    </row>
    <row r="359" spans="1:21" ht="30" hidden="1" x14ac:dyDescent="0.3">
      <c r="A359" s="318" t="e">
        <f>#REF!</f>
        <v>#REF!</v>
      </c>
      <c r="B359" s="305" t="e">
        <f>#REF!</f>
        <v>#REF!</v>
      </c>
      <c r="C359" s="305" t="str">
        <f>'Danh sách máy'!C354</f>
        <v>Fact.4</v>
      </c>
      <c r="D359" s="90" t="e">
        <f>#REF!</f>
        <v>#REF!</v>
      </c>
      <c r="E359" s="97">
        <f>'Danh sách máy'!E354</f>
        <v>0</v>
      </c>
      <c r="F359" s="206" t="e">
        <f>#REF!</f>
        <v>#REF!</v>
      </c>
      <c r="G359" s="102" t="e">
        <f>#REF!</f>
        <v>#REF!</v>
      </c>
      <c r="H359" s="102" t="e">
        <f>#REF!</f>
        <v>#REF!</v>
      </c>
      <c r="I359" s="209">
        <v>44633</v>
      </c>
      <c r="J359" s="210"/>
      <c r="K359" s="210" t="e">
        <f>#REF!</f>
        <v>#REF!</v>
      </c>
      <c r="L359" s="210">
        <v>44628</v>
      </c>
      <c r="M359" s="210"/>
      <c r="N359" s="210">
        <f>'Danh sách máy'!F354</f>
        <v>0</v>
      </c>
      <c r="O359" s="211" t="str" cm="1">
        <f t="array" ref="O359">IF(L359&lt;&gt;0,IF(L359&lt;I359,"OK","NG"),Blank)</f>
        <v>OK</v>
      </c>
      <c r="P359" s="211" t="e" cm="1">
        <f t="array" ref="P359">IF(M359&lt;&gt;0,IF(M359&lt;J359,"OK","NG"),Blank)</f>
        <v>#NAME?</v>
      </c>
      <c r="Q359" s="211" t="e" cm="1">
        <f t="array" ref="Q359">IF(H359&lt;&gt;"Stop",IF(N359&lt;&gt;0,IF(N359&lt;=K359,"OK","NG"),Blank),"-")</f>
        <v>#REF!</v>
      </c>
      <c r="R359" s="326" t="e" cm="1">
        <f t="array" ref="R359">IF(H359&lt;&gt;"Stop",IF(E359&lt;&gt;0,IF(E359&lt;=K359,"OK","NG"),Blank),"-")</f>
        <v>#REF!</v>
      </c>
      <c r="S359" s="22"/>
      <c r="T359" s="221"/>
      <c r="U359"/>
    </row>
    <row r="360" spans="1:21" ht="30" hidden="1" x14ac:dyDescent="0.3">
      <c r="A360" s="318" t="e">
        <f>#REF!</f>
        <v>#REF!</v>
      </c>
      <c r="B360" s="305" t="e">
        <f>#REF!</f>
        <v>#REF!</v>
      </c>
      <c r="C360" s="305" t="str">
        <f>'Danh sách máy'!C355</f>
        <v>Fact.4</v>
      </c>
      <c r="D360" s="90" t="e">
        <f>#REF!</f>
        <v>#REF!</v>
      </c>
      <c r="E360" s="97">
        <f>'Danh sách máy'!E355</f>
        <v>45894</v>
      </c>
      <c r="F360" s="206" t="e">
        <f>#REF!</f>
        <v>#REF!</v>
      </c>
      <c r="G360" s="102" t="e">
        <f>#REF!</f>
        <v>#REF!</v>
      </c>
      <c r="H360" s="102" t="e">
        <f>#REF!</f>
        <v>#REF!</v>
      </c>
      <c r="I360" s="209">
        <v>44634</v>
      </c>
      <c r="J360" s="210"/>
      <c r="K360" s="210" t="e">
        <f>#REF!</f>
        <v>#REF!</v>
      </c>
      <c r="L360" s="210">
        <v>44629</v>
      </c>
      <c r="M360" s="210"/>
      <c r="N360" s="210">
        <f>'Danh sách máy'!F355</f>
        <v>0</v>
      </c>
      <c r="O360" s="211" t="str" cm="1">
        <f t="array" ref="O360">IF(L360&lt;&gt;0,IF(L360&lt;I360,"OK","NG"),Blank)</f>
        <v>OK</v>
      </c>
      <c r="P360" s="211" t="e" cm="1">
        <f t="array" ref="P360">IF(M360&lt;&gt;0,IF(M360&lt;J360,"OK","NG"),Blank)</f>
        <v>#NAME?</v>
      </c>
      <c r="Q360" s="211" t="e" cm="1">
        <f t="array" ref="Q360">IF(H360&lt;&gt;"Stop",IF(N360&lt;&gt;0,IF(N360&lt;=K360,"OK","NG"),Blank),"-")</f>
        <v>#REF!</v>
      </c>
      <c r="R360" s="326" t="e" cm="1">
        <f t="array" ref="R360">IF(H360&lt;&gt;"Stop",IF(E360&lt;&gt;0,IF(E360&lt;=K360,"OK","NG"),Blank),"-")</f>
        <v>#REF!</v>
      </c>
      <c r="S360" s="22"/>
      <c r="T360" s="221"/>
      <c r="U360"/>
    </row>
    <row r="361" spans="1:21" ht="30" hidden="1" x14ac:dyDescent="0.3">
      <c r="A361" s="318" t="e">
        <f>#REF!</f>
        <v>#REF!</v>
      </c>
      <c r="B361" s="305" t="e">
        <f>#REF!</f>
        <v>#REF!</v>
      </c>
      <c r="C361" s="305" t="str">
        <f>'Danh sách máy'!C356</f>
        <v>Fact.4</v>
      </c>
      <c r="D361" s="90" t="e">
        <f>#REF!</f>
        <v>#REF!</v>
      </c>
      <c r="E361" s="97">
        <f>'Danh sách máy'!E356</f>
        <v>45894</v>
      </c>
      <c r="F361" s="206" t="e">
        <f>#REF!</f>
        <v>#REF!</v>
      </c>
      <c r="G361" s="102" t="e">
        <f>#REF!</f>
        <v>#REF!</v>
      </c>
      <c r="H361" s="102" t="e">
        <f>#REF!</f>
        <v>#REF!</v>
      </c>
      <c r="I361" s="209">
        <v>44635</v>
      </c>
      <c r="J361" s="210"/>
      <c r="K361" s="210" t="e">
        <f>#REF!</f>
        <v>#REF!</v>
      </c>
      <c r="L361" s="210">
        <v>44630</v>
      </c>
      <c r="M361" s="210"/>
      <c r="N361" s="210">
        <f>'Danh sách máy'!F356</f>
        <v>0</v>
      </c>
      <c r="O361" s="211" t="str" cm="1">
        <f t="array" ref="O361">IF(L361&lt;&gt;0,IF(L361&lt;I361,"OK","NG"),Blank)</f>
        <v>OK</v>
      </c>
      <c r="P361" s="211" t="e" cm="1">
        <f t="array" ref="P361">IF(M361&lt;&gt;0,IF(M361&lt;J361,"OK","NG"),Blank)</f>
        <v>#NAME?</v>
      </c>
      <c r="Q361" s="211" t="e" cm="1">
        <f t="array" ref="Q361">IF(H361&lt;&gt;"Stop",IF(N361&lt;&gt;0,IF(N361&lt;=K361,"OK","NG"),Blank),"-")</f>
        <v>#REF!</v>
      </c>
      <c r="R361" s="326" t="e" cm="1">
        <f t="array" ref="R361">IF(H361&lt;&gt;"Stop",IF(E361&lt;&gt;0,IF(E361&lt;=K361,"OK","NG"),Blank),"-")</f>
        <v>#REF!</v>
      </c>
      <c r="S361" s="22"/>
      <c r="T361" s="221"/>
      <c r="U361"/>
    </row>
    <row r="362" spans="1:21" ht="30" hidden="1" x14ac:dyDescent="0.3">
      <c r="A362" s="318" t="e">
        <f>#REF!</f>
        <v>#REF!</v>
      </c>
      <c r="B362" s="305" t="e">
        <f>#REF!</f>
        <v>#REF!</v>
      </c>
      <c r="C362" s="305" t="str">
        <f>'Danh sách máy'!C357</f>
        <v>Fact.4</v>
      </c>
      <c r="D362" s="90" t="e">
        <f>#REF!</f>
        <v>#REF!</v>
      </c>
      <c r="E362" s="97">
        <f>'Danh sách máy'!E357</f>
        <v>0</v>
      </c>
      <c r="F362" s="206" t="e">
        <f>#REF!</f>
        <v>#REF!</v>
      </c>
      <c r="G362" s="102" t="e">
        <f>#REF!</f>
        <v>#REF!</v>
      </c>
      <c r="H362" s="102" t="e">
        <f>#REF!</f>
        <v>#REF!</v>
      </c>
      <c r="I362" s="209">
        <v>44636</v>
      </c>
      <c r="J362" s="210"/>
      <c r="K362" s="210" t="e">
        <f>#REF!</f>
        <v>#REF!</v>
      </c>
      <c r="L362" s="210">
        <v>44631</v>
      </c>
      <c r="M362" s="210"/>
      <c r="N362" s="210">
        <f>'Danh sách máy'!F357</f>
        <v>0</v>
      </c>
      <c r="O362" s="211" t="str" cm="1">
        <f t="array" ref="O362">IF(L362&lt;&gt;0,IF(L362&lt;I362,"OK","NG"),Blank)</f>
        <v>OK</v>
      </c>
      <c r="P362" s="211" t="e" cm="1">
        <f t="array" ref="P362">IF(M362&lt;&gt;0,IF(M362&lt;J362,"OK","NG"),Blank)</f>
        <v>#NAME?</v>
      </c>
      <c r="Q362" s="211" t="e" cm="1">
        <f t="array" ref="Q362">IF(H362&lt;&gt;"Stop",IF(N362&lt;&gt;0,IF(N362&lt;=K362,"OK","NG"),Blank),"-")</f>
        <v>#REF!</v>
      </c>
      <c r="R362" s="326" t="e" cm="1">
        <f t="array" ref="R362">IF(H362&lt;&gt;"Stop",IF(E362&lt;&gt;0,IF(E362&lt;=K362,"OK","NG"),Blank),"-")</f>
        <v>#REF!</v>
      </c>
      <c r="S362" s="22"/>
      <c r="T362" s="221"/>
      <c r="U362"/>
    </row>
    <row r="363" spans="1:21" ht="30" hidden="1" x14ac:dyDescent="0.3">
      <c r="A363" s="318" t="e">
        <f>#REF!</f>
        <v>#REF!</v>
      </c>
      <c r="B363" s="305" t="e">
        <f>#REF!</f>
        <v>#REF!</v>
      </c>
      <c r="C363" s="305" t="str">
        <f>'Danh sách máy'!C358</f>
        <v>Fact.4</v>
      </c>
      <c r="D363" s="90" t="e">
        <f>#REF!</f>
        <v>#REF!</v>
      </c>
      <c r="E363" s="97">
        <f>'Danh sách máy'!E358</f>
        <v>0</v>
      </c>
      <c r="F363" s="206" t="e">
        <f>#REF!</f>
        <v>#REF!</v>
      </c>
      <c r="G363" s="102" t="e">
        <f>#REF!</f>
        <v>#REF!</v>
      </c>
      <c r="H363" s="102" t="e">
        <f>#REF!</f>
        <v>#REF!</v>
      </c>
      <c r="I363" s="209">
        <v>44637</v>
      </c>
      <c r="J363" s="210"/>
      <c r="K363" s="210" t="e">
        <f>#REF!</f>
        <v>#REF!</v>
      </c>
      <c r="L363" s="210">
        <v>44632</v>
      </c>
      <c r="M363" s="210"/>
      <c r="N363" s="210">
        <f>'Danh sách máy'!F358</f>
        <v>0</v>
      </c>
      <c r="O363" s="211" t="str" cm="1">
        <f t="array" ref="O363">IF(L363&lt;&gt;0,IF(L363&lt;I363,"OK","NG"),Blank)</f>
        <v>OK</v>
      </c>
      <c r="P363" s="211" t="e" cm="1">
        <f t="array" ref="P363">IF(M363&lt;&gt;0,IF(M363&lt;J363,"OK","NG"),Blank)</f>
        <v>#NAME?</v>
      </c>
      <c r="Q363" s="211" t="e" cm="1">
        <f t="array" ref="Q363">IF(H363&lt;&gt;"Stop",IF(N363&lt;&gt;0,IF(N363&lt;=K363,"OK","NG"),Blank),"-")</f>
        <v>#REF!</v>
      </c>
      <c r="R363" s="326" t="e" cm="1">
        <f t="array" ref="R363">IF(H363&lt;&gt;"Stop",IF(E363&lt;&gt;0,IF(E363&lt;=K363,"OK","NG"),Blank),"-")</f>
        <v>#REF!</v>
      </c>
      <c r="S363" s="22"/>
      <c r="T363" s="221"/>
      <c r="U363"/>
    </row>
    <row r="364" spans="1:21" ht="30" hidden="1" x14ac:dyDescent="0.3">
      <c r="A364" s="318" t="e">
        <f>#REF!</f>
        <v>#REF!</v>
      </c>
      <c r="B364" s="305" t="e">
        <f>#REF!</f>
        <v>#REF!</v>
      </c>
      <c r="C364" s="305" t="str">
        <f>'Danh sách máy'!C359</f>
        <v>Fact.4</v>
      </c>
      <c r="D364" s="90" t="e">
        <f>#REF!</f>
        <v>#REF!</v>
      </c>
      <c r="E364" s="97">
        <f>'Danh sách máy'!E359</f>
        <v>45894</v>
      </c>
      <c r="F364" s="206" t="e">
        <f>#REF!</f>
        <v>#REF!</v>
      </c>
      <c r="G364" s="102" t="e">
        <f>#REF!</f>
        <v>#REF!</v>
      </c>
      <c r="H364" s="102" t="e">
        <f>#REF!</f>
        <v>#REF!</v>
      </c>
      <c r="I364" s="209">
        <v>44638</v>
      </c>
      <c r="J364" s="210"/>
      <c r="K364" s="210" t="e">
        <f>#REF!</f>
        <v>#REF!</v>
      </c>
      <c r="L364" s="210">
        <v>44633</v>
      </c>
      <c r="M364" s="210"/>
      <c r="N364" s="210">
        <f>'Danh sách máy'!F359</f>
        <v>0</v>
      </c>
      <c r="O364" s="211" t="str" cm="1">
        <f t="array" ref="O364">IF(L364&lt;&gt;0,IF(L364&lt;I364,"OK","NG"),Blank)</f>
        <v>OK</v>
      </c>
      <c r="P364" s="211" t="e" cm="1">
        <f t="array" ref="P364">IF(M364&lt;&gt;0,IF(M364&lt;J364,"OK","NG"),Blank)</f>
        <v>#NAME?</v>
      </c>
      <c r="Q364" s="211" t="e" cm="1">
        <f t="array" ref="Q364">IF(H364&lt;&gt;"Stop",IF(N364&lt;&gt;0,IF(N364&lt;=K364,"OK","NG"),Blank),"-")</f>
        <v>#REF!</v>
      </c>
      <c r="R364" s="326" t="e" cm="1">
        <f t="array" ref="R364">IF(H364&lt;&gt;"Stop",IF(E364&lt;&gt;0,IF(E364&lt;=K364,"OK","NG"),Blank),"-")</f>
        <v>#REF!</v>
      </c>
      <c r="S364" s="22"/>
      <c r="T364" s="221"/>
      <c r="U364"/>
    </row>
    <row r="365" spans="1:21" ht="30" x14ac:dyDescent="0.3">
      <c r="A365" s="318" t="e">
        <f>#REF!</f>
        <v>#REF!</v>
      </c>
      <c r="B365" s="305" t="e">
        <f>#REF!</f>
        <v>#REF!</v>
      </c>
      <c r="C365" s="305" t="str">
        <f>'Danh sách máy'!C360</f>
        <v>Fact.4</v>
      </c>
      <c r="D365" s="90" t="e">
        <f>#REF!</f>
        <v>#REF!</v>
      </c>
      <c r="E365" s="97">
        <f>'Danh sách máy'!E360</f>
        <v>45807</v>
      </c>
      <c r="F365" s="206" t="e">
        <f>#REF!</f>
        <v>#REF!</v>
      </c>
      <c r="G365" s="102" t="e">
        <f>#REF!</f>
        <v>#REF!</v>
      </c>
      <c r="H365" s="102" t="e">
        <f>#REF!</f>
        <v>#REF!</v>
      </c>
      <c r="I365" s="209">
        <v>44639</v>
      </c>
      <c r="J365" s="210"/>
      <c r="K365" s="210" t="e">
        <f>#REF!</f>
        <v>#REF!</v>
      </c>
      <c r="L365" s="210">
        <v>44634</v>
      </c>
      <c r="M365" s="210"/>
      <c r="N365" s="210">
        <f>'Danh sách máy'!F360</f>
        <v>45821</v>
      </c>
      <c r="O365" s="211" t="str" cm="1">
        <f t="array" ref="O365">IF(L365&lt;&gt;0,IF(L365&lt;I365,"OK","NG"),Blank)</f>
        <v>OK</v>
      </c>
      <c r="P365" s="211" t="e" cm="1">
        <f t="array" ref="P365">IF(M365&lt;&gt;0,IF(M365&lt;J365,"OK","NG"),Blank)</f>
        <v>#NAME?</v>
      </c>
      <c r="Q365" s="211" t="e" cm="1">
        <f t="array" ref="Q365">IF(H365&lt;&gt;"Stop",IF(N365&lt;&gt;0,IF(N365&lt;=K365,"OK","NG"),Blank),"-")</f>
        <v>#REF!</v>
      </c>
      <c r="R365" s="326" t="e" cm="1">
        <f t="array" ref="R365">IF(H365&lt;&gt;"Stop",IF(E365&lt;&gt;0,IF(E365&lt;=K365,"OK","NG"),Blank),"-")</f>
        <v>#REF!</v>
      </c>
      <c r="S365" s="22"/>
      <c r="T365" s="221"/>
      <c r="U365"/>
    </row>
    <row r="366" spans="1:21" ht="30" x14ac:dyDescent="0.3">
      <c r="A366" s="318" t="e">
        <f>#REF!</f>
        <v>#REF!</v>
      </c>
      <c r="B366" s="305" t="e">
        <f>#REF!</f>
        <v>#REF!</v>
      </c>
      <c r="C366" s="305" t="str">
        <f>'Danh sách máy'!C361</f>
        <v>Fact.4</v>
      </c>
      <c r="D366" s="90" t="e">
        <f>#REF!</f>
        <v>#REF!</v>
      </c>
      <c r="E366" s="97">
        <f>'Danh sách máy'!E361</f>
        <v>45770</v>
      </c>
      <c r="F366" s="206" t="e">
        <f>#REF!</f>
        <v>#REF!</v>
      </c>
      <c r="G366" s="102" t="e">
        <f>#REF!</f>
        <v>#REF!</v>
      </c>
      <c r="H366" s="102" t="e">
        <f>#REF!</f>
        <v>#REF!</v>
      </c>
      <c r="I366" s="209">
        <v>44640</v>
      </c>
      <c r="J366" s="210"/>
      <c r="K366" s="210" t="e">
        <f>#REF!</f>
        <v>#REF!</v>
      </c>
      <c r="L366" s="210">
        <v>44635</v>
      </c>
      <c r="M366" s="210"/>
      <c r="N366" s="210">
        <f>'Danh sách máy'!F361</f>
        <v>45770</v>
      </c>
      <c r="O366" s="211" t="str" cm="1">
        <f t="array" ref="O366">IF(L366&lt;&gt;0,IF(L366&lt;I366,"OK","NG"),Blank)</f>
        <v>OK</v>
      </c>
      <c r="P366" s="211" t="e" cm="1">
        <f t="array" ref="P366">IF(M366&lt;&gt;0,IF(M366&lt;J366,"OK","NG"),Blank)</f>
        <v>#NAME?</v>
      </c>
      <c r="Q366" s="211" t="e" cm="1">
        <f t="array" ref="Q366">IF(H366&lt;&gt;"Stop",IF(N366&lt;&gt;0,IF(N366&lt;=K366,"OK","NG"),Blank),"-")</f>
        <v>#REF!</v>
      </c>
      <c r="R366" s="326" t="e" cm="1">
        <f t="array" ref="R366">IF(H366&lt;&gt;"Stop",IF(E366&lt;&gt;0,IF(E366&lt;=K366,"OK","NG"),Blank),"-")</f>
        <v>#REF!</v>
      </c>
      <c r="S366" s="22"/>
      <c r="T366" s="221"/>
      <c r="U366"/>
    </row>
    <row r="367" spans="1:21" ht="30" hidden="1" x14ac:dyDescent="0.3">
      <c r="A367" s="318" t="e">
        <f>#REF!</f>
        <v>#REF!</v>
      </c>
      <c r="B367" s="305" t="e">
        <f>#REF!</f>
        <v>#REF!</v>
      </c>
      <c r="C367" s="305" t="str">
        <f>'Danh sách máy'!C362</f>
        <v>Fact.4</v>
      </c>
      <c r="D367" s="90" t="e">
        <f>#REF!</f>
        <v>#REF!</v>
      </c>
      <c r="E367" s="97">
        <f>'Danh sách máy'!E362</f>
        <v>45745</v>
      </c>
      <c r="F367" s="206" t="e">
        <f>#REF!</f>
        <v>#REF!</v>
      </c>
      <c r="G367" s="102" t="e">
        <f>#REF!</f>
        <v>#REF!</v>
      </c>
      <c r="H367" s="102" t="e">
        <f>#REF!</f>
        <v>#REF!</v>
      </c>
      <c r="I367" s="209">
        <v>44641</v>
      </c>
      <c r="J367" s="210"/>
      <c r="K367" s="210" t="e">
        <f>#REF!</f>
        <v>#REF!</v>
      </c>
      <c r="L367" s="210">
        <v>44636</v>
      </c>
      <c r="M367" s="210"/>
      <c r="N367" s="210">
        <f>'Danh sách máy'!F362</f>
        <v>0</v>
      </c>
      <c r="O367" s="211" t="str" cm="1">
        <f t="array" ref="O367">IF(L367&lt;&gt;0,IF(L367&lt;I367,"OK","NG"),Blank)</f>
        <v>OK</v>
      </c>
      <c r="P367" s="211" t="e" cm="1">
        <f t="array" ref="P367">IF(M367&lt;&gt;0,IF(M367&lt;J367,"OK","NG"),Blank)</f>
        <v>#NAME?</v>
      </c>
      <c r="Q367" s="211" t="e" cm="1">
        <f t="array" ref="Q367">IF(H367&lt;&gt;"Stop",IF(N367&lt;&gt;0,IF(N367&lt;=K367,"OK","NG"),Blank),"-")</f>
        <v>#REF!</v>
      </c>
      <c r="R367" s="326" t="e" cm="1">
        <f t="array" ref="R367">IF(H367&lt;&gt;"Stop",IF(E367&lt;&gt;0,IF(E367&lt;=K367,"OK","NG"),Blank),"-")</f>
        <v>#REF!</v>
      </c>
      <c r="S367" s="22"/>
      <c r="T367" s="221"/>
      <c r="U367"/>
    </row>
    <row r="368" spans="1:21" ht="30" hidden="1" x14ac:dyDescent="0.3">
      <c r="A368" s="318" t="e">
        <f>#REF!</f>
        <v>#REF!</v>
      </c>
      <c r="B368" s="305" t="e">
        <f>#REF!</f>
        <v>#REF!</v>
      </c>
      <c r="C368" s="305" t="str">
        <f>'Danh sách máy'!C363</f>
        <v>Fact.4</v>
      </c>
      <c r="D368" s="90" t="e">
        <f>#REF!</f>
        <v>#REF!</v>
      </c>
      <c r="E368" s="97">
        <f>'Danh sách máy'!E363</f>
        <v>45770</v>
      </c>
      <c r="F368" s="206" t="e">
        <f>#REF!</f>
        <v>#REF!</v>
      </c>
      <c r="G368" s="102" t="e">
        <f>#REF!</f>
        <v>#REF!</v>
      </c>
      <c r="H368" s="102" t="e">
        <f>#REF!</f>
        <v>#REF!</v>
      </c>
      <c r="I368" s="209">
        <v>44642</v>
      </c>
      <c r="J368" s="210"/>
      <c r="K368" s="210" t="e">
        <f>#REF!</f>
        <v>#REF!</v>
      </c>
      <c r="L368" s="210">
        <v>44637</v>
      </c>
      <c r="M368" s="210"/>
      <c r="N368" s="210">
        <f>'Danh sách máy'!F363</f>
        <v>0</v>
      </c>
      <c r="O368" s="211" t="str" cm="1">
        <f t="array" ref="O368">IF(L368&lt;&gt;0,IF(L368&lt;I368,"OK","NG"),Blank)</f>
        <v>OK</v>
      </c>
      <c r="P368" s="211" t="e" cm="1">
        <f t="array" ref="P368">IF(M368&lt;&gt;0,IF(M368&lt;J368,"OK","NG"),Blank)</f>
        <v>#NAME?</v>
      </c>
      <c r="Q368" s="211" t="e" cm="1">
        <f t="array" ref="Q368">IF(H368&lt;&gt;"Stop",IF(N368&lt;&gt;0,IF(N368&lt;=K368,"OK","NG"),Blank),"-")</f>
        <v>#REF!</v>
      </c>
      <c r="R368" s="326" t="e" cm="1">
        <f t="array" ref="R368">IF(H368&lt;&gt;"Stop",IF(E368&lt;&gt;0,IF(E368&lt;=K368,"OK","NG"),Blank),"-")</f>
        <v>#REF!</v>
      </c>
      <c r="S368" s="22"/>
      <c r="T368" s="221"/>
      <c r="U368"/>
    </row>
    <row r="369" spans="1:21" ht="30" hidden="1" x14ac:dyDescent="0.3">
      <c r="A369" s="318" t="e">
        <f>#REF!</f>
        <v>#REF!</v>
      </c>
      <c r="B369" s="305" t="e">
        <f>#REF!</f>
        <v>#REF!</v>
      </c>
      <c r="C369" s="305" t="str">
        <f>'Danh sách máy'!C364</f>
        <v>Fact.4</v>
      </c>
      <c r="D369" s="90" t="e">
        <f>#REF!</f>
        <v>#REF!</v>
      </c>
      <c r="E369" s="97">
        <f>'Danh sách máy'!E364</f>
        <v>45770</v>
      </c>
      <c r="F369" s="206" t="e">
        <f>#REF!</f>
        <v>#REF!</v>
      </c>
      <c r="G369" s="102" t="e">
        <f>#REF!</f>
        <v>#REF!</v>
      </c>
      <c r="H369" s="102" t="e">
        <f>#REF!</f>
        <v>#REF!</v>
      </c>
      <c r="I369" s="209">
        <v>44643</v>
      </c>
      <c r="J369" s="210"/>
      <c r="K369" s="210" t="e">
        <f>#REF!</f>
        <v>#REF!</v>
      </c>
      <c r="L369" s="210">
        <v>44638</v>
      </c>
      <c r="M369" s="210"/>
      <c r="N369" s="210">
        <f>'Danh sách máy'!F364</f>
        <v>0</v>
      </c>
      <c r="O369" s="211" t="str" cm="1">
        <f t="array" ref="O369">IF(L369&lt;&gt;0,IF(L369&lt;I369,"OK","NG"),Blank)</f>
        <v>OK</v>
      </c>
      <c r="P369" s="211" t="e" cm="1">
        <f t="array" ref="P369">IF(M369&lt;&gt;0,IF(M369&lt;J369,"OK","NG"),Blank)</f>
        <v>#NAME?</v>
      </c>
      <c r="Q369" s="211" t="e" cm="1">
        <f t="array" ref="Q369">IF(H369&lt;&gt;"Stop",IF(N369&lt;&gt;0,IF(N369&lt;=K369,"OK","NG"),Blank),"-")</f>
        <v>#REF!</v>
      </c>
      <c r="R369" s="326" t="e" cm="1">
        <f t="array" ref="R369">IF(H369&lt;&gt;"Stop",IF(E369&lt;&gt;0,IF(E369&lt;=K369,"OK","NG"),Blank),"-")</f>
        <v>#REF!</v>
      </c>
      <c r="S369" s="22"/>
      <c r="T369" s="221"/>
      <c r="U369"/>
    </row>
    <row r="370" spans="1:21" ht="30" x14ac:dyDescent="0.3">
      <c r="A370" s="318" t="e">
        <f>#REF!</f>
        <v>#REF!</v>
      </c>
      <c r="B370" s="305" t="e">
        <f>#REF!</f>
        <v>#REF!</v>
      </c>
      <c r="C370" s="305" t="str">
        <f>'Danh sách máy'!C365</f>
        <v>Fact.4</v>
      </c>
      <c r="D370" s="90" t="e">
        <f>#REF!</f>
        <v>#REF!</v>
      </c>
      <c r="E370" s="97">
        <f>'Danh sách máy'!E365</f>
        <v>45770</v>
      </c>
      <c r="F370" s="206" t="e">
        <f>#REF!</f>
        <v>#REF!</v>
      </c>
      <c r="G370" s="102" t="e">
        <f>#REF!</f>
        <v>#REF!</v>
      </c>
      <c r="H370" s="102" t="e">
        <f>#REF!</f>
        <v>#REF!</v>
      </c>
      <c r="I370" s="209">
        <v>44644</v>
      </c>
      <c r="J370" s="210"/>
      <c r="K370" s="210" t="e">
        <f>#REF!</f>
        <v>#REF!</v>
      </c>
      <c r="L370" s="210">
        <v>44639</v>
      </c>
      <c r="M370" s="210"/>
      <c r="N370" s="210">
        <f>'Danh sách máy'!F365</f>
        <v>45770</v>
      </c>
      <c r="O370" s="211" t="str" cm="1">
        <f t="array" ref="O370">IF(L370&lt;&gt;0,IF(L370&lt;I370,"OK","NG"),Blank)</f>
        <v>OK</v>
      </c>
      <c r="P370" s="211" t="e" cm="1">
        <f t="array" ref="P370">IF(M370&lt;&gt;0,IF(M370&lt;J370,"OK","NG"),Blank)</f>
        <v>#NAME?</v>
      </c>
      <c r="Q370" s="211" t="e" cm="1">
        <f t="array" ref="Q370">IF(H370&lt;&gt;"Stop",IF(N370&lt;&gt;0,IF(N370&lt;=K370,"OK","NG"),Blank),"-")</f>
        <v>#REF!</v>
      </c>
      <c r="R370" s="326" t="e" cm="1">
        <f t="array" ref="R370">IF(H370&lt;&gt;"Stop",IF(E370&lt;&gt;0,IF(E370&lt;=K370,"OK","NG"),Blank),"-")</f>
        <v>#REF!</v>
      </c>
      <c r="S370" s="22"/>
      <c r="T370" s="221"/>
      <c r="U370"/>
    </row>
    <row r="371" spans="1:21" ht="30" hidden="1" x14ac:dyDescent="0.3">
      <c r="A371" s="318" t="e">
        <f>#REF!</f>
        <v>#REF!</v>
      </c>
      <c r="B371" s="305" t="e">
        <f>#REF!</f>
        <v>#REF!</v>
      </c>
      <c r="C371" s="305" t="str">
        <f>'Danh sách máy'!C366</f>
        <v>Fact.4</v>
      </c>
      <c r="D371" s="90" t="e">
        <f>#REF!</f>
        <v>#REF!</v>
      </c>
      <c r="E371" s="97">
        <f>'Danh sách máy'!E366</f>
        <v>45736</v>
      </c>
      <c r="F371" s="206" t="e">
        <f>#REF!</f>
        <v>#REF!</v>
      </c>
      <c r="G371" s="102" t="e">
        <f>#REF!</f>
        <v>#REF!</v>
      </c>
      <c r="H371" s="102" t="e">
        <f>#REF!</f>
        <v>#REF!</v>
      </c>
      <c r="I371" s="209">
        <v>44645</v>
      </c>
      <c r="J371" s="210"/>
      <c r="K371" s="210" t="e">
        <f>#REF!</f>
        <v>#REF!</v>
      </c>
      <c r="L371" s="210">
        <v>44640</v>
      </c>
      <c r="M371" s="210"/>
      <c r="N371" s="210">
        <f>'Danh sách máy'!F366</f>
        <v>0</v>
      </c>
      <c r="O371" s="211" t="str" cm="1">
        <f t="array" ref="O371">IF(L371&lt;&gt;0,IF(L371&lt;I371,"OK","NG"),Blank)</f>
        <v>OK</v>
      </c>
      <c r="P371" s="211" t="e" cm="1">
        <f t="array" ref="P371">IF(M371&lt;&gt;0,IF(M371&lt;J371,"OK","NG"),Blank)</f>
        <v>#NAME?</v>
      </c>
      <c r="Q371" s="211" t="e" cm="1">
        <f t="array" ref="Q371">IF(H371&lt;&gt;"Stop",IF(N371&lt;&gt;0,IF(N371&lt;=K371,"OK","NG"),Blank),"-")</f>
        <v>#REF!</v>
      </c>
      <c r="R371" s="326" t="e" cm="1">
        <f t="array" ref="R371">IF(H371&lt;&gt;"Stop",IF(E371&lt;&gt;0,IF(E371&lt;=K371,"OK","NG"),Blank),"-")</f>
        <v>#REF!</v>
      </c>
      <c r="S371" s="22"/>
      <c r="T371" s="221"/>
      <c r="U371"/>
    </row>
    <row r="372" spans="1:21" ht="30" hidden="1" x14ac:dyDescent="0.3">
      <c r="A372" s="318" t="e">
        <f>#REF!</f>
        <v>#REF!</v>
      </c>
      <c r="B372" s="305" t="e">
        <f>#REF!</f>
        <v>#REF!</v>
      </c>
      <c r="C372" s="305" t="str">
        <f>'Danh sách máy'!C367</f>
        <v>Fact.4</v>
      </c>
      <c r="D372" s="90" t="e">
        <f>#REF!</f>
        <v>#REF!</v>
      </c>
      <c r="E372" s="97">
        <f>'Danh sách máy'!E367</f>
        <v>45745</v>
      </c>
      <c r="F372" s="206" t="e">
        <f>#REF!</f>
        <v>#REF!</v>
      </c>
      <c r="G372" s="102" t="e">
        <f>#REF!</f>
        <v>#REF!</v>
      </c>
      <c r="H372" s="102" t="e">
        <f>#REF!</f>
        <v>#REF!</v>
      </c>
      <c r="I372" s="209">
        <v>44646</v>
      </c>
      <c r="J372" s="210"/>
      <c r="K372" s="210" t="e">
        <f>#REF!</f>
        <v>#REF!</v>
      </c>
      <c r="L372" s="210">
        <v>44641</v>
      </c>
      <c r="M372" s="210"/>
      <c r="N372" s="210">
        <f>'Danh sách máy'!F367</f>
        <v>0</v>
      </c>
      <c r="O372" s="211" t="str" cm="1">
        <f t="array" ref="O372">IF(L372&lt;&gt;0,IF(L372&lt;I372,"OK","NG"),Blank)</f>
        <v>OK</v>
      </c>
      <c r="P372" s="211" t="e" cm="1">
        <f t="array" ref="P372">IF(M372&lt;&gt;0,IF(M372&lt;J372,"OK","NG"),Blank)</f>
        <v>#NAME?</v>
      </c>
      <c r="Q372" s="211" t="e" cm="1">
        <f t="array" ref="Q372">IF(H372&lt;&gt;"Stop",IF(N372&lt;&gt;0,IF(N372&lt;=K372,"OK","NG"),Blank),"-")</f>
        <v>#REF!</v>
      </c>
      <c r="R372" s="326" t="e" cm="1">
        <f t="array" ref="R372">IF(H372&lt;&gt;"Stop",IF(E372&lt;&gt;0,IF(E372&lt;=K372,"OK","NG"),Blank),"-")</f>
        <v>#REF!</v>
      </c>
      <c r="S372" s="22"/>
      <c r="T372" s="221"/>
      <c r="U372"/>
    </row>
    <row r="373" spans="1:21" ht="30" x14ac:dyDescent="0.3">
      <c r="A373" s="318" t="e">
        <f>#REF!</f>
        <v>#REF!</v>
      </c>
      <c r="B373" s="305" t="e">
        <f>#REF!</f>
        <v>#REF!</v>
      </c>
      <c r="C373" s="305" t="str">
        <f>'Danh sách máy'!C368</f>
        <v>Fact.4</v>
      </c>
      <c r="D373" s="90" t="e">
        <f>#REF!</f>
        <v>#REF!</v>
      </c>
      <c r="E373" s="97">
        <f>'Danh sách máy'!E368</f>
        <v>45852</v>
      </c>
      <c r="F373" s="206" t="e">
        <f>#REF!</f>
        <v>#REF!</v>
      </c>
      <c r="G373" s="102" t="e">
        <f>#REF!</f>
        <v>#REF!</v>
      </c>
      <c r="H373" s="102" t="e">
        <f>#REF!</f>
        <v>#REF!</v>
      </c>
      <c r="I373" s="209">
        <v>44647</v>
      </c>
      <c r="J373" s="210"/>
      <c r="K373" s="210" t="e">
        <f>#REF!</f>
        <v>#REF!</v>
      </c>
      <c r="L373" s="210">
        <v>44642</v>
      </c>
      <c r="M373" s="210"/>
      <c r="N373" s="210">
        <f>'Danh sách máy'!F368</f>
        <v>45852</v>
      </c>
      <c r="O373" s="211" t="str" cm="1">
        <f t="array" ref="O373">IF(L373&lt;&gt;0,IF(L373&lt;I373,"OK","NG"),Blank)</f>
        <v>OK</v>
      </c>
      <c r="P373" s="211" t="e" cm="1">
        <f t="array" ref="P373">IF(M373&lt;&gt;0,IF(M373&lt;J373,"OK","NG"),Blank)</f>
        <v>#NAME?</v>
      </c>
      <c r="Q373" s="211" t="e" cm="1">
        <f t="array" ref="Q373">IF(H373&lt;&gt;"Stop",IF(N373&lt;&gt;0,IF(N373&lt;=K373,"OK","NG"),Blank),"-")</f>
        <v>#REF!</v>
      </c>
      <c r="R373" s="326" t="e" cm="1">
        <f t="array" ref="R373">IF(H373&lt;&gt;"Stop",IF(E373&lt;&gt;0,IF(E373&lt;=K373,"OK","NG"),Blank),"-")</f>
        <v>#REF!</v>
      </c>
      <c r="S373" s="22"/>
      <c r="T373" s="221"/>
      <c r="U373"/>
    </row>
    <row r="374" spans="1:21" ht="30" x14ac:dyDescent="0.3">
      <c r="A374" s="318" t="e">
        <f>#REF!</f>
        <v>#REF!</v>
      </c>
      <c r="B374" s="305" t="e">
        <f>#REF!</f>
        <v>#REF!</v>
      </c>
      <c r="C374" s="305" t="str">
        <f>'Danh sách máy'!C369</f>
        <v>Fact.4</v>
      </c>
      <c r="D374" s="90" t="e">
        <f>#REF!</f>
        <v>#REF!</v>
      </c>
      <c r="E374" s="97">
        <f>'Danh sách máy'!E369</f>
        <v>45852</v>
      </c>
      <c r="F374" s="206" t="e">
        <f>#REF!</f>
        <v>#REF!</v>
      </c>
      <c r="G374" s="102" t="e">
        <f>#REF!</f>
        <v>#REF!</v>
      </c>
      <c r="H374" s="102" t="e">
        <f>#REF!</f>
        <v>#REF!</v>
      </c>
      <c r="I374" s="209">
        <v>44648</v>
      </c>
      <c r="J374" s="210"/>
      <c r="K374" s="210" t="e">
        <f>#REF!</f>
        <v>#REF!</v>
      </c>
      <c r="L374" s="210">
        <v>44643</v>
      </c>
      <c r="M374" s="210"/>
      <c r="N374" s="210">
        <f>'Danh sách máy'!F369</f>
        <v>45852</v>
      </c>
      <c r="O374" s="211" t="str" cm="1">
        <f t="array" ref="O374">IF(L374&lt;&gt;0,IF(L374&lt;I374,"OK","NG"),Blank)</f>
        <v>OK</v>
      </c>
      <c r="P374" s="211" t="e" cm="1">
        <f t="array" ref="P374">IF(M374&lt;&gt;0,IF(M374&lt;J374,"OK","NG"),Blank)</f>
        <v>#NAME?</v>
      </c>
      <c r="Q374" s="211" t="e" cm="1">
        <f t="array" ref="Q374">IF(H374&lt;&gt;"Stop",IF(N374&lt;&gt;0,IF(N374&lt;=K374,"OK","NG"),Blank),"-")</f>
        <v>#REF!</v>
      </c>
      <c r="R374" s="326" t="e" cm="1">
        <f t="array" ref="R374">IF(H374&lt;&gt;"Stop",IF(E374&lt;&gt;0,IF(E374&lt;=K374,"OK","NG"),Blank),"-")</f>
        <v>#REF!</v>
      </c>
      <c r="S374" s="22"/>
      <c r="T374" s="221"/>
      <c r="U374"/>
    </row>
    <row r="375" spans="1:21" ht="30" x14ac:dyDescent="0.3">
      <c r="A375" s="318" t="e">
        <f>#REF!</f>
        <v>#REF!</v>
      </c>
      <c r="B375" s="305" t="e">
        <f>#REF!</f>
        <v>#REF!</v>
      </c>
      <c r="C375" s="305" t="str">
        <f>'Danh sách máy'!C370</f>
        <v>Fact.4</v>
      </c>
      <c r="D375" s="90" t="e">
        <f>#REF!</f>
        <v>#REF!</v>
      </c>
      <c r="E375" s="97">
        <f>'Danh sách máy'!E370</f>
        <v>45770</v>
      </c>
      <c r="F375" s="206" t="e">
        <f>#REF!</f>
        <v>#REF!</v>
      </c>
      <c r="G375" s="102" t="e">
        <f>#REF!</f>
        <v>#REF!</v>
      </c>
      <c r="H375" s="102" t="e">
        <f>#REF!</f>
        <v>#REF!</v>
      </c>
      <c r="I375" s="209">
        <v>44649</v>
      </c>
      <c r="J375" s="210"/>
      <c r="K375" s="210" t="e">
        <f>#REF!</f>
        <v>#REF!</v>
      </c>
      <c r="L375" s="210">
        <v>44644</v>
      </c>
      <c r="M375" s="210"/>
      <c r="N375" s="210">
        <f>'Danh sách máy'!F370</f>
        <v>45770</v>
      </c>
      <c r="O375" s="211" t="str" cm="1">
        <f t="array" ref="O375">IF(L375&lt;&gt;0,IF(L375&lt;I375,"OK","NG"),Blank)</f>
        <v>OK</v>
      </c>
      <c r="P375" s="211" t="e" cm="1">
        <f t="array" ref="P375">IF(M375&lt;&gt;0,IF(M375&lt;J375,"OK","NG"),Blank)</f>
        <v>#NAME?</v>
      </c>
      <c r="Q375" s="211" t="e" cm="1">
        <f t="array" ref="Q375">IF(H375&lt;&gt;"Stop",IF(N375&lt;&gt;0,IF(N375&lt;=K375,"OK","NG"),Blank),"-")</f>
        <v>#REF!</v>
      </c>
      <c r="R375" s="326" t="e" cm="1">
        <f t="array" ref="R375">IF(H375&lt;&gt;"Stop",IF(E375&lt;&gt;0,IF(E375&lt;=K375,"OK","NG"),Blank),"-")</f>
        <v>#REF!</v>
      </c>
      <c r="S375" s="22"/>
      <c r="T375" s="221"/>
      <c r="U375"/>
    </row>
    <row r="376" spans="1:21" ht="30" hidden="1" x14ac:dyDescent="0.3">
      <c r="A376" s="318" t="e">
        <f>#REF!</f>
        <v>#REF!</v>
      </c>
      <c r="B376" s="305" t="e">
        <f>#REF!</f>
        <v>#REF!</v>
      </c>
      <c r="C376" s="305" t="str">
        <f>'Danh sách máy'!C371</f>
        <v>Fact.4</v>
      </c>
      <c r="D376" s="90" t="e">
        <f>#REF!</f>
        <v>#REF!</v>
      </c>
      <c r="E376" s="97">
        <f>'Danh sách máy'!E371</f>
        <v>45736</v>
      </c>
      <c r="F376" s="206" t="e">
        <f>#REF!</f>
        <v>#REF!</v>
      </c>
      <c r="G376" s="102" t="e">
        <f>#REF!</f>
        <v>#REF!</v>
      </c>
      <c r="H376" s="102" t="e">
        <f>#REF!</f>
        <v>#REF!</v>
      </c>
      <c r="I376" s="209">
        <v>44650</v>
      </c>
      <c r="J376" s="210"/>
      <c r="K376" s="210" t="e">
        <f>#REF!</f>
        <v>#REF!</v>
      </c>
      <c r="L376" s="210">
        <v>44645</v>
      </c>
      <c r="M376" s="210"/>
      <c r="N376" s="210">
        <f>'Danh sách máy'!F371</f>
        <v>0</v>
      </c>
      <c r="O376" s="211" t="str" cm="1">
        <f t="array" ref="O376">IF(L376&lt;&gt;0,IF(L376&lt;I376,"OK","NG"),Blank)</f>
        <v>OK</v>
      </c>
      <c r="P376" s="211" t="e" cm="1">
        <f t="array" ref="P376">IF(M376&lt;&gt;0,IF(M376&lt;J376,"OK","NG"),Blank)</f>
        <v>#NAME?</v>
      </c>
      <c r="Q376" s="211" t="e" cm="1">
        <f t="array" ref="Q376">IF(H376&lt;&gt;"Stop",IF(N376&lt;&gt;0,IF(N376&lt;=K376,"OK","NG"),Blank),"-")</f>
        <v>#REF!</v>
      </c>
      <c r="R376" s="326" t="e" cm="1">
        <f t="array" ref="R376">IF(H376&lt;&gt;"Stop",IF(E376&lt;&gt;0,IF(E376&lt;=K376,"OK","NG"),Blank),"-")</f>
        <v>#REF!</v>
      </c>
      <c r="S376" s="22"/>
      <c r="T376" s="221"/>
      <c r="U376"/>
    </row>
    <row r="377" spans="1:21" ht="30" hidden="1" x14ac:dyDescent="0.3">
      <c r="A377" s="318" t="e">
        <f>#REF!</f>
        <v>#REF!</v>
      </c>
      <c r="B377" s="305" t="e">
        <f>#REF!</f>
        <v>#REF!</v>
      </c>
      <c r="C377" s="305" t="str">
        <f>'Danh sách máy'!C372</f>
        <v>Fact.4</v>
      </c>
      <c r="D377" s="90" t="e">
        <f>#REF!</f>
        <v>#REF!</v>
      </c>
      <c r="E377" s="97">
        <f>'Danh sách máy'!E372</f>
        <v>0</v>
      </c>
      <c r="F377" s="206" t="e">
        <f>#REF!</f>
        <v>#REF!</v>
      </c>
      <c r="G377" s="102" t="e">
        <f>#REF!</f>
        <v>#REF!</v>
      </c>
      <c r="H377" s="102" t="e">
        <f>#REF!</f>
        <v>#REF!</v>
      </c>
      <c r="I377" s="209">
        <v>44651</v>
      </c>
      <c r="J377" s="210"/>
      <c r="K377" s="210" t="e">
        <f>#REF!</f>
        <v>#REF!</v>
      </c>
      <c r="L377" s="210">
        <v>44646</v>
      </c>
      <c r="M377" s="210"/>
      <c r="N377" s="210">
        <f>'Danh sách máy'!F372</f>
        <v>0</v>
      </c>
      <c r="O377" s="211" t="str" cm="1">
        <f t="array" ref="O377">IF(L377&lt;&gt;0,IF(L377&lt;I377,"OK","NG"),Blank)</f>
        <v>OK</v>
      </c>
      <c r="P377" s="211" t="e" cm="1">
        <f t="array" ref="P377">IF(M377&lt;&gt;0,IF(M377&lt;J377,"OK","NG"),Blank)</f>
        <v>#NAME?</v>
      </c>
      <c r="Q377" s="211" t="e" cm="1">
        <f t="array" ref="Q377">IF(H377&lt;&gt;"Stop",IF(N377&lt;&gt;0,IF(N377&lt;=K377,"OK","NG"),Blank),"-")</f>
        <v>#REF!</v>
      </c>
      <c r="R377" s="326" t="e" cm="1">
        <f t="array" ref="R377">IF(H377&lt;&gt;"Stop",IF(E377&lt;&gt;0,IF(E377&lt;=K377,"OK","NG"),Blank),"-")</f>
        <v>#REF!</v>
      </c>
      <c r="S377" s="22"/>
      <c r="T377" s="221"/>
      <c r="U377"/>
    </row>
    <row r="378" spans="1:21" ht="30" x14ac:dyDescent="0.3">
      <c r="A378" s="318" t="e">
        <f>#REF!</f>
        <v>#REF!</v>
      </c>
      <c r="B378" s="305" t="e">
        <f>#REF!</f>
        <v>#REF!</v>
      </c>
      <c r="C378" s="305" t="str">
        <f>'Danh sách máy'!C373</f>
        <v>Fact.4</v>
      </c>
      <c r="D378" s="90" t="e">
        <f>#REF!</f>
        <v>#REF!</v>
      </c>
      <c r="E378" s="97">
        <f>'Danh sách máy'!E373</f>
        <v>45868</v>
      </c>
      <c r="F378" s="206" t="e">
        <f>#REF!</f>
        <v>#REF!</v>
      </c>
      <c r="G378" s="102" t="e">
        <f>#REF!</f>
        <v>#REF!</v>
      </c>
      <c r="H378" s="102" t="e">
        <f>#REF!</f>
        <v>#REF!</v>
      </c>
      <c r="I378" s="209">
        <v>44652</v>
      </c>
      <c r="J378" s="210"/>
      <c r="K378" s="210" t="e">
        <f>#REF!</f>
        <v>#REF!</v>
      </c>
      <c r="L378" s="210">
        <v>44647</v>
      </c>
      <c r="M378" s="210"/>
      <c r="N378" s="210">
        <f>'Danh sách máy'!F373</f>
        <v>45859</v>
      </c>
      <c r="O378" s="211" t="str" cm="1">
        <f t="array" ref="O378">IF(L378&lt;&gt;0,IF(L378&lt;I378,"OK","NG"),Blank)</f>
        <v>OK</v>
      </c>
      <c r="P378" s="211" t="e" cm="1">
        <f t="array" ref="P378">IF(M378&lt;&gt;0,IF(M378&lt;J378,"OK","NG"),Blank)</f>
        <v>#NAME?</v>
      </c>
      <c r="Q378" s="211" t="e" cm="1">
        <f t="array" ref="Q378">IF(H378&lt;&gt;"Stop",IF(N378&lt;&gt;0,IF(N378&lt;=K378,"OK","NG"),Blank),"-")</f>
        <v>#REF!</v>
      </c>
      <c r="R378" s="326" t="e" cm="1">
        <f t="array" ref="R378">IF(H378&lt;&gt;"Stop",IF(E378&lt;&gt;0,IF(E378&lt;=K378,"OK","NG"),Blank),"-")</f>
        <v>#REF!</v>
      </c>
      <c r="S378" s="22"/>
      <c r="T378" s="221"/>
      <c r="U378"/>
    </row>
    <row r="379" spans="1:21" ht="30" x14ac:dyDescent="0.3">
      <c r="A379" s="318" t="e">
        <f>#REF!</f>
        <v>#REF!</v>
      </c>
      <c r="B379" s="305" t="e">
        <f>#REF!</f>
        <v>#REF!</v>
      </c>
      <c r="C379" s="305" t="str">
        <f>'Danh sách máy'!C374</f>
        <v>Fact.4</v>
      </c>
      <c r="D379" s="90" t="e">
        <f>#REF!</f>
        <v>#REF!</v>
      </c>
      <c r="E379" s="97">
        <f>'Danh sách máy'!E374</f>
        <v>45868</v>
      </c>
      <c r="F379" s="206" t="e">
        <f>#REF!</f>
        <v>#REF!</v>
      </c>
      <c r="G379" s="102" t="e">
        <f>#REF!</f>
        <v>#REF!</v>
      </c>
      <c r="H379" s="102" t="e">
        <f>#REF!</f>
        <v>#REF!</v>
      </c>
      <c r="I379" s="209">
        <v>44653</v>
      </c>
      <c r="J379" s="210"/>
      <c r="K379" s="210" t="e">
        <f>#REF!</f>
        <v>#REF!</v>
      </c>
      <c r="L379" s="210">
        <v>44648</v>
      </c>
      <c r="M379" s="210"/>
      <c r="N379" s="210">
        <f>'Danh sách máy'!F374</f>
        <v>45859</v>
      </c>
      <c r="O379" s="211" t="str" cm="1">
        <f t="array" ref="O379">IF(L379&lt;&gt;0,IF(L379&lt;I379,"OK","NG"),Blank)</f>
        <v>OK</v>
      </c>
      <c r="P379" s="211" t="e" cm="1">
        <f t="array" ref="P379">IF(M379&lt;&gt;0,IF(M379&lt;J379,"OK","NG"),Blank)</f>
        <v>#NAME?</v>
      </c>
      <c r="Q379" s="211" t="e" cm="1">
        <f t="array" ref="Q379">IF(H379&lt;&gt;"Stop",IF(N379&lt;&gt;0,IF(N379&lt;=K379,"OK","NG"),Blank),"-")</f>
        <v>#REF!</v>
      </c>
      <c r="R379" s="326" t="e" cm="1">
        <f t="array" ref="R379">IF(H379&lt;&gt;"Stop",IF(E379&lt;&gt;0,IF(E379&lt;=K379,"OK","NG"),Blank),"-")</f>
        <v>#REF!</v>
      </c>
      <c r="S379" s="22"/>
      <c r="T379" s="221"/>
      <c r="U379"/>
    </row>
    <row r="380" spans="1:21" ht="30" hidden="1" x14ac:dyDescent="0.3">
      <c r="A380" s="318" t="e">
        <f>#REF!</f>
        <v>#REF!</v>
      </c>
      <c r="B380" s="305" t="e">
        <f>#REF!</f>
        <v>#REF!</v>
      </c>
      <c r="C380" s="305" t="str">
        <f>'Danh sách máy'!C375</f>
        <v>Fact.4</v>
      </c>
      <c r="D380" s="90" t="e">
        <f>#REF!</f>
        <v>#REF!</v>
      </c>
      <c r="E380" s="97">
        <f>'Danh sách máy'!E375</f>
        <v>0</v>
      </c>
      <c r="F380" s="206" t="e">
        <f>#REF!</f>
        <v>#REF!</v>
      </c>
      <c r="G380" s="102" t="e">
        <f>#REF!</f>
        <v>#REF!</v>
      </c>
      <c r="H380" s="102" t="e">
        <f>#REF!</f>
        <v>#REF!</v>
      </c>
      <c r="I380" s="209">
        <v>44654</v>
      </c>
      <c r="J380" s="210"/>
      <c r="K380" s="210" t="e">
        <f>#REF!</f>
        <v>#REF!</v>
      </c>
      <c r="L380" s="210">
        <v>44649</v>
      </c>
      <c r="M380" s="210"/>
      <c r="N380" s="210">
        <f>'Danh sách máy'!F375</f>
        <v>0</v>
      </c>
      <c r="O380" s="211" t="str" cm="1">
        <f t="array" ref="O380">IF(L380&lt;&gt;0,IF(L380&lt;I380,"OK","NG"),Blank)</f>
        <v>OK</v>
      </c>
      <c r="P380" s="211" t="e" cm="1">
        <f t="array" ref="P380">IF(M380&lt;&gt;0,IF(M380&lt;J380,"OK","NG"),Blank)</f>
        <v>#NAME?</v>
      </c>
      <c r="Q380" s="211" t="e" cm="1">
        <f t="array" ref="Q380">IF(H380&lt;&gt;"Stop",IF(N380&lt;&gt;0,IF(N380&lt;=K380,"OK","NG"),Blank),"-")</f>
        <v>#REF!</v>
      </c>
      <c r="R380" s="326" t="e" cm="1">
        <f t="array" ref="R380">IF(H380&lt;&gt;"Stop",IF(E380&lt;&gt;0,IF(E380&lt;=K380,"OK","NG"),Blank),"-")</f>
        <v>#REF!</v>
      </c>
      <c r="S380" s="22"/>
      <c r="T380" s="221"/>
      <c r="U380"/>
    </row>
    <row r="381" spans="1:21" ht="30" hidden="1" x14ac:dyDescent="0.3">
      <c r="A381" s="318" t="e">
        <f>#REF!</f>
        <v>#REF!</v>
      </c>
      <c r="B381" s="305" t="e">
        <f>#REF!</f>
        <v>#REF!</v>
      </c>
      <c r="C381" s="305" t="str">
        <f>'Danh sách máy'!C376</f>
        <v>Fact.4</v>
      </c>
      <c r="D381" s="90" t="e">
        <f>#REF!</f>
        <v>#REF!</v>
      </c>
      <c r="E381" s="97">
        <f>'Danh sách máy'!E376</f>
        <v>45770</v>
      </c>
      <c r="F381" s="206" t="e">
        <f>#REF!</f>
        <v>#REF!</v>
      </c>
      <c r="G381" s="102" t="e">
        <f>#REF!</f>
        <v>#REF!</v>
      </c>
      <c r="H381" s="102" t="e">
        <f>#REF!</f>
        <v>#REF!</v>
      </c>
      <c r="I381" s="209">
        <v>44655</v>
      </c>
      <c r="J381" s="210"/>
      <c r="K381" s="210" t="e">
        <f>#REF!</f>
        <v>#REF!</v>
      </c>
      <c r="L381" s="210">
        <v>44650</v>
      </c>
      <c r="M381" s="210"/>
      <c r="N381" s="210">
        <f>'Danh sách máy'!F376</f>
        <v>0</v>
      </c>
      <c r="O381" s="211" t="str" cm="1">
        <f t="array" ref="O381">IF(L381&lt;&gt;0,IF(L381&lt;I381,"OK","NG"),Blank)</f>
        <v>OK</v>
      </c>
      <c r="P381" s="211" t="e" cm="1">
        <f t="array" ref="P381">IF(M381&lt;&gt;0,IF(M381&lt;J381,"OK","NG"),Blank)</f>
        <v>#NAME?</v>
      </c>
      <c r="Q381" s="211" t="e" cm="1">
        <f t="array" ref="Q381">IF(H381&lt;&gt;"Stop",IF(N381&lt;&gt;0,IF(N381&lt;=K381,"OK","NG"),Blank),"-")</f>
        <v>#REF!</v>
      </c>
      <c r="R381" s="326" t="e" cm="1">
        <f t="array" ref="R381">IF(H381&lt;&gt;"Stop",IF(E381&lt;&gt;0,IF(E381&lt;=K381,"OK","NG"),Blank),"-")</f>
        <v>#REF!</v>
      </c>
      <c r="S381" s="22"/>
      <c r="T381" s="221"/>
      <c r="U381"/>
    </row>
    <row r="382" spans="1:21" ht="30" hidden="1" x14ac:dyDescent="0.3">
      <c r="A382" s="318" t="e">
        <f>#REF!</f>
        <v>#REF!</v>
      </c>
      <c r="B382" s="305" t="e">
        <f>#REF!</f>
        <v>#REF!</v>
      </c>
      <c r="C382" s="305" t="str">
        <f>'Danh sách máy'!C377</f>
        <v>Fact.4</v>
      </c>
      <c r="D382" s="90" t="e">
        <f>#REF!</f>
        <v>#REF!</v>
      </c>
      <c r="E382" s="97">
        <f>'Danh sách máy'!E377</f>
        <v>0</v>
      </c>
      <c r="F382" s="206" t="e">
        <f>#REF!</f>
        <v>#REF!</v>
      </c>
      <c r="G382" s="102" t="e">
        <f>#REF!</f>
        <v>#REF!</v>
      </c>
      <c r="H382" s="102" t="e">
        <f>#REF!</f>
        <v>#REF!</v>
      </c>
      <c r="I382" s="209">
        <v>44656</v>
      </c>
      <c r="J382" s="210"/>
      <c r="K382" s="210" t="e">
        <f>#REF!</f>
        <v>#REF!</v>
      </c>
      <c r="L382" s="210">
        <v>44651</v>
      </c>
      <c r="M382" s="210"/>
      <c r="N382" s="210">
        <f>'Danh sách máy'!F377</f>
        <v>0</v>
      </c>
      <c r="O382" s="211" t="str" cm="1">
        <f t="array" ref="O382">IF(L382&lt;&gt;0,IF(L382&lt;I382,"OK","NG"),Blank)</f>
        <v>OK</v>
      </c>
      <c r="P382" s="211" t="e" cm="1">
        <f t="array" ref="P382">IF(M382&lt;&gt;0,IF(M382&lt;J382,"OK","NG"),Blank)</f>
        <v>#NAME?</v>
      </c>
      <c r="Q382" s="211" t="e" cm="1">
        <f t="array" ref="Q382">IF(H382&lt;&gt;"Stop",IF(N382&lt;&gt;0,IF(N382&lt;=K382,"OK","NG"),Blank),"-")</f>
        <v>#REF!</v>
      </c>
      <c r="R382" s="326" t="e" cm="1">
        <f t="array" ref="R382">IF(H382&lt;&gt;"Stop",IF(E382&lt;&gt;0,IF(E382&lt;=K382,"OK","NG"),Blank),"-")</f>
        <v>#REF!</v>
      </c>
      <c r="S382" s="22"/>
      <c r="T382" s="221"/>
      <c r="U382"/>
    </row>
    <row r="383" spans="1:21" ht="30" hidden="1" x14ac:dyDescent="0.3">
      <c r="A383" s="318" t="e">
        <f>#REF!</f>
        <v>#REF!</v>
      </c>
      <c r="B383" s="305" t="e">
        <f>#REF!</f>
        <v>#REF!</v>
      </c>
      <c r="C383" s="305" t="str">
        <f>'Danh sách máy'!C378</f>
        <v>Fact.4</v>
      </c>
      <c r="D383" s="90" t="e">
        <f>#REF!</f>
        <v>#REF!</v>
      </c>
      <c r="E383" s="97">
        <f>'Danh sách máy'!E378</f>
        <v>45888</v>
      </c>
      <c r="F383" s="206" t="e">
        <f>#REF!</f>
        <v>#REF!</v>
      </c>
      <c r="G383" s="102" t="e">
        <f>#REF!</f>
        <v>#REF!</v>
      </c>
      <c r="H383" s="102" t="e">
        <f>#REF!</f>
        <v>#REF!</v>
      </c>
      <c r="I383" s="209">
        <v>44657</v>
      </c>
      <c r="J383" s="210"/>
      <c r="K383" s="210" t="e">
        <f>#REF!</f>
        <v>#REF!</v>
      </c>
      <c r="L383" s="210">
        <v>44652</v>
      </c>
      <c r="M383" s="210"/>
      <c r="N383" s="210">
        <f>'Danh sách máy'!F378</f>
        <v>0</v>
      </c>
      <c r="O383" s="211" t="str" cm="1">
        <f t="array" ref="O383">IF(L383&lt;&gt;0,IF(L383&lt;I383,"OK","NG"),Blank)</f>
        <v>OK</v>
      </c>
      <c r="P383" s="211" t="e" cm="1">
        <f t="array" ref="P383">IF(M383&lt;&gt;0,IF(M383&lt;J383,"OK","NG"),Blank)</f>
        <v>#NAME?</v>
      </c>
      <c r="Q383" s="211" t="e" cm="1">
        <f t="array" ref="Q383">IF(H383&lt;&gt;"Stop",IF(N383&lt;&gt;0,IF(N383&lt;=K383,"OK","NG"),Blank),"-")</f>
        <v>#REF!</v>
      </c>
      <c r="R383" s="326" t="e" cm="1">
        <f t="array" ref="R383">IF(H383&lt;&gt;"Stop",IF(E383&lt;&gt;0,IF(E383&lt;=K383,"OK","NG"),Blank),"-")</f>
        <v>#REF!</v>
      </c>
      <c r="S383" s="22"/>
      <c r="T383" s="221"/>
      <c r="U383"/>
    </row>
    <row r="384" spans="1:21" ht="15" hidden="1" x14ac:dyDescent="0.3">
      <c r="A384" s="318" t="e">
        <f>#REF!</f>
        <v>#REF!</v>
      </c>
      <c r="B384" s="305" t="e">
        <f>#REF!</f>
        <v>#REF!</v>
      </c>
      <c r="C384" s="305" t="str">
        <f>'Danh sách máy'!C379</f>
        <v>Fact.4</v>
      </c>
      <c r="D384" s="90" t="e">
        <f>#REF!</f>
        <v>#REF!</v>
      </c>
      <c r="E384" s="97">
        <f>'Danh sách máy'!E379</f>
        <v>45888</v>
      </c>
      <c r="F384" s="206" t="e">
        <f>#REF!</f>
        <v>#REF!</v>
      </c>
      <c r="G384" s="102" t="e">
        <f>#REF!</f>
        <v>#REF!</v>
      </c>
      <c r="H384" s="102" t="e">
        <f>#REF!</f>
        <v>#REF!</v>
      </c>
      <c r="I384" s="209">
        <v>44658</v>
      </c>
      <c r="J384" s="210"/>
      <c r="K384" s="210" t="e">
        <f>#REF!</f>
        <v>#REF!</v>
      </c>
      <c r="L384" s="210">
        <v>44653</v>
      </c>
      <c r="M384" s="210"/>
      <c r="N384" s="210">
        <f>'Danh sách máy'!F379</f>
        <v>0</v>
      </c>
      <c r="O384" s="211" t="str" cm="1">
        <f t="array" ref="O384">IF(L384&lt;&gt;0,IF(L384&lt;I384,"OK","NG"),Blank)</f>
        <v>OK</v>
      </c>
      <c r="P384" s="211" t="e" cm="1">
        <f t="array" ref="P384">IF(M384&lt;&gt;0,IF(M384&lt;J384,"OK","NG"),Blank)</f>
        <v>#NAME?</v>
      </c>
      <c r="Q384" s="211" t="e" cm="1">
        <f t="array" ref="Q384">IF(H384&lt;&gt;"Stop",IF(N384&lt;&gt;0,IF(N384&lt;=K384,"OK","NG"),Blank),"-")</f>
        <v>#REF!</v>
      </c>
      <c r="R384" s="326" t="e" cm="1">
        <f t="array" ref="R384">IF(H384&lt;&gt;"Stop",IF(E384&lt;&gt;0,IF(E384&lt;=K384,"OK","NG"),Blank),"-")</f>
        <v>#REF!</v>
      </c>
      <c r="S384" s="22"/>
      <c r="T384" s="221"/>
      <c r="U384"/>
    </row>
    <row r="385" spans="1:21" ht="30" x14ac:dyDescent="0.3">
      <c r="A385" s="318" t="e">
        <f>#REF!</f>
        <v>#REF!</v>
      </c>
      <c r="B385" s="305" t="e">
        <f>#REF!</f>
        <v>#REF!</v>
      </c>
      <c r="C385" s="305" t="str">
        <f>'Danh sách máy'!C380</f>
        <v>Fact.4</v>
      </c>
      <c r="D385" s="90" t="e">
        <f>#REF!</f>
        <v>#REF!</v>
      </c>
      <c r="E385" s="97">
        <f>'Danh sách máy'!E380</f>
        <v>45786</v>
      </c>
      <c r="F385" s="206" t="e">
        <f>#REF!</f>
        <v>#REF!</v>
      </c>
      <c r="G385" s="102" t="e">
        <f>#REF!</f>
        <v>#REF!</v>
      </c>
      <c r="H385" s="102" t="e">
        <f>#REF!</f>
        <v>#REF!</v>
      </c>
      <c r="I385" s="209">
        <v>44659</v>
      </c>
      <c r="J385" s="210"/>
      <c r="K385" s="210" t="e">
        <f>#REF!</f>
        <v>#REF!</v>
      </c>
      <c r="L385" s="210">
        <v>44654</v>
      </c>
      <c r="M385" s="210"/>
      <c r="N385" s="210">
        <f>'Danh sách máy'!F380</f>
        <v>45789</v>
      </c>
      <c r="O385" s="211" t="str" cm="1">
        <f t="array" ref="O385">IF(L385&lt;&gt;0,IF(L385&lt;I385,"OK","NG"),Blank)</f>
        <v>OK</v>
      </c>
      <c r="P385" s="211" t="e" cm="1">
        <f t="array" ref="P385">IF(M385&lt;&gt;0,IF(M385&lt;J385,"OK","NG"),Blank)</f>
        <v>#NAME?</v>
      </c>
      <c r="Q385" s="211" t="e" cm="1">
        <f t="array" ref="Q385">IF(H385&lt;&gt;"Stop",IF(N385&lt;&gt;0,IF(N385&lt;=K385,"OK","NG"),Blank),"-")</f>
        <v>#REF!</v>
      </c>
      <c r="R385" s="326" t="e" cm="1">
        <f t="array" ref="R385">IF(H385&lt;&gt;"Stop",IF(E385&lt;&gt;0,IF(E385&lt;=K385,"OK","NG"),Blank),"-")</f>
        <v>#REF!</v>
      </c>
      <c r="S385" s="22"/>
      <c r="T385" s="221"/>
      <c r="U385"/>
    </row>
    <row r="386" spans="1:21" ht="30" x14ac:dyDescent="0.3">
      <c r="A386" s="318" t="e">
        <f>#REF!</f>
        <v>#REF!</v>
      </c>
      <c r="B386" s="305" t="e">
        <f>#REF!</f>
        <v>#REF!</v>
      </c>
      <c r="C386" s="305" t="str">
        <f>'Danh sách máy'!C381</f>
        <v>Fact.4</v>
      </c>
      <c r="D386" s="90" t="e">
        <f>#REF!</f>
        <v>#REF!</v>
      </c>
      <c r="E386" s="97">
        <f>'Danh sách máy'!E381</f>
        <v>45786</v>
      </c>
      <c r="F386" s="206" t="e">
        <f>#REF!</f>
        <v>#REF!</v>
      </c>
      <c r="G386" s="102" t="e">
        <f>#REF!</f>
        <v>#REF!</v>
      </c>
      <c r="H386" s="102" t="e">
        <f>#REF!</f>
        <v>#REF!</v>
      </c>
      <c r="I386" s="209">
        <v>44660</v>
      </c>
      <c r="J386" s="210"/>
      <c r="K386" s="210" t="e">
        <f>#REF!</f>
        <v>#REF!</v>
      </c>
      <c r="L386" s="210">
        <v>44655</v>
      </c>
      <c r="M386" s="210"/>
      <c r="N386" s="210">
        <f>'Danh sách máy'!F381</f>
        <v>45789</v>
      </c>
      <c r="O386" s="211" t="str" cm="1">
        <f t="array" ref="O386">IF(L386&lt;&gt;0,IF(L386&lt;I386,"OK","NG"),Blank)</f>
        <v>OK</v>
      </c>
      <c r="P386" s="211" t="e" cm="1">
        <f t="array" ref="P386">IF(M386&lt;&gt;0,IF(M386&lt;J386,"OK","NG"),Blank)</f>
        <v>#NAME?</v>
      </c>
      <c r="Q386" s="211" t="e" cm="1">
        <f t="array" ref="Q386">IF(H386&lt;&gt;"Stop",IF(N386&lt;&gt;0,IF(N386&lt;=K386,"OK","NG"),Blank),"-")</f>
        <v>#REF!</v>
      </c>
      <c r="R386" s="326" t="e" cm="1">
        <f t="array" ref="R386">IF(H386&lt;&gt;"Stop",IF(E386&lt;&gt;0,IF(E386&lt;=K386,"OK","NG"),Blank),"-")</f>
        <v>#REF!</v>
      </c>
      <c r="S386" s="22"/>
      <c r="T386" s="221"/>
      <c r="U386"/>
    </row>
    <row r="387" spans="1:21" ht="30" hidden="1" x14ac:dyDescent="0.3">
      <c r="A387" s="318" t="e">
        <f>#REF!</f>
        <v>#REF!</v>
      </c>
      <c r="B387" s="305" t="e">
        <f>#REF!</f>
        <v>#REF!</v>
      </c>
      <c r="C387" s="305" t="str">
        <f>'Danh sách máy'!C382</f>
        <v>Fact.4</v>
      </c>
      <c r="D387" s="90" t="e">
        <f>#REF!</f>
        <v>#REF!</v>
      </c>
      <c r="E387" s="97">
        <f>'Danh sách máy'!E382</f>
        <v>0</v>
      </c>
      <c r="F387" s="206" t="e">
        <f>#REF!</f>
        <v>#REF!</v>
      </c>
      <c r="G387" s="102" t="e">
        <f>#REF!</f>
        <v>#REF!</v>
      </c>
      <c r="H387" s="102" t="e">
        <f>#REF!</f>
        <v>#REF!</v>
      </c>
      <c r="I387" s="209">
        <v>44661</v>
      </c>
      <c r="J387" s="210"/>
      <c r="K387" s="210" t="e">
        <f>#REF!</f>
        <v>#REF!</v>
      </c>
      <c r="L387" s="210">
        <v>44656</v>
      </c>
      <c r="M387" s="210"/>
      <c r="N387" s="210">
        <f>'Danh sách máy'!F382</f>
        <v>0</v>
      </c>
      <c r="O387" s="211" t="str" cm="1">
        <f t="array" ref="O387">IF(L387&lt;&gt;0,IF(L387&lt;I387,"OK","NG"),Blank)</f>
        <v>OK</v>
      </c>
      <c r="P387" s="211" t="e" cm="1">
        <f t="array" ref="P387">IF(M387&lt;&gt;0,IF(M387&lt;J387,"OK","NG"),Blank)</f>
        <v>#NAME?</v>
      </c>
      <c r="Q387" s="211" t="e" cm="1">
        <f t="array" ref="Q387">IF(H387&lt;&gt;"Stop",IF(N387&lt;&gt;0,IF(N387&lt;=K387,"OK","NG"),Blank),"-")</f>
        <v>#REF!</v>
      </c>
      <c r="R387" s="326" t="e" cm="1">
        <f t="array" ref="R387">IF(H387&lt;&gt;"Stop",IF(E387&lt;&gt;0,IF(E387&lt;=K387,"OK","NG"),Blank),"-")</f>
        <v>#REF!</v>
      </c>
      <c r="S387" s="22"/>
      <c r="T387" s="221"/>
      <c r="U387"/>
    </row>
    <row r="388" spans="1:21" ht="30" hidden="1" x14ac:dyDescent="0.3">
      <c r="A388" s="318" t="e">
        <f>#REF!</f>
        <v>#REF!</v>
      </c>
      <c r="B388" s="305" t="e">
        <f>#REF!</f>
        <v>#REF!</v>
      </c>
      <c r="C388" s="305" t="str">
        <f>'Danh sách máy'!C383</f>
        <v>Fact.4</v>
      </c>
      <c r="D388" s="90" t="e">
        <f>#REF!</f>
        <v>#REF!</v>
      </c>
      <c r="E388" s="97">
        <f>'Danh sách máy'!E383</f>
        <v>45745</v>
      </c>
      <c r="F388" s="206" t="e">
        <f>#REF!</f>
        <v>#REF!</v>
      </c>
      <c r="G388" s="102" t="e">
        <f>#REF!</f>
        <v>#REF!</v>
      </c>
      <c r="H388" s="102" t="e">
        <f>#REF!</f>
        <v>#REF!</v>
      </c>
      <c r="I388" s="209">
        <v>44662</v>
      </c>
      <c r="J388" s="210"/>
      <c r="K388" s="210" t="e">
        <f>#REF!</f>
        <v>#REF!</v>
      </c>
      <c r="L388" s="210">
        <v>44657</v>
      </c>
      <c r="M388" s="210"/>
      <c r="N388" s="210">
        <f>'Danh sách máy'!F383</f>
        <v>0</v>
      </c>
      <c r="O388" s="211" t="str" cm="1">
        <f t="array" ref="O388">IF(L388&lt;&gt;0,IF(L388&lt;I388,"OK","NG"),Blank)</f>
        <v>OK</v>
      </c>
      <c r="P388" s="211" t="e" cm="1">
        <f t="array" ref="P388">IF(M388&lt;&gt;0,IF(M388&lt;J388,"OK","NG"),Blank)</f>
        <v>#NAME?</v>
      </c>
      <c r="Q388" s="211" t="e" cm="1">
        <f t="array" ref="Q388">IF(H388&lt;&gt;"Stop",IF(N388&lt;&gt;0,IF(N388&lt;=K388,"OK","NG"),Blank),"-")</f>
        <v>#REF!</v>
      </c>
      <c r="R388" s="326" t="e" cm="1">
        <f t="array" ref="R388">IF(H388&lt;&gt;"Stop",IF(E388&lt;&gt;0,IF(E388&lt;=K388,"OK","NG"),Blank),"-")</f>
        <v>#REF!</v>
      </c>
      <c r="S388" s="22"/>
      <c r="T388" s="221"/>
      <c r="U388"/>
    </row>
    <row r="389" spans="1:21" ht="30" x14ac:dyDescent="0.3">
      <c r="A389" s="318" t="e">
        <f>#REF!</f>
        <v>#REF!</v>
      </c>
      <c r="B389" s="305" t="e">
        <f>#REF!</f>
        <v>#REF!</v>
      </c>
      <c r="C389" s="305" t="str">
        <f>'Danh sách máy'!C384</f>
        <v>Fact.4</v>
      </c>
      <c r="D389" s="90" t="e">
        <f>#REF!</f>
        <v>#REF!</v>
      </c>
      <c r="E389" s="97">
        <f>'Danh sách máy'!E384</f>
        <v>45786</v>
      </c>
      <c r="F389" s="206" t="e">
        <f>#REF!</f>
        <v>#REF!</v>
      </c>
      <c r="G389" s="102" t="e">
        <f>#REF!</f>
        <v>#REF!</v>
      </c>
      <c r="H389" s="102" t="e">
        <f>#REF!</f>
        <v>#REF!</v>
      </c>
      <c r="I389" s="209">
        <v>44663</v>
      </c>
      <c r="J389" s="210"/>
      <c r="K389" s="210" t="e">
        <f>#REF!</f>
        <v>#REF!</v>
      </c>
      <c r="L389" s="210">
        <v>44658</v>
      </c>
      <c r="M389" s="210"/>
      <c r="N389" s="210">
        <f>'Danh sách máy'!F384</f>
        <v>45789</v>
      </c>
      <c r="O389" s="211" t="str" cm="1">
        <f t="array" ref="O389">IF(L389&lt;&gt;0,IF(L389&lt;I389,"OK","NG"),Blank)</f>
        <v>OK</v>
      </c>
      <c r="P389" s="211" t="e" cm="1">
        <f t="array" ref="P389">IF(M389&lt;&gt;0,IF(M389&lt;J389,"OK","NG"),Blank)</f>
        <v>#NAME?</v>
      </c>
      <c r="Q389" s="211" t="e" cm="1">
        <f t="array" ref="Q389">IF(H389&lt;&gt;"Stop",IF(N389&lt;&gt;0,IF(N389&lt;=K389,"OK","NG"),Blank),"-")</f>
        <v>#REF!</v>
      </c>
      <c r="R389" s="326" t="e" cm="1">
        <f t="array" ref="R389">IF(H389&lt;&gt;"Stop",IF(E389&lt;&gt;0,IF(E389&lt;=K389,"OK","NG"),Blank),"-")</f>
        <v>#REF!</v>
      </c>
      <c r="S389" s="22"/>
      <c r="T389" s="221"/>
      <c r="U389"/>
    </row>
    <row r="390" spans="1:21" ht="45" x14ac:dyDescent="0.3">
      <c r="A390" s="318" t="e">
        <f>#REF!</f>
        <v>#REF!</v>
      </c>
      <c r="B390" s="305" t="e">
        <f>#REF!</f>
        <v>#REF!</v>
      </c>
      <c r="C390" s="305" t="str">
        <f>'Danh sách máy'!C385</f>
        <v>Fact.4</v>
      </c>
      <c r="D390" s="90" t="e">
        <f>#REF!</f>
        <v>#REF!</v>
      </c>
      <c r="E390" s="97">
        <f>'Danh sách máy'!E385</f>
        <v>45786</v>
      </c>
      <c r="F390" s="206" t="e">
        <f>#REF!</f>
        <v>#REF!</v>
      </c>
      <c r="G390" s="102" t="e">
        <f>#REF!</f>
        <v>#REF!</v>
      </c>
      <c r="H390" s="102" t="e">
        <f>#REF!</f>
        <v>#REF!</v>
      </c>
      <c r="I390" s="209">
        <v>44664</v>
      </c>
      <c r="J390" s="210"/>
      <c r="K390" s="210" t="e">
        <f>#REF!</f>
        <v>#REF!</v>
      </c>
      <c r="L390" s="210">
        <v>44659</v>
      </c>
      <c r="M390" s="210"/>
      <c r="N390" s="210">
        <f>'Danh sách máy'!F385</f>
        <v>45789</v>
      </c>
      <c r="O390" s="211" t="str" cm="1">
        <f t="array" ref="O390">IF(L390&lt;&gt;0,IF(L390&lt;I390,"OK","NG"),Blank)</f>
        <v>OK</v>
      </c>
      <c r="P390" s="211" t="e" cm="1">
        <f t="array" ref="P390">IF(M390&lt;&gt;0,IF(M390&lt;J390,"OK","NG"),Blank)</f>
        <v>#NAME?</v>
      </c>
      <c r="Q390" s="211" t="e" cm="1">
        <f t="array" ref="Q390">IF(H390&lt;&gt;"Stop",IF(N390&lt;&gt;0,IF(N390&lt;=K390,"OK","NG"),Blank),"-")</f>
        <v>#REF!</v>
      </c>
      <c r="R390" s="326" t="e" cm="1">
        <f t="array" ref="R390">IF(H390&lt;&gt;"Stop",IF(E390&lt;&gt;0,IF(E390&lt;=K390,"OK","NG"),Blank),"-")</f>
        <v>#REF!</v>
      </c>
      <c r="S390" s="22"/>
      <c r="T390" s="221"/>
      <c r="U390"/>
    </row>
    <row r="391" spans="1:21" ht="30" hidden="1" x14ac:dyDescent="0.3">
      <c r="A391" s="318" t="e">
        <f>#REF!</f>
        <v>#REF!</v>
      </c>
      <c r="B391" s="305" t="e">
        <f>#REF!</f>
        <v>#REF!</v>
      </c>
      <c r="C391" s="305" t="str">
        <f>'Danh sách máy'!C386</f>
        <v>Fact.4</v>
      </c>
      <c r="D391" s="90" t="e">
        <f>#REF!</f>
        <v>#REF!</v>
      </c>
      <c r="E391" s="97">
        <f>'Danh sách máy'!E386</f>
        <v>45770</v>
      </c>
      <c r="F391" s="206" t="e">
        <f>#REF!</f>
        <v>#REF!</v>
      </c>
      <c r="G391" s="102" t="e">
        <f>#REF!</f>
        <v>#REF!</v>
      </c>
      <c r="H391" s="102" t="e">
        <f>#REF!</f>
        <v>#REF!</v>
      </c>
      <c r="I391" s="209">
        <v>44665</v>
      </c>
      <c r="J391" s="210"/>
      <c r="K391" s="210" t="e">
        <f>#REF!</f>
        <v>#REF!</v>
      </c>
      <c r="L391" s="210">
        <v>44660</v>
      </c>
      <c r="M391" s="210"/>
      <c r="N391" s="210">
        <f>'Danh sách máy'!F386</f>
        <v>0</v>
      </c>
      <c r="O391" s="211" t="str" cm="1">
        <f t="array" ref="O391">IF(L391&lt;&gt;0,IF(L391&lt;I391,"OK","NG"),Blank)</f>
        <v>OK</v>
      </c>
      <c r="P391" s="211" t="e" cm="1">
        <f t="array" ref="P391">IF(M391&lt;&gt;0,IF(M391&lt;J391,"OK","NG"),Blank)</f>
        <v>#NAME?</v>
      </c>
      <c r="Q391" s="211" t="e" cm="1">
        <f t="array" ref="Q391">IF(H391&lt;&gt;"Stop",IF(N391&lt;&gt;0,IF(N391&lt;=K391,"OK","NG"),Blank),"-")</f>
        <v>#REF!</v>
      </c>
      <c r="R391" s="326" t="e" cm="1">
        <f t="array" ref="R391">IF(H391&lt;&gt;"Stop",IF(E391&lt;&gt;0,IF(E391&lt;=K391,"OK","NG"),Blank),"-")</f>
        <v>#REF!</v>
      </c>
      <c r="S391" s="22"/>
      <c r="T391" s="221"/>
      <c r="U391"/>
    </row>
    <row r="392" spans="1:21" ht="30" x14ac:dyDescent="0.3">
      <c r="A392" s="318" t="e">
        <f>#REF!</f>
        <v>#REF!</v>
      </c>
      <c r="B392" s="305" t="e">
        <f>#REF!</f>
        <v>#REF!</v>
      </c>
      <c r="C392" s="305" t="str">
        <f>'Danh sách máy'!C387</f>
        <v>Fact.4</v>
      </c>
      <c r="D392" s="90" t="e">
        <f>#REF!</f>
        <v>#REF!</v>
      </c>
      <c r="E392" s="97">
        <f>'Danh sách máy'!E387</f>
        <v>45868</v>
      </c>
      <c r="F392" s="206" t="e">
        <f>#REF!</f>
        <v>#REF!</v>
      </c>
      <c r="G392" s="102" t="e">
        <f>#REF!</f>
        <v>#REF!</v>
      </c>
      <c r="H392" s="102" t="e">
        <f>#REF!</f>
        <v>#REF!</v>
      </c>
      <c r="I392" s="209">
        <v>44666</v>
      </c>
      <c r="J392" s="210"/>
      <c r="K392" s="210" t="e">
        <f>#REF!</f>
        <v>#REF!</v>
      </c>
      <c r="L392" s="210">
        <v>44661</v>
      </c>
      <c r="M392" s="210"/>
      <c r="N392" s="210">
        <f>'Danh sách máy'!F387</f>
        <v>45859</v>
      </c>
      <c r="O392" s="211" t="str" cm="1">
        <f t="array" ref="O392">IF(L392&lt;&gt;0,IF(L392&lt;I392,"OK","NG"),Blank)</f>
        <v>OK</v>
      </c>
      <c r="P392" s="211" t="e" cm="1">
        <f t="array" ref="P392">IF(M392&lt;&gt;0,IF(M392&lt;J392,"OK","NG"),Blank)</f>
        <v>#NAME?</v>
      </c>
      <c r="Q392" s="211" t="e" cm="1">
        <f t="array" ref="Q392">IF(H392&lt;&gt;"Stop",IF(N392&lt;&gt;0,IF(N392&lt;=K392,"OK","NG"),Blank),"-")</f>
        <v>#REF!</v>
      </c>
      <c r="R392" s="326" t="e" cm="1">
        <f t="array" ref="R392">IF(H392&lt;&gt;"Stop",IF(E392&lt;&gt;0,IF(E392&lt;=K392,"OK","NG"),Blank),"-")</f>
        <v>#REF!</v>
      </c>
      <c r="S392" s="22"/>
      <c r="T392" s="221"/>
      <c r="U392"/>
    </row>
    <row r="393" spans="1:21" ht="30" hidden="1" x14ac:dyDescent="0.3">
      <c r="A393" s="318" t="e">
        <f>#REF!</f>
        <v>#REF!</v>
      </c>
      <c r="B393" s="305" t="e">
        <f>#REF!</f>
        <v>#REF!</v>
      </c>
      <c r="C393" s="305" t="str">
        <f>'Danh sách máy'!C388</f>
        <v>Fact.4</v>
      </c>
      <c r="D393" s="90" t="e">
        <f>#REF!</f>
        <v>#REF!</v>
      </c>
      <c r="E393" s="97">
        <f>'Danh sách máy'!E388</f>
        <v>0</v>
      </c>
      <c r="F393" s="206" t="e">
        <f>#REF!</f>
        <v>#REF!</v>
      </c>
      <c r="G393" s="102" t="e">
        <f>#REF!</f>
        <v>#REF!</v>
      </c>
      <c r="H393" s="102" t="e">
        <f>#REF!</f>
        <v>#REF!</v>
      </c>
      <c r="I393" s="209">
        <v>44667</v>
      </c>
      <c r="J393" s="210"/>
      <c r="K393" s="210" t="e">
        <f>#REF!</f>
        <v>#REF!</v>
      </c>
      <c r="L393" s="210">
        <v>44662</v>
      </c>
      <c r="M393" s="210"/>
      <c r="N393" s="210">
        <f>'Danh sách máy'!F388</f>
        <v>0</v>
      </c>
      <c r="O393" s="211" t="str" cm="1">
        <f t="array" ref="O393">IF(L393&lt;&gt;0,IF(L393&lt;I393,"OK","NG"),Blank)</f>
        <v>OK</v>
      </c>
      <c r="P393" s="211" t="e" cm="1">
        <f t="array" ref="P393">IF(M393&lt;&gt;0,IF(M393&lt;J393,"OK","NG"),Blank)</f>
        <v>#NAME?</v>
      </c>
      <c r="Q393" s="211" t="e" cm="1">
        <f t="array" ref="Q393">IF(H393&lt;&gt;"Stop",IF(N393&lt;&gt;0,IF(N393&lt;=K393,"OK","NG"),Blank),"-")</f>
        <v>#REF!</v>
      </c>
      <c r="R393" s="326" t="e" cm="1">
        <f t="array" ref="R393">IF(H393&lt;&gt;"Stop",IF(E393&lt;&gt;0,IF(E393&lt;=K393,"OK","NG"),Blank),"-")</f>
        <v>#REF!</v>
      </c>
      <c r="S393" s="22"/>
      <c r="T393" s="221"/>
      <c r="U393"/>
    </row>
    <row r="394" spans="1:21" ht="30" hidden="1" x14ac:dyDescent="0.3">
      <c r="A394" s="318" t="e">
        <f>#REF!</f>
        <v>#REF!</v>
      </c>
      <c r="B394" s="305" t="e">
        <f>#REF!</f>
        <v>#REF!</v>
      </c>
      <c r="C394" s="305" t="str">
        <f>'Danh sách máy'!C389</f>
        <v>Fact.4</v>
      </c>
      <c r="D394" s="90" t="e">
        <f>#REF!</f>
        <v>#REF!</v>
      </c>
      <c r="E394" s="97">
        <f>'Danh sách máy'!E389</f>
        <v>0</v>
      </c>
      <c r="F394" s="206" t="e">
        <f>#REF!</f>
        <v>#REF!</v>
      </c>
      <c r="G394" s="102" t="e">
        <f>#REF!</f>
        <v>#REF!</v>
      </c>
      <c r="H394" s="102" t="e">
        <f>#REF!</f>
        <v>#REF!</v>
      </c>
      <c r="I394" s="209">
        <v>44668</v>
      </c>
      <c r="J394" s="210"/>
      <c r="K394" s="210" t="e">
        <f>#REF!</f>
        <v>#REF!</v>
      </c>
      <c r="L394" s="210">
        <v>44663</v>
      </c>
      <c r="M394" s="210"/>
      <c r="N394" s="210">
        <f>'Danh sách máy'!F389</f>
        <v>0</v>
      </c>
      <c r="O394" s="211" t="str" cm="1">
        <f t="array" ref="O394">IF(L394&lt;&gt;0,IF(L394&lt;I394,"OK","NG"),Blank)</f>
        <v>OK</v>
      </c>
      <c r="P394" s="211" t="e" cm="1">
        <f t="array" ref="P394">IF(M394&lt;&gt;0,IF(M394&lt;J394,"OK","NG"),Blank)</f>
        <v>#NAME?</v>
      </c>
      <c r="Q394" s="211" t="e" cm="1">
        <f t="array" ref="Q394">IF(H394&lt;&gt;"Stop",IF(N394&lt;&gt;0,IF(N394&lt;=K394,"OK","NG"),Blank),"-")</f>
        <v>#REF!</v>
      </c>
      <c r="R394" s="326" t="e" cm="1">
        <f t="array" ref="R394">IF(H394&lt;&gt;"Stop",IF(E394&lt;&gt;0,IF(E394&lt;=K394,"OK","NG"),Blank),"-")</f>
        <v>#REF!</v>
      </c>
      <c r="S394" s="22"/>
      <c r="T394" s="221"/>
      <c r="U394"/>
    </row>
    <row r="395" spans="1:21" ht="30" hidden="1" x14ac:dyDescent="0.3">
      <c r="A395" s="318" t="e">
        <f>#REF!</f>
        <v>#REF!</v>
      </c>
      <c r="B395" s="305" t="e">
        <f>#REF!</f>
        <v>#REF!</v>
      </c>
      <c r="C395" s="305" t="str">
        <f>'Danh sách máy'!C390</f>
        <v>Fact.4</v>
      </c>
      <c r="D395" s="90" t="e">
        <f>#REF!</f>
        <v>#REF!</v>
      </c>
      <c r="E395" s="97">
        <f>'Danh sách máy'!E390</f>
        <v>0</v>
      </c>
      <c r="F395" s="206" t="e">
        <f>#REF!</f>
        <v>#REF!</v>
      </c>
      <c r="G395" s="102" t="e">
        <f>#REF!</f>
        <v>#REF!</v>
      </c>
      <c r="H395" s="102" t="e">
        <f>#REF!</f>
        <v>#REF!</v>
      </c>
      <c r="I395" s="209">
        <v>44669</v>
      </c>
      <c r="J395" s="210"/>
      <c r="K395" s="210" t="e">
        <f>#REF!</f>
        <v>#REF!</v>
      </c>
      <c r="L395" s="210">
        <v>44664</v>
      </c>
      <c r="M395" s="210"/>
      <c r="N395" s="210">
        <f>'Danh sách máy'!F390</f>
        <v>0</v>
      </c>
      <c r="O395" s="211" t="str" cm="1">
        <f t="array" ref="O395">IF(L395&lt;&gt;0,IF(L395&lt;I395,"OK","NG"),Blank)</f>
        <v>OK</v>
      </c>
      <c r="P395" s="211" t="e" cm="1">
        <f t="array" ref="P395">IF(M395&lt;&gt;0,IF(M395&lt;J395,"OK","NG"),Blank)</f>
        <v>#NAME?</v>
      </c>
      <c r="Q395" s="211" t="e" cm="1">
        <f t="array" ref="Q395">IF(H395&lt;&gt;"Stop",IF(N395&lt;&gt;0,IF(N395&lt;=K395,"OK","NG"),Blank),"-")</f>
        <v>#REF!</v>
      </c>
      <c r="R395" s="326" t="e" cm="1">
        <f t="array" ref="R395">IF(H395&lt;&gt;"Stop",IF(E395&lt;&gt;0,IF(E395&lt;=K395,"OK","NG"),Blank),"-")</f>
        <v>#REF!</v>
      </c>
      <c r="S395" s="22"/>
      <c r="T395" s="221"/>
      <c r="U395"/>
    </row>
    <row r="396" spans="1:21" ht="30" hidden="1" x14ac:dyDescent="0.3">
      <c r="A396" s="318" t="e">
        <f>#REF!</f>
        <v>#REF!</v>
      </c>
      <c r="B396" s="305" t="e">
        <f>#REF!</f>
        <v>#REF!</v>
      </c>
      <c r="C396" s="305" t="str">
        <f>'Danh sách máy'!C391</f>
        <v>Fact.4</v>
      </c>
      <c r="D396" s="90" t="e">
        <f>#REF!</f>
        <v>#REF!</v>
      </c>
      <c r="E396" s="97">
        <f>'Danh sách máy'!E391</f>
        <v>0</v>
      </c>
      <c r="F396" s="206" t="e">
        <f>#REF!</f>
        <v>#REF!</v>
      </c>
      <c r="G396" s="102" t="e">
        <f>#REF!</f>
        <v>#REF!</v>
      </c>
      <c r="H396" s="102" t="e">
        <f>#REF!</f>
        <v>#REF!</v>
      </c>
      <c r="I396" s="209">
        <v>44670</v>
      </c>
      <c r="J396" s="210"/>
      <c r="K396" s="210" t="e">
        <f>#REF!</f>
        <v>#REF!</v>
      </c>
      <c r="L396" s="210">
        <v>44665</v>
      </c>
      <c r="M396" s="210"/>
      <c r="N396" s="210">
        <f>'Danh sách máy'!F391</f>
        <v>0</v>
      </c>
      <c r="O396" s="211" t="str" cm="1">
        <f t="array" ref="O396">IF(L396&lt;&gt;0,IF(L396&lt;I396,"OK","NG"),Blank)</f>
        <v>OK</v>
      </c>
      <c r="P396" s="211" t="e" cm="1">
        <f t="array" ref="P396">IF(M396&lt;&gt;0,IF(M396&lt;J396,"OK","NG"),Blank)</f>
        <v>#NAME?</v>
      </c>
      <c r="Q396" s="211" t="e" cm="1">
        <f t="array" ref="Q396">IF(H396&lt;&gt;"Stop",IF(N396&lt;&gt;0,IF(N396&lt;=K396,"OK","NG"),Blank),"-")</f>
        <v>#REF!</v>
      </c>
      <c r="R396" s="326" t="e" cm="1">
        <f t="array" ref="R396">IF(H396&lt;&gt;"Stop",IF(E396&lt;&gt;0,IF(E396&lt;=K396,"OK","NG"),Blank),"-")</f>
        <v>#REF!</v>
      </c>
      <c r="S396" s="22"/>
      <c r="T396" s="221"/>
      <c r="U396"/>
    </row>
    <row r="397" spans="1:21" ht="30" hidden="1" x14ac:dyDescent="0.3">
      <c r="A397" s="318" t="e">
        <f>#REF!</f>
        <v>#REF!</v>
      </c>
      <c r="B397" s="305" t="e">
        <f>#REF!</f>
        <v>#REF!</v>
      </c>
      <c r="C397" s="305" t="str">
        <f>'Danh sách máy'!C392</f>
        <v>Fact.4</v>
      </c>
      <c r="D397" s="90" t="e">
        <f>#REF!</f>
        <v>#REF!</v>
      </c>
      <c r="E397" s="97">
        <f>'Danh sách máy'!E392</f>
        <v>0</v>
      </c>
      <c r="F397" s="206" t="e">
        <f>#REF!</f>
        <v>#REF!</v>
      </c>
      <c r="G397" s="102" t="e">
        <f>#REF!</f>
        <v>#REF!</v>
      </c>
      <c r="H397" s="102" t="e">
        <f>#REF!</f>
        <v>#REF!</v>
      </c>
      <c r="I397" s="209">
        <v>44671</v>
      </c>
      <c r="J397" s="210"/>
      <c r="K397" s="210" t="e">
        <f>#REF!</f>
        <v>#REF!</v>
      </c>
      <c r="L397" s="210">
        <v>44666</v>
      </c>
      <c r="M397" s="210"/>
      <c r="N397" s="210">
        <f>'Danh sách máy'!F392</f>
        <v>0</v>
      </c>
      <c r="O397" s="211" t="str" cm="1">
        <f t="array" ref="O397">IF(L397&lt;&gt;0,IF(L397&lt;I397,"OK","NG"),Blank)</f>
        <v>OK</v>
      </c>
      <c r="P397" s="211" t="e" cm="1">
        <f t="array" ref="P397">IF(M397&lt;&gt;0,IF(M397&lt;J397,"OK","NG"),Blank)</f>
        <v>#NAME?</v>
      </c>
      <c r="Q397" s="211" t="e" cm="1">
        <f t="array" ref="Q397">IF(H397&lt;&gt;"Stop",IF(N397&lt;&gt;0,IF(N397&lt;=K397,"OK","NG"),Blank),"-")</f>
        <v>#REF!</v>
      </c>
      <c r="R397" s="326" t="e" cm="1">
        <f t="array" ref="R397">IF(H397&lt;&gt;"Stop",IF(E397&lt;&gt;0,IF(E397&lt;=K397,"OK","NG"),Blank),"-")</f>
        <v>#REF!</v>
      </c>
      <c r="S397" s="22"/>
      <c r="T397" s="221"/>
      <c r="U397"/>
    </row>
    <row r="398" spans="1:21" ht="30" hidden="1" x14ac:dyDescent="0.3">
      <c r="A398" s="318" t="e">
        <f>#REF!</f>
        <v>#REF!</v>
      </c>
      <c r="B398" s="305" t="e">
        <f>#REF!</f>
        <v>#REF!</v>
      </c>
      <c r="C398" s="305" t="str">
        <f>'Danh sách máy'!C393</f>
        <v>Fact.4</v>
      </c>
      <c r="D398" s="90" t="e">
        <f>#REF!</f>
        <v>#REF!</v>
      </c>
      <c r="E398" s="97">
        <f>'Danh sách máy'!E393</f>
        <v>0</v>
      </c>
      <c r="F398" s="206" t="e">
        <f>#REF!</f>
        <v>#REF!</v>
      </c>
      <c r="G398" s="102" t="e">
        <f>#REF!</f>
        <v>#REF!</v>
      </c>
      <c r="H398" s="102" t="e">
        <f>#REF!</f>
        <v>#REF!</v>
      </c>
      <c r="I398" s="209">
        <v>44672</v>
      </c>
      <c r="J398" s="210"/>
      <c r="K398" s="210" t="e">
        <f>#REF!</f>
        <v>#REF!</v>
      </c>
      <c r="L398" s="210">
        <v>44667</v>
      </c>
      <c r="M398" s="210"/>
      <c r="N398" s="210">
        <f>'Danh sách máy'!F393</f>
        <v>0</v>
      </c>
      <c r="O398" s="211" t="str" cm="1">
        <f t="array" ref="O398">IF(L398&lt;&gt;0,IF(L398&lt;I398,"OK","NG"),Blank)</f>
        <v>OK</v>
      </c>
      <c r="P398" s="211" t="e" cm="1">
        <f t="array" ref="P398">IF(M398&lt;&gt;0,IF(M398&lt;J398,"OK","NG"),Blank)</f>
        <v>#NAME?</v>
      </c>
      <c r="Q398" s="211" t="e" cm="1">
        <f t="array" ref="Q398">IF(H398&lt;&gt;"Stop",IF(N398&lt;&gt;0,IF(N398&lt;=K398,"OK","NG"),Blank),"-")</f>
        <v>#REF!</v>
      </c>
      <c r="R398" s="326" t="e" cm="1">
        <f t="array" ref="R398">IF(H398&lt;&gt;"Stop",IF(E398&lt;&gt;0,IF(E398&lt;=K398,"OK","NG"),Blank),"-")</f>
        <v>#REF!</v>
      </c>
      <c r="S398" s="22"/>
      <c r="T398" s="221"/>
      <c r="U398"/>
    </row>
    <row r="399" spans="1:21" ht="30" hidden="1" x14ac:dyDescent="0.3">
      <c r="A399" s="318" t="e">
        <f>#REF!</f>
        <v>#REF!</v>
      </c>
      <c r="B399" s="305" t="e">
        <f>#REF!</f>
        <v>#REF!</v>
      </c>
      <c r="C399" s="305" t="str">
        <f>'Danh sách máy'!C394</f>
        <v>Fact.4</v>
      </c>
      <c r="D399" s="90" t="e">
        <f>#REF!</f>
        <v>#REF!</v>
      </c>
      <c r="E399" s="97">
        <f>'Danh sách máy'!E394</f>
        <v>0</v>
      </c>
      <c r="F399" s="206" t="e">
        <f>#REF!</f>
        <v>#REF!</v>
      </c>
      <c r="G399" s="102" t="e">
        <f>#REF!</f>
        <v>#REF!</v>
      </c>
      <c r="H399" s="102" t="e">
        <f>#REF!</f>
        <v>#REF!</v>
      </c>
      <c r="I399" s="209">
        <v>44673</v>
      </c>
      <c r="J399" s="210"/>
      <c r="K399" s="210" t="e">
        <f>#REF!</f>
        <v>#REF!</v>
      </c>
      <c r="L399" s="210">
        <v>44668</v>
      </c>
      <c r="M399" s="210"/>
      <c r="N399" s="210">
        <f>'Danh sách máy'!F394</f>
        <v>0</v>
      </c>
      <c r="O399" s="211" t="str" cm="1">
        <f t="array" ref="O399">IF(L399&lt;&gt;0,IF(L399&lt;I399,"OK","NG"),Blank)</f>
        <v>OK</v>
      </c>
      <c r="P399" s="211" t="e" cm="1">
        <f t="array" ref="P399">IF(M399&lt;&gt;0,IF(M399&lt;J399,"OK","NG"),Blank)</f>
        <v>#NAME?</v>
      </c>
      <c r="Q399" s="211" t="e" cm="1">
        <f t="array" ref="Q399">IF(H399&lt;&gt;"Stop",IF(N399&lt;&gt;0,IF(N399&lt;=K399,"OK","NG"),Blank),"-")</f>
        <v>#REF!</v>
      </c>
      <c r="R399" s="326" t="e" cm="1">
        <f t="array" ref="R399">IF(H399&lt;&gt;"Stop",IF(E399&lt;&gt;0,IF(E399&lt;=K399,"OK","NG"),Blank),"-")</f>
        <v>#REF!</v>
      </c>
      <c r="S399" s="22"/>
      <c r="T399" s="221"/>
      <c r="U399"/>
    </row>
    <row r="400" spans="1:21" ht="30" hidden="1" x14ac:dyDescent="0.3">
      <c r="A400" s="318" t="e">
        <f>#REF!</f>
        <v>#REF!</v>
      </c>
      <c r="B400" s="305" t="e">
        <f>#REF!</f>
        <v>#REF!</v>
      </c>
      <c r="C400" s="305" t="str">
        <f>'Danh sách máy'!C395</f>
        <v>Fact.4</v>
      </c>
      <c r="D400" s="90" t="e">
        <f>#REF!</f>
        <v>#REF!</v>
      </c>
      <c r="E400" s="97">
        <f>'Danh sách máy'!E395</f>
        <v>0</v>
      </c>
      <c r="F400" s="206" t="e">
        <f>#REF!</f>
        <v>#REF!</v>
      </c>
      <c r="G400" s="102" t="e">
        <f>#REF!</f>
        <v>#REF!</v>
      </c>
      <c r="H400" s="102" t="e">
        <f>#REF!</f>
        <v>#REF!</v>
      </c>
      <c r="I400" s="209">
        <v>44674</v>
      </c>
      <c r="J400" s="210"/>
      <c r="K400" s="210" t="e">
        <f>#REF!</f>
        <v>#REF!</v>
      </c>
      <c r="L400" s="210">
        <v>44669</v>
      </c>
      <c r="M400" s="210"/>
      <c r="N400" s="210">
        <f>'Danh sách máy'!F395</f>
        <v>0</v>
      </c>
      <c r="O400" s="211" t="str" cm="1">
        <f t="array" ref="O400">IF(L400&lt;&gt;0,IF(L400&lt;I400,"OK","NG"),Blank)</f>
        <v>OK</v>
      </c>
      <c r="P400" s="211" t="e" cm="1">
        <f t="array" ref="P400">IF(M400&lt;&gt;0,IF(M400&lt;J400,"OK","NG"),Blank)</f>
        <v>#NAME?</v>
      </c>
      <c r="Q400" s="211" t="e" cm="1">
        <f t="array" ref="Q400">IF(H400&lt;&gt;"Stop",IF(N400&lt;&gt;0,IF(N400&lt;=K400,"OK","NG"),Blank),"-")</f>
        <v>#REF!</v>
      </c>
      <c r="R400" s="326" t="e" cm="1">
        <f t="array" ref="R400">IF(H400&lt;&gt;"Stop",IF(E400&lt;&gt;0,IF(E400&lt;=K400,"OK","NG"),Blank),"-")</f>
        <v>#REF!</v>
      </c>
      <c r="S400" s="22"/>
      <c r="T400" s="221"/>
      <c r="U400"/>
    </row>
    <row r="401" spans="1:21" ht="30" hidden="1" x14ac:dyDescent="0.3">
      <c r="A401" s="318" t="e">
        <f>#REF!</f>
        <v>#REF!</v>
      </c>
      <c r="B401" s="305" t="e">
        <f>#REF!</f>
        <v>#REF!</v>
      </c>
      <c r="C401" s="305" t="str">
        <f>'Danh sách máy'!C396</f>
        <v>Fact.4</v>
      </c>
      <c r="D401" s="90" t="e">
        <f>#REF!</f>
        <v>#REF!</v>
      </c>
      <c r="E401" s="97">
        <f>'Danh sách máy'!E396</f>
        <v>0</v>
      </c>
      <c r="F401" s="206" t="e">
        <f>#REF!</f>
        <v>#REF!</v>
      </c>
      <c r="G401" s="102" t="e">
        <f>#REF!</f>
        <v>#REF!</v>
      </c>
      <c r="H401" s="102" t="e">
        <f>#REF!</f>
        <v>#REF!</v>
      </c>
      <c r="I401" s="209">
        <v>44675</v>
      </c>
      <c r="J401" s="210"/>
      <c r="K401" s="210" t="e">
        <f>#REF!</f>
        <v>#REF!</v>
      </c>
      <c r="L401" s="210">
        <v>44670</v>
      </c>
      <c r="M401" s="210"/>
      <c r="N401" s="210">
        <f>'Danh sách máy'!F396</f>
        <v>0</v>
      </c>
      <c r="O401" s="211" t="str" cm="1">
        <f t="array" ref="O401">IF(L401&lt;&gt;0,IF(L401&lt;I401,"OK","NG"),Blank)</f>
        <v>OK</v>
      </c>
      <c r="P401" s="211" t="e" cm="1">
        <f t="array" ref="P401">IF(M401&lt;&gt;0,IF(M401&lt;J401,"OK","NG"),Blank)</f>
        <v>#NAME?</v>
      </c>
      <c r="Q401" s="211" t="e" cm="1">
        <f t="array" ref="Q401">IF(H401&lt;&gt;"Stop",IF(N401&lt;&gt;0,IF(N401&lt;=K401,"OK","NG"),Blank),"-")</f>
        <v>#REF!</v>
      </c>
      <c r="R401" s="326" t="e" cm="1">
        <f t="array" ref="R401">IF(H401&lt;&gt;"Stop",IF(E401&lt;&gt;0,IF(E401&lt;=K401,"OK","NG"),Blank),"-")</f>
        <v>#REF!</v>
      </c>
      <c r="S401" s="22"/>
      <c r="T401" s="221"/>
      <c r="U401"/>
    </row>
    <row r="402" spans="1:21" ht="30" hidden="1" x14ac:dyDescent="0.3">
      <c r="A402" s="318" t="e">
        <f>#REF!</f>
        <v>#REF!</v>
      </c>
      <c r="B402" s="305" t="e">
        <f>#REF!</f>
        <v>#REF!</v>
      </c>
      <c r="C402" s="305" t="str">
        <f>'Danh sách máy'!C397</f>
        <v>Fact.4</v>
      </c>
      <c r="D402" s="90" t="e">
        <f>#REF!</f>
        <v>#REF!</v>
      </c>
      <c r="E402" s="97">
        <f>'Danh sách máy'!E397</f>
        <v>0</v>
      </c>
      <c r="F402" s="206" t="e">
        <f>#REF!</f>
        <v>#REF!</v>
      </c>
      <c r="G402" s="102" t="e">
        <f>#REF!</f>
        <v>#REF!</v>
      </c>
      <c r="H402" s="102" t="e">
        <f>#REF!</f>
        <v>#REF!</v>
      </c>
      <c r="I402" s="209">
        <v>44676</v>
      </c>
      <c r="J402" s="210"/>
      <c r="K402" s="210" t="e">
        <f>#REF!</f>
        <v>#REF!</v>
      </c>
      <c r="L402" s="210">
        <v>44671</v>
      </c>
      <c r="M402" s="210"/>
      <c r="N402" s="210">
        <f>'Danh sách máy'!F397</f>
        <v>0</v>
      </c>
      <c r="O402" s="211" t="str" cm="1">
        <f t="array" ref="O402">IF(L402&lt;&gt;0,IF(L402&lt;I402,"OK","NG"),Blank)</f>
        <v>OK</v>
      </c>
      <c r="P402" s="211" t="e" cm="1">
        <f t="array" ref="P402">IF(M402&lt;&gt;0,IF(M402&lt;J402,"OK","NG"),Blank)</f>
        <v>#NAME?</v>
      </c>
      <c r="Q402" s="211" t="e" cm="1">
        <f t="array" ref="Q402">IF(H402&lt;&gt;"Stop",IF(N402&lt;&gt;0,IF(N402&lt;=K402,"OK","NG"),Blank),"-")</f>
        <v>#REF!</v>
      </c>
      <c r="R402" s="326" t="e" cm="1">
        <f t="array" ref="R402">IF(H402&lt;&gt;"Stop",IF(E402&lt;&gt;0,IF(E402&lt;=K402,"OK","NG"),Blank),"-")</f>
        <v>#REF!</v>
      </c>
      <c r="S402" s="22"/>
      <c r="T402" s="221"/>
      <c r="U402"/>
    </row>
    <row r="403" spans="1:21" ht="30" hidden="1" x14ac:dyDescent="0.3">
      <c r="A403" s="318" t="e">
        <f>#REF!</f>
        <v>#REF!</v>
      </c>
      <c r="B403" s="305" t="e">
        <f>#REF!</f>
        <v>#REF!</v>
      </c>
      <c r="C403" s="305" t="str">
        <f>'Danh sách máy'!C398</f>
        <v>Fact.4</v>
      </c>
      <c r="D403" s="90" t="e">
        <f>#REF!</f>
        <v>#REF!</v>
      </c>
      <c r="E403" s="97">
        <f>'Danh sách máy'!E398</f>
        <v>0</v>
      </c>
      <c r="F403" s="206" t="e">
        <f>#REF!</f>
        <v>#REF!</v>
      </c>
      <c r="G403" s="102" t="e">
        <f>#REF!</f>
        <v>#REF!</v>
      </c>
      <c r="H403" s="102" t="e">
        <f>#REF!</f>
        <v>#REF!</v>
      </c>
      <c r="I403" s="209">
        <v>44677</v>
      </c>
      <c r="J403" s="210"/>
      <c r="K403" s="210" t="e">
        <f>#REF!</f>
        <v>#REF!</v>
      </c>
      <c r="L403" s="210">
        <v>44672</v>
      </c>
      <c r="M403" s="210"/>
      <c r="N403" s="210">
        <f>'Danh sách máy'!F398</f>
        <v>0</v>
      </c>
      <c r="O403" s="211" t="str" cm="1">
        <f t="array" ref="O403">IF(L403&lt;&gt;0,IF(L403&lt;I403,"OK","NG"),Blank)</f>
        <v>OK</v>
      </c>
      <c r="P403" s="211" t="e" cm="1">
        <f t="array" ref="P403">IF(M403&lt;&gt;0,IF(M403&lt;J403,"OK","NG"),Blank)</f>
        <v>#NAME?</v>
      </c>
      <c r="Q403" s="211" t="e" cm="1">
        <f t="array" ref="Q403">IF(H403&lt;&gt;"Stop",IF(N403&lt;&gt;0,IF(N403&lt;=K403,"OK","NG"),Blank),"-")</f>
        <v>#REF!</v>
      </c>
      <c r="R403" s="326" t="e" cm="1">
        <f t="array" ref="R403">IF(H403&lt;&gt;"Stop",IF(E403&lt;&gt;0,IF(E403&lt;=K403,"OK","NG"),Blank),"-")</f>
        <v>#REF!</v>
      </c>
      <c r="S403" s="22"/>
      <c r="T403" s="221"/>
      <c r="U403"/>
    </row>
    <row r="404" spans="1:21" ht="30" hidden="1" x14ac:dyDescent="0.3">
      <c r="A404" s="318" t="e">
        <f>#REF!</f>
        <v>#REF!</v>
      </c>
      <c r="B404" s="305" t="e">
        <f>#REF!</f>
        <v>#REF!</v>
      </c>
      <c r="C404" s="305" t="str">
        <f>'Danh sách máy'!C399</f>
        <v>Fact.4</v>
      </c>
      <c r="D404" s="90" t="e">
        <f>#REF!</f>
        <v>#REF!</v>
      </c>
      <c r="E404" s="97">
        <f>'Danh sách máy'!E399</f>
        <v>0</v>
      </c>
      <c r="F404" s="206" t="e">
        <f>#REF!</f>
        <v>#REF!</v>
      </c>
      <c r="G404" s="102" t="e">
        <f>#REF!</f>
        <v>#REF!</v>
      </c>
      <c r="H404" s="102" t="e">
        <f>#REF!</f>
        <v>#REF!</v>
      </c>
      <c r="I404" s="209">
        <v>44678</v>
      </c>
      <c r="J404" s="210"/>
      <c r="K404" s="210" t="e">
        <f>#REF!</f>
        <v>#REF!</v>
      </c>
      <c r="L404" s="210">
        <v>44673</v>
      </c>
      <c r="M404" s="210"/>
      <c r="N404" s="210">
        <f>'Danh sách máy'!F399</f>
        <v>0</v>
      </c>
      <c r="O404" s="211" t="str" cm="1">
        <f t="array" ref="O404">IF(L404&lt;&gt;0,IF(L404&lt;I404,"OK","NG"),Blank)</f>
        <v>OK</v>
      </c>
      <c r="P404" s="211" t="e" cm="1">
        <f t="array" ref="P404">IF(M404&lt;&gt;0,IF(M404&lt;J404,"OK","NG"),Blank)</f>
        <v>#NAME?</v>
      </c>
      <c r="Q404" s="211" t="e" cm="1">
        <f t="array" ref="Q404">IF(H404&lt;&gt;"Stop",IF(N404&lt;&gt;0,IF(N404&lt;=K404,"OK","NG"),Blank),"-")</f>
        <v>#REF!</v>
      </c>
      <c r="R404" s="326" t="e" cm="1">
        <f t="array" ref="R404">IF(H404&lt;&gt;"Stop",IF(E404&lt;&gt;0,IF(E404&lt;=K404,"OK","NG"),Blank),"-")</f>
        <v>#REF!</v>
      </c>
      <c r="S404" s="22"/>
      <c r="T404" s="221"/>
      <c r="U404"/>
    </row>
    <row r="405" spans="1:21" ht="30" hidden="1" x14ac:dyDescent="0.3">
      <c r="A405" s="318" t="e">
        <f>#REF!</f>
        <v>#REF!</v>
      </c>
      <c r="B405" s="305" t="e">
        <f>#REF!</f>
        <v>#REF!</v>
      </c>
      <c r="C405" s="305" t="str">
        <f>'Danh sách máy'!C400</f>
        <v>Fact.4</v>
      </c>
      <c r="D405" s="90" t="e">
        <f>#REF!</f>
        <v>#REF!</v>
      </c>
      <c r="E405" s="97">
        <f>'Danh sách máy'!E400</f>
        <v>0</v>
      </c>
      <c r="F405" s="206" t="e">
        <f>#REF!</f>
        <v>#REF!</v>
      </c>
      <c r="G405" s="102" t="e">
        <f>#REF!</f>
        <v>#REF!</v>
      </c>
      <c r="H405" s="102" t="e">
        <f>#REF!</f>
        <v>#REF!</v>
      </c>
      <c r="I405" s="209">
        <v>44679</v>
      </c>
      <c r="J405" s="210"/>
      <c r="K405" s="210" t="e">
        <f>#REF!</f>
        <v>#REF!</v>
      </c>
      <c r="L405" s="210">
        <v>44674</v>
      </c>
      <c r="M405" s="210"/>
      <c r="N405" s="210">
        <f>'Danh sách máy'!F400</f>
        <v>0</v>
      </c>
      <c r="O405" s="211" t="str" cm="1">
        <f t="array" ref="O405">IF(L405&lt;&gt;0,IF(L405&lt;I405,"OK","NG"),Blank)</f>
        <v>OK</v>
      </c>
      <c r="P405" s="211" t="e" cm="1">
        <f t="array" ref="P405">IF(M405&lt;&gt;0,IF(M405&lt;J405,"OK","NG"),Blank)</f>
        <v>#NAME?</v>
      </c>
      <c r="Q405" s="211" t="e" cm="1">
        <f t="array" ref="Q405">IF(H405&lt;&gt;"Stop",IF(N405&lt;&gt;0,IF(N405&lt;=K405,"OK","NG"),Blank),"-")</f>
        <v>#REF!</v>
      </c>
      <c r="R405" s="326" t="e" cm="1">
        <f t="array" ref="R405">IF(H405&lt;&gt;"Stop",IF(E405&lt;&gt;0,IF(E405&lt;=K405,"OK","NG"),Blank),"-")</f>
        <v>#REF!</v>
      </c>
      <c r="S405" s="22"/>
      <c r="T405" s="221"/>
      <c r="U405"/>
    </row>
    <row r="406" spans="1:21" ht="30" hidden="1" x14ac:dyDescent="0.3">
      <c r="A406" s="318" t="e">
        <f>#REF!</f>
        <v>#REF!</v>
      </c>
      <c r="B406" s="305" t="e">
        <f>#REF!</f>
        <v>#REF!</v>
      </c>
      <c r="C406" s="305" t="str">
        <f>'Danh sách máy'!C401</f>
        <v>Fact.4</v>
      </c>
      <c r="D406" s="90" t="e">
        <f>#REF!</f>
        <v>#REF!</v>
      </c>
      <c r="E406" s="97">
        <f>'Danh sách máy'!E401</f>
        <v>0</v>
      </c>
      <c r="F406" s="206" t="e">
        <f>#REF!</f>
        <v>#REF!</v>
      </c>
      <c r="G406" s="102" t="e">
        <f>#REF!</f>
        <v>#REF!</v>
      </c>
      <c r="H406" s="102" t="e">
        <f>#REF!</f>
        <v>#REF!</v>
      </c>
      <c r="I406" s="209">
        <v>44680</v>
      </c>
      <c r="J406" s="210"/>
      <c r="K406" s="210" t="e">
        <f>#REF!</f>
        <v>#REF!</v>
      </c>
      <c r="L406" s="210">
        <v>44675</v>
      </c>
      <c r="M406" s="210"/>
      <c r="N406" s="210">
        <f>'Danh sách máy'!F401</f>
        <v>0</v>
      </c>
      <c r="O406" s="211" t="str" cm="1">
        <f t="array" ref="O406">IF(L406&lt;&gt;0,IF(L406&lt;I406,"OK","NG"),Blank)</f>
        <v>OK</v>
      </c>
      <c r="P406" s="211" t="e" cm="1">
        <f t="array" ref="P406">IF(M406&lt;&gt;0,IF(M406&lt;J406,"OK","NG"),Blank)</f>
        <v>#NAME?</v>
      </c>
      <c r="Q406" s="211" t="e" cm="1">
        <f t="array" ref="Q406">IF(H406&lt;&gt;"Stop",IF(N406&lt;&gt;0,IF(N406&lt;=K406,"OK","NG"),Blank),"-")</f>
        <v>#REF!</v>
      </c>
      <c r="R406" s="326" t="e" cm="1">
        <f t="array" ref="R406">IF(H406&lt;&gt;"Stop",IF(E406&lt;&gt;0,IF(E406&lt;=K406,"OK","NG"),Blank),"-")</f>
        <v>#REF!</v>
      </c>
      <c r="S406" s="22"/>
      <c r="T406" s="221"/>
      <c r="U406"/>
    </row>
    <row r="407" spans="1:21" ht="30" hidden="1" x14ac:dyDescent="0.3">
      <c r="A407" s="318" t="e">
        <f>#REF!</f>
        <v>#REF!</v>
      </c>
      <c r="B407" s="305" t="e">
        <f>#REF!</f>
        <v>#REF!</v>
      </c>
      <c r="C407" s="305" t="str">
        <f>'Danh sách máy'!C402</f>
        <v>Fact.4</v>
      </c>
      <c r="D407" s="90" t="e">
        <f>#REF!</f>
        <v>#REF!</v>
      </c>
      <c r="E407" s="97">
        <f>'Danh sách máy'!E402</f>
        <v>45745</v>
      </c>
      <c r="F407" s="206" t="e">
        <f>#REF!</f>
        <v>#REF!</v>
      </c>
      <c r="G407" s="102" t="e">
        <f>#REF!</f>
        <v>#REF!</v>
      </c>
      <c r="H407" s="102" t="e">
        <f>#REF!</f>
        <v>#REF!</v>
      </c>
      <c r="I407" s="209">
        <v>44681</v>
      </c>
      <c r="J407" s="210"/>
      <c r="K407" s="210" t="e">
        <f>#REF!</f>
        <v>#REF!</v>
      </c>
      <c r="L407" s="210">
        <v>44676</v>
      </c>
      <c r="M407" s="210"/>
      <c r="N407" s="210">
        <f>'Danh sách máy'!F402</f>
        <v>0</v>
      </c>
      <c r="O407" s="211" t="str" cm="1">
        <f t="array" ref="O407">IF(L407&lt;&gt;0,IF(L407&lt;I407,"OK","NG"),Blank)</f>
        <v>OK</v>
      </c>
      <c r="P407" s="211" t="e" cm="1">
        <f t="array" ref="P407">IF(M407&lt;&gt;0,IF(M407&lt;J407,"OK","NG"),Blank)</f>
        <v>#NAME?</v>
      </c>
      <c r="Q407" s="211" t="e" cm="1">
        <f t="array" ref="Q407">IF(H407&lt;&gt;"Stop",IF(N407&lt;&gt;0,IF(N407&lt;=K407,"OK","NG"),Blank),"-")</f>
        <v>#REF!</v>
      </c>
      <c r="R407" s="326" t="e" cm="1">
        <f t="array" ref="R407">IF(H407&lt;&gt;"Stop",IF(E407&lt;&gt;0,IF(E407&lt;=K407,"OK","NG"),Blank),"-")</f>
        <v>#REF!</v>
      </c>
      <c r="S407" s="22"/>
      <c r="T407" s="221"/>
      <c r="U407"/>
    </row>
    <row r="408" spans="1:21" ht="30" hidden="1" x14ac:dyDescent="0.3">
      <c r="A408" s="318" t="e">
        <f>#REF!</f>
        <v>#REF!</v>
      </c>
      <c r="B408" s="305" t="e">
        <f>#REF!</f>
        <v>#REF!</v>
      </c>
      <c r="C408" s="305" t="str">
        <f>'Danh sách máy'!C403</f>
        <v>Fact.4</v>
      </c>
      <c r="D408" s="90" t="e">
        <f>#REF!</f>
        <v>#REF!</v>
      </c>
      <c r="E408" s="97">
        <f>'Danh sách máy'!E403</f>
        <v>45745</v>
      </c>
      <c r="F408" s="206" t="e">
        <f>#REF!</f>
        <v>#REF!</v>
      </c>
      <c r="G408" s="102" t="e">
        <f>#REF!</f>
        <v>#REF!</v>
      </c>
      <c r="H408" s="102" t="e">
        <f>#REF!</f>
        <v>#REF!</v>
      </c>
      <c r="I408" s="209">
        <v>44682</v>
      </c>
      <c r="J408" s="210"/>
      <c r="K408" s="210" t="e">
        <f>#REF!</f>
        <v>#REF!</v>
      </c>
      <c r="L408" s="210">
        <v>44677</v>
      </c>
      <c r="M408" s="210"/>
      <c r="N408" s="210">
        <f>'Danh sách máy'!F403</f>
        <v>0</v>
      </c>
      <c r="O408" s="211" t="str" cm="1">
        <f t="array" ref="O408">IF(L408&lt;&gt;0,IF(L408&lt;I408,"OK","NG"),Blank)</f>
        <v>OK</v>
      </c>
      <c r="P408" s="211" t="e" cm="1">
        <f t="array" ref="P408">IF(M408&lt;&gt;0,IF(M408&lt;J408,"OK","NG"),Blank)</f>
        <v>#NAME?</v>
      </c>
      <c r="Q408" s="211" t="e" cm="1">
        <f t="array" ref="Q408">IF(H408&lt;&gt;"Stop",IF(N408&lt;&gt;0,IF(N408&lt;=K408,"OK","NG"),Blank),"-")</f>
        <v>#REF!</v>
      </c>
      <c r="R408" s="326" t="e" cm="1">
        <f t="array" ref="R408">IF(H408&lt;&gt;"Stop",IF(E408&lt;&gt;0,IF(E408&lt;=K408,"OK","NG"),Blank),"-")</f>
        <v>#REF!</v>
      </c>
      <c r="S408" s="22"/>
      <c r="T408" s="221"/>
      <c r="U408"/>
    </row>
    <row r="409" spans="1:21" ht="30" hidden="1" x14ac:dyDescent="0.3">
      <c r="A409" s="318" t="e">
        <f>#REF!</f>
        <v>#REF!</v>
      </c>
      <c r="B409" s="305" t="e">
        <f>#REF!</f>
        <v>#REF!</v>
      </c>
      <c r="C409" s="305" t="str">
        <f>'Danh sách máy'!C404</f>
        <v>Fact.4</v>
      </c>
      <c r="D409" s="90" t="e">
        <f>#REF!</f>
        <v>#REF!</v>
      </c>
      <c r="E409" s="97">
        <f>'Danh sách máy'!E404</f>
        <v>45745</v>
      </c>
      <c r="F409" s="206" t="e">
        <f>#REF!</f>
        <v>#REF!</v>
      </c>
      <c r="G409" s="102" t="e">
        <f>#REF!</f>
        <v>#REF!</v>
      </c>
      <c r="H409" s="102" t="e">
        <f>#REF!</f>
        <v>#REF!</v>
      </c>
      <c r="I409" s="209">
        <v>44683</v>
      </c>
      <c r="J409" s="210"/>
      <c r="K409" s="210" t="e">
        <f>#REF!</f>
        <v>#REF!</v>
      </c>
      <c r="L409" s="210">
        <v>44678</v>
      </c>
      <c r="M409" s="210"/>
      <c r="N409" s="210">
        <f>'Danh sách máy'!F404</f>
        <v>0</v>
      </c>
      <c r="O409" s="211" t="str" cm="1">
        <f t="array" ref="O409">IF(L409&lt;&gt;0,IF(L409&lt;I409,"OK","NG"),Blank)</f>
        <v>OK</v>
      </c>
      <c r="P409" s="211" t="e" cm="1">
        <f t="array" ref="P409">IF(M409&lt;&gt;0,IF(M409&lt;J409,"OK","NG"),Blank)</f>
        <v>#NAME?</v>
      </c>
      <c r="Q409" s="211" t="e" cm="1">
        <f t="array" ref="Q409">IF(H409&lt;&gt;"Stop",IF(N409&lt;&gt;0,IF(N409&lt;=K409,"OK","NG"),Blank),"-")</f>
        <v>#REF!</v>
      </c>
      <c r="R409" s="326" t="e" cm="1">
        <f t="array" ref="R409">IF(H409&lt;&gt;"Stop",IF(E409&lt;&gt;0,IF(E409&lt;=K409,"OK","NG"),Blank),"-")</f>
        <v>#REF!</v>
      </c>
      <c r="S409" s="22"/>
      <c r="T409" s="221"/>
      <c r="U409"/>
    </row>
    <row r="410" spans="1:21" ht="30" hidden="1" x14ac:dyDescent="0.3">
      <c r="A410" s="318" t="e">
        <f>#REF!</f>
        <v>#REF!</v>
      </c>
      <c r="B410" s="305" t="e">
        <f>#REF!</f>
        <v>#REF!</v>
      </c>
      <c r="C410" s="305" t="str">
        <f>'Danh sách máy'!C405</f>
        <v>Fact.4</v>
      </c>
      <c r="D410" s="90" t="e">
        <f>#REF!</f>
        <v>#REF!</v>
      </c>
      <c r="E410" s="97">
        <f>'Danh sách máy'!E405</f>
        <v>45745</v>
      </c>
      <c r="F410" s="206" t="e">
        <f>#REF!</f>
        <v>#REF!</v>
      </c>
      <c r="G410" s="102" t="e">
        <f>#REF!</f>
        <v>#REF!</v>
      </c>
      <c r="H410" s="102" t="e">
        <f>#REF!</f>
        <v>#REF!</v>
      </c>
      <c r="I410" s="209">
        <v>44684</v>
      </c>
      <c r="J410" s="210"/>
      <c r="K410" s="210" t="e">
        <f>#REF!</f>
        <v>#REF!</v>
      </c>
      <c r="L410" s="210">
        <v>44679</v>
      </c>
      <c r="M410" s="210"/>
      <c r="N410" s="210">
        <f>'Danh sách máy'!F405</f>
        <v>0</v>
      </c>
      <c r="O410" s="211" t="str" cm="1">
        <f t="array" ref="O410">IF(L410&lt;&gt;0,IF(L410&lt;I410,"OK","NG"),Blank)</f>
        <v>OK</v>
      </c>
      <c r="P410" s="211" t="e" cm="1">
        <f t="array" ref="P410">IF(M410&lt;&gt;0,IF(M410&lt;J410,"OK","NG"),Blank)</f>
        <v>#NAME?</v>
      </c>
      <c r="Q410" s="211" t="e" cm="1">
        <f t="array" ref="Q410">IF(H410&lt;&gt;"Stop",IF(N410&lt;&gt;0,IF(N410&lt;=K410,"OK","NG"),Blank),"-")</f>
        <v>#REF!</v>
      </c>
      <c r="R410" s="326" t="e" cm="1">
        <f t="array" ref="R410">IF(H410&lt;&gt;"Stop",IF(E410&lt;&gt;0,IF(E410&lt;=K410,"OK","NG"),Blank),"-")</f>
        <v>#REF!</v>
      </c>
      <c r="S410" s="22"/>
      <c r="T410" s="221"/>
      <c r="U410"/>
    </row>
    <row r="411" spans="1:21" ht="30" hidden="1" x14ac:dyDescent="0.3">
      <c r="A411" s="318" t="e">
        <f>#REF!</f>
        <v>#REF!</v>
      </c>
      <c r="B411" s="305" t="e">
        <f>#REF!</f>
        <v>#REF!</v>
      </c>
      <c r="C411" s="305" t="str">
        <f>'Danh sách máy'!C406</f>
        <v>Fact.4</v>
      </c>
      <c r="D411" s="90" t="e">
        <f>#REF!</f>
        <v>#REF!</v>
      </c>
      <c r="E411" s="97">
        <f>'Danh sách máy'!E406</f>
        <v>45745</v>
      </c>
      <c r="F411" s="206" t="e">
        <f>#REF!</f>
        <v>#REF!</v>
      </c>
      <c r="G411" s="102" t="e">
        <f>#REF!</f>
        <v>#REF!</v>
      </c>
      <c r="H411" s="102" t="e">
        <f>#REF!</f>
        <v>#REF!</v>
      </c>
      <c r="I411" s="209">
        <v>44685</v>
      </c>
      <c r="J411" s="210"/>
      <c r="K411" s="210" t="e">
        <f>#REF!</f>
        <v>#REF!</v>
      </c>
      <c r="L411" s="210">
        <v>44680</v>
      </c>
      <c r="M411" s="210"/>
      <c r="N411" s="210">
        <f>'Danh sách máy'!F406</f>
        <v>0</v>
      </c>
      <c r="O411" s="211" t="str" cm="1">
        <f t="array" ref="O411">IF(L411&lt;&gt;0,IF(L411&lt;I411,"OK","NG"),Blank)</f>
        <v>OK</v>
      </c>
      <c r="P411" s="211" t="e" cm="1">
        <f t="array" ref="P411">IF(M411&lt;&gt;0,IF(M411&lt;J411,"OK","NG"),Blank)</f>
        <v>#NAME?</v>
      </c>
      <c r="Q411" s="211" t="e" cm="1">
        <f t="array" ref="Q411">IF(H411&lt;&gt;"Stop",IF(N411&lt;&gt;0,IF(N411&lt;=K411,"OK","NG"),Blank),"-")</f>
        <v>#REF!</v>
      </c>
      <c r="R411" s="326" t="e" cm="1">
        <f t="array" ref="R411">IF(H411&lt;&gt;"Stop",IF(E411&lt;&gt;0,IF(E411&lt;=K411,"OK","NG"),Blank),"-")</f>
        <v>#REF!</v>
      </c>
      <c r="S411" s="22"/>
      <c r="T411" s="221"/>
      <c r="U411"/>
    </row>
    <row r="412" spans="1:21" ht="30" hidden="1" x14ac:dyDescent="0.3">
      <c r="A412" s="318" t="e">
        <f>#REF!</f>
        <v>#REF!</v>
      </c>
      <c r="B412" s="305" t="e">
        <f>#REF!</f>
        <v>#REF!</v>
      </c>
      <c r="C412" s="305" t="str">
        <f>'Danh sách máy'!C407</f>
        <v>Fact.4</v>
      </c>
      <c r="D412" s="90" t="e">
        <f>#REF!</f>
        <v>#REF!</v>
      </c>
      <c r="E412" s="97">
        <f>'Danh sách máy'!E407</f>
        <v>45745</v>
      </c>
      <c r="F412" s="206" t="e">
        <f>#REF!</f>
        <v>#REF!</v>
      </c>
      <c r="G412" s="102" t="e">
        <f>#REF!</f>
        <v>#REF!</v>
      </c>
      <c r="H412" s="102" t="e">
        <f>#REF!</f>
        <v>#REF!</v>
      </c>
      <c r="I412" s="209">
        <v>44686</v>
      </c>
      <c r="J412" s="210"/>
      <c r="K412" s="210" t="e">
        <f>#REF!</f>
        <v>#REF!</v>
      </c>
      <c r="L412" s="210">
        <v>44681</v>
      </c>
      <c r="M412" s="210"/>
      <c r="N412" s="210">
        <f>'Danh sách máy'!F407</f>
        <v>0</v>
      </c>
      <c r="O412" s="211" t="str" cm="1">
        <f t="array" ref="O412">IF(L412&lt;&gt;0,IF(L412&lt;I412,"OK","NG"),Blank)</f>
        <v>OK</v>
      </c>
      <c r="P412" s="211" t="e" cm="1">
        <f t="array" ref="P412">IF(M412&lt;&gt;0,IF(M412&lt;J412,"OK","NG"),Blank)</f>
        <v>#NAME?</v>
      </c>
      <c r="Q412" s="211" t="e" cm="1">
        <f t="array" ref="Q412">IF(H412&lt;&gt;"Stop",IF(N412&lt;&gt;0,IF(N412&lt;=K412,"OK","NG"),Blank),"-")</f>
        <v>#REF!</v>
      </c>
      <c r="R412" s="326" t="e" cm="1">
        <f t="array" ref="R412">IF(H412&lt;&gt;"Stop",IF(E412&lt;&gt;0,IF(E412&lt;=K412,"OK","NG"),Blank),"-")</f>
        <v>#REF!</v>
      </c>
      <c r="S412" s="22"/>
      <c r="T412" s="221"/>
      <c r="U412"/>
    </row>
    <row r="413" spans="1:21" ht="30" hidden="1" x14ac:dyDescent="0.3">
      <c r="A413" s="318" t="e">
        <f>#REF!</f>
        <v>#REF!</v>
      </c>
      <c r="B413" s="305" t="e">
        <f>#REF!</f>
        <v>#REF!</v>
      </c>
      <c r="C413" s="305" t="str">
        <f>'Danh sách máy'!C408</f>
        <v>Fact.4</v>
      </c>
      <c r="D413" s="90" t="e">
        <f>#REF!</f>
        <v>#REF!</v>
      </c>
      <c r="E413" s="97">
        <f>'Danh sách máy'!E408</f>
        <v>45751</v>
      </c>
      <c r="F413" s="206" t="e">
        <f>#REF!</f>
        <v>#REF!</v>
      </c>
      <c r="G413" s="102" t="e">
        <f>#REF!</f>
        <v>#REF!</v>
      </c>
      <c r="H413" s="102" t="e">
        <f>#REF!</f>
        <v>#REF!</v>
      </c>
      <c r="I413" s="209">
        <v>44687</v>
      </c>
      <c r="J413" s="210"/>
      <c r="K413" s="210" t="e">
        <f>#REF!</f>
        <v>#REF!</v>
      </c>
      <c r="L413" s="210">
        <v>44682</v>
      </c>
      <c r="M413" s="210"/>
      <c r="N413" s="210">
        <f>'Danh sách máy'!F408</f>
        <v>0</v>
      </c>
      <c r="O413" s="211" t="str" cm="1">
        <f t="array" ref="O413">IF(L413&lt;&gt;0,IF(L413&lt;I413,"OK","NG"),Blank)</f>
        <v>OK</v>
      </c>
      <c r="P413" s="211" t="e" cm="1">
        <f t="array" ref="P413">IF(M413&lt;&gt;0,IF(M413&lt;J413,"OK","NG"),Blank)</f>
        <v>#NAME?</v>
      </c>
      <c r="Q413" s="211" t="e" cm="1">
        <f t="array" ref="Q413">IF(H413&lt;&gt;"Stop",IF(N413&lt;&gt;0,IF(N413&lt;=K413,"OK","NG"),Blank),"-")</f>
        <v>#REF!</v>
      </c>
      <c r="R413" s="326" t="e" cm="1">
        <f t="array" ref="R413">IF(H413&lt;&gt;"Stop",IF(E413&lt;&gt;0,IF(E413&lt;=K413,"OK","NG"),Blank),"-")</f>
        <v>#REF!</v>
      </c>
      <c r="S413" s="22"/>
      <c r="T413" s="221"/>
      <c r="U413"/>
    </row>
    <row r="414" spans="1:21" ht="30" hidden="1" x14ac:dyDescent="0.3">
      <c r="A414" s="318" t="e">
        <f>#REF!</f>
        <v>#REF!</v>
      </c>
      <c r="B414" s="305" t="e">
        <f>#REF!</f>
        <v>#REF!</v>
      </c>
      <c r="C414" s="305" t="str">
        <f>'Danh sách máy'!C409</f>
        <v>Fact.4</v>
      </c>
      <c r="D414" s="90" t="e">
        <f>#REF!</f>
        <v>#REF!</v>
      </c>
      <c r="E414" s="97">
        <f>'Danh sách máy'!E409</f>
        <v>45751</v>
      </c>
      <c r="F414" s="206" t="e">
        <f>#REF!</f>
        <v>#REF!</v>
      </c>
      <c r="G414" s="102" t="e">
        <f>#REF!</f>
        <v>#REF!</v>
      </c>
      <c r="H414" s="102" t="e">
        <f>#REF!</f>
        <v>#REF!</v>
      </c>
      <c r="I414" s="209">
        <v>44688</v>
      </c>
      <c r="J414" s="210"/>
      <c r="K414" s="210" t="e">
        <f>#REF!</f>
        <v>#REF!</v>
      </c>
      <c r="L414" s="210">
        <v>44683</v>
      </c>
      <c r="M414" s="210"/>
      <c r="N414" s="210">
        <f>'Danh sách máy'!F409</f>
        <v>0</v>
      </c>
      <c r="O414" s="211" t="str" cm="1">
        <f t="array" ref="O414">IF(L414&lt;&gt;0,IF(L414&lt;I414,"OK","NG"),Blank)</f>
        <v>OK</v>
      </c>
      <c r="P414" s="211" t="e" cm="1">
        <f t="array" ref="P414">IF(M414&lt;&gt;0,IF(M414&lt;J414,"OK","NG"),Blank)</f>
        <v>#NAME?</v>
      </c>
      <c r="Q414" s="211" t="e" cm="1">
        <f t="array" ref="Q414">IF(H414&lt;&gt;"Stop",IF(N414&lt;&gt;0,IF(N414&lt;=K414,"OK","NG"),Blank),"-")</f>
        <v>#REF!</v>
      </c>
      <c r="R414" s="326" t="e" cm="1">
        <f t="array" ref="R414">IF(H414&lt;&gt;"Stop",IF(E414&lt;&gt;0,IF(E414&lt;=K414,"OK","NG"),Blank),"-")</f>
        <v>#REF!</v>
      </c>
      <c r="S414" s="22"/>
      <c r="T414" s="221"/>
      <c r="U414"/>
    </row>
    <row r="415" spans="1:21" ht="30" hidden="1" x14ac:dyDescent="0.3">
      <c r="A415" s="318" t="e">
        <f>#REF!</f>
        <v>#REF!</v>
      </c>
      <c r="B415" s="305" t="e">
        <f>#REF!</f>
        <v>#REF!</v>
      </c>
      <c r="C415" s="305" t="str">
        <f>'Danh sách máy'!C410</f>
        <v>Fact.4</v>
      </c>
      <c r="D415" s="90" t="e">
        <f>#REF!</f>
        <v>#REF!</v>
      </c>
      <c r="E415" s="97">
        <f>'Danh sách máy'!E410</f>
        <v>45751</v>
      </c>
      <c r="F415" s="206" t="e">
        <f>#REF!</f>
        <v>#REF!</v>
      </c>
      <c r="G415" s="102" t="e">
        <f>#REF!</f>
        <v>#REF!</v>
      </c>
      <c r="H415" s="102" t="e">
        <f>#REF!</f>
        <v>#REF!</v>
      </c>
      <c r="I415" s="209">
        <v>44689</v>
      </c>
      <c r="J415" s="210"/>
      <c r="K415" s="210" t="e">
        <f>#REF!</f>
        <v>#REF!</v>
      </c>
      <c r="L415" s="210">
        <v>44684</v>
      </c>
      <c r="M415" s="210"/>
      <c r="N415" s="210">
        <f>'Danh sách máy'!F410</f>
        <v>0</v>
      </c>
      <c r="O415" s="211" t="str" cm="1">
        <f t="array" ref="O415">IF(L415&lt;&gt;0,IF(L415&lt;I415,"OK","NG"),Blank)</f>
        <v>OK</v>
      </c>
      <c r="P415" s="211" t="e" cm="1">
        <f t="array" ref="P415">IF(M415&lt;&gt;0,IF(M415&lt;J415,"OK","NG"),Blank)</f>
        <v>#NAME?</v>
      </c>
      <c r="Q415" s="211" t="e" cm="1">
        <f t="array" ref="Q415">IF(H415&lt;&gt;"Stop",IF(N415&lt;&gt;0,IF(N415&lt;=K415,"OK","NG"),Blank),"-")</f>
        <v>#REF!</v>
      </c>
      <c r="R415" s="326" t="e" cm="1">
        <f t="array" ref="R415">IF(H415&lt;&gt;"Stop",IF(E415&lt;&gt;0,IF(E415&lt;=K415,"OK","NG"),Blank),"-")</f>
        <v>#REF!</v>
      </c>
      <c r="S415" s="22"/>
      <c r="T415" s="221"/>
      <c r="U415"/>
    </row>
    <row r="416" spans="1:21" ht="30" hidden="1" x14ac:dyDescent="0.3">
      <c r="A416" s="318" t="e">
        <f>#REF!</f>
        <v>#REF!</v>
      </c>
      <c r="B416" s="305" t="e">
        <f>#REF!</f>
        <v>#REF!</v>
      </c>
      <c r="C416" s="305" t="str">
        <f>'Danh sách máy'!C411</f>
        <v>Fact.4</v>
      </c>
      <c r="D416" s="90" t="e">
        <f>#REF!</f>
        <v>#REF!</v>
      </c>
      <c r="E416" s="97">
        <f>'Danh sách máy'!E411</f>
        <v>45751</v>
      </c>
      <c r="F416" s="206" t="e">
        <f>#REF!</f>
        <v>#REF!</v>
      </c>
      <c r="G416" s="102" t="e">
        <f>#REF!</f>
        <v>#REF!</v>
      </c>
      <c r="H416" s="102" t="e">
        <f>#REF!</f>
        <v>#REF!</v>
      </c>
      <c r="I416" s="209">
        <v>44690</v>
      </c>
      <c r="J416" s="210"/>
      <c r="K416" s="210" t="e">
        <f>#REF!</f>
        <v>#REF!</v>
      </c>
      <c r="L416" s="210">
        <v>44685</v>
      </c>
      <c r="M416" s="210"/>
      <c r="N416" s="210">
        <f>'Danh sách máy'!F411</f>
        <v>0</v>
      </c>
      <c r="O416" s="211" t="str" cm="1">
        <f t="array" ref="O416">IF(L416&lt;&gt;0,IF(L416&lt;I416,"OK","NG"),Blank)</f>
        <v>OK</v>
      </c>
      <c r="P416" s="211" t="e" cm="1">
        <f t="array" ref="P416">IF(M416&lt;&gt;0,IF(M416&lt;J416,"OK","NG"),Blank)</f>
        <v>#NAME?</v>
      </c>
      <c r="Q416" s="211" t="e" cm="1">
        <f t="array" ref="Q416">IF(H416&lt;&gt;"Stop",IF(N416&lt;&gt;0,IF(N416&lt;=K416,"OK","NG"),Blank),"-")</f>
        <v>#REF!</v>
      </c>
      <c r="R416" s="326" t="e" cm="1">
        <f t="array" ref="R416">IF(H416&lt;&gt;"Stop",IF(E416&lt;&gt;0,IF(E416&lt;=K416,"OK","NG"),Blank),"-")</f>
        <v>#REF!</v>
      </c>
      <c r="S416" s="22"/>
      <c r="T416" s="221"/>
      <c r="U416"/>
    </row>
    <row r="417" spans="1:21" ht="45" hidden="1" x14ac:dyDescent="0.3">
      <c r="A417" s="318" t="e">
        <f>#REF!</f>
        <v>#REF!</v>
      </c>
      <c r="B417" s="305" t="e">
        <f>#REF!</f>
        <v>#REF!</v>
      </c>
      <c r="C417" s="305" t="str">
        <f>'Danh sách máy'!C412</f>
        <v>Fact.4</v>
      </c>
      <c r="D417" s="90" t="e">
        <f>#REF!</f>
        <v>#REF!</v>
      </c>
      <c r="E417" s="97">
        <f>'Danh sách máy'!E412</f>
        <v>45897</v>
      </c>
      <c r="F417" s="206" t="e">
        <f>#REF!</f>
        <v>#REF!</v>
      </c>
      <c r="G417" s="102" t="e">
        <f>#REF!</f>
        <v>#REF!</v>
      </c>
      <c r="H417" s="102" t="e">
        <f>#REF!</f>
        <v>#REF!</v>
      </c>
      <c r="I417" s="209">
        <v>44691</v>
      </c>
      <c r="J417" s="210"/>
      <c r="K417" s="210" t="e">
        <f>#REF!</f>
        <v>#REF!</v>
      </c>
      <c r="L417" s="210">
        <v>44686</v>
      </c>
      <c r="M417" s="210"/>
      <c r="N417" s="210">
        <f>'Danh sách máy'!F412</f>
        <v>0</v>
      </c>
      <c r="O417" s="211" t="str" cm="1">
        <f t="array" ref="O417">IF(L417&lt;&gt;0,IF(L417&lt;I417,"OK","NG"),Blank)</f>
        <v>OK</v>
      </c>
      <c r="P417" s="211" t="e" cm="1">
        <f t="array" ref="P417">IF(M417&lt;&gt;0,IF(M417&lt;J417,"OK","NG"),Blank)</f>
        <v>#NAME?</v>
      </c>
      <c r="Q417" s="211" t="e" cm="1">
        <f t="array" ref="Q417">IF(H417&lt;&gt;"Stop",IF(N417&lt;&gt;0,IF(N417&lt;=K417,"OK","NG"),Blank),"-")</f>
        <v>#REF!</v>
      </c>
      <c r="R417" s="326" t="e" cm="1">
        <f t="array" ref="R417">IF(H417&lt;&gt;"Stop",IF(E417&lt;&gt;0,IF(E417&lt;=K417,"OK","NG"),Blank),"-")</f>
        <v>#REF!</v>
      </c>
      <c r="S417" s="22"/>
      <c r="T417" s="221"/>
      <c r="U417"/>
    </row>
    <row r="418" spans="1:21" ht="30" hidden="1" x14ac:dyDescent="0.3">
      <c r="A418" s="318" t="e">
        <f>#REF!</f>
        <v>#REF!</v>
      </c>
      <c r="B418" s="305" t="e">
        <f>#REF!</f>
        <v>#REF!</v>
      </c>
      <c r="C418" s="305" t="str">
        <f>'Danh sách máy'!C413</f>
        <v>Fact.4</v>
      </c>
      <c r="D418" s="90" t="e">
        <f>#REF!</f>
        <v>#REF!</v>
      </c>
      <c r="E418" s="97">
        <f>'Danh sách máy'!E413</f>
        <v>0</v>
      </c>
      <c r="F418" s="206" t="e">
        <f>#REF!</f>
        <v>#REF!</v>
      </c>
      <c r="G418" s="102" t="e">
        <f>#REF!</f>
        <v>#REF!</v>
      </c>
      <c r="H418" s="102" t="e">
        <f>#REF!</f>
        <v>#REF!</v>
      </c>
      <c r="I418" s="209">
        <v>44692</v>
      </c>
      <c r="J418" s="210"/>
      <c r="K418" s="210" t="e">
        <f>#REF!</f>
        <v>#REF!</v>
      </c>
      <c r="L418" s="210">
        <v>44687</v>
      </c>
      <c r="M418" s="210"/>
      <c r="N418" s="210">
        <f>'Danh sách máy'!F413</f>
        <v>0</v>
      </c>
      <c r="O418" s="211" t="str" cm="1">
        <f t="array" ref="O418">IF(L418&lt;&gt;0,IF(L418&lt;I418,"OK","NG"),Blank)</f>
        <v>OK</v>
      </c>
      <c r="P418" s="211" t="e" cm="1">
        <f t="array" ref="P418">IF(M418&lt;&gt;0,IF(M418&lt;J418,"OK","NG"),Blank)</f>
        <v>#NAME?</v>
      </c>
      <c r="Q418" s="211" t="e" cm="1">
        <f t="array" ref="Q418">IF(H418&lt;&gt;"Stop",IF(N418&lt;&gt;0,IF(N418&lt;=K418,"OK","NG"),Blank),"-")</f>
        <v>#REF!</v>
      </c>
      <c r="R418" s="326" t="e" cm="1">
        <f t="array" ref="R418">IF(H418&lt;&gt;"Stop",IF(E418&lt;&gt;0,IF(E418&lt;=K418,"OK","NG"),Blank),"-")</f>
        <v>#REF!</v>
      </c>
      <c r="S418" s="22"/>
      <c r="T418" s="221"/>
      <c r="U418"/>
    </row>
    <row r="419" spans="1:21" ht="30" hidden="1" x14ac:dyDescent="0.3">
      <c r="A419" s="318" t="e">
        <f>#REF!</f>
        <v>#REF!</v>
      </c>
      <c r="B419" s="305" t="e">
        <f>#REF!</f>
        <v>#REF!</v>
      </c>
      <c r="C419" s="305" t="str">
        <f>'Danh sách máy'!C414</f>
        <v>Fact.4</v>
      </c>
      <c r="D419" s="90" t="e">
        <f>#REF!</f>
        <v>#REF!</v>
      </c>
      <c r="E419" s="97">
        <f>'Danh sách máy'!E414</f>
        <v>45897</v>
      </c>
      <c r="F419" s="206" t="e">
        <f>#REF!</f>
        <v>#REF!</v>
      </c>
      <c r="G419" s="102" t="e">
        <f>#REF!</f>
        <v>#REF!</v>
      </c>
      <c r="H419" s="102" t="e">
        <f>#REF!</f>
        <v>#REF!</v>
      </c>
      <c r="I419" s="209">
        <v>44693</v>
      </c>
      <c r="J419" s="210"/>
      <c r="K419" s="210" t="e">
        <f>#REF!</f>
        <v>#REF!</v>
      </c>
      <c r="L419" s="210">
        <v>44688</v>
      </c>
      <c r="M419" s="210"/>
      <c r="N419" s="210">
        <f>'Danh sách máy'!F414</f>
        <v>0</v>
      </c>
      <c r="O419" s="211" t="str" cm="1">
        <f t="array" ref="O419">IF(L419&lt;&gt;0,IF(L419&lt;I419,"OK","NG"),Blank)</f>
        <v>OK</v>
      </c>
      <c r="P419" s="211" t="e" cm="1">
        <f t="array" ref="P419">IF(M419&lt;&gt;0,IF(M419&lt;J419,"OK","NG"),Blank)</f>
        <v>#NAME?</v>
      </c>
      <c r="Q419" s="211" t="e" cm="1">
        <f t="array" ref="Q419">IF(H419&lt;&gt;"Stop",IF(N419&lt;&gt;0,IF(N419&lt;=K419,"OK","NG"),Blank),"-")</f>
        <v>#REF!</v>
      </c>
      <c r="R419" s="326" t="e" cm="1">
        <f t="array" ref="R419">IF(H419&lt;&gt;"Stop",IF(E419&lt;&gt;0,IF(E419&lt;=K419,"OK","NG"),Blank),"-")</f>
        <v>#REF!</v>
      </c>
      <c r="S419" s="22"/>
      <c r="T419" s="221"/>
      <c r="U419"/>
    </row>
    <row r="420" spans="1:21" ht="30" hidden="1" x14ac:dyDescent="0.3">
      <c r="A420" s="318" t="e">
        <f>#REF!</f>
        <v>#REF!</v>
      </c>
      <c r="B420" s="305" t="e">
        <f>#REF!</f>
        <v>#REF!</v>
      </c>
      <c r="C420" s="305" t="str">
        <f>'Danh sách máy'!C415</f>
        <v>Fact.4</v>
      </c>
      <c r="D420" s="90" t="e">
        <f>#REF!</f>
        <v>#REF!</v>
      </c>
      <c r="E420" s="97">
        <f>'Danh sách máy'!E415</f>
        <v>0</v>
      </c>
      <c r="F420" s="206" t="e">
        <f>#REF!</f>
        <v>#REF!</v>
      </c>
      <c r="G420" s="102" t="e">
        <f>#REF!</f>
        <v>#REF!</v>
      </c>
      <c r="H420" s="102" t="e">
        <f>#REF!</f>
        <v>#REF!</v>
      </c>
      <c r="I420" s="209">
        <v>44694</v>
      </c>
      <c r="J420" s="210"/>
      <c r="K420" s="210" t="e">
        <f>#REF!</f>
        <v>#REF!</v>
      </c>
      <c r="L420" s="210">
        <v>44689</v>
      </c>
      <c r="M420" s="210"/>
      <c r="N420" s="210">
        <f>'Danh sách máy'!F415</f>
        <v>0</v>
      </c>
      <c r="O420" s="211" t="str" cm="1">
        <f t="array" ref="O420">IF(L420&lt;&gt;0,IF(L420&lt;I420,"OK","NG"),Blank)</f>
        <v>OK</v>
      </c>
      <c r="P420" s="211" t="e" cm="1">
        <f t="array" ref="P420">IF(M420&lt;&gt;0,IF(M420&lt;J420,"OK","NG"),Blank)</f>
        <v>#NAME?</v>
      </c>
      <c r="Q420" s="211" t="e" cm="1">
        <f t="array" ref="Q420">IF(H420&lt;&gt;"Stop",IF(N420&lt;&gt;0,IF(N420&lt;=K420,"OK","NG"),Blank),"-")</f>
        <v>#REF!</v>
      </c>
      <c r="R420" s="326" t="e" cm="1">
        <f t="array" ref="R420">IF(H420&lt;&gt;"Stop",IF(E420&lt;&gt;0,IF(E420&lt;=K420,"OK","NG"),Blank),"-")</f>
        <v>#REF!</v>
      </c>
      <c r="S420" s="22"/>
      <c r="T420" s="221"/>
      <c r="U420"/>
    </row>
    <row r="421" spans="1:21" ht="30" hidden="1" x14ac:dyDescent="0.3">
      <c r="A421" s="318" t="e">
        <f>#REF!</f>
        <v>#REF!</v>
      </c>
      <c r="B421" s="305" t="e">
        <f>#REF!</f>
        <v>#REF!</v>
      </c>
      <c r="C421" s="305" t="str">
        <f>'Danh sách máy'!C416</f>
        <v>Fact.4</v>
      </c>
      <c r="D421" s="90" t="e">
        <f>#REF!</f>
        <v>#REF!</v>
      </c>
      <c r="E421" s="97">
        <f>'Danh sách máy'!E416</f>
        <v>0</v>
      </c>
      <c r="F421" s="206" t="e">
        <f>#REF!</f>
        <v>#REF!</v>
      </c>
      <c r="G421" s="102" t="e">
        <f>#REF!</f>
        <v>#REF!</v>
      </c>
      <c r="H421" s="102" t="e">
        <f>#REF!</f>
        <v>#REF!</v>
      </c>
      <c r="I421" s="209">
        <v>44695</v>
      </c>
      <c r="J421" s="210"/>
      <c r="K421" s="210" t="e">
        <f>#REF!</f>
        <v>#REF!</v>
      </c>
      <c r="L421" s="210">
        <v>44690</v>
      </c>
      <c r="M421" s="210"/>
      <c r="N421" s="210">
        <f>'Danh sách máy'!F416</f>
        <v>0</v>
      </c>
      <c r="O421" s="211" t="str" cm="1">
        <f t="array" ref="O421">IF(L421&lt;&gt;0,IF(L421&lt;I421,"OK","NG"),Blank)</f>
        <v>OK</v>
      </c>
      <c r="P421" s="211" t="e" cm="1">
        <f t="array" ref="P421">IF(M421&lt;&gt;0,IF(M421&lt;J421,"OK","NG"),Blank)</f>
        <v>#NAME?</v>
      </c>
      <c r="Q421" s="211" t="e" cm="1">
        <f t="array" ref="Q421">IF(H421&lt;&gt;"Stop",IF(N421&lt;&gt;0,IF(N421&lt;=K421,"OK","NG"),Blank),"-")</f>
        <v>#REF!</v>
      </c>
      <c r="R421" s="326" t="e" cm="1">
        <f t="array" ref="R421">IF(H421&lt;&gt;"Stop",IF(E421&lt;&gt;0,IF(E421&lt;=K421,"OK","NG"),Blank),"-")</f>
        <v>#REF!</v>
      </c>
      <c r="S421" s="22"/>
      <c r="T421" s="221"/>
      <c r="U421"/>
    </row>
    <row r="422" spans="1:21" ht="30" x14ac:dyDescent="0.3">
      <c r="A422" s="318" t="e">
        <f>#REF!</f>
        <v>#REF!</v>
      </c>
      <c r="B422" s="305" t="e">
        <f>#REF!</f>
        <v>#REF!</v>
      </c>
      <c r="C422" s="305" t="str">
        <f>'Danh sách máy'!C417</f>
        <v>Fact.4</v>
      </c>
      <c r="D422" s="90" t="e">
        <f>#REF!</f>
        <v>#REF!</v>
      </c>
      <c r="E422" s="97">
        <f>'Danh sách máy'!E417</f>
        <v>45786</v>
      </c>
      <c r="F422" s="206" t="e">
        <f>#REF!</f>
        <v>#REF!</v>
      </c>
      <c r="G422" s="102" t="e">
        <f>#REF!</f>
        <v>#REF!</v>
      </c>
      <c r="H422" s="102" t="e">
        <f>#REF!</f>
        <v>#REF!</v>
      </c>
      <c r="I422" s="209">
        <v>44696</v>
      </c>
      <c r="J422" s="210"/>
      <c r="K422" s="210" t="e">
        <f>#REF!</f>
        <v>#REF!</v>
      </c>
      <c r="L422" s="210">
        <v>44691</v>
      </c>
      <c r="M422" s="210"/>
      <c r="N422" s="210">
        <f>'Danh sách máy'!F417</f>
        <v>45789</v>
      </c>
      <c r="O422" s="211" t="str" cm="1">
        <f t="array" ref="O422">IF(L422&lt;&gt;0,IF(L422&lt;I422,"OK","NG"),Blank)</f>
        <v>OK</v>
      </c>
      <c r="P422" s="211" t="e" cm="1">
        <f t="array" ref="P422">IF(M422&lt;&gt;0,IF(M422&lt;J422,"OK","NG"),Blank)</f>
        <v>#NAME?</v>
      </c>
      <c r="Q422" s="211" t="e" cm="1">
        <f t="array" ref="Q422">IF(H422&lt;&gt;"Stop",IF(N422&lt;&gt;0,IF(N422&lt;=K422,"OK","NG"),Blank),"-")</f>
        <v>#REF!</v>
      </c>
      <c r="R422" s="326" t="e" cm="1">
        <f t="array" ref="R422">IF(H422&lt;&gt;"Stop",IF(E422&lt;&gt;0,IF(E422&lt;=K422,"OK","NG"),Blank),"-")</f>
        <v>#REF!</v>
      </c>
      <c r="S422" s="22"/>
      <c r="T422" s="221"/>
      <c r="U422"/>
    </row>
    <row r="423" spans="1:21" ht="15" x14ac:dyDescent="0.3">
      <c r="A423" s="318" t="e">
        <f>#REF!</f>
        <v>#REF!</v>
      </c>
      <c r="B423" s="305" t="e">
        <f>#REF!</f>
        <v>#REF!</v>
      </c>
      <c r="C423" s="305" t="str">
        <f>'Danh sách máy'!C418</f>
        <v>Fact.4</v>
      </c>
      <c r="D423" s="90" t="e">
        <f>#REF!</f>
        <v>#REF!</v>
      </c>
      <c r="E423" s="97">
        <f>'Danh sách máy'!E418</f>
        <v>45825</v>
      </c>
      <c r="F423" s="206" t="e">
        <f>#REF!</f>
        <v>#REF!</v>
      </c>
      <c r="G423" s="102" t="e">
        <f>#REF!</f>
        <v>#REF!</v>
      </c>
      <c r="H423" s="102" t="e">
        <f>#REF!</f>
        <v>#REF!</v>
      </c>
      <c r="I423" s="209">
        <v>44697</v>
      </c>
      <c r="J423" s="210"/>
      <c r="K423" s="210" t="e">
        <f>#REF!</f>
        <v>#REF!</v>
      </c>
      <c r="L423" s="210">
        <v>44692</v>
      </c>
      <c r="M423" s="210"/>
      <c r="N423" s="210">
        <f>'Danh sách máy'!F418</f>
        <v>45826</v>
      </c>
      <c r="O423" s="211" t="str" cm="1">
        <f t="array" ref="O423">IF(L423&lt;&gt;0,IF(L423&lt;I423,"OK","NG"),Blank)</f>
        <v>OK</v>
      </c>
      <c r="P423" s="211" t="e" cm="1">
        <f t="array" ref="P423">IF(M423&lt;&gt;0,IF(M423&lt;J423,"OK","NG"),Blank)</f>
        <v>#NAME?</v>
      </c>
      <c r="Q423" s="211" t="e" cm="1">
        <f t="array" ref="Q423">IF(H423&lt;&gt;"Stop",IF(N423&lt;&gt;0,IF(N423&lt;=K423,"OK","NG"),Blank),"-")</f>
        <v>#REF!</v>
      </c>
      <c r="R423" s="326" t="e" cm="1">
        <f t="array" ref="R423">IF(H423&lt;&gt;"Stop",IF(E423&lt;&gt;0,IF(E423&lt;=K423,"OK","NG"),Blank),"-")</f>
        <v>#REF!</v>
      </c>
      <c r="S423" s="22"/>
      <c r="T423" s="221"/>
      <c r="U423"/>
    </row>
    <row r="424" spans="1:21" ht="30" hidden="1" x14ac:dyDescent="0.3">
      <c r="A424" s="318" t="e">
        <f>#REF!</f>
        <v>#REF!</v>
      </c>
      <c r="B424" s="305" t="e">
        <f>#REF!</f>
        <v>#REF!</v>
      </c>
      <c r="C424" s="305" t="str">
        <f>'Danh sách máy'!C419</f>
        <v>Fact.4</v>
      </c>
      <c r="D424" s="90" t="e">
        <f>#REF!</f>
        <v>#REF!</v>
      </c>
      <c r="E424" s="97">
        <f>'Danh sách máy'!E419</f>
        <v>45745</v>
      </c>
      <c r="F424" s="206" t="e">
        <f>#REF!</f>
        <v>#REF!</v>
      </c>
      <c r="G424" s="102" t="e">
        <f>#REF!</f>
        <v>#REF!</v>
      </c>
      <c r="H424" s="102" t="e">
        <f>#REF!</f>
        <v>#REF!</v>
      </c>
      <c r="I424" s="209">
        <v>44698</v>
      </c>
      <c r="J424" s="210"/>
      <c r="K424" s="210" t="e">
        <f>#REF!</f>
        <v>#REF!</v>
      </c>
      <c r="L424" s="210">
        <v>44693</v>
      </c>
      <c r="M424" s="210"/>
      <c r="N424" s="210">
        <f>'Danh sách máy'!F419</f>
        <v>0</v>
      </c>
      <c r="O424" s="211" t="str" cm="1">
        <f t="array" ref="O424">IF(L424&lt;&gt;0,IF(L424&lt;I424,"OK","NG"),Blank)</f>
        <v>OK</v>
      </c>
      <c r="P424" s="211" t="e" cm="1">
        <f t="array" ref="P424">IF(M424&lt;&gt;0,IF(M424&lt;J424,"OK","NG"),Blank)</f>
        <v>#NAME?</v>
      </c>
      <c r="Q424" s="211" t="e" cm="1">
        <f t="array" ref="Q424">IF(H424&lt;&gt;"Stop",IF(N424&lt;&gt;0,IF(N424&lt;=K424,"OK","NG"),Blank),"-")</f>
        <v>#REF!</v>
      </c>
      <c r="R424" s="326" t="e" cm="1">
        <f t="array" ref="R424">IF(H424&lt;&gt;"Stop",IF(E424&lt;&gt;0,IF(E424&lt;=K424,"OK","NG"),Blank),"-")</f>
        <v>#REF!</v>
      </c>
      <c r="S424" s="22"/>
      <c r="T424" s="221"/>
      <c r="U424"/>
    </row>
    <row r="425" spans="1:21" ht="30" x14ac:dyDescent="0.3">
      <c r="A425" s="318" t="e">
        <f>#REF!</f>
        <v>#REF!</v>
      </c>
      <c r="B425" s="305" t="e">
        <f>#REF!</f>
        <v>#REF!</v>
      </c>
      <c r="C425" s="305" t="str">
        <f>'Danh sách máy'!C420</f>
        <v>Fact.4</v>
      </c>
      <c r="D425" s="90" t="e">
        <f>#REF!</f>
        <v>#REF!</v>
      </c>
      <c r="E425" s="97">
        <f>'Danh sách máy'!E420</f>
        <v>45786</v>
      </c>
      <c r="F425" s="206" t="e">
        <f>#REF!</f>
        <v>#REF!</v>
      </c>
      <c r="G425" s="102" t="e">
        <f>#REF!</f>
        <v>#REF!</v>
      </c>
      <c r="H425" s="102" t="e">
        <f>#REF!</f>
        <v>#REF!</v>
      </c>
      <c r="I425" s="209">
        <v>44699</v>
      </c>
      <c r="J425" s="210"/>
      <c r="K425" s="210" t="e">
        <f>#REF!</f>
        <v>#REF!</v>
      </c>
      <c r="L425" s="210">
        <v>44694</v>
      </c>
      <c r="M425" s="210"/>
      <c r="N425" s="210">
        <f>'Danh sách máy'!F420</f>
        <v>45789</v>
      </c>
      <c r="O425" s="211" t="str" cm="1">
        <f t="array" ref="O425">IF(L425&lt;&gt;0,IF(L425&lt;I425,"OK","NG"),Blank)</f>
        <v>OK</v>
      </c>
      <c r="P425" s="211" t="e" cm="1">
        <f t="array" ref="P425">IF(M425&lt;&gt;0,IF(M425&lt;J425,"OK","NG"),Blank)</f>
        <v>#NAME?</v>
      </c>
      <c r="Q425" s="211" t="e" cm="1">
        <f t="array" ref="Q425">IF(H425&lt;&gt;"Stop",IF(N425&lt;&gt;0,IF(N425&lt;=K425,"OK","NG"),Blank),"-")</f>
        <v>#REF!</v>
      </c>
      <c r="R425" s="326" t="e" cm="1">
        <f t="array" ref="R425">IF(H425&lt;&gt;"Stop",IF(E425&lt;&gt;0,IF(E425&lt;=K425,"OK","NG"),Blank),"-")</f>
        <v>#REF!</v>
      </c>
      <c r="S425" s="22"/>
      <c r="T425" s="221"/>
      <c r="U425"/>
    </row>
    <row r="426" spans="1:21" ht="30" hidden="1" x14ac:dyDescent="0.3">
      <c r="A426" s="318" t="e">
        <f>#REF!</f>
        <v>#REF!</v>
      </c>
      <c r="B426" s="305" t="e">
        <f>#REF!</f>
        <v>#REF!</v>
      </c>
      <c r="C426" s="305" t="str">
        <f>'Danh sách máy'!C421</f>
        <v>Fact.4</v>
      </c>
      <c r="D426" s="90" t="e">
        <f>#REF!</f>
        <v>#REF!</v>
      </c>
      <c r="E426" s="97">
        <f>'Danh sách máy'!E421</f>
        <v>45838</v>
      </c>
      <c r="F426" s="206" t="e">
        <f>#REF!</f>
        <v>#REF!</v>
      </c>
      <c r="G426" s="102" t="e">
        <f>#REF!</f>
        <v>#REF!</v>
      </c>
      <c r="H426" s="102" t="e">
        <f>#REF!</f>
        <v>#REF!</v>
      </c>
      <c r="I426" s="209">
        <v>44700</v>
      </c>
      <c r="J426" s="210"/>
      <c r="K426" s="210" t="e">
        <f>#REF!</f>
        <v>#REF!</v>
      </c>
      <c r="L426" s="210">
        <v>44695</v>
      </c>
      <c r="M426" s="210"/>
      <c r="N426" s="210">
        <f>'Danh sách máy'!F421</f>
        <v>0</v>
      </c>
      <c r="O426" s="211" t="str" cm="1">
        <f t="array" ref="O426">IF(L426&lt;&gt;0,IF(L426&lt;I426,"OK","NG"),Blank)</f>
        <v>OK</v>
      </c>
      <c r="P426" s="211" t="e" cm="1">
        <f t="array" ref="P426">IF(M426&lt;&gt;0,IF(M426&lt;J426,"OK","NG"),Blank)</f>
        <v>#NAME?</v>
      </c>
      <c r="Q426" s="211" t="e" cm="1">
        <f t="array" ref="Q426">IF(H426&lt;&gt;"Stop",IF(N426&lt;&gt;0,IF(N426&lt;=K426,"OK","NG"),Blank),"-")</f>
        <v>#REF!</v>
      </c>
      <c r="R426" s="326" t="e" cm="1">
        <f t="array" ref="R426">IF(H426&lt;&gt;"Stop",IF(E426&lt;&gt;0,IF(E426&lt;=K426,"OK","NG"),Blank),"-")</f>
        <v>#REF!</v>
      </c>
      <c r="S426" s="22"/>
      <c r="T426" s="221"/>
      <c r="U426"/>
    </row>
    <row r="427" spans="1:21" ht="30" hidden="1" x14ac:dyDescent="0.3">
      <c r="A427" s="318" t="e">
        <f>#REF!</f>
        <v>#REF!</v>
      </c>
      <c r="B427" s="305" t="e">
        <f>#REF!</f>
        <v>#REF!</v>
      </c>
      <c r="C427" s="305" t="str">
        <f>'Danh sách máy'!C422</f>
        <v>Fact.4</v>
      </c>
      <c r="D427" s="90" t="e">
        <f>#REF!</f>
        <v>#REF!</v>
      </c>
      <c r="E427" s="97">
        <f>'Danh sách máy'!E422</f>
        <v>45838</v>
      </c>
      <c r="F427" s="206" t="e">
        <f>#REF!</f>
        <v>#REF!</v>
      </c>
      <c r="G427" s="102" t="e">
        <f>#REF!</f>
        <v>#REF!</v>
      </c>
      <c r="H427" s="102" t="e">
        <f>#REF!</f>
        <v>#REF!</v>
      </c>
      <c r="I427" s="209">
        <v>44701</v>
      </c>
      <c r="J427" s="210"/>
      <c r="K427" s="210" t="e">
        <f>#REF!</f>
        <v>#REF!</v>
      </c>
      <c r="L427" s="210">
        <v>44696</v>
      </c>
      <c r="M427" s="210"/>
      <c r="N427" s="210">
        <f>'Danh sách máy'!F422</f>
        <v>0</v>
      </c>
      <c r="O427" s="211" t="str" cm="1">
        <f t="array" ref="O427">IF(L427&lt;&gt;0,IF(L427&lt;I427,"OK","NG"),Blank)</f>
        <v>OK</v>
      </c>
      <c r="P427" s="211" t="e" cm="1">
        <f t="array" ref="P427">IF(M427&lt;&gt;0,IF(M427&lt;J427,"OK","NG"),Blank)</f>
        <v>#NAME?</v>
      </c>
      <c r="Q427" s="211" t="e" cm="1">
        <f t="array" ref="Q427">IF(H427&lt;&gt;"Stop",IF(N427&lt;&gt;0,IF(N427&lt;=K427,"OK","NG"),Blank),"-")</f>
        <v>#REF!</v>
      </c>
      <c r="R427" s="326" t="e" cm="1">
        <f t="array" ref="R427">IF(H427&lt;&gt;"Stop",IF(E427&lt;&gt;0,IF(E427&lt;=K427,"OK","NG"),Blank),"-")</f>
        <v>#REF!</v>
      </c>
      <c r="S427" s="22"/>
      <c r="T427" s="221"/>
      <c r="U427"/>
    </row>
    <row r="428" spans="1:21" ht="30" x14ac:dyDescent="0.3">
      <c r="A428" s="318" t="e">
        <f>#REF!</f>
        <v>#REF!</v>
      </c>
      <c r="B428" s="305" t="e">
        <f>#REF!</f>
        <v>#REF!</v>
      </c>
      <c r="C428" s="305" t="str">
        <f>'Danh sách máy'!C423</f>
        <v>Fact.4</v>
      </c>
      <c r="D428" s="90" t="e">
        <f>#REF!</f>
        <v>#REF!</v>
      </c>
      <c r="E428" s="97">
        <f>'Danh sách máy'!E423</f>
        <v>45770</v>
      </c>
      <c r="F428" s="206" t="e">
        <f>#REF!</f>
        <v>#REF!</v>
      </c>
      <c r="G428" s="102" t="e">
        <f>#REF!</f>
        <v>#REF!</v>
      </c>
      <c r="H428" s="102" t="e">
        <f>#REF!</f>
        <v>#REF!</v>
      </c>
      <c r="I428" s="209">
        <v>44702</v>
      </c>
      <c r="J428" s="210"/>
      <c r="K428" s="210" t="e">
        <f>#REF!</f>
        <v>#REF!</v>
      </c>
      <c r="L428" s="210">
        <v>44697</v>
      </c>
      <c r="M428" s="210"/>
      <c r="N428" s="210">
        <f>'Danh sách máy'!F423</f>
        <v>45770</v>
      </c>
      <c r="O428" s="211" t="str" cm="1">
        <f t="array" ref="O428">IF(L428&lt;&gt;0,IF(L428&lt;I428,"OK","NG"),Blank)</f>
        <v>OK</v>
      </c>
      <c r="P428" s="211" t="e" cm="1">
        <f t="array" ref="P428">IF(M428&lt;&gt;0,IF(M428&lt;J428,"OK","NG"),Blank)</f>
        <v>#NAME?</v>
      </c>
      <c r="Q428" s="211" t="e" cm="1">
        <f t="array" ref="Q428">IF(H428&lt;&gt;"Stop",IF(N428&lt;&gt;0,IF(N428&lt;=K428,"OK","NG"),Blank),"-")</f>
        <v>#REF!</v>
      </c>
      <c r="R428" s="326" t="e" cm="1">
        <f t="array" ref="R428">IF(H428&lt;&gt;"Stop",IF(E428&lt;&gt;0,IF(E428&lt;=K428,"OK","NG"),Blank),"-")</f>
        <v>#REF!</v>
      </c>
      <c r="S428" s="22"/>
      <c r="T428" s="221"/>
      <c r="U428"/>
    </row>
    <row r="429" spans="1:21" ht="30" hidden="1" x14ac:dyDescent="0.3">
      <c r="A429" s="318" t="e">
        <f>#REF!</f>
        <v>#REF!</v>
      </c>
      <c r="B429" s="305" t="e">
        <f>#REF!</f>
        <v>#REF!</v>
      </c>
      <c r="C429" s="305" t="str">
        <f>'Danh sách máy'!C424</f>
        <v>MKVC</v>
      </c>
      <c r="D429" s="90" t="e">
        <f>#REF!</f>
        <v>#REF!</v>
      </c>
      <c r="E429" s="97">
        <f>'Danh sách máy'!E424</f>
        <v>45868</v>
      </c>
      <c r="F429" s="206" t="e">
        <f>#REF!</f>
        <v>#REF!</v>
      </c>
      <c r="G429" s="102" t="e">
        <f>#REF!</f>
        <v>#REF!</v>
      </c>
      <c r="H429" s="102" t="e">
        <f>#REF!</f>
        <v>#REF!</v>
      </c>
      <c r="I429" s="209">
        <v>44703</v>
      </c>
      <c r="J429" s="210"/>
      <c r="K429" s="210" t="e">
        <f>#REF!</f>
        <v>#REF!</v>
      </c>
      <c r="L429" s="210">
        <v>44698</v>
      </c>
      <c r="M429" s="210"/>
      <c r="N429" s="210">
        <f>'Danh sách máy'!F424</f>
        <v>0</v>
      </c>
      <c r="O429" s="211" t="str" cm="1">
        <f t="array" ref="O429">IF(L429&lt;&gt;0,IF(L429&lt;I429,"OK","NG"),Blank)</f>
        <v>OK</v>
      </c>
      <c r="P429" s="211" t="e" cm="1">
        <f t="array" ref="P429">IF(M429&lt;&gt;0,IF(M429&lt;J429,"OK","NG"),Blank)</f>
        <v>#NAME?</v>
      </c>
      <c r="Q429" s="211" t="e" cm="1">
        <f t="array" ref="Q429">IF(H429&lt;&gt;"Stop",IF(N429&lt;&gt;0,IF(N429&lt;=K429,"OK","NG"),Blank),"-")</f>
        <v>#REF!</v>
      </c>
      <c r="R429" s="326" t="e" cm="1">
        <f t="array" ref="R429">IF(H429&lt;&gt;"Stop",IF(E429&lt;&gt;0,IF(E429&lt;=K429,"OK","NG"),Blank),"-")</f>
        <v>#REF!</v>
      </c>
      <c r="S429" s="22"/>
      <c r="T429" s="221"/>
      <c r="U429"/>
    </row>
    <row r="430" spans="1:21" ht="15" hidden="1" x14ac:dyDescent="0.3">
      <c r="A430" s="318" t="e">
        <f>#REF!</f>
        <v>#REF!</v>
      </c>
      <c r="B430" s="305" t="e">
        <f>#REF!</f>
        <v>#REF!</v>
      </c>
      <c r="C430" s="305" t="str">
        <f>'Danh sách máy'!C425</f>
        <v>MKVC</v>
      </c>
      <c r="D430" s="90" t="e">
        <f>#REF!</f>
        <v>#REF!</v>
      </c>
      <c r="E430" s="97">
        <f>'Danh sách máy'!E425</f>
        <v>46065</v>
      </c>
      <c r="F430" s="206" t="e">
        <f>#REF!</f>
        <v>#REF!</v>
      </c>
      <c r="G430" s="102" t="e">
        <f>#REF!</f>
        <v>#REF!</v>
      </c>
      <c r="H430" s="102" t="e">
        <f>#REF!</f>
        <v>#REF!</v>
      </c>
      <c r="I430" s="209">
        <v>44704</v>
      </c>
      <c r="J430" s="210"/>
      <c r="K430" s="210" t="e">
        <f>#REF!</f>
        <v>#REF!</v>
      </c>
      <c r="L430" s="210">
        <v>44699</v>
      </c>
      <c r="M430" s="210"/>
      <c r="N430" s="210">
        <f>'Danh sách máy'!F425</f>
        <v>0</v>
      </c>
      <c r="O430" s="211" t="str" cm="1">
        <f t="array" ref="O430">IF(L430&lt;&gt;0,IF(L430&lt;I430,"OK","NG"),Blank)</f>
        <v>OK</v>
      </c>
      <c r="P430" s="211" t="e" cm="1">
        <f t="array" ref="P430">IF(M430&lt;&gt;0,IF(M430&lt;J430,"OK","NG"),Blank)</f>
        <v>#NAME?</v>
      </c>
      <c r="Q430" s="211" t="e" cm="1">
        <f t="array" ref="Q430">IF(H430&lt;&gt;"Stop",IF(N430&lt;&gt;0,IF(N430&lt;=K430,"OK","NG"),Blank),"-")</f>
        <v>#REF!</v>
      </c>
      <c r="R430" s="326" t="e" cm="1">
        <f t="array" ref="R430">IF(H430&lt;&gt;"Stop",IF(E430&lt;&gt;0,IF(E430&lt;=K430,"OK","NG"),Blank),"-")</f>
        <v>#REF!</v>
      </c>
      <c r="S430" s="22"/>
      <c r="T430" s="221"/>
      <c r="U430"/>
    </row>
    <row r="431" spans="1:21" ht="15" x14ac:dyDescent="0.3">
      <c r="A431" s="318" t="e">
        <f>#REF!</f>
        <v>#REF!</v>
      </c>
      <c r="B431" s="305" t="e">
        <f>#REF!</f>
        <v>#REF!</v>
      </c>
      <c r="C431" s="305" t="str">
        <f>'Danh sách máy'!C426</f>
        <v>MKVC</v>
      </c>
      <c r="D431" s="90" t="e">
        <f>#REF!</f>
        <v>#REF!</v>
      </c>
      <c r="E431" s="97">
        <f>'Danh sách máy'!E426</f>
        <v>45961</v>
      </c>
      <c r="F431" s="206" t="e">
        <f>#REF!</f>
        <v>#REF!</v>
      </c>
      <c r="G431" s="102" t="e">
        <f>#REF!</f>
        <v>#REF!</v>
      </c>
      <c r="H431" s="102" t="e">
        <f>#REF!</f>
        <v>#REF!</v>
      </c>
      <c r="I431" s="209">
        <v>44705</v>
      </c>
      <c r="J431" s="210"/>
      <c r="K431" s="210" t="e">
        <f>#REF!</f>
        <v>#REF!</v>
      </c>
      <c r="L431" s="210">
        <v>44700</v>
      </c>
      <c r="M431" s="210"/>
      <c r="N431" s="210">
        <f>'Danh sách máy'!F426</f>
        <v>45964</v>
      </c>
      <c r="O431" s="211" t="str" cm="1">
        <f t="array" ref="O431">IF(L431&lt;&gt;0,IF(L431&lt;I431,"OK","NG"),Blank)</f>
        <v>OK</v>
      </c>
      <c r="P431" s="211" t="e" cm="1">
        <f t="array" ref="P431">IF(M431&lt;&gt;0,IF(M431&lt;J431,"OK","NG"),Blank)</f>
        <v>#NAME?</v>
      </c>
      <c r="Q431" s="211" t="e" cm="1">
        <f t="array" ref="Q431">IF(H431&lt;&gt;"Stop",IF(N431&lt;&gt;0,IF(N431&lt;=K431,"OK","NG"),Blank),"-")</f>
        <v>#REF!</v>
      </c>
      <c r="R431" s="326" t="e" cm="1">
        <f t="array" ref="R431">IF(H431&lt;&gt;"Stop",IF(E431&lt;&gt;0,IF(E431&lt;=K431,"OK","NG"),Blank),"-")</f>
        <v>#REF!</v>
      </c>
      <c r="S431" s="22"/>
      <c r="T431" s="221"/>
      <c r="U431"/>
    </row>
    <row r="432" spans="1:21" ht="15" hidden="1" x14ac:dyDescent="0.3">
      <c r="A432" s="318" t="e">
        <f>#REF!</f>
        <v>#REF!</v>
      </c>
      <c r="B432" s="305" t="e">
        <f>#REF!</f>
        <v>#REF!</v>
      </c>
      <c r="C432" s="305" t="str">
        <f>'Danh sách máy'!C427</f>
        <v>MKVC</v>
      </c>
      <c r="D432" s="90" t="e">
        <f>#REF!</f>
        <v>#REF!</v>
      </c>
      <c r="E432" s="97">
        <f>'Danh sách máy'!E427</f>
        <v>45716</v>
      </c>
      <c r="F432" s="206" t="e">
        <f>#REF!</f>
        <v>#REF!</v>
      </c>
      <c r="G432" s="102" t="e">
        <f>#REF!</f>
        <v>#REF!</v>
      </c>
      <c r="H432" s="102" t="e">
        <f>#REF!</f>
        <v>#REF!</v>
      </c>
      <c r="I432" s="209">
        <v>44706</v>
      </c>
      <c r="J432" s="210"/>
      <c r="K432" s="210" t="e">
        <f>#REF!</f>
        <v>#REF!</v>
      </c>
      <c r="L432" s="210">
        <v>44701</v>
      </c>
      <c r="M432" s="210"/>
      <c r="N432" s="210">
        <f>'Danh sách máy'!F427</f>
        <v>0</v>
      </c>
      <c r="O432" s="211" t="str" cm="1">
        <f t="array" ref="O432">IF(L432&lt;&gt;0,IF(L432&lt;I432,"OK","NG"),Blank)</f>
        <v>OK</v>
      </c>
      <c r="P432" s="211" t="e" cm="1">
        <f t="array" ref="P432">IF(M432&lt;&gt;0,IF(M432&lt;J432,"OK","NG"),Blank)</f>
        <v>#NAME?</v>
      </c>
      <c r="Q432" s="211" t="e" cm="1">
        <f t="array" ref="Q432">IF(H432&lt;&gt;"Stop",IF(N432&lt;&gt;0,IF(N432&lt;=K432,"OK","NG"),Blank),"-")</f>
        <v>#REF!</v>
      </c>
      <c r="R432" s="326" t="e" cm="1">
        <f t="array" ref="R432">IF(H432&lt;&gt;"Stop",IF(E432&lt;&gt;0,IF(E432&lt;=K432,"OK","NG"),Blank),"-")</f>
        <v>#REF!</v>
      </c>
      <c r="S432" s="22"/>
      <c r="T432" s="221"/>
      <c r="U432"/>
    </row>
    <row r="433" spans="1:21" ht="15" x14ac:dyDescent="0.3">
      <c r="A433" s="318" t="e">
        <f>#REF!</f>
        <v>#REF!</v>
      </c>
      <c r="B433" s="305" t="e">
        <f>#REF!</f>
        <v>#REF!</v>
      </c>
      <c r="C433" s="305" t="str">
        <f>'Danh sách máy'!C428</f>
        <v>MKVC</v>
      </c>
      <c r="D433" s="90" t="e">
        <f>#REF!</f>
        <v>#REF!</v>
      </c>
      <c r="E433" s="97">
        <f>'Danh sách máy'!E428</f>
        <v>45775</v>
      </c>
      <c r="F433" s="206" t="e">
        <f>#REF!</f>
        <v>#REF!</v>
      </c>
      <c r="G433" s="102" t="e">
        <f>#REF!</f>
        <v>#REF!</v>
      </c>
      <c r="H433" s="102" t="e">
        <f>#REF!</f>
        <v>#REF!</v>
      </c>
      <c r="I433" s="209">
        <v>44707</v>
      </c>
      <c r="J433" s="210"/>
      <c r="K433" s="210" t="e">
        <f>#REF!</f>
        <v>#REF!</v>
      </c>
      <c r="L433" s="210">
        <v>44702</v>
      </c>
      <c r="M433" s="210"/>
      <c r="N433" s="210">
        <f>'Danh sách máy'!F428</f>
        <v>45775</v>
      </c>
      <c r="O433" s="211" t="str" cm="1">
        <f t="array" ref="O433">IF(L433&lt;&gt;0,IF(L433&lt;I433,"OK","NG"),Blank)</f>
        <v>OK</v>
      </c>
      <c r="P433" s="211" t="e" cm="1">
        <f t="array" ref="P433">IF(M433&lt;&gt;0,IF(M433&lt;J433,"OK","NG"),Blank)</f>
        <v>#NAME?</v>
      </c>
      <c r="Q433" s="211" t="e" cm="1">
        <f t="array" ref="Q433">IF(H433&lt;&gt;"Stop",IF(N433&lt;&gt;0,IF(N433&lt;=K433,"OK","NG"),Blank),"-")</f>
        <v>#REF!</v>
      </c>
      <c r="R433" s="326" t="e" cm="1">
        <f t="array" ref="R433">IF(H433&lt;&gt;"Stop",IF(E433&lt;&gt;0,IF(E433&lt;=K433,"OK","NG"),Blank),"-")</f>
        <v>#REF!</v>
      </c>
      <c r="S433" s="22"/>
      <c r="T433" s="221"/>
      <c r="U433"/>
    </row>
    <row r="434" spans="1:21" ht="15" hidden="1" x14ac:dyDescent="0.3">
      <c r="A434" s="318" t="e">
        <f>#REF!</f>
        <v>#REF!</v>
      </c>
      <c r="B434" s="305" t="e">
        <f>#REF!</f>
        <v>#REF!</v>
      </c>
      <c r="C434" s="305" t="str">
        <f>'Danh sách máy'!C429</f>
        <v>MKVC</v>
      </c>
      <c r="D434" s="90" t="e">
        <f>#REF!</f>
        <v>#REF!</v>
      </c>
      <c r="E434" s="97">
        <f>'Danh sách máy'!E429</f>
        <v>0</v>
      </c>
      <c r="F434" s="206" t="e">
        <f>#REF!</f>
        <v>#REF!</v>
      </c>
      <c r="G434" s="102" t="e">
        <f>#REF!</f>
        <v>#REF!</v>
      </c>
      <c r="H434" s="102" t="e">
        <f>#REF!</f>
        <v>#REF!</v>
      </c>
      <c r="I434" s="209">
        <v>44708</v>
      </c>
      <c r="J434" s="210"/>
      <c r="K434" s="210" t="e">
        <f>#REF!</f>
        <v>#REF!</v>
      </c>
      <c r="L434" s="210">
        <v>44703</v>
      </c>
      <c r="M434" s="210"/>
      <c r="N434" s="210">
        <f>'Danh sách máy'!F429</f>
        <v>0</v>
      </c>
      <c r="O434" s="211" t="str" cm="1">
        <f t="array" ref="O434">IF(L434&lt;&gt;0,IF(L434&lt;I434,"OK","NG"),Blank)</f>
        <v>OK</v>
      </c>
      <c r="P434" s="211" t="e" cm="1">
        <f t="array" ref="P434">IF(M434&lt;&gt;0,IF(M434&lt;J434,"OK","NG"),Blank)</f>
        <v>#NAME?</v>
      </c>
      <c r="Q434" s="211" t="e" cm="1">
        <f t="array" ref="Q434">IF(H434&lt;&gt;"Stop",IF(N434&lt;&gt;0,IF(N434&lt;=K434,"OK","NG"),Blank),"-")</f>
        <v>#REF!</v>
      </c>
      <c r="R434" s="326" t="e" cm="1">
        <f t="array" ref="R434">IF(H434&lt;&gt;"Stop",IF(E434&lt;&gt;0,IF(E434&lt;=K434,"OK","NG"),Blank),"-")</f>
        <v>#REF!</v>
      </c>
      <c r="S434" s="22"/>
      <c r="T434" s="221"/>
      <c r="U434"/>
    </row>
    <row r="435" spans="1:21" ht="15" x14ac:dyDescent="0.3">
      <c r="A435" s="318" t="e">
        <f>#REF!</f>
        <v>#REF!</v>
      </c>
      <c r="B435" s="305" t="e">
        <f>#REF!</f>
        <v>#REF!</v>
      </c>
      <c r="C435" s="305" t="str">
        <f>'Danh sách máy'!C430</f>
        <v>MKVC</v>
      </c>
      <c r="D435" s="90" t="e">
        <f>#REF!</f>
        <v>#REF!</v>
      </c>
      <c r="E435" s="97">
        <f>'Danh sách máy'!E430</f>
        <v>45782</v>
      </c>
      <c r="F435" s="206" t="e">
        <f>#REF!</f>
        <v>#REF!</v>
      </c>
      <c r="G435" s="102" t="e">
        <f>#REF!</f>
        <v>#REF!</v>
      </c>
      <c r="H435" s="102" t="e">
        <f>#REF!</f>
        <v>#REF!</v>
      </c>
      <c r="I435" s="209">
        <v>44709</v>
      </c>
      <c r="J435" s="210"/>
      <c r="K435" s="210" t="e">
        <f>#REF!</f>
        <v>#REF!</v>
      </c>
      <c r="L435" s="210">
        <v>44704</v>
      </c>
      <c r="M435" s="210"/>
      <c r="N435" s="210">
        <f>'Danh sách máy'!F430</f>
        <v>45789</v>
      </c>
      <c r="O435" s="211" t="str" cm="1">
        <f t="array" ref="O435">IF(L435&lt;&gt;0,IF(L435&lt;I435,"OK","NG"),Blank)</f>
        <v>OK</v>
      </c>
      <c r="P435" s="211" t="e" cm="1">
        <f t="array" ref="P435">IF(M435&lt;&gt;0,IF(M435&lt;J435,"OK","NG"),Blank)</f>
        <v>#NAME?</v>
      </c>
      <c r="Q435" s="211" t="e" cm="1">
        <f t="array" ref="Q435">IF(H435&lt;&gt;"Stop",IF(N435&lt;&gt;0,IF(N435&lt;=K435,"OK","NG"),Blank),"-")</f>
        <v>#REF!</v>
      </c>
      <c r="R435" s="326" t="e" cm="1">
        <f t="array" ref="R435">IF(H435&lt;&gt;"Stop",IF(E435&lt;&gt;0,IF(E435&lt;=K435,"OK","NG"),Blank),"-")</f>
        <v>#REF!</v>
      </c>
      <c r="S435" s="22"/>
      <c r="T435" s="221"/>
      <c r="U435"/>
    </row>
    <row r="436" spans="1:21" ht="15" x14ac:dyDescent="0.3">
      <c r="A436" s="318" t="e">
        <f>#REF!</f>
        <v>#REF!</v>
      </c>
      <c r="B436" s="305" t="e">
        <f>#REF!</f>
        <v>#REF!</v>
      </c>
      <c r="C436" s="305" t="str">
        <f>'Danh sách máy'!C431</f>
        <v>MKVC</v>
      </c>
      <c r="D436" s="90" t="e">
        <f>#REF!</f>
        <v>#REF!</v>
      </c>
      <c r="E436" s="97">
        <f>'Danh sách máy'!E431</f>
        <v>45782</v>
      </c>
      <c r="F436" s="206" t="e">
        <f>#REF!</f>
        <v>#REF!</v>
      </c>
      <c r="G436" s="102" t="e">
        <f>#REF!</f>
        <v>#REF!</v>
      </c>
      <c r="H436" s="102" t="e">
        <f>#REF!</f>
        <v>#REF!</v>
      </c>
      <c r="I436" s="209">
        <v>44710</v>
      </c>
      <c r="J436" s="210"/>
      <c r="K436" s="210" t="e">
        <f>#REF!</f>
        <v>#REF!</v>
      </c>
      <c r="L436" s="210">
        <v>44705</v>
      </c>
      <c r="M436" s="210"/>
      <c r="N436" s="210">
        <f>'Danh sách máy'!F431</f>
        <v>45789</v>
      </c>
      <c r="O436" s="211" t="str" cm="1">
        <f t="array" ref="O436">IF(L436&lt;&gt;0,IF(L436&lt;I436,"OK","NG"),Blank)</f>
        <v>OK</v>
      </c>
      <c r="P436" s="211" t="e" cm="1">
        <f t="array" ref="P436">IF(M436&lt;&gt;0,IF(M436&lt;J436,"OK","NG"),Blank)</f>
        <v>#NAME?</v>
      </c>
      <c r="Q436" s="211" t="e" cm="1">
        <f t="array" ref="Q436">IF(H436&lt;&gt;"Stop",IF(N436&lt;&gt;0,IF(N436&lt;=K436,"OK","NG"),Blank),"-")</f>
        <v>#REF!</v>
      </c>
      <c r="R436" s="326" t="e" cm="1">
        <f t="array" ref="R436">IF(H436&lt;&gt;"Stop",IF(E436&lt;&gt;0,IF(E436&lt;=K436,"OK","NG"),Blank),"-")</f>
        <v>#REF!</v>
      </c>
      <c r="S436" s="22"/>
      <c r="T436" s="221"/>
      <c r="U436"/>
    </row>
    <row r="437" spans="1:21" ht="15" x14ac:dyDescent="0.3">
      <c r="A437" s="318" t="e">
        <f>#REF!</f>
        <v>#REF!</v>
      </c>
      <c r="B437" s="305" t="e">
        <f>#REF!</f>
        <v>#REF!</v>
      </c>
      <c r="C437" s="305" t="str">
        <f>'Danh sách máy'!C432</f>
        <v>MKVC</v>
      </c>
      <c r="D437" s="90" t="e">
        <f>#REF!</f>
        <v>#REF!</v>
      </c>
      <c r="E437" s="97">
        <f>'Danh sách máy'!E432</f>
        <v>45782</v>
      </c>
      <c r="F437" s="206" t="e">
        <f>#REF!</f>
        <v>#REF!</v>
      </c>
      <c r="G437" s="102" t="e">
        <f>#REF!</f>
        <v>#REF!</v>
      </c>
      <c r="H437" s="102" t="e">
        <f>#REF!</f>
        <v>#REF!</v>
      </c>
      <c r="I437" s="209">
        <v>44711</v>
      </c>
      <c r="J437" s="210"/>
      <c r="K437" s="210" t="e">
        <f>#REF!</f>
        <v>#REF!</v>
      </c>
      <c r="L437" s="210">
        <v>44706</v>
      </c>
      <c r="M437" s="210"/>
      <c r="N437" s="210">
        <f>'Danh sách máy'!F432</f>
        <v>45789</v>
      </c>
      <c r="O437" s="211" t="str" cm="1">
        <f t="array" ref="O437">IF(L437&lt;&gt;0,IF(L437&lt;I437,"OK","NG"),Blank)</f>
        <v>OK</v>
      </c>
      <c r="P437" s="211" t="e" cm="1">
        <f t="array" ref="P437">IF(M437&lt;&gt;0,IF(M437&lt;J437,"OK","NG"),Blank)</f>
        <v>#NAME?</v>
      </c>
      <c r="Q437" s="211" t="e" cm="1">
        <f t="array" ref="Q437">IF(H437&lt;&gt;"Stop",IF(N437&lt;&gt;0,IF(N437&lt;=K437,"OK","NG"),Blank),"-")</f>
        <v>#REF!</v>
      </c>
      <c r="R437" s="326" t="e" cm="1">
        <f t="array" ref="R437">IF(H437&lt;&gt;"Stop",IF(E437&lt;&gt;0,IF(E437&lt;=K437,"OK","NG"),Blank),"-")</f>
        <v>#REF!</v>
      </c>
      <c r="S437" s="22"/>
      <c r="T437" s="221"/>
      <c r="U437"/>
    </row>
    <row r="438" spans="1:21" ht="15" hidden="1" x14ac:dyDescent="0.3">
      <c r="A438" s="318" t="e">
        <f>#REF!</f>
        <v>#REF!</v>
      </c>
      <c r="B438" s="305" t="e">
        <f>#REF!</f>
        <v>#REF!</v>
      </c>
      <c r="C438" s="305" t="str">
        <f>'Danh sách máy'!C433</f>
        <v>MKVC</v>
      </c>
      <c r="D438" s="90" t="e">
        <f>#REF!</f>
        <v>#REF!</v>
      </c>
      <c r="E438" s="97">
        <f>'Danh sách máy'!E433</f>
        <v>0</v>
      </c>
      <c r="F438" s="206" t="e">
        <f>#REF!</f>
        <v>#REF!</v>
      </c>
      <c r="G438" s="102" t="e">
        <f>#REF!</f>
        <v>#REF!</v>
      </c>
      <c r="H438" s="102" t="e">
        <f>#REF!</f>
        <v>#REF!</v>
      </c>
      <c r="I438" s="209">
        <v>44712</v>
      </c>
      <c r="J438" s="210"/>
      <c r="K438" s="210" t="e">
        <f>#REF!</f>
        <v>#REF!</v>
      </c>
      <c r="L438" s="210">
        <v>44707</v>
      </c>
      <c r="M438" s="210"/>
      <c r="N438" s="210">
        <f>'Danh sách máy'!F433</f>
        <v>0</v>
      </c>
      <c r="O438" s="211" t="str" cm="1">
        <f t="array" ref="O438">IF(L438&lt;&gt;0,IF(L438&lt;I438,"OK","NG"),Blank)</f>
        <v>OK</v>
      </c>
      <c r="P438" s="211" t="e" cm="1">
        <f t="array" ref="P438">IF(M438&lt;&gt;0,IF(M438&lt;J438,"OK","NG"),Blank)</f>
        <v>#NAME?</v>
      </c>
      <c r="Q438" s="211" t="e" cm="1">
        <f t="array" ref="Q438">IF(H438&lt;&gt;"Stop",IF(N438&lt;&gt;0,IF(N438&lt;=K438,"OK","NG"),Blank),"-")</f>
        <v>#REF!</v>
      </c>
      <c r="R438" s="326" t="e" cm="1">
        <f t="array" ref="R438">IF(H438&lt;&gt;"Stop",IF(E438&lt;&gt;0,IF(E438&lt;=K438,"OK","NG"),Blank),"-")</f>
        <v>#REF!</v>
      </c>
      <c r="S438" s="22"/>
      <c r="T438" s="221"/>
      <c r="U438"/>
    </row>
    <row r="439" spans="1:21" ht="15" hidden="1" x14ac:dyDescent="0.3">
      <c r="A439" s="318" t="e">
        <f>#REF!</f>
        <v>#REF!</v>
      </c>
      <c r="B439" s="305" t="e">
        <f>#REF!</f>
        <v>#REF!</v>
      </c>
      <c r="C439" s="305" t="str">
        <f>'Danh sách máy'!C434</f>
        <v>MKVC</v>
      </c>
      <c r="D439" s="90" t="e">
        <f>#REF!</f>
        <v>#REF!</v>
      </c>
      <c r="E439" s="97">
        <f>'Danh sách máy'!E434</f>
        <v>0</v>
      </c>
      <c r="F439" s="206" t="e">
        <f>#REF!</f>
        <v>#REF!</v>
      </c>
      <c r="G439" s="102" t="e">
        <f>#REF!</f>
        <v>#REF!</v>
      </c>
      <c r="H439" s="102" t="e">
        <f>#REF!</f>
        <v>#REF!</v>
      </c>
      <c r="I439" s="209">
        <v>44713</v>
      </c>
      <c r="J439" s="210"/>
      <c r="K439" s="210" t="e">
        <f>#REF!</f>
        <v>#REF!</v>
      </c>
      <c r="L439" s="210">
        <v>44708</v>
      </c>
      <c r="M439" s="210"/>
      <c r="N439" s="210">
        <f>'Danh sách máy'!F434</f>
        <v>0</v>
      </c>
      <c r="O439" s="211" t="str" cm="1">
        <f t="array" ref="O439">IF(L439&lt;&gt;0,IF(L439&lt;I439,"OK","NG"),Blank)</f>
        <v>OK</v>
      </c>
      <c r="P439" s="211" t="e" cm="1">
        <f t="array" ref="P439">IF(M439&lt;&gt;0,IF(M439&lt;J439,"OK","NG"),Blank)</f>
        <v>#NAME?</v>
      </c>
      <c r="Q439" s="211" t="e" cm="1">
        <f t="array" ref="Q439">IF(H439&lt;&gt;"Stop",IF(N439&lt;&gt;0,IF(N439&lt;=K439,"OK","NG"),Blank),"-")</f>
        <v>#REF!</v>
      </c>
      <c r="R439" s="326" t="e" cm="1">
        <f t="array" ref="R439">IF(H439&lt;&gt;"Stop",IF(E439&lt;&gt;0,IF(E439&lt;=K439,"OK","NG"),Blank),"-")</f>
        <v>#REF!</v>
      </c>
      <c r="S439" s="22"/>
      <c r="T439" s="221"/>
      <c r="U439"/>
    </row>
    <row r="440" spans="1:21" ht="15" hidden="1" x14ac:dyDescent="0.3">
      <c r="A440" s="318" t="e">
        <f>#REF!</f>
        <v>#REF!</v>
      </c>
      <c r="B440" s="305" t="e">
        <f>#REF!</f>
        <v>#REF!</v>
      </c>
      <c r="C440" s="305" t="str">
        <f>'Danh sách máy'!C435</f>
        <v>MKVC</v>
      </c>
      <c r="D440" s="90" t="e">
        <f>#REF!</f>
        <v>#REF!</v>
      </c>
      <c r="E440" s="97">
        <f>'Danh sách máy'!E435</f>
        <v>0</v>
      </c>
      <c r="F440" s="206" t="e">
        <f>#REF!</f>
        <v>#REF!</v>
      </c>
      <c r="G440" s="102" t="e">
        <f>#REF!</f>
        <v>#REF!</v>
      </c>
      <c r="H440" s="102" t="e">
        <f>#REF!</f>
        <v>#REF!</v>
      </c>
      <c r="I440" s="209">
        <v>44714</v>
      </c>
      <c r="J440" s="210"/>
      <c r="K440" s="210" t="e">
        <f>#REF!</f>
        <v>#REF!</v>
      </c>
      <c r="L440" s="210">
        <v>44709</v>
      </c>
      <c r="M440" s="210"/>
      <c r="N440" s="210">
        <f>'Danh sách máy'!F435</f>
        <v>0</v>
      </c>
      <c r="O440" s="211" t="str" cm="1">
        <f t="array" ref="O440">IF(L440&lt;&gt;0,IF(L440&lt;I440,"OK","NG"),Blank)</f>
        <v>OK</v>
      </c>
      <c r="P440" s="211" t="e" cm="1">
        <f t="array" ref="P440">IF(M440&lt;&gt;0,IF(M440&lt;J440,"OK","NG"),Blank)</f>
        <v>#NAME?</v>
      </c>
      <c r="Q440" s="211" t="e" cm="1">
        <f t="array" ref="Q440">IF(H440&lt;&gt;"Stop",IF(N440&lt;&gt;0,IF(N440&lt;=K440,"OK","NG"),Blank),"-")</f>
        <v>#REF!</v>
      </c>
      <c r="R440" s="326" t="e" cm="1">
        <f t="array" ref="R440">IF(H440&lt;&gt;"Stop",IF(E440&lt;&gt;0,IF(E440&lt;=K440,"OK","NG"),Blank),"-")</f>
        <v>#REF!</v>
      </c>
      <c r="S440" s="22"/>
      <c r="T440" s="221"/>
      <c r="U440"/>
    </row>
    <row r="441" spans="1:21" ht="15" hidden="1" x14ac:dyDescent="0.3">
      <c r="A441" s="318" t="e">
        <f>#REF!</f>
        <v>#REF!</v>
      </c>
      <c r="B441" s="305" t="e">
        <f>#REF!</f>
        <v>#REF!</v>
      </c>
      <c r="C441" s="305" t="str">
        <f>'Danh sách máy'!C436</f>
        <v>MKVC</v>
      </c>
      <c r="D441" s="90" t="e">
        <f>#REF!</f>
        <v>#REF!</v>
      </c>
      <c r="E441" s="97">
        <f>'Danh sách máy'!E436</f>
        <v>0</v>
      </c>
      <c r="F441" s="206" t="e">
        <f>#REF!</f>
        <v>#REF!</v>
      </c>
      <c r="G441" s="102" t="e">
        <f>#REF!</f>
        <v>#REF!</v>
      </c>
      <c r="H441" s="102" t="e">
        <f>#REF!</f>
        <v>#REF!</v>
      </c>
      <c r="I441" s="209">
        <v>44715</v>
      </c>
      <c r="J441" s="210"/>
      <c r="K441" s="210" t="e">
        <f>#REF!</f>
        <v>#REF!</v>
      </c>
      <c r="L441" s="210">
        <v>44710</v>
      </c>
      <c r="M441" s="210"/>
      <c r="N441" s="210">
        <f>'Danh sách máy'!F436</f>
        <v>0</v>
      </c>
      <c r="O441" s="211" t="str" cm="1">
        <f t="array" ref="O441">IF(L441&lt;&gt;0,IF(L441&lt;I441,"OK","NG"),Blank)</f>
        <v>OK</v>
      </c>
      <c r="P441" s="211" t="e" cm="1">
        <f t="array" ref="P441">IF(M441&lt;&gt;0,IF(M441&lt;J441,"OK","NG"),Blank)</f>
        <v>#NAME?</v>
      </c>
      <c r="Q441" s="211" t="e" cm="1">
        <f t="array" ref="Q441">IF(H441&lt;&gt;"Stop",IF(N441&lt;&gt;0,IF(N441&lt;=K441,"OK","NG"),Blank),"-")</f>
        <v>#REF!</v>
      </c>
      <c r="R441" s="326" t="e" cm="1">
        <f t="array" ref="R441">IF(H441&lt;&gt;"Stop",IF(E441&lt;&gt;0,IF(E441&lt;=K441,"OK","NG"),Blank),"-")</f>
        <v>#REF!</v>
      </c>
      <c r="S441" s="22"/>
      <c r="T441" s="221"/>
      <c r="U441"/>
    </row>
    <row r="442" spans="1:21" ht="15" hidden="1" x14ac:dyDescent="0.3">
      <c r="A442" s="318" t="e">
        <f>#REF!</f>
        <v>#REF!</v>
      </c>
      <c r="B442" s="305" t="e">
        <f>#REF!</f>
        <v>#REF!</v>
      </c>
      <c r="C442" s="305" t="str">
        <f>'Danh sách máy'!C437</f>
        <v>MKVC</v>
      </c>
      <c r="D442" s="90" t="e">
        <f>#REF!</f>
        <v>#REF!</v>
      </c>
      <c r="E442" s="97">
        <f>'Danh sách máy'!E437</f>
        <v>0</v>
      </c>
      <c r="F442" s="206" t="e">
        <f>#REF!</f>
        <v>#REF!</v>
      </c>
      <c r="G442" s="102" t="e">
        <f>#REF!</f>
        <v>#REF!</v>
      </c>
      <c r="H442" s="102" t="e">
        <f>#REF!</f>
        <v>#REF!</v>
      </c>
      <c r="I442" s="209">
        <v>44716</v>
      </c>
      <c r="J442" s="210"/>
      <c r="K442" s="210" t="e">
        <f>#REF!</f>
        <v>#REF!</v>
      </c>
      <c r="L442" s="210">
        <v>44711</v>
      </c>
      <c r="M442" s="210"/>
      <c r="N442" s="210">
        <f>'Danh sách máy'!F437</f>
        <v>0</v>
      </c>
      <c r="O442" s="211" t="str" cm="1">
        <f t="array" ref="O442">IF(L442&lt;&gt;0,IF(L442&lt;I442,"OK","NG"),Blank)</f>
        <v>OK</v>
      </c>
      <c r="P442" s="211" t="e" cm="1">
        <f t="array" ref="P442">IF(M442&lt;&gt;0,IF(M442&lt;J442,"OK","NG"),Blank)</f>
        <v>#NAME?</v>
      </c>
      <c r="Q442" s="211" t="e" cm="1">
        <f t="array" ref="Q442">IF(H442&lt;&gt;"Stop",IF(N442&lt;&gt;0,IF(N442&lt;=K442,"OK","NG"),Blank),"-")</f>
        <v>#REF!</v>
      </c>
      <c r="R442" s="326" t="e" cm="1">
        <f t="array" ref="R442">IF(H442&lt;&gt;"Stop",IF(E442&lt;&gt;0,IF(E442&lt;=K442,"OK","NG"),Blank),"-")</f>
        <v>#REF!</v>
      </c>
      <c r="S442" s="22"/>
      <c r="T442" s="221"/>
      <c r="U442"/>
    </row>
    <row r="443" spans="1:21" ht="30" hidden="1" x14ac:dyDescent="0.3">
      <c r="A443" s="318" t="e">
        <f>#REF!</f>
        <v>#REF!</v>
      </c>
      <c r="B443" s="305" t="e">
        <f>#REF!</f>
        <v>#REF!</v>
      </c>
      <c r="C443" s="305" t="str">
        <f>'Danh sách máy'!C438</f>
        <v>VUH</v>
      </c>
      <c r="D443" s="90" t="e">
        <f>#REF!</f>
        <v>#REF!</v>
      </c>
      <c r="E443" s="97">
        <f>'Danh sách máy'!E438</f>
        <v>45681</v>
      </c>
      <c r="F443" s="206" t="e">
        <f>#REF!</f>
        <v>#REF!</v>
      </c>
      <c r="G443" s="102" t="e">
        <f>#REF!</f>
        <v>#REF!</v>
      </c>
      <c r="H443" s="102" t="e">
        <f>#REF!</f>
        <v>#REF!</v>
      </c>
      <c r="I443" s="209">
        <v>44717</v>
      </c>
      <c r="J443" s="210"/>
      <c r="K443" s="210" t="e">
        <f>#REF!</f>
        <v>#REF!</v>
      </c>
      <c r="L443" s="210">
        <v>44712</v>
      </c>
      <c r="M443" s="210"/>
      <c r="N443" s="210">
        <f>'Danh sách máy'!F438</f>
        <v>45701</v>
      </c>
      <c r="O443" s="211" t="str" cm="1">
        <f t="array" ref="O443">IF(L443&lt;&gt;0,IF(L443&lt;I443,"OK","NG"),Blank)</f>
        <v>OK</v>
      </c>
      <c r="P443" s="211" t="e" cm="1">
        <f t="array" ref="P443">IF(M443&lt;&gt;0,IF(M443&lt;J443,"OK","NG"),Blank)</f>
        <v>#NAME?</v>
      </c>
      <c r="Q443" s="211" t="e" cm="1">
        <f t="array" ref="Q443">IF(H443&lt;&gt;"Stop",IF(N443&lt;&gt;0,IF(N443&lt;=K443,"OK","NG"),Blank),"-")</f>
        <v>#REF!</v>
      </c>
      <c r="R443" s="326" t="e" cm="1">
        <f t="array" ref="R443">IF(H443&lt;&gt;"Stop",IF(E443&lt;&gt;0,IF(E443&lt;=K443,"OK","NG"),Blank),"-")</f>
        <v>#REF!</v>
      </c>
      <c r="S443" s="22"/>
      <c r="T443" s="221">
        <v>1</v>
      </c>
      <c r="U443"/>
    </row>
    <row r="444" spans="1:21" ht="30" hidden="1" x14ac:dyDescent="0.3">
      <c r="A444" s="318" t="e">
        <f>#REF!</f>
        <v>#REF!</v>
      </c>
      <c r="B444" s="305" t="e">
        <f>#REF!</f>
        <v>#REF!</v>
      </c>
      <c r="C444" s="305" t="str">
        <f>'Danh sách máy'!C439</f>
        <v>VUH</v>
      </c>
      <c r="D444" s="90" t="e">
        <f>#REF!</f>
        <v>#REF!</v>
      </c>
      <c r="E444" s="97">
        <f>'Danh sách máy'!E439</f>
        <v>45701</v>
      </c>
      <c r="F444" s="206" t="e">
        <f>#REF!</f>
        <v>#REF!</v>
      </c>
      <c r="G444" s="102" t="e">
        <f>#REF!</f>
        <v>#REF!</v>
      </c>
      <c r="H444" s="102" t="e">
        <f>#REF!</f>
        <v>#REF!</v>
      </c>
      <c r="I444" s="209">
        <v>44718</v>
      </c>
      <c r="J444" s="210"/>
      <c r="K444" s="210" t="e">
        <f>#REF!</f>
        <v>#REF!</v>
      </c>
      <c r="L444" s="210">
        <v>44713</v>
      </c>
      <c r="M444" s="210"/>
      <c r="N444" s="210">
        <f>'Danh sách máy'!F439</f>
        <v>45701</v>
      </c>
      <c r="O444" s="211" t="str" cm="1">
        <f t="array" ref="O444">IF(L444&lt;&gt;0,IF(L444&lt;I444,"OK","NG"),Blank)</f>
        <v>OK</v>
      </c>
      <c r="P444" s="211" t="e" cm="1">
        <f t="array" ref="P444">IF(M444&lt;&gt;0,IF(M444&lt;J444,"OK","NG"),Blank)</f>
        <v>#NAME?</v>
      </c>
      <c r="Q444" s="211" t="e" cm="1">
        <f t="array" ref="Q444">IF(H444&lt;&gt;"Stop",IF(N444&lt;&gt;0,IF(N444&lt;=K444,"OK","NG"),Blank),"-")</f>
        <v>#REF!</v>
      </c>
      <c r="R444" s="326" t="e" cm="1">
        <f t="array" ref="R444">IF(H444&lt;&gt;"Stop",IF(E444&lt;&gt;0,IF(E444&lt;=K444,"OK","NG"),Blank),"-")</f>
        <v>#REF!</v>
      </c>
      <c r="S444" s="22"/>
      <c r="T444" s="221">
        <v>1</v>
      </c>
      <c r="U444"/>
    </row>
    <row r="445" spans="1:21" ht="30" hidden="1" x14ac:dyDescent="0.3">
      <c r="A445" s="318" t="e">
        <f>#REF!</f>
        <v>#REF!</v>
      </c>
      <c r="B445" s="305" t="e">
        <f>#REF!</f>
        <v>#REF!</v>
      </c>
      <c r="C445" s="305" t="str">
        <f>'Danh sách máy'!C440</f>
        <v>VUH</v>
      </c>
      <c r="D445" s="90" t="e">
        <f>#REF!</f>
        <v>#REF!</v>
      </c>
      <c r="E445" s="97">
        <f>'Danh sách máy'!E440</f>
        <v>45701</v>
      </c>
      <c r="F445" s="206" t="e">
        <f>#REF!</f>
        <v>#REF!</v>
      </c>
      <c r="G445" s="102" t="e">
        <f>#REF!</f>
        <v>#REF!</v>
      </c>
      <c r="H445" s="102" t="e">
        <f>#REF!</f>
        <v>#REF!</v>
      </c>
      <c r="I445" s="209">
        <v>44719</v>
      </c>
      <c r="J445" s="210"/>
      <c r="K445" s="210" t="e">
        <f>#REF!</f>
        <v>#REF!</v>
      </c>
      <c r="L445" s="210">
        <v>44714</v>
      </c>
      <c r="M445" s="210"/>
      <c r="N445" s="210">
        <f>'Danh sách máy'!F440</f>
        <v>45701</v>
      </c>
      <c r="O445" s="211" t="str" cm="1">
        <f t="array" ref="O445">IF(L445&lt;&gt;0,IF(L445&lt;I445,"OK","NG"),Blank)</f>
        <v>OK</v>
      </c>
      <c r="P445" s="211" t="e" cm="1">
        <f t="array" ref="P445">IF(M445&lt;&gt;0,IF(M445&lt;J445,"OK","NG"),Blank)</f>
        <v>#NAME?</v>
      </c>
      <c r="Q445" s="211" t="e" cm="1">
        <f t="array" ref="Q445">IF(H445&lt;&gt;"Stop",IF(N445&lt;&gt;0,IF(N445&lt;=K445,"OK","NG"),Blank),"-")</f>
        <v>#REF!</v>
      </c>
      <c r="R445" s="326" t="e" cm="1">
        <f t="array" ref="R445">IF(H445&lt;&gt;"Stop",IF(E445&lt;&gt;0,IF(E445&lt;=K445,"OK","NG"),Blank),"-")</f>
        <v>#REF!</v>
      </c>
      <c r="S445" s="22"/>
      <c r="T445" s="221">
        <v>1</v>
      </c>
      <c r="U445"/>
    </row>
    <row r="446" spans="1:21" ht="30" hidden="1" x14ac:dyDescent="0.3">
      <c r="A446" s="318" t="e">
        <f>#REF!</f>
        <v>#REF!</v>
      </c>
      <c r="B446" s="305" t="e">
        <f>#REF!</f>
        <v>#REF!</v>
      </c>
      <c r="C446" s="305" t="str">
        <f>'Danh sách máy'!C441</f>
        <v>VUH</v>
      </c>
      <c r="D446" s="90" t="e">
        <f>#REF!</f>
        <v>#REF!</v>
      </c>
      <c r="E446" s="97">
        <f>'Danh sách máy'!E441</f>
        <v>45701</v>
      </c>
      <c r="F446" s="206" t="e">
        <f>#REF!</f>
        <v>#REF!</v>
      </c>
      <c r="G446" s="102" t="e">
        <f>#REF!</f>
        <v>#REF!</v>
      </c>
      <c r="H446" s="102" t="e">
        <f>#REF!</f>
        <v>#REF!</v>
      </c>
      <c r="I446" s="209">
        <v>44720</v>
      </c>
      <c r="J446" s="210"/>
      <c r="K446" s="210" t="e">
        <f>#REF!</f>
        <v>#REF!</v>
      </c>
      <c r="L446" s="210">
        <v>44715</v>
      </c>
      <c r="M446" s="210"/>
      <c r="N446" s="210">
        <f>'Danh sách máy'!F441</f>
        <v>45701</v>
      </c>
      <c r="O446" s="211" t="str" cm="1">
        <f t="array" ref="O446">IF(L446&lt;&gt;0,IF(L446&lt;I446,"OK","NG"),Blank)</f>
        <v>OK</v>
      </c>
      <c r="P446" s="211" t="e" cm="1">
        <f t="array" ref="P446">IF(M446&lt;&gt;0,IF(M446&lt;J446,"OK","NG"),Blank)</f>
        <v>#NAME?</v>
      </c>
      <c r="Q446" s="211" t="e" cm="1">
        <f t="array" ref="Q446">IF(H446&lt;&gt;"Stop",IF(N446&lt;&gt;0,IF(N446&lt;=K446,"OK","NG"),Blank),"-")</f>
        <v>#REF!</v>
      </c>
      <c r="R446" s="326" t="e" cm="1">
        <f t="array" ref="R446">IF(H446&lt;&gt;"Stop",IF(E446&lt;&gt;0,IF(E446&lt;=K446,"OK","NG"),Blank),"-")</f>
        <v>#REF!</v>
      </c>
      <c r="S446" s="22"/>
      <c r="T446" s="221">
        <v>1</v>
      </c>
      <c r="U446"/>
    </row>
    <row r="447" spans="1:21" ht="30" hidden="1" x14ac:dyDescent="0.3">
      <c r="A447" s="318" t="e">
        <f>#REF!</f>
        <v>#REF!</v>
      </c>
      <c r="B447" s="305" t="e">
        <f>#REF!</f>
        <v>#REF!</v>
      </c>
      <c r="C447" s="305" t="str">
        <f>'Danh sách máy'!C442</f>
        <v>VUH</v>
      </c>
      <c r="D447" s="90" t="e">
        <f>#REF!</f>
        <v>#REF!</v>
      </c>
      <c r="E447" s="97">
        <f>'Danh sách máy'!E442</f>
        <v>0</v>
      </c>
      <c r="F447" s="206" t="e">
        <f>#REF!</f>
        <v>#REF!</v>
      </c>
      <c r="G447" s="102" t="e">
        <f>#REF!</f>
        <v>#REF!</v>
      </c>
      <c r="H447" s="102" t="e">
        <f>#REF!</f>
        <v>#REF!</v>
      </c>
      <c r="I447" s="209">
        <v>44721</v>
      </c>
      <c r="J447" s="210"/>
      <c r="K447" s="210" t="e">
        <f>#REF!</f>
        <v>#REF!</v>
      </c>
      <c r="L447" s="210">
        <v>44716</v>
      </c>
      <c r="M447" s="210"/>
      <c r="N447" s="210">
        <f>'Danh sách máy'!F442</f>
        <v>0</v>
      </c>
      <c r="O447" s="211" t="str" cm="1">
        <f t="array" ref="O447">IF(L447&lt;&gt;0,IF(L447&lt;I447,"OK","NG"),Blank)</f>
        <v>OK</v>
      </c>
      <c r="P447" s="211" t="e" cm="1">
        <f t="array" ref="P447">IF(M447&lt;&gt;0,IF(M447&lt;J447,"OK","NG"),Blank)</f>
        <v>#NAME?</v>
      </c>
      <c r="Q447" s="211" t="e" cm="1">
        <f t="array" ref="Q447">IF(H447&lt;&gt;"Stop",IF(N447&lt;&gt;0,IF(N447&lt;=K447,"OK","NG"),Blank),"-")</f>
        <v>#REF!</v>
      </c>
      <c r="R447" s="326" t="e" cm="1">
        <f t="array" ref="R447">IF(H447&lt;&gt;"Stop",IF(E447&lt;&gt;0,IF(E447&lt;=K447,"OK","NG"),Blank),"-")</f>
        <v>#REF!</v>
      </c>
      <c r="S447" s="22"/>
      <c r="T447" s="221"/>
      <c r="U447"/>
    </row>
    <row r="448" spans="1:21" ht="15" hidden="1" x14ac:dyDescent="0.3">
      <c r="A448" s="318" t="e">
        <f>#REF!</f>
        <v>#REF!</v>
      </c>
      <c r="B448" s="305" t="e">
        <f>#REF!</f>
        <v>#REF!</v>
      </c>
      <c r="C448" s="305" t="str">
        <f>'Danh sách máy'!C443</f>
        <v>MKVC</v>
      </c>
      <c r="D448" s="90" t="e">
        <f>#REF!</f>
        <v>#REF!</v>
      </c>
      <c r="E448" s="97">
        <f>'Danh sách máy'!E443</f>
        <v>46065</v>
      </c>
      <c r="F448" s="206" t="e">
        <f>#REF!</f>
        <v>#REF!</v>
      </c>
      <c r="G448" s="102" t="e">
        <f>#REF!</f>
        <v>#REF!</v>
      </c>
      <c r="H448" s="102" t="e">
        <f>#REF!</f>
        <v>#REF!</v>
      </c>
      <c r="I448" s="209">
        <v>44722</v>
      </c>
      <c r="J448" s="210"/>
      <c r="K448" s="210" t="e">
        <f>#REF!</f>
        <v>#REF!</v>
      </c>
      <c r="L448" s="210">
        <v>44717</v>
      </c>
      <c r="M448" s="210"/>
      <c r="N448" s="210">
        <f>'Danh sách máy'!F443</f>
        <v>0</v>
      </c>
      <c r="O448" s="211" t="str" cm="1">
        <f t="array" ref="O448">IF(L448&lt;&gt;0,IF(L448&lt;I448,"OK","NG"),Blank)</f>
        <v>OK</v>
      </c>
      <c r="P448" s="211" t="e" cm="1">
        <f t="array" ref="P448">IF(M448&lt;&gt;0,IF(M448&lt;J448,"OK","NG"),Blank)</f>
        <v>#NAME?</v>
      </c>
      <c r="Q448" s="211" t="e" cm="1">
        <f t="array" ref="Q448">IF(H448&lt;&gt;"Stop",IF(N448&lt;&gt;0,IF(N448&lt;=K448,"OK","NG"),Blank),"-")</f>
        <v>#REF!</v>
      </c>
      <c r="R448" s="326" t="e" cm="1">
        <f t="array" ref="R448">IF(H448&lt;&gt;"Stop",IF(E448&lt;&gt;0,IF(E448&lt;=K448,"OK","NG"),Blank),"-")</f>
        <v>#REF!</v>
      </c>
      <c r="S448" s="22"/>
      <c r="T448" s="221"/>
      <c r="U448"/>
    </row>
    <row r="449" spans="1:21" ht="15" hidden="1" x14ac:dyDescent="0.3">
      <c r="A449" s="318" t="e">
        <f>#REF!</f>
        <v>#REF!</v>
      </c>
      <c r="B449" s="305" t="e">
        <f>#REF!</f>
        <v>#REF!</v>
      </c>
      <c r="C449" s="305" t="str">
        <f>'Danh sách máy'!C444</f>
        <v>MKVC</v>
      </c>
      <c r="D449" s="90" t="e">
        <f>#REF!</f>
        <v>#REF!</v>
      </c>
      <c r="E449" s="97">
        <f>'Danh sách máy'!E444</f>
        <v>46065</v>
      </c>
      <c r="F449" s="206" t="e">
        <f>#REF!</f>
        <v>#REF!</v>
      </c>
      <c r="G449" s="102" t="e">
        <f>#REF!</f>
        <v>#REF!</v>
      </c>
      <c r="H449" s="102" t="e">
        <f>#REF!</f>
        <v>#REF!</v>
      </c>
      <c r="I449" s="209">
        <v>44723</v>
      </c>
      <c r="J449" s="210"/>
      <c r="K449" s="210" t="e">
        <f>#REF!</f>
        <v>#REF!</v>
      </c>
      <c r="L449" s="210">
        <v>44718</v>
      </c>
      <c r="M449" s="210"/>
      <c r="N449" s="210">
        <f>'Danh sách máy'!F444</f>
        <v>0</v>
      </c>
      <c r="O449" s="211" t="str" cm="1">
        <f t="array" ref="O449">IF(L449&lt;&gt;0,IF(L449&lt;I449,"OK","NG"),Blank)</f>
        <v>OK</v>
      </c>
      <c r="P449" s="211" t="e" cm="1">
        <f t="array" ref="P449">IF(M449&lt;&gt;0,IF(M449&lt;J449,"OK","NG"),Blank)</f>
        <v>#NAME?</v>
      </c>
      <c r="Q449" s="211" t="e" cm="1">
        <f t="array" ref="Q449">IF(H449&lt;&gt;"Stop",IF(N449&lt;&gt;0,IF(N449&lt;=K449,"OK","NG"),Blank),"-")</f>
        <v>#REF!</v>
      </c>
      <c r="R449" s="326" t="e" cm="1">
        <f t="array" ref="R449">IF(H449&lt;&gt;"Stop",IF(E449&lt;&gt;0,IF(E449&lt;=K449,"OK","NG"),Blank),"-")</f>
        <v>#REF!</v>
      </c>
      <c r="S449" s="22"/>
      <c r="T449" s="221"/>
      <c r="U449"/>
    </row>
    <row r="450" spans="1:21" ht="15" hidden="1" x14ac:dyDescent="0.3">
      <c r="A450" s="318" t="e">
        <f>#REF!</f>
        <v>#REF!</v>
      </c>
      <c r="B450" s="305" t="e">
        <f>#REF!</f>
        <v>#REF!</v>
      </c>
      <c r="C450" s="305" t="str">
        <f>'Danh sách máy'!C445</f>
        <v>MKVC</v>
      </c>
      <c r="D450" s="90" t="e">
        <f>#REF!</f>
        <v>#REF!</v>
      </c>
      <c r="E450" s="97">
        <f>'Danh sách máy'!E445</f>
        <v>0</v>
      </c>
      <c r="F450" s="206" t="e">
        <f>#REF!</f>
        <v>#REF!</v>
      </c>
      <c r="G450" s="102" t="e">
        <f>#REF!</f>
        <v>#REF!</v>
      </c>
      <c r="H450" s="102" t="e">
        <f>#REF!</f>
        <v>#REF!</v>
      </c>
      <c r="I450" s="209">
        <v>44724</v>
      </c>
      <c r="J450" s="210"/>
      <c r="K450" s="210" t="e">
        <f>#REF!</f>
        <v>#REF!</v>
      </c>
      <c r="L450" s="210">
        <v>44719</v>
      </c>
      <c r="M450" s="210"/>
      <c r="N450" s="210">
        <f>'Danh sách máy'!F445</f>
        <v>0</v>
      </c>
      <c r="O450" s="211" t="str" cm="1">
        <f t="array" ref="O450">IF(L450&lt;&gt;0,IF(L450&lt;I450,"OK","NG"),Blank)</f>
        <v>OK</v>
      </c>
      <c r="P450" s="211" t="e" cm="1">
        <f t="array" ref="P450">IF(M450&lt;&gt;0,IF(M450&lt;J450,"OK","NG"),Blank)</f>
        <v>#NAME?</v>
      </c>
      <c r="Q450" s="211" t="e" cm="1">
        <f t="array" ref="Q450">IF(H450&lt;&gt;"Stop",IF(N450&lt;&gt;0,IF(N450&lt;=K450,"OK","NG"),Blank),"-")</f>
        <v>#REF!</v>
      </c>
      <c r="R450" s="326" t="e" cm="1">
        <f t="array" ref="R450">IF(H450&lt;&gt;"Stop",IF(E450&lt;&gt;0,IF(E450&lt;=K450,"OK","NG"),Blank),"-")</f>
        <v>#REF!</v>
      </c>
      <c r="S450" s="22"/>
      <c r="T450" s="221"/>
      <c r="U450"/>
    </row>
    <row r="451" spans="1:21" ht="15" hidden="1" x14ac:dyDescent="0.3">
      <c r="A451" s="318" t="e">
        <f>#REF!</f>
        <v>#REF!</v>
      </c>
      <c r="B451" s="305" t="e">
        <f>#REF!</f>
        <v>#REF!</v>
      </c>
      <c r="C451" s="305" t="str">
        <f>'Danh sách máy'!C446</f>
        <v>MKVC</v>
      </c>
      <c r="D451" s="90" t="e">
        <f>#REF!</f>
        <v>#REF!</v>
      </c>
      <c r="E451" s="97">
        <f>'Danh sách máy'!E446</f>
        <v>0</v>
      </c>
      <c r="F451" s="206" t="e">
        <f>#REF!</f>
        <v>#REF!</v>
      </c>
      <c r="G451" s="102" t="e">
        <f>#REF!</f>
        <v>#REF!</v>
      </c>
      <c r="H451" s="102" t="e">
        <f>#REF!</f>
        <v>#REF!</v>
      </c>
      <c r="I451" s="209">
        <v>44725</v>
      </c>
      <c r="J451" s="210"/>
      <c r="K451" s="210" t="e">
        <f>#REF!</f>
        <v>#REF!</v>
      </c>
      <c r="L451" s="210">
        <v>44720</v>
      </c>
      <c r="M451" s="210"/>
      <c r="N451" s="210">
        <f>'Danh sách máy'!F446</f>
        <v>0</v>
      </c>
      <c r="O451" s="211" t="str" cm="1">
        <f t="array" ref="O451">IF(L451&lt;&gt;0,IF(L451&lt;I451,"OK","NG"),Blank)</f>
        <v>OK</v>
      </c>
      <c r="P451" s="211" t="e" cm="1">
        <f t="array" ref="P451">IF(M451&lt;&gt;0,IF(M451&lt;J451,"OK","NG"),Blank)</f>
        <v>#NAME?</v>
      </c>
      <c r="Q451" s="211" t="e" cm="1">
        <f t="array" ref="Q451">IF(H451&lt;&gt;"Stop",IF(N451&lt;&gt;0,IF(N451&lt;=K451,"OK","NG"),Blank),"-")</f>
        <v>#REF!</v>
      </c>
      <c r="R451" s="326" t="e" cm="1">
        <f t="array" ref="R451">IF(H451&lt;&gt;"Stop",IF(E451&lt;&gt;0,IF(E451&lt;=K451,"OK","NG"),Blank),"-")</f>
        <v>#REF!</v>
      </c>
      <c r="S451" s="22"/>
      <c r="T451" s="221"/>
      <c r="U451"/>
    </row>
    <row r="452" spans="1:21" ht="15" hidden="1" x14ac:dyDescent="0.3">
      <c r="A452" s="318" t="e">
        <f>#REF!</f>
        <v>#REF!</v>
      </c>
      <c r="B452" s="305" t="e">
        <f>#REF!</f>
        <v>#REF!</v>
      </c>
      <c r="C452" s="305" t="str">
        <f>'Danh sách máy'!C447</f>
        <v>TEN</v>
      </c>
      <c r="D452" s="90" t="e">
        <f>#REF!</f>
        <v>#REF!</v>
      </c>
      <c r="E452" s="97">
        <f>'Danh sách máy'!E447</f>
        <v>45637</v>
      </c>
      <c r="F452" s="206" t="e">
        <f>#REF!</f>
        <v>#REF!</v>
      </c>
      <c r="G452" s="102" t="e">
        <f>#REF!</f>
        <v>#REF!</v>
      </c>
      <c r="H452" s="102" t="e">
        <f>#REF!</f>
        <v>#REF!</v>
      </c>
      <c r="I452" s="209">
        <v>44726</v>
      </c>
      <c r="J452" s="210"/>
      <c r="K452" s="210" t="e">
        <f>#REF!</f>
        <v>#REF!</v>
      </c>
      <c r="L452" s="210">
        <v>44721</v>
      </c>
      <c r="M452" s="210"/>
      <c r="N452" s="210">
        <f>'Danh sách máy'!F447</f>
        <v>45637</v>
      </c>
      <c r="O452" s="211" t="str" cm="1">
        <f t="array" ref="O452">IF(L452&lt;&gt;0,IF(L452&lt;I452,"OK","NG"),Blank)</f>
        <v>OK</v>
      </c>
      <c r="P452" s="211" t="e" cm="1">
        <f t="array" ref="P452">IF(M452&lt;&gt;0,IF(M452&lt;J452,"OK","NG"),Blank)</f>
        <v>#NAME?</v>
      </c>
      <c r="Q452" s="211" t="e" cm="1">
        <f t="array" ref="Q452">IF(H452&lt;&gt;"Stop",IF(N452&lt;&gt;0,IF(N452&lt;=K452,"OK","NG"),Blank),"-")</f>
        <v>#REF!</v>
      </c>
      <c r="R452" s="326" t="e" cm="1">
        <f t="array" ref="R452">IF(H452&lt;&gt;"Stop",IF(E452&lt;&gt;0,IF(E452&lt;=K452,"OK","NG"),Blank),"-")</f>
        <v>#REF!</v>
      </c>
      <c r="S452" s="220"/>
      <c r="T452" s="221">
        <v>1</v>
      </c>
      <c r="U452"/>
    </row>
    <row r="453" spans="1:21" ht="15" hidden="1" x14ac:dyDescent="0.3">
      <c r="A453" s="318" t="e">
        <f>#REF!</f>
        <v>#REF!</v>
      </c>
      <c r="B453" s="305" t="e">
        <f>#REF!</f>
        <v>#REF!</v>
      </c>
      <c r="C453" s="305" t="str">
        <f>'Danh sách máy'!C448</f>
        <v>MKVC</v>
      </c>
      <c r="D453" s="90" t="e">
        <f>#REF!</f>
        <v>#REF!</v>
      </c>
      <c r="E453" s="97">
        <f>'Danh sách máy'!E448</f>
        <v>45703</v>
      </c>
      <c r="F453" s="206" t="e">
        <f>#REF!</f>
        <v>#REF!</v>
      </c>
      <c r="G453" s="102" t="e">
        <f>#REF!</f>
        <v>#REF!</v>
      </c>
      <c r="H453" s="102" t="e">
        <f>#REF!</f>
        <v>#REF!</v>
      </c>
      <c r="I453" s="209">
        <v>44727</v>
      </c>
      <c r="J453" s="210"/>
      <c r="K453" s="210" t="e">
        <f>#REF!</f>
        <v>#REF!</v>
      </c>
      <c r="L453" s="210">
        <v>44722</v>
      </c>
      <c r="M453" s="210"/>
      <c r="N453" s="210">
        <f>'Danh sách máy'!F448</f>
        <v>0</v>
      </c>
      <c r="O453" s="211" t="str" cm="1">
        <f t="array" ref="O453">IF(L453&lt;&gt;0,IF(L453&lt;I453,"OK","NG"),Blank)</f>
        <v>OK</v>
      </c>
      <c r="P453" s="211" t="e" cm="1">
        <f t="array" ref="P453">IF(M453&lt;&gt;0,IF(M453&lt;J453,"OK","NG"),Blank)</f>
        <v>#NAME?</v>
      </c>
      <c r="Q453" s="211" t="e" cm="1">
        <f t="array" ref="Q453">IF(H453&lt;&gt;"Stop",IF(N453&lt;&gt;0,IF(N453&lt;=K453,"OK","NG"),Blank),"-")</f>
        <v>#REF!</v>
      </c>
      <c r="R453" s="326" t="e" cm="1">
        <f t="array" ref="R453">IF(H453&lt;&gt;"Stop",IF(E453&lt;&gt;0,IF(E453&lt;=K453,"OK","NG"),Blank),"-")</f>
        <v>#REF!</v>
      </c>
      <c r="S453" s="22"/>
      <c r="T453" s="221">
        <v>1</v>
      </c>
      <c r="U453"/>
    </row>
    <row r="454" spans="1:21" ht="15" hidden="1" x14ac:dyDescent="0.3">
      <c r="A454" s="318" t="e">
        <f>#REF!</f>
        <v>#REF!</v>
      </c>
      <c r="B454" s="305" t="e">
        <f>#REF!</f>
        <v>#REF!</v>
      </c>
      <c r="C454" s="305" t="str">
        <f>'Danh sách máy'!C449</f>
        <v>MKVC</v>
      </c>
      <c r="D454" s="90" t="e">
        <f>#REF!</f>
        <v>#REF!</v>
      </c>
      <c r="E454" s="97">
        <f>'Danh sách máy'!E449</f>
        <v>45703</v>
      </c>
      <c r="F454" s="206" t="e">
        <f>#REF!</f>
        <v>#REF!</v>
      </c>
      <c r="G454" s="102" t="e">
        <f>#REF!</f>
        <v>#REF!</v>
      </c>
      <c r="H454" s="102" t="e">
        <f>#REF!</f>
        <v>#REF!</v>
      </c>
      <c r="I454" s="209">
        <v>44728</v>
      </c>
      <c r="J454" s="210"/>
      <c r="K454" s="210" t="e">
        <f>#REF!</f>
        <v>#REF!</v>
      </c>
      <c r="L454" s="210">
        <v>44723</v>
      </c>
      <c r="M454" s="210"/>
      <c r="N454" s="210">
        <f>'Danh sách máy'!F449</f>
        <v>0</v>
      </c>
      <c r="O454" s="211" t="str" cm="1">
        <f t="array" ref="O454">IF(L454&lt;&gt;0,IF(L454&lt;I454,"OK","NG"),Blank)</f>
        <v>OK</v>
      </c>
      <c r="P454" s="211" t="e" cm="1">
        <f t="array" ref="P454">IF(M454&lt;&gt;0,IF(M454&lt;J454,"OK","NG"),Blank)</f>
        <v>#NAME?</v>
      </c>
      <c r="Q454" s="211" t="e" cm="1">
        <f t="array" ref="Q454">IF(H454&lt;&gt;"Stop",IF(N454&lt;&gt;0,IF(N454&lt;=K454,"OK","NG"),Blank),"-")</f>
        <v>#REF!</v>
      </c>
      <c r="R454" s="326" t="e" cm="1">
        <f t="array" ref="R454">IF(H454&lt;&gt;"Stop",IF(E454&lt;&gt;0,IF(E454&lt;=K454,"OK","NG"),Blank),"-")</f>
        <v>#REF!</v>
      </c>
      <c r="S454" s="22"/>
      <c r="T454" s="221">
        <v>1</v>
      </c>
      <c r="U454"/>
    </row>
    <row r="455" spans="1:21" ht="15" hidden="1" x14ac:dyDescent="0.3">
      <c r="A455" s="318" t="e">
        <f>#REF!</f>
        <v>#REF!</v>
      </c>
      <c r="B455" s="305" t="e">
        <f>#REF!</f>
        <v>#REF!</v>
      </c>
      <c r="C455" s="305" t="str">
        <f>'Danh sách máy'!C450</f>
        <v>MKVC</v>
      </c>
      <c r="D455" s="90" t="e">
        <f>#REF!</f>
        <v>#REF!</v>
      </c>
      <c r="E455" s="97">
        <f>'Danh sách máy'!E450</f>
        <v>45745</v>
      </c>
      <c r="F455" s="206" t="e">
        <f>#REF!</f>
        <v>#REF!</v>
      </c>
      <c r="G455" s="102" t="e">
        <f>#REF!</f>
        <v>#REF!</v>
      </c>
      <c r="H455" s="102" t="e">
        <f>#REF!</f>
        <v>#REF!</v>
      </c>
      <c r="I455" s="209">
        <v>44729</v>
      </c>
      <c r="J455" s="210"/>
      <c r="K455" s="210" t="e">
        <f>#REF!</f>
        <v>#REF!</v>
      </c>
      <c r="L455" s="210">
        <v>44724</v>
      </c>
      <c r="M455" s="210"/>
      <c r="N455" s="210">
        <f>'Danh sách máy'!F450</f>
        <v>0</v>
      </c>
      <c r="O455" s="211" t="str" cm="1">
        <f t="array" ref="O455">IF(L455&lt;&gt;0,IF(L455&lt;I455,"OK","NG"),Blank)</f>
        <v>OK</v>
      </c>
      <c r="P455" s="211" t="e" cm="1">
        <f t="array" ref="P455">IF(M455&lt;&gt;0,IF(M455&lt;J455,"OK","NG"),Blank)</f>
        <v>#NAME?</v>
      </c>
      <c r="Q455" s="211" t="e" cm="1">
        <f t="array" ref="Q455">IF(H455&lt;&gt;"Stop",IF(N455&lt;&gt;0,IF(N455&lt;=K455,"OK","NG"),Blank),"-")</f>
        <v>#REF!</v>
      </c>
      <c r="R455" s="326" t="e" cm="1">
        <f t="array" ref="R455">IF(H455&lt;&gt;"Stop",IF(E455&lt;&gt;0,IF(E455&lt;=K455,"OK","NG"),Blank),"-")</f>
        <v>#REF!</v>
      </c>
      <c r="S455" s="22"/>
      <c r="T455" s="221"/>
      <c r="U455"/>
    </row>
    <row r="456" spans="1:21" ht="30" hidden="1" x14ac:dyDescent="0.3">
      <c r="A456" s="318" t="e">
        <f>#REF!</f>
        <v>#REF!</v>
      </c>
      <c r="B456" s="305" t="e">
        <f>#REF!</f>
        <v>#REF!</v>
      </c>
      <c r="C456" s="305" t="str">
        <f>'Danh sách máy'!C451</f>
        <v>MKVC</v>
      </c>
      <c r="D456" s="90" t="e">
        <f>#REF!</f>
        <v>#REF!</v>
      </c>
      <c r="E456" s="97">
        <f>'Danh sách máy'!E451</f>
        <v>45747</v>
      </c>
      <c r="F456" s="206" t="e">
        <f>#REF!</f>
        <v>#REF!</v>
      </c>
      <c r="G456" s="102" t="e">
        <f>#REF!</f>
        <v>#REF!</v>
      </c>
      <c r="H456" s="102" t="e">
        <f>#REF!</f>
        <v>#REF!</v>
      </c>
      <c r="I456" s="209">
        <v>44730</v>
      </c>
      <c r="J456" s="210"/>
      <c r="K456" s="210" t="e">
        <f>#REF!</f>
        <v>#REF!</v>
      </c>
      <c r="L456" s="210">
        <v>44725</v>
      </c>
      <c r="M456" s="210"/>
      <c r="N456" s="210">
        <f>'Danh sách máy'!F451</f>
        <v>0</v>
      </c>
      <c r="O456" s="211" t="str" cm="1">
        <f t="array" ref="O456">IF(L456&lt;&gt;0,IF(L456&lt;I456,"OK","NG"),Blank)</f>
        <v>OK</v>
      </c>
      <c r="P456" s="211" t="e" cm="1">
        <f t="array" ref="P456">IF(M456&lt;&gt;0,IF(M456&lt;J456,"OK","NG"),Blank)</f>
        <v>#NAME?</v>
      </c>
      <c r="Q456" s="211" t="e" cm="1">
        <f t="array" ref="Q456">IF(H456&lt;&gt;"Stop",IF(N456&lt;&gt;0,IF(N456&lt;=K456,"OK","NG"),Blank),"-")</f>
        <v>#REF!</v>
      </c>
      <c r="R456" s="326" t="e" cm="1">
        <f t="array" ref="R456">IF(H456&lt;&gt;"Stop",IF(E456&lt;&gt;0,IF(E456&lt;=K456,"OK","NG"),Blank),"-")</f>
        <v>#REF!</v>
      </c>
      <c r="S456" s="22"/>
      <c r="T456" s="221"/>
      <c r="U456"/>
    </row>
    <row r="457" spans="1:21" ht="30" hidden="1" x14ac:dyDescent="0.3">
      <c r="A457" s="318" t="e">
        <f>#REF!</f>
        <v>#REF!</v>
      </c>
      <c r="B457" s="305" t="e">
        <f>#REF!</f>
        <v>#REF!</v>
      </c>
      <c r="C457" s="305" t="str">
        <f>'Danh sách máy'!C452</f>
        <v>TEN</v>
      </c>
      <c r="D457" s="90" t="e">
        <f>#REF!</f>
        <v>#REF!</v>
      </c>
      <c r="E457" s="97">
        <f>'Danh sách máy'!E452</f>
        <v>46122</v>
      </c>
      <c r="F457" s="206" t="e">
        <f>#REF!</f>
        <v>#REF!</v>
      </c>
      <c r="G457" s="102" t="e">
        <f>#REF!</f>
        <v>#REF!</v>
      </c>
      <c r="H457" s="102" t="e">
        <f>#REF!</f>
        <v>#REF!</v>
      </c>
      <c r="I457" s="209">
        <v>44731</v>
      </c>
      <c r="J457" s="210"/>
      <c r="K457" s="210" t="e">
        <f>#REF!</f>
        <v>#REF!</v>
      </c>
      <c r="L457" s="210">
        <v>44726</v>
      </c>
      <c r="M457" s="210"/>
      <c r="N457" s="210">
        <f>'Danh sách máy'!F452</f>
        <v>46134</v>
      </c>
      <c r="O457" s="211" t="str" cm="1">
        <f t="array" ref="O457">IF(L457&lt;&gt;0,IF(L457&lt;I457,"OK","NG"),Blank)</f>
        <v>OK</v>
      </c>
      <c r="P457" s="211" t="e" cm="1">
        <f t="array" ref="P457">IF(M457&lt;&gt;0,IF(M457&lt;J457,"OK","NG"),Blank)</f>
        <v>#NAME?</v>
      </c>
      <c r="Q457" s="211" t="e" cm="1">
        <f t="array" ref="Q457">IF(H457&lt;&gt;"Stop",IF(N457&lt;&gt;0,IF(N457&lt;=K457,"OK","NG"),Blank),"-")</f>
        <v>#REF!</v>
      </c>
      <c r="R457" s="326" t="e" cm="1">
        <f t="array" ref="R457">IF(H457&lt;&gt;"Stop",IF(E457&lt;&gt;0,IF(E457&lt;=K457,"OK","NG"),Blank),"-")</f>
        <v>#REF!</v>
      </c>
      <c r="S457" s="22"/>
      <c r="T457" s="221"/>
      <c r="U457"/>
    </row>
    <row r="458" spans="1:21" ht="30" x14ac:dyDescent="0.3">
      <c r="A458" s="318" t="e">
        <f>#REF!</f>
        <v>#REF!</v>
      </c>
      <c r="B458" s="305" t="e">
        <f>#REF!</f>
        <v>#REF!</v>
      </c>
      <c r="C458" s="305" t="str">
        <f>'Danh sách máy'!C453</f>
        <v>MKVC</v>
      </c>
      <c r="D458" s="90" t="e">
        <f>#REF!</f>
        <v>#REF!</v>
      </c>
      <c r="E458" s="97">
        <f>'Danh sách máy'!E453</f>
        <v>45782</v>
      </c>
      <c r="F458" s="206" t="e">
        <f>#REF!</f>
        <v>#REF!</v>
      </c>
      <c r="G458" s="102" t="e">
        <f>#REF!</f>
        <v>#REF!</v>
      </c>
      <c r="H458" s="102" t="e">
        <f>#REF!</f>
        <v>#REF!</v>
      </c>
      <c r="I458" s="209">
        <v>44732</v>
      </c>
      <c r="J458" s="210"/>
      <c r="K458" s="210" t="e">
        <f>#REF!</f>
        <v>#REF!</v>
      </c>
      <c r="L458" s="210">
        <v>44727</v>
      </c>
      <c r="M458" s="210"/>
      <c r="N458" s="210">
        <f>'Danh sách máy'!F453</f>
        <v>45789</v>
      </c>
      <c r="O458" s="211" t="str" cm="1">
        <f t="array" ref="O458">IF(L458&lt;&gt;0,IF(L458&lt;I458,"OK","NG"),Blank)</f>
        <v>OK</v>
      </c>
      <c r="P458" s="211" t="e" cm="1">
        <f t="array" ref="P458">IF(M458&lt;&gt;0,IF(M458&lt;J458,"OK","NG"),Blank)</f>
        <v>#NAME?</v>
      </c>
      <c r="Q458" s="211" t="e" cm="1">
        <f t="array" ref="Q458">IF(H458&lt;&gt;"Stop",IF(N458&lt;&gt;0,IF(N458&lt;=K458,"OK","NG"),Blank),"-")</f>
        <v>#REF!</v>
      </c>
      <c r="R458" s="326" t="e" cm="1">
        <f t="array" ref="R458">IF(H458&lt;&gt;"Stop",IF(E458&lt;&gt;0,IF(E458&lt;=K458,"OK","NG"),Blank),"-")</f>
        <v>#REF!</v>
      </c>
      <c r="S458" s="22"/>
      <c r="T458" s="221"/>
      <c r="U458"/>
    </row>
    <row r="459" spans="1:21" ht="15" hidden="1" x14ac:dyDescent="0.3">
      <c r="A459" s="318" t="e">
        <f>#REF!</f>
        <v>#REF!</v>
      </c>
      <c r="B459" s="305" t="e">
        <f>#REF!</f>
        <v>#REF!</v>
      </c>
      <c r="C459" s="305" t="str">
        <f>'Danh sách máy'!C454</f>
        <v>MKVC</v>
      </c>
      <c r="D459" s="90" t="e">
        <f>#REF!</f>
        <v>#REF!</v>
      </c>
      <c r="E459" s="97">
        <f>'Danh sách máy'!E454</f>
        <v>45961</v>
      </c>
      <c r="F459" s="206" t="e">
        <f>#REF!</f>
        <v>#REF!</v>
      </c>
      <c r="G459" s="102" t="e">
        <f>#REF!</f>
        <v>#REF!</v>
      </c>
      <c r="H459" s="102" t="e">
        <f>#REF!</f>
        <v>#REF!</v>
      </c>
      <c r="I459" s="209">
        <v>44733</v>
      </c>
      <c r="J459" s="210"/>
      <c r="K459" s="210" t="e">
        <f>#REF!</f>
        <v>#REF!</v>
      </c>
      <c r="L459" s="210">
        <v>44728</v>
      </c>
      <c r="M459" s="210"/>
      <c r="N459" s="210">
        <f>'Danh sách máy'!F454</f>
        <v>0</v>
      </c>
      <c r="O459" s="211" t="str" cm="1">
        <f t="array" ref="O459">IF(L459&lt;&gt;0,IF(L459&lt;I459,"OK","NG"),Blank)</f>
        <v>OK</v>
      </c>
      <c r="P459" s="211" t="e" cm="1">
        <f t="array" ref="P459">IF(M459&lt;&gt;0,IF(M459&lt;J459,"OK","NG"),Blank)</f>
        <v>#NAME?</v>
      </c>
      <c r="Q459" s="211" t="e" cm="1">
        <f t="array" ref="Q459">IF(H459&lt;&gt;"Stop",IF(N459&lt;&gt;0,IF(N459&lt;=K459,"OK","NG"),Blank),"-")</f>
        <v>#REF!</v>
      </c>
      <c r="R459" s="326" t="e" cm="1">
        <f t="array" ref="R459">IF(H459&lt;&gt;"Stop",IF(E459&lt;&gt;0,IF(E459&lt;=K459,"OK","NG"),Blank),"-")</f>
        <v>#REF!</v>
      </c>
      <c r="S459" s="22"/>
      <c r="T459" s="221"/>
      <c r="U459"/>
    </row>
    <row r="460" spans="1:21" ht="30" hidden="1" x14ac:dyDescent="0.3">
      <c r="A460" s="318" t="e">
        <f>#REF!</f>
        <v>#REF!</v>
      </c>
      <c r="B460" s="305" t="e">
        <f>#REF!</f>
        <v>#REF!</v>
      </c>
      <c r="C460" s="305" t="str">
        <f>'Danh sách máy'!C455</f>
        <v>TEN</v>
      </c>
      <c r="D460" s="90" t="e">
        <f>#REF!</f>
        <v>#REF!</v>
      </c>
      <c r="E460" s="97">
        <f>'Danh sách máy'!E455</f>
        <v>0</v>
      </c>
      <c r="F460" s="206" t="e">
        <f>#REF!</f>
        <v>#REF!</v>
      </c>
      <c r="G460" s="102" t="e">
        <f>#REF!</f>
        <v>#REF!</v>
      </c>
      <c r="H460" s="102" t="e">
        <f>#REF!</f>
        <v>#REF!</v>
      </c>
      <c r="I460" s="209">
        <v>44734</v>
      </c>
      <c r="J460" s="210"/>
      <c r="K460" s="210" t="e">
        <f>#REF!</f>
        <v>#REF!</v>
      </c>
      <c r="L460" s="210">
        <v>44729</v>
      </c>
      <c r="M460" s="210"/>
      <c r="N460" s="210">
        <f>'Danh sách máy'!F455</f>
        <v>0</v>
      </c>
      <c r="O460" s="211" t="str" cm="1">
        <f t="array" ref="O460">IF(L460&lt;&gt;0,IF(L460&lt;I460,"OK","NG"),Blank)</f>
        <v>OK</v>
      </c>
      <c r="P460" s="211" t="e" cm="1">
        <f t="array" ref="P460">IF(M460&lt;&gt;0,IF(M460&lt;J460,"OK","NG"),Blank)</f>
        <v>#NAME?</v>
      </c>
      <c r="Q460" s="211" t="e" cm="1">
        <f t="array" ref="Q460">IF(H460&lt;&gt;"Stop",IF(N460&lt;&gt;0,IF(N460&lt;=K460,"OK","NG"),Blank),"-")</f>
        <v>#REF!</v>
      </c>
      <c r="R460" s="326" t="e" cm="1">
        <f t="array" ref="R460">IF(H460&lt;&gt;"Stop",IF(E460&lt;&gt;0,IF(E460&lt;=K460,"OK","NG"),Blank),"-")</f>
        <v>#REF!</v>
      </c>
      <c r="S460" s="22"/>
      <c r="T460" s="221"/>
      <c r="U460"/>
    </row>
    <row r="461" spans="1:21" ht="30" hidden="1" x14ac:dyDescent="0.3">
      <c r="A461" s="318" t="e">
        <f>#REF!</f>
        <v>#REF!</v>
      </c>
      <c r="B461" s="305" t="e">
        <f>#REF!</f>
        <v>#REF!</v>
      </c>
      <c r="C461" s="305" t="str">
        <f>'Danh sách máy'!C456</f>
        <v>TEN</v>
      </c>
      <c r="D461" s="90" t="e">
        <f>#REF!</f>
        <v>#REF!</v>
      </c>
      <c r="E461" s="97">
        <f>'Danh sách máy'!E456</f>
        <v>0</v>
      </c>
      <c r="F461" s="206" t="e">
        <f>#REF!</f>
        <v>#REF!</v>
      </c>
      <c r="G461" s="102" t="e">
        <f>#REF!</f>
        <v>#REF!</v>
      </c>
      <c r="H461" s="102" t="e">
        <f>#REF!</f>
        <v>#REF!</v>
      </c>
      <c r="I461" s="209">
        <v>44735</v>
      </c>
      <c r="J461" s="210"/>
      <c r="K461" s="210" t="e">
        <f>#REF!</f>
        <v>#REF!</v>
      </c>
      <c r="L461" s="210">
        <v>44730</v>
      </c>
      <c r="M461" s="210"/>
      <c r="N461" s="210">
        <f>'Danh sách máy'!F456</f>
        <v>0</v>
      </c>
      <c r="O461" s="211" t="str" cm="1">
        <f t="array" ref="O461">IF(L461&lt;&gt;0,IF(L461&lt;I461,"OK","NG"),Blank)</f>
        <v>OK</v>
      </c>
      <c r="P461" s="211" t="e" cm="1">
        <f t="array" ref="P461">IF(M461&lt;&gt;0,IF(M461&lt;J461,"OK","NG"),Blank)</f>
        <v>#NAME?</v>
      </c>
      <c r="Q461" s="211" t="e" cm="1">
        <f t="array" ref="Q461">IF(H461&lt;&gt;"Stop",IF(N461&lt;&gt;0,IF(N461&lt;=K461,"OK","NG"),Blank),"-")</f>
        <v>#REF!</v>
      </c>
      <c r="R461" s="326" t="e" cm="1">
        <f t="array" ref="R461">IF(H461&lt;&gt;"Stop",IF(E461&lt;&gt;0,IF(E461&lt;=K461,"OK","NG"),Blank),"-")</f>
        <v>#REF!</v>
      </c>
      <c r="S461" s="22"/>
      <c r="T461" s="221"/>
      <c r="U461"/>
    </row>
    <row r="462" spans="1:21" ht="30" hidden="1" x14ac:dyDescent="0.3">
      <c r="A462" s="318" t="e">
        <f>#REF!</f>
        <v>#REF!</v>
      </c>
      <c r="B462" s="305" t="e">
        <f>#REF!</f>
        <v>#REF!</v>
      </c>
      <c r="C462" s="305" t="str">
        <f>'Danh sách máy'!C457</f>
        <v>TEN</v>
      </c>
      <c r="D462" s="90" t="e">
        <f>#REF!</f>
        <v>#REF!</v>
      </c>
      <c r="E462" s="97">
        <f>'Danh sách máy'!E457</f>
        <v>0</v>
      </c>
      <c r="F462" s="206" t="e">
        <f>#REF!</f>
        <v>#REF!</v>
      </c>
      <c r="G462" s="102" t="e">
        <f>#REF!</f>
        <v>#REF!</v>
      </c>
      <c r="H462" s="102" t="e">
        <f>#REF!</f>
        <v>#REF!</v>
      </c>
      <c r="I462" s="209">
        <v>44736</v>
      </c>
      <c r="J462" s="210"/>
      <c r="K462" s="210" t="e">
        <f>#REF!</f>
        <v>#REF!</v>
      </c>
      <c r="L462" s="210">
        <v>44731</v>
      </c>
      <c r="M462" s="210"/>
      <c r="N462" s="210">
        <f>'Danh sách máy'!F457</f>
        <v>0</v>
      </c>
      <c r="O462" s="211" t="str" cm="1">
        <f t="array" ref="O462">IF(L462&lt;&gt;0,IF(L462&lt;I462,"OK","NG"),Blank)</f>
        <v>OK</v>
      </c>
      <c r="P462" s="211" t="e" cm="1">
        <f t="array" ref="P462">IF(M462&lt;&gt;0,IF(M462&lt;J462,"OK","NG"),Blank)</f>
        <v>#NAME?</v>
      </c>
      <c r="Q462" s="211" t="e" cm="1">
        <f t="array" ref="Q462">IF(H462&lt;&gt;"Stop",IF(N462&lt;&gt;0,IF(N462&lt;=K462,"OK","NG"),Blank),"-")</f>
        <v>#REF!</v>
      </c>
      <c r="R462" s="326" t="e" cm="1">
        <f t="array" ref="R462">IF(H462&lt;&gt;"Stop",IF(E462&lt;&gt;0,IF(E462&lt;=K462,"OK","NG"),Blank),"-")</f>
        <v>#REF!</v>
      </c>
      <c r="S462" s="22"/>
      <c r="T462" s="221"/>
      <c r="U462"/>
    </row>
    <row r="463" spans="1:21" ht="30" hidden="1" x14ac:dyDescent="0.3">
      <c r="A463" s="318" t="e">
        <f>#REF!</f>
        <v>#REF!</v>
      </c>
      <c r="B463" s="305" t="e">
        <f>#REF!</f>
        <v>#REF!</v>
      </c>
      <c r="C463" s="305" t="str">
        <f>'Danh sách máy'!C458</f>
        <v>TEN</v>
      </c>
      <c r="D463" s="90" t="e">
        <f>#REF!</f>
        <v>#REF!</v>
      </c>
      <c r="E463" s="97">
        <f>'Danh sách máy'!E458</f>
        <v>0</v>
      </c>
      <c r="F463" s="206" t="e">
        <f>#REF!</f>
        <v>#REF!</v>
      </c>
      <c r="G463" s="102" t="e">
        <f>#REF!</f>
        <v>#REF!</v>
      </c>
      <c r="H463" s="102" t="e">
        <f>#REF!</f>
        <v>#REF!</v>
      </c>
      <c r="I463" s="209">
        <v>44737</v>
      </c>
      <c r="J463" s="210"/>
      <c r="K463" s="210" t="e">
        <f>#REF!</f>
        <v>#REF!</v>
      </c>
      <c r="L463" s="210">
        <v>44732</v>
      </c>
      <c r="M463" s="210"/>
      <c r="N463" s="210">
        <f>'Danh sách máy'!F458</f>
        <v>0</v>
      </c>
      <c r="O463" s="211" t="str" cm="1">
        <f t="array" ref="O463">IF(L463&lt;&gt;0,IF(L463&lt;I463,"OK","NG"),Blank)</f>
        <v>OK</v>
      </c>
      <c r="P463" s="211" t="e" cm="1">
        <f t="array" ref="P463">IF(M463&lt;&gt;0,IF(M463&lt;J463,"OK","NG"),Blank)</f>
        <v>#NAME?</v>
      </c>
      <c r="Q463" s="211" t="e" cm="1">
        <f t="array" ref="Q463">IF(H463&lt;&gt;"Stop",IF(N463&lt;&gt;0,IF(N463&lt;=K463,"OK","NG"),Blank),"-")</f>
        <v>#REF!</v>
      </c>
      <c r="R463" s="326" t="e" cm="1">
        <f t="array" ref="R463">IF(H463&lt;&gt;"Stop",IF(E463&lt;&gt;0,IF(E463&lt;=K463,"OK","NG"),Blank),"-")</f>
        <v>#REF!</v>
      </c>
      <c r="S463" s="22"/>
      <c r="T463" s="221"/>
      <c r="U463"/>
    </row>
    <row r="464" spans="1:21" ht="30" hidden="1" x14ac:dyDescent="0.3">
      <c r="A464" s="318" t="e">
        <f>#REF!</f>
        <v>#REF!</v>
      </c>
      <c r="B464" s="305" t="e">
        <f>#REF!</f>
        <v>#REF!</v>
      </c>
      <c r="C464" s="305" t="str">
        <f>'Danh sách máy'!C459</f>
        <v>TEN</v>
      </c>
      <c r="D464" s="90" t="e">
        <f>#REF!</f>
        <v>#REF!</v>
      </c>
      <c r="E464" s="97">
        <f>'Danh sách máy'!E459</f>
        <v>46129</v>
      </c>
      <c r="F464" s="206" t="e">
        <f>#REF!</f>
        <v>#REF!</v>
      </c>
      <c r="G464" s="102" t="e">
        <f>#REF!</f>
        <v>#REF!</v>
      </c>
      <c r="H464" s="102" t="e">
        <f>#REF!</f>
        <v>#REF!</v>
      </c>
      <c r="I464" s="209">
        <v>44738</v>
      </c>
      <c r="J464" s="210"/>
      <c r="K464" s="210" t="e">
        <f>#REF!</f>
        <v>#REF!</v>
      </c>
      <c r="L464" s="210">
        <v>44733</v>
      </c>
      <c r="M464" s="210"/>
      <c r="N464" s="210">
        <f>'Danh sách máy'!F459</f>
        <v>46134</v>
      </c>
      <c r="O464" s="211" t="str" cm="1">
        <f t="array" ref="O464">IF(L464&lt;&gt;0,IF(L464&lt;I464,"OK","NG"),Blank)</f>
        <v>OK</v>
      </c>
      <c r="P464" s="211" t="e" cm="1">
        <f t="array" ref="P464">IF(M464&lt;&gt;0,IF(M464&lt;J464,"OK","NG"),Blank)</f>
        <v>#NAME?</v>
      </c>
      <c r="Q464" s="211" t="e" cm="1">
        <f t="array" ref="Q464">IF(H464&lt;&gt;"Stop",IF(N464&lt;&gt;0,IF(N464&lt;=K464,"OK","NG"),Blank),"-")</f>
        <v>#REF!</v>
      </c>
      <c r="R464" s="326" t="e" cm="1">
        <f t="array" ref="R464">IF(H464&lt;&gt;"Stop",IF(E464&lt;&gt;0,IF(E464&lt;=K464,"OK","NG"),Blank),"-")</f>
        <v>#REF!</v>
      </c>
      <c r="S464" s="22"/>
      <c r="T464" s="221"/>
      <c r="U464"/>
    </row>
    <row r="465" spans="1:21" ht="30" hidden="1" x14ac:dyDescent="0.3">
      <c r="A465" s="318" t="e">
        <f>#REF!</f>
        <v>#REF!</v>
      </c>
      <c r="B465" s="305" t="e">
        <f>#REF!</f>
        <v>#REF!</v>
      </c>
      <c r="C465" s="305" t="str">
        <f>'Danh sách máy'!C460</f>
        <v>TEN</v>
      </c>
      <c r="D465" s="90" t="e">
        <f>#REF!</f>
        <v>#REF!</v>
      </c>
      <c r="E465" s="97">
        <f>'Danh sách máy'!E460</f>
        <v>46129</v>
      </c>
      <c r="F465" s="206" t="e">
        <f>#REF!</f>
        <v>#REF!</v>
      </c>
      <c r="G465" s="102" t="e">
        <f>#REF!</f>
        <v>#REF!</v>
      </c>
      <c r="H465" s="102" t="e">
        <f>#REF!</f>
        <v>#REF!</v>
      </c>
      <c r="I465" s="209">
        <v>44739</v>
      </c>
      <c r="J465" s="210"/>
      <c r="K465" s="210" t="e">
        <f>#REF!</f>
        <v>#REF!</v>
      </c>
      <c r="L465" s="210">
        <v>44734</v>
      </c>
      <c r="M465" s="210"/>
      <c r="N465" s="210">
        <f>'Danh sách máy'!F460</f>
        <v>46134</v>
      </c>
      <c r="O465" s="211" t="str" cm="1">
        <f t="array" ref="O465">IF(L465&lt;&gt;0,IF(L465&lt;I465,"OK","NG"),Blank)</f>
        <v>OK</v>
      </c>
      <c r="P465" s="211" t="e" cm="1">
        <f t="array" ref="P465">IF(M465&lt;&gt;0,IF(M465&lt;J465,"OK","NG"),Blank)</f>
        <v>#NAME?</v>
      </c>
      <c r="Q465" s="211" t="e" cm="1">
        <f t="array" ref="Q465">IF(H465&lt;&gt;"Stop",IF(N465&lt;&gt;0,IF(N465&lt;=K465,"OK","NG"),Blank),"-")</f>
        <v>#REF!</v>
      </c>
      <c r="R465" s="326" t="e" cm="1">
        <f t="array" ref="R465">IF(H465&lt;&gt;"Stop",IF(E465&lt;&gt;0,IF(E465&lt;=K465,"OK","NG"),Blank),"-")</f>
        <v>#REF!</v>
      </c>
      <c r="S465" s="22"/>
      <c r="T465" s="221"/>
      <c r="U465"/>
    </row>
    <row r="466" spans="1:21" ht="15" x14ac:dyDescent="0.3">
      <c r="A466" s="318" t="e">
        <f>#REF!</f>
        <v>#REF!</v>
      </c>
      <c r="B466" s="305" t="e">
        <f>#REF!</f>
        <v>#REF!</v>
      </c>
      <c r="C466" s="305" t="str">
        <f>'Danh sách máy'!C461</f>
        <v>MKVC</v>
      </c>
      <c r="D466" s="90" t="e">
        <f>#REF!</f>
        <v>#REF!</v>
      </c>
      <c r="E466" s="97">
        <f>'Danh sách máy'!E461</f>
        <v>45868</v>
      </c>
      <c r="F466" s="206" t="e">
        <f>#REF!</f>
        <v>#REF!</v>
      </c>
      <c r="G466" s="102" t="e">
        <f>#REF!</f>
        <v>#REF!</v>
      </c>
      <c r="H466" s="102" t="e">
        <f>#REF!</f>
        <v>#REF!</v>
      </c>
      <c r="I466" s="209">
        <v>44740</v>
      </c>
      <c r="J466" s="210"/>
      <c r="K466" s="210" t="e">
        <f>#REF!</f>
        <v>#REF!</v>
      </c>
      <c r="L466" s="210">
        <v>44735</v>
      </c>
      <c r="M466" s="210"/>
      <c r="N466" s="210">
        <f>'Danh sách máy'!F461</f>
        <v>45869</v>
      </c>
      <c r="O466" s="211" t="str" cm="1">
        <f t="array" ref="O466">IF(L466&lt;&gt;0,IF(L466&lt;I466,"OK","NG"),Blank)</f>
        <v>OK</v>
      </c>
      <c r="P466" s="211" t="e" cm="1">
        <f t="array" ref="P466">IF(M466&lt;&gt;0,IF(M466&lt;J466,"OK","NG"),Blank)</f>
        <v>#NAME?</v>
      </c>
      <c r="Q466" s="211" t="e" cm="1">
        <f t="array" ref="Q466">IF(H466&lt;&gt;"Stop",IF(N466&lt;&gt;0,IF(N466&lt;=K466,"OK","NG"),Blank),"-")</f>
        <v>#REF!</v>
      </c>
      <c r="R466" s="326" t="e" cm="1">
        <f t="array" ref="R466">IF(H466&lt;&gt;"Stop",IF(E466&lt;&gt;0,IF(E466&lt;=K466,"OK","NG"),Blank),"-")</f>
        <v>#REF!</v>
      </c>
      <c r="S466" s="22"/>
      <c r="T466" s="221"/>
      <c r="U466"/>
    </row>
    <row r="467" spans="1:21" ht="15" hidden="1" x14ac:dyDescent="0.3">
      <c r="A467" s="318" t="e">
        <f>#REF!</f>
        <v>#REF!</v>
      </c>
      <c r="B467" s="305" t="e">
        <f>#REF!</f>
        <v>#REF!</v>
      </c>
      <c r="C467" s="305" t="str">
        <f>'Danh sách máy'!C462</f>
        <v>MKVC</v>
      </c>
      <c r="D467" s="90" t="e">
        <f>#REF!</f>
        <v>#REF!</v>
      </c>
      <c r="E467" s="97">
        <f>'Danh sách máy'!E462</f>
        <v>45802</v>
      </c>
      <c r="F467" s="206" t="e">
        <f>#REF!</f>
        <v>#REF!</v>
      </c>
      <c r="G467" s="102" t="e">
        <f>#REF!</f>
        <v>#REF!</v>
      </c>
      <c r="H467" s="102" t="e">
        <f>#REF!</f>
        <v>#REF!</v>
      </c>
      <c r="I467" s="209">
        <v>44741</v>
      </c>
      <c r="J467" s="210"/>
      <c r="K467" s="210" t="e">
        <f>#REF!</f>
        <v>#REF!</v>
      </c>
      <c r="L467" s="210">
        <v>44736</v>
      </c>
      <c r="M467" s="210"/>
      <c r="N467" s="210">
        <f>'Danh sách máy'!F462</f>
        <v>0</v>
      </c>
      <c r="O467" s="211" t="str" cm="1">
        <f t="array" ref="O467">IF(L467&lt;&gt;0,IF(L467&lt;I467,"OK","NG"),Blank)</f>
        <v>OK</v>
      </c>
      <c r="P467" s="211" t="e" cm="1">
        <f t="array" ref="P467">IF(M467&lt;&gt;0,IF(M467&lt;J467,"OK","NG"),Blank)</f>
        <v>#NAME?</v>
      </c>
      <c r="Q467" s="211" t="e" cm="1">
        <f t="array" ref="Q467">IF(H467&lt;&gt;"Stop",IF(N467&lt;&gt;0,IF(N467&lt;=K467,"OK","NG"),Blank),"-")</f>
        <v>#REF!</v>
      </c>
      <c r="R467" s="326" t="e" cm="1">
        <f t="array" ref="R467">IF(H467&lt;&gt;"Stop",IF(E467&lt;&gt;0,IF(E467&lt;=K467,"OK","NG"),Blank),"-")</f>
        <v>#REF!</v>
      </c>
      <c r="S467" s="22"/>
      <c r="T467" s="221"/>
      <c r="U467"/>
    </row>
    <row r="468" spans="1:21" ht="15" hidden="1" x14ac:dyDescent="0.3">
      <c r="A468" s="318" t="e">
        <f>#REF!</f>
        <v>#REF!</v>
      </c>
      <c r="B468" s="305" t="e">
        <f>#REF!</f>
        <v>#REF!</v>
      </c>
      <c r="C468" s="305" t="str">
        <f>'Danh sách máy'!C463</f>
        <v>MKVC</v>
      </c>
      <c r="D468" s="90" t="e">
        <f>#REF!</f>
        <v>#REF!</v>
      </c>
      <c r="E468" s="97">
        <f>'Danh sách máy'!E463</f>
        <v>45838</v>
      </c>
      <c r="F468" s="206" t="e">
        <f>#REF!</f>
        <v>#REF!</v>
      </c>
      <c r="G468" s="102" t="e">
        <f>#REF!</f>
        <v>#REF!</v>
      </c>
      <c r="H468" s="102" t="e">
        <f>#REF!</f>
        <v>#REF!</v>
      </c>
      <c r="I468" s="209">
        <v>44742</v>
      </c>
      <c r="J468" s="210"/>
      <c r="K468" s="210" t="e">
        <f>#REF!</f>
        <v>#REF!</v>
      </c>
      <c r="L468" s="210">
        <v>44737</v>
      </c>
      <c r="M468" s="210"/>
      <c r="N468" s="210">
        <f>'Danh sách máy'!F463</f>
        <v>0</v>
      </c>
      <c r="O468" s="211" t="str" cm="1">
        <f t="array" ref="O468">IF(L468&lt;&gt;0,IF(L468&lt;I468,"OK","NG"),Blank)</f>
        <v>OK</v>
      </c>
      <c r="P468" s="211" t="e" cm="1">
        <f t="array" ref="P468">IF(M468&lt;&gt;0,IF(M468&lt;J468,"OK","NG"),Blank)</f>
        <v>#NAME?</v>
      </c>
      <c r="Q468" s="211" t="e" cm="1">
        <f t="array" ref="Q468">IF(H468&lt;&gt;"Stop",IF(N468&lt;&gt;0,IF(N468&lt;=K468,"OK","NG"),Blank),"-")</f>
        <v>#REF!</v>
      </c>
      <c r="R468" s="326" t="e" cm="1">
        <f t="array" ref="R468">IF(H468&lt;&gt;"Stop",IF(E468&lt;&gt;0,IF(E468&lt;=K468,"OK","NG"),Blank),"-")</f>
        <v>#REF!</v>
      </c>
      <c r="S468" s="22"/>
      <c r="T468" s="221"/>
      <c r="U468"/>
    </row>
    <row r="469" spans="1:21" ht="15" hidden="1" x14ac:dyDescent="0.3">
      <c r="A469" s="318" t="e">
        <f>#REF!</f>
        <v>#REF!</v>
      </c>
      <c r="B469" s="305" t="e">
        <f>#REF!</f>
        <v>#REF!</v>
      </c>
      <c r="C469" s="305" t="str">
        <f>'Danh sách máy'!C464</f>
        <v>MKVC</v>
      </c>
      <c r="D469" s="90" t="e">
        <f>#REF!</f>
        <v>#REF!</v>
      </c>
      <c r="E469" s="97">
        <f>'Danh sách máy'!E464</f>
        <v>45847</v>
      </c>
      <c r="F469" s="206" t="e">
        <f>#REF!</f>
        <v>#REF!</v>
      </c>
      <c r="G469" s="102" t="e">
        <f>#REF!</f>
        <v>#REF!</v>
      </c>
      <c r="H469" s="102" t="e">
        <f>#REF!</f>
        <v>#REF!</v>
      </c>
      <c r="I469" s="209">
        <v>44743</v>
      </c>
      <c r="J469" s="210"/>
      <c r="K469" s="210" t="e">
        <f>#REF!</f>
        <v>#REF!</v>
      </c>
      <c r="L469" s="210">
        <v>44738</v>
      </c>
      <c r="M469" s="210"/>
      <c r="N469" s="210">
        <f>'Danh sách máy'!F464</f>
        <v>0</v>
      </c>
      <c r="O469" s="211" t="str" cm="1">
        <f t="array" ref="O469">IF(L469&lt;&gt;0,IF(L469&lt;I469,"OK","NG"),Blank)</f>
        <v>OK</v>
      </c>
      <c r="P469" s="211" t="e" cm="1">
        <f t="array" ref="P469">IF(M469&lt;&gt;0,IF(M469&lt;J469,"OK","NG"),Blank)</f>
        <v>#NAME?</v>
      </c>
      <c r="Q469" s="211" t="e" cm="1">
        <f t="array" ref="Q469">IF(H469&lt;&gt;"Stop",IF(N469&lt;&gt;0,IF(N469&lt;=K469,"OK","NG"),Blank),"-")</f>
        <v>#REF!</v>
      </c>
      <c r="R469" s="326" t="e" cm="1">
        <f t="array" ref="R469">IF(H469&lt;&gt;"Stop",IF(E469&lt;&gt;0,IF(E469&lt;=K469,"OK","NG"),Blank),"-")</f>
        <v>#REF!</v>
      </c>
      <c r="S469" s="22"/>
      <c r="T469" s="221"/>
      <c r="U469"/>
    </row>
    <row r="470" spans="1:21" ht="15" hidden="1" x14ac:dyDescent="0.3">
      <c r="A470" s="318" t="e">
        <f>#REF!</f>
        <v>#REF!</v>
      </c>
      <c r="B470" s="305" t="e">
        <f>#REF!</f>
        <v>#REF!</v>
      </c>
      <c r="C470" s="305" t="str">
        <f>'Danh sách máy'!C465</f>
        <v>TEN</v>
      </c>
      <c r="D470" s="90" t="e">
        <f>#REF!</f>
        <v>#REF!</v>
      </c>
      <c r="E470" s="97">
        <f>'Danh sách máy'!E465</f>
        <v>0</v>
      </c>
      <c r="F470" s="206" t="e">
        <f>#REF!</f>
        <v>#REF!</v>
      </c>
      <c r="G470" s="102" t="e">
        <f>#REF!</f>
        <v>#REF!</v>
      </c>
      <c r="H470" s="102" t="e">
        <f>#REF!</f>
        <v>#REF!</v>
      </c>
      <c r="I470" s="209">
        <v>44744</v>
      </c>
      <c r="J470" s="210"/>
      <c r="K470" s="210" t="e">
        <f>#REF!</f>
        <v>#REF!</v>
      </c>
      <c r="L470" s="210">
        <v>44739</v>
      </c>
      <c r="M470" s="210"/>
      <c r="N470" s="210">
        <f>'Danh sách máy'!F465</f>
        <v>0</v>
      </c>
      <c r="O470" s="211" t="str" cm="1">
        <f t="array" ref="O470">IF(L470&lt;&gt;0,IF(L470&lt;I470,"OK","NG"),Blank)</f>
        <v>OK</v>
      </c>
      <c r="P470" s="211" t="e" cm="1">
        <f t="array" ref="P470">IF(M470&lt;&gt;0,IF(M470&lt;J470,"OK","NG"),Blank)</f>
        <v>#NAME?</v>
      </c>
      <c r="Q470" s="211" t="e" cm="1">
        <f t="array" ref="Q470">IF(H470&lt;&gt;"Stop",IF(N470&lt;&gt;0,IF(N470&lt;=K470,"OK","NG"),Blank),"-")</f>
        <v>#REF!</v>
      </c>
      <c r="R470" s="326" t="e" cm="1">
        <f t="array" ref="R470">IF(H470&lt;&gt;"Stop",IF(E470&lt;&gt;0,IF(E470&lt;=K470,"OK","NG"),Blank),"-")</f>
        <v>#REF!</v>
      </c>
      <c r="S470" s="22"/>
      <c r="T470" s="221"/>
      <c r="U470"/>
    </row>
    <row r="471" spans="1:21" ht="15" hidden="1" x14ac:dyDescent="0.3">
      <c r="A471" s="318" t="e">
        <f>#REF!</f>
        <v>#REF!</v>
      </c>
      <c r="B471" s="305" t="e">
        <f>#REF!</f>
        <v>#REF!</v>
      </c>
      <c r="C471" s="305" t="str">
        <f>'Danh sách máy'!C466</f>
        <v>TEN</v>
      </c>
      <c r="D471" s="90" t="e">
        <f>#REF!</f>
        <v>#REF!</v>
      </c>
      <c r="E471" s="97">
        <f>'Danh sách máy'!E466</f>
        <v>0</v>
      </c>
      <c r="F471" s="206" t="e">
        <f>#REF!</f>
        <v>#REF!</v>
      </c>
      <c r="G471" s="102" t="e">
        <f>#REF!</f>
        <v>#REF!</v>
      </c>
      <c r="H471" s="102" t="e">
        <f>#REF!</f>
        <v>#REF!</v>
      </c>
      <c r="I471" s="209">
        <v>44745</v>
      </c>
      <c r="J471" s="210"/>
      <c r="K471" s="210" t="e">
        <f>#REF!</f>
        <v>#REF!</v>
      </c>
      <c r="L471" s="210">
        <v>44740</v>
      </c>
      <c r="M471" s="210"/>
      <c r="N471" s="210">
        <f>'Danh sách máy'!F466</f>
        <v>0</v>
      </c>
      <c r="O471" s="211" t="str" cm="1">
        <f t="array" ref="O471">IF(L471&lt;&gt;0,IF(L471&lt;I471,"OK","NG"),Blank)</f>
        <v>OK</v>
      </c>
      <c r="P471" s="211" t="e" cm="1">
        <f t="array" ref="P471">IF(M471&lt;&gt;0,IF(M471&lt;J471,"OK","NG"),Blank)</f>
        <v>#NAME?</v>
      </c>
      <c r="Q471" s="211" t="e" cm="1">
        <f t="array" ref="Q471">IF(H471&lt;&gt;"Stop",IF(N471&lt;&gt;0,IF(N471&lt;=K471,"OK","NG"),Blank),"-")</f>
        <v>#REF!</v>
      </c>
      <c r="R471" s="326" t="e" cm="1">
        <f t="array" ref="R471">IF(H471&lt;&gt;"Stop",IF(E471&lt;&gt;0,IF(E471&lt;=K471,"OK","NG"),Blank),"-")</f>
        <v>#REF!</v>
      </c>
      <c r="S471" s="22"/>
      <c r="T471" s="221"/>
      <c r="U471"/>
    </row>
    <row r="472" spans="1:21" ht="30" hidden="1" x14ac:dyDescent="0.3">
      <c r="A472" s="318" t="e">
        <f>#REF!</f>
        <v>#REF!</v>
      </c>
      <c r="B472" s="305" t="e">
        <f>#REF!</f>
        <v>#REF!</v>
      </c>
      <c r="C472" s="305" t="str">
        <f>'Danh sách máy'!C467</f>
        <v>TEN</v>
      </c>
      <c r="D472" s="90" t="e">
        <f>#REF!</f>
        <v>#REF!</v>
      </c>
      <c r="E472" s="97">
        <f>'Danh sách máy'!E467</f>
        <v>0</v>
      </c>
      <c r="F472" s="206" t="e">
        <f>#REF!</f>
        <v>#REF!</v>
      </c>
      <c r="G472" s="102" t="e">
        <f>#REF!</f>
        <v>#REF!</v>
      </c>
      <c r="H472" s="102" t="e">
        <f>#REF!</f>
        <v>#REF!</v>
      </c>
      <c r="I472" s="209">
        <v>44746</v>
      </c>
      <c r="J472" s="210"/>
      <c r="K472" s="210" t="e">
        <f>#REF!</f>
        <v>#REF!</v>
      </c>
      <c r="L472" s="210">
        <v>44741</v>
      </c>
      <c r="M472" s="210"/>
      <c r="N472" s="210">
        <f>'Danh sách máy'!F467</f>
        <v>0</v>
      </c>
      <c r="O472" s="211" t="str" cm="1">
        <f t="array" ref="O472">IF(L472&lt;&gt;0,IF(L472&lt;I472,"OK","NG"),Blank)</f>
        <v>OK</v>
      </c>
      <c r="P472" s="211" t="e" cm="1">
        <f t="array" ref="P472">IF(M472&lt;&gt;0,IF(M472&lt;J472,"OK","NG"),Blank)</f>
        <v>#NAME?</v>
      </c>
      <c r="Q472" s="211" t="e" cm="1">
        <f t="array" ref="Q472">IF(H472&lt;&gt;"Stop",IF(N472&lt;&gt;0,IF(N472&lt;=K472,"OK","NG"),Blank),"-")</f>
        <v>#REF!</v>
      </c>
      <c r="R472" s="326" t="e" cm="1">
        <f t="array" ref="R472">IF(H472&lt;&gt;"Stop",IF(E472&lt;&gt;0,IF(E472&lt;=K472,"OK","NG"),Blank),"-")</f>
        <v>#REF!</v>
      </c>
      <c r="S472" s="22"/>
      <c r="T472" s="221"/>
      <c r="U472"/>
    </row>
    <row r="473" spans="1:21" ht="15" hidden="1" x14ac:dyDescent="0.3">
      <c r="A473" s="318" t="e">
        <f>#REF!</f>
        <v>#REF!</v>
      </c>
      <c r="B473" s="305" t="e">
        <f>#REF!</f>
        <v>#REF!</v>
      </c>
      <c r="C473" s="305" t="str">
        <f>'Danh sách máy'!C468</f>
        <v>TEN</v>
      </c>
      <c r="D473" s="90" t="e">
        <f>#REF!</f>
        <v>#REF!</v>
      </c>
      <c r="E473" s="97">
        <f>'Danh sách máy'!E468</f>
        <v>0</v>
      </c>
      <c r="F473" s="206" t="e">
        <f>#REF!</f>
        <v>#REF!</v>
      </c>
      <c r="G473" s="102" t="e">
        <f>#REF!</f>
        <v>#REF!</v>
      </c>
      <c r="H473" s="102" t="e">
        <f>#REF!</f>
        <v>#REF!</v>
      </c>
      <c r="I473" s="209">
        <v>44747</v>
      </c>
      <c r="J473" s="210"/>
      <c r="K473" s="210" t="e">
        <f>#REF!</f>
        <v>#REF!</v>
      </c>
      <c r="L473" s="210">
        <v>44742</v>
      </c>
      <c r="M473" s="210"/>
      <c r="N473" s="210">
        <f>'Danh sách máy'!F468</f>
        <v>0</v>
      </c>
      <c r="O473" s="211" t="str" cm="1">
        <f t="array" ref="O473">IF(L473&lt;&gt;0,IF(L473&lt;I473,"OK","NG"),Blank)</f>
        <v>OK</v>
      </c>
      <c r="P473" s="211" t="e" cm="1">
        <f t="array" ref="P473">IF(M473&lt;&gt;0,IF(M473&lt;J473,"OK","NG"),Blank)</f>
        <v>#NAME?</v>
      </c>
      <c r="Q473" s="211" t="e" cm="1">
        <f t="array" ref="Q473">IF(H473&lt;&gt;"Stop",IF(N473&lt;&gt;0,IF(N473&lt;=K473,"OK","NG"),Blank),"-")</f>
        <v>#REF!</v>
      </c>
      <c r="R473" s="326" t="e" cm="1">
        <f t="array" ref="R473">IF(H473&lt;&gt;"Stop",IF(E473&lt;&gt;0,IF(E473&lt;=K473,"OK","NG"),Blank),"-")</f>
        <v>#REF!</v>
      </c>
      <c r="S473" s="22"/>
      <c r="T473" s="221"/>
      <c r="U473"/>
    </row>
    <row r="474" spans="1:21" ht="15" hidden="1" x14ac:dyDescent="0.3">
      <c r="A474" s="318" t="e">
        <f>#REF!</f>
        <v>#REF!</v>
      </c>
      <c r="B474" s="305" t="e">
        <f>#REF!</f>
        <v>#REF!</v>
      </c>
      <c r="C474" s="305" t="str">
        <f>'Danh sách máy'!C469</f>
        <v>MKVC</v>
      </c>
      <c r="D474" s="90" t="e">
        <f>#REF!</f>
        <v>#REF!</v>
      </c>
      <c r="E474" s="97">
        <f>'Danh sách máy'!E469</f>
        <v>45731</v>
      </c>
      <c r="F474" s="206" t="e">
        <f>#REF!</f>
        <v>#REF!</v>
      </c>
      <c r="G474" s="102" t="e">
        <f>#REF!</f>
        <v>#REF!</v>
      </c>
      <c r="H474" s="102" t="e">
        <f>#REF!</f>
        <v>#REF!</v>
      </c>
      <c r="I474" s="209">
        <v>44748</v>
      </c>
      <c r="J474" s="210"/>
      <c r="K474" s="210" t="e">
        <f>#REF!</f>
        <v>#REF!</v>
      </c>
      <c r="L474" s="210">
        <v>44743</v>
      </c>
      <c r="M474" s="210"/>
      <c r="N474" s="210">
        <f>'Danh sách máy'!F469</f>
        <v>45731</v>
      </c>
      <c r="O474" s="211" t="str" cm="1">
        <f t="array" ref="O474">IF(L474&lt;&gt;0,IF(L474&lt;I474,"OK","NG"),Blank)</f>
        <v>OK</v>
      </c>
      <c r="P474" s="211" t="e" cm="1">
        <f t="array" ref="P474">IF(M474&lt;&gt;0,IF(M474&lt;J474,"OK","NG"),Blank)</f>
        <v>#NAME?</v>
      </c>
      <c r="Q474" s="211" t="e" cm="1">
        <f t="array" ref="Q474">IF(H474&lt;&gt;"Stop",IF(N474&lt;&gt;0,IF(N474&lt;=K474,"OK","NG"),Blank),"-")</f>
        <v>#REF!</v>
      </c>
      <c r="R474" s="326" t="e" cm="1">
        <f t="array" ref="R474">IF(H474&lt;&gt;"Stop",IF(E474&lt;&gt;0,IF(E474&lt;=K474,"OK","NG"),Blank),"-")</f>
        <v>#REF!</v>
      </c>
      <c r="S474" s="22"/>
      <c r="T474" s="221"/>
      <c r="U474"/>
    </row>
    <row r="475" spans="1:21" ht="15" hidden="1" x14ac:dyDescent="0.3">
      <c r="A475" s="318" t="e">
        <f>#REF!</f>
        <v>#REF!</v>
      </c>
      <c r="B475" s="305" t="e">
        <f>#REF!</f>
        <v>#REF!</v>
      </c>
      <c r="C475" s="305" t="str">
        <f>'Danh sách máy'!C470</f>
        <v>MKVC</v>
      </c>
      <c r="D475" s="90" t="e">
        <f>#REF!</f>
        <v>#REF!</v>
      </c>
      <c r="E475" s="97">
        <f>'Danh sách máy'!E470</f>
        <v>45731</v>
      </c>
      <c r="F475" s="206" t="e">
        <f>#REF!</f>
        <v>#REF!</v>
      </c>
      <c r="G475" s="102" t="e">
        <f>#REF!</f>
        <v>#REF!</v>
      </c>
      <c r="H475" s="102" t="e">
        <f>#REF!</f>
        <v>#REF!</v>
      </c>
      <c r="I475" s="209">
        <v>44749</v>
      </c>
      <c r="J475" s="210"/>
      <c r="K475" s="210" t="e">
        <f>#REF!</f>
        <v>#REF!</v>
      </c>
      <c r="L475" s="210">
        <v>44744</v>
      </c>
      <c r="M475" s="210"/>
      <c r="N475" s="210">
        <f>'Danh sách máy'!F470</f>
        <v>45731</v>
      </c>
      <c r="O475" s="211" t="str" cm="1">
        <f t="array" ref="O475">IF(L475&lt;&gt;0,IF(L475&lt;I475,"OK","NG"),Blank)</f>
        <v>OK</v>
      </c>
      <c r="P475" s="211" t="e" cm="1">
        <f t="array" ref="P475">IF(M475&lt;&gt;0,IF(M475&lt;J475,"OK","NG"),Blank)</f>
        <v>#NAME?</v>
      </c>
      <c r="Q475" s="211" t="e" cm="1">
        <f t="array" ref="Q475">IF(H475&lt;&gt;"Stop",IF(N475&lt;&gt;0,IF(N475&lt;=K475,"OK","NG"),Blank),"-")</f>
        <v>#REF!</v>
      </c>
      <c r="R475" s="326" t="e" cm="1">
        <f t="array" ref="R475">IF(H475&lt;&gt;"Stop",IF(E475&lt;&gt;0,IF(E475&lt;=K475,"OK","NG"),Blank),"-")</f>
        <v>#REF!</v>
      </c>
      <c r="S475" s="22"/>
      <c r="T475" s="221"/>
      <c r="U475"/>
    </row>
    <row r="476" spans="1:21" ht="30" x14ac:dyDescent="0.3">
      <c r="A476" s="318" t="e">
        <f>#REF!</f>
        <v>#REF!</v>
      </c>
      <c r="B476" s="305" t="e">
        <f>#REF!</f>
        <v>#REF!</v>
      </c>
      <c r="C476" s="305" t="str">
        <f>'Danh sách máy'!C471</f>
        <v>MKHC</v>
      </c>
      <c r="D476" s="90" t="e">
        <f>#REF!</f>
        <v>#REF!</v>
      </c>
      <c r="E476" s="97">
        <f>'Danh sách máy'!E471</f>
        <v>45847</v>
      </c>
      <c r="F476" s="206" t="e">
        <f>#REF!</f>
        <v>#REF!</v>
      </c>
      <c r="G476" s="102" t="e">
        <f>#REF!</f>
        <v>#REF!</v>
      </c>
      <c r="H476" s="102" t="e">
        <f>#REF!</f>
        <v>#REF!</v>
      </c>
      <c r="I476" s="209">
        <v>44750</v>
      </c>
      <c r="J476" s="210"/>
      <c r="K476" s="210" t="e">
        <f>#REF!</f>
        <v>#REF!</v>
      </c>
      <c r="L476" s="210">
        <v>44745</v>
      </c>
      <c r="M476" s="210"/>
      <c r="N476" s="210">
        <f>'Danh sách máy'!F471</f>
        <v>45847</v>
      </c>
      <c r="O476" s="211" t="str" cm="1">
        <f t="array" ref="O476">IF(L476&lt;&gt;0,IF(L476&lt;I476,"OK","NG"),Blank)</f>
        <v>OK</v>
      </c>
      <c r="P476" s="211" t="e" cm="1">
        <f t="array" ref="P476">IF(M476&lt;&gt;0,IF(M476&lt;J476,"OK","NG"),Blank)</f>
        <v>#NAME?</v>
      </c>
      <c r="Q476" s="211" t="e" cm="1">
        <f t="array" ref="Q476">IF(H476&lt;&gt;"Stop",IF(N476&lt;&gt;0,IF(N476&lt;=K476,"OK","NG"),Blank),"-")</f>
        <v>#REF!</v>
      </c>
      <c r="R476" s="326" t="e" cm="1">
        <f t="array" ref="R476">IF(H476&lt;&gt;"Stop",IF(E476&lt;&gt;0,IF(E476&lt;=K476,"OK","NG"),Blank),"-")</f>
        <v>#REF!</v>
      </c>
      <c r="S476" s="22"/>
      <c r="T476" s="221"/>
      <c r="U476"/>
    </row>
    <row r="477" spans="1:21" ht="30" x14ac:dyDescent="0.3">
      <c r="A477" s="318" t="e">
        <f>#REF!</f>
        <v>#REF!</v>
      </c>
      <c r="B477" s="305" t="e">
        <f>#REF!</f>
        <v>#REF!</v>
      </c>
      <c r="C477" s="305" t="str">
        <f>'Danh sách máy'!C472</f>
        <v>MKHC</v>
      </c>
      <c r="D477" s="90" t="e">
        <f>#REF!</f>
        <v>#REF!</v>
      </c>
      <c r="E477" s="97">
        <f>'Danh sách máy'!E472</f>
        <v>45847</v>
      </c>
      <c r="F477" s="206" t="e">
        <f>#REF!</f>
        <v>#REF!</v>
      </c>
      <c r="G477" s="102" t="e">
        <f>#REF!</f>
        <v>#REF!</v>
      </c>
      <c r="H477" s="102" t="e">
        <f>#REF!</f>
        <v>#REF!</v>
      </c>
      <c r="I477" s="209">
        <v>44751</v>
      </c>
      <c r="J477" s="210"/>
      <c r="K477" s="210" t="e">
        <f>#REF!</f>
        <v>#REF!</v>
      </c>
      <c r="L477" s="210">
        <v>44746</v>
      </c>
      <c r="M477" s="210"/>
      <c r="N477" s="210">
        <f>'Danh sách máy'!F472</f>
        <v>45847</v>
      </c>
      <c r="O477" s="211" t="str" cm="1">
        <f t="array" ref="O477">IF(L477&lt;&gt;0,IF(L477&lt;I477,"OK","NG"),Blank)</f>
        <v>OK</v>
      </c>
      <c r="P477" s="211" t="e" cm="1">
        <f t="array" ref="P477">IF(M477&lt;&gt;0,IF(M477&lt;J477,"OK","NG"),Blank)</f>
        <v>#NAME?</v>
      </c>
      <c r="Q477" s="211" t="e" cm="1">
        <f t="array" ref="Q477">IF(H477&lt;&gt;"Stop",IF(N477&lt;&gt;0,IF(N477&lt;=K477,"OK","NG"),Blank),"-")</f>
        <v>#REF!</v>
      </c>
      <c r="R477" s="326" t="e" cm="1">
        <f t="array" ref="R477">IF(H477&lt;&gt;"Stop",IF(E477&lt;&gt;0,IF(E477&lt;=K477,"OK","NG"),Blank),"-")</f>
        <v>#REF!</v>
      </c>
      <c r="S477" s="22"/>
      <c r="T477" s="221"/>
      <c r="U477"/>
    </row>
    <row r="478" spans="1:21" ht="30" hidden="1" x14ac:dyDescent="0.3">
      <c r="A478" s="318" t="e">
        <f>#REF!</f>
        <v>#REF!</v>
      </c>
      <c r="B478" s="305" t="e">
        <f>#REF!</f>
        <v>#REF!</v>
      </c>
      <c r="C478" s="305" t="str">
        <f>'Danh sách máy'!C473</f>
        <v>MKHC</v>
      </c>
      <c r="D478" s="90" t="e">
        <f>#REF!</f>
        <v>#REF!</v>
      </c>
      <c r="E478" s="97">
        <f>'Danh sách máy'!E473</f>
        <v>0</v>
      </c>
      <c r="F478" s="206" t="e">
        <f>#REF!</f>
        <v>#REF!</v>
      </c>
      <c r="G478" s="102" t="e">
        <f>#REF!</f>
        <v>#REF!</v>
      </c>
      <c r="H478" s="102" t="e">
        <f>#REF!</f>
        <v>#REF!</v>
      </c>
      <c r="I478" s="209">
        <v>44752</v>
      </c>
      <c r="J478" s="210"/>
      <c r="K478" s="210" t="e">
        <f>#REF!</f>
        <v>#REF!</v>
      </c>
      <c r="L478" s="210">
        <v>44747</v>
      </c>
      <c r="M478" s="210"/>
      <c r="N478" s="210">
        <f>'Danh sách máy'!F473</f>
        <v>0</v>
      </c>
      <c r="O478" s="211" t="str" cm="1">
        <f t="array" ref="O478">IF(L478&lt;&gt;0,IF(L478&lt;I478,"OK","NG"),Blank)</f>
        <v>OK</v>
      </c>
      <c r="P478" s="211" t="e" cm="1">
        <f t="array" ref="P478">IF(M478&lt;&gt;0,IF(M478&lt;J478,"OK","NG"),Blank)</f>
        <v>#NAME?</v>
      </c>
      <c r="Q478" s="211" t="e" cm="1">
        <f t="array" ref="Q478">IF(H478&lt;&gt;"Stop",IF(N478&lt;&gt;0,IF(N478&lt;=K478,"OK","NG"),Blank),"-")</f>
        <v>#REF!</v>
      </c>
      <c r="R478" s="326" t="e" cm="1">
        <f t="array" ref="R478">IF(H478&lt;&gt;"Stop",IF(E478&lt;&gt;0,IF(E478&lt;=K478,"OK","NG"),Blank),"-")</f>
        <v>#REF!</v>
      </c>
      <c r="S478" s="22"/>
      <c r="T478" s="221"/>
      <c r="U478"/>
    </row>
    <row r="479" spans="1:21" ht="30" hidden="1" x14ac:dyDescent="0.3">
      <c r="A479" s="318" t="e">
        <f>#REF!</f>
        <v>#REF!</v>
      </c>
      <c r="B479" s="305" t="e">
        <f>#REF!</f>
        <v>#REF!</v>
      </c>
      <c r="C479" s="305" t="str">
        <f>'Danh sách máy'!C474</f>
        <v>MKHC</v>
      </c>
      <c r="D479" s="90" t="e">
        <f>#REF!</f>
        <v>#REF!</v>
      </c>
      <c r="E479" s="97">
        <f>'Danh sách máy'!E474</f>
        <v>0</v>
      </c>
      <c r="F479" s="206" t="e">
        <f>#REF!</f>
        <v>#REF!</v>
      </c>
      <c r="G479" s="102" t="e">
        <f>#REF!</f>
        <v>#REF!</v>
      </c>
      <c r="H479" s="102" t="e">
        <f>#REF!</f>
        <v>#REF!</v>
      </c>
      <c r="I479" s="209">
        <v>44753</v>
      </c>
      <c r="J479" s="210"/>
      <c r="K479" s="210" t="e">
        <f>#REF!</f>
        <v>#REF!</v>
      </c>
      <c r="L479" s="210">
        <v>44748</v>
      </c>
      <c r="M479" s="210"/>
      <c r="N479" s="210">
        <f>'Danh sách máy'!F474</f>
        <v>0</v>
      </c>
      <c r="O479" s="211" t="str" cm="1">
        <f t="array" ref="O479">IF(L479&lt;&gt;0,IF(L479&lt;I479,"OK","NG"),Blank)</f>
        <v>OK</v>
      </c>
      <c r="P479" s="211" t="e" cm="1">
        <f t="array" ref="P479">IF(M479&lt;&gt;0,IF(M479&lt;J479,"OK","NG"),Blank)</f>
        <v>#NAME?</v>
      </c>
      <c r="Q479" s="211" t="e" cm="1">
        <f t="array" ref="Q479">IF(H479&lt;&gt;"Stop",IF(N479&lt;&gt;0,IF(N479&lt;=K479,"OK","NG"),Blank),"-")</f>
        <v>#REF!</v>
      </c>
      <c r="R479" s="326" t="e" cm="1">
        <f t="array" ref="R479">IF(H479&lt;&gt;"Stop",IF(E479&lt;&gt;0,IF(E479&lt;=K479,"OK","NG"),Blank),"-")</f>
        <v>#REF!</v>
      </c>
      <c r="S479" s="22"/>
      <c r="T479" s="221"/>
      <c r="U479"/>
    </row>
    <row r="480" spans="1:21" ht="30" hidden="1" x14ac:dyDescent="0.3">
      <c r="A480" s="318" t="e">
        <f>#REF!</f>
        <v>#REF!</v>
      </c>
      <c r="B480" s="305" t="e">
        <f>#REF!</f>
        <v>#REF!</v>
      </c>
      <c r="C480" s="305" t="str">
        <f>'Danh sách máy'!C475</f>
        <v>MKHC</v>
      </c>
      <c r="D480" s="90" t="e">
        <f>#REF!</f>
        <v>#REF!</v>
      </c>
      <c r="E480" s="97">
        <f>'Danh sách máy'!E475</f>
        <v>0</v>
      </c>
      <c r="F480" s="206" t="e">
        <f>#REF!</f>
        <v>#REF!</v>
      </c>
      <c r="G480" s="102" t="e">
        <f>#REF!</f>
        <v>#REF!</v>
      </c>
      <c r="H480" s="102" t="e">
        <f>#REF!</f>
        <v>#REF!</v>
      </c>
      <c r="I480" s="209">
        <v>44754</v>
      </c>
      <c r="J480" s="210"/>
      <c r="K480" s="210" t="e">
        <f>#REF!</f>
        <v>#REF!</v>
      </c>
      <c r="L480" s="210">
        <v>44749</v>
      </c>
      <c r="M480" s="210"/>
      <c r="N480" s="210">
        <f>'Danh sách máy'!F475</f>
        <v>0</v>
      </c>
      <c r="O480" s="211" t="str" cm="1">
        <f t="array" ref="O480">IF(L480&lt;&gt;0,IF(L480&lt;I480,"OK","NG"),Blank)</f>
        <v>OK</v>
      </c>
      <c r="P480" s="211" t="e" cm="1">
        <f t="array" ref="P480">IF(M480&lt;&gt;0,IF(M480&lt;J480,"OK","NG"),Blank)</f>
        <v>#NAME?</v>
      </c>
      <c r="Q480" s="211" t="e" cm="1">
        <f t="array" ref="Q480">IF(H480&lt;&gt;"Stop",IF(N480&lt;&gt;0,IF(N480&lt;=K480,"OK","NG"),Blank),"-")</f>
        <v>#REF!</v>
      </c>
      <c r="R480" s="326" t="e" cm="1">
        <f t="array" ref="R480">IF(H480&lt;&gt;"Stop",IF(E480&lt;&gt;0,IF(E480&lt;=K480,"OK","NG"),Blank),"-")</f>
        <v>#REF!</v>
      </c>
      <c r="S480" s="22"/>
      <c r="T480" s="221"/>
      <c r="U480"/>
    </row>
    <row r="481" spans="1:21" ht="30" hidden="1" x14ac:dyDescent="0.3">
      <c r="A481" s="318" t="e">
        <f>#REF!</f>
        <v>#REF!</v>
      </c>
      <c r="B481" s="305" t="e">
        <f>#REF!</f>
        <v>#REF!</v>
      </c>
      <c r="C481" s="305" t="str">
        <f>'Danh sách máy'!C476</f>
        <v>MKHC</v>
      </c>
      <c r="D481" s="90" t="e">
        <f>#REF!</f>
        <v>#REF!</v>
      </c>
      <c r="E481" s="97">
        <f>'Danh sách máy'!E476</f>
        <v>0</v>
      </c>
      <c r="F481" s="206" t="e">
        <f>#REF!</f>
        <v>#REF!</v>
      </c>
      <c r="G481" s="102" t="e">
        <f>#REF!</f>
        <v>#REF!</v>
      </c>
      <c r="H481" s="102" t="e">
        <f>#REF!</f>
        <v>#REF!</v>
      </c>
      <c r="I481" s="209">
        <v>44755</v>
      </c>
      <c r="J481" s="210"/>
      <c r="K481" s="210" t="e">
        <f>#REF!</f>
        <v>#REF!</v>
      </c>
      <c r="L481" s="210">
        <v>44750</v>
      </c>
      <c r="M481" s="210"/>
      <c r="N481" s="210">
        <f>'Danh sách máy'!F476</f>
        <v>0</v>
      </c>
      <c r="O481" s="211" t="str" cm="1">
        <f t="array" ref="O481">IF(L481&lt;&gt;0,IF(L481&lt;I481,"OK","NG"),Blank)</f>
        <v>OK</v>
      </c>
      <c r="P481" s="211" t="e" cm="1">
        <f t="array" ref="P481">IF(M481&lt;&gt;0,IF(M481&lt;J481,"OK","NG"),Blank)</f>
        <v>#NAME?</v>
      </c>
      <c r="Q481" s="211" t="e" cm="1">
        <f t="array" ref="Q481">IF(H481&lt;&gt;"Stop",IF(N481&lt;&gt;0,IF(N481&lt;=K481,"OK","NG"),Blank),"-")</f>
        <v>#REF!</v>
      </c>
      <c r="R481" s="326" t="e" cm="1">
        <f t="array" ref="R481">IF(H481&lt;&gt;"Stop",IF(E481&lt;&gt;0,IF(E481&lt;=K481,"OK","NG"),Blank),"-")</f>
        <v>#REF!</v>
      </c>
      <c r="S481" s="22"/>
      <c r="T481" s="221"/>
      <c r="U481"/>
    </row>
    <row r="482" spans="1:21" ht="30" hidden="1" x14ac:dyDescent="0.3">
      <c r="A482" s="318" t="e">
        <f>#REF!</f>
        <v>#REF!</v>
      </c>
      <c r="B482" s="305" t="e">
        <f>#REF!</f>
        <v>#REF!</v>
      </c>
      <c r="C482" s="305" t="str">
        <f>'Danh sách máy'!C477</f>
        <v>MKHC</v>
      </c>
      <c r="D482" s="90" t="e">
        <f>#REF!</f>
        <v>#REF!</v>
      </c>
      <c r="E482" s="97">
        <f>'Danh sách máy'!E477</f>
        <v>0</v>
      </c>
      <c r="F482" s="206" t="e">
        <f>#REF!</f>
        <v>#REF!</v>
      </c>
      <c r="G482" s="102" t="e">
        <f>#REF!</f>
        <v>#REF!</v>
      </c>
      <c r="H482" s="102" t="e">
        <f>#REF!</f>
        <v>#REF!</v>
      </c>
      <c r="I482" s="209">
        <v>44756</v>
      </c>
      <c r="J482" s="210"/>
      <c r="K482" s="210" t="e">
        <f>#REF!</f>
        <v>#REF!</v>
      </c>
      <c r="L482" s="210">
        <v>44751</v>
      </c>
      <c r="M482" s="210"/>
      <c r="N482" s="210">
        <f>'Danh sách máy'!F477</f>
        <v>0</v>
      </c>
      <c r="O482" s="211" t="str" cm="1">
        <f t="array" ref="O482">IF(L482&lt;&gt;0,IF(L482&lt;I482,"OK","NG"),Blank)</f>
        <v>OK</v>
      </c>
      <c r="P482" s="211" t="e" cm="1">
        <f t="array" ref="P482">IF(M482&lt;&gt;0,IF(M482&lt;J482,"OK","NG"),Blank)</f>
        <v>#NAME?</v>
      </c>
      <c r="Q482" s="211" t="e" cm="1">
        <f t="array" ref="Q482">IF(H482&lt;&gt;"Stop",IF(N482&lt;&gt;0,IF(N482&lt;=K482,"OK","NG"),Blank),"-")</f>
        <v>#REF!</v>
      </c>
      <c r="R482" s="326" t="e" cm="1">
        <f t="array" ref="R482">IF(H482&lt;&gt;"Stop",IF(E482&lt;&gt;0,IF(E482&lt;=K482,"OK","NG"),Blank),"-")</f>
        <v>#REF!</v>
      </c>
      <c r="S482" s="22"/>
      <c r="T482" s="221"/>
      <c r="U482"/>
    </row>
    <row r="483" spans="1:21" ht="30" hidden="1" x14ac:dyDescent="0.3">
      <c r="A483" s="318" t="e">
        <f>#REF!</f>
        <v>#REF!</v>
      </c>
      <c r="B483" s="305" t="e">
        <f>#REF!</f>
        <v>#REF!</v>
      </c>
      <c r="C483" s="305" t="str">
        <f>'Danh sách máy'!C478</f>
        <v>MKHC</v>
      </c>
      <c r="D483" s="90" t="e">
        <f>#REF!</f>
        <v>#REF!</v>
      </c>
      <c r="E483" s="97">
        <f>'Danh sách máy'!E478</f>
        <v>0</v>
      </c>
      <c r="F483" s="206" t="e">
        <f>#REF!</f>
        <v>#REF!</v>
      </c>
      <c r="G483" s="102" t="e">
        <f>#REF!</f>
        <v>#REF!</v>
      </c>
      <c r="H483" s="102" t="e">
        <f>#REF!</f>
        <v>#REF!</v>
      </c>
      <c r="I483" s="209">
        <v>44757</v>
      </c>
      <c r="J483" s="210"/>
      <c r="K483" s="210" t="e">
        <f>#REF!</f>
        <v>#REF!</v>
      </c>
      <c r="L483" s="210">
        <v>44752</v>
      </c>
      <c r="M483" s="210"/>
      <c r="N483" s="210">
        <f>'Danh sách máy'!F478</f>
        <v>0</v>
      </c>
      <c r="O483" s="211" t="str" cm="1">
        <f t="array" ref="O483">IF(L483&lt;&gt;0,IF(L483&lt;I483,"OK","NG"),Blank)</f>
        <v>OK</v>
      </c>
      <c r="P483" s="211" t="e" cm="1">
        <f t="array" ref="P483">IF(M483&lt;&gt;0,IF(M483&lt;J483,"OK","NG"),Blank)</f>
        <v>#NAME?</v>
      </c>
      <c r="Q483" s="211" t="e" cm="1">
        <f t="array" ref="Q483">IF(H483&lt;&gt;"Stop",IF(N483&lt;&gt;0,IF(N483&lt;=K483,"OK","NG"),Blank),"-")</f>
        <v>#REF!</v>
      </c>
      <c r="R483" s="326" t="e" cm="1">
        <f t="array" ref="R483">IF(H483&lt;&gt;"Stop",IF(E483&lt;&gt;0,IF(E483&lt;=K483,"OK","NG"),Blank),"-")</f>
        <v>#REF!</v>
      </c>
      <c r="S483" s="22"/>
      <c r="T483" s="221"/>
      <c r="U483"/>
    </row>
    <row r="484" spans="1:21" ht="30" hidden="1" x14ac:dyDescent="0.3">
      <c r="A484" s="318" t="e">
        <f>#REF!</f>
        <v>#REF!</v>
      </c>
      <c r="B484" s="305" t="e">
        <f>#REF!</f>
        <v>#REF!</v>
      </c>
      <c r="C484" s="305" t="str">
        <f>'Danh sách máy'!C479</f>
        <v>MKHC</v>
      </c>
      <c r="D484" s="90" t="e">
        <f>#REF!</f>
        <v>#REF!</v>
      </c>
      <c r="E484" s="97">
        <f>'Danh sách máy'!E479</f>
        <v>0</v>
      </c>
      <c r="F484" s="206" t="e">
        <f>#REF!</f>
        <v>#REF!</v>
      </c>
      <c r="G484" s="102" t="e">
        <f>#REF!</f>
        <v>#REF!</v>
      </c>
      <c r="H484" s="102" t="e">
        <f>#REF!</f>
        <v>#REF!</v>
      </c>
      <c r="I484" s="209">
        <v>44758</v>
      </c>
      <c r="J484" s="210"/>
      <c r="K484" s="210" t="e">
        <f>#REF!</f>
        <v>#REF!</v>
      </c>
      <c r="L484" s="210">
        <v>44753</v>
      </c>
      <c r="M484" s="210"/>
      <c r="N484" s="210">
        <f>'Danh sách máy'!F479</f>
        <v>0</v>
      </c>
      <c r="O484" s="211" t="str" cm="1">
        <f t="array" ref="O484">IF(L484&lt;&gt;0,IF(L484&lt;I484,"OK","NG"),Blank)</f>
        <v>OK</v>
      </c>
      <c r="P484" s="211" t="e" cm="1">
        <f t="array" ref="P484">IF(M484&lt;&gt;0,IF(M484&lt;J484,"OK","NG"),Blank)</f>
        <v>#NAME?</v>
      </c>
      <c r="Q484" s="211" t="e" cm="1">
        <f t="array" ref="Q484">IF(H484&lt;&gt;"Stop",IF(N484&lt;&gt;0,IF(N484&lt;=K484,"OK","NG"),Blank),"-")</f>
        <v>#REF!</v>
      </c>
      <c r="R484" s="326" t="e" cm="1">
        <f t="array" ref="R484">IF(H484&lt;&gt;"Stop",IF(E484&lt;&gt;0,IF(E484&lt;=K484,"OK","NG"),Blank),"-")</f>
        <v>#REF!</v>
      </c>
      <c r="S484" s="22"/>
      <c r="T484" s="221"/>
      <c r="U484"/>
    </row>
    <row r="485" spans="1:21" ht="30" hidden="1" x14ac:dyDescent="0.3">
      <c r="A485" s="318" t="e">
        <f>#REF!</f>
        <v>#REF!</v>
      </c>
      <c r="B485" s="305" t="e">
        <f>#REF!</f>
        <v>#REF!</v>
      </c>
      <c r="C485" s="305" t="str">
        <f>'Danh sách máy'!C480</f>
        <v>MKHC</v>
      </c>
      <c r="D485" s="90" t="e">
        <f>#REF!</f>
        <v>#REF!</v>
      </c>
      <c r="E485" s="97">
        <f>'Danh sách máy'!E480</f>
        <v>0</v>
      </c>
      <c r="F485" s="206" t="e">
        <f>#REF!</f>
        <v>#REF!</v>
      </c>
      <c r="G485" s="102" t="e">
        <f>#REF!</f>
        <v>#REF!</v>
      </c>
      <c r="H485" s="102" t="e">
        <f>#REF!</f>
        <v>#REF!</v>
      </c>
      <c r="I485" s="209">
        <v>44759</v>
      </c>
      <c r="J485" s="210"/>
      <c r="K485" s="210" t="e">
        <f>#REF!</f>
        <v>#REF!</v>
      </c>
      <c r="L485" s="210">
        <v>44754</v>
      </c>
      <c r="M485" s="210"/>
      <c r="N485" s="210">
        <f>'Danh sách máy'!F480</f>
        <v>0</v>
      </c>
      <c r="O485" s="211" t="str" cm="1">
        <f t="array" ref="O485">IF(L485&lt;&gt;0,IF(L485&lt;I485,"OK","NG"),Blank)</f>
        <v>OK</v>
      </c>
      <c r="P485" s="211" t="e" cm="1">
        <f t="array" ref="P485">IF(M485&lt;&gt;0,IF(M485&lt;J485,"OK","NG"),Blank)</f>
        <v>#NAME?</v>
      </c>
      <c r="Q485" s="211" t="e" cm="1">
        <f t="array" ref="Q485">IF(H485&lt;&gt;"Stop",IF(N485&lt;&gt;0,IF(N485&lt;=K485,"OK","NG"),Blank),"-")</f>
        <v>#REF!</v>
      </c>
      <c r="R485" s="326" t="e" cm="1">
        <f t="array" ref="R485">IF(H485&lt;&gt;"Stop",IF(E485&lt;&gt;0,IF(E485&lt;=K485,"OK","NG"),Blank),"-")</f>
        <v>#REF!</v>
      </c>
      <c r="S485" s="22"/>
      <c r="T485" s="221"/>
      <c r="U485"/>
    </row>
    <row r="486" spans="1:21" ht="30" hidden="1" x14ac:dyDescent="0.3">
      <c r="A486" s="318" t="e">
        <f>#REF!</f>
        <v>#REF!</v>
      </c>
      <c r="B486" s="305" t="e">
        <f>#REF!</f>
        <v>#REF!</v>
      </c>
      <c r="C486" s="305" t="str">
        <f>'Danh sách máy'!C481</f>
        <v>MKHC</v>
      </c>
      <c r="D486" s="90" t="e">
        <f>#REF!</f>
        <v>#REF!</v>
      </c>
      <c r="E486" s="97">
        <f>'Danh sách máy'!E481</f>
        <v>0</v>
      </c>
      <c r="F486" s="206" t="e">
        <f>#REF!</f>
        <v>#REF!</v>
      </c>
      <c r="G486" s="102" t="e">
        <f>#REF!</f>
        <v>#REF!</v>
      </c>
      <c r="H486" s="102" t="e">
        <f>#REF!</f>
        <v>#REF!</v>
      </c>
      <c r="I486" s="209">
        <v>44760</v>
      </c>
      <c r="J486" s="210"/>
      <c r="K486" s="210" t="e">
        <f>#REF!</f>
        <v>#REF!</v>
      </c>
      <c r="L486" s="210">
        <v>44755</v>
      </c>
      <c r="M486" s="210"/>
      <c r="N486" s="210">
        <f>'Danh sách máy'!F481</f>
        <v>0</v>
      </c>
      <c r="O486" s="211" t="str" cm="1">
        <f t="array" ref="O486">IF(L486&lt;&gt;0,IF(L486&lt;I486,"OK","NG"),Blank)</f>
        <v>OK</v>
      </c>
      <c r="P486" s="211" t="e" cm="1">
        <f t="array" ref="P486">IF(M486&lt;&gt;0,IF(M486&lt;J486,"OK","NG"),Blank)</f>
        <v>#NAME?</v>
      </c>
      <c r="Q486" s="211" t="e" cm="1">
        <f t="array" ref="Q486">IF(H486&lt;&gt;"Stop",IF(N486&lt;&gt;0,IF(N486&lt;=K486,"OK","NG"),Blank),"-")</f>
        <v>#REF!</v>
      </c>
      <c r="R486" s="326" t="e" cm="1">
        <f t="array" ref="R486">IF(H486&lt;&gt;"Stop",IF(E486&lt;&gt;0,IF(E486&lt;=K486,"OK","NG"),Blank),"-")</f>
        <v>#REF!</v>
      </c>
      <c r="S486" s="22"/>
      <c r="T486" s="221"/>
      <c r="U486"/>
    </row>
    <row r="487" spans="1:21" ht="30" x14ac:dyDescent="0.3">
      <c r="A487" s="318" t="e">
        <f>#REF!</f>
        <v>#REF!</v>
      </c>
      <c r="B487" s="305" t="e">
        <f>#REF!</f>
        <v>#REF!</v>
      </c>
      <c r="C487" s="305" t="str">
        <f>'Danh sách máy'!C482</f>
        <v>MKHC</v>
      </c>
      <c r="D487" s="90" t="e">
        <f>#REF!</f>
        <v>#REF!</v>
      </c>
      <c r="E487" s="97">
        <f>'Danh sách máy'!E482</f>
        <v>45873</v>
      </c>
      <c r="F487" s="206" t="e">
        <f>#REF!</f>
        <v>#REF!</v>
      </c>
      <c r="G487" s="102" t="e">
        <f>#REF!</f>
        <v>#REF!</v>
      </c>
      <c r="H487" s="102" t="e">
        <f>#REF!</f>
        <v>#REF!</v>
      </c>
      <c r="I487" s="209">
        <v>44761</v>
      </c>
      <c r="J487" s="210"/>
      <c r="K487" s="210" t="e">
        <f>#REF!</f>
        <v>#REF!</v>
      </c>
      <c r="L487" s="210">
        <v>44756</v>
      </c>
      <c r="M487" s="210"/>
      <c r="N487" s="210">
        <f>'Danh sách máy'!F482</f>
        <v>45873</v>
      </c>
      <c r="O487" s="211" t="str" cm="1">
        <f t="array" ref="O487">IF(L487&lt;&gt;0,IF(L487&lt;I487,"OK","NG"),Blank)</f>
        <v>OK</v>
      </c>
      <c r="P487" s="211" t="e" cm="1">
        <f t="array" ref="P487">IF(M487&lt;&gt;0,IF(M487&lt;J487,"OK","NG"),Blank)</f>
        <v>#NAME?</v>
      </c>
      <c r="Q487" s="211" t="e" cm="1">
        <f t="array" ref="Q487">IF(H487&lt;&gt;"Stop",IF(N487&lt;&gt;0,IF(N487&lt;=K487,"OK","NG"),Blank),"-")</f>
        <v>#REF!</v>
      </c>
      <c r="R487" s="326" t="e" cm="1">
        <f t="array" ref="R487">IF(H487&lt;&gt;"Stop",IF(E487&lt;&gt;0,IF(E487&lt;=K487,"OK","NG"),Blank),"-")</f>
        <v>#REF!</v>
      </c>
      <c r="S487" s="22"/>
      <c r="T487" s="221"/>
      <c r="U487"/>
    </row>
    <row r="488" spans="1:21" ht="15" x14ac:dyDescent="0.3">
      <c r="A488" s="318" t="e">
        <f>#REF!</f>
        <v>#REF!</v>
      </c>
      <c r="B488" s="305" t="e">
        <f>#REF!</f>
        <v>#REF!</v>
      </c>
      <c r="C488" s="305" t="str">
        <f>'Danh sách máy'!C483</f>
        <v>MKVC</v>
      </c>
      <c r="D488" s="90" t="e">
        <f>#REF!</f>
        <v>#REF!</v>
      </c>
      <c r="E488" s="97">
        <f>'Danh sách máy'!E483</f>
        <v>45976</v>
      </c>
      <c r="F488" s="206" t="e">
        <f>#REF!</f>
        <v>#REF!</v>
      </c>
      <c r="G488" s="102" t="e">
        <f>#REF!</f>
        <v>#REF!</v>
      </c>
      <c r="H488" s="102" t="e">
        <f>#REF!</f>
        <v>#REF!</v>
      </c>
      <c r="I488" s="209">
        <v>44762</v>
      </c>
      <c r="J488" s="210"/>
      <c r="K488" s="210" t="e">
        <f>#REF!</f>
        <v>#REF!</v>
      </c>
      <c r="L488" s="210">
        <v>44757</v>
      </c>
      <c r="M488" s="210"/>
      <c r="N488" s="210">
        <f>'Danh sách máy'!F483</f>
        <v>46023</v>
      </c>
      <c r="O488" s="211" t="str" cm="1">
        <f t="array" ref="O488">IF(L488&lt;&gt;0,IF(L488&lt;I488,"OK","NG"),Blank)</f>
        <v>OK</v>
      </c>
      <c r="P488" s="211" t="e" cm="1">
        <f t="array" ref="P488">IF(M488&lt;&gt;0,IF(M488&lt;J488,"OK","NG"),Blank)</f>
        <v>#NAME?</v>
      </c>
      <c r="Q488" s="211" t="e" cm="1">
        <f t="array" ref="Q488">IF(H488&lt;&gt;"Stop",IF(N488&lt;&gt;0,IF(N488&lt;=K488,"OK","NG"),Blank),"-")</f>
        <v>#REF!</v>
      </c>
      <c r="R488" s="326" t="e" cm="1">
        <f t="array" ref="R488">IF(H488&lt;&gt;"Stop",IF(E488&lt;&gt;0,IF(E488&lt;=K488,"OK","NG"),Blank),"-")</f>
        <v>#REF!</v>
      </c>
      <c r="S488" s="22"/>
      <c r="T488" s="221"/>
      <c r="U488"/>
    </row>
    <row r="489" spans="1:21" ht="15" x14ac:dyDescent="0.3">
      <c r="A489" s="318" t="e">
        <f>#REF!</f>
        <v>#REF!</v>
      </c>
      <c r="B489" s="305" t="e">
        <f>#REF!</f>
        <v>#REF!</v>
      </c>
      <c r="C489" s="305" t="str">
        <f>'Danh sách máy'!C484</f>
        <v>MKVC</v>
      </c>
      <c r="D489" s="90" t="e">
        <f>#REF!</f>
        <v>#REF!</v>
      </c>
      <c r="E489" s="97">
        <f>'Danh sách máy'!E484</f>
        <v>45989</v>
      </c>
      <c r="F489" s="206" t="e">
        <f>#REF!</f>
        <v>#REF!</v>
      </c>
      <c r="G489" s="102" t="e">
        <f>#REF!</f>
        <v>#REF!</v>
      </c>
      <c r="H489" s="102" t="e">
        <f>#REF!</f>
        <v>#REF!</v>
      </c>
      <c r="I489" s="209">
        <v>44763</v>
      </c>
      <c r="J489" s="210"/>
      <c r="K489" s="210" t="e">
        <f>#REF!</f>
        <v>#REF!</v>
      </c>
      <c r="L489" s="210">
        <v>44758</v>
      </c>
      <c r="M489" s="210"/>
      <c r="N489" s="210">
        <f>'Danh sách máy'!F484</f>
        <v>46023</v>
      </c>
      <c r="O489" s="211" t="str" cm="1">
        <f t="array" ref="O489">IF(L489&lt;&gt;0,IF(L489&lt;I489,"OK","NG"),Blank)</f>
        <v>OK</v>
      </c>
      <c r="P489" s="211" t="e" cm="1">
        <f t="array" ref="P489">IF(M489&lt;&gt;0,IF(M489&lt;J489,"OK","NG"),Blank)</f>
        <v>#NAME?</v>
      </c>
      <c r="Q489" s="211" t="e" cm="1">
        <f t="array" ref="Q489">IF(H489&lt;&gt;"Stop",IF(N489&lt;&gt;0,IF(N489&lt;=K489,"OK","NG"),Blank),"-")</f>
        <v>#REF!</v>
      </c>
      <c r="R489" s="326" t="e" cm="1">
        <f t="array" ref="R489">IF(H489&lt;&gt;"Stop",IF(E489&lt;&gt;0,IF(E489&lt;=K489,"OK","NG"),Blank),"-")</f>
        <v>#REF!</v>
      </c>
      <c r="S489" s="22"/>
      <c r="T489" s="221"/>
      <c r="U489"/>
    </row>
    <row r="490" spans="1:21" ht="15" x14ac:dyDescent="0.3">
      <c r="A490" s="318" t="e">
        <f>#REF!</f>
        <v>#REF!</v>
      </c>
      <c r="B490" s="305" t="e">
        <f>#REF!</f>
        <v>#REF!</v>
      </c>
      <c r="C490" s="305" t="str">
        <f>'Danh sách máy'!C485</f>
        <v>MKVC</v>
      </c>
      <c r="D490" s="90" t="e">
        <f>#REF!</f>
        <v>#REF!</v>
      </c>
      <c r="E490" s="97">
        <f>'Danh sách máy'!E485</f>
        <v>45782</v>
      </c>
      <c r="F490" s="206" t="e">
        <f>#REF!</f>
        <v>#REF!</v>
      </c>
      <c r="G490" s="102" t="e">
        <f>#REF!</f>
        <v>#REF!</v>
      </c>
      <c r="H490" s="102" t="e">
        <f>#REF!</f>
        <v>#REF!</v>
      </c>
      <c r="I490" s="209">
        <v>44764</v>
      </c>
      <c r="J490" s="210"/>
      <c r="K490" s="210" t="e">
        <f>#REF!</f>
        <v>#REF!</v>
      </c>
      <c r="L490" s="210">
        <v>44759</v>
      </c>
      <c r="M490" s="210"/>
      <c r="N490" s="210">
        <f>'Danh sách máy'!F485</f>
        <v>45789</v>
      </c>
      <c r="O490" s="211" t="str" cm="1">
        <f t="array" ref="O490">IF(L490&lt;&gt;0,IF(L490&lt;I490,"OK","NG"),Blank)</f>
        <v>OK</v>
      </c>
      <c r="P490" s="211" t="e" cm="1">
        <f t="array" ref="P490">IF(M490&lt;&gt;0,IF(M490&lt;J490,"OK","NG"),Blank)</f>
        <v>#NAME?</v>
      </c>
      <c r="Q490" s="211" t="e" cm="1">
        <f t="array" ref="Q490">IF(H490&lt;&gt;"Stop",IF(N490&lt;&gt;0,IF(N490&lt;=K490,"OK","NG"),Blank),"-")</f>
        <v>#REF!</v>
      </c>
      <c r="R490" s="326" t="e" cm="1">
        <f t="array" ref="R490">IF(H490&lt;&gt;"Stop",IF(E490&lt;&gt;0,IF(E490&lt;=K490,"OK","NG"),Blank),"-")</f>
        <v>#REF!</v>
      </c>
      <c r="S490" s="22"/>
      <c r="T490" s="221"/>
      <c r="U490"/>
    </row>
    <row r="491" spans="1:21" ht="15" hidden="1" x14ac:dyDescent="0.3">
      <c r="A491" s="318" t="e">
        <f>#REF!</f>
        <v>#REF!</v>
      </c>
      <c r="B491" s="305" t="e">
        <f>#REF!</f>
        <v>#REF!</v>
      </c>
      <c r="C491" s="305" t="str">
        <f>'Danh sách máy'!C486</f>
        <v>MKVC</v>
      </c>
      <c r="D491" s="90" t="e">
        <f>#REF!</f>
        <v>#REF!</v>
      </c>
      <c r="E491" s="97">
        <f>'Danh sách máy'!E486</f>
        <v>45961</v>
      </c>
      <c r="F491" s="206" t="e">
        <f>#REF!</f>
        <v>#REF!</v>
      </c>
      <c r="G491" s="102" t="e">
        <f>#REF!</f>
        <v>#REF!</v>
      </c>
      <c r="H491" s="102" t="e">
        <f>#REF!</f>
        <v>#REF!</v>
      </c>
      <c r="I491" s="209">
        <v>44765</v>
      </c>
      <c r="J491" s="210"/>
      <c r="K491" s="210" t="e">
        <f>#REF!</f>
        <v>#REF!</v>
      </c>
      <c r="L491" s="210">
        <v>44760</v>
      </c>
      <c r="M491" s="210"/>
      <c r="N491" s="210">
        <f>'Danh sách máy'!F486</f>
        <v>0</v>
      </c>
      <c r="O491" s="211" t="str" cm="1">
        <f t="array" ref="O491">IF(L491&lt;&gt;0,IF(L491&lt;I491,"OK","NG"),Blank)</f>
        <v>OK</v>
      </c>
      <c r="P491" s="211" t="e" cm="1">
        <f t="array" ref="P491">IF(M491&lt;&gt;0,IF(M491&lt;J491,"OK","NG"),Blank)</f>
        <v>#NAME?</v>
      </c>
      <c r="Q491" s="211" t="e" cm="1">
        <f t="array" ref="Q491">IF(H491&lt;&gt;"Stop",IF(N491&lt;&gt;0,IF(N491&lt;=K491,"OK","NG"),Blank),"-")</f>
        <v>#REF!</v>
      </c>
      <c r="R491" s="326" t="e" cm="1">
        <f t="array" ref="R491">IF(H491&lt;&gt;"Stop",IF(E491&lt;&gt;0,IF(E491&lt;=K491,"OK","NG"),Blank),"-")</f>
        <v>#REF!</v>
      </c>
      <c r="S491" s="22"/>
      <c r="T491" s="221"/>
      <c r="U491"/>
    </row>
    <row r="492" spans="1:21" ht="15" hidden="1" x14ac:dyDescent="0.3">
      <c r="A492" s="318" t="e">
        <f>#REF!</f>
        <v>#REF!</v>
      </c>
      <c r="B492" s="305" t="e">
        <f>#REF!</f>
        <v>#REF!</v>
      </c>
      <c r="C492" s="305" t="str">
        <f>'Danh sách máy'!C487</f>
        <v>MKVC</v>
      </c>
      <c r="D492" s="90" t="e">
        <f>#REF!</f>
        <v>#REF!</v>
      </c>
      <c r="E492" s="97">
        <f>'Danh sách máy'!E487</f>
        <v>45961</v>
      </c>
      <c r="F492" s="206" t="e">
        <f>#REF!</f>
        <v>#REF!</v>
      </c>
      <c r="G492" s="102" t="e">
        <f>#REF!</f>
        <v>#REF!</v>
      </c>
      <c r="H492" s="102" t="e">
        <f>#REF!</f>
        <v>#REF!</v>
      </c>
      <c r="I492" s="209">
        <v>44766</v>
      </c>
      <c r="J492" s="210"/>
      <c r="K492" s="210" t="e">
        <f>#REF!</f>
        <v>#REF!</v>
      </c>
      <c r="L492" s="210">
        <v>44761</v>
      </c>
      <c r="M492" s="210"/>
      <c r="N492" s="210">
        <f>'Danh sách máy'!F487</f>
        <v>0</v>
      </c>
      <c r="O492" s="211" t="str" cm="1">
        <f t="array" ref="O492">IF(L492&lt;&gt;0,IF(L492&lt;I492,"OK","NG"),Blank)</f>
        <v>OK</v>
      </c>
      <c r="P492" s="211" t="e" cm="1">
        <f t="array" ref="P492">IF(M492&lt;&gt;0,IF(M492&lt;J492,"OK","NG"),Blank)</f>
        <v>#NAME?</v>
      </c>
      <c r="Q492" s="211" t="e" cm="1">
        <f t="array" ref="Q492">IF(H492&lt;&gt;"Stop",IF(N492&lt;&gt;0,IF(N492&lt;=K492,"OK","NG"),Blank),"-")</f>
        <v>#REF!</v>
      </c>
      <c r="R492" s="326" t="e" cm="1">
        <f t="array" ref="R492">IF(H492&lt;&gt;"Stop",IF(E492&lt;&gt;0,IF(E492&lt;=K492,"OK","NG"),Blank),"-")</f>
        <v>#REF!</v>
      </c>
      <c r="S492" s="22"/>
      <c r="T492" s="221"/>
      <c r="U492"/>
    </row>
    <row r="493" spans="1:21" ht="15" x14ac:dyDescent="0.3">
      <c r="A493" s="318" t="e">
        <f>#REF!</f>
        <v>#REF!</v>
      </c>
      <c r="B493" s="305" t="e">
        <f>#REF!</f>
        <v>#REF!</v>
      </c>
      <c r="C493" s="305" t="str">
        <f>'Danh sách máy'!C488</f>
        <v>MKVC</v>
      </c>
      <c r="D493" s="90" t="e">
        <f>#REF!</f>
        <v>#REF!</v>
      </c>
      <c r="E493" s="97">
        <f>'Danh sách máy'!E488</f>
        <v>45782</v>
      </c>
      <c r="F493" s="206" t="e">
        <f>#REF!</f>
        <v>#REF!</v>
      </c>
      <c r="G493" s="102" t="e">
        <f>#REF!</f>
        <v>#REF!</v>
      </c>
      <c r="H493" s="102" t="e">
        <f>#REF!</f>
        <v>#REF!</v>
      </c>
      <c r="I493" s="209">
        <v>44767</v>
      </c>
      <c r="J493" s="210"/>
      <c r="K493" s="210" t="e">
        <f>#REF!</f>
        <v>#REF!</v>
      </c>
      <c r="L493" s="210">
        <v>44762</v>
      </c>
      <c r="M493" s="210"/>
      <c r="N493" s="210">
        <f>'Danh sách máy'!F488</f>
        <v>45789</v>
      </c>
      <c r="O493" s="211" t="str" cm="1">
        <f t="array" ref="O493">IF(L493&lt;&gt;0,IF(L493&lt;I493,"OK","NG"),Blank)</f>
        <v>OK</v>
      </c>
      <c r="P493" s="211" t="e" cm="1">
        <f t="array" ref="P493">IF(M493&lt;&gt;0,IF(M493&lt;J493,"OK","NG"),Blank)</f>
        <v>#NAME?</v>
      </c>
      <c r="Q493" s="211" t="e" cm="1">
        <f t="array" ref="Q493">IF(H493&lt;&gt;"Stop",IF(N493&lt;&gt;0,IF(N493&lt;=K493,"OK","NG"),Blank),"-")</f>
        <v>#REF!</v>
      </c>
      <c r="R493" s="326" t="e" cm="1">
        <f t="array" ref="R493">IF(H493&lt;&gt;"Stop",IF(E493&lt;&gt;0,IF(E493&lt;=K493,"OK","NG"),Blank),"-")</f>
        <v>#REF!</v>
      </c>
      <c r="S493" s="22"/>
      <c r="T493" s="221"/>
      <c r="U493"/>
    </row>
    <row r="494" spans="1:21" ht="30" hidden="1" x14ac:dyDescent="0.3">
      <c r="A494" s="318" t="e">
        <f>#REF!</f>
        <v>#REF!</v>
      </c>
      <c r="B494" s="305" t="e">
        <f>#REF!</f>
        <v>#REF!</v>
      </c>
      <c r="C494" s="305" t="str">
        <f>'Danh sách máy'!C489</f>
        <v>MKHC</v>
      </c>
      <c r="D494" s="90" t="e">
        <f>#REF!</f>
        <v>#REF!</v>
      </c>
      <c r="E494" s="97">
        <f>'Danh sách máy'!E489</f>
        <v>0</v>
      </c>
      <c r="F494" s="206" t="e">
        <f>#REF!</f>
        <v>#REF!</v>
      </c>
      <c r="G494" s="102" t="e">
        <f>#REF!</f>
        <v>#REF!</v>
      </c>
      <c r="H494" s="102" t="e">
        <f>#REF!</f>
        <v>#REF!</v>
      </c>
      <c r="I494" s="209">
        <v>44768</v>
      </c>
      <c r="J494" s="210"/>
      <c r="K494" s="210" t="e">
        <f>#REF!</f>
        <v>#REF!</v>
      </c>
      <c r="L494" s="210">
        <v>44763</v>
      </c>
      <c r="M494" s="210"/>
      <c r="N494" s="210">
        <f>'Danh sách máy'!F489</f>
        <v>0</v>
      </c>
      <c r="O494" s="211" t="str" cm="1">
        <f t="array" ref="O494">IF(L494&lt;&gt;0,IF(L494&lt;I494,"OK","NG"),Blank)</f>
        <v>OK</v>
      </c>
      <c r="P494" s="211" t="e" cm="1">
        <f t="array" ref="P494">IF(M494&lt;&gt;0,IF(M494&lt;J494,"OK","NG"),Blank)</f>
        <v>#NAME?</v>
      </c>
      <c r="Q494" s="211" t="e" cm="1">
        <f t="array" ref="Q494">IF(H494&lt;&gt;"Stop",IF(N494&lt;&gt;0,IF(N494&lt;=K494,"OK","NG"),Blank),"-")</f>
        <v>#REF!</v>
      </c>
      <c r="R494" s="326" t="e" cm="1">
        <f t="array" ref="R494">IF(H494&lt;&gt;"Stop",IF(E494&lt;&gt;0,IF(E494&lt;=K494,"OK","NG"),Blank),"-")</f>
        <v>#REF!</v>
      </c>
      <c r="S494" s="22"/>
      <c r="T494" s="221"/>
      <c r="U494"/>
    </row>
    <row r="495" spans="1:21" ht="15" x14ac:dyDescent="0.3">
      <c r="A495" s="318" t="e">
        <f>#REF!</f>
        <v>#REF!</v>
      </c>
      <c r="B495" s="305" t="e">
        <f>#REF!</f>
        <v>#REF!</v>
      </c>
      <c r="C495" s="305" t="str">
        <f>'Danh sách máy'!C490</f>
        <v>MKHC</v>
      </c>
      <c r="D495" s="90" t="e">
        <f>#REF!</f>
        <v>#REF!</v>
      </c>
      <c r="E495" s="97">
        <f>'Danh sách máy'!E490</f>
        <v>45873</v>
      </c>
      <c r="F495" s="206" t="e">
        <f>#REF!</f>
        <v>#REF!</v>
      </c>
      <c r="G495" s="102" t="e">
        <f>#REF!</f>
        <v>#REF!</v>
      </c>
      <c r="H495" s="102" t="e">
        <f>#REF!</f>
        <v>#REF!</v>
      </c>
      <c r="I495" s="209">
        <v>44769</v>
      </c>
      <c r="J495" s="210"/>
      <c r="K495" s="210" t="e">
        <f>#REF!</f>
        <v>#REF!</v>
      </c>
      <c r="L495" s="210">
        <v>44764</v>
      </c>
      <c r="M495" s="210"/>
      <c r="N495" s="210">
        <f>'Danh sách máy'!F490</f>
        <v>45873</v>
      </c>
      <c r="O495" s="211" t="str" cm="1">
        <f t="array" ref="O495">IF(L495&lt;&gt;0,IF(L495&lt;I495,"OK","NG"),Blank)</f>
        <v>OK</v>
      </c>
      <c r="P495" s="211" t="e" cm="1">
        <f t="array" ref="P495">IF(M495&lt;&gt;0,IF(M495&lt;J495,"OK","NG"),Blank)</f>
        <v>#NAME?</v>
      </c>
      <c r="Q495" s="211" t="e" cm="1">
        <f t="array" ref="Q495">IF(H495&lt;&gt;"Stop",IF(N495&lt;&gt;0,IF(N495&lt;=K495,"OK","NG"),Blank),"-")</f>
        <v>#REF!</v>
      </c>
      <c r="R495" s="326" t="e" cm="1">
        <f t="array" ref="R495">IF(H495&lt;&gt;"Stop",IF(E495&lt;&gt;0,IF(E495&lt;=K495,"OK","NG"),Blank),"-")</f>
        <v>#REF!</v>
      </c>
      <c r="S495" s="22"/>
      <c r="T495" s="221"/>
      <c r="U495"/>
    </row>
    <row r="496" spans="1:21" ht="15" x14ac:dyDescent="0.3">
      <c r="A496" s="318" t="e">
        <f>#REF!</f>
        <v>#REF!</v>
      </c>
      <c r="B496" s="305" t="e">
        <f>#REF!</f>
        <v>#REF!</v>
      </c>
      <c r="C496" s="305" t="str">
        <f>'Danh sách máy'!C491</f>
        <v>MKHC</v>
      </c>
      <c r="D496" s="90" t="e">
        <f>#REF!</f>
        <v>#REF!</v>
      </c>
      <c r="E496" s="97">
        <f>'Danh sách máy'!E491</f>
        <v>45866</v>
      </c>
      <c r="F496" s="206" t="e">
        <f>#REF!</f>
        <v>#REF!</v>
      </c>
      <c r="G496" s="102" t="e">
        <f>#REF!</f>
        <v>#REF!</v>
      </c>
      <c r="H496" s="102" t="e">
        <f>#REF!</f>
        <v>#REF!</v>
      </c>
      <c r="I496" s="209">
        <v>44770</v>
      </c>
      <c r="J496" s="210"/>
      <c r="K496" s="210" t="e">
        <f>#REF!</f>
        <v>#REF!</v>
      </c>
      <c r="L496" s="210">
        <v>44765</v>
      </c>
      <c r="M496" s="210"/>
      <c r="N496" s="210">
        <f>'Danh sách máy'!F491</f>
        <v>45866</v>
      </c>
      <c r="O496" s="211" t="str" cm="1">
        <f t="array" ref="O496">IF(L496&lt;&gt;0,IF(L496&lt;I496,"OK","NG"),Blank)</f>
        <v>OK</v>
      </c>
      <c r="P496" s="211" t="e" cm="1">
        <f t="array" ref="P496">IF(M496&lt;&gt;0,IF(M496&lt;J496,"OK","NG"),Blank)</f>
        <v>#NAME?</v>
      </c>
      <c r="Q496" s="211" t="e" cm="1">
        <f t="array" ref="Q496">IF(H496&lt;&gt;"Stop",IF(N496&lt;&gt;0,IF(N496&lt;=K496,"OK","NG"),Blank),"-")</f>
        <v>#REF!</v>
      </c>
      <c r="R496" s="326" t="e" cm="1">
        <f t="array" ref="R496">IF(H496&lt;&gt;"Stop",IF(E496&lt;&gt;0,IF(E496&lt;=K496,"OK","NG"),Blank),"-")</f>
        <v>#REF!</v>
      </c>
      <c r="S496" s="22"/>
      <c r="T496" s="221"/>
      <c r="U496"/>
    </row>
    <row r="497" spans="1:21" ht="15" x14ac:dyDescent="0.3">
      <c r="A497" s="318" t="e">
        <f>#REF!</f>
        <v>#REF!</v>
      </c>
      <c r="B497" s="305" t="e">
        <f>#REF!</f>
        <v>#REF!</v>
      </c>
      <c r="C497" s="305" t="str">
        <f>'Danh sách máy'!C492</f>
        <v>MKVC</v>
      </c>
      <c r="D497" s="90" t="e">
        <f>#REF!</f>
        <v>#REF!</v>
      </c>
      <c r="E497" s="97">
        <f>'Danh sách máy'!E492</f>
        <v>45681</v>
      </c>
      <c r="F497" s="206" t="e">
        <f>#REF!</f>
        <v>#REF!</v>
      </c>
      <c r="G497" s="102" t="e">
        <f>#REF!</f>
        <v>#REF!</v>
      </c>
      <c r="H497" s="102" t="e">
        <f>#REF!</f>
        <v>#REF!</v>
      </c>
      <c r="I497" s="209">
        <v>44771</v>
      </c>
      <c r="J497" s="210"/>
      <c r="K497" s="210" t="e">
        <f>#REF!</f>
        <v>#REF!</v>
      </c>
      <c r="L497" s="210">
        <v>44766</v>
      </c>
      <c r="M497" s="210"/>
      <c r="N497" s="210">
        <f>'Danh sách máy'!F492</f>
        <v>45789</v>
      </c>
      <c r="O497" s="211" t="str" cm="1">
        <f t="array" ref="O497">IF(L497&lt;&gt;0,IF(L497&lt;I497,"OK","NG"),Blank)</f>
        <v>OK</v>
      </c>
      <c r="P497" s="211" t="e" cm="1">
        <f t="array" ref="P497">IF(M497&lt;&gt;0,IF(M497&lt;J497,"OK","NG"),Blank)</f>
        <v>#NAME?</v>
      </c>
      <c r="Q497" s="211" t="e" cm="1">
        <f t="array" ref="Q497">IF(H497&lt;&gt;"Stop",IF(N497&lt;&gt;0,IF(N497&lt;=K497,"OK","NG"),Blank),"-")</f>
        <v>#REF!</v>
      </c>
      <c r="R497" s="326" t="e" cm="1">
        <f t="array" ref="R497">IF(H497&lt;&gt;"Stop",IF(E497&lt;&gt;0,IF(E497&lt;=K497,"OK","NG"),Blank),"-")</f>
        <v>#REF!</v>
      </c>
      <c r="S497" s="22"/>
      <c r="T497" s="221"/>
      <c r="U497"/>
    </row>
    <row r="498" spans="1:21" ht="15" hidden="1" x14ac:dyDescent="0.3">
      <c r="A498" s="318" t="e">
        <f>#REF!</f>
        <v>#REF!</v>
      </c>
      <c r="B498" s="305" t="e">
        <f>#REF!</f>
        <v>#REF!</v>
      </c>
      <c r="C498" s="305" t="str">
        <f>'Danh sách máy'!C493</f>
        <v>MKVC</v>
      </c>
      <c r="D498" s="90" t="e">
        <f>#REF!</f>
        <v>#REF!</v>
      </c>
      <c r="E498" s="97">
        <f>'Danh sách máy'!E493</f>
        <v>45888</v>
      </c>
      <c r="F498" s="206" t="e">
        <f>#REF!</f>
        <v>#REF!</v>
      </c>
      <c r="G498" s="102" t="e">
        <f>#REF!</f>
        <v>#REF!</v>
      </c>
      <c r="H498" s="102" t="e">
        <f>#REF!</f>
        <v>#REF!</v>
      </c>
      <c r="I498" s="209">
        <v>44772</v>
      </c>
      <c r="J498" s="210"/>
      <c r="K498" s="210" t="e">
        <f>#REF!</f>
        <v>#REF!</v>
      </c>
      <c r="L498" s="210">
        <v>44767</v>
      </c>
      <c r="M498" s="210"/>
      <c r="N498" s="210">
        <f>'Danh sách máy'!F493</f>
        <v>0</v>
      </c>
      <c r="O498" s="211" t="str" cm="1">
        <f t="array" ref="O498">IF(L498&lt;&gt;0,IF(L498&lt;I498,"OK","NG"),Blank)</f>
        <v>OK</v>
      </c>
      <c r="P498" s="211" t="e" cm="1">
        <f t="array" ref="P498">IF(M498&lt;&gt;0,IF(M498&lt;J498,"OK","NG"),Blank)</f>
        <v>#NAME?</v>
      </c>
      <c r="Q498" s="211" t="e" cm="1">
        <f t="array" ref="Q498">IF(H498&lt;&gt;"Stop",IF(N498&lt;&gt;0,IF(N498&lt;=K498,"OK","NG"),Blank),"-")</f>
        <v>#REF!</v>
      </c>
      <c r="R498" s="326" t="e" cm="1">
        <f t="array" ref="R498">IF(H498&lt;&gt;"Stop",IF(E498&lt;&gt;0,IF(E498&lt;=K498,"OK","NG"),Blank),"-")</f>
        <v>#REF!</v>
      </c>
      <c r="S498" s="22"/>
      <c r="T498" s="221"/>
      <c r="U498"/>
    </row>
    <row r="499" spans="1:21" ht="15" hidden="1" x14ac:dyDescent="0.3">
      <c r="A499" s="318" t="e">
        <f>#REF!</f>
        <v>#REF!</v>
      </c>
      <c r="B499" s="305" t="e">
        <f>#REF!</f>
        <v>#REF!</v>
      </c>
      <c r="C499" s="305" t="str">
        <f>'Danh sách máy'!C494</f>
        <v>MKVC</v>
      </c>
      <c r="D499" s="90" t="e">
        <f>#REF!</f>
        <v>#REF!</v>
      </c>
      <c r="E499" s="97">
        <f>'Danh sách máy'!E494</f>
        <v>45989</v>
      </c>
      <c r="F499" s="206" t="e">
        <f>#REF!</f>
        <v>#REF!</v>
      </c>
      <c r="G499" s="102" t="e">
        <f>#REF!</f>
        <v>#REF!</v>
      </c>
      <c r="H499" s="102" t="e">
        <f>#REF!</f>
        <v>#REF!</v>
      </c>
      <c r="I499" s="209">
        <v>44773</v>
      </c>
      <c r="J499" s="210"/>
      <c r="K499" s="210" t="e">
        <f>#REF!</f>
        <v>#REF!</v>
      </c>
      <c r="L499" s="210">
        <v>44768</v>
      </c>
      <c r="M499" s="210"/>
      <c r="N499" s="210">
        <f>'Danh sách máy'!F494</f>
        <v>0</v>
      </c>
      <c r="O499" s="211" t="str" cm="1">
        <f t="array" ref="O499">IF(L499&lt;&gt;0,IF(L499&lt;I499,"OK","NG"),Blank)</f>
        <v>OK</v>
      </c>
      <c r="P499" s="211" t="e" cm="1">
        <f t="array" ref="P499">IF(M499&lt;&gt;0,IF(M499&lt;J499,"OK","NG"),Blank)</f>
        <v>#NAME?</v>
      </c>
      <c r="Q499" s="211" t="e" cm="1">
        <f t="array" ref="Q499">IF(H499&lt;&gt;"Stop",IF(N499&lt;&gt;0,IF(N499&lt;=K499,"OK","NG"),Blank),"-")</f>
        <v>#REF!</v>
      </c>
      <c r="R499" s="326" t="e" cm="1">
        <f t="array" ref="R499">IF(H499&lt;&gt;"Stop",IF(E499&lt;&gt;0,IF(E499&lt;=K499,"OK","NG"),Blank),"-")</f>
        <v>#REF!</v>
      </c>
      <c r="S499" s="22"/>
      <c r="T499" s="221"/>
      <c r="U499"/>
    </row>
    <row r="500" spans="1:21" ht="15" hidden="1" x14ac:dyDescent="0.3">
      <c r="A500" s="318" t="e">
        <f>#REF!</f>
        <v>#REF!</v>
      </c>
      <c r="B500" s="305" t="e">
        <f>#REF!</f>
        <v>#REF!</v>
      </c>
      <c r="C500" s="305" t="str">
        <f>'Danh sách máy'!C495</f>
        <v>MKVC</v>
      </c>
      <c r="D500" s="90" t="e">
        <f>#REF!</f>
        <v>#REF!</v>
      </c>
      <c r="E500" s="97">
        <f>'Danh sách máy'!E495</f>
        <v>45954</v>
      </c>
      <c r="F500" s="206" t="e">
        <f>#REF!</f>
        <v>#REF!</v>
      </c>
      <c r="G500" s="102" t="e">
        <f>#REF!</f>
        <v>#REF!</v>
      </c>
      <c r="H500" s="102" t="e">
        <f>#REF!</f>
        <v>#REF!</v>
      </c>
      <c r="I500" s="209">
        <v>44774</v>
      </c>
      <c r="J500" s="210"/>
      <c r="K500" s="210" t="e">
        <f>#REF!</f>
        <v>#REF!</v>
      </c>
      <c r="L500" s="210">
        <v>44769</v>
      </c>
      <c r="M500" s="210"/>
      <c r="N500" s="210">
        <f>'Danh sách máy'!F495</f>
        <v>0</v>
      </c>
      <c r="O500" s="211" t="str" cm="1">
        <f t="array" ref="O500">IF(L500&lt;&gt;0,IF(L500&lt;I500,"OK","NG"),Blank)</f>
        <v>OK</v>
      </c>
      <c r="P500" s="211" t="e" cm="1">
        <f t="array" ref="P500">IF(M500&lt;&gt;0,IF(M500&lt;J500,"OK","NG"),Blank)</f>
        <v>#NAME?</v>
      </c>
      <c r="Q500" s="211" t="e" cm="1">
        <f t="array" ref="Q500">IF(H500&lt;&gt;"Stop",IF(N500&lt;&gt;0,IF(N500&lt;=K500,"OK","NG"),Blank),"-")</f>
        <v>#REF!</v>
      </c>
      <c r="R500" s="326" t="e" cm="1">
        <f t="array" ref="R500">IF(H500&lt;&gt;"Stop",IF(E500&lt;&gt;0,IF(E500&lt;=K500,"OK","NG"),Blank),"-")</f>
        <v>#REF!</v>
      </c>
      <c r="S500" s="22"/>
      <c r="T500" s="221"/>
      <c r="U500"/>
    </row>
    <row r="501" spans="1:21" ht="15" x14ac:dyDescent="0.3">
      <c r="A501" s="318" t="e">
        <f>#REF!</f>
        <v>#REF!</v>
      </c>
      <c r="B501" s="305" t="e">
        <f>#REF!</f>
        <v>#REF!</v>
      </c>
      <c r="C501" s="305" t="str">
        <f>'Danh sách máy'!C496</f>
        <v>Fact.4</v>
      </c>
      <c r="D501" s="90" t="e">
        <f>#REF!</f>
        <v>#REF!</v>
      </c>
      <c r="E501" s="97">
        <f>'Danh sách máy'!E496</f>
        <v>45825</v>
      </c>
      <c r="F501" s="206" t="e">
        <f>#REF!</f>
        <v>#REF!</v>
      </c>
      <c r="G501" s="102" t="e">
        <f>#REF!</f>
        <v>#REF!</v>
      </c>
      <c r="H501" s="102" t="e">
        <f>#REF!</f>
        <v>#REF!</v>
      </c>
      <c r="I501" s="209">
        <v>44775</v>
      </c>
      <c r="J501" s="210"/>
      <c r="K501" s="210" t="e">
        <f>#REF!</f>
        <v>#REF!</v>
      </c>
      <c r="L501" s="210">
        <v>44770</v>
      </c>
      <c r="M501" s="210"/>
      <c r="N501" s="210">
        <f>'Danh sách máy'!F496</f>
        <v>45828</v>
      </c>
      <c r="O501" s="211" t="str" cm="1">
        <f t="array" ref="O501">IF(L501&lt;&gt;0,IF(L501&lt;I501,"OK","NG"),Blank)</f>
        <v>OK</v>
      </c>
      <c r="P501" s="211" t="e" cm="1">
        <f t="array" ref="P501">IF(M501&lt;&gt;0,IF(M501&lt;J501,"OK","NG"),Blank)</f>
        <v>#NAME?</v>
      </c>
      <c r="Q501" s="211" t="e" cm="1">
        <f t="array" ref="Q501">IF(H501&lt;&gt;"Stop",IF(N501&lt;&gt;0,IF(N501&lt;=K501,"OK","NG"),Blank),"-")</f>
        <v>#REF!</v>
      </c>
      <c r="R501" s="326" t="e" cm="1">
        <f t="array" ref="R501">IF(H501&lt;&gt;"Stop",IF(E501&lt;&gt;0,IF(E501&lt;=K501,"OK","NG"),Blank),"-")</f>
        <v>#REF!</v>
      </c>
      <c r="S501" s="22"/>
      <c r="T501" s="221"/>
      <c r="U501"/>
    </row>
    <row r="502" spans="1:21" ht="15" hidden="1" x14ac:dyDescent="0.3">
      <c r="A502" s="318" t="e">
        <f>#REF!</f>
        <v>#REF!</v>
      </c>
      <c r="B502" s="305" t="e">
        <f>#REF!</f>
        <v>#REF!</v>
      </c>
      <c r="C502" s="305" t="str">
        <f>'Danh sách máy'!C497</f>
        <v>MKHC</v>
      </c>
      <c r="D502" s="90" t="e">
        <f>#REF!</f>
        <v>#REF!</v>
      </c>
      <c r="E502" s="97">
        <f>'Danh sách máy'!E497</f>
        <v>0</v>
      </c>
      <c r="F502" s="206" t="e">
        <f>#REF!</f>
        <v>#REF!</v>
      </c>
      <c r="G502" s="102" t="e">
        <f>#REF!</f>
        <v>#REF!</v>
      </c>
      <c r="H502" s="102" t="e">
        <f>#REF!</f>
        <v>#REF!</v>
      </c>
      <c r="I502" s="209">
        <v>44776</v>
      </c>
      <c r="J502" s="210"/>
      <c r="K502" s="210" t="e">
        <f>#REF!</f>
        <v>#REF!</v>
      </c>
      <c r="L502" s="210">
        <v>44771</v>
      </c>
      <c r="M502" s="210"/>
      <c r="N502" s="210">
        <f>'Danh sách máy'!F497</f>
        <v>0</v>
      </c>
      <c r="O502" s="211" t="str" cm="1">
        <f t="array" ref="O502">IF(L502&lt;&gt;0,IF(L502&lt;I502,"OK","NG"),Blank)</f>
        <v>OK</v>
      </c>
      <c r="P502" s="211" t="e" cm="1">
        <f t="array" ref="P502">IF(M502&lt;&gt;0,IF(M502&lt;J502,"OK","NG"),Blank)</f>
        <v>#NAME?</v>
      </c>
      <c r="Q502" s="211" t="e" cm="1">
        <f t="array" ref="Q502">IF(H502&lt;&gt;"Stop",IF(N502&lt;&gt;0,IF(N502&lt;=K502,"OK","NG"),Blank),"-")</f>
        <v>#REF!</v>
      </c>
      <c r="R502" s="326" t="e" cm="1">
        <f t="array" ref="R502">IF(H502&lt;&gt;"Stop",IF(E502&lt;&gt;0,IF(E502&lt;=K502,"OK","NG"),Blank),"-")</f>
        <v>#REF!</v>
      </c>
      <c r="S502" s="22"/>
      <c r="T502" s="221"/>
      <c r="U502"/>
    </row>
    <row r="503" spans="1:21" ht="15" hidden="1" x14ac:dyDescent="0.3">
      <c r="A503" s="318" t="e">
        <f>#REF!</f>
        <v>#REF!</v>
      </c>
      <c r="B503" s="305" t="e">
        <f>#REF!</f>
        <v>#REF!</v>
      </c>
      <c r="C503" s="305" t="str">
        <f>'Danh sách máy'!C498</f>
        <v>MKHC</v>
      </c>
      <c r="D503" s="90" t="e">
        <f>#REF!</f>
        <v>#REF!</v>
      </c>
      <c r="E503" s="97">
        <f>'Danh sách máy'!E498</f>
        <v>0</v>
      </c>
      <c r="F503" s="206" t="e">
        <f>#REF!</f>
        <v>#REF!</v>
      </c>
      <c r="G503" s="102" t="e">
        <f>#REF!</f>
        <v>#REF!</v>
      </c>
      <c r="H503" s="102" t="e">
        <f>#REF!</f>
        <v>#REF!</v>
      </c>
      <c r="I503" s="209">
        <v>44777</v>
      </c>
      <c r="J503" s="210"/>
      <c r="K503" s="210" t="e">
        <f>#REF!</f>
        <v>#REF!</v>
      </c>
      <c r="L503" s="210">
        <v>44772</v>
      </c>
      <c r="M503" s="210"/>
      <c r="N503" s="210">
        <f>'Danh sách máy'!F498</f>
        <v>0</v>
      </c>
      <c r="O503" s="211" t="str" cm="1">
        <f t="array" ref="O503">IF(L503&lt;&gt;0,IF(L503&lt;I503,"OK","NG"),Blank)</f>
        <v>OK</v>
      </c>
      <c r="P503" s="211" t="e" cm="1">
        <f t="array" ref="P503">IF(M503&lt;&gt;0,IF(M503&lt;J503,"OK","NG"),Blank)</f>
        <v>#NAME?</v>
      </c>
      <c r="Q503" s="211" t="e" cm="1">
        <f t="array" ref="Q503">IF(H503&lt;&gt;"Stop",IF(N503&lt;&gt;0,IF(N503&lt;=K503,"OK","NG"),Blank),"-")</f>
        <v>#REF!</v>
      </c>
      <c r="R503" s="326" t="e" cm="1">
        <f t="array" ref="R503">IF(H503&lt;&gt;"Stop",IF(E503&lt;&gt;0,IF(E503&lt;=K503,"OK","NG"),Blank),"-")</f>
        <v>#REF!</v>
      </c>
      <c r="S503" s="22"/>
      <c r="T503" s="221"/>
      <c r="U503"/>
    </row>
    <row r="504" spans="1:21" ht="30" x14ac:dyDescent="0.3">
      <c r="A504" s="318" t="e">
        <f>#REF!</f>
        <v>#REF!</v>
      </c>
      <c r="B504" s="305" t="e">
        <f>#REF!</f>
        <v>#REF!</v>
      </c>
      <c r="C504" s="305" t="str">
        <f>'Danh sách máy'!C499</f>
        <v>VUH</v>
      </c>
      <c r="D504" s="90" t="e">
        <f>#REF!</f>
        <v>#REF!</v>
      </c>
      <c r="E504" s="97">
        <f>'Danh sách máy'!E499</f>
        <v>45922</v>
      </c>
      <c r="F504" s="206" t="e">
        <f>#REF!</f>
        <v>#REF!</v>
      </c>
      <c r="G504" s="102" t="e">
        <f>#REF!</f>
        <v>#REF!</v>
      </c>
      <c r="H504" s="102" t="e">
        <f>#REF!</f>
        <v>#REF!</v>
      </c>
      <c r="I504" s="209">
        <v>44778</v>
      </c>
      <c r="J504" s="210"/>
      <c r="K504" s="210" t="e">
        <f>#REF!</f>
        <v>#REF!</v>
      </c>
      <c r="L504" s="210">
        <v>44773</v>
      </c>
      <c r="M504" s="210"/>
      <c r="N504" s="210">
        <f>'Danh sách máy'!F499</f>
        <v>45922</v>
      </c>
      <c r="O504" s="211" t="str" cm="1">
        <f t="array" ref="O504">IF(L504&lt;&gt;0,IF(L504&lt;I504,"OK","NG"),Blank)</f>
        <v>OK</v>
      </c>
      <c r="P504" s="211" t="e" cm="1">
        <f t="array" ref="P504">IF(M504&lt;&gt;0,IF(M504&lt;J504,"OK","NG"),Blank)</f>
        <v>#NAME?</v>
      </c>
      <c r="Q504" s="211" t="e" cm="1">
        <f t="array" ref="Q504">IF(H504&lt;&gt;"Stop",IF(N504&lt;&gt;0,IF(N504&lt;=K504,"OK","NG"),Blank),"-")</f>
        <v>#REF!</v>
      </c>
      <c r="R504" s="326" t="e" cm="1">
        <f t="array" ref="R504">IF(H504&lt;&gt;"Stop",IF(E504&lt;&gt;0,IF(E504&lt;=K504,"OK","NG"),Blank),"-")</f>
        <v>#REF!</v>
      </c>
      <c r="S504" s="22"/>
      <c r="T504" s="221"/>
      <c r="U504"/>
    </row>
    <row r="505" spans="1:21" ht="30" x14ac:dyDescent="0.3">
      <c r="A505" s="318" t="e">
        <f>#REF!</f>
        <v>#REF!</v>
      </c>
      <c r="B505" s="305" t="e">
        <f>#REF!</f>
        <v>#REF!</v>
      </c>
      <c r="C505" s="305" t="str">
        <f>'Danh sách máy'!C500</f>
        <v>VUH</v>
      </c>
      <c r="D505" s="90" t="e">
        <f>#REF!</f>
        <v>#REF!</v>
      </c>
      <c r="E505" s="97">
        <f>'Danh sách máy'!E500</f>
        <v>45922</v>
      </c>
      <c r="F505" s="206" t="e">
        <f>#REF!</f>
        <v>#REF!</v>
      </c>
      <c r="G505" s="102" t="e">
        <f>#REF!</f>
        <v>#REF!</v>
      </c>
      <c r="H505" s="102" t="e">
        <f>#REF!</f>
        <v>#REF!</v>
      </c>
      <c r="I505" s="209">
        <v>44779</v>
      </c>
      <c r="J505" s="210"/>
      <c r="K505" s="210" t="e">
        <f>#REF!</f>
        <v>#REF!</v>
      </c>
      <c r="L505" s="210">
        <v>44774</v>
      </c>
      <c r="M505" s="210"/>
      <c r="N505" s="210">
        <f>'Danh sách máy'!F500</f>
        <v>45922</v>
      </c>
      <c r="O505" s="211" t="str" cm="1">
        <f t="array" ref="O505">IF(L505&lt;&gt;0,IF(L505&lt;I505,"OK","NG"),Blank)</f>
        <v>OK</v>
      </c>
      <c r="P505" s="211" t="e" cm="1">
        <f t="array" ref="P505">IF(M505&lt;&gt;0,IF(M505&lt;J505,"OK","NG"),Blank)</f>
        <v>#NAME?</v>
      </c>
      <c r="Q505" s="211" t="e" cm="1">
        <f t="array" ref="Q505">IF(H505&lt;&gt;"Stop",IF(N505&lt;&gt;0,IF(N505&lt;=K505,"OK","NG"),Blank),"-")</f>
        <v>#REF!</v>
      </c>
      <c r="R505" s="326" t="e" cm="1">
        <f t="array" ref="R505">IF(H505&lt;&gt;"Stop",IF(E505&lt;&gt;0,IF(E505&lt;=K505,"OK","NG"),Blank),"-")</f>
        <v>#REF!</v>
      </c>
      <c r="S505" s="22"/>
      <c r="T505" s="221"/>
      <c r="U505"/>
    </row>
    <row r="506" spans="1:21" ht="30" hidden="1" x14ac:dyDescent="0.3">
      <c r="A506" s="318" t="e">
        <f>#REF!</f>
        <v>#REF!</v>
      </c>
      <c r="B506" s="305" t="e">
        <f>#REF!</f>
        <v>#REF!</v>
      </c>
      <c r="C506" s="305" t="str">
        <f>'Danh sách máy'!C501</f>
        <v>VUH</v>
      </c>
      <c r="D506" s="90" t="e">
        <f>#REF!</f>
        <v>#REF!</v>
      </c>
      <c r="E506" s="97">
        <f>'Danh sách máy'!E501</f>
        <v>45927</v>
      </c>
      <c r="F506" s="206" t="e">
        <f>#REF!</f>
        <v>#REF!</v>
      </c>
      <c r="G506" s="102" t="e">
        <f>#REF!</f>
        <v>#REF!</v>
      </c>
      <c r="H506" s="102" t="e">
        <f>#REF!</f>
        <v>#REF!</v>
      </c>
      <c r="I506" s="209">
        <v>44780</v>
      </c>
      <c r="J506" s="210"/>
      <c r="K506" s="210" t="e">
        <f>#REF!</f>
        <v>#REF!</v>
      </c>
      <c r="L506" s="210">
        <v>44775</v>
      </c>
      <c r="M506" s="210"/>
      <c r="N506" s="210">
        <f>'Danh sách máy'!F501</f>
        <v>0</v>
      </c>
      <c r="O506" s="211" t="str" cm="1">
        <f t="array" ref="O506">IF(L506&lt;&gt;0,IF(L506&lt;I506,"OK","NG"),Blank)</f>
        <v>OK</v>
      </c>
      <c r="P506" s="211" t="e" cm="1">
        <f t="array" ref="P506">IF(M506&lt;&gt;0,IF(M506&lt;J506,"OK","NG"),Blank)</f>
        <v>#NAME?</v>
      </c>
      <c r="Q506" s="211" t="e" cm="1">
        <f t="array" ref="Q506">IF(H506&lt;&gt;"Stop",IF(N506&lt;&gt;0,IF(N506&lt;=K506,"OK","NG"),Blank),"-")</f>
        <v>#REF!</v>
      </c>
      <c r="R506" s="326" t="e" cm="1">
        <f t="array" ref="R506">IF(H506&lt;&gt;"Stop",IF(E506&lt;&gt;0,IF(E506&lt;=K506,"OK","NG"),Blank),"-")</f>
        <v>#REF!</v>
      </c>
      <c r="S506" s="22"/>
      <c r="T506" s="221"/>
      <c r="U506"/>
    </row>
    <row r="507" spans="1:21" ht="30" hidden="1" x14ac:dyDescent="0.3">
      <c r="A507" s="318" t="e">
        <f>#REF!</f>
        <v>#REF!</v>
      </c>
      <c r="B507" s="305" t="e">
        <f>#REF!</f>
        <v>#REF!</v>
      </c>
      <c r="C507" s="305" t="str">
        <f>'Danh sách máy'!C502</f>
        <v>VUH</v>
      </c>
      <c r="D507" s="90" t="e">
        <f>#REF!</f>
        <v>#REF!</v>
      </c>
      <c r="E507" s="97">
        <f>'Danh sách máy'!E502</f>
        <v>45927</v>
      </c>
      <c r="F507" s="206" t="e">
        <f>#REF!</f>
        <v>#REF!</v>
      </c>
      <c r="G507" s="102" t="e">
        <f>#REF!</f>
        <v>#REF!</v>
      </c>
      <c r="H507" s="102" t="e">
        <f>#REF!</f>
        <v>#REF!</v>
      </c>
      <c r="I507" s="209">
        <v>44781</v>
      </c>
      <c r="J507" s="210"/>
      <c r="K507" s="210" t="e">
        <f>#REF!</f>
        <v>#REF!</v>
      </c>
      <c r="L507" s="210">
        <v>44776</v>
      </c>
      <c r="M507" s="210"/>
      <c r="N507" s="210">
        <f>'Danh sách máy'!F502</f>
        <v>0</v>
      </c>
      <c r="O507" s="211" t="str" cm="1">
        <f t="array" ref="O507">IF(L507&lt;&gt;0,IF(L507&lt;I507,"OK","NG"),Blank)</f>
        <v>OK</v>
      </c>
      <c r="P507" s="211" t="e" cm="1">
        <f t="array" ref="P507">IF(M507&lt;&gt;0,IF(M507&lt;J507,"OK","NG"),Blank)</f>
        <v>#NAME?</v>
      </c>
      <c r="Q507" s="211" t="e" cm="1">
        <f t="array" ref="Q507">IF(H507&lt;&gt;"Stop",IF(N507&lt;&gt;0,IF(N507&lt;=K507,"OK","NG"),Blank),"-")</f>
        <v>#REF!</v>
      </c>
      <c r="R507" s="326" t="e" cm="1">
        <f t="array" ref="R507">IF(H507&lt;&gt;"Stop",IF(E507&lt;&gt;0,IF(E507&lt;=K507,"OK","NG"),Blank),"-")</f>
        <v>#REF!</v>
      </c>
      <c r="S507" s="22"/>
      <c r="T507" s="221"/>
      <c r="U507"/>
    </row>
    <row r="508" spans="1:21" ht="15" hidden="1" x14ac:dyDescent="0.3">
      <c r="A508" s="318" t="e">
        <f>#REF!</f>
        <v>#REF!</v>
      </c>
      <c r="B508" s="305" t="e">
        <f>#REF!</f>
        <v>#REF!</v>
      </c>
      <c r="C508" s="305" t="str">
        <f>'Danh sách máy'!C503</f>
        <v>MKVC</v>
      </c>
      <c r="D508" s="90" t="e">
        <f>#REF!</f>
        <v>#REF!</v>
      </c>
      <c r="E508" s="97">
        <f>'Danh sách máy'!E503</f>
        <v>45918</v>
      </c>
      <c r="F508" s="206" t="e">
        <f>#REF!</f>
        <v>#REF!</v>
      </c>
      <c r="G508" s="102" t="e">
        <f>#REF!</f>
        <v>#REF!</v>
      </c>
      <c r="H508" s="102" t="e">
        <f>#REF!</f>
        <v>#REF!</v>
      </c>
      <c r="I508" s="209">
        <v>44782</v>
      </c>
      <c r="J508" s="210"/>
      <c r="K508" s="210" t="e">
        <f>#REF!</f>
        <v>#REF!</v>
      </c>
      <c r="L508" s="210">
        <v>44777</v>
      </c>
      <c r="M508" s="210"/>
      <c r="N508" s="210">
        <f>'Danh sách máy'!F503</f>
        <v>0</v>
      </c>
      <c r="O508" s="211" t="str" cm="1">
        <f t="array" ref="O508">IF(L508&lt;&gt;0,IF(L508&lt;I508,"OK","NG"),Blank)</f>
        <v>OK</v>
      </c>
      <c r="P508" s="211" t="e" cm="1">
        <f t="array" ref="P508">IF(M508&lt;&gt;0,IF(M508&lt;J508,"OK","NG"),Blank)</f>
        <v>#NAME?</v>
      </c>
      <c r="Q508" s="211" t="e" cm="1">
        <f t="array" ref="Q508">IF(H508&lt;&gt;"Stop",IF(N508&lt;&gt;0,IF(N508&lt;=K508,"OK","NG"),Blank),"-")</f>
        <v>#REF!</v>
      </c>
      <c r="R508" s="326" t="e" cm="1">
        <f t="array" ref="R508">IF(H508&lt;&gt;"Stop",IF(E508&lt;&gt;0,IF(E508&lt;=K508,"OK","NG"),Blank),"-")</f>
        <v>#REF!</v>
      </c>
      <c r="S508" s="22"/>
      <c r="T508" s="221"/>
      <c r="U508"/>
    </row>
    <row r="509" spans="1:21" ht="15" hidden="1" x14ac:dyDescent="0.3">
      <c r="A509" s="318" t="e">
        <f>#REF!</f>
        <v>#REF!</v>
      </c>
      <c r="B509" s="305" t="e">
        <f>#REF!</f>
        <v>#REF!</v>
      </c>
      <c r="C509" s="305" t="str">
        <f>'Danh sách máy'!C504</f>
        <v>MKVC</v>
      </c>
      <c r="D509" s="90" t="e">
        <f>#REF!</f>
        <v>#REF!</v>
      </c>
      <c r="E509" s="97">
        <f>'Danh sách máy'!E504</f>
        <v>45918</v>
      </c>
      <c r="F509" s="206" t="e">
        <f>#REF!</f>
        <v>#REF!</v>
      </c>
      <c r="G509" s="102" t="e">
        <f>#REF!</f>
        <v>#REF!</v>
      </c>
      <c r="H509" s="102" t="e">
        <f>#REF!</f>
        <v>#REF!</v>
      </c>
      <c r="I509" s="209">
        <v>44783</v>
      </c>
      <c r="J509" s="210"/>
      <c r="K509" s="210" t="e">
        <f>#REF!</f>
        <v>#REF!</v>
      </c>
      <c r="L509" s="210">
        <v>44778</v>
      </c>
      <c r="M509" s="210"/>
      <c r="N509" s="210">
        <f>'Danh sách máy'!F504</f>
        <v>0</v>
      </c>
      <c r="O509" s="211" t="str" cm="1">
        <f t="array" ref="O509">IF(L509&lt;&gt;0,IF(L509&lt;I509,"OK","NG"),Blank)</f>
        <v>OK</v>
      </c>
      <c r="P509" s="211" t="e" cm="1">
        <f t="array" ref="P509">IF(M509&lt;&gt;0,IF(M509&lt;J509,"OK","NG"),Blank)</f>
        <v>#NAME?</v>
      </c>
      <c r="Q509" s="211" t="e" cm="1">
        <f t="array" ref="Q509">IF(H509&lt;&gt;"Stop",IF(N509&lt;&gt;0,IF(N509&lt;=K509,"OK","NG"),Blank),"-")</f>
        <v>#REF!</v>
      </c>
      <c r="R509" s="326" t="e" cm="1">
        <f t="array" ref="R509">IF(H509&lt;&gt;"Stop",IF(E509&lt;&gt;0,IF(E509&lt;=K509,"OK","NG"),Blank),"-")</f>
        <v>#REF!</v>
      </c>
      <c r="S509" s="22"/>
      <c r="T509" s="221"/>
      <c r="U509"/>
    </row>
    <row r="510" spans="1:21" ht="15" hidden="1" x14ac:dyDescent="0.3">
      <c r="A510" s="318" t="e">
        <f>#REF!</f>
        <v>#REF!</v>
      </c>
      <c r="B510" s="305" t="e">
        <f>#REF!</f>
        <v>#REF!</v>
      </c>
      <c r="C510" s="305" t="str">
        <f>'Danh sách máy'!C505</f>
        <v>FPC</v>
      </c>
      <c r="D510" s="90" t="e">
        <f>#REF!</f>
        <v>#REF!</v>
      </c>
      <c r="E510" s="97">
        <f>'Danh sách máy'!E505</f>
        <v>45783</v>
      </c>
      <c r="F510" s="206" t="e">
        <f>#REF!</f>
        <v>#REF!</v>
      </c>
      <c r="G510" s="102" t="e">
        <f>#REF!</f>
        <v>#REF!</v>
      </c>
      <c r="H510" s="102" t="e">
        <f>#REF!</f>
        <v>#REF!</v>
      </c>
      <c r="I510" s="209">
        <v>44784</v>
      </c>
      <c r="J510" s="210"/>
      <c r="K510" s="210" t="e">
        <f>#REF!</f>
        <v>#REF!</v>
      </c>
      <c r="L510" s="210">
        <v>44779</v>
      </c>
      <c r="M510" s="210"/>
      <c r="N510" s="210">
        <f>'Danh sách máy'!F505</f>
        <v>0</v>
      </c>
      <c r="O510" s="211" t="str" cm="1">
        <f t="array" ref="O510">IF(L510&lt;&gt;0,IF(L510&lt;I510,"OK","NG"),Blank)</f>
        <v>OK</v>
      </c>
      <c r="P510" s="211" t="e" cm="1">
        <f t="array" ref="P510">IF(M510&lt;&gt;0,IF(M510&lt;J510,"OK","NG"),Blank)</f>
        <v>#NAME?</v>
      </c>
      <c r="Q510" s="211" t="e" cm="1">
        <f t="array" ref="Q510">IF(H510&lt;&gt;"Stop",IF(N510&lt;&gt;0,IF(N510&lt;=K510,"OK","NG"),Blank),"-")</f>
        <v>#REF!</v>
      </c>
      <c r="R510" s="326" t="e" cm="1">
        <f t="array" ref="R510">IF(H510&lt;&gt;"Stop",IF(E510&lt;&gt;0,IF(E510&lt;=K510,"OK","NG"),Blank),"-")</f>
        <v>#REF!</v>
      </c>
      <c r="S510" s="22"/>
      <c r="T510" s="221"/>
      <c r="U510"/>
    </row>
    <row r="511" spans="1:21" ht="15" hidden="1" x14ac:dyDescent="0.3">
      <c r="A511" s="318" t="e">
        <f>#REF!</f>
        <v>#REF!</v>
      </c>
      <c r="B511" s="305" t="e">
        <f>#REF!</f>
        <v>#REF!</v>
      </c>
      <c r="C511" s="305" t="str">
        <f>'Danh sách máy'!C506</f>
        <v>FPC</v>
      </c>
      <c r="D511" s="90" t="e">
        <f>#REF!</f>
        <v>#REF!</v>
      </c>
      <c r="E511" s="97">
        <f>'Danh sách máy'!E506</f>
        <v>45783</v>
      </c>
      <c r="F511" s="206" t="e">
        <f>#REF!</f>
        <v>#REF!</v>
      </c>
      <c r="G511" s="102" t="e">
        <f>#REF!</f>
        <v>#REF!</v>
      </c>
      <c r="H511" s="102" t="e">
        <f>#REF!</f>
        <v>#REF!</v>
      </c>
      <c r="I511" s="209">
        <v>44785</v>
      </c>
      <c r="J511" s="210"/>
      <c r="K511" s="210" t="e">
        <f>#REF!</f>
        <v>#REF!</v>
      </c>
      <c r="L511" s="210">
        <v>44780</v>
      </c>
      <c r="M511" s="210"/>
      <c r="N511" s="210">
        <f>'Danh sách máy'!F506</f>
        <v>0</v>
      </c>
      <c r="O511" s="211" t="str" cm="1">
        <f t="array" ref="O511">IF(L511&lt;&gt;0,IF(L511&lt;I511,"OK","NG"),Blank)</f>
        <v>OK</v>
      </c>
      <c r="P511" s="211" t="e" cm="1">
        <f t="array" ref="P511">IF(M511&lt;&gt;0,IF(M511&lt;J511,"OK","NG"),Blank)</f>
        <v>#NAME?</v>
      </c>
      <c r="Q511" s="211" t="e" cm="1">
        <f t="array" ref="Q511">IF(H511&lt;&gt;"Stop",IF(N511&lt;&gt;0,IF(N511&lt;=K511,"OK","NG"),Blank),"-")</f>
        <v>#REF!</v>
      </c>
      <c r="R511" s="326" t="e" cm="1">
        <f t="array" ref="R511">IF(H511&lt;&gt;"Stop",IF(E511&lt;&gt;0,IF(E511&lt;=K511,"OK","NG"),Blank),"-")</f>
        <v>#REF!</v>
      </c>
      <c r="S511" s="22"/>
      <c r="T511" s="221"/>
      <c r="U511"/>
    </row>
    <row r="512" spans="1:21" ht="15" hidden="1" x14ac:dyDescent="0.3">
      <c r="A512" s="318" t="e">
        <f>#REF!</f>
        <v>#REF!</v>
      </c>
      <c r="B512" s="305" t="e">
        <f>#REF!</f>
        <v>#REF!</v>
      </c>
      <c r="C512" s="305" t="str">
        <f>'Danh sách máy'!C507</f>
        <v>FPC</v>
      </c>
      <c r="D512" s="90" t="e">
        <f>#REF!</f>
        <v>#REF!</v>
      </c>
      <c r="E512" s="97">
        <f>'Danh sách máy'!E507</f>
        <v>45783</v>
      </c>
      <c r="F512" s="206" t="e">
        <f>#REF!</f>
        <v>#REF!</v>
      </c>
      <c r="G512" s="102" t="e">
        <f>#REF!</f>
        <v>#REF!</v>
      </c>
      <c r="H512" s="102" t="e">
        <f>#REF!</f>
        <v>#REF!</v>
      </c>
      <c r="I512" s="209">
        <v>44786</v>
      </c>
      <c r="J512" s="210"/>
      <c r="K512" s="210" t="e">
        <f>#REF!</f>
        <v>#REF!</v>
      </c>
      <c r="L512" s="210">
        <v>44781</v>
      </c>
      <c r="M512" s="210"/>
      <c r="N512" s="210">
        <f>'Danh sách máy'!F507</f>
        <v>0</v>
      </c>
      <c r="O512" s="211" t="str" cm="1">
        <f t="array" ref="O512">IF(L512&lt;&gt;0,IF(L512&lt;I512,"OK","NG"),Blank)</f>
        <v>OK</v>
      </c>
      <c r="P512" s="211" t="e" cm="1">
        <f t="array" ref="P512">IF(M512&lt;&gt;0,IF(M512&lt;J512,"OK","NG"),Blank)</f>
        <v>#NAME?</v>
      </c>
      <c r="Q512" s="211" t="e" cm="1">
        <f t="array" ref="Q512">IF(H512&lt;&gt;"Stop",IF(N512&lt;&gt;0,IF(N512&lt;=K512,"OK","NG"),Blank),"-")</f>
        <v>#REF!</v>
      </c>
      <c r="R512" s="326" t="e" cm="1">
        <f t="array" ref="R512">IF(H512&lt;&gt;"Stop",IF(E512&lt;&gt;0,IF(E512&lt;=K512,"OK","NG"),Blank),"-")</f>
        <v>#REF!</v>
      </c>
      <c r="S512" s="22"/>
      <c r="T512" s="221"/>
      <c r="U512"/>
    </row>
    <row r="513" spans="1:21" ht="15" hidden="1" x14ac:dyDescent="0.3">
      <c r="A513" s="318" t="e">
        <f>#REF!</f>
        <v>#REF!</v>
      </c>
      <c r="B513" s="305" t="e">
        <f>#REF!</f>
        <v>#REF!</v>
      </c>
      <c r="C513" s="305" t="str">
        <f>'Danh sách máy'!C508</f>
        <v>FPC</v>
      </c>
      <c r="D513" s="90" t="e">
        <f>#REF!</f>
        <v>#REF!</v>
      </c>
      <c r="E513" s="97">
        <f>'Danh sách máy'!E508</f>
        <v>45783</v>
      </c>
      <c r="F513" s="206" t="e">
        <f>#REF!</f>
        <v>#REF!</v>
      </c>
      <c r="G513" s="102" t="e">
        <f>#REF!</f>
        <v>#REF!</v>
      </c>
      <c r="H513" s="102" t="e">
        <f>#REF!</f>
        <v>#REF!</v>
      </c>
      <c r="I513" s="209">
        <v>44787</v>
      </c>
      <c r="J513" s="210"/>
      <c r="K513" s="210" t="e">
        <f>#REF!</f>
        <v>#REF!</v>
      </c>
      <c r="L513" s="210">
        <v>44782</v>
      </c>
      <c r="M513" s="210"/>
      <c r="N513" s="210">
        <f>'Danh sách máy'!F508</f>
        <v>0</v>
      </c>
      <c r="O513" s="211" t="str" cm="1">
        <f t="array" ref="O513">IF(L513&lt;&gt;0,IF(L513&lt;I513,"OK","NG"),Blank)</f>
        <v>OK</v>
      </c>
      <c r="P513" s="211" t="e" cm="1">
        <f t="array" ref="P513">IF(M513&lt;&gt;0,IF(M513&lt;J513,"OK","NG"),Blank)</f>
        <v>#NAME?</v>
      </c>
      <c r="Q513" s="211" t="e" cm="1">
        <f t="array" ref="Q513">IF(H513&lt;&gt;"Stop",IF(N513&lt;&gt;0,IF(N513&lt;=K513,"OK","NG"),Blank),"-")</f>
        <v>#REF!</v>
      </c>
      <c r="R513" s="326" t="e" cm="1">
        <f t="array" ref="R513">IF(H513&lt;&gt;"Stop",IF(E513&lt;&gt;0,IF(E513&lt;=K513,"OK","NG"),Blank),"-")</f>
        <v>#REF!</v>
      </c>
      <c r="S513" s="22"/>
      <c r="T513" s="221"/>
      <c r="U513"/>
    </row>
    <row r="514" spans="1:21" ht="15" hidden="1" x14ac:dyDescent="0.3">
      <c r="A514" s="318" t="e">
        <f>#REF!</f>
        <v>#REF!</v>
      </c>
      <c r="B514" s="305" t="e">
        <f>#REF!</f>
        <v>#REF!</v>
      </c>
      <c r="C514" s="305" t="str">
        <f>'Danh sách máy'!C509</f>
        <v>MKVC</v>
      </c>
      <c r="D514" s="90" t="e">
        <f>#REF!</f>
        <v>#REF!</v>
      </c>
      <c r="E514" s="97">
        <f>'Danh sách máy'!E509</f>
        <v>46042</v>
      </c>
      <c r="F514" s="206" t="e">
        <f>#REF!</f>
        <v>#REF!</v>
      </c>
      <c r="G514" s="102" t="e">
        <f>#REF!</f>
        <v>#REF!</v>
      </c>
      <c r="H514" s="102" t="e">
        <f>#REF!</f>
        <v>#REF!</v>
      </c>
      <c r="I514" s="209">
        <v>44788</v>
      </c>
      <c r="J514" s="210"/>
      <c r="K514" s="210" t="e">
        <f>#REF!</f>
        <v>#REF!</v>
      </c>
      <c r="L514" s="210">
        <v>44783</v>
      </c>
      <c r="M514" s="210"/>
      <c r="N514" s="210">
        <f>'Danh sách máy'!F509</f>
        <v>0</v>
      </c>
      <c r="O514" s="211" t="str" cm="1">
        <f t="array" ref="O514">IF(L514&lt;&gt;0,IF(L514&lt;I514,"OK","NG"),Blank)</f>
        <v>OK</v>
      </c>
      <c r="P514" s="211" t="e" cm="1">
        <f t="array" ref="P514">IF(M514&lt;&gt;0,IF(M514&lt;J514,"OK","NG"),Blank)</f>
        <v>#NAME?</v>
      </c>
      <c r="Q514" s="211" t="e" cm="1">
        <f t="array" ref="Q514">IF(H514&lt;&gt;"Stop",IF(N514&lt;&gt;0,IF(N514&lt;=K514,"OK","NG"),Blank),"-")</f>
        <v>#REF!</v>
      </c>
      <c r="R514" s="326" t="e" cm="1">
        <f t="array" ref="R514">IF(H514&lt;&gt;"Stop",IF(E514&lt;&gt;0,IF(E514&lt;=K514,"OK","NG"),Blank),"-")</f>
        <v>#REF!</v>
      </c>
      <c r="S514" s="22"/>
      <c r="T514" s="221"/>
      <c r="U514"/>
    </row>
    <row r="515" spans="1:21" ht="15" hidden="1" x14ac:dyDescent="0.3">
      <c r="A515" s="318" t="e">
        <f>#REF!</f>
        <v>#REF!</v>
      </c>
      <c r="B515" s="305" t="e">
        <f>#REF!</f>
        <v>#REF!</v>
      </c>
      <c r="C515" s="305" t="str">
        <f>'Danh sách máy'!C510</f>
        <v>Fact.4</v>
      </c>
      <c r="D515" s="90" t="e">
        <f>#REF!</f>
        <v>#REF!</v>
      </c>
      <c r="E515" s="97">
        <f>'Danh sách máy'!E510</f>
        <v>45960</v>
      </c>
      <c r="F515" s="206" t="e">
        <f>#REF!</f>
        <v>#REF!</v>
      </c>
      <c r="G515" s="102" t="e">
        <f>#REF!</f>
        <v>#REF!</v>
      </c>
      <c r="H515" s="102" t="e">
        <f>#REF!</f>
        <v>#REF!</v>
      </c>
      <c r="I515" s="209">
        <v>44789</v>
      </c>
      <c r="J515" s="210"/>
      <c r="K515" s="210" t="e">
        <f>#REF!</f>
        <v>#REF!</v>
      </c>
      <c r="L515" s="210">
        <v>44784</v>
      </c>
      <c r="M515" s="210"/>
      <c r="N515" s="210">
        <f>'Danh sách máy'!F510</f>
        <v>0</v>
      </c>
      <c r="O515" s="211" t="str" cm="1">
        <f t="array" ref="O515">IF(L515&lt;&gt;0,IF(L515&lt;I515,"OK","NG"),Blank)</f>
        <v>OK</v>
      </c>
      <c r="P515" s="211" t="e" cm="1">
        <f t="array" ref="P515">IF(M515&lt;&gt;0,IF(M515&lt;J515,"OK","NG"),Blank)</f>
        <v>#NAME?</v>
      </c>
      <c r="Q515" s="211" t="e" cm="1">
        <f t="array" ref="Q515">IF(H515&lt;&gt;"Stop",IF(N515&lt;&gt;0,IF(N515&lt;=K515,"OK","NG"),Blank),"-")</f>
        <v>#REF!</v>
      </c>
      <c r="R515" s="326" t="e" cm="1">
        <f t="array" ref="R515">IF(H515&lt;&gt;"Stop",IF(E515&lt;&gt;0,IF(E515&lt;=K515,"OK","NG"),Blank),"-")</f>
        <v>#REF!</v>
      </c>
      <c r="S515" s="22"/>
      <c r="T515" s="221"/>
      <c r="U515"/>
    </row>
    <row r="516" spans="1:21" ht="15" hidden="1" x14ac:dyDescent="0.3">
      <c r="A516" s="318" t="e">
        <f>#REF!</f>
        <v>#REF!</v>
      </c>
      <c r="B516" s="305" t="e">
        <f>#REF!</f>
        <v>#REF!</v>
      </c>
      <c r="C516" s="305" t="str">
        <f>'Danh sách máy'!C511</f>
        <v>Fact.4</v>
      </c>
      <c r="D516" s="90" t="e">
        <f>#REF!</f>
        <v>#REF!</v>
      </c>
      <c r="E516" s="97">
        <f>'Danh sách máy'!E511</f>
        <v>45960</v>
      </c>
      <c r="F516" s="206" t="e">
        <f>#REF!</f>
        <v>#REF!</v>
      </c>
      <c r="G516" s="102" t="e">
        <f>#REF!</f>
        <v>#REF!</v>
      </c>
      <c r="H516" s="102" t="e">
        <f>#REF!</f>
        <v>#REF!</v>
      </c>
      <c r="I516" s="209">
        <v>44790</v>
      </c>
      <c r="J516" s="210"/>
      <c r="K516" s="210" t="e">
        <f>#REF!</f>
        <v>#REF!</v>
      </c>
      <c r="L516" s="210">
        <v>44785</v>
      </c>
      <c r="M516" s="210"/>
      <c r="N516" s="210">
        <f>'Danh sách máy'!F511</f>
        <v>0</v>
      </c>
      <c r="O516" s="211" t="str" cm="1">
        <f t="array" ref="O516">IF(L516&lt;&gt;0,IF(L516&lt;I516,"OK","NG"),Blank)</f>
        <v>OK</v>
      </c>
      <c r="P516" s="211" t="e" cm="1">
        <f t="array" ref="P516">IF(M516&lt;&gt;0,IF(M516&lt;J516,"OK","NG"),Blank)</f>
        <v>#NAME?</v>
      </c>
      <c r="Q516" s="211" t="e" cm="1">
        <f t="array" ref="Q516">IF(H516&lt;&gt;"Stop",IF(N516&lt;&gt;0,IF(N516&lt;=K516,"OK","NG"),Blank),"-")</f>
        <v>#REF!</v>
      </c>
      <c r="R516" s="326" t="e" cm="1">
        <f t="array" ref="R516">IF(H516&lt;&gt;"Stop",IF(E516&lt;&gt;0,IF(E516&lt;=K516,"OK","NG"),Blank),"-")</f>
        <v>#REF!</v>
      </c>
      <c r="S516" s="22"/>
      <c r="T516" s="221"/>
      <c r="U516"/>
    </row>
    <row r="517" spans="1:21" ht="15" hidden="1" x14ac:dyDescent="0.3">
      <c r="A517" s="318" t="e">
        <f>#REF!</f>
        <v>#REF!</v>
      </c>
      <c r="B517" s="305" t="e">
        <f>#REF!</f>
        <v>#REF!</v>
      </c>
      <c r="C517" s="305" t="str">
        <f>'Danh sách máy'!C512</f>
        <v>Fact.4</v>
      </c>
      <c r="D517" s="90" t="e">
        <f>#REF!</f>
        <v>#REF!</v>
      </c>
      <c r="E517" s="97">
        <f>'Danh sách máy'!E512</f>
        <v>45960</v>
      </c>
      <c r="F517" s="206" t="e">
        <f>#REF!</f>
        <v>#REF!</v>
      </c>
      <c r="G517" s="102" t="e">
        <f>#REF!</f>
        <v>#REF!</v>
      </c>
      <c r="H517" s="102" t="e">
        <f>#REF!</f>
        <v>#REF!</v>
      </c>
      <c r="I517" s="209">
        <v>44791</v>
      </c>
      <c r="J517" s="210"/>
      <c r="K517" s="210" t="e">
        <f>#REF!</f>
        <v>#REF!</v>
      </c>
      <c r="L517" s="210">
        <v>44786</v>
      </c>
      <c r="M517" s="210"/>
      <c r="N517" s="210">
        <f>'Danh sách máy'!F512</f>
        <v>0</v>
      </c>
      <c r="O517" s="211" t="str" cm="1">
        <f t="array" ref="O517">IF(L517&lt;&gt;0,IF(L517&lt;I517,"OK","NG"),Blank)</f>
        <v>OK</v>
      </c>
      <c r="P517" s="211" t="e" cm="1">
        <f t="array" ref="P517">IF(M517&lt;&gt;0,IF(M517&lt;J517,"OK","NG"),Blank)</f>
        <v>#NAME?</v>
      </c>
      <c r="Q517" s="211" t="e" cm="1">
        <f t="array" ref="Q517">IF(H517&lt;&gt;"Stop",IF(N517&lt;&gt;0,IF(N517&lt;=K517,"OK","NG"),Blank),"-")</f>
        <v>#REF!</v>
      </c>
      <c r="R517" s="326" t="e" cm="1">
        <f t="array" ref="R517">IF(H517&lt;&gt;"Stop",IF(E517&lt;&gt;0,IF(E517&lt;=K517,"OK","NG"),Blank),"-")</f>
        <v>#REF!</v>
      </c>
      <c r="S517" s="22"/>
      <c r="T517" s="221"/>
      <c r="U517"/>
    </row>
    <row r="518" spans="1:21" ht="15" hidden="1" x14ac:dyDescent="0.3">
      <c r="A518" s="318" t="e">
        <f>#REF!</f>
        <v>#REF!</v>
      </c>
      <c r="B518" s="305" t="e">
        <f>#REF!</f>
        <v>#REF!</v>
      </c>
      <c r="C518" s="305" t="str">
        <f>'Danh sách máy'!C513</f>
        <v>Fact.4</v>
      </c>
      <c r="D518" s="90" t="e">
        <f>#REF!</f>
        <v>#REF!</v>
      </c>
      <c r="E518" s="97">
        <f>'Danh sách máy'!E513</f>
        <v>45960</v>
      </c>
      <c r="F518" s="206" t="e">
        <f>#REF!</f>
        <v>#REF!</v>
      </c>
      <c r="G518" s="102" t="e">
        <f>#REF!</f>
        <v>#REF!</v>
      </c>
      <c r="H518" s="102" t="e">
        <f>#REF!</f>
        <v>#REF!</v>
      </c>
      <c r="K518" s="210" t="e">
        <f>#REF!</f>
        <v>#REF!</v>
      </c>
      <c r="L518" s="210">
        <v>44787</v>
      </c>
      <c r="M518" s="210"/>
      <c r="N518" s="210">
        <f>'Danh sách máy'!F513</f>
        <v>0</v>
      </c>
      <c r="O518" s="211" t="str" cm="1">
        <f t="array" ref="O518">IF(L518&lt;&gt;0,IF(L518&lt;I518,"OK","NG"),Blank)</f>
        <v>NG</v>
      </c>
      <c r="P518" s="211" t="e" cm="1">
        <f t="array" ref="P518">IF(M518&lt;&gt;0,IF(M518&lt;J518,"OK","NG"),Blank)</f>
        <v>#NAME?</v>
      </c>
      <c r="Q518" s="211" t="e" cm="1">
        <f t="array" ref="Q518">IF(H518&lt;&gt;"Stop",IF(N518&lt;&gt;0,IF(N518&lt;=K518,"OK","NG"),Blank),"-")</f>
        <v>#REF!</v>
      </c>
      <c r="R518" s="326" t="e" cm="1">
        <f t="array" ref="R518">IF(H518&lt;&gt;"Stop",IF(E518&lt;&gt;0,IF(E518&lt;=K518,"OK","NG"),Blank),"-")</f>
        <v>#REF!</v>
      </c>
    </row>
    <row r="519" spans="1:21" ht="15" hidden="1" x14ac:dyDescent="0.3">
      <c r="A519" s="318" t="e">
        <f>#REF!</f>
        <v>#REF!</v>
      </c>
      <c r="B519" s="305" t="e">
        <f>#REF!</f>
        <v>#REF!</v>
      </c>
      <c r="C519" s="305" t="str">
        <f>'Danh sách máy'!C514</f>
        <v>Fact.4</v>
      </c>
      <c r="D519" s="90" t="e">
        <f>#REF!</f>
        <v>#REF!</v>
      </c>
      <c r="E519" s="97">
        <f>'Danh sách máy'!E514</f>
        <v>45960</v>
      </c>
      <c r="F519" s="206" t="e">
        <f>#REF!</f>
        <v>#REF!</v>
      </c>
      <c r="G519" s="102" t="e">
        <f>#REF!</f>
        <v>#REF!</v>
      </c>
      <c r="H519" s="102" t="e">
        <f>#REF!</f>
        <v>#REF!</v>
      </c>
      <c r="K519" s="210" t="e">
        <f>#REF!</f>
        <v>#REF!</v>
      </c>
      <c r="L519" s="210">
        <v>44788</v>
      </c>
      <c r="M519" s="210"/>
      <c r="N519" s="210">
        <f>'Danh sách máy'!F514</f>
        <v>0</v>
      </c>
      <c r="O519" s="211" t="str" cm="1">
        <f t="array" ref="O519">IF(L519&lt;&gt;0,IF(L519&lt;I519,"OK","NG"),Blank)</f>
        <v>NG</v>
      </c>
      <c r="P519" s="211" t="e" cm="1">
        <f t="array" ref="P519">IF(M519&lt;&gt;0,IF(M519&lt;J519,"OK","NG"),Blank)</f>
        <v>#NAME?</v>
      </c>
      <c r="Q519" s="211" t="e" cm="1">
        <f t="array" ref="Q519">IF(H519&lt;&gt;"Stop",IF(N519&lt;&gt;0,IF(N519&lt;=K519,"OK","NG"),Blank),"-")</f>
        <v>#REF!</v>
      </c>
      <c r="R519" s="326" t="e" cm="1">
        <f t="array" ref="R519">IF(H519&lt;&gt;"Stop",IF(E519&lt;&gt;0,IF(E519&lt;=K519,"OK","NG"),Blank),"-")</f>
        <v>#REF!</v>
      </c>
    </row>
    <row r="520" spans="1:21" ht="15" x14ac:dyDescent="0.3">
      <c r="A520" s="318" t="e">
        <f>#REF!</f>
        <v>#REF!</v>
      </c>
      <c r="B520" s="305" t="e">
        <f>#REF!</f>
        <v>#REF!</v>
      </c>
      <c r="C520" s="305" t="str">
        <f>'Danh sách máy'!C515</f>
        <v>MKHC</v>
      </c>
      <c r="D520" s="90" t="e">
        <f>#REF!</f>
        <v>#REF!</v>
      </c>
      <c r="E520" s="97">
        <f>'Danh sách máy'!E515</f>
        <v>45974</v>
      </c>
      <c r="F520" s="206" t="e">
        <f>#REF!</f>
        <v>#REF!</v>
      </c>
      <c r="G520" s="102" t="e">
        <f>#REF!</f>
        <v>#REF!</v>
      </c>
      <c r="H520" s="102" t="e">
        <f>#REF!</f>
        <v>#REF!</v>
      </c>
      <c r="K520" s="210" t="e">
        <f>#REF!</f>
        <v>#REF!</v>
      </c>
      <c r="L520" s="210">
        <v>44789</v>
      </c>
      <c r="M520" s="210"/>
      <c r="N520" s="210">
        <f>'Danh sách máy'!F515</f>
        <v>45975</v>
      </c>
      <c r="O520" s="211" t="str" cm="1">
        <f t="array" ref="O520">IF(L520&lt;&gt;0,IF(L520&lt;I520,"OK","NG"),Blank)</f>
        <v>NG</v>
      </c>
      <c r="P520" s="211" t="e" cm="1">
        <f t="array" ref="P520">IF(M520&lt;&gt;0,IF(M520&lt;J520,"OK","NG"),Blank)</f>
        <v>#NAME?</v>
      </c>
      <c r="Q520" s="211" t="e" cm="1">
        <f t="array" ref="Q520">IF(H520&lt;&gt;"Stop",IF(N520&lt;&gt;0,IF(N520&lt;=K520,"OK","NG"),Blank),"-")</f>
        <v>#REF!</v>
      </c>
      <c r="R520" s="326" t="e" cm="1">
        <f t="array" ref="R520">IF(H520&lt;&gt;"Stop",IF(E520&lt;&gt;0,IF(E520&lt;=K520,"OK","NG"),Blank),"-")</f>
        <v>#REF!</v>
      </c>
    </row>
    <row r="521" spans="1:21" ht="15" x14ac:dyDescent="0.3">
      <c r="A521" s="318" t="e">
        <f>#REF!</f>
        <v>#REF!</v>
      </c>
      <c r="B521" s="305" t="e">
        <f>#REF!</f>
        <v>#REF!</v>
      </c>
      <c r="C521" s="305" t="str">
        <f>'Danh sách máy'!C516</f>
        <v>MKHC</v>
      </c>
      <c r="D521" s="90" t="e">
        <f>#REF!</f>
        <v>#REF!</v>
      </c>
      <c r="E521" s="97">
        <f>'Danh sách máy'!E516</f>
        <v>45974</v>
      </c>
      <c r="F521" s="206" t="e">
        <f>#REF!</f>
        <v>#REF!</v>
      </c>
      <c r="G521" s="102" t="e">
        <f>#REF!</f>
        <v>#REF!</v>
      </c>
      <c r="H521" s="102" t="e">
        <f>#REF!</f>
        <v>#REF!</v>
      </c>
      <c r="K521" s="210" t="e">
        <f>#REF!</f>
        <v>#REF!</v>
      </c>
      <c r="L521" s="210">
        <v>44790</v>
      </c>
      <c r="M521" s="210"/>
      <c r="N521" s="210">
        <f>'Danh sách máy'!F516</f>
        <v>45989</v>
      </c>
      <c r="O521" s="211" t="str" cm="1">
        <f t="array" ref="O521">IF(L521&lt;&gt;0,IF(L521&lt;I521,"OK","NG"),Blank)</f>
        <v>NG</v>
      </c>
      <c r="P521" s="211" t="e" cm="1">
        <f t="array" ref="P521">IF(M521&lt;&gt;0,IF(M521&lt;J521,"OK","NG"),Blank)</f>
        <v>#NAME?</v>
      </c>
      <c r="Q521" s="211" t="e" cm="1">
        <f t="array" ref="Q521">IF(H521&lt;&gt;"Stop",IF(N521&lt;&gt;0,IF(N521&lt;=K521,"OK","NG"),Blank),"-")</f>
        <v>#REF!</v>
      </c>
      <c r="R521" s="326" t="e" cm="1">
        <f t="array" ref="R521">IF(H521&lt;&gt;"Stop",IF(E521&lt;&gt;0,IF(E521&lt;=K521,"OK","NG"),Blank),"-")</f>
        <v>#REF!</v>
      </c>
    </row>
    <row r="522" spans="1:21" ht="15" hidden="1" x14ac:dyDescent="0.3">
      <c r="A522" s="318" t="e">
        <f>#REF!</f>
        <v>#REF!</v>
      </c>
      <c r="B522" s="305" t="e">
        <f>#REF!</f>
        <v>#REF!</v>
      </c>
      <c r="C522" s="305" t="str">
        <f>'Danh sách máy'!C517</f>
        <v>MKHC</v>
      </c>
      <c r="D522" s="90" t="e">
        <f>#REF!</f>
        <v>#REF!</v>
      </c>
      <c r="E522" s="97">
        <f>'Danh sách máy'!E517</f>
        <v>0</v>
      </c>
      <c r="F522" s="206" t="e">
        <f>#REF!</f>
        <v>#REF!</v>
      </c>
      <c r="G522" s="102" t="e">
        <f>#REF!</f>
        <v>#REF!</v>
      </c>
      <c r="H522" s="102" t="e">
        <f>#REF!</f>
        <v>#REF!</v>
      </c>
      <c r="K522" s="210" t="e">
        <f>#REF!</f>
        <v>#REF!</v>
      </c>
      <c r="L522" s="210">
        <v>44791</v>
      </c>
      <c r="M522" s="210"/>
      <c r="N522" s="210">
        <f>'Danh sách máy'!F517</f>
        <v>0</v>
      </c>
      <c r="O522" s="211" t="str" cm="1">
        <f t="array" ref="O522">IF(L522&lt;&gt;0,IF(L522&lt;I522,"OK","NG"),Blank)</f>
        <v>NG</v>
      </c>
      <c r="P522" s="211" t="e" cm="1">
        <f t="array" ref="P522">IF(M522&lt;&gt;0,IF(M522&lt;J522,"OK","NG"),Blank)</f>
        <v>#NAME?</v>
      </c>
      <c r="Q522" s="211" t="e" cm="1">
        <f t="array" ref="Q522">IF(H522&lt;&gt;"Stop",IF(N522&lt;&gt;0,IF(N522&lt;=K522,"OK","NG"),Blank),"-")</f>
        <v>#REF!</v>
      </c>
      <c r="R522" s="326" t="e" cm="1">
        <f t="array" ref="R522">IF(H522&lt;&gt;"Stop",IF(E522&lt;&gt;0,IF(E522&lt;=K522,"OK","NG"),Blank),"-")</f>
        <v>#REF!</v>
      </c>
    </row>
    <row r="523" spans="1:21" ht="15" x14ac:dyDescent="0.3">
      <c r="A523" s="318" t="e">
        <f>#REF!</f>
        <v>#REF!</v>
      </c>
      <c r="B523" s="305" t="e">
        <f>#REF!</f>
        <v>#REF!</v>
      </c>
      <c r="C523" s="305" t="str">
        <f>'Danh sách máy'!C518</f>
        <v>MKHC</v>
      </c>
      <c r="D523" s="90" t="e">
        <f>#REF!</f>
        <v>#REF!</v>
      </c>
      <c r="E523" s="97">
        <f>'Danh sách máy'!E518</f>
        <v>45897</v>
      </c>
      <c r="F523" s="206" t="e">
        <f>#REF!</f>
        <v>#REF!</v>
      </c>
      <c r="G523" s="102" t="e">
        <f>#REF!</f>
        <v>#REF!</v>
      </c>
      <c r="H523" s="102" t="e">
        <f>#REF!</f>
        <v>#REF!</v>
      </c>
      <c r="K523" s="210" t="e">
        <f>#REF!</f>
        <v>#REF!</v>
      </c>
      <c r="L523" s="210">
        <v>44792</v>
      </c>
      <c r="M523" s="210"/>
      <c r="N523" s="210">
        <f>'Danh sách máy'!F518</f>
        <v>45897</v>
      </c>
      <c r="O523" s="211" t="str" cm="1">
        <f t="array" ref="O523">IF(L523&lt;&gt;0,IF(L523&lt;I523,"OK","NG"),Blank)</f>
        <v>NG</v>
      </c>
      <c r="P523" s="211" t="e" cm="1">
        <f t="array" ref="P523">IF(M523&lt;&gt;0,IF(M523&lt;J523,"OK","NG"),Blank)</f>
        <v>#NAME?</v>
      </c>
      <c r="Q523" s="211" t="e" cm="1">
        <f t="array" ref="Q523">IF(H523&lt;&gt;"Stop",IF(N523&lt;&gt;0,IF(N523&lt;=K523,"OK","NG"),Blank),"-")</f>
        <v>#REF!</v>
      </c>
      <c r="R523" s="326" t="e" cm="1">
        <f t="array" ref="R523">IF(H523&lt;&gt;"Stop",IF(E523&lt;&gt;0,IF(E523&lt;=K523,"OK","NG"),Blank),"-")</f>
        <v>#REF!</v>
      </c>
    </row>
    <row r="524" spans="1:21" ht="15" x14ac:dyDescent="0.3">
      <c r="A524" s="318" t="e">
        <f>#REF!</f>
        <v>#REF!</v>
      </c>
      <c r="B524" s="305" t="e">
        <f>#REF!</f>
        <v>#REF!</v>
      </c>
      <c r="C524" s="305" t="str">
        <f>'Danh sách máy'!C519</f>
        <v>MKHC</v>
      </c>
      <c r="D524" s="90" t="e">
        <f>#REF!</f>
        <v>#REF!</v>
      </c>
      <c r="E524" s="97">
        <f>'Danh sách máy'!E519</f>
        <v>45897</v>
      </c>
      <c r="F524" s="206" t="e">
        <f>#REF!</f>
        <v>#REF!</v>
      </c>
      <c r="G524" s="102" t="e">
        <f>#REF!</f>
        <v>#REF!</v>
      </c>
      <c r="H524" s="102" t="e">
        <f>#REF!</f>
        <v>#REF!</v>
      </c>
      <c r="K524" s="210" t="e">
        <f>#REF!</f>
        <v>#REF!</v>
      </c>
      <c r="L524" s="210">
        <v>44793</v>
      </c>
      <c r="M524" s="210"/>
      <c r="N524" s="210">
        <f>'Danh sách máy'!F519</f>
        <v>45897</v>
      </c>
      <c r="O524" s="211" t="str" cm="1">
        <f t="array" ref="O524">IF(L524&lt;&gt;0,IF(L524&lt;I524,"OK","NG"),Blank)</f>
        <v>NG</v>
      </c>
      <c r="P524" s="211" t="e" cm="1">
        <f t="array" ref="P524">IF(M524&lt;&gt;0,IF(M524&lt;J524,"OK","NG"),Blank)</f>
        <v>#NAME?</v>
      </c>
      <c r="Q524" s="211" t="e" cm="1">
        <f t="array" ref="Q524">IF(H524&lt;&gt;"Stop",IF(N524&lt;&gt;0,IF(N524&lt;=K524,"OK","NG"),Blank),"-")</f>
        <v>#REF!</v>
      </c>
      <c r="R524" s="326" t="e" cm="1">
        <f t="array" ref="R524">IF(H524&lt;&gt;"Stop",IF(E524&lt;&gt;0,IF(E524&lt;=K524,"OK","NG"),Blank),"-")</f>
        <v>#REF!</v>
      </c>
    </row>
    <row r="525" spans="1:21" ht="15" x14ac:dyDescent="0.3">
      <c r="A525" s="318" t="e">
        <f>#REF!</f>
        <v>#REF!</v>
      </c>
      <c r="B525" s="305" t="e">
        <f>#REF!</f>
        <v>#REF!</v>
      </c>
      <c r="C525" s="305" t="str">
        <f>'Danh sách máy'!C520</f>
        <v>MKHC</v>
      </c>
      <c r="D525" s="90" t="e">
        <f>#REF!</f>
        <v>#REF!</v>
      </c>
      <c r="E525" s="97">
        <f>'Danh sách máy'!E520</f>
        <v>45898</v>
      </c>
      <c r="F525" s="206" t="e">
        <f>#REF!</f>
        <v>#REF!</v>
      </c>
      <c r="G525" s="102" t="e">
        <f>#REF!</f>
        <v>#REF!</v>
      </c>
      <c r="H525" s="102" t="e">
        <f>#REF!</f>
        <v>#REF!</v>
      </c>
      <c r="K525" s="210" t="e">
        <f>#REF!</f>
        <v>#REF!</v>
      </c>
      <c r="L525" s="210">
        <v>44794</v>
      </c>
      <c r="M525" s="210"/>
      <c r="N525" s="210">
        <f>'Danh sách máy'!F520</f>
        <v>45899</v>
      </c>
      <c r="O525" s="211" t="str" cm="1">
        <f t="array" ref="O525">IF(L525&lt;&gt;0,IF(L525&lt;I525,"OK","NG"),Blank)</f>
        <v>NG</v>
      </c>
      <c r="P525" s="211" t="e" cm="1">
        <f t="array" ref="P525">IF(M525&lt;&gt;0,IF(M525&lt;J525,"OK","NG"),Blank)</f>
        <v>#NAME?</v>
      </c>
      <c r="Q525" s="211" t="e" cm="1">
        <f t="array" ref="Q525">IF(H525&lt;&gt;"Stop",IF(N525&lt;&gt;0,IF(N525&lt;=K525,"OK","NG"),Blank),"-")</f>
        <v>#REF!</v>
      </c>
      <c r="R525" s="326" t="e" cm="1">
        <f t="array" ref="R525">IF(H525&lt;&gt;"Stop",IF(E525&lt;&gt;0,IF(E525&lt;=K525,"OK","NG"),Blank),"-")</f>
        <v>#REF!</v>
      </c>
    </row>
    <row r="526" spans="1:21" ht="15" x14ac:dyDescent="0.3">
      <c r="A526" s="318" t="e">
        <f>#REF!</f>
        <v>#REF!</v>
      </c>
      <c r="B526" s="305" t="e">
        <f>#REF!</f>
        <v>#REF!</v>
      </c>
      <c r="C526" s="305" t="str">
        <f>'Danh sách máy'!C521</f>
        <v>MKHC</v>
      </c>
      <c r="D526" s="90" t="e">
        <f>#REF!</f>
        <v>#REF!</v>
      </c>
      <c r="E526" s="97">
        <f>'Danh sách máy'!E521</f>
        <v>45898</v>
      </c>
      <c r="F526" s="206" t="e">
        <f>#REF!</f>
        <v>#REF!</v>
      </c>
      <c r="G526" s="102" t="e">
        <f>#REF!</f>
        <v>#REF!</v>
      </c>
      <c r="H526" s="102" t="e">
        <f>#REF!</f>
        <v>#REF!</v>
      </c>
      <c r="K526" s="210" t="e">
        <f>#REF!</f>
        <v>#REF!</v>
      </c>
      <c r="L526" s="210">
        <v>44795</v>
      </c>
      <c r="M526" s="210"/>
      <c r="N526" s="210">
        <f>'Danh sách máy'!F521</f>
        <v>45899</v>
      </c>
      <c r="O526" s="211" t="str" cm="1">
        <f t="array" ref="O526">IF(L526&lt;&gt;0,IF(L526&lt;I526,"OK","NG"),Blank)</f>
        <v>NG</v>
      </c>
      <c r="P526" s="211" t="e" cm="1">
        <f t="array" ref="P526">IF(M526&lt;&gt;0,IF(M526&lt;J526,"OK","NG"),Blank)</f>
        <v>#NAME?</v>
      </c>
      <c r="Q526" s="211" t="e" cm="1">
        <f t="array" ref="Q526">IF(H526&lt;&gt;"Stop",IF(N526&lt;&gt;0,IF(N526&lt;=K526,"OK","NG"),Blank),"-")</f>
        <v>#REF!</v>
      </c>
      <c r="R526" s="326" t="e" cm="1">
        <f t="array" ref="R526">IF(H526&lt;&gt;"Stop",IF(E526&lt;&gt;0,IF(E526&lt;=K526,"OK","NG"),Blank),"-")</f>
        <v>#REF!</v>
      </c>
    </row>
    <row r="527" spans="1:21" ht="15" x14ac:dyDescent="0.3">
      <c r="A527" s="318" t="e">
        <f>#REF!</f>
        <v>#REF!</v>
      </c>
      <c r="B527" s="305" t="e">
        <f>#REF!</f>
        <v>#REF!</v>
      </c>
      <c r="C527" s="305" t="str">
        <f>'Danh sách máy'!C522</f>
        <v>MKHC</v>
      </c>
      <c r="D527" s="90" t="e">
        <f>#REF!</f>
        <v>#REF!</v>
      </c>
      <c r="E527" s="97">
        <f>'Danh sách máy'!E522</f>
        <v>45898</v>
      </c>
      <c r="F527" s="206" t="e">
        <f>#REF!</f>
        <v>#REF!</v>
      </c>
      <c r="G527" s="102" t="e">
        <f>#REF!</f>
        <v>#REF!</v>
      </c>
      <c r="H527" s="102" t="e">
        <f>#REF!</f>
        <v>#REF!</v>
      </c>
      <c r="K527" s="210" t="e">
        <f>#REF!</f>
        <v>#REF!</v>
      </c>
      <c r="L527" s="210">
        <v>44796</v>
      </c>
      <c r="M527" s="210"/>
      <c r="N527" s="210">
        <f>'Danh sách máy'!F522</f>
        <v>45899</v>
      </c>
      <c r="O527" s="211" t="str" cm="1">
        <f t="array" ref="O527">IF(L527&lt;&gt;0,IF(L527&lt;I527,"OK","NG"),Blank)</f>
        <v>NG</v>
      </c>
      <c r="P527" s="211" t="e" cm="1">
        <f t="array" ref="P527">IF(M527&lt;&gt;0,IF(M527&lt;J527,"OK","NG"),Blank)</f>
        <v>#NAME?</v>
      </c>
      <c r="Q527" s="211" t="e" cm="1">
        <f t="array" ref="Q527">IF(H527&lt;&gt;"Stop",IF(N527&lt;&gt;0,IF(N527&lt;=K527,"OK","NG"),Blank),"-")</f>
        <v>#REF!</v>
      </c>
      <c r="R527" s="326" t="e" cm="1">
        <f t="array" ref="R527">IF(H527&lt;&gt;"Stop",IF(E527&lt;&gt;0,IF(E527&lt;=K527,"OK","NG"),Blank),"-")</f>
        <v>#REF!</v>
      </c>
    </row>
    <row r="528" spans="1:21" ht="15" x14ac:dyDescent="0.3">
      <c r="A528" s="318" t="e">
        <f>#REF!</f>
        <v>#REF!</v>
      </c>
      <c r="B528" s="305" t="e">
        <f>#REF!</f>
        <v>#REF!</v>
      </c>
      <c r="C528" s="305" t="str">
        <f>'Danh sách máy'!C523</f>
        <v>MKHC</v>
      </c>
      <c r="D528" s="90" t="e">
        <f>#REF!</f>
        <v>#REF!</v>
      </c>
      <c r="E528" s="97">
        <f>'Danh sách máy'!E523</f>
        <v>45898</v>
      </c>
      <c r="F528" s="206" t="e">
        <f>#REF!</f>
        <v>#REF!</v>
      </c>
      <c r="G528" s="102" t="e">
        <f>#REF!</f>
        <v>#REF!</v>
      </c>
      <c r="H528" s="102" t="e">
        <f>#REF!</f>
        <v>#REF!</v>
      </c>
      <c r="K528" s="210" t="e">
        <f>#REF!</f>
        <v>#REF!</v>
      </c>
      <c r="L528" s="210">
        <v>44797</v>
      </c>
      <c r="M528" s="210"/>
      <c r="N528" s="210">
        <f>'Danh sách máy'!F523</f>
        <v>45899</v>
      </c>
      <c r="O528" s="211" t="str" cm="1">
        <f t="array" ref="O528">IF(L528&lt;&gt;0,IF(L528&lt;I528,"OK","NG"),Blank)</f>
        <v>NG</v>
      </c>
      <c r="P528" s="211" t="e" cm="1">
        <f t="array" ref="P528">IF(M528&lt;&gt;0,IF(M528&lt;J528,"OK","NG"),Blank)</f>
        <v>#NAME?</v>
      </c>
      <c r="Q528" s="211" t="e" cm="1">
        <f t="array" ref="Q528">IF(H528&lt;&gt;"Stop",IF(N528&lt;&gt;0,IF(N528&lt;=K528,"OK","NG"),Blank),"-")</f>
        <v>#REF!</v>
      </c>
      <c r="R528" s="326" t="e" cm="1">
        <f t="array" ref="R528">IF(H528&lt;&gt;"Stop",IF(E528&lt;&gt;0,IF(E528&lt;=K528,"OK","NG"),Blank),"-")</f>
        <v>#REF!</v>
      </c>
    </row>
    <row r="529" spans="1:18" ht="15" x14ac:dyDescent="0.3">
      <c r="A529" s="318" t="e">
        <f>#REF!</f>
        <v>#REF!</v>
      </c>
      <c r="B529" s="305" t="e">
        <f>#REF!</f>
        <v>#REF!</v>
      </c>
      <c r="C529" s="305" t="str">
        <f>'Danh sách máy'!C524</f>
        <v>MKHC</v>
      </c>
      <c r="D529" s="90" t="e">
        <f>#REF!</f>
        <v>#REF!</v>
      </c>
      <c r="E529" s="97">
        <f>'Danh sách máy'!E524</f>
        <v>45913</v>
      </c>
      <c r="F529" s="206" t="e">
        <f>#REF!</f>
        <v>#REF!</v>
      </c>
      <c r="G529" s="102" t="e">
        <f>#REF!</f>
        <v>#REF!</v>
      </c>
      <c r="H529" s="102" t="e">
        <f>#REF!</f>
        <v>#REF!</v>
      </c>
      <c r="K529" s="210" t="e">
        <f>#REF!</f>
        <v>#REF!</v>
      </c>
      <c r="L529" s="210">
        <v>44798</v>
      </c>
      <c r="M529" s="210"/>
      <c r="N529" s="210">
        <f>'Danh sách máy'!F524</f>
        <v>45913</v>
      </c>
      <c r="O529" s="211" t="str" cm="1">
        <f t="array" ref="O529">IF(L529&lt;&gt;0,IF(L529&lt;I529,"OK","NG"),Blank)</f>
        <v>NG</v>
      </c>
      <c r="P529" s="211" t="e" cm="1">
        <f t="array" ref="P529">IF(M529&lt;&gt;0,IF(M529&lt;J529,"OK","NG"),Blank)</f>
        <v>#NAME?</v>
      </c>
      <c r="Q529" s="211" t="e" cm="1">
        <f t="array" ref="Q529">IF(H529&lt;&gt;"Stop",IF(N529&lt;&gt;0,IF(N529&lt;=K529,"OK","NG"),Blank),"-")</f>
        <v>#REF!</v>
      </c>
      <c r="R529" s="326" t="e" cm="1">
        <f t="array" ref="R529">IF(H529&lt;&gt;"Stop",IF(E529&lt;&gt;0,IF(E529&lt;=K529,"OK","NG"),Blank),"-")</f>
        <v>#REF!</v>
      </c>
    </row>
    <row r="530" spans="1:18" ht="15" x14ac:dyDescent="0.3">
      <c r="A530" s="318" t="e">
        <f>#REF!</f>
        <v>#REF!</v>
      </c>
      <c r="B530" s="305" t="e">
        <f>#REF!</f>
        <v>#REF!</v>
      </c>
      <c r="C530" s="305" t="str">
        <f>'Danh sách máy'!C525</f>
        <v>MKHC</v>
      </c>
      <c r="D530" s="90" t="e">
        <f>#REF!</f>
        <v>#REF!</v>
      </c>
      <c r="E530" s="97">
        <f>'Danh sách máy'!E525</f>
        <v>45913</v>
      </c>
      <c r="F530" s="206" t="e">
        <f>#REF!</f>
        <v>#REF!</v>
      </c>
      <c r="G530" s="102" t="e">
        <f>#REF!</f>
        <v>#REF!</v>
      </c>
      <c r="H530" s="102" t="e">
        <f>#REF!</f>
        <v>#REF!</v>
      </c>
      <c r="K530" s="210" t="e">
        <f>#REF!</f>
        <v>#REF!</v>
      </c>
      <c r="L530" s="210">
        <v>44799</v>
      </c>
      <c r="M530" s="210"/>
      <c r="N530" s="210">
        <f>'Danh sách máy'!F525</f>
        <v>45913</v>
      </c>
      <c r="O530" s="211" t="str" cm="1">
        <f t="array" ref="O530">IF(L530&lt;&gt;0,IF(L530&lt;I530,"OK","NG"),Blank)</f>
        <v>NG</v>
      </c>
      <c r="P530" s="211" t="e" cm="1">
        <f t="array" ref="P530">IF(M530&lt;&gt;0,IF(M530&lt;J530,"OK","NG"),Blank)</f>
        <v>#NAME?</v>
      </c>
      <c r="Q530" s="211" t="e" cm="1">
        <f t="array" ref="Q530">IF(H530&lt;&gt;"Stop",IF(N530&lt;&gt;0,IF(N530&lt;=K530,"OK","NG"),Blank),"-")</f>
        <v>#REF!</v>
      </c>
      <c r="R530" s="326" t="e" cm="1">
        <f t="array" ref="R530">IF(H530&lt;&gt;"Stop",IF(E530&lt;&gt;0,IF(E530&lt;=K530,"OK","NG"),Blank),"-")</f>
        <v>#REF!</v>
      </c>
    </row>
    <row r="531" spans="1:18" ht="15" x14ac:dyDescent="0.3">
      <c r="A531" s="318" t="e">
        <f>#REF!</f>
        <v>#REF!</v>
      </c>
      <c r="B531" s="305" t="e">
        <f>#REF!</f>
        <v>#REF!</v>
      </c>
      <c r="C531" s="305" t="str">
        <f>'Danh sách máy'!C526</f>
        <v>MKHC</v>
      </c>
      <c r="D531" s="90" t="e">
        <f>#REF!</f>
        <v>#REF!</v>
      </c>
      <c r="E531" s="97">
        <f>'Danh sách máy'!E526</f>
        <v>45899</v>
      </c>
      <c r="F531" s="206" t="e">
        <f>#REF!</f>
        <v>#REF!</v>
      </c>
      <c r="G531" s="102" t="e">
        <f>#REF!</f>
        <v>#REF!</v>
      </c>
      <c r="H531" s="102" t="e">
        <f>#REF!</f>
        <v>#REF!</v>
      </c>
      <c r="K531" s="210" t="e">
        <f>#REF!</f>
        <v>#REF!</v>
      </c>
      <c r="L531" s="210">
        <v>44800</v>
      </c>
      <c r="M531" s="210"/>
      <c r="N531" s="210">
        <f>'Danh sách máy'!F526</f>
        <v>45913</v>
      </c>
      <c r="O531" s="211" t="str" cm="1">
        <f t="array" ref="O531">IF(L531&lt;&gt;0,IF(L531&lt;I531,"OK","NG"),Blank)</f>
        <v>NG</v>
      </c>
      <c r="P531" s="211" t="e" cm="1">
        <f t="array" ref="P531">IF(M531&lt;&gt;0,IF(M531&lt;J531,"OK","NG"),Blank)</f>
        <v>#NAME?</v>
      </c>
      <c r="Q531" s="211" t="e" cm="1">
        <f t="array" ref="Q531">IF(H531&lt;&gt;"Stop",IF(N531&lt;&gt;0,IF(N531&lt;=K531,"OK","NG"),Blank),"-")</f>
        <v>#REF!</v>
      </c>
      <c r="R531" s="326" t="e" cm="1">
        <f t="array" ref="R531">IF(H531&lt;&gt;"Stop",IF(E531&lt;&gt;0,IF(E531&lt;=K531,"OK","NG"),Blank),"-")</f>
        <v>#REF!</v>
      </c>
    </row>
    <row r="532" spans="1:18" ht="15" x14ac:dyDescent="0.3">
      <c r="A532" s="318" t="e">
        <f>#REF!</f>
        <v>#REF!</v>
      </c>
      <c r="B532" s="305" t="e">
        <f>#REF!</f>
        <v>#REF!</v>
      </c>
      <c r="C532" s="305" t="str">
        <f>'Danh sách máy'!C527</f>
        <v>MKHC</v>
      </c>
      <c r="D532" s="90" t="e">
        <f>#REF!</f>
        <v>#REF!</v>
      </c>
      <c r="E532" s="97">
        <f>'Danh sách máy'!E527</f>
        <v>45899</v>
      </c>
      <c r="F532" s="206" t="e">
        <f>#REF!</f>
        <v>#REF!</v>
      </c>
      <c r="G532" s="102" t="e">
        <f>#REF!</f>
        <v>#REF!</v>
      </c>
      <c r="H532" s="102" t="e">
        <f>#REF!</f>
        <v>#REF!</v>
      </c>
      <c r="K532" s="210" t="e">
        <f>#REF!</f>
        <v>#REF!</v>
      </c>
      <c r="L532" s="210">
        <v>44801</v>
      </c>
      <c r="M532" s="210"/>
      <c r="N532" s="210">
        <f>'Danh sách máy'!F527</f>
        <v>45913</v>
      </c>
      <c r="O532" s="211" t="str" cm="1">
        <f t="array" ref="O532">IF(L532&lt;&gt;0,IF(L532&lt;I532,"OK","NG"),Blank)</f>
        <v>NG</v>
      </c>
      <c r="P532" s="211" t="e" cm="1">
        <f t="array" ref="P532">IF(M532&lt;&gt;0,IF(M532&lt;J532,"OK","NG"),Blank)</f>
        <v>#NAME?</v>
      </c>
      <c r="Q532" s="211" t="e" cm="1">
        <f t="array" ref="Q532">IF(H532&lt;&gt;"Stop",IF(N532&lt;&gt;0,IF(N532&lt;=K532,"OK","NG"),Blank),"-")</f>
        <v>#REF!</v>
      </c>
      <c r="R532" s="326" t="e" cm="1">
        <f t="array" ref="R532">IF(H532&lt;&gt;"Stop",IF(E532&lt;&gt;0,IF(E532&lt;=K532,"OK","NG"),Blank),"-")</f>
        <v>#REF!</v>
      </c>
    </row>
    <row r="533" spans="1:18" ht="15" x14ac:dyDescent="0.3">
      <c r="A533" s="318" t="e">
        <f>#REF!</f>
        <v>#REF!</v>
      </c>
      <c r="B533" s="305" t="e">
        <f>#REF!</f>
        <v>#REF!</v>
      </c>
      <c r="C533" s="305" t="str">
        <f>'Danh sách máy'!C528</f>
        <v>MKHC</v>
      </c>
      <c r="D533" s="90" t="e">
        <f>#REF!</f>
        <v>#REF!</v>
      </c>
      <c r="E533" s="97">
        <f>'Danh sách máy'!E528</f>
        <v>45969</v>
      </c>
      <c r="F533" s="206" t="e">
        <f>#REF!</f>
        <v>#REF!</v>
      </c>
      <c r="G533" s="102" t="e">
        <f>#REF!</f>
        <v>#REF!</v>
      </c>
      <c r="H533" s="102" t="e">
        <f>#REF!</f>
        <v>#REF!</v>
      </c>
      <c r="K533" s="210" t="e">
        <f>#REF!</f>
        <v>#REF!</v>
      </c>
      <c r="L533" s="210">
        <v>44802</v>
      </c>
      <c r="M533" s="210"/>
      <c r="N533" s="210">
        <f>'Danh sách máy'!F528</f>
        <v>45975</v>
      </c>
      <c r="O533" s="211" t="str" cm="1">
        <f t="array" ref="O533">IF(L533&lt;&gt;0,IF(L533&lt;I533,"OK","NG"),Blank)</f>
        <v>NG</v>
      </c>
      <c r="P533" s="211" t="e" cm="1">
        <f t="array" ref="P533">IF(M533&lt;&gt;0,IF(M533&lt;J533,"OK","NG"),Blank)</f>
        <v>#NAME?</v>
      </c>
      <c r="Q533" s="211" t="e" cm="1">
        <f t="array" ref="Q533">IF(H533&lt;&gt;"Stop",IF(N533&lt;&gt;0,IF(N533&lt;=K533,"OK","NG"),Blank),"-")</f>
        <v>#REF!</v>
      </c>
      <c r="R533" s="326" t="e" cm="1">
        <f t="array" ref="R533">IF(H533&lt;&gt;"Stop",IF(E533&lt;&gt;0,IF(E533&lt;=K533,"OK","NG"),Blank),"-")</f>
        <v>#REF!</v>
      </c>
    </row>
    <row r="534" spans="1:18" ht="15" x14ac:dyDescent="0.3">
      <c r="A534" s="318" t="e">
        <f>#REF!</f>
        <v>#REF!</v>
      </c>
      <c r="B534" s="305" t="e">
        <f>#REF!</f>
        <v>#REF!</v>
      </c>
      <c r="C534" s="305" t="str">
        <f>'Danh sách máy'!C529</f>
        <v>MKHC</v>
      </c>
      <c r="D534" s="90" t="e">
        <f>#REF!</f>
        <v>#REF!</v>
      </c>
      <c r="E534" s="97">
        <f>'Danh sách máy'!E529</f>
        <v>45969</v>
      </c>
      <c r="F534" s="206" t="e">
        <f>#REF!</f>
        <v>#REF!</v>
      </c>
      <c r="G534" s="102" t="e">
        <f>#REF!</f>
        <v>#REF!</v>
      </c>
      <c r="H534" s="102" t="e">
        <f>#REF!</f>
        <v>#REF!</v>
      </c>
      <c r="K534" s="210" t="e">
        <f>#REF!</f>
        <v>#REF!</v>
      </c>
      <c r="L534" s="210">
        <v>44803</v>
      </c>
      <c r="M534" s="210"/>
      <c r="N534" s="210">
        <f>'Danh sách máy'!F529</f>
        <v>45982</v>
      </c>
      <c r="O534" s="211" t="str" cm="1">
        <f t="array" ref="O534">IF(L534&lt;&gt;0,IF(L534&lt;I534,"OK","NG"),Blank)</f>
        <v>NG</v>
      </c>
      <c r="P534" s="211" t="e" cm="1">
        <f t="array" ref="P534">IF(M534&lt;&gt;0,IF(M534&lt;J534,"OK","NG"),Blank)</f>
        <v>#NAME?</v>
      </c>
      <c r="Q534" s="211" t="e" cm="1">
        <f t="array" ref="Q534">IF(H534&lt;&gt;"Stop",IF(N534&lt;&gt;0,IF(N534&lt;=K534,"OK","NG"),Blank),"-")</f>
        <v>#REF!</v>
      </c>
      <c r="R534" s="326" t="e" cm="1">
        <f t="array" ref="R534">IF(H534&lt;&gt;"Stop",IF(E534&lt;&gt;0,IF(E534&lt;=K534,"OK","NG"),Blank),"-")</f>
        <v>#REF!</v>
      </c>
    </row>
    <row r="535" spans="1:18" ht="15" x14ac:dyDescent="0.3">
      <c r="A535" s="318" t="e">
        <f>#REF!</f>
        <v>#REF!</v>
      </c>
      <c r="B535" s="305" t="e">
        <f>#REF!</f>
        <v>#REF!</v>
      </c>
      <c r="C535" s="305" t="str">
        <f>'Danh sách máy'!C530</f>
        <v>MKHC</v>
      </c>
      <c r="D535" s="90" t="e">
        <f>#REF!</f>
        <v>#REF!</v>
      </c>
      <c r="E535" s="97">
        <f>'Danh sách máy'!E530</f>
        <v>45969</v>
      </c>
      <c r="F535" s="206" t="e">
        <f>#REF!</f>
        <v>#REF!</v>
      </c>
      <c r="G535" s="102" t="e">
        <f>#REF!</f>
        <v>#REF!</v>
      </c>
      <c r="H535" s="102" t="e">
        <f>#REF!</f>
        <v>#REF!</v>
      </c>
      <c r="K535" s="210" t="e">
        <f>#REF!</f>
        <v>#REF!</v>
      </c>
      <c r="L535" s="210">
        <v>44804</v>
      </c>
      <c r="M535" s="210"/>
      <c r="N535" s="210">
        <f>'Danh sách máy'!F530</f>
        <v>45975</v>
      </c>
      <c r="O535" s="211" t="str" cm="1">
        <f t="array" ref="O535">IF(L535&lt;&gt;0,IF(L535&lt;I535,"OK","NG"),Blank)</f>
        <v>NG</v>
      </c>
      <c r="P535" s="211" t="e" cm="1">
        <f t="array" ref="P535">IF(M535&lt;&gt;0,IF(M535&lt;J535,"OK","NG"),Blank)</f>
        <v>#NAME?</v>
      </c>
      <c r="Q535" s="211" t="e" cm="1">
        <f t="array" ref="Q535">IF(H535&lt;&gt;"Stop",IF(N535&lt;&gt;0,IF(N535&lt;=K535,"OK","NG"),Blank),"-")</f>
        <v>#REF!</v>
      </c>
      <c r="R535" s="326" t="e" cm="1">
        <f t="array" ref="R535">IF(H535&lt;&gt;"Stop",IF(E535&lt;&gt;0,IF(E535&lt;=K535,"OK","NG"),Blank),"-")</f>
        <v>#REF!</v>
      </c>
    </row>
    <row r="536" spans="1:18" ht="15" x14ac:dyDescent="0.3">
      <c r="A536" s="318" t="e">
        <f>#REF!</f>
        <v>#REF!</v>
      </c>
      <c r="B536" s="305" t="e">
        <f>#REF!</f>
        <v>#REF!</v>
      </c>
      <c r="C536" s="305" t="str">
        <f>'Danh sách máy'!C531</f>
        <v>MKHC</v>
      </c>
      <c r="D536" s="90" t="e">
        <f>#REF!</f>
        <v>#REF!</v>
      </c>
      <c r="E536" s="97">
        <f>'Danh sách máy'!E531</f>
        <v>45969</v>
      </c>
      <c r="F536" s="206" t="e">
        <f>#REF!</f>
        <v>#REF!</v>
      </c>
      <c r="G536" s="102" t="e">
        <f>#REF!</f>
        <v>#REF!</v>
      </c>
      <c r="H536" s="102" t="e">
        <f>#REF!</f>
        <v>#REF!</v>
      </c>
      <c r="K536" s="210" t="e">
        <f>#REF!</f>
        <v>#REF!</v>
      </c>
      <c r="L536" s="210">
        <v>44805</v>
      </c>
      <c r="M536" s="210"/>
      <c r="N536" s="210">
        <f>'Danh sách máy'!F531</f>
        <v>45975</v>
      </c>
      <c r="O536" s="211" t="str" cm="1">
        <f t="array" ref="O536">IF(L536&lt;&gt;0,IF(L536&lt;I536,"OK","NG"),Blank)</f>
        <v>NG</v>
      </c>
      <c r="P536" s="211" t="e" cm="1">
        <f t="array" ref="P536">IF(M536&lt;&gt;0,IF(M536&lt;J536,"OK","NG"),Blank)</f>
        <v>#NAME?</v>
      </c>
      <c r="Q536" s="211" t="e" cm="1">
        <f t="array" ref="Q536">IF(H536&lt;&gt;"Stop",IF(N536&lt;&gt;0,IF(N536&lt;=K536,"OK","NG"),Blank),"-")</f>
        <v>#REF!</v>
      </c>
      <c r="R536" s="326" t="e" cm="1">
        <f t="array" ref="R536">IF(H536&lt;&gt;"Stop",IF(E536&lt;&gt;0,IF(E536&lt;=K536,"OK","NG"),Blank),"-")</f>
        <v>#REF!</v>
      </c>
    </row>
    <row r="537" spans="1:18" ht="15" x14ac:dyDescent="0.3">
      <c r="A537" s="318" t="e">
        <f>#REF!</f>
        <v>#REF!</v>
      </c>
      <c r="B537" s="305" t="e">
        <f>#REF!</f>
        <v>#REF!</v>
      </c>
      <c r="C537" s="305" t="str">
        <f>'Danh sách máy'!C532</f>
        <v>MKHC</v>
      </c>
      <c r="D537" s="90" t="e">
        <f>#REF!</f>
        <v>#REF!</v>
      </c>
      <c r="E537" s="97">
        <f>'Danh sách máy'!E532</f>
        <v>45983</v>
      </c>
      <c r="F537" s="206" t="e">
        <f>#REF!</f>
        <v>#REF!</v>
      </c>
      <c r="G537" s="102" t="e">
        <f>#REF!</f>
        <v>#REF!</v>
      </c>
      <c r="H537" s="102" t="e">
        <f>#REF!</f>
        <v>#REF!</v>
      </c>
      <c r="K537" s="210" t="e">
        <f>#REF!</f>
        <v>#REF!</v>
      </c>
      <c r="L537" s="210">
        <v>44806</v>
      </c>
      <c r="M537" s="210"/>
      <c r="N537" s="210">
        <f>'Danh sách máy'!F532</f>
        <v>45988</v>
      </c>
      <c r="O537" s="211" t="str" cm="1">
        <f t="array" ref="O537">IF(L537&lt;&gt;0,IF(L537&lt;I537,"OK","NG"),Blank)</f>
        <v>NG</v>
      </c>
      <c r="P537" s="211" t="e" cm="1">
        <f t="array" ref="P537">IF(M537&lt;&gt;0,IF(M537&lt;J537,"OK","NG"),Blank)</f>
        <v>#NAME?</v>
      </c>
      <c r="Q537" s="211" t="e" cm="1">
        <f t="array" ref="Q537">IF(H537&lt;&gt;"Stop",IF(N537&lt;&gt;0,IF(N537&lt;=K537,"OK","NG"),Blank),"-")</f>
        <v>#REF!</v>
      </c>
      <c r="R537" s="326" t="e" cm="1">
        <f t="array" ref="R537">IF(H537&lt;&gt;"Stop",IF(E537&lt;&gt;0,IF(E537&lt;=K537,"OK","NG"),Blank),"-")</f>
        <v>#REF!</v>
      </c>
    </row>
    <row r="538" spans="1:18" ht="15" x14ac:dyDescent="0.3">
      <c r="A538" s="318" t="e">
        <f>#REF!</f>
        <v>#REF!</v>
      </c>
      <c r="B538" s="305" t="e">
        <f>#REF!</f>
        <v>#REF!</v>
      </c>
      <c r="C538" s="305" t="str">
        <f>'Danh sách máy'!C533</f>
        <v>MKHC</v>
      </c>
      <c r="D538" s="90" t="e">
        <f>#REF!</f>
        <v>#REF!</v>
      </c>
      <c r="E538" s="97">
        <f>'Danh sách máy'!E533</f>
        <v>45983</v>
      </c>
      <c r="F538" s="206" t="e">
        <f>#REF!</f>
        <v>#REF!</v>
      </c>
      <c r="G538" s="102" t="e">
        <f>#REF!</f>
        <v>#REF!</v>
      </c>
      <c r="H538" s="102" t="e">
        <f>#REF!</f>
        <v>#REF!</v>
      </c>
      <c r="K538" s="210" t="e">
        <f>#REF!</f>
        <v>#REF!</v>
      </c>
      <c r="L538" s="210">
        <v>44807</v>
      </c>
      <c r="M538" s="210"/>
      <c r="N538" s="210">
        <f>'Danh sách máy'!F533</f>
        <v>45988</v>
      </c>
      <c r="O538" s="211" t="str" cm="1">
        <f t="array" ref="O538">IF(L538&lt;&gt;0,IF(L538&lt;I538,"OK","NG"),Blank)</f>
        <v>NG</v>
      </c>
      <c r="P538" s="211" t="e" cm="1">
        <f t="array" ref="P538">IF(M538&lt;&gt;0,IF(M538&lt;J538,"OK","NG"),Blank)</f>
        <v>#NAME?</v>
      </c>
      <c r="Q538" s="211" t="e" cm="1">
        <f t="array" ref="Q538">IF(H538&lt;&gt;"Stop",IF(N538&lt;&gt;0,IF(N538&lt;=K538,"OK","NG"),Blank),"-")</f>
        <v>#REF!</v>
      </c>
      <c r="R538" s="326" t="e" cm="1">
        <f t="array" ref="R538">IF(H538&lt;&gt;"Stop",IF(E538&lt;&gt;0,IF(E538&lt;=K538,"OK","NG"),Blank),"-")</f>
        <v>#REF!</v>
      </c>
    </row>
    <row r="539" spans="1:18" ht="15" x14ac:dyDescent="0.3">
      <c r="A539" s="318" t="e">
        <f>#REF!</f>
        <v>#REF!</v>
      </c>
      <c r="B539" s="305" t="e">
        <f>#REF!</f>
        <v>#REF!</v>
      </c>
      <c r="C539" s="305" t="str">
        <f>'Danh sách máy'!C534</f>
        <v>MKHC</v>
      </c>
      <c r="D539" s="90" t="e">
        <f>#REF!</f>
        <v>#REF!</v>
      </c>
      <c r="E539" s="97">
        <f>'Danh sách máy'!E534</f>
        <v>45988</v>
      </c>
      <c r="F539" s="206" t="e">
        <f>#REF!</f>
        <v>#REF!</v>
      </c>
      <c r="G539" s="102" t="e">
        <f>#REF!</f>
        <v>#REF!</v>
      </c>
      <c r="H539" s="102" t="e">
        <f>#REF!</f>
        <v>#REF!</v>
      </c>
      <c r="K539" s="210" t="e">
        <f>#REF!</f>
        <v>#REF!</v>
      </c>
      <c r="L539" s="210">
        <v>44808</v>
      </c>
      <c r="M539" s="210"/>
      <c r="N539" s="210">
        <f>'Danh sách máy'!F534</f>
        <v>45988</v>
      </c>
      <c r="O539" s="211" t="str" cm="1">
        <f t="array" ref="O539">IF(L539&lt;&gt;0,IF(L539&lt;I539,"OK","NG"),Blank)</f>
        <v>NG</v>
      </c>
      <c r="P539" s="211" t="e" cm="1">
        <f t="array" ref="P539">IF(M539&lt;&gt;0,IF(M539&lt;J539,"OK","NG"),Blank)</f>
        <v>#NAME?</v>
      </c>
      <c r="Q539" s="211" t="e" cm="1">
        <f t="array" ref="Q539">IF(H539&lt;&gt;"Stop",IF(N539&lt;&gt;0,IF(N539&lt;=K539,"OK","NG"),Blank),"-")</f>
        <v>#REF!</v>
      </c>
      <c r="R539" s="326" t="e" cm="1">
        <f t="array" ref="R539">IF(H539&lt;&gt;"Stop",IF(E539&lt;&gt;0,IF(E539&lt;=K539,"OK","NG"),Blank),"-")</f>
        <v>#REF!</v>
      </c>
    </row>
    <row r="540" spans="1:18" ht="15" x14ac:dyDescent="0.3">
      <c r="A540" s="318" t="e">
        <f>#REF!</f>
        <v>#REF!</v>
      </c>
      <c r="B540" s="305" t="e">
        <f>#REF!</f>
        <v>#REF!</v>
      </c>
      <c r="C540" s="305" t="str">
        <f>'Danh sách máy'!C535</f>
        <v>MKHC</v>
      </c>
      <c r="D540" s="90" t="e">
        <f>#REF!</f>
        <v>#REF!</v>
      </c>
      <c r="E540" s="97">
        <f>'Danh sách máy'!E535</f>
        <v>45988</v>
      </c>
      <c r="F540" s="206" t="e">
        <f>#REF!</f>
        <v>#REF!</v>
      </c>
      <c r="G540" s="102" t="e">
        <f>#REF!</f>
        <v>#REF!</v>
      </c>
      <c r="H540" s="102" t="e">
        <f>#REF!</f>
        <v>#REF!</v>
      </c>
      <c r="K540" s="210" t="e">
        <f>#REF!</f>
        <v>#REF!</v>
      </c>
      <c r="L540" s="210">
        <v>44809</v>
      </c>
      <c r="M540" s="210"/>
      <c r="N540" s="210">
        <f>'Danh sách máy'!F535</f>
        <v>45988</v>
      </c>
      <c r="O540" s="211" t="str" cm="1">
        <f t="array" ref="O540">IF(L540&lt;&gt;0,IF(L540&lt;I540,"OK","NG"),Blank)</f>
        <v>NG</v>
      </c>
      <c r="P540" s="211" t="e" cm="1">
        <f t="array" ref="P540">IF(M540&lt;&gt;0,IF(M540&lt;J540,"OK","NG"),Blank)</f>
        <v>#NAME?</v>
      </c>
      <c r="Q540" s="211" t="e" cm="1">
        <f t="array" ref="Q540">IF(H540&lt;&gt;"Stop",IF(N540&lt;&gt;0,IF(N540&lt;=K540,"OK","NG"),Blank),"-")</f>
        <v>#REF!</v>
      </c>
      <c r="R540" s="326" t="e" cm="1">
        <f t="array" ref="R540">IF(H540&lt;&gt;"Stop",IF(E540&lt;&gt;0,IF(E540&lt;=K540,"OK","NG"),Blank),"-")</f>
        <v>#REF!</v>
      </c>
    </row>
    <row r="541" spans="1:18" ht="15" x14ac:dyDescent="0.3">
      <c r="A541" s="318" t="e">
        <f>#REF!</f>
        <v>#REF!</v>
      </c>
      <c r="B541" s="305" t="e">
        <f>#REF!</f>
        <v>#REF!</v>
      </c>
      <c r="C541" s="305" t="str">
        <f>'Danh sách máy'!C536</f>
        <v>MKHC</v>
      </c>
      <c r="D541" s="90" t="e">
        <f>#REF!</f>
        <v>#REF!</v>
      </c>
      <c r="E541" s="97">
        <f>'Danh sách máy'!E536</f>
        <v>46000</v>
      </c>
      <c r="F541" s="206" t="e">
        <f>#REF!</f>
        <v>#REF!</v>
      </c>
      <c r="G541" s="102" t="e">
        <f>#REF!</f>
        <v>#REF!</v>
      </c>
      <c r="H541" s="102" t="e">
        <f>#REF!</f>
        <v>#REF!</v>
      </c>
      <c r="K541" s="210" t="e">
        <f>#REF!</f>
        <v>#REF!</v>
      </c>
      <c r="L541" s="210">
        <v>44810</v>
      </c>
      <c r="M541" s="210"/>
      <c r="N541" s="210">
        <f>'Danh sách máy'!F536</f>
        <v>46017</v>
      </c>
      <c r="O541" s="211" t="str" cm="1">
        <f t="array" ref="O541">IF(L541&lt;&gt;0,IF(L541&lt;I541,"OK","NG"),Blank)</f>
        <v>NG</v>
      </c>
      <c r="P541" s="211" t="e" cm="1">
        <f t="array" ref="P541">IF(M541&lt;&gt;0,IF(M541&lt;J541,"OK","NG"),Blank)</f>
        <v>#NAME?</v>
      </c>
      <c r="Q541" s="211" t="e" cm="1">
        <f t="array" ref="Q541">IF(H541&lt;&gt;"Stop",IF(N541&lt;&gt;0,IF(N541&lt;=K541,"OK","NG"),Blank),"-")</f>
        <v>#REF!</v>
      </c>
      <c r="R541" s="326" t="e" cm="1">
        <f t="array" ref="R541">IF(H541&lt;&gt;"Stop",IF(E541&lt;&gt;0,IF(E541&lt;=K541,"OK","NG"),Blank),"-")</f>
        <v>#REF!</v>
      </c>
    </row>
    <row r="542" spans="1:18" ht="15" x14ac:dyDescent="0.3">
      <c r="A542" s="318" t="e">
        <f>#REF!</f>
        <v>#REF!</v>
      </c>
      <c r="B542" s="305" t="e">
        <f>#REF!</f>
        <v>#REF!</v>
      </c>
      <c r="C542" s="305" t="str">
        <f>'Danh sách máy'!C537</f>
        <v>MKHC</v>
      </c>
      <c r="D542" s="90" t="e">
        <f>#REF!</f>
        <v>#REF!</v>
      </c>
      <c r="E542" s="97">
        <f>'Danh sách máy'!E537</f>
        <v>46006</v>
      </c>
      <c r="F542" s="206" t="e">
        <f>#REF!</f>
        <v>#REF!</v>
      </c>
      <c r="G542" s="102" t="e">
        <f>#REF!</f>
        <v>#REF!</v>
      </c>
      <c r="H542" s="102" t="e">
        <f>#REF!</f>
        <v>#REF!</v>
      </c>
      <c r="K542" s="210" t="e">
        <f>#REF!</f>
        <v>#REF!</v>
      </c>
      <c r="L542" s="210">
        <v>44811</v>
      </c>
      <c r="M542" s="210"/>
      <c r="N542" s="210">
        <f>'Danh sách máy'!F537</f>
        <v>46017</v>
      </c>
      <c r="O542" s="211" t="str" cm="1">
        <f t="array" ref="O542">IF(L542&lt;&gt;0,IF(L542&lt;I542,"OK","NG"),Blank)</f>
        <v>NG</v>
      </c>
      <c r="P542" s="211" t="e" cm="1">
        <f t="array" ref="P542">IF(M542&lt;&gt;0,IF(M542&lt;J542,"OK","NG"),Blank)</f>
        <v>#NAME?</v>
      </c>
      <c r="Q542" s="211" t="e" cm="1">
        <f t="array" ref="Q542">IF(H542&lt;&gt;"Stop",IF(N542&lt;&gt;0,IF(N542&lt;=K542,"OK","NG"),Blank),"-")</f>
        <v>#REF!</v>
      </c>
      <c r="R542" s="326" t="e" cm="1">
        <f t="array" ref="R542">IF(H542&lt;&gt;"Stop",IF(E542&lt;&gt;0,IF(E542&lt;=K542,"OK","NG"),Blank),"-")</f>
        <v>#REF!</v>
      </c>
    </row>
    <row r="543" spans="1:18" ht="15" x14ac:dyDescent="0.3">
      <c r="A543" s="318" t="e">
        <f>#REF!</f>
        <v>#REF!</v>
      </c>
      <c r="B543" s="305" t="e">
        <f>#REF!</f>
        <v>#REF!</v>
      </c>
      <c r="C543" s="305" t="str">
        <f>'Danh sách máy'!C538</f>
        <v>MKHC</v>
      </c>
      <c r="D543" s="90" t="e">
        <f>#REF!</f>
        <v>#REF!</v>
      </c>
      <c r="E543" s="97">
        <f>'Danh sách máy'!E538</f>
        <v>46006</v>
      </c>
      <c r="F543" s="206" t="e">
        <f>#REF!</f>
        <v>#REF!</v>
      </c>
      <c r="G543" s="102" t="e">
        <f>#REF!</f>
        <v>#REF!</v>
      </c>
      <c r="H543" s="102" t="e">
        <f>#REF!</f>
        <v>#REF!</v>
      </c>
      <c r="K543" s="210" t="e">
        <f>#REF!</f>
        <v>#REF!</v>
      </c>
      <c r="L543" s="210">
        <v>44812</v>
      </c>
      <c r="M543" s="210"/>
      <c r="N543" s="210">
        <f>'Danh sách máy'!F538</f>
        <v>46017</v>
      </c>
      <c r="O543" s="211" t="str" cm="1">
        <f t="array" ref="O543">IF(L543&lt;&gt;0,IF(L543&lt;I543,"OK","NG"),Blank)</f>
        <v>NG</v>
      </c>
      <c r="P543" s="211" t="e" cm="1">
        <f t="array" ref="P543">IF(M543&lt;&gt;0,IF(M543&lt;J543,"OK","NG"),Blank)</f>
        <v>#NAME?</v>
      </c>
      <c r="Q543" s="211" t="e" cm="1">
        <f t="array" ref="Q543">IF(H543&lt;&gt;"Stop",IF(N543&lt;&gt;0,IF(N543&lt;=K543,"OK","NG"),Blank),"-")</f>
        <v>#REF!</v>
      </c>
      <c r="R543" s="326" t="e" cm="1">
        <f t="array" ref="R543">IF(H543&lt;&gt;"Stop",IF(E543&lt;&gt;0,IF(E543&lt;=K543,"OK","NG"),Blank),"-")</f>
        <v>#REF!</v>
      </c>
    </row>
    <row r="544" spans="1:18" ht="15" x14ac:dyDescent="0.3">
      <c r="A544" s="318" t="e">
        <f>#REF!</f>
        <v>#REF!</v>
      </c>
      <c r="B544" s="305" t="e">
        <f>#REF!</f>
        <v>#REF!</v>
      </c>
      <c r="C544" s="305" t="str">
        <f>'Danh sách máy'!C539</f>
        <v>MKHC</v>
      </c>
      <c r="D544" s="90" t="e">
        <f>#REF!</f>
        <v>#REF!</v>
      </c>
      <c r="E544" s="97">
        <f>'Danh sách máy'!E539</f>
        <v>46016</v>
      </c>
      <c r="F544" s="206" t="e">
        <f>#REF!</f>
        <v>#REF!</v>
      </c>
      <c r="G544" s="102" t="e">
        <f>#REF!</f>
        <v>#REF!</v>
      </c>
      <c r="H544" s="102" t="e">
        <f>#REF!</f>
        <v>#REF!</v>
      </c>
      <c r="K544" s="210" t="e">
        <f>#REF!</f>
        <v>#REF!</v>
      </c>
      <c r="L544" s="210">
        <v>44813</v>
      </c>
      <c r="M544" s="210"/>
      <c r="N544" s="210">
        <f>'Danh sách máy'!F539</f>
        <v>46017</v>
      </c>
      <c r="O544" s="211" t="str" cm="1">
        <f t="array" ref="O544">IF(L544&lt;&gt;0,IF(L544&lt;I544,"OK","NG"),Blank)</f>
        <v>NG</v>
      </c>
      <c r="P544" s="211" t="e" cm="1">
        <f t="array" ref="P544">IF(M544&lt;&gt;0,IF(M544&lt;J544,"OK","NG"),Blank)</f>
        <v>#NAME?</v>
      </c>
      <c r="Q544" s="211" t="e" cm="1">
        <f t="array" ref="Q544">IF(H544&lt;&gt;"Stop",IF(N544&lt;&gt;0,IF(N544&lt;=K544,"OK","NG"),Blank),"-")</f>
        <v>#REF!</v>
      </c>
      <c r="R544" s="326" t="e" cm="1">
        <f t="array" ref="R544">IF(H544&lt;&gt;"Stop",IF(E544&lt;&gt;0,IF(E544&lt;=K544,"OK","NG"),Blank),"-")</f>
        <v>#REF!</v>
      </c>
    </row>
    <row r="545" spans="1:18" ht="15" x14ac:dyDescent="0.3">
      <c r="A545" s="318" t="e">
        <f>#REF!</f>
        <v>#REF!</v>
      </c>
      <c r="B545" s="305" t="e">
        <f>#REF!</f>
        <v>#REF!</v>
      </c>
      <c r="C545" s="305" t="str">
        <f>'Danh sách máy'!C540</f>
        <v>MKHC</v>
      </c>
      <c r="D545" s="90" t="e">
        <f>#REF!</f>
        <v>#REF!</v>
      </c>
      <c r="E545" s="97">
        <f>'Danh sách máy'!E540</f>
        <v>46016</v>
      </c>
      <c r="F545" s="206" t="e">
        <f>#REF!</f>
        <v>#REF!</v>
      </c>
      <c r="G545" s="102" t="e">
        <f>#REF!</f>
        <v>#REF!</v>
      </c>
      <c r="H545" s="102" t="e">
        <f>#REF!</f>
        <v>#REF!</v>
      </c>
      <c r="K545" s="210" t="e">
        <f>#REF!</f>
        <v>#REF!</v>
      </c>
      <c r="L545" s="210">
        <v>44814</v>
      </c>
      <c r="M545" s="210"/>
      <c r="N545" s="210">
        <f>'Danh sách máy'!F540</f>
        <v>46017</v>
      </c>
      <c r="O545" s="211" t="str" cm="1">
        <f t="array" ref="O545">IF(L545&lt;&gt;0,IF(L545&lt;I545,"OK","NG"),Blank)</f>
        <v>NG</v>
      </c>
      <c r="P545" s="211" t="e" cm="1">
        <f t="array" ref="P545">IF(M545&lt;&gt;0,IF(M545&lt;J545,"OK","NG"),Blank)</f>
        <v>#NAME?</v>
      </c>
      <c r="Q545" s="211" t="e" cm="1">
        <f t="array" ref="Q545">IF(H545&lt;&gt;"Stop",IF(N545&lt;&gt;0,IF(N545&lt;=K545,"OK","NG"),Blank),"-")</f>
        <v>#REF!</v>
      </c>
      <c r="R545" s="326" t="e" cm="1">
        <f t="array" ref="R545">IF(H545&lt;&gt;"Stop",IF(E545&lt;&gt;0,IF(E545&lt;=K545,"OK","NG"),Blank),"-")</f>
        <v>#REF!</v>
      </c>
    </row>
    <row r="546" spans="1:18" ht="15" x14ac:dyDescent="0.3">
      <c r="A546" s="318" t="e">
        <f>#REF!</f>
        <v>#REF!</v>
      </c>
      <c r="B546" s="305" t="e">
        <f>#REF!</f>
        <v>#REF!</v>
      </c>
      <c r="C546" s="305" t="str">
        <f>'Danh sách máy'!C541</f>
        <v>MKHC</v>
      </c>
      <c r="D546" s="90" t="e">
        <f>#REF!</f>
        <v>#REF!</v>
      </c>
      <c r="E546" s="97">
        <f>'Danh sách máy'!E541</f>
        <v>46046</v>
      </c>
      <c r="F546" s="206" t="e">
        <f>#REF!</f>
        <v>#REF!</v>
      </c>
      <c r="G546" s="102" t="e">
        <f>#REF!</f>
        <v>#REF!</v>
      </c>
      <c r="H546" s="102" t="e">
        <f>#REF!</f>
        <v>#REF!</v>
      </c>
      <c r="K546" s="210" t="e">
        <f>#REF!</f>
        <v>#REF!</v>
      </c>
      <c r="L546" s="210">
        <v>44815</v>
      </c>
      <c r="M546" s="210"/>
      <c r="N546" s="210">
        <f>'Danh sách máy'!F541</f>
        <v>46052</v>
      </c>
      <c r="O546" s="211" t="str" cm="1">
        <f t="array" ref="O546">IF(L546&lt;&gt;0,IF(L546&lt;I546,"OK","NG"),Blank)</f>
        <v>NG</v>
      </c>
      <c r="P546" s="211" t="e" cm="1">
        <f t="array" ref="P546">IF(M546&lt;&gt;0,IF(M546&lt;J546,"OK","NG"),Blank)</f>
        <v>#NAME?</v>
      </c>
      <c r="Q546" s="211" t="e" cm="1">
        <f t="array" ref="Q546">IF(H546&lt;&gt;"Stop",IF(N546&lt;&gt;0,IF(N546&lt;=K546,"OK","NG"),Blank),"-")</f>
        <v>#REF!</v>
      </c>
      <c r="R546" s="326" t="e" cm="1">
        <f t="array" ref="R546">IF(H546&lt;&gt;"Stop",IF(E546&lt;&gt;0,IF(E546&lt;=K546,"OK","NG"),Blank),"-")</f>
        <v>#REF!</v>
      </c>
    </row>
    <row r="547" spans="1:18" ht="15" hidden="1" x14ac:dyDescent="0.3">
      <c r="A547" s="318" t="e">
        <f>#REF!</f>
        <v>#REF!</v>
      </c>
      <c r="B547" s="305" t="e">
        <f>#REF!</f>
        <v>#REF!</v>
      </c>
      <c r="C547" s="305" t="str">
        <f>'Danh sách máy'!C542</f>
        <v>MKHC</v>
      </c>
      <c r="D547" s="90" t="e">
        <f>#REF!</f>
        <v>#REF!</v>
      </c>
      <c r="E547" s="97">
        <f>'Danh sách máy'!E542</f>
        <v>46059</v>
      </c>
      <c r="F547" s="206" t="e">
        <f>#REF!</f>
        <v>#REF!</v>
      </c>
      <c r="G547" s="102" t="e">
        <f>#REF!</f>
        <v>#REF!</v>
      </c>
      <c r="H547" s="102" t="e">
        <f>#REF!</f>
        <v>#REF!</v>
      </c>
      <c r="K547" s="210" t="e">
        <f>#REF!</f>
        <v>#REF!</v>
      </c>
      <c r="L547" s="210">
        <v>44816</v>
      </c>
      <c r="M547" s="210"/>
      <c r="N547" s="210">
        <f>'Danh sách máy'!F542</f>
        <v>46079</v>
      </c>
      <c r="O547" s="211" t="str" cm="1">
        <f t="array" ref="O547">IF(L547&lt;&gt;0,IF(L547&lt;I547,"OK","NG"),Blank)</f>
        <v>NG</v>
      </c>
      <c r="P547" s="211" t="e" cm="1">
        <f t="array" ref="P547">IF(M547&lt;&gt;0,IF(M547&lt;J547,"OK","NG"),Blank)</f>
        <v>#NAME?</v>
      </c>
      <c r="Q547" s="211" t="e" cm="1">
        <f t="array" ref="Q547">IF(H547&lt;&gt;"Stop",IF(N547&lt;&gt;0,IF(N547&lt;=K547,"OK","NG"),Blank),"-")</f>
        <v>#REF!</v>
      </c>
      <c r="R547" s="326" t="e" cm="1">
        <f t="array" ref="R547">IF(H547&lt;&gt;"Stop",IF(E547&lt;&gt;0,IF(E547&lt;=K547,"OK","NG"),Blank),"-")</f>
        <v>#REF!</v>
      </c>
    </row>
    <row r="548" spans="1:18" ht="15" x14ac:dyDescent="0.3">
      <c r="A548" s="318" t="e">
        <f>#REF!</f>
        <v>#REF!</v>
      </c>
      <c r="B548" s="305" t="e">
        <f>#REF!</f>
        <v>#REF!</v>
      </c>
      <c r="C548" s="305" t="str">
        <f>'Danh sách máy'!C543</f>
        <v>MKHC</v>
      </c>
      <c r="D548" s="90" t="e">
        <f>#REF!</f>
        <v>#REF!</v>
      </c>
      <c r="E548" s="97">
        <f>'Danh sách máy'!E543</f>
        <v>45989</v>
      </c>
      <c r="F548" s="206" t="e">
        <f>#REF!</f>
        <v>#REF!</v>
      </c>
      <c r="G548" s="102" t="e">
        <f>#REF!</f>
        <v>#REF!</v>
      </c>
      <c r="H548" s="102" t="e">
        <f>#REF!</f>
        <v>#REF!</v>
      </c>
      <c r="K548" s="210" t="e">
        <f>#REF!</f>
        <v>#REF!</v>
      </c>
      <c r="L548" s="210">
        <v>44817</v>
      </c>
      <c r="M548" s="210"/>
      <c r="N548" s="210">
        <f>'Danh sách máy'!F543</f>
        <v>45989</v>
      </c>
      <c r="O548" s="211" t="str" cm="1">
        <f t="array" ref="O548">IF(L548&lt;&gt;0,IF(L548&lt;I548,"OK","NG"),Blank)</f>
        <v>NG</v>
      </c>
      <c r="P548" s="211" t="e" cm="1">
        <f t="array" ref="P548">IF(M548&lt;&gt;0,IF(M548&lt;J548,"OK","NG"),Blank)</f>
        <v>#NAME?</v>
      </c>
      <c r="Q548" s="211" t="e" cm="1">
        <f t="array" ref="Q548">IF(H548&lt;&gt;"Stop",IF(N548&lt;&gt;0,IF(N548&lt;=K548,"OK","NG"),Blank),"-")</f>
        <v>#REF!</v>
      </c>
      <c r="R548" s="326" t="e" cm="1">
        <f t="array" ref="R548">IF(H548&lt;&gt;"Stop",IF(E548&lt;&gt;0,IF(E548&lt;=K548,"OK","NG"),Blank),"-")</f>
        <v>#REF!</v>
      </c>
    </row>
    <row r="549" spans="1:18" ht="15" x14ac:dyDescent="0.3">
      <c r="A549" s="318" t="e">
        <f>#REF!</f>
        <v>#REF!</v>
      </c>
      <c r="B549" s="305" t="e">
        <f>#REF!</f>
        <v>#REF!</v>
      </c>
      <c r="C549" s="305" t="str">
        <f>'Danh sách máy'!C544</f>
        <v>MKHC</v>
      </c>
      <c r="D549" s="90" t="e">
        <f>#REF!</f>
        <v>#REF!</v>
      </c>
      <c r="E549" s="97">
        <f>'Danh sách máy'!E544</f>
        <v>46000</v>
      </c>
      <c r="F549" s="206" t="e">
        <f>#REF!</f>
        <v>#REF!</v>
      </c>
      <c r="G549" s="102" t="e">
        <f>#REF!</f>
        <v>#REF!</v>
      </c>
      <c r="H549" s="102" t="e">
        <f>#REF!</f>
        <v>#REF!</v>
      </c>
      <c r="K549" s="210" t="e">
        <f>#REF!</f>
        <v>#REF!</v>
      </c>
      <c r="L549" s="210">
        <v>44818</v>
      </c>
      <c r="M549" s="210"/>
      <c r="N549" s="210">
        <f>'Danh sách máy'!F544</f>
        <v>46000</v>
      </c>
      <c r="O549" s="211" t="str" cm="1">
        <f t="array" ref="O549">IF(L549&lt;&gt;0,IF(L549&lt;I549,"OK","NG"),Blank)</f>
        <v>NG</v>
      </c>
      <c r="P549" s="211" t="e" cm="1">
        <f t="array" ref="P549">IF(M549&lt;&gt;0,IF(M549&lt;J549,"OK","NG"),Blank)</f>
        <v>#NAME?</v>
      </c>
      <c r="Q549" s="211" t="e" cm="1">
        <f t="array" ref="Q549">IF(H549&lt;&gt;"Stop",IF(N549&lt;&gt;0,IF(N549&lt;=K549,"OK","NG"),Blank),"-")</f>
        <v>#REF!</v>
      </c>
      <c r="R549" s="326" t="e" cm="1">
        <f t="array" ref="R549">IF(H549&lt;&gt;"Stop",IF(E549&lt;&gt;0,IF(E549&lt;=K549,"OK","NG"),Blank),"-")</f>
        <v>#REF!</v>
      </c>
    </row>
    <row r="550" spans="1:18" ht="15" x14ac:dyDescent="0.3">
      <c r="A550" s="318" t="e">
        <f>#REF!</f>
        <v>#REF!</v>
      </c>
      <c r="B550" s="305" t="e">
        <f>#REF!</f>
        <v>#REF!</v>
      </c>
      <c r="C550" s="305" t="str">
        <f>'Danh sách máy'!C545</f>
        <v>MKHC</v>
      </c>
      <c r="D550" s="90" t="e">
        <f>#REF!</f>
        <v>#REF!</v>
      </c>
      <c r="E550" s="97">
        <f>'Danh sách máy'!E545</f>
        <v>45969</v>
      </c>
      <c r="F550" s="206" t="e">
        <f>#REF!</f>
        <v>#REF!</v>
      </c>
      <c r="G550" s="102" t="e">
        <f>#REF!</f>
        <v>#REF!</v>
      </c>
      <c r="H550" s="102" t="e">
        <f>#REF!</f>
        <v>#REF!</v>
      </c>
      <c r="K550" s="210" t="e">
        <f>#REF!</f>
        <v>#REF!</v>
      </c>
      <c r="L550" s="210">
        <v>44819</v>
      </c>
      <c r="M550" s="210"/>
      <c r="N550" s="210">
        <f>'Danh sách máy'!F545</f>
        <v>45982</v>
      </c>
      <c r="O550" s="211" t="str" cm="1">
        <f t="array" ref="O550">IF(L550&lt;&gt;0,IF(L550&lt;I550,"OK","NG"),Blank)</f>
        <v>NG</v>
      </c>
      <c r="P550" s="211" t="e" cm="1">
        <f t="array" ref="P550">IF(M550&lt;&gt;0,IF(M550&lt;J550,"OK","NG"),Blank)</f>
        <v>#NAME?</v>
      </c>
      <c r="Q550" s="211" t="e" cm="1">
        <f t="array" ref="Q550">IF(H550&lt;&gt;"Stop",IF(N550&lt;&gt;0,IF(N550&lt;=K550,"OK","NG"),Blank),"-")</f>
        <v>#REF!</v>
      </c>
      <c r="R550" s="326" t="e" cm="1">
        <f t="array" ref="R550">IF(H550&lt;&gt;"Stop",IF(E550&lt;&gt;0,IF(E550&lt;=K550,"OK","NG"),Blank),"-")</f>
        <v>#REF!</v>
      </c>
    </row>
    <row r="551" spans="1:18" ht="15" x14ac:dyDescent="0.3">
      <c r="A551" s="318" t="e">
        <f>#REF!</f>
        <v>#REF!</v>
      </c>
      <c r="B551" s="305" t="e">
        <f>#REF!</f>
        <v>#REF!</v>
      </c>
      <c r="C551" s="305" t="str">
        <f>'Danh sách máy'!C546</f>
        <v>MKHC</v>
      </c>
      <c r="D551" s="90" t="e">
        <f>#REF!</f>
        <v>#REF!</v>
      </c>
      <c r="E551" s="97">
        <f>'Danh sách máy'!E546</f>
        <v>45969</v>
      </c>
      <c r="F551" s="206" t="e">
        <f>#REF!</f>
        <v>#REF!</v>
      </c>
      <c r="G551" s="102" t="e">
        <f>#REF!</f>
        <v>#REF!</v>
      </c>
      <c r="H551" s="102" t="e">
        <f>#REF!</f>
        <v>#REF!</v>
      </c>
      <c r="K551" s="210" t="e">
        <f>#REF!</f>
        <v>#REF!</v>
      </c>
      <c r="L551" s="210">
        <v>44820</v>
      </c>
      <c r="M551" s="210"/>
      <c r="N551" s="210">
        <f>'Danh sách máy'!F546</f>
        <v>45989</v>
      </c>
      <c r="O551" s="211" t="str" cm="1">
        <f t="array" ref="O551">IF(L551&lt;&gt;0,IF(L551&lt;I551,"OK","NG"),Blank)</f>
        <v>NG</v>
      </c>
      <c r="P551" s="211" t="e" cm="1">
        <f t="array" ref="P551">IF(M551&lt;&gt;0,IF(M551&lt;J551,"OK","NG"),Blank)</f>
        <v>#NAME?</v>
      </c>
      <c r="Q551" s="211" t="e" cm="1">
        <f t="array" ref="Q551">IF(H551&lt;&gt;"Stop",IF(N551&lt;&gt;0,IF(N551&lt;=K551,"OK","NG"),Blank),"-")</f>
        <v>#REF!</v>
      </c>
      <c r="R551" s="326" t="e" cm="1">
        <f t="array" ref="R551">IF(H551&lt;&gt;"Stop",IF(E551&lt;&gt;0,IF(E551&lt;=K551,"OK","NG"),Blank),"-")</f>
        <v>#REF!</v>
      </c>
    </row>
    <row r="552" spans="1:18" ht="15" x14ac:dyDescent="0.3">
      <c r="A552" s="318" t="e">
        <f>#REF!</f>
        <v>#REF!</v>
      </c>
      <c r="B552" s="305" t="e">
        <f>#REF!</f>
        <v>#REF!</v>
      </c>
      <c r="C552" s="305" t="str">
        <f>'Danh sách máy'!C547</f>
        <v>MKHC</v>
      </c>
      <c r="D552" s="90" t="e">
        <f>#REF!</f>
        <v>#REF!</v>
      </c>
      <c r="E552" s="97">
        <f>'Danh sách máy'!E547</f>
        <v>45989</v>
      </c>
      <c r="F552" s="206" t="e">
        <f>#REF!</f>
        <v>#REF!</v>
      </c>
      <c r="G552" s="102" t="e">
        <f>#REF!</f>
        <v>#REF!</v>
      </c>
      <c r="H552" s="102" t="e">
        <f>#REF!</f>
        <v>#REF!</v>
      </c>
      <c r="K552" s="210" t="e">
        <f>#REF!</f>
        <v>#REF!</v>
      </c>
      <c r="L552" s="210">
        <v>44821</v>
      </c>
      <c r="M552" s="210"/>
      <c r="N552" s="210">
        <f>'Danh sách máy'!F547</f>
        <v>45989</v>
      </c>
      <c r="O552" s="211" t="str" cm="1">
        <f t="array" ref="O552">IF(L552&lt;&gt;0,IF(L552&lt;I552,"OK","NG"),Blank)</f>
        <v>NG</v>
      </c>
      <c r="P552" s="211" t="e" cm="1">
        <f t="array" ref="P552">IF(M552&lt;&gt;0,IF(M552&lt;J552,"OK","NG"),Blank)</f>
        <v>#NAME?</v>
      </c>
      <c r="Q552" s="211" t="e" cm="1">
        <f t="array" ref="Q552">IF(H552&lt;&gt;"Stop",IF(N552&lt;&gt;0,IF(N552&lt;=K552,"OK","NG"),Blank),"-")</f>
        <v>#REF!</v>
      </c>
      <c r="R552" s="326" t="e" cm="1">
        <f t="array" ref="R552">IF(H552&lt;&gt;"Stop",IF(E552&lt;&gt;0,IF(E552&lt;=K552,"OK","NG"),Blank),"-")</f>
        <v>#REF!</v>
      </c>
    </row>
    <row r="553" spans="1:18" ht="15" x14ac:dyDescent="0.3">
      <c r="A553" s="318" t="e">
        <f>#REF!</f>
        <v>#REF!</v>
      </c>
      <c r="B553" s="305" t="e">
        <f>#REF!</f>
        <v>#REF!</v>
      </c>
      <c r="C553" s="305" t="str">
        <f>'Danh sách máy'!C548</f>
        <v>MKHC</v>
      </c>
      <c r="D553" s="90" t="e">
        <f>#REF!</f>
        <v>#REF!</v>
      </c>
      <c r="E553" s="97">
        <f>'Danh sách máy'!E548</f>
        <v>46000</v>
      </c>
      <c r="F553" s="206" t="e">
        <f>#REF!</f>
        <v>#REF!</v>
      </c>
      <c r="G553" s="102" t="e">
        <f>#REF!</f>
        <v>#REF!</v>
      </c>
      <c r="H553" s="102" t="e">
        <f>#REF!</f>
        <v>#REF!</v>
      </c>
      <c r="K553" s="210" t="e">
        <f>#REF!</f>
        <v>#REF!</v>
      </c>
      <c r="L553" s="210">
        <v>44822</v>
      </c>
      <c r="M553" s="210"/>
      <c r="N553" s="210">
        <f>'Danh sách máy'!F548</f>
        <v>46010</v>
      </c>
      <c r="O553" s="211" t="str" cm="1">
        <f t="array" ref="O553">IF(L553&lt;&gt;0,IF(L553&lt;I553,"OK","NG"),Blank)</f>
        <v>NG</v>
      </c>
      <c r="P553" s="211" t="e" cm="1">
        <f t="array" ref="P553">IF(M553&lt;&gt;0,IF(M553&lt;J553,"OK","NG"),Blank)</f>
        <v>#NAME?</v>
      </c>
      <c r="Q553" s="211" t="e" cm="1">
        <f t="array" ref="Q553">IF(H553&lt;&gt;"Stop",IF(N553&lt;&gt;0,IF(N553&lt;=K553,"OK","NG"),Blank),"-")</f>
        <v>#REF!</v>
      </c>
      <c r="R553" s="326" t="e" cm="1">
        <f t="array" ref="R553">IF(H553&lt;&gt;"Stop",IF(E553&lt;&gt;0,IF(E553&lt;=K553,"OK","NG"),Blank),"-")</f>
        <v>#REF!</v>
      </c>
    </row>
    <row r="554" spans="1:18" ht="15" x14ac:dyDescent="0.3">
      <c r="A554" s="318" t="e">
        <f>#REF!</f>
        <v>#REF!</v>
      </c>
      <c r="B554" s="305" t="e">
        <f>#REF!</f>
        <v>#REF!</v>
      </c>
      <c r="C554" s="305" t="str">
        <f>'Danh sách máy'!C549</f>
        <v>MKHC</v>
      </c>
      <c r="D554" s="90" t="e">
        <f>#REF!</f>
        <v>#REF!</v>
      </c>
      <c r="E554" s="97">
        <f>'Danh sách máy'!E549</f>
        <v>46000</v>
      </c>
      <c r="F554" s="206" t="e">
        <f>#REF!</f>
        <v>#REF!</v>
      </c>
      <c r="G554" s="102" t="e">
        <f>#REF!</f>
        <v>#REF!</v>
      </c>
      <c r="H554" s="102" t="e">
        <f>#REF!</f>
        <v>#REF!</v>
      </c>
      <c r="K554" s="210" t="e">
        <f>#REF!</f>
        <v>#REF!</v>
      </c>
      <c r="L554" s="210">
        <v>44823</v>
      </c>
      <c r="M554" s="210"/>
      <c r="N554" s="210">
        <f>'Danh sách máy'!F549</f>
        <v>46010</v>
      </c>
      <c r="O554" s="211" t="str" cm="1">
        <f t="array" ref="O554">IF(L554&lt;&gt;0,IF(L554&lt;I554,"OK","NG"),Blank)</f>
        <v>NG</v>
      </c>
      <c r="P554" s="211" t="e" cm="1">
        <f t="array" ref="P554">IF(M554&lt;&gt;0,IF(M554&lt;J554,"OK","NG"),Blank)</f>
        <v>#NAME?</v>
      </c>
      <c r="Q554" s="211" t="e" cm="1">
        <f t="array" ref="Q554">IF(H554&lt;&gt;"Stop",IF(N554&lt;&gt;0,IF(N554&lt;=K554,"OK","NG"),Blank),"-")</f>
        <v>#REF!</v>
      </c>
      <c r="R554" s="326" t="e" cm="1">
        <f t="array" ref="R554">IF(H554&lt;&gt;"Stop",IF(E554&lt;&gt;0,IF(E554&lt;=K554,"OK","NG"),Blank),"-")</f>
        <v>#REF!</v>
      </c>
    </row>
    <row r="555" spans="1:18" ht="15" hidden="1" x14ac:dyDescent="0.3">
      <c r="A555" s="318" t="e">
        <f>#REF!</f>
        <v>#REF!</v>
      </c>
      <c r="B555" s="305" t="e">
        <f>#REF!</f>
        <v>#REF!</v>
      </c>
      <c r="C555" s="305" t="str">
        <f>'Danh sách máy'!C550</f>
        <v>MKHC</v>
      </c>
      <c r="D555" s="90" t="e">
        <f>#REF!</f>
        <v>#REF!</v>
      </c>
      <c r="E555" s="97">
        <f>'Danh sách máy'!E550</f>
        <v>46059</v>
      </c>
      <c r="F555" s="206" t="e">
        <f>#REF!</f>
        <v>#REF!</v>
      </c>
      <c r="G555" s="102" t="e">
        <f>#REF!</f>
        <v>#REF!</v>
      </c>
      <c r="H555" s="102" t="e">
        <f>#REF!</f>
        <v>#REF!</v>
      </c>
      <c r="K555" s="210" t="e">
        <f>#REF!</f>
        <v>#REF!</v>
      </c>
      <c r="L555" s="210">
        <v>44824</v>
      </c>
      <c r="M555" s="210"/>
      <c r="N555" s="210">
        <f>'Danh sách máy'!F550</f>
        <v>46079</v>
      </c>
      <c r="O555" s="211" t="str" cm="1">
        <f t="array" ref="O555">IF(L555&lt;&gt;0,IF(L555&lt;I555,"OK","NG"),Blank)</f>
        <v>NG</v>
      </c>
      <c r="P555" s="211" t="e" cm="1">
        <f t="array" ref="P555">IF(M555&lt;&gt;0,IF(M555&lt;J555,"OK","NG"),Blank)</f>
        <v>#NAME?</v>
      </c>
      <c r="Q555" s="211" t="e" cm="1">
        <f t="array" ref="Q555">IF(H555&lt;&gt;"Stop",IF(N555&lt;&gt;0,IF(N555&lt;=K555,"OK","NG"),Blank),"-")</f>
        <v>#REF!</v>
      </c>
      <c r="R555" s="326" t="e" cm="1">
        <f t="array" ref="R555">IF(H555&lt;&gt;"Stop",IF(E555&lt;&gt;0,IF(E555&lt;=K555,"OK","NG"),Blank),"-")</f>
        <v>#REF!</v>
      </c>
    </row>
    <row r="556" spans="1:18" ht="15" hidden="1" x14ac:dyDescent="0.3">
      <c r="A556" s="318" t="e">
        <f>#REF!</f>
        <v>#REF!</v>
      </c>
      <c r="B556" s="305" t="e">
        <f>#REF!</f>
        <v>#REF!</v>
      </c>
      <c r="C556" s="305" t="str">
        <f>'Danh sách máy'!C551</f>
        <v>MKHC</v>
      </c>
      <c r="D556" s="90" t="e">
        <f>#REF!</f>
        <v>#REF!</v>
      </c>
      <c r="E556" s="97">
        <f>'Danh sách máy'!E551</f>
        <v>46059</v>
      </c>
      <c r="F556" s="206" t="e">
        <f>#REF!</f>
        <v>#REF!</v>
      </c>
      <c r="G556" s="102" t="e">
        <f>#REF!</f>
        <v>#REF!</v>
      </c>
      <c r="H556" s="102" t="e">
        <f>#REF!</f>
        <v>#REF!</v>
      </c>
      <c r="K556" s="210" t="e">
        <f>#REF!</f>
        <v>#REF!</v>
      </c>
      <c r="L556" s="210">
        <v>44825</v>
      </c>
      <c r="M556" s="210"/>
      <c r="N556" s="210">
        <f>'Danh sách máy'!F551</f>
        <v>46079</v>
      </c>
      <c r="O556" s="211" t="str" cm="1">
        <f t="array" ref="O556">IF(L556&lt;&gt;0,IF(L556&lt;I556,"OK","NG"),Blank)</f>
        <v>NG</v>
      </c>
      <c r="P556" s="211" t="e" cm="1">
        <f t="array" ref="P556">IF(M556&lt;&gt;0,IF(M556&lt;J556,"OK","NG"),Blank)</f>
        <v>#NAME?</v>
      </c>
      <c r="Q556" s="211" t="e" cm="1">
        <f t="array" ref="Q556">IF(H556&lt;&gt;"Stop",IF(N556&lt;&gt;0,IF(N556&lt;=K556,"OK","NG"),Blank),"-")</f>
        <v>#REF!</v>
      </c>
      <c r="R556" s="326" t="e" cm="1">
        <f t="array" ref="R556">IF(H556&lt;&gt;"Stop",IF(E556&lt;&gt;0,IF(E556&lt;=K556,"OK","NG"),Blank),"-")</f>
        <v>#REF!</v>
      </c>
    </row>
    <row r="557" spans="1:18" ht="15" hidden="1" x14ac:dyDescent="0.3">
      <c r="A557" s="318" t="e">
        <f>#REF!</f>
        <v>#REF!</v>
      </c>
      <c r="B557" s="305" t="e">
        <f>#REF!</f>
        <v>#REF!</v>
      </c>
      <c r="C557" s="305" t="str">
        <f>'Danh sách máy'!C552</f>
        <v>MKHC</v>
      </c>
      <c r="D557" s="90" t="e">
        <f>#REF!</f>
        <v>#REF!</v>
      </c>
      <c r="E557" s="97">
        <f>'Danh sách máy'!E552</f>
        <v>46059</v>
      </c>
      <c r="F557" s="206" t="e">
        <f>#REF!</f>
        <v>#REF!</v>
      </c>
      <c r="G557" s="102" t="e">
        <f>#REF!</f>
        <v>#REF!</v>
      </c>
      <c r="H557" s="102" t="e">
        <f>#REF!</f>
        <v>#REF!</v>
      </c>
      <c r="K557" s="210" t="e">
        <f>#REF!</f>
        <v>#REF!</v>
      </c>
      <c r="L557" s="210">
        <v>44826</v>
      </c>
      <c r="M557" s="210"/>
      <c r="N557" s="210">
        <f>'Danh sách máy'!F552</f>
        <v>46079</v>
      </c>
      <c r="O557" s="211" t="str" cm="1">
        <f t="array" ref="O557">IF(L557&lt;&gt;0,IF(L557&lt;I557,"OK","NG"),Blank)</f>
        <v>NG</v>
      </c>
      <c r="P557" s="211" t="e" cm="1">
        <f t="array" ref="P557">IF(M557&lt;&gt;0,IF(M557&lt;J557,"OK","NG"),Blank)</f>
        <v>#NAME?</v>
      </c>
      <c r="Q557" s="211" t="e" cm="1">
        <f t="array" ref="Q557">IF(H557&lt;&gt;"Stop",IF(N557&lt;&gt;0,IF(N557&lt;=K557,"OK","NG"),Blank),"-")</f>
        <v>#REF!</v>
      </c>
      <c r="R557" s="326" t="e" cm="1">
        <f t="array" ref="R557">IF(H557&lt;&gt;"Stop",IF(E557&lt;&gt;0,IF(E557&lt;=K557,"OK","NG"),Blank),"-")</f>
        <v>#REF!</v>
      </c>
    </row>
    <row r="558" spans="1:18" ht="15" x14ac:dyDescent="0.3">
      <c r="A558" s="318" t="e">
        <f>#REF!</f>
        <v>#REF!</v>
      </c>
      <c r="B558" s="305" t="e">
        <f>#REF!</f>
        <v>#REF!</v>
      </c>
      <c r="C558" s="305" t="str">
        <f>'Danh sách máy'!C553</f>
        <v>MKHC</v>
      </c>
      <c r="D558" s="90" t="e">
        <f>#REF!</f>
        <v>#REF!</v>
      </c>
      <c r="E558" s="97">
        <f>'Danh sách máy'!E553</f>
        <v>46046</v>
      </c>
      <c r="F558" s="206" t="e">
        <f>#REF!</f>
        <v>#REF!</v>
      </c>
      <c r="G558" s="102" t="e">
        <f>#REF!</f>
        <v>#REF!</v>
      </c>
      <c r="H558" s="102" t="e">
        <f>#REF!</f>
        <v>#REF!</v>
      </c>
      <c r="K558" s="210" t="e">
        <f>#REF!</f>
        <v>#REF!</v>
      </c>
      <c r="L558" s="210">
        <v>44827</v>
      </c>
      <c r="M558" s="210"/>
      <c r="N558" s="210">
        <f>'Danh sách máy'!F553</f>
        <v>46052</v>
      </c>
      <c r="O558" s="211" t="str" cm="1">
        <f t="array" ref="O558">IF(L558&lt;&gt;0,IF(L558&lt;I558,"OK","NG"),Blank)</f>
        <v>NG</v>
      </c>
      <c r="P558" s="211" t="e" cm="1">
        <f t="array" ref="P558">IF(M558&lt;&gt;0,IF(M558&lt;J558,"OK","NG"),Blank)</f>
        <v>#NAME?</v>
      </c>
      <c r="Q558" s="211" t="e" cm="1">
        <f t="array" ref="Q558">IF(H558&lt;&gt;"Stop",IF(N558&lt;&gt;0,IF(N558&lt;=K558,"OK","NG"),Blank),"-")</f>
        <v>#REF!</v>
      </c>
      <c r="R558" s="326" t="e" cm="1">
        <f t="array" ref="R558">IF(H558&lt;&gt;"Stop",IF(E558&lt;&gt;0,IF(E558&lt;=K558,"OK","NG"),Blank),"-")</f>
        <v>#REF!</v>
      </c>
    </row>
    <row r="559" spans="1:18" ht="15" x14ac:dyDescent="0.3">
      <c r="A559" s="318" t="e">
        <f>#REF!</f>
        <v>#REF!</v>
      </c>
      <c r="B559" s="305" t="e">
        <f>#REF!</f>
        <v>#REF!</v>
      </c>
      <c r="C559" s="305" t="str">
        <f>'Danh sách máy'!C554</f>
        <v>MKHC</v>
      </c>
      <c r="D559" s="90" t="e">
        <f>#REF!</f>
        <v>#REF!</v>
      </c>
      <c r="E559" s="97">
        <f>'Danh sách máy'!E554</f>
        <v>46046</v>
      </c>
      <c r="F559" s="206" t="e">
        <f>#REF!</f>
        <v>#REF!</v>
      </c>
      <c r="G559" s="102" t="e">
        <f>#REF!</f>
        <v>#REF!</v>
      </c>
      <c r="H559" s="102" t="e">
        <f>#REF!</f>
        <v>#REF!</v>
      </c>
      <c r="K559" s="210" t="e">
        <f>#REF!</f>
        <v>#REF!</v>
      </c>
      <c r="L559" s="210">
        <v>44828</v>
      </c>
      <c r="M559" s="210"/>
      <c r="N559" s="210">
        <f>'Danh sách máy'!F554</f>
        <v>46052</v>
      </c>
      <c r="O559" s="211" t="str" cm="1">
        <f t="array" ref="O559">IF(L559&lt;&gt;0,IF(L559&lt;I559,"OK","NG"),Blank)</f>
        <v>NG</v>
      </c>
      <c r="P559" s="211" t="e" cm="1">
        <f t="array" ref="P559">IF(M559&lt;&gt;0,IF(M559&lt;J559,"OK","NG"),Blank)</f>
        <v>#NAME?</v>
      </c>
      <c r="Q559" s="211" t="e" cm="1">
        <f t="array" ref="Q559">IF(H559&lt;&gt;"Stop",IF(N559&lt;&gt;0,IF(N559&lt;=K559,"OK","NG"),Blank),"-")</f>
        <v>#REF!</v>
      </c>
      <c r="R559" s="326" t="e" cm="1">
        <f t="array" ref="R559">IF(H559&lt;&gt;"Stop",IF(E559&lt;&gt;0,IF(E559&lt;=K559,"OK","NG"),Blank),"-")</f>
        <v>#REF!</v>
      </c>
    </row>
    <row r="560" spans="1:18" ht="15" x14ac:dyDescent="0.3">
      <c r="A560" s="318" t="e">
        <f>#REF!</f>
        <v>#REF!</v>
      </c>
      <c r="B560" s="305" t="e">
        <f>#REF!</f>
        <v>#REF!</v>
      </c>
      <c r="C560" s="305" t="str">
        <f>'Danh sách máy'!C555</f>
        <v>MKHC</v>
      </c>
      <c r="D560" s="90" t="e">
        <f>#REF!</f>
        <v>#REF!</v>
      </c>
      <c r="E560" s="97">
        <f>'Danh sách máy'!E555</f>
        <v>46046</v>
      </c>
      <c r="F560" s="206" t="e">
        <f>#REF!</f>
        <v>#REF!</v>
      </c>
      <c r="G560" s="102" t="e">
        <f>#REF!</f>
        <v>#REF!</v>
      </c>
      <c r="H560" s="102" t="e">
        <f>#REF!</f>
        <v>#REF!</v>
      </c>
      <c r="K560" s="210" t="e">
        <f>#REF!</f>
        <v>#REF!</v>
      </c>
      <c r="L560" s="210">
        <v>44829</v>
      </c>
      <c r="M560" s="210"/>
      <c r="N560" s="210">
        <f>'Danh sách máy'!F555</f>
        <v>46052</v>
      </c>
      <c r="O560" s="211" t="str" cm="1">
        <f t="array" ref="O560">IF(L560&lt;&gt;0,IF(L560&lt;I560,"OK","NG"),Blank)</f>
        <v>NG</v>
      </c>
      <c r="P560" s="211" t="e" cm="1">
        <f t="array" ref="P560">IF(M560&lt;&gt;0,IF(M560&lt;J560,"OK","NG"),Blank)</f>
        <v>#NAME?</v>
      </c>
      <c r="Q560" s="211" t="e" cm="1">
        <f t="array" ref="Q560">IF(H560&lt;&gt;"Stop",IF(N560&lt;&gt;0,IF(N560&lt;=K560,"OK","NG"),Blank),"-")</f>
        <v>#REF!</v>
      </c>
      <c r="R560" s="326" t="e" cm="1">
        <f t="array" ref="R560">IF(H560&lt;&gt;"Stop",IF(E560&lt;&gt;0,IF(E560&lt;=K560,"OK","NG"),Blank),"-")</f>
        <v>#REF!</v>
      </c>
    </row>
    <row r="561" spans="1:18" ht="15" x14ac:dyDescent="0.3">
      <c r="A561" s="318" t="e">
        <f>#REF!</f>
        <v>#REF!</v>
      </c>
      <c r="B561" s="305" t="e">
        <f>#REF!</f>
        <v>#REF!</v>
      </c>
      <c r="C561" s="305" t="str">
        <f>'Danh sách máy'!C556</f>
        <v>MKHC</v>
      </c>
      <c r="D561" s="90" t="e">
        <f>#REF!</f>
        <v>#REF!</v>
      </c>
      <c r="E561" s="97">
        <f>'Danh sách máy'!E556</f>
        <v>46079</v>
      </c>
      <c r="F561" s="206" t="e">
        <f>#REF!</f>
        <v>#REF!</v>
      </c>
      <c r="G561" s="102" t="e">
        <f>#REF!</f>
        <v>#REF!</v>
      </c>
      <c r="H561" s="102" t="e">
        <f>#REF!</f>
        <v>#REF!</v>
      </c>
      <c r="K561" s="210" t="e">
        <f>#REF!</f>
        <v>#REF!</v>
      </c>
      <c r="L561" s="210">
        <v>44830</v>
      </c>
      <c r="M561" s="210"/>
      <c r="N561" s="210">
        <f>'Danh sách máy'!F556</f>
        <v>46087</v>
      </c>
      <c r="O561" s="211" t="str" cm="1">
        <f t="array" ref="O561">IF(L561&lt;&gt;0,IF(L561&lt;I561,"OK","NG"),Blank)</f>
        <v>NG</v>
      </c>
      <c r="P561" s="211" t="e" cm="1">
        <f t="array" ref="P561">IF(M561&lt;&gt;0,IF(M561&lt;J561,"OK","NG"),Blank)</f>
        <v>#NAME?</v>
      </c>
      <c r="Q561" s="211" t="e" cm="1">
        <f t="array" ref="Q561">IF(H561&lt;&gt;"Stop",IF(N561&lt;&gt;0,IF(N561&lt;=K561,"OK","NG"),Blank),"-")</f>
        <v>#REF!</v>
      </c>
      <c r="R561" s="326" t="e" cm="1">
        <f t="array" ref="R561">IF(H561&lt;&gt;"Stop",IF(E561&lt;&gt;0,IF(E561&lt;=K561,"OK","NG"),Blank),"-")</f>
        <v>#REF!</v>
      </c>
    </row>
    <row r="562" spans="1:18" ht="15" x14ac:dyDescent="0.3">
      <c r="A562" s="318" t="e">
        <f>#REF!</f>
        <v>#REF!</v>
      </c>
      <c r="B562" s="305" t="e">
        <f>#REF!</f>
        <v>#REF!</v>
      </c>
      <c r="C562" s="305" t="str">
        <f>'Danh sách máy'!C557</f>
        <v>MKHC</v>
      </c>
      <c r="D562" s="90" t="e">
        <f>#REF!</f>
        <v>#REF!</v>
      </c>
      <c r="E562" s="97">
        <f>'Danh sách máy'!E557</f>
        <v>46093</v>
      </c>
      <c r="F562" s="206" t="e">
        <f>#REF!</f>
        <v>#REF!</v>
      </c>
      <c r="G562" s="102" t="e">
        <f>#REF!</f>
        <v>#REF!</v>
      </c>
      <c r="H562" s="102" t="e">
        <f>#REF!</f>
        <v>#REF!</v>
      </c>
      <c r="K562" s="210" t="e">
        <f>#REF!</f>
        <v>#REF!</v>
      </c>
      <c r="L562" s="210">
        <v>44831</v>
      </c>
      <c r="M562" s="210"/>
      <c r="N562" s="210">
        <f>'Danh sách máy'!F557</f>
        <v>46106</v>
      </c>
      <c r="O562" s="211" t="str" cm="1">
        <f t="array" ref="O562">IF(L562&lt;&gt;0,IF(L562&lt;I562,"OK","NG"),Blank)</f>
        <v>NG</v>
      </c>
      <c r="P562" s="211" t="e" cm="1">
        <f t="array" ref="P562">IF(M562&lt;&gt;0,IF(M562&lt;J562,"OK","NG"),Blank)</f>
        <v>#NAME?</v>
      </c>
      <c r="Q562" s="211" t="e" cm="1">
        <f t="array" ref="Q562">IF(H562&lt;&gt;"Stop",IF(N562&lt;&gt;0,IF(N562&lt;=K562,"OK","NG"),Blank),"-")</f>
        <v>#REF!</v>
      </c>
      <c r="R562" s="326" t="e" cm="1">
        <f t="array" ref="R562">IF(H562&lt;&gt;"Stop",IF(E562&lt;&gt;0,IF(E562&lt;=K562,"OK","NG"),Blank),"-")</f>
        <v>#REF!</v>
      </c>
    </row>
    <row r="563" spans="1:18" ht="15" x14ac:dyDescent="0.3">
      <c r="A563" s="318" t="e">
        <f>#REF!</f>
        <v>#REF!</v>
      </c>
      <c r="B563" s="305" t="e">
        <f>#REF!</f>
        <v>#REF!</v>
      </c>
      <c r="C563" s="305" t="str">
        <f>'Danh sách máy'!C558</f>
        <v>MKHC</v>
      </c>
      <c r="D563" s="90" t="e">
        <f>#REF!</f>
        <v>#REF!</v>
      </c>
      <c r="E563" s="97">
        <f>'Danh sách máy'!E558</f>
        <v>46094</v>
      </c>
      <c r="F563" s="206" t="e">
        <f>#REF!</f>
        <v>#REF!</v>
      </c>
      <c r="G563" s="102" t="e">
        <f>#REF!</f>
        <v>#REF!</v>
      </c>
      <c r="H563" s="102" t="e">
        <f>#REF!</f>
        <v>#REF!</v>
      </c>
      <c r="K563" s="210" t="e">
        <f>#REF!</f>
        <v>#REF!</v>
      </c>
      <c r="L563" s="210">
        <v>44832</v>
      </c>
      <c r="M563" s="210"/>
      <c r="N563" s="210">
        <f>'Danh sách máy'!F558</f>
        <v>46106</v>
      </c>
      <c r="O563" s="211" t="str" cm="1">
        <f t="array" ref="O563">IF(L563&lt;&gt;0,IF(L563&lt;I563,"OK","NG"),Blank)</f>
        <v>NG</v>
      </c>
      <c r="P563" s="211" t="e" cm="1">
        <f t="array" ref="P563">IF(M563&lt;&gt;0,IF(M563&lt;J563,"OK","NG"),Blank)</f>
        <v>#NAME?</v>
      </c>
      <c r="Q563" s="211" t="e" cm="1">
        <f t="array" ref="Q563">IF(H563&lt;&gt;"Stop",IF(N563&lt;&gt;0,IF(N563&lt;=K563,"OK","NG"),Blank),"-")</f>
        <v>#REF!</v>
      </c>
      <c r="R563" s="326" t="e" cm="1">
        <f t="array" ref="R563">IF(H563&lt;&gt;"Stop",IF(E563&lt;&gt;0,IF(E563&lt;=K563,"OK","NG"),Blank),"-")</f>
        <v>#REF!</v>
      </c>
    </row>
    <row r="564" spans="1:18" ht="15" x14ac:dyDescent="0.3">
      <c r="A564" s="318" t="e">
        <f>#REF!</f>
        <v>#REF!</v>
      </c>
      <c r="B564" s="305" t="e">
        <f>#REF!</f>
        <v>#REF!</v>
      </c>
      <c r="C564" s="305" t="str">
        <f>'Danh sách máy'!C559</f>
        <v>MKHC</v>
      </c>
      <c r="D564" s="90" t="e">
        <f>#REF!</f>
        <v>#REF!</v>
      </c>
      <c r="E564" s="97">
        <f>'Danh sách máy'!E559</f>
        <v>46086</v>
      </c>
      <c r="F564" s="206" t="e">
        <f>#REF!</f>
        <v>#REF!</v>
      </c>
      <c r="G564" s="102" t="e">
        <f>#REF!</f>
        <v>#REF!</v>
      </c>
      <c r="H564" s="102" t="e">
        <f>#REF!</f>
        <v>#REF!</v>
      </c>
      <c r="K564" s="210" t="e">
        <f>#REF!</f>
        <v>#REF!</v>
      </c>
      <c r="L564" s="210">
        <v>44833</v>
      </c>
      <c r="M564" s="210"/>
      <c r="N564" s="210">
        <f>'Danh sách máy'!F559</f>
        <v>46106</v>
      </c>
      <c r="O564" s="211" t="str" cm="1">
        <f t="array" ref="O564">IF(L564&lt;&gt;0,IF(L564&lt;I564,"OK","NG"),Blank)</f>
        <v>NG</v>
      </c>
      <c r="P564" s="211" t="e" cm="1">
        <f t="array" ref="P564">IF(M564&lt;&gt;0,IF(M564&lt;J564,"OK","NG"),Blank)</f>
        <v>#NAME?</v>
      </c>
      <c r="Q564" s="211" t="e" cm="1">
        <f t="array" ref="Q564">IF(H564&lt;&gt;"Stop",IF(N564&lt;&gt;0,IF(N564&lt;=K564,"OK","NG"),Blank),"-")</f>
        <v>#REF!</v>
      </c>
      <c r="R564" s="326" t="e" cm="1">
        <f t="array" ref="R564">IF(H564&lt;&gt;"Stop",IF(E564&lt;&gt;0,IF(E564&lt;=K564,"OK","NG"),Blank),"-")</f>
        <v>#REF!</v>
      </c>
    </row>
    <row r="565" spans="1:18" ht="15" x14ac:dyDescent="0.3">
      <c r="A565" s="318" t="e">
        <f>#REF!</f>
        <v>#REF!</v>
      </c>
      <c r="B565" s="305" t="e">
        <f>#REF!</f>
        <v>#REF!</v>
      </c>
      <c r="C565" s="305" t="str">
        <f>'Danh sách máy'!C560</f>
        <v>MKHC</v>
      </c>
      <c r="D565" s="90" t="e">
        <f>#REF!</f>
        <v>#REF!</v>
      </c>
      <c r="E565" s="97">
        <f>'Danh sách máy'!E560</f>
        <v>46093</v>
      </c>
      <c r="F565" s="206" t="e">
        <f>#REF!</f>
        <v>#REF!</v>
      </c>
      <c r="G565" s="102" t="e">
        <f>#REF!</f>
        <v>#REF!</v>
      </c>
      <c r="H565" s="102" t="e">
        <f>#REF!</f>
        <v>#REF!</v>
      </c>
      <c r="K565" s="210" t="e">
        <f>#REF!</f>
        <v>#REF!</v>
      </c>
      <c r="L565" s="210">
        <v>44834</v>
      </c>
      <c r="M565" s="210"/>
      <c r="N565" s="210">
        <f>'Danh sách máy'!F560</f>
        <v>46106</v>
      </c>
      <c r="O565" s="211" t="str" cm="1">
        <f t="array" ref="O565">IF(L565&lt;&gt;0,IF(L565&lt;I565,"OK","NG"),Blank)</f>
        <v>NG</v>
      </c>
      <c r="P565" s="211" t="e" cm="1">
        <f t="array" ref="P565">IF(M565&lt;&gt;0,IF(M565&lt;J565,"OK","NG"),Blank)</f>
        <v>#NAME?</v>
      </c>
      <c r="Q565" s="211" t="e" cm="1">
        <f t="array" ref="Q565">IF(H565&lt;&gt;"Stop",IF(N565&lt;&gt;0,IF(N565&lt;=K565,"OK","NG"),Blank),"-")</f>
        <v>#REF!</v>
      </c>
      <c r="R565" s="326" t="e" cm="1">
        <f t="array" ref="R565">IF(H565&lt;&gt;"Stop",IF(E565&lt;&gt;0,IF(E565&lt;=K565,"OK","NG"),Blank),"-")</f>
        <v>#REF!</v>
      </c>
    </row>
    <row r="566" spans="1:18" ht="15" x14ac:dyDescent="0.3">
      <c r="A566" s="318" t="e">
        <f>#REF!</f>
        <v>#REF!</v>
      </c>
      <c r="B566" s="305" t="e">
        <f>#REF!</f>
        <v>#REF!</v>
      </c>
      <c r="C566" s="305" t="str">
        <f>'Danh sách máy'!C561</f>
        <v>MKHC</v>
      </c>
      <c r="D566" s="90" t="e">
        <f>#REF!</f>
        <v>#REF!</v>
      </c>
      <c r="E566" s="97">
        <f>'Danh sách máy'!E561</f>
        <v>46079</v>
      </c>
      <c r="F566" s="206" t="e">
        <f>#REF!</f>
        <v>#REF!</v>
      </c>
      <c r="G566" s="102" t="e">
        <f>#REF!</f>
        <v>#REF!</v>
      </c>
      <c r="H566" s="102" t="e">
        <f>#REF!</f>
        <v>#REF!</v>
      </c>
      <c r="K566" s="210" t="e">
        <f>#REF!</f>
        <v>#REF!</v>
      </c>
      <c r="L566" s="210">
        <v>44835</v>
      </c>
      <c r="M566" s="210"/>
      <c r="N566" s="210">
        <f>'Danh sách máy'!F561</f>
        <v>46087</v>
      </c>
      <c r="O566" s="211" t="str" cm="1">
        <f t="array" ref="O566">IF(L566&lt;&gt;0,IF(L566&lt;I566,"OK","NG"),Blank)</f>
        <v>NG</v>
      </c>
      <c r="P566" s="211" t="e" cm="1">
        <f t="array" ref="P566">IF(M566&lt;&gt;0,IF(M566&lt;J566,"OK","NG"),Blank)</f>
        <v>#NAME?</v>
      </c>
      <c r="Q566" s="211" t="e" cm="1">
        <f t="array" ref="Q566">IF(H566&lt;&gt;"Stop",IF(N566&lt;&gt;0,IF(N566&lt;=K566,"OK","NG"),Blank),"-")</f>
        <v>#REF!</v>
      </c>
      <c r="R566" s="326" t="e" cm="1">
        <f t="array" ref="R566">IF(H566&lt;&gt;"Stop",IF(E566&lt;&gt;0,IF(E566&lt;=K566,"OK","NG"),Blank),"-")</f>
        <v>#REF!</v>
      </c>
    </row>
    <row r="567" spans="1:18" ht="15" x14ac:dyDescent="0.3">
      <c r="A567" s="318" t="e">
        <f>#REF!</f>
        <v>#REF!</v>
      </c>
      <c r="B567" s="305" t="e">
        <f>#REF!</f>
        <v>#REF!</v>
      </c>
      <c r="C567" s="305" t="str">
        <f>'Danh sách máy'!C562</f>
        <v>MKHC</v>
      </c>
      <c r="D567" s="90" t="e">
        <f>#REF!</f>
        <v>#REF!</v>
      </c>
      <c r="E567" s="97">
        <f>'Danh sách máy'!E562</f>
        <v>46079</v>
      </c>
      <c r="F567" s="206" t="e">
        <f>#REF!</f>
        <v>#REF!</v>
      </c>
      <c r="G567" s="102" t="e">
        <f>#REF!</f>
        <v>#REF!</v>
      </c>
      <c r="H567" s="102" t="e">
        <f>#REF!</f>
        <v>#REF!</v>
      </c>
      <c r="K567" s="210" t="e">
        <f>#REF!</f>
        <v>#REF!</v>
      </c>
      <c r="L567" s="210">
        <v>44836</v>
      </c>
      <c r="M567" s="210"/>
      <c r="N567" s="210">
        <f>'Danh sách máy'!F562</f>
        <v>46087</v>
      </c>
      <c r="O567" s="211" t="str" cm="1">
        <f t="array" ref="O567">IF(L567&lt;&gt;0,IF(L567&lt;I567,"OK","NG"),Blank)</f>
        <v>NG</v>
      </c>
      <c r="P567" s="211" t="e" cm="1">
        <f t="array" ref="P567">IF(M567&lt;&gt;0,IF(M567&lt;J567,"OK","NG"),Blank)</f>
        <v>#NAME?</v>
      </c>
      <c r="Q567" s="211" t="e" cm="1">
        <f t="array" ref="Q567">IF(H567&lt;&gt;"Stop",IF(N567&lt;&gt;0,IF(N567&lt;=K567,"OK","NG"),Blank),"-")</f>
        <v>#REF!</v>
      </c>
      <c r="R567" s="326" t="e" cm="1">
        <f t="array" ref="R567">IF(H567&lt;&gt;"Stop",IF(E567&lt;&gt;0,IF(E567&lt;=K567,"OK","NG"),Blank),"-")</f>
        <v>#REF!</v>
      </c>
    </row>
    <row r="568" spans="1:18" ht="15" x14ac:dyDescent="0.3">
      <c r="A568" s="318" t="e">
        <f>#REF!</f>
        <v>#REF!</v>
      </c>
      <c r="B568" s="305" t="e">
        <f>#REF!</f>
        <v>#REF!</v>
      </c>
      <c r="C568" s="305" t="str">
        <f>'Danh sách máy'!C563</f>
        <v>MKHC</v>
      </c>
      <c r="D568" s="90" t="e">
        <f>#REF!</f>
        <v>#REF!</v>
      </c>
      <c r="E568" s="97">
        <f>'Danh sách máy'!E563</f>
        <v>46084</v>
      </c>
      <c r="F568" s="206" t="e">
        <f>#REF!</f>
        <v>#REF!</v>
      </c>
      <c r="G568" s="102" t="e">
        <f>#REF!</f>
        <v>#REF!</v>
      </c>
      <c r="H568" s="102" t="e">
        <f>#REF!</f>
        <v>#REF!</v>
      </c>
      <c r="K568" s="210" t="e">
        <f>#REF!</f>
        <v>#REF!</v>
      </c>
      <c r="L568" s="210">
        <v>44837</v>
      </c>
      <c r="M568" s="210"/>
      <c r="N568" s="210">
        <f>'Danh sách máy'!F563</f>
        <v>46087</v>
      </c>
      <c r="O568" s="211" t="str" cm="1">
        <f t="array" ref="O568">IF(L568&lt;&gt;0,IF(L568&lt;I568,"OK","NG"),Blank)</f>
        <v>NG</v>
      </c>
      <c r="P568" s="211" t="e" cm="1">
        <f t="array" ref="P568">IF(M568&lt;&gt;0,IF(M568&lt;J568,"OK","NG"),Blank)</f>
        <v>#NAME?</v>
      </c>
      <c r="Q568" s="211" t="e" cm="1">
        <f t="array" ref="Q568">IF(H568&lt;&gt;"Stop",IF(N568&lt;&gt;0,IF(N568&lt;=K568,"OK","NG"),Blank),"-")</f>
        <v>#REF!</v>
      </c>
      <c r="R568" s="326" t="e" cm="1">
        <f t="array" ref="R568">IF(H568&lt;&gt;"Stop",IF(E568&lt;&gt;0,IF(E568&lt;=K568,"OK","NG"),Blank),"-")</f>
        <v>#REF!</v>
      </c>
    </row>
    <row r="569" spans="1:18" ht="15" x14ac:dyDescent="0.3">
      <c r="A569" s="318" t="e">
        <f>#REF!</f>
        <v>#REF!</v>
      </c>
      <c r="B569" s="305" t="e">
        <f>#REF!</f>
        <v>#REF!</v>
      </c>
      <c r="C569" s="305" t="str">
        <f>'Danh sách máy'!C564</f>
        <v>MKHC</v>
      </c>
      <c r="D569" s="90" t="e">
        <f>#REF!</f>
        <v>#REF!</v>
      </c>
      <c r="E569" s="97">
        <f>'Danh sách máy'!E564</f>
        <v>46099</v>
      </c>
      <c r="F569" s="206" t="e">
        <f>#REF!</f>
        <v>#REF!</v>
      </c>
      <c r="G569" s="102" t="e">
        <f>#REF!</f>
        <v>#REF!</v>
      </c>
      <c r="H569" s="102" t="e">
        <f>#REF!</f>
        <v>#REF!</v>
      </c>
      <c r="K569" s="210" t="e">
        <f>#REF!</f>
        <v>#REF!</v>
      </c>
      <c r="L569" s="210">
        <v>44838</v>
      </c>
      <c r="M569" s="210"/>
      <c r="N569" s="210">
        <f>'Danh sách máy'!F564</f>
        <v>46105</v>
      </c>
      <c r="O569" s="211" t="str" cm="1">
        <f t="array" ref="O569">IF(L569&lt;&gt;0,IF(L569&lt;I569,"OK","NG"),Blank)</f>
        <v>NG</v>
      </c>
      <c r="P569" s="211" t="e" cm="1">
        <f t="array" ref="P569">IF(M569&lt;&gt;0,IF(M569&lt;J569,"OK","NG"),Blank)</f>
        <v>#NAME?</v>
      </c>
      <c r="Q569" s="211" t="e" cm="1">
        <f t="array" ref="Q569">IF(H569&lt;&gt;"Stop",IF(N569&lt;&gt;0,IF(N569&lt;=K569,"OK","NG"),Blank),"-")</f>
        <v>#REF!</v>
      </c>
      <c r="R569" s="326" t="e" cm="1">
        <f t="array" ref="R569">IF(H569&lt;&gt;"Stop",IF(E569&lt;&gt;0,IF(E569&lt;=K569,"OK","NG"),Blank),"-")</f>
        <v>#REF!</v>
      </c>
    </row>
    <row r="570" spans="1:18" ht="15" x14ac:dyDescent="0.3">
      <c r="A570" s="318" t="e">
        <f>#REF!</f>
        <v>#REF!</v>
      </c>
      <c r="B570" s="305" t="e">
        <f>#REF!</f>
        <v>#REF!</v>
      </c>
      <c r="C570" s="305" t="str">
        <f>'Danh sách máy'!C565</f>
        <v>MKHC</v>
      </c>
      <c r="D570" s="90" t="e">
        <f>#REF!</f>
        <v>#REF!</v>
      </c>
      <c r="E570" s="97">
        <f>'Danh sách máy'!E565</f>
        <v>46101</v>
      </c>
      <c r="F570" s="206" t="e">
        <f>#REF!</f>
        <v>#REF!</v>
      </c>
      <c r="G570" s="102" t="e">
        <f>#REF!</f>
        <v>#REF!</v>
      </c>
      <c r="H570" s="102" t="e">
        <f>#REF!</f>
        <v>#REF!</v>
      </c>
      <c r="K570" s="210" t="e">
        <f>#REF!</f>
        <v>#REF!</v>
      </c>
      <c r="L570" s="210">
        <v>44839</v>
      </c>
      <c r="M570" s="210"/>
      <c r="N570" s="210">
        <f>'Danh sách máy'!F565</f>
        <v>46105</v>
      </c>
      <c r="O570" s="211" t="str" cm="1">
        <f t="array" ref="O570">IF(L570&lt;&gt;0,IF(L570&lt;I570,"OK","NG"),Blank)</f>
        <v>NG</v>
      </c>
      <c r="P570" s="211" t="e" cm="1">
        <f t="array" ref="P570">IF(M570&lt;&gt;0,IF(M570&lt;J570,"OK","NG"),Blank)</f>
        <v>#NAME?</v>
      </c>
      <c r="Q570" s="211" t="e" cm="1">
        <f t="array" ref="Q570">IF(H570&lt;&gt;"Stop",IF(N570&lt;&gt;0,IF(N570&lt;=K570,"OK","NG"),Blank),"-")</f>
        <v>#REF!</v>
      </c>
      <c r="R570" s="326" t="e" cm="1">
        <f t="array" ref="R570">IF(H570&lt;&gt;"Stop",IF(E570&lt;&gt;0,IF(E570&lt;=K570,"OK","NG"),Blank),"-")</f>
        <v>#REF!</v>
      </c>
    </row>
    <row r="571" spans="1:18" ht="15" x14ac:dyDescent="0.3">
      <c r="A571" s="318" t="e">
        <f>#REF!</f>
        <v>#REF!</v>
      </c>
      <c r="B571" s="305" t="e">
        <f>#REF!</f>
        <v>#REF!</v>
      </c>
      <c r="C571" s="305" t="str">
        <f>'Danh sách máy'!C566</f>
        <v>MKHC</v>
      </c>
      <c r="D571" s="90" t="e">
        <f>#REF!</f>
        <v>#REF!</v>
      </c>
      <c r="E571" s="97">
        <f>'Danh sách máy'!E566</f>
        <v>46119</v>
      </c>
      <c r="F571" s="206" t="e">
        <f>#REF!</f>
        <v>#REF!</v>
      </c>
      <c r="G571" s="102" t="e">
        <f>#REF!</f>
        <v>#REF!</v>
      </c>
      <c r="H571" s="102" t="e">
        <f>#REF!</f>
        <v>#REF!</v>
      </c>
      <c r="K571" s="210" t="e">
        <f>#REF!</f>
        <v>#REF!</v>
      </c>
      <c r="L571" s="210">
        <v>44840</v>
      </c>
      <c r="M571" s="210"/>
      <c r="N571" s="210">
        <f>'Danh sách máy'!F566</f>
        <v>46136</v>
      </c>
      <c r="O571" s="211" t="str" cm="1">
        <f t="array" ref="O571">IF(L571&lt;&gt;0,IF(L571&lt;I571,"OK","NG"),Blank)</f>
        <v>NG</v>
      </c>
      <c r="P571" s="211" t="e" cm="1">
        <f t="array" ref="P571">IF(M571&lt;&gt;0,IF(M571&lt;J571,"OK","NG"),Blank)</f>
        <v>#NAME?</v>
      </c>
      <c r="Q571" s="211" t="e" cm="1">
        <f t="array" ref="Q571">IF(H571&lt;&gt;"Stop",IF(N571&lt;&gt;0,IF(N571&lt;=K571,"OK","NG"),Blank),"-")</f>
        <v>#REF!</v>
      </c>
      <c r="R571" s="326" t="e" cm="1">
        <f t="array" ref="R571">IF(H571&lt;&gt;"Stop",IF(E571&lt;&gt;0,IF(E571&lt;=K571,"OK","NG"),Blank),"-")</f>
        <v>#REF!</v>
      </c>
    </row>
    <row r="572" spans="1:18" ht="15" x14ac:dyDescent="0.3">
      <c r="A572" s="318" t="e">
        <f>#REF!</f>
        <v>#REF!</v>
      </c>
      <c r="B572" s="305" t="e">
        <f>#REF!</f>
        <v>#REF!</v>
      </c>
      <c r="C572" s="305" t="str">
        <f>'Danh sách máy'!C567</f>
        <v>MKHC</v>
      </c>
      <c r="D572" s="90" t="e">
        <f>#REF!</f>
        <v>#REF!</v>
      </c>
      <c r="E572" s="97">
        <f>'Danh sách máy'!E567</f>
        <v>46101</v>
      </c>
      <c r="F572" s="206" t="e">
        <f>#REF!</f>
        <v>#REF!</v>
      </c>
      <c r="G572" s="102" t="e">
        <f>#REF!</f>
        <v>#REF!</v>
      </c>
      <c r="H572" s="102" t="e">
        <f>#REF!</f>
        <v>#REF!</v>
      </c>
      <c r="K572" s="210" t="e">
        <f>#REF!</f>
        <v>#REF!</v>
      </c>
      <c r="L572" s="210">
        <v>44841</v>
      </c>
      <c r="M572" s="210"/>
      <c r="N572" s="210">
        <f>'Danh sách máy'!F567</f>
        <v>46136</v>
      </c>
      <c r="O572" s="211" t="str" cm="1">
        <f t="array" ref="O572">IF(L572&lt;&gt;0,IF(L572&lt;I572,"OK","NG"),Blank)</f>
        <v>NG</v>
      </c>
      <c r="P572" s="211" t="e" cm="1">
        <f t="array" ref="P572">IF(M572&lt;&gt;0,IF(M572&lt;J572,"OK","NG"),Blank)</f>
        <v>#NAME?</v>
      </c>
      <c r="Q572" s="211" t="e" cm="1">
        <f t="array" ref="Q572">IF(H572&lt;&gt;"Stop",IF(N572&lt;&gt;0,IF(N572&lt;=K572,"OK","NG"),Blank),"-")</f>
        <v>#REF!</v>
      </c>
      <c r="R572" s="326" t="e" cm="1">
        <f t="array" ref="R572">IF(H572&lt;&gt;"Stop",IF(E572&lt;&gt;0,IF(E572&lt;=K572,"OK","NG"),Blank),"-")</f>
        <v>#REF!</v>
      </c>
    </row>
    <row r="573" spans="1:18" ht="15" x14ac:dyDescent="0.3">
      <c r="A573" s="318" t="e">
        <f>#REF!</f>
        <v>#REF!</v>
      </c>
      <c r="B573" s="305" t="e">
        <f>#REF!</f>
        <v>#REF!</v>
      </c>
      <c r="C573" s="305" t="str">
        <f>'Danh sách máy'!C568</f>
        <v>MKHC</v>
      </c>
      <c r="D573" s="90" t="e">
        <f>#REF!</f>
        <v>#REF!</v>
      </c>
      <c r="E573" s="97">
        <f>'Danh sách máy'!E568</f>
        <v>46108</v>
      </c>
      <c r="F573" s="206" t="e">
        <f>#REF!</f>
        <v>#REF!</v>
      </c>
      <c r="G573" s="102" t="e">
        <f>#REF!</f>
        <v>#REF!</v>
      </c>
      <c r="H573" s="102" t="e">
        <f>#REF!</f>
        <v>#REF!</v>
      </c>
      <c r="K573" s="210" t="e">
        <f>#REF!</f>
        <v>#REF!</v>
      </c>
      <c r="L573" s="210">
        <v>44842</v>
      </c>
      <c r="M573" s="210"/>
      <c r="N573" s="210">
        <f>'Danh sách máy'!F568</f>
        <v>46105</v>
      </c>
      <c r="O573" s="211" t="str" cm="1">
        <f t="array" ref="O573">IF(L573&lt;&gt;0,IF(L573&lt;I573,"OK","NG"),Blank)</f>
        <v>NG</v>
      </c>
      <c r="P573" s="211" t="e" cm="1">
        <f t="array" ref="P573">IF(M573&lt;&gt;0,IF(M573&lt;J573,"OK","NG"),Blank)</f>
        <v>#NAME?</v>
      </c>
      <c r="Q573" s="211" t="e" cm="1">
        <f t="array" ref="Q573">IF(H573&lt;&gt;"Stop",IF(N573&lt;&gt;0,IF(N573&lt;=K573,"OK","NG"),Blank),"-")</f>
        <v>#REF!</v>
      </c>
      <c r="R573" s="326" t="e" cm="1">
        <f t="array" ref="R573">IF(H573&lt;&gt;"Stop",IF(E573&lt;&gt;0,IF(E573&lt;=K573,"OK","NG"),Blank),"-")</f>
        <v>#REF!</v>
      </c>
    </row>
    <row r="574" spans="1:18" ht="15" x14ac:dyDescent="0.3">
      <c r="A574" s="318" t="e">
        <f>#REF!</f>
        <v>#REF!</v>
      </c>
      <c r="B574" s="305" t="e">
        <f>#REF!</f>
        <v>#REF!</v>
      </c>
      <c r="C574" s="305" t="str">
        <f>'Danh sách máy'!C569</f>
        <v>MKHC</v>
      </c>
      <c r="D574" s="90" t="e">
        <f>#REF!</f>
        <v>#REF!</v>
      </c>
      <c r="E574" s="97">
        <f>'Danh sách máy'!E569</f>
        <v>46101</v>
      </c>
      <c r="F574" s="206" t="e">
        <f>#REF!</f>
        <v>#REF!</v>
      </c>
      <c r="G574" s="102" t="e">
        <f>#REF!</f>
        <v>#REF!</v>
      </c>
      <c r="H574" s="102" t="e">
        <f>#REF!</f>
        <v>#REF!</v>
      </c>
      <c r="K574" s="210" t="e">
        <f>#REF!</f>
        <v>#REF!</v>
      </c>
      <c r="L574" s="210">
        <v>44843</v>
      </c>
      <c r="M574" s="210"/>
      <c r="N574" s="210">
        <f>'Danh sách máy'!F569</f>
        <v>46105</v>
      </c>
      <c r="O574" s="211" t="str" cm="1">
        <f t="array" ref="O574">IF(L574&lt;&gt;0,IF(L574&lt;I574,"OK","NG"),Blank)</f>
        <v>NG</v>
      </c>
      <c r="P574" s="211" t="e" cm="1">
        <f t="array" ref="P574">IF(M574&lt;&gt;0,IF(M574&lt;J574,"OK","NG"),Blank)</f>
        <v>#NAME?</v>
      </c>
      <c r="Q574" s="211" t="e" cm="1">
        <f t="array" ref="Q574">IF(H574&lt;&gt;"Stop",IF(N574&lt;&gt;0,IF(N574&lt;=K574,"OK","NG"),Blank),"-")</f>
        <v>#REF!</v>
      </c>
      <c r="R574" s="326" t="e" cm="1">
        <f t="array" ref="R574">IF(H574&lt;&gt;"Stop",IF(E574&lt;&gt;0,IF(E574&lt;=K574,"OK","NG"),Blank),"-")</f>
        <v>#REF!</v>
      </c>
    </row>
    <row r="575" spans="1:18" ht="15" x14ac:dyDescent="0.3">
      <c r="A575" s="318" t="e">
        <f>#REF!</f>
        <v>#REF!</v>
      </c>
      <c r="B575" s="305" t="e">
        <f>#REF!</f>
        <v>#REF!</v>
      </c>
      <c r="C575" s="305" t="str">
        <f>'Danh sách máy'!C570</f>
        <v>MKHC</v>
      </c>
      <c r="D575" s="90" t="e">
        <f>#REF!</f>
        <v>#REF!</v>
      </c>
      <c r="E575" s="97">
        <f>'Danh sách máy'!E570</f>
        <v>46119</v>
      </c>
      <c r="F575" s="206" t="e">
        <f>#REF!</f>
        <v>#REF!</v>
      </c>
      <c r="G575" s="102" t="e">
        <f>#REF!</f>
        <v>#REF!</v>
      </c>
      <c r="H575" s="102" t="e">
        <f>#REF!</f>
        <v>#REF!</v>
      </c>
      <c r="K575" s="210" t="e">
        <f>#REF!</f>
        <v>#REF!</v>
      </c>
      <c r="L575" s="210">
        <v>44844</v>
      </c>
      <c r="M575" s="210"/>
      <c r="N575" s="210">
        <f>'Danh sách máy'!F570</f>
        <v>46136</v>
      </c>
      <c r="O575" s="211" t="str" cm="1">
        <f t="array" ref="O575">IF(L575&lt;&gt;0,IF(L575&lt;I575,"OK","NG"),Blank)</f>
        <v>NG</v>
      </c>
      <c r="P575" s="211" t="e" cm="1">
        <f t="array" ref="P575">IF(M575&lt;&gt;0,IF(M575&lt;J575,"OK","NG"),Blank)</f>
        <v>#NAME?</v>
      </c>
      <c r="Q575" s="211" t="e" cm="1">
        <f t="array" ref="Q575">IF(H575&lt;&gt;"Stop",IF(N575&lt;&gt;0,IF(N575&lt;=K575,"OK","NG"),Blank),"-")</f>
        <v>#REF!</v>
      </c>
      <c r="R575" s="326" t="e" cm="1">
        <f t="array" ref="R575">IF(H575&lt;&gt;"Stop",IF(E575&lt;&gt;0,IF(E575&lt;=K575,"OK","NG"),Blank),"-")</f>
        <v>#REF!</v>
      </c>
    </row>
    <row r="576" spans="1:18" ht="15" x14ac:dyDescent="0.3">
      <c r="A576" s="318" t="e">
        <f>#REF!</f>
        <v>#REF!</v>
      </c>
      <c r="B576" s="305" t="e">
        <f>#REF!</f>
        <v>#REF!</v>
      </c>
      <c r="C576" s="305" t="str">
        <f>'Danh sách máy'!C571</f>
        <v>MKHC</v>
      </c>
      <c r="D576" s="90" t="e">
        <f>#REF!</f>
        <v>#REF!</v>
      </c>
      <c r="E576" s="97">
        <f>'Danh sách máy'!E571</f>
        <v>46119</v>
      </c>
      <c r="F576" s="206" t="e">
        <f>#REF!</f>
        <v>#REF!</v>
      </c>
      <c r="G576" s="102" t="e">
        <f>#REF!</f>
        <v>#REF!</v>
      </c>
      <c r="H576" s="102" t="e">
        <f>#REF!</f>
        <v>#REF!</v>
      </c>
      <c r="K576" s="210" t="e">
        <f>#REF!</f>
        <v>#REF!</v>
      </c>
      <c r="L576" s="210">
        <v>44845</v>
      </c>
      <c r="M576" s="210"/>
      <c r="N576" s="210">
        <f>'Danh sách máy'!F571</f>
        <v>46136</v>
      </c>
      <c r="O576" s="211" t="str" cm="1">
        <f t="array" ref="O576">IF(L576&lt;&gt;0,IF(L576&lt;I576,"OK","NG"),Blank)</f>
        <v>NG</v>
      </c>
      <c r="P576" s="211" t="e" cm="1">
        <f t="array" ref="P576">IF(M576&lt;&gt;0,IF(M576&lt;J576,"OK","NG"),Blank)</f>
        <v>#NAME?</v>
      </c>
      <c r="Q576" s="211" t="e" cm="1">
        <f t="array" ref="Q576">IF(H576&lt;&gt;"Stop",IF(N576&lt;&gt;0,IF(N576&lt;=K576,"OK","NG"),Blank),"-")</f>
        <v>#REF!</v>
      </c>
      <c r="R576" s="326" t="e" cm="1">
        <f t="array" ref="R576">IF(H576&lt;&gt;"Stop",IF(E576&lt;&gt;0,IF(E576&lt;=K576,"OK","NG"),Blank),"-")</f>
        <v>#REF!</v>
      </c>
    </row>
    <row r="577" spans="1:18" ht="15" x14ac:dyDescent="0.3">
      <c r="A577" s="318" t="e">
        <f>#REF!</f>
        <v>#REF!</v>
      </c>
      <c r="B577" s="305" t="e">
        <f>#REF!</f>
        <v>#REF!</v>
      </c>
      <c r="C577" s="305" t="str">
        <f>'Danh sách máy'!C572</f>
        <v>MKHC</v>
      </c>
      <c r="D577" s="90" t="e">
        <f>#REF!</f>
        <v>#REF!</v>
      </c>
      <c r="E577" s="97">
        <f>'Danh sách máy'!E572</f>
        <v>46119</v>
      </c>
      <c r="F577" s="206" t="e">
        <f>#REF!</f>
        <v>#REF!</v>
      </c>
      <c r="G577" s="102" t="e">
        <f>#REF!</f>
        <v>#REF!</v>
      </c>
      <c r="H577" s="102" t="e">
        <f>#REF!</f>
        <v>#REF!</v>
      </c>
      <c r="K577" s="210" t="e">
        <f>#REF!</f>
        <v>#REF!</v>
      </c>
      <c r="L577" s="210">
        <v>44846</v>
      </c>
      <c r="M577" s="210"/>
      <c r="N577" s="210">
        <f>'Danh sách máy'!F572</f>
        <v>46136</v>
      </c>
      <c r="O577" s="211" t="str" cm="1">
        <f t="array" ref="O577">IF(L577&lt;&gt;0,IF(L577&lt;I577,"OK","NG"),Blank)</f>
        <v>NG</v>
      </c>
      <c r="P577" s="211" t="e" cm="1">
        <f t="array" ref="P577">IF(M577&lt;&gt;0,IF(M577&lt;J577,"OK","NG"),Blank)</f>
        <v>#NAME?</v>
      </c>
      <c r="Q577" s="211" t="e" cm="1">
        <f t="array" ref="Q577">IF(H577&lt;&gt;"Stop",IF(N577&lt;&gt;0,IF(N577&lt;=K577,"OK","NG"),Blank),"-")</f>
        <v>#REF!</v>
      </c>
      <c r="R577" s="326" t="e" cm="1">
        <f t="array" ref="R577">IF(H577&lt;&gt;"Stop",IF(E577&lt;&gt;0,IF(E577&lt;=K577,"OK","NG"),Blank),"-")</f>
        <v>#REF!</v>
      </c>
    </row>
    <row r="578" spans="1:18" ht="15" x14ac:dyDescent="0.3">
      <c r="A578" s="318" t="e">
        <f>#REF!</f>
        <v>#REF!</v>
      </c>
      <c r="B578" s="305" t="e">
        <f>#REF!</f>
        <v>#REF!</v>
      </c>
      <c r="C578" s="305" t="str">
        <f>'Danh sách máy'!C573</f>
        <v>MKHC</v>
      </c>
      <c r="D578" s="90" t="e">
        <f>#REF!</f>
        <v>#REF!</v>
      </c>
      <c r="E578" s="97">
        <f>'Danh sách máy'!E573</f>
        <v>46128</v>
      </c>
      <c r="F578" s="206" t="e">
        <f>#REF!</f>
        <v>#REF!</v>
      </c>
      <c r="G578" s="102" t="e">
        <f>#REF!</f>
        <v>#REF!</v>
      </c>
      <c r="H578" s="102" t="e">
        <f>#REF!</f>
        <v>#REF!</v>
      </c>
      <c r="K578" s="210" t="e">
        <f>#REF!</f>
        <v>#REF!</v>
      </c>
      <c r="L578" s="210">
        <v>44847</v>
      </c>
      <c r="M578" s="210"/>
      <c r="N578" s="210">
        <f>'Danh sách máy'!F573</f>
        <v>46136</v>
      </c>
      <c r="O578" s="211" t="str" cm="1">
        <f t="array" ref="O578">IF(L578&lt;&gt;0,IF(L578&lt;I578,"OK","NG"),Blank)</f>
        <v>NG</v>
      </c>
      <c r="P578" s="211" t="e" cm="1">
        <f t="array" ref="P578">IF(M578&lt;&gt;0,IF(M578&lt;J578,"OK","NG"),Blank)</f>
        <v>#NAME?</v>
      </c>
      <c r="Q578" s="211" t="e" cm="1">
        <f t="array" ref="Q578">IF(H578&lt;&gt;"Stop",IF(N578&lt;&gt;0,IF(N578&lt;=K578,"OK","NG"),Blank),"-")</f>
        <v>#REF!</v>
      </c>
      <c r="R578" s="326" t="e" cm="1">
        <f t="array" ref="R578">IF(H578&lt;&gt;"Stop",IF(E578&lt;&gt;0,IF(E578&lt;=K578,"OK","NG"),Blank),"-")</f>
        <v>#REF!</v>
      </c>
    </row>
    <row r="579" spans="1:18" ht="15" x14ac:dyDescent="0.3">
      <c r="A579" s="318" t="e">
        <f>#REF!</f>
        <v>#REF!</v>
      </c>
      <c r="B579" s="305" t="e">
        <f>#REF!</f>
        <v>#REF!</v>
      </c>
      <c r="C579" s="305" t="str">
        <f>'Danh sách máy'!C574</f>
        <v>MKHC</v>
      </c>
      <c r="D579" s="90" t="e">
        <f>#REF!</f>
        <v>#REF!</v>
      </c>
      <c r="E579" s="97">
        <f>'Danh sách máy'!E574</f>
        <v>46128</v>
      </c>
      <c r="F579" s="206" t="e">
        <f>#REF!</f>
        <v>#REF!</v>
      </c>
      <c r="G579" s="102" t="e">
        <f>#REF!</f>
        <v>#REF!</v>
      </c>
      <c r="H579" s="102" t="e">
        <f>#REF!</f>
        <v>#REF!</v>
      </c>
      <c r="K579" s="210" t="e">
        <f>#REF!</f>
        <v>#REF!</v>
      </c>
      <c r="L579" s="210">
        <v>44848</v>
      </c>
      <c r="M579" s="210"/>
      <c r="N579" s="210">
        <f>'Danh sách máy'!F574</f>
        <v>46136</v>
      </c>
      <c r="O579" s="211" t="str" cm="1">
        <f t="array" ref="O579">IF(L579&lt;&gt;0,IF(L579&lt;I579,"OK","NG"),Blank)</f>
        <v>NG</v>
      </c>
      <c r="P579" s="211" t="e" cm="1">
        <f t="array" ref="P579">IF(M579&lt;&gt;0,IF(M579&lt;J579,"OK","NG"),Blank)</f>
        <v>#NAME?</v>
      </c>
      <c r="Q579" s="211" t="e" cm="1">
        <f t="array" ref="Q579">IF(H579&lt;&gt;"Stop",IF(N579&lt;&gt;0,IF(N579&lt;=K579,"OK","NG"),Blank),"-")</f>
        <v>#REF!</v>
      </c>
      <c r="R579" s="326" t="e" cm="1">
        <f t="array" ref="R579">IF(H579&lt;&gt;"Stop",IF(E579&lt;&gt;0,IF(E579&lt;=K579,"OK","NG"),Blank),"-")</f>
        <v>#REF!</v>
      </c>
    </row>
    <row r="580" spans="1:18" ht="15" x14ac:dyDescent="0.3">
      <c r="A580" s="318" t="e">
        <f>#REF!</f>
        <v>#REF!</v>
      </c>
      <c r="B580" s="305" t="e">
        <f>#REF!</f>
        <v>#REF!</v>
      </c>
      <c r="C580" s="305" t="str">
        <f>'Danh sách máy'!C575</f>
        <v>MKHC</v>
      </c>
      <c r="D580" s="90" t="e">
        <f>#REF!</f>
        <v>#REF!</v>
      </c>
      <c r="E580" s="97">
        <f>'Danh sách máy'!E575</f>
        <v>46128</v>
      </c>
      <c r="F580" s="206" t="e">
        <f>#REF!</f>
        <v>#REF!</v>
      </c>
      <c r="G580" s="102" t="e">
        <f>#REF!</f>
        <v>#REF!</v>
      </c>
      <c r="H580" s="102" t="e">
        <f>#REF!</f>
        <v>#REF!</v>
      </c>
      <c r="K580" s="210" t="e">
        <f>#REF!</f>
        <v>#REF!</v>
      </c>
      <c r="L580" s="210">
        <v>44849</v>
      </c>
      <c r="M580" s="210"/>
      <c r="N580" s="210">
        <f>'Danh sách máy'!F575</f>
        <v>46153</v>
      </c>
      <c r="O580" s="211" t="str" cm="1">
        <f t="array" ref="O580">IF(L580&lt;&gt;0,IF(L580&lt;I580,"OK","NG"),Blank)</f>
        <v>NG</v>
      </c>
      <c r="P580" s="211" t="e" cm="1">
        <f t="array" ref="P580">IF(M580&lt;&gt;0,IF(M580&lt;J580,"OK","NG"),Blank)</f>
        <v>#NAME?</v>
      </c>
      <c r="Q580" s="211" t="e" cm="1">
        <f t="array" ref="Q580">IF(H580&lt;&gt;"Stop",IF(N580&lt;&gt;0,IF(N580&lt;=K580,"OK","NG"),Blank),"-")</f>
        <v>#REF!</v>
      </c>
      <c r="R580" s="326" t="e" cm="1">
        <f t="array" ref="R580">IF(H580&lt;&gt;"Stop",IF(E580&lt;&gt;0,IF(E580&lt;=K580,"OK","NG"),Blank),"-")</f>
        <v>#REF!</v>
      </c>
    </row>
    <row r="581" spans="1:18" ht="15" x14ac:dyDescent="0.3">
      <c r="A581" s="318" t="e">
        <f>#REF!</f>
        <v>#REF!</v>
      </c>
      <c r="B581" s="305" t="e">
        <f>#REF!</f>
        <v>#REF!</v>
      </c>
      <c r="C581" s="305" t="str">
        <f>'Danh sách máy'!C576</f>
        <v>MKHC</v>
      </c>
      <c r="D581" s="90" t="e">
        <f>#REF!</f>
        <v>#REF!</v>
      </c>
      <c r="E581" s="97">
        <f>'Danh sách máy'!E576</f>
        <v>46128</v>
      </c>
      <c r="F581" s="206" t="e">
        <f>#REF!</f>
        <v>#REF!</v>
      </c>
      <c r="G581" s="102" t="e">
        <f>#REF!</f>
        <v>#REF!</v>
      </c>
      <c r="H581" s="102" t="e">
        <f>#REF!</f>
        <v>#REF!</v>
      </c>
      <c r="K581" s="210" t="e">
        <f>#REF!</f>
        <v>#REF!</v>
      </c>
      <c r="L581" s="210">
        <v>44850</v>
      </c>
      <c r="M581" s="210"/>
      <c r="N581" s="210">
        <f>'Danh sách máy'!F576</f>
        <v>46153</v>
      </c>
      <c r="O581" s="211" t="str" cm="1">
        <f t="array" ref="O581">IF(L581&lt;&gt;0,IF(L581&lt;I581,"OK","NG"),Blank)</f>
        <v>NG</v>
      </c>
      <c r="P581" s="211" t="e" cm="1">
        <f t="array" ref="P581">IF(M581&lt;&gt;0,IF(M581&lt;J581,"OK","NG"),Blank)</f>
        <v>#NAME?</v>
      </c>
      <c r="Q581" s="211" t="e" cm="1">
        <f t="array" ref="Q581">IF(H581&lt;&gt;"Stop",IF(N581&lt;&gt;0,IF(N581&lt;=K581,"OK","NG"),Blank),"-")</f>
        <v>#REF!</v>
      </c>
      <c r="R581" s="326" t="e" cm="1">
        <f t="array" ref="R581">IF(H581&lt;&gt;"Stop",IF(E581&lt;&gt;0,IF(E581&lt;=K581,"OK","NG"),Blank),"-")</f>
        <v>#REF!</v>
      </c>
    </row>
    <row r="582" spans="1:18" ht="15" x14ac:dyDescent="0.3">
      <c r="A582" s="318" t="e">
        <f>#REF!</f>
        <v>#REF!</v>
      </c>
      <c r="B582" s="305" t="e">
        <f>#REF!</f>
        <v>#REF!</v>
      </c>
      <c r="C582" s="305" t="str">
        <f>'Danh sách máy'!C577</f>
        <v>MKHC</v>
      </c>
      <c r="D582" s="90" t="e">
        <f>#REF!</f>
        <v>#REF!</v>
      </c>
      <c r="E582" s="97">
        <f>'Danh sách máy'!E577</f>
        <v>46150</v>
      </c>
      <c r="F582" s="206" t="e">
        <f>#REF!</f>
        <v>#REF!</v>
      </c>
      <c r="G582" s="102" t="e">
        <f>#REF!</f>
        <v>#REF!</v>
      </c>
      <c r="H582" s="102" t="e">
        <f>#REF!</f>
        <v>#REF!</v>
      </c>
      <c r="K582" s="210" t="e">
        <f>#REF!</f>
        <v>#REF!</v>
      </c>
      <c r="L582" s="210">
        <v>44851</v>
      </c>
      <c r="M582" s="210"/>
      <c r="N582" s="210">
        <f>'Danh sách máy'!F577</f>
        <v>46153</v>
      </c>
      <c r="O582" s="211" t="str" cm="1">
        <f t="array" ref="O582">IF(L582&lt;&gt;0,IF(L582&lt;I582,"OK","NG"),Blank)</f>
        <v>NG</v>
      </c>
      <c r="P582" s="211" t="e" cm="1">
        <f t="array" ref="P582">IF(M582&lt;&gt;0,IF(M582&lt;J582,"OK","NG"),Blank)</f>
        <v>#NAME?</v>
      </c>
      <c r="Q582" s="211" t="e" cm="1">
        <f t="array" ref="Q582">IF(H582&lt;&gt;"Stop",IF(N582&lt;&gt;0,IF(N582&lt;=K582,"OK","NG"),Blank),"-")</f>
        <v>#REF!</v>
      </c>
      <c r="R582" s="326" t="e" cm="1">
        <f t="array" ref="R582">IF(H582&lt;&gt;"Stop",IF(E582&lt;&gt;0,IF(E582&lt;=K582,"OK","NG"),Blank),"-")</f>
        <v>#REF!</v>
      </c>
    </row>
    <row r="583" spans="1:18" ht="15" x14ac:dyDescent="0.3">
      <c r="A583" s="318" t="e">
        <f>#REF!</f>
        <v>#REF!</v>
      </c>
      <c r="B583" s="305" t="e">
        <f>#REF!</f>
        <v>#REF!</v>
      </c>
      <c r="C583" s="305" t="str">
        <f>'Danh sách máy'!C578</f>
        <v>MKHC</v>
      </c>
      <c r="D583" s="90" t="e">
        <f>#REF!</f>
        <v>#REF!</v>
      </c>
      <c r="E583" s="97">
        <f>'Danh sách máy'!E578</f>
        <v>46150</v>
      </c>
      <c r="F583" s="206" t="e">
        <f>#REF!</f>
        <v>#REF!</v>
      </c>
      <c r="G583" s="102" t="e">
        <f>#REF!</f>
        <v>#REF!</v>
      </c>
      <c r="H583" s="102" t="e">
        <f>#REF!</f>
        <v>#REF!</v>
      </c>
      <c r="K583" s="210" t="e">
        <f>#REF!</f>
        <v>#REF!</v>
      </c>
      <c r="L583" s="210">
        <v>44852</v>
      </c>
      <c r="M583" s="210"/>
      <c r="N583" s="210">
        <f>'Danh sách máy'!F578</f>
        <v>46153</v>
      </c>
      <c r="O583" s="211" t="str" cm="1">
        <f t="array" ref="O583">IF(L583&lt;&gt;0,IF(L583&lt;I583,"OK","NG"),Blank)</f>
        <v>NG</v>
      </c>
      <c r="P583" s="211" t="e" cm="1">
        <f t="array" ref="P583">IF(M583&lt;&gt;0,IF(M583&lt;J583,"OK","NG"),Blank)</f>
        <v>#NAME?</v>
      </c>
      <c r="Q583" s="211" t="e" cm="1">
        <f t="array" ref="Q583">IF(H583&lt;&gt;"Stop",IF(N583&lt;&gt;0,IF(N583&lt;=K583,"OK","NG"),Blank),"-")</f>
        <v>#REF!</v>
      </c>
      <c r="R583" s="326" t="e" cm="1">
        <f t="array" ref="R583">IF(H583&lt;&gt;"Stop",IF(E583&lt;&gt;0,IF(E583&lt;=K583,"OK","NG"),Blank),"-")</f>
        <v>#REF!</v>
      </c>
    </row>
    <row r="584" spans="1:18" ht="15" x14ac:dyDescent="0.3">
      <c r="A584" s="318" t="e">
        <f>#REF!</f>
        <v>#REF!</v>
      </c>
      <c r="B584" s="305" t="e">
        <f>#REF!</f>
        <v>#REF!</v>
      </c>
      <c r="C584" s="305" t="str">
        <f>'Danh sách máy'!C579</f>
        <v>MKHC</v>
      </c>
      <c r="D584" s="90" t="e">
        <f>#REF!</f>
        <v>#REF!</v>
      </c>
      <c r="E584" s="97">
        <f>'Danh sách máy'!E579</f>
        <v>46128</v>
      </c>
      <c r="F584" s="206" t="e">
        <f>#REF!</f>
        <v>#REF!</v>
      </c>
      <c r="G584" s="102" t="e">
        <f>#REF!</f>
        <v>#REF!</v>
      </c>
      <c r="H584" s="102" t="e">
        <f>#REF!</f>
        <v>#REF!</v>
      </c>
      <c r="K584" s="210" t="e">
        <f>#REF!</f>
        <v>#REF!</v>
      </c>
      <c r="L584" s="210">
        <v>44853</v>
      </c>
      <c r="M584" s="210"/>
      <c r="N584" s="210">
        <f>'Danh sách máy'!F579</f>
        <v>46136</v>
      </c>
      <c r="O584" s="211" t="str" cm="1">
        <f t="array" ref="O584">IF(L584&lt;&gt;0,IF(L584&lt;I584,"OK","NG"),Blank)</f>
        <v>NG</v>
      </c>
      <c r="P584" s="211" t="e" cm="1">
        <f t="array" ref="P584">IF(M584&lt;&gt;0,IF(M584&lt;J584,"OK","NG"),Blank)</f>
        <v>#NAME?</v>
      </c>
      <c r="Q584" s="211" t="e" cm="1">
        <f t="array" ref="Q584">IF(H584&lt;&gt;"Stop",IF(N584&lt;&gt;0,IF(N584&lt;=K584,"OK","NG"),Blank),"-")</f>
        <v>#REF!</v>
      </c>
      <c r="R584" s="326" t="e" cm="1">
        <f t="array" ref="R584">IF(H584&lt;&gt;"Stop",IF(E584&lt;&gt;0,IF(E584&lt;=K584,"OK","NG"),Blank),"-")</f>
        <v>#REF!</v>
      </c>
    </row>
    <row r="585" spans="1:18" ht="15" x14ac:dyDescent="0.3">
      <c r="A585" s="318" t="e">
        <f>#REF!</f>
        <v>#REF!</v>
      </c>
      <c r="B585" s="305" t="e">
        <f>#REF!</f>
        <v>#REF!</v>
      </c>
      <c r="C585" s="305" t="str">
        <f>'Danh sách máy'!C580</f>
        <v>MKHC</v>
      </c>
      <c r="D585" s="90" t="e">
        <f>#REF!</f>
        <v>#REF!</v>
      </c>
      <c r="E585" s="97">
        <f>'Danh sách máy'!E580</f>
        <v>46165</v>
      </c>
      <c r="F585" s="206" t="e">
        <f>#REF!</f>
        <v>#REF!</v>
      </c>
      <c r="G585" s="102" t="e">
        <f>#REF!</f>
        <v>#REF!</v>
      </c>
      <c r="H585" s="102" t="e">
        <f>#REF!</f>
        <v>#REF!</v>
      </c>
      <c r="K585" s="210" t="e">
        <f>#REF!</f>
        <v>#REF!</v>
      </c>
      <c r="L585" s="210">
        <v>44854</v>
      </c>
      <c r="M585" s="210"/>
      <c r="N585" s="210">
        <f>'Danh sách máy'!F580</f>
        <v>46203</v>
      </c>
      <c r="O585" s="211" t="str" cm="1">
        <f t="array" ref="O585">IF(L585&lt;&gt;0,IF(L585&lt;I585,"OK","NG"),Blank)</f>
        <v>NG</v>
      </c>
      <c r="P585" s="211" t="e" cm="1">
        <f t="array" ref="P585">IF(M585&lt;&gt;0,IF(M585&lt;J585,"OK","NG"),Blank)</f>
        <v>#NAME?</v>
      </c>
      <c r="Q585" s="211" t="e" cm="1">
        <f t="array" ref="Q585">IF(H585&lt;&gt;"Stop",IF(N585&lt;&gt;0,IF(N585&lt;=K585,"OK","NG"),Blank),"-")</f>
        <v>#REF!</v>
      </c>
      <c r="R585" s="326" t="e" cm="1">
        <f t="array" ref="R585">IF(H585&lt;&gt;"Stop",IF(E585&lt;&gt;0,IF(E585&lt;=K585,"OK","NG"),Blank),"-")</f>
        <v>#REF!</v>
      </c>
    </row>
    <row r="586" spans="1:18" ht="15" x14ac:dyDescent="0.3">
      <c r="A586" s="318" t="e">
        <f>#REF!</f>
        <v>#REF!</v>
      </c>
      <c r="B586" s="305" t="e">
        <f>#REF!</f>
        <v>#REF!</v>
      </c>
      <c r="C586" s="305" t="str">
        <f>'Danh sách máy'!C581</f>
        <v>MKHC</v>
      </c>
      <c r="D586" s="90" t="e">
        <f>#REF!</f>
        <v>#REF!</v>
      </c>
      <c r="E586" s="97">
        <f>'Danh sách máy'!E581</f>
        <v>46150</v>
      </c>
      <c r="F586" s="206" t="e">
        <f>#REF!</f>
        <v>#REF!</v>
      </c>
      <c r="G586" s="102" t="e">
        <f>#REF!</f>
        <v>#REF!</v>
      </c>
      <c r="H586" s="102" t="e">
        <f>#REF!</f>
        <v>#REF!</v>
      </c>
      <c r="K586" s="210" t="e">
        <f>#REF!</f>
        <v>#REF!</v>
      </c>
      <c r="L586" s="210">
        <v>44855</v>
      </c>
      <c r="M586" s="210"/>
      <c r="N586" s="210">
        <f>'Danh sách máy'!F581</f>
        <v>46153</v>
      </c>
      <c r="O586" s="211" t="str" cm="1">
        <f t="array" ref="O586">IF(L586&lt;&gt;0,IF(L586&lt;I586,"OK","NG"),Blank)</f>
        <v>NG</v>
      </c>
      <c r="P586" s="211" t="e" cm="1">
        <f t="array" ref="P586">IF(M586&lt;&gt;0,IF(M586&lt;J586,"OK","NG"),Blank)</f>
        <v>#NAME?</v>
      </c>
      <c r="Q586" s="211" t="e" cm="1">
        <f t="array" ref="Q586">IF(H586&lt;&gt;"Stop",IF(N586&lt;&gt;0,IF(N586&lt;=K586,"OK","NG"),Blank),"-")</f>
        <v>#REF!</v>
      </c>
      <c r="R586" s="326" t="e" cm="1">
        <f t="array" ref="R586">IF(H586&lt;&gt;"Stop",IF(E586&lt;&gt;0,IF(E586&lt;=K586,"OK","NG"),Blank),"-")</f>
        <v>#REF!</v>
      </c>
    </row>
    <row r="587" spans="1:18" ht="15" x14ac:dyDescent="0.3">
      <c r="A587" s="318" t="e">
        <f>#REF!</f>
        <v>#REF!</v>
      </c>
      <c r="B587" s="305" t="e">
        <f>#REF!</f>
        <v>#REF!</v>
      </c>
      <c r="C587" s="305" t="str">
        <f>'Danh sách máy'!C582</f>
        <v>MKHC</v>
      </c>
      <c r="D587" s="90" t="e">
        <f>#REF!</f>
        <v>#REF!</v>
      </c>
      <c r="E587" s="97">
        <f>'Danh sách máy'!E582</f>
        <v>46152</v>
      </c>
      <c r="F587" s="206" t="e">
        <f>#REF!</f>
        <v>#REF!</v>
      </c>
      <c r="G587" s="102" t="e">
        <f>#REF!</f>
        <v>#REF!</v>
      </c>
      <c r="H587" s="102" t="e">
        <f>#REF!</f>
        <v>#REF!</v>
      </c>
      <c r="K587" s="210" t="e">
        <f>#REF!</f>
        <v>#REF!</v>
      </c>
      <c r="L587" s="210">
        <v>44856</v>
      </c>
      <c r="M587" s="210"/>
      <c r="N587" s="210">
        <f>'Danh sách máy'!F582</f>
        <v>46172</v>
      </c>
      <c r="O587" s="211" t="str" cm="1">
        <f t="array" ref="O587">IF(L587&lt;&gt;0,IF(L587&lt;I587,"OK","NG"),Blank)</f>
        <v>NG</v>
      </c>
      <c r="P587" s="211" t="e" cm="1">
        <f t="array" ref="P587">IF(M587&lt;&gt;0,IF(M587&lt;J587,"OK","NG"),Blank)</f>
        <v>#NAME?</v>
      </c>
      <c r="Q587" s="211" t="e" cm="1">
        <f t="array" ref="Q587">IF(H587&lt;&gt;"Stop",IF(N587&lt;&gt;0,IF(N587&lt;=K587,"OK","NG"),Blank),"-")</f>
        <v>#REF!</v>
      </c>
      <c r="R587" s="326" t="e" cm="1">
        <f t="array" ref="R587">IF(H587&lt;&gt;"Stop",IF(E587&lt;&gt;0,IF(E587&lt;=K587,"OK","NG"),Blank),"-")</f>
        <v>#REF!</v>
      </c>
    </row>
    <row r="588" spans="1:18" ht="30" hidden="1" x14ac:dyDescent="0.3">
      <c r="A588" s="318" t="e">
        <f>#REF!</f>
        <v>#REF!</v>
      </c>
      <c r="B588" s="305" t="e">
        <f>#REF!</f>
        <v>#REF!</v>
      </c>
      <c r="C588" s="305" t="str">
        <f>'Danh sách máy'!C583</f>
        <v>MKHC</v>
      </c>
      <c r="D588" s="90" t="e">
        <f>#REF!</f>
        <v>#REF!</v>
      </c>
      <c r="E588" s="97">
        <f>'Danh sách máy'!E583</f>
        <v>46032</v>
      </c>
      <c r="F588" s="206" t="e">
        <f>#REF!</f>
        <v>#REF!</v>
      </c>
      <c r="G588" s="102" t="e">
        <f>#REF!</f>
        <v>#REF!</v>
      </c>
      <c r="H588" s="102" t="e">
        <f>#REF!</f>
        <v>#REF!</v>
      </c>
      <c r="K588" s="210" t="e">
        <f>#REF!</f>
        <v>#REF!</v>
      </c>
      <c r="L588" s="210">
        <v>44857</v>
      </c>
      <c r="M588" s="210"/>
      <c r="N588" s="210">
        <f>'Danh sách máy'!F583</f>
        <v>46081</v>
      </c>
      <c r="O588" s="211" t="str" cm="1">
        <f t="array" ref="O588">IF(L588&lt;&gt;0,IF(L588&lt;I588,"OK","NG"),Blank)</f>
        <v>NG</v>
      </c>
      <c r="P588" s="211" t="e" cm="1">
        <f t="array" ref="P588">IF(M588&lt;&gt;0,IF(M588&lt;J588,"OK","NG"),Blank)</f>
        <v>#NAME?</v>
      </c>
      <c r="Q588" s="211" t="e" cm="1">
        <f t="array" ref="Q588">IF(H588&lt;&gt;"Stop",IF(N588&lt;&gt;0,IF(N588&lt;=K588,"OK","NG"),Blank),"-")</f>
        <v>#REF!</v>
      </c>
      <c r="R588" s="326" t="e" cm="1">
        <f t="array" ref="R588">IF(H588&lt;&gt;"Stop",IF(E588&lt;&gt;0,IF(E588&lt;=K588,"OK","NG"),Blank),"-")</f>
        <v>#REF!</v>
      </c>
    </row>
    <row r="589" spans="1:18" ht="30" hidden="1" x14ac:dyDescent="0.3">
      <c r="A589" s="318" t="e">
        <f>#REF!</f>
        <v>#REF!</v>
      </c>
      <c r="B589" s="305" t="e">
        <f>#REF!</f>
        <v>#REF!</v>
      </c>
      <c r="C589" s="305" t="str">
        <f>'Danh sách máy'!C584</f>
        <v>MKHC</v>
      </c>
      <c r="D589" s="90" t="e">
        <f>#REF!</f>
        <v>#REF!</v>
      </c>
      <c r="E589" s="97">
        <f>'Danh sách máy'!E584</f>
        <v>46048</v>
      </c>
      <c r="F589" s="206" t="e">
        <f>#REF!</f>
        <v>#REF!</v>
      </c>
      <c r="G589" s="102" t="e">
        <f>#REF!</f>
        <v>#REF!</v>
      </c>
      <c r="H589" s="102" t="e">
        <f>#REF!</f>
        <v>#REF!</v>
      </c>
      <c r="K589" s="210" t="e">
        <f>#REF!</f>
        <v>#REF!</v>
      </c>
      <c r="L589" s="210">
        <v>44858</v>
      </c>
      <c r="M589" s="210"/>
      <c r="N589" s="210">
        <f>'Danh sách máy'!F584</f>
        <v>45687</v>
      </c>
      <c r="O589" s="211" t="str" cm="1">
        <f t="array" ref="O589">IF(L589&lt;&gt;0,IF(L589&lt;I589,"OK","NG"),Blank)</f>
        <v>NG</v>
      </c>
      <c r="P589" s="211" t="e" cm="1">
        <f t="array" ref="P589">IF(M589&lt;&gt;0,IF(M589&lt;J589,"OK","NG"),Blank)</f>
        <v>#NAME?</v>
      </c>
      <c r="Q589" s="211" t="e" cm="1">
        <f t="array" ref="Q589">IF(H589&lt;&gt;"Stop",IF(N589&lt;&gt;0,IF(N589&lt;=K589,"OK","NG"),Blank),"-")</f>
        <v>#REF!</v>
      </c>
      <c r="R589" s="326" t="e" cm="1">
        <f t="array" ref="R589">IF(H589&lt;&gt;"Stop",IF(E589&lt;&gt;0,IF(E589&lt;=K589,"OK","NG"),Blank),"-")</f>
        <v>#REF!</v>
      </c>
    </row>
    <row r="590" spans="1:18" ht="30" hidden="1" x14ac:dyDescent="0.3">
      <c r="A590" s="318" t="e">
        <f>#REF!</f>
        <v>#REF!</v>
      </c>
      <c r="B590" s="305" t="e">
        <f>#REF!</f>
        <v>#REF!</v>
      </c>
      <c r="C590" s="305" t="str">
        <f>'Danh sách máy'!C585</f>
        <v>MKHC</v>
      </c>
      <c r="D590" s="90" t="e">
        <f>#REF!</f>
        <v>#REF!</v>
      </c>
      <c r="E590" s="97">
        <f>'Danh sách máy'!E585</f>
        <v>46032</v>
      </c>
      <c r="F590" s="206" t="e">
        <f>#REF!</f>
        <v>#REF!</v>
      </c>
      <c r="G590" s="102" t="e">
        <f>#REF!</f>
        <v>#REF!</v>
      </c>
      <c r="H590" s="102" t="e">
        <f>#REF!</f>
        <v>#REF!</v>
      </c>
      <c r="K590" s="210" t="e">
        <f>#REF!</f>
        <v>#REF!</v>
      </c>
      <c r="L590" s="210">
        <v>44859</v>
      </c>
      <c r="M590" s="210"/>
      <c r="N590" s="210">
        <f>'Danh sách máy'!F585</f>
        <v>46081</v>
      </c>
      <c r="O590" s="211" t="str" cm="1">
        <f t="array" ref="O590">IF(L590&lt;&gt;0,IF(L590&lt;I590,"OK","NG"),Blank)</f>
        <v>NG</v>
      </c>
      <c r="P590" s="211" t="e" cm="1">
        <f t="array" ref="P590">IF(M590&lt;&gt;0,IF(M590&lt;J590,"OK","NG"),Blank)</f>
        <v>#NAME?</v>
      </c>
      <c r="Q590" s="211" t="e" cm="1">
        <f t="array" ref="Q590">IF(H590&lt;&gt;"Stop",IF(N590&lt;&gt;0,IF(N590&lt;=K590,"OK","NG"),Blank),"-")</f>
        <v>#REF!</v>
      </c>
      <c r="R590" s="326" t="e" cm="1">
        <f t="array" ref="R590">IF(H590&lt;&gt;"Stop",IF(E590&lt;&gt;0,IF(E590&lt;=K590,"OK","NG"),Blank),"-")</f>
        <v>#REF!</v>
      </c>
    </row>
    <row r="591" spans="1:18" ht="30" hidden="1" x14ac:dyDescent="0.3">
      <c r="A591" s="318" t="e">
        <f>#REF!</f>
        <v>#REF!</v>
      </c>
      <c r="B591" s="305" t="e">
        <f>#REF!</f>
        <v>#REF!</v>
      </c>
      <c r="C591" s="305" t="str">
        <f>'Danh sách máy'!C586</f>
        <v>MKHC</v>
      </c>
      <c r="D591" s="90" t="e">
        <f>#REF!</f>
        <v>#REF!</v>
      </c>
      <c r="E591" s="97">
        <f>'Danh sách máy'!E586</f>
        <v>46048</v>
      </c>
      <c r="F591" s="206" t="e">
        <f>#REF!</f>
        <v>#REF!</v>
      </c>
      <c r="G591" s="102" t="e">
        <f>#REF!</f>
        <v>#REF!</v>
      </c>
      <c r="H591" s="102" t="e">
        <f>#REF!</f>
        <v>#REF!</v>
      </c>
      <c r="K591" s="210" t="e">
        <f>#REF!</f>
        <v>#REF!</v>
      </c>
      <c r="L591" s="210">
        <v>44860</v>
      </c>
      <c r="M591" s="210"/>
      <c r="N591" s="210">
        <f>'Danh sách máy'!F586</f>
        <v>45687</v>
      </c>
      <c r="O591" s="211" t="str" cm="1">
        <f t="array" ref="O591">IF(L591&lt;&gt;0,IF(L591&lt;I591,"OK","NG"),Blank)</f>
        <v>NG</v>
      </c>
      <c r="P591" s="211" t="e" cm="1">
        <f t="array" ref="P591">IF(M591&lt;&gt;0,IF(M591&lt;J591,"OK","NG"),Blank)</f>
        <v>#NAME?</v>
      </c>
      <c r="Q591" s="211" t="e" cm="1">
        <f t="array" ref="Q591">IF(H591&lt;&gt;"Stop",IF(N591&lt;&gt;0,IF(N591&lt;=K591,"OK","NG"),Blank),"-")</f>
        <v>#REF!</v>
      </c>
      <c r="R591" s="326" t="e" cm="1">
        <f t="array" ref="R591">IF(H591&lt;&gt;"Stop",IF(E591&lt;&gt;0,IF(E591&lt;=K591,"OK","NG"),Blank),"-")</f>
        <v>#REF!</v>
      </c>
    </row>
    <row r="592" spans="1:18" ht="15" x14ac:dyDescent="0.3">
      <c r="A592" s="318" t="e">
        <f>#REF!</f>
        <v>#REF!</v>
      </c>
      <c r="B592" s="305" t="e">
        <f>#REF!</f>
        <v>#REF!</v>
      </c>
      <c r="C592" s="305" t="str">
        <f>'Danh sách máy'!C587</f>
        <v>MKHC</v>
      </c>
      <c r="D592" s="90" t="e">
        <f>#REF!</f>
        <v>#REF!</v>
      </c>
      <c r="E592" s="97">
        <f>'Danh sách máy'!E587</f>
        <v>46032</v>
      </c>
      <c r="F592" s="206" t="e">
        <f>#REF!</f>
        <v>#REF!</v>
      </c>
      <c r="G592" s="102" t="e">
        <f>#REF!</f>
        <v>#REF!</v>
      </c>
      <c r="H592" s="102" t="e">
        <f>#REF!</f>
        <v>#REF!</v>
      </c>
      <c r="K592" s="210" t="e">
        <f>#REF!</f>
        <v>#REF!</v>
      </c>
      <c r="L592" s="210">
        <v>44861</v>
      </c>
      <c r="M592" s="210"/>
      <c r="N592" s="210">
        <f>'Danh sách máy'!F587</f>
        <v>46052</v>
      </c>
      <c r="O592" s="211" t="str" cm="1">
        <f t="array" ref="O592">IF(L592&lt;&gt;0,IF(L592&lt;I592,"OK","NG"),Blank)</f>
        <v>NG</v>
      </c>
      <c r="P592" s="211" t="e" cm="1">
        <f t="array" ref="P592">IF(M592&lt;&gt;0,IF(M592&lt;J592,"OK","NG"),Blank)</f>
        <v>#NAME?</v>
      </c>
      <c r="Q592" s="211" t="e" cm="1">
        <f t="array" ref="Q592">IF(H592&lt;&gt;"Stop",IF(N592&lt;&gt;0,IF(N592&lt;=K592,"OK","NG"),Blank),"-")</f>
        <v>#REF!</v>
      </c>
      <c r="R592" s="326" t="e" cm="1">
        <f t="array" ref="R592">IF(H592&lt;&gt;"Stop",IF(E592&lt;&gt;0,IF(E592&lt;=K592,"OK","NG"),Blank),"-")</f>
        <v>#REF!</v>
      </c>
    </row>
    <row r="593" spans="1:18" ht="15" x14ac:dyDescent="0.3">
      <c r="A593" s="318" t="e">
        <f>#REF!</f>
        <v>#REF!</v>
      </c>
      <c r="B593" s="305" t="e">
        <f>#REF!</f>
        <v>#REF!</v>
      </c>
      <c r="C593" s="305" t="str">
        <f>'Danh sách máy'!C588</f>
        <v>MKHC</v>
      </c>
      <c r="D593" s="90" t="e">
        <f>#REF!</f>
        <v>#REF!</v>
      </c>
      <c r="E593" s="97">
        <f>'Danh sách máy'!E588</f>
        <v>46000</v>
      </c>
      <c r="F593" s="206" t="e">
        <f>#REF!</f>
        <v>#REF!</v>
      </c>
      <c r="G593" s="102" t="e">
        <f>#REF!</f>
        <v>#REF!</v>
      </c>
      <c r="H593" s="102" t="e">
        <f>#REF!</f>
        <v>#REF!</v>
      </c>
      <c r="K593" s="210" t="e">
        <f>#REF!</f>
        <v>#REF!</v>
      </c>
      <c r="L593" s="210">
        <v>44862</v>
      </c>
      <c r="M593" s="210"/>
      <c r="N593" s="210">
        <f>'Danh sách máy'!F588</f>
        <v>46000</v>
      </c>
      <c r="O593" s="211" t="str" cm="1">
        <f t="array" ref="O593">IF(L593&lt;&gt;0,IF(L593&lt;I593,"OK","NG"),Blank)</f>
        <v>NG</v>
      </c>
      <c r="P593" s="211" t="e" cm="1">
        <f t="array" ref="P593">IF(M593&lt;&gt;0,IF(M593&lt;J593,"OK","NG"),Blank)</f>
        <v>#NAME?</v>
      </c>
      <c r="Q593" s="211" t="e" cm="1">
        <f t="array" ref="Q593">IF(H593&lt;&gt;"Stop",IF(N593&lt;&gt;0,IF(N593&lt;=K593,"OK","NG"),Blank),"-")</f>
        <v>#REF!</v>
      </c>
      <c r="R593" s="326" t="e" cm="1">
        <f t="array" ref="R593">IF(H593&lt;&gt;"Stop",IF(E593&lt;&gt;0,IF(E593&lt;=K593,"OK","NG"),Blank),"-")</f>
        <v>#REF!</v>
      </c>
    </row>
    <row r="594" spans="1:18" ht="15" x14ac:dyDescent="0.3">
      <c r="A594" s="318" t="e">
        <f>#REF!</f>
        <v>#REF!</v>
      </c>
      <c r="B594" s="305" t="e">
        <f>#REF!</f>
        <v>#REF!</v>
      </c>
      <c r="C594" s="305" t="str">
        <f>'Danh sách máy'!C589</f>
        <v>MKHC</v>
      </c>
      <c r="D594" s="90" t="e">
        <f>#REF!</f>
        <v>#REF!</v>
      </c>
      <c r="E594" s="97">
        <f>'Danh sách máy'!E589</f>
        <v>46000</v>
      </c>
      <c r="F594" s="206" t="e">
        <f>#REF!</f>
        <v>#REF!</v>
      </c>
      <c r="G594" s="102" t="e">
        <f>#REF!</f>
        <v>#REF!</v>
      </c>
      <c r="H594" s="102" t="e">
        <f>#REF!</f>
        <v>#REF!</v>
      </c>
      <c r="K594" s="210" t="e">
        <f>#REF!</f>
        <v>#REF!</v>
      </c>
      <c r="L594" s="210">
        <v>44863</v>
      </c>
      <c r="M594" s="210"/>
      <c r="N594" s="210">
        <f>'Danh sách máy'!F589</f>
        <v>46000</v>
      </c>
      <c r="O594" s="211" t="str" cm="1">
        <f t="array" ref="O594">IF(L594&lt;&gt;0,IF(L594&lt;I594,"OK","NG"),Blank)</f>
        <v>NG</v>
      </c>
      <c r="P594" s="211" t="e" cm="1">
        <f t="array" ref="P594">IF(M594&lt;&gt;0,IF(M594&lt;J594,"OK","NG"),Blank)</f>
        <v>#NAME?</v>
      </c>
      <c r="Q594" s="211" t="e" cm="1">
        <f t="array" ref="Q594">IF(H594&lt;&gt;"Stop",IF(N594&lt;&gt;0,IF(N594&lt;=K594,"OK","NG"),Blank),"-")</f>
        <v>#REF!</v>
      </c>
      <c r="R594" s="326" t="e" cm="1">
        <f t="array" ref="R594">IF(H594&lt;&gt;"Stop",IF(E594&lt;&gt;0,IF(E594&lt;=K594,"OK","NG"),Blank),"-")</f>
        <v>#REF!</v>
      </c>
    </row>
    <row r="595" spans="1:18" ht="15" hidden="1" x14ac:dyDescent="0.3">
      <c r="A595" s="318" t="e">
        <f>#REF!</f>
        <v>#REF!</v>
      </c>
      <c r="B595" s="305" t="e">
        <f>#REF!</f>
        <v>#REF!</v>
      </c>
      <c r="C595" s="305" t="str">
        <f>'Danh sách máy'!C590</f>
        <v>MKHC</v>
      </c>
      <c r="D595" s="90" t="e">
        <f>#REF!</f>
        <v>#REF!</v>
      </c>
      <c r="E595" s="97">
        <f>'Danh sách máy'!E590</f>
        <v>0</v>
      </c>
      <c r="F595" s="206" t="e">
        <f>#REF!</f>
        <v>#REF!</v>
      </c>
      <c r="G595" s="102" t="e">
        <f>#REF!</f>
        <v>#REF!</v>
      </c>
      <c r="H595" s="102" t="e">
        <f>#REF!</f>
        <v>#REF!</v>
      </c>
      <c r="K595" s="210" t="e">
        <f>#REF!</f>
        <v>#REF!</v>
      </c>
      <c r="L595" s="210">
        <v>44864</v>
      </c>
      <c r="M595" s="210"/>
      <c r="N595" s="210">
        <f>'Danh sách máy'!F590</f>
        <v>0</v>
      </c>
      <c r="O595" s="211" t="str" cm="1">
        <f t="array" ref="O595">IF(L595&lt;&gt;0,IF(L595&lt;I595,"OK","NG"),Blank)</f>
        <v>NG</v>
      </c>
      <c r="P595" s="211" t="e" cm="1">
        <f t="array" ref="P595">IF(M595&lt;&gt;0,IF(M595&lt;J595,"OK","NG"),Blank)</f>
        <v>#NAME?</v>
      </c>
      <c r="Q595" s="211" t="e" cm="1">
        <f t="array" ref="Q595">IF(H595&lt;&gt;"Stop",IF(N595&lt;&gt;0,IF(N595&lt;=K595,"OK","NG"),Blank),"-")</f>
        <v>#REF!</v>
      </c>
      <c r="R595" s="326" t="e" cm="1">
        <f t="array" ref="R595">IF(H595&lt;&gt;"Stop",IF(E595&lt;&gt;0,IF(E595&lt;=K595,"OK","NG"),Blank),"-")</f>
        <v>#REF!</v>
      </c>
    </row>
    <row r="596" spans="1:18" ht="15" x14ac:dyDescent="0.3">
      <c r="A596" s="318" t="e">
        <f>#REF!</f>
        <v>#REF!</v>
      </c>
      <c r="B596" s="305" t="e">
        <f>#REF!</f>
        <v>#REF!</v>
      </c>
      <c r="C596" s="305" t="str">
        <f>'Danh sách máy'!C591</f>
        <v>MKHC</v>
      </c>
      <c r="D596" s="90" t="e">
        <f>#REF!</f>
        <v>#REF!</v>
      </c>
      <c r="E596" s="97">
        <f>'Danh sách máy'!E591</f>
        <v>46000</v>
      </c>
      <c r="F596" s="206" t="e">
        <f>#REF!</f>
        <v>#REF!</v>
      </c>
      <c r="G596" s="102" t="e">
        <f>#REF!</f>
        <v>#REF!</v>
      </c>
      <c r="H596" s="102" t="e">
        <f>#REF!</f>
        <v>#REF!</v>
      </c>
      <c r="K596" s="210" t="e">
        <f>#REF!</f>
        <v>#REF!</v>
      </c>
      <c r="L596" s="210">
        <v>44865</v>
      </c>
      <c r="M596" s="210"/>
      <c r="N596" s="210">
        <f>'Danh sách máy'!F591</f>
        <v>46000</v>
      </c>
      <c r="O596" s="211" t="str" cm="1">
        <f t="array" ref="O596">IF(L596&lt;&gt;0,IF(L596&lt;I596,"OK","NG"),Blank)</f>
        <v>NG</v>
      </c>
      <c r="P596" s="211" t="e" cm="1">
        <f t="array" ref="P596">IF(M596&lt;&gt;0,IF(M596&lt;J596,"OK","NG"),Blank)</f>
        <v>#NAME?</v>
      </c>
      <c r="Q596" s="211" t="e" cm="1">
        <f t="array" ref="Q596">IF(H596&lt;&gt;"Stop",IF(N596&lt;&gt;0,IF(N596&lt;=K596,"OK","NG"),Blank),"-")</f>
        <v>#REF!</v>
      </c>
      <c r="R596" s="326" t="e" cm="1">
        <f t="array" ref="R596">IF(H596&lt;&gt;"Stop",IF(E596&lt;&gt;0,IF(E596&lt;=K596,"OK","NG"),Blank),"-")</f>
        <v>#REF!</v>
      </c>
    </row>
    <row r="597" spans="1:18" ht="15" x14ac:dyDescent="0.3">
      <c r="A597" s="318" t="e">
        <f>#REF!</f>
        <v>#REF!</v>
      </c>
      <c r="B597" s="305" t="e">
        <f>#REF!</f>
        <v>#REF!</v>
      </c>
      <c r="C597" s="305" t="str">
        <f>'Danh sách máy'!C592</f>
        <v>MKHC</v>
      </c>
      <c r="D597" s="90" t="e">
        <f>#REF!</f>
        <v>#REF!</v>
      </c>
      <c r="E597" s="97">
        <f>'Danh sách máy'!E592</f>
        <v>46000</v>
      </c>
      <c r="F597" s="206" t="e">
        <f>#REF!</f>
        <v>#REF!</v>
      </c>
      <c r="G597" s="102" t="e">
        <f>#REF!</f>
        <v>#REF!</v>
      </c>
      <c r="H597" s="102" t="e">
        <f>#REF!</f>
        <v>#REF!</v>
      </c>
      <c r="K597" s="210" t="e">
        <f>#REF!</f>
        <v>#REF!</v>
      </c>
      <c r="L597" s="210">
        <v>44866</v>
      </c>
      <c r="M597" s="210"/>
      <c r="N597" s="210">
        <f>'Danh sách máy'!F592</f>
        <v>46000</v>
      </c>
      <c r="O597" s="211" t="str" cm="1">
        <f t="array" ref="O597">IF(L597&lt;&gt;0,IF(L597&lt;I597,"OK","NG"),Blank)</f>
        <v>NG</v>
      </c>
      <c r="P597" s="211" t="e" cm="1">
        <f t="array" ref="P597">IF(M597&lt;&gt;0,IF(M597&lt;J597,"OK","NG"),Blank)</f>
        <v>#NAME?</v>
      </c>
      <c r="Q597" s="211" t="e" cm="1">
        <f t="array" ref="Q597">IF(H597&lt;&gt;"Stop",IF(N597&lt;&gt;0,IF(N597&lt;=K597,"OK","NG"),Blank),"-")</f>
        <v>#REF!</v>
      </c>
      <c r="R597" s="326" t="e" cm="1">
        <f t="array" ref="R597">IF(H597&lt;&gt;"Stop",IF(E597&lt;&gt;0,IF(E597&lt;=K597,"OK","NG"),Blank),"-")</f>
        <v>#REF!</v>
      </c>
    </row>
    <row r="598" spans="1:18" ht="15" x14ac:dyDescent="0.3">
      <c r="A598" s="318" t="e">
        <f>#REF!</f>
        <v>#REF!</v>
      </c>
      <c r="B598" s="305" t="e">
        <f>#REF!</f>
        <v>#REF!</v>
      </c>
      <c r="C598" s="305" t="str">
        <f>'Danh sách máy'!C593</f>
        <v>MKHC</v>
      </c>
      <c r="D598" s="90" t="e">
        <f>#REF!</f>
        <v>#REF!</v>
      </c>
      <c r="E598" s="97">
        <f>'Danh sách máy'!E593</f>
        <v>45969</v>
      </c>
      <c r="F598" s="206" t="e">
        <f>#REF!</f>
        <v>#REF!</v>
      </c>
      <c r="G598" s="102" t="e">
        <f>#REF!</f>
        <v>#REF!</v>
      </c>
      <c r="H598" s="102" t="e">
        <f>#REF!</f>
        <v>#REF!</v>
      </c>
      <c r="K598" s="210" t="e">
        <f>#REF!</f>
        <v>#REF!</v>
      </c>
      <c r="L598" s="210">
        <v>44867</v>
      </c>
      <c r="M598" s="210"/>
      <c r="N598" s="210">
        <f>'Danh sách máy'!F593</f>
        <v>45975</v>
      </c>
      <c r="O598" s="211" t="str" cm="1">
        <f t="array" ref="O598">IF(L598&lt;&gt;0,IF(L598&lt;I598,"OK","NG"),Blank)</f>
        <v>NG</v>
      </c>
      <c r="P598" s="211" t="e" cm="1">
        <f t="array" ref="P598">IF(M598&lt;&gt;0,IF(M598&lt;J598,"OK","NG"),Blank)</f>
        <v>#NAME?</v>
      </c>
      <c r="Q598" s="211" t="e" cm="1">
        <f t="array" ref="Q598">IF(H598&lt;&gt;"Stop",IF(N598&lt;&gt;0,IF(N598&lt;=K598,"OK","NG"),Blank),"-")</f>
        <v>#REF!</v>
      </c>
      <c r="R598" s="326" t="e" cm="1">
        <f t="array" ref="R598">IF(H598&lt;&gt;"Stop",IF(E598&lt;&gt;0,IF(E598&lt;=K598,"OK","NG"),Blank),"-")</f>
        <v>#REF!</v>
      </c>
    </row>
    <row r="599" spans="1:18" ht="15" x14ac:dyDescent="0.3">
      <c r="A599" s="318" t="e">
        <f>#REF!</f>
        <v>#REF!</v>
      </c>
      <c r="B599" s="305" t="e">
        <f>#REF!</f>
        <v>#REF!</v>
      </c>
      <c r="C599" s="305" t="str">
        <f>'Danh sách máy'!C594</f>
        <v>MKHC</v>
      </c>
      <c r="D599" s="90" t="e">
        <f>#REF!</f>
        <v>#REF!</v>
      </c>
      <c r="E599" s="97">
        <f>'Danh sách máy'!E594</f>
        <v>45999</v>
      </c>
      <c r="F599" s="206" t="e">
        <f>#REF!</f>
        <v>#REF!</v>
      </c>
      <c r="G599" s="102" t="e">
        <f>#REF!</f>
        <v>#REF!</v>
      </c>
      <c r="H599" s="102" t="e">
        <f>#REF!</f>
        <v>#REF!</v>
      </c>
      <c r="K599" s="210" t="e">
        <f>#REF!</f>
        <v>#REF!</v>
      </c>
      <c r="L599" s="210">
        <v>44868</v>
      </c>
      <c r="M599" s="210"/>
      <c r="N599" s="210">
        <f>'Danh sách máy'!F594</f>
        <v>46000</v>
      </c>
      <c r="O599" s="211" t="str" cm="1">
        <f t="array" ref="O599">IF(L599&lt;&gt;0,IF(L599&lt;I599,"OK","NG"),Blank)</f>
        <v>NG</v>
      </c>
      <c r="P599" s="211" t="e" cm="1">
        <f t="array" ref="P599">IF(M599&lt;&gt;0,IF(M599&lt;J599,"OK","NG"),Blank)</f>
        <v>#NAME?</v>
      </c>
      <c r="Q599" s="211" t="e" cm="1">
        <f t="array" ref="Q599">IF(H599&lt;&gt;"Stop",IF(N599&lt;&gt;0,IF(N599&lt;=K599,"OK","NG"),Blank),"-")</f>
        <v>#REF!</v>
      </c>
      <c r="R599" s="326" t="e" cm="1">
        <f t="array" ref="R599">IF(H599&lt;&gt;"Stop",IF(E599&lt;&gt;0,IF(E599&lt;=K599,"OK","NG"),Blank),"-")</f>
        <v>#REF!</v>
      </c>
    </row>
    <row r="600" spans="1:18" ht="15" x14ac:dyDescent="0.3">
      <c r="A600" s="318" t="e">
        <f>#REF!</f>
        <v>#REF!</v>
      </c>
      <c r="B600" s="305" t="e">
        <f>#REF!</f>
        <v>#REF!</v>
      </c>
      <c r="C600" s="305" t="str">
        <f>'Danh sách máy'!C595</f>
        <v>MKHC</v>
      </c>
      <c r="D600" s="90" t="e">
        <f>#REF!</f>
        <v>#REF!</v>
      </c>
      <c r="E600" s="97">
        <f>'Danh sách máy'!E595</f>
        <v>45989</v>
      </c>
      <c r="F600" s="206" t="e">
        <f>#REF!</f>
        <v>#REF!</v>
      </c>
      <c r="G600" s="102" t="e">
        <f>#REF!</f>
        <v>#REF!</v>
      </c>
      <c r="H600" s="102" t="e">
        <f>#REF!</f>
        <v>#REF!</v>
      </c>
      <c r="K600" s="210" t="e">
        <f>#REF!</f>
        <v>#REF!</v>
      </c>
      <c r="L600" s="210">
        <v>44869</v>
      </c>
      <c r="M600" s="210"/>
      <c r="N600" s="210">
        <f>'Danh sách máy'!F595</f>
        <v>45989</v>
      </c>
      <c r="O600" s="211" t="str" cm="1">
        <f t="array" ref="O600">IF(L600&lt;&gt;0,IF(L600&lt;I600,"OK","NG"),Blank)</f>
        <v>NG</v>
      </c>
      <c r="P600" s="211" t="e" cm="1">
        <f t="array" ref="P600">IF(M600&lt;&gt;0,IF(M600&lt;J600,"OK","NG"),Blank)</f>
        <v>#NAME?</v>
      </c>
      <c r="Q600" s="211" t="e" cm="1">
        <f t="array" ref="Q600">IF(H600&lt;&gt;"Stop",IF(N600&lt;&gt;0,IF(N600&lt;=K600,"OK","NG"),Blank),"-")</f>
        <v>#REF!</v>
      </c>
      <c r="R600" s="326" t="e" cm="1">
        <f t="array" ref="R600">IF(H600&lt;&gt;"Stop",IF(E600&lt;&gt;0,IF(E600&lt;=K600,"OK","NG"),Blank),"-")</f>
        <v>#REF!</v>
      </c>
    </row>
    <row r="601" spans="1:18" ht="15" x14ac:dyDescent="0.3">
      <c r="A601" s="318" t="e">
        <f>#REF!</f>
        <v>#REF!</v>
      </c>
      <c r="B601" s="305" t="e">
        <f>#REF!</f>
        <v>#REF!</v>
      </c>
      <c r="C601" s="305" t="str">
        <f>'Danh sách máy'!C596</f>
        <v>MKHC</v>
      </c>
      <c r="D601" s="90" t="e">
        <f>#REF!</f>
        <v>#REF!</v>
      </c>
      <c r="E601" s="97">
        <f>'Danh sách máy'!E596</f>
        <v>45955</v>
      </c>
      <c r="F601" s="206" t="e">
        <f>#REF!</f>
        <v>#REF!</v>
      </c>
      <c r="G601" s="102" t="e">
        <f>#REF!</f>
        <v>#REF!</v>
      </c>
      <c r="H601" s="102" t="e">
        <f>#REF!</f>
        <v>#REF!</v>
      </c>
      <c r="K601" s="210" t="e">
        <f>#REF!</f>
        <v>#REF!</v>
      </c>
      <c r="L601" s="210">
        <v>44870</v>
      </c>
      <c r="M601" s="210"/>
      <c r="N601" s="210">
        <f>'Danh sách máy'!F596</f>
        <v>45960</v>
      </c>
      <c r="O601" s="211" t="str" cm="1">
        <f t="array" ref="O601">IF(L601&lt;&gt;0,IF(L601&lt;I601,"OK","NG"),Blank)</f>
        <v>NG</v>
      </c>
      <c r="P601" s="211" t="e" cm="1">
        <f t="array" ref="P601">IF(M601&lt;&gt;0,IF(M601&lt;J601,"OK","NG"),Blank)</f>
        <v>#NAME?</v>
      </c>
      <c r="Q601" s="211" t="e" cm="1">
        <f t="array" ref="Q601">IF(H601&lt;&gt;"Stop",IF(N601&lt;&gt;0,IF(N601&lt;=K601,"OK","NG"),Blank),"-")</f>
        <v>#REF!</v>
      </c>
      <c r="R601" s="326" t="e" cm="1">
        <f t="array" ref="R601">IF(H601&lt;&gt;"Stop",IF(E601&lt;&gt;0,IF(E601&lt;=K601,"OK","NG"),Blank),"-")</f>
        <v>#REF!</v>
      </c>
    </row>
    <row r="602" spans="1:18" ht="15" x14ac:dyDescent="0.3">
      <c r="A602" s="318" t="e">
        <f>#REF!</f>
        <v>#REF!</v>
      </c>
      <c r="B602" s="305" t="e">
        <f>#REF!</f>
        <v>#REF!</v>
      </c>
      <c r="C602" s="305" t="str">
        <f>'Danh sách máy'!C597</f>
        <v>MKHC</v>
      </c>
      <c r="D602" s="90" t="e">
        <f>#REF!</f>
        <v>#REF!</v>
      </c>
      <c r="E602" s="97">
        <f>'Danh sách máy'!E597</f>
        <v>46007</v>
      </c>
      <c r="F602" s="206" t="e">
        <f>#REF!</f>
        <v>#REF!</v>
      </c>
      <c r="G602" s="102" t="e">
        <f>#REF!</f>
        <v>#REF!</v>
      </c>
      <c r="H602" s="102" t="e">
        <f>#REF!</f>
        <v>#REF!</v>
      </c>
      <c r="K602" s="210" t="e">
        <f>#REF!</f>
        <v>#REF!</v>
      </c>
      <c r="L602" s="210">
        <v>44871</v>
      </c>
      <c r="M602" s="210"/>
      <c r="N602" s="210">
        <f>'Danh sách máy'!F597</f>
        <v>46017</v>
      </c>
      <c r="O602" s="211" t="str" cm="1">
        <f t="array" ref="O602">IF(L602&lt;&gt;0,IF(L602&lt;I602,"OK","NG"),Blank)</f>
        <v>NG</v>
      </c>
      <c r="P602" s="211" t="e" cm="1">
        <f t="array" ref="P602">IF(M602&lt;&gt;0,IF(M602&lt;J602,"OK","NG"),Blank)</f>
        <v>#NAME?</v>
      </c>
      <c r="Q602" s="211" t="e" cm="1">
        <f t="array" ref="Q602">IF(H602&lt;&gt;"Stop",IF(N602&lt;&gt;0,IF(N602&lt;=K602,"OK","NG"),Blank),"-")</f>
        <v>#REF!</v>
      </c>
      <c r="R602" s="326" t="e" cm="1">
        <f t="array" ref="R602">IF(H602&lt;&gt;"Stop",IF(E602&lt;&gt;0,IF(E602&lt;=K602,"OK","NG"),Blank),"-")</f>
        <v>#REF!</v>
      </c>
    </row>
    <row r="603" spans="1:18" ht="15" x14ac:dyDescent="0.3">
      <c r="A603" s="318" t="e">
        <f>#REF!</f>
        <v>#REF!</v>
      </c>
      <c r="B603" s="305" t="e">
        <f>#REF!</f>
        <v>#REF!</v>
      </c>
      <c r="C603" s="305" t="str">
        <f>'Danh sách máy'!C598</f>
        <v>MKHC</v>
      </c>
      <c r="D603" s="90" t="e">
        <f>#REF!</f>
        <v>#REF!</v>
      </c>
      <c r="E603" s="97">
        <f>'Danh sách máy'!E598</f>
        <v>46010</v>
      </c>
      <c r="F603" s="206" t="e">
        <f>#REF!</f>
        <v>#REF!</v>
      </c>
      <c r="G603" s="102" t="e">
        <f>#REF!</f>
        <v>#REF!</v>
      </c>
      <c r="H603" s="102" t="e">
        <f>#REF!</f>
        <v>#REF!</v>
      </c>
      <c r="K603" s="210" t="e">
        <f>#REF!</f>
        <v>#REF!</v>
      </c>
      <c r="L603" s="210">
        <v>44872</v>
      </c>
      <c r="M603" s="210"/>
      <c r="N603" s="210">
        <f>'Danh sách máy'!F598</f>
        <v>46017</v>
      </c>
      <c r="O603" s="211" t="str" cm="1">
        <f t="array" ref="O603">IF(L603&lt;&gt;0,IF(L603&lt;I603,"OK","NG"),Blank)</f>
        <v>NG</v>
      </c>
      <c r="P603" s="211" t="e" cm="1">
        <f t="array" ref="P603">IF(M603&lt;&gt;0,IF(M603&lt;J603,"OK","NG"),Blank)</f>
        <v>#NAME?</v>
      </c>
      <c r="Q603" s="211" t="e" cm="1">
        <f t="array" ref="Q603">IF(H603&lt;&gt;"Stop",IF(N603&lt;&gt;0,IF(N603&lt;=K603,"OK","NG"),Blank),"-")</f>
        <v>#REF!</v>
      </c>
      <c r="R603" s="326" t="e" cm="1">
        <f t="array" ref="R603">IF(H603&lt;&gt;"Stop",IF(E603&lt;&gt;0,IF(E603&lt;=K603,"OK","NG"),Blank),"-")</f>
        <v>#REF!</v>
      </c>
    </row>
    <row r="604" spans="1:18" ht="15" x14ac:dyDescent="0.3">
      <c r="A604" s="318" t="e">
        <f>#REF!</f>
        <v>#REF!</v>
      </c>
      <c r="B604" s="305" t="e">
        <f>#REF!</f>
        <v>#REF!</v>
      </c>
      <c r="C604" s="305" t="str">
        <f>'Danh sách máy'!C599</f>
        <v>MKHC</v>
      </c>
      <c r="D604" s="90" t="e">
        <f>#REF!</f>
        <v>#REF!</v>
      </c>
      <c r="E604" s="97">
        <f>'Danh sách máy'!E599</f>
        <v>45989</v>
      </c>
      <c r="F604" s="206" t="e">
        <f>#REF!</f>
        <v>#REF!</v>
      </c>
      <c r="G604" s="102" t="e">
        <f>#REF!</f>
        <v>#REF!</v>
      </c>
      <c r="H604" s="102" t="e">
        <f>#REF!</f>
        <v>#REF!</v>
      </c>
      <c r="K604" s="210" t="e">
        <f>#REF!</f>
        <v>#REF!</v>
      </c>
      <c r="L604" s="210">
        <v>44873</v>
      </c>
      <c r="M604" s="210"/>
      <c r="N604" s="210">
        <f>'Danh sách máy'!F599</f>
        <v>45989</v>
      </c>
      <c r="O604" s="211" t="str" cm="1">
        <f t="array" ref="O604">IF(L604&lt;&gt;0,IF(L604&lt;I604,"OK","NG"),Blank)</f>
        <v>NG</v>
      </c>
      <c r="P604" s="211" t="e" cm="1">
        <f t="array" ref="P604">IF(M604&lt;&gt;0,IF(M604&lt;J604,"OK","NG"),Blank)</f>
        <v>#NAME?</v>
      </c>
      <c r="Q604" s="211" t="e" cm="1">
        <f t="array" ref="Q604">IF(H604&lt;&gt;"Stop",IF(N604&lt;&gt;0,IF(N604&lt;=K604,"OK","NG"),Blank),"-")</f>
        <v>#REF!</v>
      </c>
      <c r="R604" s="326" t="e" cm="1">
        <f t="array" ref="R604">IF(H604&lt;&gt;"Stop",IF(E604&lt;&gt;0,IF(E604&lt;=K604,"OK","NG"),Blank),"-")</f>
        <v>#REF!</v>
      </c>
    </row>
    <row r="605" spans="1:18" ht="15" x14ac:dyDescent="0.3">
      <c r="A605" s="318" t="e">
        <f>#REF!</f>
        <v>#REF!</v>
      </c>
      <c r="B605" s="305" t="e">
        <f>#REF!</f>
        <v>#REF!</v>
      </c>
      <c r="C605" s="305" t="str">
        <f>'Danh sách máy'!C600</f>
        <v>MKHC</v>
      </c>
      <c r="D605" s="90" t="e">
        <f>#REF!</f>
        <v>#REF!</v>
      </c>
      <c r="E605" s="97">
        <f>'Danh sách máy'!E600</f>
        <v>45989</v>
      </c>
      <c r="F605" s="206" t="e">
        <f>#REF!</f>
        <v>#REF!</v>
      </c>
      <c r="G605" s="102" t="e">
        <f>#REF!</f>
        <v>#REF!</v>
      </c>
      <c r="H605" s="102" t="e">
        <f>#REF!</f>
        <v>#REF!</v>
      </c>
      <c r="K605" s="210" t="e">
        <f>#REF!</f>
        <v>#REF!</v>
      </c>
      <c r="L605" s="210">
        <v>44874</v>
      </c>
      <c r="M605" s="210"/>
      <c r="N605" s="210">
        <f>'Danh sách máy'!F600</f>
        <v>45989</v>
      </c>
      <c r="O605" s="211" t="str" cm="1">
        <f t="array" ref="O605">IF(L605&lt;&gt;0,IF(L605&lt;I605,"OK","NG"),Blank)</f>
        <v>NG</v>
      </c>
      <c r="P605" s="211" t="e" cm="1">
        <f t="array" ref="P605">IF(M605&lt;&gt;0,IF(M605&lt;J605,"OK","NG"),Blank)</f>
        <v>#NAME?</v>
      </c>
      <c r="Q605" s="211" t="e" cm="1">
        <f t="array" ref="Q605">IF(H605&lt;&gt;"Stop",IF(N605&lt;&gt;0,IF(N605&lt;=K605,"OK","NG"),Blank),"-")</f>
        <v>#REF!</v>
      </c>
      <c r="R605" s="326" t="e" cm="1">
        <f t="array" ref="R605">IF(H605&lt;&gt;"Stop",IF(E605&lt;&gt;0,IF(E605&lt;=K605,"OK","NG"),Blank),"-")</f>
        <v>#REF!</v>
      </c>
    </row>
    <row r="606" spans="1:18" ht="15" x14ac:dyDescent="0.3">
      <c r="A606" s="318" t="e">
        <f>#REF!</f>
        <v>#REF!</v>
      </c>
      <c r="B606" s="305" t="e">
        <f>#REF!</f>
        <v>#REF!</v>
      </c>
      <c r="C606" s="305" t="str">
        <f>'Danh sách máy'!C601</f>
        <v>MKHC</v>
      </c>
      <c r="D606" s="90" t="e">
        <f>#REF!</f>
        <v>#REF!</v>
      </c>
      <c r="E606" s="97">
        <f>'Danh sách máy'!E601</f>
        <v>46010</v>
      </c>
      <c r="F606" s="206" t="e">
        <f>#REF!</f>
        <v>#REF!</v>
      </c>
      <c r="G606" s="102" t="e">
        <f>#REF!</f>
        <v>#REF!</v>
      </c>
      <c r="H606" s="102" t="e">
        <f>#REF!</f>
        <v>#REF!</v>
      </c>
      <c r="K606" s="210" t="e">
        <f>#REF!</f>
        <v>#REF!</v>
      </c>
      <c r="L606" s="210">
        <v>44875</v>
      </c>
      <c r="M606" s="210"/>
      <c r="N606" s="210">
        <f>'Danh sách máy'!F601</f>
        <v>46036</v>
      </c>
      <c r="O606" s="211" t="str" cm="1">
        <f t="array" ref="O606">IF(L606&lt;&gt;0,IF(L606&lt;I606,"OK","NG"),Blank)</f>
        <v>NG</v>
      </c>
      <c r="P606" s="211" t="e" cm="1">
        <f t="array" ref="P606">IF(M606&lt;&gt;0,IF(M606&lt;J606,"OK","NG"),Blank)</f>
        <v>#NAME?</v>
      </c>
      <c r="Q606" s="211" t="e" cm="1">
        <f t="array" ref="Q606">IF(H606&lt;&gt;"Stop",IF(N606&lt;&gt;0,IF(N606&lt;=K606,"OK","NG"),Blank),"-")</f>
        <v>#REF!</v>
      </c>
      <c r="R606" s="326" t="e" cm="1">
        <f t="array" ref="R606">IF(H606&lt;&gt;"Stop",IF(E606&lt;&gt;0,IF(E606&lt;=K606,"OK","NG"),Blank),"-")</f>
        <v>#REF!</v>
      </c>
    </row>
    <row r="607" spans="1:18" ht="15" x14ac:dyDescent="0.3">
      <c r="A607" s="318" t="e">
        <f>#REF!</f>
        <v>#REF!</v>
      </c>
      <c r="B607" s="305" t="e">
        <f>#REF!</f>
        <v>#REF!</v>
      </c>
      <c r="C607" s="305" t="str">
        <f>'Danh sách máy'!C602</f>
        <v>MKHC</v>
      </c>
      <c r="D607" s="90" t="e">
        <f>#REF!</f>
        <v>#REF!</v>
      </c>
      <c r="E607" s="97">
        <f>'Danh sách máy'!E602</f>
        <v>46034</v>
      </c>
      <c r="F607" s="206" t="e">
        <f>#REF!</f>
        <v>#REF!</v>
      </c>
      <c r="G607" s="102" t="e">
        <f>#REF!</f>
        <v>#REF!</v>
      </c>
      <c r="H607" s="102" t="e">
        <f>#REF!</f>
        <v>#REF!</v>
      </c>
      <c r="K607" s="210" t="e">
        <f>#REF!</f>
        <v>#REF!</v>
      </c>
      <c r="L607" s="210">
        <v>44876</v>
      </c>
      <c r="M607" s="210"/>
      <c r="N607" s="210">
        <f>'Danh sách máy'!F602</f>
        <v>46036</v>
      </c>
      <c r="O607" s="211" t="str" cm="1">
        <f t="array" ref="O607">IF(L607&lt;&gt;0,IF(L607&lt;I607,"OK","NG"),Blank)</f>
        <v>NG</v>
      </c>
      <c r="P607" s="211" t="e" cm="1">
        <f t="array" ref="P607">IF(M607&lt;&gt;0,IF(M607&lt;J607,"OK","NG"),Blank)</f>
        <v>#NAME?</v>
      </c>
      <c r="Q607" s="211" t="e" cm="1">
        <f t="array" ref="Q607">IF(H607&lt;&gt;"Stop",IF(N607&lt;&gt;0,IF(N607&lt;=K607,"OK","NG"),Blank),"-")</f>
        <v>#REF!</v>
      </c>
      <c r="R607" s="326" t="e" cm="1">
        <f t="array" ref="R607">IF(H607&lt;&gt;"Stop",IF(E607&lt;&gt;0,IF(E607&lt;=K607,"OK","NG"),Blank),"-")</f>
        <v>#REF!</v>
      </c>
    </row>
    <row r="608" spans="1:18" ht="15" x14ac:dyDescent="0.3">
      <c r="A608" s="318" t="e">
        <f>#REF!</f>
        <v>#REF!</v>
      </c>
      <c r="B608" s="305" t="e">
        <f>#REF!</f>
        <v>#REF!</v>
      </c>
      <c r="C608" s="305" t="str">
        <f>'Danh sách máy'!C603</f>
        <v>MKHC</v>
      </c>
      <c r="D608" s="90" t="e">
        <f>#REF!</f>
        <v>#REF!</v>
      </c>
      <c r="E608" s="97">
        <f>'Danh sách máy'!E603</f>
        <v>46034</v>
      </c>
      <c r="F608" s="206" t="e">
        <f>#REF!</f>
        <v>#REF!</v>
      </c>
      <c r="G608" s="102" t="e">
        <f>#REF!</f>
        <v>#REF!</v>
      </c>
      <c r="H608" s="102" t="e">
        <f>#REF!</f>
        <v>#REF!</v>
      </c>
      <c r="K608" s="210" t="e">
        <f>#REF!</f>
        <v>#REF!</v>
      </c>
      <c r="L608" s="210">
        <v>44877</v>
      </c>
      <c r="M608" s="210"/>
      <c r="N608" s="210">
        <f>'Danh sách máy'!F603</f>
        <v>46036</v>
      </c>
      <c r="O608" s="211" t="str" cm="1">
        <f t="array" ref="O608">IF(L608&lt;&gt;0,IF(L608&lt;I608,"OK","NG"),Blank)</f>
        <v>NG</v>
      </c>
      <c r="P608" s="211" t="e" cm="1">
        <f t="array" ref="P608">IF(M608&lt;&gt;0,IF(M608&lt;J608,"OK","NG"),Blank)</f>
        <v>#NAME?</v>
      </c>
      <c r="Q608" s="211" t="e" cm="1">
        <f t="array" ref="Q608">IF(H608&lt;&gt;"Stop",IF(N608&lt;&gt;0,IF(N608&lt;=K608,"OK","NG"),Blank),"-")</f>
        <v>#REF!</v>
      </c>
      <c r="R608" s="326" t="e" cm="1">
        <f t="array" ref="R608">IF(H608&lt;&gt;"Stop",IF(E608&lt;&gt;0,IF(E608&lt;=K608,"OK","NG"),Blank),"-")</f>
        <v>#REF!</v>
      </c>
    </row>
    <row r="609" spans="1:18" ht="15" x14ac:dyDescent="0.3">
      <c r="A609" s="318" t="e">
        <f>#REF!</f>
        <v>#REF!</v>
      </c>
      <c r="B609" s="305" t="e">
        <f>#REF!</f>
        <v>#REF!</v>
      </c>
      <c r="C609" s="305" t="str">
        <f>'Danh sách máy'!C604</f>
        <v>MKHC</v>
      </c>
      <c r="D609" s="90" t="e">
        <f>#REF!</f>
        <v>#REF!</v>
      </c>
      <c r="E609" s="97">
        <f>'Danh sách máy'!E604</f>
        <v>46048</v>
      </c>
      <c r="F609" s="206" t="e">
        <f>#REF!</f>
        <v>#REF!</v>
      </c>
      <c r="G609" s="102" t="e">
        <f>#REF!</f>
        <v>#REF!</v>
      </c>
      <c r="H609" s="102" t="e">
        <f>#REF!</f>
        <v>#REF!</v>
      </c>
      <c r="K609" s="210" t="e">
        <f>#REF!</f>
        <v>#REF!</v>
      </c>
      <c r="L609" s="210">
        <v>44878</v>
      </c>
      <c r="M609" s="210"/>
      <c r="N609" s="210">
        <f>'Danh sách máy'!F604</f>
        <v>46051</v>
      </c>
      <c r="O609" s="211" t="str" cm="1">
        <f t="array" ref="O609">IF(L609&lt;&gt;0,IF(L609&lt;I609,"OK","NG"),Blank)</f>
        <v>NG</v>
      </c>
      <c r="P609" s="211" t="e" cm="1">
        <f t="array" ref="P609">IF(M609&lt;&gt;0,IF(M609&lt;J609,"OK","NG"),Blank)</f>
        <v>#NAME?</v>
      </c>
      <c r="Q609" s="211" t="e" cm="1">
        <f t="array" ref="Q609">IF(H609&lt;&gt;"Stop",IF(N609&lt;&gt;0,IF(N609&lt;=K609,"OK","NG"),Blank),"-")</f>
        <v>#REF!</v>
      </c>
      <c r="R609" s="326" t="e" cm="1">
        <f t="array" ref="R609">IF(H609&lt;&gt;"Stop",IF(E609&lt;&gt;0,IF(E609&lt;=K609,"OK","NG"),Blank),"-")</f>
        <v>#REF!</v>
      </c>
    </row>
    <row r="610" spans="1:18" ht="15" x14ac:dyDescent="0.3">
      <c r="A610" s="318" t="e">
        <f>#REF!</f>
        <v>#REF!</v>
      </c>
      <c r="B610" s="305" t="e">
        <f>#REF!</f>
        <v>#REF!</v>
      </c>
      <c r="C610" s="305" t="str">
        <f>'Danh sách máy'!C605</f>
        <v>MKHC</v>
      </c>
      <c r="D610" s="90" t="e">
        <f>#REF!</f>
        <v>#REF!</v>
      </c>
      <c r="E610" s="97">
        <f>'Danh sách máy'!E605</f>
        <v>46048</v>
      </c>
      <c r="F610" s="206" t="e">
        <f>#REF!</f>
        <v>#REF!</v>
      </c>
      <c r="G610" s="102" t="e">
        <f>#REF!</f>
        <v>#REF!</v>
      </c>
      <c r="H610" s="102" t="e">
        <f>#REF!</f>
        <v>#REF!</v>
      </c>
      <c r="K610" s="210" t="e">
        <f>#REF!</f>
        <v>#REF!</v>
      </c>
      <c r="L610" s="210">
        <v>44879</v>
      </c>
      <c r="M610" s="210"/>
      <c r="N610" s="210">
        <f>'Danh sách máy'!F605</f>
        <v>46051</v>
      </c>
      <c r="O610" s="211" t="str" cm="1">
        <f t="array" ref="O610">IF(L610&lt;&gt;0,IF(L610&lt;I610,"OK","NG"),Blank)</f>
        <v>NG</v>
      </c>
      <c r="P610" s="211" t="e" cm="1">
        <f t="array" ref="P610">IF(M610&lt;&gt;0,IF(M610&lt;J610,"OK","NG"),Blank)</f>
        <v>#NAME?</v>
      </c>
      <c r="Q610" s="211" t="e" cm="1">
        <f t="array" ref="Q610">IF(H610&lt;&gt;"Stop",IF(N610&lt;&gt;0,IF(N610&lt;=K610,"OK","NG"),Blank),"-")</f>
        <v>#REF!</v>
      </c>
      <c r="R610" s="326" t="e" cm="1">
        <f t="array" ref="R610">IF(H610&lt;&gt;"Stop",IF(E610&lt;&gt;0,IF(E610&lt;=K610,"OK","NG"),Blank),"-")</f>
        <v>#REF!</v>
      </c>
    </row>
    <row r="611" spans="1:18" ht="30" x14ac:dyDescent="0.3">
      <c r="A611" s="318" t="e">
        <f>#REF!</f>
        <v>#REF!</v>
      </c>
      <c r="B611" s="305" t="e">
        <f>#REF!</f>
        <v>#REF!</v>
      </c>
      <c r="C611" s="305" t="str">
        <f>'Danh sách máy'!C606</f>
        <v>MKHC</v>
      </c>
      <c r="D611" s="90" t="e">
        <f>#REF!</f>
        <v>#REF!</v>
      </c>
      <c r="E611" s="97">
        <f>'Danh sách máy'!E606</f>
        <v>46048</v>
      </c>
      <c r="F611" s="206" t="e">
        <f>#REF!</f>
        <v>#REF!</v>
      </c>
      <c r="G611" s="102" t="e">
        <f>#REF!</f>
        <v>#REF!</v>
      </c>
      <c r="H611" s="102" t="e">
        <f>#REF!</f>
        <v>#REF!</v>
      </c>
      <c r="K611" s="210" t="e">
        <f>#REF!</f>
        <v>#REF!</v>
      </c>
      <c r="L611" s="210">
        <v>44880</v>
      </c>
      <c r="M611" s="210"/>
      <c r="N611" s="210">
        <f>'Danh sách máy'!F606</f>
        <v>46051</v>
      </c>
      <c r="O611" s="211" t="str" cm="1">
        <f t="array" ref="O611">IF(L611&lt;&gt;0,IF(L611&lt;I611,"OK","NG"),Blank)</f>
        <v>NG</v>
      </c>
      <c r="P611" s="211" t="e" cm="1">
        <f t="array" ref="P611">IF(M611&lt;&gt;0,IF(M611&lt;J611,"OK","NG"),Blank)</f>
        <v>#NAME?</v>
      </c>
      <c r="Q611" s="211" t="e" cm="1">
        <f t="array" ref="Q611">IF(H611&lt;&gt;"Stop",IF(N611&lt;&gt;0,IF(N611&lt;=K611,"OK","NG"),Blank),"-")</f>
        <v>#REF!</v>
      </c>
      <c r="R611" s="326" t="e" cm="1">
        <f t="array" ref="R611">IF(H611&lt;&gt;"Stop",IF(E611&lt;&gt;0,IF(E611&lt;=K611,"OK","NG"),Blank),"-")</f>
        <v>#REF!</v>
      </c>
    </row>
    <row r="612" spans="1:18" ht="15" x14ac:dyDescent="0.3">
      <c r="A612" s="318" t="e">
        <f>#REF!</f>
        <v>#REF!</v>
      </c>
      <c r="B612" s="305" t="e">
        <f>#REF!</f>
        <v>#REF!</v>
      </c>
      <c r="C612" s="305" t="str">
        <f>'Danh sách máy'!C607</f>
        <v>MKHC</v>
      </c>
      <c r="D612" s="90" t="e">
        <f>#REF!</f>
        <v>#REF!</v>
      </c>
      <c r="E612" s="97">
        <f>'Danh sách máy'!E607</f>
        <v>46018</v>
      </c>
      <c r="F612" s="206" t="e">
        <f>#REF!</f>
        <v>#REF!</v>
      </c>
      <c r="G612" s="102" t="e">
        <f>#REF!</f>
        <v>#REF!</v>
      </c>
      <c r="H612" s="102" t="e">
        <f>#REF!</f>
        <v>#REF!</v>
      </c>
      <c r="K612" s="210" t="e">
        <f>#REF!</f>
        <v>#REF!</v>
      </c>
      <c r="L612" s="210">
        <v>44881</v>
      </c>
      <c r="M612" s="210"/>
      <c r="N612" s="210">
        <f>'Danh sách máy'!F607</f>
        <v>46036</v>
      </c>
      <c r="O612" s="211" t="str" cm="1">
        <f t="array" ref="O612">IF(L612&lt;&gt;0,IF(L612&lt;I612,"OK","NG"),Blank)</f>
        <v>NG</v>
      </c>
      <c r="P612" s="211" t="e" cm="1">
        <f t="array" ref="P612">IF(M612&lt;&gt;0,IF(M612&lt;J612,"OK","NG"),Blank)</f>
        <v>#NAME?</v>
      </c>
      <c r="Q612" s="211" t="e" cm="1">
        <f t="array" ref="Q612">IF(H612&lt;&gt;"Stop",IF(N612&lt;&gt;0,IF(N612&lt;=K612,"OK","NG"),Blank),"-")</f>
        <v>#REF!</v>
      </c>
      <c r="R612" s="326" t="e" cm="1">
        <f t="array" ref="R612">IF(H612&lt;&gt;"Stop",IF(E612&lt;&gt;0,IF(E612&lt;=K612,"OK","NG"),Blank),"-")</f>
        <v>#REF!</v>
      </c>
    </row>
    <row r="613" spans="1:18" ht="30" x14ac:dyDescent="0.3">
      <c r="A613" s="318" t="e">
        <f>#REF!</f>
        <v>#REF!</v>
      </c>
      <c r="B613" s="305" t="e">
        <f>#REF!</f>
        <v>#REF!</v>
      </c>
      <c r="C613" s="305" t="str">
        <f>'Danh sách máy'!C608</f>
        <v>MKHC</v>
      </c>
      <c r="D613" s="90" t="e">
        <f>#REF!</f>
        <v>#REF!</v>
      </c>
      <c r="E613" s="97">
        <f>'Danh sách máy'!E608</f>
        <v>46048</v>
      </c>
      <c r="F613" s="206" t="e">
        <f>#REF!</f>
        <v>#REF!</v>
      </c>
      <c r="G613" s="102" t="e">
        <f>#REF!</f>
        <v>#REF!</v>
      </c>
      <c r="H613" s="102" t="e">
        <f>#REF!</f>
        <v>#REF!</v>
      </c>
      <c r="K613" s="210" t="e">
        <f>#REF!</f>
        <v>#REF!</v>
      </c>
      <c r="L613" s="210">
        <v>44882</v>
      </c>
      <c r="M613" s="210"/>
      <c r="N613" s="210">
        <f>'Danh sách máy'!F608</f>
        <v>46051</v>
      </c>
      <c r="O613" s="211" t="str" cm="1">
        <f t="array" ref="O613">IF(L613&lt;&gt;0,IF(L613&lt;I613,"OK","NG"),Blank)</f>
        <v>NG</v>
      </c>
      <c r="P613" s="211" t="e" cm="1">
        <f t="array" ref="P613">IF(M613&lt;&gt;0,IF(M613&lt;J613,"OK","NG"),Blank)</f>
        <v>#NAME?</v>
      </c>
      <c r="Q613" s="211" t="e" cm="1">
        <f t="array" ref="Q613">IF(H613&lt;&gt;"Stop",IF(N613&lt;&gt;0,IF(N613&lt;=K613,"OK","NG"),Blank),"-")</f>
        <v>#REF!</v>
      </c>
      <c r="R613" s="326" t="e" cm="1">
        <f t="array" ref="R613">IF(H613&lt;&gt;"Stop",IF(E613&lt;&gt;0,IF(E613&lt;=K613,"OK","NG"),Blank),"-")</f>
        <v>#REF!</v>
      </c>
    </row>
    <row r="614" spans="1:18" ht="15" x14ac:dyDescent="0.3">
      <c r="A614" s="318" t="e">
        <f>#REF!</f>
        <v>#REF!</v>
      </c>
      <c r="B614" s="305" t="e">
        <f>#REF!</f>
        <v>#REF!</v>
      </c>
      <c r="C614" s="305" t="str">
        <f>'Danh sách máy'!C609</f>
        <v>MKHC</v>
      </c>
      <c r="D614" s="90" t="e">
        <f>#REF!</f>
        <v>#REF!</v>
      </c>
      <c r="E614" s="97">
        <f>'Danh sách máy'!E609</f>
        <v>46018</v>
      </c>
      <c r="F614" s="206" t="e">
        <f>#REF!</f>
        <v>#REF!</v>
      </c>
      <c r="G614" s="102" t="e">
        <f>#REF!</f>
        <v>#REF!</v>
      </c>
      <c r="H614" s="102" t="e">
        <f>#REF!</f>
        <v>#REF!</v>
      </c>
      <c r="K614" s="210" t="e">
        <f>#REF!</f>
        <v>#REF!</v>
      </c>
      <c r="L614" s="210">
        <v>44883</v>
      </c>
      <c r="M614" s="210"/>
      <c r="N614" s="210">
        <f>'Danh sách máy'!F609</f>
        <v>46034</v>
      </c>
      <c r="O614" s="211" t="str" cm="1">
        <f t="array" ref="O614">IF(L614&lt;&gt;0,IF(L614&lt;I614,"OK","NG"),Blank)</f>
        <v>NG</v>
      </c>
      <c r="P614" s="211" t="e" cm="1">
        <f t="array" ref="P614">IF(M614&lt;&gt;0,IF(M614&lt;J614,"OK","NG"),Blank)</f>
        <v>#NAME?</v>
      </c>
      <c r="Q614" s="211" t="e" cm="1">
        <f t="array" ref="Q614">IF(H614&lt;&gt;"Stop",IF(N614&lt;&gt;0,IF(N614&lt;=K614,"OK","NG"),Blank),"-")</f>
        <v>#REF!</v>
      </c>
      <c r="R614" s="326" t="e" cm="1">
        <f t="array" ref="R614">IF(H614&lt;&gt;"Stop",IF(E614&lt;&gt;0,IF(E614&lt;=K614,"OK","NG"),Blank),"-")</f>
        <v>#REF!</v>
      </c>
    </row>
    <row r="615" spans="1:18" ht="15" x14ac:dyDescent="0.3">
      <c r="A615" s="318" t="e">
        <f>#REF!</f>
        <v>#REF!</v>
      </c>
      <c r="B615" s="305" t="e">
        <f>#REF!</f>
        <v>#REF!</v>
      </c>
      <c r="C615" s="305" t="str">
        <f>'Danh sách máy'!C610</f>
        <v>MKHC</v>
      </c>
      <c r="D615" s="90" t="e">
        <f>#REF!</f>
        <v>#REF!</v>
      </c>
      <c r="E615" s="97">
        <f>'Danh sách máy'!E610</f>
        <v>45974</v>
      </c>
      <c r="F615" s="206" t="e">
        <f>#REF!</f>
        <v>#REF!</v>
      </c>
      <c r="G615" s="102" t="e">
        <f>#REF!</f>
        <v>#REF!</v>
      </c>
      <c r="H615" s="102" t="e">
        <f>#REF!</f>
        <v>#REF!</v>
      </c>
      <c r="K615" s="210" t="e">
        <f>#REF!</f>
        <v>#REF!</v>
      </c>
      <c r="L615" s="210">
        <v>44884</v>
      </c>
      <c r="M615" s="210"/>
      <c r="N615" s="210">
        <f>'Danh sách máy'!F610</f>
        <v>45975</v>
      </c>
      <c r="O615" s="211" t="str" cm="1">
        <f t="array" ref="O615">IF(L615&lt;&gt;0,IF(L615&lt;I615,"OK","NG"),Blank)</f>
        <v>NG</v>
      </c>
      <c r="P615" s="211" t="e" cm="1">
        <f t="array" ref="P615">IF(M615&lt;&gt;0,IF(M615&lt;J615,"OK","NG"),Blank)</f>
        <v>#NAME?</v>
      </c>
      <c r="Q615" s="211" t="e" cm="1">
        <f t="array" ref="Q615">IF(H615&lt;&gt;"Stop",IF(N615&lt;&gt;0,IF(N615&lt;=K615,"OK","NG"),Blank),"-")</f>
        <v>#REF!</v>
      </c>
      <c r="R615" s="326" t="e" cm="1">
        <f t="array" ref="R615">IF(H615&lt;&gt;"Stop",IF(E615&lt;&gt;0,IF(E615&lt;=K615,"OK","NG"),Blank),"-")</f>
        <v>#REF!</v>
      </c>
    </row>
    <row r="616" spans="1:18" ht="15" x14ac:dyDescent="0.3">
      <c r="A616" s="318" t="e">
        <f>#REF!</f>
        <v>#REF!</v>
      </c>
      <c r="B616" s="305" t="e">
        <f>#REF!</f>
        <v>#REF!</v>
      </c>
      <c r="C616" s="305" t="str">
        <f>'Danh sách máy'!C611</f>
        <v>MKHC</v>
      </c>
      <c r="D616" s="90" t="e">
        <f>#REF!</f>
        <v>#REF!</v>
      </c>
      <c r="E616" s="97">
        <f>'Danh sách máy'!E611</f>
        <v>46032</v>
      </c>
      <c r="F616" s="206" t="e">
        <f>#REF!</f>
        <v>#REF!</v>
      </c>
      <c r="G616" s="102" t="e">
        <f>#REF!</f>
        <v>#REF!</v>
      </c>
      <c r="H616" s="102" t="e">
        <f>#REF!</f>
        <v>#REF!</v>
      </c>
      <c r="K616" s="210" t="e">
        <f>#REF!</f>
        <v>#REF!</v>
      </c>
      <c r="L616" s="210">
        <v>44885</v>
      </c>
      <c r="M616" s="210"/>
      <c r="N616" s="210">
        <f>'Danh sách máy'!F611</f>
        <v>46036</v>
      </c>
      <c r="O616" s="211" t="str" cm="1">
        <f t="array" ref="O616">IF(L616&lt;&gt;0,IF(L616&lt;I616,"OK","NG"),Blank)</f>
        <v>NG</v>
      </c>
      <c r="P616" s="211" t="e" cm="1">
        <f t="array" ref="P616">IF(M616&lt;&gt;0,IF(M616&lt;J616,"OK","NG"),Blank)</f>
        <v>#NAME?</v>
      </c>
      <c r="Q616" s="211" t="e" cm="1">
        <f t="array" ref="Q616">IF(H616&lt;&gt;"Stop",IF(N616&lt;&gt;0,IF(N616&lt;=K616,"OK","NG"),Blank),"-")</f>
        <v>#REF!</v>
      </c>
      <c r="R616" s="326" t="e" cm="1">
        <f t="array" ref="R616">IF(H616&lt;&gt;"Stop",IF(E616&lt;&gt;0,IF(E616&lt;=K616,"OK","NG"),Blank),"-")</f>
        <v>#REF!</v>
      </c>
    </row>
    <row r="617" spans="1:18" ht="15" x14ac:dyDescent="0.3">
      <c r="A617" s="318" t="e">
        <f>#REF!</f>
        <v>#REF!</v>
      </c>
      <c r="B617" s="305" t="e">
        <f>#REF!</f>
        <v>#REF!</v>
      </c>
      <c r="C617" s="305" t="str">
        <f>'Danh sách máy'!C612</f>
        <v>MKHC</v>
      </c>
      <c r="D617" s="90" t="e">
        <f>#REF!</f>
        <v>#REF!</v>
      </c>
      <c r="E617" s="97">
        <f>'Danh sách máy'!E612</f>
        <v>45955</v>
      </c>
      <c r="F617" s="206" t="e">
        <f>#REF!</f>
        <v>#REF!</v>
      </c>
      <c r="G617" s="102" t="e">
        <f>#REF!</f>
        <v>#REF!</v>
      </c>
      <c r="H617" s="102" t="e">
        <f>#REF!</f>
        <v>#REF!</v>
      </c>
      <c r="K617" s="210" t="e">
        <f>#REF!</f>
        <v>#REF!</v>
      </c>
      <c r="L617" s="210">
        <v>44886</v>
      </c>
      <c r="M617" s="210"/>
      <c r="N617" s="210">
        <f>'Danh sách máy'!F612</f>
        <v>45960</v>
      </c>
      <c r="O617" s="211" t="str" cm="1">
        <f t="array" ref="O617">IF(L617&lt;&gt;0,IF(L617&lt;I617,"OK","NG"),Blank)</f>
        <v>NG</v>
      </c>
      <c r="P617" s="211" t="e" cm="1">
        <f t="array" ref="P617">IF(M617&lt;&gt;0,IF(M617&lt;J617,"OK","NG"),Blank)</f>
        <v>#NAME?</v>
      </c>
      <c r="Q617" s="211" t="e" cm="1">
        <f t="array" ref="Q617">IF(H617&lt;&gt;"Stop",IF(N617&lt;&gt;0,IF(N617&lt;=K617,"OK","NG"),Blank),"-")</f>
        <v>#REF!</v>
      </c>
      <c r="R617" s="326" t="e" cm="1">
        <f t="array" ref="R617">IF(H617&lt;&gt;"Stop",IF(E617&lt;&gt;0,IF(E617&lt;=K617,"OK","NG"),Blank),"-")</f>
        <v>#REF!</v>
      </c>
    </row>
    <row r="618" spans="1:18" ht="15" x14ac:dyDescent="0.3">
      <c r="A618" s="318" t="e">
        <f>#REF!</f>
        <v>#REF!</v>
      </c>
      <c r="B618" s="305" t="e">
        <f>#REF!</f>
        <v>#REF!</v>
      </c>
      <c r="C618" s="305" t="str">
        <f>'Danh sách máy'!C613</f>
        <v>MKHC</v>
      </c>
      <c r="D618" s="90" t="e">
        <f>#REF!</f>
        <v>#REF!</v>
      </c>
      <c r="E618" s="97">
        <f>'Danh sách máy'!E613</f>
        <v>45955</v>
      </c>
      <c r="F618" s="206" t="e">
        <f>#REF!</f>
        <v>#REF!</v>
      </c>
      <c r="G618" s="102" t="e">
        <f>#REF!</f>
        <v>#REF!</v>
      </c>
      <c r="H618" s="102" t="e">
        <f>#REF!</f>
        <v>#REF!</v>
      </c>
      <c r="K618" s="210" t="e">
        <f>#REF!</f>
        <v>#REF!</v>
      </c>
      <c r="L618" s="210">
        <v>44887</v>
      </c>
      <c r="M618" s="210"/>
      <c r="N618" s="210">
        <f>'Danh sách máy'!F613</f>
        <v>45960</v>
      </c>
      <c r="O618" s="211" t="str" cm="1">
        <f t="array" ref="O618">IF(L618&lt;&gt;0,IF(L618&lt;I618,"OK","NG"),Blank)</f>
        <v>NG</v>
      </c>
      <c r="P618" s="211" t="e" cm="1">
        <f t="array" ref="P618">IF(M618&lt;&gt;0,IF(M618&lt;J618,"OK","NG"),Blank)</f>
        <v>#NAME?</v>
      </c>
      <c r="Q618" s="211" t="e" cm="1">
        <f t="array" ref="Q618">IF(H618&lt;&gt;"Stop",IF(N618&lt;&gt;0,IF(N618&lt;=K618,"OK","NG"),Blank),"-")</f>
        <v>#REF!</v>
      </c>
      <c r="R618" s="326" t="e" cm="1">
        <f t="array" ref="R618">IF(H618&lt;&gt;"Stop",IF(E618&lt;&gt;0,IF(E618&lt;=K618,"OK","NG"),Blank),"-")</f>
        <v>#REF!</v>
      </c>
    </row>
    <row r="619" spans="1:18" ht="15" x14ac:dyDescent="0.3">
      <c r="A619" s="318" t="e">
        <f>#REF!</f>
        <v>#REF!</v>
      </c>
      <c r="B619" s="305" t="e">
        <f>#REF!</f>
        <v>#REF!</v>
      </c>
      <c r="C619" s="305" t="str">
        <f>'Danh sách máy'!C614</f>
        <v>MKHC</v>
      </c>
      <c r="D619" s="90" t="e">
        <f>#REF!</f>
        <v>#REF!</v>
      </c>
      <c r="E619" s="97">
        <f>'Danh sách máy'!E614</f>
        <v>45955</v>
      </c>
      <c r="F619" s="206" t="e">
        <f>#REF!</f>
        <v>#REF!</v>
      </c>
      <c r="G619" s="102" t="e">
        <f>#REF!</f>
        <v>#REF!</v>
      </c>
      <c r="H619" s="102" t="e">
        <f>#REF!</f>
        <v>#REF!</v>
      </c>
      <c r="K619" s="210" t="e">
        <f>#REF!</f>
        <v>#REF!</v>
      </c>
      <c r="L619" s="210">
        <v>44888</v>
      </c>
      <c r="M619" s="210"/>
      <c r="N619" s="210">
        <f>'Danh sách máy'!F614</f>
        <v>45989</v>
      </c>
      <c r="O619" s="211" t="str" cm="1">
        <f t="array" ref="O619">IF(L619&lt;&gt;0,IF(L619&lt;I619,"OK","NG"),Blank)</f>
        <v>NG</v>
      </c>
      <c r="P619" s="211" t="e" cm="1">
        <f t="array" ref="P619">IF(M619&lt;&gt;0,IF(M619&lt;J619,"OK","NG"),Blank)</f>
        <v>#NAME?</v>
      </c>
      <c r="Q619" s="211" t="e" cm="1">
        <f t="array" ref="Q619">IF(H619&lt;&gt;"Stop",IF(N619&lt;&gt;0,IF(N619&lt;=K619,"OK","NG"),Blank),"-")</f>
        <v>#REF!</v>
      </c>
      <c r="R619" s="326" t="e" cm="1">
        <f t="array" ref="R619">IF(H619&lt;&gt;"Stop",IF(E619&lt;&gt;0,IF(E619&lt;=K619,"OK","NG"),Blank),"-")</f>
        <v>#REF!</v>
      </c>
    </row>
    <row r="620" spans="1:18" ht="15" x14ac:dyDescent="0.3">
      <c r="A620" s="318" t="e">
        <f>#REF!</f>
        <v>#REF!</v>
      </c>
      <c r="B620" s="305" t="e">
        <f>#REF!</f>
        <v>#REF!</v>
      </c>
      <c r="C620" s="305" t="str">
        <f>'Danh sách máy'!C615</f>
        <v>MKHC</v>
      </c>
      <c r="D620" s="90" t="e">
        <f>#REF!</f>
        <v>#REF!</v>
      </c>
      <c r="E620" s="97">
        <f>'Danh sách máy'!E615</f>
        <v>46003</v>
      </c>
      <c r="F620" s="206" t="e">
        <f>#REF!</f>
        <v>#REF!</v>
      </c>
      <c r="G620" s="102" t="e">
        <f>#REF!</f>
        <v>#REF!</v>
      </c>
      <c r="H620" s="102" t="e">
        <f>#REF!</f>
        <v>#REF!</v>
      </c>
      <c r="K620" s="210" t="e">
        <f>#REF!</f>
        <v>#REF!</v>
      </c>
      <c r="L620" s="210">
        <v>44889</v>
      </c>
      <c r="M620" s="210"/>
      <c r="N620" s="210">
        <f>'Danh sách máy'!F615</f>
        <v>46010</v>
      </c>
      <c r="O620" s="211" t="str" cm="1">
        <f t="array" ref="O620">IF(L620&lt;&gt;0,IF(L620&lt;I620,"OK","NG"),Blank)</f>
        <v>NG</v>
      </c>
      <c r="P620" s="211" t="e" cm="1">
        <f t="array" ref="P620">IF(M620&lt;&gt;0,IF(M620&lt;J620,"OK","NG"),Blank)</f>
        <v>#NAME?</v>
      </c>
      <c r="Q620" s="211" t="e" cm="1">
        <f t="array" ref="Q620">IF(H620&lt;&gt;"Stop",IF(N620&lt;&gt;0,IF(N620&lt;=K620,"OK","NG"),Blank),"-")</f>
        <v>#REF!</v>
      </c>
      <c r="R620" s="326" t="e" cm="1">
        <f t="array" ref="R620">IF(H620&lt;&gt;"Stop",IF(E620&lt;&gt;0,IF(E620&lt;=K620,"OK","NG"),Blank),"-")</f>
        <v>#REF!</v>
      </c>
    </row>
    <row r="621" spans="1:18" ht="15" x14ac:dyDescent="0.3">
      <c r="A621" s="318" t="e">
        <f>#REF!</f>
        <v>#REF!</v>
      </c>
      <c r="B621" s="305" t="e">
        <f>#REF!</f>
        <v>#REF!</v>
      </c>
      <c r="C621" s="305" t="str">
        <f>'Danh sách máy'!C616</f>
        <v>MKHC</v>
      </c>
      <c r="D621" s="90" t="e">
        <f>#REF!</f>
        <v>#REF!</v>
      </c>
      <c r="E621" s="97">
        <f>'Danh sách máy'!E616</f>
        <v>46016</v>
      </c>
      <c r="F621" s="206" t="e">
        <f>#REF!</f>
        <v>#REF!</v>
      </c>
      <c r="G621" s="102" t="e">
        <f>#REF!</f>
        <v>#REF!</v>
      </c>
      <c r="H621" s="102" t="e">
        <f>#REF!</f>
        <v>#REF!</v>
      </c>
      <c r="K621" s="210" t="e">
        <f>#REF!</f>
        <v>#REF!</v>
      </c>
      <c r="L621" s="210">
        <v>44890</v>
      </c>
      <c r="M621" s="210"/>
      <c r="N621" s="210">
        <f>'Danh sách máy'!F616</f>
        <v>46034</v>
      </c>
      <c r="O621" s="211" t="str" cm="1">
        <f t="array" ref="O621">IF(L621&lt;&gt;0,IF(L621&lt;I621,"OK","NG"),Blank)</f>
        <v>NG</v>
      </c>
      <c r="P621" s="211" t="e" cm="1">
        <f t="array" ref="P621">IF(M621&lt;&gt;0,IF(M621&lt;J621,"OK","NG"),Blank)</f>
        <v>#NAME?</v>
      </c>
      <c r="Q621" s="211" t="e" cm="1">
        <f t="array" ref="Q621">IF(H621&lt;&gt;"Stop",IF(N621&lt;&gt;0,IF(N621&lt;=K621,"OK","NG"),Blank),"-")</f>
        <v>#REF!</v>
      </c>
      <c r="R621" s="326" t="e" cm="1">
        <f t="array" ref="R621">IF(H621&lt;&gt;"Stop",IF(E621&lt;&gt;0,IF(E621&lt;=K621,"OK","NG"),Blank),"-")</f>
        <v>#REF!</v>
      </c>
    </row>
    <row r="622" spans="1:18" ht="15" x14ac:dyDescent="0.3">
      <c r="A622" s="318" t="e">
        <f>#REF!</f>
        <v>#REF!</v>
      </c>
      <c r="B622" s="305" t="e">
        <f>#REF!</f>
        <v>#REF!</v>
      </c>
      <c r="C622" s="305" t="str">
        <f>'Danh sách máy'!C617</f>
        <v>MKHC</v>
      </c>
      <c r="D622" s="90" t="e">
        <f>#REF!</f>
        <v>#REF!</v>
      </c>
      <c r="E622" s="97">
        <f>'Danh sách máy'!E617</f>
        <v>45989</v>
      </c>
      <c r="F622" s="206" t="e">
        <f>#REF!</f>
        <v>#REF!</v>
      </c>
      <c r="G622" s="102" t="e">
        <f>#REF!</f>
        <v>#REF!</v>
      </c>
      <c r="H622" s="102" t="e">
        <f>#REF!</f>
        <v>#REF!</v>
      </c>
      <c r="K622" s="210" t="e">
        <f>#REF!</f>
        <v>#REF!</v>
      </c>
      <c r="L622" s="210">
        <v>44891</v>
      </c>
      <c r="M622" s="210"/>
      <c r="N622" s="210">
        <f>'Danh sách máy'!F617</f>
        <v>45989</v>
      </c>
      <c r="O622" s="211" t="str" cm="1">
        <f t="array" ref="O622">IF(L622&lt;&gt;0,IF(L622&lt;I622,"OK","NG"),Blank)</f>
        <v>NG</v>
      </c>
      <c r="P622" s="211" t="e" cm="1">
        <f t="array" ref="P622">IF(M622&lt;&gt;0,IF(M622&lt;J622,"OK","NG"),Blank)</f>
        <v>#NAME?</v>
      </c>
      <c r="Q622" s="211" t="e" cm="1">
        <f t="array" ref="Q622">IF(H622&lt;&gt;"Stop",IF(N622&lt;&gt;0,IF(N622&lt;=K622,"OK","NG"),Blank),"-")</f>
        <v>#REF!</v>
      </c>
      <c r="R622" s="326" t="e" cm="1">
        <f t="array" ref="R622">IF(H622&lt;&gt;"Stop",IF(E622&lt;&gt;0,IF(E622&lt;=K622,"OK","NG"),Blank),"-")</f>
        <v>#REF!</v>
      </c>
    </row>
    <row r="623" spans="1:18" ht="15" x14ac:dyDescent="0.3">
      <c r="A623" s="318" t="e">
        <f>#REF!</f>
        <v>#REF!</v>
      </c>
      <c r="B623" s="305" t="e">
        <f>#REF!</f>
        <v>#REF!</v>
      </c>
      <c r="C623" s="305" t="str">
        <f>'Danh sách máy'!C618</f>
        <v>MKHC</v>
      </c>
      <c r="D623" s="90" t="e">
        <f>#REF!</f>
        <v>#REF!</v>
      </c>
      <c r="E623" s="97">
        <f>'Danh sách máy'!E618</f>
        <v>45989</v>
      </c>
      <c r="F623" s="206" t="e">
        <f>#REF!</f>
        <v>#REF!</v>
      </c>
      <c r="G623" s="102" t="e">
        <f>#REF!</f>
        <v>#REF!</v>
      </c>
      <c r="H623" s="102" t="e">
        <f>#REF!</f>
        <v>#REF!</v>
      </c>
      <c r="K623" s="210" t="e">
        <f>#REF!</f>
        <v>#REF!</v>
      </c>
      <c r="L623" s="210">
        <v>44892</v>
      </c>
      <c r="M623" s="210"/>
      <c r="N623" s="210">
        <f>'Danh sách máy'!F618</f>
        <v>45988</v>
      </c>
      <c r="O623" s="211" t="str" cm="1">
        <f t="array" ref="O623">IF(L623&lt;&gt;0,IF(L623&lt;I623,"OK","NG"),Blank)</f>
        <v>NG</v>
      </c>
      <c r="P623" s="211" t="e" cm="1">
        <f t="array" ref="P623">IF(M623&lt;&gt;0,IF(M623&lt;J623,"OK","NG"),Blank)</f>
        <v>#NAME?</v>
      </c>
      <c r="Q623" s="211" t="e" cm="1">
        <f t="array" ref="Q623">IF(H623&lt;&gt;"Stop",IF(N623&lt;&gt;0,IF(N623&lt;=K623,"OK","NG"),Blank),"-")</f>
        <v>#REF!</v>
      </c>
      <c r="R623" s="326" t="e" cm="1">
        <f t="array" ref="R623">IF(H623&lt;&gt;"Stop",IF(E623&lt;&gt;0,IF(E623&lt;=K623,"OK","NG"),Blank),"-")</f>
        <v>#REF!</v>
      </c>
    </row>
    <row r="624" spans="1:18" ht="15" x14ac:dyDescent="0.3">
      <c r="A624" s="318" t="e">
        <f>#REF!</f>
        <v>#REF!</v>
      </c>
      <c r="B624" s="305" t="e">
        <f>#REF!</f>
        <v>#REF!</v>
      </c>
      <c r="C624" s="305" t="str">
        <f>'Danh sách máy'!C619</f>
        <v>MKHC</v>
      </c>
      <c r="D624" s="90" t="e">
        <f>#REF!</f>
        <v>#REF!</v>
      </c>
      <c r="E624" s="97">
        <f>'Danh sách máy'!E619</f>
        <v>45974</v>
      </c>
      <c r="F624" s="206" t="e">
        <f>#REF!</f>
        <v>#REF!</v>
      </c>
      <c r="G624" s="102" t="e">
        <f>#REF!</f>
        <v>#REF!</v>
      </c>
      <c r="H624" s="102" t="e">
        <f>#REF!</f>
        <v>#REF!</v>
      </c>
      <c r="K624" s="210" t="e">
        <f>#REF!</f>
        <v>#REF!</v>
      </c>
      <c r="L624" s="210">
        <v>44893</v>
      </c>
      <c r="M624" s="210"/>
      <c r="N624" s="210">
        <f>'Danh sách máy'!F619</f>
        <v>45975</v>
      </c>
      <c r="O624" s="211" t="str" cm="1">
        <f t="array" ref="O624">IF(L624&lt;&gt;0,IF(L624&lt;I624,"OK","NG"),Blank)</f>
        <v>NG</v>
      </c>
      <c r="P624" s="211" t="e" cm="1">
        <f t="array" ref="P624">IF(M624&lt;&gt;0,IF(M624&lt;J624,"OK","NG"),Blank)</f>
        <v>#NAME?</v>
      </c>
      <c r="Q624" s="211" t="e" cm="1">
        <f t="array" ref="Q624">IF(H624&lt;&gt;"Stop",IF(N624&lt;&gt;0,IF(N624&lt;=K624,"OK","NG"),Blank),"-")</f>
        <v>#REF!</v>
      </c>
      <c r="R624" s="326" t="e" cm="1">
        <f t="array" ref="R624">IF(H624&lt;&gt;"Stop",IF(E624&lt;&gt;0,IF(E624&lt;=K624,"OK","NG"),Blank),"-")</f>
        <v>#REF!</v>
      </c>
    </row>
    <row r="625" spans="1:18" ht="15" x14ac:dyDescent="0.3">
      <c r="A625" s="318" t="e">
        <f>#REF!</f>
        <v>#REF!</v>
      </c>
      <c r="B625" s="305" t="e">
        <f>#REF!</f>
        <v>#REF!</v>
      </c>
      <c r="C625" s="305" t="str">
        <f>'Danh sách máy'!C620</f>
        <v>MKHC</v>
      </c>
      <c r="D625" s="90" t="e">
        <f>#REF!</f>
        <v>#REF!</v>
      </c>
      <c r="E625" s="97">
        <f>'Danh sách máy'!E620</f>
        <v>45975</v>
      </c>
      <c r="F625" s="206" t="e">
        <f>#REF!</f>
        <v>#REF!</v>
      </c>
      <c r="G625" s="102" t="e">
        <f>#REF!</f>
        <v>#REF!</v>
      </c>
      <c r="H625" s="102" t="e">
        <f>#REF!</f>
        <v>#REF!</v>
      </c>
      <c r="K625" s="210" t="e">
        <f>#REF!</f>
        <v>#REF!</v>
      </c>
      <c r="L625" s="210">
        <v>44894</v>
      </c>
      <c r="M625" s="210"/>
      <c r="N625" s="210">
        <f>'Danh sách máy'!F620</f>
        <v>45975</v>
      </c>
      <c r="O625" s="211" t="str" cm="1">
        <f t="array" ref="O625">IF(L625&lt;&gt;0,IF(L625&lt;I625,"OK","NG"),Blank)</f>
        <v>NG</v>
      </c>
      <c r="P625" s="211" t="e" cm="1">
        <f t="array" ref="P625">IF(M625&lt;&gt;0,IF(M625&lt;J625,"OK","NG"),Blank)</f>
        <v>#NAME?</v>
      </c>
      <c r="Q625" s="211" t="e" cm="1">
        <f t="array" ref="Q625">IF(H625&lt;&gt;"Stop",IF(N625&lt;&gt;0,IF(N625&lt;=K625,"OK","NG"),Blank),"-")</f>
        <v>#REF!</v>
      </c>
      <c r="R625" s="326" t="e" cm="1">
        <f t="array" ref="R625">IF(H625&lt;&gt;"Stop",IF(E625&lt;&gt;0,IF(E625&lt;=K625,"OK","NG"),Blank),"-")</f>
        <v>#REF!</v>
      </c>
    </row>
    <row r="626" spans="1:18" ht="30" hidden="1" x14ac:dyDescent="0.3">
      <c r="A626" s="318" t="e">
        <f>#REF!</f>
        <v>#REF!</v>
      </c>
      <c r="B626" s="305" t="e">
        <f>#REF!</f>
        <v>#REF!</v>
      </c>
      <c r="C626" s="305" t="str">
        <f>'Danh sách máy'!C621</f>
        <v>Fact.4</v>
      </c>
      <c r="D626" s="90" t="e">
        <f>#REF!</f>
        <v>#REF!</v>
      </c>
      <c r="E626" s="97">
        <f>'Danh sách máy'!E621</f>
        <v>45888</v>
      </c>
      <c r="F626" s="206" t="e">
        <f>#REF!</f>
        <v>#REF!</v>
      </c>
      <c r="G626" s="102" t="e">
        <f>#REF!</f>
        <v>#REF!</v>
      </c>
      <c r="H626" s="102" t="e">
        <f>#REF!</f>
        <v>#REF!</v>
      </c>
      <c r="K626" s="210" t="e">
        <f>#REF!</f>
        <v>#REF!</v>
      </c>
      <c r="L626" s="210">
        <v>44895</v>
      </c>
      <c r="M626" s="210"/>
      <c r="N626" s="210">
        <f>'Danh sách máy'!F621</f>
        <v>0</v>
      </c>
      <c r="O626" s="211" t="str" cm="1">
        <f t="array" ref="O626">IF(L626&lt;&gt;0,IF(L626&lt;I626,"OK","NG"),Blank)</f>
        <v>NG</v>
      </c>
      <c r="P626" s="211" t="e" cm="1">
        <f t="array" ref="P626">IF(M626&lt;&gt;0,IF(M626&lt;J626,"OK","NG"),Blank)</f>
        <v>#NAME?</v>
      </c>
      <c r="Q626" s="211" t="e" cm="1">
        <f t="array" ref="Q626">IF(H626&lt;&gt;"Stop",IF(N626&lt;&gt;0,IF(N626&lt;=K626,"OK","NG"),Blank),"-")</f>
        <v>#REF!</v>
      </c>
      <c r="R626" s="326" t="e" cm="1">
        <f t="array" ref="R626">IF(H626&lt;&gt;"Stop",IF(E626&lt;&gt;0,IF(E626&lt;=K626,"OK","NG"),Blank),"-")</f>
        <v>#REF!</v>
      </c>
    </row>
    <row r="627" spans="1:18" ht="30" hidden="1" x14ac:dyDescent="0.3">
      <c r="A627" s="318" t="e">
        <f>#REF!</f>
        <v>#REF!</v>
      </c>
      <c r="B627" s="305" t="e">
        <f>#REF!</f>
        <v>#REF!</v>
      </c>
      <c r="C627" s="305" t="str">
        <f>'Danh sách máy'!C622</f>
        <v>Fact.4</v>
      </c>
      <c r="D627" s="90" t="e">
        <f>#REF!</f>
        <v>#REF!</v>
      </c>
      <c r="E627" s="97">
        <f>'Danh sách máy'!E622</f>
        <v>45888</v>
      </c>
      <c r="F627" s="206" t="e">
        <f>#REF!</f>
        <v>#REF!</v>
      </c>
      <c r="G627" s="102" t="e">
        <f>#REF!</f>
        <v>#REF!</v>
      </c>
      <c r="H627" s="102" t="e">
        <f>#REF!</f>
        <v>#REF!</v>
      </c>
      <c r="K627" s="210" t="e">
        <f>#REF!</f>
        <v>#REF!</v>
      </c>
      <c r="L627" s="210">
        <v>44896</v>
      </c>
      <c r="M627" s="210"/>
      <c r="N627" s="210">
        <f>'Danh sách máy'!F622</f>
        <v>0</v>
      </c>
      <c r="O627" s="211" t="str" cm="1">
        <f t="array" ref="O627">IF(L627&lt;&gt;0,IF(L627&lt;I627,"OK","NG"),Blank)</f>
        <v>NG</v>
      </c>
      <c r="P627" s="211" t="e" cm="1">
        <f t="array" ref="P627">IF(M627&lt;&gt;0,IF(M627&lt;J627,"OK","NG"),Blank)</f>
        <v>#NAME?</v>
      </c>
      <c r="Q627" s="211" t="e" cm="1">
        <f t="array" ref="Q627">IF(H627&lt;&gt;"Stop",IF(N627&lt;&gt;0,IF(N627&lt;=K627,"OK","NG"),Blank),"-")</f>
        <v>#REF!</v>
      </c>
      <c r="R627" s="326" t="e" cm="1">
        <f t="array" ref="R627">IF(H627&lt;&gt;"Stop",IF(E627&lt;&gt;0,IF(E627&lt;=K627,"OK","NG"),Blank),"-")</f>
        <v>#REF!</v>
      </c>
    </row>
    <row r="628" spans="1:18" ht="30" hidden="1" x14ac:dyDescent="0.3">
      <c r="A628" s="318" t="e">
        <f>#REF!</f>
        <v>#REF!</v>
      </c>
      <c r="B628" s="305" t="e">
        <f>#REF!</f>
        <v>#REF!</v>
      </c>
      <c r="C628" s="305" t="str">
        <f>'Danh sách máy'!C623</f>
        <v>Fact.4</v>
      </c>
      <c r="D628" s="90" t="e">
        <f>#REF!</f>
        <v>#REF!</v>
      </c>
      <c r="E628" s="97">
        <f>'Danh sách máy'!E623</f>
        <v>45888</v>
      </c>
      <c r="F628" s="206" t="e">
        <f>#REF!</f>
        <v>#REF!</v>
      </c>
      <c r="G628" s="102" t="e">
        <f>#REF!</f>
        <v>#REF!</v>
      </c>
      <c r="H628" s="102" t="e">
        <f>#REF!</f>
        <v>#REF!</v>
      </c>
      <c r="K628" s="210" t="e">
        <f>#REF!</f>
        <v>#REF!</v>
      </c>
      <c r="L628" s="210">
        <v>44897</v>
      </c>
      <c r="M628" s="210"/>
      <c r="N628" s="210">
        <f>'Danh sách máy'!F623</f>
        <v>0</v>
      </c>
      <c r="O628" s="211" t="str" cm="1">
        <f t="array" ref="O628">IF(L628&lt;&gt;0,IF(L628&lt;I628,"OK","NG"),Blank)</f>
        <v>NG</v>
      </c>
      <c r="P628" s="211" t="e" cm="1">
        <f t="array" ref="P628">IF(M628&lt;&gt;0,IF(M628&lt;J628,"OK","NG"),Blank)</f>
        <v>#NAME?</v>
      </c>
      <c r="Q628" s="211" t="e" cm="1">
        <f t="array" ref="Q628">IF(H628&lt;&gt;"Stop",IF(N628&lt;&gt;0,IF(N628&lt;=K628,"OK","NG"),Blank),"-")</f>
        <v>#REF!</v>
      </c>
      <c r="R628" s="326" t="e" cm="1">
        <f t="array" ref="R628">IF(H628&lt;&gt;"Stop",IF(E628&lt;&gt;0,IF(E628&lt;=K628,"OK","NG"),Blank),"-")</f>
        <v>#REF!</v>
      </c>
    </row>
    <row r="629" spans="1:18" ht="15" x14ac:dyDescent="0.3">
      <c r="A629" s="318" t="e">
        <f>#REF!</f>
        <v>#REF!</v>
      </c>
      <c r="B629" s="305" t="e">
        <f>#REF!</f>
        <v>#REF!</v>
      </c>
      <c r="C629" s="305" t="str">
        <f>'Danh sách máy'!C624</f>
        <v>MKHC</v>
      </c>
      <c r="D629" s="90" t="e">
        <f>#REF!</f>
        <v>#REF!</v>
      </c>
      <c r="E629" s="97">
        <f>'Danh sách máy'!E624</f>
        <v>45853</v>
      </c>
      <c r="F629" s="206" t="e">
        <f>#REF!</f>
        <v>#REF!</v>
      </c>
      <c r="G629" s="102" t="e">
        <f>#REF!</f>
        <v>#REF!</v>
      </c>
      <c r="H629" s="102" t="e">
        <f>#REF!</f>
        <v>#REF!</v>
      </c>
      <c r="K629" s="210" t="e">
        <f>#REF!</f>
        <v>#REF!</v>
      </c>
      <c r="L629" s="210">
        <v>44898</v>
      </c>
      <c r="M629" s="210"/>
      <c r="N629" s="210">
        <f>'Danh sách máy'!F624</f>
        <v>45855</v>
      </c>
      <c r="O629" s="211" t="str" cm="1">
        <f t="array" ref="O629">IF(L629&lt;&gt;0,IF(L629&lt;I629,"OK","NG"),Blank)</f>
        <v>NG</v>
      </c>
      <c r="P629" s="211" t="e" cm="1">
        <f t="array" ref="P629">IF(M629&lt;&gt;0,IF(M629&lt;J629,"OK","NG"),Blank)</f>
        <v>#NAME?</v>
      </c>
      <c r="Q629" s="211" t="e" cm="1">
        <f t="array" ref="Q629">IF(H629&lt;&gt;"Stop",IF(N629&lt;&gt;0,IF(N629&lt;=K629,"OK","NG"),Blank),"-")</f>
        <v>#REF!</v>
      </c>
      <c r="R629" s="326" t="e" cm="1">
        <f t="array" ref="R629">IF(H629&lt;&gt;"Stop",IF(E629&lt;&gt;0,IF(E629&lt;=K629,"OK","NG"),Blank),"-")</f>
        <v>#REF!</v>
      </c>
    </row>
    <row r="630" spans="1:18" ht="15" x14ac:dyDescent="0.3">
      <c r="A630" s="318" t="e">
        <f>#REF!</f>
        <v>#REF!</v>
      </c>
      <c r="B630" s="305" t="e">
        <f>#REF!</f>
        <v>#REF!</v>
      </c>
      <c r="C630" s="305" t="str">
        <f>'Danh sách máy'!C625</f>
        <v>MKHC</v>
      </c>
      <c r="D630" s="90" t="e">
        <f>#REF!</f>
        <v>#REF!</v>
      </c>
      <c r="E630" s="97">
        <f>'Danh sách máy'!E625</f>
        <v>45853</v>
      </c>
      <c r="F630" s="206" t="e">
        <f>#REF!</f>
        <v>#REF!</v>
      </c>
      <c r="G630" s="102" t="e">
        <f>#REF!</f>
        <v>#REF!</v>
      </c>
      <c r="H630" s="102" t="e">
        <f>#REF!</f>
        <v>#REF!</v>
      </c>
      <c r="K630" s="210" t="e">
        <f>#REF!</f>
        <v>#REF!</v>
      </c>
      <c r="L630" s="210">
        <v>44899</v>
      </c>
      <c r="M630" s="210"/>
      <c r="N630" s="210">
        <f>'Danh sách máy'!F625</f>
        <v>45855</v>
      </c>
      <c r="O630" s="211" t="str" cm="1">
        <f t="array" ref="O630">IF(L630&lt;&gt;0,IF(L630&lt;I630,"OK","NG"),Blank)</f>
        <v>NG</v>
      </c>
      <c r="P630" s="211" t="e" cm="1">
        <f t="array" ref="P630">IF(M630&lt;&gt;0,IF(M630&lt;J630,"OK","NG"),Blank)</f>
        <v>#NAME?</v>
      </c>
      <c r="Q630" s="211" t="e" cm="1">
        <f t="array" ref="Q630">IF(H630&lt;&gt;"Stop",IF(N630&lt;&gt;0,IF(N630&lt;=K630,"OK","NG"),Blank),"-")</f>
        <v>#REF!</v>
      </c>
      <c r="R630" s="326" t="e" cm="1">
        <f t="array" ref="R630">IF(H630&lt;&gt;"Stop",IF(E630&lt;&gt;0,IF(E630&lt;=K630,"OK","NG"),Blank),"-")</f>
        <v>#REF!</v>
      </c>
    </row>
    <row r="631" spans="1:18" ht="15" hidden="1" x14ac:dyDescent="0.3">
      <c r="A631" s="318" t="e">
        <f>#REF!</f>
        <v>#REF!</v>
      </c>
      <c r="B631" s="305" t="e">
        <f>#REF!</f>
        <v>#REF!</v>
      </c>
      <c r="C631" s="305" t="str">
        <f>'Danh sách máy'!C626</f>
        <v>MKHC</v>
      </c>
      <c r="D631" s="90" t="e">
        <f>#REF!</f>
        <v>#REF!</v>
      </c>
      <c r="E631" s="97">
        <f>'Danh sách máy'!E626</f>
        <v>0</v>
      </c>
      <c r="F631" s="206" t="e">
        <f>#REF!</f>
        <v>#REF!</v>
      </c>
      <c r="G631" s="102" t="e">
        <f>#REF!</f>
        <v>#REF!</v>
      </c>
      <c r="H631" s="102" t="e">
        <f>#REF!</f>
        <v>#REF!</v>
      </c>
      <c r="K631" s="210" t="e">
        <f>#REF!</f>
        <v>#REF!</v>
      </c>
      <c r="L631" s="210">
        <v>44900</v>
      </c>
      <c r="M631" s="210"/>
      <c r="N631" s="210">
        <f>'Danh sách máy'!F626</f>
        <v>0</v>
      </c>
      <c r="O631" s="211" t="str" cm="1">
        <f t="array" ref="O631">IF(L631&lt;&gt;0,IF(L631&lt;I631,"OK","NG"),Blank)</f>
        <v>NG</v>
      </c>
      <c r="P631" s="211" t="e" cm="1">
        <f t="array" ref="P631">IF(M631&lt;&gt;0,IF(M631&lt;J631,"OK","NG"),Blank)</f>
        <v>#NAME?</v>
      </c>
      <c r="Q631" s="211" t="e" cm="1">
        <f t="array" ref="Q631">IF(H631&lt;&gt;"Stop",IF(N631&lt;&gt;0,IF(N631&lt;=K631,"OK","NG"),Blank),"-")</f>
        <v>#REF!</v>
      </c>
      <c r="R631" s="326" t="e" cm="1">
        <f t="array" ref="R631">IF(H631&lt;&gt;"Stop",IF(E631&lt;&gt;0,IF(E631&lt;=K631,"OK","NG"),Blank),"-")</f>
        <v>#REF!</v>
      </c>
    </row>
    <row r="632" spans="1:18" ht="15" hidden="1" x14ac:dyDescent="0.3">
      <c r="A632" s="318" t="e">
        <f>#REF!</f>
        <v>#REF!</v>
      </c>
      <c r="B632" s="305" t="e">
        <f>#REF!</f>
        <v>#REF!</v>
      </c>
      <c r="C632" s="305" t="str">
        <f>'Danh sách máy'!C627</f>
        <v>MKHC</v>
      </c>
      <c r="D632" s="90" t="e">
        <f>#REF!</f>
        <v>#REF!</v>
      </c>
      <c r="E632" s="97">
        <f>'Danh sách máy'!E627</f>
        <v>0</v>
      </c>
      <c r="F632" s="206" t="e">
        <f>#REF!</f>
        <v>#REF!</v>
      </c>
      <c r="G632" s="102" t="e">
        <f>#REF!</f>
        <v>#REF!</v>
      </c>
      <c r="H632" s="102" t="e">
        <f>#REF!</f>
        <v>#REF!</v>
      </c>
      <c r="K632" s="210" t="e">
        <f>#REF!</f>
        <v>#REF!</v>
      </c>
      <c r="L632" s="210">
        <v>44901</v>
      </c>
      <c r="M632" s="210"/>
      <c r="N632" s="210">
        <f>'Danh sách máy'!F627</f>
        <v>0</v>
      </c>
      <c r="O632" s="211" t="str" cm="1">
        <f t="array" ref="O632">IF(L632&lt;&gt;0,IF(L632&lt;I632,"OK","NG"),Blank)</f>
        <v>NG</v>
      </c>
      <c r="P632" s="211" t="e" cm="1">
        <f t="array" ref="P632">IF(M632&lt;&gt;0,IF(M632&lt;J632,"OK","NG"),Blank)</f>
        <v>#NAME?</v>
      </c>
      <c r="Q632" s="211" t="e" cm="1">
        <f t="array" ref="Q632">IF(H632&lt;&gt;"Stop",IF(N632&lt;&gt;0,IF(N632&lt;=K632,"OK","NG"),Blank),"-")</f>
        <v>#REF!</v>
      </c>
      <c r="R632" s="326" t="e" cm="1">
        <f t="array" ref="R632">IF(H632&lt;&gt;"Stop",IF(E632&lt;&gt;0,IF(E632&lt;=K632,"OK","NG"),Blank),"-")</f>
        <v>#REF!</v>
      </c>
    </row>
    <row r="633" spans="1:18" ht="15" hidden="1" x14ac:dyDescent="0.3">
      <c r="A633" s="318" t="e">
        <f>#REF!</f>
        <v>#REF!</v>
      </c>
      <c r="B633" s="305" t="e">
        <f>#REF!</f>
        <v>#REF!</v>
      </c>
      <c r="C633" s="305" t="str">
        <f>'Danh sách máy'!C628</f>
        <v>MKHC</v>
      </c>
      <c r="D633" s="90" t="e">
        <f>#REF!</f>
        <v>#REF!</v>
      </c>
      <c r="E633" s="97">
        <f>'Danh sách máy'!E628</f>
        <v>0</v>
      </c>
      <c r="F633" s="206" t="e">
        <f>#REF!</f>
        <v>#REF!</v>
      </c>
      <c r="G633" s="102" t="e">
        <f>#REF!</f>
        <v>#REF!</v>
      </c>
      <c r="H633" s="102" t="e">
        <f>#REF!</f>
        <v>#REF!</v>
      </c>
      <c r="K633" s="210" t="e">
        <f>#REF!</f>
        <v>#REF!</v>
      </c>
      <c r="L633" s="210">
        <v>44902</v>
      </c>
      <c r="M633" s="210"/>
      <c r="N633" s="210">
        <f>'Danh sách máy'!F628</f>
        <v>0</v>
      </c>
      <c r="O633" s="211" t="str" cm="1">
        <f t="array" ref="O633">IF(L633&lt;&gt;0,IF(L633&lt;I633,"OK","NG"),Blank)</f>
        <v>NG</v>
      </c>
      <c r="P633" s="211" t="e" cm="1">
        <f t="array" ref="P633">IF(M633&lt;&gt;0,IF(M633&lt;J633,"OK","NG"),Blank)</f>
        <v>#NAME?</v>
      </c>
      <c r="Q633" s="211" t="e" cm="1">
        <f t="array" ref="Q633">IF(H633&lt;&gt;"Stop",IF(N633&lt;&gt;0,IF(N633&lt;=K633,"OK","NG"),Blank),"-")</f>
        <v>#REF!</v>
      </c>
      <c r="R633" s="326" t="e" cm="1">
        <f t="array" ref="R633">IF(H633&lt;&gt;"Stop",IF(E633&lt;&gt;0,IF(E633&lt;=K633,"OK","NG"),Blank),"-")</f>
        <v>#REF!</v>
      </c>
    </row>
    <row r="634" spans="1:18" ht="30" x14ac:dyDescent="0.3">
      <c r="A634" s="318" t="e">
        <f>#REF!</f>
        <v>#REF!</v>
      </c>
      <c r="B634" s="305" t="e">
        <f>#REF!</f>
        <v>#REF!</v>
      </c>
      <c r="C634" s="305" t="str">
        <f>'Danh sách máy'!C629</f>
        <v>MKHC</v>
      </c>
      <c r="D634" s="90" t="e">
        <f>#REF!</f>
        <v>#REF!</v>
      </c>
      <c r="E634" s="97">
        <f>'Danh sách máy'!E629</f>
        <v>45866</v>
      </c>
      <c r="F634" s="206" t="e">
        <f>#REF!</f>
        <v>#REF!</v>
      </c>
      <c r="G634" s="102" t="e">
        <f>#REF!</f>
        <v>#REF!</v>
      </c>
      <c r="H634" s="102" t="e">
        <f>#REF!</f>
        <v>#REF!</v>
      </c>
      <c r="K634" s="210" t="e">
        <f>#REF!</f>
        <v>#REF!</v>
      </c>
      <c r="L634" s="210">
        <v>44903</v>
      </c>
      <c r="M634" s="210"/>
      <c r="N634" s="210">
        <f>'Danh sách máy'!F629</f>
        <v>45866</v>
      </c>
      <c r="O634" s="211" t="str" cm="1">
        <f t="array" ref="O634">IF(L634&lt;&gt;0,IF(L634&lt;I634,"OK","NG"),Blank)</f>
        <v>NG</v>
      </c>
      <c r="P634" s="211" t="e" cm="1">
        <f t="array" ref="P634">IF(M634&lt;&gt;0,IF(M634&lt;J634,"OK","NG"),Blank)</f>
        <v>#NAME?</v>
      </c>
      <c r="Q634" s="211" t="e" cm="1">
        <f t="array" ref="Q634">IF(H634&lt;&gt;"Stop",IF(N634&lt;&gt;0,IF(N634&lt;=K634,"OK","NG"),Blank),"-")</f>
        <v>#REF!</v>
      </c>
      <c r="R634" s="326" t="e" cm="1">
        <f t="array" ref="R634">IF(H634&lt;&gt;"Stop",IF(E634&lt;&gt;0,IF(E634&lt;=K634,"OK","NG"),Blank),"-")</f>
        <v>#REF!</v>
      </c>
    </row>
    <row r="635" spans="1:18" ht="30" x14ac:dyDescent="0.3">
      <c r="A635" s="318" t="e">
        <f>#REF!</f>
        <v>#REF!</v>
      </c>
      <c r="B635" s="305" t="e">
        <f>#REF!</f>
        <v>#REF!</v>
      </c>
      <c r="C635" s="305" t="str">
        <f>'Danh sách máy'!C630</f>
        <v>MKHC</v>
      </c>
      <c r="D635" s="90" t="e">
        <f>#REF!</f>
        <v>#REF!</v>
      </c>
      <c r="E635" s="97">
        <f>'Danh sách máy'!E630</f>
        <v>46020</v>
      </c>
      <c r="F635" s="206" t="e">
        <f>#REF!</f>
        <v>#REF!</v>
      </c>
      <c r="G635" s="102" t="e">
        <f>#REF!</f>
        <v>#REF!</v>
      </c>
      <c r="H635" s="102" t="e">
        <f>#REF!</f>
        <v>#REF!</v>
      </c>
      <c r="K635" s="210" t="e">
        <f>#REF!</f>
        <v>#REF!</v>
      </c>
      <c r="L635" s="210">
        <v>44904</v>
      </c>
      <c r="M635" s="210"/>
      <c r="N635" s="210">
        <f>'Danh sách máy'!F630</f>
        <v>46034</v>
      </c>
      <c r="O635" s="211" t="str" cm="1">
        <f t="array" ref="O635">IF(L635&lt;&gt;0,IF(L635&lt;I635,"OK","NG"),Blank)</f>
        <v>NG</v>
      </c>
      <c r="P635" s="211" t="e" cm="1">
        <f t="array" ref="P635">IF(M635&lt;&gt;0,IF(M635&lt;J635,"OK","NG"),Blank)</f>
        <v>#NAME?</v>
      </c>
      <c r="Q635" s="211" t="e" cm="1">
        <f t="array" ref="Q635">IF(H635&lt;&gt;"Stop",IF(N635&lt;&gt;0,IF(N635&lt;=K635,"OK","NG"),Blank),"-")</f>
        <v>#REF!</v>
      </c>
      <c r="R635" s="326" t="e" cm="1">
        <f t="array" ref="R635">IF(H635&lt;&gt;"Stop",IF(E635&lt;&gt;0,IF(E635&lt;=K635,"OK","NG"),Blank),"-")</f>
        <v>#REF!</v>
      </c>
    </row>
    <row r="636" spans="1:18" ht="15" hidden="1" x14ac:dyDescent="0.3">
      <c r="A636" s="318" t="e">
        <f>#REF!</f>
        <v>#REF!</v>
      </c>
      <c r="B636" s="305" t="e">
        <f>#REF!</f>
        <v>#REF!</v>
      </c>
      <c r="C636" s="305" t="str">
        <f>'Danh sách máy'!C631</f>
        <v>MKHC</v>
      </c>
      <c r="D636" s="90" t="e">
        <f>#REF!</f>
        <v>#REF!</v>
      </c>
      <c r="E636" s="97">
        <f>'Danh sách máy'!E631</f>
        <v>46165</v>
      </c>
      <c r="F636" s="206" t="e">
        <f>#REF!</f>
        <v>#REF!</v>
      </c>
      <c r="G636" s="102" t="e">
        <f>#REF!</f>
        <v>#REF!</v>
      </c>
      <c r="H636" s="102" t="e">
        <f>#REF!</f>
        <v>#REF!</v>
      </c>
      <c r="K636" s="210" t="e">
        <f>#REF!</f>
        <v>#REF!</v>
      </c>
      <c r="L636" s="210">
        <v>44905</v>
      </c>
      <c r="M636" s="210"/>
      <c r="N636" s="210">
        <f>'Danh sách máy'!F631</f>
        <v>46168</v>
      </c>
      <c r="O636" s="211" t="str" cm="1">
        <f t="array" ref="O636">IF(L636&lt;&gt;0,IF(L636&lt;I636,"OK","NG"),Blank)</f>
        <v>NG</v>
      </c>
      <c r="P636" s="211" t="e" cm="1">
        <f t="array" ref="P636">IF(M636&lt;&gt;0,IF(M636&lt;J636,"OK","NG"),Blank)</f>
        <v>#NAME?</v>
      </c>
      <c r="Q636" s="211" t="e" cm="1">
        <f t="array" ref="Q636">IF(H636&lt;&gt;"Stop",IF(N636&lt;&gt;0,IF(N636&lt;=K636,"OK","NG"),Blank),"-")</f>
        <v>#REF!</v>
      </c>
      <c r="R636" s="326" t="e" cm="1">
        <f t="array" ref="R636">IF(H636&lt;&gt;"Stop",IF(E636&lt;&gt;0,IF(E636&lt;=K636,"OK","NG"),Blank),"-")</f>
        <v>#REF!</v>
      </c>
    </row>
    <row r="637" spans="1:18" ht="15" hidden="1" x14ac:dyDescent="0.3">
      <c r="A637" s="318" t="e">
        <f>#REF!</f>
        <v>#REF!</v>
      </c>
      <c r="B637" s="305" t="e">
        <f>#REF!</f>
        <v>#REF!</v>
      </c>
      <c r="C637" s="305" t="str">
        <f>'Danh sách máy'!C632</f>
        <v>MKHC</v>
      </c>
      <c r="D637" s="90" t="e">
        <f>#REF!</f>
        <v>#REF!</v>
      </c>
      <c r="E637" s="97">
        <f>'Danh sách máy'!E632</f>
        <v>46183</v>
      </c>
      <c r="F637" s="206" t="e">
        <f>#REF!</f>
        <v>#REF!</v>
      </c>
      <c r="G637" s="102" t="e">
        <f>#REF!</f>
        <v>#REF!</v>
      </c>
      <c r="H637" s="102" t="e">
        <f>#REF!</f>
        <v>#REF!</v>
      </c>
      <c r="K637" s="210" t="e">
        <f>#REF!</f>
        <v>#REF!</v>
      </c>
      <c r="L637" s="210">
        <v>44906</v>
      </c>
      <c r="M637" s="210"/>
      <c r="N637" s="210">
        <f>'Danh sách máy'!F632</f>
        <v>0</v>
      </c>
      <c r="O637" s="211" t="str" cm="1">
        <f t="array" ref="O637">IF(L637&lt;&gt;0,IF(L637&lt;I637,"OK","NG"),Blank)</f>
        <v>NG</v>
      </c>
      <c r="P637" s="211" t="e" cm="1">
        <f t="array" ref="P637">IF(M637&lt;&gt;0,IF(M637&lt;J637,"OK","NG"),Blank)</f>
        <v>#NAME?</v>
      </c>
      <c r="Q637" s="211" t="e" cm="1">
        <f t="array" ref="Q637">IF(H637&lt;&gt;"Stop",IF(N637&lt;&gt;0,IF(N637&lt;=K637,"OK","NG"),Blank),"-")</f>
        <v>#REF!</v>
      </c>
      <c r="R637" s="326" t="e" cm="1">
        <f t="array" ref="R637">IF(H637&lt;&gt;"Stop",IF(E637&lt;&gt;0,IF(E637&lt;=K637,"OK","NG"),Blank),"-")</f>
        <v>#REF!</v>
      </c>
    </row>
    <row r="638" spans="1:18" ht="30" hidden="1" x14ac:dyDescent="0.3">
      <c r="A638" s="318" t="e">
        <f>#REF!</f>
        <v>#REF!</v>
      </c>
      <c r="B638" s="305" t="e">
        <f>#REF!</f>
        <v>#REF!</v>
      </c>
      <c r="C638" s="305" t="str">
        <f>'Danh sách máy'!C633</f>
        <v>MKHC</v>
      </c>
      <c r="D638" s="90" t="e">
        <f>#REF!</f>
        <v>#REF!</v>
      </c>
      <c r="E638" s="97">
        <f>'Danh sách máy'!E633</f>
        <v>0</v>
      </c>
      <c r="F638" s="206" t="e">
        <f>#REF!</f>
        <v>#REF!</v>
      </c>
      <c r="G638" s="102" t="e">
        <f>#REF!</f>
        <v>#REF!</v>
      </c>
      <c r="H638" s="102" t="e">
        <f>#REF!</f>
        <v>#REF!</v>
      </c>
      <c r="K638" s="210" t="e">
        <f>#REF!</f>
        <v>#REF!</v>
      </c>
      <c r="L638" s="210">
        <v>44907</v>
      </c>
      <c r="M638" s="210"/>
      <c r="N638" s="210">
        <f>'Danh sách máy'!F633</f>
        <v>0</v>
      </c>
      <c r="O638" s="211" t="str" cm="1">
        <f t="array" ref="O638">IF(L638&lt;&gt;0,IF(L638&lt;I638,"OK","NG"),Blank)</f>
        <v>NG</v>
      </c>
      <c r="P638" s="211" t="e" cm="1">
        <f t="array" ref="P638">IF(M638&lt;&gt;0,IF(M638&lt;J638,"OK","NG"),Blank)</f>
        <v>#NAME?</v>
      </c>
      <c r="Q638" s="211" t="e" cm="1">
        <f t="array" ref="Q638">IF(H638&lt;&gt;"Stop",IF(N638&lt;&gt;0,IF(N638&lt;=K638,"OK","NG"),Blank),"-")</f>
        <v>#REF!</v>
      </c>
      <c r="R638" s="326" t="e" cm="1">
        <f t="array" ref="R638">IF(H638&lt;&gt;"Stop",IF(E638&lt;&gt;0,IF(E638&lt;=K638,"OK","NG"),Blank),"-")</f>
        <v>#REF!</v>
      </c>
    </row>
    <row r="639" spans="1:18" ht="15" hidden="1" x14ac:dyDescent="0.3">
      <c r="A639" s="318" t="e">
        <f>#REF!</f>
        <v>#REF!</v>
      </c>
      <c r="B639" s="305" t="e">
        <f>#REF!</f>
        <v>#REF!</v>
      </c>
      <c r="C639" s="305" t="str">
        <f>'Danh sách máy'!C634</f>
        <v>MKHC</v>
      </c>
      <c r="D639" s="90" t="e">
        <f>#REF!</f>
        <v>#REF!</v>
      </c>
      <c r="E639" s="97">
        <f>'Danh sách máy'!E634</f>
        <v>0</v>
      </c>
      <c r="F639" s="206" t="e">
        <f>#REF!</f>
        <v>#REF!</v>
      </c>
      <c r="G639" s="102" t="e">
        <f>#REF!</f>
        <v>#REF!</v>
      </c>
      <c r="H639" s="102" t="e">
        <f>#REF!</f>
        <v>#REF!</v>
      </c>
      <c r="K639" s="210" t="e">
        <f>#REF!</f>
        <v>#REF!</v>
      </c>
      <c r="L639" s="210">
        <v>44908</v>
      </c>
      <c r="M639" s="210"/>
      <c r="N639" s="210">
        <f>'Danh sách máy'!F634</f>
        <v>0</v>
      </c>
      <c r="O639" s="211" t="str" cm="1">
        <f t="array" ref="O639">IF(L639&lt;&gt;0,IF(L639&lt;I639,"OK","NG"),Blank)</f>
        <v>NG</v>
      </c>
      <c r="P639" s="211" t="e" cm="1">
        <f t="array" ref="P639">IF(M639&lt;&gt;0,IF(M639&lt;J639,"OK","NG"),Blank)</f>
        <v>#NAME?</v>
      </c>
      <c r="Q639" s="211" t="e" cm="1">
        <f t="array" ref="Q639">IF(H639&lt;&gt;"Stop",IF(N639&lt;&gt;0,IF(N639&lt;=K639,"OK","NG"),Blank),"-")</f>
        <v>#REF!</v>
      </c>
      <c r="R639" s="326" t="e" cm="1">
        <f t="array" ref="R639">IF(H639&lt;&gt;"Stop",IF(E639&lt;&gt;0,IF(E639&lt;=K639,"OK","NG"),Blank),"-")</f>
        <v>#REF!</v>
      </c>
    </row>
    <row r="640" spans="1:18" ht="15" hidden="1" x14ac:dyDescent="0.3">
      <c r="A640" s="318" t="e">
        <f>#REF!</f>
        <v>#REF!</v>
      </c>
      <c r="B640" s="305" t="e">
        <f>#REF!</f>
        <v>#REF!</v>
      </c>
      <c r="C640" s="305" t="str">
        <f>'Danh sách máy'!C635</f>
        <v>MKHC</v>
      </c>
      <c r="D640" s="90" t="e">
        <f>#REF!</f>
        <v>#REF!</v>
      </c>
      <c r="E640" s="97">
        <f>'Danh sách máy'!E635</f>
        <v>0</v>
      </c>
      <c r="F640" s="206" t="e">
        <f>#REF!</f>
        <v>#REF!</v>
      </c>
      <c r="G640" s="102" t="e">
        <f>#REF!</f>
        <v>#REF!</v>
      </c>
      <c r="H640" s="102" t="e">
        <f>#REF!</f>
        <v>#REF!</v>
      </c>
      <c r="K640" s="210" t="e">
        <f>#REF!</f>
        <v>#REF!</v>
      </c>
      <c r="L640" s="210">
        <v>44909</v>
      </c>
      <c r="M640" s="210"/>
      <c r="N640" s="210">
        <f>'Danh sách máy'!F635</f>
        <v>0</v>
      </c>
      <c r="O640" s="211" t="str" cm="1">
        <f t="array" ref="O640">IF(L640&lt;&gt;0,IF(L640&lt;I640,"OK","NG"),Blank)</f>
        <v>NG</v>
      </c>
      <c r="P640" s="211" t="e" cm="1">
        <f t="array" ref="P640">IF(M640&lt;&gt;0,IF(M640&lt;J640,"OK","NG"),Blank)</f>
        <v>#NAME?</v>
      </c>
      <c r="Q640" s="211" t="e" cm="1">
        <f t="array" ref="Q640">IF(H640&lt;&gt;"Stop",IF(N640&lt;&gt;0,IF(N640&lt;=K640,"OK","NG"),Blank),"-")</f>
        <v>#REF!</v>
      </c>
      <c r="R640" s="326" t="e" cm="1">
        <f t="array" ref="R640">IF(H640&lt;&gt;"Stop",IF(E640&lt;&gt;0,IF(E640&lt;=K640,"OK","NG"),Blank),"-")</f>
        <v>#REF!</v>
      </c>
    </row>
    <row r="641" spans="1:18" ht="15" hidden="1" x14ac:dyDescent="0.3">
      <c r="A641" s="318" t="e">
        <f>#REF!</f>
        <v>#REF!</v>
      </c>
      <c r="B641" s="305" t="e">
        <f>#REF!</f>
        <v>#REF!</v>
      </c>
      <c r="C641" s="305" t="str">
        <f>'Danh sách máy'!C636</f>
        <v>MKHC</v>
      </c>
      <c r="D641" s="90" t="e">
        <f>#REF!</f>
        <v>#REF!</v>
      </c>
      <c r="E641" s="97">
        <f>'Danh sách máy'!E636</f>
        <v>0</v>
      </c>
      <c r="F641" s="206" t="e">
        <f>#REF!</f>
        <v>#REF!</v>
      </c>
      <c r="G641" s="102" t="e">
        <f>#REF!</f>
        <v>#REF!</v>
      </c>
      <c r="H641" s="102" t="e">
        <f>#REF!</f>
        <v>#REF!</v>
      </c>
      <c r="K641" s="210" t="e">
        <f>#REF!</f>
        <v>#REF!</v>
      </c>
      <c r="L641" s="210">
        <v>44910</v>
      </c>
      <c r="M641" s="210"/>
      <c r="N641" s="210">
        <f>'Danh sách máy'!F636</f>
        <v>0</v>
      </c>
      <c r="O641" s="211" t="str" cm="1">
        <f t="array" ref="O641">IF(L641&lt;&gt;0,IF(L641&lt;I641,"OK","NG"),Blank)</f>
        <v>NG</v>
      </c>
      <c r="P641" s="211" t="e" cm="1">
        <f t="array" ref="P641">IF(M641&lt;&gt;0,IF(M641&lt;J641,"OK","NG"),Blank)</f>
        <v>#NAME?</v>
      </c>
      <c r="Q641" s="211" t="e" cm="1">
        <f t="array" ref="Q641">IF(H641&lt;&gt;"Stop",IF(N641&lt;&gt;0,IF(N641&lt;=K641,"OK","NG"),Blank),"-")</f>
        <v>#REF!</v>
      </c>
      <c r="R641" s="326" t="e" cm="1">
        <f t="array" ref="R641">IF(H641&lt;&gt;"Stop",IF(E641&lt;&gt;0,IF(E641&lt;=K641,"OK","NG"),Blank),"-")</f>
        <v>#REF!</v>
      </c>
    </row>
    <row r="642" spans="1:18" ht="15" hidden="1" x14ac:dyDescent="0.3">
      <c r="A642" s="318" t="e">
        <f>#REF!</f>
        <v>#REF!</v>
      </c>
      <c r="B642" s="305" t="e">
        <f>#REF!</f>
        <v>#REF!</v>
      </c>
      <c r="C642" s="305" t="str">
        <f>'Danh sách máy'!C637</f>
        <v>MKHC</v>
      </c>
      <c r="D642" s="90" t="e">
        <f>#REF!</f>
        <v>#REF!</v>
      </c>
      <c r="E642" s="97">
        <f>'Danh sách máy'!E637</f>
        <v>46168</v>
      </c>
      <c r="F642" s="206" t="e">
        <f>#REF!</f>
        <v>#REF!</v>
      </c>
      <c r="G642" s="102" t="e">
        <f>#REF!</f>
        <v>#REF!</v>
      </c>
      <c r="H642" s="102" t="e">
        <f>#REF!</f>
        <v>#REF!</v>
      </c>
      <c r="K642" s="210" t="e">
        <f>#REF!</f>
        <v>#REF!</v>
      </c>
      <c r="L642" s="210">
        <v>44911</v>
      </c>
      <c r="M642" s="210"/>
      <c r="N642" s="210">
        <f>'Danh sách máy'!F637</f>
        <v>46168</v>
      </c>
      <c r="O642" s="211" t="str" cm="1">
        <f t="array" ref="O642">IF(L642&lt;&gt;0,IF(L642&lt;I642,"OK","NG"),Blank)</f>
        <v>NG</v>
      </c>
      <c r="P642" s="211" t="e" cm="1">
        <f t="array" ref="P642">IF(M642&lt;&gt;0,IF(M642&lt;J642,"OK","NG"),Blank)</f>
        <v>#NAME?</v>
      </c>
      <c r="Q642" s="211" t="e" cm="1">
        <f t="array" ref="Q642">IF(H642&lt;&gt;"Stop",IF(N642&lt;&gt;0,IF(N642&lt;=K642,"OK","NG"),Blank),"-")</f>
        <v>#REF!</v>
      </c>
      <c r="R642" s="326" t="e" cm="1">
        <f t="array" ref="R642">IF(H642&lt;&gt;"Stop",IF(E642&lt;&gt;0,IF(E642&lt;=K642,"OK","NG"),Blank),"-")</f>
        <v>#REF!</v>
      </c>
    </row>
    <row r="643" spans="1:18" ht="15" hidden="1" x14ac:dyDescent="0.3">
      <c r="A643" s="318" t="e">
        <f>#REF!</f>
        <v>#REF!</v>
      </c>
      <c r="B643" s="305" t="e">
        <f>#REF!</f>
        <v>#REF!</v>
      </c>
      <c r="C643" s="305" t="str">
        <f>'Danh sách máy'!C638</f>
        <v>MKHC</v>
      </c>
      <c r="D643" s="90" t="e">
        <f>#REF!</f>
        <v>#REF!</v>
      </c>
      <c r="E643" s="97">
        <f>'Danh sách máy'!E638</f>
        <v>0</v>
      </c>
      <c r="F643" s="206" t="e">
        <f>#REF!</f>
        <v>#REF!</v>
      </c>
      <c r="G643" s="102" t="e">
        <f>#REF!</f>
        <v>#REF!</v>
      </c>
      <c r="H643" s="102" t="e">
        <f>#REF!</f>
        <v>#REF!</v>
      </c>
      <c r="K643" s="210" t="e">
        <f>#REF!</f>
        <v>#REF!</v>
      </c>
      <c r="L643" s="210">
        <v>44912</v>
      </c>
      <c r="M643" s="210"/>
      <c r="N643" s="210">
        <f>'Danh sách máy'!F638</f>
        <v>0</v>
      </c>
      <c r="O643" s="211" t="str" cm="1">
        <f t="array" ref="O643">IF(L643&lt;&gt;0,IF(L643&lt;I643,"OK","NG"),Blank)</f>
        <v>NG</v>
      </c>
      <c r="P643" s="211" t="e" cm="1">
        <f t="array" ref="P643">IF(M643&lt;&gt;0,IF(M643&lt;J643,"OK","NG"),Blank)</f>
        <v>#NAME?</v>
      </c>
      <c r="Q643" s="211" t="e" cm="1">
        <f t="array" ref="Q643">IF(H643&lt;&gt;"Stop",IF(N643&lt;&gt;0,IF(N643&lt;=K643,"OK","NG"),Blank),"-")</f>
        <v>#REF!</v>
      </c>
      <c r="R643" s="326" t="e" cm="1">
        <f t="array" ref="R643">IF(H643&lt;&gt;"Stop",IF(E643&lt;&gt;0,IF(E643&lt;=K643,"OK","NG"),Blank),"-")</f>
        <v>#REF!</v>
      </c>
    </row>
    <row r="644" spans="1:18" ht="15" hidden="1" x14ac:dyDescent="0.3">
      <c r="A644" s="318" t="e">
        <f>#REF!</f>
        <v>#REF!</v>
      </c>
      <c r="B644" s="305" t="e">
        <f>#REF!</f>
        <v>#REF!</v>
      </c>
      <c r="C644" s="305" t="str">
        <f>'Danh sách máy'!C639</f>
        <v>MKHC</v>
      </c>
      <c r="D644" s="90" t="e">
        <f>#REF!</f>
        <v>#REF!</v>
      </c>
      <c r="E644" s="97">
        <f>'Danh sách máy'!E639</f>
        <v>0</v>
      </c>
      <c r="F644" s="206" t="e">
        <f>#REF!</f>
        <v>#REF!</v>
      </c>
      <c r="G644" s="102" t="e">
        <f>#REF!</f>
        <v>#REF!</v>
      </c>
      <c r="H644" s="102" t="e">
        <f>#REF!</f>
        <v>#REF!</v>
      </c>
      <c r="K644" s="210" t="e">
        <f>#REF!</f>
        <v>#REF!</v>
      </c>
      <c r="L644" s="210">
        <v>44913</v>
      </c>
      <c r="M644" s="210"/>
      <c r="N644" s="210">
        <f>'Danh sách máy'!F639</f>
        <v>0</v>
      </c>
      <c r="O644" s="211" t="str" cm="1">
        <f t="array" ref="O644">IF(L644&lt;&gt;0,IF(L644&lt;I644,"OK","NG"),Blank)</f>
        <v>NG</v>
      </c>
      <c r="P644" s="211" t="e" cm="1">
        <f t="array" ref="P644">IF(M644&lt;&gt;0,IF(M644&lt;J644,"OK","NG"),Blank)</f>
        <v>#NAME?</v>
      </c>
      <c r="Q644" s="211" t="e" cm="1">
        <f t="array" ref="Q644">IF(H644&lt;&gt;"Stop",IF(N644&lt;&gt;0,IF(N644&lt;=K644,"OK","NG"),Blank),"-")</f>
        <v>#REF!</v>
      </c>
      <c r="R644" s="326" t="e" cm="1">
        <f t="array" ref="R644">IF(H644&lt;&gt;"Stop",IF(E644&lt;&gt;0,IF(E644&lt;=K644,"OK","NG"),Blank),"-")</f>
        <v>#REF!</v>
      </c>
    </row>
    <row r="645" spans="1:18" ht="30" x14ac:dyDescent="0.3">
      <c r="A645" s="318" t="e">
        <f>#REF!</f>
        <v>#REF!</v>
      </c>
      <c r="B645" s="305" t="e">
        <f>#REF!</f>
        <v>#REF!</v>
      </c>
      <c r="C645" s="305" t="str">
        <f>'Danh sách máy'!C640</f>
        <v>MKHC</v>
      </c>
      <c r="D645" s="90" t="e">
        <f>#REF!</f>
        <v>#REF!</v>
      </c>
      <c r="E645" s="97">
        <f>'Danh sách máy'!E640</f>
        <v>45873</v>
      </c>
      <c r="F645" s="206" t="e">
        <f>#REF!</f>
        <v>#REF!</v>
      </c>
      <c r="G645" s="102" t="e">
        <f>#REF!</f>
        <v>#REF!</v>
      </c>
      <c r="H645" s="102" t="e">
        <f>#REF!</f>
        <v>#REF!</v>
      </c>
      <c r="K645" s="210" t="e">
        <f>#REF!</f>
        <v>#REF!</v>
      </c>
      <c r="L645" s="210">
        <v>44914</v>
      </c>
      <c r="M645" s="210"/>
      <c r="N645" s="210">
        <f>'Danh sách máy'!F640</f>
        <v>45873</v>
      </c>
      <c r="O645" s="211" t="str" cm="1">
        <f t="array" ref="O645">IF(L645&lt;&gt;0,IF(L645&lt;I645,"OK","NG"),Blank)</f>
        <v>NG</v>
      </c>
      <c r="P645" s="211" t="e" cm="1">
        <f t="array" ref="P645">IF(M645&lt;&gt;0,IF(M645&lt;J645,"OK","NG"),Blank)</f>
        <v>#NAME?</v>
      </c>
      <c r="Q645" s="211" t="e" cm="1">
        <f t="array" ref="Q645">IF(H645&lt;&gt;"Stop",IF(N645&lt;&gt;0,IF(N645&lt;=K645,"OK","NG"),Blank),"-")</f>
        <v>#REF!</v>
      </c>
      <c r="R645" s="326" t="e" cm="1">
        <f t="array" ref="R645">IF(H645&lt;&gt;"Stop",IF(E645&lt;&gt;0,IF(E645&lt;=K645,"OK","NG"),Blank),"-")</f>
        <v>#REF!</v>
      </c>
    </row>
    <row r="646" spans="1:18" ht="30" x14ac:dyDescent="0.3">
      <c r="A646" s="318" t="e">
        <f>#REF!</f>
        <v>#REF!</v>
      </c>
      <c r="B646" s="305" t="e">
        <f>#REF!</f>
        <v>#REF!</v>
      </c>
      <c r="C646" s="305" t="str">
        <f>'Danh sách máy'!C641</f>
        <v>MKHC</v>
      </c>
      <c r="D646" s="90" t="e">
        <f>#REF!</f>
        <v>#REF!</v>
      </c>
      <c r="E646" s="97">
        <f>'Danh sách máy'!E641</f>
        <v>45969</v>
      </c>
      <c r="F646" s="206" t="e">
        <f>#REF!</f>
        <v>#REF!</v>
      </c>
      <c r="G646" s="102" t="e">
        <f>#REF!</f>
        <v>#REF!</v>
      </c>
      <c r="H646" s="102" t="e">
        <f>#REF!</f>
        <v>#REF!</v>
      </c>
      <c r="K646" s="210" t="e">
        <f>#REF!</f>
        <v>#REF!</v>
      </c>
      <c r="L646" s="210">
        <v>44915</v>
      </c>
      <c r="M646" s="210"/>
      <c r="N646" s="210">
        <f>'Danh sách máy'!F641</f>
        <v>45996</v>
      </c>
      <c r="O646" s="211" t="str" cm="1">
        <f t="array" ref="O646">IF(L646&lt;&gt;0,IF(L646&lt;I646,"OK","NG"),Blank)</f>
        <v>NG</v>
      </c>
      <c r="P646" s="211" t="e" cm="1">
        <f t="array" ref="P646">IF(M646&lt;&gt;0,IF(M646&lt;J646,"OK","NG"),Blank)</f>
        <v>#NAME?</v>
      </c>
      <c r="Q646" s="211" t="e" cm="1">
        <f t="array" ref="Q646">IF(H646&lt;&gt;"Stop",IF(N646&lt;&gt;0,IF(N646&lt;=K646,"OK","NG"),Blank),"-")</f>
        <v>#REF!</v>
      </c>
      <c r="R646" s="326" t="e" cm="1">
        <f t="array" ref="R646">IF(H646&lt;&gt;"Stop",IF(E646&lt;&gt;0,IF(E646&lt;=K646,"OK","NG"),Blank),"-")</f>
        <v>#REF!</v>
      </c>
    </row>
    <row r="647" spans="1:18" ht="15" x14ac:dyDescent="0.3">
      <c r="A647" s="318" t="e">
        <f>#REF!</f>
        <v>#REF!</v>
      </c>
      <c r="B647" s="305" t="e">
        <f>#REF!</f>
        <v>#REF!</v>
      </c>
      <c r="C647" s="305" t="str">
        <f>'Danh sách máy'!C642</f>
        <v>MKHC</v>
      </c>
      <c r="D647" s="90" t="e">
        <f>#REF!</f>
        <v>#REF!</v>
      </c>
      <c r="E647" s="97">
        <f>'Danh sách máy'!E642</f>
        <v>45969</v>
      </c>
      <c r="F647" s="206" t="e">
        <f>#REF!</f>
        <v>#REF!</v>
      </c>
      <c r="G647" s="102" t="e">
        <f>#REF!</f>
        <v>#REF!</v>
      </c>
      <c r="H647" s="102" t="e">
        <f>#REF!</f>
        <v>#REF!</v>
      </c>
      <c r="K647" s="210" t="e">
        <f>#REF!</f>
        <v>#REF!</v>
      </c>
      <c r="L647" s="210">
        <v>44916</v>
      </c>
      <c r="M647" s="210"/>
      <c r="N647" s="210">
        <f>'Danh sách máy'!F642</f>
        <v>45996</v>
      </c>
      <c r="O647" s="211" t="str" cm="1">
        <f t="array" ref="O647">IF(L647&lt;&gt;0,IF(L647&lt;I647,"OK","NG"),Blank)</f>
        <v>NG</v>
      </c>
      <c r="P647" s="211" t="e" cm="1">
        <f t="array" ref="P647">IF(M647&lt;&gt;0,IF(M647&lt;J647,"OK","NG"),Blank)</f>
        <v>#NAME?</v>
      </c>
      <c r="Q647" s="211" t="e" cm="1">
        <f t="array" ref="Q647">IF(H647&lt;&gt;"Stop",IF(N647&lt;&gt;0,IF(N647&lt;=K647,"OK","NG"),Blank),"-")</f>
        <v>#REF!</v>
      </c>
      <c r="R647" s="326" t="e" cm="1">
        <f t="array" ref="R647">IF(H647&lt;&gt;"Stop",IF(E647&lt;&gt;0,IF(E647&lt;=K647,"OK","NG"),Blank),"-")</f>
        <v>#REF!</v>
      </c>
    </row>
    <row r="648" spans="1:18" ht="15" x14ac:dyDescent="0.3">
      <c r="A648" s="318" t="e">
        <f>#REF!</f>
        <v>#REF!</v>
      </c>
      <c r="B648" s="305" t="e">
        <f>#REF!</f>
        <v>#REF!</v>
      </c>
      <c r="C648" s="305" t="str">
        <f>'Danh sách máy'!C643</f>
        <v>MKHC</v>
      </c>
      <c r="D648" s="90" t="e">
        <f>#REF!</f>
        <v>#REF!</v>
      </c>
      <c r="E648" s="97">
        <f>'Danh sách máy'!E643</f>
        <v>45975</v>
      </c>
      <c r="F648" s="206" t="e">
        <f>#REF!</f>
        <v>#REF!</v>
      </c>
      <c r="G648" s="102" t="e">
        <f>#REF!</f>
        <v>#REF!</v>
      </c>
      <c r="H648" s="102" t="e">
        <f>#REF!</f>
        <v>#REF!</v>
      </c>
      <c r="K648" s="210" t="e">
        <f>#REF!</f>
        <v>#REF!</v>
      </c>
      <c r="L648" s="210">
        <v>44917</v>
      </c>
      <c r="M648" s="210"/>
      <c r="N648" s="210">
        <f>'Danh sách máy'!F643</f>
        <v>45982</v>
      </c>
      <c r="O648" s="211" t="str" cm="1">
        <f t="array" ref="O648">IF(L648&lt;&gt;0,IF(L648&lt;I648,"OK","NG"),Blank)</f>
        <v>NG</v>
      </c>
      <c r="P648" s="211" t="e" cm="1">
        <f t="array" ref="P648">IF(M648&lt;&gt;0,IF(M648&lt;J648,"OK","NG"),Blank)</f>
        <v>#NAME?</v>
      </c>
      <c r="Q648" s="211" t="e" cm="1">
        <f t="array" ref="Q648">IF(H648&lt;&gt;"Stop",IF(N648&lt;&gt;0,IF(N648&lt;=K648,"OK","NG"),Blank),"-")</f>
        <v>#REF!</v>
      </c>
      <c r="R648" s="326" t="e" cm="1">
        <f t="array" ref="R648">IF(H648&lt;&gt;"Stop",IF(E648&lt;&gt;0,IF(E648&lt;=K648,"OK","NG"),Blank),"-")</f>
        <v>#REF!</v>
      </c>
    </row>
    <row r="649" spans="1:18" ht="15" x14ac:dyDescent="0.3">
      <c r="A649" s="318" t="e">
        <f>#REF!</f>
        <v>#REF!</v>
      </c>
      <c r="B649" s="305" t="e">
        <f>#REF!</f>
        <v>#REF!</v>
      </c>
      <c r="C649" s="305" t="str">
        <f>'Danh sách máy'!C644</f>
        <v>MKHC</v>
      </c>
      <c r="D649" s="90" t="e">
        <f>#REF!</f>
        <v>#REF!</v>
      </c>
      <c r="E649" s="97">
        <f>'Danh sách máy'!E644</f>
        <v>45969</v>
      </c>
      <c r="F649" s="206" t="e">
        <f>#REF!</f>
        <v>#REF!</v>
      </c>
      <c r="G649" s="102" t="e">
        <f>#REF!</f>
        <v>#REF!</v>
      </c>
      <c r="H649" s="102" t="e">
        <f>#REF!</f>
        <v>#REF!</v>
      </c>
      <c r="K649" s="210" t="e">
        <f>#REF!</f>
        <v>#REF!</v>
      </c>
      <c r="L649" s="210">
        <v>44918</v>
      </c>
      <c r="M649" s="210"/>
      <c r="N649" s="210">
        <f>'Danh sách máy'!F644</f>
        <v>45988</v>
      </c>
      <c r="O649" s="211" t="str" cm="1">
        <f t="array" ref="O649">IF(L649&lt;&gt;0,IF(L649&lt;I649,"OK","NG"),Blank)</f>
        <v>NG</v>
      </c>
      <c r="P649" s="211" t="e" cm="1">
        <f t="array" ref="P649">IF(M649&lt;&gt;0,IF(M649&lt;J649,"OK","NG"),Blank)</f>
        <v>#NAME?</v>
      </c>
      <c r="Q649" s="211" t="e" cm="1">
        <f t="array" ref="Q649">IF(H649&lt;&gt;"Stop",IF(N649&lt;&gt;0,IF(N649&lt;=K649,"OK","NG"),Blank),"-")</f>
        <v>#REF!</v>
      </c>
      <c r="R649" s="326" t="e" cm="1">
        <f t="array" ref="R649">IF(H649&lt;&gt;"Stop",IF(E649&lt;&gt;0,IF(E649&lt;=K649,"OK","NG"),Blank),"-")</f>
        <v>#REF!</v>
      </c>
    </row>
    <row r="650" spans="1:18" ht="15" x14ac:dyDescent="0.3">
      <c r="A650" s="318" t="e">
        <f>#REF!</f>
        <v>#REF!</v>
      </c>
      <c r="B650" s="305" t="e">
        <f>#REF!</f>
        <v>#REF!</v>
      </c>
      <c r="C650" s="305" t="str">
        <f>'Danh sách máy'!C645</f>
        <v>MKHC</v>
      </c>
      <c r="D650" s="90" t="e">
        <f>#REF!</f>
        <v>#REF!</v>
      </c>
      <c r="E650" s="97">
        <f>'Danh sách máy'!E645</f>
        <v>45969</v>
      </c>
      <c r="F650" s="206" t="e">
        <f>#REF!</f>
        <v>#REF!</v>
      </c>
      <c r="G650" s="102" t="e">
        <f>#REF!</f>
        <v>#REF!</v>
      </c>
      <c r="H650" s="102" t="e">
        <f>#REF!</f>
        <v>#REF!</v>
      </c>
      <c r="K650" s="210" t="e">
        <f>#REF!</f>
        <v>#REF!</v>
      </c>
      <c r="L650" s="210">
        <v>44919</v>
      </c>
      <c r="M650" s="210"/>
      <c r="N650" s="210">
        <f>'Danh sách máy'!F645</f>
        <v>45988</v>
      </c>
      <c r="O650" s="211" t="str" cm="1">
        <f t="array" ref="O650">IF(L650&lt;&gt;0,IF(L650&lt;I650,"OK","NG"),Blank)</f>
        <v>NG</v>
      </c>
      <c r="P650" s="211" t="e" cm="1">
        <f t="array" ref="P650">IF(M650&lt;&gt;0,IF(M650&lt;J650,"OK","NG"),Blank)</f>
        <v>#NAME?</v>
      </c>
      <c r="Q650" s="211" t="e" cm="1">
        <f t="array" ref="Q650">IF(H650&lt;&gt;"Stop",IF(N650&lt;&gt;0,IF(N650&lt;=K650,"OK","NG"),Blank),"-")</f>
        <v>#REF!</v>
      </c>
      <c r="R650" s="326" t="e" cm="1">
        <f t="array" ref="R650">IF(H650&lt;&gt;"Stop",IF(E650&lt;&gt;0,IF(E650&lt;=K650,"OK","NG"),Blank),"-")</f>
        <v>#REF!</v>
      </c>
    </row>
    <row r="651" spans="1:18" ht="15" x14ac:dyDescent="0.3">
      <c r="A651" s="318" t="e">
        <f>#REF!</f>
        <v>#REF!</v>
      </c>
      <c r="B651" s="305" t="e">
        <f>#REF!</f>
        <v>#REF!</v>
      </c>
      <c r="C651" s="305" t="str">
        <f>'Danh sách máy'!C646</f>
        <v>MKHC</v>
      </c>
      <c r="D651" s="90" t="e">
        <f>#REF!</f>
        <v>#REF!</v>
      </c>
      <c r="E651" s="97">
        <f>'Danh sách máy'!E646</f>
        <v>46007</v>
      </c>
      <c r="F651" s="206" t="e">
        <f>#REF!</f>
        <v>#REF!</v>
      </c>
      <c r="G651" s="102" t="e">
        <f>#REF!</f>
        <v>#REF!</v>
      </c>
      <c r="H651" s="102" t="e">
        <f>#REF!</f>
        <v>#REF!</v>
      </c>
      <c r="K651" s="210" t="e">
        <f>#REF!</f>
        <v>#REF!</v>
      </c>
      <c r="L651" s="210">
        <v>44920</v>
      </c>
      <c r="M651" s="210"/>
      <c r="N651" s="210">
        <f>'Danh sách máy'!F646</f>
        <v>46010</v>
      </c>
      <c r="O651" s="211" t="str" cm="1">
        <f t="array" ref="O651">IF(L651&lt;&gt;0,IF(L651&lt;I651,"OK","NG"),Blank)</f>
        <v>NG</v>
      </c>
      <c r="P651" s="211" t="e" cm="1">
        <f t="array" ref="P651">IF(M651&lt;&gt;0,IF(M651&lt;J651,"OK","NG"),Blank)</f>
        <v>#NAME?</v>
      </c>
      <c r="Q651" s="211" t="e" cm="1">
        <f t="array" ref="Q651">IF(H651&lt;&gt;"Stop",IF(N651&lt;&gt;0,IF(N651&lt;=K651,"OK","NG"),Blank),"-")</f>
        <v>#REF!</v>
      </c>
      <c r="R651" s="326" t="e" cm="1">
        <f t="array" ref="R651">IF(H651&lt;&gt;"Stop",IF(E651&lt;&gt;0,IF(E651&lt;=K651,"OK","NG"),Blank),"-")</f>
        <v>#REF!</v>
      </c>
    </row>
    <row r="652" spans="1:18" ht="15" x14ac:dyDescent="0.3">
      <c r="A652" s="318" t="e">
        <f>#REF!</f>
        <v>#REF!</v>
      </c>
      <c r="B652" s="305" t="e">
        <f>#REF!</f>
        <v>#REF!</v>
      </c>
      <c r="C652" s="305" t="str">
        <f>'Danh sách máy'!C647</f>
        <v>MKHC</v>
      </c>
      <c r="D652" s="90" t="e">
        <f>#REF!</f>
        <v>#REF!</v>
      </c>
      <c r="E652" s="97">
        <f>'Danh sách máy'!E647</f>
        <v>46003</v>
      </c>
      <c r="F652" s="206" t="e">
        <f>#REF!</f>
        <v>#REF!</v>
      </c>
      <c r="G652" s="102" t="e">
        <f>#REF!</f>
        <v>#REF!</v>
      </c>
      <c r="H652" s="102" t="e">
        <f>#REF!</f>
        <v>#REF!</v>
      </c>
      <c r="K652" s="210" t="e">
        <f>#REF!</f>
        <v>#REF!</v>
      </c>
      <c r="L652" s="210">
        <v>44921</v>
      </c>
      <c r="M652" s="210"/>
      <c r="N652" s="210">
        <f>'Danh sách máy'!F647</f>
        <v>46010</v>
      </c>
      <c r="O652" s="211" t="str" cm="1">
        <f t="array" ref="O652">IF(L652&lt;&gt;0,IF(L652&lt;I652,"OK","NG"),Blank)</f>
        <v>NG</v>
      </c>
      <c r="P652" s="211" t="e" cm="1">
        <f t="array" ref="P652">IF(M652&lt;&gt;0,IF(M652&lt;J652,"OK","NG"),Blank)</f>
        <v>#NAME?</v>
      </c>
      <c r="Q652" s="211" t="e" cm="1">
        <f t="array" ref="Q652">IF(H652&lt;&gt;"Stop",IF(N652&lt;&gt;0,IF(N652&lt;=K652,"OK","NG"),Blank),"-")</f>
        <v>#REF!</v>
      </c>
      <c r="R652" s="326" t="e" cm="1">
        <f t="array" ref="R652">IF(H652&lt;&gt;"Stop",IF(E652&lt;&gt;0,IF(E652&lt;=K652,"OK","NG"),Blank),"-")</f>
        <v>#REF!</v>
      </c>
    </row>
    <row r="653" spans="1:18" ht="15" x14ac:dyDescent="0.3">
      <c r="A653" s="318" t="e">
        <f>#REF!</f>
        <v>#REF!</v>
      </c>
      <c r="B653" s="305" t="e">
        <f>#REF!</f>
        <v>#REF!</v>
      </c>
      <c r="C653" s="305" t="str">
        <f>'Danh sách máy'!C648</f>
        <v>MKHC</v>
      </c>
      <c r="D653" s="90" t="e">
        <f>#REF!</f>
        <v>#REF!</v>
      </c>
      <c r="E653" s="97">
        <f>'Danh sách máy'!E648</f>
        <v>45989</v>
      </c>
      <c r="F653" s="206" t="e">
        <f>#REF!</f>
        <v>#REF!</v>
      </c>
      <c r="G653" s="102" t="e">
        <f>#REF!</f>
        <v>#REF!</v>
      </c>
      <c r="H653" s="102" t="e">
        <f>#REF!</f>
        <v>#REF!</v>
      </c>
      <c r="K653" s="210" t="e">
        <f>#REF!</f>
        <v>#REF!</v>
      </c>
      <c r="L653" s="210">
        <v>44922</v>
      </c>
      <c r="M653" s="210"/>
      <c r="N653" s="210">
        <f>'Danh sách máy'!F648</f>
        <v>45988</v>
      </c>
      <c r="O653" s="211" t="str" cm="1">
        <f t="array" ref="O653">IF(L653&lt;&gt;0,IF(L653&lt;I653,"OK","NG"),Blank)</f>
        <v>NG</v>
      </c>
      <c r="P653" s="211" t="e" cm="1">
        <f t="array" ref="P653">IF(M653&lt;&gt;0,IF(M653&lt;J653,"OK","NG"),Blank)</f>
        <v>#NAME?</v>
      </c>
      <c r="Q653" s="211" t="e" cm="1">
        <f t="array" ref="Q653">IF(H653&lt;&gt;"Stop",IF(N653&lt;&gt;0,IF(N653&lt;=K653,"OK","NG"),Blank),"-")</f>
        <v>#REF!</v>
      </c>
      <c r="R653" s="326" t="e" cm="1">
        <f t="array" ref="R653">IF(H653&lt;&gt;"Stop",IF(E653&lt;&gt;0,IF(E653&lt;=K653,"OK","NG"),Blank),"-")</f>
        <v>#REF!</v>
      </c>
    </row>
    <row r="654" spans="1:18" ht="15" x14ac:dyDescent="0.3">
      <c r="A654" s="318" t="e">
        <f>#REF!</f>
        <v>#REF!</v>
      </c>
      <c r="B654" s="305" t="e">
        <f>#REF!</f>
        <v>#REF!</v>
      </c>
      <c r="C654" s="305" t="str">
        <f>'Danh sách máy'!C649</f>
        <v>MKHC</v>
      </c>
      <c r="D654" s="90" t="e">
        <f>#REF!</f>
        <v>#REF!</v>
      </c>
      <c r="E654" s="97">
        <f>'Danh sách máy'!E649</f>
        <v>46010</v>
      </c>
      <c r="F654" s="206" t="e">
        <f>#REF!</f>
        <v>#REF!</v>
      </c>
      <c r="G654" s="102" t="e">
        <f>#REF!</f>
        <v>#REF!</v>
      </c>
      <c r="H654" s="102" t="e">
        <f>#REF!</f>
        <v>#REF!</v>
      </c>
      <c r="K654" s="210" t="e">
        <f>#REF!</f>
        <v>#REF!</v>
      </c>
      <c r="L654" s="210">
        <v>44923</v>
      </c>
      <c r="M654" s="210"/>
      <c r="N654" s="210">
        <f>'Danh sách máy'!F649</f>
        <v>46010</v>
      </c>
      <c r="O654" s="211" t="str" cm="1">
        <f t="array" ref="O654">IF(L654&lt;&gt;0,IF(L654&lt;I654,"OK","NG"),Blank)</f>
        <v>NG</v>
      </c>
      <c r="P654" s="211" t="e" cm="1">
        <f t="array" ref="P654">IF(M654&lt;&gt;0,IF(M654&lt;J654,"OK","NG"),Blank)</f>
        <v>#NAME?</v>
      </c>
      <c r="Q654" s="211" t="e" cm="1">
        <f t="array" ref="Q654">IF(H654&lt;&gt;"Stop",IF(N654&lt;&gt;0,IF(N654&lt;=K654,"OK","NG"),Blank),"-")</f>
        <v>#REF!</v>
      </c>
      <c r="R654" s="326" t="e" cm="1">
        <f t="array" ref="R654">IF(H654&lt;&gt;"Stop",IF(E654&lt;&gt;0,IF(E654&lt;=K654,"OK","NG"),Blank),"-")</f>
        <v>#REF!</v>
      </c>
    </row>
    <row r="655" spans="1:18" ht="30" x14ac:dyDescent="0.3">
      <c r="A655" s="318" t="e">
        <f>#REF!</f>
        <v>#REF!</v>
      </c>
      <c r="B655" s="305" t="e">
        <f>#REF!</f>
        <v>#REF!</v>
      </c>
      <c r="C655" s="305" t="str">
        <f>'Danh sách máy'!C650</f>
        <v>MKHC</v>
      </c>
      <c r="D655" s="90" t="e">
        <f>#REF!</f>
        <v>#REF!</v>
      </c>
      <c r="E655" s="97">
        <f>'Danh sách máy'!E650</f>
        <v>46020</v>
      </c>
      <c r="F655" s="206" t="e">
        <f>#REF!</f>
        <v>#REF!</v>
      </c>
      <c r="G655" s="102" t="e">
        <f>#REF!</f>
        <v>#REF!</v>
      </c>
      <c r="H655" s="102" t="e">
        <f>#REF!</f>
        <v>#REF!</v>
      </c>
      <c r="K655" s="210" t="e">
        <f>#REF!</f>
        <v>#REF!</v>
      </c>
      <c r="L655" s="210">
        <v>44924</v>
      </c>
      <c r="M655" s="210"/>
      <c r="N655" s="210">
        <f>'Danh sách máy'!F650</f>
        <v>46034</v>
      </c>
      <c r="O655" s="211" t="str" cm="1">
        <f t="array" ref="O655">IF(L655&lt;&gt;0,IF(L655&lt;I655,"OK","NG"),Blank)</f>
        <v>NG</v>
      </c>
      <c r="P655" s="211" t="e" cm="1">
        <f t="array" ref="P655">IF(M655&lt;&gt;0,IF(M655&lt;J655,"OK","NG"),Blank)</f>
        <v>#NAME?</v>
      </c>
      <c r="Q655" s="211" t="e" cm="1">
        <f t="array" ref="Q655">IF(H655&lt;&gt;"Stop",IF(N655&lt;&gt;0,IF(N655&lt;=K655,"OK","NG"),Blank),"-")</f>
        <v>#REF!</v>
      </c>
      <c r="R655" s="326" t="e" cm="1">
        <f t="array" ref="R655">IF(H655&lt;&gt;"Stop",IF(E655&lt;&gt;0,IF(E655&lt;=K655,"OK","NG"),Blank),"-")</f>
        <v>#REF!</v>
      </c>
    </row>
    <row r="656" spans="1:18" ht="30" x14ac:dyDescent="0.3">
      <c r="A656" s="318" t="e">
        <f>#REF!</f>
        <v>#REF!</v>
      </c>
      <c r="B656" s="305" t="e">
        <f>#REF!</f>
        <v>#REF!</v>
      </c>
      <c r="C656" s="305" t="str">
        <f>'Danh sách máy'!C651</f>
        <v>MKHC</v>
      </c>
      <c r="D656" s="90" t="e">
        <f>#REF!</f>
        <v>#REF!</v>
      </c>
      <c r="E656" s="97">
        <f>'Danh sách máy'!E651</f>
        <v>46020</v>
      </c>
      <c r="F656" s="206" t="e">
        <f>#REF!</f>
        <v>#REF!</v>
      </c>
      <c r="G656" s="102" t="e">
        <f>#REF!</f>
        <v>#REF!</v>
      </c>
      <c r="H656" s="102" t="e">
        <f>#REF!</f>
        <v>#REF!</v>
      </c>
      <c r="K656" s="210" t="e">
        <f>#REF!</f>
        <v>#REF!</v>
      </c>
      <c r="L656" s="210">
        <v>44925</v>
      </c>
      <c r="M656" s="210"/>
      <c r="N656" s="210">
        <f>'Danh sách máy'!F651</f>
        <v>46034</v>
      </c>
      <c r="O656" s="211" t="str" cm="1">
        <f t="array" ref="O656">IF(L656&lt;&gt;0,IF(L656&lt;I656,"OK","NG"),Blank)</f>
        <v>NG</v>
      </c>
      <c r="P656" s="211" t="e" cm="1">
        <f t="array" ref="P656">IF(M656&lt;&gt;0,IF(M656&lt;J656,"OK","NG"),Blank)</f>
        <v>#NAME?</v>
      </c>
      <c r="Q656" s="211" t="e" cm="1">
        <f t="array" ref="Q656">IF(H656&lt;&gt;"Stop",IF(N656&lt;&gt;0,IF(N656&lt;=K656,"OK","NG"),Blank),"-")</f>
        <v>#REF!</v>
      </c>
      <c r="R656" s="326" t="e" cm="1">
        <f t="array" ref="R656">IF(H656&lt;&gt;"Stop",IF(E656&lt;&gt;0,IF(E656&lt;=K656,"OK","NG"),Blank),"-")</f>
        <v>#REF!</v>
      </c>
    </row>
    <row r="657" spans="1:18" ht="30" x14ac:dyDescent="0.3">
      <c r="A657" s="318" t="e">
        <f>#REF!</f>
        <v>#REF!</v>
      </c>
      <c r="B657" s="305" t="e">
        <f>#REF!</f>
        <v>#REF!</v>
      </c>
      <c r="C657" s="305" t="str">
        <f>'Danh sách máy'!C652</f>
        <v>MKHC</v>
      </c>
      <c r="D657" s="90" t="e">
        <f>#REF!</f>
        <v>#REF!</v>
      </c>
      <c r="E657" s="97">
        <f>'Danh sách máy'!E652</f>
        <v>46020</v>
      </c>
      <c r="F657" s="206" t="e">
        <f>#REF!</f>
        <v>#REF!</v>
      </c>
      <c r="G657" s="102" t="e">
        <f>#REF!</f>
        <v>#REF!</v>
      </c>
      <c r="H657" s="102" t="e">
        <f>#REF!</f>
        <v>#REF!</v>
      </c>
      <c r="K657" s="210" t="e">
        <f>#REF!</f>
        <v>#REF!</v>
      </c>
      <c r="L657" s="210">
        <v>44926</v>
      </c>
      <c r="M657" s="210"/>
      <c r="N657" s="210">
        <f>'Danh sách máy'!F652</f>
        <v>46034</v>
      </c>
      <c r="O657" s="211" t="str" cm="1">
        <f t="array" ref="O657">IF(L657&lt;&gt;0,IF(L657&lt;I657,"OK","NG"),Blank)</f>
        <v>NG</v>
      </c>
      <c r="P657" s="211" t="e" cm="1">
        <f t="array" ref="P657">IF(M657&lt;&gt;0,IF(M657&lt;J657,"OK","NG"),Blank)</f>
        <v>#NAME?</v>
      </c>
      <c r="Q657" s="211" t="e" cm="1">
        <f t="array" ref="Q657">IF(H657&lt;&gt;"Stop",IF(N657&lt;&gt;0,IF(N657&lt;=K657,"OK","NG"),Blank),"-")</f>
        <v>#REF!</v>
      </c>
      <c r="R657" s="326" t="e" cm="1">
        <f t="array" ref="R657">IF(H657&lt;&gt;"Stop",IF(E657&lt;&gt;0,IF(E657&lt;=K657,"OK","NG"),Blank),"-")</f>
        <v>#REF!</v>
      </c>
    </row>
    <row r="658" spans="1:18" ht="15" x14ac:dyDescent="0.3">
      <c r="A658" s="318" t="e">
        <f>#REF!</f>
        <v>#REF!</v>
      </c>
      <c r="B658" s="305" t="e">
        <f>#REF!</f>
        <v>#REF!</v>
      </c>
      <c r="C658" s="305" t="str">
        <f>'Danh sách máy'!C653</f>
        <v>MKVC</v>
      </c>
      <c r="D658" s="90" t="e">
        <f>#REF!</f>
        <v>#REF!</v>
      </c>
      <c r="E658" s="97">
        <f>'Danh sách máy'!E653</f>
        <v>45960</v>
      </c>
      <c r="F658" s="206" t="e">
        <f>#REF!</f>
        <v>#REF!</v>
      </c>
      <c r="G658" s="102" t="e">
        <f>#REF!</f>
        <v>#REF!</v>
      </c>
      <c r="H658" s="102" t="e">
        <f>#REF!</f>
        <v>#REF!</v>
      </c>
      <c r="K658" s="210" t="e">
        <f>#REF!</f>
        <v>#REF!</v>
      </c>
      <c r="L658" s="210">
        <v>44927</v>
      </c>
      <c r="M658" s="210"/>
      <c r="N658" s="210">
        <f>'Danh sách máy'!F653</f>
        <v>45960</v>
      </c>
      <c r="O658" s="211" t="str" cm="1">
        <f t="array" ref="O658">IF(L658&lt;&gt;0,IF(L658&lt;I658,"OK","NG"),Blank)</f>
        <v>NG</v>
      </c>
      <c r="P658" s="211" t="e" cm="1">
        <f t="array" ref="P658">IF(M658&lt;&gt;0,IF(M658&lt;J658,"OK","NG"),Blank)</f>
        <v>#NAME?</v>
      </c>
      <c r="Q658" s="211" t="e" cm="1">
        <f t="array" ref="Q658">IF(H658&lt;&gt;"Stop",IF(N658&lt;&gt;0,IF(N658&lt;=K658,"OK","NG"),Blank),"-")</f>
        <v>#REF!</v>
      </c>
      <c r="R658" s="326" t="e" cm="1">
        <f t="array" ref="R658">IF(H658&lt;&gt;"Stop",IF(E658&lt;&gt;0,IF(E658&lt;=K658,"OK","NG"),Blank),"-")</f>
        <v>#REF!</v>
      </c>
    </row>
    <row r="659" spans="1:18" ht="15" hidden="1" x14ac:dyDescent="0.3">
      <c r="A659" s="318" t="e">
        <f>#REF!</f>
        <v>#REF!</v>
      </c>
      <c r="B659" s="305" t="e">
        <f>#REF!</f>
        <v>#REF!</v>
      </c>
      <c r="C659" s="305" t="str">
        <f>'Danh sách máy'!C654</f>
        <v>MKVC</v>
      </c>
      <c r="D659" s="90" t="e">
        <f>#REF!</f>
        <v>#REF!</v>
      </c>
      <c r="E659" s="97">
        <f>'Danh sách máy'!E654</f>
        <v>46150</v>
      </c>
      <c r="F659" s="206" t="e">
        <f>#REF!</f>
        <v>#REF!</v>
      </c>
      <c r="G659" s="102" t="e">
        <f>#REF!</f>
        <v>#REF!</v>
      </c>
      <c r="H659" s="102" t="e">
        <f>#REF!</f>
        <v>#REF!</v>
      </c>
      <c r="K659" s="210" t="e">
        <f>#REF!</f>
        <v>#REF!</v>
      </c>
      <c r="L659" s="210">
        <v>44928</v>
      </c>
      <c r="M659" s="210"/>
      <c r="N659" s="210">
        <f>'Danh sách máy'!F654</f>
        <v>46195</v>
      </c>
      <c r="O659" s="211" t="str" cm="1">
        <f t="array" ref="O659">IF(L659&lt;&gt;0,IF(L659&lt;I659,"OK","NG"),Blank)</f>
        <v>NG</v>
      </c>
      <c r="P659" s="211" t="e" cm="1">
        <f t="array" ref="P659">IF(M659&lt;&gt;0,IF(M659&lt;J659,"OK","NG"),Blank)</f>
        <v>#NAME?</v>
      </c>
      <c r="Q659" s="211" t="e" cm="1">
        <f t="array" ref="Q659">IF(H659&lt;&gt;"Stop",IF(N659&lt;&gt;0,IF(N659&lt;=K659,"OK","NG"),Blank),"-")</f>
        <v>#REF!</v>
      </c>
      <c r="R659" s="326" t="e" cm="1">
        <f t="array" ref="R659">IF(H659&lt;&gt;"Stop",IF(E659&lt;&gt;0,IF(E659&lt;=K659,"OK","NG"),Blank),"-")</f>
        <v>#REF!</v>
      </c>
    </row>
    <row r="660" spans="1:18" ht="15" hidden="1" x14ac:dyDescent="0.3">
      <c r="A660" s="318" t="e">
        <f>#REF!</f>
        <v>#REF!</v>
      </c>
      <c r="B660" s="305" t="e">
        <f>#REF!</f>
        <v>#REF!</v>
      </c>
      <c r="C660" s="305" t="str">
        <f>'Danh sách máy'!C655</f>
        <v>MKVC</v>
      </c>
      <c r="D660" s="90" t="e">
        <f>#REF!</f>
        <v>#REF!</v>
      </c>
      <c r="E660" s="97">
        <f>'Danh sách máy'!E655</f>
        <v>46150</v>
      </c>
      <c r="F660" s="206" t="e">
        <f>#REF!</f>
        <v>#REF!</v>
      </c>
      <c r="G660" s="102" t="e">
        <f>#REF!</f>
        <v>#REF!</v>
      </c>
      <c r="H660" s="102" t="e">
        <f>#REF!</f>
        <v>#REF!</v>
      </c>
      <c r="K660" s="210" t="e">
        <f>#REF!</f>
        <v>#REF!</v>
      </c>
      <c r="L660" s="210">
        <v>44929</v>
      </c>
      <c r="M660" s="210"/>
      <c r="N660" s="210">
        <f>'Danh sách máy'!F655</f>
        <v>46195</v>
      </c>
      <c r="O660" s="211" t="str" cm="1">
        <f t="array" ref="O660">IF(L660&lt;&gt;0,IF(L660&lt;I660,"OK","NG"),Blank)</f>
        <v>NG</v>
      </c>
      <c r="P660" s="211" t="e" cm="1">
        <f t="array" ref="P660">IF(M660&lt;&gt;0,IF(M660&lt;J660,"OK","NG"),Blank)</f>
        <v>#NAME?</v>
      </c>
      <c r="Q660" s="211" t="e" cm="1">
        <f t="array" ref="Q660">IF(H660&lt;&gt;"Stop",IF(N660&lt;&gt;0,IF(N660&lt;=K660,"OK","NG"),Blank),"-")</f>
        <v>#REF!</v>
      </c>
      <c r="R660" s="326" t="e" cm="1">
        <f t="array" ref="R660">IF(H660&lt;&gt;"Stop",IF(E660&lt;&gt;0,IF(E660&lt;=K660,"OK","NG"),Blank),"-")</f>
        <v>#REF!</v>
      </c>
    </row>
    <row r="661" spans="1:18" ht="15" hidden="1" x14ac:dyDescent="0.3">
      <c r="A661" s="318" t="e">
        <f>#REF!</f>
        <v>#REF!</v>
      </c>
      <c r="B661" s="305" t="e">
        <f>#REF!</f>
        <v>#REF!</v>
      </c>
      <c r="C661" s="305" t="str">
        <f>'Danh sách máy'!C656</f>
        <v>MKVC</v>
      </c>
      <c r="D661" s="90" t="e">
        <f>#REF!</f>
        <v>#REF!</v>
      </c>
      <c r="E661" s="97">
        <f>'Danh sách máy'!E656</f>
        <v>0</v>
      </c>
      <c r="F661" s="206" t="e">
        <f>#REF!</f>
        <v>#REF!</v>
      </c>
      <c r="G661" s="102" t="e">
        <f>#REF!</f>
        <v>#REF!</v>
      </c>
      <c r="H661" s="102" t="e">
        <f>#REF!</f>
        <v>#REF!</v>
      </c>
      <c r="K661" s="210" t="e">
        <f>#REF!</f>
        <v>#REF!</v>
      </c>
      <c r="L661" s="210">
        <v>44930</v>
      </c>
      <c r="M661" s="210"/>
      <c r="N661" s="210">
        <f>'Danh sách máy'!F656</f>
        <v>0</v>
      </c>
      <c r="O661" s="211" t="str" cm="1">
        <f t="array" ref="O661">IF(L661&lt;&gt;0,IF(L661&lt;I661,"OK","NG"),Blank)</f>
        <v>NG</v>
      </c>
      <c r="P661" s="211" t="e" cm="1">
        <f t="array" ref="P661">IF(M661&lt;&gt;0,IF(M661&lt;J661,"OK","NG"),Blank)</f>
        <v>#NAME?</v>
      </c>
      <c r="Q661" s="211" t="e" cm="1">
        <f t="array" ref="Q661">IF(H661&lt;&gt;"Stop",IF(N661&lt;&gt;0,IF(N661&lt;=K661,"OK","NG"),Blank),"-")</f>
        <v>#REF!</v>
      </c>
      <c r="R661" s="326" t="e" cm="1">
        <f t="array" ref="R661">IF(H661&lt;&gt;"Stop",IF(E661&lt;&gt;0,IF(E661&lt;=K661,"OK","NG"),Blank),"-")</f>
        <v>#REF!</v>
      </c>
    </row>
    <row r="662" spans="1:18" ht="15" hidden="1" x14ac:dyDescent="0.3">
      <c r="A662" s="318" t="e">
        <f>#REF!</f>
        <v>#REF!</v>
      </c>
      <c r="B662" s="305" t="e">
        <f>#REF!</f>
        <v>#REF!</v>
      </c>
      <c r="C662" s="305" t="str">
        <f>'Danh sách máy'!C657</f>
        <v>Fact.4</v>
      </c>
      <c r="D662" s="90" t="e">
        <f>#REF!</f>
        <v>#REF!</v>
      </c>
      <c r="E662" s="97">
        <f>'Danh sách máy'!E657</f>
        <v>0</v>
      </c>
      <c r="F662" s="206" t="e">
        <f>#REF!</f>
        <v>#REF!</v>
      </c>
      <c r="G662" s="102" t="e">
        <f>#REF!</f>
        <v>#REF!</v>
      </c>
      <c r="H662" s="102" t="e">
        <f>#REF!</f>
        <v>#REF!</v>
      </c>
      <c r="K662" s="210" t="e">
        <f>#REF!</f>
        <v>#REF!</v>
      </c>
      <c r="L662" s="210">
        <v>44931</v>
      </c>
      <c r="M662" s="210"/>
      <c r="N662" s="210">
        <f>'Danh sách máy'!F657</f>
        <v>0</v>
      </c>
      <c r="O662" s="211" t="str" cm="1">
        <f t="array" ref="O662">IF(L662&lt;&gt;0,IF(L662&lt;I662,"OK","NG"),Blank)</f>
        <v>NG</v>
      </c>
      <c r="P662" s="211" t="e" cm="1">
        <f t="array" ref="P662">IF(M662&lt;&gt;0,IF(M662&lt;J662,"OK","NG"),Blank)</f>
        <v>#NAME?</v>
      </c>
      <c r="Q662" s="211" t="e" cm="1">
        <f t="array" ref="Q662">IF(H662&lt;&gt;"Stop",IF(N662&lt;&gt;0,IF(N662&lt;=K662,"OK","NG"),Blank),"-")</f>
        <v>#REF!</v>
      </c>
      <c r="R662" s="326" t="e" cm="1">
        <f t="array" ref="R662">IF(H662&lt;&gt;"Stop",IF(E662&lt;&gt;0,IF(E662&lt;=K662,"OK","NG"),Blank),"-")</f>
        <v>#REF!</v>
      </c>
    </row>
    <row r="663" spans="1:18" ht="15" hidden="1" x14ac:dyDescent="0.3">
      <c r="A663" s="318" t="e">
        <f>#REF!</f>
        <v>#REF!</v>
      </c>
      <c r="B663" s="305" t="e">
        <f>#REF!</f>
        <v>#REF!</v>
      </c>
      <c r="C663" s="305" t="str">
        <f>'Danh sách máy'!C658</f>
        <v>MKHC</v>
      </c>
      <c r="D663" s="90" t="e">
        <f>#REF!</f>
        <v>#REF!</v>
      </c>
      <c r="E663" s="97">
        <f>'Danh sách máy'!E658</f>
        <v>45886</v>
      </c>
      <c r="F663" s="206" t="e">
        <f>#REF!</f>
        <v>#REF!</v>
      </c>
      <c r="G663" s="102" t="e">
        <f>#REF!</f>
        <v>#REF!</v>
      </c>
      <c r="H663" s="102" t="e">
        <f>#REF!</f>
        <v>#REF!</v>
      </c>
      <c r="K663" s="210" t="e">
        <f>#REF!</f>
        <v>#REF!</v>
      </c>
      <c r="L663" s="210">
        <v>44932</v>
      </c>
      <c r="M663" s="210"/>
      <c r="N663" s="210">
        <f>'Danh sách máy'!F658</f>
        <v>0</v>
      </c>
      <c r="O663" s="211" t="str" cm="1">
        <f t="array" ref="O663">IF(L663&lt;&gt;0,IF(L663&lt;I663,"OK","NG"),Blank)</f>
        <v>NG</v>
      </c>
      <c r="P663" s="211" t="e" cm="1">
        <f t="array" ref="P663">IF(M663&lt;&gt;0,IF(M663&lt;J663,"OK","NG"),Blank)</f>
        <v>#NAME?</v>
      </c>
      <c r="Q663" s="211" t="e" cm="1">
        <f t="array" ref="Q663">IF(H663&lt;&gt;"Stop",IF(N663&lt;&gt;0,IF(N663&lt;=K663,"OK","NG"),Blank),"-")</f>
        <v>#REF!</v>
      </c>
      <c r="R663" s="326" t="e" cm="1">
        <f t="array" ref="R663">IF(H663&lt;&gt;"Stop",IF(E663&lt;&gt;0,IF(E663&lt;=K663,"OK","NG"),Blank),"-")</f>
        <v>#REF!</v>
      </c>
    </row>
    <row r="664" spans="1:18" ht="15" hidden="1" x14ac:dyDescent="0.3">
      <c r="A664" s="318" t="e">
        <f>#REF!</f>
        <v>#REF!</v>
      </c>
      <c r="B664" s="305" t="e">
        <f>#REF!</f>
        <v>#REF!</v>
      </c>
      <c r="C664" s="305" t="str">
        <f>'Danh sách máy'!C659</f>
        <v>MKHC</v>
      </c>
      <c r="D664" s="90" t="e">
        <f>#REF!</f>
        <v>#REF!</v>
      </c>
      <c r="E664" s="97">
        <f>'Danh sách máy'!E659</f>
        <v>45886</v>
      </c>
      <c r="F664" s="206" t="e">
        <f>#REF!</f>
        <v>#REF!</v>
      </c>
      <c r="G664" s="102" t="e">
        <f>#REF!</f>
        <v>#REF!</v>
      </c>
      <c r="H664" s="102" t="e">
        <f>#REF!</f>
        <v>#REF!</v>
      </c>
      <c r="K664" s="210" t="e">
        <f>#REF!</f>
        <v>#REF!</v>
      </c>
      <c r="L664" s="210">
        <v>44933</v>
      </c>
      <c r="M664" s="210"/>
      <c r="N664" s="210">
        <f>'Danh sách máy'!F659</f>
        <v>0</v>
      </c>
      <c r="O664" s="211" t="str" cm="1">
        <f t="array" ref="O664">IF(L664&lt;&gt;0,IF(L664&lt;I664,"OK","NG"),Blank)</f>
        <v>NG</v>
      </c>
      <c r="P664" s="211" t="e" cm="1">
        <f t="array" ref="P664">IF(M664&lt;&gt;0,IF(M664&lt;J664,"OK","NG"),Blank)</f>
        <v>#NAME?</v>
      </c>
      <c r="Q664" s="211" t="e" cm="1">
        <f t="array" ref="Q664">IF(H664&lt;&gt;"Stop",IF(N664&lt;&gt;0,IF(N664&lt;=K664,"OK","NG"),Blank),"-")</f>
        <v>#REF!</v>
      </c>
      <c r="R664" s="326" t="e" cm="1">
        <f t="array" ref="R664">IF(H664&lt;&gt;"Stop",IF(E664&lt;&gt;0,IF(E664&lt;=K664,"OK","NG"),Blank),"-")</f>
        <v>#REF!</v>
      </c>
    </row>
    <row r="665" spans="1:18" ht="15" x14ac:dyDescent="0.3">
      <c r="A665" s="318" t="e">
        <f>#REF!</f>
        <v>#REF!</v>
      </c>
      <c r="B665" s="305" t="e">
        <f>#REF!</f>
        <v>#REF!</v>
      </c>
      <c r="C665" s="305" t="str">
        <f>'Danh sách máy'!C660</f>
        <v>MKHC</v>
      </c>
      <c r="D665" s="90" t="e">
        <f>#REF!</f>
        <v>#REF!</v>
      </c>
      <c r="E665" s="97">
        <f>'Danh sách máy'!E660</f>
        <v>45992</v>
      </c>
      <c r="F665" s="206" t="e">
        <f>#REF!</f>
        <v>#REF!</v>
      </c>
      <c r="G665" s="102" t="e">
        <f>#REF!</f>
        <v>#REF!</v>
      </c>
      <c r="H665" s="102" t="e">
        <f>#REF!</f>
        <v>#REF!</v>
      </c>
      <c r="K665" s="210" t="e">
        <f>#REF!</f>
        <v>#REF!</v>
      </c>
      <c r="L665" s="210">
        <v>44934</v>
      </c>
      <c r="M665" s="210"/>
      <c r="N665" s="210">
        <f>'Danh sách máy'!F660</f>
        <v>46000</v>
      </c>
      <c r="O665" s="211" t="str" cm="1">
        <f t="array" ref="O665">IF(L665&lt;&gt;0,IF(L665&lt;I665,"OK","NG"),Blank)</f>
        <v>NG</v>
      </c>
      <c r="P665" s="211" t="e" cm="1">
        <f t="array" ref="P665">IF(M665&lt;&gt;0,IF(M665&lt;J665,"OK","NG"),Blank)</f>
        <v>#NAME?</v>
      </c>
      <c r="Q665" s="211" t="e" cm="1">
        <f t="array" ref="Q665">IF(H665&lt;&gt;"Stop",IF(N665&lt;&gt;0,IF(N665&lt;=K665,"OK","NG"),Blank),"-")</f>
        <v>#REF!</v>
      </c>
      <c r="R665" s="326" t="e" cm="1">
        <f t="array" ref="R665">IF(H665&lt;&gt;"Stop",IF(E665&lt;&gt;0,IF(E665&lt;=K665,"OK","NG"),Blank),"-")</f>
        <v>#REF!</v>
      </c>
    </row>
    <row r="666" spans="1:18" ht="15" x14ac:dyDescent="0.3">
      <c r="A666" s="318" t="e">
        <f>#REF!</f>
        <v>#REF!</v>
      </c>
      <c r="B666" s="305" t="e">
        <f>#REF!</f>
        <v>#REF!</v>
      </c>
      <c r="C666" s="305" t="str">
        <f>'Danh sách máy'!C661</f>
        <v>MKHC</v>
      </c>
      <c r="D666" s="90" t="e">
        <f>#REF!</f>
        <v>#REF!</v>
      </c>
      <c r="E666" s="97">
        <f>'Danh sách máy'!E661</f>
        <v>45992</v>
      </c>
      <c r="F666" s="206" t="e">
        <f>#REF!</f>
        <v>#REF!</v>
      </c>
      <c r="G666" s="102" t="e">
        <f>#REF!</f>
        <v>#REF!</v>
      </c>
      <c r="H666" s="102" t="e">
        <f>#REF!</f>
        <v>#REF!</v>
      </c>
      <c r="K666" s="210" t="e">
        <f>#REF!</f>
        <v>#REF!</v>
      </c>
      <c r="L666" s="210">
        <v>44935</v>
      </c>
      <c r="M666" s="210"/>
      <c r="N666" s="210">
        <f>'Danh sách máy'!F661</f>
        <v>46000</v>
      </c>
      <c r="O666" s="211" t="str" cm="1">
        <f t="array" ref="O666">IF(L666&lt;&gt;0,IF(L666&lt;I666,"OK","NG"),Blank)</f>
        <v>NG</v>
      </c>
      <c r="P666" s="211" t="e" cm="1">
        <f t="array" ref="P666">IF(M666&lt;&gt;0,IF(M666&lt;J666,"OK","NG"),Blank)</f>
        <v>#NAME?</v>
      </c>
      <c r="Q666" s="211" t="e" cm="1">
        <f t="array" ref="Q666">IF(H666&lt;&gt;"Stop",IF(N666&lt;&gt;0,IF(N666&lt;=K666,"OK","NG"),Blank),"-")</f>
        <v>#REF!</v>
      </c>
      <c r="R666" s="326" t="e" cm="1">
        <f t="array" ref="R666">IF(H666&lt;&gt;"Stop",IF(E666&lt;&gt;0,IF(E666&lt;=K666,"OK","NG"),Blank),"-")</f>
        <v>#REF!</v>
      </c>
    </row>
    <row r="667" spans="1:18" ht="15" x14ac:dyDescent="0.3">
      <c r="A667" s="318" t="e">
        <f>#REF!</f>
        <v>#REF!</v>
      </c>
      <c r="B667" s="305" t="e">
        <f>#REF!</f>
        <v>#REF!</v>
      </c>
      <c r="C667" s="305" t="str">
        <f>'Danh sách máy'!C662</f>
        <v>MKHC</v>
      </c>
      <c r="D667" s="90" t="e">
        <f>#REF!</f>
        <v>#REF!</v>
      </c>
      <c r="E667" s="97">
        <f>'Danh sách máy'!E662</f>
        <v>45978</v>
      </c>
      <c r="F667" s="206" t="e">
        <f>#REF!</f>
        <v>#REF!</v>
      </c>
      <c r="G667" s="102" t="e">
        <f>#REF!</f>
        <v>#REF!</v>
      </c>
      <c r="H667" s="102" t="e">
        <f>#REF!</f>
        <v>#REF!</v>
      </c>
      <c r="K667" s="210" t="e">
        <f>#REF!</f>
        <v>#REF!</v>
      </c>
      <c r="L667" s="210">
        <v>44936</v>
      </c>
      <c r="M667" s="210"/>
      <c r="N667" s="210">
        <f>'Danh sách máy'!F662</f>
        <v>46000</v>
      </c>
      <c r="O667" s="211" t="str" cm="1">
        <f t="array" ref="O667">IF(L667&lt;&gt;0,IF(L667&lt;I667,"OK","NG"),Blank)</f>
        <v>NG</v>
      </c>
      <c r="P667" s="211" t="e" cm="1">
        <f t="array" ref="P667">IF(M667&lt;&gt;0,IF(M667&lt;J667,"OK","NG"),Blank)</f>
        <v>#NAME?</v>
      </c>
      <c r="Q667" s="211" t="e" cm="1">
        <f t="array" ref="Q667">IF(H667&lt;&gt;"Stop",IF(N667&lt;&gt;0,IF(N667&lt;=K667,"OK","NG"),Blank),"-")</f>
        <v>#REF!</v>
      </c>
      <c r="R667" s="326" t="e" cm="1">
        <f t="array" ref="R667">IF(H667&lt;&gt;"Stop",IF(E667&lt;&gt;0,IF(E667&lt;=K667,"OK","NG"),Blank),"-")</f>
        <v>#REF!</v>
      </c>
    </row>
    <row r="668" spans="1:18" ht="15" x14ac:dyDescent="0.3">
      <c r="A668" s="318" t="e">
        <f>#REF!</f>
        <v>#REF!</v>
      </c>
      <c r="B668" s="305" t="e">
        <f>#REF!</f>
        <v>#REF!</v>
      </c>
      <c r="C668" s="305" t="str">
        <f>'Danh sách máy'!C663</f>
        <v>MKHC</v>
      </c>
      <c r="D668" s="90" t="e">
        <f>#REF!</f>
        <v>#REF!</v>
      </c>
      <c r="E668" s="97">
        <f>'Danh sách máy'!E663</f>
        <v>45978</v>
      </c>
      <c r="F668" s="206" t="e">
        <f>#REF!</f>
        <v>#REF!</v>
      </c>
      <c r="G668" s="102" t="e">
        <f>#REF!</f>
        <v>#REF!</v>
      </c>
      <c r="H668" s="102" t="e">
        <f>#REF!</f>
        <v>#REF!</v>
      </c>
      <c r="K668" s="210" t="e">
        <f>#REF!</f>
        <v>#REF!</v>
      </c>
      <c r="L668" s="210">
        <v>44937</v>
      </c>
      <c r="M668" s="210"/>
      <c r="N668" s="210">
        <f>'Danh sách máy'!F663</f>
        <v>46000</v>
      </c>
      <c r="O668" s="211" t="str" cm="1">
        <f t="array" ref="O668">IF(L668&lt;&gt;0,IF(L668&lt;I668,"OK","NG"),Blank)</f>
        <v>NG</v>
      </c>
      <c r="P668" s="211" t="e" cm="1">
        <f t="array" ref="P668">IF(M668&lt;&gt;0,IF(M668&lt;J668,"OK","NG"),Blank)</f>
        <v>#NAME?</v>
      </c>
      <c r="Q668" s="211" t="e" cm="1">
        <f t="array" ref="Q668">IF(H668&lt;&gt;"Stop",IF(N668&lt;&gt;0,IF(N668&lt;=K668,"OK","NG"),Blank),"-")</f>
        <v>#REF!</v>
      </c>
      <c r="R668" s="326" t="e" cm="1">
        <f t="array" ref="R668">IF(H668&lt;&gt;"Stop",IF(E668&lt;&gt;0,IF(E668&lt;=K668,"OK","NG"),Blank),"-")</f>
        <v>#REF!</v>
      </c>
    </row>
    <row r="669" spans="1:18" ht="15" x14ac:dyDescent="0.3">
      <c r="A669" s="318" t="e">
        <f>#REF!</f>
        <v>#REF!</v>
      </c>
      <c r="B669" s="305" t="e">
        <f>#REF!</f>
        <v>#REF!</v>
      </c>
      <c r="C669" s="305" t="str">
        <f>'Danh sách máy'!C664</f>
        <v>MKHC</v>
      </c>
      <c r="D669" s="90" t="e">
        <f>#REF!</f>
        <v>#REF!</v>
      </c>
      <c r="E669" s="97">
        <f>'Danh sách máy'!E664</f>
        <v>45978</v>
      </c>
      <c r="F669" s="206" t="e">
        <f>#REF!</f>
        <v>#REF!</v>
      </c>
      <c r="G669" s="102" t="e">
        <f>#REF!</f>
        <v>#REF!</v>
      </c>
      <c r="H669" s="102" t="e">
        <f>#REF!</f>
        <v>#REF!</v>
      </c>
      <c r="K669" s="210" t="e">
        <f>#REF!</f>
        <v>#REF!</v>
      </c>
      <c r="L669" s="210">
        <v>44938</v>
      </c>
      <c r="M669" s="210"/>
      <c r="N669" s="210">
        <f>'Danh sách máy'!F664</f>
        <v>46000</v>
      </c>
      <c r="O669" s="211" t="str" cm="1">
        <f t="array" ref="O669">IF(L669&lt;&gt;0,IF(L669&lt;I669,"OK","NG"),Blank)</f>
        <v>NG</v>
      </c>
      <c r="P669" s="211" t="e" cm="1">
        <f t="array" ref="P669">IF(M669&lt;&gt;0,IF(M669&lt;J669,"OK","NG"),Blank)</f>
        <v>#NAME?</v>
      </c>
      <c r="Q669" s="211" t="e" cm="1">
        <f t="array" ref="Q669">IF(H669&lt;&gt;"Stop",IF(N669&lt;&gt;0,IF(N669&lt;=K669,"OK","NG"),Blank),"-")</f>
        <v>#REF!</v>
      </c>
      <c r="R669" s="326" t="e" cm="1">
        <f t="array" ref="R669">IF(H669&lt;&gt;"Stop",IF(E669&lt;&gt;0,IF(E669&lt;=K669,"OK","NG"),Blank),"-")</f>
        <v>#REF!</v>
      </c>
    </row>
    <row r="670" spans="1:18" ht="15" x14ac:dyDescent="0.3">
      <c r="A670" s="318" t="e">
        <f>#REF!</f>
        <v>#REF!</v>
      </c>
      <c r="B670" s="305" t="e">
        <f>#REF!</f>
        <v>#REF!</v>
      </c>
      <c r="C670" s="305" t="str">
        <f>'Danh sách máy'!C665</f>
        <v>MKHC</v>
      </c>
      <c r="D670" s="90" t="e">
        <f>#REF!</f>
        <v>#REF!</v>
      </c>
      <c r="E670" s="97">
        <f>'Danh sách máy'!E665</f>
        <v>45978</v>
      </c>
      <c r="F670" s="206" t="e">
        <f>#REF!</f>
        <v>#REF!</v>
      </c>
      <c r="G670" s="102" t="e">
        <f>#REF!</f>
        <v>#REF!</v>
      </c>
      <c r="H670" s="102" t="e">
        <f>#REF!</f>
        <v>#REF!</v>
      </c>
      <c r="K670" s="210" t="e">
        <f>#REF!</f>
        <v>#REF!</v>
      </c>
      <c r="L670" s="210">
        <v>44939</v>
      </c>
      <c r="M670" s="210"/>
      <c r="N670" s="210">
        <f>'Danh sách máy'!F665</f>
        <v>46000</v>
      </c>
      <c r="O670" s="211" t="str" cm="1">
        <f t="array" ref="O670">IF(L670&lt;&gt;0,IF(L670&lt;I670,"OK","NG"),Blank)</f>
        <v>NG</v>
      </c>
      <c r="P670" s="211" t="e" cm="1">
        <f t="array" ref="P670">IF(M670&lt;&gt;0,IF(M670&lt;J670,"OK","NG"),Blank)</f>
        <v>#NAME?</v>
      </c>
      <c r="Q670" s="211" t="e" cm="1">
        <f t="array" ref="Q670">IF(H670&lt;&gt;"Stop",IF(N670&lt;&gt;0,IF(N670&lt;=K670,"OK","NG"),Blank),"-")</f>
        <v>#REF!</v>
      </c>
      <c r="R670" s="326" t="e" cm="1">
        <f t="array" ref="R670">IF(H670&lt;&gt;"Stop",IF(E670&lt;&gt;0,IF(E670&lt;=K670,"OK","NG"),Blank),"-")</f>
        <v>#REF!</v>
      </c>
    </row>
    <row r="671" spans="1:18" ht="15" x14ac:dyDescent="0.3">
      <c r="A671" s="318" t="e">
        <f>#REF!</f>
        <v>#REF!</v>
      </c>
      <c r="B671" s="305" t="e">
        <f>#REF!</f>
        <v>#REF!</v>
      </c>
      <c r="C671" s="305" t="str">
        <f>'Danh sách máy'!C666</f>
        <v>MKHC</v>
      </c>
      <c r="D671" s="90" t="e">
        <f>#REF!</f>
        <v>#REF!</v>
      </c>
      <c r="E671" s="97">
        <f>'Danh sách máy'!E666</f>
        <v>45964</v>
      </c>
      <c r="F671" s="206" t="e">
        <f>#REF!</f>
        <v>#REF!</v>
      </c>
      <c r="G671" s="102" t="e">
        <f>#REF!</f>
        <v>#REF!</v>
      </c>
      <c r="H671" s="102" t="e">
        <f>#REF!</f>
        <v>#REF!</v>
      </c>
      <c r="K671" s="210" t="e">
        <f>#REF!</f>
        <v>#REF!</v>
      </c>
      <c r="L671" s="210">
        <v>44940</v>
      </c>
      <c r="M671" s="210"/>
      <c r="N671" s="210">
        <f>'Danh sách máy'!F666</f>
        <v>46010</v>
      </c>
      <c r="O671" s="211" t="str" cm="1">
        <f t="array" ref="O671">IF(L671&lt;&gt;0,IF(L671&lt;I671,"OK","NG"),Blank)</f>
        <v>NG</v>
      </c>
      <c r="P671" s="211" t="e" cm="1">
        <f t="array" ref="P671">IF(M671&lt;&gt;0,IF(M671&lt;J671,"OK","NG"),Blank)</f>
        <v>#NAME?</v>
      </c>
      <c r="Q671" s="211" t="e" cm="1">
        <f t="array" ref="Q671">IF(H671&lt;&gt;"Stop",IF(N671&lt;&gt;0,IF(N671&lt;=K671,"OK","NG"),Blank),"-")</f>
        <v>#REF!</v>
      </c>
      <c r="R671" s="326" t="e" cm="1">
        <f t="array" ref="R671">IF(H671&lt;&gt;"Stop",IF(E671&lt;&gt;0,IF(E671&lt;=K671,"OK","NG"),Blank),"-")</f>
        <v>#REF!</v>
      </c>
    </row>
    <row r="672" spans="1:18" ht="15" x14ac:dyDescent="0.3">
      <c r="A672" s="318" t="e">
        <f>#REF!</f>
        <v>#REF!</v>
      </c>
      <c r="B672" s="305" t="e">
        <f>#REF!</f>
        <v>#REF!</v>
      </c>
      <c r="C672" s="305" t="str">
        <f>'Danh sách máy'!C667</f>
        <v>MKHC</v>
      </c>
      <c r="D672" s="90" t="e">
        <f>#REF!</f>
        <v>#REF!</v>
      </c>
      <c r="E672" s="97">
        <f>'Danh sách máy'!E667</f>
        <v>45978</v>
      </c>
      <c r="F672" s="206" t="e">
        <f>#REF!</f>
        <v>#REF!</v>
      </c>
      <c r="G672" s="102" t="e">
        <f>#REF!</f>
        <v>#REF!</v>
      </c>
      <c r="H672" s="102" t="e">
        <f>#REF!</f>
        <v>#REF!</v>
      </c>
      <c r="K672" s="210" t="e">
        <f>#REF!</f>
        <v>#REF!</v>
      </c>
      <c r="L672" s="210">
        <v>44941</v>
      </c>
      <c r="M672" s="210"/>
      <c r="N672" s="210">
        <f>'Danh sách máy'!F667</f>
        <v>46010</v>
      </c>
      <c r="O672" s="211" t="str" cm="1">
        <f t="array" ref="O672">IF(L672&lt;&gt;0,IF(L672&lt;I672,"OK","NG"),Blank)</f>
        <v>NG</v>
      </c>
      <c r="P672" s="211" t="e" cm="1">
        <f t="array" ref="P672">IF(M672&lt;&gt;0,IF(M672&lt;J672,"OK","NG"),Blank)</f>
        <v>#NAME?</v>
      </c>
      <c r="Q672" s="211" t="e" cm="1">
        <f t="array" ref="Q672">IF(H672&lt;&gt;"Stop",IF(N672&lt;&gt;0,IF(N672&lt;=K672,"OK","NG"),Blank),"-")</f>
        <v>#REF!</v>
      </c>
      <c r="R672" s="326" t="e" cm="1">
        <f t="array" ref="R672">IF(H672&lt;&gt;"Stop",IF(E672&lt;&gt;0,IF(E672&lt;=K672,"OK","NG"),Blank),"-")</f>
        <v>#REF!</v>
      </c>
    </row>
    <row r="673" spans="1:18" ht="15" x14ac:dyDescent="0.3">
      <c r="A673" s="318" t="e">
        <f>#REF!</f>
        <v>#REF!</v>
      </c>
      <c r="B673" s="305" t="e">
        <f>#REF!</f>
        <v>#REF!</v>
      </c>
      <c r="C673" s="305" t="str">
        <f>'Danh sách máy'!C668</f>
        <v>MKHC</v>
      </c>
      <c r="D673" s="90" t="e">
        <f>#REF!</f>
        <v>#REF!</v>
      </c>
      <c r="E673" s="97">
        <f>'Danh sách máy'!E668</f>
        <v>45978</v>
      </c>
      <c r="F673" s="206" t="e">
        <f>#REF!</f>
        <v>#REF!</v>
      </c>
      <c r="G673" s="102" t="e">
        <f>#REF!</f>
        <v>#REF!</v>
      </c>
      <c r="H673" s="102" t="e">
        <f>#REF!</f>
        <v>#REF!</v>
      </c>
      <c r="K673" s="210" t="e">
        <f>#REF!</f>
        <v>#REF!</v>
      </c>
      <c r="L673" s="210">
        <v>44942</v>
      </c>
      <c r="M673" s="210"/>
      <c r="N673" s="210">
        <f>'Danh sách máy'!F668</f>
        <v>46010</v>
      </c>
      <c r="O673" s="211" t="str" cm="1">
        <f t="array" ref="O673">IF(L673&lt;&gt;0,IF(L673&lt;I673,"OK","NG"),Blank)</f>
        <v>NG</v>
      </c>
      <c r="P673" s="211" t="e" cm="1">
        <f t="array" ref="P673">IF(M673&lt;&gt;0,IF(M673&lt;J673,"OK","NG"),Blank)</f>
        <v>#NAME?</v>
      </c>
      <c r="Q673" s="211" t="e" cm="1">
        <f t="array" ref="Q673">IF(H673&lt;&gt;"Stop",IF(N673&lt;&gt;0,IF(N673&lt;=K673,"OK","NG"),Blank),"-")</f>
        <v>#REF!</v>
      </c>
      <c r="R673" s="326" t="e" cm="1">
        <f t="array" ref="R673">IF(H673&lt;&gt;"Stop",IF(E673&lt;&gt;0,IF(E673&lt;=K673,"OK","NG"),Blank),"-")</f>
        <v>#REF!</v>
      </c>
    </row>
    <row r="674" spans="1:18" ht="15" x14ac:dyDescent="0.3">
      <c r="A674" s="318" t="e">
        <f>#REF!</f>
        <v>#REF!</v>
      </c>
      <c r="B674" s="305" t="e">
        <f>#REF!</f>
        <v>#REF!</v>
      </c>
      <c r="C674" s="305" t="str">
        <f>'Danh sách máy'!C669</f>
        <v>MKHC</v>
      </c>
      <c r="D674" s="90" t="e">
        <f>#REF!</f>
        <v>#REF!</v>
      </c>
      <c r="E674" s="97">
        <f>'Danh sách máy'!E669</f>
        <v>45964</v>
      </c>
      <c r="F674" s="206" t="e">
        <f>#REF!</f>
        <v>#REF!</v>
      </c>
      <c r="G674" s="102" t="e">
        <f>#REF!</f>
        <v>#REF!</v>
      </c>
      <c r="H674" s="102" t="e">
        <f>#REF!</f>
        <v>#REF!</v>
      </c>
      <c r="K674" s="210" t="e">
        <f>#REF!</f>
        <v>#REF!</v>
      </c>
      <c r="L674" s="210">
        <v>44943</v>
      </c>
      <c r="M674" s="210"/>
      <c r="N674" s="210">
        <f>'Danh sách máy'!F669</f>
        <v>46010</v>
      </c>
      <c r="O674" s="211" t="str" cm="1">
        <f t="array" ref="O674">IF(L674&lt;&gt;0,IF(L674&lt;I674,"OK","NG"),Blank)</f>
        <v>NG</v>
      </c>
      <c r="P674" s="211" t="e" cm="1">
        <f t="array" ref="P674">IF(M674&lt;&gt;0,IF(M674&lt;J674,"OK","NG"),Blank)</f>
        <v>#NAME?</v>
      </c>
      <c r="Q674" s="211" t="e" cm="1">
        <f t="array" ref="Q674">IF(H674&lt;&gt;"Stop",IF(N674&lt;&gt;0,IF(N674&lt;=K674,"OK","NG"),Blank),"-")</f>
        <v>#REF!</v>
      </c>
      <c r="R674" s="326" t="e" cm="1">
        <f t="array" ref="R674">IF(H674&lt;&gt;"Stop",IF(E674&lt;&gt;0,IF(E674&lt;=K674,"OK","NG"),Blank),"-")</f>
        <v>#REF!</v>
      </c>
    </row>
    <row r="675" spans="1:18" ht="15" hidden="1" x14ac:dyDescent="0.3">
      <c r="A675" s="318" t="e">
        <f>#REF!</f>
        <v>#REF!</v>
      </c>
      <c r="B675" s="305" t="e">
        <f>#REF!</f>
        <v>#REF!</v>
      </c>
      <c r="C675" s="305" t="str">
        <f>'Danh sách máy'!C670</f>
        <v>MKHC</v>
      </c>
      <c r="D675" s="90" t="e">
        <f>#REF!</f>
        <v>#REF!</v>
      </c>
      <c r="E675" s="97">
        <f>'Danh sách máy'!E670</f>
        <v>46021</v>
      </c>
      <c r="F675" s="206" t="e">
        <f>#REF!</f>
        <v>#REF!</v>
      </c>
      <c r="G675" s="102" t="e">
        <f>#REF!</f>
        <v>#REF!</v>
      </c>
      <c r="H675" s="102" t="e">
        <f>#REF!</f>
        <v>#REF!</v>
      </c>
      <c r="K675" s="210" t="e">
        <f>#REF!</f>
        <v>#REF!</v>
      </c>
      <c r="L675" s="210">
        <v>44944</v>
      </c>
      <c r="M675" s="210"/>
      <c r="N675" s="210">
        <f>'Danh sách máy'!F670</f>
        <v>45669</v>
      </c>
      <c r="O675" s="211" t="str" cm="1">
        <f t="array" ref="O675">IF(L675&lt;&gt;0,IF(L675&lt;I675,"OK","NG"),Blank)</f>
        <v>NG</v>
      </c>
      <c r="P675" s="211" t="e" cm="1">
        <f t="array" ref="P675">IF(M675&lt;&gt;0,IF(M675&lt;J675,"OK","NG"),Blank)</f>
        <v>#NAME?</v>
      </c>
      <c r="Q675" s="211" t="e" cm="1">
        <f t="array" ref="Q675">IF(H675&lt;&gt;"Stop",IF(N675&lt;&gt;0,IF(N675&lt;=K675,"OK","NG"),Blank),"-")</f>
        <v>#REF!</v>
      </c>
      <c r="R675" s="326" t="e" cm="1">
        <f t="array" ref="R675">IF(H675&lt;&gt;"Stop",IF(E675&lt;&gt;0,IF(E675&lt;=K675,"OK","NG"),Blank),"-")</f>
        <v>#REF!</v>
      </c>
    </row>
    <row r="676" spans="1:18" ht="15" x14ac:dyDescent="0.3">
      <c r="A676" s="318" t="e">
        <f>#REF!</f>
        <v>#REF!</v>
      </c>
      <c r="B676" s="305" t="e">
        <f>#REF!</f>
        <v>#REF!</v>
      </c>
      <c r="C676" s="305" t="str">
        <f>'Danh sách máy'!C671</f>
        <v>MKHC</v>
      </c>
      <c r="D676" s="90" t="e">
        <f>#REF!</f>
        <v>#REF!</v>
      </c>
      <c r="E676" s="97">
        <f>'Danh sách máy'!E671</f>
        <v>45978</v>
      </c>
      <c r="F676" s="206" t="e">
        <f>#REF!</f>
        <v>#REF!</v>
      </c>
      <c r="G676" s="102" t="e">
        <f>#REF!</f>
        <v>#REF!</v>
      </c>
      <c r="H676" s="102" t="e">
        <f>#REF!</f>
        <v>#REF!</v>
      </c>
      <c r="K676" s="210" t="e">
        <f>#REF!</f>
        <v>#REF!</v>
      </c>
      <c r="L676" s="210">
        <v>44945</v>
      </c>
      <c r="M676" s="210"/>
      <c r="N676" s="210">
        <f>'Danh sách máy'!F671</f>
        <v>46000</v>
      </c>
      <c r="O676" s="211" t="str" cm="1">
        <f t="array" ref="O676">IF(L676&lt;&gt;0,IF(L676&lt;I676,"OK","NG"),Blank)</f>
        <v>NG</v>
      </c>
      <c r="P676" s="211" t="e" cm="1">
        <f t="array" ref="P676">IF(M676&lt;&gt;0,IF(M676&lt;J676,"OK","NG"),Blank)</f>
        <v>#NAME?</v>
      </c>
      <c r="Q676" s="211" t="e" cm="1">
        <f t="array" ref="Q676">IF(H676&lt;&gt;"Stop",IF(N676&lt;&gt;0,IF(N676&lt;=K676,"OK","NG"),Blank),"-")</f>
        <v>#REF!</v>
      </c>
      <c r="R676" s="326" t="e" cm="1">
        <f t="array" ref="R676">IF(H676&lt;&gt;"Stop",IF(E676&lt;&gt;0,IF(E676&lt;=K676,"OK","NG"),Blank),"-")</f>
        <v>#REF!</v>
      </c>
    </row>
    <row r="677" spans="1:18" ht="15" x14ac:dyDescent="0.3">
      <c r="A677" s="318" t="e">
        <f>#REF!</f>
        <v>#REF!</v>
      </c>
      <c r="B677" s="305" t="e">
        <f>#REF!</f>
        <v>#REF!</v>
      </c>
      <c r="C677" s="305" t="str">
        <f>'Danh sách máy'!C672</f>
        <v>MKHC</v>
      </c>
      <c r="D677" s="90" t="e">
        <f>#REF!</f>
        <v>#REF!</v>
      </c>
      <c r="E677" s="97">
        <f>'Danh sách máy'!E672</f>
        <v>45978</v>
      </c>
      <c r="F677" s="206" t="e">
        <f>#REF!</f>
        <v>#REF!</v>
      </c>
      <c r="G677" s="102" t="e">
        <f>#REF!</f>
        <v>#REF!</v>
      </c>
      <c r="H677" s="102" t="e">
        <f>#REF!</f>
        <v>#REF!</v>
      </c>
      <c r="K677" s="210" t="e">
        <f>#REF!</f>
        <v>#REF!</v>
      </c>
      <c r="L677" s="210">
        <v>44946</v>
      </c>
      <c r="M677" s="210"/>
      <c r="N677" s="210">
        <f>'Danh sách máy'!F672</f>
        <v>46000</v>
      </c>
      <c r="O677" s="211" t="str" cm="1">
        <f t="array" ref="O677">IF(L677&lt;&gt;0,IF(L677&lt;I677,"OK","NG"),Blank)</f>
        <v>NG</v>
      </c>
      <c r="P677" s="211" t="e" cm="1">
        <f t="array" ref="P677">IF(M677&lt;&gt;0,IF(M677&lt;J677,"OK","NG"),Blank)</f>
        <v>#NAME?</v>
      </c>
      <c r="Q677" s="211" t="e" cm="1">
        <f t="array" ref="Q677">IF(H677&lt;&gt;"Stop",IF(N677&lt;&gt;0,IF(N677&lt;=K677,"OK","NG"),Blank),"-")</f>
        <v>#REF!</v>
      </c>
      <c r="R677" s="326" t="e" cm="1">
        <f t="array" ref="R677">IF(H677&lt;&gt;"Stop",IF(E677&lt;&gt;0,IF(E677&lt;=K677,"OK","NG"),Blank),"-")</f>
        <v>#REF!</v>
      </c>
    </row>
    <row r="678" spans="1:18" ht="15" x14ac:dyDescent="0.3">
      <c r="A678" s="318" t="e">
        <f>#REF!</f>
        <v>#REF!</v>
      </c>
      <c r="B678" s="305" t="e">
        <f>#REF!</f>
        <v>#REF!</v>
      </c>
      <c r="C678" s="305" t="str">
        <f>'Danh sách máy'!C673</f>
        <v>MKHC</v>
      </c>
      <c r="D678" s="90" t="e">
        <f>#REF!</f>
        <v>#REF!</v>
      </c>
      <c r="E678" s="97">
        <f>'Danh sách máy'!E673</f>
        <v>45978</v>
      </c>
      <c r="F678" s="206" t="e">
        <f>#REF!</f>
        <v>#REF!</v>
      </c>
      <c r="G678" s="102" t="e">
        <f>#REF!</f>
        <v>#REF!</v>
      </c>
      <c r="H678" s="102" t="e">
        <f>#REF!</f>
        <v>#REF!</v>
      </c>
      <c r="K678" s="210" t="e">
        <f>#REF!</f>
        <v>#REF!</v>
      </c>
      <c r="L678" s="210">
        <v>44947</v>
      </c>
      <c r="M678" s="210"/>
      <c r="N678" s="210">
        <f>'Danh sách máy'!F673</f>
        <v>46000</v>
      </c>
      <c r="O678" s="211" t="str" cm="1">
        <f t="array" ref="O678">IF(L678&lt;&gt;0,IF(L678&lt;I678,"OK","NG"),Blank)</f>
        <v>NG</v>
      </c>
      <c r="P678" s="211" t="e" cm="1">
        <f t="array" ref="P678">IF(M678&lt;&gt;0,IF(M678&lt;J678,"OK","NG"),Blank)</f>
        <v>#NAME?</v>
      </c>
      <c r="Q678" s="211" t="e" cm="1">
        <f t="array" ref="Q678">IF(H678&lt;&gt;"Stop",IF(N678&lt;&gt;0,IF(N678&lt;=K678,"OK","NG"),Blank),"-")</f>
        <v>#REF!</v>
      </c>
      <c r="R678" s="326" t="e" cm="1">
        <f t="array" ref="R678">IF(H678&lt;&gt;"Stop",IF(E678&lt;&gt;0,IF(E678&lt;=K678,"OK","NG"),Blank),"-")</f>
        <v>#REF!</v>
      </c>
    </row>
    <row r="679" spans="1:18" ht="15" x14ac:dyDescent="0.3">
      <c r="A679" s="318" t="e">
        <f>#REF!</f>
        <v>#REF!</v>
      </c>
      <c r="B679" s="305" t="e">
        <f>#REF!</f>
        <v>#REF!</v>
      </c>
      <c r="C679" s="305" t="str">
        <f>'Danh sách máy'!C674</f>
        <v>MKHC</v>
      </c>
      <c r="D679" s="90" t="e">
        <f>#REF!</f>
        <v>#REF!</v>
      </c>
      <c r="E679" s="97">
        <f>'Danh sách máy'!E674</f>
        <v>45992</v>
      </c>
      <c r="F679" s="206" t="e">
        <f>#REF!</f>
        <v>#REF!</v>
      </c>
      <c r="G679" s="102" t="e">
        <f>#REF!</f>
        <v>#REF!</v>
      </c>
      <c r="H679" s="102" t="e">
        <f>#REF!</f>
        <v>#REF!</v>
      </c>
      <c r="K679" s="210" t="e">
        <f>#REF!</f>
        <v>#REF!</v>
      </c>
      <c r="L679" s="210">
        <v>44948</v>
      </c>
      <c r="M679" s="210"/>
      <c r="N679" s="210">
        <f>'Danh sách máy'!F674</f>
        <v>46000</v>
      </c>
      <c r="O679" s="211" t="str" cm="1">
        <f t="array" ref="O679">IF(L679&lt;&gt;0,IF(L679&lt;I679,"OK","NG"),Blank)</f>
        <v>NG</v>
      </c>
      <c r="P679" s="211" t="e" cm="1">
        <f t="array" ref="P679">IF(M679&lt;&gt;0,IF(M679&lt;J679,"OK","NG"),Blank)</f>
        <v>#NAME?</v>
      </c>
      <c r="Q679" s="211" t="e" cm="1">
        <f t="array" ref="Q679">IF(H679&lt;&gt;"Stop",IF(N679&lt;&gt;0,IF(N679&lt;=K679,"OK","NG"),Blank),"-")</f>
        <v>#REF!</v>
      </c>
      <c r="R679" s="326" t="e" cm="1">
        <f t="array" ref="R679">IF(H679&lt;&gt;"Stop",IF(E679&lt;&gt;0,IF(E679&lt;=K679,"OK","NG"),Blank),"-")</f>
        <v>#REF!</v>
      </c>
    </row>
    <row r="680" spans="1:18" ht="15" x14ac:dyDescent="0.3">
      <c r="A680" s="318" t="e">
        <f>#REF!</f>
        <v>#REF!</v>
      </c>
      <c r="B680" s="305" t="e">
        <f>#REF!</f>
        <v>#REF!</v>
      </c>
      <c r="C680" s="305" t="str">
        <f>'Danh sách máy'!C675</f>
        <v>MKHC</v>
      </c>
      <c r="D680" s="90" t="e">
        <f>#REF!</f>
        <v>#REF!</v>
      </c>
      <c r="E680" s="97">
        <f>'Danh sách máy'!E675</f>
        <v>45992</v>
      </c>
      <c r="F680" s="206" t="e">
        <f>#REF!</f>
        <v>#REF!</v>
      </c>
      <c r="G680" s="102" t="e">
        <f>#REF!</f>
        <v>#REF!</v>
      </c>
      <c r="H680" s="102" t="e">
        <f>#REF!</f>
        <v>#REF!</v>
      </c>
      <c r="K680" s="210" t="e">
        <f>#REF!</f>
        <v>#REF!</v>
      </c>
      <c r="L680" s="210">
        <v>44949</v>
      </c>
      <c r="M680" s="210"/>
      <c r="N680" s="210">
        <f>'Danh sách máy'!F675</f>
        <v>46000</v>
      </c>
      <c r="O680" s="211" t="str" cm="1">
        <f t="array" ref="O680">IF(L680&lt;&gt;0,IF(L680&lt;I680,"OK","NG"),Blank)</f>
        <v>NG</v>
      </c>
      <c r="P680" s="211" t="e" cm="1">
        <f t="array" ref="P680">IF(M680&lt;&gt;0,IF(M680&lt;J680,"OK","NG"),Blank)</f>
        <v>#NAME?</v>
      </c>
      <c r="Q680" s="211" t="e" cm="1">
        <f t="array" ref="Q680">IF(H680&lt;&gt;"Stop",IF(N680&lt;&gt;0,IF(N680&lt;=K680,"OK","NG"),Blank),"-")</f>
        <v>#REF!</v>
      </c>
      <c r="R680" s="326" t="e" cm="1">
        <f t="array" ref="R680">IF(H680&lt;&gt;"Stop",IF(E680&lt;&gt;0,IF(E680&lt;=K680,"OK","NG"),Blank),"-")</f>
        <v>#REF!</v>
      </c>
    </row>
    <row r="681" spans="1:18" ht="15" x14ac:dyDescent="0.3">
      <c r="A681" s="318" t="e">
        <f>#REF!</f>
        <v>#REF!</v>
      </c>
      <c r="B681" s="305" t="e">
        <f>#REF!</f>
        <v>#REF!</v>
      </c>
      <c r="C681" s="305" t="str">
        <f>'Danh sách máy'!C676</f>
        <v>MKHC</v>
      </c>
      <c r="D681" s="90" t="e">
        <f>#REF!</f>
        <v>#REF!</v>
      </c>
      <c r="E681" s="97">
        <f>'Danh sách máy'!E676</f>
        <v>45992</v>
      </c>
      <c r="F681" s="206" t="e">
        <f>#REF!</f>
        <v>#REF!</v>
      </c>
      <c r="G681" s="102" t="e">
        <f>#REF!</f>
        <v>#REF!</v>
      </c>
      <c r="H681" s="102" t="e">
        <f>#REF!</f>
        <v>#REF!</v>
      </c>
      <c r="K681" s="210" t="e">
        <f>#REF!</f>
        <v>#REF!</v>
      </c>
      <c r="L681" s="210">
        <v>44950</v>
      </c>
      <c r="M681" s="210"/>
      <c r="N681" s="210">
        <f>'Danh sách máy'!F676</f>
        <v>46000</v>
      </c>
      <c r="O681" s="211" t="str" cm="1">
        <f t="array" ref="O681">IF(L681&lt;&gt;0,IF(L681&lt;I681,"OK","NG"),Blank)</f>
        <v>NG</v>
      </c>
      <c r="P681" s="211" t="e" cm="1">
        <f t="array" ref="P681">IF(M681&lt;&gt;0,IF(M681&lt;J681,"OK","NG"),Blank)</f>
        <v>#NAME?</v>
      </c>
      <c r="Q681" s="211" t="e" cm="1">
        <f t="array" ref="Q681">IF(H681&lt;&gt;"Stop",IF(N681&lt;&gt;0,IF(N681&lt;=K681,"OK","NG"),Blank),"-")</f>
        <v>#REF!</v>
      </c>
      <c r="R681" s="326" t="e" cm="1">
        <f t="array" ref="R681">IF(H681&lt;&gt;"Stop",IF(E681&lt;&gt;0,IF(E681&lt;=K681,"OK","NG"),Blank),"-")</f>
        <v>#REF!</v>
      </c>
    </row>
    <row r="682" spans="1:18" ht="15" x14ac:dyDescent="0.3">
      <c r="A682" s="318" t="e">
        <f>#REF!</f>
        <v>#REF!</v>
      </c>
      <c r="B682" s="305" t="e">
        <f>#REF!</f>
        <v>#REF!</v>
      </c>
      <c r="C682" s="305" t="str">
        <f>'Danh sách máy'!C677</f>
        <v>MKHC</v>
      </c>
      <c r="D682" s="90" t="e">
        <f>#REF!</f>
        <v>#REF!</v>
      </c>
      <c r="E682" s="97">
        <f>'Danh sách máy'!E677</f>
        <v>45992</v>
      </c>
      <c r="F682" s="206" t="e">
        <f>#REF!</f>
        <v>#REF!</v>
      </c>
      <c r="G682" s="102" t="e">
        <f>#REF!</f>
        <v>#REF!</v>
      </c>
      <c r="H682" s="102" t="e">
        <f>#REF!</f>
        <v>#REF!</v>
      </c>
      <c r="K682" s="210" t="e">
        <f>#REF!</f>
        <v>#REF!</v>
      </c>
      <c r="L682" s="210">
        <v>44951</v>
      </c>
      <c r="M682" s="210"/>
      <c r="N682" s="210">
        <f>'Danh sách máy'!F677</f>
        <v>46000</v>
      </c>
      <c r="O682" s="211" t="str" cm="1">
        <f t="array" ref="O682">IF(L682&lt;&gt;0,IF(L682&lt;I682,"OK","NG"),Blank)</f>
        <v>NG</v>
      </c>
      <c r="P682" s="211" t="e" cm="1">
        <f t="array" ref="P682">IF(M682&lt;&gt;0,IF(M682&lt;J682,"OK","NG"),Blank)</f>
        <v>#NAME?</v>
      </c>
      <c r="Q682" s="211" t="e" cm="1">
        <f t="array" ref="Q682">IF(H682&lt;&gt;"Stop",IF(N682&lt;&gt;0,IF(N682&lt;=K682,"OK","NG"),Blank),"-")</f>
        <v>#REF!</v>
      </c>
      <c r="R682" s="326" t="e" cm="1">
        <f t="array" ref="R682">IF(H682&lt;&gt;"Stop",IF(E682&lt;&gt;0,IF(E682&lt;=K682,"OK","NG"),Blank),"-")</f>
        <v>#REF!</v>
      </c>
    </row>
    <row r="683" spans="1:18" ht="15" x14ac:dyDescent="0.3">
      <c r="A683" s="318" t="e">
        <f>#REF!</f>
        <v>#REF!</v>
      </c>
      <c r="B683" s="305" t="e">
        <f>#REF!</f>
        <v>#REF!</v>
      </c>
      <c r="C683" s="305" t="str">
        <f>'Danh sách máy'!C678</f>
        <v>MKHC</v>
      </c>
      <c r="D683" s="90" t="e">
        <f>#REF!</f>
        <v>#REF!</v>
      </c>
      <c r="E683" s="97">
        <f>'Danh sách máy'!E678</f>
        <v>45992</v>
      </c>
      <c r="F683" s="206" t="e">
        <f>#REF!</f>
        <v>#REF!</v>
      </c>
      <c r="G683" s="102" t="e">
        <f>#REF!</f>
        <v>#REF!</v>
      </c>
      <c r="H683" s="102" t="e">
        <f>#REF!</f>
        <v>#REF!</v>
      </c>
      <c r="K683" s="210" t="e">
        <f>#REF!</f>
        <v>#REF!</v>
      </c>
      <c r="L683" s="210">
        <v>44952</v>
      </c>
      <c r="M683" s="210"/>
      <c r="N683" s="210">
        <f>'Danh sách máy'!F678</f>
        <v>46010</v>
      </c>
      <c r="O683" s="211" t="str" cm="1">
        <f t="array" ref="O683">IF(L683&lt;&gt;0,IF(L683&lt;I683,"OK","NG"),Blank)</f>
        <v>NG</v>
      </c>
      <c r="P683" s="211" t="e" cm="1">
        <f t="array" ref="P683">IF(M683&lt;&gt;0,IF(M683&lt;J683,"OK","NG"),Blank)</f>
        <v>#NAME?</v>
      </c>
      <c r="Q683" s="211" t="e" cm="1">
        <f t="array" ref="Q683">IF(H683&lt;&gt;"Stop",IF(N683&lt;&gt;0,IF(N683&lt;=K683,"OK","NG"),Blank),"-")</f>
        <v>#REF!</v>
      </c>
      <c r="R683" s="326" t="e" cm="1">
        <f t="array" ref="R683">IF(H683&lt;&gt;"Stop",IF(E683&lt;&gt;0,IF(E683&lt;=K683,"OK","NG"),Blank),"-")</f>
        <v>#REF!</v>
      </c>
    </row>
    <row r="684" spans="1:18" ht="15" x14ac:dyDescent="0.3">
      <c r="A684" s="318" t="e">
        <f>#REF!</f>
        <v>#REF!</v>
      </c>
      <c r="B684" s="305" t="e">
        <f>#REF!</f>
        <v>#REF!</v>
      </c>
      <c r="C684" s="305" t="str">
        <f>'Danh sách máy'!C679</f>
        <v>MKHC</v>
      </c>
      <c r="D684" s="90" t="e">
        <f>#REF!</f>
        <v>#REF!</v>
      </c>
      <c r="E684" s="97">
        <f>'Danh sách máy'!E679</f>
        <v>45992</v>
      </c>
      <c r="F684" s="206" t="e">
        <f>#REF!</f>
        <v>#REF!</v>
      </c>
      <c r="G684" s="102" t="e">
        <f>#REF!</f>
        <v>#REF!</v>
      </c>
      <c r="H684" s="102" t="e">
        <f>#REF!</f>
        <v>#REF!</v>
      </c>
      <c r="K684" s="210" t="e">
        <f>#REF!</f>
        <v>#REF!</v>
      </c>
      <c r="L684" s="210">
        <v>44953</v>
      </c>
      <c r="M684" s="210"/>
      <c r="N684" s="210">
        <f>'Danh sách máy'!F679</f>
        <v>46010</v>
      </c>
      <c r="O684" s="211" t="str" cm="1">
        <f t="array" ref="O684">IF(L684&lt;&gt;0,IF(L684&lt;I684,"OK","NG"),Blank)</f>
        <v>NG</v>
      </c>
      <c r="P684" s="211" t="e" cm="1">
        <f t="array" ref="P684">IF(M684&lt;&gt;0,IF(M684&lt;J684,"OK","NG"),Blank)</f>
        <v>#NAME?</v>
      </c>
      <c r="Q684" s="211" t="e" cm="1">
        <f t="array" ref="Q684">IF(H684&lt;&gt;"Stop",IF(N684&lt;&gt;0,IF(N684&lt;=K684,"OK","NG"),Blank),"-")</f>
        <v>#REF!</v>
      </c>
      <c r="R684" s="326" t="e" cm="1">
        <f t="array" ref="R684">IF(H684&lt;&gt;"Stop",IF(E684&lt;&gt;0,IF(E684&lt;=K684,"OK","NG"),Blank),"-")</f>
        <v>#REF!</v>
      </c>
    </row>
    <row r="685" spans="1:18" ht="15" x14ac:dyDescent="0.3">
      <c r="A685" s="318" t="e">
        <f>#REF!</f>
        <v>#REF!</v>
      </c>
      <c r="B685" s="305" t="e">
        <f>#REF!</f>
        <v>#REF!</v>
      </c>
      <c r="C685" s="305" t="str">
        <f>'Danh sách máy'!C680</f>
        <v>MKHC</v>
      </c>
      <c r="D685" s="90" t="e">
        <f>#REF!</f>
        <v>#REF!</v>
      </c>
      <c r="E685" s="97">
        <f>'Danh sách máy'!E680</f>
        <v>45971</v>
      </c>
      <c r="F685" s="206" t="e">
        <f>#REF!</f>
        <v>#REF!</v>
      </c>
      <c r="G685" s="102" t="e">
        <f>#REF!</f>
        <v>#REF!</v>
      </c>
      <c r="H685" s="102" t="e">
        <f>#REF!</f>
        <v>#REF!</v>
      </c>
      <c r="K685" s="210" t="e">
        <f>#REF!</f>
        <v>#REF!</v>
      </c>
      <c r="L685" s="210">
        <v>44954</v>
      </c>
      <c r="M685" s="210"/>
      <c r="N685" s="210">
        <f>'Danh sách máy'!F680</f>
        <v>45976</v>
      </c>
      <c r="O685" s="211" t="str" cm="1">
        <f t="array" ref="O685">IF(L685&lt;&gt;0,IF(L685&lt;I685,"OK","NG"),Blank)</f>
        <v>NG</v>
      </c>
      <c r="P685" s="211" t="e" cm="1">
        <f t="array" ref="P685">IF(M685&lt;&gt;0,IF(M685&lt;J685,"OK","NG"),Blank)</f>
        <v>#NAME?</v>
      </c>
      <c r="Q685" s="211" t="e" cm="1">
        <f t="array" ref="Q685">IF(H685&lt;&gt;"Stop",IF(N685&lt;&gt;0,IF(N685&lt;=K685,"OK","NG"),Blank),"-")</f>
        <v>#REF!</v>
      </c>
      <c r="R685" s="326" t="e" cm="1">
        <f t="array" ref="R685">IF(H685&lt;&gt;"Stop",IF(E685&lt;&gt;0,IF(E685&lt;=K685,"OK","NG"),Blank),"-")</f>
        <v>#REF!</v>
      </c>
    </row>
    <row r="686" spans="1:18" ht="30" hidden="1" x14ac:dyDescent="0.3">
      <c r="A686" s="318" t="e">
        <f>#REF!</f>
        <v>#REF!</v>
      </c>
      <c r="B686" s="305" t="e">
        <f>#REF!</f>
        <v>#REF!</v>
      </c>
      <c r="C686" s="305" t="str">
        <f>'Danh sách máy'!C681</f>
        <v>FPC</v>
      </c>
      <c r="D686" s="90" t="e">
        <f>#REF!</f>
        <v>#REF!</v>
      </c>
      <c r="E686" s="97">
        <f>'Danh sách máy'!E681</f>
        <v>0</v>
      </c>
      <c r="F686" s="206" t="e">
        <f>#REF!</f>
        <v>#REF!</v>
      </c>
      <c r="G686" s="102" t="e">
        <f>#REF!</f>
        <v>#REF!</v>
      </c>
      <c r="H686" s="102" t="e">
        <f>#REF!</f>
        <v>#REF!</v>
      </c>
      <c r="K686" s="210" t="e">
        <f>#REF!</f>
        <v>#REF!</v>
      </c>
      <c r="L686" s="210">
        <v>44955</v>
      </c>
      <c r="M686" s="210"/>
      <c r="N686" s="210">
        <f>'Danh sách máy'!F681</f>
        <v>0</v>
      </c>
      <c r="O686" s="211" t="str" cm="1">
        <f t="array" ref="O686">IF(L686&lt;&gt;0,IF(L686&lt;I686,"OK","NG"),Blank)</f>
        <v>NG</v>
      </c>
      <c r="P686" s="211" t="e" cm="1">
        <f t="array" ref="P686">IF(M686&lt;&gt;0,IF(M686&lt;J686,"OK","NG"),Blank)</f>
        <v>#NAME?</v>
      </c>
      <c r="Q686" s="211" t="e" cm="1">
        <f t="array" ref="Q686">IF(H686&lt;&gt;"Stop",IF(N686&lt;&gt;0,IF(N686&lt;=K686,"OK","NG"),Blank),"-")</f>
        <v>#REF!</v>
      </c>
      <c r="R686" s="326" t="e" cm="1">
        <f t="array" ref="R686">IF(H686&lt;&gt;"Stop",IF(E686&lt;&gt;0,IF(E686&lt;=K686,"OK","NG"),Blank),"-")</f>
        <v>#REF!</v>
      </c>
    </row>
    <row r="687" spans="1:18" ht="15" hidden="1" x14ac:dyDescent="0.3">
      <c r="A687" s="318" t="e">
        <f>#REF!</f>
        <v>#REF!</v>
      </c>
      <c r="B687" s="305" t="e">
        <f>#REF!</f>
        <v>#REF!</v>
      </c>
      <c r="C687" s="305" t="str">
        <f>'Danh sách máy'!C682</f>
        <v>OUT</v>
      </c>
      <c r="D687" s="90" t="e">
        <f>#REF!</f>
        <v>#REF!</v>
      </c>
      <c r="E687" s="97">
        <f>'Danh sách máy'!E682</f>
        <v>0</v>
      </c>
      <c r="F687" s="206" t="e">
        <f>#REF!</f>
        <v>#REF!</v>
      </c>
      <c r="G687" s="102" t="e">
        <f>#REF!</f>
        <v>#REF!</v>
      </c>
      <c r="H687" s="102" t="e">
        <f>#REF!</f>
        <v>#REF!</v>
      </c>
      <c r="K687" s="210" t="e">
        <f>#REF!</f>
        <v>#REF!</v>
      </c>
      <c r="L687" s="210">
        <v>44956</v>
      </c>
      <c r="M687" s="210"/>
      <c r="N687" s="210">
        <f>'Danh sách máy'!F682</f>
        <v>0</v>
      </c>
      <c r="O687" s="211" t="str" cm="1">
        <f t="array" ref="O687">IF(L687&lt;&gt;0,IF(L687&lt;I687,"OK","NG"),Blank)</f>
        <v>NG</v>
      </c>
      <c r="P687" s="211" t="e" cm="1">
        <f t="array" ref="P687">IF(M687&lt;&gt;0,IF(M687&lt;J687,"OK","NG"),Blank)</f>
        <v>#NAME?</v>
      </c>
      <c r="Q687" s="211" t="e" cm="1">
        <f t="array" ref="Q687">IF(H687&lt;&gt;"Stop",IF(N687&lt;&gt;0,IF(N687&lt;=K687,"OK","NG"),Blank),"-")</f>
        <v>#REF!</v>
      </c>
      <c r="R687" s="326" t="e" cm="1">
        <f t="array" ref="R687">IF(H687&lt;&gt;"Stop",IF(E687&lt;&gt;0,IF(E687&lt;=K687,"OK","NG"),Blank),"-")</f>
        <v>#REF!</v>
      </c>
    </row>
    <row r="688" spans="1:18" ht="30" hidden="1" x14ac:dyDescent="0.3">
      <c r="A688" s="318" t="e">
        <f>#REF!</f>
        <v>#REF!</v>
      </c>
      <c r="B688" s="305" t="e">
        <f>#REF!</f>
        <v>#REF!</v>
      </c>
      <c r="C688" s="305" t="str">
        <f>'Danh sách máy'!C683</f>
        <v>MKVC</v>
      </c>
      <c r="D688" s="90" t="e">
        <f>#REF!</f>
        <v>#REF!</v>
      </c>
      <c r="E688" s="97">
        <f>'Danh sách máy'!E683</f>
        <v>0</v>
      </c>
      <c r="F688" s="206" t="e">
        <f>#REF!</f>
        <v>#REF!</v>
      </c>
      <c r="G688" s="102" t="e">
        <f>#REF!</f>
        <v>#REF!</v>
      </c>
      <c r="H688" s="102" t="e">
        <f>#REF!</f>
        <v>#REF!</v>
      </c>
      <c r="K688" s="210" t="e">
        <f>#REF!</f>
        <v>#REF!</v>
      </c>
      <c r="L688" s="210">
        <v>44957</v>
      </c>
      <c r="M688" s="210"/>
      <c r="N688" s="210">
        <f>'Danh sách máy'!F683</f>
        <v>0</v>
      </c>
      <c r="O688" s="211" t="str" cm="1">
        <f t="array" ref="O688">IF(L688&lt;&gt;0,IF(L688&lt;I688,"OK","NG"),Blank)</f>
        <v>NG</v>
      </c>
      <c r="P688" s="211" t="e" cm="1">
        <f t="array" ref="P688">IF(M688&lt;&gt;0,IF(M688&lt;J688,"OK","NG"),Blank)</f>
        <v>#NAME?</v>
      </c>
      <c r="Q688" s="211" t="e" cm="1">
        <f t="array" ref="Q688">IF(H688&lt;&gt;"Stop",IF(N688&lt;&gt;0,IF(N688&lt;=K688,"OK","NG"),Blank),"-")</f>
        <v>#REF!</v>
      </c>
      <c r="R688" s="326" t="e" cm="1">
        <f t="array" ref="R688">IF(H688&lt;&gt;"Stop",IF(E688&lt;&gt;0,IF(E688&lt;=K688,"OK","NG"),Blank),"-")</f>
        <v>#REF!</v>
      </c>
    </row>
    <row r="689" spans="1:18" ht="30" x14ac:dyDescent="0.3">
      <c r="A689" s="318" t="e">
        <f>#REF!</f>
        <v>#REF!</v>
      </c>
      <c r="B689" s="305" t="e">
        <f>#REF!</f>
        <v>#REF!</v>
      </c>
      <c r="C689" s="305" t="str">
        <f>'Danh sách máy'!C684</f>
        <v>TEN</v>
      </c>
      <c r="D689" s="90" t="e">
        <f>#REF!</f>
        <v>#REF!</v>
      </c>
      <c r="E689" s="97">
        <f>'Danh sách máy'!E684</f>
        <v>46042</v>
      </c>
      <c r="F689" s="206" t="e">
        <f>#REF!</f>
        <v>#REF!</v>
      </c>
      <c r="G689" s="102" t="e">
        <f>#REF!</f>
        <v>#REF!</v>
      </c>
      <c r="H689" s="102" t="e">
        <f>#REF!</f>
        <v>#REF!</v>
      </c>
      <c r="K689" s="210" t="e">
        <f>#REF!</f>
        <v>#REF!</v>
      </c>
      <c r="L689" s="210">
        <v>44958</v>
      </c>
      <c r="M689" s="210"/>
      <c r="N689" s="210">
        <f>'Danh sách máy'!F684</f>
        <v>46043</v>
      </c>
      <c r="O689" s="211" t="str" cm="1">
        <f t="array" ref="O689">IF(L689&lt;&gt;0,IF(L689&lt;I689,"OK","NG"),Blank)</f>
        <v>NG</v>
      </c>
      <c r="P689" s="211" t="e" cm="1">
        <f t="array" ref="P689">IF(M689&lt;&gt;0,IF(M689&lt;J689,"OK","NG"),Blank)</f>
        <v>#NAME?</v>
      </c>
      <c r="Q689" s="211" t="e" cm="1">
        <f t="array" ref="Q689">IF(H689&lt;&gt;"Stop",IF(N689&lt;&gt;0,IF(N689&lt;=K689,"OK","NG"),Blank),"-")</f>
        <v>#REF!</v>
      </c>
      <c r="R689" s="326" t="e" cm="1">
        <f t="array" ref="R689">IF(H689&lt;&gt;"Stop",IF(E689&lt;&gt;0,IF(E689&lt;=K689,"OK","NG"),Blank),"-")</f>
        <v>#REF!</v>
      </c>
    </row>
    <row r="690" spans="1:18" ht="30" hidden="1" x14ac:dyDescent="0.3">
      <c r="A690" s="318" t="e">
        <f>#REF!</f>
        <v>#REF!</v>
      </c>
      <c r="B690" s="305" t="e">
        <f>#REF!</f>
        <v>#REF!</v>
      </c>
      <c r="C690" s="305" t="str">
        <f>'Danh sách máy'!C685</f>
        <v>TEN</v>
      </c>
      <c r="D690" s="90" t="e">
        <f>#REF!</f>
        <v>#REF!</v>
      </c>
      <c r="E690" s="97">
        <f>'Danh sách máy'!E685</f>
        <v>0</v>
      </c>
      <c r="F690" s="206" t="e">
        <f>#REF!</f>
        <v>#REF!</v>
      </c>
      <c r="G690" s="102" t="e">
        <f>#REF!</f>
        <v>#REF!</v>
      </c>
      <c r="H690" s="102" t="e">
        <f>#REF!</f>
        <v>#REF!</v>
      </c>
      <c r="K690" s="210" t="e">
        <f>#REF!</f>
        <v>#REF!</v>
      </c>
      <c r="L690" s="210">
        <v>44959</v>
      </c>
      <c r="M690" s="210"/>
      <c r="N690" s="210">
        <f>'Danh sách máy'!F685</f>
        <v>0</v>
      </c>
      <c r="O690" s="211" t="str" cm="1">
        <f t="array" ref="O690">IF(L690&lt;&gt;0,IF(L690&lt;I690,"OK","NG"),Blank)</f>
        <v>NG</v>
      </c>
      <c r="P690" s="211" t="e" cm="1">
        <f t="array" ref="P690">IF(M690&lt;&gt;0,IF(M690&lt;J690,"OK","NG"),Blank)</f>
        <v>#NAME?</v>
      </c>
      <c r="Q690" s="211" t="e" cm="1">
        <f t="array" ref="Q690">IF(H690&lt;&gt;"Stop",IF(N690&lt;&gt;0,IF(N690&lt;=K690,"OK","NG"),Blank),"-")</f>
        <v>#REF!</v>
      </c>
      <c r="R690" s="326" t="e" cm="1">
        <f t="array" ref="R690">IF(H690&lt;&gt;"Stop",IF(E690&lt;&gt;0,IF(E690&lt;=K690,"OK","NG"),Blank),"-")</f>
        <v>#REF!</v>
      </c>
    </row>
    <row r="691" spans="1:18" ht="30" x14ac:dyDescent="0.3">
      <c r="A691" s="318" t="e">
        <f>#REF!</f>
        <v>#REF!</v>
      </c>
      <c r="B691" s="305" t="e">
        <f>#REF!</f>
        <v>#REF!</v>
      </c>
      <c r="C691" s="305" t="str">
        <f>'Danh sách máy'!C686</f>
        <v>MKHC</v>
      </c>
      <c r="D691" s="90" t="e">
        <f>#REF!</f>
        <v>#REF!</v>
      </c>
      <c r="E691" s="97">
        <f>'Danh sách máy'!E686</f>
        <v>45971</v>
      </c>
      <c r="F691" s="206" t="e">
        <f>#REF!</f>
        <v>#REF!</v>
      </c>
      <c r="G691" s="102" t="e">
        <f>#REF!</f>
        <v>#REF!</v>
      </c>
      <c r="H691" s="102" t="e">
        <f>#REF!</f>
        <v>#REF!</v>
      </c>
      <c r="K691" s="210" t="e">
        <f>#REF!</f>
        <v>#REF!</v>
      </c>
      <c r="L691" s="210">
        <v>44960</v>
      </c>
      <c r="M691" s="210"/>
      <c r="N691" s="210">
        <f>'Danh sách máy'!F686</f>
        <v>45978</v>
      </c>
      <c r="O691" s="211" t="str" cm="1">
        <f t="array" ref="O691">IF(L691&lt;&gt;0,IF(L691&lt;I691,"OK","NG"),Blank)</f>
        <v>NG</v>
      </c>
      <c r="P691" s="211" t="e" cm="1">
        <f t="array" ref="P691">IF(M691&lt;&gt;0,IF(M691&lt;J691,"OK","NG"),Blank)</f>
        <v>#NAME?</v>
      </c>
      <c r="Q691" s="211" t="e" cm="1">
        <f t="array" ref="Q691">IF(H691&lt;&gt;"Stop",IF(N691&lt;&gt;0,IF(N691&lt;=K691,"OK","NG"),Blank),"-")</f>
        <v>#REF!</v>
      </c>
      <c r="R691" s="326" t="e" cm="1">
        <f t="array" ref="R691">IF(H691&lt;&gt;"Stop",IF(E691&lt;&gt;0,IF(E691&lt;=K691,"OK","NG"),Blank),"-")</f>
        <v>#REF!</v>
      </c>
    </row>
    <row r="692" spans="1:18" ht="30" x14ac:dyDescent="0.3">
      <c r="A692" s="318" t="e">
        <f>#REF!</f>
        <v>#REF!</v>
      </c>
      <c r="B692" s="305" t="e">
        <f>#REF!</f>
        <v>#REF!</v>
      </c>
      <c r="C692" s="305" t="str">
        <f>'Danh sách máy'!C687</f>
        <v>MKHC</v>
      </c>
      <c r="D692" s="90" t="e">
        <f>#REF!</f>
        <v>#REF!</v>
      </c>
      <c r="E692" s="97">
        <f>'Danh sách máy'!E687</f>
        <v>45971</v>
      </c>
      <c r="F692" s="206" t="e">
        <f>#REF!</f>
        <v>#REF!</v>
      </c>
      <c r="G692" s="102" t="e">
        <f>#REF!</f>
        <v>#REF!</v>
      </c>
      <c r="H692" s="102" t="e">
        <f>#REF!</f>
        <v>#REF!</v>
      </c>
      <c r="K692" s="210" t="e">
        <f>#REF!</f>
        <v>#REF!</v>
      </c>
      <c r="L692" s="210">
        <v>44961</v>
      </c>
      <c r="M692" s="210"/>
      <c r="N692" s="210">
        <f>'Danh sách máy'!F687</f>
        <v>45978</v>
      </c>
      <c r="O692" s="211" t="str" cm="1">
        <f t="array" ref="O692">IF(L692&lt;&gt;0,IF(L692&lt;I692,"OK","NG"),Blank)</f>
        <v>NG</v>
      </c>
      <c r="P692" s="211" t="e" cm="1">
        <f t="array" ref="P692">IF(M692&lt;&gt;0,IF(M692&lt;J692,"OK","NG"),Blank)</f>
        <v>#NAME?</v>
      </c>
      <c r="Q692" s="211" t="e" cm="1">
        <f t="array" ref="Q692">IF(H692&lt;&gt;"Stop",IF(N692&lt;&gt;0,IF(N692&lt;=K692,"OK","NG"),Blank),"-")</f>
        <v>#REF!</v>
      </c>
      <c r="R692" s="326" t="e" cm="1">
        <f t="array" ref="R692">IF(H692&lt;&gt;"Stop",IF(E692&lt;&gt;0,IF(E692&lt;=K692,"OK","NG"),Blank),"-")</f>
        <v>#REF!</v>
      </c>
    </row>
    <row r="693" spans="1:18" ht="30" hidden="1" x14ac:dyDescent="0.3">
      <c r="A693" s="318" t="e">
        <f>#REF!</f>
        <v>#REF!</v>
      </c>
      <c r="B693" s="305" t="e">
        <f>#REF!</f>
        <v>#REF!</v>
      </c>
      <c r="C693" s="305" t="str">
        <f>'Danh sách máy'!C688</f>
        <v>MKHC</v>
      </c>
      <c r="D693" s="90" t="e">
        <f>#REF!</f>
        <v>#REF!</v>
      </c>
      <c r="E693" s="97">
        <f>'Danh sách máy'!E688</f>
        <v>46096</v>
      </c>
      <c r="F693" s="206" t="e">
        <f>#REF!</f>
        <v>#REF!</v>
      </c>
      <c r="G693" s="102" t="e">
        <f>#REF!</f>
        <v>#REF!</v>
      </c>
      <c r="H693" s="102" t="e">
        <f>#REF!</f>
        <v>#REF!</v>
      </c>
      <c r="K693" s="210" t="e">
        <f>#REF!</f>
        <v>#REF!</v>
      </c>
      <c r="L693" s="210">
        <v>44962</v>
      </c>
      <c r="M693" s="210"/>
      <c r="N693" s="210">
        <f>'Danh sách máy'!F688</f>
        <v>0</v>
      </c>
      <c r="O693" s="211" t="str" cm="1">
        <f t="array" ref="O693">IF(L693&lt;&gt;0,IF(L693&lt;I693,"OK","NG"),Blank)</f>
        <v>NG</v>
      </c>
      <c r="P693" s="211" t="e" cm="1">
        <f t="array" ref="P693">IF(M693&lt;&gt;0,IF(M693&lt;J693,"OK","NG"),Blank)</f>
        <v>#NAME?</v>
      </c>
      <c r="Q693" s="211" t="e" cm="1">
        <f t="array" ref="Q693">IF(H693&lt;&gt;"Stop",IF(N693&lt;&gt;0,IF(N693&lt;=K693,"OK","NG"),Blank),"-")</f>
        <v>#REF!</v>
      </c>
      <c r="R693" s="326" t="e" cm="1">
        <f t="array" ref="R693">IF(H693&lt;&gt;"Stop",IF(E693&lt;&gt;0,IF(E693&lt;=K693,"OK","NG"),Blank),"-")</f>
        <v>#REF!</v>
      </c>
    </row>
    <row r="694" spans="1:18" ht="15" hidden="1" x14ac:dyDescent="0.3">
      <c r="A694" s="318" t="e">
        <f>#REF!</f>
        <v>#REF!</v>
      </c>
      <c r="B694" s="305" t="e">
        <f>#REF!</f>
        <v>#REF!</v>
      </c>
      <c r="C694" s="305" t="str">
        <f>'Danh sách máy'!C689</f>
        <v>MKVC</v>
      </c>
      <c r="D694" s="90" t="e">
        <f>#REF!</f>
        <v>#REF!</v>
      </c>
      <c r="E694" s="97">
        <f>'Danh sách máy'!E689</f>
        <v>46034</v>
      </c>
      <c r="F694" s="206" t="e">
        <f>#REF!</f>
        <v>#REF!</v>
      </c>
      <c r="G694" s="102" t="e">
        <f>#REF!</f>
        <v>#REF!</v>
      </c>
      <c r="H694" s="102" t="e">
        <f>#REF!</f>
        <v>#REF!</v>
      </c>
      <c r="K694" s="210" t="e">
        <f>#REF!</f>
        <v>#REF!</v>
      </c>
      <c r="L694" s="210">
        <v>44963</v>
      </c>
      <c r="M694" s="210"/>
      <c r="N694" s="210">
        <f>'Danh sách máy'!F689</f>
        <v>46171</v>
      </c>
      <c r="O694" s="211" t="str" cm="1">
        <f t="array" ref="O694">IF(L694&lt;&gt;0,IF(L694&lt;I694,"OK","NG"),Blank)</f>
        <v>NG</v>
      </c>
      <c r="P694" s="211" t="e" cm="1">
        <f t="array" ref="P694">IF(M694&lt;&gt;0,IF(M694&lt;J694,"OK","NG"),Blank)</f>
        <v>#NAME?</v>
      </c>
      <c r="Q694" s="211" t="e" cm="1">
        <f t="array" ref="Q694">IF(H694&lt;&gt;"Stop",IF(N694&lt;&gt;0,IF(N694&lt;=K694,"OK","NG"),Blank),"-")</f>
        <v>#REF!</v>
      </c>
      <c r="R694" s="326" t="e" cm="1">
        <f t="array" ref="R694">IF(H694&lt;&gt;"Stop",IF(E694&lt;&gt;0,IF(E694&lt;=K694,"OK","NG"),Blank),"-")</f>
        <v>#REF!</v>
      </c>
    </row>
    <row r="695" spans="1:18" ht="15" hidden="1" x14ac:dyDescent="0.3">
      <c r="A695" s="318" t="e">
        <f>#REF!</f>
        <v>#REF!</v>
      </c>
      <c r="B695" s="305" t="e">
        <f>#REF!</f>
        <v>#REF!</v>
      </c>
      <c r="C695" s="305" t="str">
        <f>'Danh sách máy'!C690</f>
        <v>MKVC</v>
      </c>
      <c r="D695" s="90" t="e">
        <f>#REF!</f>
        <v>#REF!</v>
      </c>
      <c r="E695" s="97">
        <f>'Danh sách máy'!E690</f>
        <v>0</v>
      </c>
      <c r="F695" s="206" t="e">
        <f>#REF!</f>
        <v>#REF!</v>
      </c>
      <c r="G695" s="102" t="e">
        <f>#REF!</f>
        <v>#REF!</v>
      </c>
      <c r="H695" s="102" t="e">
        <f>#REF!</f>
        <v>#REF!</v>
      </c>
      <c r="K695" s="210" t="e">
        <f>#REF!</f>
        <v>#REF!</v>
      </c>
      <c r="L695" s="210">
        <v>44964</v>
      </c>
      <c r="M695" s="210"/>
      <c r="N695" s="210">
        <f>'Danh sách máy'!F690</f>
        <v>0</v>
      </c>
      <c r="O695" s="211" t="str" cm="1">
        <f t="array" ref="O695">IF(L695&lt;&gt;0,IF(L695&lt;I695,"OK","NG"),Blank)</f>
        <v>NG</v>
      </c>
      <c r="P695" s="211" t="e" cm="1">
        <f t="array" ref="P695">IF(M695&lt;&gt;0,IF(M695&lt;J695,"OK","NG"),Blank)</f>
        <v>#NAME?</v>
      </c>
      <c r="Q695" s="211" t="e" cm="1">
        <f t="array" ref="Q695">IF(H695&lt;&gt;"Stop",IF(N695&lt;&gt;0,IF(N695&lt;=K695,"OK","NG"),Blank),"-")</f>
        <v>#REF!</v>
      </c>
      <c r="R695" s="326" t="e" cm="1">
        <f t="array" ref="R695">IF(H695&lt;&gt;"Stop",IF(E695&lt;&gt;0,IF(E695&lt;=K695,"OK","NG"),Blank),"-")</f>
        <v>#REF!</v>
      </c>
    </row>
    <row r="696" spans="1:18" ht="15" x14ac:dyDescent="0.3">
      <c r="A696" s="318" t="e">
        <f>#REF!</f>
        <v>#REF!</v>
      </c>
      <c r="B696" s="305" t="e">
        <f>#REF!</f>
        <v>#REF!</v>
      </c>
      <c r="C696" s="305" t="str">
        <f>'Danh sách máy'!C691</f>
        <v>MKVC</v>
      </c>
      <c r="D696" s="90" t="e">
        <f>#REF!</f>
        <v>#REF!</v>
      </c>
      <c r="E696" s="97">
        <f>'Danh sách máy'!E691</f>
        <v>46023</v>
      </c>
      <c r="F696" s="206" t="e">
        <f>#REF!</f>
        <v>#REF!</v>
      </c>
      <c r="G696" s="102" t="e">
        <f>#REF!</f>
        <v>#REF!</v>
      </c>
      <c r="H696" s="102" t="e">
        <f>#REF!</f>
        <v>#REF!</v>
      </c>
      <c r="K696" s="210" t="e">
        <f>#REF!</f>
        <v>#REF!</v>
      </c>
      <c r="L696" s="210">
        <v>44965</v>
      </c>
      <c r="M696" s="210"/>
      <c r="N696" s="210">
        <f>'Danh sách máy'!F691</f>
        <v>46023</v>
      </c>
      <c r="O696" s="211" t="str" cm="1">
        <f t="array" ref="O696">IF(L696&lt;&gt;0,IF(L696&lt;I696,"OK","NG"),Blank)</f>
        <v>NG</v>
      </c>
      <c r="P696" s="211" t="e" cm="1">
        <f t="array" ref="P696">IF(M696&lt;&gt;0,IF(M696&lt;J696,"OK","NG"),Blank)</f>
        <v>#NAME?</v>
      </c>
      <c r="Q696" s="211" t="e" cm="1">
        <f t="array" ref="Q696">IF(H696&lt;&gt;"Stop",IF(N696&lt;&gt;0,IF(N696&lt;=K696,"OK","NG"),Blank),"-")</f>
        <v>#REF!</v>
      </c>
      <c r="R696" s="326" t="e" cm="1">
        <f t="array" ref="R696">IF(H696&lt;&gt;"Stop",IF(E696&lt;&gt;0,IF(E696&lt;=K696,"OK","NG"),Blank),"-")</f>
        <v>#REF!</v>
      </c>
    </row>
    <row r="697" spans="1:18" ht="15" hidden="1" x14ac:dyDescent="0.3">
      <c r="A697" s="318" t="e">
        <f>#REF!</f>
        <v>#REF!</v>
      </c>
      <c r="B697" s="305" t="e">
        <f>#REF!</f>
        <v>#REF!</v>
      </c>
      <c r="C697" s="305" t="str">
        <f>'Danh sách máy'!C692</f>
        <v>MKVC</v>
      </c>
      <c r="D697" s="90" t="e">
        <f>#REF!</f>
        <v>#REF!</v>
      </c>
      <c r="E697" s="97">
        <f>'Danh sách máy'!E692</f>
        <v>46101</v>
      </c>
      <c r="F697" s="206" t="e">
        <f>#REF!</f>
        <v>#REF!</v>
      </c>
      <c r="G697" s="102" t="e">
        <f>#REF!</f>
        <v>#REF!</v>
      </c>
      <c r="H697" s="102" t="e">
        <f>#REF!</f>
        <v>#REF!</v>
      </c>
      <c r="K697" s="210" t="e">
        <f>#REF!</f>
        <v>#REF!</v>
      </c>
      <c r="L697" s="210">
        <v>44966</v>
      </c>
      <c r="M697" s="210"/>
      <c r="N697" s="210">
        <f>'Danh sách máy'!F692</f>
        <v>0</v>
      </c>
      <c r="O697" s="211" t="str" cm="1">
        <f t="array" ref="O697">IF(L697&lt;&gt;0,IF(L697&lt;I697,"OK","NG"),Blank)</f>
        <v>NG</v>
      </c>
      <c r="P697" s="211" t="e" cm="1">
        <f t="array" ref="P697">IF(M697&lt;&gt;0,IF(M697&lt;J697,"OK","NG"),Blank)</f>
        <v>#NAME?</v>
      </c>
      <c r="Q697" s="211" t="e" cm="1">
        <f t="array" ref="Q697">IF(H697&lt;&gt;"Stop",IF(N697&lt;&gt;0,IF(N697&lt;=K697,"OK","NG"),Blank),"-")</f>
        <v>#REF!</v>
      </c>
      <c r="R697" s="326" t="e" cm="1">
        <f t="array" ref="R697">IF(H697&lt;&gt;"Stop",IF(E697&lt;&gt;0,IF(E697&lt;=K697,"OK","NG"),Blank),"-")</f>
        <v>#REF!</v>
      </c>
    </row>
    <row r="698" spans="1:18" ht="15" hidden="1" x14ac:dyDescent="0.3">
      <c r="A698" s="318" t="e">
        <f>#REF!</f>
        <v>#REF!</v>
      </c>
      <c r="B698" s="305" t="e">
        <f>#REF!</f>
        <v>#REF!</v>
      </c>
      <c r="C698" s="305" t="str">
        <f>'Danh sách máy'!C693</f>
        <v>MKVC</v>
      </c>
      <c r="D698" s="90" t="e">
        <f>#REF!</f>
        <v>#REF!</v>
      </c>
      <c r="E698" s="97">
        <f>'Danh sách máy'!E693</f>
        <v>46101</v>
      </c>
      <c r="F698" s="206" t="e">
        <f>#REF!</f>
        <v>#REF!</v>
      </c>
      <c r="G698" s="102" t="e">
        <f>#REF!</f>
        <v>#REF!</v>
      </c>
      <c r="H698" s="102" t="e">
        <f>#REF!</f>
        <v>#REF!</v>
      </c>
      <c r="K698" s="210" t="e">
        <f>#REF!</f>
        <v>#REF!</v>
      </c>
      <c r="L698" s="210">
        <v>44967</v>
      </c>
      <c r="M698" s="210"/>
      <c r="N698" s="210">
        <f>'Danh sách máy'!F693</f>
        <v>0</v>
      </c>
      <c r="O698" s="211" t="str" cm="1">
        <f t="array" ref="O698">IF(L698&lt;&gt;0,IF(L698&lt;I698,"OK","NG"),Blank)</f>
        <v>NG</v>
      </c>
      <c r="P698" s="211" t="e" cm="1">
        <f t="array" ref="P698">IF(M698&lt;&gt;0,IF(M698&lt;J698,"OK","NG"),Blank)</f>
        <v>#NAME?</v>
      </c>
      <c r="Q698" s="211" t="e" cm="1">
        <f t="array" ref="Q698">IF(H698&lt;&gt;"Stop",IF(N698&lt;&gt;0,IF(N698&lt;=K698,"OK","NG"),Blank),"-")</f>
        <v>#REF!</v>
      </c>
      <c r="R698" s="326" t="e" cm="1">
        <f t="array" ref="R698">IF(H698&lt;&gt;"Stop",IF(E698&lt;&gt;0,IF(E698&lt;=K698,"OK","NG"),Blank),"-")</f>
        <v>#REF!</v>
      </c>
    </row>
    <row r="699" spans="1:18" ht="15" hidden="1" x14ac:dyDescent="0.3">
      <c r="A699" s="318" t="e">
        <f>#REF!</f>
        <v>#REF!</v>
      </c>
      <c r="B699" s="305" t="e">
        <f>#REF!</f>
        <v>#REF!</v>
      </c>
      <c r="C699" s="305" t="str">
        <f>'Danh sách máy'!C694</f>
        <v>Fact.4</v>
      </c>
      <c r="D699" s="90" t="e">
        <f>#REF!</f>
        <v>#REF!</v>
      </c>
      <c r="E699" s="97">
        <f>'Danh sách máy'!E694</f>
        <v>46059</v>
      </c>
      <c r="F699" s="206" t="e">
        <f>#REF!</f>
        <v>#REF!</v>
      </c>
      <c r="G699" s="102" t="e">
        <f>#REF!</f>
        <v>#REF!</v>
      </c>
      <c r="H699" s="102" t="e">
        <f>#REF!</f>
        <v>#REF!</v>
      </c>
      <c r="K699" s="210" t="e">
        <f>#REF!</f>
        <v>#REF!</v>
      </c>
      <c r="L699" s="210">
        <v>44968</v>
      </c>
      <c r="M699" s="210"/>
      <c r="N699" s="210">
        <f>'Danh sách máy'!F694</f>
        <v>0</v>
      </c>
      <c r="O699" s="211" t="str" cm="1">
        <f t="array" ref="O699">IF(L699&lt;&gt;0,IF(L699&lt;I699,"OK","NG"),Blank)</f>
        <v>NG</v>
      </c>
      <c r="P699" s="211" t="e" cm="1">
        <f t="array" ref="P699">IF(M699&lt;&gt;0,IF(M699&lt;J699,"OK","NG"),Blank)</f>
        <v>#NAME?</v>
      </c>
      <c r="Q699" s="211" t="e" cm="1">
        <f t="array" ref="Q699">IF(H699&lt;&gt;"Stop",IF(N699&lt;&gt;0,IF(N699&lt;=K699,"OK","NG"),Blank),"-")</f>
        <v>#REF!</v>
      </c>
      <c r="R699" s="326" t="e" cm="1">
        <f t="array" ref="R699">IF(H699&lt;&gt;"Stop",IF(E699&lt;&gt;0,IF(E699&lt;=K699,"OK","NG"),Blank),"-")</f>
        <v>#REF!</v>
      </c>
    </row>
    <row r="700" spans="1:18" ht="15" hidden="1" x14ac:dyDescent="0.3">
      <c r="A700" s="318" t="e">
        <f>#REF!</f>
        <v>#REF!</v>
      </c>
      <c r="B700" s="305" t="e">
        <f>#REF!</f>
        <v>#REF!</v>
      </c>
      <c r="C700" s="305" t="str">
        <f>'Danh sách máy'!C695</f>
        <v>MTV</v>
      </c>
      <c r="D700" s="90" t="e">
        <f>#REF!</f>
        <v>#REF!</v>
      </c>
      <c r="E700" s="97">
        <f>'Danh sách máy'!E695</f>
        <v>0</v>
      </c>
      <c r="F700" s="206" t="e">
        <f>#REF!</f>
        <v>#REF!</v>
      </c>
      <c r="G700" s="102" t="e">
        <f>#REF!</f>
        <v>#REF!</v>
      </c>
      <c r="H700" s="102" t="e">
        <f>#REF!</f>
        <v>#REF!</v>
      </c>
      <c r="K700" s="210" t="e">
        <f>#REF!</f>
        <v>#REF!</v>
      </c>
      <c r="L700" s="210">
        <v>44969</v>
      </c>
      <c r="M700" s="210"/>
      <c r="N700" s="210">
        <f>'Danh sách máy'!F695</f>
        <v>0</v>
      </c>
      <c r="O700" s="211" t="str" cm="1">
        <f t="array" ref="O700">IF(L700&lt;&gt;0,IF(L700&lt;I700,"OK","NG"),Blank)</f>
        <v>NG</v>
      </c>
      <c r="P700" s="211" t="e" cm="1">
        <f t="array" ref="P700">IF(M700&lt;&gt;0,IF(M700&lt;J700,"OK","NG"),Blank)</f>
        <v>#NAME?</v>
      </c>
      <c r="Q700" s="211" t="e" cm="1">
        <f t="array" ref="Q700">IF(H700&lt;&gt;"Stop",IF(N700&lt;&gt;0,IF(N700&lt;=K700,"OK","NG"),Blank),"-")</f>
        <v>#REF!</v>
      </c>
      <c r="R700" s="326" t="e" cm="1">
        <f t="array" ref="R700">IF(H700&lt;&gt;"Stop",IF(E700&lt;&gt;0,IF(E700&lt;=K700,"OK","NG"),Blank),"-")</f>
        <v>#REF!</v>
      </c>
    </row>
    <row r="701" spans="1:18" ht="15" hidden="1" x14ac:dyDescent="0.3">
      <c r="A701" s="318" t="e">
        <f>#REF!</f>
        <v>#REF!</v>
      </c>
      <c r="B701" s="305" t="e">
        <f>#REF!</f>
        <v>#REF!</v>
      </c>
      <c r="C701" s="305" t="str">
        <f>'Danh sách máy'!C696</f>
        <v>Fact.4</v>
      </c>
      <c r="D701" s="90" t="e">
        <f>#REF!</f>
        <v>#REF!</v>
      </c>
      <c r="E701" s="97">
        <f>'Danh sách máy'!E696</f>
        <v>46185</v>
      </c>
      <c r="F701" s="206" t="e">
        <f>#REF!</f>
        <v>#REF!</v>
      </c>
      <c r="G701" s="102" t="e">
        <f>#REF!</f>
        <v>#REF!</v>
      </c>
      <c r="H701" s="102" t="e">
        <f>#REF!</f>
        <v>#REF!</v>
      </c>
      <c r="K701" s="210" t="e">
        <f>#REF!</f>
        <v>#REF!</v>
      </c>
      <c r="L701" s="210">
        <v>44970</v>
      </c>
      <c r="M701" s="210"/>
      <c r="N701" s="210">
        <f>'Danh sách máy'!F696</f>
        <v>46185</v>
      </c>
      <c r="O701" s="211" t="str" cm="1">
        <f t="array" ref="O701">IF(L701&lt;&gt;0,IF(L701&lt;I701,"OK","NG"),Blank)</f>
        <v>NG</v>
      </c>
      <c r="P701" s="211" t="e" cm="1">
        <f t="array" ref="P701">IF(M701&lt;&gt;0,IF(M701&lt;J701,"OK","NG"),Blank)</f>
        <v>#NAME?</v>
      </c>
      <c r="Q701" s="211" t="e" cm="1">
        <f t="array" ref="Q701">IF(H701&lt;&gt;"Stop",IF(N701&lt;&gt;0,IF(N701&lt;=K701,"OK","NG"),Blank),"-")</f>
        <v>#REF!</v>
      </c>
      <c r="R701" s="326" t="e" cm="1">
        <f t="array" ref="R701">IF(H701&lt;&gt;"Stop",IF(E701&lt;&gt;0,IF(E701&lt;=K701,"OK","NG"),Blank),"-")</f>
        <v>#REF!</v>
      </c>
    </row>
    <row r="702" spans="1:18" ht="15" hidden="1" x14ac:dyDescent="0.3">
      <c r="A702" s="318" t="e">
        <f>#REF!</f>
        <v>#REF!</v>
      </c>
      <c r="B702" s="305" t="e">
        <f>#REF!</f>
        <v>#REF!</v>
      </c>
      <c r="C702" s="305" t="str">
        <f>'Danh sách máy'!C697</f>
        <v>Fact.4</v>
      </c>
      <c r="D702" s="90" t="e">
        <f>#REF!</f>
        <v>#REF!</v>
      </c>
      <c r="E702" s="97">
        <f>'Danh sách máy'!E697</f>
        <v>46185</v>
      </c>
      <c r="F702" s="206" t="e">
        <f>#REF!</f>
        <v>#REF!</v>
      </c>
      <c r="G702" s="102" t="e">
        <f>#REF!</f>
        <v>#REF!</v>
      </c>
      <c r="H702" s="102" t="e">
        <f>#REF!</f>
        <v>#REF!</v>
      </c>
      <c r="K702" s="210" t="e">
        <f>#REF!</f>
        <v>#REF!</v>
      </c>
      <c r="L702" s="210">
        <v>44971</v>
      </c>
      <c r="M702" s="210"/>
      <c r="N702" s="210">
        <f>'Danh sách máy'!F697</f>
        <v>46185</v>
      </c>
      <c r="O702" s="211" t="str" cm="1">
        <f t="array" ref="O702">IF(L702&lt;&gt;0,IF(L702&lt;I702,"OK","NG"),Blank)</f>
        <v>NG</v>
      </c>
      <c r="P702" s="211" t="e" cm="1">
        <f t="array" ref="P702">IF(M702&lt;&gt;0,IF(M702&lt;J702,"OK","NG"),Blank)</f>
        <v>#NAME?</v>
      </c>
      <c r="Q702" s="211" t="e" cm="1">
        <f t="array" ref="Q702">IF(H702&lt;&gt;"Stop",IF(N702&lt;&gt;0,IF(N702&lt;=K702,"OK","NG"),Blank),"-")</f>
        <v>#REF!</v>
      </c>
      <c r="R702" s="326" t="e" cm="1">
        <f t="array" ref="R702">IF(H702&lt;&gt;"Stop",IF(E702&lt;&gt;0,IF(E702&lt;=K702,"OK","NG"),Blank),"-")</f>
        <v>#REF!</v>
      </c>
    </row>
    <row r="703" spans="1:18" ht="15" hidden="1" x14ac:dyDescent="0.3">
      <c r="A703" s="318" t="e">
        <f>#REF!</f>
        <v>#REF!</v>
      </c>
      <c r="B703" s="305" t="e">
        <f>#REF!</f>
        <v>#REF!</v>
      </c>
      <c r="C703" s="305" t="str">
        <f>'Danh sách máy'!C698</f>
        <v>Fact.4</v>
      </c>
      <c r="D703" s="90" t="e">
        <f>#REF!</f>
        <v>#REF!</v>
      </c>
      <c r="E703" s="97">
        <f>'Danh sách máy'!E698</f>
        <v>0</v>
      </c>
      <c r="F703" s="206" t="e">
        <f>#REF!</f>
        <v>#REF!</v>
      </c>
      <c r="G703" s="102" t="e">
        <f>#REF!</f>
        <v>#REF!</v>
      </c>
      <c r="H703" s="102" t="e">
        <f>#REF!</f>
        <v>#REF!</v>
      </c>
      <c r="K703" s="210" t="e">
        <f>#REF!</f>
        <v>#REF!</v>
      </c>
      <c r="L703" s="210">
        <v>44972</v>
      </c>
      <c r="M703" s="210"/>
      <c r="N703" s="210">
        <f>'Danh sách máy'!F698</f>
        <v>0</v>
      </c>
      <c r="O703" s="211" t="str" cm="1">
        <f t="array" ref="O703">IF(L703&lt;&gt;0,IF(L703&lt;I703,"OK","NG"),Blank)</f>
        <v>NG</v>
      </c>
      <c r="P703" s="211" t="e" cm="1">
        <f t="array" ref="P703">IF(M703&lt;&gt;0,IF(M703&lt;J703,"OK","NG"),Blank)</f>
        <v>#NAME?</v>
      </c>
      <c r="Q703" s="211" t="e" cm="1">
        <f t="array" ref="Q703">IF(H703&lt;&gt;"Stop",IF(N703&lt;&gt;0,IF(N703&lt;=K703,"OK","NG"),Blank),"-")</f>
        <v>#REF!</v>
      </c>
      <c r="R703" s="326" t="e" cm="1">
        <f t="array" ref="R703">IF(H703&lt;&gt;"Stop",IF(E703&lt;&gt;0,IF(E703&lt;=K703,"OK","NG"),Blank),"-")</f>
        <v>#REF!</v>
      </c>
    </row>
    <row r="704" spans="1:18" ht="30" hidden="1" x14ac:dyDescent="0.3">
      <c r="A704" s="318" t="e">
        <f>#REF!</f>
        <v>#REF!</v>
      </c>
      <c r="B704" s="305" t="e">
        <f>#REF!</f>
        <v>#REF!</v>
      </c>
      <c r="C704" s="305" t="str">
        <f>'Danh sách máy'!C699</f>
        <v>TEN</v>
      </c>
      <c r="D704" s="90" t="e">
        <f>#REF!</f>
        <v>#REF!</v>
      </c>
      <c r="E704" s="97">
        <f>'Danh sách máy'!E699</f>
        <v>0</v>
      </c>
      <c r="F704" s="206" t="e">
        <f>#REF!</f>
        <v>#REF!</v>
      </c>
      <c r="G704" s="102" t="e">
        <f>#REF!</f>
        <v>#REF!</v>
      </c>
      <c r="H704" s="102" t="e">
        <f>#REF!</f>
        <v>#REF!</v>
      </c>
      <c r="K704" s="210" t="e">
        <f>#REF!</f>
        <v>#REF!</v>
      </c>
      <c r="L704" s="210">
        <v>44973</v>
      </c>
      <c r="M704" s="210"/>
      <c r="N704" s="210">
        <f>'Danh sách máy'!F699</f>
        <v>0</v>
      </c>
      <c r="O704" s="211" t="str" cm="1">
        <f t="array" ref="O704">IF(L704&lt;&gt;0,IF(L704&lt;I704,"OK","NG"),Blank)</f>
        <v>NG</v>
      </c>
      <c r="P704" s="211" t="e" cm="1">
        <f t="array" ref="P704">IF(M704&lt;&gt;0,IF(M704&lt;J704,"OK","NG"),Blank)</f>
        <v>#NAME?</v>
      </c>
      <c r="Q704" s="211" t="e" cm="1">
        <f t="array" ref="Q704">IF(H704&lt;&gt;"Stop",IF(N704&lt;&gt;0,IF(N704&lt;=K704,"OK","NG"),Blank),"-")</f>
        <v>#REF!</v>
      </c>
      <c r="R704" s="326" t="e" cm="1">
        <f t="array" ref="R704">IF(H704&lt;&gt;"Stop",IF(E704&lt;&gt;0,IF(E704&lt;=K704,"OK","NG"),Blank),"-")</f>
        <v>#REF!</v>
      </c>
    </row>
    <row r="705" spans="1:18" ht="30" hidden="1" x14ac:dyDescent="0.3">
      <c r="A705" s="318" t="e">
        <f>#REF!</f>
        <v>#REF!</v>
      </c>
      <c r="B705" s="305" t="e">
        <f>#REF!</f>
        <v>#REF!</v>
      </c>
      <c r="C705" s="305" t="str">
        <f>'Danh sách máy'!C700</f>
        <v>TEN</v>
      </c>
      <c r="D705" s="90" t="e">
        <f>#REF!</f>
        <v>#REF!</v>
      </c>
      <c r="E705" s="97">
        <f>'Danh sách máy'!E700</f>
        <v>0</v>
      </c>
      <c r="F705" s="206" t="e">
        <f>#REF!</f>
        <v>#REF!</v>
      </c>
      <c r="G705" s="102" t="e">
        <f>#REF!</f>
        <v>#REF!</v>
      </c>
      <c r="H705" s="102" t="e">
        <f>#REF!</f>
        <v>#REF!</v>
      </c>
      <c r="K705" s="210" t="e">
        <f>#REF!</f>
        <v>#REF!</v>
      </c>
      <c r="L705" s="210">
        <v>44974</v>
      </c>
      <c r="M705" s="210"/>
      <c r="N705" s="210">
        <f>'Danh sách máy'!F700</f>
        <v>0</v>
      </c>
      <c r="O705" s="211" t="str" cm="1">
        <f t="array" ref="O705">IF(L705&lt;&gt;0,IF(L705&lt;I705,"OK","NG"),Blank)</f>
        <v>NG</v>
      </c>
      <c r="P705" s="211" t="e" cm="1">
        <f t="array" ref="P705">IF(M705&lt;&gt;0,IF(M705&lt;J705,"OK","NG"),Blank)</f>
        <v>#NAME?</v>
      </c>
      <c r="Q705" s="211" t="e" cm="1">
        <f t="array" ref="Q705">IF(H705&lt;&gt;"Stop",IF(N705&lt;&gt;0,IF(N705&lt;=K705,"OK","NG"),Blank),"-")</f>
        <v>#REF!</v>
      </c>
      <c r="R705" s="326" t="e" cm="1">
        <f t="array" ref="R705">IF(H705&lt;&gt;"Stop",IF(E705&lt;&gt;0,IF(E705&lt;=K705,"OK","NG"),Blank),"-")</f>
        <v>#REF!</v>
      </c>
    </row>
    <row r="706" spans="1:18" ht="30" hidden="1" x14ac:dyDescent="0.3">
      <c r="A706" s="318" t="e">
        <f>#REF!</f>
        <v>#REF!</v>
      </c>
      <c r="B706" s="305" t="e">
        <f>#REF!</f>
        <v>#REF!</v>
      </c>
      <c r="C706" s="305" t="str">
        <f>'Danh sách máy'!C701</f>
        <v>TEN</v>
      </c>
      <c r="D706" s="90" t="e">
        <f>#REF!</f>
        <v>#REF!</v>
      </c>
      <c r="E706" s="97">
        <f>'Danh sách máy'!E701</f>
        <v>0</v>
      </c>
      <c r="F706" s="206" t="e">
        <f>#REF!</f>
        <v>#REF!</v>
      </c>
      <c r="G706" s="102" t="e">
        <f>#REF!</f>
        <v>#REF!</v>
      </c>
      <c r="H706" s="102" t="e">
        <f>#REF!</f>
        <v>#REF!</v>
      </c>
      <c r="K706" s="210" t="e">
        <f>#REF!</f>
        <v>#REF!</v>
      </c>
      <c r="L706" s="210">
        <v>44975</v>
      </c>
      <c r="M706" s="210"/>
      <c r="N706" s="210">
        <f>'Danh sách máy'!F701</f>
        <v>0</v>
      </c>
      <c r="O706" s="211" t="str" cm="1">
        <f t="array" ref="O706">IF(L706&lt;&gt;0,IF(L706&lt;I706,"OK","NG"),Blank)</f>
        <v>NG</v>
      </c>
      <c r="P706" s="211" t="e" cm="1">
        <f t="array" ref="P706">IF(M706&lt;&gt;0,IF(M706&lt;J706,"OK","NG"),Blank)</f>
        <v>#NAME?</v>
      </c>
      <c r="Q706" s="211" t="e" cm="1">
        <f t="array" ref="Q706">IF(H706&lt;&gt;"Stop",IF(N706&lt;&gt;0,IF(N706&lt;=K706,"OK","NG"),Blank),"-")</f>
        <v>#REF!</v>
      </c>
      <c r="R706" s="326" t="e" cm="1">
        <f t="array" ref="R706">IF(H706&lt;&gt;"Stop",IF(E706&lt;&gt;0,IF(E706&lt;=K706,"OK","NG"),Blank),"-")</f>
        <v>#REF!</v>
      </c>
    </row>
    <row r="707" spans="1:18" ht="30" hidden="1" x14ac:dyDescent="0.3">
      <c r="A707" s="318" t="e">
        <f>#REF!</f>
        <v>#REF!</v>
      </c>
      <c r="B707" s="305" t="e">
        <f>#REF!</f>
        <v>#REF!</v>
      </c>
      <c r="C707" s="305" t="str">
        <f>'Danh sách máy'!C702</f>
        <v>TEN</v>
      </c>
      <c r="D707" s="90" t="e">
        <f>#REF!</f>
        <v>#REF!</v>
      </c>
      <c r="E707" s="97">
        <f>'Danh sách máy'!E702</f>
        <v>0</v>
      </c>
      <c r="F707" s="206" t="e">
        <f>#REF!</f>
        <v>#REF!</v>
      </c>
      <c r="G707" s="102" t="e">
        <f>#REF!</f>
        <v>#REF!</v>
      </c>
      <c r="H707" s="102" t="e">
        <f>#REF!</f>
        <v>#REF!</v>
      </c>
      <c r="K707" s="210" t="e">
        <f>#REF!</f>
        <v>#REF!</v>
      </c>
      <c r="L707" s="210">
        <v>44976</v>
      </c>
      <c r="M707" s="210"/>
      <c r="N707" s="210">
        <f>'Danh sách máy'!F702</f>
        <v>0</v>
      </c>
      <c r="O707" s="211" t="str" cm="1">
        <f t="array" ref="O707">IF(L707&lt;&gt;0,IF(L707&lt;I707,"OK","NG"),Blank)</f>
        <v>NG</v>
      </c>
      <c r="P707" s="211" t="e" cm="1">
        <f t="array" ref="P707">IF(M707&lt;&gt;0,IF(M707&lt;J707,"OK","NG"),Blank)</f>
        <v>#NAME?</v>
      </c>
      <c r="Q707" s="211" t="e" cm="1">
        <f t="array" ref="Q707">IF(H707&lt;&gt;"Stop",IF(N707&lt;&gt;0,IF(N707&lt;=K707,"OK","NG"),Blank),"-")</f>
        <v>#REF!</v>
      </c>
      <c r="R707" s="326" t="e" cm="1">
        <f t="array" ref="R707">IF(H707&lt;&gt;"Stop",IF(E707&lt;&gt;0,IF(E707&lt;=K707,"OK","NG"),Blank),"-")</f>
        <v>#REF!</v>
      </c>
    </row>
    <row r="708" spans="1:18" ht="30" hidden="1" x14ac:dyDescent="0.3">
      <c r="A708" s="318" t="e">
        <f>#REF!</f>
        <v>#REF!</v>
      </c>
      <c r="B708" s="305" t="e">
        <f>#REF!</f>
        <v>#REF!</v>
      </c>
      <c r="C708" s="305" t="str">
        <f>'Danh sách máy'!C703</f>
        <v>TEN</v>
      </c>
      <c r="D708" s="90" t="e">
        <f>#REF!</f>
        <v>#REF!</v>
      </c>
      <c r="E708" s="97">
        <f>'Danh sách máy'!E703</f>
        <v>0</v>
      </c>
      <c r="F708" s="206" t="e">
        <f>#REF!</f>
        <v>#REF!</v>
      </c>
      <c r="G708" s="102" t="e">
        <f>#REF!</f>
        <v>#REF!</v>
      </c>
      <c r="H708" s="102" t="e">
        <f>#REF!</f>
        <v>#REF!</v>
      </c>
      <c r="K708" s="210" t="e">
        <f>#REF!</f>
        <v>#REF!</v>
      </c>
      <c r="L708" s="210">
        <v>44977</v>
      </c>
      <c r="M708" s="210"/>
      <c r="N708" s="210">
        <f>'Danh sách máy'!F703</f>
        <v>0</v>
      </c>
      <c r="O708" s="211" t="str" cm="1">
        <f t="array" ref="O708">IF(L708&lt;&gt;0,IF(L708&lt;I708,"OK","NG"),Blank)</f>
        <v>NG</v>
      </c>
      <c r="P708" s="211" t="e" cm="1">
        <f t="array" ref="P708">IF(M708&lt;&gt;0,IF(M708&lt;J708,"OK","NG"),Blank)</f>
        <v>#NAME?</v>
      </c>
      <c r="Q708" s="211" t="e" cm="1">
        <f t="array" ref="Q708">IF(H708&lt;&gt;"Stop",IF(N708&lt;&gt;0,IF(N708&lt;=K708,"OK","NG"),Blank),"-")</f>
        <v>#REF!</v>
      </c>
      <c r="R708" s="326" t="e" cm="1">
        <f t="array" ref="R708">IF(H708&lt;&gt;"Stop",IF(E708&lt;&gt;0,IF(E708&lt;=K708,"OK","NG"),Blank),"-")</f>
        <v>#REF!</v>
      </c>
    </row>
    <row r="709" spans="1:18" ht="30" hidden="1" x14ac:dyDescent="0.3">
      <c r="A709" s="318" t="e">
        <f>#REF!</f>
        <v>#REF!</v>
      </c>
      <c r="B709" s="305" t="e">
        <f>#REF!</f>
        <v>#REF!</v>
      </c>
      <c r="C709" s="305" t="str">
        <f>'Danh sách máy'!C704</f>
        <v>TEN</v>
      </c>
      <c r="D709" s="90" t="e">
        <f>#REF!</f>
        <v>#REF!</v>
      </c>
      <c r="E709" s="97">
        <f>'Danh sách máy'!E704</f>
        <v>0</v>
      </c>
      <c r="F709" s="206" t="e">
        <f>#REF!</f>
        <v>#REF!</v>
      </c>
      <c r="G709" s="102" t="e">
        <f>#REF!</f>
        <v>#REF!</v>
      </c>
      <c r="H709" s="102" t="e">
        <f>#REF!</f>
        <v>#REF!</v>
      </c>
      <c r="K709" s="210" t="e">
        <f>#REF!</f>
        <v>#REF!</v>
      </c>
      <c r="L709" s="210">
        <v>44978</v>
      </c>
      <c r="M709" s="210"/>
      <c r="N709" s="210">
        <f>'Danh sách máy'!F704</f>
        <v>0</v>
      </c>
      <c r="O709" s="211" t="str" cm="1">
        <f t="array" ref="O709">IF(L709&lt;&gt;0,IF(L709&lt;I709,"OK","NG"),Blank)</f>
        <v>NG</v>
      </c>
      <c r="P709" s="211" t="e" cm="1">
        <f t="array" ref="P709">IF(M709&lt;&gt;0,IF(M709&lt;J709,"OK","NG"),Blank)</f>
        <v>#NAME?</v>
      </c>
      <c r="Q709" s="211" t="e" cm="1">
        <f t="array" ref="Q709">IF(H709&lt;&gt;"Stop",IF(N709&lt;&gt;0,IF(N709&lt;=K709,"OK","NG"),Blank),"-")</f>
        <v>#REF!</v>
      </c>
      <c r="R709" s="326" t="e" cm="1">
        <f t="array" ref="R709">IF(H709&lt;&gt;"Stop",IF(E709&lt;&gt;0,IF(E709&lt;=K709,"OK","NG"),Blank),"-")</f>
        <v>#REF!</v>
      </c>
    </row>
    <row r="710" spans="1:18" ht="15" hidden="1" x14ac:dyDescent="0.3">
      <c r="A710" s="318" t="e">
        <f>#REF!</f>
        <v>#REF!</v>
      </c>
      <c r="B710" s="305" t="e">
        <f>#REF!</f>
        <v>#REF!</v>
      </c>
      <c r="C710" s="305" t="str">
        <f>'Danh sách máy'!C705</f>
        <v>MKVC</v>
      </c>
      <c r="D710" s="90" t="e">
        <f>#REF!</f>
        <v>#REF!</v>
      </c>
      <c r="E710" s="97">
        <f>'Danh sách máy'!E705</f>
        <v>0</v>
      </c>
      <c r="F710" s="206" t="e">
        <f>#REF!</f>
        <v>#REF!</v>
      </c>
      <c r="G710" s="102" t="e">
        <f>#REF!</f>
        <v>#REF!</v>
      </c>
      <c r="H710" s="102" t="e">
        <f>#REF!</f>
        <v>#REF!</v>
      </c>
      <c r="K710" s="210" t="e">
        <f>#REF!</f>
        <v>#REF!</v>
      </c>
      <c r="L710" s="210">
        <v>44979</v>
      </c>
      <c r="M710" s="210"/>
      <c r="N710" s="210">
        <f>'Danh sách máy'!F705</f>
        <v>0</v>
      </c>
      <c r="O710" s="211" t="str" cm="1">
        <f t="array" ref="O710">IF(L710&lt;&gt;0,IF(L710&lt;I710,"OK","NG"),Blank)</f>
        <v>NG</v>
      </c>
      <c r="P710" s="211" t="e" cm="1">
        <f t="array" ref="P710">IF(M710&lt;&gt;0,IF(M710&lt;J710,"OK","NG"),Blank)</f>
        <v>#NAME?</v>
      </c>
      <c r="Q710" s="211" t="e" cm="1">
        <f t="array" ref="Q710">IF(H710&lt;&gt;"Stop",IF(N710&lt;&gt;0,IF(N710&lt;=K710,"OK","NG"),Blank),"-")</f>
        <v>#REF!</v>
      </c>
      <c r="R710" s="326" t="e" cm="1">
        <f t="array" ref="R710">IF(H710&lt;&gt;"Stop",IF(E710&lt;&gt;0,IF(E710&lt;=K710,"OK","NG"),Blank),"-")</f>
        <v>#REF!</v>
      </c>
    </row>
    <row r="711" spans="1:18" ht="15" hidden="1" x14ac:dyDescent="0.3">
      <c r="A711" s="318" t="e">
        <f>#REF!</f>
        <v>#REF!</v>
      </c>
      <c r="B711" s="305" t="e">
        <f>#REF!</f>
        <v>#REF!</v>
      </c>
      <c r="C711" s="305" t="str">
        <f>'Danh sách máy'!C706</f>
        <v>MKVC</v>
      </c>
      <c r="D711" s="90" t="e">
        <f>#REF!</f>
        <v>#REF!</v>
      </c>
      <c r="E711" s="97">
        <f>'Danh sách máy'!E706</f>
        <v>0</v>
      </c>
      <c r="F711" s="206" t="e">
        <f>#REF!</f>
        <v>#REF!</v>
      </c>
      <c r="G711" s="102" t="e">
        <f>#REF!</f>
        <v>#REF!</v>
      </c>
      <c r="H711" s="102" t="e">
        <f>#REF!</f>
        <v>#REF!</v>
      </c>
      <c r="K711" s="210" t="e">
        <f>#REF!</f>
        <v>#REF!</v>
      </c>
      <c r="L711" s="210">
        <v>44980</v>
      </c>
      <c r="M711" s="210"/>
      <c r="N711" s="210">
        <f>'Danh sách máy'!F706</f>
        <v>0</v>
      </c>
      <c r="O711" s="211" t="str" cm="1">
        <f t="array" ref="O711">IF(L711&lt;&gt;0,IF(L711&lt;I711,"OK","NG"),Blank)</f>
        <v>NG</v>
      </c>
      <c r="P711" s="211" t="e" cm="1">
        <f t="array" ref="P711">IF(M711&lt;&gt;0,IF(M711&lt;J711,"OK","NG"),Blank)</f>
        <v>#NAME?</v>
      </c>
      <c r="Q711" s="211" t="e" cm="1">
        <f t="array" ref="Q711">IF(H711&lt;&gt;"Stop",IF(N711&lt;&gt;0,IF(N711&lt;=K711,"OK","NG"),Blank),"-")</f>
        <v>#REF!</v>
      </c>
      <c r="R711" s="326" t="e" cm="1">
        <f t="array" ref="R711">IF(H711&lt;&gt;"Stop",IF(E711&lt;&gt;0,IF(E711&lt;=K711,"OK","NG"),Blank),"-")</f>
        <v>#REF!</v>
      </c>
    </row>
    <row r="712" spans="1:18" ht="30" hidden="1" x14ac:dyDescent="0.3">
      <c r="A712" s="318" t="e">
        <f>#REF!</f>
        <v>#REF!</v>
      </c>
      <c r="B712" s="305" t="e">
        <f>#REF!</f>
        <v>#REF!</v>
      </c>
      <c r="C712" s="305" t="str">
        <f>'Danh sách máy'!C707</f>
        <v>MKVC</v>
      </c>
      <c r="D712" s="90" t="e">
        <f>#REF!</f>
        <v>#REF!</v>
      </c>
      <c r="E712" s="97">
        <f>'Danh sách máy'!E707</f>
        <v>46111</v>
      </c>
      <c r="F712" s="206" t="e">
        <f>#REF!</f>
        <v>#REF!</v>
      </c>
      <c r="G712" s="102" t="e">
        <f>#REF!</f>
        <v>#REF!</v>
      </c>
      <c r="H712" s="102" t="e">
        <f>#REF!</f>
        <v>#REF!</v>
      </c>
      <c r="K712" s="210" t="e">
        <f>#REF!</f>
        <v>#REF!</v>
      </c>
      <c r="L712" s="210">
        <v>44981</v>
      </c>
      <c r="M712" s="210"/>
      <c r="N712" s="210">
        <f>'Danh sách máy'!F707</f>
        <v>0</v>
      </c>
      <c r="O712" s="211" t="str" cm="1">
        <f t="array" ref="O712">IF(L712&lt;&gt;0,IF(L712&lt;I712,"OK","NG"),Blank)</f>
        <v>NG</v>
      </c>
      <c r="P712" s="211" t="e" cm="1">
        <f t="array" ref="P712">IF(M712&lt;&gt;0,IF(M712&lt;J712,"OK","NG"),Blank)</f>
        <v>#NAME?</v>
      </c>
      <c r="Q712" s="211" t="e" cm="1">
        <f t="array" ref="Q712">IF(H712&lt;&gt;"Stop",IF(N712&lt;&gt;0,IF(N712&lt;=K712,"OK","NG"),Blank),"-")</f>
        <v>#REF!</v>
      </c>
      <c r="R712" s="326" t="e" cm="1">
        <f t="array" ref="R712">IF(H712&lt;&gt;"Stop",IF(E712&lt;&gt;0,IF(E712&lt;=K712,"OK","NG"),Blank),"-")</f>
        <v>#REF!</v>
      </c>
    </row>
    <row r="713" spans="1:18" ht="30" hidden="1" x14ac:dyDescent="0.3">
      <c r="A713" s="318" t="e">
        <f>#REF!</f>
        <v>#REF!</v>
      </c>
      <c r="B713" s="305" t="e">
        <f>#REF!</f>
        <v>#REF!</v>
      </c>
      <c r="C713" s="305" t="str">
        <f>'Danh sách máy'!C708</f>
        <v>Fact.4</v>
      </c>
      <c r="D713" s="90" t="e">
        <f>#REF!</f>
        <v>#REF!</v>
      </c>
      <c r="E713" s="97">
        <f>'Danh sách máy'!E708</f>
        <v>0</v>
      </c>
      <c r="F713" s="206" t="e">
        <f>#REF!</f>
        <v>#REF!</v>
      </c>
      <c r="G713" s="102" t="e">
        <f>#REF!</f>
        <v>#REF!</v>
      </c>
      <c r="H713" s="102" t="e">
        <f>#REF!</f>
        <v>#REF!</v>
      </c>
      <c r="K713" s="210" t="e">
        <f>#REF!</f>
        <v>#REF!</v>
      </c>
      <c r="L713" s="210">
        <v>44982</v>
      </c>
      <c r="M713" s="210"/>
      <c r="N713" s="210">
        <f>'Danh sách máy'!F708</f>
        <v>46202</v>
      </c>
      <c r="O713" s="211" t="str" cm="1">
        <f t="array" ref="O713">IF(L713&lt;&gt;0,IF(L713&lt;I713,"OK","NG"),Blank)</f>
        <v>NG</v>
      </c>
      <c r="P713" s="211" t="e" cm="1">
        <f t="array" ref="P713">IF(M713&lt;&gt;0,IF(M713&lt;J713,"OK","NG"),Blank)</f>
        <v>#NAME?</v>
      </c>
      <c r="Q713" s="211" t="e" cm="1">
        <f t="array" ref="Q713">IF(H713&lt;&gt;"Stop",IF(N713&lt;&gt;0,IF(N713&lt;=K713,"OK","NG"),Blank),"-")</f>
        <v>#REF!</v>
      </c>
      <c r="R713" s="326" t="e" cm="1">
        <f t="array" ref="R713">IF(H713&lt;&gt;"Stop",IF(E713&lt;&gt;0,IF(E713&lt;=K713,"OK","NG"),Blank),"-")</f>
        <v>#REF!</v>
      </c>
    </row>
    <row r="714" spans="1:18" ht="30" hidden="1" x14ac:dyDescent="0.3">
      <c r="A714" s="318" t="e">
        <f>#REF!</f>
        <v>#REF!</v>
      </c>
      <c r="B714" s="305" t="e">
        <f>#REF!</f>
        <v>#REF!</v>
      </c>
      <c r="C714" s="305" t="str">
        <f>'Danh sách máy'!C709</f>
        <v>Fact.4</v>
      </c>
      <c r="D714" s="90" t="e">
        <f>#REF!</f>
        <v>#REF!</v>
      </c>
      <c r="E714" s="97">
        <f>'Danh sách máy'!E709</f>
        <v>0</v>
      </c>
      <c r="F714" s="206" t="e">
        <f>#REF!</f>
        <v>#REF!</v>
      </c>
      <c r="G714" s="102" t="e">
        <f>#REF!</f>
        <v>#REF!</v>
      </c>
      <c r="H714" s="102" t="e">
        <f>#REF!</f>
        <v>#REF!</v>
      </c>
      <c r="K714" s="210" t="e">
        <f>#REF!</f>
        <v>#REF!</v>
      </c>
      <c r="L714" s="210">
        <v>44983</v>
      </c>
      <c r="M714" s="210"/>
      <c r="N714" s="210">
        <f>'Danh sách máy'!F709</f>
        <v>0</v>
      </c>
      <c r="O714" s="211" t="str" cm="1">
        <f t="array" ref="O714">IF(L714&lt;&gt;0,IF(L714&lt;I714,"OK","NG"),Blank)</f>
        <v>NG</v>
      </c>
      <c r="P714" s="211" t="e" cm="1">
        <f t="array" ref="P714">IF(M714&lt;&gt;0,IF(M714&lt;J714,"OK","NG"),Blank)</f>
        <v>#NAME?</v>
      </c>
      <c r="Q714" s="211" t="e" cm="1">
        <f t="array" ref="Q714">IF(H714&lt;&gt;"Stop",IF(N714&lt;&gt;0,IF(N714&lt;=K714,"OK","NG"),Blank),"-")</f>
        <v>#REF!</v>
      </c>
      <c r="R714" s="326" t="e" cm="1">
        <f t="array" ref="R714">IF(H714&lt;&gt;"Stop",IF(E714&lt;&gt;0,IF(E714&lt;=K714,"OK","NG"),Blank),"-")</f>
        <v>#REF!</v>
      </c>
    </row>
    <row r="715" spans="1:18" ht="30" hidden="1" x14ac:dyDescent="0.3">
      <c r="A715" s="318" t="e">
        <f>#REF!</f>
        <v>#REF!</v>
      </c>
      <c r="B715" s="305" t="e">
        <f>#REF!</f>
        <v>#REF!</v>
      </c>
      <c r="C715" s="305" t="str">
        <f>'Danh sách máy'!C710</f>
        <v>Fact.4</v>
      </c>
      <c r="D715" s="90" t="e">
        <f>#REF!</f>
        <v>#REF!</v>
      </c>
      <c r="E715" s="97">
        <f>'Danh sách máy'!E710</f>
        <v>0</v>
      </c>
      <c r="F715" s="206" t="e">
        <f>#REF!</f>
        <v>#REF!</v>
      </c>
      <c r="G715" s="102" t="e">
        <f>#REF!</f>
        <v>#REF!</v>
      </c>
      <c r="H715" s="102" t="e">
        <f>#REF!</f>
        <v>#REF!</v>
      </c>
      <c r="K715" s="210" t="e">
        <f>#REF!</f>
        <v>#REF!</v>
      </c>
      <c r="L715" s="210">
        <v>44984</v>
      </c>
      <c r="M715" s="210"/>
      <c r="N715" s="210">
        <f>'Danh sách máy'!F710</f>
        <v>0</v>
      </c>
      <c r="O715" s="211" t="str" cm="1">
        <f t="array" ref="O715">IF(L715&lt;&gt;0,IF(L715&lt;I715,"OK","NG"),Blank)</f>
        <v>NG</v>
      </c>
      <c r="P715" s="211" t="e" cm="1">
        <f t="array" ref="P715">IF(M715&lt;&gt;0,IF(M715&lt;J715,"OK","NG"),Blank)</f>
        <v>#NAME?</v>
      </c>
      <c r="Q715" s="211" t="e" cm="1">
        <f t="array" ref="Q715">IF(H715&lt;&gt;"Stop",IF(N715&lt;&gt;0,IF(N715&lt;=K715,"OK","NG"),Blank),"-")</f>
        <v>#REF!</v>
      </c>
      <c r="R715" s="326" t="e" cm="1">
        <f t="array" ref="R715">IF(H715&lt;&gt;"Stop",IF(E715&lt;&gt;0,IF(E715&lt;=K715,"OK","NG"),Blank),"-")</f>
        <v>#REF!</v>
      </c>
    </row>
    <row r="716" spans="1:18" ht="30" hidden="1" x14ac:dyDescent="0.3">
      <c r="A716" s="318" t="e">
        <f>#REF!</f>
        <v>#REF!</v>
      </c>
      <c r="B716" s="305" t="e">
        <f>#REF!</f>
        <v>#REF!</v>
      </c>
      <c r="C716" s="305" t="str">
        <f>'Danh sách máy'!C711</f>
        <v>Fact.4</v>
      </c>
      <c r="D716" s="90" t="e">
        <f>#REF!</f>
        <v>#REF!</v>
      </c>
      <c r="E716" s="97">
        <f>'Danh sách máy'!E711</f>
        <v>0</v>
      </c>
      <c r="F716" s="206" t="e">
        <f>#REF!</f>
        <v>#REF!</v>
      </c>
      <c r="G716" s="102" t="e">
        <f>#REF!</f>
        <v>#REF!</v>
      </c>
      <c r="H716" s="102" t="e">
        <f>#REF!</f>
        <v>#REF!</v>
      </c>
      <c r="K716" s="210" t="e">
        <f>#REF!</f>
        <v>#REF!</v>
      </c>
      <c r="L716" s="210">
        <v>44985</v>
      </c>
      <c r="M716" s="210"/>
      <c r="N716" s="210">
        <f>'Danh sách máy'!F711</f>
        <v>0</v>
      </c>
      <c r="O716" s="211" t="str" cm="1">
        <f t="array" ref="O716">IF(L716&lt;&gt;0,IF(L716&lt;I716,"OK","NG"),Blank)</f>
        <v>NG</v>
      </c>
      <c r="P716" s="211" t="e" cm="1">
        <f t="array" ref="P716">IF(M716&lt;&gt;0,IF(M716&lt;J716,"OK","NG"),Blank)</f>
        <v>#NAME?</v>
      </c>
      <c r="Q716" s="211" t="e" cm="1">
        <f t="array" ref="Q716">IF(H716&lt;&gt;"Stop",IF(N716&lt;&gt;0,IF(N716&lt;=K716,"OK","NG"),Blank),"-")</f>
        <v>#REF!</v>
      </c>
      <c r="R716" s="326" t="e" cm="1">
        <f t="array" ref="R716">IF(H716&lt;&gt;"Stop",IF(E716&lt;&gt;0,IF(E716&lt;=K716,"OK","NG"),Blank),"-")</f>
        <v>#REF!</v>
      </c>
    </row>
    <row r="717" spans="1:18" ht="45" hidden="1" x14ac:dyDescent="0.3">
      <c r="A717" s="318" t="e">
        <f>#REF!</f>
        <v>#REF!</v>
      </c>
      <c r="B717" s="305" t="e">
        <f>#REF!</f>
        <v>#REF!</v>
      </c>
      <c r="C717" s="305" t="str">
        <f>'Danh sách máy'!C712</f>
        <v>MKHC</v>
      </c>
      <c r="D717" s="90" t="e">
        <f>#REF!</f>
        <v>#REF!</v>
      </c>
      <c r="E717" s="97">
        <f>'Danh sách máy'!E712</f>
        <v>0</v>
      </c>
      <c r="F717" s="206" t="e">
        <f>#REF!</f>
        <v>#REF!</v>
      </c>
      <c r="G717" s="102" t="e">
        <f>#REF!</f>
        <v>#REF!</v>
      </c>
      <c r="H717" s="102" t="e">
        <f>#REF!</f>
        <v>#REF!</v>
      </c>
      <c r="K717" s="210" t="e">
        <f>#REF!</f>
        <v>#REF!</v>
      </c>
      <c r="L717" s="210">
        <v>44986</v>
      </c>
      <c r="M717" s="210"/>
      <c r="N717" s="210">
        <f>'Danh sách máy'!F712</f>
        <v>0</v>
      </c>
      <c r="O717" s="211" t="str" cm="1">
        <f t="array" ref="O717">IF(L717&lt;&gt;0,IF(L717&lt;I717,"OK","NG"),Blank)</f>
        <v>NG</v>
      </c>
      <c r="P717" s="211" t="e" cm="1">
        <f t="array" ref="P717">IF(M717&lt;&gt;0,IF(M717&lt;J717,"OK","NG"),Blank)</f>
        <v>#NAME?</v>
      </c>
      <c r="Q717" s="211" t="e" cm="1">
        <f t="array" ref="Q717">IF(H717&lt;&gt;"Stop",IF(N717&lt;&gt;0,IF(N717&lt;=K717,"OK","NG"),Blank),"-")</f>
        <v>#REF!</v>
      </c>
      <c r="R717" s="326" t="e" cm="1">
        <f t="array" ref="R717">IF(H717&lt;&gt;"Stop",IF(E717&lt;&gt;0,IF(E717&lt;=K717,"OK","NG"),Blank),"-")</f>
        <v>#REF!</v>
      </c>
    </row>
    <row r="718" spans="1:18" ht="30" hidden="1" x14ac:dyDescent="0.3">
      <c r="A718" s="318" t="e">
        <f>#REF!</f>
        <v>#REF!</v>
      </c>
      <c r="B718" s="305" t="e">
        <f>#REF!</f>
        <v>#REF!</v>
      </c>
      <c r="C718" s="305" t="str">
        <f>'Danh sách máy'!C713</f>
        <v>MKHC</v>
      </c>
      <c r="D718" s="90" t="e">
        <f>#REF!</f>
        <v>#REF!</v>
      </c>
      <c r="E718" s="97">
        <f>'Danh sách máy'!E713</f>
        <v>0</v>
      </c>
      <c r="F718" s="206" t="e">
        <f>#REF!</f>
        <v>#REF!</v>
      </c>
      <c r="G718" s="102" t="e">
        <f>#REF!</f>
        <v>#REF!</v>
      </c>
      <c r="H718" s="102" t="e">
        <f>#REF!</f>
        <v>#REF!</v>
      </c>
      <c r="K718" s="210" t="e">
        <f>#REF!</f>
        <v>#REF!</v>
      </c>
      <c r="L718" s="210">
        <v>44987</v>
      </c>
      <c r="M718" s="210"/>
      <c r="N718" s="210">
        <f>'Danh sách máy'!F713</f>
        <v>0</v>
      </c>
      <c r="O718" s="211" t="str" cm="1">
        <f t="array" ref="O718">IF(L718&lt;&gt;0,IF(L718&lt;I718,"OK","NG"),Blank)</f>
        <v>NG</v>
      </c>
      <c r="P718" s="211" t="e" cm="1">
        <f t="array" ref="P718">IF(M718&lt;&gt;0,IF(M718&lt;J718,"OK","NG"),Blank)</f>
        <v>#NAME?</v>
      </c>
      <c r="Q718" s="211" t="e" cm="1">
        <f t="array" ref="Q718">IF(H718&lt;&gt;"Stop",IF(N718&lt;&gt;0,IF(N718&lt;=K718,"OK","NG"),Blank),"-")</f>
        <v>#REF!</v>
      </c>
      <c r="R718" s="326" t="e" cm="1">
        <f t="array" ref="R718">IF(H718&lt;&gt;"Stop",IF(E718&lt;&gt;0,IF(E718&lt;=K718,"OK","NG"),Blank),"-")</f>
        <v>#REF!</v>
      </c>
    </row>
    <row r="719" spans="1:18" ht="15" hidden="1" x14ac:dyDescent="0.3">
      <c r="A719" s="318" t="e">
        <f>#REF!</f>
        <v>#REF!</v>
      </c>
      <c r="B719" s="305" t="e">
        <f>#REF!</f>
        <v>#REF!</v>
      </c>
      <c r="C719" s="305" t="str">
        <f>'Danh sách máy'!C714</f>
        <v>MKVC</v>
      </c>
      <c r="D719" s="90" t="e">
        <f>#REF!</f>
        <v>#REF!</v>
      </c>
      <c r="E719" s="97">
        <f>'Danh sách máy'!E714</f>
        <v>46090</v>
      </c>
      <c r="F719" s="206" t="e">
        <f>#REF!</f>
        <v>#REF!</v>
      </c>
      <c r="G719" s="102" t="e">
        <f>#REF!</f>
        <v>#REF!</v>
      </c>
      <c r="H719" s="102" t="e">
        <f>#REF!</f>
        <v>#REF!</v>
      </c>
      <c r="K719" s="210" t="e">
        <f>#REF!</f>
        <v>#REF!</v>
      </c>
      <c r="L719" s="210">
        <v>44988</v>
      </c>
      <c r="M719" s="210"/>
      <c r="N719" s="210">
        <f>'Danh sách máy'!F714</f>
        <v>46090</v>
      </c>
      <c r="O719" s="211" t="str" cm="1">
        <f t="array" ref="O719">IF(L719&lt;&gt;0,IF(L719&lt;I719,"OK","NG"),Blank)</f>
        <v>NG</v>
      </c>
      <c r="P719" s="211" t="e" cm="1">
        <f t="array" ref="P719">IF(M719&lt;&gt;0,IF(M719&lt;J719,"OK","NG"),Blank)</f>
        <v>#NAME?</v>
      </c>
      <c r="Q719" s="211" t="e" cm="1">
        <f t="array" ref="Q719">IF(H719&lt;&gt;"Stop",IF(N719&lt;&gt;0,IF(N719&lt;=K719,"OK","NG"),Blank),"-")</f>
        <v>#REF!</v>
      </c>
      <c r="R719" s="326" t="e" cm="1">
        <f t="array" ref="R719">IF(H719&lt;&gt;"Stop",IF(E719&lt;&gt;0,IF(E719&lt;=K719,"OK","NG"),Blank),"-")</f>
        <v>#REF!</v>
      </c>
    </row>
    <row r="720" spans="1:18" ht="15" hidden="1" x14ac:dyDescent="0.3">
      <c r="A720" s="318" t="e">
        <f>#REF!</f>
        <v>#REF!</v>
      </c>
      <c r="B720" s="305" t="e">
        <f>#REF!</f>
        <v>#REF!</v>
      </c>
      <c r="C720" s="305" t="str">
        <f>'Danh sách máy'!C715</f>
        <v>MKVC</v>
      </c>
      <c r="D720" s="90" t="e">
        <f>#REF!</f>
        <v>#REF!</v>
      </c>
      <c r="E720" s="97">
        <f>'Danh sách máy'!E715</f>
        <v>46115</v>
      </c>
      <c r="F720" s="206" t="e">
        <f>#REF!</f>
        <v>#REF!</v>
      </c>
      <c r="G720" s="102" t="e">
        <f>#REF!</f>
        <v>#REF!</v>
      </c>
      <c r="H720" s="102" t="e">
        <f>#REF!</f>
        <v>#REF!</v>
      </c>
      <c r="K720" s="210" t="e">
        <f>#REF!</f>
        <v>#REF!</v>
      </c>
      <c r="L720" s="210">
        <v>44989</v>
      </c>
      <c r="M720" s="210"/>
      <c r="N720" s="210">
        <f>'Danh sách máy'!F715</f>
        <v>0</v>
      </c>
      <c r="O720" s="211" t="str" cm="1">
        <f t="array" ref="O720">IF(L720&lt;&gt;0,IF(L720&lt;I720,"OK","NG"),Blank)</f>
        <v>NG</v>
      </c>
      <c r="P720" s="211" t="e" cm="1">
        <f t="array" ref="P720">IF(M720&lt;&gt;0,IF(M720&lt;J720,"OK","NG"),Blank)</f>
        <v>#NAME?</v>
      </c>
      <c r="Q720" s="211" t="e" cm="1">
        <f t="array" ref="Q720">IF(H720&lt;&gt;"Stop",IF(N720&lt;&gt;0,IF(N720&lt;=K720,"OK","NG"),Blank),"-")</f>
        <v>#REF!</v>
      </c>
      <c r="R720" s="326" t="e" cm="1">
        <f t="array" ref="R720">IF(H720&lt;&gt;"Stop",IF(E720&lt;&gt;0,IF(E720&lt;=K720,"OK","NG"),Blank),"-")</f>
        <v>#REF!</v>
      </c>
    </row>
    <row r="721" spans="1:18" ht="15" hidden="1" x14ac:dyDescent="0.3">
      <c r="A721" s="318" t="e">
        <f>#REF!</f>
        <v>#REF!</v>
      </c>
      <c r="B721" s="305" t="e">
        <f>#REF!</f>
        <v>#REF!</v>
      </c>
      <c r="C721" s="305" t="str">
        <f>'Danh sách máy'!C716</f>
        <v>MKHC</v>
      </c>
      <c r="D721" s="90" t="e">
        <f>#REF!</f>
        <v>#REF!</v>
      </c>
      <c r="E721" s="97">
        <f>'Danh sách máy'!E716</f>
        <v>46127</v>
      </c>
      <c r="F721" s="206" t="e">
        <f>#REF!</f>
        <v>#REF!</v>
      </c>
      <c r="G721" s="102" t="e">
        <f>#REF!</f>
        <v>#REF!</v>
      </c>
      <c r="H721" s="102" t="e">
        <f>#REF!</f>
        <v>#REF!</v>
      </c>
      <c r="K721" s="210" t="e">
        <f>#REF!</f>
        <v>#REF!</v>
      </c>
      <c r="L721" s="210">
        <v>44990</v>
      </c>
      <c r="M721" s="210"/>
      <c r="N721" s="210">
        <f>'Danh sách máy'!F716</f>
        <v>0</v>
      </c>
      <c r="O721" s="211" t="str" cm="1">
        <f t="array" ref="O721">IF(L721&lt;&gt;0,IF(L721&lt;I721,"OK","NG"),Blank)</f>
        <v>NG</v>
      </c>
      <c r="P721" s="211" t="e" cm="1">
        <f t="array" ref="P721">IF(M721&lt;&gt;0,IF(M721&lt;J721,"OK","NG"),Blank)</f>
        <v>#NAME?</v>
      </c>
      <c r="Q721" s="211" t="e" cm="1">
        <f t="array" ref="Q721">IF(H721&lt;&gt;"Stop",IF(N721&lt;&gt;0,IF(N721&lt;=K721,"OK","NG"),Blank),"-")</f>
        <v>#REF!</v>
      </c>
      <c r="R721" s="326" t="e" cm="1">
        <f t="array" ref="R721">IF(H721&lt;&gt;"Stop",IF(E721&lt;&gt;0,IF(E721&lt;=K721,"OK","NG"),Blank),"-")</f>
        <v>#REF!</v>
      </c>
    </row>
    <row r="722" spans="1:18" ht="30" hidden="1" x14ac:dyDescent="0.3">
      <c r="A722" s="318" t="e">
        <f>#REF!</f>
        <v>#REF!</v>
      </c>
      <c r="B722" s="305" t="e">
        <f>#REF!</f>
        <v>#REF!</v>
      </c>
      <c r="C722" s="305" t="str">
        <f>'Danh sách máy'!C717</f>
        <v>KAH</v>
      </c>
      <c r="D722" s="90" t="e">
        <f>#REF!</f>
        <v>#REF!</v>
      </c>
      <c r="E722" s="97">
        <f>'Danh sách máy'!E717</f>
        <v>0</v>
      </c>
      <c r="F722" s="206" t="e">
        <f>#REF!</f>
        <v>#REF!</v>
      </c>
      <c r="G722" s="102" t="e">
        <f>#REF!</f>
        <v>#REF!</v>
      </c>
      <c r="H722" s="102" t="e">
        <f>#REF!</f>
        <v>#REF!</v>
      </c>
      <c r="K722" s="210" t="e">
        <f>#REF!</f>
        <v>#REF!</v>
      </c>
      <c r="L722" s="210">
        <v>44991</v>
      </c>
      <c r="M722" s="210"/>
      <c r="N722" s="210">
        <f>'Danh sách máy'!F717</f>
        <v>0</v>
      </c>
      <c r="O722" s="211" t="str" cm="1">
        <f t="array" ref="O722">IF(L722&lt;&gt;0,IF(L722&lt;I722,"OK","NG"),Blank)</f>
        <v>NG</v>
      </c>
      <c r="P722" s="211" t="e" cm="1">
        <f t="array" ref="P722">IF(M722&lt;&gt;0,IF(M722&lt;J722,"OK","NG"),Blank)</f>
        <v>#NAME?</v>
      </c>
      <c r="Q722" s="211" t="e" cm="1">
        <f t="array" ref="Q722">IF(H722&lt;&gt;"Stop",IF(N722&lt;&gt;0,IF(N722&lt;=K722,"OK","NG"),Blank),"-")</f>
        <v>#REF!</v>
      </c>
      <c r="R722" s="326" t="e" cm="1">
        <f t="array" ref="R722">IF(H722&lt;&gt;"Stop",IF(E722&lt;&gt;0,IF(E722&lt;=K722,"OK","NG"),Blank),"-")</f>
        <v>#REF!</v>
      </c>
    </row>
    <row r="723" spans="1:18" ht="15" hidden="1" x14ac:dyDescent="0.3">
      <c r="A723" s="318" t="e">
        <f>#REF!</f>
        <v>#REF!</v>
      </c>
      <c r="B723" s="305" t="e">
        <f>#REF!</f>
        <v>#REF!</v>
      </c>
      <c r="C723" s="305" t="str">
        <f>'Danh sách máy'!C718</f>
        <v>KAH</v>
      </c>
      <c r="D723" s="90" t="e">
        <f>#REF!</f>
        <v>#REF!</v>
      </c>
      <c r="E723" s="97">
        <f>'Danh sách máy'!E718</f>
        <v>0</v>
      </c>
      <c r="F723" s="206" t="e">
        <f>#REF!</f>
        <v>#REF!</v>
      </c>
      <c r="G723" s="102" t="e">
        <f>#REF!</f>
        <v>#REF!</v>
      </c>
      <c r="H723" s="102" t="e">
        <f>#REF!</f>
        <v>#REF!</v>
      </c>
      <c r="K723" s="210" t="e">
        <f>#REF!</f>
        <v>#REF!</v>
      </c>
      <c r="L723" s="210">
        <v>44992</v>
      </c>
      <c r="M723" s="210"/>
      <c r="N723" s="210">
        <f>'Danh sách máy'!F718</f>
        <v>0</v>
      </c>
      <c r="O723" s="211" t="str" cm="1">
        <f t="array" ref="O723">IF(L723&lt;&gt;0,IF(L723&lt;I723,"OK","NG"),Blank)</f>
        <v>NG</v>
      </c>
      <c r="P723" s="211" t="e" cm="1">
        <f t="array" ref="P723">IF(M723&lt;&gt;0,IF(M723&lt;J723,"OK","NG"),Blank)</f>
        <v>#NAME?</v>
      </c>
      <c r="Q723" s="211" t="e" cm="1">
        <f t="array" ref="Q723">IF(H723&lt;&gt;"Stop",IF(N723&lt;&gt;0,IF(N723&lt;=K723,"OK","NG"),Blank),"-")</f>
        <v>#REF!</v>
      </c>
      <c r="R723" s="326" t="e" cm="1">
        <f t="array" ref="R723">IF(H723&lt;&gt;"Stop",IF(E723&lt;&gt;0,IF(E723&lt;=K723,"OK","NG"),Blank),"-")</f>
        <v>#REF!</v>
      </c>
    </row>
    <row r="724" spans="1:18" ht="30" hidden="1" x14ac:dyDescent="0.3">
      <c r="A724" s="318" t="e">
        <f>#REF!</f>
        <v>#REF!</v>
      </c>
      <c r="B724" s="305" t="e">
        <f>#REF!</f>
        <v>#REF!</v>
      </c>
      <c r="C724" s="305" t="str">
        <f>'Danh sách máy'!C719</f>
        <v>KAH</v>
      </c>
      <c r="D724" s="90" t="e">
        <f>#REF!</f>
        <v>#REF!</v>
      </c>
      <c r="E724" s="97">
        <f>'Danh sách máy'!E719</f>
        <v>0</v>
      </c>
      <c r="F724" s="206" t="e">
        <f>#REF!</f>
        <v>#REF!</v>
      </c>
      <c r="G724" s="102" t="e">
        <f>#REF!</f>
        <v>#REF!</v>
      </c>
      <c r="H724" s="102" t="e">
        <f>#REF!</f>
        <v>#REF!</v>
      </c>
      <c r="K724" s="210" t="e">
        <f>#REF!</f>
        <v>#REF!</v>
      </c>
      <c r="L724" s="210">
        <v>44993</v>
      </c>
      <c r="M724" s="210"/>
      <c r="N724" s="210">
        <f>'Danh sách máy'!F719</f>
        <v>0</v>
      </c>
      <c r="O724" s="211" t="str" cm="1">
        <f t="array" ref="O724">IF(L724&lt;&gt;0,IF(L724&lt;I724,"OK","NG"),Blank)</f>
        <v>NG</v>
      </c>
      <c r="P724" s="211" t="e" cm="1">
        <f t="array" ref="P724">IF(M724&lt;&gt;0,IF(M724&lt;J724,"OK","NG"),Blank)</f>
        <v>#NAME?</v>
      </c>
      <c r="Q724" s="211" t="e" cm="1">
        <f t="array" ref="Q724">IF(H724&lt;&gt;"Stop",IF(N724&lt;&gt;0,IF(N724&lt;=K724,"OK","NG"),Blank),"-")</f>
        <v>#REF!</v>
      </c>
      <c r="R724" s="326" t="e" cm="1">
        <f t="array" ref="R724">IF(H724&lt;&gt;"Stop",IF(E724&lt;&gt;0,IF(E724&lt;=K724,"OK","NG"),Blank),"-")</f>
        <v>#REF!</v>
      </c>
    </row>
    <row r="725" spans="1:18" ht="15" hidden="1" x14ac:dyDescent="0.3">
      <c r="A725" s="318" t="e">
        <f>#REF!</f>
        <v>#REF!</v>
      </c>
      <c r="B725" s="305" t="e">
        <f>#REF!</f>
        <v>#REF!</v>
      </c>
      <c r="C725" s="305" t="str">
        <f>'Danh sách máy'!C720</f>
        <v>KAH</v>
      </c>
      <c r="D725" s="90" t="e">
        <f>#REF!</f>
        <v>#REF!</v>
      </c>
      <c r="E725" s="97">
        <f>'Danh sách máy'!E720</f>
        <v>0</v>
      </c>
      <c r="F725" s="206" t="e">
        <f>#REF!</f>
        <v>#REF!</v>
      </c>
      <c r="G725" s="102" t="e">
        <f>#REF!</f>
        <v>#REF!</v>
      </c>
      <c r="H725" s="102" t="e">
        <f>#REF!</f>
        <v>#REF!</v>
      </c>
      <c r="K725" s="210" t="e">
        <f>#REF!</f>
        <v>#REF!</v>
      </c>
      <c r="L725" s="210">
        <v>44994</v>
      </c>
      <c r="M725" s="210"/>
      <c r="N725" s="210">
        <f>'Danh sách máy'!F720</f>
        <v>0</v>
      </c>
      <c r="O725" s="211" t="str" cm="1">
        <f t="array" ref="O725">IF(L725&lt;&gt;0,IF(L725&lt;I725,"OK","NG"),Blank)</f>
        <v>NG</v>
      </c>
      <c r="P725" s="211" t="e" cm="1">
        <f t="array" ref="P725">IF(M725&lt;&gt;0,IF(M725&lt;J725,"OK","NG"),Blank)</f>
        <v>#NAME?</v>
      </c>
      <c r="Q725" s="211" t="e" cm="1">
        <f t="array" ref="Q725">IF(H725&lt;&gt;"Stop",IF(N725&lt;&gt;0,IF(N725&lt;=K725,"OK","NG"),Blank),"-")</f>
        <v>#REF!</v>
      </c>
      <c r="R725" s="326" t="e" cm="1">
        <f t="array" ref="R725">IF(H725&lt;&gt;"Stop",IF(E725&lt;&gt;0,IF(E725&lt;=K725,"OK","NG"),Blank),"-")</f>
        <v>#REF!</v>
      </c>
    </row>
    <row r="726" spans="1:18" ht="30" hidden="1" x14ac:dyDescent="0.3">
      <c r="A726" s="318" t="e">
        <f>#REF!</f>
        <v>#REF!</v>
      </c>
      <c r="B726" s="305" t="e">
        <f>#REF!</f>
        <v>#REF!</v>
      </c>
      <c r="C726" s="305" t="str">
        <f>'Danh sách máy'!C721</f>
        <v>KAH</v>
      </c>
      <c r="D726" s="90" t="e">
        <f>#REF!</f>
        <v>#REF!</v>
      </c>
      <c r="E726" s="97">
        <f>'Danh sách máy'!E721</f>
        <v>0</v>
      </c>
      <c r="F726" s="206" t="e">
        <f>#REF!</f>
        <v>#REF!</v>
      </c>
      <c r="G726" s="102" t="e">
        <f>#REF!</f>
        <v>#REF!</v>
      </c>
      <c r="H726" s="102" t="e">
        <f>#REF!</f>
        <v>#REF!</v>
      </c>
      <c r="K726" s="210" t="e">
        <f>#REF!</f>
        <v>#REF!</v>
      </c>
      <c r="L726" s="210">
        <v>44995</v>
      </c>
      <c r="M726" s="210"/>
      <c r="N726" s="210">
        <f>'Danh sách máy'!F721</f>
        <v>0</v>
      </c>
      <c r="O726" s="211" t="str" cm="1">
        <f t="array" ref="O726">IF(L726&lt;&gt;0,IF(L726&lt;I726,"OK","NG"),Blank)</f>
        <v>NG</v>
      </c>
      <c r="P726" s="211" t="e" cm="1">
        <f t="array" ref="P726">IF(M726&lt;&gt;0,IF(M726&lt;J726,"OK","NG"),Blank)</f>
        <v>#NAME?</v>
      </c>
      <c r="Q726" s="211" t="e" cm="1">
        <f t="array" ref="Q726">IF(H726&lt;&gt;"Stop",IF(N726&lt;&gt;0,IF(N726&lt;=K726,"OK","NG"),Blank),"-")</f>
        <v>#REF!</v>
      </c>
      <c r="R726" s="326" t="e" cm="1">
        <f t="array" ref="R726">IF(H726&lt;&gt;"Stop",IF(E726&lt;&gt;0,IF(E726&lt;=K726,"OK","NG"),Blank),"-")</f>
        <v>#REF!</v>
      </c>
    </row>
    <row r="727" spans="1:18" ht="30" hidden="1" x14ac:dyDescent="0.3">
      <c r="A727" s="318" t="e">
        <f>#REF!</f>
        <v>#REF!</v>
      </c>
      <c r="B727" s="305" t="e">
        <f>#REF!</f>
        <v>#REF!</v>
      </c>
      <c r="C727" s="305" t="str">
        <f>'Danh sách máy'!C722</f>
        <v>KAH</v>
      </c>
      <c r="D727" s="90" t="e">
        <f>#REF!</f>
        <v>#REF!</v>
      </c>
      <c r="E727" s="97">
        <f>'Danh sách máy'!E722</f>
        <v>0</v>
      </c>
      <c r="F727" s="206" t="e">
        <f>#REF!</f>
        <v>#REF!</v>
      </c>
      <c r="G727" s="102" t="e">
        <f>#REF!</f>
        <v>#REF!</v>
      </c>
      <c r="H727" s="102" t="e">
        <f>#REF!</f>
        <v>#REF!</v>
      </c>
      <c r="K727" s="210" t="e">
        <f>#REF!</f>
        <v>#REF!</v>
      </c>
      <c r="L727" s="210">
        <v>44996</v>
      </c>
      <c r="M727" s="210"/>
      <c r="N727" s="210">
        <f>'Danh sách máy'!F722</f>
        <v>0</v>
      </c>
      <c r="O727" s="211" t="str" cm="1">
        <f t="array" ref="O727">IF(L727&lt;&gt;0,IF(L727&lt;I727,"OK","NG"),Blank)</f>
        <v>NG</v>
      </c>
      <c r="P727" s="211" t="e" cm="1">
        <f t="array" ref="P727">IF(M727&lt;&gt;0,IF(M727&lt;J727,"OK","NG"),Blank)</f>
        <v>#NAME?</v>
      </c>
      <c r="Q727" s="211" t="e" cm="1">
        <f t="array" ref="Q727">IF(H727&lt;&gt;"Stop",IF(N727&lt;&gt;0,IF(N727&lt;=K727,"OK","NG"),Blank),"-")</f>
        <v>#REF!</v>
      </c>
      <c r="R727" s="326" t="e" cm="1">
        <f t="array" ref="R727">IF(H727&lt;&gt;"Stop",IF(E727&lt;&gt;0,IF(E727&lt;=K727,"OK","NG"),Blank),"-")</f>
        <v>#REF!</v>
      </c>
    </row>
    <row r="728" spans="1:18" ht="30" hidden="1" x14ac:dyDescent="0.3">
      <c r="A728" s="318" t="e">
        <f>#REF!</f>
        <v>#REF!</v>
      </c>
      <c r="B728" s="305" t="e">
        <f>#REF!</f>
        <v>#REF!</v>
      </c>
      <c r="C728" s="305" t="str">
        <f>'Danh sách máy'!C723</f>
        <v>KAH</v>
      </c>
      <c r="D728" s="90" t="e">
        <f>#REF!</f>
        <v>#REF!</v>
      </c>
      <c r="E728" s="97">
        <f>'Danh sách máy'!E723</f>
        <v>0</v>
      </c>
      <c r="F728" s="206" t="e">
        <f>#REF!</f>
        <v>#REF!</v>
      </c>
      <c r="G728" s="102" t="e">
        <f>#REF!</f>
        <v>#REF!</v>
      </c>
      <c r="H728" s="102" t="e">
        <f>#REF!</f>
        <v>#REF!</v>
      </c>
      <c r="K728" s="210" t="e">
        <f>#REF!</f>
        <v>#REF!</v>
      </c>
      <c r="L728" s="210">
        <v>44997</v>
      </c>
      <c r="M728" s="210"/>
      <c r="N728" s="210">
        <f>'Danh sách máy'!F723</f>
        <v>0</v>
      </c>
      <c r="O728" s="211" t="str" cm="1">
        <f t="array" ref="O728">IF(L728&lt;&gt;0,IF(L728&lt;I728,"OK","NG"),Blank)</f>
        <v>NG</v>
      </c>
      <c r="P728" s="211" t="e" cm="1">
        <f t="array" ref="P728">IF(M728&lt;&gt;0,IF(M728&lt;J728,"OK","NG"),Blank)</f>
        <v>#NAME?</v>
      </c>
      <c r="Q728" s="211" t="e" cm="1">
        <f t="array" ref="Q728">IF(H728&lt;&gt;"Stop",IF(N728&lt;&gt;0,IF(N728&lt;=K728,"OK","NG"),Blank),"-")</f>
        <v>#REF!</v>
      </c>
      <c r="R728" s="326" t="e" cm="1">
        <f t="array" ref="R728">IF(H728&lt;&gt;"Stop",IF(E728&lt;&gt;0,IF(E728&lt;=K728,"OK","NG"),Blank),"-")</f>
        <v>#REF!</v>
      </c>
    </row>
    <row r="729" spans="1:18" ht="30" hidden="1" x14ac:dyDescent="0.3">
      <c r="A729" s="318" t="e">
        <f>#REF!</f>
        <v>#REF!</v>
      </c>
      <c r="B729" s="305" t="e">
        <f>#REF!</f>
        <v>#REF!</v>
      </c>
      <c r="C729" s="305" t="str">
        <f>'Danh sách máy'!C724</f>
        <v>KAH</v>
      </c>
      <c r="D729" s="90" t="e">
        <f>#REF!</f>
        <v>#REF!</v>
      </c>
      <c r="E729" s="97">
        <f>'Danh sách máy'!E724</f>
        <v>0</v>
      </c>
      <c r="F729" s="206" t="e">
        <f>#REF!</f>
        <v>#REF!</v>
      </c>
      <c r="G729" s="102" t="e">
        <f>#REF!</f>
        <v>#REF!</v>
      </c>
      <c r="H729" s="102" t="e">
        <f>#REF!</f>
        <v>#REF!</v>
      </c>
      <c r="K729" s="210" t="e">
        <f>#REF!</f>
        <v>#REF!</v>
      </c>
      <c r="L729" s="210">
        <v>44998</v>
      </c>
      <c r="M729" s="210"/>
      <c r="N729" s="210">
        <f>'Danh sách máy'!F724</f>
        <v>0</v>
      </c>
      <c r="O729" s="211" t="str" cm="1">
        <f t="array" ref="O729">IF(L729&lt;&gt;0,IF(L729&lt;I729,"OK","NG"),Blank)</f>
        <v>NG</v>
      </c>
      <c r="P729" s="211" t="e" cm="1">
        <f t="array" ref="P729">IF(M729&lt;&gt;0,IF(M729&lt;J729,"OK","NG"),Blank)</f>
        <v>#NAME?</v>
      </c>
      <c r="Q729" s="211" t="e" cm="1">
        <f t="array" ref="Q729">IF(H729&lt;&gt;"Stop",IF(N729&lt;&gt;0,IF(N729&lt;=K729,"OK","NG"),Blank),"-")</f>
        <v>#REF!</v>
      </c>
      <c r="R729" s="326" t="e" cm="1">
        <f t="array" ref="R729">IF(H729&lt;&gt;"Stop",IF(E729&lt;&gt;0,IF(E729&lt;=K729,"OK","NG"),Blank),"-")</f>
        <v>#REF!</v>
      </c>
    </row>
    <row r="730" spans="1:18" ht="30" hidden="1" x14ac:dyDescent="0.3">
      <c r="A730" s="318" t="e">
        <f>#REF!</f>
        <v>#REF!</v>
      </c>
      <c r="B730" s="305" t="e">
        <f>#REF!</f>
        <v>#REF!</v>
      </c>
      <c r="C730" s="305" t="str">
        <f>'Danh sách máy'!C725</f>
        <v>KAH</v>
      </c>
      <c r="D730" s="90" t="e">
        <f>#REF!</f>
        <v>#REF!</v>
      </c>
      <c r="E730" s="97">
        <f>'Danh sách máy'!E725</f>
        <v>0</v>
      </c>
      <c r="F730" s="206" t="e">
        <f>#REF!</f>
        <v>#REF!</v>
      </c>
      <c r="G730" s="102" t="e">
        <f>#REF!</f>
        <v>#REF!</v>
      </c>
      <c r="H730" s="102" t="e">
        <f>#REF!</f>
        <v>#REF!</v>
      </c>
      <c r="K730" s="210" t="e">
        <f>#REF!</f>
        <v>#REF!</v>
      </c>
      <c r="L730" s="210">
        <v>44999</v>
      </c>
      <c r="M730" s="210"/>
      <c r="N730" s="210">
        <f>'Danh sách máy'!F725</f>
        <v>0</v>
      </c>
      <c r="O730" s="211" t="str" cm="1">
        <f t="array" ref="O730">IF(L730&lt;&gt;0,IF(L730&lt;I730,"OK","NG"),Blank)</f>
        <v>NG</v>
      </c>
      <c r="P730" s="211" t="e" cm="1">
        <f t="array" ref="P730">IF(M730&lt;&gt;0,IF(M730&lt;J730,"OK","NG"),Blank)</f>
        <v>#NAME?</v>
      </c>
      <c r="Q730" s="211" t="e" cm="1">
        <f t="array" ref="Q730">IF(H730&lt;&gt;"Stop",IF(N730&lt;&gt;0,IF(N730&lt;=K730,"OK","NG"),Blank),"-")</f>
        <v>#REF!</v>
      </c>
      <c r="R730" s="326" t="e" cm="1">
        <f t="array" ref="R730">IF(H730&lt;&gt;"Stop",IF(E730&lt;&gt;0,IF(E730&lt;=K730,"OK","NG"),Blank),"-")</f>
        <v>#REF!</v>
      </c>
    </row>
    <row r="731" spans="1:18" ht="30" hidden="1" x14ac:dyDescent="0.3">
      <c r="A731" s="318" t="e">
        <f>#REF!</f>
        <v>#REF!</v>
      </c>
      <c r="B731" s="305" t="e">
        <f>#REF!</f>
        <v>#REF!</v>
      </c>
      <c r="C731" s="305" t="str">
        <f>'Danh sách máy'!C726</f>
        <v>KAH</v>
      </c>
      <c r="D731" s="90" t="e">
        <f>#REF!</f>
        <v>#REF!</v>
      </c>
      <c r="E731" s="97">
        <f>'Danh sách máy'!E726</f>
        <v>0</v>
      </c>
      <c r="F731" s="206" t="e">
        <f>#REF!</f>
        <v>#REF!</v>
      </c>
      <c r="G731" s="102" t="e">
        <f>#REF!</f>
        <v>#REF!</v>
      </c>
      <c r="H731" s="102" t="e">
        <f>#REF!</f>
        <v>#REF!</v>
      </c>
      <c r="K731" s="210" t="e">
        <f>#REF!</f>
        <v>#REF!</v>
      </c>
      <c r="L731" s="210">
        <v>45000</v>
      </c>
      <c r="M731" s="210"/>
      <c r="N731" s="210">
        <f>'Danh sách máy'!F726</f>
        <v>0</v>
      </c>
      <c r="O731" s="211" t="str" cm="1">
        <f t="array" ref="O731">IF(L731&lt;&gt;0,IF(L731&lt;I731,"OK","NG"),Blank)</f>
        <v>NG</v>
      </c>
      <c r="P731" s="211" t="e" cm="1">
        <f t="array" ref="P731">IF(M731&lt;&gt;0,IF(M731&lt;J731,"OK","NG"),Blank)</f>
        <v>#NAME?</v>
      </c>
      <c r="Q731" s="211" t="e" cm="1">
        <f t="array" ref="Q731">IF(H731&lt;&gt;"Stop",IF(N731&lt;&gt;0,IF(N731&lt;=K731,"OK","NG"),Blank),"-")</f>
        <v>#REF!</v>
      </c>
      <c r="R731" s="326" t="e" cm="1">
        <f t="array" ref="R731">IF(H731&lt;&gt;"Stop",IF(E731&lt;&gt;0,IF(E731&lt;=K731,"OK","NG"),Blank),"-")</f>
        <v>#REF!</v>
      </c>
    </row>
    <row r="732" spans="1:18" ht="30" hidden="1" x14ac:dyDescent="0.3">
      <c r="A732" s="318" t="e">
        <f>#REF!</f>
        <v>#REF!</v>
      </c>
      <c r="B732" s="305" t="e">
        <f>#REF!</f>
        <v>#REF!</v>
      </c>
      <c r="C732" s="305" t="str">
        <f>'Danh sách máy'!C727</f>
        <v>KAH</v>
      </c>
      <c r="D732" s="90" t="e">
        <f>#REF!</f>
        <v>#REF!</v>
      </c>
      <c r="E732" s="97">
        <f>'Danh sách máy'!E727</f>
        <v>0</v>
      </c>
      <c r="F732" s="206" t="e">
        <f>#REF!</f>
        <v>#REF!</v>
      </c>
      <c r="G732" s="102" t="e">
        <f>#REF!</f>
        <v>#REF!</v>
      </c>
      <c r="H732" s="102" t="e">
        <f>#REF!</f>
        <v>#REF!</v>
      </c>
      <c r="K732" s="210" t="e">
        <f>#REF!</f>
        <v>#REF!</v>
      </c>
      <c r="L732" s="210">
        <v>45001</v>
      </c>
      <c r="M732" s="210"/>
      <c r="N732" s="210">
        <f>'Danh sách máy'!F727</f>
        <v>0</v>
      </c>
      <c r="O732" s="211" t="str" cm="1">
        <f t="array" ref="O732">IF(L732&lt;&gt;0,IF(L732&lt;I732,"OK","NG"),Blank)</f>
        <v>NG</v>
      </c>
      <c r="P732" s="211" t="e" cm="1">
        <f t="array" ref="P732">IF(M732&lt;&gt;0,IF(M732&lt;J732,"OK","NG"),Blank)</f>
        <v>#NAME?</v>
      </c>
      <c r="Q732" s="211" t="e" cm="1">
        <f t="array" ref="Q732">IF(H732&lt;&gt;"Stop",IF(N732&lt;&gt;0,IF(N732&lt;=K732,"OK","NG"),Blank),"-")</f>
        <v>#REF!</v>
      </c>
      <c r="R732" s="326" t="e" cm="1">
        <f t="array" ref="R732">IF(H732&lt;&gt;"Stop",IF(E732&lt;&gt;0,IF(E732&lt;=K732,"OK","NG"),Blank),"-")</f>
        <v>#REF!</v>
      </c>
    </row>
    <row r="733" spans="1:18" ht="30" hidden="1" x14ac:dyDescent="0.3">
      <c r="A733" s="318" t="e">
        <f>#REF!</f>
        <v>#REF!</v>
      </c>
      <c r="B733" s="305" t="e">
        <f>#REF!</f>
        <v>#REF!</v>
      </c>
      <c r="C733" s="305" t="str">
        <f>'Danh sách máy'!C728</f>
        <v>TEN</v>
      </c>
      <c r="D733" s="90" t="e">
        <f>#REF!</f>
        <v>#REF!</v>
      </c>
      <c r="E733" s="97">
        <f>'Danh sách máy'!E728</f>
        <v>46183</v>
      </c>
      <c r="F733" s="206" t="e">
        <f>#REF!</f>
        <v>#REF!</v>
      </c>
      <c r="G733" s="102" t="e">
        <f>#REF!</f>
        <v>#REF!</v>
      </c>
      <c r="H733" s="102" t="e">
        <f>#REF!</f>
        <v>#REF!</v>
      </c>
      <c r="K733" s="210" t="e">
        <f>#REF!</f>
        <v>#REF!</v>
      </c>
      <c r="L733" s="210">
        <v>45002</v>
      </c>
      <c r="M733" s="210"/>
      <c r="N733" s="210">
        <f>'Danh sách máy'!F728</f>
        <v>46189</v>
      </c>
      <c r="O733" s="211" t="str" cm="1">
        <f t="array" ref="O733">IF(L733&lt;&gt;0,IF(L733&lt;I733,"OK","NG"),Blank)</f>
        <v>NG</v>
      </c>
      <c r="P733" s="211" t="e" cm="1">
        <f t="array" ref="P733">IF(M733&lt;&gt;0,IF(M733&lt;J733,"OK","NG"),Blank)</f>
        <v>#NAME?</v>
      </c>
      <c r="Q733" s="211" t="e" cm="1">
        <f t="array" ref="Q733">IF(H733&lt;&gt;"Stop",IF(N733&lt;&gt;0,IF(N733&lt;=K733,"OK","NG"),Blank),"-")</f>
        <v>#REF!</v>
      </c>
      <c r="R733" s="326" t="e" cm="1">
        <f t="array" ref="R733">IF(H733&lt;&gt;"Stop",IF(E733&lt;&gt;0,IF(E733&lt;=K733,"OK","NG"),Blank),"-")</f>
        <v>#REF!</v>
      </c>
    </row>
    <row r="734" spans="1:18" ht="30" hidden="1" x14ac:dyDescent="0.3">
      <c r="A734" s="318" t="e">
        <f>#REF!</f>
        <v>#REF!</v>
      </c>
      <c r="B734" s="305" t="e">
        <f>#REF!</f>
        <v>#REF!</v>
      </c>
      <c r="C734" s="305" t="str">
        <f>'Danh sách máy'!C729</f>
        <v>TEN</v>
      </c>
      <c r="D734" s="90" t="e">
        <f>#REF!</f>
        <v>#REF!</v>
      </c>
      <c r="E734" s="97">
        <f>'Danh sách máy'!E729</f>
        <v>46183</v>
      </c>
      <c r="F734" s="206" t="e">
        <f>#REF!</f>
        <v>#REF!</v>
      </c>
      <c r="G734" s="102" t="e">
        <f>#REF!</f>
        <v>#REF!</v>
      </c>
      <c r="H734" s="102" t="e">
        <f>#REF!</f>
        <v>#REF!</v>
      </c>
      <c r="K734" s="210" t="e">
        <f>#REF!</f>
        <v>#REF!</v>
      </c>
      <c r="L734" s="210">
        <v>45003</v>
      </c>
      <c r="M734" s="210"/>
      <c r="N734" s="210">
        <f>'Danh sách máy'!F729</f>
        <v>46189</v>
      </c>
      <c r="O734" s="211" t="str" cm="1">
        <f t="array" ref="O734">IF(L734&lt;&gt;0,IF(L734&lt;I734,"OK","NG"),Blank)</f>
        <v>NG</v>
      </c>
      <c r="P734" s="211" t="e" cm="1">
        <f t="array" ref="P734">IF(M734&lt;&gt;0,IF(M734&lt;J734,"OK","NG"),Blank)</f>
        <v>#NAME?</v>
      </c>
      <c r="Q734" s="211" t="e" cm="1">
        <f t="array" ref="Q734">IF(H734&lt;&gt;"Stop",IF(N734&lt;&gt;0,IF(N734&lt;=K734,"OK","NG"),Blank),"-")</f>
        <v>#REF!</v>
      </c>
      <c r="R734" s="326" t="e" cm="1">
        <f t="array" ref="R734">IF(H734&lt;&gt;"Stop",IF(E734&lt;&gt;0,IF(E734&lt;=K734,"OK","NG"),Blank),"-")</f>
        <v>#REF!</v>
      </c>
    </row>
    <row r="735" spans="1:18" ht="30" hidden="1" x14ac:dyDescent="0.3">
      <c r="A735" s="318" t="e">
        <f>#REF!</f>
        <v>#REF!</v>
      </c>
      <c r="B735" s="305" t="e">
        <f>#REF!</f>
        <v>#REF!</v>
      </c>
      <c r="C735" s="305" t="str">
        <f>'Danh sách máy'!C730</f>
        <v>MKHC</v>
      </c>
      <c r="D735" s="90" t="e">
        <f>#REF!</f>
        <v>#REF!</v>
      </c>
      <c r="E735" s="97">
        <f>'Danh sách máy'!E730</f>
        <v>0</v>
      </c>
      <c r="F735" s="206" t="e">
        <f>#REF!</f>
        <v>#REF!</v>
      </c>
      <c r="G735" s="102" t="e">
        <f>#REF!</f>
        <v>#REF!</v>
      </c>
      <c r="H735" s="102" t="e">
        <f>#REF!</f>
        <v>#REF!</v>
      </c>
      <c r="K735" s="210" t="e">
        <f>#REF!</f>
        <v>#REF!</v>
      </c>
      <c r="L735" s="210">
        <v>45004</v>
      </c>
      <c r="M735" s="210"/>
      <c r="N735" s="210">
        <f>'Danh sách máy'!F730</f>
        <v>0</v>
      </c>
      <c r="O735" s="211" t="str" cm="1">
        <f t="array" ref="O735">IF(L735&lt;&gt;0,IF(L735&lt;I735,"OK","NG"),Blank)</f>
        <v>NG</v>
      </c>
      <c r="P735" s="211" t="e" cm="1">
        <f t="array" ref="P735">IF(M735&lt;&gt;0,IF(M735&lt;J735,"OK","NG"),Blank)</f>
        <v>#NAME?</v>
      </c>
      <c r="Q735" s="211" t="e" cm="1">
        <f t="array" ref="Q735">IF(H735&lt;&gt;"Stop",IF(N735&lt;&gt;0,IF(N735&lt;=K735,"OK","NG"),Blank),"-")</f>
        <v>#REF!</v>
      </c>
      <c r="R735" s="326" t="e" cm="1">
        <f t="array" ref="R735">IF(H735&lt;&gt;"Stop",IF(E735&lt;&gt;0,IF(E735&lt;=K735,"OK","NG"),Blank),"-")</f>
        <v>#REF!</v>
      </c>
    </row>
    <row r="736" spans="1:18" ht="15" hidden="1" x14ac:dyDescent="0.3">
      <c r="A736" s="318" t="e">
        <f>#REF!</f>
        <v>#REF!</v>
      </c>
      <c r="B736" s="305" t="e">
        <f>#REF!</f>
        <v>#REF!</v>
      </c>
      <c r="C736" s="305" t="str">
        <f>'Danh sách máy'!C731</f>
        <v>MKVC</v>
      </c>
      <c r="D736" s="90" t="e">
        <f>#REF!</f>
        <v>#REF!</v>
      </c>
      <c r="E736" s="97">
        <f>'Danh sách máy'!E731</f>
        <v>0</v>
      </c>
      <c r="F736" s="206" t="e">
        <f>#REF!</f>
        <v>#REF!</v>
      </c>
      <c r="G736" s="102" t="e">
        <f>#REF!</f>
        <v>#REF!</v>
      </c>
      <c r="H736" s="102" t="e">
        <f>#REF!</f>
        <v>#REF!</v>
      </c>
      <c r="K736" s="210" t="e">
        <f>#REF!</f>
        <v>#REF!</v>
      </c>
      <c r="L736" s="210">
        <v>45005</v>
      </c>
      <c r="M736" s="210"/>
      <c r="N736" s="210">
        <f>'Danh sách máy'!F731</f>
        <v>0</v>
      </c>
      <c r="O736" s="211" t="str" cm="1">
        <f t="array" ref="O736">IF(L736&lt;&gt;0,IF(L736&lt;I736,"OK","NG"),Blank)</f>
        <v>NG</v>
      </c>
      <c r="P736" s="211" t="e" cm="1">
        <f t="array" ref="P736">IF(M736&lt;&gt;0,IF(M736&lt;J736,"OK","NG"),Blank)</f>
        <v>#NAME?</v>
      </c>
      <c r="Q736" s="211" t="e" cm="1">
        <f t="array" ref="Q736">IF(H736&lt;&gt;"Stop",IF(N736&lt;&gt;0,IF(N736&lt;=K736,"OK","NG"),Blank),"-")</f>
        <v>#REF!</v>
      </c>
      <c r="R736" s="326" t="e" cm="1">
        <f t="array" ref="R736">IF(H736&lt;&gt;"Stop",IF(E736&lt;&gt;0,IF(E736&lt;=K736,"OK","NG"),Blank),"-")</f>
        <v>#REF!</v>
      </c>
    </row>
    <row r="737" spans="1:18" ht="15" hidden="1" x14ac:dyDescent="0.3">
      <c r="A737" s="318" t="e">
        <f>#REF!</f>
        <v>#REF!</v>
      </c>
      <c r="B737" s="305" t="e">
        <f>#REF!</f>
        <v>#REF!</v>
      </c>
      <c r="C737" s="305" t="str">
        <f>'Danh sách máy'!C732</f>
        <v>Fact.4</v>
      </c>
      <c r="D737" s="90" t="e">
        <f>#REF!</f>
        <v>#REF!</v>
      </c>
      <c r="E737" s="97">
        <f>'Danh sách máy'!E732</f>
        <v>46132</v>
      </c>
      <c r="F737" s="206" t="e">
        <f>#REF!</f>
        <v>#REF!</v>
      </c>
      <c r="G737" s="102" t="e">
        <f>#REF!</f>
        <v>#REF!</v>
      </c>
      <c r="H737" s="102" t="e">
        <f>#REF!</f>
        <v>#REF!</v>
      </c>
      <c r="K737" s="210" t="e">
        <f>#REF!</f>
        <v>#REF!</v>
      </c>
      <c r="L737" s="210">
        <v>45006</v>
      </c>
      <c r="M737" s="210"/>
      <c r="N737" s="210">
        <f>'Danh sách máy'!F732</f>
        <v>46132</v>
      </c>
      <c r="O737" s="211" t="str" cm="1">
        <f t="array" ref="O737">IF(L737&lt;&gt;0,IF(L737&lt;I737,"OK","NG"),Blank)</f>
        <v>NG</v>
      </c>
      <c r="P737" s="211" t="e" cm="1">
        <f t="array" ref="P737">IF(M737&lt;&gt;0,IF(M737&lt;J737,"OK","NG"),Blank)</f>
        <v>#NAME?</v>
      </c>
      <c r="Q737" s="211" t="e" cm="1">
        <f t="array" ref="Q737">IF(H737&lt;&gt;"Stop",IF(N737&lt;&gt;0,IF(N737&lt;=K737,"OK","NG"),Blank),"-")</f>
        <v>#REF!</v>
      </c>
      <c r="R737" s="326" t="e" cm="1">
        <f t="array" ref="R737">IF(H737&lt;&gt;"Stop",IF(E737&lt;&gt;0,IF(E737&lt;=K737,"OK","NG"),Blank),"-")</f>
        <v>#REF!</v>
      </c>
    </row>
    <row r="738" spans="1:18" ht="15" hidden="1" x14ac:dyDescent="0.3">
      <c r="A738" s="318" t="e">
        <f>#REF!</f>
        <v>#REF!</v>
      </c>
      <c r="B738" s="305" t="e">
        <f>#REF!</f>
        <v>#REF!</v>
      </c>
      <c r="C738" s="305" t="str">
        <f>'Danh sách máy'!C733</f>
        <v>Fact.4</v>
      </c>
      <c r="D738" s="90" t="e">
        <f>#REF!</f>
        <v>#REF!</v>
      </c>
      <c r="E738" s="97">
        <f>'Danh sách máy'!E733</f>
        <v>46132</v>
      </c>
      <c r="F738" s="206" t="e">
        <f>#REF!</f>
        <v>#REF!</v>
      </c>
      <c r="G738" s="102" t="e">
        <f>#REF!</f>
        <v>#REF!</v>
      </c>
      <c r="H738" s="102" t="e">
        <f>#REF!</f>
        <v>#REF!</v>
      </c>
      <c r="K738" s="210" t="e">
        <f>#REF!</f>
        <v>#REF!</v>
      </c>
      <c r="L738" s="210">
        <v>45007</v>
      </c>
      <c r="M738" s="210"/>
      <c r="N738" s="210">
        <f>'Danh sách máy'!F733</f>
        <v>46132</v>
      </c>
      <c r="O738" s="211" t="str" cm="1">
        <f t="array" ref="O738">IF(L738&lt;&gt;0,IF(L738&lt;I738,"OK","NG"),Blank)</f>
        <v>NG</v>
      </c>
      <c r="P738" s="211" t="e" cm="1">
        <f t="array" ref="P738">IF(M738&lt;&gt;0,IF(M738&lt;J738,"OK","NG"),Blank)</f>
        <v>#NAME?</v>
      </c>
      <c r="Q738" s="211" t="e" cm="1">
        <f t="array" ref="Q738">IF(H738&lt;&gt;"Stop",IF(N738&lt;&gt;0,IF(N738&lt;=K738,"OK","NG"),Blank),"-")</f>
        <v>#REF!</v>
      </c>
      <c r="R738" s="326" t="e" cm="1">
        <f t="array" ref="R738">IF(H738&lt;&gt;"Stop",IF(E738&lt;&gt;0,IF(E738&lt;=K738,"OK","NG"),Blank),"-")</f>
        <v>#REF!</v>
      </c>
    </row>
    <row r="739" spans="1:18" ht="30" hidden="1" x14ac:dyDescent="0.3">
      <c r="A739" s="318" t="e">
        <f>#REF!</f>
        <v>#REF!</v>
      </c>
      <c r="B739" s="305" t="e">
        <f>#REF!</f>
        <v>#REF!</v>
      </c>
      <c r="C739" s="305" t="str">
        <f>'Danh sách máy'!C734</f>
        <v>FICT</v>
      </c>
      <c r="D739" s="90" t="e">
        <f>#REF!</f>
        <v>#REF!</v>
      </c>
      <c r="E739" s="97">
        <f>'Danh sách máy'!E734</f>
        <v>0</v>
      </c>
      <c r="F739" s="206" t="e">
        <f>#REF!</f>
        <v>#REF!</v>
      </c>
      <c r="G739" s="102" t="e">
        <f>#REF!</f>
        <v>#REF!</v>
      </c>
      <c r="H739" s="102" t="e">
        <f>#REF!</f>
        <v>#REF!</v>
      </c>
      <c r="K739" s="210" t="e">
        <f>#REF!</f>
        <v>#REF!</v>
      </c>
      <c r="L739" s="210">
        <v>45008</v>
      </c>
      <c r="M739" s="210"/>
      <c r="N739" s="210">
        <f>'Danh sách máy'!F734</f>
        <v>0</v>
      </c>
      <c r="O739" s="211" t="str" cm="1">
        <f t="array" ref="O739">IF(L739&lt;&gt;0,IF(L739&lt;I739,"OK","NG"),Blank)</f>
        <v>NG</v>
      </c>
      <c r="P739" s="211" t="e" cm="1">
        <f t="array" ref="P739">IF(M739&lt;&gt;0,IF(M739&lt;J739,"OK","NG"),Blank)</f>
        <v>#NAME?</v>
      </c>
      <c r="Q739" s="211" t="e" cm="1">
        <f t="array" ref="Q739">IF(H739&lt;&gt;"Stop",IF(N739&lt;&gt;0,IF(N739&lt;=K739,"OK","NG"),Blank),"-")</f>
        <v>#REF!</v>
      </c>
      <c r="R739" s="326" t="e" cm="1">
        <f t="array" ref="R739">IF(H739&lt;&gt;"Stop",IF(E739&lt;&gt;0,IF(E739&lt;=K739,"OK","NG"),Blank),"-")</f>
        <v>#REF!</v>
      </c>
    </row>
    <row r="740" spans="1:18" ht="30" hidden="1" x14ac:dyDescent="0.3">
      <c r="A740" s="318" t="e">
        <f>#REF!</f>
        <v>#REF!</v>
      </c>
      <c r="B740" s="305" t="e">
        <f>#REF!</f>
        <v>#REF!</v>
      </c>
      <c r="C740" s="305" t="str">
        <f>'Danh sách máy'!C735</f>
        <v>FICT</v>
      </c>
      <c r="D740" s="90" t="e">
        <f>#REF!</f>
        <v>#REF!</v>
      </c>
      <c r="E740" s="97">
        <f>'Danh sách máy'!E735</f>
        <v>0</v>
      </c>
      <c r="F740" s="206" t="e">
        <f>#REF!</f>
        <v>#REF!</v>
      </c>
      <c r="G740" s="102" t="e">
        <f>#REF!</f>
        <v>#REF!</v>
      </c>
      <c r="H740" s="102" t="e">
        <f>#REF!</f>
        <v>#REF!</v>
      </c>
      <c r="K740" s="210" t="e">
        <f>#REF!</f>
        <v>#REF!</v>
      </c>
      <c r="L740" s="210">
        <v>45009</v>
      </c>
      <c r="M740" s="210"/>
      <c r="N740" s="210">
        <f>'Danh sách máy'!F735</f>
        <v>0</v>
      </c>
      <c r="O740" s="211" t="str" cm="1">
        <f t="array" ref="O740">IF(L740&lt;&gt;0,IF(L740&lt;I740,"OK","NG"),Blank)</f>
        <v>NG</v>
      </c>
      <c r="P740" s="211" t="e" cm="1">
        <f t="array" ref="P740">IF(M740&lt;&gt;0,IF(M740&lt;J740,"OK","NG"),Blank)</f>
        <v>#NAME?</v>
      </c>
      <c r="Q740" s="211" t="e" cm="1">
        <f t="array" ref="Q740">IF(H740&lt;&gt;"Stop",IF(N740&lt;&gt;0,IF(N740&lt;=K740,"OK","NG"),Blank),"-")</f>
        <v>#REF!</v>
      </c>
      <c r="R740" s="326" t="e" cm="1">
        <f t="array" ref="R740">IF(H740&lt;&gt;"Stop",IF(E740&lt;&gt;0,IF(E740&lt;=K740,"OK","NG"),Blank),"-")</f>
        <v>#REF!</v>
      </c>
    </row>
    <row r="741" spans="1:18" ht="30" hidden="1" x14ac:dyDescent="0.3">
      <c r="A741" s="318" t="e">
        <f>#REF!</f>
        <v>#REF!</v>
      </c>
      <c r="B741" s="305" t="e">
        <f>#REF!</f>
        <v>#REF!</v>
      </c>
      <c r="C741" s="305" t="str">
        <f>'Danh sách máy'!C736</f>
        <v>TEN</v>
      </c>
      <c r="D741" s="90" t="e">
        <f>#REF!</f>
        <v>#REF!</v>
      </c>
      <c r="E741" s="97">
        <f>'Danh sách máy'!E736</f>
        <v>46183</v>
      </c>
      <c r="F741" s="206" t="e">
        <f>#REF!</f>
        <v>#REF!</v>
      </c>
      <c r="G741" s="102" t="e">
        <f>#REF!</f>
        <v>#REF!</v>
      </c>
      <c r="H741" s="102" t="e">
        <f>#REF!</f>
        <v>#REF!</v>
      </c>
      <c r="K741" s="210" t="e">
        <f>#REF!</f>
        <v>#REF!</v>
      </c>
      <c r="L741" s="210">
        <v>45010</v>
      </c>
      <c r="M741" s="210"/>
      <c r="N741" s="210">
        <f>'Danh sách máy'!F736</f>
        <v>0</v>
      </c>
      <c r="O741" s="211" t="str" cm="1">
        <f t="array" ref="O741">IF(L741&lt;&gt;0,IF(L741&lt;I741,"OK","NG"),Blank)</f>
        <v>NG</v>
      </c>
      <c r="P741" s="211" t="e" cm="1">
        <f t="array" ref="P741">IF(M741&lt;&gt;0,IF(M741&lt;J741,"OK","NG"),Blank)</f>
        <v>#NAME?</v>
      </c>
      <c r="Q741" s="211" t="e" cm="1">
        <f t="array" ref="Q741">IF(H741&lt;&gt;"Stop",IF(N741&lt;&gt;0,IF(N741&lt;=K741,"OK","NG"),Blank),"-")</f>
        <v>#REF!</v>
      </c>
      <c r="R741" s="326" t="e" cm="1">
        <f t="array" ref="R741">IF(H741&lt;&gt;"Stop",IF(E741&lt;&gt;0,IF(E741&lt;=K741,"OK","NG"),Blank),"-")</f>
        <v>#REF!</v>
      </c>
    </row>
    <row r="742" spans="1:18" ht="30" hidden="1" x14ac:dyDescent="0.3">
      <c r="A742" s="318" t="e">
        <f>#REF!</f>
        <v>#REF!</v>
      </c>
      <c r="B742" s="305" t="e">
        <f>#REF!</f>
        <v>#REF!</v>
      </c>
      <c r="C742" s="305" t="str">
        <f>'Danh sách máy'!C737</f>
        <v>TEN</v>
      </c>
      <c r="D742" s="90" t="e">
        <f>#REF!</f>
        <v>#REF!</v>
      </c>
      <c r="E742" s="97">
        <f>'Danh sách máy'!E737</f>
        <v>46183</v>
      </c>
      <c r="F742" s="206" t="e">
        <f>#REF!</f>
        <v>#REF!</v>
      </c>
      <c r="G742" s="102" t="e">
        <f>#REF!</f>
        <v>#REF!</v>
      </c>
      <c r="H742" s="102" t="e">
        <f>#REF!</f>
        <v>#REF!</v>
      </c>
      <c r="K742" s="210" t="e">
        <f>#REF!</f>
        <v>#REF!</v>
      </c>
      <c r="L742" s="210">
        <v>45011</v>
      </c>
      <c r="M742" s="210"/>
      <c r="N742" s="210">
        <f>'Danh sách máy'!F737</f>
        <v>0</v>
      </c>
      <c r="O742" s="211" t="str" cm="1">
        <f t="array" ref="O742">IF(L742&lt;&gt;0,IF(L742&lt;I742,"OK","NG"),Blank)</f>
        <v>NG</v>
      </c>
      <c r="P742" s="211" t="e" cm="1">
        <f t="array" ref="P742">IF(M742&lt;&gt;0,IF(M742&lt;J742,"OK","NG"),Blank)</f>
        <v>#NAME?</v>
      </c>
      <c r="Q742" s="211" t="e" cm="1">
        <f t="array" ref="Q742">IF(H742&lt;&gt;"Stop",IF(N742&lt;&gt;0,IF(N742&lt;=K742,"OK","NG"),Blank),"-")</f>
        <v>#REF!</v>
      </c>
      <c r="R742" s="326" t="e" cm="1">
        <f t="array" ref="R742">IF(H742&lt;&gt;"Stop",IF(E742&lt;&gt;0,IF(E742&lt;=K742,"OK","NG"),Blank),"-")</f>
        <v>#REF!</v>
      </c>
    </row>
    <row r="743" spans="1:18" ht="30" hidden="1" x14ac:dyDescent="0.3">
      <c r="A743" s="318" t="e">
        <f>#REF!</f>
        <v>#REF!</v>
      </c>
      <c r="B743" s="305" t="e">
        <f>#REF!</f>
        <v>#REF!</v>
      </c>
      <c r="C743" s="305" t="str">
        <f>'Danh sách máy'!C738</f>
        <v>TEN</v>
      </c>
      <c r="D743" s="90" t="e">
        <f>#REF!</f>
        <v>#REF!</v>
      </c>
      <c r="E743" s="97">
        <f>'Danh sách máy'!E738</f>
        <v>46189</v>
      </c>
      <c r="F743" s="206" t="e">
        <f>#REF!</f>
        <v>#REF!</v>
      </c>
      <c r="G743" s="102" t="e">
        <f>#REF!</f>
        <v>#REF!</v>
      </c>
      <c r="H743" s="102" t="e">
        <f>#REF!</f>
        <v>#REF!</v>
      </c>
      <c r="K743" s="210" t="e">
        <f>#REF!</f>
        <v>#REF!</v>
      </c>
      <c r="L743" s="210">
        <v>45012</v>
      </c>
      <c r="M743" s="210"/>
      <c r="N743" s="210">
        <f>'Danh sách máy'!F738</f>
        <v>0</v>
      </c>
      <c r="O743" s="211" t="str" cm="1">
        <f t="array" ref="O743">IF(L743&lt;&gt;0,IF(L743&lt;I743,"OK","NG"),Blank)</f>
        <v>NG</v>
      </c>
      <c r="P743" s="211" t="e" cm="1">
        <f t="array" ref="P743">IF(M743&lt;&gt;0,IF(M743&lt;J743,"OK","NG"),Blank)</f>
        <v>#NAME?</v>
      </c>
      <c r="Q743" s="211" t="e" cm="1">
        <f t="array" ref="Q743">IF(H743&lt;&gt;"Stop",IF(N743&lt;&gt;0,IF(N743&lt;=K743,"OK","NG"),Blank),"-")</f>
        <v>#REF!</v>
      </c>
      <c r="R743" s="326" t="e" cm="1">
        <f t="array" ref="R743">IF(H743&lt;&gt;"Stop",IF(E743&lt;&gt;0,IF(E743&lt;=K743,"OK","NG"),Blank),"-")</f>
        <v>#REF!</v>
      </c>
    </row>
    <row r="744" spans="1:18" ht="30" hidden="1" x14ac:dyDescent="0.3">
      <c r="A744" s="318" t="e">
        <f>#REF!</f>
        <v>#REF!</v>
      </c>
      <c r="B744" s="305" t="e">
        <f>#REF!</f>
        <v>#REF!</v>
      </c>
      <c r="C744" s="305" t="str">
        <f>'Danh sách máy'!C739</f>
        <v>Fact.4</v>
      </c>
      <c r="D744" s="90" t="e">
        <f>#REF!</f>
        <v>#REF!</v>
      </c>
      <c r="E744" s="97">
        <f>'Danh sách máy'!E739</f>
        <v>0</v>
      </c>
      <c r="F744" s="206" t="e">
        <f>#REF!</f>
        <v>#REF!</v>
      </c>
      <c r="G744" s="102" t="e">
        <f>#REF!</f>
        <v>#REF!</v>
      </c>
      <c r="H744" s="102" t="e">
        <f>#REF!</f>
        <v>#REF!</v>
      </c>
      <c r="K744" s="210" t="e">
        <f>#REF!</f>
        <v>#REF!</v>
      </c>
      <c r="L744" s="210">
        <v>45013</v>
      </c>
      <c r="M744" s="210"/>
      <c r="N744" s="210">
        <f>'Danh sách máy'!F739</f>
        <v>0</v>
      </c>
      <c r="O744" s="211" t="str" cm="1">
        <f t="array" ref="O744">IF(L744&lt;&gt;0,IF(L744&lt;I744,"OK","NG"),Blank)</f>
        <v>NG</v>
      </c>
      <c r="P744" s="211" t="e" cm="1">
        <f t="array" ref="P744">IF(M744&lt;&gt;0,IF(M744&lt;J744,"OK","NG"),Blank)</f>
        <v>#NAME?</v>
      </c>
      <c r="Q744" s="211" t="e" cm="1">
        <f t="array" ref="Q744">IF(H744&lt;&gt;"Stop",IF(N744&lt;&gt;0,IF(N744&lt;=K744,"OK","NG"),Blank),"-")</f>
        <v>#REF!</v>
      </c>
      <c r="R744" s="326" t="e" cm="1">
        <f t="array" ref="R744">IF(H744&lt;&gt;"Stop",IF(E744&lt;&gt;0,IF(E744&lt;=K744,"OK","NG"),Blank),"-")</f>
        <v>#REF!</v>
      </c>
    </row>
    <row r="745" spans="1:18" ht="15" hidden="1" x14ac:dyDescent="0.3">
      <c r="A745" s="318" t="e">
        <f>#REF!</f>
        <v>#REF!</v>
      </c>
      <c r="B745" s="305" t="e">
        <f>#REF!</f>
        <v>#REF!</v>
      </c>
      <c r="C745" s="305" t="str">
        <f>'Danh sách máy'!C740</f>
        <v>Fact.4</v>
      </c>
      <c r="D745" s="90" t="e">
        <f>#REF!</f>
        <v>#REF!</v>
      </c>
      <c r="E745" s="97">
        <f>'Danh sách máy'!E740</f>
        <v>0</v>
      </c>
      <c r="F745" s="206" t="e">
        <f>#REF!</f>
        <v>#REF!</v>
      </c>
      <c r="G745" s="102" t="e">
        <f>#REF!</f>
        <v>#REF!</v>
      </c>
      <c r="H745" s="102" t="e">
        <f>#REF!</f>
        <v>#REF!</v>
      </c>
      <c r="K745" s="210" t="e">
        <f>#REF!</f>
        <v>#REF!</v>
      </c>
      <c r="L745" s="210">
        <v>45014</v>
      </c>
      <c r="M745" s="210"/>
      <c r="N745" s="210">
        <f>'Danh sách máy'!F740</f>
        <v>0</v>
      </c>
      <c r="O745" s="211" t="str" cm="1">
        <f t="array" ref="O745">IF(L745&lt;&gt;0,IF(L745&lt;I745,"OK","NG"),Blank)</f>
        <v>NG</v>
      </c>
      <c r="P745" s="211" t="e" cm="1">
        <f t="array" ref="P745">IF(M745&lt;&gt;0,IF(M745&lt;J745,"OK","NG"),Blank)</f>
        <v>#NAME?</v>
      </c>
      <c r="Q745" s="211" t="e" cm="1">
        <f t="array" ref="Q745">IF(H745&lt;&gt;"Stop",IF(N745&lt;&gt;0,IF(N745&lt;=K745,"OK","NG"),Blank),"-")</f>
        <v>#REF!</v>
      </c>
      <c r="R745" s="326" t="e" cm="1">
        <f t="array" ref="R745">IF(H745&lt;&gt;"Stop",IF(E745&lt;&gt;0,IF(E745&lt;=K745,"OK","NG"),Blank),"-")</f>
        <v>#REF!</v>
      </c>
    </row>
    <row r="746" spans="1:18" ht="30" hidden="1" x14ac:dyDescent="0.3">
      <c r="A746" s="318" t="e">
        <f>#REF!</f>
        <v>#REF!</v>
      </c>
      <c r="B746" s="305" t="e">
        <f>#REF!</f>
        <v>#REF!</v>
      </c>
      <c r="C746" s="305" t="str">
        <f>'Danh sách máy'!C741</f>
        <v>Fact.4</v>
      </c>
      <c r="D746" s="90" t="e">
        <f>#REF!</f>
        <v>#REF!</v>
      </c>
      <c r="E746" s="97">
        <f>'Danh sách máy'!E741</f>
        <v>0</v>
      </c>
      <c r="F746" s="206" t="e">
        <f>#REF!</f>
        <v>#REF!</v>
      </c>
      <c r="G746" s="102" t="e">
        <f>#REF!</f>
        <v>#REF!</v>
      </c>
      <c r="H746" s="102" t="e">
        <f>#REF!</f>
        <v>#REF!</v>
      </c>
      <c r="K746" s="210" t="e">
        <f>#REF!</f>
        <v>#REF!</v>
      </c>
      <c r="L746" s="210">
        <v>45015</v>
      </c>
      <c r="M746" s="210"/>
      <c r="N746" s="210">
        <f>'Danh sách máy'!F741</f>
        <v>46203</v>
      </c>
      <c r="O746" s="211" t="str" cm="1">
        <f t="array" ref="O746">IF(L746&lt;&gt;0,IF(L746&lt;I746,"OK","NG"),Blank)</f>
        <v>NG</v>
      </c>
      <c r="P746" s="211" t="e" cm="1">
        <f t="array" ref="P746">IF(M746&lt;&gt;0,IF(M746&lt;J746,"OK","NG"),Blank)</f>
        <v>#NAME?</v>
      </c>
      <c r="Q746" s="211" t="e" cm="1">
        <f t="array" ref="Q746">IF(H746&lt;&gt;"Stop",IF(N746&lt;&gt;0,IF(N746&lt;=K746,"OK","NG"),Blank),"-")</f>
        <v>#REF!</v>
      </c>
      <c r="R746" s="326" t="e" cm="1">
        <f t="array" ref="R746">IF(H746&lt;&gt;"Stop",IF(E746&lt;&gt;0,IF(E746&lt;=K746,"OK","NG"),Blank),"-")</f>
        <v>#REF!</v>
      </c>
    </row>
    <row r="747" spans="1:18" ht="15" hidden="1" x14ac:dyDescent="0.3">
      <c r="A747" s="318" t="e">
        <f>#REF!</f>
        <v>#REF!</v>
      </c>
      <c r="B747" s="305" t="e">
        <f>#REF!</f>
        <v>#REF!</v>
      </c>
      <c r="C747" s="305" t="str">
        <f>'Danh sách máy'!C742</f>
        <v>Fact.4</v>
      </c>
      <c r="D747" s="90" t="e">
        <f>#REF!</f>
        <v>#REF!</v>
      </c>
      <c r="E747" s="97">
        <f>'Danh sách máy'!E742</f>
        <v>0</v>
      </c>
      <c r="F747" s="206" t="e">
        <f>#REF!</f>
        <v>#REF!</v>
      </c>
      <c r="G747" s="102" t="e">
        <f>#REF!</f>
        <v>#REF!</v>
      </c>
      <c r="H747" s="102" t="e">
        <f>#REF!</f>
        <v>#REF!</v>
      </c>
      <c r="K747" s="210" t="e">
        <f>#REF!</f>
        <v>#REF!</v>
      </c>
      <c r="L747" s="210">
        <v>45016</v>
      </c>
      <c r="M747" s="210"/>
      <c r="N747" s="210">
        <f>'Danh sách máy'!F742</f>
        <v>0</v>
      </c>
      <c r="O747" s="211" t="str" cm="1">
        <f t="array" ref="O747">IF(L747&lt;&gt;0,IF(L747&lt;I747,"OK","NG"),Blank)</f>
        <v>NG</v>
      </c>
      <c r="P747" s="211" t="e" cm="1">
        <f t="array" ref="P747">IF(M747&lt;&gt;0,IF(M747&lt;J747,"OK","NG"),Blank)</f>
        <v>#NAME?</v>
      </c>
      <c r="Q747" s="211" t="e" cm="1">
        <f t="array" ref="Q747">IF(H747&lt;&gt;"Stop",IF(N747&lt;&gt;0,IF(N747&lt;=K747,"OK","NG"),Blank),"-")</f>
        <v>#REF!</v>
      </c>
      <c r="R747" s="326" t="e" cm="1">
        <f t="array" ref="R747">IF(H747&lt;&gt;"Stop",IF(E747&lt;&gt;0,IF(E747&lt;=K747,"OK","NG"),Blank),"-")</f>
        <v>#REF!</v>
      </c>
    </row>
    <row r="748" spans="1:18" ht="30" hidden="1" x14ac:dyDescent="0.3">
      <c r="A748" s="318" t="e">
        <f>#REF!</f>
        <v>#REF!</v>
      </c>
      <c r="B748" s="305" t="e">
        <f>#REF!</f>
        <v>#REF!</v>
      </c>
      <c r="C748" s="305" t="str">
        <f>'Danh sách máy'!C743</f>
        <v>Fact.4</v>
      </c>
      <c r="D748" s="90" t="e">
        <f>#REF!</f>
        <v>#REF!</v>
      </c>
      <c r="E748" s="97">
        <f>'Danh sách máy'!E743</f>
        <v>0</v>
      </c>
      <c r="F748" s="206" t="e">
        <f>#REF!</f>
        <v>#REF!</v>
      </c>
      <c r="G748" s="102" t="e">
        <f>#REF!</f>
        <v>#REF!</v>
      </c>
      <c r="H748" s="102" t="e">
        <f>#REF!</f>
        <v>#REF!</v>
      </c>
      <c r="K748" s="210" t="e">
        <f>#REF!</f>
        <v>#REF!</v>
      </c>
      <c r="L748" s="210">
        <v>45017</v>
      </c>
      <c r="M748" s="210"/>
      <c r="N748" s="210">
        <f>'Danh sách máy'!F743</f>
        <v>46203</v>
      </c>
      <c r="O748" s="211" t="str" cm="1">
        <f t="array" ref="O748">IF(L748&lt;&gt;0,IF(L748&lt;I748,"OK","NG"),Blank)</f>
        <v>NG</v>
      </c>
      <c r="P748" s="211" t="e" cm="1">
        <f t="array" ref="P748">IF(M748&lt;&gt;0,IF(M748&lt;J748,"OK","NG"),Blank)</f>
        <v>#NAME?</v>
      </c>
      <c r="Q748" s="211" t="e" cm="1">
        <f t="array" ref="Q748">IF(H748&lt;&gt;"Stop",IF(N748&lt;&gt;0,IF(N748&lt;=K748,"OK","NG"),Blank),"-")</f>
        <v>#REF!</v>
      </c>
      <c r="R748" s="326" t="e" cm="1">
        <f t="array" ref="R748">IF(H748&lt;&gt;"Stop",IF(E748&lt;&gt;0,IF(E748&lt;=K748,"OK","NG"),Blank),"-")</f>
        <v>#REF!</v>
      </c>
    </row>
    <row r="749" spans="1:18" ht="15" hidden="1" x14ac:dyDescent="0.3">
      <c r="A749" s="318" t="e">
        <f>#REF!</f>
        <v>#REF!</v>
      </c>
      <c r="B749" s="305" t="e">
        <f>#REF!</f>
        <v>#REF!</v>
      </c>
      <c r="C749" s="305" t="str">
        <f>'Danh sách máy'!C744</f>
        <v>Fact.4</v>
      </c>
      <c r="D749" s="90" t="e">
        <f>#REF!</f>
        <v>#REF!</v>
      </c>
      <c r="E749" s="97">
        <f>'Danh sách máy'!E744</f>
        <v>0</v>
      </c>
      <c r="F749" s="206" t="e">
        <f>#REF!</f>
        <v>#REF!</v>
      </c>
      <c r="G749" s="102" t="e">
        <f>#REF!</f>
        <v>#REF!</v>
      </c>
      <c r="H749" s="102" t="e">
        <f>#REF!</f>
        <v>#REF!</v>
      </c>
      <c r="K749" s="210" t="e">
        <f>#REF!</f>
        <v>#REF!</v>
      </c>
      <c r="L749" s="210">
        <v>45018</v>
      </c>
      <c r="M749" s="210"/>
      <c r="N749" s="210">
        <f>'Danh sách máy'!F744</f>
        <v>0</v>
      </c>
      <c r="O749" s="211" t="str" cm="1">
        <f t="array" ref="O749">IF(L749&lt;&gt;0,IF(L749&lt;I749,"OK","NG"),Blank)</f>
        <v>NG</v>
      </c>
      <c r="P749" s="211" t="e" cm="1">
        <f t="array" ref="P749">IF(M749&lt;&gt;0,IF(M749&lt;J749,"OK","NG"),Blank)</f>
        <v>#NAME?</v>
      </c>
      <c r="Q749" s="211" t="e" cm="1">
        <f t="array" ref="Q749">IF(H749&lt;&gt;"Stop",IF(N749&lt;&gt;0,IF(N749&lt;=K749,"OK","NG"),Blank),"-")</f>
        <v>#REF!</v>
      </c>
      <c r="R749" s="326" t="e" cm="1">
        <f t="array" ref="R749">IF(H749&lt;&gt;"Stop",IF(E749&lt;&gt;0,IF(E749&lt;=K749,"OK","NG"),Blank),"-")</f>
        <v>#REF!</v>
      </c>
    </row>
    <row r="750" spans="1:18" ht="30" hidden="1" x14ac:dyDescent="0.3">
      <c r="A750" s="318" t="e">
        <f>#REF!</f>
        <v>#REF!</v>
      </c>
      <c r="B750" s="305" t="e">
        <f>#REF!</f>
        <v>#REF!</v>
      </c>
      <c r="C750" s="305" t="str">
        <f>'Danh sách máy'!C745</f>
        <v>Fact.4</v>
      </c>
      <c r="D750" s="90" t="e">
        <f>#REF!</f>
        <v>#REF!</v>
      </c>
      <c r="E750" s="97">
        <f>'Danh sách máy'!E745</f>
        <v>0</v>
      </c>
      <c r="F750" s="206" t="e">
        <f>#REF!</f>
        <v>#REF!</v>
      </c>
      <c r="G750" s="102" t="e">
        <f>#REF!</f>
        <v>#REF!</v>
      </c>
      <c r="H750" s="102" t="e">
        <f>#REF!</f>
        <v>#REF!</v>
      </c>
      <c r="K750" s="210" t="e">
        <f>#REF!</f>
        <v>#REF!</v>
      </c>
      <c r="L750" s="210">
        <v>45019</v>
      </c>
      <c r="M750" s="210"/>
      <c r="N750" s="210">
        <f>'Danh sách máy'!F745</f>
        <v>46203</v>
      </c>
      <c r="O750" s="211" t="str" cm="1">
        <f t="array" ref="O750">IF(L750&lt;&gt;0,IF(L750&lt;I750,"OK","NG"),Blank)</f>
        <v>NG</v>
      </c>
      <c r="P750" s="211" t="e" cm="1">
        <f t="array" ref="P750">IF(M750&lt;&gt;0,IF(M750&lt;J750,"OK","NG"),Blank)</f>
        <v>#NAME?</v>
      </c>
      <c r="Q750" s="211" t="e" cm="1">
        <f t="array" ref="Q750">IF(H750&lt;&gt;"Stop",IF(N750&lt;&gt;0,IF(N750&lt;=K750,"OK","NG"),Blank),"-")</f>
        <v>#REF!</v>
      </c>
      <c r="R750" s="326" t="e" cm="1">
        <f t="array" ref="R750">IF(H750&lt;&gt;"Stop",IF(E750&lt;&gt;0,IF(E750&lt;=K750,"OK","NG"),Blank),"-")</f>
        <v>#REF!</v>
      </c>
    </row>
    <row r="751" spans="1:18" ht="15" hidden="1" x14ac:dyDescent="0.3">
      <c r="A751" s="318" t="e">
        <f>#REF!</f>
        <v>#REF!</v>
      </c>
      <c r="B751" s="305" t="e">
        <f>#REF!</f>
        <v>#REF!</v>
      </c>
      <c r="C751" s="305" t="str">
        <f>'Danh sách máy'!C746</f>
        <v>Fact.4</v>
      </c>
      <c r="D751" s="90" t="e">
        <f>#REF!</f>
        <v>#REF!</v>
      </c>
      <c r="E751" s="97">
        <f>'Danh sách máy'!E746</f>
        <v>0</v>
      </c>
      <c r="F751" s="206" t="e">
        <f>#REF!</f>
        <v>#REF!</v>
      </c>
      <c r="G751" s="102" t="e">
        <f>#REF!</f>
        <v>#REF!</v>
      </c>
      <c r="H751" s="102" t="e">
        <f>#REF!</f>
        <v>#REF!</v>
      </c>
      <c r="K751" s="210" t="e">
        <f>#REF!</f>
        <v>#REF!</v>
      </c>
      <c r="L751" s="210">
        <v>45020</v>
      </c>
      <c r="M751" s="210"/>
      <c r="N751" s="210">
        <f>'Danh sách máy'!F746</f>
        <v>0</v>
      </c>
      <c r="O751" s="211" t="str" cm="1">
        <f t="array" ref="O751">IF(L751&lt;&gt;0,IF(L751&lt;I751,"OK","NG"),Blank)</f>
        <v>NG</v>
      </c>
      <c r="P751" s="211" t="e" cm="1">
        <f t="array" ref="P751">IF(M751&lt;&gt;0,IF(M751&lt;J751,"OK","NG"),Blank)</f>
        <v>#NAME?</v>
      </c>
      <c r="Q751" s="211" t="e" cm="1">
        <f t="array" ref="Q751">IF(H751&lt;&gt;"Stop",IF(N751&lt;&gt;0,IF(N751&lt;=K751,"OK","NG"),Blank),"-")</f>
        <v>#REF!</v>
      </c>
      <c r="R751" s="326" t="e" cm="1">
        <f t="array" ref="R751">IF(H751&lt;&gt;"Stop",IF(E751&lt;&gt;0,IF(E751&lt;=K751,"OK","NG"),Blank),"-")</f>
        <v>#REF!</v>
      </c>
    </row>
    <row r="752" spans="1:18" ht="15" hidden="1" x14ac:dyDescent="0.3">
      <c r="A752" s="318" t="e">
        <f>#REF!</f>
        <v>#REF!</v>
      </c>
      <c r="B752" s="305" t="e">
        <f>#REF!</f>
        <v>#REF!</v>
      </c>
      <c r="C752" s="305" t="str">
        <f>'Danh sách máy'!C747</f>
        <v>Fact.4</v>
      </c>
      <c r="D752" s="90" t="e">
        <f>#REF!</f>
        <v>#REF!</v>
      </c>
      <c r="E752" s="97">
        <f>'Danh sách máy'!E747</f>
        <v>0</v>
      </c>
      <c r="F752" s="206" t="e">
        <f>#REF!</f>
        <v>#REF!</v>
      </c>
      <c r="G752" s="102" t="e">
        <f>#REF!</f>
        <v>#REF!</v>
      </c>
      <c r="H752" s="102" t="e">
        <f>#REF!</f>
        <v>#REF!</v>
      </c>
      <c r="K752" s="210" t="e">
        <f>#REF!</f>
        <v>#REF!</v>
      </c>
      <c r="L752" s="210">
        <v>45021</v>
      </c>
      <c r="M752" s="210"/>
      <c r="N752" s="210">
        <f>'Danh sách máy'!F747</f>
        <v>0</v>
      </c>
      <c r="O752" s="211" t="str" cm="1">
        <f t="array" ref="O752">IF(L752&lt;&gt;0,IF(L752&lt;I752,"OK","NG"),Blank)</f>
        <v>NG</v>
      </c>
      <c r="P752" s="211" t="e" cm="1">
        <f t="array" ref="P752">IF(M752&lt;&gt;0,IF(M752&lt;J752,"OK","NG"),Blank)</f>
        <v>#NAME?</v>
      </c>
      <c r="Q752" s="211" t="e" cm="1">
        <f t="array" ref="Q752">IF(H752&lt;&gt;"Stop",IF(N752&lt;&gt;0,IF(N752&lt;=K752,"OK","NG"),Blank),"-")</f>
        <v>#REF!</v>
      </c>
      <c r="R752" s="326" t="e" cm="1">
        <f t="array" ref="R752">IF(H752&lt;&gt;"Stop",IF(E752&lt;&gt;0,IF(E752&lt;=K752,"OK","NG"),Blank),"-")</f>
        <v>#REF!</v>
      </c>
    </row>
    <row r="753" spans="1:18" ht="15" hidden="1" x14ac:dyDescent="0.3">
      <c r="A753" s="318" t="e">
        <f>#REF!</f>
        <v>#REF!</v>
      </c>
      <c r="B753" s="305" t="e">
        <f>#REF!</f>
        <v>#REF!</v>
      </c>
      <c r="C753" s="305" t="str">
        <f>'Danh sách máy'!C748</f>
        <v>Fact.4</v>
      </c>
      <c r="D753" s="90" t="e">
        <f>#REF!</f>
        <v>#REF!</v>
      </c>
      <c r="E753" s="97">
        <f>'Danh sách máy'!E748</f>
        <v>0</v>
      </c>
      <c r="F753" s="206" t="e">
        <f>#REF!</f>
        <v>#REF!</v>
      </c>
      <c r="G753" s="102" t="e">
        <f>#REF!</f>
        <v>#REF!</v>
      </c>
      <c r="H753" s="102" t="e">
        <f>#REF!</f>
        <v>#REF!</v>
      </c>
      <c r="K753" s="210" t="e">
        <f>#REF!</f>
        <v>#REF!</v>
      </c>
      <c r="L753" s="210">
        <v>45022</v>
      </c>
      <c r="M753" s="210"/>
      <c r="N753" s="210">
        <f>'Danh sách máy'!F748</f>
        <v>0</v>
      </c>
      <c r="O753" s="211" t="str" cm="1">
        <f t="array" ref="O753">IF(L753&lt;&gt;0,IF(L753&lt;I753,"OK","NG"),Blank)</f>
        <v>NG</v>
      </c>
      <c r="P753" s="211" t="e" cm="1">
        <f t="array" ref="P753">IF(M753&lt;&gt;0,IF(M753&lt;J753,"OK","NG"),Blank)</f>
        <v>#NAME?</v>
      </c>
      <c r="Q753" s="211" t="e" cm="1">
        <f t="array" ref="Q753">IF(H753&lt;&gt;"Stop",IF(N753&lt;&gt;0,IF(N753&lt;=K753,"OK","NG"),Blank),"-")</f>
        <v>#REF!</v>
      </c>
      <c r="R753" s="326" t="e" cm="1">
        <f t="array" ref="R753">IF(H753&lt;&gt;"Stop",IF(E753&lt;&gt;0,IF(E753&lt;=K753,"OK","NG"),Blank),"-")</f>
        <v>#REF!</v>
      </c>
    </row>
    <row r="754" spans="1:18" ht="15" hidden="1" x14ac:dyDescent="0.3">
      <c r="A754" s="318" t="e">
        <f>#REF!</f>
        <v>#REF!</v>
      </c>
      <c r="B754" s="305" t="e">
        <f>#REF!</f>
        <v>#REF!</v>
      </c>
      <c r="C754" s="305" t="str">
        <f>'Danh sách máy'!C749</f>
        <v>Fact.4</v>
      </c>
      <c r="D754" s="90" t="e">
        <f>#REF!</f>
        <v>#REF!</v>
      </c>
      <c r="E754" s="97">
        <f>'Danh sách máy'!E749</f>
        <v>0</v>
      </c>
      <c r="F754" s="206" t="e">
        <f>#REF!</f>
        <v>#REF!</v>
      </c>
      <c r="G754" s="102" t="e">
        <f>#REF!</f>
        <v>#REF!</v>
      </c>
      <c r="H754" s="102" t="e">
        <f>#REF!</f>
        <v>#REF!</v>
      </c>
      <c r="K754" s="210" t="e">
        <f>#REF!</f>
        <v>#REF!</v>
      </c>
      <c r="L754" s="210">
        <v>45023</v>
      </c>
      <c r="M754" s="210"/>
      <c r="N754" s="210">
        <f>'Danh sách máy'!F749</f>
        <v>0</v>
      </c>
      <c r="O754" s="211" t="str" cm="1">
        <f t="array" ref="O754">IF(L754&lt;&gt;0,IF(L754&lt;I754,"OK","NG"),Blank)</f>
        <v>NG</v>
      </c>
      <c r="P754" s="211" t="e" cm="1">
        <f t="array" ref="P754">IF(M754&lt;&gt;0,IF(M754&lt;J754,"OK","NG"),Blank)</f>
        <v>#NAME?</v>
      </c>
      <c r="Q754" s="211" t="e" cm="1">
        <f t="array" ref="Q754">IF(H754&lt;&gt;"Stop",IF(N754&lt;&gt;0,IF(N754&lt;=K754,"OK","NG"),Blank),"-")</f>
        <v>#REF!</v>
      </c>
      <c r="R754" s="326" t="e" cm="1">
        <f t="array" ref="R754">IF(H754&lt;&gt;"Stop",IF(E754&lt;&gt;0,IF(E754&lt;=K754,"OK","NG"),Blank),"-")</f>
        <v>#REF!</v>
      </c>
    </row>
    <row r="755" spans="1:18" ht="15" hidden="1" x14ac:dyDescent="0.3">
      <c r="A755" s="318" t="e">
        <f>#REF!</f>
        <v>#REF!</v>
      </c>
      <c r="B755" s="305" t="e">
        <f>#REF!</f>
        <v>#REF!</v>
      </c>
      <c r="C755" s="305" t="str">
        <f>'Danh sách máy'!C750</f>
        <v>Fact.4</v>
      </c>
      <c r="D755" s="90" t="e">
        <f>#REF!</f>
        <v>#REF!</v>
      </c>
      <c r="E755" s="97">
        <f>'Danh sách máy'!E750</f>
        <v>0</v>
      </c>
      <c r="F755" s="206" t="e">
        <f>#REF!</f>
        <v>#REF!</v>
      </c>
      <c r="G755" s="102" t="e">
        <f>#REF!</f>
        <v>#REF!</v>
      </c>
      <c r="H755" s="102" t="e">
        <f>#REF!</f>
        <v>#REF!</v>
      </c>
      <c r="K755" s="210" t="e">
        <f>#REF!</f>
        <v>#REF!</v>
      </c>
      <c r="L755" s="210">
        <v>45024</v>
      </c>
      <c r="M755" s="210"/>
      <c r="N755" s="210">
        <f>'Danh sách máy'!F750</f>
        <v>0</v>
      </c>
      <c r="O755" s="211" t="str" cm="1">
        <f t="array" ref="O755">IF(L755&lt;&gt;0,IF(L755&lt;I755,"OK","NG"),Blank)</f>
        <v>NG</v>
      </c>
      <c r="P755" s="211" t="e" cm="1">
        <f t="array" ref="P755">IF(M755&lt;&gt;0,IF(M755&lt;J755,"OK","NG"),Blank)</f>
        <v>#NAME?</v>
      </c>
      <c r="Q755" s="211" t="e" cm="1">
        <f t="array" ref="Q755">IF(H755&lt;&gt;"Stop",IF(N755&lt;&gt;0,IF(N755&lt;=K755,"OK","NG"),Blank),"-")</f>
        <v>#REF!</v>
      </c>
      <c r="R755" s="326" t="e" cm="1">
        <f t="array" ref="R755">IF(H755&lt;&gt;"Stop",IF(E755&lt;&gt;0,IF(E755&lt;=K755,"OK","NG"),Blank),"-")</f>
        <v>#REF!</v>
      </c>
    </row>
    <row r="756" spans="1:18" ht="30" hidden="1" x14ac:dyDescent="0.3">
      <c r="A756" s="318" t="e">
        <f>#REF!</f>
        <v>#REF!</v>
      </c>
      <c r="B756" s="305" t="e">
        <f>#REF!</f>
        <v>#REF!</v>
      </c>
      <c r="C756" s="305" t="str">
        <f>'Danh sách máy'!C751</f>
        <v>Fact.4</v>
      </c>
      <c r="D756" s="90" t="e">
        <f>#REF!</f>
        <v>#REF!</v>
      </c>
      <c r="E756" s="97">
        <f>'Danh sách máy'!E751</f>
        <v>0</v>
      </c>
      <c r="F756" s="206" t="e">
        <f>#REF!</f>
        <v>#REF!</v>
      </c>
      <c r="G756" s="102" t="e">
        <f>#REF!</f>
        <v>#REF!</v>
      </c>
      <c r="H756" s="102" t="e">
        <f>#REF!</f>
        <v>#REF!</v>
      </c>
      <c r="K756" s="210" t="e">
        <f>#REF!</f>
        <v>#REF!</v>
      </c>
      <c r="L756" s="210">
        <v>45025</v>
      </c>
      <c r="M756" s="210"/>
      <c r="N756" s="210">
        <f>'Danh sách máy'!F751</f>
        <v>46203</v>
      </c>
      <c r="O756" s="211" t="str" cm="1">
        <f t="array" ref="O756">IF(L756&lt;&gt;0,IF(L756&lt;I756,"OK","NG"),Blank)</f>
        <v>NG</v>
      </c>
      <c r="P756" s="211" t="e" cm="1">
        <f t="array" ref="P756">IF(M756&lt;&gt;0,IF(M756&lt;J756,"OK","NG"),Blank)</f>
        <v>#NAME?</v>
      </c>
      <c r="Q756" s="211" t="e" cm="1">
        <f t="array" ref="Q756">IF(H756&lt;&gt;"Stop",IF(N756&lt;&gt;0,IF(N756&lt;=K756,"OK","NG"),Blank),"-")</f>
        <v>#REF!</v>
      </c>
      <c r="R756" s="326" t="e" cm="1">
        <f t="array" ref="R756">IF(H756&lt;&gt;"Stop",IF(E756&lt;&gt;0,IF(E756&lt;=K756,"OK","NG"),Blank),"-")</f>
        <v>#REF!</v>
      </c>
    </row>
    <row r="757" spans="1:18" ht="15" hidden="1" x14ac:dyDescent="0.3">
      <c r="A757" s="318" t="e">
        <f>#REF!</f>
        <v>#REF!</v>
      </c>
      <c r="B757" s="305" t="e">
        <f>#REF!</f>
        <v>#REF!</v>
      </c>
      <c r="C757" s="305" t="str">
        <f>'Danh sách máy'!C752</f>
        <v>Fact.4</v>
      </c>
      <c r="D757" s="90" t="e">
        <f>#REF!</f>
        <v>#REF!</v>
      </c>
      <c r="E757" s="97">
        <f>'Danh sách máy'!E752</f>
        <v>0</v>
      </c>
      <c r="F757" s="206" t="e">
        <f>#REF!</f>
        <v>#REF!</v>
      </c>
      <c r="G757" s="102" t="e">
        <f>#REF!</f>
        <v>#REF!</v>
      </c>
      <c r="H757" s="102" t="e">
        <f>#REF!</f>
        <v>#REF!</v>
      </c>
      <c r="K757" s="210" t="e">
        <f>#REF!</f>
        <v>#REF!</v>
      </c>
      <c r="L757" s="210">
        <v>45026</v>
      </c>
      <c r="M757" s="210"/>
      <c r="N757" s="210">
        <f>'Danh sách máy'!F752</f>
        <v>0</v>
      </c>
      <c r="O757" s="211" t="str" cm="1">
        <f t="array" ref="O757">IF(L757&lt;&gt;0,IF(L757&lt;I757,"OK","NG"),Blank)</f>
        <v>NG</v>
      </c>
      <c r="P757" s="211" t="e" cm="1">
        <f t="array" ref="P757">IF(M757&lt;&gt;0,IF(M757&lt;J757,"OK","NG"),Blank)</f>
        <v>#NAME?</v>
      </c>
      <c r="Q757" s="211" t="e" cm="1">
        <f t="array" ref="Q757">IF(H757&lt;&gt;"Stop",IF(N757&lt;&gt;0,IF(N757&lt;=K757,"OK","NG"),Blank),"-")</f>
        <v>#REF!</v>
      </c>
      <c r="R757" s="326" t="e" cm="1">
        <f t="array" ref="R757">IF(H757&lt;&gt;"Stop",IF(E757&lt;&gt;0,IF(E757&lt;=K757,"OK","NG"),Blank),"-")</f>
        <v>#REF!</v>
      </c>
    </row>
    <row r="758" spans="1:18" ht="15" hidden="1" x14ac:dyDescent="0.3">
      <c r="A758" s="318" t="e">
        <f>#REF!</f>
        <v>#REF!</v>
      </c>
      <c r="B758" s="305" t="e">
        <f>#REF!</f>
        <v>#REF!</v>
      </c>
      <c r="C758" s="305" t="str">
        <f>'Danh sách máy'!C753</f>
        <v>Fact.4</v>
      </c>
      <c r="D758" s="90" t="e">
        <f>#REF!</f>
        <v>#REF!</v>
      </c>
      <c r="E758" s="97">
        <f>'Danh sách máy'!E753</f>
        <v>0</v>
      </c>
      <c r="F758" s="206" t="e">
        <f>#REF!</f>
        <v>#REF!</v>
      </c>
      <c r="G758" s="102" t="e">
        <f>#REF!</f>
        <v>#REF!</v>
      </c>
      <c r="H758" s="102" t="e">
        <f>#REF!</f>
        <v>#REF!</v>
      </c>
      <c r="K758" s="210" t="e">
        <f>#REF!</f>
        <v>#REF!</v>
      </c>
      <c r="L758" s="210">
        <v>45027</v>
      </c>
      <c r="M758" s="210"/>
      <c r="N758" s="210">
        <f>'Danh sách máy'!F753</f>
        <v>0</v>
      </c>
      <c r="O758" s="211" t="str" cm="1">
        <f t="array" ref="O758">IF(L758&lt;&gt;0,IF(L758&lt;I758,"OK","NG"),Blank)</f>
        <v>NG</v>
      </c>
      <c r="P758" s="211" t="e" cm="1">
        <f t="array" ref="P758">IF(M758&lt;&gt;0,IF(M758&lt;J758,"OK","NG"),Blank)</f>
        <v>#NAME?</v>
      </c>
      <c r="Q758" s="211" t="e" cm="1">
        <f t="array" ref="Q758">IF(H758&lt;&gt;"Stop",IF(N758&lt;&gt;0,IF(N758&lt;=K758,"OK","NG"),Blank),"-")</f>
        <v>#REF!</v>
      </c>
      <c r="R758" s="326" t="e" cm="1">
        <f t="array" ref="R758">IF(H758&lt;&gt;"Stop",IF(E758&lt;&gt;0,IF(E758&lt;=K758,"OK","NG"),Blank),"-")</f>
        <v>#REF!</v>
      </c>
    </row>
    <row r="759" spans="1:18" ht="15" hidden="1" x14ac:dyDescent="0.3">
      <c r="A759" s="318" t="e">
        <f>#REF!</f>
        <v>#REF!</v>
      </c>
      <c r="B759" s="305" t="e">
        <f>#REF!</f>
        <v>#REF!</v>
      </c>
      <c r="C759" s="305" t="str">
        <f>'Danh sách máy'!C754</f>
        <v>Fact.4</v>
      </c>
      <c r="D759" s="90" t="e">
        <f>#REF!</f>
        <v>#REF!</v>
      </c>
      <c r="E759" s="97">
        <f>'Danh sách máy'!E754</f>
        <v>0</v>
      </c>
      <c r="F759" s="206" t="e">
        <f>#REF!</f>
        <v>#REF!</v>
      </c>
      <c r="G759" s="102" t="e">
        <f>#REF!</f>
        <v>#REF!</v>
      </c>
      <c r="H759" s="102" t="e">
        <f>#REF!</f>
        <v>#REF!</v>
      </c>
      <c r="K759" s="210" t="e">
        <f>#REF!</f>
        <v>#REF!</v>
      </c>
      <c r="L759" s="210">
        <v>45028</v>
      </c>
      <c r="M759" s="210"/>
      <c r="N759" s="210">
        <f>'Danh sách máy'!F754</f>
        <v>0</v>
      </c>
      <c r="O759" s="211" t="str" cm="1">
        <f t="array" ref="O759">IF(L759&lt;&gt;0,IF(L759&lt;I759,"OK","NG"),Blank)</f>
        <v>NG</v>
      </c>
      <c r="P759" s="211" t="e" cm="1">
        <f t="array" ref="P759">IF(M759&lt;&gt;0,IF(M759&lt;J759,"OK","NG"),Blank)</f>
        <v>#NAME?</v>
      </c>
      <c r="Q759" s="211" t="e" cm="1">
        <f t="array" ref="Q759">IF(H759&lt;&gt;"Stop",IF(N759&lt;&gt;0,IF(N759&lt;=K759,"OK","NG"),Blank),"-")</f>
        <v>#REF!</v>
      </c>
      <c r="R759" s="326" t="e" cm="1">
        <f t="array" ref="R759">IF(H759&lt;&gt;"Stop",IF(E759&lt;&gt;0,IF(E759&lt;=K759,"OK","NG"),Blank),"-")</f>
        <v>#REF!</v>
      </c>
    </row>
    <row r="760" spans="1:18" ht="15" hidden="1" x14ac:dyDescent="0.3">
      <c r="A760" s="318" t="e">
        <f>#REF!</f>
        <v>#REF!</v>
      </c>
      <c r="B760" s="305" t="e">
        <f>#REF!</f>
        <v>#REF!</v>
      </c>
      <c r="C760" s="305" t="str">
        <f>'Danh sách máy'!C755</f>
        <v>Fact.4</v>
      </c>
      <c r="D760" s="90" t="e">
        <f>#REF!</f>
        <v>#REF!</v>
      </c>
      <c r="E760" s="97">
        <f>'Danh sách máy'!E755</f>
        <v>0</v>
      </c>
      <c r="F760" s="206" t="e">
        <f>#REF!</f>
        <v>#REF!</v>
      </c>
      <c r="G760" s="102" t="e">
        <f>#REF!</f>
        <v>#REF!</v>
      </c>
      <c r="H760" s="102" t="e">
        <f>#REF!</f>
        <v>#REF!</v>
      </c>
      <c r="K760" s="210" t="e">
        <f>#REF!</f>
        <v>#REF!</v>
      </c>
      <c r="L760" s="210">
        <v>45029</v>
      </c>
      <c r="M760" s="210"/>
      <c r="N760" s="210">
        <f>'Danh sách máy'!F755</f>
        <v>0</v>
      </c>
      <c r="O760" s="211" t="str" cm="1">
        <f t="array" ref="O760">IF(L760&lt;&gt;0,IF(L760&lt;I760,"OK","NG"),Blank)</f>
        <v>NG</v>
      </c>
      <c r="P760" s="211" t="e" cm="1">
        <f t="array" ref="P760">IF(M760&lt;&gt;0,IF(M760&lt;J760,"OK","NG"),Blank)</f>
        <v>#NAME?</v>
      </c>
      <c r="Q760" s="211" t="e" cm="1">
        <f t="array" ref="Q760">IF(H760&lt;&gt;"Stop",IF(N760&lt;&gt;0,IF(N760&lt;=K760,"OK","NG"),Blank),"-")</f>
        <v>#REF!</v>
      </c>
      <c r="R760" s="326" t="e" cm="1">
        <f t="array" ref="R760">IF(H760&lt;&gt;"Stop",IF(E760&lt;&gt;0,IF(E760&lt;=K760,"OK","NG"),Blank),"-")</f>
        <v>#REF!</v>
      </c>
    </row>
    <row r="761" spans="1:18" ht="15" hidden="1" x14ac:dyDescent="0.3">
      <c r="A761" s="318" t="e">
        <f>#REF!</f>
        <v>#REF!</v>
      </c>
      <c r="B761" s="305" t="e">
        <f>#REF!</f>
        <v>#REF!</v>
      </c>
      <c r="C761" s="305" t="str">
        <f>'Danh sách máy'!C756</f>
        <v>Fact.4</v>
      </c>
      <c r="D761" s="90" t="e">
        <f>#REF!</f>
        <v>#REF!</v>
      </c>
      <c r="E761" s="97">
        <f>'Danh sách máy'!E756</f>
        <v>0</v>
      </c>
      <c r="F761" s="206" t="e">
        <f>#REF!</f>
        <v>#REF!</v>
      </c>
      <c r="G761" s="102" t="e">
        <f>#REF!</f>
        <v>#REF!</v>
      </c>
      <c r="H761" s="102" t="e">
        <f>#REF!</f>
        <v>#REF!</v>
      </c>
      <c r="K761" s="210" t="e">
        <f>#REF!</f>
        <v>#REF!</v>
      </c>
      <c r="L761" s="210">
        <v>45030</v>
      </c>
      <c r="M761" s="210"/>
      <c r="N761" s="210">
        <f>'Danh sách máy'!F756</f>
        <v>0</v>
      </c>
      <c r="O761" s="211" t="str" cm="1">
        <f t="array" ref="O761">IF(L761&lt;&gt;0,IF(L761&lt;I761,"OK","NG"),Blank)</f>
        <v>NG</v>
      </c>
      <c r="P761" s="211" t="e" cm="1">
        <f t="array" ref="P761">IF(M761&lt;&gt;0,IF(M761&lt;J761,"OK","NG"),Blank)</f>
        <v>#NAME?</v>
      </c>
      <c r="Q761" s="211" t="e" cm="1">
        <f t="array" ref="Q761">IF(H761&lt;&gt;"Stop",IF(N761&lt;&gt;0,IF(N761&lt;=K761,"OK","NG"),Blank),"-")</f>
        <v>#REF!</v>
      </c>
      <c r="R761" s="326" t="e" cm="1">
        <f t="array" ref="R761">IF(H761&lt;&gt;"Stop",IF(E761&lt;&gt;0,IF(E761&lt;=K761,"OK","NG"),Blank),"-")</f>
        <v>#REF!</v>
      </c>
    </row>
    <row r="762" spans="1:18" ht="30" hidden="1" x14ac:dyDescent="0.3">
      <c r="A762" s="318" t="e">
        <f>#REF!</f>
        <v>#REF!</v>
      </c>
      <c r="B762" s="305" t="e">
        <f>#REF!</f>
        <v>#REF!</v>
      </c>
      <c r="C762" s="305" t="str">
        <f>'Danh sách máy'!C757</f>
        <v>Fact.4</v>
      </c>
      <c r="D762" s="90" t="e">
        <f>#REF!</f>
        <v>#REF!</v>
      </c>
      <c r="E762" s="97">
        <f>'Danh sách máy'!E757</f>
        <v>0</v>
      </c>
      <c r="F762" s="206" t="e">
        <f>#REF!</f>
        <v>#REF!</v>
      </c>
      <c r="G762" s="102" t="e">
        <f>#REF!</f>
        <v>#REF!</v>
      </c>
      <c r="H762" s="102" t="e">
        <f>#REF!</f>
        <v>#REF!</v>
      </c>
      <c r="K762" s="210" t="e">
        <f>#REF!</f>
        <v>#REF!</v>
      </c>
      <c r="L762" s="210">
        <v>45031</v>
      </c>
      <c r="M762" s="210"/>
      <c r="N762" s="210">
        <f>'Danh sách máy'!F757</f>
        <v>46197</v>
      </c>
      <c r="O762" s="211" t="str" cm="1">
        <f t="array" ref="O762">IF(L762&lt;&gt;0,IF(L762&lt;I762,"OK","NG"),Blank)</f>
        <v>NG</v>
      </c>
      <c r="P762" s="211" t="e" cm="1">
        <f t="array" ref="P762">IF(M762&lt;&gt;0,IF(M762&lt;J762,"OK","NG"),Blank)</f>
        <v>#NAME?</v>
      </c>
      <c r="Q762" s="211" t="e" cm="1">
        <f t="array" ref="Q762">IF(H762&lt;&gt;"Stop",IF(N762&lt;&gt;0,IF(N762&lt;=K762,"OK","NG"),Blank),"-")</f>
        <v>#REF!</v>
      </c>
      <c r="R762" s="326" t="e" cm="1">
        <f t="array" ref="R762">IF(H762&lt;&gt;"Stop",IF(E762&lt;&gt;0,IF(E762&lt;=K762,"OK","NG"),Blank),"-")</f>
        <v>#REF!</v>
      </c>
    </row>
    <row r="763" spans="1:18" ht="15" hidden="1" x14ac:dyDescent="0.3">
      <c r="A763" s="318" t="e">
        <f>#REF!</f>
        <v>#REF!</v>
      </c>
      <c r="B763" s="305" t="e">
        <f>#REF!</f>
        <v>#REF!</v>
      </c>
      <c r="C763" s="305" t="str">
        <f>'Danh sách máy'!C761</f>
        <v>Fact.4</v>
      </c>
      <c r="D763" s="90" t="e">
        <f>#REF!</f>
        <v>#REF!</v>
      </c>
      <c r="E763" s="97">
        <f>'Danh sách máy'!E761</f>
        <v>0</v>
      </c>
      <c r="F763" s="206" t="e">
        <f>#REF!</f>
        <v>#REF!</v>
      </c>
      <c r="G763" s="102" t="e">
        <f>#REF!</f>
        <v>#REF!</v>
      </c>
      <c r="H763" s="102" t="e">
        <f>#REF!</f>
        <v>#REF!</v>
      </c>
      <c r="K763" s="210" t="e">
        <f>#REF!</f>
        <v>#REF!</v>
      </c>
      <c r="L763" s="210">
        <v>45032</v>
      </c>
      <c r="M763" s="210"/>
      <c r="N763" s="210">
        <f>'Danh sách máy'!F761</f>
        <v>46197</v>
      </c>
      <c r="O763" s="211" t="str" cm="1">
        <f t="array" ref="O763">IF(L763&lt;&gt;0,IF(L763&lt;I763,"OK","NG"),Blank)</f>
        <v>NG</v>
      </c>
      <c r="P763" s="211" t="e" cm="1">
        <f t="array" ref="P763">IF(M763&lt;&gt;0,IF(M763&lt;J763,"OK","NG"),Blank)</f>
        <v>#NAME?</v>
      </c>
      <c r="Q763" s="211" t="e" cm="1">
        <f t="array" ref="Q763">IF(H763&lt;&gt;"Stop",IF(N763&lt;&gt;0,IF(N763&lt;=K763,"OK","NG"),Blank),"-")</f>
        <v>#REF!</v>
      </c>
      <c r="R763" s="326" t="e" cm="1">
        <f t="array" ref="R763">IF(H763&lt;&gt;"Stop",IF(E763&lt;&gt;0,IF(E763&lt;=K763,"OK","NG"),Blank),"-")</f>
        <v>#REF!</v>
      </c>
    </row>
    <row r="764" spans="1:18" ht="15" hidden="1" x14ac:dyDescent="0.3">
      <c r="A764" s="318" t="e">
        <f>#REF!</f>
        <v>#REF!</v>
      </c>
      <c r="B764" s="305" t="e">
        <f>#REF!</f>
        <v>#REF!</v>
      </c>
      <c r="C764" s="305" t="str">
        <f>'Danh sách máy'!C762</f>
        <v>Fact.4</v>
      </c>
      <c r="D764" s="90" t="e">
        <f>#REF!</f>
        <v>#REF!</v>
      </c>
      <c r="E764" s="97">
        <f>'Danh sách máy'!E762</f>
        <v>0</v>
      </c>
      <c r="F764" s="206" t="e">
        <f>#REF!</f>
        <v>#REF!</v>
      </c>
      <c r="G764" s="102" t="e">
        <f>#REF!</f>
        <v>#REF!</v>
      </c>
      <c r="H764" s="102" t="e">
        <f>#REF!</f>
        <v>#REF!</v>
      </c>
      <c r="K764" s="210" t="e">
        <f>#REF!</f>
        <v>#REF!</v>
      </c>
      <c r="L764" s="210">
        <v>45033</v>
      </c>
      <c r="M764" s="210"/>
      <c r="N764" s="210">
        <f>'Danh sách máy'!F762</f>
        <v>0</v>
      </c>
      <c r="O764" s="211" t="str" cm="1">
        <f t="array" ref="O764">IF(L764&lt;&gt;0,IF(L764&lt;I764,"OK","NG"),Blank)</f>
        <v>NG</v>
      </c>
      <c r="P764" s="211" t="e" cm="1">
        <f t="array" ref="P764">IF(M764&lt;&gt;0,IF(M764&lt;J764,"OK","NG"),Blank)</f>
        <v>#NAME?</v>
      </c>
      <c r="Q764" s="211" t="e" cm="1">
        <f t="array" ref="Q764">IF(H764&lt;&gt;"Stop",IF(N764&lt;&gt;0,IF(N764&lt;=K764,"OK","NG"),Blank),"-")</f>
        <v>#REF!</v>
      </c>
      <c r="R764" s="326" t="e" cm="1">
        <f t="array" ref="R764">IF(H764&lt;&gt;"Stop",IF(E764&lt;&gt;0,IF(E764&lt;=K764,"OK","NG"),Blank),"-")</f>
        <v>#REF!</v>
      </c>
    </row>
    <row r="765" spans="1:18" ht="15" hidden="1" x14ac:dyDescent="0.3">
      <c r="A765" s="318" t="e">
        <f>#REF!</f>
        <v>#REF!</v>
      </c>
      <c r="B765" s="305" t="e">
        <f>#REF!</f>
        <v>#REF!</v>
      </c>
      <c r="C765" s="305" t="str">
        <f>'Danh sách máy'!C763</f>
        <v>Fact.4</v>
      </c>
      <c r="D765" s="90" t="e">
        <f>#REF!</f>
        <v>#REF!</v>
      </c>
      <c r="E765" s="97">
        <f>'Danh sách máy'!E763</f>
        <v>0</v>
      </c>
      <c r="F765" s="206" t="e">
        <f>#REF!</f>
        <v>#REF!</v>
      </c>
      <c r="G765" s="102" t="e">
        <f>#REF!</f>
        <v>#REF!</v>
      </c>
      <c r="H765" s="102" t="e">
        <f>#REF!</f>
        <v>#REF!</v>
      </c>
      <c r="K765" s="210" t="e">
        <f>#REF!</f>
        <v>#REF!</v>
      </c>
      <c r="L765" s="210">
        <v>45034</v>
      </c>
      <c r="M765" s="210"/>
      <c r="N765" s="210">
        <f>'Danh sách máy'!F763</f>
        <v>0</v>
      </c>
      <c r="O765" s="211" t="str" cm="1">
        <f t="array" ref="O765">IF(L765&lt;&gt;0,IF(L765&lt;I765,"OK","NG"),Blank)</f>
        <v>NG</v>
      </c>
      <c r="P765" s="211" t="e" cm="1">
        <f t="array" ref="P765">IF(M765&lt;&gt;0,IF(M765&lt;J765,"OK","NG"),Blank)</f>
        <v>#NAME?</v>
      </c>
      <c r="Q765" s="211" t="e" cm="1">
        <f t="array" ref="Q765">IF(H765&lt;&gt;"Stop",IF(N765&lt;&gt;0,IF(N765&lt;=K765,"OK","NG"),Blank),"-")</f>
        <v>#REF!</v>
      </c>
      <c r="R765" s="326" t="e" cm="1">
        <f t="array" ref="R765">IF(H765&lt;&gt;"Stop",IF(E765&lt;&gt;0,IF(E765&lt;=K765,"OK","NG"),Blank),"-")</f>
        <v>#REF!</v>
      </c>
    </row>
    <row r="766" spans="1:18" ht="30" hidden="1" x14ac:dyDescent="0.3">
      <c r="A766" s="318" t="e">
        <f>#REF!</f>
        <v>#REF!</v>
      </c>
      <c r="B766" s="305" t="e">
        <f>#REF!</f>
        <v>#REF!</v>
      </c>
      <c r="C766" s="305" t="str">
        <f>'Danh sách máy'!C764</f>
        <v>Fact.4</v>
      </c>
      <c r="D766" s="90" t="e">
        <f>#REF!</f>
        <v>#REF!</v>
      </c>
      <c r="E766" s="97">
        <f>'Danh sách máy'!E764</f>
        <v>0</v>
      </c>
      <c r="F766" s="206" t="e">
        <f>#REF!</f>
        <v>#REF!</v>
      </c>
      <c r="G766" s="102" t="e">
        <f>#REF!</f>
        <v>#REF!</v>
      </c>
      <c r="H766" s="102" t="e">
        <f>#REF!</f>
        <v>#REF!</v>
      </c>
      <c r="K766" s="210" t="e">
        <f>#REF!</f>
        <v>#REF!</v>
      </c>
      <c r="L766" s="210">
        <v>45035</v>
      </c>
      <c r="M766" s="210"/>
      <c r="N766" s="210">
        <f>'Danh sách máy'!F764</f>
        <v>0</v>
      </c>
      <c r="O766" s="211" t="str" cm="1">
        <f t="array" ref="O766">IF(L766&lt;&gt;0,IF(L766&lt;I766,"OK","NG"),Blank)</f>
        <v>NG</v>
      </c>
      <c r="P766" s="211" t="e" cm="1">
        <f t="array" ref="P766">IF(M766&lt;&gt;0,IF(M766&lt;J766,"OK","NG"),Blank)</f>
        <v>#NAME?</v>
      </c>
      <c r="Q766" s="211" t="e" cm="1">
        <f t="array" ref="Q766">IF(H766&lt;&gt;"Stop",IF(N766&lt;&gt;0,IF(N766&lt;=K766,"OK","NG"),Blank),"-")</f>
        <v>#REF!</v>
      </c>
      <c r="R766" s="326" t="e" cm="1">
        <f t="array" ref="R766">IF(H766&lt;&gt;"Stop",IF(E766&lt;&gt;0,IF(E766&lt;=K766,"OK","NG"),Blank),"-")</f>
        <v>#REF!</v>
      </c>
    </row>
    <row r="767" spans="1:18" ht="15" hidden="1" x14ac:dyDescent="0.3">
      <c r="A767" s="318" t="e">
        <f>#REF!</f>
        <v>#REF!</v>
      </c>
      <c r="B767" s="305" t="e">
        <f>#REF!</f>
        <v>#REF!</v>
      </c>
      <c r="C767" s="305" t="str">
        <f>'Danh sách máy'!C765</f>
        <v>Fact.4</v>
      </c>
      <c r="D767" s="90" t="e">
        <f>#REF!</f>
        <v>#REF!</v>
      </c>
      <c r="E767" s="97">
        <f>'Danh sách máy'!E765</f>
        <v>46171</v>
      </c>
      <c r="F767" s="206" t="e">
        <f>#REF!</f>
        <v>#REF!</v>
      </c>
      <c r="G767" s="102" t="e">
        <f>#REF!</f>
        <v>#REF!</v>
      </c>
      <c r="H767" s="102" t="e">
        <f>#REF!</f>
        <v>#REF!</v>
      </c>
      <c r="K767" s="210" t="e">
        <f>#REF!</f>
        <v>#REF!</v>
      </c>
      <c r="L767" s="210">
        <v>45036</v>
      </c>
      <c r="M767" s="210"/>
      <c r="N767" s="210">
        <f>'Danh sách máy'!F765</f>
        <v>46171</v>
      </c>
      <c r="O767" s="211" t="str" cm="1">
        <f t="array" ref="O767">IF(L767&lt;&gt;0,IF(L767&lt;I767,"OK","NG"),Blank)</f>
        <v>NG</v>
      </c>
      <c r="P767" s="211" t="e" cm="1">
        <f t="array" ref="P767">IF(M767&lt;&gt;0,IF(M767&lt;J767,"OK","NG"),Blank)</f>
        <v>#NAME?</v>
      </c>
      <c r="Q767" s="211" t="e" cm="1">
        <f t="array" ref="Q767">IF(H767&lt;&gt;"Stop",IF(N767&lt;&gt;0,IF(N767&lt;=K767,"OK","NG"),Blank),"-")</f>
        <v>#REF!</v>
      </c>
      <c r="R767" s="326" t="e" cm="1">
        <f t="array" ref="R767">IF(H767&lt;&gt;"Stop",IF(E767&lt;&gt;0,IF(E767&lt;=K767,"OK","NG"),Blank),"-")</f>
        <v>#REF!</v>
      </c>
    </row>
    <row r="768" spans="1:18" ht="15" hidden="1" x14ac:dyDescent="0.3">
      <c r="A768" s="318" t="e">
        <f>#REF!</f>
        <v>#REF!</v>
      </c>
      <c r="B768" s="305" t="e">
        <f>#REF!</f>
        <v>#REF!</v>
      </c>
      <c r="C768" s="305" t="str">
        <f>'Danh sách máy'!C766</f>
        <v>Fact.4</v>
      </c>
      <c r="D768" s="90" t="e">
        <f>#REF!</f>
        <v>#REF!</v>
      </c>
      <c r="E768" s="97">
        <f>'Danh sách máy'!E766</f>
        <v>46171</v>
      </c>
      <c r="F768" s="206" t="e">
        <f>#REF!</f>
        <v>#REF!</v>
      </c>
      <c r="G768" s="102" t="e">
        <f>#REF!</f>
        <v>#REF!</v>
      </c>
      <c r="H768" s="102" t="e">
        <f>#REF!</f>
        <v>#REF!</v>
      </c>
      <c r="K768" s="210" t="e">
        <f>#REF!</f>
        <v>#REF!</v>
      </c>
      <c r="L768" s="210">
        <v>45037</v>
      </c>
      <c r="M768" s="210"/>
      <c r="N768" s="210">
        <f>'Danh sách máy'!F766</f>
        <v>46171</v>
      </c>
      <c r="O768" s="211" t="str" cm="1">
        <f t="array" ref="O768">IF(L768&lt;&gt;0,IF(L768&lt;I768,"OK","NG"),Blank)</f>
        <v>NG</v>
      </c>
      <c r="P768" s="211" t="e" cm="1">
        <f t="array" ref="P768">IF(M768&lt;&gt;0,IF(M768&lt;J768,"OK","NG"),Blank)</f>
        <v>#NAME?</v>
      </c>
      <c r="Q768" s="211" t="e" cm="1">
        <f t="array" ref="Q768">IF(H768&lt;&gt;"Stop",IF(N768&lt;&gt;0,IF(N768&lt;=K768,"OK","NG"),Blank),"-")</f>
        <v>#REF!</v>
      </c>
      <c r="R768" s="326" t="e" cm="1">
        <f t="array" ref="R768">IF(H768&lt;&gt;"Stop",IF(E768&lt;&gt;0,IF(E768&lt;=K768,"OK","NG"),Blank),"-")</f>
        <v>#REF!</v>
      </c>
    </row>
    <row r="769" spans="1:18" ht="15" hidden="1" x14ac:dyDescent="0.3">
      <c r="A769" s="318" t="e">
        <f>#REF!</f>
        <v>#REF!</v>
      </c>
      <c r="B769" s="305" t="e">
        <f>#REF!</f>
        <v>#REF!</v>
      </c>
      <c r="C769" s="305" t="str">
        <f>'Danh sách máy'!C767</f>
        <v>Fact.4</v>
      </c>
      <c r="D769" s="90" t="e">
        <f>#REF!</f>
        <v>#REF!</v>
      </c>
      <c r="E769" s="97">
        <f>'Danh sách máy'!E767</f>
        <v>0</v>
      </c>
      <c r="F769" s="206" t="e">
        <f>#REF!</f>
        <v>#REF!</v>
      </c>
      <c r="G769" s="102" t="e">
        <f>#REF!</f>
        <v>#REF!</v>
      </c>
      <c r="H769" s="102" t="e">
        <f>#REF!</f>
        <v>#REF!</v>
      </c>
      <c r="K769" s="210" t="e">
        <f>#REF!</f>
        <v>#REF!</v>
      </c>
      <c r="L769" s="210">
        <v>45038</v>
      </c>
      <c r="M769" s="210"/>
      <c r="N769" s="210">
        <f>'Danh sách máy'!F767</f>
        <v>0</v>
      </c>
      <c r="O769" s="211" t="str" cm="1">
        <f t="array" ref="O769">IF(L769&lt;&gt;0,IF(L769&lt;I769,"OK","NG"),Blank)</f>
        <v>NG</v>
      </c>
      <c r="P769" s="211" t="e" cm="1">
        <f t="array" ref="P769">IF(M769&lt;&gt;0,IF(M769&lt;J769,"OK","NG"),Blank)</f>
        <v>#NAME?</v>
      </c>
      <c r="Q769" s="211" t="e" cm="1">
        <f t="array" ref="Q769">IF(H769&lt;&gt;"Stop",IF(N769&lt;&gt;0,IF(N769&lt;=K769,"OK","NG"),Blank),"-")</f>
        <v>#REF!</v>
      </c>
      <c r="R769" s="326" t="e" cm="1">
        <f t="array" ref="R769">IF(H769&lt;&gt;"Stop",IF(E769&lt;&gt;0,IF(E769&lt;=K769,"OK","NG"),Blank),"-")</f>
        <v>#REF!</v>
      </c>
    </row>
    <row r="770" spans="1:18" ht="15" hidden="1" x14ac:dyDescent="0.3">
      <c r="A770" s="318" t="e">
        <f>#REF!</f>
        <v>#REF!</v>
      </c>
      <c r="B770" s="305" t="e">
        <f>#REF!</f>
        <v>#REF!</v>
      </c>
      <c r="C770" s="305" t="str">
        <f>'Danh sách máy'!C768</f>
        <v>Fact.4</v>
      </c>
      <c r="D770" s="90" t="e">
        <f>#REF!</f>
        <v>#REF!</v>
      </c>
      <c r="E770" s="97">
        <f>'Danh sách máy'!E768</f>
        <v>46171</v>
      </c>
      <c r="F770" s="206" t="e">
        <f>#REF!</f>
        <v>#REF!</v>
      </c>
      <c r="G770" s="102" t="e">
        <f>#REF!</f>
        <v>#REF!</v>
      </c>
      <c r="H770" s="102" t="e">
        <f>#REF!</f>
        <v>#REF!</v>
      </c>
      <c r="K770" s="210" t="e">
        <f>#REF!</f>
        <v>#REF!</v>
      </c>
      <c r="L770" s="210">
        <v>45039</v>
      </c>
      <c r="M770" s="210"/>
      <c r="N770" s="210">
        <f>'Danh sách máy'!F768</f>
        <v>46171</v>
      </c>
      <c r="O770" s="211" t="str" cm="1">
        <f t="array" ref="O770">IF(L770&lt;&gt;0,IF(L770&lt;I770,"OK","NG"),Blank)</f>
        <v>NG</v>
      </c>
      <c r="P770" s="211" t="e" cm="1">
        <f t="array" ref="P770">IF(M770&lt;&gt;0,IF(M770&lt;J770,"OK","NG"),Blank)</f>
        <v>#NAME?</v>
      </c>
      <c r="Q770" s="211" t="e" cm="1">
        <f t="array" ref="Q770">IF(H770&lt;&gt;"Stop",IF(N770&lt;&gt;0,IF(N770&lt;=K770,"OK","NG"),Blank),"-")</f>
        <v>#REF!</v>
      </c>
      <c r="R770" s="326" t="e" cm="1">
        <f t="array" ref="R770">IF(H770&lt;&gt;"Stop",IF(E770&lt;&gt;0,IF(E770&lt;=K770,"OK","NG"),Blank),"-")</f>
        <v>#REF!</v>
      </c>
    </row>
    <row r="771" spans="1:18" ht="15" hidden="1" x14ac:dyDescent="0.3">
      <c r="A771" s="318" t="e">
        <f>#REF!</f>
        <v>#REF!</v>
      </c>
      <c r="B771" s="305" t="e">
        <f>#REF!</f>
        <v>#REF!</v>
      </c>
      <c r="C771" s="305" t="str">
        <f>'Danh sách máy'!C769</f>
        <v>Fact.4</v>
      </c>
      <c r="D771" s="90" t="e">
        <f>#REF!</f>
        <v>#REF!</v>
      </c>
      <c r="E771" s="97">
        <f>'Danh sách máy'!E769</f>
        <v>0</v>
      </c>
      <c r="F771" s="206" t="e">
        <f>#REF!</f>
        <v>#REF!</v>
      </c>
      <c r="G771" s="102" t="e">
        <f>#REF!</f>
        <v>#REF!</v>
      </c>
      <c r="H771" s="102" t="e">
        <f>#REF!</f>
        <v>#REF!</v>
      </c>
      <c r="K771" s="210" t="e">
        <f>#REF!</f>
        <v>#REF!</v>
      </c>
      <c r="L771" s="210">
        <v>45040</v>
      </c>
      <c r="M771" s="210"/>
      <c r="N771" s="210">
        <f>'Danh sách máy'!F769</f>
        <v>46198</v>
      </c>
      <c r="O771" s="211" t="str" cm="1">
        <f t="array" ref="O771">IF(L771&lt;&gt;0,IF(L771&lt;I771,"OK","NG"),Blank)</f>
        <v>NG</v>
      </c>
      <c r="P771" s="211" t="e" cm="1">
        <f t="array" ref="P771">IF(M771&lt;&gt;0,IF(M771&lt;J771,"OK","NG"),Blank)</f>
        <v>#NAME?</v>
      </c>
      <c r="Q771" s="211" t="e" cm="1">
        <f t="array" ref="Q771">IF(H771&lt;&gt;"Stop",IF(N771&lt;&gt;0,IF(N771&lt;=K771,"OK","NG"),Blank),"-")</f>
        <v>#REF!</v>
      </c>
      <c r="R771" s="326" t="e" cm="1">
        <f t="array" ref="R771">IF(H771&lt;&gt;"Stop",IF(E771&lt;&gt;0,IF(E771&lt;=K771,"OK","NG"),Blank),"-")</f>
        <v>#REF!</v>
      </c>
    </row>
    <row r="772" spans="1:18" ht="30" hidden="1" x14ac:dyDescent="0.3">
      <c r="A772" s="318" t="e">
        <f>#REF!</f>
        <v>#REF!</v>
      </c>
      <c r="B772" s="305" t="e">
        <f>#REF!</f>
        <v>#REF!</v>
      </c>
      <c r="C772" s="305" t="str">
        <f>'Danh sách máy'!C770</f>
        <v>Fact.4</v>
      </c>
      <c r="D772" s="90" t="e">
        <f>#REF!</f>
        <v>#REF!</v>
      </c>
      <c r="E772" s="97">
        <f>'Danh sách máy'!E770</f>
        <v>0</v>
      </c>
      <c r="F772" s="206" t="e">
        <f>#REF!</f>
        <v>#REF!</v>
      </c>
      <c r="G772" s="102" t="e">
        <f>#REF!</f>
        <v>#REF!</v>
      </c>
      <c r="H772" s="102" t="e">
        <f>#REF!</f>
        <v>#REF!</v>
      </c>
      <c r="K772" s="210" t="e">
        <f>#REF!</f>
        <v>#REF!</v>
      </c>
      <c r="L772" s="210">
        <v>45041</v>
      </c>
      <c r="M772" s="210"/>
      <c r="N772" s="210">
        <f>'Danh sách máy'!F770</f>
        <v>46198</v>
      </c>
      <c r="O772" s="211" t="str" cm="1">
        <f t="array" ref="O772">IF(L772&lt;&gt;0,IF(L772&lt;I772,"OK","NG"),Blank)</f>
        <v>NG</v>
      </c>
      <c r="P772" s="211" t="e" cm="1">
        <f t="array" ref="P772">IF(M772&lt;&gt;0,IF(M772&lt;J772,"OK","NG"),Blank)</f>
        <v>#NAME?</v>
      </c>
      <c r="Q772" s="211" t="e" cm="1">
        <f t="array" ref="Q772">IF(H772&lt;&gt;"Stop",IF(N772&lt;&gt;0,IF(N772&lt;=K772,"OK","NG"),Blank),"-")</f>
        <v>#REF!</v>
      </c>
      <c r="R772" s="326" t="e" cm="1">
        <f t="array" ref="R772">IF(H772&lt;&gt;"Stop",IF(E772&lt;&gt;0,IF(E772&lt;=K772,"OK","NG"),Blank),"-")</f>
        <v>#REF!</v>
      </c>
    </row>
    <row r="773" spans="1:18" ht="30" hidden="1" x14ac:dyDescent="0.3">
      <c r="A773" s="318" t="e">
        <f>#REF!</f>
        <v>#REF!</v>
      </c>
      <c r="B773" s="305" t="e">
        <f>#REF!</f>
        <v>#REF!</v>
      </c>
      <c r="C773" s="305" t="str">
        <f>'Danh sách máy'!C771</f>
        <v>Fact.4</v>
      </c>
      <c r="D773" s="90" t="e">
        <f>#REF!</f>
        <v>#REF!</v>
      </c>
      <c r="E773" s="97">
        <f>'Danh sách máy'!E771</f>
        <v>46171</v>
      </c>
      <c r="F773" s="206" t="e">
        <f>#REF!</f>
        <v>#REF!</v>
      </c>
      <c r="G773" s="102" t="e">
        <f>#REF!</f>
        <v>#REF!</v>
      </c>
      <c r="H773" s="102" t="e">
        <f>#REF!</f>
        <v>#REF!</v>
      </c>
      <c r="K773" s="210" t="e">
        <f>#REF!</f>
        <v>#REF!</v>
      </c>
      <c r="L773" s="210">
        <v>45042</v>
      </c>
      <c r="M773" s="210"/>
      <c r="N773" s="210">
        <f>'Danh sách máy'!F771</f>
        <v>46171</v>
      </c>
      <c r="O773" s="211" t="str" cm="1">
        <f t="array" ref="O773">IF(L773&lt;&gt;0,IF(L773&lt;I773,"OK","NG"),Blank)</f>
        <v>NG</v>
      </c>
      <c r="P773" s="211" t="e" cm="1">
        <f t="array" ref="P773">IF(M773&lt;&gt;0,IF(M773&lt;J773,"OK","NG"),Blank)</f>
        <v>#NAME?</v>
      </c>
      <c r="Q773" s="211" t="e" cm="1">
        <f t="array" ref="Q773">IF(H773&lt;&gt;"Stop",IF(N773&lt;&gt;0,IF(N773&lt;=K773,"OK","NG"),Blank),"-")</f>
        <v>#REF!</v>
      </c>
      <c r="R773" s="326" t="e" cm="1">
        <f t="array" ref="R773">IF(H773&lt;&gt;"Stop",IF(E773&lt;&gt;0,IF(E773&lt;=K773,"OK","NG"),Blank),"-")</f>
        <v>#REF!</v>
      </c>
    </row>
    <row r="774" spans="1:18" ht="15" hidden="1" x14ac:dyDescent="0.3">
      <c r="A774" s="318" t="e">
        <f>#REF!</f>
        <v>#REF!</v>
      </c>
      <c r="B774" s="305" t="e">
        <f>#REF!</f>
        <v>#REF!</v>
      </c>
      <c r="C774" s="305" t="str">
        <f>'Danh sách máy'!C772</f>
        <v>Fact.4</v>
      </c>
      <c r="D774" s="90" t="e">
        <f>#REF!</f>
        <v>#REF!</v>
      </c>
      <c r="E774" s="97">
        <f>'Danh sách máy'!E772</f>
        <v>46171</v>
      </c>
      <c r="F774" s="206" t="e">
        <f>#REF!</f>
        <v>#REF!</v>
      </c>
      <c r="G774" s="102" t="e">
        <f>#REF!</f>
        <v>#REF!</v>
      </c>
      <c r="H774" s="102" t="e">
        <f>#REF!</f>
        <v>#REF!</v>
      </c>
      <c r="K774" s="210" t="e">
        <f>#REF!</f>
        <v>#REF!</v>
      </c>
      <c r="L774" s="210">
        <v>45043</v>
      </c>
      <c r="M774" s="210"/>
      <c r="N774" s="210">
        <f>'Danh sách máy'!F772</f>
        <v>46171</v>
      </c>
      <c r="O774" s="211" t="str" cm="1">
        <f t="array" ref="O774">IF(L774&lt;&gt;0,IF(L774&lt;I774,"OK","NG"),Blank)</f>
        <v>NG</v>
      </c>
      <c r="P774" s="211" t="e" cm="1">
        <f t="array" ref="P774">IF(M774&lt;&gt;0,IF(M774&lt;J774,"OK","NG"),Blank)</f>
        <v>#NAME?</v>
      </c>
      <c r="Q774" s="211" t="e" cm="1">
        <f t="array" ref="Q774">IF(H774&lt;&gt;"Stop",IF(N774&lt;&gt;0,IF(N774&lt;=K774,"OK","NG"),Blank),"-")</f>
        <v>#REF!</v>
      </c>
      <c r="R774" s="326" t="e" cm="1">
        <f t="array" ref="R774">IF(H774&lt;&gt;"Stop",IF(E774&lt;&gt;0,IF(E774&lt;=K774,"OK","NG"),Blank),"-")</f>
        <v>#REF!</v>
      </c>
    </row>
    <row r="775" spans="1:18" ht="15" hidden="1" x14ac:dyDescent="0.3">
      <c r="A775" s="318" t="e">
        <f>#REF!</f>
        <v>#REF!</v>
      </c>
      <c r="B775" s="305" t="e">
        <f>#REF!</f>
        <v>#REF!</v>
      </c>
      <c r="C775" s="305" t="str">
        <f>'Danh sách máy'!C773</f>
        <v>Fact.4</v>
      </c>
      <c r="D775" s="90" t="e">
        <f>#REF!</f>
        <v>#REF!</v>
      </c>
      <c r="E775" s="97">
        <f>'Danh sách máy'!E773</f>
        <v>0</v>
      </c>
      <c r="F775" s="206" t="e">
        <f>#REF!</f>
        <v>#REF!</v>
      </c>
      <c r="G775" s="102" t="e">
        <f>#REF!</f>
        <v>#REF!</v>
      </c>
      <c r="H775" s="102" t="e">
        <f>#REF!</f>
        <v>#REF!</v>
      </c>
      <c r="K775" s="210" t="e">
        <f>#REF!</f>
        <v>#REF!</v>
      </c>
      <c r="L775" s="210">
        <v>45044</v>
      </c>
      <c r="M775" s="210"/>
      <c r="N775" s="210">
        <f>'Danh sách máy'!F773</f>
        <v>46198</v>
      </c>
      <c r="O775" s="211" t="str" cm="1">
        <f t="array" ref="O775">IF(L775&lt;&gt;0,IF(L775&lt;I775,"OK","NG"),Blank)</f>
        <v>NG</v>
      </c>
      <c r="P775" s="211" t="e" cm="1">
        <f t="array" ref="P775">IF(M775&lt;&gt;0,IF(M775&lt;J775,"OK","NG"),Blank)</f>
        <v>#NAME?</v>
      </c>
      <c r="Q775" s="211" t="e" cm="1">
        <f t="array" ref="Q775">IF(H775&lt;&gt;"Stop",IF(N775&lt;&gt;0,IF(N775&lt;=K775,"OK","NG"),Blank),"-")</f>
        <v>#REF!</v>
      </c>
      <c r="R775" s="326" t="e" cm="1">
        <f t="array" ref="R775">IF(H775&lt;&gt;"Stop",IF(E775&lt;&gt;0,IF(E775&lt;=K775,"OK","NG"),Blank),"-")</f>
        <v>#REF!</v>
      </c>
    </row>
    <row r="776" spans="1:18" ht="15" hidden="1" x14ac:dyDescent="0.3">
      <c r="A776" s="318" t="e">
        <f>#REF!</f>
        <v>#REF!</v>
      </c>
      <c r="B776" s="305" t="e">
        <f>#REF!</f>
        <v>#REF!</v>
      </c>
      <c r="C776" s="305" t="str">
        <f>'Danh sách máy'!C774</f>
        <v>Fact.4</v>
      </c>
      <c r="D776" s="90" t="e">
        <f>#REF!</f>
        <v>#REF!</v>
      </c>
      <c r="E776" s="97">
        <f>'Danh sách máy'!E774</f>
        <v>46171</v>
      </c>
      <c r="F776" s="206" t="e">
        <f>#REF!</f>
        <v>#REF!</v>
      </c>
      <c r="G776" s="102" t="e">
        <f>#REF!</f>
        <v>#REF!</v>
      </c>
      <c r="H776" s="102" t="e">
        <f>#REF!</f>
        <v>#REF!</v>
      </c>
      <c r="K776" s="210" t="e">
        <f>#REF!</f>
        <v>#REF!</v>
      </c>
      <c r="L776" s="210">
        <v>45045</v>
      </c>
      <c r="M776" s="210"/>
      <c r="N776" s="210">
        <f>'Danh sách máy'!F774</f>
        <v>46171</v>
      </c>
      <c r="O776" s="211" t="str" cm="1">
        <f t="array" ref="O776">IF(L776&lt;&gt;0,IF(L776&lt;I776,"OK","NG"),Blank)</f>
        <v>NG</v>
      </c>
      <c r="P776" s="211" t="e" cm="1">
        <f t="array" ref="P776">IF(M776&lt;&gt;0,IF(M776&lt;J776,"OK","NG"),Blank)</f>
        <v>#NAME?</v>
      </c>
      <c r="Q776" s="211" t="e" cm="1">
        <f t="array" ref="Q776">IF(H776&lt;&gt;"Stop",IF(N776&lt;&gt;0,IF(N776&lt;=K776,"OK","NG"),Blank),"-")</f>
        <v>#REF!</v>
      </c>
      <c r="R776" s="326" t="e" cm="1">
        <f t="array" ref="R776">IF(H776&lt;&gt;"Stop",IF(E776&lt;&gt;0,IF(E776&lt;=K776,"OK","NG"),Blank),"-")</f>
        <v>#REF!</v>
      </c>
    </row>
    <row r="777" spans="1:18" ht="15" hidden="1" x14ac:dyDescent="0.3">
      <c r="A777" s="318" t="e">
        <f>#REF!</f>
        <v>#REF!</v>
      </c>
      <c r="B777" s="305" t="e">
        <f>#REF!</f>
        <v>#REF!</v>
      </c>
      <c r="C777" s="305" t="str">
        <f>'Danh sách máy'!C775</f>
        <v>Fact.4</v>
      </c>
      <c r="D777" s="90" t="e">
        <f>#REF!</f>
        <v>#REF!</v>
      </c>
      <c r="E777" s="97">
        <f>'Danh sách máy'!E775</f>
        <v>46183</v>
      </c>
      <c r="F777" s="206" t="e">
        <f>#REF!</f>
        <v>#REF!</v>
      </c>
      <c r="G777" s="102" t="e">
        <f>#REF!</f>
        <v>#REF!</v>
      </c>
      <c r="H777" s="102" t="e">
        <f>#REF!</f>
        <v>#REF!</v>
      </c>
      <c r="K777" s="210" t="e">
        <f>#REF!</f>
        <v>#REF!</v>
      </c>
      <c r="L777" s="210">
        <v>45046</v>
      </c>
      <c r="M777" s="210"/>
      <c r="N777" s="210">
        <f>'Danh sách máy'!F775</f>
        <v>46183</v>
      </c>
      <c r="O777" s="211" t="str" cm="1">
        <f t="array" ref="O777">IF(L777&lt;&gt;0,IF(L777&lt;I777,"OK","NG"),Blank)</f>
        <v>NG</v>
      </c>
      <c r="P777" s="211" t="e" cm="1">
        <f t="array" ref="P777">IF(M777&lt;&gt;0,IF(M777&lt;J777,"OK","NG"),Blank)</f>
        <v>#NAME?</v>
      </c>
      <c r="Q777" s="211" t="e" cm="1">
        <f t="array" ref="Q777">IF(H777&lt;&gt;"Stop",IF(N777&lt;&gt;0,IF(N777&lt;=K777,"OK","NG"),Blank),"-")</f>
        <v>#REF!</v>
      </c>
      <c r="R777" s="326" t="e" cm="1">
        <f t="array" ref="R777">IF(H777&lt;&gt;"Stop",IF(E777&lt;&gt;0,IF(E777&lt;=K777,"OK","NG"),Blank),"-")</f>
        <v>#REF!</v>
      </c>
    </row>
    <row r="778" spans="1:18" ht="15" hidden="1" x14ac:dyDescent="0.3">
      <c r="A778" s="318" t="e">
        <f>#REF!</f>
        <v>#REF!</v>
      </c>
      <c r="B778" s="305" t="e">
        <f>#REF!</f>
        <v>#REF!</v>
      </c>
      <c r="C778" s="305" t="str">
        <f>'Danh sách máy'!C776</f>
        <v>Fact.4</v>
      </c>
      <c r="D778" s="90" t="e">
        <f>#REF!</f>
        <v>#REF!</v>
      </c>
      <c r="E778" s="97">
        <f>'Danh sách máy'!E776</f>
        <v>0</v>
      </c>
      <c r="F778" s="206" t="e">
        <f>#REF!</f>
        <v>#REF!</v>
      </c>
      <c r="G778" s="102" t="e">
        <f>#REF!</f>
        <v>#REF!</v>
      </c>
      <c r="H778" s="102" t="e">
        <f>#REF!</f>
        <v>#REF!</v>
      </c>
      <c r="K778" s="210" t="e">
        <f>#REF!</f>
        <v>#REF!</v>
      </c>
      <c r="L778" s="210">
        <v>45047</v>
      </c>
      <c r="M778" s="210"/>
      <c r="N778" s="210">
        <f>'Danh sách máy'!F776</f>
        <v>46195</v>
      </c>
      <c r="O778" s="211" t="str" cm="1">
        <f t="array" ref="O778">IF(L778&lt;&gt;0,IF(L778&lt;I778,"OK","NG"),Blank)</f>
        <v>NG</v>
      </c>
      <c r="P778" s="211" t="e" cm="1">
        <f t="array" ref="P778">IF(M778&lt;&gt;0,IF(M778&lt;J778,"OK","NG"),Blank)</f>
        <v>#NAME?</v>
      </c>
      <c r="Q778" s="211" t="e" cm="1">
        <f t="array" ref="Q778">IF(H778&lt;&gt;"Stop",IF(N778&lt;&gt;0,IF(N778&lt;=K778,"OK","NG"),Blank),"-")</f>
        <v>#REF!</v>
      </c>
      <c r="R778" s="326" t="e" cm="1">
        <f t="array" ref="R778">IF(H778&lt;&gt;"Stop",IF(E778&lt;&gt;0,IF(E778&lt;=K778,"OK","NG"),Blank),"-")</f>
        <v>#REF!</v>
      </c>
    </row>
    <row r="779" spans="1:18" ht="30" hidden="1" x14ac:dyDescent="0.3">
      <c r="A779" s="318" t="e">
        <f>#REF!</f>
        <v>#REF!</v>
      </c>
      <c r="B779" s="305" t="e">
        <f>#REF!</f>
        <v>#REF!</v>
      </c>
      <c r="C779" s="305" t="str">
        <f>'Danh sách máy'!C777</f>
        <v>Fact.4</v>
      </c>
      <c r="D779" s="90" t="e">
        <f>#REF!</f>
        <v>#REF!</v>
      </c>
      <c r="E779" s="97">
        <f>'Danh sách máy'!E777</f>
        <v>0</v>
      </c>
      <c r="F779" s="206" t="e">
        <f>#REF!</f>
        <v>#REF!</v>
      </c>
      <c r="G779" s="102" t="e">
        <f>#REF!</f>
        <v>#REF!</v>
      </c>
      <c r="H779" s="102" t="e">
        <f>#REF!</f>
        <v>#REF!</v>
      </c>
      <c r="K779" s="210" t="e">
        <f>#REF!</f>
        <v>#REF!</v>
      </c>
      <c r="L779" s="210">
        <v>45048</v>
      </c>
      <c r="M779" s="210"/>
      <c r="N779" s="210">
        <f>'Danh sách máy'!F777</f>
        <v>46195</v>
      </c>
      <c r="O779" s="211" t="str" cm="1">
        <f t="array" ref="O779">IF(L779&lt;&gt;0,IF(L779&lt;I779,"OK","NG"),Blank)</f>
        <v>NG</v>
      </c>
      <c r="P779" s="211" t="e" cm="1">
        <f t="array" ref="P779">IF(M779&lt;&gt;0,IF(M779&lt;J779,"OK","NG"),Blank)</f>
        <v>#NAME?</v>
      </c>
      <c r="Q779" s="211" t="e" cm="1">
        <f t="array" ref="Q779">IF(H779&lt;&gt;"Stop",IF(N779&lt;&gt;0,IF(N779&lt;=K779,"OK","NG"),Blank),"-")</f>
        <v>#REF!</v>
      </c>
      <c r="R779" s="326" t="e" cm="1">
        <f t="array" ref="R779">IF(H779&lt;&gt;"Stop",IF(E779&lt;&gt;0,IF(E779&lt;=K779,"OK","NG"),Blank),"-")</f>
        <v>#REF!</v>
      </c>
    </row>
    <row r="780" spans="1:18" ht="15" hidden="1" x14ac:dyDescent="0.3">
      <c r="A780" s="318" t="e">
        <f>#REF!</f>
        <v>#REF!</v>
      </c>
      <c r="B780" s="305" t="e">
        <f>#REF!</f>
        <v>#REF!</v>
      </c>
      <c r="C780" s="305" t="str">
        <f>'Danh sách máy'!C778</f>
        <v>Fact.4</v>
      </c>
      <c r="D780" s="90" t="e">
        <f>#REF!</f>
        <v>#REF!</v>
      </c>
      <c r="E780" s="97">
        <f>'Danh sách máy'!E778</f>
        <v>0</v>
      </c>
      <c r="F780" s="206" t="e">
        <f>#REF!</f>
        <v>#REF!</v>
      </c>
      <c r="G780" s="102" t="e">
        <f>#REF!</f>
        <v>#REF!</v>
      </c>
      <c r="H780" s="102" t="e">
        <f>#REF!</f>
        <v>#REF!</v>
      </c>
      <c r="K780" s="210" t="e">
        <f>#REF!</f>
        <v>#REF!</v>
      </c>
      <c r="L780" s="210">
        <v>45049</v>
      </c>
      <c r="M780" s="210"/>
      <c r="N780" s="210">
        <f>'Danh sách máy'!F778</f>
        <v>0</v>
      </c>
      <c r="O780" s="211" t="str" cm="1">
        <f t="array" ref="O780">IF(L780&lt;&gt;0,IF(L780&lt;I780,"OK","NG"),Blank)</f>
        <v>NG</v>
      </c>
      <c r="P780" s="211" t="e" cm="1">
        <f t="array" ref="P780">IF(M780&lt;&gt;0,IF(M780&lt;J780,"OK","NG"),Blank)</f>
        <v>#NAME?</v>
      </c>
      <c r="Q780" s="211" t="e" cm="1">
        <f t="array" ref="Q780">IF(H780&lt;&gt;"Stop",IF(N780&lt;&gt;0,IF(N780&lt;=K780,"OK","NG"),Blank),"-")</f>
        <v>#REF!</v>
      </c>
      <c r="R780" s="326" t="e" cm="1">
        <f t="array" ref="R780">IF(H780&lt;&gt;"Stop",IF(E780&lt;&gt;0,IF(E780&lt;=K780,"OK","NG"),Blank),"-")</f>
        <v>#REF!</v>
      </c>
    </row>
    <row r="781" spans="1:18" ht="30" hidden="1" x14ac:dyDescent="0.3">
      <c r="A781" s="318" t="e">
        <f>#REF!</f>
        <v>#REF!</v>
      </c>
      <c r="B781" s="305" t="e">
        <f>#REF!</f>
        <v>#REF!</v>
      </c>
      <c r="C781" s="305" t="str">
        <f>'Danh sách máy'!C779</f>
        <v>Fact.4</v>
      </c>
      <c r="D781" s="90" t="e">
        <f>#REF!</f>
        <v>#REF!</v>
      </c>
      <c r="E781" s="97">
        <f>'Danh sách máy'!E779</f>
        <v>0</v>
      </c>
      <c r="F781" s="206" t="e">
        <f>#REF!</f>
        <v>#REF!</v>
      </c>
      <c r="G781" s="102" t="e">
        <f>#REF!</f>
        <v>#REF!</v>
      </c>
      <c r="H781" s="102" t="e">
        <f>#REF!</f>
        <v>#REF!</v>
      </c>
      <c r="K781" s="210" t="e">
        <f>#REF!</f>
        <v>#REF!</v>
      </c>
      <c r="L781" s="210">
        <v>45050</v>
      </c>
      <c r="M781" s="210"/>
      <c r="N781" s="210">
        <f>'Danh sách máy'!F779</f>
        <v>0</v>
      </c>
      <c r="O781" s="211" t="str" cm="1">
        <f t="array" ref="O781">IF(L781&lt;&gt;0,IF(L781&lt;I781,"OK","NG"),Blank)</f>
        <v>NG</v>
      </c>
      <c r="P781" s="211" t="e" cm="1">
        <f t="array" ref="P781">IF(M781&lt;&gt;0,IF(M781&lt;J781,"OK","NG"),Blank)</f>
        <v>#NAME?</v>
      </c>
      <c r="Q781" s="211" t="e" cm="1">
        <f t="array" ref="Q781">IF(H781&lt;&gt;"Stop",IF(N781&lt;&gt;0,IF(N781&lt;=K781,"OK","NG"),Blank),"-")</f>
        <v>#REF!</v>
      </c>
      <c r="R781" s="326" t="e" cm="1">
        <f t="array" ref="R781">IF(H781&lt;&gt;"Stop",IF(E781&lt;&gt;0,IF(E781&lt;=K781,"OK","NG"),Blank),"-")</f>
        <v>#REF!</v>
      </c>
    </row>
    <row r="782" spans="1:18" ht="30" hidden="1" x14ac:dyDescent="0.3">
      <c r="A782" s="318" t="e">
        <f>#REF!</f>
        <v>#REF!</v>
      </c>
      <c r="B782" s="305" t="e">
        <f>#REF!</f>
        <v>#REF!</v>
      </c>
      <c r="C782" s="305" t="str">
        <f>'Danh sách máy'!C780</f>
        <v>Fact.4</v>
      </c>
      <c r="D782" s="90" t="e">
        <f>#REF!</f>
        <v>#REF!</v>
      </c>
      <c r="E782" s="97">
        <f>'Danh sách máy'!E780</f>
        <v>46179</v>
      </c>
      <c r="F782" s="206" t="e">
        <f>#REF!</f>
        <v>#REF!</v>
      </c>
      <c r="G782" s="102" t="e">
        <f>#REF!</f>
        <v>#REF!</v>
      </c>
      <c r="H782" s="102" t="e">
        <f>#REF!</f>
        <v>#REF!</v>
      </c>
      <c r="K782" s="210" t="e">
        <f>#REF!</f>
        <v>#REF!</v>
      </c>
      <c r="L782" s="210">
        <v>45051</v>
      </c>
      <c r="M782" s="210"/>
      <c r="N782" s="210">
        <f>'Danh sách máy'!F780</f>
        <v>46198</v>
      </c>
      <c r="O782" s="211" t="str" cm="1">
        <f t="array" ref="O782">IF(L782&lt;&gt;0,IF(L782&lt;I782,"OK","NG"),Blank)</f>
        <v>NG</v>
      </c>
      <c r="P782" s="211" t="e" cm="1">
        <f t="array" ref="P782">IF(M782&lt;&gt;0,IF(M782&lt;J782,"OK","NG"),Blank)</f>
        <v>#NAME?</v>
      </c>
      <c r="Q782" s="211" t="e" cm="1">
        <f t="array" ref="Q782">IF(H782&lt;&gt;"Stop",IF(N782&lt;&gt;0,IF(N782&lt;=K782,"OK","NG"),Blank),"-")</f>
        <v>#REF!</v>
      </c>
      <c r="R782" s="326" t="e" cm="1">
        <f t="array" ref="R782">IF(H782&lt;&gt;"Stop",IF(E782&lt;&gt;0,IF(E782&lt;=K782,"OK","NG"),Blank),"-")</f>
        <v>#REF!</v>
      </c>
    </row>
    <row r="783" spans="1:18" ht="15" hidden="1" x14ac:dyDescent="0.3">
      <c r="A783" s="318" t="e">
        <f>#REF!</f>
        <v>#REF!</v>
      </c>
      <c r="B783" s="305" t="e">
        <f>#REF!</f>
        <v>#REF!</v>
      </c>
      <c r="C783" s="305" t="str">
        <f>'Danh sách máy'!C781</f>
        <v>Fact.4</v>
      </c>
      <c r="D783" s="90" t="e">
        <f>#REF!</f>
        <v>#REF!</v>
      </c>
      <c r="E783" s="97">
        <f>'Danh sách máy'!E781</f>
        <v>46171</v>
      </c>
      <c r="F783" s="206" t="e">
        <f>#REF!</f>
        <v>#REF!</v>
      </c>
      <c r="G783" s="102" t="e">
        <f>#REF!</f>
        <v>#REF!</v>
      </c>
      <c r="H783" s="102" t="e">
        <f>#REF!</f>
        <v>#REF!</v>
      </c>
      <c r="K783" s="210" t="e">
        <f>#REF!</f>
        <v>#REF!</v>
      </c>
      <c r="L783" s="210">
        <v>45052</v>
      </c>
      <c r="M783" s="210"/>
      <c r="N783" s="210">
        <f>'Danh sách máy'!F781</f>
        <v>46171</v>
      </c>
      <c r="O783" s="211" t="str" cm="1">
        <f t="array" ref="O783">IF(L783&lt;&gt;0,IF(L783&lt;I783,"OK","NG"),Blank)</f>
        <v>NG</v>
      </c>
      <c r="P783" s="211" t="e" cm="1">
        <f t="array" ref="P783">IF(M783&lt;&gt;0,IF(M783&lt;J783,"OK","NG"),Blank)</f>
        <v>#NAME?</v>
      </c>
      <c r="Q783" s="211" t="e" cm="1">
        <f t="array" ref="Q783">IF(H783&lt;&gt;"Stop",IF(N783&lt;&gt;0,IF(N783&lt;=K783,"OK","NG"),Blank),"-")</f>
        <v>#REF!</v>
      </c>
      <c r="R783" s="326" t="e" cm="1">
        <f t="array" ref="R783">IF(H783&lt;&gt;"Stop",IF(E783&lt;&gt;0,IF(E783&lt;=K783,"OK","NG"),Blank),"-")</f>
        <v>#REF!</v>
      </c>
    </row>
    <row r="784" spans="1:18" ht="15" hidden="1" x14ac:dyDescent="0.3">
      <c r="A784" s="318" t="e">
        <f>#REF!</f>
        <v>#REF!</v>
      </c>
      <c r="B784" s="305" t="e">
        <f>#REF!</f>
        <v>#REF!</v>
      </c>
      <c r="C784" s="305" t="str">
        <f>'Danh sách máy'!C782</f>
        <v>Fact.4</v>
      </c>
      <c r="D784" s="90" t="e">
        <f>#REF!</f>
        <v>#REF!</v>
      </c>
      <c r="E784" s="97">
        <f>'Danh sách máy'!E782</f>
        <v>46185</v>
      </c>
      <c r="F784" s="206" t="e">
        <f>#REF!</f>
        <v>#REF!</v>
      </c>
      <c r="G784" s="102" t="e">
        <f>#REF!</f>
        <v>#REF!</v>
      </c>
      <c r="H784" s="102" t="e">
        <f>#REF!</f>
        <v>#REF!</v>
      </c>
      <c r="K784" s="210" t="e">
        <f>#REF!</f>
        <v>#REF!</v>
      </c>
      <c r="L784" s="210">
        <v>45053</v>
      </c>
      <c r="M784" s="210"/>
      <c r="N784" s="210">
        <f>'Danh sách máy'!F782</f>
        <v>46186</v>
      </c>
      <c r="O784" s="211" t="str" cm="1">
        <f t="array" ref="O784">IF(L784&lt;&gt;0,IF(L784&lt;I784,"OK","NG"),Blank)</f>
        <v>NG</v>
      </c>
      <c r="P784" s="211" t="e" cm="1">
        <f t="array" ref="P784">IF(M784&lt;&gt;0,IF(M784&lt;J784,"OK","NG"),Blank)</f>
        <v>#NAME?</v>
      </c>
      <c r="Q784" s="211" t="e" cm="1">
        <f t="array" ref="Q784">IF(H784&lt;&gt;"Stop",IF(N784&lt;&gt;0,IF(N784&lt;=K784,"OK","NG"),Blank),"-")</f>
        <v>#REF!</v>
      </c>
      <c r="R784" s="326" t="e" cm="1">
        <f t="array" ref="R784">IF(H784&lt;&gt;"Stop",IF(E784&lt;&gt;0,IF(E784&lt;=K784,"OK","NG"),Blank),"-")</f>
        <v>#REF!</v>
      </c>
    </row>
    <row r="785" spans="1:18" ht="15" hidden="1" x14ac:dyDescent="0.3">
      <c r="A785" s="318" t="e">
        <f>#REF!</f>
        <v>#REF!</v>
      </c>
      <c r="B785" s="305" t="e">
        <f>#REF!</f>
        <v>#REF!</v>
      </c>
      <c r="C785" s="305" t="str">
        <f>'Danh sách máy'!C783</f>
        <v>Fact.4</v>
      </c>
      <c r="D785" s="90" t="e">
        <f>#REF!</f>
        <v>#REF!</v>
      </c>
      <c r="E785" s="97" t="str">
        <f>'Danh sách máy'!E783</f>
        <v>STI</v>
      </c>
      <c r="F785" s="206" t="e">
        <f>#REF!</f>
        <v>#REF!</v>
      </c>
      <c r="G785" s="102" t="e">
        <f>#REF!</f>
        <v>#REF!</v>
      </c>
      <c r="H785" s="102" t="e">
        <f>#REF!</f>
        <v>#REF!</v>
      </c>
      <c r="K785" s="210" t="e">
        <f>#REF!</f>
        <v>#REF!</v>
      </c>
      <c r="L785" s="210">
        <v>45054</v>
      </c>
      <c r="M785" s="210"/>
      <c r="N785" s="210">
        <f>'Danh sách máy'!F783</f>
        <v>46178</v>
      </c>
      <c r="O785" s="211" t="str" cm="1">
        <f t="array" ref="O785">IF(L785&lt;&gt;0,IF(L785&lt;I785,"OK","NG"),Blank)</f>
        <v>NG</v>
      </c>
      <c r="P785" s="211" t="e" cm="1">
        <f t="array" ref="P785">IF(M785&lt;&gt;0,IF(M785&lt;J785,"OK","NG"),Blank)</f>
        <v>#NAME?</v>
      </c>
      <c r="Q785" s="211" t="e" cm="1">
        <f t="array" ref="Q785">IF(H785&lt;&gt;"Stop",IF(N785&lt;&gt;0,IF(N785&lt;=K785,"OK","NG"),Blank),"-")</f>
        <v>#REF!</v>
      </c>
      <c r="R785" s="326" t="e" cm="1">
        <f t="array" ref="R785">IF(H785&lt;&gt;"Stop",IF(E785&lt;&gt;0,IF(E785&lt;=K785,"OK","NG"),Blank),"-")</f>
        <v>#REF!</v>
      </c>
    </row>
    <row r="786" spans="1:18" ht="30" hidden="1" x14ac:dyDescent="0.3">
      <c r="A786" s="318" t="e">
        <f>#REF!</f>
        <v>#REF!</v>
      </c>
      <c r="B786" s="305" t="e">
        <f>#REF!</f>
        <v>#REF!</v>
      </c>
      <c r="C786" s="305" t="str">
        <f>'Danh sách máy'!C784</f>
        <v>Fact.4</v>
      </c>
      <c r="D786" s="90" t="e">
        <f>#REF!</f>
        <v>#REF!</v>
      </c>
      <c r="E786" s="97">
        <f>'Danh sách máy'!E784</f>
        <v>0</v>
      </c>
      <c r="F786" s="206" t="e">
        <f>#REF!</f>
        <v>#REF!</v>
      </c>
      <c r="G786" s="102" t="e">
        <f>#REF!</f>
        <v>#REF!</v>
      </c>
      <c r="H786" s="102" t="e">
        <f>#REF!</f>
        <v>#REF!</v>
      </c>
      <c r="K786" s="210" t="e">
        <f>#REF!</f>
        <v>#REF!</v>
      </c>
      <c r="L786" s="210">
        <v>45055</v>
      </c>
      <c r="M786" s="210"/>
      <c r="N786" s="210">
        <f>'Danh sách máy'!F784</f>
        <v>0</v>
      </c>
      <c r="O786" s="211" t="str" cm="1">
        <f t="array" ref="O786">IF(L786&lt;&gt;0,IF(L786&lt;I786,"OK","NG"),Blank)</f>
        <v>NG</v>
      </c>
      <c r="P786" s="211" t="e" cm="1">
        <f t="array" ref="P786">IF(M786&lt;&gt;0,IF(M786&lt;J786,"OK","NG"),Blank)</f>
        <v>#NAME?</v>
      </c>
      <c r="Q786" s="211" t="e" cm="1">
        <f t="array" ref="Q786">IF(H786&lt;&gt;"Stop",IF(N786&lt;&gt;0,IF(N786&lt;=K786,"OK","NG"),Blank),"-")</f>
        <v>#REF!</v>
      </c>
      <c r="R786" s="326" t="e" cm="1">
        <f t="array" ref="R786">IF(H786&lt;&gt;"Stop",IF(E786&lt;&gt;0,IF(E786&lt;=K786,"OK","NG"),Blank),"-")</f>
        <v>#REF!</v>
      </c>
    </row>
    <row r="787" spans="1:18" ht="15" hidden="1" x14ac:dyDescent="0.3">
      <c r="A787" s="318" t="e">
        <f>#REF!</f>
        <v>#REF!</v>
      </c>
      <c r="B787" s="305" t="e">
        <f>#REF!</f>
        <v>#REF!</v>
      </c>
      <c r="C787" s="305" t="str">
        <f>'Danh sách máy'!C785</f>
        <v>Fact.4</v>
      </c>
      <c r="D787" s="90" t="e">
        <f>#REF!</f>
        <v>#REF!</v>
      </c>
      <c r="E787" s="97">
        <f>'Danh sách máy'!E785</f>
        <v>46164</v>
      </c>
      <c r="F787" s="206" t="e">
        <f>#REF!</f>
        <v>#REF!</v>
      </c>
      <c r="G787" s="102" t="e">
        <f>#REF!</f>
        <v>#REF!</v>
      </c>
      <c r="H787" s="102" t="e">
        <f>#REF!</f>
        <v>#REF!</v>
      </c>
      <c r="K787" s="210" t="e">
        <f>#REF!</f>
        <v>#REF!</v>
      </c>
      <c r="L787" s="210">
        <v>45056</v>
      </c>
      <c r="M787" s="210"/>
      <c r="N787" s="210">
        <f>'Danh sách máy'!F785</f>
        <v>46171</v>
      </c>
      <c r="O787" s="211" t="str" cm="1">
        <f t="array" ref="O787">IF(L787&lt;&gt;0,IF(L787&lt;I787,"OK","NG"),Blank)</f>
        <v>NG</v>
      </c>
      <c r="P787" s="211" t="e" cm="1">
        <f t="array" ref="P787">IF(M787&lt;&gt;0,IF(M787&lt;J787,"OK","NG"),Blank)</f>
        <v>#NAME?</v>
      </c>
      <c r="Q787" s="211" t="e" cm="1">
        <f t="array" ref="Q787">IF(H787&lt;&gt;"Stop",IF(N787&lt;&gt;0,IF(N787&lt;=K787,"OK","NG"),Blank),"-")</f>
        <v>#REF!</v>
      </c>
      <c r="R787" s="326" t="e" cm="1">
        <f t="array" ref="R787">IF(H787&lt;&gt;"Stop",IF(E787&lt;&gt;0,IF(E787&lt;=K787,"OK","NG"),Blank),"-")</f>
        <v>#REF!</v>
      </c>
    </row>
    <row r="788" spans="1:18" ht="30" hidden="1" x14ac:dyDescent="0.3">
      <c r="A788" s="318" t="e">
        <f>#REF!</f>
        <v>#REF!</v>
      </c>
      <c r="B788" s="305" t="e">
        <f>#REF!</f>
        <v>#REF!</v>
      </c>
      <c r="C788" s="305" t="str">
        <f>'Danh sách máy'!C786</f>
        <v>Fact.4</v>
      </c>
      <c r="D788" s="90" t="e">
        <f>#REF!</f>
        <v>#REF!</v>
      </c>
      <c r="E788" s="97">
        <f>'Danh sách máy'!E786</f>
        <v>0</v>
      </c>
      <c r="F788" s="206" t="e">
        <f>#REF!</f>
        <v>#REF!</v>
      </c>
      <c r="G788" s="102" t="e">
        <f>#REF!</f>
        <v>#REF!</v>
      </c>
      <c r="H788" s="102" t="e">
        <f>#REF!</f>
        <v>#REF!</v>
      </c>
      <c r="K788" s="210" t="e">
        <f>#REF!</f>
        <v>#REF!</v>
      </c>
      <c r="L788" s="210">
        <v>45057</v>
      </c>
      <c r="M788" s="210"/>
      <c r="N788" s="210">
        <f>'Danh sách máy'!F786</f>
        <v>0</v>
      </c>
      <c r="O788" s="211" t="str" cm="1">
        <f t="array" ref="O788">IF(L788&lt;&gt;0,IF(L788&lt;I788,"OK","NG"),Blank)</f>
        <v>NG</v>
      </c>
      <c r="P788" s="211" t="e" cm="1">
        <f t="array" ref="P788">IF(M788&lt;&gt;0,IF(M788&lt;J788,"OK","NG"),Blank)</f>
        <v>#NAME?</v>
      </c>
      <c r="Q788" s="211" t="e" cm="1">
        <f t="array" ref="Q788">IF(H788&lt;&gt;"Stop",IF(N788&lt;&gt;0,IF(N788&lt;=K788,"OK","NG"),Blank),"-")</f>
        <v>#REF!</v>
      </c>
      <c r="R788" s="326" t="e" cm="1">
        <f t="array" ref="R788">IF(H788&lt;&gt;"Stop",IF(E788&lt;&gt;0,IF(E788&lt;=K788,"OK","NG"),Blank),"-")</f>
        <v>#REF!</v>
      </c>
    </row>
    <row r="789" spans="1:18" ht="30" hidden="1" x14ac:dyDescent="0.3">
      <c r="A789" s="318" t="e">
        <f>#REF!</f>
        <v>#REF!</v>
      </c>
      <c r="B789" s="305" t="e">
        <f>#REF!</f>
        <v>#REF!</v>
      </c>
      <c r="C789" s="305" t="str">
        <f>'Danh sách máy'!C787</f>
        <v>Fact.4</v>
      </c>
      <c r="D789" s="90" t="e">
        <f>#REF!</f>
        <v>#REF!</v>
      </c>
      <c r="E789" s="97">
        <f>'Danh sách máy'!E787</f>
        <v>0</v>
      </c>
      <c r="F789" s="206" t="e">
        <f>#REF!</f>
        <v>#REF!</v>
      </c>
      <c r="G789" s="102" t="e">
        <f>#REF!</f>
        <v>#REF!</v>
      </c>
      <c r="H789" s="102" t="e">
        <f>#REF!</f>
        <v>#REF!</v>
      </c>
      <c r="K789" s="210" t="e">
        <f>#REF!</f>
        <v>#REF!</v>
      </c>
      <c r="L789" s="210">
        <v>45058</v>
      </c>
      <c r="M789" s="210"/>
      <c r="N789" s="210">
        <f>'Danh sách máy'!F787</f>
        <v>46198</v>
      </c>
      <c r="O789" s="211" t="str" cm="1">
        <f t="array" ref="O789">IF(L789&lt;&gt;0,IF(L789&lt;I789,"OK","NG"),Blank)</f>
        <v>NG</v>
      </c>
      <c r="P789" s="211" t="e" cm="1">
        <f t="array" ref="P789">IF(M789&lt;&gt;0,IF(M789&lt;J789,"OK","NG"),Blank)</f>
        <v>#NAME?</v>
      </c>
      <c r="Q789" s="211" t="e" cm="1">
        <f t="array" ref="Q789">IF(H789&lt;&gt;"Stop",IF(N789&lt;&gt;0,IF(N789&lt;=K789,"OK","NG"),Blank),"-")</f>
        <v>#REF!</v>
      </c>
      <c r="R789" s="326" t="e" cm="1">
        <f t="array" ref="R789">IF(H789&lt;&gt;"Stop",IF(E789&lt;&gt;0,IF(E789&lt;=K789,"OK","NG"),Blank),"-")</f>
        <v>#REF!</v>
      </c>
    </row>
    <row r="790" spans="1:18" ht="30" hidden="1" x14ac:dyDescent="0.3">
      <c r="A790" s="318" t="e">
        <f>#REF!</f>
        <v>#REF!</v>
      </c>
      <c r="B790" s="305" t="e">
        <f>#REF!</f>
        <v>#REF!</v>
      </c>
      <c r="C790" s="305" t="str">
        <f>'Danh sách máy'!C788</f>
        <v>Fact.4</v>
      </c>
      <c r="D790" s="90" t="e">
        <f>#REF!</f>
        <v>#REF!</v>
      </c>
      <c r="E790" s="97">
        <f>'Danh sách máy'!E788</f>
        <v>0</v>
      </c>
      <c r="F790" s="206" t="e">
        <f>#REF!</f>
        <v>#REF!</v>
      </c>
      <c r="G790" s="102" t="e">
        <f>#REF!</f>
        <v>#REF!</v>
      </c>
      <c r="H790" s="102" t="e">
        <f>#REF!</f>
        <v>#REF!</v>
      </c>
      <c r="K790" s="210" t="e">
        <f>#REF!</f>
        <v>#REF!</v>
      </c>
      <c r="L790" s="210">
        <v>45059</v>
      </c>
      <c r="M790" s="210"/>
      <c r="N790" s="210">
        <f>'Danh sách máy'!F788</f>
        <v>0</v>
      </c>
      <c r="O790" s="211" t="str" cm="1">
        <f t="array" ref="O790">IF(L790&lt;&gt;0,IF(L790&lt;I790,"OK","NG"),Blank)</f>
        <v>NG</v>
      </c>
      <c r="P790" s="211" t="e" cm="1">
        <f t="array" ref="P790">IF(M790&lt;&gt;0,IF(M790&lt;J790,"OK","NG"),Blank)</f>
        <v>#NAME?</v>
      </c>
      <c r="Q790" s="211" t="e" cm="1">
        <f t="array" ref="Q790">IF(H790&lt;&gt;"Stop",IF(N790&lt;&gt;0,IF(N790&lt;=K790,"OK","NG"),Blank),"-")</f>
        <v>#REF!</v>
      </c>
      <c r="R790" s="326" t="e" cm="1">
        <f t="array" ref="R790">IF(H790&lt;&gt;"Stop",IF(E790&lt;&gt;0,IF(E790&lt;=K790,"OK","NG"),Blank),"-")</f>
        <v>#REF!</v>
      </c>
    </row>
    <row r="791" spans="1:18" ht="15" hidden="1" x14ac:dyDescent="0.3">
      <c r="A791" s="318" t="e">
        <f>#REF!</f>
        <v>#REF!</v>
      </c>
      <c r="B791" s="305" t="e">
        <f>#REF!</f>
        <v>#REF!</v>
      </c>
      <c r="C791" s="305" t="str">
        <f>'Danh sách máy'!C789</f>
        <v>Fact.4</v>
      </c>
      <c r="D791" s="90" t="e">
        <f>#REF!</f>
        <v>#REF!</v>
      </c>
      <c r="E791" s="97">
        <f>'Danh sách máy'!E789</f>
        <v>0</v>
      </c>
      <c r="F791" s="206" t="e">
        <f>#REF!</f>
        <v>#REF!</v>
      </c>
      <c r="G791" s="102" t="e">
        <f>#REF!</f>
        <v>#REF!</v>
      </c>
      <c r="H791" s="102" t="e">
        <f>#REF!</f>
        <v>#REF!</v>
      </c>
      <c r="K791" s="210" t="e">
        <f>#REF!</f>
        <v>#REF!</v>
      </c>
      <c r="L791" s="210">
        <v>45060</v>
      </c>
      <c r="M791" s="210"/>
      <c r="N791" s="210">
        <f>'Danh sách máy'!F789</f>
        <v>0</v>
      </c>
      <c r="O791" s="211" t="str" cm="1">
        <f t="array" ref="O791">IF(L791&lt;&gt;0,IF(L791&lt;I791,"OK","NG"),Blank)</f>
        <v>NG</v>
      </c>
      <c r="P791" s="211" t="e" cm="1">
        <f t="array" ref="P791">IF(M791&lt;&gt;0,IF(M791&lt;J791,"OK","NG"),Blank)</f>
        <v>#NAME?</v>
      </c>
      <c r="Q791" s="211" t="e" cm="1">
        <f t="array" ref="Q791">IF(H791&lt;&gt;"Stop",IF(N791&lt;&gt;0,IF(N791&lt;=K791,"OK","NG"),Blank),"-")</f>
        <v>#REF!</v>
      </c>
      <c r="R791" s="326" t="e" cm="1">
        <f t="array" ref="R791">IF(H791&lt;&gt;"Stop",IF(E791&lt;&gt;0,IF(E791&lt;=K791,"OK","NG"),Blank),"-")</f>
        <v>#REF!</v>
      </c>
    </row>
    <row r="792" spans="1:18" ht="30" hidden="1" x14ac:dyDescent="0.3">
      <c r="A792" s="318" t="e">
        <f>#REF!</f>
        <v>#REF!</v>
      </c>
      <c r="B792" s="305" t="e">
        <f>#REF!</f>
        <v>#REF!</v>
      </c>
      <c r="C792" s="305" t="str">
        <f>'Danh sách máy'!C790</f>
        <v>Fact.4</v>
      </c>
      <c r="D792" s="90" t="e">
        <f>#REF!</f>
        <v>#REF!</v>
      </c>
      <c r="E792" s="97">
        <f>'Danh sách máy'!E790</f>
        <v>0</v>
      </c>
      <c r="F792" s="206" t="e">
        <f>#REF!</f>
        <v>#REF!</v>
      </c>
      <c r="G792" s="102" t="e">
        <f>#REF!</f>
        <v>#REF!</v>
      </c>
      <c r="H792" s="102" t="e">
        <f>#REF!</f>
        <v>#REF!</v>
      </c>
      <c r="K792" s="210" t="e">
        <f>#REF!</f>
        <v>#REF!</v>
      </c>
      <c r="L792" s="210">
        <v>45061</v>
      </c>
      <c r="M792" s="210"/>
      <c r="N792" s="210">
        <f>'Danh sách máy'!F790</f>
        <v>0</v>
      </c>
      <c r="O792" s="211" t="str" cm="1">
        <f t="array" ref="O792">IF(L792&lt;&gt;0,IF(L792&lt;I792,"OK","NG"),Blank)</f>
        <v>NG</v>
      </c>
      <c r="P792" s="211" t="e" cm="1">
        <f t="array" ref="P792">IF(M792&lt;&gt;0,IF(M792&lt;J792,"OK","NG"),Blank)</f>
        <v>#NAME?</v>
      </c>
      <c r="Q792" s="211" t="e" cm="1">
        <f t="array" ref="Q792">IF(H792&lt;&gt;"Stop",IF(N792&lt;&gt;0,IF(N792&lt;=K792,"OK","NG"),Blank),"-")</f>
        <v>#REF!</v>
      </c>
      <c r="R792" s="326" t="e" cm="1">
        <f t="array" ref="R792">IF(H792&lt;&gt;"Stop",IF(E792&lt;&gt;0,IF(E792&lt;=K792,"OK","NG"),Blank),"-")</f>
        <v>#REF!</v>
      </c>
    </row>
    <row r="793" spans="1:18" ht="15" hidden="1" x14ac:dyDescent="0.3">
      <c r="A793" s="318" t="e">
        <f>#REF!</f>
        <v>#REF!</v>
      </c>
      <c r="B793" s="305" t="e">
        <f>#REF!</f>
        <v>#REF!</v>
      </c>
      <c r="C793" s="305" t="str">
        <f>'Danh sách máy'!C791</f>
        <v>Fact.4</v>
      </c>
      <c r="D793" s="90" t="e">
        <f>#REF!</f>
        <v>#REF!</v>
      </c>
      <c r="E793" s="97">
        <f>'Danh sách máy'!E791</f>
        <v>0</v>
      </c>
      <c r="F793" s="206" t="e">
        <f>#REF!</f>
        <v>#REF!</v>
      </c>
      <c r="G793" s="102" t="e">
        <f>#REF!</f>
        <v>#REF!</v>
      </c>
      <c r="H793" s="102" t="e">
        <f>#REF!</f>
        <v>#REF!</v>
      </c>
      <c r="K793" s="210" t="e">
        <f>#REF!</f>
        <v>#REF!</v>
      </c>
      <c r="L793" s="210">
        <v>45062</v>
      </c>
      <c r="M793" s="210"/>
      <c r="N793" s="210">
        <f>'Danh sách máy'!F791</f>
        <v>0</v>
      </c>
      <c r="O793" s="211" t="str" cm="1">
        <f t="array" ref="O793">IF(L793&lt;&gt;0,IF(L793&lt;I793,"OK","NG"),Blank)</f>
        <v>NG</v>
      </c>
      <c r="P793" s="211" t="e" cm="1">
        <f t="array" ref="P793">IF(M793&lt;&gt;0,IF(M793&lt;J793,"OK","NG"),Blank)</f>
        <v>#NAME?</v>
      </c>
      <c r="Q793" s="211" t="e" cm="1">
        <f t="array" ref="Q793">IF(H793&lt;&gt;"Stop",IF(N793&lt;&gt;0,IF(N793&lt;=K793,"OK","NG"),Blank),"-")</f>
        <v>#REF!</v>
      </c>
      <c r="R793" s="326" t="e" cm="1">
        <f t="array" ref="R793">IF(H793&lt;&gt;"Stop",IF(E793&lt;&gt;0,IF(E793&lt;=K793,"OK","NG"),Blank),"-")</f>
        <v>#REF!</v>
      </c>
    </row>
    <row r="794" spans="1:18" ht="15" hidden="1" x14ac:dyDescent="0.3">
      <c r="A794" s="318" t="e">
        <f>#REF!</f>
        <v>#REF!</v>
      </c>
      <c r="B794" s="305" t="e">
        <f>#REF!</f>
        <v>#REF!</v>
      </c>
      <c r="C794" s="305" t="str">
        <f>'Danh sách máy'!C792</f>
        <v>Fact.4</v>
      </c>
      <c r="D794" s="90" t="e">
        <f>#REF!</f>
        <v>#REF!</v>
      </c>
      <c r="E794" s="97">
        <f>'Danh sách máy'!E792</f>
        <v>0</v>
      </c>
      <c r="F794" s="206" t="e">
        <f>#REF!</f>
        <v>#REF!</v>
      </c>
      <c r="G794" s="102" t="e">
        <f>#REF!</f>
        <v>#REF!</v>
      </c>
      <c r="H794" s="102" t="e">
        <f>#REF!</f>
        <v>#REF!</v>
      </c>
      <c r="K794" s="210" t="e">
        <f>#REF!</f>
        <v>#REF!</v>
      </c>
      <c r="L794" s="210">
        <v>45063</v>
      </c>
      <c r="M794" s="210"/>
      <c r="N794" s="210">
        <f>'Danh sách máy'!F792</f>
        <v>0</v>
      </c>
      <c r="O794" s="211" t="str" cm="1">
        <f t="array" ref="O794">IF(L794&lt;&gt;0,IF(L794&lt;I794,"OK","NG"),Blank)</f>
        <v>NG</v>
      </c>
      <c r="P794" s="211" t="e" cm="1">
        <f t="array" ref="P794">IF(M794&lt;&gt;0,IF(M794&lt;J794,"OK","NG"),Blank)</f>
        <v>#NAME?</v>
      </c>
      <c r="Q794" s="211" t="e" cm="1">
        <f t="array" ref="Q794">IF(H794&lt;&gt;"Stop",IF(N794&lt;&gt;0,IF(N794&lt;=K794,"OK","NG"),Blank),"-")</f>
        <v>#REF!</v>
      </c>
      <c r="R794" s="326" t="e" cm="1">
        <f t="array" ref="R794">IF(H794&lt;&gt;"Stop",IF(E794&lt;&gt;0,IF(E794&lt;=K794,"OK","NG"),Blank),"-")</f>
        <v>#REF!</v>
      </c>
    </row>
    <row r="795" spans="1:18" ht="15" hidden="1" x14ac:dyDescent="0.3">
      <c r="A795" s="318" t="e">
        <f>#REF!</f>
        <v>#REF!</v>
      </c>
      <c r="B795" s="305" t="e">
        <f>#REF!</f>
        <v>#REF!</v>
      </c>
      <c r="C795" s="305" t="str">
        <f>'Danh sách máy'!C793</f>
        <v>Fact.4</v>
      </c>
      <c r="D795" s="90" t="e">
        <f>#REF!</f>
        <v>#REF!</v>
      </c>
      <c r="E795" s="97">
        <f>'Danh sách máy'!E793</f>
        <v>46180</v>
      </c>
      <c r="F795" s="206" t="e">
        <f>#REF!</f>
        <v>#REF!</v>
      </c>
      <c r="G795" s="102" t="e">
        <f>#REF!</f>
        <v>#REF!</v>
      </c>
      <c r="H795" s="102" t="e">
        <f>#REF!</f>
        <v>#REF!</v>
      </c>
      <c r="K795" s="210" t="e">
        <f>#REF!</f>
        <v>#REF!</v>
      </c>
      <c r="L795" s="210">
        <v>45064</v>
      </c>
      <c r="M795" s="210"/>
      <c r="N795" s="210">
        <f>'Danh sách máy'!F793</f>
        <v>46180</v>
      </c>
      <c r="O795" s="211" t="str" cm="1">
        <f t="array" ref="O795">IF(L795&lt;&gt;0,IF(L795&lt;I795,"OK","NG"),Blank)</f>
        <v>NG</v>
      </c>
      <c r="P795" s="211" t="e" cm="1">
        <f t="array" ref="P795">IF(M795&lt;&gt;0,IF(M795&lt;J795,"OK","NG"),Blank)</f>
        <v>#NAME?</v>
      </c>
      <c r="Q795" s="211" t="e" cm="1">
        <f t="array" ref="Q795">IF(H795&lt;&gt;"Stop",IF(N795&lt;&gt;0,IF(N795&lt;=K795,"OK","NG"),Blank),"-")</f>
        <v>#REF!</v>
      </c>
      <c r="R795" s="326" t="e" cm="1">
        <f t="array" ref="R795">IF(H795&lt;&gt;"Stop",IF(E795&lt;&gt;0,IF(E795&lt;=K795,"OK","NG"),Blank),"-")</f>
        <v>#REF!</v>
      </c>
    </row>
    <row r="796" spans="1:18" ht="30" hidden="1" x14ac:dyDescent="0.3">
      <c r="A796" s="318" t="e">
        <f>#REF!</f>
        <v>#REF!</v>
      </c>
      <c r="B796" s="305" t="e">
        <f>#REF!</f>
        <v>#REF!</v>
      </c>
      <c r="C796" s="305" t="str">
        <f>'Danh sách máy'!C794</f>
        <v>Fact.4</v>
      </c>
      <c r="D796" s="90" t="e">
        <f>#REF!</f>
        <v>#REF!</v>
      </c>
      <c r="E796" s="97">
        <f>'Danh sách máy'!E794</f>
        <v>0</v>
      </c>
      <c r="F796" s="206" t="e">
        <f>#REF!</f>
        <v>#REF!</v>
      </c>
      <c r="G796" s="102" t="e">
        <f>#REF!</f>
        <v>#REF!</v>
      </c>
      <c r="H796" s="102" t="e">
        <f>#REF!</f>
        <v>#REF!</v>
      </c>
      <c r="K796" s="210" t="e">
        <f>#REF!</f>
        <v>#REF!</v>
      </c>
      <c r="L796" s="210">
        <v>45065</v>
      </c>
      <c r="M796" s="210"/>
      <c r="N796" s="210">
        <f>'Danh sách máy'!F794</f>
        <v>0</v>
      </c>
      <c r="O796" s="211" t="str" cm="1">
        <f t="array" ref="O796">IF(L796&lt;&gt;0,IF(L796&lt;I796,"OK","NG"),Blank)</f>
        <v>NG</v>
      </c>
      <c r="P796" s="211" t="e" cm="1">
        <f t="array" ref="P796">IF(M796&lt;&gt;0,IF(M796&lt;J796,"OK","NG"),Blank)</f>
        <v>#NAME?</v>
      </c>
      <c r="Q796" s="211" t="e" cm="1">
        <f t="array" ref="Q796">IF(H796&lt;&gt;"Stop",IF(N796&lt;&gt;0,IF(N796&lt;=K796,"OK","NG"),Blank),"-")</f>
        <v>#REF!</v>
      </c>
      <c r="R796" s="326" t="e" cm="1">
        <f t="array" ref="R796">IF(H796&lt;&gt;"Stop",IF(E796&lt;&gt;0,IF(E796&lt;=K796,"OK","NG"),Blank),"-")</f>
        <v>#REF!</v>
      </c>
    </row>
    <row r="797" spans="1:18" ht="15" hidden="1" x14ac:dyDescent="0.3">
      <c r="A797" s="318" t="e">
        <f>#REF!</f>
        <v>#REF!</v>
      </c>
      <c r="B797" s="305" t="e">
        <f>#REF!</f>
        <v>#REF!</v>
      </c>
      <c r="C797" s="305" t="str">
        <f>'Danh sách máy'!C795</f>
        <v>Fact.4</v>
      </c>
      <c r="D797" s="90" t="e">
        <f>#REF!</f>
        <v>#REF!</v>
      </c>
      <c r="E797" s="97">
        <f>'Danh sách máy'!E795</f>
        <v>46183</v>
      </c>
      <c r="F797" s="206" t="e">
        <f>#REF!</f>
        <v>#REF!</v>
      </c>
      <c r="G797" s="102" t="e">
        <f>#REF!</f>
        <v>#REF!</v>
      </c>
      <c r="H797" s="102" t="e">
        <f>#REF!</f>
        <v>#REF!</v>
      </c>
      <c r="K797" s="210" t="e">
        <f>#REF!</f>
        <v>#REF!</v>
      </c>
      <c r="L797" s="210">
        <v>45066</v>
      </c>
      <c r="M797" s="210"/>
      <c r="N797" s="210">
        <f>'Danh sách máy'!F795</f>
        <v>46183</v>
      </c>
      <c r="O797" s="211" t="str" cm="1">
        <f t="array" ref="O797">IF(L797&lt;&gt;0,IF(L797&lt;I797,"OK","NG"),Blank)</f>
        <v>NG</v>
      </c>
      <c r="P797" s="211" t="e" cm="1">
        <f t="array" ref="P797">IF(M797&lt;&gt;0,IF(M797&lt;J797,"OK","NG"),Blank)</f>
        <v>#NAME?</v>
      </c>
      <c r="Q797" s="211" t="e" cm="1">
        <f t="array" ref="Q797">IF(H797&lt;&gt;"Stop",IF(N797&lt;&gt;0,IF(N797&lt;=K797,"OK","NG"),Blank),"-")</f>
        <v>#REF!</v>
      </c>
      <c r="R797" s="326" t="e" cm="1">
        <f t="array" ref="R797">IF(H797&lt;&gt;"Stop",IF(E797&lt;&gt;0,IF(E797&lt;=K797,"OK","NG"),Blank),"-")</f>
        <v>#REF!</v>
      </c>
    </row>
    <row r="798" spans="1:18" ht="30" hidden="1" x14ac:dyDescent="0.3">
      <c r="A798" s="318" t="e">
        <f>#REF!</f>
        <v>#REF!</v>
      </c>
      <c r="B798" s="305" t="e">
        <f>#REF!</f>
        <v>#REF!</v>
      </c>
      <c r="C798" s="305" t="str">
        <f>'Danh sách máy'!C796</f>
        <v>Fact.4</v>
      </c>
      <c r="D798" s="90" t="e">
        <f>#REF!</f>
        <v>#REF!</v>
      </c>
      <c r="E798" s="97">
        <f>'Danh sách máy'!E796</f>
        <v>46183</v>
      </c>
      <c r="F798" s="206" t="e">
        <f>#REF!</f>
        <v>#REF!</v>
      </c>
      <c r="G798" s="102" t="e">
        <f>#REF!</f>
        <v>#REF!</v>
      </c>
      <c r="H798" s="102" t="e">
        <f>#REF!</f>
        <v>#REF!</v>
      </c>
      <c r="K798" s="210" t="e">
        <f>#REF!</f>
        <v>#REF!</v>
      </c>
      <c r="L798" s="210">
        <v>45067</v>
      </c>
      <c r="M798" s="210"/>
      <c r="N798" s="210">
        <f>'Danh sách máy'!F796</f>
        <v>46183</v>
      </c>
      <c r="O798" s="211" t="str" cm="1">
        <f t="array" ref="O798">IF(L798&lt;&gt;0,IF(L798&lt;I798,"OK","NG"),Blank)</f>
        <v>NG</v>
      </c>
      <c r="P798" s="211" t="e" cm="1">
        <f t="array" ref="P798">IF(M798&lt;&gt;0,IF(M798&lt;J798,"OK","NG"),Blank)</f>
        <v>#NAME?</v>
      </c>
      <c r="Q798" s="211" t="e" cm="1">
        <f t="array" ref="Q798">IF(H798&lt;&gt;"Stop",IF(N798&lt;&gt;0,IF(N798&lt;=K798,"OK","NG"),Blank),"-")</f>
        <v>#REF!</v>
      </c>
      <c r="R798" s="326" t="e" cm="1">
        <f t="array" ref="R798">IF(H798&lt;&gt;"Stop",IF(E798&lt;&gt;0,IF(E798&lt;=K798,"OK","NG"),Blank),"-")</f>
        <v>#REF!</v>
      </c>
    </row>
    <row r="799" spans="1:18" ht="30" hidden="1" x14ac:dyDescent="0.3">
      <c r="A799" s="318" t="e">
        <f>#REF!</f>
        <v>#REF!</v>
      </c>
      <c r="B799" s="305" t="e">
        <f>#REF!</f>
        <v>#REF!</v>
      </c>
      <c r="C799" s="305" t="str">
        <f>'Danh sách máy'!C797</f>
        <v>Fact.4</v>
      </c>
      <c r="D799" s="90" t="e">
        <f>#REF!</f>
        <v>#REF!</v>
      </c>
      <c r="E799" s="97">
        <f>'Danh sách máy'!E797</f>
        <v>46179</v>
      </c>
      <c r="F799" s="206" t="e">
        <f>#REF!</f>
        <v>#REF!</v>
      </c>
      <c r="G799" s="102" t="e">
        <f>#REF!</f>
        <v>#REF!</v>
      </c>
      <c r="H799" s="102" t="e">
        <f>#REF!</f>
        <v>#REF!</v>
      </c>
      <c r="K799" s="210" t="e">
        <f>#REF!</f>
        <v>#REF!</v>
      </c>
      <c r="L799" s="210">
        <v>45068</v>
      </c>
      <c r="M799" s="210"/>
      <c r="N799" s="210">
        <f>'Danh sách máy'!F797</f>
        <v>46183</v>
      </c>
      <c r="O799" s="211" t="str" cm="1">
        <f t="array" ref="O799">IF(L799&lt;&gt;0,IF(L799&lt;I799,"OK","NG"),Blank)</f>
        <v>NG</v>
      </c>
      <c r="P799" s="211" t="e" cm="1">
        <f t="array" ref="P799">IF(M799&lt;&gt;0,IF(M799&lt;J799,"OK","NG"),Blank)</f>
        <v>#NAME?</v>
      </c>
      <c r="Q799" s="211" t="e" cm="1">
        <f t="array" ref="Q799">IF(H799&lt;&gt;"Stop",IF(N799&lt;&gt;0,IF(N799&lt;=K799,"OK","NG"),Blank),"-")</f>
        <v>#REF!</v>
      </c>
      <c r="R799" s="326" t="e" cm="1">
        <f t="array" ref="R799">IF(H799&lt;&gt;"Stop",IF(E799&lt;&gt;0,IF(E799&lt;=K799,"OK","NG"),Blank),"-")</f>
        <v>#REF!</v>
      </c>
    </row>
    <row r="800" spans="1:18" ht="30" hidden="1" x14ac:dyDescent="0.3">
      <c r="A800" s="318" t="e">
        <f>#REF!</f>
        <v>#REF!</v>
      </c>
      <c r="B800" s="305" t="e">
        <f>#REF!</f>
        <v>#REF!</v>
      </c>
      <c r="C800" s="305" t="str">
        <f>'Danh sách máy'!C798</f>
        <v>Fact.4</v>
      </c>
      <c r="D800" s="90" t="e">
        <f>#REF!</f>
        <v>#REF!</v>
      </c>
      <c r="E800" s="97">
        <f>'Danh sách máy'!E798</f>
        <v>46183</v>
      </c>
      <c r="F800" s="206" t="e">
        <f>#REF!</f>
        <v>#REF!</v>
      </c>
      <c r="G800" s="102" t="e">
        <f>#REF!</f>
        <v>#REF!</v>
      </c>
      <c r="H800" s="102" t="e">
        <f>#REF!</f>
        <v>#REF!</v>
      </c>
      <c r="K800" s="210" t="e">
        <f>#REF!</f>
        <v>#REF!</v>
      </c>
      <c r="L800" s="210">
        <v>45069</v>
      </c>
      <c r="M800" s="210"/>
      <c r="N800" s="210">
        <f>'Danh sách máy'!F798</f>
        <v>46183</v>
      </c>
      <c r="O800" s="211" t="str" cm="1">
        <f t="array" ref="O800">IF(L800&lt;&gt;0,IF(L800&lt;I800,"OK","NG"),Blank)</f>
        <v>NG</v>
      </c>
      <c r="P800" s="211" t="e" cm="1">
        <f t="array" ref="P800">IF(M800&lt;&gt;0,IF(M800&lt;J800,"OK","NG"),Blank)</f>
        <v>#NAME?</v>
      </c>
      <c r="Q800" s="211" t="e" cm="1">
        <f t="array" ref="Q800">IF(H800&lt;&gt;"Stop",IF(N800&lt;&gt;0,IF(N800&lt;=K800,"OK","NG"),Blank),"-")</f>
        <v>#REF!</v>
      </c>
      <c r="R800" s="326" t="e" cm="1">
        <f t="array" ref="R800">IF(H800&lt;&gt;"Stop",IF(E800&lt;&gt;0,IF(E800&lt;=K800,"OK","NG"),Blank),"-")</f>
        <v>#REF!</v>
      </c>
    </row>
    <row r="801" spans="1:18" ht="15" hidden="1" x14ac:dyDescent="0.3">
      <c r="A801" s="318" t="e">
        <f>#REF!</f>
        <v>#REF!</v>
      </c>
      <c r="B801" s="305" t="e">
        <f>#REF!</f>
        <v>#REF!</v>
      </c>
      <c r="C801" s="305" t="str">
        <f>'Danh sách máy'!C799</f>
        <v>Fact.4</v>
      </c>
      <c r="D801" s="90" t="e">
        <f>#REF!</f>
        <v>#REF!</v>
      </c>
      <c r="E801" s="97">
        <f>'Danh sách máy'!E799</f>
        <v>46171</v>
      </c>
      <c r="F801" s="206" t="e">
        <f>#REF!</f>
        <v>#REF!</v>
      </c>
      <c r="G801" s="102" t="e">
        <f>#REF!</f>
        <v>#REF!</v>
      </c>
      <c r="H801" s="102" t="e">
        <f>#REF!</f>
        <v>#REF!</v>
      </c>
      <c r="K801" s="210" t="e">
        <f>#REF!</f>
        <v>#REF!</v>
      </c>
      <c r="L801" s="210">
        <v>45070</v>
      </c>
      <c r="M801" s="210"/>
      <c r="N801" s="210">
        <f>'Danh sách máy'!F799</f>
        <v>46171</v>
      </c>
      <c r="O801" s="211" t="str" cm="1">
        <f t="array" ref="O801">IF(L801&lt;&gt;0,IF(L801&lt;I801,"OK","NG"),Blank)</f>
        <v>NG</v>
      </c>
      <c r="P801" s="211" t="e" cm="1">
        <f t="array" ref="P801">IF(M801&lt;&gt;0,IF(M801&lt;J801,"OK","NG"),Blank)</f>
        <v>#NAME?</v>
      </c>
      <c r="Q801" s="211" t="e" cm="1">
        <f t="array" ref="Q801">IF(H801&lt;&gt;"Stop",IF(N801&lt;&gt;0,IF(N801&lt;=K801,"OK","NG"),Blank),"-")</f>
        <v>#REF!</v>
      </c>
      <c r="R801" s="326" t="e" cm="1">
        <f t="array" ref="R801">IF(H801&lt;&gt;"Stop",IF(E801&lt;&gt;0,IF(E801&lt;=K801,"OK","NG"),Blank),"-")</f>
        <v>#REF!</v>
      </c>
    </row>
    <row r="802" spans="1:18" ht="15" hidden="1" x14ac:dyDescent="0.3">
      <c r="A802" s="318" t="e">
        <f>#REF!</f>
        <v>#REF!</v>
      </c>
      <c r="B802" s="305" t="e">
        <f>#REF!</f>
        <v>#REF!</v>
      </c>
      <c r="C802" s="305" t="str">
        <f>'Danh sách máy'!C800</f>
        <v>Fact.4</v>
      </c>
      <c r="D802" s="90" t="e">
        <f>#REF!</f>
        <v>#REF!</v>
      </c>
      <c r="E802" s="97" t="str">
        <f>'Danh sách máy'!E800</f>
        <v>STI</v>
      </c>
      <c r="F802" s="206" t="e">
        <f>#REF!</f>
        <v>#REF!</v>
      </c>
      <c r="G802" s="102" t="e">
        <f>#REF!</f>
        <v>#REF!</v>
      </c>
      <c r="H802" s="102" t="e">
        <f>#REF!</f>
        <v>#REF!</v>
      </c>
      <c r="K802" s="210" t="e">
        <f>#REF!</f>
        <v>#REF!</v>
      </c>
      <c r="L802" s="210">
        <v>45071</v>
      </c>
      <c r="M802" s="210"/>
      <c r="N802" s="210">
        <f>'Danh sách máy'!F800</f>
        <v>46188</v>
      </c>
      <c r="O802" s="211" t="str" cm="1">
        <f t="array" ref="O802">IF(L802&lt;&gt;0,IF(L802&lt;I802,"OK","NG"),Blank)</f>
        <v>NG</v>
      </c>
      <c r="P802" s="211" t="e" cm="1">
        <f t="array" ref="P802">IF(M802&lt;&gt;0,IF(M802&lt;J802,"OK","NG"),Blank)</f>
        <v>#NAME?</v>
      </c>
      <c r="Q802" s="211" t="e" cm="1">
        <f t="array" ref="Q802">IF(H802&lt;&gt;"Stop",IF(N802&lt;&gt;0,IF(N802&lt;=K802,"OK","NG"),Blank),"-")</f>
        <v>#REF!</v>
      </c>
      <c r="R802" s="326" t="e" cm="1">
        <f t="array" ref="R802">IF(H802&lt;&gt;"Stop",IF(E802&lt;&gt;0,IF(E802&lt;=K802,"OK","NG"),Blank),"-")</f>
        <v>#REF!</v>
      </c>
    </row>
    <row r="803" spans="1:18" ht="30" hidden="1" x14ac:dyDescent="0.3">
      <c r="A803" s="318" t="e">
        <f>#REF!</f>
        <v>#REF!</v>
      </c>
      <c r="B803" s="305" t="e">
        <f>#REF!</f>
        <v>#REF!</v>
      </c>
      <c r="C803" s="305" t="str">
        <f>'Danh sách máy'!C801</f>
        <v>Fact.4</v>
      </c>
      <c r="D803" s="90" t="e">
        <f>#REF!</f>
        <v>#REF!</v>
      </c>
      <c r="E803" s="97">
        <f>'Danh sách máy'!E801</f>
        <v>0</v>
      </c>
      <c r="F803" s="206" t="e">
        <f>#REF!</f>
        <v>#REF!</v>
      </c>
      <c r="G803" s="102" t="e">
        <f>#REF!</f>
        <v>#REF!</v>
      </c>
      <c r="H803" s="102" t="e">
        <f>#REF!</f>
        <v>#REF!</v>
      </c>
      <c r="K803" s="210" t="e">
        <f>#REF!</f>
        <v>#REF!</v>
      </c>
      <c r="L803" s="210">
        <v>45072</v>
      </c>
      <c r="M803" s="210"/>
      <c r="N803" s="210">
        <f>'Danh sách máy'!F801</f>
        <v>0</v>
      </c>
      <c r="O803" s="211" t="str" cm="1">
        <f t="array" ref="O803">IF(L803&lt;&gt;0,IF(L803&lt;I803,"OK","NG"),Blank)</f>
        <v>NG</v>
      </c>
      <c r="P803" s="211" t="e" cm="1">
        <f t="array" ref="P803">IF(M803&lt;&gt;0,IF(M803&lt;J803,"OK","NG"),Blank)</f>
        <v>#NAME?</v>
      </c>
      <c r="Q803" s="211" t="e" cm="1">
        <f t="array" ref="Q803">IF(H803&lt;&gt;"Stop",IF(N803&lt;&gt;0,IF(N803&lt;=K803,"OK","NG"),Blank),"-")</f>
        <v>#REF!</v>
      </c>
      <c r="R803" s="326" t="e" cm="1">
        <f t="array" ref="R803">IF(H803&lt;&gt;"Stop",IF(E803&lt;&gt;0,IF(E803&lt;=K803,"OK","NG"),Blank),"-")</f>
        <v>#REF!</v>
      </c>
    </row>
    <row r="804" spans="1:18" ht="15" hidden="1" x14ac:dyDescent="0.3">
      <c r="A804" s="318" t="e">
        <f>#REF!</f>
        <v>#REF!</v>
      </c>
      <c r="B804" s="305" t="e">
        <f>#REF!</f>
        <v>#REF!</v>
      </c>
      <c r="C804" s="305" t="str">
        <f>'Danh sách máy'!C802</f>
        <v>Fact.4</v>
      </c>
      <c r="D804" s="90" t="e">
        <f>#REF!</f>
        <v>#REF!</v>
      </c>
      <c r="E804" s="97">
        <f>'Danh sách máy'!E802</f>
        <v>0</v>
      </c>
      <c r="F804" s="206" t="e">
        <f>#REF!</f>
        <v>#REF!</v>
      </c>
      <c r="G804" s="102" t="e">
        <f>#REF!</f>
        <v>#REF!</v>
      </c>
      <c r="H804" s="102" t="e">
        <f>#REF!</f>
        <v>#REF!</v>
      </c>
      <c r="K804" s="210" t="e">
        <f>#REF!</f>
        <v>#REF!</v>
      </c>
      <c r="L804" s="210">
        <v>45073</v>
      </c>
      <c r="M804" s="210"/>
      <c r="N804" s="210">
        <f>'Danh sách máy'!F802</f>
        <v>0</v>
      </c>
      <c r="O804" s="211" t="str" cm="1">
        <f t="array" ref="O804">IF(L804&lt;&gt;0,IF(L804&lt;I804,"OK","NG"),Blank)</f>
        <v>NG</v>
      </c>
      <c r="P804" s="211" t="e" cm="1">
        <f t="array" ref="P804">IF(M804&lt;&gt;0,IF(M804&lt;J804,"OK","NG"),Blank)</f>
        <v>#NAME?</v>
      </c>
      <c r="Q804" s="211" t="e" cm="1">
        <f t="array" ref="Q804">IF(H804&lt;&gt;"Stop",IF(N804&lt;&gt;0,IF(N804&lt;=K804,"OK","NG"),Blank),"-")</f>
        <v>#REF!</v>
      </c>
      <c r="R804" s="326" t="e" cm="1">
        <f t="array" ref="R804">IF(H804&lt;&gt;"Stop",IF(E804&lt;&gt;0,IF(E804&lt;=K804,"OK","NG"),Blank),"-")</f>
        <v>#REF!</v>
      </c>
    </row>
    <row r="805" spans="1:18" ht="15" hidden="1" x14ac:dyDescent="0.3">
      <c r="A805" s="318" t="e">
        <f>#REF!</f>
        <v>#REF!</v>
      </c>
      <c r="B805" s="305" t="e">
        <f>#REF!</f>
        <v>#REF!</v>
      </c>
      <c r="C805" s="305" t="str">
        <f>'Danh sách máy'!C803</f>
        <v>Fact.4</v>
      </c>
      <c r="D805" s="90" t="e">
        <f>#REF!</f>
        <v>#REF!</v>
      </c>
      <c r="E805" s="97">
        <f>'Danh sách máy'!E803</f>
        <v>0</v>
      </c>
      <c r="F805" s="206" t="e">
        <f>#REF!</f>
        <v>#REF!</v>
      </c>
      <c r="G805" s="102" t="e">
        <f>#REF!</f>
        <v>#REF!</v>
      </c>
      <c r="H805" s="102" t="e">
        <f>#REF!</f>
        <v>#REF!</v>
      </c>
      <c r="K805" s="210" t="e">
        <f>#REF!</f>
        <v>#REF!</v>
      </c>
      <c r="L805" s="210">
        <v>45074</v>
      </c>
      <c r="M805" s="210"/>
      <c r="N805" s="210">
        <f>'Danh sách máy'!F803</f>
        <v>0</v>
      </c>
      <c r="O805" s="211" t="str" cm="1">
        <f t="array" ref="O805">IF(L805&lt;&gt;0,IF(L805&lt;I805,"OK","NG"),Blank)</f>
        <v>NG</v>
      </c>
      <c r="P805" s="211" t="e" cm="1">
        <f t="array" ref="P805">IF(M805&lt;&gt;0,IF(M805&lt;J805,"OK","NG"),Blank)</f>
        <v>#NAME?</v>
      </c>
      <c r="Q805" s="211" t="e" cm="1">
        <f t="array" ref="Q805">IF(H805&lt;&gt;"Stop",IF(N805&lt;&gt;0,IF(N805&lt;=K805,"OK","NG"),Blank),"-")</f>
        <v>#REF!</v>
      </c>
      <c r="R805" s="326" t="e" cm="1">
        <f t="array" ref="R805">IF(H805&lt;&gt;"Stop",IF(E805&lt;&gt;0,IF(E805&lt;=K805,"OK","NG"),Blank),"-")</f>
        <v>#REF!</v>
      </c>
    </row>
    <row r="806" spans="1:18" ht="30" hidden="1" x14ac:dyDescent="0.3">
      <c r="A806" s="318" t="e">
        <f>#REF!</f>
        <v>#REF!</v>
      </c>
      <c r="B806" s="305" t="e">
        <f>#REF!</f>
        <v>#REF!</v>
      </c>
      <c r="C806" s="305" t="str">
        <f>'Danh sách máy'!C804</f>
        <v>Fact.4</v>
      </c>
      <c r="D806" s="90" t="e">
        <f>#REF!</f>
        <v>#REF!</v>
      </c>
      <c r="E806" s="97">
        <f>'Danh sách máy'!E804</f>
        <v>0</v>
      </c>
      <c r="F806" s="206" t="e">
        <f>#REF!</f>
        <v>#REF!</v>
      </c>
      <c r="G806" s="102" t="e">
        <f>#REF!</f>
        <v>#REF!</v>
      </c>
      <c r="H806" s="102" t="e">
        <f>#REF!</f>
        <v>#REF!</v>
      </c>
      <c r="K806" s="210" t="e">
        <f>#REF!</f>
        <v>#REF!</v>
      </c>
      <c r="L806" s="210">
        <v>45075</v>
      </c>
      <c r="M806" s="210"/>
      <c r="N806" s="210">
        <f>'Danh sách máy'!F804</f>
        <v>0</v>
      </c>
      <c r="O806" s="211" t="str" cm="1">
        <f t="array" ref="O806">IF(L806&lt;&gt;0,IF(L806&lt;I806,"OK","NG"),Blank)</f>
        <v>NG</v>
      </c>
      <c r="P806" s="211" t="e" cm="1">
        <f t="array" ref="P806">IF(M806&lt;&gt;0,IF(M806&lt;J806,"OK","NG"),Blank)</f>
        <v>#NAME?</v>
      </c>
      <c r="Q806" s="211" t="e" cm="1">
        <f t="array" ref="Q806">IF(H806&lt;&gt;"Stop",IF(N806&lt;&gt;0,IF(N806&lt;=K806,"OK","NG"),Blank),"-")</f>
        <v>#REF!</v>
      </c>
      <c r="R806" s="326" t="e" cm="1">
        <f t="array" ref="R806">IF(H806&lt;&gt;"Stop",IF(E806&lt;&gt;0,IF(E806&lt;=K806,"OK","NG"),Blank),"-")</f>
        <v>#REF!</v>
      </c>
    </row>
    <row r="807" spans="1:18" ht="30" hidden="1" x14ac:dyDescent="0.3">
      <c r="A807" s="318" t="e">
        <f>#REF!</f>
        <v>#REF!</v>
      </c>
      <c r="B807" s="305" t="e">
        <f>#REF!</f>
        <v>#REF!</v>
      </c>
      <c r="C807" s="305" t="str">
        <f>'Danh sách máy'!C805</f>
        <v>Fact.4</v>
      </c>
      <c r="D807" s="90" t="e">
        <f>#REF!</f>
        <v>#REF!</v>
      </c>
      <c r="E807" s="97">
        <f>'Danh sách máy'!E805</f>
        <v>0</v>
      </c>
      <c r="F807" s="206" t="e">
        <f>#REF!</f>
        <v>#REF!</v>
      </c>
      <c r="G807" s="102" t="e">
        <f>#REF!</f>
        <v>#REF!</v>
      </c>
      <c r="H807" s="102" t="e">
        <f>#REF!</f>
        <v>#REF!</v>
      </c>
      <c r="K807" s="210" t="e">
        <f>#REF!</f>
        <v>#REF!</v>
      </c>
      <c r="L807" s="210">
        <v>45076</v>
      </c>
      <c r="M807" s="210"/>
      <c r="N807" s="210">
        <f>'Danh sách máy'!F805</f>
        <v>0</v>
      </c>
      <c r="O807" s="211" t="str" cm="1">
        <f t="array" ref="O807">IF(L807&lt;&gt;0,IF(L807&lt;I807,"OK","NG"),Blank)</f>
        <v>NG</v>
      </c>
      <c r="P807" s="211" t="e" cm="1">
        <f t="array" ref="P807">IF(M807&lt;&gt;0,IF(M807&lt;J807,"OK","NG"),Blank)</f>
        <v>#NAME?</v>
      </c>
      <c r="Q807" s="211" t="e" cm="1">
        <f t="array" ref="Q807">IF(H807&lt;&gt;"Stop",IF(N807&lt;&gt;0,IF(N807&lt;=K807,"OK","NG"),Blank),"-")</f>
        <v>#REF!</v>
      </c>
      <c r="R807" s="326" t="e" cm="1">
        <f t="array" ref="R807">IF(H807&lt;&gt;"Stop",IF(E807&lt;&gt;0,IF(E807&lt;=K807,"OK","NG"),Blank),"-")</f>
        <v>#REF!</v>
      </c>
    </row>
    <row r="808" spans="1:18" ht="15" hidden="1" x14ac:dyDescent="0.3">
      <c r="A808" s="318" t="e">
        <f>#REF!</f>
        <v>#REF!</v>
      </c>
      <c r="B808" s="305" t="e">
        <f>#REF!</f>
        <v>#REF!</v>
      </c>
      <c r="C808" s="305" t="str">
        <f>'Danh sách máy'!C806</f>
        <v>Fact.4</v>
      </c>
      <c r="D808" s="90" t="e">
        <f>#REF!</f>
        <v>#REF!</v>
      </c>
      <c r="E808" s="97">
        <f>'Danh sách máy'!E806</f>
        <v>0</v>
      </c>
      <c r="F808" s="206" t="e">
        <f>#REF!</f>
        <v>#REF!</v>
      </c>
      <c r="G808" s="102" t="e">
        <f>#REF!</f>
        <v>#REF!</v>
      </c>
      <c r="H808" s="102" t="e">
        <f>#REF!</f>
        <v>#REF!</v>
      </c>
      <c r="K808" s="210" t="e">
        <f>#REF!</f>
        <v>#REF!</v>
      </c>
      <c r="L808" s="210">
        <v>45077</v>
      </c>
      <c r="M808" s="210"/>
      <c r="N808" s="210">
        <f>'Danh sách máy'!F806</f>
        <v>0</v>
      </c>
      <c r="O808" s="211" t="str" cm="1">
        <f t="array" ref="O808">IF(L808&lt;&gt;0,IF(L808&lt;I808,"OK","NG"),Blank)</f>
        <v>NG</v>
      </c>
      <c r="P808" s="211" t="e" cm="1">
        <f t="array" ref="P808">IF(M808&lt;&gt;0,IF(M808&lt;J808,"OK","NG"),Blank)</f>
        <v>#NAME?</v>
      </c>
      <c r="Q808" s="211" t="e" cm="1">
        <f t="array" ref="Q808">IF(H808&lt;&gt;"Stop",IF(N808&lt;&gt;0,IF(N808&lt;=K808,"OK","NG"),Blank),"-")</f>
        <v>#REF!</v>
      </c>
      <c r="R808" s="326" t="e" cm="1">
        <f t="array" ref="R808">IF(H808&lt;&gt;"Stop",IF(E808&lt;&gt;0,IF(E808&lt;=K808,"OK","NG"),Blank),"-")</f>
        <v>#REF!</v>
      </c>
    </row>
    <row r="809" spans="1:18" ht="15" hidden="1" x14ac:dyDescent="0.3">
      <c r="A809" s="318" t="e">
        <f>#REF!</f>
        <v>#REF!</v>
      </c>
      <c r="B809" s="305" t="e">
        <f>#REF!</f>
        <v>#REF!</v>
      </c>
      <c r="C809" s="305" t="str">
        <f>'Danh sách máy'!C807</f>
        <v>Fact.4</v>
      </c>
      <c r="D809" s="90" t="e">
        <f>#REF!</f>
        <v>#REF!</v>
      </c>
      <c r="E809" s="97">
        <f>'Danh sách máy'!E807</f>
        <v>0</v>
      </c>
      <c r="F809" s="206" t="e">
        <f>#REF!</f>
        <v>#REF!</v>
      </c>
      <c r="G809" s="102" t="e">
        <f>#REF!</f>
        <v>#REF!</v>
      </c>
      <c r="H809" s="102" t="e">
        <f>#REF!</f>
        <v>#REF!</v>
      </c>
      <c r="K809" s="210" t="e">
        <f>#REF!</f>
        <v>#REF!</v>
      </c>
      <c r="L809" s="210">
        <v>45078</v>
      </c>
      <c r="M809" s="210"/>
      <c r="N809" s="210">
        <f>'Danh sách máy'!F807</f>
        <v>0</v>
      </c>
      <c r="O809" s="211" t="str" cm="1">
        <f t="array" ref="O809">IF(L809&lt;&gt;0,IF(L809&lt;I809,"OK","NG"),Blank)</f>
        <v>NG</v>
      </c>
      <c r="P809" s="211" t="e" cm="1">
        <f t="array" ref="P809">IF(M809&lt;&gt;0,IF(M809&lt;J809,"OK","NG"),Blank)</f>
        <v>#NAME?</v>
      </c>
      <c r="Q809" s="211" t="e" cm="1">
        <f t="array" ref="Q809">IF(H809&lt;&gt;"Stop",IF(N809&lt;&gt;0,IF(N809&lt;=K809,"OK","NG"),Blank),"-")</f>
        <v>#REF!</v>
      </c>
      <c r="R809" s="326" t="e" cm="1">
        <f t="array" ref="R809">IF(H809&lt;&gt;"Stop",IF(E809&lt;&gt;0,IF(E809&lt;=K809,"OK","NG"),Blank),"-")</f>
        <v>#REF!</v>
      </c>
    </row>
    <row r="810" spans="1:18" ht="15" hidden="1" x14ac:dyDescent="0.3">
      <c r="A810" s="318" t="e">
        <f>#REF!</f>
        <v>#REF!</v>
      </c>
      <c r="B810" s="305" t="e">
        <f>#REF!</f>
        <v>#REF!</v>
      </c>
      <c r="C810" s="305" t="str">
        <f>'Danh sách máy'!C808</f>
        <v>Fact.4</v>
      </c>
      <c r="D810" s="90" t="e">
        <f>#REF!</f>
        <v>#REF!</v>
      </c>
      <c r="E810" s="97">
        <f>'Danh sách máy'!E808</f>
        <v>46185</v>
      </c>
      <c r="F810" s="206" t="e">
        <f>#REF!</f>
        <v>#REF!</v>
      </c>
      <c r="G810" s="102" t="e">
        <f>#REF!</f>
        <v>#REF!</v>
      </c>
      <c r="H810" s="102" t="e">
        <f>#REF!</f>
        <v>#REF!</v>
      </c>
      <c r="K810" s="210" t="e">
        <f>#REF!</f>
        <v>#REF!</v>
      </c>
      <c r="L810" s="210">
        <v>45079</v>
      </c>
      <c r="M810" s="210"/>
      <c r="N810" s="210">
        <f>'Danh sách máy'!F808</f>
        <v>46191</v>
      </c>
      <c r="O810" s="211" t="str" cm="1">
        <f t="array" ref="O810">IF(L810&lt;&gt;0,IF(L810&lt;I810,"OK","NG"),Blank)</f>
        <v>NG</v>
      </c>
      <c r="P810" s="211" t="e" cm="1">
        <f t="array" ref="P810">IF(M810&lt;&gt;0,IF(M810&lt;J810,"OK","NG"),Blank)</f>
        <v>#NAME?</v>
      </c>
      <c r="Q810" s="211" t="e" cm="1">
        <f t="array" ref="Q810">IF(H810&lt;&gt;"Stop",IF(N810&lt;&gt;0,IF(N810&lt;=K810,"OK","NG"),Blank),"-")</f>
        <v>#REF!</v>
      </c>
      <c r="R810" s="326" t="e" cm="1">
        <f t="array" ref="R810">IF(H810&lt;&gt;"Stop",IF(E810&lt;&gt;0,IF(E810&lt;=K810,"OK","NG"),Blank),"-")</f>
        <v>#REF!</v>
      </c>
    </row>
    <row r="811" spans="1:18" ht="15" hidden="1" x14ac:dyDescent="0.3">
      <c r="A811" s="318" t="e">
        <f>#REF!</f>
        <v>#REF!</v>
      </c>
      <c r="B811" s="305" t="e">
        <f>#REF!</f>
        <v>#REF!</v>
      </c>
      <c r="C811" s="305" t="str">
        <f>'Danh sách máy'!C809</f>
        <v>Fact.4</v>
      </c>
      <c r="D811" s="90" t="e">
        <f>#REF!</f>
        <v>#REF!</v>
      </c>
      <c r="E811" s="97">
        <f>'Danh sách máy'!E809</f>
        <v>46185</v>
      </c>
      <c r="F811" s="206" t="e">
        <f>#REF!</f>
        <v>#REF!</v>
      </c>
      <c r="G811" s="102" t="e">
        <f>#REF!</f>
        <v>#REF!</v>
      </c>
      <c r="H811" s="102" t="e">
        <f>#REF!</f>
        <v>#REF!</v>
      </c>
      <c r="K811" s="210" t="e">
        <f>#REF!</f>
        <v>#REF!</v>
      </c>
      <c r="L811" s="210">
        <v>45080</v>
      </c>
      <c r="M811" s="210"/>
      <c r="N811" s="210">
        <f>'Danh sách máy'!F809</f>
        <v>46191</v>
      </c>
      <c r="O811" s="211" t="str" cm="1">
        <f t="array" ref="O811">IF(L811&lt;&gt;0,IF(L811&lt;I811,"OK","NG"),Blank)</f>
        <v>NG</v>
      </c>
      <c r="P811" s="211" t="e" cm="1">
        <f t="array" ref="P811">IF(M811&lt;&gt;0,IF(M811&lt;J811,"OK","NG"),Blank)</f>
        <v>#NAME?</v>
      </c>
      <c r="Q811" s="211" t="e" cm="1">
        <f t="array" ref="Q811">IF(H811&lt;&gt;"Stop",IF(N811&lt;&gt;0,IF(N811&lt;=K811,"OK","NG"),Blank),"-")</f>
        <v>#REF!</v>
      </c>
      <c r="R811" s="326" t="e" cm="1">
        <f t="array" ref="R811">IF(H811&lt;&gt;"Stop",IF(E811&lt;&gt;0,IF(E811&lt;=K811,"OK","NG"),Blank),"-")</f>
        <v>#REF!</v>
      </c>
    </row>
    <row r="812" spans="1:18" ht="15" hidden="1" x14ac:dyDescent="0.3">
      <c r="A812" s="318" t="e">
        <f>#REF!</f>
        <v>#REF!</v>
      </c>
      <c r="B812" s="305" t="e">
        <f>#REF!</f>
        <v>#REF!</v>
      </c>
      <c r="C812" s="305" t="str">
        <f>'Danh sách máy'!C810</f>
        <v>Fact.4</v>
      </c>
      <c r="D812" s="90" t="e">
        <f>#REF!</f>
        <v>#REF!</v>
      </c>
      <c r="E812" s="97">
        <f>'Danh sách máy'!E810</f>
        <v>0</v>
      </c>
      <c r="F812" s="206" t="e">
        <f>#REF!</f>
        <v>#REF!</v>
      </c>
      <c r="G812" s="102" t="e">
        <f>#REF!</f>
        <v>#REF!</v>
      </c>
      <c r="H812" s="102" t="e">
        <f>#REF!</f>
        <v>#REF!</v>
      </c>
      <c r="K812" s="210" t="e">
        <f>#REF!</f>
        <v>#REF!</v>
      </c>
      <c r="L812" s="210">
        <v>45081</v>
      </c>
      <c r="M812" s="210"/>
      <c r="N812" s="210">
        <f>'Danh sách máy'!F810</f>
        <v>0</v>
      </c>
      <c r="O812" s="211" t="str" cm="1">
        <f t="array" ref="O812">IF(L812&lt;&gt;0,IF(L812&lt;I812,"OK","NG"),Blank)</f>
        <v>NG</v>
      </c>
      <c r="P812" s="211" t="e" cm="1">
        <f t="array" ref="P812">IF(M812&lt;&gt;0,IF(M812&lt;J812,"OK","NG"),Blank)</f>
        <v>#NAME?</v>
      </c>
      <c r="Q812" s="211" t="e" cm="1">
        <f t="array" ref="Q812">IF(H812&lt;&gt;"Stop",IF(N812&lt;&gt;0,IF(N812&lt;=K812,"OK","NG"),Blank),"-")</f>
        <v>#REF!</v>
      </c>
      <c r="R812" s="326" t="e" cm="1">
        <f t="array" ref="R812">IF(H812&lt;&gt;"Stop",IF(E812&lt;&gt;0,IF(E812&lt;=K812,"OK","NG"),Blank),"-")</f>
        <v>#REF!</v>
      </c>
    </row>
    <row r="813" spans="1:18" ht="30" hidden="1" x14ac:dyDescent="0.3">
      <c r="A813" s="318" t="e">
        <f>#REF!</f>
        <v>#REF!</v>
      </c>
      <c r="B813" s="305" t="e">
        <f>#REF!</f>
        <v>#REF!</v>
      </c>
      <c r="C813" s="305" t="str">
        <f>'Danh sách máy'!C811</f>
        <v>Fact.4</v>
      </c>
      <c r="D813" s="90" t="e">
        <f>#REF!</f>
        <v>#REF!</v>
      </c>
      <c r="E813" s="97">
        <f>'Danh sách máy'!E811</f>
        <v>0</v>
      </c>
      <c r="F813" s="206" t="e">
        <f>#REF!</f>
        <v>#REF!</v>
      </c>
      <c r="G813" s="102" t="e">
        <f>#REF!</f>
        <v>#REF!</v>
      </c>
      <c r="H813" s="102" t="e">
        <f>#REF!</f>
        <v>#REF!</v>
      </c>
      <c r="K813" s="210" t="e">
        <f>#REF!</f>
        <v>#REF!</v>
      </c>
      <c r="L813" s="210">
        <v>45082</v>
      </c>
      <c r="M813" s="210"/>
      <c r="N813" s="210">
        <f>'Danh sách máy'!F811</f>
        <v>0</v>
      </c>
      <c r="O813" s="211" t="str" cm="1">
        <f t="array" ref="O813">IF(L813&lt;&gt;0,IF(L813&lt;I813,"OK","NG"),Blank)</f>
        <v>NG</v>
      </c>
      <c r="P813" s="211" t="e" cm="1">
        <f t="array" ref="P813">IF(M813&lt;&gt;0,IF(M813&lt;J813,"OK","NG"),Blank)</f>
        <v>#NAME?</v>
      </c>
      <c r="Q813" s="211" t="e" cm="1">
        <f t="array" ref="Q813">IF(H813&lt;&gt;"Stop",IF(N813&lt;&gt;0,IF(N813&lt;=K813,"OK","NG"),Blank),"-")</f>
        <v>#REF!</v>
      </c>
      <c r="R813" s="326" t="e" cm="1">
        <f t="array" ref="R813">IF(H813&lt;&gt;"Stop",IF(E813&lt;&gt;0,IF(E813&lt;=K813,"OK","NG"),Blank),"-")</f>
        <v>#REF!</v>
      </c>
    </row>
    <row r="814" spans="1:18" ht="15" hidden="1" x14ac:dyDescent="0.3">
      <c r="A814" s="318" t="e">
        <f>#REF!</f>
        <v>#REF!</v>
      </c>
      <c r="B814" s="305" t="e">
        <f>#REF!</f>
        <v>#REF!</v>
      </c>
      <c r="C814" s="305" t="str">
        <f>'Danh sách máy'!C812</f>
        <v>Fact.4</v>
      </c>
      <c r="D814" s="90" t="e">
        <f>#REF!</f>
        <v>#REF!</v>
      </c>
      <c r="E814" s="97">
        <f>'Danh sách máy'!E812</f>
        <v>46188</v>
      </c>
      <c r="F814" s="206" t="e">
        <f>#REF!</f>
        <v>#REF!</v>
      </c>
      <c r="G814" s="102" t="e">
        <f>#REF!</f>
        <v>#REF!</v>
      </c>
      <c r="H814" s="102" t="e">
        <f>#REF!</f>
        <v>#REF!</v>
      </c>
      <c r="K814" s="210" t="e">
        <f>#REF!</f>
        <v>#REF!</v>
      </c>
      <c r="L814" s="210">
        <v>45083</v>
      </c>
      <c r="M814" s="210"/>
      <c r="N814" s="210">
        <f>'Danh sách máy'!F812</f>
        <v>46188</v>
      </c>
      <c r="O814" s="211" t="str" cm="1">
        <f t="array" ref="O814">IF(L814&lt;&gt;0,IF(L814&lt;I814,"OK","NG"),Blank)</f>
        <v>NG</v>
      </c>
      <c r="P814" s="211" t="e" cm="1">
        <f t="array" ref="P814">IF(M814&lt;&gt;0,IF(M814&lt;J814,"OK","NG"),Blank)</f>
        <v>#NAME?</v>
      </c>
      <c r="Q814" s="211" t="e" cm="1">
        <f t="array" ref="Q814">IF(H814&lt;&gt;"Stop",IF(N814&lt;&gt;0,IF(N814&lt;=K814,"OK","NG"),Blank),"-")</f>
        <v>#REF!</v>
      </c>
      <c r="R814" s="326" t="e" cm="1">
        <f t="array" ref="R814">IF(H814&lt;&gt;"Stop",IF(E814&lt;&gt;0,IF(E814&lt;=K814,"OK","NG"),Blank),"-")</f>
        <v>#REF!</v>
      </c>
    </row>
    <row r="815" spans="1:18" ht="30" hidden="1" x14ac:dyDescent="0.3">
      <c r="A815" s="318" t="e">
        <f>#REF!</f>
        <v>#REF!</v>
      </c>
      <c r="B815" s="305" t="e">
        <f>#REF!</f>
        <v>#REF!</v>
      </c>
      <c r="C815" s="305" t="str">
        <f>'Danh sách máy'!C813</f>
        <v>Fact.4</v>
      </c>
      <c r="D815" s="90" t="e">
        <f>#REF!</f>
        <v>#REF!</v>
      </c>
      <c r="E815" s="97">
        <f>'Danh sách máy'!E813</f>
        <v>46188</v>
      </c>
      <c r="F815" s="206" t="e">
        <f>#REF!</f>
        <v>#REF!</v>
      </c>
      <c r="G815" s="102" t="e">
        <f>#REF!</f>
        <v>#REF!</v>
      </c>
      <c r="H815" s="102" t="e">
        <f>#REF!</f>
        <v>#REF!</v>
      </c>
      <c r="K815" s="210" t="e">
        <f>#REF!</f>
        <v>#REF!</v>
      </c>
      <c r="L815" s="210">
        <v>45084</v>
      </c>
      <c r="M815" s="210"/>
      <c r="N815" s="210">
        <f>'Danh sách máy'!F813</f>
        <v>46188</v>
      </c>
      <c r="O815" s="211" t="str" cm="1">
        <f t="array" ref="O815">IF(L815&lt;&gt;0,IF(L815&lt;I815,"OK","NG"),Blank)</f>
        <v>NG</v>
      </c>
      <c r="P815" s="211" t="e" cm="1">
        <f t="array" ref="P815">IF(M815&lt;&gt;0,IF(M815&lt;J815,"OK","NG"),Blank)</f>
        <v>#NAME?</v>
      </c>
      <c r="Q815" s="211" t="e" cm="1">
        <f t="array" ref="Q815">IF(H815&lt;&gt;"Stop",IF(N815&lt;&gt;0,IF(N815&lt;=K815,"OK","NG"),Blank),"-")</f>
        <v>#REF!</v>
      </c>
      <c r="R815" s="326" t="e" cm="1">
        <f t="array" ref="R815">IF(H815&lt;&gt;"Stop",IF(E815&lt;&gt;0,IF(E815&lt;=K815,"OK","NG"),Blank),"-")</f>
        <v>#REF!</v>
      </c>
    </row>
    <row r="816" spans="1:18" ht="30" hidden="1" x14ac:dyDescent="0.3">
      <c r="A816" s="318" t="e">
        <f>#REF!</f>
        <v>#REF!</v>
      </c>
      <c r="B816" s="305" t="e">
        <f>#REF!</f>
        <v>#REF!</v>
      </c>
      <c r="C816" s="305" t="str">
        <f>'Danh sách máy'!C814</f>
        <v>Fact.4</v>
      </c>
      <c r="D816" s="90" t="e">
        <f>#REF!</f>
        <v>#REF!</v>
      </c>
      <c r="E816" s="97">
        <f>'Danh sách máy'!E814</f>
        <v>46188</v>
      </c>
      <c r="F816" s="206" t="e">
        <f>#REF!</f>
        <v>#REF!</v>
      </c>
      <c r="G816" s="102" t="e">
        <f>#REF!</f>
        <v>#REF!</v>
      </c>
      <c r="H816" s="102" t="e">
        <f>#REF!</f>
        <v>#REF!</v>
      </c>
      <c r="K816" s="210" t="e">
        <f>#REF!</f>
        <v>#REF!</v>
      </c>
      <c r="L816" s="210">
        <v>45085</v>
      </c>
      <c r="M816" s="210"/>
      <c r="N816" s="210">
        <f>'Danh sách máy'!F814</f>
        <v>46188</v>
      </c>
      <c r="O816" s="211" t="str" cm="1">
        <f t="array" ref="O816">IF(L816&lt;&gt;0,IF(L816&lt;I816,"OK","NG"),Blank)</f>
        <v>NG</v>
      </c>
      <c r="P816" s="211" t="e" cm="1">
        <f t="array" ref="P816">IF(M816&lt;&gt;0,IF(M816&lt;J816,"OK","NG"),Blank)</f>
        <v>#NAME?</v>
      </c>
      <c r="Q816" s="211" t="e" cm="1">
        <f t="array" ref="Q816">IF(H816&lt;&gt;"Stop",IF(N816&lt;&gt;0,IF(N816&lt;=K816,"OK","NG"),Blank),"-")</f>
        <v>#REF!</v>
      </c>
      <c r="R816" s="326" t="e" cm="1">
        <f t="array" ref="R816">IF(H816&lt;&gt;"Stop",IF(E816&lt;&gt;0,IF(E816&lt;=K816,"OK","NG"),Blank),"-")</f>
        <v>#REF!</v>
      </c>
    </row>
    <row r="817" spans="1:18" ht="30" hidden="1" x14ac:dyDescent="0.3">
      <c r="A817" s="318" t="e">
        <f>#REF!</f>
        <v>#REF!</v>
      </c>
      <c r="B817" s="305" t="e">
        <f>#REF!</f>
        <v>#REF!</v>
      </c>
      <c r="C817" s="305" t="str">
        <f>'Danh sách máy'!C815</f>
        <v>Fact.4</v>
      </c>
      <c r="D817" s="90" t="e">
        <f>#REF!</f>
        <v>#REF!</v>
      </c>
      <c r="E817" s="97">
        <f>'Danh sách máy'!E815</f>
        <v>46188</v>
      </c>
      <c r="F817" s="206" t="e">
        <f>#REF!</f>
        <v>#REF!</v>
      </c>
      <c r="G817" s="102" t="e">
        <f>#REF!</f>
        <v>#REF!</v>
      </c>
      <c r="H817" s="102" t="e">
        <f>#REF!</f>
        <v>#REF!</v>
      </c>
      <c r="K817" s="210" t="e">
        <f>#REF!</f>
        <v>#REF!</v>
      </c>
      <c r="L817" s="210">
        <v>45086</v>
      </c>
      <c r="M817" s="210"/>
      <c r="N817" s="210">
        <f>'Danh sách máy'!F815</f>
        <v>46188</v>
      </c>
      <c r="O817" s="211" t="str" cm="1">
        <f t="array" ref="O817">IF(L817&lt;&gt;0,IF(L817&lt;I817,"OK","NG"),Blank)</f>
        <v>NG</v>
      </c>
      <c r="P817" s="211" t="e" cm="1">
        <f t="array" ref="P817">IF(M817&lt;&gt;0,IF(M817&lt;J817,"OK","NG"),Blank)</f>
        <v>#NAME?</v>
      </c>
      <c r="Q817" s="211" t="e" cm="1">
        <f t="array" ref="Q817">IF(H817&lt;&gt;"Stop",IF(N817&lt;&gt;0,IF(N817&lt;=K817,"OK","NG"),Blank),"-")</f>
        <v>#REF!</v>
      </c>
      <c r="R817" s="326" t="e" cm="1">
        <f t="array" ref="R817">IF(H817&lt;&gt;"Stop",IF(E817&lt;&gt;0,IF(E817&lt;=K817,"OK","NG"),Blank),"-")</f>
        <v>#REF!</v>
      </c>
    </row>
    <row r="818" spans="1:18" ht="15" hidden="1" x14ac:dyDescent="0.3">
      <c r="A818" s="318" t="e">
        <f>#REF!</f>
        <v>#REF!</v>
      </c>
      <c r="B818" s="305" t="e">
        <f>#REF!</f>
        <v>#REF!</v>
      </c>
      <c r="C818" s="305" t="str">
        <f>'Danh sách máy'!C816</f>
        <v>Fact.4</v>
      </c>
      <c r="D818" s="90" t="e">
        <f>#REF!</f>
        <v>#REF!</v>
      </c>
      <c r="E818" s="97">
        <f>'Danh sách máy'!E816</f>
        <v>46188</v>
      </c>
      <c r="F818" s="206" t="e">
        <f>#REF!</f>
        <v>#REF!</v>
      </c>
      <c r="G818" s="102" t="e">
        <f>#REF!</f>
        <v>#REF!</v>
      </c>
      <c r="H818" s="102" t="e">
        <f>#REF!</f>
        <v>#REF!</v>
      </c>
      <c r="K818" s="210" t="e">
        <f>#REF!</f>
        <v>#REF!</v>
      </c>
      <c r="L818" s="210">
        <v>45087</v>
      </c>
      <c r="M818" s="210"/>
      <c r="N818" s="210">
        <f>'Danh sách máy'!F816</f>
        <v>46188</v>
      </c>
      <c r="O818" s="211" t="str" cm="1">
        <f t="array" ref="O818">IF(L818&lt;&gt;0,IF(L818&lt;I818,"OK","NG"),Blank)</f>
        <v>NG</v>
      </c>
      <c r="P818" s="211" t="e" cm="1">
        <f t="array" ref="P818">IF(M818&lt;&gt;0,IF(M818&lt;J818,"OK","NG"),Blank)</f>
        <v>#NAME?</v>
      </c>
      <c r="Q818" s="211" t="e" cm="1">
        <f t="array" ref="Q818">IF(H818&lt;&gt;"Stop",IF(N818&lt;&gt;0,IF(N818&lt;=K818,"OK","NG"),Blank),"-")</f>
        <v>#REF!</v>
      </c>
      <c r="R818" s="326" t="e" cm="1">
        <f t="array" ref="R818">IF(H818&lt;&gt;"Stop",IF(E818&lt;&gt;0,IF(E818&lt;=K818,"OK","NG"),Blank),"-")</f>
        <v>#REF!</v>
      </c>
    </row>
    <row r="819" spans="1:18" ht="15" hidden="1" x14ac:dyDescent="0.3">
      <c r="A819" s="318" t="e">
        <f>#REF!</f>
        <v>#REF!</v>
      </c>
      <c r="B819" s="305" t="e">
        <f>#REF!</f>
        <v>#REF!</v>
      </c>
      <c r="C819" s="305" t="str">
        <f>'Danh sách máy'!C817</f>
        <v>Fact.4</v>
      </c>
      <c r="D819" s="90" t="e">
        <f>#REF!</f>
        <v>#REF!</v>
      </c>
      <c r="E819" s="97" t="str">
        <f>'Danh sách máy'!E817</f>
        <v>STI</v>
      </c>
      <c r="F819" s="206" t="e">
        <f>#REF!</f>
        <v>#REF!</v>
      </c>
      <c r="G819" s="102" t="e">
        <f>#REF!</f>
        <v>#REF!</v>
      </c>
      <c r="H819" s="102" t="e">
        <f>#REF!</f>
        <v>#REF!</v>
      </c>
      <c r="K819" s="210" t="e">
        <f>#REF!</f>
        <v>#REF!</v>
      </c>
      <c r="L819" s="210">
        <v>45088</v>
      </c>
      <c r="M819" s="210"/>
      <c r="N819" s="210">
        <f>'Danh sách máy'!F817</f>
        <v>46188</v>
      </c>
      <c r="O819" s="211" t="str" cm="1">
        <f t="array" ref="O819">IF(L819&lt;&gt;0,IF(L819&lt;I819,"OK","NG"),Blank)</f>
        <v>NG</v>
      </c>
      <c r="P819" s="211" t="e" cm="1">
        <f t="array" ref="P819">IF(M819&lt;&gt;0,IF(M819&lt;J819,"OK","NG"),Blank)</f>
        <v>#NAME?</v>
      </c>
      <c r="Q819" s="211" t="e" cm="1">
        <f t="array" ref="Q819">IF(H819&lt;&gt;"Stop",IF(N819&lt;&gt;0,IF(N819&lt;=K819,"OK","NG"),Blank),"-")</f>
        <v>#REF!</v>
      </c>
      <c r="R819" s="326" t="e" cm="1">
        <f t="array" ref="R819">IF(H819&lt;&gt;"Stop",IF(E819&lt;&gt;0,IF(E819&lt;=K819,"OK","NG"),Blank),"-")</f>
        <v>#REF!</v>
      </c>
    </row>
    <row r="820" spans="1:18" ht="30" hidden="1" x14ac:dyDescent="0.3">
      <c r="A820" s="318" t="e">
        <f>#REF!</f>
        <v>#REF!</v>
      </c>
      <c r="B820" s="305" t="e">
        <f>#REF!</f>
        <v>#REF!</v>
      </c>
      <c r="C820" s="305" t="str">
        <f>'Danh sách máy'!C818</f>
        <v>Fact.4</v>
      </c>
      <c r="D820" s="90" t="e">
        <f>#REF!</f>
        <v>#REF!</v>
      </c>
      <c r="E820" s="97">
        <f>'Danh sách máy'!E818</f>
        <v>0</v>
      </c>
      <c r="F820" s="206" t="e">
        <f>#REF!</f>
        <v>#REF!</v>
      </c>
      <c r="G820" s="102" t="e">
        <f>#REF!</f>
        <v>#REF!</v>
      </c>
      <c r="H820" s="102" t="e">
        <f>#REF!</f>
        <v>#REF!</v>
      </c>
      <c r="K820" s="210" t="e">
        <f>#REF!</f>
        <v>#REF!</v>
      </c>
      <c r="L820" s="210">
        <v>45089</v>
      </c>
      <c r="M820" s="210"/>
      <c r="N820" s="210">
        <f>'Danh sách máy'!F818</f>
        <v>0</v>
      </c>
      <c r="O820" s="211" t="str" cm="1">
        <f t="array" ref="O820">IF(L820&lt;&gt;0,IF(L820&lt;I820,"OK","NG"),Blank)</f>
        <v>NG</v>
      </c>
      <c r="P820" s="211" t="e" cm="1">
        <f t="array" ref="P820">IF(M820&lt;&gt;0,IF(M820&lt;J820,"OK","NG"),Blank)</f>
        <v>#NAME?</v>
      </c>
      <c r="Q820" s="211" t="e" cm="1">
        <f t="array" ref="Q820">IF(H820&lt;&gt;"Stop",IF(N820&lt;&gt;0,IF(N820&lt;=K820,"OK","NG"),Blank),"-")</f>
        <v>#REF!</v>
      </c>
      <c r="R820" s="326" t="e" cm="1">
        <f t="array" ref="R820">IF(H820&lt;&gt;"Stop",IF(E820&lt;&gt;0,IF(E820&lt;=K820,"OK","NG"),Blank),"-")</f>
        <v>#REF!</v>
      </c>
    </row>
    <row r="821" spans="1:18" ht="15" hidden="1" x14ac:dyDescent="0.3">
      <c r="A821" s="318" t="e">
        <f>#REF!</f>
        <v>#REF!</v>
      </c>
      <c r="B821" s="305" t="e">
        <f>#REF!</f>
        <v>#REF!</v>
      </c>
      <c r="C821" s="305" t="str">
        <f>'Danh sách máy'!C819</f>
        <v>Fact.4</v>
      </c>
      <c r="D821" s="90" t="e">
        <f>#REF!</f>
        <v>#REF!</v>
      </c>
      <c r="E821" s="97">
        <f>'Danh sách máy'!E819</f>
        <v>46171</v>
      </c>
      <c r="F821" s="206" t="e">
        <f>#REF!</f>
        <v>#REF!</v>
      </c>
      <c r="G821" s="102" t="e">
        <f>#REF!</f>
        <v>#REF!</v>
      </c>
      <c r="H821" s="102" t="e">
        <f>#REF!</f>
        <v>#REF!</v>
      </c>
      <c r="K821" s="210" t="e">
        <f>#REF!</f>
        <v>#REF!</v>
      </c>
      <c r="L821" s="210">
        <v>45090</v>
      </c>
      <c r="M821" s="210"/>
      <c r="N821" s="210">
        <f>'Danh sách máy'!F819</f>
        <v>46171</v>
      </c>
      <c r="O821" s="211" t="str" cm="1">
        <f t="array" ref="O821">IF(L821&lt;&gt;0,IF(L821&lt;I821,"OK","NG"),Blank)</f>
        <v>NG</v>
      </c>
      <c r="P821" s="211" t="e" cm="1">
        <f t="array" ref="P821">IF(M821&lt;&gt;0,IF(M821&lt;J821,"OK","NG"),Blank)</f>
        <v>#NAME?</v>
      </c>
      <c r="Q821" s="211" t="e" cm="1">
        <f t="array" ref="Q821">IF(H821&lt;&gt;"Stop",IF(N821&lt;&gt;0,IF(N821&lt;=K821,"OK","NG"),Blank),"-")</f>
        <v>#REF!</v>
      </c>
      <c r="R821" s="326" t="e" cm="1">
        <f t="array" ref="R821">IF(H821&lt;&gt;"Stop",IF(E821&lt;&gt;0,IF(E821&lt;=K821,"OK","NG"),Blank),"-")</f>
        <v>#REF!</v>
      </c>
    </row>
    <row r="822" spans="1:18" ht="30" hidden="1" x14ac:dyDescent="0.3">
      <c r="A822" s="318" t="e">
        <f>#REF!</f>
        <v>#REF!</v>
      </c>
      <c r="B822" s="305" t="e">
        <f>#REF!</f>
        <v>#REF!</v>
      </c>
      <c r="C822" s="305" t="str">
        <f>'Danh sách máy'!C820</f>
        <v>Fact.4</v>
      </c>
      <c r="D822" s="90" t="e">
        <f>#REF!</f>
        <v>#REF!</v>
      </c>
      <c r="E822" s="97">
        <f>'Danh sách máy'!E820</f>
        <v>0</v>
      </c>
      <c r="F822" s="206" t="e">
        <f>#REF!</f>
        <v>#REF!</v>
      </c>
      <c r="G822" s="102" t="e">
        <f>#REF!</f>
        <v>#REF!</v>
      </c>
      <c r="H822" s="102" t="e">
        <f>#REF!</f>
        <v>#REF!</v>
      </c>
      <c r="K822" s="210" t="e">
        <f>#REF!</f>
        <v>#REF!</v>
      </c>
      <c r="L822" s="210">
        <v>45091</v>
      </c>
      <c r="M822" s="210"/>
      <c r="N822" s="210">
        <f>'Danh sách máy'!F820</f>
        <v>46191</v>
      </c>
      <c r="O822" s="211" t="str" cm="1">
        <f t="array" ref="O822">IF(L822&lt;&gt;0,IF(L822&lt;I822,"OK","NG"),Blank)</f>
        <v>NG</v>
      </c>
      <c r="P822" s="211" t="e" cm="1">
        <f t="array" ref="P822">IF(M822&lt;&gt;0,IF(M822&lt;J822,"OK","NG"),Blank)</f>
        <v>#NAME?</v>
      </c>
      <c r="Q822" s="211" t="e" cm="1">
        <f t="array" ref="Q822">IF(H822&lt;&gt;"Stop",IF(N822&lt;&gt;0,IF(N822&lt;=K822,"OK","NG"),Blank),"-")</f>
        <v>#REF!</v>
      </c>
      <c r="R822" s="326" t="e" cm="1">
        <f t="array" ref="R822">IF(H822&lt;&gt;"Stop",IF(E822&lt;&gt;0,IF(E822&lt;=K822,"OK","NG"),Blank),"-")</f>
        <v>#REF!</v>
      </c>
    </row>
    <row r="823" spans="1:18" ht="30" hidden="1" x14ac:dyDescent="0.3">
      <c r="A823" s="318" t="e">
        <f>#REF!</f>
        <v>#REF!</v>
      </c>
      <c r="B823" s="305" t="e">
        <f>#REF!</f>
        <v>#REF!</v>
      </c>
      <c r="C823" s="305" t="str">
        <f>'Danh sách máy'!C821</f>
        <v>Fact.4</v>
      </c>
      <c r="D823" s="90" t="e">
        <f>#REF!</f>
        <v>#REF!</v>
      </c>
      <c r="E823" s="97">
        <f>'Danh sách máy'!E821</f>
        <v>0</v>
      </c>
      <c r="F823" s="206" t="e">
        <f>#REF!</f>
        <v>#REF!</v>
      </c>
      <c r="G823" s="102" t="e">
        <f>#REF!</f>
        <v>#REF!</v>
      </c>
      <c r="H823" s="102" t="e">
        <f>#REF!</f>
        <v>#REF!</v>
      </c>
      <c r="K823" s="210" t="e">
        <f>#REF!</f>
        <v>#REF!</v>
      </c>
      <c r="L823" s="210">
        <v>45092</v>
      </c>
      <c r="M823" s="210"/>
      <c r="N823" s="210">
        <f>'Danh sách máy'!F821</f>
        <v>0</v>
      </c>
      <c r="O823" s="211" t="str" cm="1">
        <f t="array" ref="O823">IF(L823&lt;&gt;0,IF(L823&lt;I823,"OK","NG"),Blank)</f>
        <v>NG</v>
      </c>
      <c r="P823" s="211" t="e" cm="1">
        <f t="array" ref="P823">IF(M823&lt;&gt;0,IF(M823&lt;J823,"OK","NG"),Blank)</f>
        <v>#NAME?</v>
      </c>
      <c r="Q823" s="211" t="e" cm="1">
        <f t="array" ref="Q823">IF(H823&lt;&gt;"Stop",IF(N823&lt;&gt;0,IF(N823&lt;=K823,"OK","NG"),Blank),"-")</f>
        <v>#REF!</v>
      </c>
      <c r="R823" s="326" t="e" cm="1">
        <f t="array" ref="R823">IF(H823&lt;&gt;"Stop",IF(E823&lt;&gt;0,IF(E823&lt;=K823,"OK","NG"),Blank),"-")</f>
        <v>#REF!</v>
      </c>
    </row>
    <row r="824" spans="1:18" ht="30" hidden="1" x14ac:dyDescent="0.3">
      <c r="A824" s="318" t="e">
        <f>#REF!</f>
        <v>#REF!</v>
      </c>
      <c r="B824" s="305" t="e">
        <f>#REF!</f>
        <v>#REF!</v>
      </c>
      <c r="C824" s="305" t="str">
        <f>'Danh sách máy'!C822</f>
        <v>Fact.4</v>
      </c>
      <c r="D824" s="90" t="e">
        <f>#REF!</f>
        <v>#REF!</v>
      </c>
      <c r="E824" s="97">
        <f>'Danh sách máy'!E822</f>
        <v>0</v>
      </c>
      <c r="F824" s="206" t="e">
        <f>#REF!</f>
        <v>#REF!</v>
      </c>
      <c r="G824" s="102" t="e">
        <f>#REF!</f>
        <v>#REF!</v>
      </c>
      <c r="H824" s="102" t="e">
        <f>#REF!</f>
        <v>#REF!</v>
      </c>
      <c r="K824" s="210" t="e">
        <f>#REF!</f>
        <v>#REF!</v>
      </c>
      <c r="L824" s="210">
        <v>45093</v>
      </c>
      <c r="M824" s="210"/>
      <c r="N824" s="210">
        <f>'Danh sách máy'!F822</f>
        <v>0</v>
      </c>
      <c r="O824" s="211" t="str" cm="1">
        <f t="array" ref="O824">IF(L824&lt;&gt;0,IF(L824&lt;I824,"OK","NG"),Blank)</f>
        <v>NG</v>
      </c>
      <c r="P824" s="211" t="e" cm="1">
        <f t="array" ref="P824">IF(M824&lt;&gt;0,IF(M824&lt;J824,"OK","NG"),Blank)</f>
        <v>#NAME?</v>
      </c>
      <c r="Q824" s="211" t="e" cm="1">
        <f t="array" ref="Q824">IF(H824&lt;&gt;"Stop",IF(N824&lt;&gt;0,IF(N824&lt;=K824,"OK","NG"),Blank),"-")</f>
        <v>#REF!</v>
      </c>
      <c r="R824" s="326" t="e" cm="1">
        <f t="array" ref="R824">IF(H824&lt;&gt;"Stop",IF(E824&lt;&gt;0,IF(E824&lt;=K824,"OK","NG"),Blank),"-")</f>
        <v>#REF!</v>
      </c>
    </row>
    <row r="825" spans="1:18" ht="30" hidden="1" x14ac:dyDescent="0.3">
      <c r="A825" s="318" t="e">
        <f>#REF!</f>
        <v>#REF!</v>
      </c>
      <c r="B825" s="305" t="e">
        <f>#REF!</f>
        <v>#REF!</v>
      </c>
      <c r="C825" s="305" t="str">
        <f>'Danh sách máy'!C823</f>
        <v>Fact.4</v>
      </c>
      <c r="D825" s="90" t="e">
        <f>#REF!</f>
        <v>#REF!</v>
      </c>
      <c r="E825" s="97">
        <f>'Danh sách máy'!E823</f>
        <v>0</v>
      </c>
      <c r="F825" s="206" t="e">
        <f>#REF!</f>
        <v>#REF!</v>
      </c>
      <c r="G825" s="102" t="e">
        <f>#REF!</f>
        <v>#REF!</v>
      </c>
      <c r="H825" s="102" t="e">
        <f>#REF!</f>
        <v>#REF!</v>
      </c>
      <c r="K825" s="210" t="e">
        <f>#REF!</f>
        <v>#REF!</v>
      </c>
      <c r="L825" s="210">
        <v>45094</v>
      </c>
      <c r="M825" s="210"/>
      <c r="N825" s="210">
        <f>'Danh sách máy'!F823</f>
        <v>0</v>
      </c>
      <c r="O825" s="211" t="str" cm="1">
        <f t="array" ref="O825">IF(L825&lt;&gt;0,IF(L825&lt;I825,"OK","NG"),Blank)</f>
        <v>NG</v>
      </c>
      <c r="P825" s="211" t="e" cm="1">
        <f t="array" ref="P825">IF(M825&lt;&gt;0,IF(M825&lt;J825,"OK","NG"),Blank)</f>
        <v>#NAME?</v>
      </c>
      <c r="Q825" s="211" t="e" cm="1">
        <f t="array" ref="Q825">IF(H825&lt;&gt;"Stop",IF(N825&lt;&gt;0,IF(N825&lt;=K825,"OK","NG"),Blank),"-")</f>
        <v>#REF!</v>
      </c>
      <c r="R825" s="326" t="e" cm="1">
        <f t="array" ref="R825">IF(H825&lt;&gt;"Stop",IF(E825&lt;&gt;0,IF(E825&lt;=K825,"OK","NG"),Blank),"-")</f>
        <v>#REF!</v>
      </c>
    </row>
    <row r="826" spans="1:18" ht="15" hidden="1" x14ac:dyDescent="0.3">
      <c r="A826" s="318" t="e">
        <f>#REF!</f>
        <v>#REF!</v>
      </c>
      <c r="B826" s="305" t="e">
        <f>#REF!</f>
        <v>#REF!</v>
      </c>
      <c r="C826" s="305" t="str">
        <f>'Danh sách máy'!C824</f>
        <v>Fact.4</v>
      </c>
      <c r="D826" s="90" t="e">
        <f>#REF!</f>
        <v>#REF!</v>
      </c>
      <c r="E826" s="97">
        <f>'Danh sách máy'!E824</f>
        <v>0</v>
      </c>
      <c r="F826" s="206" t="e">
        <f>#REF!</f>
        <v>#REF!</v>
      </c>
      <c r="G826" s="102" t="e">
        <f>#REF!</f>
        <v>#REF!</v>
      </c>
      <c r="H826" s="102" t="e">
        <f>#REF!</f>
        <v>#REF!</v>
      </c>
      <c r="K826" s="210" t="e">
        <f>#REF!</f>
        <v>#REF!</v>
      </c>
      <c r="L826" s="210">
        <v>45095</v>
      </c>
      <c r="M826" s="210"/>
      <c r="N826" s="210">
        <f>'Danh sách máy'!F824</f>
        <v>0</v>
      </c>
      <c r="O826" s="211" t="str" cm="1">
        <f t="array" ref="O826">IF(L826&lt;&gt;0,IF(L826&lt;I826,"OK","NG"),Blank)</f>
        <v>NG</v>
      </c>
      <c r="P826" s="211" t="e" cm="1">
        <f t="array" ref="P826">IF(M826&lt;&gt;0,IF(M826&lt;J826,"OK","NG"),Blank)</f>
        <v>#NAME?</v>
      </c>
      <c r="Q826" s="211" t="e" cm="1">
        <f t="array" ref="Q826">IF(H826&lt;&gt;"Stop",IF(N826&lt;&gt;0,IF(N826&lt;=K826,"OK","NG"),Blank),"-")</f>
        <v>#REF!</v>
      </c>
      <c r="R826" s="326" t="e" cm="1">
        <f t="array" ref="R826">IF(H826&lt;&gt;"Stop",IF(E826&lt;&gt;0,IF(E826&lt;=K826,"OK","NG"),Blank),"-")</f>
        <v>#REF!</v>
      </c>
    </row>
    <row r="827" spans="1:18" ht="15" hidden="1" x14ac:dyDescent="0.3">
      <c r="A827" s="318" t="e">
        <f>#REF!</f>
        <v>#REF!</v>
      </c>
      <c r="B827" s="305" t="e">
        <f>#REF!</f>
        <v>#REF!</v>
      </c>
      <c r="C827" s="305" t="str">
        <f>'Danh sách máy'!C825</f>
        <v>Fact.4</v>
      </c>
      <c r="D827" s="90" t="e">
        <f>#REF!</f>
        <v>#REF!</v>
      </c>
      <c r="E827" s="97">
        <f>'Danh sách máy'!E825</f>
        <v>46183</v>
      </c>
      <c r="F827" s="206" t="e">
        <f>#REF!</f>
        <v>#REF!</v>
      </c>
      <c r="G827" s="102" t="e">
        <f>#REF!</f>
        <v>#REF!</v>
      </c>
      <c r="H827" s="102" t="e">
        <f>#REF!</f>
        <v>#REF!</v>
      </c>
      <c r="K827" s="210" t="e">
        <f>#REF!</f>
        <v>#REF!</v>
      </c>
      <c r="L827" s="210">
        <v>45096</v>
      </c>
      <c r="M827" s="210"/>
      <c r="N827" s="210">
        <f>'Danh sách máy'!F825</f>
        <v>46186</v>
      </c>
      <c r="O827" s="211" t="str" cm="1">
        <f t="array" ref="O827">IF(L827&lt;&gt;0,IF(L827&lt;I827,"OK","NG"),Blank)</f>
        <v>NG</v>
      </c>
      <c r="P827" s="211" t="e" cm="1">
        <f t="array" ref="P827">IF(M827&lt;&gt;0,IF(M827&lt;J827,"OK","NG"),Blank)</f>
        <v>#NAME?</v>
      </c>
      <c r="Q827" s="211" t="e" cm="1">
        <f t="array" ref="Q827">IF(H827&lt;&gt;"Stop",IF(N827&lt;&gt;0,IF(N827&lt;=K827,"OK","NG"),Blank),"-")</f>
        <v>#REF!</v>
      </c>
      <c r="R827" s="326" t="e" cm="1">
        <f t="array" ref="R827">IF(H827&lt;&gt;"Stop",IF(E827&lt;&gt;0,IF(E827&lt;=K827,"OK","NG"),Blank),"-")</f>
        <v>#REF!</v>
      </c>
    </row>
    <row r="828" spans="1:18" ht="15" hidden="1" x14ac:dyDescent="0.3">
      <c r="A828" s="318" t="e">
        <f>#REF!</f>
        <v>#REF!</v>
      </c>
      <c r="B828" s="305" t="e">
        <f>#REF!</f>
        <v>#REF!</v>
      </c>
      <c r="C828" s="305" t="str">
        <f>'Danh sách máy'!C826</f>
        <v>Fact.4</v>
      </c>
      <c r="D828" s="90" t="e">
        <f>#REF!</f>
        <v>#REF!</v>
      </c>
      <c r="E828" s="97">
        <f>'Danh sách máy'!E826</f>
        <v>46183</v>
      </c>
      <c r="F828" s="206" t="e">
        <f>#REF!</f>
        <v>#REF!</v>
      </c>
      <c r="G828" s="102" t="e">
        <f>#REF!</f>
        <v>#REF!</v>
      </c>
      <c r="H828" s="102" t="e">
        <f>#REF!</f>
        <v>#REF!</v>
      </c>
      <c r="K828" s="210" t="e">
        <f>#REF!</f>
        <v>#REF!</v>
      </c>
      <c r="L828" s="210">
        <v>45097</v>
      </c>
      <c r="M828" s="210"/>
      <c r="N828" s="210">
        <f>'Danh sách máy'!F826</f>
        <v>46183</v>
      </c>
      <c r="O828" s="211" t="str" cm="1">
        <f t="array" ref="O828">IF(L828&lt;&gt;0,IF(L828&lt;I828,"OK","NG"),Blank)</f>
        <v>NG</v>
      </c>
      <c r="P828" s="211" t="e" cm="1">
        <f t="array" ref="P828">IF(M828&lt;&gt;0,IF(M828&lt;J828,"OK","NG"),Blank)</f>
        <v>#NAME?</v>
      </c>
      <c r="Q828" s="211" t="e" cm="1">
        <f t="array" ref="Q828">IF(H828&lt;&gt;"Stop",IF(N828&lt;&gt;0,IF(N828&lt;=K828,"OK","NG"),Blank),"-")</f>
        <v>#REF!</v>
      </c>
      <c r="R828" s="326" t="e" cm="1">
        <f t="array" ref="R828">IF(H828&lt;&gt;"Stop",IF(E828&lt;&gt;0,IF(E828&lt;=K828,"OK","NG"),Blank),"-")</f>
        <v>#REF!</v>
      </c>
    </row>
    <row r="829" spans="1:18" ht="15" hidden="1" x14ac:dyDescent="0.3">
      <c r="A829" s="318" t="e">
        <f>#REF!</f>
        <v>#REF!</v>
      </c>
      <c r="B829" s="305" t="e">
        <f>#REF!</f>
        <v>#REF!</v>
      </c>
      <c r="C829" s="305" t="str">
        <f>'Danh sách máy'!C827</f>
        <v>Fact.4</v>
      </c>
      <c r="D829" s="90" t="e">
        <f>#REF!</f>
        <v>#REF!</v>
      </c>
      <c r="E829" s="97">
        <f>'Danh sách máy'!E827</f>
        <v>46183</v>
      </c>
      <c r="F829" s="206" t="e">
        <f>#REF!</f>
        <v>#REF!</v>
      </c>
      <c r="G829" s="102" t="e">
        <f>#REF!</f>
        <v>#REF!</v>
      </c>
      <c r="H829" s="102" t="e">
        <f>#REF!</f>
        <v>#REF!</v>
      </c>
      <c r="K829" s="210" t="e">
        <f>#REF!</f>
        <v>#REF!</v>
      </c>
      <c r="L829" s="210">
        <v>45098</v>
      </c>
      <c r="M829" s="210"/>
      <c r="N829" s="210">
        <f>'Danh sách máy'!F827</f>
        <v>46183</v>
      </c>
      <c r="O829" s="211" t="str" cm="1">
        <f t="array" ref="O829">IF(L829&lt;&gt;0,IF(L829&lt;I829,"OK","NG"),Blank)</f>
        <v>NG</v>
      </c>
      <c r="P829" s="211" t="e" cm="1">
        <f t="array" ref="P829">IF(M829&lt;&gt;0,IF(M829&lt;J829,"OK","NG"),Blank)</f>
        <v>#NAME?</v>
      </c>
      <c r="Q829" s="211" t="e" cm="1">
        <f t="array" ref="Q829">IF(H829&lt;&gt;"Stop",IF(N829&lt;&gt;0,IF(N829&lt;=K829,"OK","NG"),Blank),"-")</f>
        <v>#REF!</v>
      </c>
      <c r="R829" s="326" t="e" cm="1">
        <f t="array" ref="R829">IF(H829&lt;&gt;"Stop",IF(E829&lt;&gt;0,IF(E829&lt;=K829,"OK","NG"),Blank),"-")</f>
        <v>#REF!</v>
      </c>
    </row>
    <row r="830" spans="1:18" ht="30" hidden="1" x14ac:dyDescent="0.3">
      <c r="A830" s="318" t="e">
        <f>#REF!</f>
        <v>#REF!</v>
      </c>
      <c r="B830" s="305" t="e">
        <f>#REF!</f>
        <v>#REF!</v>
      </c>
      <c r="C830" s="305" t="str">
        <f>'Danh sách máy'!C828</f>
        <v>Fact.4</v>
      </c>
      <c r="D830" s="90" t="e">
        <f>#REF!</f>
        <v>#REF!</v>
      </c>
      <c r="E830" s="97">
        <f>'Danh sách máy'!E828</f>
        <v>0</v>
      </c>
      <c r="F830" s="206" t="e">
        <f>#REF!</f>
        <v>#REF!</v>
      </c>
      <c r="G830" s="102" t="e">
        <f>#REF!</f>
        <v>#REF!</v>
      </c>
      <c r="H830" s="102" t="e">
        <f>#REF!</f>
        <v>#REF!</v>
      </c>
      <c r="K830" s="210" t="e">
        <f>#REF!</f>
        <v>#REF!</v>
      </c>
      <c r="L830" s="210">
        <v>45099</v>
      </c>
      <c r="M830" s="210"/>
      <c r="N830" s="210">
        <f>'Danh sách máy'!F828</f>
        <v>0</v>
      </c>
      <c r="O830" s="211" t="str" cm="1">
        <f t="array" ref="O830">IF(L830&lt;&gt;0,IF(L830&lt;I830,"OK","NG"),Blank)</f>
        <v>NG</v>
      </c>
      <c r="P830" s="211" t="e" cm="1">
        <f t="array" ref="P830">IF(M830&lt;&gt;0,IF(M830&lt;J830,"OK","NG"),Blank)</f>
        <v>#NAME?</v>
      </c>
      <c r="Q830" s="211" t="e" cm="1">
        <f t="array" ref="Q830">IF(H830&lt;&gt;"Stop",IF(N830&lt;&gt;0,IF(N830&lt;=K830,"OK","NG"),Blank),"-")</f>
        <v>#REF!</v>
      </c>
      <c r="R830" s="326" t="e" cm="1">
        <f t="array" ref="R830">IF(H830&lt;&gt;"Stop",IF(E830&lt;&gt;0,IF(E830&lt;=K830,"OK","NG"),Blank),"-")</f>
        <v>#REF!</v>
      </c>
    </row>
    <row r="831" spans="1:18" ht="15" hidden="1" x14ac:dyDescent="0.3">
      <c r="A831" s="318" t="e">
        <f>#REF!</f>
        <v>#REF!</v>
      </c>
      <c r="B831" s="305" t="e">
        <f>#REF!</f>
        <v>#REF!</v>
      </c>
      <c r="C831" s="305" t="str">
        <f>'Danh sách máy'!C829</f>
        <v>Fact.4</v>
      </c>
      <c r="D831" s="90" t="e">
        <f>#REF!</f>
        <v>#REF!</v>
      </c>
      <c r="E831" s="97">
        <f>'Danh sách máy'!E829</f>
        <v>46185</v>
      </c>
      <c r="F831" s="206" t="e">
        <f>#REF!</f>
        <v>#REF!</v>
      </c>
      <c r="G831" s="102" t="e">
        <f>#REF!</f>
        <v>#REF!</v>
      </c>
      <c r="H831" s="102" t="e">
        <f>#REF!</f>
        <v>#REF!</v>
      </c>
      <c r="K831" s="210" t="e">
        <f>#REF!</f>
        <v>#REF!</v>
      </c>
      <c r="L831" s="210">
        <v>45100</v>
      </c>
      <c r="M831" s="210"/>
      <c r="N831" s="210">
        <f>'Danh sách máy'!F829</f>
        <v>46193</v>
      </c>
      <c r="O831" s="211" t="str" cm="1">
        <f t="array" ref="O831">IF(L831&lt;&gt;0,IF(L831&lt;I831,"OK","NG"),Blank)</f>
        <v>NG</v>
      </c>
      <c r="P831" s="211" t="e" cm="1">
        <f t="array" ref="P831">IF(M831&lt;&gt;0,IF(M831&lt;J831,"OK","NG"),Blank)</f>
        <v>#NAME?</v>
      </c>
      <c r="Q831" s="211" t="e" cm="1">
        <f t="array" ref="Q831">IF(H831&lt;&gt;"Stop",IF(N831&lt;&gt;0,IF(N831&lt;=K831,"OK","NG"),Blank),"-")</f>
        <v>#REF!</v>
      </c>
      <c r="R831" s="326" t="e" cm="1">
        <f t="array" ref="R831">IF(H831&lt;&gt;"Stop",IF(E831&lt;&gt;0,IF(E831&lt;=K831,"OK","NG"),Blank),"-")</f>
        <v>#REF!</v>
      </c>
    </row>
    <row r="832" spans="1:18" ht="30" hidden="1" x14ac:dyDescent="0.3">
      <c r="A832" s="318" t="e">
        <f>#REF!</f>
        <v>#REF!</v>
      </c>
      <c r="B832" s="305" t="e">
        <f>#REF!</f>
        <v>#REF!</v>
      </c>
      <c r="C832" s="305" t="str">
        <f>'Danh sách máy'!C830</f>
        <v>Fact.4</v>
      </c>
      <c r="D832" s="90" t="e">
        <f>#REF!</f>
        <v>#REF!</v>
      </c>
      <c r="E832" s="97">
        <f>'Danh sách máy'!E830</f>
        <v>0</v>
      </c>
      <c r="F832" s="206" t="e">
        <f>#REF!</f>
        <v>#REF!</v>
      </c>
      <c r="G832" s="102" t="e">
        <f>#REF!</f>
        <v>#REF!</v>
      </c>
      <c r="H832" s="102" t="e">
        <f>#REF!</f>
        <v>#REF!</v>
      </c>
      <c r="K832" s="210" t="e">
        <f>#REF!</f>
        <v>#REF!</v>
      </c>
      <c r="L832" s="210">
        <v>45101</v>
      </c>
      <c r="M832" s="210"/>
      <c r="N832" s="210">
        <f>'Danh sách máy'!F830</f>
        <v>46193</v>
      </c>
      <c r="O832" s="211" t="str" cm="1">
        <f t="array" ref="O832">IF(L832&lt;&gt;0,IF(L832&lt;I832,"OK","NG"),Blank)</f>
        <v>NG</v>
      </c>
      <c r="P832" s="211" t="e" cm="1">
        <f t="array" ref="P832">IF(M832&lt;&gt;0,IF(M832&lt;J832,"OK","NG"),Blank)</f>
        <v>#NAME?</v>
      </c>
      <c r="Q832" s="211" t="e" cm="1">
        <f t="array" ref="Q832">IF(H832&lt;&gt;"Stop",IF(N832&lt;&gt;0,IF(N832&lt;=K832,"OK","NG"),Blank),"-")</f>
        <v>#REF!</v>
      </c>
      <c r="R832" s="326" t="e" cm="1">
        <f t="array" ref="R832">IF(H832&lt;&gt;"Stop",IF(E832&lt;&gt;0,IF(E832&lt;=K832,"OK","NG"),Blank),"-")</f>
        <v>#REF!</v>
      </c>
    </row>
    <row r="833" spans="1:18" ht="30" hidden="1" x14ac:dyDescent="0.3">
      <c r="A833" s="318" t="e">
        <f>#REF!</f>
        <v>#REF!</v>
      </c>
      <c r="B833" s="305" t="e">
        <f>#REF!</f>
        <v>#REF!</v>
      </c>
      <c r="C833" s="305" t="str">
        <f>'Danh sách máy'!C831</f>
        <v>Fact.4</v>
      </c>
      <c r="D833" s="90" t="e">
        <f>#REF!</f>
        <v>#REF!</v>
      </c>
      <c r="E833" s="97">
        <f>'Danh sách máy'!E831</f>
        <v>0</v>
      </c>
      <c r="F833" s="206" t="e">
        <f>#REF!</f>
        <v>#REF!</v>
      </c>
      <c r="G833" s="102" t="e">
        <f>#REF!</f>
        <v>#REF!</v>
      </c>
      <c r="H833" s="102" t="e">
        <f>#REF!</f>
        <v>#REF!</v>
      </c>
      <c r="K833" s="210" t="e">
        <f>#REF!</f>
        <v>#REF!</v>
      </c>
      <c r="L833" s="210">
        <v>45102</v>
      </c>
      <c r="M833" s="210"/>
      <c r="N833" s="210">
        <f>'Danh sách máy'!F831</f>
        <v>46193</v>
      </c>
      <c r="O833" s="211" t="str" cm="1">
        <f t="array" ref="O833">IF(L833&lt;&gt;0,IF(L833&lt;I833,"OK","NG"),Blank)</f>
        <v>NG</v>
      </c>
      <c r="P833" s="211" t="e" cm="1">
        <f t="array" ref="P833">IF(M833&lt;&gt;0,IF(M833&lt;J833,"OK","NG"),Blank)</f>
        <v>#NAME?</v>
      </c>
      <c r="Q833" s="211" t="e" cm="1">
        <f t="array" ref="Q833">IF(H833&lt;&gt;"Stop",IF(N833&lt;&gt;0,IF(N833&lt;=K833,"OK","NG"),Blank),"-")</f>
        <v>#REF!</v>
      </c>
      <c r="R833" s="326" t="e" cm="1">
        <f t="array" ref="R833">IF(H833&lt;&gt;"Stop",IF(E833&lt;&gt;0,IF(E833&lt;=K833,"OK","NG"),Blank),"-")</f>
        <v>#REF!</v>
      </c>
    </row>
    <row r="834" spans="1:18" ht="30" hidden="1" x14ac:dyDescent="0.3">
      <c r="A834" s="318" t="e">
        <f>#REF!</f>
        <v>#REF!</v>
      </c>
      <c r="B834" s="305" t="e">
        <f>#REF!</f>
        <v>#REF!</v>
      </c>
      <c r="C834" s="305" t="str">
        <f>'Danh sách máy'!C832</f>
        <v>Fact.4</v>
      </c>
      <c r="D834" s="90" t="e">
        <f>#REF!</f>
        <v>#REF!</v>
      </c>
      <c r="E834" s="97">
        <f>'Danh sách máy'!E832</f>
        <v>46185</v>
      </c>
      <c r="F834" s="206" t="e">
        <f>#REF!</f>
        <v>#REF!</v>
      </c>
      <c r="G834" s="102" t="e">
        <f>#REF!</f>
        <v>#REF!</v>
      </c>
      <c r="H834" s="102" t="e">
        <f>#REF!</f>
        <v>#REF!</v>
      </c>
      <c r="K834" s="210" t="e">
        <f>#REF!</f>
        <v>#REF!</v>
      </c>
      <c r="L834" s="210">
        <v>45103</v>
      </c>
      <c r="M834" s="210"/>
      <c r="N834" s="210">
        <f>'Danh sách máy'!F832</f>
        <v>46193</v>
      </c>
      <c r="O834" s="211" t="str" cm="1">
        <f t="array" ref="O834">IF(L834&lt;&gt;0,IF(L834&lt;I834,"OK","NG"),Blank)</f>
        <v>NG</v>
      </c>
      <c r="P834" s="211" t="e" cm="1">
        <f t="array" ref="P834">IF(M834&lt;&gt;0,IF(M834&lt;J834,"OK","NG"),Blank)</f>
        <v>#NAME?</v>
      </c>
      <c r="Q834" s="211" t="e" cm="1">
        <f t="array" ref="Q834">IF(H834&lt;&gt;"Stop",IF(N834&lt;&gt;0,IF(N834&lt;=K834,"OK","NG"),Blank),"-")</f>
        <v>#REF!</v>
      </c>
      <c r="R834" s="326" t="e" cm="1">
        <f t="array" ref="R834">IF(H834&lt;&gt;"Stop",IF(E834&lt;&gt;0,IF(E834&lt;=K834,"OK","NG"),Blank),"-")</f>
        <v>#REF!</v>
      </c>
    </row>
    <row r="835" spans="1:18" ht="30" hidden="1" x14ac:dyDescent="0.3">
      <c r="A835" s="318" t="e">
        <f>#REF!</f>
        <v>#REF!</v>
      </c>
      <c r="B835" s="305" t="e">
        <f>#REF!</f>
        <v>#REF!</v>
      </c>
      <c r="C835" s="305" t="str">
        <f>'Danh sách máy'!C833</f>
        <v>Fact.4</v>
      </c>
      <c r="D835" s="90" t="e">
        <f>#REF!</f>
        <v>#REF!</v>
      </c>
      <c r="E835" s="97">
        <f>'Danh sách máy'!E833</f>
        <v>46185</v>
      </c>
      <c r="F835" s="206" t="e">
        <f>#REF!</f>
        <v>#REF!</v>
      </c>
      <c r="G835" s="102" t="e">
        <f>#REF!</f>
        <v>#REF!</v>
      </c>
      <c r="H835" s="102" t="e">
        <f>#REF!</f>
        <v>#REF!</v>
      </c>
      <c r="K835" s="210" t="e">
        <f>#REF!</f>
        <v>#REF!</v>
      </c>
      <c r="L835" s="210">
        <v>45104</v>
      </c>
      <c r="M835" s="210"/>
      <c r="N835" s="210">
        <f>'Danh sách máy'!F833</f>
        <v>46193</v>
      </c>
      <c r="O835" s="211" t="str" cm="1">
        <f t="array" ref="O835">IF(L835&lt;&gt;0,IF(L835&lt;I835,"OK","NG"),Blank)</f>
        <v>NG</v>
      </c>
      <c r="P835" s="211" t="e" cm="1">
        <f t="array" ref="P835">IF(M835&lt;&gt;0,IF(M835&lt;J835,"OK","NG"),Blank)</f>
        <v>#NAME?</v>
      </c>
      <c r="Q835" s="211" t="e" cm="1">
        <f t="array" ref="Q835">IF(H835&lt;&gt;"Stop",IF(N835&lt;&gt;0,IF(N835&lt;=K835,"OK","NG"),Blank),"-")</f>
        <v>#REF!</v>
      </c>
      <c r="R835" s="326" t="e" cm="1">
        <f t="array" ref="R835">IF(H835&lt;&gt;"Stop",IF(E835&lt;&gt;0,IF(E835&lt;=K835,"OK","NG"),Blank),"-")</f>
        <v>#REF!</v>
      </c>
    </row>
    <row r="836" spans="1:18" ht="30" hidden="1" x14ac:dyDescent="0.3">
      <c r="A836" s="318" t="e">
        <f>#REF!</f>
        <v>#REF!</v>
      </c>
      <c r="B836" s="305" t="e">
        <f>#REF!</f>
        <v>#REF!</v>
      </c>
      <c r="C836" s="305" t="str">
        <f>'Danh sách máy'!C834</f>
        <v>Fact.4</v>
      </c>
      <c r="D836" s="90" t="e">
        <f>#REF!</f>
        <v>#REF!</v>
      </c>
      <c r="E836" s="97" t="str">
        <f>'Danh sách máy'!E834</f>
        <v>STI</v>
      </c>
      <c r="F836" s="206" t="e">
        <f>#REF!</f>
        <v>#REF!</v>
      </c>
      <c r="G836" s="102" t="e">
        <f>#REF!</f>
        <v>#REF!</v>
      </c>
      <c r="H836" s="102" t="e">
        <f>#REF!</f>
        <v>#REF!</v>
      </c>
      <c r="K836" s="210" t="e">
        <f>#REF!</f>
        <v>#REF!</v>
      </c>
      <c r="L836" s="210">
        <v>45105</v>
      </c>
      <c r="M836" s="210"/>
      <c r="N836" s="210">
        <f>'Danh sách máy'!F834</f>
        <v>46188</v>
      </c>
      <c r="O836" s="211" t="str" cm="1">
        <f t="array" ref="O836">IF(L836&lt;&gt;0,IF(L836&lt;I836,"OK","NG"),Blank)</f>
        <v>NG</v>
      </c>
      <c r="P836" s="211" t="e" cm="1">
        <f t="array" ref="P836">IF(M836&lt;&gt;0,IF(M836&lt;J836,"OK","NG"),Blank)</f>
        <v>#NAME?</v>
      </c>
      <c r="Q836" s="211" t="e" cm="1">
        <f t="array" ref="Q836">IF(H836&lt;&gt;"Stop",IF(N836&lt;&gt;0,IF(N836&lt;=K836,"OK","NG"),Blank),"-")</f>
        <v>#REF!</v>
      </c>
      <c r="R836" s="326" t="e" cm="1">
        <f t="array" ref="R836">IF(H836&lt;&gt;"Stop",IF(E836&lt;&gt;0,IF(E836&lt;=K836,"OK","NG"),Blank),"-")</f>
        <v>#REF!</v>
      </c>
    </row>
    <row r="837" spans="1:18" ht="30" hidden="1" x14ac:dyDescent="0.3">
      <c r="A837" s="318" t="e">
        <f>#REF!</f>
        <v>#REF!</v>
      </c>
      <c r="B837" s="305" t="e">
        <f>#REF!</f>
        <v>#REF!</v>
      </c>
      <c r="C837" s="305" t="str">
        <f>'Danh sách máy'!C835</f>
        <v>Fact.4</v>
      </c>
      <c r="D837" s="90" t="e">
        <f>#REF!</f>
        <v>#REF!</v>
      </c>
      <c r="E837" s="97">
        <f>'Danh sách máy'!E835</f>
        <v>0</v>
      </c>
      <c r="F837" s="206" t="e">
        <f>#REF!</f>
        <v>#REF!</v>
      </c>
      <c r="G837" s="102" t="e">
        <f>#REF!</f>
        <v>#REF!</v>
      </c>
      <c r="H837" s="102" t="e">
        <f>#REF!</f>
        <v>#REF!</v>
      </c>
      <c r="K837" s="210" t="e">
        <f>#REF!</f>
        <v>#REF!</v>
      </c>
      <c r="L837" s="210">
        <v>45106</v>
      </c>
      <c r="M837" s="210"/>
      <c r="N837" s="210">
        <f>'Danh sách máy'!F835</f>
        <v>0</v>
      </c>
      <c r="O837" s="211" t="str" cm="1">
        <f t="array" ref="O837">IF(L837&lt;&gt;0,IF(L837&lt;I837,"OK","NG"),Blank)</f>
        <v>NG</v>
      </c>
      <c r="P837" s="211" t="e" cm="1">
        <f t="array" ref="P837">IF(M837&lt;&gt;0,IF(M837&lt;J837,"OK","NG"),Blank)</f>
        <v>#NAME?</v>
      </c>
      <c r="Q837" s="211" t="e" cm="1">
        <f t="array" ref="Q837">IF(H837&lt;&gt;"Stop",IF(N837&lt;&gt;0,IF(N837&lt;=K837,"OK","NG"),Blank),"-")</f>
        <v>#REF!</v>
      </c>
      <c r="R837" s="326" t="e" cm="1">
        <f t="array" ref="R837">IF(H837&lt;&gt;"Stop",IF(E837&lt;&gt;0,IF(E837&lt;=K837,"OK","NG"),Blank),"-")</f>
        <v>#REF!</v>
      </c>
    </row>
    <row r="838" spans="1:18" ht="15" hidden="1" x14ac:dyDescent="0.3">
      <c r="A838" s="318" t="e">
        <f>#REF!</f>
        <v>#REF!</v>
      </c>
      <c r="B838" s="305" t="e">
        <f>#REF!</f>
        <v>#REF!</v>
      </c>
      <c r="C838" s="305" t="str">
        <f>'Danh sách máy'!C836</f>
        <v>Fact.4</v>
      </c>
      <c r="D838" s="90" t="e">
        <f>#REF!</f>
        <v>#REF!</v>
      </c>
      <c r="E838" s="97">
        <f>'Danh sách máy'!E836</f>
        <v>0</v>
      </c>
      <c r="F838" s="206" t="e">
        <f>#REF!</f>
        <v>#REF!</v>
      </c>
      <c r="G838" s="102" t="e">
        <f>#REF!</f>
        <v>#REF!</v>
      </c>
      <c r="H838" s="102" t="e">
        <f>#REF!</f>
        <v>#REF!</v>
      </c>
      <c r="K838" s="210" t="e">
        <f>#REF!</f>
        <v>#REF!</v>
      </c>
      <c r="L838" s="210">
        <v>45107</v>
      </c>
      <c r="M838" s="210"/>
      <c r="N838" s="210">
        <f>'Danh sách máy'!F836</f>
        <v>0</v>
      </c>
      <c r="O838" s="211" t="str" cm="1">
        <f t="array" ref="O838">IF(L838&lt;&gt;0,IF(L838&lt;I838,"OK","NG"),Blank)</f>
        <v>NG</v>
      </c>
      <c r="P838" s="211" t="e" cm="1">
        <f t="array" ref="P838">IF(M838&lt;&gt;0,IF(M838&lt;J838,"OK","NG"),Blank)</f>
        <v>#NAME?</v>
      </c>
      <c r="Q838" s="211" t="e" cm="1">
        <f t="array" ref="Q838">IF(H838&lt;&gt;"Stop",IF(N838&lt;&gt;0,IF(N838&lt;=K838,"OK","NG"),Blank),"-")</f>
        <v>#REF!</v>
      </c>
      <c r="R838" s="326" t="e" cm="1">
        <f t="array" ref="R838">IF(H838&lt;&gt;"Stop",IF(E838&lt;&gt;0,IF(E838&lt;=K838,"OK","NG"),Blank),"-")</f>
        <v>#REF!</v>
      </c>
    </row>
    <row r="839" spans="1:18" ht="30" hidden="1" x14ac:dyDescent="0.3">
      <c r="A839" s="318" t="e">
        <f>#REF!</f>
        <v>#REF!</v>
      </c>
      <c r="B839" s="305" t="e">
        <f>#REF!</f>
        <v>#REF!</v>
      </c>
      <c r="C839" s="305" t="str">
        <f>'Danh sách máy'!C837</f>
        <v>Fact.4</v>
      </c>
      <c r="D839" s="90" t="e">
        <f>#REF!</f>
        <v>#REF!</v>
      </c>
      <c r="E839" s="97">
        <f>'Danh sách máy'!E837</f>
        <v>0</v>
      </c>
      <c r="F839" s="206" t="e">
        <f>#REF!</f>
        <v>#REF!</v>
      </c>
      <c r="G839" s="102" t="e">
        <f>#REF!</f>
        <v>#REF!</v>
      </c>
      <c r="H839" s="102" t="e">
        <f>#REF!</f>
        <v>#REF!</v>
      </c>
      <c r="K839" s="210" t="e">
        <f>#REF!</f>
        <v>#REF!</v>
      </c>
      <c r="L839" s="210">
        <v>45108</v>
      </c>
      <c r="M839" s="210"/>
      <c r="N839" s="210">
        <f>'Danh sách máy'!F837</f>
        <v>0</v>
      </c>
      <c r="O839" s="211" t="str" cm="1">
        <f t="array" ref="O839">IF(L839&lt;&gt;0,IF(L839&lt;I839,"OK","NG"),Blank)</f>
        <v>NG</v>
      </c>
      <c r="P839" s="211" t="e" cm="1">
        <f t="array" ref="P839">IF(M839&lt;&gt;0,IF(M839&lt;J839,"OK","NG"),Blank)</f>
        <v>#NAME?</v>
      </c>
      <c r="Q839" s="211" t="e" cm="1">
        <f t="array" ref="Q839">IF(H839&lt;&gt;"Stop",IF(N839&lt;&gt;0,IF(N839&lt;=K839,"OK","NG"),Blank),"-")</f>
        <v>#REF!</v>
      </c>
      <c r="R839" s="326" t="e" cm="1">
        <f t="array" ref="R839">IF(H839&lt;&gt;"Stop",IF(E839&lt;&gt;0,IF(E839&lt;=K839,"OK","NG"),Blank),"-")</f>
        <v>#REF!</v>
      </c>
    </row>
    <row r="840" spans="1:18" ht="15" hidden="1" x14ac:dyDescent="0.3">
      <c r="A840" s="318" t="e">
        <f>#REF!</f>
        <v>#REF!</v>
      </c>
      <c r="B840" s="305" t="e">
        <f>#REF!</f>
        <v>#REF!</v>
      </c>
      <c r="C840" s="305" t="str">
        <f>'Danh sách máy'!C838</f>
        <v>Fact.4</v>
      </c>
      <c r="D840" s="90" t="e">
        <f>#REF!</f>
        <v>#REF!</v>
      </c>
      <c r="E840" s="97">
        <f>'Danh sách máy'!E838</f>
        <v>0</v>
      </c>
      <c r="F840" s="206" t="e">
        <f>#REF!</f>
        <v>#REF!</v>
      </c>
      <c r="G840" s="102" t="e">
        <f>#REF!</f>
        <v>#REF!</v>
      </c>
      <c r="H840" s="102" t="e">
        <f>#REF!</f>
        <v>#REF!</v>
      </c>
      <c r="K840" s="210" t="e">
        <f>#REF!</f>
        <v>#REF!</v>
      </c>
      <c r="L840" s="210">
        <v>45109</v>
      </c>
      <c r="M840" s="210"/>
      <c r="N840" s="210">
        <f>'Danh sách máy'!F838</f>
        <v>0</v>
      </c>
      <c r="O840" s="211" t="str" cm="1">
        <f t="array" ref="O840">IF(L840&lt;&gt;0,IF(L840&lt;I840,"OK","NG"),Blank)</f>
        <v>NG</v>
      </c>
      <c r="P840" s="211" t="e" cm="1">
        <f t="array" ref="P840">IF(M840&lt;&gt;0,IF(M840&lt;J840,"OK","NG"),Blank)</f>
        <v>#NAME?</v>
      </c>
      <c r="Q840" s="211" t="e" cm="1">
        <f t="array" ref="Q840">IF(H840&lt;&gt;"Stop",IF(N840&lt;&gt;0,IF(N840&lt;=K840,"OK","NG"),Blank),"-")</f>
        <v>#REF!</v>
      </c>
      <c r="R840" s="326" t="e" cm="1">
        <f t="array" ref="R840">IF(H840&lt;&gt;"Stop",IF(E840&lt;&gt;0,IF(E840&lt;=K840,"OK","NG"),Blank),"-")</f>
        <v>#REF!</v>
      </c>
    </row>
    <row r="841" spans="1:18" ht="15" hidden="1" x14ac:dyDescent="0.3">
      <c r="A841" s="318" t="e">
        <f>#REF!</f>
        <v>#REF!</v>
      </c>
      <c r="B841" s="305" t="e">
        <f>#REF!</f>
        <v>#REF!</v>
      </c>
      <c r="C841" s="305" t="str">
        <f>'Danh sách máy'!C839</f>
        <v>Fact.4</v>
      </c>
      <c r="D841" s="90" t="e">
        <f>#REF!</f>
        <v>#REF!</v>
      </c>
      <c r="E841" s="97">
        <f>'Danh sách máy'!E839</f>
        <v>0</v>
      </c>
      <c r="F841" s="206" t="e">
        <f>#REF!</f>
        <v>#REF!</v>
      </c>
      <c r="G841" s="102" t="e">
        <f>#REF!</f>
        <v>#REF!</v>
      </c>
      <c r="H841" s="102" t="e">
        <f>#REF!</f>
        <v>#REF!</v>
      </c>
      <c r="K841" s="210" t="e">
        <f>#REF!</f>
        <v>#REF!</v>
      </c>
      <c r="L841" s="210">
        <v>45110</v>
      </c>
      <c r="M841" s="210"/>
      <c r="N841" s="210">
        <f>'Danh sách máy'!F839</f>
        <v>0</v>
      </c>
      <c r="O841" s="211" t="str" cm="1">
        <f t="array" ref="O841">IF(L841&lt;&gt;0,IF(L841&lt;I841,"OK","NG"),Blank)</f>
        <v>NG</v>
      </c>
      <c r="P841" s="211" t="e" cm="1">
        <f t="array" ref="P841">IF(M841&lt;&gt;0,IF(M841&lt;J841,"OK","NG"),Blank)</f>
        <v>#NAME?</v>
      </c>
      <c r="Q841" s="211" t="e" cm="1">
        <f t="array" ref="Q841">IF(H841&lt;&gt;"Stop",IF(N841&lt;&gt;0,IF(N841&lt;=K841,"OK","NG"),Blank),"-")</f>
        <v>#REF!</v>
      </c>
      <c r="R841" s="326" t="e" cm="1">
        <f t="array" ref="R841">IF(H841&lt;&gt;"Stop",IF(E841&lt;&gt;0,IF(E841&lt;=K841,"OK","NG"),Blank),"-")</f>
        <v>#REF!</v>
      </c>
    </row>
    <row r="842" spans="1:18" ht="15" hidden="1" x14ac:dyDescent="0.3">
      <c r="A842" s="318" t="e">
        <f>#REF!</f>
        <v>#REF!</v>
      </c>
      <c r="B842" s="305" t="e">
        <f>#REF!</f>
        <v>#REF!</v>
      </c>
      <c r="C842" s="305" t="str">
        <f>'Danh sách máy'!C840</f>
        <v>Fact.4</v>
      </c>
      <c r="D842" s="90" t="e">
        <f>#REF!</f>
        <v>#REF!</v>
      </c>
      <c r="E842" s="97">
        <f>'Danh sách máy'!E840</f>
        <v>0</v>
      </c>
      <c r="F842" s="206" t="e">
        <f>#REF!</f>
        <v>#REF!</v>
      </c>
      <c r="G842" s="102" t="e">
        <f>#REF!</f>
        <v>#REF!</v>
      </c>
      <c r="H842" s="102" t="e">
        <f>#REF!</f>
        <v>#REF!</v>
      </c>
      <c r="K842" s="210" t="e">
        <f>#REF!</f>
        <v>#REF!</v>
      </c>
      <c r="L842" s="210">
        <v>45111</v>
      </c>
      <c r="M842" s="210"/>
      <c r="N842" s="210">
        <f>'Danh sách máy'!F840</f>
        <v>0</v>
      </c>
      <c r="O842" s="211" t="str" cm="1">
        <f t="array" ref="O842">IF(L842&lt;&gt;0,IF(L842&lt;I842,"OK","NG"),Blank)</f>
        <v>NG</v>
      </c>
      <c r="P842" s="211" t="e" cm="1">
        <f t="array" ref="P842">IF(M842&lt;&gt;0,IF(M842&lt;J842,"OK","NG"),Blank)</f>
        <v>#NAME?</v>
      </c>
      <c r="Q842" s="211" t="e" cm="1">
        <f t="array" ref="Q842">IF(H842&lt;&gt;"Stop",IF(N842&lt;&gt;0,IF(N842&lt;=K842,"OK","NG"),Blank),"-")</f>
        <v>#REF!</v>
      </c>
      <c r="R842" s="326" t="e" cm="1">
        <f t="array" ref="R842">IF(H842&lt;&gt;"Stop",IF(E842&lt;&gt;0,IF(E842&lt;=K842,"OK","NG"),Blank),"-")</f>
        <v>#REF!</v>
      </c>
    </row>
    <row r="843" spans="1:18" ht="15" hidden="1" x14ac:dyDescent="0.3">
      <c r="A843" s="318" t="e">
        <f>#REF!</f>
        <v>#REF!</v>
      </c>
      <c r="B843" s="305" t="e">
        <f>#REF!</f>
        <v>#REF!</v>
      </c>
      <c r="C843" s="305" t="str">
        <f>'Danh sách máy'!C841</f>
        <v>Fact.4</v>
      </c>
      <c r="D843" s="90" t="e">
        <f>#REF!</f>
        <v>#REF!</v>
      </c>
      <c r="E843" s="97">
        <f>'Danh sách máy'!E841</f>
        <v>0</v>
      </c>
      <c r="F843" s="206" t="e">
        <f>#REF!</f>
        <v>#REF!</v>
      </c>
      <c r="G843" s="102" t="e">
        <f>#REF!</f>
        <v>#REF!</v>
      </c>
      <c r="H843" s="102" t="e">
        <f>#REF!</f>
        <v>#REF!</v>
      </c>
      <c r="K843" s="210" t="e">
        <f>#REF!</f>
        <v>#REF!</v>
      </c>
      <c r="L843" s="210">
        <v>45112</v>
      </c>
      <c r="M843" s="210"/>
      <c r="N843" s="210">
        <f>'Danh sách máy'!F841</f>
        <v>0</v>
      </c>
      <c r="O843" s="211" t="str" cm="1">
        <f t="array" ref="O843">IF(L843&lt;&gt;0,IF(L843&lt;I843,"OK","NG"),Blank)</f>
        <v>NG</v>
      </c>
      <c r="P843" s="211" t="e" cm="1">
        <f t="array" ref="P843">IF(M843&lt;&gt;0,IF(M843&lt;J843,"OK","NG"),Blank)</f>
        <v>#NAME?</v>
      </c>
      <c r="Q843" s="211" t="e" cm="1">
        <f t="array" ref="Q843">IF(H843&lt;&gt;"Stop",IF(N843&lt;&gt;0,IF(N843&lt;=K843,"OK","NG"),Blank),"-")</f>
        <v>#REF!</v>
      </c>
      <c r="R843" s="326" t="e" cm="1">
        <f t="array" ref="R843">IF(H843&lt;&gt;"Stop",IF(E843&lt;&gt;0,IF(E843&lt;=K843,"OK","NG"),Blank),"-")</f>
        <v>#REF!</v>
      </c>
    </row>
    <row r="844" spans="1:18" ht="15" hidden="1" x14ac:dyDescent="0.3">
      <c r="A844" s="318" t="e">
        <f>#REF!</f>
        <v>#REF!</v>
      </c>
      <c r="B844" s="305" t="e">
        <f>#REF!</f>
        <v>#REF!</v>
      </c>
      <c r="C844" s="305" t="str">
        <f>'Danh sách máy'!C842</f>
        <v>Fact.4</v>
      </c>
      <c r="D844" s="90" t="e">
        <f>#REF!</f>
        <v>#REF!</v>
      </c>
      <c r="E844" s="97">
        <f>'Danh sách máy'!E842</f>
        <v>0</v>
      </c>
      <c r="F844" s="206" t="e">
        <f>#REF!</f>
        <v>#REF!</v>
      </c>
      <c r="G844" s="102" t="e">
        <f>#REF!</f>
        <v>#REF!</v>
      </c>
      <c r="H844" s="102" t="e">
        <f>#REF!</f>
        <v>#REF!</v>
      </c>
      <c r="K844" s="210" t="e">
        <f>#REF!</f>
        <v>#REF!</v>
      </c>
      <c r="L844" s="210">
        <v>45113</v>
      </c>
      <c r="M844" s="210"/>
      <c r="N844" s="210">
        <f>'Danh sách máy'!F842</f>
        <v>0</v>
      </c>
      <c r="O844" s="211" t="str" cm="1">
        <f t="array" ref="O844">IF(L844&lt;&gt;0,IF(L844&lt;I844,"OK","NG"),Blank)</f>
        <v>NG</v>
      </c>
      <c r="P844" s="211" t="e" cm="1">
        <f t="array" ref="P844">IF(M844&lt;&gt;0,IF(M844&lt;J844,"OK","NG"),Blank)</f>
        <v>#NAME?</v>
      </c>
      <c r="Q844" s="211" t="e" cm="1">
        <f t="array" ref="Q844">IF(H844&lt;&gt;"Stop",IF(N844&lt;&gt;0,IF(N844&lt;=K844,"OK","NG"),Blank),"-")</f>
        <v>#REF!</v>
      </c>
      <c r="R844" s="326" t="e" cm="1">
        <f t="array" ref="R844">IF(H844&lt;&gt;"Stop",IF(E844&lt;&gt;0,IF(E844&lt;=K844,"OK","NG"),Blank),"-")</f>
        <v>#REF!</v>
      </c>
    </row>
    <row r="845" spans="1:18" ht="15" hidden="1" x14ac:dyDescent="0.3">
      <c r="A845" s="318" t="e">
        <f>#REF!</f>
        <v>#REF!</v>
      </c>
      <c r="B845" s="305" t="e">
        <f>#REF!</f>
        <v>#REF!</v>
      </c>
      <c r="C845" s="305" t="str">
        <f>'Danh sách máy'!C843</f>
        <v>Fact.4</v>
      </c>
      <c r="D845" s="90" t="e">
        <f>#REF!</f>
        <v>#REF!</v>
      </c>
      <c r="E845" s="97">
        <f>'Danh sách máy'!E843</f>
        <v>0</v>
      </c>
      <c r="F845" s="206" t="e">
        <f>#REF!</f>
        <v>#REF!</v>
      </c>
      <c r="G845" s="102" t="e">
        <f>#REF!</f>
        <v>#REF!</v>
      </c>
      <c r="H845" s="102" t="e">
        <f>#REF!</f>
        <v>#REF!</v>
      </c>
      <c r="K845" s="210" t="e">
        <f>#REF!</f>
        <v>#REF!</v>
      </c>
      <c r="L845" s="210">
        <v>45114</v>
      </c>
      <c r="M845" s="210"/>
      <c r="N845" s="210">
        <f>'Danh sách máy'!F843</f>
        <v>0</v>
      </c>
      <c r="O845" s="211" t="str" cm="1">
        <f t="array" ref="O845">IF(L845&lt;&gt;0,IF(L845&lt;I845,"OK","NG"),Blank)</f>
        <v>NG</v>
      </c>
      <c r="P845" s="211" t="e" cm="1">
        <f t="array" ref="P845">IF(M845&lt;&gt;0,IF(M845&lt;J845,"OK","NG"),Blank)</f>
        <v>#NAME?</v>
      </c>
      <c r="Q845" s="211" t="e" cm="1">
        <f t="array" ref="Q845">IF(H845&lt;&gt;"Stop",IF(N845&lt;&gt;0,IF(N845&lt;=K845,"OK","NG"),Blank),"-")</f>
        <v>#REF!</v>
      </c>
      <c r="R845" s="326" t="e" cm="1">
        <f t="array" ref="R845">IF(H845&lt;&gt;"Stop",IF(E845&lt;&gt;0,IF(E845&lt;=K845,"OK","NG"),Blank),"-")</f>
        <v>#REF!</v>
      </c>
    </row>
    <row r="846" spans="1:18" ht="30" hidden="1" x14ac:dyDescent="0.3">
      <c r="A846" s="318" t="e">
        <f>#REF!</f>
        <v>#REF!</v>
      </c>
      <c r="B846" s="305" t="e">
        <f>#REF!</f>
        <v>#REF!</v>
      </c>
      <c r="C846" s="305" t="str">
        <f>'Danh sách máy'!C844</f>
        <v>Fact.4</v>
      </c>
      <c r="D846" s="90" t="e">
        <f>#REF!</f>
        <v>#REF!</v>
      </c>
      <c r="E846" s="97">
        <f>'Danh sách máy'!E844</f>
        <v>0</v>
      </c>
      <c r="F846" s="206" t="e">
        <f>#REF!</f>
        <v>#REF!</v>
      </c>
      <c r="G846" s="102" t="e">
        <f>#REF!</f>
        <v>#REF!</v>
      </c>
      <c r="H846" s="102" t="e">
        <f>#REF!</f>
        <v>#REF!</v>
      </c>
      <c r="K846" s="210" t="e">
        <f>#REF!</f>
        <v>#REF!</v>
      </c>
      <c r="L846" s="210">
        <v>45115</v>
      </c>
      <c r="M846" s="210"/>
      <c r="N846" s="210">
        <f>'Danh sách máy'!F844</f>
        <v>0</v>
      </c>
      <c r="O846" s="211" t="str" cm="1">
        <f t="array" ref="O846">IF(L846&lt;&gt;0,IF(L846&lt;I846,"OK","NG"),Blank)</f>
        <v>NG</v>
      </c>
      <c r="P846" s="211" t="e" cm="1">
        <f t="array" ref="P846">IF(M846&lt;&gt;0,IF(M846&lt;J846,"OK","NG"),Blank)</f>
        <v>#NAME?</v>
      </c>
      <c r="Q846" s="211" t="e" cm="1">
        <f t="array" ref="Q846">IF(H846&lt;&gt;"Stop",IF(N846&lt;&gt;0,IF(N846&lt;=K846,"OK","NG"),Blank),"-")</f>
        <v>#REF!</v>
      </c>
      <c r="R846" s="326" t="e" cm="1">
        <f t="array" ref="R846">IF(H846&lt;&gt;"Stop",IF(E846&lt;&gt;0,IF(E846&lt;=K846,"OK","NG"),Blank),"-")</f>
        <v>#REF!</v>
      </c>
    </row>
    <row r="847" spans="1:18" ht="30" hidden="1" x14ac:dyDescent="0.3">
      <c r="A847" s="318" t="e">
        <f>#REF!</f>
        <v>#REF!</v>
      </c>
      <c r="B847" s="305" t="e">
        <f>#REF!</f>
        <v>#REF!</v>
      </c>
      <c r="C847" s="305" t="str">
        <f>'Danh sách máy'!C845</f>
        <v>Fact.4</v>
      </c>
      <c r="D847" s="90" t="e">
        <f>#REF!</f>
        <v>#REF!</v>
      </c>
      <c r="E847" s="97">
        <f>'Danh sách máy'!E845</f>
        <v>0</v>
      </c>
      <c r="F847" s="206" t="e">
        <f>#REF!</f>
        <v>#REF!</v>
      </c>
      <c r="G847" s="102" t="e">
        <f>#REF!</f>
        <v>#REF!</v>
      </c>
      <c r="H847" s="102" t="e">
        <f>#REF!</f>
        <v>#REF!</v>
      </c>
      <c r="K847" s="210" t="e">
        <f>#REF!</f>
        <v>#REF!</v>
      </c>
      <c r="L847" s="210">
        <v>45116</v>
      </c>
      <c r="M847" s="210"/>
      <c r="N847" s="210">
        <f>'Danh sách máy'!F845</f>
        <v>0</v>
      </c>
      <c r="O847" s="211" t="str" cm="1">
        <f t="array" ref="O847">IF(L847&lt;&gt;0,IF(L847&lt;I847,"OK","NG"),Blank)</f>
        <v>NG</v>
      </c>
      <c r="P847" s="211" t="e" cm="1">
        <f t="array" ref="P847">IF(M847&lt;&gt;0,IF(M847&lt;J847,"OK","NG"),Blank)</f>
        <v>#NAME?</v>
      </c>
      <c r="Q847" s="211" t="e" cm="1">
        <f t="array" ref="Q847">IF(H847&lt;&gt;"Stop",IF(N847&lt;&gt;0,IF(N847&lt;=K847,"OK","NG"),Blank),"-")</f>
        <v>#REF!</v>
      </c>
      <c r="R847" s="326" t="e" cm="1">
        <f t="array" ref="R847">IF(H847&lt;&gt;"Stop",IF(E847&lt;&gt;0,IF(E847&lt;=K847,"OK","NG"),Blank),"-")</f>
        <v>#REF!</v>
      </c>
    </row>
    <row r="848" spans="1:18" ht="30" hidden="1" x14ac:dyDescent="0.3">
      <c r="A848" s="318" t="e">
        <f>#REF!</f>
        <v>#REF!</v>
      </c>
      <c r="B848" s="305" t="e">
        <f>#REF!</f>
        <v>#REF!</v>
      </c>
      <c r="C848" s="305" t="str">
        <f>'Danh sách máy'!C846</f>
        <v>Fact.4</v>
      </c>
      <c r="D848" s="90" t="e">
        <f>#REF!</f>
        <v>#REF!</v>
      </c>
      <c r="E848" s="97">
        <f>'Danh sách máy'!E846</f>
        <v>0</v>
      </c>
      <c r="F848" s="206" t="e">
        <f>#REF!</f>
        <v>#REF!</v>
      </c>
      <c r="G848" s="102" t="e">
        <f>#REF!</f>
        <v>#REF!</v>
      </c>
      <c r="H848" s="102" t="e">
        <f>#REF!</f>
        <v>#REF!</v>
      </c>
      <c r="K848" s="210" t="e">
        <f>#REF!</f>
        <v>#REF!</v>
      </c>
      <c r="L848" s="210">
        <v>45117</v>
      </c>
      <c r="M848" s="210"/>
      <c r="N848" s="210">
        <f>'Danh sách máy'!F846</f>
        <v>0</v>
      </c>
      <c r="O848" s="211" t="str" cm="1">
        <f t="array" ref="O848">IF(L848&lt;&gt;0,IF(L848&lt;I848,"OK","NG"),Blank)</f>
        <v>NG</v>
      </c>
      <c r="P848" s="211" t="e" cm="1">
        <f t="array" ref="P848">IF(M848&lt;&gt;0,IF(M848&lt;J848,"OK","NG"),Blank)</f>
        <v>#NAME?</v>
      </c>
      <c r="Q848" s="211" t="e" cm="1">
        <f t="array" ref="Q848">IF(H848&lt;&gt;"Stop",IF(N848&lt;&gt;0,IF(N848&lt;=K848,"OK","NG"),Blank),"-")</f>
        <v>#REF!</v>
      </c>
      <c r="R848" s="326" t="e" cm="1">
        <f t="array" ref="R848">IF(H848&lt;&gt;"Stop",IF(E848&lt;&gt;0,IF(E848&lt;=K848,"OK","NG"),Blank),"-")</f>
        <v>#REF!</v>
      </c>
    </row>
    <row r="849" spans="1:18" ht="30" hidden="1" x14ac:dyDescent="0.3">
      <c r="A849" s="318" t="e">
        <f>#REF!</f>
        <v>#REF!</v>
      </c>
      <c r="B849" s="305" t="e">
        <f>#REF!</f>
        <v>#REF!</v>
      </c>
      <c r="C849" s="305" t="str">
        <f>'Danh sách máy'!C847</f>
        <v>Fact.4</v>
      </c>
      <c r="D849" s="90" t="e">
        <f>#REF!</f>
        <v>#REF!</v>
      </c>
      <c r="E849" s="97">
        <f>'Danh sách máy'!E847</f>
        <v>46183</v>
      </c>
      <c r="F849" s="206" t="e">
        <f>#REF!</f>
        <v>#REF!</v>
      </c>
      <c r="G849" s="102" t="e">
        <f>#REF!</f>
        <v>#REF!</v>
      </c>
      <c r="H849" s="102" t="e">
        <f>#REF!</f>
        <v>#REF!</v>
      </c>
      <c r="K849" s="210" t="e">
        <f>#REF!</f>
        <v>#REF!</v>
      </c>
      <c r="L849" s="210">
        <v>45118</v>
      </c>
      <c r="M849" s="210"/>
      <c r="N849" s="210">
        <f>'Danh sách máy'!F847</f>
        <v>46183</v>
      </c>
      <c r="O849" s="211" t="str" cm="1">
        <f t="array" ref="O849">IF(L849&lt;&gt;0,IF(L849&lt;I849,"OK","NG"),Blank)</f>
        <v>NG</v>
      </c>
      <c r="P849" s="211" t="e" cm="1">
        <f t="array" ref="P849">IF(M849&lt;&gt;0,IF(M849&lt;J849,"OK","NG"),Blank)</f>
        <v>#NAME?</v>
      </c>
      <c r="Q849" s="211" t="e" cm="1">
        <f t="array" ref="Q849">IF(H849&lt;&gt;"Stop",IF(N849&lt;&gt;0,IF(N849&lt;=K849,"OK","NG"),Blank),"-")</f>
        <v>#REF!</v>
      </c>
      <c r="R849" s="326" t="e" cm="1">
        <f t="array" ref="R849">IF(H849&lt;&gt;"Stop",IF(E849&lt;&gt;0,IF(E849&lt;=K849,"OK","NG"),Blank),"-")</f>
        <v>#REF!</v>
      </c>
    </row>
    <row r="850" spans="1:18" ht="15" hidden="1" x14ac:dyDescent="0.3">
      <c r="A850" s="318" t="e">
        <f>#REF!</f>
        <v>#REF!</v>
      </c>
      <c r="B850" s="305" t="e">
        <f>#REF!</f>
        <v>#REF!</v>
      </c>
      <c r="C850" s="305" t="str">
        <f>'Danh sách máy'!C848</f>
        <v>Fact.4</v>
      </c>
      <c r="D850" s="90" t="e">
        <f>#REF!</f>
        <v>#REF!</v>
      </c>
      <c r="E850" s="97">
        <f>'Danh sách máy'!E848</f>
        <v>46183</v>
      </c>
      <c r="F850" s="206" t="e">
        <f>#REF!</f>
        <v>#REF!</v>
      </c>
      <c r="G850" s="102" t="e">
        <f>#REF!</f>
        <v>#REF!</v>
      </c>
      <c r="H850" s="102" t="e">
        <f>#REF!</f>
        <v>#REF!</v>
      </c>
      <c r="K850" s="210" t="e">
        <f>#REF!</f>
        <v>#REF!</v>
      </c>
      <c r="L850" s="210">
        <v>45119</v>
      </c>
      <c r="M850" s="210"/>
      <c r="N850" s="210">
        <f>'Danh sách máy'!F848</f>
        <v>46183</v>
      </c>
      <c r="O850" s="211" t="str" cm="1">
        <f t="array" ref="O850">IF(L850&lt;&gt;0,IF(L850&lt;I850,"OK","NG"),Blank)</f>
        <v>NG</v>
      </c>
      <c r="P850" s="211" t="e" cm="1">
        <f t="array" ref="P850">IF(M850&lt;&gt;0,IF(M850&lt;J850,"OK","NG"),Blank)</f>
        <v>#NAME?</v>
      </c>
      <c r="Q850" s="211" t="e" cm="1">
        <f t="array" ref="Q850">IF(H850&lt;&gt;"Stop",IF(N850&lt;&gt;0,IF(N850&lt;=K850,"OK","NG"),Blank),"-")</f>
        <v>#REF!</v>
      </c>
      <c r="R850" s="326" t="e" cm="1">
        <f t="array" ref="R850">IF(H850&lt;&gt;"Stop",IF(E850&lt;&gt;0,IF(E850&lt;=K850,"OK","NG"),Blank),"-")</f>
        <v>#REF!</v>
      </c>
    </row>
    <row r="851" spans="1:18" ht="30" hidden="1" x14ac:dyDescent="0.3">
      <c r="A851" s="318" t="e">
        <f>#REF!</f>
        <v>#REF!</v>
      </c>
      <c r="B851" s="305" t="e">
        <f>#REF!</f>
        <v>#REF!</v>
      </c>
      <c r="C851" s="305" t="str">
        <f>'Danh sách máy'!C849</f>
        <v>Fact.4</v>
      </c>
      <c r="D851" s="90" t="e">
        <f>#REF!</f>
        <v>#REF!</v>
      </c>
      <c r="E851" s="97">
        <f>'Danh sách máy'!E849</f>
        <v>0</v>
      </c>
      <c r="F851" s="206" t="e">
        <f>#REF!</f>
        <v>#REF!</v>
      </c>
      <c r="G851" s="102" t="e">
        <f>#REF!</f>
        <v>#REF!</v>
      </c>
      <c r="H851" s="102" t="e">
        <f>#REF!</f>
        <v>#REF!</v>
      </c>
      <c r="K851" s="210" t="e">
        <f>#REF!</f>
        <v>#REF!</v>
      </c>
      <c r="L851" s="210">
        <v>45120</v>
      </c>
      <c r="M851" s="210"/>
      <c r="N851" s="210">
        <f>'Danh sách máy'!F849</f>
        <v>0</v>
      </c>
      <c r="O851" s="211" t="str" cm="1">
        <f t="array" ref="O851">IF(L851&lt;&gt;0,IF(L851&lt;I851,"OK","NG"),Blank)</f>
        <v>NG</v>
      </c>
      <c r="P851" s="211" t="e" cm="1">
        <f t="array" ref="P851">IF(M851&lt;&gt;0,IF(M851&lt;J851,"OK","NG"),Blank)</f>
        <v>#NAME?</v>
      </c>
      <c r="Q851" s="211" t="e" cm="1">
        <f t="array" ref="Q851">IF(H851&lt;&gt;"Stop",IF(N851&lt;&gt;0,IF(N851&lt;=K851,"OK","NG"),Blank),"-")</f>
        <v>#REF!</v>
      </c>
      <c r="R851" s="326" t="e" cm="1">
        <f t="array" ref="R851">IF(H851&lt;&gt;"Stop",IF(E851&lt;&gt;0,IF(E851&lt;=K851,"OK","NG"),Blank),"-")</f>
        <v>#REF!</v>
      </c>
    </row>
    <row r="852" spans="1:18" ht="15" hidden="1" x14ac:dyDescent="0.3">
      <c r="A852" s="318" t="e">
        <f>#REF!</f>
        <v>#REF!</v>
      </c>
      <c r="B852" s="305" t="e">
        <f>#REF!</f>
        <v>#REF!</v>
      </c>
      <c r="C852" s="305" t="str">
        <f>'Danh sách máy'!C850</f>
        <v>Fact.4</v>
      </c>
      <c r="D852" s="90" t="e">
        <f>#REF!</f>
        <v>#REF!</v>
      </c>
      <c r="E852" s="97">
        <f>'Danh sách máy'!E850</f>
        <v>0</v>
      </c>
      <c r="F852" s="206" t="e">
        <f>#REF!</f>
        <v>#REF!</v>
      </c>
      <c r="G852" s="102" t="e">
        <f>#REF!</f>
        <v>#REF!</v>
      </c>
      <c r="H852" s="102" t="e">
        <f>#REF!</f>
        <v>#REF!</v>
      </c>
      <c r="K852" s="210" t="e">
        <f>#REF!</f>
        <v>#REF!</v>
      </c>
      <c r="L852" s="210">
        <v>45121</v>
      </c>
      <c r="M852" s="210"/>
      <c r="N852" s="210">
        <f>'Danh sách máy'!F850</f>
        <v>0</v>
      </c>
      <c r="O852" s="211" t="str" cm="1">
        <f t="array" ref="O852">IF(L852&lt;&gt;0,IF(L852&lt;I852,"OK","NG"),Blank)</f>
        <v>NG</v>
      </c>
      <c r="P852" s="211" t="e" cm="1">
        <f t="array" ref="P852">IF(M852&lt;&gt;0,IF(M852&lt;J852,"OK","NG"),Blank)</f>
        <v>#NAME?</v>
      </c>
      <c r="Q852" s="211" t="e" cm="1">
        <f t="array" ref="Q852">IF(H852&lt;&gt;"Stop",IF(N852&lt;&gt;0,IF(N852&lt;=K852,"OK","NG"),Blank),"-")</f>
        <v>#REF!</v>
      </c>
      <c r="R852" s="326" t="e" cm="1">
        <f t="array" ref="R852">IF(H852&lt;&gt;"Stop",IF(E852&lt;&gt;0,IF(E852&lt;=K852,"OK","NG"),Blank),"-")</f>
        <v>#REF!</v>
      </c>
    </row>
    <row r="853" spans="1:18" ht="15" hidden="1" x14ac:dyDescent="0.3">
      <c r="A853" s="318" t="e">
        <f>#REF!</f>
        <v>#REF!</v>
      </c>
      <c r="B853" s="305" t="e">
        <f>#REF!</f>
        <v>#REF!</v>
      </c>
      <c r="C853" s="305" t="str">
        <f>'Danh sách máy'!C851</f>
        <v>Fact.4</v>
      </c>
      <c r="D853" s="90" t="e">
        <f>#REF!</f>
        <v>#REF!</v>
      </c>
      <c r="E853" s="97">
        <f>'Danh sách máy'!E851</f>
        <v>46183</v>
      </c>
      <c r="F853" s="206" t="e">
        <f>#REF!</f>
        <v>#REF!</v>
      </c>
      <c r="G853" s="102" t="e">
        <f>#REF!</f>
        <v>#REF!</v>
      </c>
      <c r="H853" s="102" t="e">
        <f>#REF!</f>
        <v>#REF!</v>
      </c>
      <c r="K853" s="210" t="e">
        <f>#REF!</f>
        <v>#REF!</v>
      </c>
      <c r="L853" s="210">
        <v>45122</v>
      </c>
      <c r="M853" s="210"/>
      <c r="N853" s="210">
        <f>'Danh sách máy'!F851</f>
        <v>46186</v>
      </c>
      <c r="O853" s="211" t="str" cm="1">
        <f t="array" ref="O853">IF(L853&lt;&gt;0,IF(L853&lt;I853,"OK","NG"),Blank)</f>
        <v>NG</v>
      </c>
      <c r="P853" s="211" t="e" cm="1">
        <f t="array" ref="P853">IF(M853&lt;&gt;0,IF(M853&lt;J853,"OK","NG"),Blank)</f>
        <v>#NAME?</v>
      </c>
      <c r="Q853" s="211" t="e" cm="1">
        <f t="array" ref="Q853">IF(H853&lt;&gt;"Stop",IF(N853&lt;&gt;0,IF(N853&lt;=K853,"OK","NG"),Blank),"-")</f>
        <v>#REF!</v>
      </c>
      <c r="R853" s="326" t="e" cm="1">
        <f t="array" ref="R853">IF(H853&lt;&gt;"Stop",IF(E853&lt;&gt;0,IF(E853&lt;=K853,"OK","NG"),Blank),"-")</f>
        <v>#REF!</v>
      </c>
    </row>
    <row r="854" spans="1:18" ht="15" hidden="1" x14ac:dyDescent="0.3">
      <c r="A854" s="318" t="e">
        <f>#REF!</f>
        <v>#REF!</v>
      </c>
      <c r="B854" s="305" t="e">
        <f>#REF!</f>
        <v>#REF!</v>
      </c>
      <c r="C854" s="305" t="str">
        <f>'Danh sách máy'!C852</f>
        <v>Fact.4</v>
      </c>
      <c r="D854" s="90" t="e">
        <f>#REF!</f>
        <v>#REF!</v>
      </c>
      <c r="E854" s="97">
        <f>'Danh sách máy'!E852</f>
        <v>0</v>
      </c>
      <c r="F854" s="206" t="e">
        <f>#REF!</f>
        <v>#REF!</v>
      </c>
      <c r="G854" s="102" t="e">
        <f>#REF!</f>
        <v>#REF!</v>
      </c>
      <c r="H854" s="102" t="e">
        <f>#REF!</f>
        <v>#REF!</v>
      </c>
      <c r="K854" s="210" t="e">
        <f>#REF!</f>
        <v>#REF!</v>
      </c>
      <c r="L854" s="210">
        <v>45123</v>
      </c>
      <c r="M854" s="210"/>
      <c r="N854" s="210">
        <f>'Danh sách máy'!F852</f>
        <v>0</v>
      </c>
      <c r="O854" s="211" t="str" cm="1">
        <f t="array" ref="O854">IF(L854&lt;&gt;0,IF(L854&lt;I854,"OK","NG"),Blank)</f>
        <v>NG</v>
      </c>
      <c r="P854" s="211" t="e" cm="1">
        <f t="array" ref="P854">IF(M854&lt;&gt;0,IF(M854&lt;J854,"OK","NG"),Blank)</f>
        <v>#NAME?</v>
      </c>
      <c r="Q854" s="211" t="e" cm="1">
        <f t="array" ref="Q854">IF(H854&lt;&gt;"Stop",IF(N854&lt;&gt;0,IF(N854&lt;=K854,"OK","NG"),Blank),"-")</f>
        <v>#REF!</v>
      </c>
      <c r="R854" s="326" t="e" cm="1">
        <f t="array" ref="R854">IF(H854&lt;&gt;"Stop",IF(E854&lt;&gt;0,IF(E854&lt;=K854,"OK","NG"),Blank),"-")</f>
        <v>#REF!</v>
      </c>
    </row>
    <row r="855" spans="1:18" ht="15" hidden="1" x14ac:dyDescent="0.3">
      <c r="A855" s="318" t="e">
        <f>#REF!</f>
        <v>#REF!</v>
      </c>
      <c r="B855" s="305" t="e">
        <f>#REF!</f>
        <v>#REF!</v>
      </c>
      <c r="C855" s="305" t="str">
        <f>'Danh sách máy'!C853</f>
        <v>Fact.4</v>
      </c>
      <c r="D855" s="90" t="e">
        <f>#REF!</f>
        <v>#REF!</v>
      </c>
      <c r="E855" s="97">
        <f>'Danh sách máy'!E853</f>
        <v>46183</v>
      </c>
      <c r="F855" s="206" t="e">
        <f>#REF!</f>
        <v>#REF!</v>
      </c>
      <c r="G855" s="102" t="e">
        <f>#REF!</f>
        <v>#REF!</v>
      </c>
      <c r="H855" s="102" t="e">
        <f>#REF!</f>
        <v>#REF!</v>
      </c>
      <c r="K855" s="210" t="e">
        <f>#REF!</f>
        <v>#REF!</v>
      </c>
      <c r="L855" s="210">
        <v>45124</v>
      </c>
      <c r="M855" s="210"/>
      <c r="N855" s="210">
        <f>'Danh sách máy'!F853</f>
        <v>46183</v>
      </c>
      <c r="O855" s="211" t="str" cm="1">
        <f t="array" ref="O855">IF(L855&lt;&gt;0,IF(L855&lt;I855,"OK","NG"),Blank)</f>
        <v>NG</v>
      </c>
      <c r="P855" s="211" t="e" cm="1">
        <f t="array" ref="P855">IF(M855&lt;&gt;0,IF(M855&lt;J855,"OK","NG"),Blank)</f>
        <v>#NAME?</v>
      </c>
      <c r="Q855" s="211" t="e" cm="1">
        <f t="array" ref="Q855">IF(H855&lt;&gt;"Stop",IF(N855&lt;&gt;0,IF(N855&lt;=K855,"OK","NG"),Blank),"-")</f>
        <v>#REF!</v>
      </c>
      <c r="R855" s="326" t="e" cm="1">
        <f t="array" ref="R855">IF(H855&lt;&gt;"Stop",IF(E855&lt;&gt;0,IF(E855&lt;=K855,"OK","NG"),Blank),"-")</f>
        <v>#REF!</v>
      </c>
    </row>
    <row r="856" spans="1:18" ht="15" hidden="1" x14ac:dyDescent="0.3">
      <c r="A856" s="318" t="e">
        <f>#REF!</f>
        <v>#REF!</v>
      </c>
      <c r="B856" s="305" t="e">
        <f>#REF!</f>
        <v>#REF!</v>
      </c>
      <c r="C856" s="305" t="str">
        <f>'Danh sách máy'!C854</f>
        <v>Fact.4</v>
      </c>
      <c r="D856" s="90" t="e">
        <f>#REF!</f>
        <v>#REF!</v>
      </c>
      <c r="E856" s="97">
        <f>'Danh sách máy'!E854</f>
        <v>0</v>
      </c>
      <c r="F856" s="206" t="e">
        <f>#REF!</f>
        <v>#REF!</v>
      </c>
      <c r="G856" s="102" t="e">
        <f>#REF!</f>
        <v>#REF!</v>
      </c>
      <c r="H856" s="102" t="e">
        <f>#REF!</f>
        <v>#REF!</v>
      </c>
      <c r="K856" s="210" t="e">
        <f>#REF!</f>
        <v>#REF!</v>
      </c>
      <c r="L856" s="210">
        <v>45125</v>
      </c>
      <c r="M856" s="210"/>
      <c r="N856" s="210">
        <f>'Danh sách máy'!F854</f>
        <v>0</v>
      </c>
      <c r="O856" s="211" t="str" cm="1">
        <f t="array" ref="O856">IF(L856&lt;&gt;0,IF(L856&lt;I856,"OK","NG"),Blank)</f>
        <v>NG</v>
      </c>
      <c r="P856" s="211" t="e" cm="1">
        <f t="array" ref="P856">IF(M856&lt;&gt;0,IF(M856&lt;J856,"OK","NG"),Blank)</f>
        <v>#NAME?</v>
      </c>
      <c r="Q856" s="211" t="e" cm="1">
        <f t="array" ref="Q856">IF(H856&lt;&gt;"Stop",IF(N856&lt;&gt;0,IF(N856&lt;=K856,"OK","NG"),Blank),"-")</f>
        <v>#REF!</v>
      </c>
      <c r="R856" s="326" t="e" cm="1">
        <f t="array" ref="R856">IF(H856&lt;&gt;"Stop",IF(E856&lt;&gt;0,IF(E856&lt;=K856,"OK","NG"),Blank),"-")</f>
        <v>#REF!</v>
      </c>
    </row>
    <row r="857" spans="1:18" ht="30" hidden="1" x14ac:dyDescent="0.3">
      <c r="A857" s="318" t="e">
        <f>#REF!</f>
        <v>#REF!</v>
      </c>
      <c r="B857" s="305" t="e">
        <f>#REF!</f>
        <v>#REF!</v>
      </c>
      <c r="C857" s="305" t="str">
        <f>'Danh sách máy'!C855</f>
        <v>Fact.4</v>
      </c>
      <c r="D857" s="90" t="e">
        <f>#REF!</f>
        <v>#REF!</v>
      </c>
      <c r="E857" s="97">
        <f>'Danh sách máy'!E855</f>
        <v>0</v>
      </c>
      <c r="F857" s="206" t="e">
        <f>#REF!</f>
        <v>#REF!</v>
      </c>
      <c r="G857" s="102" t="e">
        <f>#REF!</f>
        <v>#REF!</v>
      </c>
      <c r="H857" s="102" t="e">
        <f>#REF!</f>
        <v>#REF!</v>
      </c>
      <c r="K857" s="210" t="e">
        <f>#REF!</f>
        <v>#REF!</v>
      </c>
      <c r="L857" s="210">
        <v>45126</v>
      </c>
      <c r="M857" s="210"/>
      <c r="N857" s="210">
        <f>'Danh sách máy'!F855</f>
        <v>0</v>
      </c>
      <c r="O857" s="211" t="str" cm="1">
        <f t="array" ref="O857">IF(L857&lt;&gt;0,IF(L857&lt;I857,"OK","NG"),Blank)</f>
        <v>NG</v>
      </c>
      <c r="P857" s="211" t="e" cm="1">
        <f t="array" ref="P857">IF(M857&lt;&gt;0,IF(M857&lt;J857,"OK","NG"),Blank)</f>
        <v>#NAME?</v>
      </c>
      <c r="Q857" s="211" t="e" cm="1">
        <f t="array" ref="Q857">IF(H857&lt;&gt;"Stop",IF(N857&lt;&gt;0,IF(N857&lt;=K857,"OK","NG"),Blank),"-")</f>
        <v>#REF!</v>
      </c>
      <c r="R857" s="326" t="e" cm="1">
        <f t="array" ref="R857">IF(H857&lt;&gt;"Stop",IF(E857&lt;&gt;0,IF(E857&lt;=K857,"OK","NG"),Blank),"-")</f>
        <v>#REF!</v>
      </c>
    </row>
    <row r="858" spans="1:18" ht="15" hidden="1" x14ac:dyDescent="0.3">
      <c r="A858" s="318" t="e">
        <f>#REF!</f>
        <v>#REF!</v>
      </c>
      <c r="B858" s="305" t="e">
        <f>#REF!</f>
        <v>#REF!</v>
      </c>
      <c r="C858" s="305" t="str">
        <f>'Danh sách máy'!C856</f>
        <v>Fact.4</v>
      </c>
      <c r="D858" s="90" t="e">
        <f>#REF!</f>
        <v>#REF!</v>
      </c>
      <c r="E858" s="97">
        <f>'Danh sách máy'!E856</f>
        <v>46169</v>
      </c>
      <c r="F858" s="206" t="e">
        <f>#REF!</f>
        <v>#REF!</v>
      </c>
      <c r="G858" s="102" t="e">
        <f>#REF!</f>
        <v>#REF!</v>
      </c>
      <c r="H858" s="102" t="e">
        <f>#REF!</f>
        <v>#REF!</v>
      </c>
      <c r="K858" s="210" t="e">
        <f>#REF!</f>
        <v>#REF!</v>
      </c>
      <c r="L858" s="210">
        <v>45127</v>
      </c>
      <c r="M858" s="210"/>
      <c r="N858" s="210">
        <f>'Danh sách máy'!F856</f>
        <v>46171</v>
      </c>
      <c r="O858" s="211" t="str" cm="1">
        <f t="array" ref="O858">IF(L858&lt;&gt;0,IF(L858&lt;I858,"OK","NG"),Blank)</f>
        <v>NG</v>
      </c>
      <c r="P858" s="211" t="e" cm="1">
        <f t="array" ref="P858">IF(M858&lt;&gt;0,IF(M858&lt;J858,"OK","NG"),Blank)</f>
        <v>#NAME?</v>
      </c>
      <c r="Q858" s="211" t="e" cm="1">
        <f t="array" ref="Q858">IF(H858&lt;&gt;"Stop",IF(N858&lt;&gt;0,IF(N858&lt;=K858,"OK","NG"),Blank),"-")</f>
        <v>#REF!</v>
      </c>
      <c r="R858" s="326" t="e" cm="1">
        <f t="array" ref="R858">IF(H858&lt;&gt;"Stop",IF(E858&lt;&gt;0,IF(E858&lt;=K858,"OK","NG"),Blank),"-")</f>
        <v>#REF!</v>
      </c>
    </row>
    <row r="859" spans="1:18" ht="15" hidden="1" x14ac:dyDescent="0.3">
      <c r="A859" s="318" t="e">
        <f>#REF!</f>
        <v>#REF!</v>
      </c>
      <c r="B859" s="305" t="e">
        <f>#REF!</f>
        <v>#REF!</v>
      </c>
      <c r="C859" s="305" t="str">
        <f>'Danh sách máy'!C857</f>
        <v>Fact.4</v>
      </c>
      <c r="D859" s="90" t="e">
        <f>#REF!</f>
        <v>#REF!</v>
      </c>
      <c r="E859" s="97">
        <f>'Danh sách máy'!E857</f>
        <v>0</v>
      </c>
      <c r="F859" s="206" t="e">
        <f>#REF!</f>
        <v>#REF!</v>
      </c>
      <c r="G859" s="102" t="e">
        <f>#REF!</f>
        <v>#REF!</v>
      </c>
      <c r="H859" s="102" t="e">
        <f>#REF!</f>
        <v>#REF!</v>
      </c>
      <c r="K859" s="210" t="e">
        <f>#REF!</f>
        <v>#REF!</v>
      </c>
      <c r="L859" s="210">
        <v>45128</v>
      </c>
      <c r="M859" s="210"/>
      <c r="N859" s="210">
        <f>'Danh sách máy'!F857</f>
        <v>0</v>
      </c>
      <c r="O859" s="211" t="str" cm="1">
        <f t="array" ref="O859">IF(L859&lt;&gt;0,IF(L859&lt;I859,"OK","NG"),Blank)</f>
        <v>NG</v>
      </c>
      <c r="P859" s="211" t="e" cm="1">
        <f t="array" ref="P859">IF(M859&lt;&gt;0,IF(M859&lt;J859,"OK","NG"),Blank)</f>
        <v>#NAME?</v>
      </c>
      <c r="Q859" s="211" t="e" cm="1">
        <f t="array" ref="Q859">IF(H859&lt;&gt;"Stop",IF(N859&lt;&gt;0,IF(N859&lt;=K859,"OK","NG"),Blank),"-")</f>
        <v>#REF!</v>
      </c>
      <c r="R859" s="326" t="e" cm="1">
        <f t="array" ref="R859">IF(H859&lt;&gt;"Stop",IF(E859&lt;&gt;0,IF(E859&lt;=K859,"OK","NG"),Blank),"-")</f>
        <v>#REF!</v>
      </c>
    </row>
    <row r="860" spans="1:18" ht="15" hidden="1" x14ac:dyDescent="0.3">
      <c r="A860" s="318" t="e">
        <f>#REF!</f>
        <v>#REF!</v>
      </c>
      <c r="B860" s="305" t="e">
        <f>#REF!</f>
        <v>#REF!</v>
      </c>
      <c r="C860" s="305" t="str">
        <f>'Danh sách máy'!C858</f>
        <v>Fact.4</v>
      </c>
      <c r="D860" s="90" t="e">
        <f>#REF!</f>
        <v>#REF!</v>
      </c>
      <c r="E860" s="97">
        <f>'Danh sách máy'!E858</f>
        <v>0</v>
      </c>
      <c r="F860" s="206" t="e">
        <f>#REF!</f>
        <v>#REF!</v>
      </c>
      <c r="G860" s="102" t="e">
        <f>#REF!</f>
        <v>#REF!</v>
      </c>
      <c r="H860" s="102" t="e">
        <f>#REF!</f>
        <v>#REF!</v>
      </c>
      <c r="K860" s="210" t="e">
        <f>#REF!</f>
        <v>#REF!</v>
      </c>
      <c r="L860" s="210">
        <v>45129</v>
      </c>
      <c r="M860" s="210"/>
      <c r="N860" s="210">
        <f>'Danh sách máy'!F858</f>
        <v>0</v>
      </c>
      <c r="O860" s="211" t="str" cm="1">
        <f t="array" ref="O860">IF(L860&lt;&gt;0,IF(L860&lt;I860,"OK","NG"),Blank)</f>
        <v>NG</v>
      </c>
      <c r="P860" s="211" t="e" cm="1">
        <f t="array" ref="P860">IF(M860&lt;&gt;0,IF(M860&lt;J860,"OK","NG"),Blank)</f>
        <v>#NAME?</v>
      </c>
      <c r="Q860" s="211" t="e" cm="1">
        <f t="array" ref="Q860">IF(H860&lt;&gt;"Stop",IF(N860&lt;&gt;0,IF(N860&lt;=K860,"OK","NG"),Blank),"-")</f>
        <v>#REF!</v>
      </c>
      <c r="R860" s="326" t="e" cm="1">
        <f t="array" ref="R860">IF(H860&lt;&gt;"Stop",IF(E860&lt;&gt;0,IF(E860&lt;=K860,"OK","NG"),Blank),"-")</f>
        <v>#REF!</v>
      </c>
    </row>
    <row r="861" spans="1:18" ht="15" hidden="1" x14ac:dyDescent="0.3">
      <c r="A861" s="318" t="e">
        <f>#REF!</f>
        <v>#REF!</v>
      </c>
      <c r="B861" s="305" t="e">
        <f>#REF!</f>
        <v>#REF!</v>
      </c>
      <c r="C861" s="305" t="str">
        <f>'Danh sách máy'!C859</f>
        <v>Fact.4</v>
      </c>
      <c r="D861" s="90" t="e">
        <f>#REF!</f>
        <v>#REF!</v>
      </c>
      <c r="E861" s="97">
        <f>'Danh sách máy'!E859</f>
        <v>0</v>
      </c>
      <c r="F861" s="206" t="e">
        <f>#REF!</f>
        <v>#REF!</v>
      </c>
      <c r="G861" s="102" t="e">
        <f>#REF!</f>
        <v>#REF!</v>
      </c>
      <c r="H861" s="102" t="e">
        <f>#REF!</f>
        <v>#REF!</v>
      </c>
      <c r="K861" s="210" t="e">
        <f>#REF!</f>
        <v>#REF!</v>
      </c>
      <c r="L861" s="210">
        <v>45130</v>
      </c>
      <c r="M861" s="210"/>
      <c r="N861" s="210">
        <f>'Danh sách máy'!F859</f>
        <v>0</v>
      </c>
      <c r="O861" s="211" t="str" cm="1">
        <f t="array" ref="O861">IF(L861&lt;&gt;0,IF(L861&lt;I861,"OK","NG"),Blank)</f>
        <v>NG</v>
      </c>
      <c r="P861" s="211" t="e" cm="1">
        <f t="array" ref="P861">IF(M861&lt;&gt;0,IF(M861&lt;J861,"OK","NG"),Blank)</f>
        <v>#NAME?</v>
      </c>
      <c r="Q861" s="211" t="e" cm="1">
        <f t="array" ref="Q861">IF(H861&lt;&gt;"Stop",IF(N861&lt;&gt;0,IF(N861&lt;=K861,"OK","NG"),Blank),"-")</f>
        <v>#REF!</v>
      </c>
      <c r="R861" s="326" t="e" cm="1">
        <f t="array" ref="R861">IF(H861&lt;&gt;"Stop",IF(E861&lt;&gt;0,IF(E861&lt;=K861,"OK","NG"),Blank),"-")</f>
        <v>#REF!</v>
      </c>
    </row>
    <row r="862" spans="1:18" ht="15" hidden="1" x14ac:dyDescent="0.3">
      <c r="A862" s="318" t="e">
        <f>#REF!</f>
        <v>#REF!</v>
      </c>
      <c r="B862" s="305" t="e">
        <f>#REF!</f>
        <v>#REF!</v>
      </c>
      <c r="C862" s="305" t="str">
        <f>'Danh sách máy'!C860</f>
        <v>Fact.4</v>
      </c>
      <c r="D862" s="90" t="e">
        <f>#REF!</f>
        <v>#REF!</v>
      </c>
      <c r="E862" s="97">
        <f>'Danh sách máy'!E860</f>
        <v>0</v>
      </c>
      <c r="F862" s="206" t="e">
        <f>#REF!</f>
        <v>#REF!</v>
      </c>
      <c r="G862" s="102" t="e">
        <f>#REF!</f>
        <v>#REF!</v>
      </c>
      <c r="H862" s="102" t="e">
        <f>#REF!</f>
        <v>#REF!</v>
      </c>
      <c r="K862" s="210" t="e">
        <f>#REF!</f>
        <v>#REF!</v>
      </c>
      <c r="L862" s="210">
        <v>45131</v>
      </c>
      <c r="M862" s="210"/>
      <c r="N862" s="210">
        <f>'Danh sách máy'!F860</f>
        <v>0</v>
      </c>
      <c r="O862" s="211" t="str" cm="1">
        <f t="array" ref="O862">IF(L862&lt;&gt;0,IF(L862&lt;I862,"OK","NG"),Blank)</f>
        <v>NG</v>
      </c>
      <c r="P862" s="211" t="e" cm="1">
        <f t="array" ref="P862">IF(M862&lt;&gt;0,IF(M862&lt;J862,"OK","NG"),Blank)</f>
        <v>#NAME?</v>
      </c>
      <c r="Q862" s="211" t="e" cm="1">
        <f t="array" ref="Q862">IF(H862&lt;&gt;"Stop",IF(N862&lt;&gt;0,IF(N862&lt;=K862,"OK","NG"),Blank),"-")</f>
        <v>#REF!</v>
      </c>
      <c r="R862" s="326" t="e" cm="1">
        <f t="array" ref="R862">IF(H862&lt;&gt;"Stop",IF(E862&lt;&gt;0,IF(E862&lt;=K862,"OK","NG"),Blank),"-")</f>
        <v>#REF!</v>
      </c>
    </row>
    <row r="863" spans="1:18" ht="30" hidden="1" x14ac:dyDescent="0.3">
      <c r="A863" s="318" t="e">
        <f>#REF!</f>
        <v>#REF!</v>
      </c>
      <c r="B863" s="305" t="e">
        <f>#REF!</f>
        <v>#REF!</v>
      </c>
      <c r="C863" s="305" t="str">
        <f>'Danh sách máy'!C861</f>
        <v>Fact.4</v>
      </c>
      <c r="D863" s="90" t="e">
        <f>#REF!</f>
        <v>#REF!</v>
      </c>
      <c r="E863" s="97">
        <f>'Danh sách máy'!E861</f>
        <v>0</v>
      </c>
      <c r="F863" s="206" t="e">
        <f>#REF!</f>
        <v>#REF!</v>
      </c>
      <c r="G863" s="102" t="e">
        <f>#REF!</f>
        <v>#REF!</v>
      </c>
      <c r="H863" s="102" t="e">
        <f>#REF!</f>
        <v>#REF!</v>
      </c>
      <c r="K863" s="210" t="e">
        <f>#REF!</f>
        <v>#REF!</v>
      </c>
      <c r="L863" s="210">
        <v>45132</v>
      </c>
      <c r="M863" s="210"/>
      <c r="N863" s="210">
        <f>'Danh sách máy'!F861</f>
        <v>0</v>
      </c>
      <c r="O863" s="211" t="str" cm="1">
        <f t="array" ref="O863">IF(L863&lt;&gt;0,IF(L863&lt;I863,"OK","NG"),Blank)</f>
        <v>NG</v>
      </c>
      <c r="P863" s="211" t="e" cm="1">
        <f t="array" ref="P863">IF(M863&lt;&gt;0,IF(M863&lt;J863,"OK","NG"),Blank)</f>
        <v>#NAME?</v>
      </c>
      <c r="Q863" s="211" t="e" cm="1">
        <f t="array" ref="Q863">IF(H863&lt;&gt;"Stop",IF(N863&lt;&gt;0,IF(N863&lt;=K863,"OK","NG"),Blank),"-")</f>
        <v>#REF!</v>
      </c>
      <c r="R863" s="326" t="e" cm="1">
        <f t="array" ref="R863">IF(H863&lt;&gt;"Stop",IF(E863&lt;&gt;0,IF(E863&lt;=K863,"OK","NG"),Blank),"-")</f>
        <v>#REF!</v>
      </c>
    </row>
    <row r="864" spans="1:18" ht="30" hidden="1" x14ac:dyDescent="0.3">
      <c r="A864" s="318" t="e">
        <f>#REF!</f>
        <v>#REF!</v>
      </c>
      <c r="B864" s="305" t="e">
        <f>#REF!</f>
        <v>#REF!</v>
      </c>
      <c r="C864" s="305" t="str">
        <f>'Danh sách máy'!C862</f>
        <v>Fact.4</v>
      </c>
      <c r="D864" s="90" t="e">
        <f>#REF!</f>
        <v>#REF!</v>
      </c>
      <c r="E864" s="97">
        <f>'Danh sách máy'!E862</f>
        <v>0</v>
      </c>
      <c r="F864" s="206" t="e">
        <f>#REF!</f>
        <v>#REF!</v>
      </c>
      <c r="G864" s="102" t="e">
        <f>#REF!</f>
        <v>#REF!</v>
      </c>
      <c r="H864" s="102" t="e">
        <f>#REF!</f>
        <v>#REF!</v>
      </c>
      <c r="K864" s="210" t="e">
        <f>#REF!</f>
        <v>#REF!</v>
      </c>
      <c r="L864" s="210">
        <v>45133</v>
      </c>
      <c r="M864" s="210"/>
      <c r="N864" s="210">
        <f>'Danh sách máy'!F862</f>
        <v>0</v>
      </c>
      <c r="O864" s="211" t="str" cm="1">
        <f t="array" ref="O864">IF(L864&lt;&gt;0,IF(L864&lt;I864,"OK","NG"),Blank)</f>
        <v>NG</v>
      </c>
      <c r="P864" s="211" t="e" cm="1">
        <f t="array" ref="P864">IF(M864&lt;&gt;0,IF(M864&lt;J864,"OK","NG"),Blank)</f>
        <v>#NAME?</v>
      </c>
      <c r="Q864" s="211" t="e" cm="1">
        <f t="array" ref="Q864">IF(H864&lt;&gt;"Stop",IF(N864&lt;&gt;0,IF(N864&lt;=K864,"OK","NG"),Blank),"-")</f>
        <v>#REF!</v>
      </c>
      <c r="R864" s="326" t="e" cm="1">
        <f t="array" ref="R864">IF(H864&lt;&gt;"Stop",IF(E864&lt;&gt;0,IF(E864&lt;=K864,"OK","NG"),Blank),"-")</f>
        <v>#REF!</v>
      </c>
    </row>
    <row r="865" spans="1:18" ht="15" hidden="1" x14ac:dyDescent="0.3">
      <c r="A865" s="318" t="e">
        <f>#REF!</f>
        <v>#REF!</v>
      </c>
      <c r="B865" s="305" t="e">
        <f>#REF!</f>
        <v>#REF!</v>
      </c>
      <c r="C865" s="305" t="str">
        <f>'Danh sách máy'!C863</f>
        <v>Fact.4</v>
      </c>
      <c r="D865" s="90" t="e">
        <f>#REF!</f>
        <v>#REF!</v>
      </c>
      <c r="E865" s="97">
        <f>'Danh sách máy'!E863</f>
        <v>0</v>
      </c>
      <c r="F865" s="206" t="e">
        <f>#REF!</f>
        <v>#REF!</v>
      </c>
      <c r="G865" s="102" t="e">
        <f>#REF!</f>
        <v>#REF!</v>
      </c>
      <c r="H865" s="102" t="e">
        <f>#REF!</f>
        <v>#REF!</v>
      </c>
      <c r="K865" s="210" t="e">
        <f>#REF!</f>
        <v>#REF!</v>
      </c>
      <c r="L865" s="210">
        <v>45134</v>
      </c>
      <c r="M865" s="210"/>
      <c r="N865" s="210">
        <f>'Danh sách máy'!F863</f>
        <v>0</v>
      </c>
      <c r="O865" s="211" t="str" cm="1">
        <f t="array" ref="O865">IF(L865&lt;&gt;0,IF(L865&lt;I865,"OK","NG"),Blank)</f>
        <v>NG</v>
      </c>
      <c r="P865" s="211" t="e" cm="1">
        <f t="array" ref="P865">IF(M865&lt;&gt;0,IF(M865&lt;J865,"OK","NG"),Blank)</f>
        <v>#NAME?</v>
      </c>
      <c r="Q865" s="211" t="e" cm="1">
        <f t="array" ref="Q865">IF(H865&lt;&gt;"Stop",IF(N865&lt;&gt;0,IF(N865&lt;=K865,"OK","NG"),Blank),"-")</f>
        <v>#REF!</v>
      </c>
      <c r="R865" s="326" t="e" cm="1">
        <f t="array" ref="R865">IF(H865&lt;&gt;"Stop",IF(E865&lt;&gt;0,IF(E865&lt;=K865,"OK","NG"),Blank),"-")</f>
        <v>#REF!</v>
      </c>
    </row>
    <row r="866" spans="1:18" ht="30" hidden="1" x14ac:dyDescent="0.3">
      <c r="A866" s="318" t="e">
        <f>#REF!</f>
        <v>#REF!</v>
      </c>
      <c r="B866" s="305" t="e">
        <f>#REF!</f>
        <v>#REF!</v>
      </c>
      <c r="C866" s="305" t="str">
        <f>'Danh sách máy'!C864</f>
        <v>Fact.4</v>
      </c>
      <c r="D866" s="90" t="e">
        <f>#REF!</f>
        <v>#REF!</v>
      </c>
      <c r="E866" s="97">
        <f>'Danh sách máy'!E864</f>
        <v>0</v>
      </c>
      <c r="F866" s="206" t="e">
        <f>#REF!</f>
        <v>#REF!</v>
      </c>
      <c r="G866" s="102" t="e">
        <f>#REF!</f>
        <v>#REF!</v>
      </c>
      <c r="H866" s="102" t="e">
        <f>#REF!</f>
        <v>#REF!</v>
      </c>
      <c r="K866" s="210" t="e">
        <f>#REF!</f>
        <v>#REF!</v>
      </c>
      <c r="L866" s="210">
        <v>45135</v>
      </c>
      <c r="M866" s="210"/>
      <c r="N866" s="210">
        <f>'Danh sách máy'!F864</f>
        <v>0</v>
      </c>
      <c r="O866" s="211" t="str" cm="1">
        <f t="array" ref="O866">IF(L866&lt;&gt;0,IF(L866&lt;I866,"OK","NG"),Blank)</f>
        <v>NG</v>
      </c>
      <c r="P866" s="211" t="e" cm="1">
        <f t="array" ref="P866">IF(M866&lt;&gt;0,IF(M866&lt;J866,"OK","NG"),Blank)</f>
        <v>#NAME?</v>
      </c>
      <c r="Q866" s="211" t="e" cm="1">
        <f t="array" ref="Q866">IF(H866&lt;&gt;"Stop",IF(N866&lt;&gt;0,IF(N866&lt;=K866,"OK","NG"),Blank),"-")</f>
        <v>#REF!</v>
      </c>
      <c r="R866" s="326" t="e" cm="1">
        <f t="array" ref="R866">IF(H866&lt;&gt;"Stop",IF(E866&lt;&gt;0,IF(E866&lt;=K866,"OK","NG"),Blank),"-")</f>
        <v>#REF!</v>
      </c>
    </row>
    <row r="867" spans="1:18" ht="15" hidden="1" x14ac:dyDescent="0.3">
      <c r="A867" s="318" t="e">
        <f>#REF!</f>
        <v>#REF!</v>
      </c>
      <c r="B867" s="305" t="e">
        <f>#REF!</f>
        <v>#REF!</v>
      </c>
      <c r="C867" s="305" t="str">
        <f>'Danh sách máy'!C865</f>
        <v>Fact.4</v>
      </c>
      <c r="D867" s="90" t="e">
        <f>#REF!</f>
        <v>#REF!</v>
      </c>
      <c r="E867" s="97">
        <f>'Danh sách máy'!E865</f>
        <v>0</v>
      </c>
      <c r="F867" s="206" t="e">
        <f>#REF!</f>
        <v>#REF!</v>
      </c>
      <c r="G867" s="102" t="e">
        <f>#REF!</f>
        <v>#REF!</v>
      </c>
      <c r="H867" s="102" t="e">
        <f>#REF!</f>
        <v>#REF!</v>
      </c>
      <c r="K867" s="210" t="e">
        <f>#REF!</f>
        <v>#REF!</v>
      </c>
      <c r="L867" s="210">
        <v>45136</v>
      </c>
      <c r="M867" s="210"/>
      <c r="N867" s="210">
        <f>'Danh sách máy'!F865</f>
        <v>0</v>
      </c>
      <c r="O867" s="211" t="str" cm="1">
        <f t="array" ref="O867">IF(L867&lt;&gt;0,IF(L867&lt;I867,"OK","NG"),Blank)</f>
        <v>NG</v>
      </c>
      <c r="P867" s="211" t="e" cm="1">
        <f t="array" ref="P867">IF(M867&lt;&gt;0,IF(M867&lt;J867,"OK","NG"),Blank)</f>
        <v>#NAME?</v>
      </c>
      <c r="Q867" s="211" t="e" cm="1">
        <f t="array" ref="Q867">IF(H867&lt;&gt;"Stop",IF(N867&lt;&gt;0,IF(N867&lt;=K867,"OK","NG"),Blank),"-")</f>
        <v>#REF!</v>
      </c>
      <c r="R867" s="326" t="e" cm="1">
        <f t="array" ref="R867">IF(H867&lt;&gt;"Stop",IF(E867&lt;&gt;0,IF(E867&lt;=K867,"OK","NG"),Blank),"-")</f>
        <v>#REF!</v>
      </c>
    </row>
    <row r="868" spans="1:18" ht="15" hidden="1" x14ac:dyDescent="0.3">
      <c r="A868" s="318" t="e">
        <f>#REF!</f>
        <v>#REF!</v>
      </c>
      <c r="B868" s="305" t="e">
        <f>#REF!</f>
        <v>#REF!</v>
      </c>
      <c r="C868" s="305" t="str">
        <f>'Danh sách máy'!C866</f>
        <v>Fact.4</v>
      </c>
      <c r="D868" s="90" t="e">
        <f>#REF!</f>
        <v>#REF!</v>
      </c>
      <c r="E868" s="97">
        <f>'Danh sách máy'!E866</f>
        <v>0</v>
      </c>
      <c r="F868" s="206" t="e">
        <f>#REF!</f>
        <v>#REF!</v>
      </c>
      <c r="G868" s="102" t="e">
        <f>#REF!</f>
        <v>#REF!</v>
      </c>
      <c r="H868" s="102" t="e">
        <f>#REF!</f>
        <v>#REF!</v>
      </c>
      <c r="K868" s="210" t="e">
        <f>#REF!</f>
        <v>#REF!</v>
      </c>
      <c r="L868" s="210">
        <v>45137</v>
      </c>
      <c r="M868" s="210"/>
      <c r="N868" s="210">
        <f>'Danh sách máy'!F866</f>
        <v>0</v>
      </c>
      <c r="O868" s="211" t="str" cm="1">
        <f t="array" ref="O868">IF(L868&lt;&gt;0,IF(L868&lt;I868,"OK","NG"),Blank)</f>
        <v>NG</v>
      </c>
      <c r="P868" s="211" t="e" cm="1">
        <f t="array" ref="P868">IF(M868&lt;&gt;0,IF(M868&lt;J868,"OK","NG"),Blank)</f>
        <v>#NAME?</v>
      </c>
      <c r="Q868" s="211" t="e" cm="1">
        <f t="array" ref="Q868">IF(H868&lt;&gt;"Stop",IF(N868&lt;&gt;0,IF(N868&lt;=K868,"OK","NG"),Blank),"-")</f>
        <v>#REF!</v>
      </c>
      <c r="R868" s="326" t="e" cm="1">
        <f t="array" ref="R868">IF(H868&lt;&gt;"Stop",IF(E868&lt;&gt;0,IF(E868&lt;=K868,"OK","NG"),Blank),"-")</f>
        <v>#REF!</v>
      </c>
    </row>
    <row r="869" spans="1:18" ht="15" hidden="1" x14ac:dyDescent="0.3">
      <c r="A869" s="318" t="e">
        <f>#REF!</f>
        <v>#REF!</v>
      </c>
      <c r="B869" s="305" t="e">
        <f>#REF!</f>
        <v>#REF!</v>
      </c>
      <c r="C869" s="305" t="str">
        <f>'Danh sách máy'!C867</f>
        <v>Fact.4</v>
      </c>
      <c r="D869" s="90" t="e">
        <f>#REF!</f>
        <v>#REF!</v>
      </c>
      <c r="E869" s="97">
        <f>'Danh sách máy'!E867</f>
        <v>0</v>
      </c>
      <c r="F869" s="206" t="e">
        <f>#REF!</f>
        <v>#REF!</v>
      </c>
      <c r="G869" s="102" t="e">
        <f>#REF!</f>
        <v>#REF!</v>
      </c>
      <c r="H869" s="102" t="e">
        <f>#REF!</f>
        <v>#REF!</v>
      </c>
      <c r="K869" s="210" t="e">
        <f>#REF!</f>
        <v>#REF!</v>
      </c>
      <c r="L869" s="210">
        <v>45138</v>
      </c>
      <c r="M869" s="210"/>
      <c r="N869" s="210">
        <f>'Danh sách máy'!F867</f>
        <v>0</v>
      </c>
      <c r="O869" s="211" t="str" cm="1">
        <f t="array" ref="O869">IF(L869&lt;&gt;0,IF(L869&lt;I869,"OK","NG"),Blank)</f>
        <v>NG</v>
      </c>
      <c r="P869" s="211" t="e" cm="1">
        <f t="array" ref="P869">IF(M869&lt;&gt;0,IF(M869&lt;J869,"OK","NG"),Blank)</f>
        <v>#NAME?</v>
      </c>
      <c r="Q869" s="211" t="e" cm="1">
        <f t="array" ref="Q869">IF(H869&lt;&gt;"Stop",IF(N869&lt;&gt;0,IF(N869&lt;=K869,"OK","NG"),Blank),"-")</f>
        <v>#REF!</v>
      </c>
      <c r="R869" s="326" t="e" cm="1">
        <f t="array" ref="R869">IF(H869&lt;&gt;"Stop",IF(E869&lt;&gt;0,IF(E869&lt;=K869,"OK","NG"),Blank),"-")</f>
        <v>#REF!</v>
      </c>
    </row>
    <row r="870" spans="1:18" ht="30" hidden="1" x14ac:dyDescent="0.3">
      <c r="A870" s="318" t="e">
        <f>#REF!</f>
        <v>#REF!</v>
      </c>
      <c r="B870" s="305" t="e">
        <f>#REF!</f>
        <v>#REF!</v>
      </c>
      <c r="C870" s="305" t="str">
        <f>'Danh sách máy'!C869</f>
        <v>Fact.4</v>
      </c>
      <c r="D870" s="90" t="e">
        <f>#REF!</f>
        <v>#REF!</v>
      </c>
      <c r="E870" s="97">
        <f>'Danh sách máy'!E869</f>
        <v>46169</v>
      </c>
      <c r="F870" s="206" t="e">
        <f>#REF!</f>
        <v>#REF!</v>
      </c>
      <c r="G870" s="102" t="e">
        <f>#REF!</f>
        <v>#REF!</v>
      </c>
      <c r="H870" s="102" t="e">
        <f>#REF!</f>
        <v>#REF!</v>
      </c>
      <c r="K870" s="210" t="e">
        <f>#REF!</f>
        <v>#REF!</v>
      </c>
      <c r="L870" s="210">
        <v>45139</v>
      </c>
      <c r="M870" s="210"/>
      <c r="N870" s="210">
        <f>'Danh sách máy'!F869</f>
        <v>46171</v>
      </c>
      <c r="O870" s="211" t="str" cm="1">
        <f t="array" ref="O870">IF(L870&lt;&gt;0,IF(L870&lt;I870,"OK","NG"),Blank)</f>
        <v>NG</v>
      </c>
      <c r="P870" s="211" t="e" cm="1">
        <f t="array" ref="P870">IF(M870&lt;&gt;0,IF(M870&lt;J870,"OK","NG"),Blank)</f>
        <v>#NAME?</v>
      </c>
      <c r="Q870" s="211" t="e" cm="1">
        <f t="array" ref="Q870">IF(H870&lt;&gt;"Stop",IF(N870&lt;&gt;0,IF(N870&lt;=K870,"OK","NG"),Blank),"-")</f>
        <v>#REF!</v>
      </c>
      <c r="R870" s="326" t="e" cm="1">
        <f t="array" ref="R870">IF(H870&lt;&gt;"Stop",IF(E870&lt;&gt;0,IF(E870&lt;=K870,"OK","NG"),Blank),"-")</f>
        <v>#REF!</v>
      </c>
    </row>
    <row r="871" spans="1:18" ht="15" hidden="1" x14ac:dyDescent="0.3">
      <c r="A871" s="318" t="e">
        <f>#REF!</f>
        <v>#REF!</v>
      </c>
      <c r="B871" s="305" t="e">
        <f>#REF!</f>
        <v>#REF!</v>
      </c>
      <c r="C871" s="305" t="str">
        <f>'Danh sách máy'!C870</f>
        <v>Fact.4</v>
      </c>
      <c r="D871" s="90" t="e">
        <f>#REF!</f>
        <v>#REF!</v>
      </c>
      <c r="E871" s="97">
        <f>'Danh sách máy'!E870</f>
        <v>0</v>
      </c>
      <c r="F871" s="206" t="e">
        <f>#REF!</f>
        <v>#REF!</v>
      </c>
      <c r="G871" s="102" t="e">
        <f>#REF!</f>
        <v>#REF!</v>
      </c>
      <c r="H871" s="102" t="e">
        <f>#REF!</f>
        <v>#REF!</v>
      </c>
      <c r="K871" s="210" t="e">
        <f>#REF!</f>
        <v>#REF!</v>
      </c>
      <c r="L871" s="210">
        <v>45140</v>
      </c>
      <c r="M871" s="210"/>
      <c r="N871" s="210">
        <f>'Danh sách máy'!F870</f>
        <v>0</v>
      </c>
      <c r="O871" s="211" t="str" cm="1">
        <f t="array" ref="O871">IF(L871&lt;&gt;0,IF(L871&lt;I871,"OK","NG"),Blank)</f>
        <v>NG</v>
      </c>
      <c r="P871" s="211" t="e" cm="1">
        <f t="array" ref="P871">IF(M871&lt;&gt;0,IF(M871&lt;J871,"OK","NG"),Blank)</f>
        <v>#NAME?</v>
      </c>
      <c r="Q871" s="211" t="e" cm="1">
        <f t="array" ref="Q871">IF(H871&lt;&gt;"Stop",IF(N871&lt;&gt;0,IF(N871&lt;=K871,"OK","NG"),Blank),"-")</f>
        <v>#REF!</v>
      </c>
      <c r="R871" s="326" t="e" cm="1">
        <f t="array" ref="R871">IF(H871&lt;&gt;"Stop",IF(E871&lt;&gt;0,IF(E871&lt;=K871,"OK","NG"),Blank),"-")</f>
        <v>#REF!</v>
      </c>
    </row>
    <row r="872" spans="1:18" ht="30" hidden="1" x14ac:dyDescent="0.3">
      <c r="A872" s="318" t="e">
        <f>#REF!</f>
        <v>#REF!</v>
      </c>
      <c r="B872" s="305" t="e">
        <f>#REF!</f>
        <v>#REF!</v>
      </c>
      <c r="C872" s="305" t="str">
        <f>'Danh sách máy'!C871</f>
        <v>Fact.4</v>
      </c>
      <c r="D872" s="90" t="e">
        <f>#REF!</f>
        <v>#REF!</v>
      </c>
      <c r="E872" s="97">
        <f>'Danh sách máy'!E871</f>
        <v>0</v>
      </c>
      <c r="F872" s="206" t="e">
        <f>#REF!</f>
        <v>#REF!</v>
      </c>
      <c r="G872" s="102" t="e">
        <f>#REF!</f>
        <v>#REF!</v>
      </c>
      <c r="H872" s="102" t="e">
        <f>#REF!</f>
        <v>#REF!</v>
      </c>
      <c r="K872" s="210" t="e">
        <f>#REF!</f>
        <v>#REF!</v>
      </c>
      <c r="L872" s="210">
        <v>45141</v>
      </c>
      <c r="M872" s="210"/>
      <c r="N872" s="210">
        <f>'Danh sách máy'!F871</f>
        <v>0</v>
      </c>
      <c r="O872" s="211" t="str" cm="1">
        <f t="array" ref="O872">IF(L872&lt;&gt;0,IF(L872&lt;I872,"OK","NG"),Blank)</f>
        <v>NG</v>
      </c>
      <c r="P872" s="211" t="e" cm="1">
        <f t="array" ref="P872">IF(M872&lt;&gt;0,IF(M872&lt;J872,"OK","NG"),Blank)</f>
        <v>#NAME?</v>
      </c>
      <c r="Q872" s="211" t="e" cm="1">
        <f t="array" ref="Q872">IF(H872&lt;&gt;"Stop",IF(N872&lt;&gt;0,IF(N872&lt;=K872,"OK","NG"),Blank),"-")</f>
        <v>#REF!</v>
      </c>
      <c r="R872" s="326" t="e" cm="1">
        <f t="array" ref="R872">IF(H872&lt;&gt;"Stop",IF(E872&lt;&gt;0,IF(E872&lt;=K872,"OK","NG"),Blank),"-")</f>
        <v>#REF!</v>
      </c>
    </row>
    <row r="873" spans="1:18" ht="15" hidden="1" x14ac:dyDescent="0.3">
      <c r="A873" s="318" t="e">
        <f>#REF!</f>
        <v>#REF!</v>
      </c>
      <c r="B873" s="305" t="e">
        <f>#REF!</f>
        <v>#REF!</v>
      </c>
      <c r="C873" s="305" t="str">
        <f>'Danh sách máy'!C872</f>
        <v>Fact.4</v>
      </c>
      <c r="D873" s="90" t="e">
        <f>#REF!</f>
        <v>#REF!</v>
      </c>
      <c r="E873" s="97">
        <f>'Danh sách máy'!E872</f>
        <v>0</v>
      </c>
      <c r="F873" s="206" t="e">
        <f>#REF!</f>
        <v>#REF!</v>
      </c>
      <c r="G873" s="102" t="e">
        <f>#REF!</f>
        <v>#REF!</v>
      </c>
      <c r="H873" s="102" t="e">
        <f>#REF!</f>
        <v>#REF!</v>
      </c>
      <c r="K873" s="210" t="e">
        <f>#REF!</f>
        <v>#REF!</v>
      </c>
      <c r="L873" s="210">
        <v>45142</v>
      </c>
      <c r="M873" s="210"/>
      <c r="N873" s="210">
        <f>'Danh sách máy'!F872</f>
        <v>46203</v>
      </c>
      <c r="O873" s="211" t="str" cm="1">
        <f t="array" ref="O873">IF(L873&lt;&gt;0,IF(L873&lt;I873,"OK","NG"),Blank)</f>
        <v>NG</v>
      </c>
      <c r="P873" s="211" t="e" cm="1">
        <f t="array" ref="P873">IF(M873&lt;&gt;0,IF(M873&lt;J873,"OK","NG"),Blank)</f>
        <v>#NAME?</v>
      </c>
      <c r="Q873" s="211" t="e" cm="1">
        <f t="array" ref="Q873">IF(H873&lt;&gt;"Stop",IF(N873&lt;&gt;0,IF(N873&lt;=K873,"OK","NG"),Blank),"-")</f>
        <v>#REF!</v>
      </c>
      <c r="R873" s="326" t="e" cm="1">
        <f t="array" ref="R873">IF(H873&lt;&gt;"Stop",IF(E873&lt;&gt;0,IF(E873&lt;=K873,"OK","NG"),Blank),"-")</f>
        <v>#REF!</v>
      </c>
    </row>
    <row r="874" spans="1:18" ht="15" hidden="1" x14ac:dyDescent="0.3">
      <c r="A874" s="318" t="e">
        <f>#REF!</f>
        <v>#REF!</v>
      </c>
      <c r="B874" s="305" t="e">
        <f>#REF!</f>
        <v>#REF!</v>
      </c>
      <c r="C874" s="305" t="str">
        <f>'Danh sách máy'!C873</f>
        <v>Fact.4</v>
      </c>
      <c r="D874" s="90" t="e">
        <f>#REF!</f>
        <v>#REF!</v>
      </c>
      <c r="E874" s="97">
        <f>'Danh sách máy'!E873</f>
        <v>0</v>
      </c>
      <c r="F874" s="206" t="e">
        <f>#REF!</f>
        <v>#REF!</v>
      </c>
      <c r="G874" s="102" t="e">
        <f>#REF!</f>
        <v>#REF!</v>
      </c>
      <c r="H874" s="102" t="e">
        <f>#REF!</f>
        <v>#REF!</v>
      </c>
      <c r="K874" s="210" t="e">
        <f>#REF!</f>
        <v>#REF!</v>
      </c>
      <c r="L874" s="210">
        <v>45143</v>
      </c>
      <c r="M874" s="210"/>
      <c r="N874" s="210">
        <f>'Danh sách máy'!F873</f>
        <v>0</v>
      </c>
      <c r="O874" s="211" t="str" cm="1">
        <f t="array" ref="O874">IF(L874&lt;&gt;0,IF(L874&lt;I874,"OK","NG"),Blank)</f>
        <v>NG</v>
      </c>
      <c r="P874" s="211" t="e" cm="1">
        <f t="array" ref="P874">IF(M874&lt;&gt;0,IF(M874&lt;J874,"OK","NG"),Blank)</f>
        <v>#NAME?</v>
      </c>
      <c r="Q874" s="211" t="e" cm="1">
        <f t="array" ref="Q874">IF(H874&lt;&gt;"Stop",IF(N874&lt;&gt;0,IF(N874&lt;=K874,"OK","NG"),Blank),"-")</f>
        <v>#REF!</v>
      </c>
      <c r="R874" s="326" t="e" cm="1">
        <f t="array" ref="R874">IF(H874&lt;&gt;"Stop",IF(E874&lt;&gt;0,IF(E874&lt;=K874,"OK","NG"),Blank),"-")</f>
        <v>#REF!</v>
      </c>
    </row>
    <row r="875" spans="1:18" ht="15" hidden="1" x14ac:dyDescent="0.3">
      <c r="A875" s="318" t="e">
        <f>#REF!</f>
        <v>#REF!</v>
      </c>
      <c r="B875" s="305" t="e">
        <f>#REF!</f>
        <v>#REF!</v>
      </c>
      <c r="C875" s="305" t="str">
        <f>'Danh sách máy'!C874</f>
        <v>Fact.4</v>
      </c>
      <c r="D875" s="90" t="e">
        <f>#REF!</f>
        <v>#REF!</v>
      </c>
      <c r="E875" s="97">
        <f>'Danh sách máy'!E874</f>
        <v>0</v>
      </c>
      <c r="F875" s="206" t="e">
        <f>#REF!</f>
        <v>#REF!</v>
      </c>
      <c r="G875" s="102" t="e">
        <f>#REF!</f>
        <v>#REF!</v>
      </c>
      <c r="H875" s="102" t="e">
        <f>#REF!</f>
        <v>#REF!</v>
      </c>
      <c r="K875" s="210" t="e">
        <f>#REF!</f>
        <v>#REF!</v>
      </c>
      <c r="L875" s="210">
        <v>45144</v>
      </c>
      <c r="M875" s="210"/>
      <c r="N875" s="210">
        <f>'Danh sách máy'!F874</f>
        <v>0</v>
      </c>
      <c r="O875" s="211" t="str" cm="1">
        <f t="array" ref="O875">IF(L875&lt;&gt;0,IF(L875&lt;I875,"OK","NG"),Blank)</f>
        <v>NG</v>
      </c>
      <c r="P875" s="211" t="e" cm="1">
        <f t="array" ref="P875">IF(M875&lt;&gt;0,IF(M875&lt;J875,"OK","NG"),Blank)</f>
        <v>#NAME?</v>
      </c>
      <c r="Q875" s="211" t="e" cm="1">
        <f t="array" ref="Q875">IF(H875&lt;&gt;"Stop",IF(N875&lt;&gt;0,IF(N875&lt;=K875,"OK","NG"),Blank),"-")</f>
        <v>#REF!</v>
      </c>
      <c r="R875" s="326" t="e" cm="1">
        <f t="array" ref="R875">IF(H875&lt;&gt;"Stop",IF(E875&lt;&gt;0,IF(E875&lt;=K875,"OK","NG"),Blank),"-")</f>
        <v>#REF!</v>
      </c>
    </row>
    <row r="876" spans="1:18" ht="15" hidden="1" x14ac:dyDescent="0.3">
      <c r="A876" s="318" t="e">
        <f>#REF!</f>
        <v>#REF!</v>
      </c>
      <c r="B876" s="305" t="e">
        <f>#REF!</f>
        <v>#REF!</v>
      </c>
      <c r="C876" s="305" t="str">
        <f>'Danh sách máy'!C875</f>
        <v>Fact.4</v>
      </c>
      <c r="D876" s="90" t="e">
        <f>#REF!</f>
        <v>#REF!</v>
      </c>
      <c r="E876" s="97">
        <f>'Danh sách máy'!E875</f>
        <v>0</v>
      </c>
      <c r="F876" s="206" t="e">
        <f>#REF!</f>
        <v>#REF!</v>
      </c>
      <c r="G876" s="102" t="e">
        <f>#REF!</f>
        <v>#REF!</v>
      </c>
      <c r="H876" s="102" t="e">
        <f>#REF!</f>
        <v>#REF!</v>
      </c>
      <c r="K876" s="210" t="e">
        <f>#REF!</f>
        <v>#REF!</v>
      </c>
      <c r="L876" s="210">
        <v>45145</v>
      </c>
      <c r="M876" s="210"/>
      <c r="N876" s="210">
        <f>'Danh sách máy'!F875</f>
        <v>46203</v>
      </c>
      <c r="O876" s="211" t="str" cm="1">
        <f t="array" ref="O876">IF(L876&lt;&gt;0,IF(L876&lt;I876,"OK","NG"),Blank)</f>
        <v>NG</v>
      </c>
      <c r="P876" s="211" t="e" cm="1">
        <f t="array" ref="P876">IF(M876&lt;&gt;0,IF(M876&lt;J876,"OK","NG"),Blank)</f>
        <v>#NAME?</v>
      </c>
      <c r="Q876" s="211" t="e" cm="1">
        <f t="array" ref="Q876">IF(H876&lt;&gt;"Stop",IF(N876&lt;&gt;0,IF(N876&lt;=K876,"OK","NG"),Blank),"-")</f>
        <v>#REF!</v>
      </c>
      <c r="R876" s="326" t="e" cm="1">
        <f t="array" ref="R876">IF(H876&lt;&gt;"Stop",IF(E876&lt;&gt;0,IF(E876&lt;=K876,"OK","NG"),Blank),"-")</f>
        <v>#REF!</v>
      </c>
    </row>
    <row r="877" spans="1:18" ht="30" hidden="1" x14ac:dyDescent="0.3">
      <c r="A877" s="318" t="e">
        <f>#REF!</f>
        <v>#REF!</v>
      </c>
      <c r="B877" s="305" t="e">
        <f>#REF!</f>
        <v>#REF!</v>
      </c>
      <c r="C877" s="305" t="str">
        <f>'Danh sách máy'!C876</f>
        <v>Fact.4</v>
      </c>
      <c r="D877" s="90" t="e">
        <f>#REF!</f>
        <v>#REF!</v>
      </c>
      <c r="E877" s="97">
        <f>'Danh sách máy'!E876</f>
        <v>0</v>
      </c>
      <c r="F877" s="206" t="e">
        <f>#REF!</f>
        <v>#REF!</v>
      </c>
      <c r="G877" s="102" t="e">
        <f>#REF!</f>
        <v>#REF!</v>
      </c>
      <c r="H877" s="102" t="e">
        <f>#REF!</f>
        <v>#REF!</v>
      </c>
      <c r="K877" s="210" t="e">
        <f>#REF!</f>
        <v>#REF!</v>
      </c>
      <c r="L877" s="210">
        <v>45146</v>
      </c>
      <c r="M877" s="210"/>
      <c r="N877" s="210">
        <f>'Danh sách máy'!F876</f>
        <v>0</v>
      </c>
      <c r="O877" s="211" t="str" cm="1">
        <f t="array" ref="O877">IF(L877&lt;&gt;0,IF(L877&lt;I877,"OK","NG"),Blank)</f>
        <v>NG</v>
      </c>
      <c r="P877" s="211" t="e" cm="1">
        <f t="array" ref="P877">IF(M877&lt;&gt;0,IF(M877&lt;J877,"OK","NG"),Blank)</f>
        <v>#NAME?</v>
      </c>
      <c r="Q877" s="211" t="e" cm="1">
        <f t="array" ref="Q877">IF(H877&lt;&gt;"Stop",IF(N877&lt;&gt;0,IF(N877&lt;=K877,"OK","NG"),Blank),"-")</f>
        <v>#REF!</v>
      </c>
      <c r="R877" s="326" t="e" cm="1">
        <f t="array" ref="R877">IF(H877&lt;&gt;"Stop",IF(E877&lt;&gt;0,IF(E877&lt;=K877,"OK","NG"),Blank),"-")</f>
        <v>#REF!</v>
      </c>
    </row>
    <row r="878" spans="1:18" ht="15" hidden="1" x14ac:dyDescent="0.3">
      <c r="A878" s="318" t="e">
        <f>#REF!</f>
        <v>#REF!</v>
      </c>
      <c r="B878" s="305" t="e">
        <f>#REF!</f>
        <v>#REF!</v>
      </c>
      <c r="C878" s="305" t="str">
        <f>'Danh sách máy'!C877</f>
        <v>Fact.4</v>
      </c>
      <c r="D878" s="90" t="e">
        <f>#REF!</f>
        <v>#REF!</v>
      </c>
      <c r="E878" s="97">
        <f>'Danh sách máy'!E877</f>
        <v>0</v>
      </c>
      <c r="F878" s="206" t="e">
        <f>#REF!</f>
        <v>#REF!</v>
      </c>
      <c r="G878" s="102" t="e">
        <f>#REF!</f>
        <v>#REF!</v>
      </c>
      <c r="H878" s="102" t="e">
        <f>#REF!</f>
        <v>#REF!</v>
      </c>
      <c r="K878" s="210" t="e">
        <f>#REF!</f>
        <v>#REF!</v>
      </c>
      <c r="L878" s="210">
        <v>45147</v>
      </c>
      <c r="M878" s="210"/>
      <c r="N878" s="210">
        <f>'Danh sách máy'!F877</f>
        <v>0</v>
      </c>
      <c r="O878" s="211" t="str" cm="1">
        <f t="array" ref="O878">IF(L878&lt;&gt;0,IF(L878&lt;I878,"OK","NG"),Blank)</f>
        <v>NG</v>
      </c>
      <c r="P878" s="211" t="e" cm="1">
        <f t="array" ref="P878">IF(M878&lt;&gt;0,IF(M878&lt;J878,"OK","NG"),Blank)</f>
        <v>#NAME?</v>
      </c>
      <c r="Q878" s="211" t="e" cm="1">
        <f t="array" ref="Q878">IF(H878&lt;&gt;"Stop",IF(N878&lt;&gt;0,IF(N878&lt;=K878,"OK","NG"),Blank),"-")</f>
        <v>#REF!</v>
      </c>
      <c r="R878" s="326" t="e" cm="1">
        <f t="array" ref="R878">IF(H878&lt;&gt;"Stop",IF(E878&lt;&gt;0,IF(E878&lt;=K878,"OK","NG"),Blank),"-")</f>
        <v>#REF!</v>
      </c>
    </row>
    <row r="879" spans="1:18" ht="15" hidden="1" x14ac:dyDescent="0.3">
      <c r="A879" s="318" t="e">
        <f>#REF!</f>
        <v>#REF!</v>
      </c>
      <c r="B879" s="305" t="e">
        <f>#REF!</f>
        <v>#REF!</v>
      </c>
      <c r="C879" s="305" t="str">
        <f>'Danh sách máy'!C878</f>
        <v>Fact.4</v>
      </c>
      <c r="D879" s="90" t="e">
        <f>#REF!</f>
        <v>#REF!</v>
      </c>
      <c r="E879" s="97">
        <f>'Danh sách máy'!E878</f>
        <v>0</v>
      </c>
      <c r="F879" s="206" t="e">
        <f>#REF!</f>
        <v>#REF!</v>
      </c>
      <c r="G879" s="102" t="e">
        <f>#REF!</f>
        <v>#REF!</v>
      </c>
      <c r="H879" s="102" t="e">
        <f>#REF!</f>
        <v>#REF!</v>
      </c>
      <c r="K879" s="210" t="e">
        <f>#REF!</f>
        <v>#REF!</v>
      </c>
      <c r="L879" s="210">
        <v>45148</v>
      </c>
      <c r="M879" s="210"/>
      <c r="N879" s="210">
        <f>'Danh sách máy'!F878</f>
        <v>0</v>
      </c>
      <c r="O879" s="211" t="str" cm="1">
        <f t="array" ref="O879">IF(L879&lt;&gt;0,IF(L879&lt;I879,"OK","NG"),Blank)</f>
        <v>NG</v>
      </c>
      <c r="P879" s="211" t="e" cm="1">
        <f t="array" ref="P879">IF(M879&lt;&gt;0,IF(M879&lt;J879,"OK","NG"),Blank)</f>
        <v>#NAME?</v>
      </c>
      <c r="Q879" s="211" t="e" cm="1">
        <f t="array" ref="Q879">IF(H879&lt;&gt;"Stop",IF(N879&lt;&gt;0,IF(N879&lt;=K879,"OK","NG"),Blank),"-")</f>
        <v>#REF!</v>
      </c>
      <c r="R879" s="326" t="e" cm="1">
        <f t="array" ref="R879">IF(H879&lt;&gt;"Stop",IF(E879&lt;&gt;0,IF(E879&lt;=K879,"OK","NG"),Blank),"-")</f>
        <v>#REF!</v>
      </c>
    </row>
    <row r="880" spans="1:18" ht="30" hidden="1" x14ac:dyDescent="0.3">
      <c r="A880" s="318" t="e">
        <f>#REF!</f>
        <v>#REF!</v>
      </c>
      <c r="B880" s="305" t="e">
        <f>#REF!</f>
        <v>#REF!</v>
      </c>
      <c r="C880" s="305" t="str">
        <f>'Danh sách máy'!C879</f>
        <v>Fact.4</v>
      </c>
      <c r="D880" s="90" t="e">
        <f>#REF!</f>
        <v>#REF!</v>
      </c>
      <c r="E880" s="97">
        <f>'Danh sách máy'!E879</f>
        <v>0</v>
      </c>
      <c r="F880" s="206" t="e">
        <f>#REF!</f>
        <v>#REF!</v>
      </c>
      <c r="G880" s="102" t="e">
        <f>#REF!</f>
        <v>#REF!</v>
      </c>
      <c r="H880" s="102" t="e">
        <f>#REF!</f>
        <v>#REF!</v>
      </c>
      <c r="K880" s="210" t="e">
        <f>#REF!</f>
        <v>#REF!</v>
      </c>
      <c r="L880" s="210">
        <v>45149</v>
      </c>
      <c r="M880" s="210"/>
      <c r="N880" s="210">
        <f>'Danh sách máy'!F879</f>
        <v>0</v>
      </c>
      <c r="O880" s="211" t="str" cm="1">
        <f t="array" ref="O880">IF(L880&lt;&gt;0,IF(L880&lt;I880,"OK","NG"),Blank)</f>
        <v>NG</v>
      </c>
      <c r="P880" s="211" t="e" cm="1">
        <f t="array" ref="P880">IF(M880&lt;&gt;0,IF(M880&lt;J880,"OK","NG"),Blank)</f>
        <v>#NAME?</v>
      </c>
      <c r="Q880" s="211" t="e" cm="1">
        <f t="array" ref="Q880">IF(H880&lt;&gt;"Stop",IF(N880&lt;&gt;0,IF(N880&lt;=K880,"OK","NG"),Blank),"-")</f>
        <v>#REF!</v>
      </c>
      <c r="R880" s="326" t="e" cm="1">
        <f t="array" ref="R880">IF(H880&lt;&gt;"Stop",IF(E880&lt;&gt;0,IF(E880&lt;=K880,"OK","NG"),Blank),"-")</f>
        <v>#REF!</v>
      </c>
    </row>
    <row r="881" spans="1:18" ht="15" hidden="1" x14ac:dyDescent="0.3">
      <c r="A881" s="318" t="e">
        <f>#REF!</f>
        <v>#REF!</v>
      </c>
      <c r="B881" s="305" t="e">
        <f>#REF!</f>
        <v>#REF!</v>
      </c>
      <c r="C881" s="305" t="str">
        <f>'Danh sách máy'!C926</f>
        <v>MKHC</v>
      </c>
      <c r="D881" s="90" t="e">
        <f>#REF!</f>
        <v>#REF!</v>
      </c>
      <c r="E881" s="97">
        <f>'Danh sách máy'!E926</f>
        <v>0</v>
      </c>
      <c r="F881" s="206" t="e">
        <f>#REF!</f>
        <v>#REF!</v>
      </c>
      <c r="G881" s="102" t="e">
        <f>#REF!</f>
        <v>#REF!</v>
      </c>
      <c r="H881" s="102" t="e">
        <f>#REF!</f>
        <v>#REF!</v>
      </c>
      <c r="K881" s="210" t="e">
        <f>#REF!</f>
        <v>#REF!</v>
      </c>
      <c r="L881" s="210">
        <v>45150</v>
      </c>
      <c r="M881" s="210"/>
      <c r="N881" s="210">
        <f>'Danh sách máy'!F926</f>
        <v>0</v>
      </c>
      <c r="O881" s="211" t="str" cm="1">
        <f t="array" ref="O881">IF(L881&lt;&gt;0,IF(L881&lt;I881,"OK","NG"),Blank)</f>
        <v>NG</v>
      </c>
      <c r="P881" s="211" t="e" cm="1">
        <f t="array" ref="P881">IF(M881&lt;&gt;0,IF(M881&lt;J881,"OK","NG"),Blank)</f>
        <v>#NAME?</v>
      </c>
      <c r="Q881" s="211" t="e" cm="1">
        <f t="array" ref="Q881">IF(H881&lt;&gt;"Stop",IF(N881&lt;&gt;0,IF(N881&lt;=K881,"OK","NG"),Blank),"-")</f>
        <v>#REF!</v>
      </c>
      <c r="R881" s="326" t="e" cm="1">
        <f t="array" ref="R881">IF(H881&lt;&gt;"Stop",IF(E881&lt;&gt;0,IF(E881&lt;=K881,"OK","NG"),Blank),"-")</f>
        <v>#REF!</v>
      </c>
    </row>
    <row r="882" spans="1:18" ht="15" hidden="1" x14ac:dyDescent="0.3">
      <c r="A882" s="318" t="e">
        <f>#REF!</f>
        <v>#REF!</v>
      </c>
      <c r="B882" s="305" t="e">
        <f>#REF!</f>
        <v>#REF!</v>
      </c>
      <c r="C882" s="305" t="str">
        <f>'Danh sách máy'!C927</f>
        <v>MKHC</v>
      </c>
      <c r="D882" s="90" t="e">
        <f>#REF!</f>
        <v>#REF!</v>
      </c>
      <c r="E882" s="97">
        <f>'Danh sách máy'!E927</f>
        <v>0</v>
      </c>
      <c r="F882" s="206" t="e">
        <f>#REF!</f>
        <v>#REF!</v>
      </c>
      <c r="G882" s="102" t="e">
        <f>#REF!</f>
        <v>#REF!</v>
      </c>
      <c r="H882" s="102" t="e">
        <f>#REF!</f>
        <v>#REF!</v>
      </c>
      <c r="K882" s="210" t="e">
        <f>#REF!</f>
        <v>#REF!</v>
      </c>
      <c r="L882" s="210">
        <v>45151</v>
      </c>
      <c r="M882" s="210"/>
      <c r="N882" s="210">
        <f>'Danh sách máy'!F927</f>
        <v>0</v>
      </c>
      <c r="O882" s="211" t="str" cm="1">
        <f t="array" ref="O882">IF(L882&lt;&gt;0,IF(L882&lt;I882,"OK","NG"),Blank)</f>
        <v>NG</v>
      </c>
      <c r="P882" s="211" t="e" cm="1">
        <f t="array" ref="P882">IF(M882&lt;&gt;0,IF(M882&lt;J882,"OK","NG"),Blank)</f>
        <v>#NAME?</v>
      </c>
      <c r="Q882" s="211" t="e" cm="1">
        <f t="array" ref="Q882">IF(H882&lt;&gt;"Stop",IF(N882&lt;&gt;0,IF(N882&lt;=K882,"OK","NG"),Blank),"-")</f>
        <v>#REF!</v>
      </c>
      <c r="R882" s="326" t="e" cm="1">
        <f t="array" ref="R882">IF(H882&lt;&gt;"Stop",IF(E882&lt;&gt;0,IF(E882&lt;=K882,"OK","NG"),Blank),"-")</f>
        <v>#REF!</v>
      </c>
    </row>
    <row r="883" spans="1:18" ht="15" hidden="1" x14ac:dyDescent="0.3">
      <c r="A883" s="318" t="e">
        <f>#REF!</f>
        <v>#REF!</v>
      </c>
      <c r="B883" s="305" t="e">
        <f>#REF!</f>
        <v>#REF!</v>
      </c>
      <c r="C883" s="305" t="str">
        <f>'Danh sách máy'!C928</f>
        <v>MKHC</v>
      </c>
      <c r="D883" s="90" t="e">
        <f>#REF!</f>
        <v>#REF!</v>
      </c>
      <c r="E883" s="97">
        <f>'Danh sách máy'!E928</f>
        <v>0</v>
      </c>
      <c r="F883" s="206" t="e">
        <f>#REF!</f>
        <v>#REF!</v>
      </c>
      <c r="G883" s="102" t="e">
        <f>#REF!</f>
        <v>#REF!</v>
      </c>
      <c r="H883" s="102" t="e">
        <f>#REF!</f>
        <v>#REF!</v>
      </c>
      <c r="K883" s="210" t="e">
        <f>#REF!</f>
        <v>#REF!</v>
      </c>
      <c r="L883" s="210">
        <v>45152</v>
      </c>
      <c r="M883" s="210"/>
      <c r="N883" s="210">
        <f>'Danh sách máy'!F928</f>
        <v>0</v>
      </c>
      <c r="O883" s="211" t="str" cm="1">
        <f t="array" ref="O883">IF(L883&lt;&gt;0,IF(L883&lt;I883,"OK","NG"),Blank)</f>
        <v>NG</v>
      </c>
      <c r="P883" s="211" t="e" cm="1">
        <f t="array" ref="P883">IF(M883&lt;&gt;0,IF(M883&lt;J883,"OK","NG"),Blank)</f>
        <v>#NAME?</v>
      </c>
      <c r="Q883" s="211" t="e" cm="1">
        <f t="array" ref="Q883">IF(H883&lt;&gt;"Stop",IF(N883&lt;&gt;0,IF(N883&lt;=K883,"OK","NG"),Blank),"-")</f>
        <v>#REF!</v>
      </c>
      <c r="R883" s="326" t="e" cm="1">
        <f t="array" ref="R883">IF(H883&lt;&gt;"Stop",IF(E883&lt;&gt;0,IF(E883&lt;=K883,"OK","NG"),Blank),"-")</f>
        <v>#REF!</v>
      </c>
    </row>
    <row r="884" spans="1:18" ht="15" hidden="1" x14ac:dyDescent="0.3">
      <c r="A884" s="318" t="e">
        <f>#REF!</f>
        <v>#REF!</v>
      </c>
      <c r="B884" s="305" t="e">
        <f>#REF!</f>
        <v>#REF!</v>
      </c>
      <c r="C884" s="305" t="str">
        <f>'Danh sách máy'!C929</f>
        <v>MKHC</v>
      </c>
      <c r="D884" s="90" t="e">
        <f>#REF!</f>
        <v>#REF!</v>
      </c>
      <c r="E884" s="97">
        <f>'Danh sách máy'!E929</f>
        <v>0</v>
      </c>
      <c r="F884" s="206" t="e">
        <f>#REF!</f>
        <v>#REF!</v>
      </c>
      <c r="G884" s="102" t="e">
        <f>#REF!</f>
        <v>#REF!</v>
      </c>
      <c r="H884" s="102" t="e">
        <f>#REF!</f>
        <v>#REF!</v>
      </c>
      <c r="K884" s="210" t="e">
        <f>#REF!</f>
        <v>#REF!</v>
      </c>
      <c r="L884" s="210">
        <v>45153</v>
      </c>
      <c r="M884" s="210"/>
      <c r="N884" s="210">
        <f>'Danh sách máy'!F929</f>
        <v>0</v>
      </c>
      <c r="O884" s="211" t="str" cm="1">
        <f t="array" ref="O884">IF(L884&lt;&gt;0,IF(L884&lt;I884,"OK","NG"),Blank)</f>
        <v>NG</v>
      </c>
      <c r="P884" s="211" t="e" cm="1">
        <f t="array" ref="P884">IF(M884&lt;&gt;0,IF(M884&lt;J884,"OK","NG"),Blank)</f>
        <v>#NAME?</v>
      </c>
      <c r="Q884" s="211" t="e" cm="1">
        <f t="array" ref="Q884">IF(H884&lt;&gt;"Stop",IF(N884&lt;&gt;0,IF(N884&lt;=K884,"OK","NG"),Blank),"-")</f>
        <v>#REF!</v>
      </c>
      <c r="R884" s="326" t="e" cm="1">
        <f t="array" ref="R884">IF(H884&lt;&gt;"Stop",IF(E884&lt;&gt;0,IF(E884&lt;=K884,"OK","NG"),Blank),"-")</f>
        <v>#REF!</v>
      </c>
    </row>
    <row r="885" spans="1:18" ht="15" hidden="1" x14ac:dyDescent="0.3">
      <c r="A885" s="318" t="e">
        <f>#REF!</f>
        <v>#REF!</v>
      </c>
      <c r="B885" s="305" t="e">
        <f>#REF!</f>
        <v>#REF!</v>
      </c>
      <c r="C885" s="305" t="str">
        <f>'Danh sách máy'!C930</f>
        <v>MKHC</v>
      </c>
      <c r="D885" s="90" t="e">
        <f>#REF!</f>
        <v>#REF!</v>
      </c>
      <c r="E885" s="97">
        <f>'Danh sách máy'!E930</f>
        <v>0</v>
      </c>
      <c r="F885" s="206" t="e">
        <f>#REF!</f>
        <v>#REF!</v>
      </c>
      <c r="G885" s="102" t="e">
        <f>#REF!</f>
        <v>#REF!</v>
      </c>
      <c r="H885" s="102" t="e">
        <f>#REF!</f>
        <v>#REF!</v>
      </c>
      <c r="K885" s="210" t="e">
        <f>#REF!</f>
        <v>#REF!</v>
      </c>
      <c r="L885" s="210">
        <v>45154</v>
      </c>
      <c r="M885" s="210"/>
      <c r="N885" s="210">
        <f>'Danh sách máy'!F930</f>
        <v>0</v>
      </c>
      <c r="O885" s="211" t="str" cm="1">
        <f t="array" ref="O885">IF(L885&lt;&gt;0,IF(L885&lt;I885,"OK","NG"),Blank)</f>
        <v>NG</v>
      </c>
      <c r="P885" s="211" t="e" cm="1">
        <f t="array" ref="P885">IF(M885&lt;&gt;0,IF(M885&lt;J885,"OK","NG"),Blank)</f>
        <v>#NAME?</v>
      </c>
      <c r="Q885" s="211" t="e" cm="1">
        <f t="array" ref="Q885">IF(H885&lt;&gt;"Stop",IF(N885&lt;&gt;0,IF(N885&lt;=K885,"OK","NG"),Blank),"-")</f>
        <v>#REF!</v>
      </c>
      <c r="R885" s="326" t="e" cm="1">
        <f t="array" ref="R885">IF(H885&lt;&gt;"Stop",IF(E885&lt;&gt;0,IF(E885&lt;=K885,"OK","NG"),Blank),"-")</f>
        <v>#REF!</v>
      </c>
    </row>
    <row r="886" spans="1:18" ht="15" hidden="1" x14ac:dyDescent="0.3">
      <c r="A886" s="318" t="e">
        <f>#REF!</f>
        <v>#REF!</v>
      </c>
      <c r="B886" s="305" t="e">
        <f>#REF!</f>
        <v>#REF!</v>
      </c>
      <c r="C886" s="305" t="str">
        <f>'Danh sách máy'!C931</f>
        <v>MKHC</v>
      </c>
      <c r="D886" s="90" t="e">
        <f>#REF!</f>
        <v>#REF!</v>
      </c>
      <c r="E886" s="97">
        <f>'Danh sách máy'!E931</f>
        <v>0</v>
      </c>
      <c r="F886" s="206" t="e">
        <f>#REF!</f>
        <v>#REF!</v>
      </c>
      <c r="G886" s="102" t="e">
        <f>#REF!</f>
        <v>#REF!</v>
      </c>
      <c r="H886" s="102" t="e">
        <f>#REF!</f>
        <v>#REF!</v>
      </c>
      <c r="K886" s="210" t="e">
        <f>#REF!</f>
        <v>#REF!</v>
      </c>
      <c r="L886" s="210">
        <v>45155</v>
      </c>
      <c r="M886" s="210"/>
      <c r="N886" s="210">
        <f>'Danh sách máy'!F931</f>
        <v>0</v>
      </c>
      <c r="O886" s="211" t="str" cm="1">
        <f t="array" ref="O886">IF(L886&lt;&gt;0,IF(L886&lt;I886,"OK","NG"),Blank)</f>
        <v>NG</v>
      </c>
      <c r="P886" s="211" t="e" cm="1">
        <f t="array" ref="P886">IF(M886&lt;&gt;0,IF(M886&lt;J886,"OK","NG"),Blank)</f>
        <v>#NAME?</v>
      </c>
      <c r="Q886" s="211" t="e" cm="1">
        <f t="array" ref="Q886">IF(H886&lt;&gt;"Stop",IF(N886&lt;&gt;0,IF(N886&lt;=K886,"OK","NG"),Blank),"-")</f>
        <v>#REF!</v>
      </c>
      <c r="R886" s="326" t="e" cm="1">
        <f t="array" ref="R886">IF(H886&lt;&gt;"Stop",IF(E886&lt;&gt;0,IF(E886&lt;=K886,"OK","NG"),Blank),"-")</f>
        <v>#REF!</v>
      </c>
    </row>
    <row r="887" spans="1:18" ht="15" hidden="1" x14ac:dyDescent="0.3">
      <c r="A887" s="318" t="e">
        <f>#REF!</f>
        <v>#REF!</v>
      </c>
      <c r="B887" s="305" t="e">
        <f>#REF!</f>
        <v>#REF!</v>
      </c>
      <c r="C887" s="305" t="str">
        <f>'Danh sách máy'!C932</f>
        <v>MKHC</v>
      </c>
      <c r="D887" s="90" t="e">
        <f>#REF!</f>
        <v>#REF!</v>
      </c>
      <c r="E887" s="97">
        <f>'Danh sách máy'!E932</f>
        <v>0</v>
      </c>
      <c r="F887" s="206" t="e">
        <f>#REF!</f>
        <v>#REF!</v>
      </c>
      <c r="G887" s="102" t="e">
        <f>#REF!</f>
        <v>#REF!</v>
      </c>
      <c r="H887" s="102" t="e">
        <f>#REF!</f>
        <v>#REF!</v>
      </c>
      <c r="K887" s="210" t="e">
        <f>#REF!</f>
        <v>#REF!</v>
      </c>
      <c r="L887" s="210">
        <v>45156</v>
      </c>
      <c r="M887" s="210"/>
      <c r="N887" s="210">
        <f>'Danh sách máy'!F932</f>
        <v>0</v>
      </c>
      <c r="O887" s="211" t="str" cm="1">
        <f t="array" ref="O887">IF(L887&lt;&gt;0,IF(L887&lt;I887,"OK","NG"),Blank)</f>
        <v>NG</v>
      </c>
      <c r="P887" s="211" t="e" cm="1">
        <f t="array" ref="P887">IF(M887&lt;&gt;0,IF(M887&lt;J887,"OK","NG"),Blank)</f>
        <v>#NAME?</v>
      </c>
      <c r="Q887" s="211" t="e" cm="1">
        <f t="array" ref="Q887">IF(H887&lt;&gt;"Stop",IF(N887&lt;&gt;0,IF(N887&lt;=K887,"OK","NG"),Blank),"-")</f>
        <v>#REF!</v>
      </c>
      <c r="R887" s="326" t="e" cm="1">
        <f t="array" ref="R887">IF(H887&lt;&gt;"Stop",IF(E887&lt;&gt;0,IF(E887&lt;=K887,"OK","NG"),Blank),"-")</f>
        <v>#REF!</v>
      </c>
    </row>
    <row r="888" spans="1:18" ht="15" hidden="1" x14ac:dyDescent="0.3">
      <c r="A888" s="318" t="e">
        <f>#REF!</f>
        <v>#REF!</v>
      </c>
      <c r="B888" s="305" t="e">
        <f>#REF!</f>
        <v>#REF!</v>
      </c>
      <c r="C888" s="305" t="str">
        <f>'Danh sách máy'!C933</f>
        <v>MKHC</v>
      </c>
      <c r="D888" s="90" t="e">
        <f>#REF!</f>
        <v>#REF!</v>
      </c>
      <c r="E888" s="97">
        <f>'Danh sách máy'!E933</f>
        <v>0</v>
      </c>
      <c r="F888" s="206" t="e">
        <f>#REF!</f>
        <v>#REF!</v>
      </c>
      <c r="G888" s="102" t="e">
        <f>#REF!</f>
        <v>#REF!</v>
      </c>
      <c r="H888" s="102" t="e">
        <f>#REF!</f>
        <v>#REF!</v>
      </c>
      <c r="K888" s="210" t="e">
        <f>#REF!</f>
        <v>#REF!</v>
      </c>
      <c r="L888" s="210">
        <v>45157</v>
      </c>
      <c r="M888" s="210"/>
      <c r="N888" s="210">
        <f>'Danh sách máy'!F933</f>
        <v>0</v>
      </c>
      <c r="O888" s="211" t="str" cm="1">
        <f t="array" ref="O888">IF(L888&lt;&gt;0,IF(L888&lt;I888,"OK","NG"),Blank)</f>
        <v>NG</v>
      </c>
      <c r="P888" s="211" t="e" cm="1">
        <f t="array" ref="P888">IF(M888&lt;&gt;0,IF(M888&lt;J888,"OK","NG"),Blank)</f>
        <v>#NAME?</v>
      </c>
      <c r="Q888" s="211" t="e" cm="1">
        <f t="array" ref="Q888">IF(H888&lt;&gt;"Stop",IF(N888&lt;&gt;0,IF(N888&lt;=K888,"OK","NG"),Blank),"-")</f>
        <v>#REF!</v>
      </c>
      <c r="R888" s="326" t="e" cm="1">
        <f t="array" ref="R888">IF(H888&lt;&gt;"Stop",IF(E888&lt;&gt;0,IF(E888&lt;=K888,"OK","NG"),Blank),"-")</f>
        <v>#REF!</v>
      </c>
    </row>
    <row r="889" spans="1:18" ht="15" hidden="1" x14ac:dyDescent="0.3">
      <c r="A889" s="318" t="e">
        <f>#REF!</f>
        <v>#REF!</v>
      </c>
      <c r="B889" s="305" t="e">
        <f>#REF!</f>
        <v>#REF!</v>
      </c>
      <c r="C889" s="305" t="str">
        <f>'Danh sách máy'!C934</f>
        <v>MKHC</v>
      </c>
      <c r="D889" s="90" t="e">
        <f>#REF!</f>
        <v>#REF!</v>
      </c>
      <c r="E889" s="97">
        <f>'Danh sách máy'!E934</f>
        <v>0</v>
      </c>
      <c r="F889" s="206" t="e">
        <f>#REF!</f>
        <v>#REF!</v>
      </c>
      <c r="G889" s="102" t="e">
        <f>#REF!</f>
        <v>#REF!</v>
      </c>
      <c r="H889" s="102" t="e">
        <f>#REF!</f>
        <v>#REF!</v>
      </c>
      <c r="K889" s="210" t="e">
        <f>#REF!</f>
        <v>#REF!</v>
      </c>
      <c r="L889" s="210">
        <v>45158</v>
      </c>
      <c r="M889" s="210"/>
      <c r="N889" s="210">
        <f>'Danh sách máy'!F934</f>
        <v>0</v>
      </c>
      <c r="O889" s="211" t="str" cm="1">
        <f t="array" ref="O889">IF(L889&lt;&gt;0,IF(L889&lt;I889,"OK","NG"),Blank)</f>
        <v>NG</v>
      </c>
      <c r="P889" s="211" t="e" cm="1">
        <f t="array" ref="P889">IF(M889&lt;&gt;0,IF(M889&lt;J889,"OK","NG"),Blank)</f>
        <v>#NAME?</v>
      </c>
      <c r="Q889" s="211" t="e" cm="1">
        <f t="array" ref="Q889">IF(H889&lt;&gt;"Stop",IF(N889&lt;&gt;0,IF(N889&lt;=K889,"OK","NG"),Blank),"-")</f>
        <v>#REF!</v>
      </c>
      <c r="R889" s="326" t="e" cm="1">
        <f t="array" ref="R889">IF(H889&lt;&gt;"Stop",IF(E889&lt;&gt;0,IF(E889&lt;=K889,"OK","NG"),Blank),"-")</f>
        <v>#REF!</v>
      </c>
    </row>
    <row r="890" spans="1:18" ht="15" hidden="1" x14ac:dyDescent="0.3">
      <c r="A890" s="318" t="e">
        <f>#REF!</f>
        <v>#REF!</v>
      </c>
      <c r="B890" s="305" t="e">
        <f>#REF!</f>
        <v>#REF!</v>
      </c>
      <c r="C890" s="305" t="str">
        <f>'Danh sách máy'!C935</f>
        <v>MKHC</v>
      </c>
      <c r="D890" s="90" t="e">
        <f>#REF!</f>
        <v>#REF!</v>
      </c>
      <c r="E890" s="97">
        <f>'Danh sách máy'!E935</f>
        <v>0</v>
      </c>
      <c r="F890" s="206" t="e">
        <f>#REF!</f>
        <v>#REF!</v>
      </c>
      <c r="G890" s="102" t="e">
        <f>#REF!</f>
        <v>#REF!</v>
      </c>
      <c r="H890" s="102" t="e">
        <f>#REF!</f>
        <v>#REF!</v>
      </c>
      <c r="K890" s="210" t="e">
        <f>#REF!</f>
        <v>#REF!</v>
      </c>
      <c r="L890" s="210">
        <v>45159</v>
      </c>
      <c r="M890" s="210"/>
      <c r="N890" s="210">
        <f>'Danh sách máy'!F935</f>
        <v>0</v>
      </c>
      <c r="O890" s="211" t="str" cm="1">
        <f t="array" ref="O890">IF(L890&lt;&gt;0,IF(L890&lt;I890,"OK","NG"),Blank)</f>
        <v>NG</v>
      </c>
      <c r="P890" s="211" t="e" cm="1">
        <f t="array" ref="P890">IF(M890&lt;&gt;0,IF(M890&lt;J890,"OK","NG"),Blank)</f>
        <v>#NAME?</v>
      </c>
      <c r="Q890" s="211" t="e" cm="1">
        <f t="array" ref="Q890">IF(H890&lt;&gt;"Stop",IF(N890&lt;&gt;0,IF(N890&lt;=K890,"OK","NG"),Blank),"-")</f>
        <v>#REF!</v>
      </c>
      <c r="R890" s="326" t="e" cm="1">
        <f t="array" ref="R890">IF(H890&lt;&gt;"Stop",IF(E890&lt;&gt;0,IF(E890&lt;=K890,"OK","NG"),Blank),"-")</f>
        <v>#REF!</v>
      </c>
    </row>
    <row r="891" spans="1:18" ht="15" hidden="1" x14ac:dyDescent="0.3">
      <c r="A891" s="318" t="e">
        <f>#REF!</f>
        <v>#REF!</v>
      </c>
      <c r="B891" s="305" t="e">
        <f>#REF!</f>
        <v>#REF!</v>
      </c>
      <c r="C891" s="305" t="str">
        <f>'Danh sách máy'!C936</f>
        <v>MKHC</v>
      </c>
      <c r="D891" s="90" t="e">
        <f>#REF!</f>
        <v>#REF!</v>
      </c>
      <c r="E891" s="97">
        <f>'Danh sách máy'!E936</f>
        <v>0</v>
      </c>
      <c r="F891" s="206" t="e">
        <f>#REF!</f>
        <v>#REF!</v>
      </c>
      <c r="G891" s="102" t="e">
        <f>#REF!</f>
        <v>#REF!</v>
      </c>
      <c r="H891" s="102" t="e">
        <f>#REF!</f>
        <v>#REF!</v>
      </c>
      <c r="K891" s="210" t="e">
        <f>#REF!</f>
        <v>#REF!</v>
      </c>
      <c r="L891" s="210">
        <v>45160</v>
      </c>
      <c r="M891" s="210"/>
      <c r="N891" s="210">
        <f>'Danh sách máy'!F936</f>
        <v>0</v>
      </c>
      <c r="O891" s="211" t="str" cm="1">
        <f t="array" ref="O891">IF(L891&lt;&gt;0,IF(L891&lt;I891,"OK","NG"),Blank)</f>
        <v>NG</v>
      </c>
      <c r="P891" s="211" t="e" cm="1">
        <f t="array" ref="P891">IF(M891&lt;&gt;0,IF(M891&lt;J891,"OK","NG"),Blank)</f>
        <v>#NAME?</v>
      </c>
      <c r="Q891" s="211" t="e" cm="1">
        <f t="array" ref="Q891">IF(H891&lt;&gt;"Stop",IF(N891&lt;&gt;0,IF(N891&lt;=K891,"OK","NG"),Blank),"-")</f>
        <v>#REF!</v>
      </c>
      <c r="R891" s="326" t="e" cm="1">
        <f t="array" ref="R891">IF(H891&lt;&gt;"Stop",IF(E891&lt;&gt;0,IF(E891&lt;=K891,"OK","NG"),Blank),"-")</f>
        <v>#REF!</v>
      </c>
    </row>
    <row r="892" spans="1:18" ht="15" hidden="1" x14ac:dyDescent="0.3">
      <c r="A892" s="318" t="e">
        <f>#REF!</f>
        <v>#REF!</v>
      </c>
      <c r="B892" s="305" t="e">
        <f>#REF!</f>
        <v>#REF!</v>
      </c>
      <c r="C892" s="305" t="str">
        <f>'Danh sách máy'!C937</f>
        <v>MKHC</v>
      </c>
      <c r="D892" s="90" t="e">
        <f>#REF!</f>
        <v>#REF!</v>
      </c>
      <c r="E892" s="97">
        <f>'Danh sách máy'!E937</f>
        <v>0</v>
      </c>
      <c r="F892" s="206" t="e">
        <f>#REF!</f>
        <v>#REF!</v>
      </c>
      <c r="G892" s="102" t="e">
        <f>#REF!</f>
        <v>#REF!</v>
      </c>
      <c r="H892" s="102" t="e">
        <f>#REF!</f>
        <v>#REF!</v>
      </c>
      <c r="K892" s="210" t="e">
        <f>#REF!</f>
        <v>#REF!</v>
      </c>
      <c r="L892" s="210">
        <v>45161</v>
      </c>
      <c r="M892" s="210"/>
      <c r="N892" s="210">
        <f>'Danh sách máy'!F937</f>
        <v>0</v>
      </c>
      <c r="O892" s="211" t="str" cm="1">
        <f t="array" ref="O892">IF(L892&lt;&gt;0,IF(L892&lt;I892,"OK","NG"),Blank)</f>
        <v>NG</v>
      </c>
      <c r="P892" s="211" t="e" cm="1">
        <f t="array" ref="P892">IF(M892&lt;&gt;0,IF(M892&lt;J892,"OK","NG"),Blank)</f>
        <v>#NAME?</v>
      </c>
      <c r="Q892" s="211" t="e" cm="1">
        <f t="array" ref="Q892">IF(H892&lt;&gt;"Stop",IF(N892&lt;&gt;0,IF(N892&lt;=K892,"OK","NG"),Blank),"-")</f>
        <v>#REF!</v>
      </c>
      <c r="R892" s="326" t="e" cm="1">
        <f t="array" ref="R892">IF(H892&lt;&gt;"Stop",IF(E892&lt;&gt;0,IF(E892&lt;=K892,"OK","NG"),Blank),"-")</f>
        <v>#REF!</v>
      </c>
    </row>
    <row r="893" spans="1:18" ht="15" hidden="1" x14ac:dyDescent="0.3">
      <c r="A893" s="318" t="e">
        <f>#REF!</f>
        <v>#REF!</v>
      </c>
      <c r="B893" s="305" t="e">
        <f>#REF!</f>
        <v>#REF!</v>
      </c>
      <c r="C893" s="305" t="str">
        <f>'Danh sách máy'!C938</f>
        <v>MKHC</v>
      </c>
      <c r="D893" s="90" t="e">
        <f>#REF!</f>
        <v>#REF!</v>
      </c>
      <c r="E893" s="97">
        <f>'Danh sách máy'!E938</f>
        <v>0</v>
      </c>
      <c r="F893" s="206" t="e">
        <f>#REF!</f>
        <v>#REF!</v>
      </c>
      <c r="G893" s="102" t="e">
        <f>#REF!</f>
        <v>#REF!</v>
      </c>
      <c r="H893" s="102" t="e">
        <f>#REF!</f>
        <v>#REF!</v>
      </c>
      <c r="K893" s="210" t="e">
        <f>#REF!</f>
        <v>#REF!</v>
      </c>
      <c r="L893" s="210">
        <v>45162</v>
      </c>
      <c r="M893" s="210"/>
      <c r="N893" s="210">
        <f>'Danh sách máy'!F938</f>
        <v>0</v>
      </c>
      <c r="O893" s="211" t="str" cm="1">
        <f t="array" ref="O893">IF(L893&lt;&gt;0,IF(L893&lt;I893,"OK","NG"),Blank)</f>
        <v>NG</v>
      </c>
      <c r="P893" s="211" t="e" cm="1">
        <f t="array" ref="P893">IF(M893&lt;&gt;0,IF(M893&lt;J893,"OK","NG"),Blank)</f>
        <v>#NAME?</v>
      </c>
      <c r="Q893" s="211" t="e" cm="1">
        <f t="array" ref="Q893">IF(H893&lt;&gt;"Stop",IF(N893&lt;&gt;0,IF(N893&lt;=K893,"OK","NG"),Blank),"-")</f>
        <v>#REF!</v>
      </c>
      <c r="R893" s="326" t="e" cm="1">
        <f t="array" ref="R893">IF(H893&lt;&gt;"Stop",IF(E893&lt;&gt;0,IF(E893&lt;=K893,"OK","NG"),Blank),"-")</f>
        <v>#REF!</v>
      </c>
    </row>
    <row r="894" spans="1:18" ht="15" hidden="1" x14ac:dyDescent="0.3">
      <c r="A894" s="318" t="e">
        <f>#REF!</f>
        <v>#REF!</v>
      </c>
      <c r="B894" s="305" t="e">
        <f>#REF!</f>
        <v>#REF!</v>
      </c>
      <c r="C894" s="305" t="str">
        <f>'Danh sách máy'!C939</f>
        <v>MKHC</v>
      </c>
      <c r="D894" s="90" t="e">
        <f>#REF!</f>
        <v>#REF!</v>
      </c>
      <c r="E894" s="97">
        <f>'Danh sách máy'!E939</f>
        <v>0</v>
      </c>
      <c r="F894" s="206" t="e">
        <f>#REF!</f>
        <v>#REF!</v>
      </c>
      <c r="G894" s="102" t="e">
        <f>#REF!</f>
        <v>#REF!</v>
      </c>
      <c r="H894" s="102" t="e">
        <f>#REF!</f>
        <v>#REF!</v>
      </c>
      <c r="K894" s="210" t="e">
        <f>#REF!</f>
        <v>#REF!</v>
      </c>
      <c r="L894" s="210">
        <v>45163</v>
      </c>
      <c r="M894" s="210"/>
      <c r="N894" s="210">
        <f>'Danh sách máy'!F939</f>
        <v>0</v>
      </c>
      <c r="O894" s="211" t="str" cm="1">
        <f t="array" ref="O894">IF(L894&lt;&gt;0,IF(L894&lt;I894,"OK","NG"),Blank)</f>
        <v>NG</v>
      </c>
      <c r="P894" s="211" t="e" cm="1">
        <f t="array" ref="P894">IF(M894&lt;&gt;0,IF(M894&lt;J894,"OK","NG"),Blank)</f>
        <v>#NAME?</v>
      </c>
      <c r="Q894" s="211" t="e" cm="1">
        <f t="array" ref="Q894">IF(H894&lt;&gt;"Stop",IF(N894&lt;&gt;0,IF(N894&lt;=K894,"OK","NG"),Blank),"-")</f>
        <v>#REF!</v>
      </c>
      <c r="R894" s="326" t="e" cm="1">
        <f t="array" ref="R894">IF(H894&lt;&gt;"Stop",IF(E894&lt;&gt;0,IF(E894&lt;=K894,"OK","NG"),Blank),"-")</f>
        <v>#REF!</v>
      </c>
    </row>
    <row r="895" spans="1:18" ht="15" hidden="1" x14ac:dyDescent="0.3">
      <c r="A895" s="318" t="e">
        <f>#REF!</f>
        <v>#REF!</v>
      </c>
      <c r="B895" s="305" t="e">
        <f>#REF!</f>
        <v>#REF!</v>
      </c>
      <c r="C895" s="305" t="str">
        <f>'Danh sách máy'!C940</f>
        <v>MKHC</v>
      </c>
      <c r="D895" s="90" t="e">
        <f>#REF!</f>
        <v>#REF!</v>
      </c>
      <c r="E895" s="97">
        <f>'Danh sách máy'!E940</f>
        <v>0</v>
      </c>
      <c r="F895" s="206" t="e">
        <f>#REF!</f>
        <v>#REF!</v>
      </c>
      <c r="G895" s="102" t="e">
        <f>#REF!</f>
        <v>#REF!</v>
      </c>
      <c r="H895" s="102" t="e">
        <f>#REF!</f>
        <v>#REF!</v>
      </c>
      <c r="K895" s="210" t="e">
        <f>#REF!</f>
        <v>#REF!</v>
      </c>
      <c r="L895" s="210">
        <v>45164</v>
      </c>
      <c r="M895" s="210"/>
      <c r="N895" s="210">
        <f>'Danh sách máy'!F940</f>
        <v>0</v>
      </c>
      <c r="O895" s="211" t="str" cm="1">
        <f t="array" ref="O895">IF(L895&lt;&gt;0,IF(L895&lt;I895,"OK","NG"),Blank)</f>
        <v>NG</v>
      </c>
      <c r="P895" s="211" t="e" cm="1">
        <f t="array" ref="P895">IF(M895&lt;&gt;0,IF(M895&lt;J895,"OK","NG"),Blank)</f>
        <v>#NAME?</v>
      </c>
      <c r="Q895" s="211" t="e" cm="1">
        <f t="array" ref="Q895">IF(H895&lt;&gt;"Stop",IF(N895&lt;&gt;0,IF(N895&lt;=K895,"OK","NG"),Blank),"-")</f>
        <v>#REF!</v>
      </c>
      <c r="R895" s="326" t="e" cm="1">
        <f t="array" ref="R895">IF(H895&lt;&gt;"Stop",IF(E895&lt;&gt;0,IF(E895&lt;=K895,"OK","NG"),Blank),"-")</f>
        <v>#REF!</v>
      </c>
    </row>
    <row r="896" spans="1:18" ht="15" hidden="1" x14ac:dyDescent="0.3">
      <c r="A896" s="318" t="e">
        <f>#REF!</f>
        <v>#REF!</v>
      </c>
      <c r="B896" s="305" t="e">
        <f>#REF!</f>
        <v>#REF!</v>
      </c>
      <c r="C896" s="305" t="str">
        <f>'Danh sách máy'!C941</f>
        <v>MKHC</v>
      </c>
      <c r="D896" s="90" t="e">
        <f>#REF!</f>
        <v>#REF!</v>
      </c>
      <c r="E896" s="97">
        <f>'Danh sách máy'!E941</f>
        <v>0</v>
      </c>
      <c r="F896" s="206" t="e">
        <f>#REF!</f>
        <v>#REF!</v>
      </c>
      <c r="G896" s="102" t="e">
        <f>#REF!</f>
        <v>#REF!</v>
      </c>
      <c r="H896" s="102" t="e">
        <f>#REF!</f>
        <v>#REF!</v>
      </c>
      <c r="K896" s="210" t="e">
        <f>#REF!</f>
        <v>#REF!</v>
      </c>
      <c r="L896" s="210">
        <v>45165</v>
      </c>
      <c r="M896" s="210"/>
      <c r="N896" s="210">
        <f>'Danh sách máy'!F941</f>
        <v>0</v>
      </c>
      <c r="O896" s="211" t="str" cm="1">
        <f t="array" ref="O896">IF(L896&lt;&gt;0,IF(L896&lt;I896,"OK","NG"),Blank)</f>
        <v>NG</v>
      </c>
      <c r="P896" s="211" t="e" cm="1">
        <f t="array" ref="P896">IF(M896&lt;&gt;0,IF(M896&lt;J896,"OK","NG"),Blank)</f>
        <v>#NAME?</v>
      </c>
      <c r="Q896" s="211" t="e" cm="1">
        <f t="array" ref="Q896">IF(H896&lt;&gt;"Stop",IF(N896&lt;&gt;0,IF(N896&lt;=K896,"OK","NG"),Blank),"-")</f>
        <v>#REF!</v>
      </c>
      <c r="R896" s="326" t="e" cm="1">
        <f t="array" ref="R896">IF(H896&lt;&gt;"Stop",IF(E896&lt;&gt;0,IF(E896&lt;=K896,"OK","NG"),Blank),"-")</f>
        <v>#REF!</v>
      </c>
    </row>
    <row r="897" spans="1:18" ht="15" hidden="1" x14ac:dyDescent="0.3">
      <c r="A897" s="318" t="e">
        <f>#REF!</f>
        <v>#REF!</v>
      </c>
      <c r="B897" s="305" t="e">
        <f>#REF!</f>
        <v>#REF!</v>
      </c>
      <c r="C897" s="305" t="str">
        <f>'Danh sách máy'!C942</f>
        <v>MKHC</v>
      </c>
      <c r="D897" s="90" t="e">
        <f>#REF!</f>
        <v>#REF!</v>
      </c>
      <c r="E897" s="97">
        <f>'Danh sách máy'!E942</f>
        <v>0</v>
      </c>
      <c r="F897" s="206" t="e">
        <f>#REF!</f>
        <v>#REF!</v>
      </c>
      <c r="G897" s="102" t="e">
        <f>#REF!</f>
        <v>#REF!</v>
      </c>
      <c r="H897" s="102" t="e">
        <f>#REF!</f>
        <v>#REF!</v>
      </c>
      <c r="K897" s="210" t="e">
        <f>#REF!</f>
        <v>#REF!</v>
      </c>
      <c r="L897" s="210">
        <v>45166</v>
      </c>
      <c r="M897" s="210"/>
      <c r="N897" s="210">
        <f>'Danh sách máy'!F942</f>
        <v>0</v>
      </c>
      <c r="O897" s="211" t="str" cm="1">
        <f t="array" ref="O897">IF(L897&lt;&gt;0,IF(L897&lt;I897,"OK","NG"),Blank)</f>
        <v>NG</v>
      </c>
      <c r="P897" s="211" t="e" cm="1">
        <f t="array" ref="P897">IF(M897&lt;&gt;0,IF(M897&lt;J897,"OK","NG"),Blank)</f>
        <v>#NAME?</v>
      </c>
      <c r="Q897" s="211" t="e" cm="1">
        <f t="array" ref="Q897">IF(H897&lt;&gt;"Stop",IF(N897&lt;&gt;0,IF(N897&lt;=K897,"OK","NG"),Blank),"-")</f>
        <v>#REF!</v>
      </c>
      <c r="R897" s="326" t="e" cm="1">
        <f t="array" ref="R897">IF(H897&lt;&gt;"Stop",IF(E897&lt;&gt;0,IF(E897&lt;=K897,"OK","NG"),Blank),"-")</f>
        <v>#REF!</v>
      </c>
    </row>
    <row r="898" spans="1:18" ht="15" hidden="1" x14ac:dyDescent="0.3">
      <c r="A898" s="318" t="e">
        <f>#REF!</f>
        <v>#REF!</v>
      </c>
      <c r="B898" s="305" t="e">
        <f>#REF!</f>
        <v>#REF!</v>
      </c>
      <c r="C898" s="305" t="str">
        <f>'Danh sách máy'!C943</f>
        <v>MKHC</v>
      </c>
      <c r="D898" s="90" t="e">
        <f>#REF!</f>
        <v>#REF!</v>
      </c>
      <c r="E898" s="97">
        <f>'Danh sách máy'!E943</f>
        <v>0</v>
      </c>
      <c r="F898" s="206" t="e">
        <f>#REF!</f>
        <v>#REF!</v>
      </c>
      <c r="G898" s="102" t="e">
        <f>#REF!</f>
        <v>#REF!</v>
      </c>
      <c r="H898" s="102" t="e">
        <f>#REF!</f>
        <v>#REF!</v>
      </c>
      <c r="K898" s="210" t="e">
        <f>#REF!</f>
        <v>#REF!</v>
      </c>
      <c r="L898" s="210">
        <v>45167</v>
      </c>
      <c r="M898" s="210"/>
      <c r="N898" s="210">
        <f>'Danh sách máy'!F943</f>
        <v>0</v>
      </c>
      <c r="O898" s="211" t="str" cm="1">
        <f t="array" ref="O898">IF(L898&lt;&gt;0,IF(L898&lt;I898,"OK","NG"),Blank)</f>
        <v>NG</v>
      </c>
      <c r="P898" s="211" t="e" cm="1">
        <f t="array" ref="P898">IF(M898&lt;&gt;0,IF(M898&lt;J898,"OK","NG"),Blank)</f>
        <v>#NAME?</v>
      </c>
      <c r="Q898" s="211" t="e" cm="1">
        <f t="array" ref="Q898">IF(H898&lt;&gt;"Stop",IF(N898&lt;&gt;0,IF(N898&lt;=K898,"OK","NG"),Blank),"-")</f>
        <v>#REF!</v>
      </c>
      <c r="R898" s="326" t="e" cm="1">
        <f t="array" ref="R898">IF(H898&lt;&gt;"Stop",IF(E898&lt;&gt;0,IF(E898&lt;=K898,"OK","NG"),Blank),"-")</f>
        <v>#REF!</v>
      </c>
    </row>
    <row r="899" spans="1:18" ht="15" hidden="1" x14ac:dyDescent="0.3">
      <c r="A899" s="318" t="e">
        <f>#REF!</f>
        <v>#REF!</v>
      </c>
      <c r="B899" s="305" t="e">
        <f>#REF!</f>
        <v>#REF!</v>
      </c>
      <c r="C899" s="305" t="str">
        <f>'Danh sách máy'!C944</f>
        <v>MKHC</v>
      </c>
      <c r="D899" s="90" t="e">
        <f>#REF!</f>
        <v>#REF!</v>
      </c>
      <c r="E899" s="97">
        <f>'Danh sách máy'!E944</f>
        <v>0</v>
      </c>
      <c r="F899" s="206" t="e">
        <f>#REF!</f>
        <v>#REF!</v>
      </c>
      <c r="G899" s="102" t="e">
        <f>#REF!</f>
        <v>#REF!</v>
      </c>
      <c r="H899" s="102" t="e">
        <f>#REF!</f>
        <v>#REF!</v>
      </c>
      <c r="K899" s="210" t="e">
        <f>#REF!</f>
        <v>#REF!</v>
      </c>
      <c r="L899" s="210">
        <v>45168</v>
      </c>
      <c r="M899" s="210"/>
      <c r="N899" s="210">
        <f>'Danh sách máy'!F944</f>
        <v>0</v>
      </c>
      <c r="O899" s="211" t="str" cm="1">
        <f t="array" ref="O899">IF(L899&lt;&gt;0,IF(L899&lt;I899,"OK","NG"),Blank)</f>
        <v>NG</v>
      </c>
      <c r="P899" s="211" t="e" cm="1">
        <f t="array" ref="P899">IF(M899&lt;&gt;0,IF(M899&lt;J899,"OK","NG"),Blank)</f>
        <v>#NAME?</v>
      </c>
      <c r="Q899" s="211" t="e" cm="1">
        <f t="array" ref="Q899">IF(H899&lt;&gt;"Stop",IF(N899&lt;&gt;0,IF(N899&lt;=K899,"OK","NG"),Blank),"-")</f>
        <v>#REF!</v>
      </c>
      <c r="R899" s="326" t="e" cm="1">
        <f t="array" ref="R899">IF(H899&lt;&gt;"Stop",IF(E899&lt;&gt;0,IF(E899&lt;=K899,"OK","NG"),Blank),"-")</f>
        <v>#REF!</v>
      </c>
    </row>
    <row r="900" spans="1:18" ht="15" hidden="1" x14ac:dyDescent="0.3">
      <c r="A900" s="318" t="e">
        <f>#REF!</f>
        <v>#REF!</v>
      </c>
      <c r="B900" s="305" t="e">
        <f>#REF!</f>
        <v>#REF!</v>
      </c>
      <c r="C900" s="305" t="str">
        <f>'Danh sách máy'!C945</f>
        <v>MKHC</v>
      </c>
      <c r="D900" s="90" t="e">
        <f>#REF!</f>
        <v>#REF!</v>
      </c>
      <c r="E900" s="97">
        <f>'Danh sách máy'!E945</f>
        <v>0</v>
      </c>
      <c r="F900" s="206" t="e">
        <f>#REF!</f>
        <v>#REF!</v>
      </c>
      <c r="G900" s="102" t="e">
        <f>#REF!</f>
        <v>#REF!</v>
      </c>
      <c r="H900" s="102" t="e">
        <f>#REF!</f>
        <v>#REF!</v>
      </c>
      <c r="K900" s="210" t="e">
        <f>#REF!</f>
        <v>#REF!</v>
      </c>
      <c r="L900" s="210">
        <v>45169</v>
      </c>
      <c r="M900" s="210"/>
      <c r="N900" s="210">
        <f>'Danh sách máy'!F945</f>
        <v>0</v>
      </c>
      <c r="O900" s="211" t="str" cm="1">
        <f t="array" ref="O900">IF(L900&lt;&gt;0,IF(L900&lt;I900,"OK","NG"),Blank)</f>
        <v>NG</v>
      </c>
      <c r="P900" s="211" t="e" cm="1">
        <f t="array" ref="P900">IF(M900&lt;&gt;0,IF(M900&lt;J900,"OK","NG"),Blank)</f>
        <v>#NAME?</v>
      </c>
      <c r="Q900" s="211" t="e" cm="1">
        <f t="array" ref="Q900">IF(H900&lt;&gt;"Stop",IF(N900&lt;&gt;0,IF(N900&lt;=K900,"OK","NG"),Blank),"-")</f>
        <v>#REF!</v>
      </c>
      <c r="R900" s="326" t="e" cm="1">
        <f t="array" ref="R900">IF(H900&lt;&gt;"Stop",IF(E900&lt;&gt;0,IF(E900&lt;=K900,"OK","NG"),Blank),"-")</f>
        <v>#REF!</v>
      </c>
    </row>
    <row r="901" spans="1:18" ht="15" hidden="1" x14ac:dyDescent="0.3">
      <c r="A901" s="318" t="e">
        <f>#REF!</f>
        <v>#REF!</v>
      </c>
      <c r="B901" s="305" t="e">
        <f>#REF!</f>
        <v>#REF!</v>
      </c>
      <c r="C901" s="305" t="str">
        <f>'Danh sách máy'!C946</f>
        <v>MKHC</v>
      </c>
      <c r="D901" s="90" t="e">
        <f>#REF!</f>
        <v>#REF!</v>
      </c>
      <c r="E901" s="97">
        <f>'Danh sách máy'!E946</f>
        <v>0</v>
      </c>
      <c r="F901" s="206" t="e">
        <f>#REF!</f>
        <v>#REF!</v>
      </c>
      <c r="G901" s="102" t="e">
        <f>#REF!</f>
        <v>#REF!</v>
      </c>
      <c r="H901" s="102" t="e">
        <f>#REF!</f>
        <v>#REF!</v>
      </c>
      <c r="K901" s="210" t="e">
        <f>#REF!</f>
        <v>#REF!</v>
      </c>
      <c r="L901" s="210">
        <v>45170</v>
      </c>
      <c r="M901" s="210"/>
      <c r="N901" s="210">
        <f>'Danh sách máy'!F946</f>
        <v>0</v>
      </c>
      <c r="O901" s="211" t="str" cm="1">
        <f t="array" ref="O901">IF(L901&lt;&gt;0,IF(L901&lt;I901,"OK","NG"),Blank)</f>
        <v>NG</v>
      </c>
      <c r="P901" s="211" t="e" cm="1">
        <f t="array" ref="P901">IF(M901&lt;&gt;0,IF(M901&lt;J901,"OK","NG"),Blank)</f>
        <v>#NAME?</v>
      </c>
      <c r="Q901" s="211" t="e" cm="1">
        <f t="array" ref="Q901">IF(H901&lt;&gt;"Stop",IF(N901&lt;&gt;0,IF(N901&lt;=K901,"OK","NG"),Blank),"-")</f>
        <v>#REF!</v>
      </c>
      <c r="R901" s="326" t="e" cm="1">
        <f t="array" ref="R901">IF(H901&lt;&gt;"Stop",IF(E901&lt;&gt;0,IF(E901&lt;=K901,"OK","NG"),Blank),"-")</f>
        <v>#REF!</v>
      </c>
    </row>
    <row r="902" spans="1:18" ht="15" hidden="1" x14ac:dyDescent="0.3">
      <c r="A902" s="318" t="e">
        <f>#REF!</f>
        <v>#REF!</v>
      </c>
      <c r="B902" s="305" t="e">
        <f>#REF!</f>
        <v>#REF!</v>
      </c>
      <c r="C902" s="305" t="str">
        <f>'Danh sách máy'!C947</f>
        <v>MKHC</v>
      </c>
      <c r="D902" s="90" t="e">
        <f>#REF!</f>
        <v>#REF!</v>
      </c>
      <c r="E902" s="97">
        <f>'Danh sách máy'!E947</f>
        <v>0</v>
      </c>
      <c r="F902" s="206" t="e">
        <f>#REF!</f>
        <v>#REF!</v>
      </c>
      <c r="G902" s="102" t="e">
        <f>#REF!</f>
        <v>#REF!</v>
      </c>
      <c r="H902" s="102" t="e">
        <f>#REF!</f>
        <v>#REF!</v>
      </c>
      <c r="K902" s="210" t="e">
        <f>#REF!</f>
        <v>#REF!</v>
      </c>
      <c r="L902" s="210">
        <v>45171</v>
      </c>
      <c r="M902" s="210"/>
      <c r="N902" s="210">
        <f>'Danh sách máy'!F947</f>
        <v>0</v>
      </c>
      <c r="O902" s="211" t="str" cm="1">
        <f t="array" ref="O902">IF(L902&lt;&gt;0,IF(L902&lt;I902,"OK","NG"),Blank)</f>
        <v>NG</v>
      </c>
      <c r="P902" s="211" t="e" cm="1">
        <f t="array" ref="P902">IF(M902&lt;&gt;0,IF(M902&lt;J902,"OK","NG"),Blank)</f>
        <v>#NAME?</v>
      </c>
      <c r="Q902" s="211" t="e" cm="1">
        <f t="array" ref="Q902">IF(H902&lt;&gt;"Stop",IF(N902&lt;&gt;0,IF(N902&lt;=K902,"OK","NG"),Blank),"-")</f>
        <v>#REF!</v>
      </c>
      <c r="R902" s="326" t="e" cm="1">
        <f t="array" ref="R902">IF(H902&lt;&gt;"Stop",IF(E902&lt;&gt;0,IF(E902&lt;=K902,"OK","NG"),Blank),"-")</f>
        <v>#REF!</v>
      </c>
    </row>
    <row r="903" spans="1:18" ht="15" hidden="1" x14ac:dyDescent="0.3">
      <c r="A903" s="318" t="e">
        <f>#REF!</f>
        <v>#REF!</v>
      </c>
      <c r="B903" s="305" t="e">
        <f>#REF!</f>
        <v>#REF!</v>
      </c>
      <c r="C903" s="305" t="str">
        <f>'Danh sách máy'!C948</f>
        <v>MKHC</v>
      </c>
      <c r="D903" s="90" t="e">
        <f>#REF!</f>
        <v>#REF!</v>
      </c>
      <c r="E903" s="97">
        <f>'Danh sách máy'!E948</f>
        <v>0</v>
      </c>
      <c r="F903" s="206" t="e">
        <f>#REF!</f>
        <v>#REF!</v>
      </c>
      <c r="G903" s="102" t="e">
        <f>#REF!</f>
        <v>#REF!</v>
      </c>
      <c r="H903" s="102" t="e">
        <f>#REF!</f>
        <v>#REF!</v>
      </c>
      <c r="K903" s="210" t="e">
        <f>#REF!</f>
        <v>#REF!</v>
      </c>
      <c r="L903" s="210">
        <v>45172</v>
      </c>
      <c r="M903" s="210"/>
      <c r="N903" s="210">
        <f>'Danh sách máy'!F948</f>
        <v>0</v>
      </c>
      <c r="O903" s="211" t="str" cm="1">
        <f t="array" ref="O903">IF(L903&lt;&gt;0,IF(L903&lt;I903,"OK","NG"),Blank)</f>
        <v>NG</v>
      </c>
      <c r="P903" s="211" t="e" cm="1">
        <f t="array" ref="P903">IF(M903&lt;&gt;0,IF(M903&lt;J903,"OK","NG"),Blank)</f>
        <v>#NAME?</v>
      </c>
      <c r="Q903" s="211" t="e" cm="1">
        <f t="array" ref="Q903">IF(H903&lt;&gt;"Stop",IF(N903&lt;&gt;0,IF(N903&lt;=K903,"OK","NG"),Blank),"-")</f>
        <v>#REF!</v>
      </c>
      <c r="R903" s="326" t="e" cm="1">
        <f t="array" ref="R903">IF(H903&lt;&gt;"Stop",IF(E903&lt;&gt;0,IF(E903&lt;=K903,"OK","NG"),Blank),"-")</f>
        <v>#REF!</v>
      </c>
    </row>
    <row r="904" spans="1:18" ht="15" hidden="1" x14ac:dyDescent="0.3">
      <c r="A904" s="318" t="e">
        <f>#REF!</f>
        <v>#REF!</v>
      </c>
      <c r="B904" s="305" t="e">
        <f>#REF!</f>
        <v>#REF!</v>
      </c>
      <c r="C904" s="305" t="str">
        <f>'Danh sách máy'!C949</f>
        <v>MKHC</v>
      </c>
      <c r="D904" s="90" t="e">
        <f>#REF!</f>
        <v>#REF!</v>
      </c>
      <c r="E904" s="97">
        <f>'Danh sách máy'!E949</f>
        <v>0</v>
      </c>
      <c r="F904" s="206" t="e">
        <f>#REF!</f>
        <v>#REF!</v>
      </c>
      <c r="G904" s="102" t="e">
        <f>#REF!</f>
        <v>#REF!</v>
      </c>
      <c r="H904" s="102" t="e">
        <f>#REF!</f>
        <v>#REF!</v>
      </c>
      <c r="K904" s="210" t="e">
        <f>#REF!</f>
        <v>#REF!</v>
      </c>
      <c r="L904" s="210">
        <v>45173</v>
      </c>
      <c r="M904" s="210"/>
      <c r="N904" s="210">
        <f>'Danh sách máy'!F949</f>
        <v>0</v>
      </c>
      <c r="O904" s="211" t="str" cm="1">
        <f t="array" ref="O904">IF(L904&lt;&gt;0,IF(L904&lt;I904,"OK","NG"),Blank)</f>
        <v>NG</v>
      </c>
      <c r="P904" s="211" t="e" cm="1">
        <f t="array" ref="P904">IF(M904&lt;&gt;0,IF(M904&lt;J904,"OK","NG"),Blank)</f>
        <v>#NAME?</v>
      </c>
      <c r="Q904" s="211" t="e" cm="1">
        <f t="array" ref="Q904">IF(H904&lt;&gt;"Stop",IF(N904&lt;&gt;0,IF(N904&lt;=K904,"OK","NG"),Blank),"-")</f>
        <v>#REF!</v>
      </c>
      <c r="R904" s="326" t="e" cm="1">
        <f t="array" ref="R904">IF(H904&lt;&gt;"Stop",IF(E904&lt;&gt;0,IF(E904&lt;=K904,"OK","NG"),Blank),"-")</f>
        <v>#REF!</v>
      </c>
    </row>
    <row r="905" spans="1:18" ht="15" hidden="1" x14ac:dyDescent="0.3">
      <c r="A905" s="318" t="e">
        <f>#REF!</f>
        <v>#REF!</v>
      </c>
      <c r="B905" s="305" t="e">
        <f>#REF!</f>
        <v>#REF!</v>
      </c>
      <c r="C905" s="305" t="str">
        <f>'Danh sách máy'!C950</f>
        <v>MKHC</v>
      </c>
      <c r="D905" s="90" t="e">
        <f>#REF!</f>
        <v>#REF!</v>
      </c>
      <c r="E905" s="97">
        <f>'Danh sách máy'!E950</f>
        <v>0</v>
      </c>
      <c r="F905" s="206" t="e">
        <f>#REF!</f>
        <v>#REF!</v>
      </c>
      <c r="G905" s="102" t="e">
        <f>#REF!</f>
        <v>#REF!</v>
      </c>
      <c r="H905" s="102" t="e">
        <f>#REF!</f>
        <v>#REF!</v>
      </c>
      <c r="K905" s="210" t="e">
        <f>#REF!</f>
        <v>#REF!</v>
      </c>
      <c r="L905" s="210">
        <v>45174</v>
      </c>
      <c r="M905" s="210"/>
      <c r="N905" s="210">
        <f>'Danh sách máy'!F950</f>
        <v>0</v>
      </c>
      <c r="O905" s="211" t="str" cm="1">
        <f t="array" ref="O905">IF(L905&lt;&gt;0,IF(L905&lt;I905,"OK","NG"),Blank)</f>
        <v>NG</v>
      </c>
      <c r="P905" s="211" t="e" cm="1">
        <f t="array" ref="P905">IF(M905&lt;&gt;0,IF(M905&lt;J905,"OK","NG"),Blank)</f>
        <v>#NAME?</v>
      </c>
      <c r="Q905" s="211" t="e" cm="1">
        <f t="array" ref="Q905">IF(H905&lt;&gt;"Stop",IF(N905&lt;&gt;0,IF(N905&lt;=K905,"OK","NG"),Blank),"-")</f>
        <v>#REF!</v>
      </c>
      <c r="R905" s="326" t="e" cm="1">
        <f t="array" ref="R905">IF(H905&lt;&gt;"Stop",IF(E905&lt;&gt;0,IF(E905&lt;=K905,"OK","NG"),Blank),"-")</f>
        <v>#REF!</v>
      </c>
    </row>
    <row r="906" spans="1:18" ht="15" hidden="1" x14ac:dyDescent="0.3">
      <c r="A906" s="318" t="e">
        <f>#REF!</f>
        <v>#REF!</v>
      </c>
      <c r="B906" s="305" t="e">
        <f>#REF!</f>
        <v>#REF!</v>
      </c>
      <c r="C906" s="305" t="str">
        <f>'Danh sách máy'!C951</f>
        <v>MKHC</v>
      </c>
      <c r="D906" s="90" t="e">
        <f>#REF!</f>
        <v>#REF!</v>
      </c>
      <c r="E906" s="97">
        <f>'Danh sách máy'!E951</f>
        <v>0</v>
      </c>
      <c r="F906" s="206" t="e">
        <f>#REF!</f>
        <v>#REF!</v>
      </c>
      <c r="G906" s="102" t="e">
        <f>#REF!</f>
        <v>#REF!</v>
      </c>
      <c r="H906" s="102" t="e">
        <f>#REF!</f>
        <v>#REF!</v>
      </c>
      <c r="K906" s="210" t="e">
        <f>#REF!</f>
        <v>#REF!</v>
      </c>
      <c r="L906" s="210">
        <v>45175</v>
      </c>
      <c r="M906" s="210"/>
      <c r="N906" s="210">
        <f>'Danh sách máy'!F951</f>
        <v>0</v>
      </c>
      <c r="O906" s="211" t="str" cm="1">
        <f t="array" ref="O906">IF(L906&lt;&gt;0,IF(L906&lt;I906,"OK","NG"),Blank)</f>
        <v>NG</v>
      </c>
      <c r="P906" s="211" t="e" cm="1">
        <f t="array" ref="P906">IF(M906&lt;&gt;0,IF(M906&lt;J906,"OK","NG"),Blank)</f>
        <v>#NAME?</v>
      </c>
      <c r="Q906" s="211" t="e" cm="1">
        <f t="array" ref="Q906">IF(H906&lt;&gt;"Stop",IF(N906&lt;&gt;0,IF(N906&lt;=K906,"OK","NG"),Blank),"-")</f>
        <v>#REF!</v>
      </c>
      <c r="R906" s="326" t="e" cm="1">
        <f t="array" ref="R906">IF(H906&lt;&gt;"Stop",IF(E906&lt;&gt;0,IF(E906&lt;=K906,"OK","NG"),Blank),"-")</f>
        <v>#REF!</v>
      </c>
    </row>
    <row r="907" spans="1:18" ht="15" hidden="1" x14ac:dyDescent="0.3">
      <c r="A907" s="318" t="e">
        <f>#REF!</f>
        <v>#REF!</v>
      </c>
      <c r="B907" s="305" t="e">
        <f>#REF!</f>
        <v>#REF!</v>
      </c>
      <c r="C907" s="305" t="str">
        <f>'Danh sách máy'!C952</f>
        <v>MKHC</v>
      </c>
      <c r="D907" s="90" t="e">
        <f>#REF!</f>
        <v>#REF!</v>
      </c>
      <c r="E907" s="97">
        <f>'Danh sách máy'!E952</f>
        <v>0</v>
      </c>
      <c r="F907" s="206" t="e">
        <f>#REF!</f>
        <v>#REF!</v>
      </c>
      <c r="G907" s="102" t="e">
        <f>#REF!</f>
        <v>#REF!</v>
      </c>
      <c r="H907" s="102" t="e">
        <f>#REF!</f>
        <v>#REF!</v>
      </c>
      <c r="K907" s="210" t="e">
        <f>#REF!</f>
        <v>#REF!</v>
      </c>
      <c r="L907" s="210">
        <v>45176</v>
      </c>
      <c r="M907" s="210"/>
      <c r="N907" s="210">
        <f>'Danh sách máy'!F952</f>
        <v>0</v>
      </c>
      <c r="O907" s="211" t="str" cm="1">
        <f t="array" ref="O907">IF(L907&lt;&gt;0,IF(L907&lt;I907,"OK","NG"),Blank)</f>
        <v>NG</v>
      </c>
      <c r="P907" s="211" t="e" cm="1">
        <f t="array" ref="P907">IF(M907&lt;&gt;0,IF(M907&lt;J907,"OK","NG"),Blank)</f>
        <v>#NAME?</v>
      </c>
      <c r="Q907" s="211" t="e" cm="1">
        <f t="array" ref="Q907">IF(H907&lt;&gt;"Stop",IF(N907&lt;&gt;0,IF(N907&lt;=K907,"OK","NG"),Blank),"-")</f>
        <v>#REF!</v>
      </c>
      <c r="R907" s="326" t="e" cm="1">
        <f t="array" ref="R907">IF(H907&lt;&gt;"Stop",IF(E907&lt;&gt;0,IF(E907&lt;=K907,"OK","NG"),Blank),"-")</f>
        <v>#REF!</v>
      </c>
    </row>
    <row r="908" spans="1:18" ht="15" hidden="1" x14ac:dyDescent="0.3">
      <c r="A908" s="318" t="e">
        <f>#REF!</f>
        <v>#REF!</v>
      </c>
      <c r="B908" s="305" t="e">
        <f>#REF!</f>
        <v>#REF!</v>
      </c>
      <c r="C908" s="305" t="str">
        <f>'Danh sách máy'!C953</f>
        <v>MKHC</v>
      </c>
      <c r="D908" s="90" t="e">
        <f>#REF!</f>
        <v>#REF!</v>
      </c>
      <c r="E908" s="97">
        <f>'Danh sách máy'!E953</f>
        <v>0</v>
      </c>
      <c r="F908" s="206" t="e">
        <f>#REF!</f>
        <v>#REF!</v>
      </c>
      <c r="G908" s="102" t="e">
        <f>#REF!</f>
        <v>#REF!</v>
      </c>
      <c r="H908" s="102" t="e">
        <f>#REF!</f>
        <v>#REF!</v>
      </c>
      <c r="K908" s="210" t="e">
        <f>#REF!</f>
        <v>#REF!</v>
      </c>
      <c r="L908" s="210">
        <v>45177</v>
      </c>
      <c r="M908" s="210"/>
      <c r="N908" s="210">
        <f>'Danh sách máy'!F953</f>
        <v>0</v>
      </c>
      <c r="O908" s="211" t="str" cm="1">
        <f t="array" ref="O908">IF(L908&lt;&gt;0,IF(L908&lt;I908,"OK","NG"),Blank)</f>
        <v>NG</v>
      </c>
      <c r="P908" s="211" t="e" cm="1">
        <f t="array" ref="P908">IF(M908&lt;&gt;0,IF(M908&lt;J908,"OK","NG"),Blank)</f>
        <v>#NAME?</v>
      </c>
      <c r="Q908" s="211" t="e" cm="1">
        <f t="array" ref="Q908">IF(H908&lt;&gt;"Stop",IF(N908&lt;&gt;0,IF(N908&lt;=K908,"OK","NG"),Blank),"-")</f>
        <v>#REF!</v>
      </c>
      <c r="R908" s="326" t="e" cm="1">
        <f t="array" ref="R908">IF(H908&lt;&gt;"Stop",IF(E908&lt;&gt;0,IF(E908&lt;=K908,"OK","NG"),Blank),"-")</f>
        <v>#REF!</v>
      </c>
    </row>
    <row r="909" spans="1:18" ht="15" hidden="1" x14ac:dyDescent="0.3">
      <c r="A909" s="318" t="e">
        <f>#REF!</f>
        <v>#REF!</v>
      </c>
      <c r="B909" s="305" t="e">
        <f>#REF!</f>
        <v>#REF!</v>
      </c>
      <c r="C909" s="305" t="str">
        <f>'Danh sách máy'!C954</f>
        <v>MKHC</v>
      </c>
      <c r="D909" s="90" t="e">
        <f>#REF!</f>
        <v>#REF!</v>
      </c>
      <c r="E909" s="97">
        <f>'Danh sách máy'!E954</f>
        <v>0</v>
      </c>
      <c r="F909" s="206" t="e">
        <f>#REF!</f>
        <v>#REF!</v>
      </c>
      <c r="G909" s="102" t="e">
        <f>#REF!</f>
        <v>#REF!</v>
      </c>
      <c r="H909" s="102" t="e">
        <f>#REF!</f>
        <v>#REF!</v>
      </c>
      <c r="K909" s="210" t="e">
        <f>#REF!</f>
        <v>#REF!</v>
      </c>
      <c r="L909" s="210">
        <v>45178</v>
      </c>
      <c r="M909" s="210"/>
      <c r="N909" s="210">
        <f>'Danh sách máy'!F954</f>
        <v>0</v>
      </c>
      <c r="O909" s="211" t="str" cm="1">
        <f t="array" ref="O909">IF(L909&lt;&gt;0,IF(L909&lt;I909,"OK","NG"),Blank)</f>
        <v>NG</v>
      </c>
      <c r="P909" s="211" t="e" cm="1">
        <f t="array" ref="P909">IF(M909&lt;&gt;0,IF(M909&lt;J909,"OK","NG"),Blank)</f>
        <v>#NAME?</v>
      </c>
      <c r="Q909" s="211" t="e" cm="1">
        <f t="array" ref="Q909">IF(H909&lt;&gt;"Stop",IF(N909&lt;&gt;0,IF(N909&lt;=K909,"OK","NG"),Blank),"-")</f>
        <v>#REF!</v>
      </c>
      <c r="R909" s="326" t="e" cm="1">
        <f t="array" ref="R909">IF(H909&lt;&gt;"Stop",IF(E909&lt;&gt;0,IF(E909&lt;=K909,"OK","NG"),Blank),"-")</f>
        <v>#REF!</v>
      </c>
    </row>
    <row r="910" spans="1:18" ht="15" hidden="1" x14ac:dyDescent="0.3">
      <c r="A910" s="318" t="e">
        <f>#REF!</f>
        <v>#REF!</v>
      </c>
      <c r="B910" s="305" t="e">
        <f>#REF!</f>
        <v>#REF!</v>
      </c>
      <c r="C910" s="305" t="str">
        <f>'Danh sách máy'!C955</f>
        <v>MKHC</v>
      </c>
      <c r="D910" s="90" t="e">
        <f>#REF!</f>
        <v>#REF!</v>
      </c>
      <c r="E910" s="97">
        <f>'Danh sách máy'!E955</f>
        <v>0</v>
      </c>
      <c r="F910" s="206" t="e">
        <f>#REF!</f>
        <v>#REF!</v>
      </c>
      <c r="G910" s="102" t="e">
        <f>#REF!</f>
        <v>#REF!</v>
      </c>
      <c r="H910" s="102" t="e">
        <f>#REF!</f>
        <v>#REF!</v>
      </c>
      <c r="K910" s="210" t="e">
        <f>#REF!</f>
        <v>#REF!</v>
      </c>
      <c r="L910" s="210">
        <v>45179</v>
      </c>
      <c r="M910" s="210"/>
      <c r="N910" s="210">
        <f>'Danh sách máy'!F955</f>
        <v>0</v>
      </c>
      <c r="O910" s="211" t="str" cm="1">
        <f t="array" ref="O910">IF(L910&lt;&gt;0,IF(L910&lt;I910,"OK","NG"),Blank)</f>
        <v>NG</v>
      </c>
      <c r="P910" s="211" t="e" cm="1">
        <f t="array" ref="P910">IF(M910&lt;&gt;0,IF(M910&lt;J910,"OK","NG"),Blank)</f>
        <v>#NAME?</v>
      </c>
      <c r="Q910" s="211" t="e" cm="1">
        <f t="array" ref="Q910">IF(H910&lt;&gt;"Stop",IF(N910&lt;&gt;0,IF(N910&lt;=K910,"OK","NG"),Blank),"-")</f>
        <v>#REF!</v>
      </c>
      <c r="R910" s="326" t="e" cm="1">
        <f t="array" ref="R910">IF(H910&lt;&gt;"Stop",IF(E910&lt;&gt;0,IF(E910&lt;=K910,"OK","NG"),Blank),"-")</f>
        <v>#REF!</v>
      </c>
    </row>
    <row r="911" spans="1:18" ht="15" hidden="1" x14ac:dyDescent="0.3">
      <c r="A911" s="318" t="e">
        <f>#REF!</f>
        <v>#REF!</v>
      </c>
      <c r="B911" s="305" t="e">
        <f>#REF!</f>
        <v>#REF!</v>
      </c>
      <c r="C911" s="305" t="str">
        <f>'Danh sách máy'!C956</f>
        <v>MKHC</v>
      </c>
      <c r="D911" s="90" t="e">
        <f>#REF!</f>
        <v>#REF!</v>
      </c>
      <c r="E911" s="97">
        <f>'Danh sách máy'!E956</f>
        <v>0</v>
      </c>
      <c r="F911" s="206" t="e">
        <f>#REF!</f>
        <v>#REF!</v>
      </c>
      <c r="G911" s="102" t="e">
        <f>#REF!</f>
        <v>#REF!</v>
      </c>
      <c r="H911" s="102" t="e">
        <f>#REF!</f>
        <v>#REF!</v>
      </c>
      <c r="K911" s="210" t="e">
        <f>#REF!</f>
        <v>#REF!</v>
      </c>
      <c r="L911" s="210">
        <v>45180</v>
      </c>
      <c r="M911" s="210"/>
      <c r="N911" s="210">
        <f>'Danh sách máy'!F956</f>
        <v>0</v>
      </c>
      <c r="O911" s="211" t="str" cm="1">
        <f t="array" ref="O911">IF(L911&lt;&gt;0,IF(L911&lt;I911,"OK","NG"),Blank)</f>
        <v>NG</v>
      </c>
      <c r="P911" s="211" t="e" cm="1">
        <f t="array" ref="P911">IF(M911&lt;&gt;0,IF(M911&lt;J911,"OK","NG"),Blank)</f>
        <v>#NAME?</v>
      </c>
      <c r="Q911" s="211" t="e" cm="1">
        <f t="array" ref="Q911">IF(H911&lt;&gt;"Stop",IF(N911&lt;&gt;0,IF(N911&lt;=K911,"OK","NG"),Blank),"-")</f>
        <v>#REF!</v>
      </c>
      <c r="R911" s="326" t="e" cm="1">
        <f t="array" ref="R911">IF(H911&lt;&gt;"Stop",IF(E911&lt;&gt;0,IF(E911&lt;=K911,"OK","NG"),Blank),"-")</f>
        <v>#REF!</v>
      </c>
    </row>
    <row r="912" spans="1:18" ht="15" hidden="1" x14ac:dyDescent="0.3">
      <c r="A912" s="318" t="e">
        <f>#REF!</f>
        <v>#REF!</v>
      </c>
      <c r="B912" s="305" t="e">
        <f>#REF!</f>
        <v>#REF!</v>
      </c>
      <c r="C912" s="305" t="str">
        <f>'Danh sách máy'!C957</f>
        <v>MKHC</v>
      </c>
      <c r="D912" s="90" t="e">
        <f>#REF!</f>
        <v>#REF!</v>
      </c>
      <c r="E912" s="97">
        <f>'Danh sách máy'!E957</f>
        <v>0</v>
      </c>
      <c r="F912" s="206" t="e">
        <f>#REF!</f>
        <v>#REF!</v>
      </c>
      <c r="G912" s="102" t="e">
        <f>#REF!</f>
        <v>#REF!</v>
      </c>
      <c r="H912" s="102" t="e">
        <f>#REF!</f>
        <v>#REF!</v>
      </c>
      <c r="K912" s="210" t="e">
        <f>#REF!</f>
        <v>#REF!</v>
      </c>
      <c r="L912" s="210">
        <v>45181</v>
      </c>
      <c r="M912" s="210"/>
      <c r="N912" s="210">
        <f>'Danh sách máy'!F957</f>
        <v>0</v>
      </c>
      <c r="O912" s="211" t="str" cm="1">
        <f t="array" ref="O912">IF(L912&lt;&gt;0,IF(L912&lt;I912,"OK","NG"),Blank)</f>
        <v>NG</v>
      </c>
      <c r="P912" s="211" t="e" cm="1">
        <f t="array" ref="P912">IF(M912&lt;&gt;0,IF(M912&lt;J912,"OK","NG"),Blank)</f>
        <v>#NAME?</v>
      </c>
      <c r="Q912" s="211" t="e" cm="1">
        <f t="array" ref="Q912">IF(H912&lt;&gt;"Stop",IF(N912&lt;&gt;0,IF(N912&lt;=K912,"OK","NG"),Blank),"-")</f>
        <v>#REF!</v>
      </c>
      <c r="R912" s="326" t="e" cm="1">
        <f t="array" ref="R912">IF(H912&lt;&gt;"Stop",IF(E912&lt;&gt;0,IF(E912&lt;=K912,"OK","NG"),Blank),"-")</f>
        <v>#REF!</v>
      </c>
    </row>
    <row r="913" spans="1:18" ht="15" hidden="1" x14ac:dyDescent="0.3">
      <c r="A913" s="318" t="e">
        <f>#REF!</f>
        <v>#REF!</v>
      </c>
      <c r="B913" s="305" t="e">
        <f>#REF!</f>
        <v>#REF!</v>
      </c>
      <c r="C913" s="305" t="str">
        <f>'Danh sách máy'!C958</f>
        <v>MKHC</v>
      </c>
      <c r="D913" s="90" t="e">
        <f>#REF!</f>
        <v>#REF!</v>
      </c>
      <c r="E913" s="97">
        <f>'Danh sách máy'!E958</f>
        <v>0</v>
      </c>
      <c r="F913" s="206" t="e">
        <f>#REF!</f>
        <v>#REF!</v>
      </c>
      <c r="G913" s="102" t="e">
        <f>#REF!</f>
        <v>#REF!</v>
      </c>
      <c r="H913" s="102" t="e">
        <f>#REF!</f>
        <v>#REF!</v>
      </c>
      <c r="K913" s="210" t="e">
        <f>#REF!</f>
        <v>#REF!</v>
      </c>
      <c r="L913" s="210">
        <v>45182</v>
      </c>
      <c r="M913" s="210"/>
      <c r="N913" s="210">
        <f>'Danh sách máy'!F958</f>
        <v>0</v>
      </c>
      <c r="O913" s="211" t="str" cm="1">
        <f t="array" ref="O913">IF(L913&lt;&gt;0,IF(L913&lt;I913,"OK","NG"),Blank)</f>
        <v>NG</v>
      </c>
      <c r="P913" s="211" t="e" cm="1">
        <f t="array" ref="P913">IF(M913&lt;&gt;0,IF(M913&lt;J913,"OK","NG"),Blank)</f>
        <v>#NAME?</v>
      </c>
      <c r="Q913" s="211" t="e" cm="1">
        <f t="array" ref="Q913">IF(H913&lt;&gt;"Stop",IF(N913&lt;&gt;0,IF(N913&lt;=K913,"OK","NG"),Blank),"-")</f>
        <v>#REF!</v>
      </c>
      <c r="R913" s="326" t="e" cm="1">
        <f t="array" ref="R913">IF(H913&lt;&gt;"Stop",IF(E913&lt;&gt;0,IF(E913&lt;=K913,"OK","NG"),Blank),"-")</f>
        <v>#REF!</v>
      </c>
    </row>
    <row r="914" spans="1:18" ht="15" hidden="1" x14ac:dyDescent="0.3">
      <c r="A914" s="318" t="e">
        <f>#REF!</f>
        <v>#REF!</v>
      </c>
      <c r="B914" s="305" t="e">
        <f>#REF!</f>
        <v>#REF!</v>
      </c>
      <c r="C914" s="305" t="str">
        <f>'Danh sách máy'!C959</f>
        <v>MKHC</v>
      </c>
      <c r="D914" s="90" t="e">
        <f>#REF!</f>
        <v>#REF!</v>
      </c>
      <c r="E914" s="97">
        <f>'Danh sách máy'!E959</f>
        <v>0</v>
      </c>
      <c r="F914" s="206" t="e">
        <f>#REF!</f>
        <v>#REF!</v>
      </c>
      <c r="G914" s="102" t="e">
        <f>#REF!</f>
        <v>#REF!</v>
      </c>
      <c r="H914" s="102" t="e">
        <f>#REF!</f>
        <v>#REF!</v>
      </c>
      <c r="K914" s="210" t="e">
        <f>#REF!</f>
        <v>#REF!</v>
      </c>
      <c r="L914" s="210">
        <v>45183</v>
      </c>
      <c r="M914" s="210"/>
      <c r="N914" s="210">
        <f>'Danh sách máy'!F959</f>
        <v>0</v>
      </c>
      <c r="O914" s="211" t="str" cm="1">
        <f t="array" ref="O914">IF(L914&lt;&gt;0,IF(L914&lt;I914,"OK","NG"),Blank)</f>
        <v>NG</v>
      </c>
      <c r="P914" s="211" t="e" cm="1">
        <f t="array" ref="P914">IF(M914&lt;&gt;0,IF(M914&lt;J914,"OK","NG"),Blank)</f>
        <v>#NAME?</v>
      </c>
      <c r="Q914" s="211" t="e" cm="1">
        <f t="array" ref="Q914">IF(H914&lt;&gt;"Stop",IF(N914&lt;&gt;0,IF(N914&lt;=K914,"OK","NG"),Blank),"-")</f>
        <v>#REF!</v>
      </c>
      <c r="R914" s="326" t="e" cm="1">
        <f t="array" ref="R914">IF(H914&lt;&gt;"Stop",IF(E914&lt;&gt;0,IF(E914&lt;=K914,"OK","NG"),Blank),"-")</f>
        <v>#REF!</v>
      </c>
    </row>
    <row r="915" spans="1:18" ht="15" hidden="1" x14ac:dyDescent="0.3">
      <c r="A915" s="318" t="e">
        <f>#REF!</f>
        <v>#REF!</v>
      </c>
      <c r="B915" s="305" t="e">
        <f>#REF!</f>
        <v>#REF!</v>
      </c>
      <c r="C915" s="305" t="str">
        <f>'Danh sách máy'!C960</f>
        <v>MKHC</v>
      </c>
      <c r="D915" s="90" t="e">
        <f>#REF!</f>
        <v>#REF!</v>
      </c>
      <c r="E915" s="97">
        <f>'Danh sách máy'!E960</f>
        <v>0</v>
      </c>
      <c r="F915" s="206" t="e">
        <f>#REF!</f>
        <v>#REF!</v>
      </c>
      <c r="G915" s="102" t="e">
        <f>#REF!</f>
        <v>#REF!</v>
      </c>
      <c r="H915" s="102" t="e">
        <f>#REF!</f>
        <v>#REF!</v>
      </c>
      <c r="K915" s="210" t="e">
        <f>#REF!</f>
        <v>#REF!</v>
      </c>
      <c r="L915" s="210">
        <v>45184</v>
      </c>
      <c r="M915" s="210"/>
      <c r="N915" s="210">
        <f>'Danh sách máy'!F960</f>
        <v>0</v>
      </c>
      <c r="O915" s="211" t="str" cm="1">
        <f t="array" ref="O915">IF(L915&lt;&gt;0,IF(L915&lt;I915,"OK","NG"),Blank)</f>
        <v>NG</v>
      </c>
      <c r="P915" s="211" t="e" cm="1">
        <f t="array" ref="P915">IF(M915&lt;&gt;0,IF(M915&lt;J915,"OK","NG"),Blank)</f>
        <v>#NAME?</v>
      </c>
      <c r="Q915" s="211" t="e" cm="1">
        <f t="array" ref="Q915">IF(H915&lt;&gt;"Stop",IF(N915&lt;&gt;0,IF(N915&lt;=K915,"OK","NG"),Blank),"-")</f>
        <v>#REF!</v>
      </c>
      <c r="R915" s="326" t="e" cm="1">
        <f t="array" ref="R915">IF(H915&lt;&gt;"Stop",IF(E915&lt;&gt;0,IF(E915&lt;=K915,"OK","NG"),Blank),"-")</f>
        <v>#REF!</v>
      </c>
    </row>
    <row r="916" spans="1:18" ht="15" hidden="1" x14ac:dyDescent="0.3">
      <c r="A916" s="318" t="e">
        <f>#REF!</f>
        <v>#REF!</v>
      </c>
      <c r="B916" s="305" t="e">
        <f>#REF!</f>
        <v>#REF!</v>
      </c>
      <c r="C916" s="305" t="str">
        <f>'Danh sách máy'!C961</f>
        <v>MKHC</v>
      </c>
      <c r="D916" s="90" t="e">
        <f>#REF!</f>
        <v>#REF!</v>
      </c>
      <c r="E916" s="97">
        <f>'Danh sách máy'!E961</f>
        <v>0</v>
      </c>
      <c r="F916" s="206" t="e">
        <f>#REF!</f>
        <v>#REF!</v>
      </c>
      <c r="G916" s="102" t="e">
        <f>#REF!</f>
        <v>#REF!</v>
      </c>
      <c r="H916" s="102" t="e">
        <f>#REF!</f>
        <v>#REF!</v>
      </c>
      <c r="K916" s="210" t="e">
        <f>#REF!</f>
        <v>#REF!</v>
      </c>
      <c r="L916" s="210">
        <v>45185</v>
      </c>
      <c r="M916" s="210"/>
      <c r="N916" s="210">
        <f>'Danh sách máy'!F961</f>
        <v>0</v>
      </c>
      <c r="O916" s="211" t="str" cm="1">
        <f t="array" ref="O916">IF(L916&lt;&gt;0,IF(L916&lt;I916,"OK","NG"),Blank)</f>
        <v>NG</v>
      </c>
      <c r="P916" s="211" t="e" cm="1">
        <f t="array" ref="P916">IF(M916&lt;&gt;0,IF(M916&lt;J916,"OK","NG"),Blank)</f>
        <v>#NAME?</v>
      </c>
      <c r="Q916" s="211" t="e" cm="1">
        <f t="array" ref="Q916">IF(H916&lt;&gt;"Stop",IF(N916&lt;&gt;0,IF(N916&lt;=K916,"OK","NG"),Blank),"-")</f>
        <v>#REF!</v>
      </c>
      <c r="R916" s="326" t="e" cm="1">
        <f t="array" ref="R916">IF(H916&lt;&gt;"Stop",IF(E916&lt;&gt;0,IF(E916&lt;=K916,"OK","NG"),Blank),"-")</f>
        <v>#REF!</v>
      </c>
    </row>
    <row r="917" spans="1:18" ht="15" hidden="1" x14ac:dyDescent="0.3">
      <c r="A917" s="318" t="e">
        <f>#REF!</f>
        <v>#REF!</v>
      </c>
      <c r="B917" s="305" t="e">
        <f>#REF!</f>
        <v>#REF!</v>
      </c>
      <c r="C917" s="305" t="str">
        <f>'Danh sách máy'!C962</f>
        <v>MKHC</v>
      </c>
      <c r="D917" s="90" t="e">
        <f>#REF!</f>
        <v>#REF!</v>
      </c>
      <c r="E917" s="97">
        <f>'Danh sách máy'!E962</f>
        <v>0</v>
      </c>
      <c r="F917" s="206" t="e">
        <f>#REF!</f>
        <v>#REF!</v>
      </c>
      <c r="G917" s="102" t="e">
        <f>#REF!</f>
        <v>#REF!</v>
      </c>
      <c r="H917" s="102" t="e">
        <f>#REF!</f>
        <v>#REF!</v>
      </c>
      <c r="K917" s="210" t="e">
        <f>#REF!</f>
        <v>#REF!</v>
      </c>
      <c r="L917" s="210">
        <v>45186</v>
      </c>
      <c r="M917" s="210"/>
      <c r="N917" s="210">
        <f>'Danh sách máy'!F962</f>
        <v>0</v>
      </c>
      <c r="O917" s="211" t="str" cm="1">
        <f t="array" ref="O917">IF(L917&lt;&gt;0,IF(L917&lt;I917,"OK","NG"),Blank)</f>
        <v>NG</v>
      </c>
      <c r="P917" s="211" t="e" cm="1">
        <f t="array" ref="P917">IF(M917&lt;&gt;0,IF(M917&lt;J917,"OK","NG"),Blank)</f>
        <v>#NAME?</v>
      </c>
      <c r="Q917" s="211" t="e" cm="1">
        <f t="array" ref="Q917">IF(H917&lt;&gt;"Stop",IF(N917&lt;&gt;0,IF(N917&lt;=K917,"OK","NG"),Blank),"-")</f>
        <v>#REF!</v>
      </c>
      <c r="R917" s="326" t="e" cm="1">
        <f t="array" ref="R917">IF(H917&lt;&gt;"Stop",IF(E917&lt;&gt;0,IF(E917&lt;=K917,"OK","NG"),Blank),"-")</f>
        <v>#REF!</v>
      </c>
    </row>
    <row r="918" spans="1:18" ht="15" hidden="1" x14ac:dyDescent="0.3">
      <c r="A918" s="318" t="e">
        <f>#REF!</f>
        <v>#REF!</v>
      </c>
      <c r="B918" s="305" t="e">
        <f>#REF!</f>
        <v>#REF!</v>
      </c>
      <c r="C918" s="305" t="str">
        <f>'Danh sách máy'!C963</f>
        <v>MKHC</v>
      </c>
      <c r="D918" s="90" t="e">
        <f>#REF!</f>
        <v>#REF!</v>
      </c>
      <c r="E918" s="97">
        <f>'Danh sách máy'!E963</f>
        <v>0</v>
      </c>
      <c r="F918" s="206" t="e">
        <f>#REF!</f>
        <v>#REF!</v>
      </c>
      <c r="G918" s="102" t="e">
        <f>#REF!</f>
        <v>#REF!</v>
      </c>
      <c r="H918" s="102" t="e">
        <f>#REF!</f>
        <v>#REF!</v>
      </c>
      <c r="K918" s="210" t="e">
        <f>#REF!</f>
        <v>#REF!</v>
      </c>
      <c r="L918" s="210">
        <v>45187</v>
      </c>
      <c r="M918" s="210"/>
      <c r="N918" s="210">
        <f>'Danh sách máy'!F963</f>
        <v>0</v>
      </c>
      <c r="O918" s="211" t="str" cm="1">
        <f t="array" ref="O918">IF(L918&lt;&gt;0,IF(L918&lt;I918,"OK","NG"),Blank)</f>
        <v>NG</v>
      </c>
      <c r="P918" s="211" t="e" cm="1">
        <f t="array" ref="P918">IF(M918&lt;&gt;0,IF(M918&lt;J918,"OK","NG"),Blank)</f>
        <v>#NAME?</v>
      </c>
      <c r="Q918" s="211" t="e" cm="1">
        <f t="array" ref="Q918">IF(H918&lt;&gt;"Stop",IF(N918&lt;&gt;0,IF(N918&lt;=K918,"OK","NG"),Blank),"-")</f>
        <v>#REF!</v>
      </c>
      <c r="R918" s="326" t="e" cm="1">
        <f t="array" ref="R918">IF(H918&lt;&gt;"Stop",IF(E918&lt;&gt;0,IF(E918&lt;=K918,"OK","NG"),Blank),"-")</f>
        <v>#REF!</v>
      </c>
    </row>
    <row r="919" spans="1:18" ht="15" hidden="1" x14ac:dyDescent="0.3">
      <c r="A919" s="318" t="e">
        <f>#REF!</f>
        <v>#REF!</v>
      </c>
      <c r="B919" s="305" t="e">
        <f>#REF!</f>
        <v>#REF!</v>
      </c>
      <c r="C919" s="305" t="str">
        <f>'Danh sách máy'!C964</f>
        <v>MKHC</v>
      </c>
      <c r="D919" s="90" t="e">
        <f>#REF!</f>
        <v>#REF!</v>
      </c>
      <c r="E919" s="97">
        <f>'Danh sách máy'!E964</f>
        <v>0</v>
      </c>
      <c r="F919" s="206" t="e">
        <f>#REF!</f>
        <v>#REF!</v>
      </c>
      <c r="G919" s="102" t="e">
        <f>#REF!</f>
        <v>#REF!</v>
      </c>
      <c r="H919" s="102" t="e">
        <f>#REF!</f>
        <v>#REF!</v>
      </c>
      <c r="K919" s="210" t="e">
        <f>#REF!</f>
        <v>#REF!</v>
      </c>
      <c r="L919" s="210">
        <v>45188</v>
      </c>
      <c r="M919" s="210"/>
      <c r="N919" s="210">
        <f>'Danh sách máy'!F964</f>
        <v>0</v>
      </c>
      <c r="O919" s="211" t="str" cm="1">
        <f t="array" ref="O919">IF(L919&lt;&gt;0,IF(L919&lt;I919,"OK","NG"),Blank)</f>
        <v>NG</v>
      </c>
      <c r="P919" s="211" t="e" cm="1">
        <f t="array" ref="P919">IF(M919&lt;&gt;0,IF(M919&lt;J919,"OK","NG"),Blank)</f>
        <v>#NAME?</v>
      </c>
      <c r="Q919" s="211" t="e" cm="1">
        <f t="array" ref="Q919">IF(H919&lt;&gt;"Stop",IF(N919&lt;&gt;0,IF(N919&lt;=K919,"OK","NG"),Blank),"-")</f>
        <v>#REF!</v>
      </c>
      <c r="R919" s="326" t="e" cm="1">
        <f t="array" ref="R919">IF(H919&lt;&gt;"Stop",IF(E919&lt;&gt;0,IF(E919&lt;=K919,"OK","NG"),Blank),"-")</f>
        <v>#REF!</v>
      </c>
    </row>
    <row r="920" spans="1:18" ht="15" hidden="1" x14ac:dyDescent="0.3">
      <c r="A920" s="318" t="e">
        <f>#REF!</f>
        <v>#REF!</v>
      </c>
      <c r="B920" s="305" t="e">
        <f>#REF!</f>
        <v>#REF!</v>
      </c>
      <c r="C920" s="305" t="str">
        <f>'Danh sách máy'!C965</f>
        <v>MKHC</v>
      </c>
      <c r="D920" s="90" t="e">
        <f>#REF!</f>
        <v>#REF!</v>
      </c>
      <c r="E920" s="97">
        <f>'Danh sách máy'!E965</f>
        <v>0</v>
      </c>
      <c r="F920" s="206" t="e">
        <f>#REF!</f>
        <v>#REF!</v>
      </c>
      <c r="G920" s="102" t="e">
        <f>#REF!</f>
        <v>#REF!</v>
      </c>
      <c r="H920" s="102" t="e">
        <f>#REF!</f>
        <v>#REF!</v>
      </c>
      <c r="K920" s="210" t="e">
        <f>#REF!</f>
        <v>#REF!</v>
      </c>
      <c r="L920" s="210">
        <v>45189</v>
      </c>
      <c r="M920" s="210"/>
      <c r="N920" s="210">
        <f>'Danh sách máy'!F965</f>
        <v>0</v>
      </c>
      <c r="O920" s="211" t="str" cm="1">
        <f t="array" ref="O920">IF(L920&lt;&gt;0,IF(L920&lt;I920,"OK","NG"),Blank)</f>
        <v>NG</v>
      </c>
      <c r="P920" s="211" t="e" cm="1">
        <f t="array" ref="P920">IF(M920&lt;&gt;0,IF(M920&lt;J920,"OK","NG"),Blank)</f>
        <v>#NAME?</v>
      </c>
      <c r="Q920" s="211" t="e" cm="1">
        <f t="array" ref="Q920">IF(H920&lt;&gt;"Stop",IF(N920&lt;&gt;0,IF(N920&lt;=K920,"OK","NG"),Blank),"-")</f>
        <v>#REF!</v>
      </c>
      <c r="R920" s="326" t="e" cm="1">
        <f t="array" ref="R920">IF(H920&lt;&gt;"Stop",IF(E920&lt;&gt;0,IF(E920&lt;=K920,"OK","NG"),Blank),"-")</f>
        <v>#REF!</v>
      </c>
    </row>
    <row r="921" spans="1:18" ht="15" hidden="1" x14ac:dyDescent="0.3">
      <c r="A921" s="318" t="e">
        <f>#REF!</f>
        <v>#REF!</v>
      </c>
      <c r="B921" s="305" t="e">
        <f>#REF!</f>
        <v>#REF!</v>
      </c>
      <c r="C921" s="305" t="str">
        <f>'Danh sách máy'!C966</f>
        <v>MKHC</v>
      </c>
      <c r="D921" s="90" t="e">
        <f>#REF!</f>
        <v>#REF!</v>
      </c>
      <c r="E921" s="97">
        <f>'Danh sách máy'!E966</f>
        <v>0</v>
      </c>
      <c r="F921" s="206" t="e">
        <f>#REF!</f>
        <v>#REF!</v>
      </c>
      <c r="G921" s="102" t="e">
        <f>#REF!</f>
        <v>#REF!</v>
      </c>
      <c r="H921" s="102" t="e">
        <f>#REF!</f>
        <v>#REF!</v>
      </c>
      <c r="K921" s="210" t="e">
        <f>#REF!</f>
        <v>#REF!</v>
      </c>
      <c r="L921" s="210">
        <v>45190</v>
      </c>
      <c r="M921" s="210"/>
      <c r="N921" s="210">
        <f>'Danh sách máy'!F966</f>
        <v>0</v>
      </c>
      <c r="O921" s="211" t="str" cm="1">
        <f t="array" ref="O921">IF(L921&lt;&gt;0,IF(L921&lt;I921,"OK","NG"),Blank)</f>
        <v>NG</v>
      </c>
      <c r="P921" s="211" t="e" cm="1">
        <f t="array" ref="P921">IF(M921&lt;&gt;0,IF(M921&lt;J921,"OK","NG"),Blank)</f>
        <v>#NAME?</v>
      </c>
      <c r="Q921" s="211" t="e" cm="1">
        <f t="array" ref="Q921">IF(H921&lt;&gt;"Stop",IF(N921&lt;&gt;0,IF(N921&lt;=K921,"OK","NG"),Blank),"-")</f>
        <v>#REF!</v>
      </c>
      <c r="R921" s="326" t="e" cm="1">
        <f t="array" ref="R921">IF(H921&lt;&gt;"Stop",IF(E921&lt;&gt;0,IF(E921&lt;=K921,"OK","NG"),Blank),"-")</f>
        <v>#REF!</v>
      </c>
    </row>
    <row r="922" spans="1:18" ht="15" hidden="1" x14ac:dyDescent="0.3">
      <c r="A922" s="318" t="e">
        <f>#REF!</f>
        <v>#REF!</v>
      </c>
      <c r="B922" s="305" t="e">
        <f>#REF!</f>
        <v>#REF!</v>
      </c>
      <c r="C922" s="305" t="str">
        <f>'Danh sách máy'!C967</f>
        <v>MKHC</v>
      </c>
      <c r="D922" s="90" t="e">
        <f>#REF!</f>
        <v>#REF!</v>
      </c>
      <c r="E922" s="97">
        <f>'Danh sách máy'!E967</f>
        <v>0</v>
      </c>
      <c r="F922" s="206" t="e">
        <f>#REF!</f>
        <v>#REF!</v>
      </c>
      <c r="G922" s="102" t="e">
        <f>#REF!</f>
        <v>#REF!</v>
      </c>
      <c r="H922" s="102" t="e">
        <f>#REF!</f>
        <v>#REF!</v>
      </c>
      <c r="K922" s="210" t="e">
        <f>#REF!</f>
        <v>#REF!</v>
      </c>
      <c r="L922" s="210">
        <v>45191</v>
      </c>
      <c r="M922" s="210"/>
      <c r="N922" s="210">
        <f>'Danh sách máy'!F967</f>
        <v>0</v>
      </c>
      <c r="O922" s="211" t="str" cm="1">
        <f t="array" ref="O922">IF(L922&lt;&gt;0,IF(L922&lt;I922,"OK","NG"),Blank)</f>
        <v>NG</v>
      </c>
      <c r="P922" s="211" t="e" cm="1">
        <f t="array" ref="P922">IF(M922&lt;&gt;0,IF(M922&lt;J922,"OK","NG"),Blank)</f>
        <v>#NAME?</v>
      </c>
      <c r="Q922" s="211" t="e" cm="1">
        <f t="array" ref="Q922">IF(H922&lt;&gt;"Stop",IF(N922&lt;&gt;0,IF(N922&lt;=K922,"OK","NG"),Blank),"-")</f>
        <v>#REF!</v>
      </c>
      <c r="R922" s="326" t="e" cm="1">
        <f t="array" ref="R922">IF(H922&lt;&gt;"Stop",IF(E922&lt;&gt;0,IF(E922&lt;=K922,"OK","NG"),Blank),"-")</f>
        <v>#REF!</v>
      </c>
    </row>
    <row r="923" spans="1:18" ht="15" hidden="1" x14ac:dyDescent="0.3">
      <c r="A923" s="318" t="e">
        <f>#REF!</f>
        <v>#REF!</v>
      </c>
      <c r="B923" s="305" t="e">
        <f>#REF!</f>
        <v>#REF!</v>
      </c>
      <c r="C923" s="305" t="str">
        <f>'Danh sách máy'!C968</f>
        <v>MKHC</v>
      </c>
      <c r="D923" s="90" t="e">
        <f>#REF!</f>
        <v>#REF!</v>
      </c>
      <c r="E923" s="97">
        <f>'Danh sách máy'!E968</f>
        <v>0</v>
      </c>
      <c r="F923" s="206" t="e">
        <f>#REF!</f>
        <v>#REF!</v>
      </c>
      <c r="G923" s="102" t="e">
        <f>#REF!</f>
        <v>#REF!</v>
      </c>
      <c r="H923" s="102" t="e">
        <f>#REF!</f>
        <v>#REF!</v>
      </c>
      <c r="K923" s="210" t="e">
        <f>#REF!</f>
        <v>#REF!</v>
      </c>
      <c r="L923" s="210">
        <v>45192</v>
      </c>
      <c r="M923" s="210"/>
      <c r="N923" s="210">
        <f>'Danh sách máy'!F968</f>
        <v>0</v>
      </c>
      <c r="O923" s="211" t="str" cm="1">
        <f t="array" ref="O923">IF(L923&lt;&gt;0,IF(L923&lt;I923,"OK","NG"),Blank)</f>
        <v>NG</v>
      </c>
      <c r="P923" s="211" t="e" cm="1">
        <f t="array" ref="P923">IF(M923&lt;&gt;0,IF(M923&lt;J923,"OK","NG"),Blank)</f>
        <v>#NAME?</v>
      </c>
      <c r="Q923" s="211" t="e" cm="1">
        <f t="array" ref="Q923">IF(H923&lt;&gt;"Stop",IF(N923&lt;&gt;0,IF(N923&lt;=K923,"OK","NG"),Blank),"-")</f>
        <v>#REF!</v>
      </c>
      <c r="R923" s="326" t="e" cm="1">
        <f t="array" ref="R923">IF(H923&lt;&gt;"Stop",IF(E923&lt;&gt;0,IF(E923&lt;=K923,"OK","NG"),Blank),"-")</f>
        <v>#REF!</v>
      </c>
    </row>
    <row r="924" spans="1:18" ht="15" hidden="1" x14ac:dyDescent="0.3">
      <c r="A924" s="318" t="e">
        <f>#REF!</f>
        <v>#REF!</v>
      </c>
      <c r="B924" s="305" t="e">
        <f>#REF!</f>
        <v>#REF!</v>
      </c>
      <c r="C924" s="305" t="str">
        <f>'Danh sách máy'!C969</f>
        <v>MKHC</v>
      </c>
      <c r="D924" s="90" t="e">
        <f>#REF!</f>
        <v>#REF!</v>
      </c>
      <c r="E924" s="97">
        <f>'Danh sách máy'!E969</f>
        <v>0</v>
      </c>
      <c r="F924" s="206" t="e">
        <f>#REF!</f>
        <v>#REF!</v>
      </c>
      <c r="G924" s="102" t="e">
        <f>#REF!</f>
        <v>#REF!</v>
      </c>
      <c r="H924" s="102" t="e">
        <f>#REF!</f>
        <v>#REF!</v>
      </c>
      <c r="K924" s="210" t="e">
        <f>#REF!</f>
        <v>#REF!</v>
      </c>
      <c r="L924" s="210">
        <v>45193</v>
      </c>
      <c r="M924" s="210"/>
      <c r="N924" s="210">
        <f>'Danh sách máy'!F969</f>
        <v>0</v>
      </c>
      <c r="O924" s="211" t="str" cm="1">
        <f t="array" ref="O924">IF(L924&lt;&gt;0,IF(L924&lt;I924,"OK","NG"),Blank)</f>
        <v>NG</v>
      </c>
      <c r="P924" s="211" t="e" cm="1">
        <f t="array" ref="P924">IF(M924&lt;&gt;0,IF(M924&lt;J924,"OK","NG"),Blank)</f>
        <v>#NAME?</v>
      </c>
      <c r="Q924" s="211" t="e" cm="1">
        <f t="array" ref="Q924">IF(H924&lt;&gt;"Stop",IF(N924&lt;&gt;0,IF(N924&lt;=K924,"OK","NG"),Blank),"-")</f>
        <v>#REF!</v>
      </c>
      <c r="R924" s="326" t="e" cm="1">
        <f t="array" ref="R924">IF(H924&lt;&gt;"Stop",IF(E924&lt;&gt;0,IF(E924&lt;=K924,"OK","NG"),Blank),"-")</f>
        <v>#REF!</v>
      </c>
    </row>
    <row r="925" spans="1:18" ht="15" hidden="1" x14ac:dyDescent="0.3">
      <c r="A925" s="318" t="e">
        <f>#REF!</f>
        <v>#REF!</v>
      </c>
      <c r="B925" s="305" t="e">
        <f>#REF!</f>
        <v>#REF!</v>
      </c>
      <c r="C925" s="305" t="str">
        <f>'Danh sách máy'!C970</f>
        <v>MKHC</v>
      </c>
      <c r="D925" s="90" t="e">
        <f>#REF!</f>
        <v>#REF!</v>
      </c>
      <c r="E925" s="97">
        <f>'Danh sách máy'!E970</f>
        <v>0</v>
      </c>
      <c r="F925" s="206" t="e">
        <f>#REF!</f>
        <v>#REF!</v>
      </c>
      <c r="G925" s="102" t="e">
        <f>#REF!</f>
        <v>#REF!</v>
      </c>
      <c r="H925" s="102" t="e">
        <f>#REF!</f>
        <v>#REF!</v>
      </c>
      <c r="K925" s="210" t="e">
        <f>#REF!</f>
        <v>#REF!</v>
      </c>
      <c r="L925" s="210">
        <v>45194</v>
      </c>
      <c r="M925" s="210"/>
      <c r="N925" s="210">
        <f>'Danh sách máy'!F970</f>
        <v>0</v>
      </c>
      <c r="O925" s="211" t="str" cm="1">
        <f t="array" ref="O925">IF(L925&lt;&gt;0,IF(L925&lt;I925,"OK","NG"),Blank)</f>
        <v>NG</v>
      </c>
      <c r="P925" s="211" t="e" cm="1">
        <f t="array" ref="P925">IF(M925&lt;&gt;0,IF(M925&lt;J925,"OK","NG"),Blank)</f>
        <v>#NAME?</v>
      </c>
      <c r="Q925" s="211" t="e" cm="1">
        <f t="array" ref="Q925">IF(H925&lt;&gt;"Stop",IF(N925&lt;&gt;0,IF(N925&lt;=K925,"OK","NG"),Blank),"-")</f>
        <v>#REF!</v>
      </c>
      <c r="R925" s="326" t="e" cm="1">
        <f t="array" ref="R925">IF(H925&lt;&gt;"Stop",IF(E925&lt;&gt;0,IF(E925&lt;=K925,"OK","NG"),Blank),"-")</f>
        <v>#REF!</v>
      </c>
    </row>
    <row r="926" spans="1:18" ht="15" hidden="1" x14ac:dyDescent="0.3">
      <c r="A926" s="318" t="e">
        <f>#REF!</f>
        <v>#REF!</v>
      </c>
      <c r="B926" s="305" t="e">
        <f>#REF!</f>
        <v>#REF!</v>
      </c>
      <c r="C926" s="305" t="str">
        <f>'Danh sách máy'!C971</f>
        <v>MKHC</v>
      </c>
      <c r="D926" s="90" t="e">
        <f>#REF!</f>
        <v>#REF!</v>
      </c>
      <c r="E926" s="97">
        <f>'Danh sách máy'!E971</f>
        <v>0</v>
      </c>
      <c r="F926" s="206" t="e">
        <f>#REF!</f>
        <v>#REF!</v>
      </c>
      <c r="G926" s="102" t="e">
        <f>#REF!</f>
        <v>#REF!</v>
      </c>
      <c r="H926" s="102" t="e">
        <f>#REF!</f>
        <v>#REF!</v>
      </c>
      <c r="K926" s="210" t="e">
        <f>#REF!</f>
        <v>#REF!</v>
      </c>
      <c r="L926" s="210">
        <v>45195</v>
      </c>
      <c r="M926" s="210"/>
      <c r="N926" s="210">
        <f>'Danh sách máy'!F971</f>
        <v>0</v>
      </c>
      <c r="O926" s="211" t="str" cm="1">
        <f t="array" ref="O926">IF(L926&lt;&gt;0,IF(L926&lt;I926,"OK","NG"),Blank)</f>
        <v>NG</v>
      </c>
      <c r="P926" s="211" t="e" cm="1">
        <f t="array" ref="P926">IF(M926&lt;&gt;0,IF(M926&lt;J926,"OK","NG"),Blank)</f>
        <v>#NAME?</v>
      </c>
      <c r="Q926" s="211" t="e" cm="1">
        <f t="array" ref="Q926">IF(H926&lt;&gt;"Stop",IF(N926&lt;&gt;0,IF(N926&lt;=K926,"OK","NG"),Blank),"-")</f>
        <v>#REF!</v>
      </c>
      <c r="R926" s="326" t="e" cm="1">
        <f t="array" ref="R926">IF(H926&lt;&gt;"Stop",IF(E926&lt;&gt;0,IF(E926&lt;=K926,"OK","NG"),Blank),"-")</f>
        <v>#REF!</v>
      </c>
    </row>
    <row r="927" spans="1:18" ht="15" hidden="1" x14ac:dyDescent="0.3">
      <c r="A927" s="318" t="e">
        <f>#REF!</f>
        <v>#REF!</v>
      </c>
      <c r="B927" s="305" t="e">
        <f>#REF!</f>
        <v>#REF!</v>
      </c>
      <c r="C927" s="305" t="str">
        <f>'Danh sách máy'!C972</f>
        <v>MKHC</v>
      </c>
      <c r="D927" s="90" t="e">
        <f>#REF!</f>
        <v>#REF!</v>
      </c>
      <c r="E927" s="97">
        <f>'Danh sách máy'!E972</f>
        <v>0</v>
      </c>
      <c r="F927" s="206" t="e">
        <f>#REF!</f>
        <v>#REF!</v>
      </c>
      <c r="G927" s="102" t="e">
        <f>#REF!</f>
        <v>#REF!</v>
      </c>
      <c r="H927" s="102" t="e">
        <f>#REF!</f>
        <v>#REF!</v>
      </c>
      <c r="K927" s="210" t="e">
        <f>#REF!</f>
        <v>#REF!</v>
      </c>
      <c r="L927" s="210">
        <v>45196</v>
      </c>
      <c r="M927" s="210"/>
      <c r="N927" s="210">
        <f>'Danh sách máy'!F972</f>
        <v>0</v>
      </c>
      <c r="O927" s="211" t="str" cm="1">
        <f t="array" ref="O927">IF(L927&lt;&gt;0,IF(L927&lt;I927,"OK","NG"),Blank)</f>
        <v>NG</v>
      </c>
      <c r="P927" s="211" t="e" cm="1">
        <f t="array" ref="P927">IF(M927&lt;&gt;0,IF(M927&lt;J927,"OK","NG"),Blank)</f>
        <v>#NAME?</v>
      </c>
      <c r="Q927" s="211" t="e" cm="1">
        <f t="array" ref="Q927">IF(H927&lt;&gt;"Stop",IF(N927&lt;&gt;0,IF(N927&lt;=K927,"OK","NG"),Blank),"-")</f>
        <v>#REF!</v>
      </c>
      <c r="R927" s="326" t="e" cm="1">
        <f t="array" ref="R927">IF(H927&lt;&gt;"Stop",IF(E927&lt;&gt;0,IF(E927&lt;=K927,"OK","NG"),Blank),"-")</f>
        <v>#REF!</v>
      </c>
    </row>
    <row r="928" spans="1:18" ht="15" hidden="1" x14ac:dyDescent="0.3">
      <c r="A928" s="318" t="e">
        <f>#REF!</f>
        <v>#REF!</v>
      </c>
      <c r="B928" s="305" t="e">
        <f>#REF!</f>
        <v>#REF!</v>
      </c>
      <c r="C928" s="305" t="str">
        <f>'Danh sách máy'!C973</f>
        <v>MKHC</v>
      </c>
      <c r="D928" s="90" t="e">
        <f>#REF!</f>
        <v>#REF!</v>
      </c>
      <c r="E928" s="97">
        <f>'Danh sách máy'!E973</f>
        <v>0</v>
      </c>
      <c r="F928" s="206" t="e">
        <f>#REF!</f>
        <v>#REF!</v>
      </c>
      <c r="G928" s="102" t="e">
        <f>#REF!</f>
        <v>#REF!</v>
      </c>
      <c r="H928" s="102" t="e">
        <f>#REF!</f>
        <v>#REF!</v>
      </c>
      <c r="K928" s="210" t="e">
        <f>#REF!</f>
        <v>#REF!</v>
      </c>
      <c r="L928" s="210">
        <v>45197</v>
      </c>
      <c r="M928" s="210"/>
      <c r="N928" s="210">
        <f>'Danh sách máy'!F973</f>
        <v>0</v>
      </c>
      <c r="O928" s="211" t="str" cm="1">
        <f t="array" ref="O928">IF(L928&lt;&gt;0,IF(L928&lt;I928,"OK","NG"),Blank)</f>
        <v>NG</v>
      </c>
      <c r="P928" s="211" t="e" cm="1">
        <f t="array" ref="P928">IF(M928&lt;&gt;0,IF(M928&lt;J928,"OK","NG"),Blank)</f>
        <v>#NAME?</v>
      </c>
      <c r="Q928" s="211" t="e" cm="1">
        <f t="array" ref="Q928">IF(H928&lt;&gt;"Stop",IF(N928&lt;&gt;0,IF(N928&lt;=K928,"OK","NG"),Blank),"-")</f>
        <v>#REF!</v>
      </c>
      <c r="R928" s="326" t="e" cm="1">
        <f t="array" ref="R928">IF(H928&lt;&gt;"Stop",IF(E928&lt;&gt;0,IF(E928&lt;=K928,"OK","NG"),Blank),"-")</f>
        <v>#REF!</v>
      </c>
    </row>
    <row r="929" spans="1:18" ht="15" hidden="1" x14ac:dyDescent="0.3">
      <c r="A929" s="318" t="e">
        <f>#REF!</f>
        <v>#REF!</v>
      </c>
      <c r="B929" s="305" t="e">
        <f>#REF!</f>
        <v>#REF!</v>
      </c>
      <c r="C929" s="305" t="str">
        <f>'Danh sách máy'!C974</f>
        <v>MKHC</v>
      </c>
      <c r="D929" s="90" t="e">
        <f>#REF!</f>
        <v>#REF!</v>
      </c>
      <c r="E929" s="97">
        <f>'Danh sách máy'!E974</f>
        <v>0</v>
      </c>
      <c r="F929" s="206" t="e">
        <f>#REF!</f>
        <v>#REF!</v>
      </c>
      <c r="G929" s="102" t="e">
        <f>#REF!</f>
        <v>#REF!</v>
      </c>
      <c r="H929" s="102" t="e">
        <f>#REF!</f>
        <v>#REF!</v>
      </c>
      <c r="K929" s="210" t="e">
        <f>#REF!</f>
        <v>#REF!</v>
      </c>
      <c r="L929" s="210">
        <v>45198</v>
      </c>
      <c r="M929" s="210"/>
      <c r="N929" s="210">
        <f>'Danh sách máy'!F974</f>
        <v>0</v>
      </c>
      <c r="O929" s="211" t="str" cm="1">
        <f t="array" ref="O929">IF(L929&lt;&gt;0,IF(L929&lt;I929,"OK","NG"),Blank)</f>
        <v>NG</v>
      </c>
      <c r="P929" s="211" t="e" cm="1">
        <f t="array" ref="P929">IF(M929&lt;&gt;0,IF(M929&lt;J929,"OK","NG"),Blank)</f>
        <v>#NAME?</v>
      </c>
      <c r="Q929" s="211" t="e" cm="1">
        <f t="array" ref="Q929">IF(H929&lt;&gt;"Stop",IF(N929&lt;&gt;0,IF(N929&lt;=K929,"OK","NG"),Blank),"-")</f>
        <v>#REF!</v>
      </c>
      <c r="R929" s="326" t="e" cm="1">
        <f t="array" ref="R929">IF(H929&lt;&gt;"Stop",IF(E929&lt;&gt;0,IF(E929&lt;=K929,"OK","NG"),Blank),"-")</f>
        <v>#REF!</v>
      </c>
    </row>
    <row r="930" spans="1:18" ht="15" hidden="1" x14ac:dyDescent="0.3">
      <c r="A930" s="318" t="e">
        <f>#REF!</f>
        <v>#REF!</v>
      </c>
      <c r="B930" s="305" t="e">
        <f>#REF!</f>
        <v>#REF!</v>
      </c>
      <c r="C930" s="305" t="str">
        <f>'Danh sách máy'!C975</f>
        <v>MKHC</v>
      </c>
      <c r="D930" s="90" t="e">
        <f>#REF!</f>
        <v>#REF!</v>
      </c>
      <c r="E930" s="97">
        <f>'Danh sách máy'!E975</f>
        <v>0</v>
      </c>
      <c r="F930" s="206" t="e">
        <f>#REF!</f>
        <v>#REF!</v>
      </c>
      <c r="G930" s="102" t="e">
        <f>#REF!</f>
        <v>#REF!</v>
      </c>
      <c r="H930" s="102" t="e">
        <f>#REF!</f>
        <v>#REF!</v>
      </c>
      <c r="K930" s="210" t="e">
        <f>#REF!</f>
        <v>#REF!</v>
      </c>
      <c r="L930" s="210">
        <v>45199</v>
      </c>
      <c r="M930" s="210"/>
      <c r="N930" s="210">
        <f>'Danh sách máy'!F975</f>
        <v>0</v>
      </c>
      <c r="O930" s="211" t="str" cm="1">
        <f t="array" ref="O930">IF(L930&lt;&gt;0,IF(L930&lt;I930,"OK","NG"),Blank)</f>
        <v>NG</v>
      </c>
      <c r="P930" s="211" t="e" cm="1">
        <f t="array" ref="P930">IF(M930&lt;&gt;0,IF(M930&lt;J930,"OK","NG"),Blank)</f>
        <v>#NAME?</v>
      </c>
      <c r="Q930" s="211" t="e" cm="1">
        <f t="array" ref="Q930">IF(H930&lt;&gt;"Stop",IF(N930&lt;&gt;0,IF(N930&lt;=K930,"OK","NG"),Blank),"-")</f>
        <v>#REF!</v>
      </c>
      <c r="R930" s="326" t="e" cm="1">
        <f t="array" ref="R930">IF(H930&lt;&gt;"Stop",IF(E930&lt;&gt;0,IF(E930&lt;=K930,"OK","NG"),Blank),"-")</f>
        <v>#REF!</v>
      </c>
    </row>
    <row r="931" spans="1:18" ht="30" hidden="1" x14ac:dyDescent="0.3">
      <c r="A931" s="318" t="e">
        <f>#REF!</f>
        <v>#REF!</v>
      </c>
      <c r="B931" s="305" t="e">
        <f>#REF!</f>
        <v>#REF!</v>
      </c>
      <c r="C931" s="305" t="str">
        <f>'Danh sách máy'!C976</f>
        <v>MKHC</v>
      </c>
      <c r="D931" s="90" t="e">
        <f>#REF!</f>
        <v>#REF!</v>
      </c>
      <c r="E931" s="97">
        <f>'Danh sách máy'!E976</f>
        <v>0</v>
      </c>
      <c r="F931" s="206" t="e">
        <f>#REF!</f>
        <v>#REF!</v>
      </c>
      <c r="G931" s="102" t="e">
        <f>#REF!</f>
        <v>#REF!</v>
      </c>
      <c r="H931" s="102" t="e">
        <f>#REF!</f>
        <v>#REF!</v>
      </c>
      <c r="K931" s="210" t="e">
        <f>#REF!</f>
        <v>#REF!</v>
      </c>
      <c r="L931" s="210">
        <v>45200</v>
      </c>
      <c r="M931" s="210"/>
      <c r="N931" s="210">
        <f>'Danh sách máy'!F976</f>
        <v>0</v>
      </c>
      <c r="O931" s="211" t="str" cm="1">
        <f t="array" ref="O931">IF(L931&lt;&gt;0,IF(L931&lt;I931,"OK","NG"),Blank)</f>
        <v>NG</v>
      </c>
      <c r="P931" s="211" t="e" cm="1">
        <f t="array" ref="P931">IF(M931&lt;&gt;0,IF(M931&lt;J931,"OK","NG"),Blank)</f>
        <v>#NAME?</v>
      </c>
      <c r="Q931" s="211" t="e" cm="1">
        <f t="array" ref="Q931">IF(H931&lt;&gt;"Stop",IF(N931&lt;&gt;0,IF(N931&lt;=K931,"OK","NG"),Blank),"-")</f>
        <v>#REF!</v>
      </c>
      <c r="R931" s="326" t="e" cm="1">
        <f t="array" ref="R931">IF(H931&lt;&gt;"Stop",IF(E931&lt;&gt;0,IF(E931&lt;=K931,"OK","NG"),Blank),"-")</f>
        <v>#REF!</v>
      </c>
    </row>
    <row r="932" spans="1:18" ht="30" hidden="1" x14ac:dyDescent="0.3">
      <c r="A932" s="318" t="e">
        <f>#REF!</f>
        <v>#REF!</v>
      </c>
      <c r="B932" s="305" t="e">
        <f>#REF!</f>
        <v>#REF!</v>
      </c>
      <c r="C932" s="305" t="str">
        <f>'Danh sách máy'!C977</f>
        <v>MKHC</v>
      </c>
      <c r="D932" s="90" t="e">
        <f>#REF!</f>
        <v>#REF!</v>
      </c>
      <c r="E932" s="97">
        <f>'Danh sách máy'!E977</f>
        <v>0</v>
      </c>
      <c r="F932" s="206" t="e">
        <f>#REF!</f>
        <v>#REF!</v>
      </c>
      <c r="G932" s="102" t="e">
        <f>#REF!</f>
        <v>#REF!</v>
      </c>
      <c r="H932" s="102" t="e">
        <f>#REF!</f>
        <v>#REF!</v>
      </c>
      <c r="K932" s="210" t="e">
        <f>#REF!</f>
        <v>#REF!</v>
      </c>
      <c r="L932" s="210">
        <v>45201</v>
      </c>
      <c r="M932" s="210"/>
      <c r="N932" s="210">
        <f>'Danh sách máy'!F977</f>
        <v>0</v>
      </c>
      <c r="O932" s="211" t="str" cm="1">
        <f t="array" ref="O932">IF(L932&lt;&gt;0,IF(L932&lt;I932,"OK","NG"),Blank)</f>
        <v>NG</v>
      </c>
      <c r="P932" s="211" t="e" cm="1">
        <f t="array" ref="P932">IF(M932&lt;&gt;0,IF(M932&lt;J932,"OK","NG"),Blank)</f>
        <v>#NAME?</v>
      </c>
      <c r="Q932" s="211" t="e" cm="1">
        <f t="array" ref="Q932">IF(H932&lt;&gt;"Stop",IF(N932&lt;&gt;0,IF(N932&lt;=K932,"OK","NG"),Blank),"-")</f>
        <v>#REF!</v>
      </c>
      <c r="R932" s="326" t="e" cm="1">
        <f t="array" ref="R932">IF(H932&lt;&gt;"Stop",IF(E932&lt;&gt;0,IF(E932&lt;=K932,"OK","NG"),Blank),"-")</f>
        <v>#REF!</v>
      </c>
    </row>
    <row r="933" spans="1:18" ht="15" hidden="1" x14ac:dyDescent="0.3">
      <c r="A933" s="318" t="e">
        <f>#REF!</f>
        <v>#REF!</v>
      </c>
      <c r="B933" s="305" t="e">
        <f>#REF!</f>
        <v>#REF!</v>
      </c>
      <c r="C933" s="305" t="str">
        <f>'Danh sách máy'!C978</f>
        <v>MKHC</v>
      </c>
      <c r="D933" s="90" t="e">
        <f>#REF!</f>
        <v>#REF!</v>
      </c>
      <c r="E933" s="97">
        <f>'Danh sách máy'!E978</f>
        <v>0</v>
      </c>
      <c r="F933" s="206" t="e">
        <f>#REF!</f>
        <v>#REF!</v>
      </c>
      <c r="G933" s="102" t="e">
        <f>#REF!</f>
        <v>#REF!</v>
      </c>
      <c r="H933" s="102" t="e">
        <f>#REF!</f>
        <v>#REF!</v>
      </c>
      <c r="K933" s="210" t="e">
        <f>#REF!</f>
        <v>#REF!</v>
      </c>
      <c r="L933" s="210">
        <v>45202</v>
      </c>
      <c r="M933" s="210"/>
      <c r="N933" s="210">
        <f>'Danh sách máy'!F978</f>
        <v>0</v>
      </c>
      <c r="O933" s="211" t="str" cm="1">
        <f t="array" ref="O933">IF(L933&lt;&gt;0,IF(L933&lt;I933,"OK","NG"),Blank)</f>
        <v>NG</v>
      </c>
      <c r="P933" s="211" t="e" cm="1">
        <f t="array" ref="P933">IF(M933&lt;&gt;0,IF(M933&lt;J933,"OK","NG"),Blank)</f>
        <v>#NAME?</v>
      </c>
      <c r="Q933" s="211" t="e" cm="1">
        <f t="array" ref="Q933">IF(H933&lt;&gt;"Stop",IF(N933&lt;&gt;0,IF(N933&lt;=K933,"OK","NG"),Blank),"-")</f>
        <v>#REF!</v>
      </c>
      <c r="R933" s="326" t="e" cm="1">
        <f t="array" ref="R933">IF(H933&lt;&gt;"Stop",IF(E933&lt;&gt;0,IF(E933&lt;=K933,"OK","NG"),Blank),"-")</f>
        <v>#REF!</v>
      </c>
    </row>
    <row r="934" spans="1:18" ht="30" hidden="1" x14ac:dyDescent="0.3">
      <c r="A934" s="318" t="e">
        <f>#REF!</f>
        <v>#REF!</v>
      </c>
      <c r="B934" s="305" t="e">
        <f>#REF!</f>
        <v>#REF!</v>
      </c>
      <c r="C934" s="305" t="str">
        <f>'Danh sách máy'!C979</f>
        <v>MKHC</v>
      </c>
      <c r="D934" s="90" t="e">
        <f>#REF!</f>
        <v>#REF!</v>
      </c>
      <c r="E934" s="97">
        <f>'Danh sách máy'!E979</f>
        <v>0</v>
      </c>
      <c r="F934" s="206" t="e">
        <f>#REF!</f>
        <v>#REF!</v>
      </c>
      <c r="G934" s="102" t="e">
        <f>#REF!</f>
        <v>#REF!</v>
      </c>
      <c r="H934" s="102" t="e">
        <f>#REF!</f>
        <v>#REF!</v>
      </c>
      <c r="K934" s="210" t="e">
        <f>#REF!</f>
        <v>#REF!</v>
      </c>
      <c r="L934" s="210">
        <v>45203</v>
      </c>
      <c r="M934" s="210"/>
      <c r="N934" s="210">
        <f>'Danh sách máy'!F979</f>
        <v>0</v>
      </c>
      <c r="O934" s="211" t="str" cm="1">
        <f t="array" ref="O934">IF(L934&lt;&gt;0,IF(L934&lt;I934,"OK","NG"),Blank)</f>
        <v>NG</v>
      </c>
      <c r="P934" s="211" t="e" cm="1">
        <f t="array" ref="P934">IF(M934&lt;&gt;0,IF(M934&lt;J934,"OK","NG"),Blank)</f>
        <v>#NAME?</v>
      </c>
      <c r="Q934" s="211" t="e" cm="1">
        <f t="array" ref="Q934">IF(H934&lt;&gt;"Stop",IF(N934&lt;&gt;0,IF(N934&lt;=K934,"OK","NG"),Blank),"-")</f>
        <v>#REF!</v>
      </c>
      <c r="R934" s="326" t="e" cm="1">
        <f t="array" ref="R934">IF(H934&lt;&gt;"Stop",IF(E934&lt;&gt;0,IF(E934&lt;=K934,"OK","NG"),Blank),"-")</f>
        <v>#REF!</v>
      </c>
    </row>
    <row r="935" spans="1:18" ht="30" hidden="1" x14ac:dyDescent="0.3">
      <c r="A935" s="318" t="e">
        <f>#REF!</f>
        <v>#REF!</v>
      </c>
      <c r="B935" s="305" t="e">
        <f>#REF!</f>
        <v>#REF!</v>
      </c>
      <c r="C935" s="305" t="str">
        <f>'Danh sách máy'!C980</f>
        <v>MKHC</v>
      </c>
      <c r="D935" s="90" t="e">
        <f>#REF!</f>
        <v>#REF!</v>
      </c>
      <c r="E935" s="97">
        <f>'Danh sách máy'!E980</f>
        <v>0</v>
      </c>
      <c r="F935" s="206" t="e">
        <f>#REF!</f>
        <v>#REF!</v>
      </c>
      <c r="G935" s="102" t="e">
        <f>#REF!</f>
        <v>#REF!</v>
      </c>
      <c r="H935" s="102" t="e">
        <f>#REF!</f>
        <v>#REF!</v>
      </c>
      <c r="K935" s="210" t="e">
        <f>#REF!</f>
        <v>#REF!</v>
      </c>
      <c r="L935" s="210">
        <v>45204</v>
      </c>
      <c r="M935" s="210"/>
      <c r="N935" s="210">
        <f>'Danh sách máy'!F980</f>
        <v>0</v>
      </c>
      <c r="O935" s="211" t="str" cm="1">
        <f t="array" ref="O935">IF(L935&lt;&gt;0,IF(L935&lt;I935,"OK","NG"),Blank)</f>
        <v>NG</v>
      </c>
      <c r="P935" s="211" t="e" cm="1">
        <f t="array" ref="P935">IF(M935&lt;&gt;0,IF(M935&lt;J935,"OK","NG"),Blank)</f>
        <v>#NAME?</v>
      </c>
      <c r="Q935" s="211" t="e" cm="1">
        <f t="array" ref="Q935">IF(H935&lt;&gt;"Stop",IF(N935&lt;&gt;0,IF(N935&lt;=K935,"OK","NG"),Blank),"-")</f>
        <v>#REF!</v>
      </c>
      <c r="R935" s="326" t="e" cm="1">
        <f t="array" ref="R935">IF(H935&lt;&gt;"Stop",IF(E935&lt;&gt;0,IF(E935&lt;=K935,"OK","NG"),Blank),"-")</f>
        <v>#REF!</v>
      </c>
    </row>
    <row r="936" spans="1:18" ht="15" hidden="1" x14ac:dyDescent="0.3">
      <c r="A936" s="318" t="e">
        <f>#REF!</f>
        <v>#REF!</v>
      </c>
      <c r="B936" s="305" t="e">
        <f>#REF!</f>
        <v>#REF!</v>
      </c>
      <c r="C936" s="305" t="str">
        <f>'Danh sách máy'!C981</f>
        <v>MKHC</v>
      </c>
      <c r="D936" s="90" t="e">
        <f>#REF!</f>
        <v>#REF!</v>
      </c>
      <c r="E936" s="97">
        <f>'Danh sách máy'!E981</f>
        <v>0</v>
      </c>
      <c r="F936" s="206" t="e">
        <f>#REF!</f>
        <v>#REF!</v>
      </c>
      <c r="G936" s="102" t="e">
        <f>#REF!</f>
        <v>#REF!</v>
      </c>
      <c r="H936" s="102" t="e">
        <f>#REF!</f>
        <v>#REF!</v>
      </c>
      <c r="K936" s="210" t="e">
        <f>#REF!</f>
        <v>#REF!</v>
      </c>
      <c r="L936" s="210">
        <v>45205</v>
      </c>
      <c r="M936" s="210"/>
      <c r="N936" s="210">
        <f>'Danh sách máy'!F981</f>
        <v>0</v>
      </c>
      <c r="O936" s="211" t="str" cm="1">
        <f t="array" ref="O936">IF(L936&lt;&gt;0,IF(L936&lt;I936,"OK","NG"),Blank)</f>
        <v>NG</v>
      </c>
      <c r="P936" s="211" t="e" cm="1">
        <f t="array" ref="P936">IF(M936&lt;&gt;0,IF(M936&lt;J936,"OK","NG"),Blank)</f>
        <v>#NAME?</v>
      </c>
      <c r="Q936" s="211" t="e" cm="1">
        <f t="array" ref="Q936">IF(H936&lt;&gt;"Stop",IF(N936&lt;&gt;0,IF(N936&lt;=K936,"OK","NG"),Blank),"-")</f>
        <v>#REF!</v>
      </c>
      <c r="R936" s="326" t="e" cm="1">
        <f t="array" ref="R936">IF(H936&lt;&gt;"Stop",IF(E936&lt;&gt;0,IF(E936&lt;=K936,"OK","NG"),Blank),"-")</f>
        <v>#REF!</v>
      </c>
    </row>
    <row r="937" spans="1:18" ht="30" hidden="1" x14ac:dyDescent="0.3">
      <c r="A937" s="318" t="e">
        <f>#REF!</f>
        <v>#REF!</v>
      </c>
      <c r="B937" s="305" t="e">
        <f>#REF!</f>
        <v>#REF!</v>
      </c>
      <c r="C937" s="305" t="str">
        <f>'Danh sách máy'!C982</f>
        <v>MKHC</v>
      </c>
      <c r="D937" s="90" t="e">
        <f>#REF!</f>
        <v>#REF!</v>
      </c>
      <c r="E937" s="97">
        <f>'Danh sách máy'!E982</f>
        <v>0</v>
      </c>
      <c r="F937" s="206" t="e">
        <f>#REF!</f>
        <v>#REF!</v>
      </c>
      <c r="G937" s="102" t="e">
        <f>#REF!</f>
        <v>#REF!</v>
      </c>
      <c r="H937" s="102" t="e">
        <f>#REF!</f>
        <v>#REF!</v>
      </c>
      <c r="K937" s="210" t="e">
        <f>#REF!</f>
        <v>#REF!</v>
      </c>
      <c r="L937" s="210">
        <v>45206</v>
      </c>
      <c r="M937" s="210"/>
      <c r="N937" s="210">
        <f>'Danh sách máy'!F982</f>
        <v>0</v>
      </c>
      <c r="O937" s="211" t="str" cm="1">
        <f t="array" ref="O937">IF(L937&lt;&gt;0,IF(L937&lt;I937,"OK","NG"),Blank)</f>
        <v>NG</v>
      </c>
      <c r="P937" s="211" t="e" cm="1">
        <f t="array" ref="P937">IF(M937&lt;&gt;0,IF(M937&lt;J937,"OK","NG"),Blank)</f>
        <v>#NAME?</v>
      </c>
      <c r="Q937" s="211" t="e" cm="1">
        <f t="array" ref="Q937">IF(H937&lt;&gt;"Stop",IF(N937&lt;&gt;0,IF(N937&lt;=K937,"OK","NG"),Blank),"-")</f>
        <v>#REF!</v>
      </c>
      <c r="R937" s="326" t="e" cm="1">
        <f t="array" ref="R937">IF(H937&lt;&gt;"Stop",IF(E937&lt;&gt;0,IF(E937&lt;=K937,"OK","NG"),Blank),"-")</f>
        <v>#REF!</v>
      </c>
    </row>
    <row r="938" spans="1:18" ht="30" hidden="1" x14ac:dyDescent="0.3">
      <c r="A938" s="318" t="e">
        <f>#REF!</f>
        <v>#REF!</v>
      </c>
      <c r="B938" s="305" t="e">
        <f>#REF!</f>
        <v>#REF!</v>
      </c>
      <c r="C938" s="305" t="str">
        <f>'Danh sách máy'!C983</f>
        <v>MKHC</v>
      </c>
      <c r="D938" s="90" t="e">
        <f>#REF!</f>
        <v>#REF!</v>
      </c>
      <c r="E938" s="97">
        <f>'Danh sách máy'!E983</f>
        <v>0</v>
      </c>
      <c r="F938" s="206" t="e">
        <f>#REF!</f>
        <v>#REF!</v>
      </c>
      <c r="G938" s="102" t="e">
        <f>#REF!</f>
        <v>#REF!</v>
      </c>
      <c r="H938" s="102" t="e">
        <f>#REF!</f>
        <v>#REF!</v>
      </c>
      <c r="K938" s="210" t="e">
        <f>#REF!</f>
        <v>#REF!</v>
      </c>
      <c r="L938" s="210">
        <v>45207</v>
      </c>
      <c r="M938" s="210"/>
      <c r="N938" s="210">
        <f>'Danh sách máy'!F983</f>
        <v>0</v>
      </c>
      <c r="O938" s="211" t="str" cm="1">
        <f t="array" ref="O938">IF(L938&lt;&gt;0,IF(L938&lt;I938,"OK","NG"),Blank)</f>
        <v>NG</v>
      </c>
      <c r="P938" s="211" t="e" cm="1">
        <f t="array" ref="P938">IF(M938&lt;&gt;0,IF(M938&lt;J938,"OK","NG"),Blank)</f>
        <v>#NAME?</v>
      </c>
      <c r="Q938" s="211" t="e" cm="1">
        <f t="array" ref="Q938">IF(H938&lt;&gt;"Stop",IF(N938&lt;&gt;0,IF(N938&lt;=K938,"OK","NG"),Blank),"-")</f>
        <v>#REF!</v>
      </c>
      <c r="R938" s="326" t="e" cm="1">
        <f t="array" ref="R938">IF(H938&lt;&gt;"Stop",IF(E938&lt;&gt;0,IF(E938&lt;=K938,"OK","NG"),Blank),"-")</f>
        <v>#REF!</v>
      </c>
    </row>
    <row r="939" spans="1:18" ht="30" hidden="1" x14ac:dyDescent="0.3">
      <c r="A939" s="318" t="e">
        <f>#REF!</f>
        <v>#REF!</v>
      </c>
      <c r="B939" s="305" t="e">
        <f>#REF!</f>
        <v>#REF!</v>
      </c>
      <c r="C939" s="305" t="str">
        <f>'Danh sách máy'!C984</f>
        <v>MKHC</v>
      </c>
      <c r="D939" s="90" t="e">
        <f>#REF!</f>
        <v>#REF!</v>
      </c>
      <c r="E939" s="97">
        <f>'Danh sách máy'!E984</f>
        <v>0</v>
      </c>
      <c r="F939" s="206" t="e">
        <f>#REF!</f>
        <v>#REF!</v>
      </c>
      <c r="G939" s="102" t="e">
        <f>#REF!</f>
        <v>#REF!</v>
      </c>
      <c r="H939" s="102" t="e">
        <f>#REF!</f>
        <v>#REF!</v>
      </c>
      <c r="K939" s="210" t="e">
        <f>#REF!</f>
        <v>#REF!</v>
      </c>
      <c r="L939" s="210">
        <v>45208</v>
      </c>
      <c r="M939" s="210"/>
      <c r="N939" s="210">
        <f>'Danh sách máy'!F984</f>
        <v>0</v>
      </c>
      <c r="O939" s="211" t="str" cm="1">
        <f t="array" ref="O939">IF(L939&lt;&gt;0,IF(L939&lt;I939,"OK","NG"),Blank)</f>
        <v>NG</v>
      </c>
      <c r="P939" s="211" t="e" cm="1">
        <f t="array" ref="P939">IF(M939&lt;&gt;0,IF(M939&lt;J939,"OK","NG"),Blank)</f>
        <v>#NAME?</v>
      </c>
      <c r="Q939" s="211" t="e" cm="1">
        <f t="array" ref="Q939">IF(H939&lt;&gt;"Stop",IF(N939&lt;&gt;0,IF(N939&lt;=K939,"OK","NG"),Blank),"-")</f>
        <v>#REF!</v>
      </c>
      <c r="R939" s="326" t="e" cm="1">
        <f t="array" ref="R939">IF(H939&lt;&gt;"Stop",IF(E939&lt;&gt;0,IF(E939&lt;=K939,"OK","NG"),Blank),"-")</f>
        <v>#REF!</v>
      </c>
    </row>
    <row r="940" spans="1:18" ht="30" hidden="1" x14ac:dyDescent="0.3">
      <c r="A940" s="318" t="e">
        <f>#REF!</f>
        <v>#REF!</v>
      </c>
      <c r="B940" s="305" t="e">
        <f>#REF!</f>
        <v>#REF!</v>
      </c>
      <c r="C940" s="305" t="str">
        <f>'Danh sách máy'!C985</f>
        <v>MKHC</v>
      </c>
      <c r="D940" s="90" t="e">
        <f>#REF!</f>
        <v>#REF!</v>
      </c>
      <c r="E940" s="97">
        <f>'Danh sách máy'!E985</f>
        <v>0</v>
      </c>
      <c r="F940" s="206" t="e">
        <f>#REF!</f>
        <v>#REF!</v>
      </c>
      <c r="G940" s="102" t="e">
        <f>#REF!</f>
        <v>#REF!</v>
      </c>
      <c r="H940" s="102" t="e">
        <f>#REF!</f>
        <v>#REF!</v>
      </c>
      <c r="K940" s="210" t="e">
        <f>#REF!</f>
        <v>#REF!</v>
      </c>
      <c r="L940" s="210">
        <v>45209</v>
      </c>
      <c r="M940" s="210"/>
      <c r="N940" s="210">
        <f>'Danh sách máy'!F985</f>
        <v>0</v>
      </c>
      <c r="O940" s="211" t="str" cm="1">
        <f t="array" ref="O940">IF(L940&lt;&gt;0,IF(L940&lt;I940,"OK","NG"),Blank)</f>
        <v>NG</v>
      </c>
      <c r="P940" s="211" t="e" cm="1">
        <f t="array" ref="P940">IF(M940&lt;&gt;0,IF(M940&lt;J940,"OK","NG"),Blank)</f>
        <v>#NAME?</v>
      </c>
      <c r="Q940" s="211" t="e" cm="1">
        <f t="array" ref="Q940">IF(H940&lt;&gt;"Stop",IF(N940&lt;&gt;0,IF(N940&lt;=K940,"OK","NG"),Blank),"-")</f>
        <v>#REF!</v>
      </c>
      <c r="R940" s="326" t="e" cm="1">
        <f t="array" ref="R940">IF(H940&lt;&gt;"Stop",IF(E940&lt;&gt;0,IF(E940&lt;=K940,"OK","NG"),Blank),"-")</f>
        <v>#REF!</v>
      </c>
    </row>
    <row r="941" spans="1:18" ht="30" hidden="1" x14ac:dyDescent="0.3">
      <c r="A941" s="318" t="e">
        <f>#REF!</f>
        <v>#REF!</v>
      </c>
      <c r="B941" s="305" t="e">
        <f>#REF!</f>
        <v>#REF!</v>
      </c>
      <c r="C941" s="305" t="str">
        <f>'Danh sách máy'!C986</f>
        <v>MKHC</v>
      </c>
      <c r="D941" s="90" t="e">
        <f>#REF!</f>
        <v>#REF!</v>
      </c>
      <c r="E941" s="97">
        <f>'Danh sách máy'!E986</f>
        <v>0</v>
      </c>
      <c r="F941" s="206" t="e">
        <f>#REF!</f>
        <v>#REF!</v>
      </c>
      <c r="G941" s="102" t="e">
        <f>#REF!</f>
        <v>#REF!</v>
      </c>
      <c r="H941" s="102" t="e">
        <f>#REF!</f>
        <v>#REF!</v>
      </c>
      <c r="K941" s="210" t="e">
        <f>#REF!</f>
        <v>#REF!</v>
      </c>
      <c r="L941" s="210">
        <v>45210</v>
      </c>
      <c r="M941" s="210"/>
      <c r="N941" s="210">
        <f>'Danh sách máy'!F986</f>
        <v>0</v>
      </c>
      <c r="O941" s="211" t="str" cm="1">
        <f t="array" ref="O941">IF(L941&lt;&gt;0,IF(L941&lt;I941,"OK","NG"),Blank)</f>
        <v>NG</v>
      </c>
      <c r="P941" s="211" t="e" cm="1">
        <f t="array" ref="P941">IF(M941&lt;&gt;0,IF(M941&lt;J941,"OK","NG"),Blank)</f>
        <v>#NAME?</v>
      </c>
      <c r="Q941" s="211" t="e" cm="1">
        <f t="array" ref="Q941">IF(H941&lt;&gt;"Stop",IF(N941&lt;&gt;0,IF(N941&lt;=K941,"OK","NG"),Blank),"-")</f>
        <v>#REF!</v>
      </c>
      <c r="R941" s="326" t="e" cm="1">
        <f t="array" ref="R941">IF(H941&lt;&gt;"Stop",IF(E941&lt;&gt;0,IF(E941&lt;=K941,"OK","NG"),Blank),"-")</f>
        <v>#REF!</v>
      </c>
    </row>
    <row r="942" spans="1:18" ht="30" hidden="1" x14ac:dyDescent="0.3">
      <c r="A942" s="318" t="e">
        <f>#REF!</f>
        <v>#REF!</v>
      </c>
      <c r="B942" s="305" t="e">
        <f>#REF!</f>
        <v>#REF!</v>
      </c>
      <c r="C942" s="305" t="str">
        <f>'Danh sách máy'!C987</f>
        <v>MKHC</v>
      </c>
      <c r="D942" s="90" t="e">
        <f>#REF!</f>
        <v>#REF!</v>
      </c>
      <c r="E942" s="97">
        <f>'Danh sách máy'!E987</f>
        <v>0</v>
      </c>
      <c r="F942" s="206" t="e">
        <f>#REF!</f>
        <v>#REF!</v>
      </c>
      <c r="G942" s="102" t="e">
        <f>#REF!</f>
        <v>#REF!</v>
      </c>
      <c r="H942" s="102" t="e">
        <f>#REF!</f>
        <v>#REF!</v>
      </c>
      <c r="K942" s="210" t="e">
        <f>#REF!</f>
        <v>#REF!</v>
      </c>
      <c r="L942" s="210">
        <v>45211</v>
      </c>
      <c r="M942" s="210"/>
      <c r="N942" s="210">
        <f>'Danh sách máy'!F987</f>
        <v>0</v>
      </c>
      <c r="O942" s="211" t="str" cm="1">
        <f t="array" ref="O942">IF(L942&lt;&gt;0,IF(L942&lt;I942,"OK","NG"),Blank)</f>
        <v>NG</v>
      </c>
      <c r="P942" s="211" t="e" cm="1">
        <f t="array" ref="P942">IF(M942&lt;&gt;0,IF(M942&lt;J942,"OK","NG"),Blank)</f>
        <v>#NAME?</v>
      </c>
      <c r="Q942" s="211" t="e" cm="1">
        <f t="array" ref="Q942">IF(H942&lt;&gt;"Stop",IF(N942&lt;&gt;0,IF(N942&lt;=K942,"OK","NG"),Blank),"-")</f>
        <v>#REF!</v>
      </c>
      <c r="R942" s="326" t="e" cm="1">
        <f t="array" ref="R942">IF(H942&lt;&gt;"Stop",IF(E942&lt;&gt;0,IF(E942&lt;=K942,"OK","NG"),Blank),"-")</f>
        <v>#REF!</v>
      </c>
    </row>
    <row r="943" spans="1:18" ht="30" hidden="1" x14ac:dyDescent="0.3">
      <c r="A943" s="318" t="e">
        <f>#REF!</f>
        <v>#REF!</v>
      </c>
      <c r="B943" s="305" t="e">
        <f>#REF!</f>
        <v>#REF!</v>
      </c>
      <c r="C943" s="305" t="str">
        <f>'Danh sách máy'!C988</f>
        <v>MKHC</v>
      </c>
      <c r="D943" s="90" t="e">
        <f>#REF!</f>
        <v>#REF!</v>
      </c>
      <c r="E943" s="97">
        <f>'Danh sách máy'!E988</f>
        <v>0</v>
      </c>
      <c r="F943" s="206" t="e">
        <f>#REF!</f>
        <v>#REF!</v>
      </c>
      <c r="G943" s="102" t="e">
        <f>#REF!</f>
        <v>#REF!</v>
      </c>
      <c r="H943" s="102" t="e">
        <f>#REF!</f>
        <v>#REF!</v>
      </c>
      <c r="K943" s="210" t="e">
        <f>#REF!</f>
        <v>#REF!</v>
      </c>
      <c r="L943" s="210">
        <v>45212</v>
      </c>
      <c r="M943" s="210"/>
      <c r="N943" s="210">
        <f>'Danh sách máy'!F988</f>
        <v>0</v>
      </c>
      <c r="O943" s="211" t="str" cm="1">
        <f t="array" ref="O943">IF(L943&lt;&gt;0,IF(L943&lt;I943,"OK","NG"),Blank)</f>
        <v>NG</v>
      </c>
      <c r="P943" s="211" t="e" cm="1">
        <f t="array" ref="P943">IF(M943&lt;&gt;0,IF(M943&lt;J943,"OK","NG"),Blank)</f>
        <v>#NAME?</v>
      </c>
      <c r="Q943" s="211" t="e" cm="1">
        <f t="array" ref="Q943">IF(H943&lt;&gt;"Stop",IF(N943&lt;&gt;0,IF(N943&lt;=K943,"OK","NG"),Blank),"-")</f>
        <v>#REF!</v>
      </c>
      <c r="R943" s="326" t="e" cm="1">
        <f t="array" ref="R943">IF(H943&lt;&gt;"Stop",IF(E943&lt;&gt;0,IF(E943&lt;=K943,"OK","NG"),Blank),"-")</f>
        <v>#REF!</v>
      </c>
    </row>
    <row r="944" spans="1:18" ht="30" hidden="1" x14ac:dyDescent="0.3">
      <c r="A944" s="318" t="e">
        <f>#REF!</f>
        <v>#REF!</v>
      </c>
      <c r="B944" s="305" t="e">
        <f>#REF!</f>
        <v>#REF!</v>
      </c>
      <c r="C944" s="305" t="str">
        <f>'Danh sách máy'!C989</f>
        <v>MKHC</v>
      </c>
      <c r="D944" s="90" t="e">
        <f>#REF!</f>
        <v>#REF!</v>
      </c>
      <c r="E944" s="97">
        <f>'Danh sách máy'!E989</f>
        <v>0</v>
      </c>
      <c r="F944" s="206" t="e">
        <f>#REF!</f>
        <v>#REF!</v>
      </c>
      <c r="G944" s="102" t="e">
        <f>#REF!</f>
        <v>#REF!</v>
      </c>
      <c r="H944" s="102" t="e">
        <f>#REF!</f>
        <v>#REF!</v>
      </c>
      <c r="K944" s="210" t="e">
        <f>#REF!</f>
        <v>#REF!</v>
      </c>
      <c r="L944" s="210">
        <v>45213</v>
      </c>
      <c r="M944" s="210"/>
      <c r="N944" s="210">
        <f>'Danh sách máy'!F989</f>
        <v>0</v>
      </c>
      <c r="O944" s="211" t="str" cm="1">
        <f t="array" ref="O944">IF(L944&lt;&gt;0,IF(L944&lt;I944,"OK","NG"),Blank)</f>
        <v>NG</v>
      </c>
      <c r="P944" s="211" t="e" cm="1">
        <f t="array" ref="P944">IF(M944&lt;&gt;0,IF(M944&lt;J944,"OK","NG"),Blank)</f>
        <v>#NAME?</v>
      </c>
      <c r="Q944" s="211" t="e" cm="1">
        <f t="array" ref="Q944">IF(H944&lt;&gt;"Stop",IF(N944&lt;&gt;0,IF(N944&lt;=K944,"OK","NG"),Blank),"-")</f>
        <v>#REF!</v>
      </c>
      <c r="R944" s="326" t="e" cm="1">
        <f t="array" ref="R944">IF(H944&lt;&gt;"Stop",IF(E944&lt;&gt;0,IF(E944&lt;=K944,"OK","NG"),Blank),"-")</f>
        <v>#REF!</v>
      </c>
    </row>
    <row r="945" spans="1:18" ht="30" hidden="1" x14ac:dyDescent="0.3">
      <c r="A945" s="318" t="e">
        <f>#REF!</f>
        <v>#REF!</v>
      </c>
      <c r="B945" s="305" t="e">
        <f>#REF!</f>
        <v>#REF!</v>
      </c>
      <c r="C945" s="305" t="str">
        <f>'Danh sách máy'!C990</f>
        <v>MKHC</v>
      </c>
      <c r="D945" s="90" t="e">
        <f>#REF!</f>
        <v>#REF!</v>
      </c>
      <c r="E945" s="97">
        <f>'Danh sách máy'!E990</f>
        <v>0</v>
      </c>
      <c r="F945" s="206" t="e">
        <f>#REF!</f>
        <v>#REF!</v>
      </c>
      <c r="G945" s="102" t="e">
        <f>#REF!</f>
        <v>#REF!</v>
      </c>
      <c r="H945" s="102" t="e">
        <f>#REF!</f>
        <v>#REF!</v>
      </c>
      <c r="K945" s="210" t="e">
        <f>#REF!</f>
        <v>#REF!</v>
      </c>
      <c r="L945" s="210">
        <v>45214</v>
      </c>
      <c r="M945" s="210"/>
      <c r="N945" s="210">
        <f>'Danh sách máy'!F990</f>
        <v>0</v>
      </c>
      <c r="O945" s="211" t="str" cm="1">
        <f t="array" ref="O945">IF(L945&lt;&gt;0,IF(L945&lt;I945,"OK","NG"),Blank)</f>
        <v>NG</v>
      </c>
      <c r="P945" s="211" t="e" cm="1">
        <f t="array" ref="P945">IF(M945&lt;&gt;0,IF(M945&lt;J945,"OK","NG"),Blank)</f>
        <v>#NAME?</v>
      </c>
      <c r="Q945" s="211" t="e" cm="1">
        <f t="array" ref="Q945">IF(H945&lt;&gt;"Stop",IF(N945&lt;&gt;0,IF(N945&lt;=K945,"OK","NG"),Blank),"-")</f>
        <v>#REF!</v>
      </c>
      <c r="R945" s="326" t="e" cm="1">
        <f t="array" ref="R945">IF(H945&lt;&gt;"Stop",IF(E945&lt;&gt;0,IF(E945&lt;=K945,"OK","NG"),Blank),"-")</f>
        <v>#REF!</v>
      </c>
    </row>
    <row r="946" spans="1:18" ht="30" hidden="1" x14ac:dyDescent="0.3">
      <c r="A946" s="318" t="e">
        <f>#REF!</f>
        <v>#REF!</v>
      </c>
      <c r="B946" s="305" t="e">
        <f>#REF!</f>
        <v>#REF!</v>
      </c>
      <c r="C946" s="305" t="str">
        <f>'Danh sách máy'!C991</f>
        <v>MKHC</v>
      </c>
      <c r="D946" s="90" t="e">
        <f>#REF!</f>
        <v>#REF!</v>
      </c>
      <c r="E946" s="97">
        <f>'Danh sách máy'!E991</f>
        <v>0</v>
      </c>
      <c r="F946" s="206" t="e">
        <f>#REF!</f>
        <v>#REF!</v>
      </c>
      <c r="G946" s="102" t="e">
        <f>#REF!</f>
        <v>#REF!</v>
      </c>
      <c r="H946" s="102" t="e">
        <f>#REF!</f>
        <v>#REF!</v>
      </c>
      <c r="K946" s="210" t="e">
        <f>#REF!</f>
        <v>#REF!</v>
      </c>
      <c r="L946" s="210">
        <v>45215</v>
      </c>
      <c r="M946" s="210"/>
      <c r="N946" s="210">
        <f>'Danh sách máy'!F991</f>
        <v>0</v>
      </c>
      <c r="O946" s="211" t="str" cm="1">
        <f t="array" ref="O946">IF(L946&lt;&gt;0,IF(L946&lt;I946,"OK","NG"),Blank)</f>
        <v>NG</v>
      </c>
      <c r="P946" s="211" t="e" cm="1">
        <f t="array" ref="P946">IF(M946&lt;&gt;0,IF(M946&lt;J946,"OK","NG"),Blank)</f>
        <v>#NAME?</v>
      </c>
      <c r="Q946" s="211" t="e" cm="1">
        <f t="array" ref="Q946">IF(H946&lt;&gt;"Stop",IF(N946&lt;&gt;0,IF(N946&lt;=K946,"OK","NG"),Blank),"-")</f>
        <v>#REF!</v>
      </c>
      <c r="R946" s="326" t="e" cm="1">
        <f t="array" ref="R946">IF(H946&lt;&gt;"Stop",IF(E946&lt;&gt;0,IF(E946&lt;=K946,"OK","NG"),Blank),"-")</f>
        <v>#REF!</v>
      </c>
    </row>
    <row r="947" spans="1:18" ht="30" hidden="1" x14ac:dyDescent="0.3">
      <c r="A947" s="318" t="e">
        <f>#REF!</f>
        <v>#REF!</v>
      </c>
      <c r="B947" s="305" t="e">
        <f>#REF!</f>
        <v>#REF!</v>
      </c>
      <c r="C947" s="305" t="str">
        <f>'Danh sách máy'!C992</f>
        <v>MKHC</v>
      </c>
      <c r="D947" s="90" t="e">
        <f>#REF!</f>
        <v>#REF!</v>
      </c>
      <c r="E947" s="97">
        <f>'Danh sách máy'!E992</f>
        <v>0</v>
      </c>
      <c r="F947" s="206" t="e">
        <f>#REF!</f>
        <v>#REF!</v>
      </c>
      <c r="G947" s="102" t="e">
        <f>#REF!</f>
        <v>#REF!</v>
      </c>
      <c r="H947" s="102" t="e">
        <f>#REF!</f>
        <v>#REF!</v>
      </c>
      <c r="K947" s="210" t="e">
        <f>#REF!</f>
        <v>#REF!</v>
      </c>
      <c r="L947" s="210">
        <v>45216</v>
      </c>
      <c r="M947" s="210"/>
      <c r="N947" s="210">
        <f>'Danh sách máy'!F992</f>
        <v>0</v>
      </c>
      <c r="O947" s="211" t="str" cm="1">
        <f t="array" ref="O947">IF(L947&lt;&gt;0,IF(L947&lt;I947,"OK","NG"),Blank)</f>
        <v>NG</v>
      </c>
      <c r="P947" s="211" t="e" cm="1">
        <f t="array" ref="P947">IF(M947&lt;&gt;0,IF(M947&lt;J947,"OK","NG"),Blank)</f>
        <v>#NAME?</v>
      </c>
      <c r="Q947" s="211" t="e" cm="1">
        <f t="array" ref="Q947">IF(H947&lt;&gt;"Stop",IF(N947&lt;&gt;0,IF(N947&lt;=K947,"OK","NG"),Blank),"-")</f>
        <v>#REF!</v>
      </c>
      <c r="R947" s="326" t="e" cm="1">
        <f t="array" ref="R947">IF(H947&lt;&gt;"Stop",IF(E947&lt;&gt;0,IF(E947&lt;=K947,"OK","NG"),Blank),"-")</f>
        <v>#REF!</v>
      </c>
    </row>
    <row r="948" spans="1:18" ht="30" hidden="1" x14ac:dyDescent="0.3">
      <c r="A948" s="318" t="e">
        <f>#REF!</f>
        <v>#REF!</v>
      </c>
      <c r="B948" s="305" t="e">
        <f>#REF!</f>
        <v>#REF!</v>
      </c>
      <c r="C948" s="305" t="str">
        <f>'Danh sách máy'!C993</f>
        <v>MKHC</v>
      </c>
      <c r="D948" s="90" t="e">
        <f>#REF!</f>
        <v>#REF!</v>
      </c>
      <c r="E948" s="97">
        <f>'Danh sách máy'!E993</f>
        <v>0</v>
      </c>
      <c r="F948" s="206" t="e">
        <f>#REF!</f>
        <v>#REF!</v>
      </c>
      <c r="G948" s="102" t="e">
        <f>#REF!</f>
        <v>#REF!</v>
      </c>
      <c r="H948" s="102" t="e">
        <f>#REF!</f>
        <v>#REF!</v>
      </c>
      <c r="K948" s="210" t="e">
        <f>#REF!</f>
        <v>#REF!</v>
      </c>
      <c r="L948" s="210">
        <v>45217</v>
      </c>
      <c r="M948" s="210"/>
      <c r="N948" s="210">
        <f>'Danh sách máy'!F993</f>
        <v>0</v>
      </c>
      <c r="O948" s="211" t="str" cm="1">
        <f t="array" ref="O948">IF(L948&lt;&gt;0,IF(L948&lt;I948,"OK","NG"),Blank)</f>
        <v>NG</v>
      </c>
      <c r="P948" s="211" t="e" cm="1">
        <f t="array" ref="P948">IF(M948&lt;&gt;0,IF(M948&lt;J948,"OK","NG"),Blank)</f>
        <v>#NAME?</v>
      </c>
      <c r="Q948" s="211" t="e" cm="1">
        <f t="array" ref="Q948">IF(H948&lt;&gt;"Stop",IF(N948&lt;&gt;0,IF(N948&lt;=K948,"OK","NG"),Blank),"-")</f>
        <v>#REF!</v>
      </c>
      <c r="R948" s="326" t="e" cm="1">
        <f t="array" ref="R948">IF(H948&lt;&gt;"Stop",IF(E948&lt;&gt;0,IF(E948&lt;=K948,"OK","NG"),Blank),"-")</f>
        <v>#REF!</v>
      </c>
    </row>
    <row r="949" spans="1:18" ht="30" hidden="1" x14ac:dyDescent="0.3">
      <c r="A949" s="318" t="e">
        <f>#REF!</f>
        <v>#REF!</v>
      </c>
      <c r="B949" s="305" t="e">
        <f>#REF!</f>
        <v>#REF!</v>
      </c>
      <c r="C949" s="305" t="str">
        <f>'Danh sách máy'!C994</f>
        <v>MKHC</v>
      </c>
      <c r="D949" s="90" t="e">
        <f>#REF!</f>
        <v>#REF!</v>
      </c>
      <c r="E949" s="97">
        <f>'Danh sách máy'!E994</f>
        <v>0</v>
      </c>
      <c r="F949" s="206" t="e">
        <f>#REF!</f>
        <v>#REF!</v>
      </c>
      <c r="G949" s="102" t="e">
        <f>#REF!</f>
        <v>#REF!</v>
      </c>
      <c r="H949" s="102" t="e">
        <f>#REF!</f>
        <v>#REF!</v>
      </c>
      <c r="K949" s="210" t="e">
        <f>#REF!</f>
        <v>#REF!</v>
      </c>
      <c r="L949" s="210">
        <v>45218</v>
      </c>
      <c r="M949" s="210"/>
      <c r="N949" s="210">
        <f>'Danh sách máy'!F994</f>
        <v>0</v>
      </c>
      <c r="O949" s="211" t="str" cm="1">
        <f t="array" ref="O949">IF(L949&lt;&gt;0,IF(L949&lt;I949,"OK","NG"),Blank)</f>
        <v>NG</v>
      </c>
      <c r="P949" s="211" t="e" cm="1">
        <f t="array" ref="P949">IF(M949&lt;&gt;0,IF(M949&lt;J949,"OK","NG"),Blank)</f>
        <v>#NAME?</v>
      </c>
      <c r="Q949" s="211" t="e" cm="1">
        <f t="array" ref="Q949">IF(H949&lt;&gt;"Stop",IF(N949&lt;&gt;0,IF(N949&lt;=K949,"OK","NG"),Blank),"-")</f>
        <v>#REF!</v>
      </c>
      <c r="R949" s="326" t="e" cm="1">
        <f t="array" ref="R949">IF(H949&lt;&gt;"Stop",IF(E949&lt;&gt;0,IF(E949&lt;=K949,"OK","NG"),Blank),"-")</f>
        <v>#REF!</v>
      </c>
    </row>
    <row r="950" spans="1:18" ht="30" hidden="1" x14ac:dyDescent="0.3">
      <c r="A950" s="318" t="e">
        <f>#REF!</f>
        <v>#REF!</v>
      </c>
      <c r="B950" s="305" t="e">
        <f>#REF!</f>
        <v>#REF!</v>
      </c>
      <c r="C950" s="305" t="str">
        <f>'Danh sách máy'!C995</f>
        <v>MKHC</v>
      </c>
      <c r="D950" s="90" t="e">
        <f>#REF!</f>
        <v>#REF!</v>
      </c>
      <c r="E950" s="97">
        <f>'Danh sách máy'!E995</f>
        <v>0</v>
      </c>
      <c r="F950" s="206" t="e">
        <f>#REF!</f>
        <v>#REF!</v>
      </c>
      <c r="G950" s="102" t="e">
        <f>#REF!</f>
        <v>#REF!</v>
      </c>
      <c r="H950" s="102" t="e">
        <f>#REF!</f>
        <v>#REF!</v>
      </c>
      <c r="K950" s="210" t="e">
        <f>#REF!</f>
        <v>#REF!</v>
      </c>
      <c r="L950" s="210">
        <v>45219</v>
      </c>
      <c r="M950" s="210"/>
      <c r="N950" s="210">
        <f>'Danh sách máy'!F995</f>
        <v>0</v>
      </c>
      <c r="O950" s="211" t="str" cm="1">
        <f t="array" ref="O950">IF(L950&lt;&gt;0,IF(L950&lt;I950,"OK","NG"),Blank)</f>
        <v>NG</v>
      </c>
      <c r="P950" s="211" t="e" cm="1">
        <f t="array" ref="P950">IF(M950&lt;&gt;0,IF(M950&lt;J950,"OK","NG"),Blank)</f>
        <v>#NAME?</v>
      </c>
      <c r="Q950" s="211" t="e" cm="1">
        <f t="array" ref="Q950">IF(H950&lt;&gt;"Stop",IF(N950&lt;&gt;0,IF(N950&lt;=K950,"OK","NG"),Blank),"-")</f>
        <v>#REF!</v>
      </c>
      <c r="R950" s="326" t="e" cm="1">
        <f t="array" ref="R950">IF(H950&lt;&gt;"Stop",IF(E950&lt;&gt;0,IF(E950&lt;=K950,"OK","NG"),Blank),"-")</f>
        <v>#REF!</v>
      </c>
    </row>
    <row r="951" spans="1:18" ht="30" hidden="1" x14ac:dyDescent="0.3">
      <c r="A951" s="318" t="e">
        <f>#REF!</f>
        <v>#REF!</v>
      </c>
      <c r="B951" s="305" t="e">
        <f>#REF!</f>
        <v>#REF!</v>
      </c>
      <c r="C951" s="305" t="str">
        <f>'Danh sách máy'!C996</f>
        <v>MKHC</v>
      </c>
      <c r="D951" s="90" t="e">
        <f>#REF!</f>
        <v>#REF!</v>
      </c>
      <c r="E951" s="97">
        <f>'Danh sách máy'!E996</f>
        <v>0</v>
      </c>
      <c r="F951" s="206" t="e">
        <f>#REF!</f>
        <v>#REF!</v>
      </c>
      <c r="G951" s="102" t="e">
        <f>#REF!</f>
        <v>#REF!</v>
      </c>
      <c r="H951" s="102" t="e">
        <f>#REF!</f>
        <v>#REF!</v>
      </c>
      <c r="K951" s="210" t="e">
        <f>#REF!</f>
        <v>#REF!</v>
      </c>
      <c r="L951" s="210">
        <v>45220</v>
      </c>
      <c r="M951" s="210"/>
      <c r="N951" s="210">
        <f>'Danh sách máy'!F996</f>
        <v>0</v>
      </c>
      <c r="O951" s="211" t="str" cm="1">
        <f t="array" ref="O951">IF(L951&lt;&gt;0,IF(L951&lt;I951,"OK","NG"),Blank)</f>
        <v>NG</v>
      </c>
      <c r="P951" s="211" t="e" cm="1">
        <f t="array" ref="P951">IF(M951&lt;&gt;0,IF(M951&lt;J951,"OK","NG"),Blank)</f>
        <v>#NAME?</v>
      </c>
      <c r="Q951" s="211" t="e" cm="1">
        <f t="array" ref="Q951">IF(H951&lt;&gt;"Stop",IF(N951&lt;&gt;0,IF(N951&lt;=K951,"OK","NG"),Blank),"-")</f>
        <v>#REF!</v>
      </c>
      <c r="R951" s="326" t="e" cm="1">
        <f t="array" ref="R951">IF(H951&lt;&gt;"Stop",IF(E951&lt;&gt;0,IF(E951&lt;=K951,"OK","NG"),Blank),"-")</f>
        <v>#REF!</v>
      </c>
    </row>
    <row r="952" spans="1:18" ht="30" hidden="1" x14ac:dyDescent="0.3">
      <c r="A952" s="318" t="e">
        <f>#REF!</f>
        <v>#REF!</v>
      </c>
      <c r="B952" s="305" t="e">
        <f>#REF!</f>
        <v>#REF!</v>
      </c>
      <c r="C952" s="305" t="str">
        <f>'Danh sách máy'!C997</f>
        <v>MKHC</v>
      </c>
      <c r="D952" s="90" t="e">
        <f>#REF!</f>
        <v>#REF!</v>
      </c>
      <c r="E952" s="97">
        <f>'Danh sách máy'!E997</f>
        <v>0</v>
      </c>
      <c r="F952" s="206" t="e">
        <f>#REF!</f>
        <v>#REF!</v>
      </c>
      <c r="G952" s="102" t="e">
        <f>#REF!</f>
        <v>#REF!</v>
      </c>
      <c r="H952" s="102" t="e">
        <f>#REF!</f>
        <v>#REF!</v>
      </c>
      <c r="K952" s="210" t="e">
        <f>#REF!</f>
        <v>#REF!</v>
      </c>
      <c r="L952" s="210">
        <v>45221</v>
      </c>
      <c r="M952" s="210"/>
      <c r="N952" s="210">
        <f>'Danh sách máy'!F997</f>
        <v>0</v>
      </c>
      <c r="O952" s="211" t="str" cm="1">
        <f t="array" ref="O952">IF(L952&lt;&gt;0,IF(L952&lt;I952,"OK","NG"),Blank)</f>
        <v>NG</v>
      </c>
      <c r="P952" s="211" t="e" cm="1">
        <f t="array" ref="P952">IF(M952&lt;&gt;0,IF(M952&lt;J952,"OK","NG"),Blank)</f>
        <v>#NAME?</v>
      </c>
      <c r="Q952" s="211" t="e" cm="1">
        <f t="array" ref="Q952">IF(H952&lt;&gt;"Stop",IF(N952&lt;&gt;0,IF(N952&lt;=K952,"OK","NG"),Blank),"-")</f>
        <v>#REF!</v>
      </c>
      <c r="R952" s="326" t="e" cm="1">
        <f t="array" ref="R952">IF(H952&lt;&gt;"Stop",IF(E952&lt;&gt;0,IF(E952&lt;=K952,"OK","NG"),Blank),"-")</f>
        <v>#REF!</v>
      </c>
    </row>
    <row r="953" spans="1:18" ht="30" hidden="1" x14ac:dyDescent="0.3">
      <c r="A953" s="318" t="e">
        <f>#REF!</f>
        <v>#REF!</v>
      </c>
      <c r="B953" s="305" t="e">
        <f>#REF!</f>
        <v>#REF!</v>
      </c>
      <c r="C953" s="305">
        <f>'Danh sách máy'!C998</f>
        <v>0</v>
      </c>
      <c r="D953" s="90" t="e">
        <f>#REF!</f>
        <v>#REF!</v>
      </c>
      <c r="E953" s="97">
        <f>'Danh sách máy'!E998</f>
        <v>0</v>
      </c>
      <c r="F953" s="206" t="e">
        <f>#REF!</f>
        <v>#REF!</v>
      </c>
      <c r="G953" s="102" t="e">
        <f>#REF!</f>
        <v>#REF!</v>
      </c>
      <c r="H953" s="102" t="e">
        <f>#REF!</f>
        <v>#REF!</v>
      </c>
      <c r="K953" s="210" t="e">
        <f>#REF!</f>
        <v>#REF!</v>
      </c>
      <c r="L953" s="210">
        <v>45222</v>
      </c>
      <c r="M953" s="210"/>
      <c r="N953" s="210">
        <f>'Danh sách máy'!F998</f>
        <v>0</v>
      </c>
      <c r="O953" s="211" t="str" cm="1">
        <f t="array" ref="O953">IF(L953&lt;&gt;0,IF(L953&lt;I953,"OK","NG"),Blank)</f>
        <v>NG</v>
      </c>
      <c r="P953" s="211" t="e" cm="1">
        <f t="array" ref="P953">IF(M953&lt;&gt;0,IF(M953&lt;J953,"OK","NG"),Blank)</f>
        <v>#NAME?</v>
      </c>
      <c r="Q953" s="211" t="e" cm="1">
        <f t="array" ref="Q953">IF(H953&lt;&gt;"Stop",IF(N953&lt;&gt;0,IF(N953&lt;=K953,"OK","NG"),Blank),"-")</f>
        <v>#REF!</v>
      </c>
      <c r="R953" s="326" t="e" cm="1">
        <f t="array" ref="R953">IF(H953&lt;&gt;"Stop",IF(E953&lt;&gt;0,IF(E953&lt;=K953,"OK","NG"),Blank),"-")</f>
        <v>#REF!</v>
      </c>
    </row>
    <row r="954" spans="1:18" ht="30" hidden="1" x14ac:dyDescent="0.3">
      <c r="A954" s="318" t="e">
        <f>#REF!</f>
        <v>#REF!</v>
      </c>
      <c r="B954" s="305" t="e">
        <f>#REF!</f>
        <v>#REF!</v>
      </c>
      <c r="C954" s="305" t="str">
        <f>'Danh sách máy'!C999</f>
        <v>OUT</v>
      </c>
      <c r="D954" s="90" t="e">
        <f>#REF!</f>
        <v>#REF!</v>
      </c>
      <c r="E954" s="97">
        <f>'Danh sách máy'!E999</f>
        <v>0</v>
      </c>
      <c r="F954" s="206" t="e">
        <f>#REF!</f>
        <v>#REF!</v>
      </c>
      <c r="G954" s="102" t="e">
        <f>#REF!</f>
        <v>#REF!</v>
      </c>
      <c r="H954" s="102" t="e">
        <f>#REF!</f>
        <v>#REF!</v>
      </c>
      <c r="K954" s="210" t="e">
        <f>#REF!</f>
        <v>#REF!</v>
      </c>
      <c r="L954" s="210">
        <v>45223</v>
      </c>
      <c r="M954" s="210"/>
      <c r="N954" s="210">
        <f>'Danh sách máy'!F999</f>
        <v>0</v>
      </c>
      <c r="O954" s="211" t="str" cm="1">
        <f t="array" ref="O954">IF(L954&lt;&gt;0,IF(L954&lt;I954,"OK","NG"),Blank)</f>
        <v>NG</v>
      </c>
      <c r="P954" s="211" t="e" cm="1">
        <f t="array" ref="P954">IF(M954&lt;&gt;0,IF(M954&lt;J954,"OK","NG"),Blank)</f>
        <v>#NAME?</v>
      </c>
      <c r="Q954" s="211" t="e" cm="1">
        <f t="array" ref="Q954">IF(H954&lt;&gt;"Stop",IF(N954&lt;&gt;0,IF(N954&lt;=K954,"OK","NG"),Blank),"-")</f>
        <v>#REF!</v>
      </c>
      <c r="R954" s="326" t="e" cm="1">
        <f t="array" ref="R954">IF(H954&lt;&gt;"Stop",IF(E954&lt;&gt;0,IF(E954&lt;=K954,"OK","NG"),Blank),"-")</f>
        <v>#REF!</v>
      </c>
    </row>
    <row r="955" spans="1:18" ht="30" hidden="1" x14ac:dyDescent="0.3">
      <c r="A955" s="318" t="e">
        <f>#REF!</f>
        <v>#REF!</v>
      </c>
      <c r="B955" s="305" t="e">
        <f>#REF!</f>
        <v>#REF!</v>
      </c>
      <c r="C955" s="305" t="str">
        <f>'Danh sách máy'!C1000</f>
        <v>OUT</v>
      </c>
      <c r="D955" s="90" t="e">
        <f>#REF!</f>
        <v>#REF!</v>
      </c>
      <c r="E955" s="97">
        <f>'Danh sách máy'!E1000</f>
        <v>0</v>
      </c>
      <c r="F955" s="206" t="e">
        <f>#REF!</f>
        <v>#REF!</v>
      </c>
      <c r="G955" s="102" t="e">
        <f>#REF!</f>
        <v>#REF!</v>
      </c>
      <c r="H955" s="102" t="e">
        <f>#REF!</f>
        <v>#REF!</v>
      </c>
      <c r="K955" s="210" t="e">
        <f>#REF!</f>
        <v>#REF!</v>
      </c>
      <c r="L955" s="210">
        <v>45224</v>
      </c>
      <c r="M955" s="210"/>
      <c r="N955" s="210">
        <f>'Danh sách máy'!F1000</f>
        <v>0</v>
      </c>
      <c r="O955" s="211" t="str" cm="1">
        <f t="array" ref="O955">IF(L955&lt;&gt;0,IF(L955&lt;I955,"OK","NG"),Blank)</f>
        <v>NG</v>
      </c>
      <c r="P955" s="211" t="e" cm="1">
        <f t="array" ref="P955">IF(M955&lt;&gt;0,IF(M955&lt;J955,"OK","NG"),Blank)</f>
        <v>#NAME?</v>
      </c>
      <c r="Q955" s="211" t="e" cm="1">
        <f t="array" ref="Q955">IF(H955&lt;&gt;"Stop",IF(N955&lt;&gt;0,IF(N955&lt;=K955,"OK","NG"),Blank),"-")</f>
        <v>#REF!</v>
      </c>
      <c r="R955" s="326" t="e" cm="1">
        <f t="array" ref="R955">IF(H955&lt;&gt;"Stop",IF(E955&lt;&gt;0,IF(E955&lt;=K955,"OK","NG"),Blank),"-")</f>
        <v>#REF!</v>
      </c>
    </row>
    <row r="956" spans="1:18" ht="30" hidden="1" x14ac:dyDescent="0.3">
      <c r="A956" s="318" t="e">
        <f>#REF!</f>
        <v>#REF!</v>
      </c>
      <c r="B956" s="305" t="e">
        <f>#REF!</f>
        <v>#REF!</v>
      </c>
      <c r="C956" s="305" t="str">
        <f>'Danh sách máy'!C1001</f>
        <v>OUT</v>
      </c>
      <c r="D956" s="90" t="e">
        <f>#REF!</f>
        <v>#REF!</v>
      </c>
      <c r="E956" s="97">
        <f>'Danh sách máy'!E1001</f>
        <v>0</v>
      </c>
      <c r="F956" s="206" t="e">
        <f>#REF!</f>
        <v>#REF!</v>
      </c>
      <c r="G956" s="102" t="e">
        <f>#REF!</f>
        <v>#REF!</v>
      </c>
      <c r="H956" s="102" t="e">
        <f>#REF!</f>
        <v>#REF!</v>
      </c>
      <c r="K956" s="210" t="e">
        <f>#REF!</f>
        <v>#REF!</v>
      </c>
      <c r="L956" s="210">
        <v>45225</v>
      </c>
      <c r="M956" s="210"/>
      <c r="N956" s="210">
        <f>'Danh sách máy'!F1001</f>
        <v>0</v>
      </c>
      <c r="O956" s="211" t="str" cm="1">
        <f t="array" ref="O956">IF(L956&lt;&gt;0,IF(L956&lt;I956,"OK","NG"),Blank)</f>
        <v>NG</v>
      </c>
      <c r="P956" s="211" t="e" cm="1">
        <f t="array" ref="P956">IF(M956&lt;&gt;0,IF(M956&lt;J956,"OK","NG"),Blank)</f>
        <v>#NAME?</v>
      </c>
      <c r="Q956" s="211" t="e" cm="1">
        <f t="array" ref="Q956">IF(H956&lt;&gt;"Stop",IF(N956&lt;&gt;0,IF(N956&lt;=K956,"OK","NG"),Blank),"-")</f>
        <v>#REF!</v>
      </c>
      <c r="R956" s="326" t="e" cm="1">
        <f t="array" ref="R956">IF(H956&lt;&gt;"Stop",IF(E956&lt;&gt;0,IF(E956&lt;=K956,"OK","NG"),Blank),"-")</f>
        <v>#REF!</v>
      </c>
    </row>
    <row r="957" spans="1:18" ht="30" hidden="1" x14ac:dyDescent="0.3">
      <c r="A957" s="318" t="e">
        <f>#REF!</f>
        <v>#REF!</v>
      </c>
      <c r="B957" s="305" t="e">
        <f>#REF!</f>
        <v>#REF!</v>
      </c>
      <c r="C957" s="305" t="str">
        <f>'Danh sách máy'!C1002</f>
        <v>OUT</v>
      </c>
      <c r="D957" s="90" t="e">
        <f>#REF!</f>
        <v>#REF!</v>
      </c>
      <c r="E957" s="97">
        <f>'Danh sách máy'!E1002</f>
        <v>0</v>
      </c>
      <c r="F957" s="206" t="e">
        <f>#REF!</f>
        <v>#REF!</v>
      </c>
      <c r="G957" s="102" t="e">
        <f>#REF!</f>
        <v>#REF!</v>
      </c>
      <c r="H957" s="102" t="e">
        <f>#REF!</f>
        <v>#REF!</v>
      </c>
      <c r="K957" s="210" t="e">
        <f>#REF!</f>
        <v>#REF!</v>
      </c>
      <c r="L957" s="210">
        <v>45226</v>
      </c>
      <c r="M957" s="210"/>
      <c r="N957" s="210">
        <f>'Danh sách máy'!F1002</f>
        <v>0</v>
      </c>
      <c r="O957" s="211" t="str" cm="1">
        <f t="array" ref="O957">IF(L957&lt;&gt;0,IF(L957&lt;I957,"OK","NG"),Blank)</f>
        <v>NG</v>
      </c>
      <c r="P957" s="211" t="e" cm="1">
        <f t="array" ref="P957">IF(M957&lt;&gt;0,IF(M957&lt;J957,"OK","NG"),Blank)</f>
        <v>#NAME?</v>
      </c>
      <c r="Q957" s="211" t="e" cm="1">
        <f t="array" ref="Q957">IF(H957&lt;&gt;"Stop",IF(N957&lt;&gt;0,IF(N957&lt;=K957,"OK","NG"),Blank),"-")</f>
        <v>#REF!</v>
      </c>
      <c r="R957" s="326" t="e" cm="1">
        <f t="array" ref="R957">IF(H957&lt;&gt;"Stop",IF(E957&lt;&gt;0,IF(E957&lt;=K957,"OK","NG"),Blank),"-")</f>
        <v>#REF!</v>
      </c>
    </row>
    <row r="958" spans="1:18" ht="30" hidden="1" x14ac:dyDescent="0.3">
      <c r="A958" s="318" t="e">
        <f>#REF!</f>
        <v>#REF!</v>
      </c>
      <c r="B958" s="305" t="e">
        <f>#REF!</f>
        <v>#REF!</v>
      </c>
      <c r="C958" s="305" t="str">
        <f>'Danh sách máy'!C1003</f>
        <v>OUT</v>
      </c>
      <c r="D958" s="90" t="e">
        <f>#REF!</f>
        <v>#REF!</v>
      </c>
      <c r="E958" s="97">
        <f>'Danh sách máy'!E1003</f>
        <v>0</v>
      </c>
      <c r="F958" s="206" t="e">
        <f>#REF!</f>
        <v>#REF!</v>
      </c>
      <c r="G958" s="102" t="e">
        <f>#REF!</f>
        <v>#REF!</v>
      </c>
      <c r="H958" s="102" t="e">
        <f>#REF!</f>
        <v>#REF!</v>
      </c>
      <c r="K958" s="210" t="e">
        <f>#REF!</f>
        <v>#REF!</v>
      </c>
      <c r="L958" s="210">
        <v>45227</v>
      </c>
      <c r="M958" s="210"/>
      <c r="N958" s="210">
        <f>'Danh sách máy'!F1003</f>
        <v>0</v>
      </c>
      <c r="O958" s="211" t="str" cm="1">
        <f t="array" ref="O958">IF(L958&lt;&gt;0,IF(L958&lt;I958,"OK","NG"),Blank)</f>
        <v>NG</v>
      </c>
      <c r="P958" s="211" t="e" cm="1">
        <f t="array" ref="P958">IF(M958&lt;&gt;0,IF(M958&lt;J958,"OK","NG"),Blank)</f>
        <v>#NAME?</v>
      </c>
      <c r="Q958" s="211" t="e" cm="1">
        <f t="array" ref="Q958">IF(H958&lt;&gt;"Stop",IF(N958&lt;&gt;0,IF(N958&lt;=K958,"OK","NG"),Blank),"-")</f>
        <v>#REF!</v>
      </c>
      <c r="R958" s="326" t="e" cm="1">
        <f t="array" ref="R958">IF(H958&lt;&gt;"Stop",IF(E958&lt;&gt;0,IF(E958&lt;=K958,"OK","NG"),Blank),"-")</f>
        <v>#REF!</v>
      </c>
    </row>
    <row r="959" spans="1:18" ht="30" hidden="1" x14ac:dyDescent="0.3">
      <c r="A959" s="318" t="e">
        <f>#REF!</f>
        <v>#REF!</v>
      </c>
      <c r="B959" s="305" t="e">
        <f>#REF!</f>
        <v>#REF!</v>
      </c>
      <c r="C959" s="305" t="str">
        <f>'Danh sách máy'!C1004</f>
        <v>OUT</v>
      </c>
      <c r="D959" s="90" t="e">
        <f>#REF!</f>
        <v>#REF!</v>
      </c>
      <c r="E959" s="97">
        <f>'Danh sách máy'!E1004</f>
        <v>0</v>
      </c>
      <c r="F959" s="206" t="e">
        <f>#REF!</f>
        <v>#REF!</v>
      </c>
      <c r="G959" s="102" t="e">
        <f>#REF!</f>
        <v>#REF!</v>
      </c>
      <c r="H959" s="102" t="e">
        <f>#REF!</f>
        <v>#REF!</v>
      </c>
      <c r="K959" s="210" t="e">
        <f>#REF!</f>
        <v>#REF!</v>
      </c>
      <c r="L959" s="210">
        <v>45228</v>
      </c>
      <c r="M959" s="210"/>
      <c r="N959" s="210">
        <f>'Danh sách máy'!F1004</f>
        <v>0</v>
      </c>
      <c r="O959" s="211" t="str" cm="1">
        <f t="array" ref="O959">IF(L959&lt;&gt;0,IF(L959&lt;I959,"OK","NG"),Blank)</f>
        <v>NG</v>
      </c>
      <c r="P959" s="211" t="e" cm="1">
        <f t="array" ref="P959">IF(M959&lt;&gt;0,IF(M959&lt;J959,"OK","NG"),Blank)</f>
        <v>#NAME?</v>
      </c>
      <c r="Q959" s="211" t="e" cm="1">
        <f t="array" ref="Q959">IF(H959&lt;&gt;"Stop",IF(N959&lt;&gt;0,IF(N959&lt;=K959,"OK","NG"),Blank),"-")</f>
        <v>#REF!</v>
      </c>
      <c r="R959" s="326" t="e" cm="1">
        <f t="array" ref="R959">IF(H959&lt;&gt;"Stop",IF(E959&lt;&gt;0,IF(E959&lt;=K959,"OK","NG"),Blank),"-")</f>
        <v>#REF!</v>
      </c>
    </row>
    <row r="960" spans="1:18" ht="30" hidden="1" x14ac:dyDescent="0.3">
      <c r="A960" s="318" t="e">
        <f>#REF!</f>
        <v>#REF!</v>
      </c>
      <c r="B960" s="305" t="e">
        <f>#REF!</f>
        <v>#REF!</v>
      </c>
      <c r="C960" s="305" t="str">
        <f>'Danh sách máy'!C1005</f>
        <v>OUT</v>
      </c>
      <c r="D960" s="90" t="e">
        <f>#REF!</f>
        <v>#REF!</v>
      </c>
      <c r="E960" s="97">
        <f>'Danh sách máy'!E1005</f>
        <v>0</v>
      </c>
      <c r="F960" s="206" t="e">
        <f>#REF!</f>
        <v>#REF!</v>
      </c>
      <c r="G960" s="102" t="e">
        <f>#REF!</f>
        <v>#REF!</v>
      </c>
      <c r="H960" s="102" t="e">
        <f>#REF!</f>
        <v>#REF!</v>
      </c>
      <c r="K960" s="210" t="e">
        <f>#REF!</f>
        <v>#REF!</v>
      </c>
      <c r="L960" s="210">
        <v>45229</v>
      </c>
      <c r="M960" s="210"/>
      <c r="N960" s="210">
        <f>'Danh sách máy'!F1005</f>
        <v>0</v>
      </c>
      <c r="O960" s="211" t="str" cm="1">
        <f t="array" ref="O960">IF(L960&lt;&gt;0,IF(L960&lt;I960,"OK","NG"),Blank)</f>
        <v>NG</v>
      </c>
      <c r="P960" s="211" t="e" cm="1">
        <f t="array" ref="P960">IF(M960&lt;&gt;0,IF(M960&lt;J960,"OK","NG"),Blank)</f>
        <v>#NAME?</v>
      </c>
      <c r="Q960" s="211" t="e" cm="1">
        <f t="array" ref="Q960">IF(H960&lt;&gt;"Stop",IF(N960&lt;&gt;0,IF(N960&lt;=K960,"OK","NG"),Blank),"-")</f>
        <v>#REF!</v>
      </c>
      <c r="R960" s="326" t="e" cm="1">
        <f t="array" ref="R960">IF(H960&lt;&gt;"Stop",IF(E960&lt;&gt;0,IF(E960&lt;=K960,"OK","NG"),Blank),"-")</f>
        <v>#REF!</v>
      </c>
    </row>
    <row r="961" spans="1:18" ht="30" hidden="1" x14ac:dyDescent="0.3">
      <c r="A961" s="318" t="e">
        <f>#REF!</f>
        <v>#REF!</v>
      </c>
      <c r="B961" s="305" t="e">
        <f>#REF!</f>
        <v>#REF!</v>
      </c>
      <c r="C961" s="305" t="str">
        <f>'Danh sách máy'!C1006</f>
        <v>OUT</v>
      </c>
      <c r="D961" s="90" t="e">
        <f>#REF!</f>
        <v>#REF!</v>
      </c>
      <c r="E961" s="97">
        <f>'Danh sách máy'!E1006</f>
        <v>0</v>
      </c>
      <c r="F961" s="206" t="e">
        <f>#REF!</f>
        <v>#REF!</v>
      </c>
      <c r="G961" s="102" t="e">
        <f>#REF!</f>
        <v>#REF!</v>
      </c>
      <c r="H961" s="102" t="e">
        <f>#REF!</f>
        <v>#REF!</v>
      </c>
      <c r="K961" s="210" t="e">
        <f>#REF!</f>
        <v>#REF!</v>
      </c>
      <c r="L961" s="210">
        <v>45230</v>
      </c>
      <c r="M961" s="210"/>
      <c r="N961" s="210">
        <f>'Danh sách máy'!F1006</f>
        <v>0</v>
      </c>
      <c r="O961" s="211" t="str" cm="1">
        <f t="array" ref="O961">IF(L961&lt;&gt;0,IF(L961&lt;I961,"OK","NG"),Blank)</f>
        <v>NG</v>
      </c>
      <c r="P961" s="211" t="e" cm="1">
        <f t="array" ref="P961">IF(M961&lt;&gt;0,IF(M961&lt;J961,"OK","NG"),Blank)</f>
        <v>#NAME?</v>
      </c>
      <c r="Q961" s="211" t="e" cm="1">
        <f t="array" ref="Q961">IF(H961&lt;&gt;"Stop",IF(N961&lt;&gt;0,IF(N961&lt;=K961,"OK","NG"),Blank),"-")</f>
        <v>#REF!</v>
      </c>
      <c r="R961" s="326" t="e" cm="1">
        <f t="array" ref="R961">IF(H961&lt;&gt;"Stop",IF(E961&lt;&gt;0,IF(E961&lt;=K961,"OK","NG"),Blank),"-")</f>
        <v>#REF!</v>
      </c>
    </row>
    <row r="962" spans="1:18" ht="30" hidden="1" x14ac:dyDescent="0.3">
      <c r="A962" s="318" t="e">
        <f>#REF!</f>
        <v>#REF!</v>
      </c>
      <c r="B962" s="305" t="e">
        <f>#REF!</f>
        <v>#REF!</v>
      </c>
      <c r="C962" s="305" t="str">
        <f>'Danh sách máy'!C1007</f>
        <v>OUT</v>
      </c>
      <c r="D962" s="90" t="e">
        <f>#REF!</f>
        <v>#REF!</v>
      </c>
      <c r="E962" s="97">
        <f>'Danh sách máy'!E1007</f>
        <v>0</v>
      </c>
      <c r="F962" s="206" t="e">
        <f>#REF!</f>
        <v>#REF!</v>
      </c>
      <c r="G962" s="102" t="e">
        <f>#REF!</f>
        <v>#REF!</v>
      </c>
      <c r="H962" s="102" t="e">
        <f>#REF!</f>
        <v>#REF!</v>
      </c>
      <c r="K962" s="210" t="e">
        <f>#REF!</f>
        <v>#REF!</v>
      </c>
      <c r="L962" s="210">
        <v>45231</v>
      </c>
      <c r="M962" s="210"/>
      <c r="N962" s="210">
        <f>'Danh sách máy'!F1007</f>
        <v>0</v>
      </c>
      <c r="O962" s="211" t="str" cm="1">
        <f t="array" ref="O962">IF(L962&lt;&gt;0,IF(L962&lt;I962,"OK","NG"),Blank)</f>
        <v>NG</v>
      </c>
      <c r="P962" s="211" t="e" cm="1">
        <f t="array" ref="P962">IF(M962&lt;&gt;0,IF(M962&lt;J962,"OK","NG"),Blank)</f>
        <v>#NAME?</v>
      </c>
      <c r="Q962" s="211" t="e" cm="1">
        <f t="array" ref="Q962">IF(H962&lt;&gt;"Stop",IF(N962&lt;&gt;0,IF(N962&lt;=K962,"OK","NG"),Blank),"-")</f>
        <v>#REF!</v>
      </c>
      <c r="R962" s="326" t="e" cm="1">
        <f t="array" ref="R962">IF(H962&lt;&gt;"Stop",IF(E962&lt;&gt;0,IF(E962&lt;=K962,"OK","NG"),Blank),"-")</f>
        <v>#REF!</v>
      </c>
    </row>
    <row r="963" spans="1:18" ht="30" hidden="1" x14ac:dyDescent="0.3">
      <c r="A963" s="318" t="e">
        <f>#REF!</f>
        <v>#REF!</v>
      </c>
      <c r="B963" s="305" t="e">
        <f>#REF!</f>
        <v>#REF!</v>
      </c>
      <c r="C963" s="305" t="str">
        <f>'Danh sách máy'!C1008</f>
        <v>OUT</v>
      </c>
      <c r="D963" s="90" t="e">
        <f>#REF!</f>
        <v>#REF!</v>
      </c>
      <c r="E963" s="97">
        <f>'Danh sách máy'!E1008</f>
        <v>0</v>
      </c>
      <c r="F963" s="206" t="e">
        <f>#REF!</f>
        <v>#REF!</v>
      </c>
      <c r="G963" s="102" t="e">
        <f>#REF!</f>
        <v>#REF!</v>
      </c>
      <c r="H963" s="102" t="e">
        <f>#REF!</f>
        <v>#REF!</v>
      </c>
      <c r="K963" s="210" t="e">
        <f>#REF!</f>
        <v>#REF!</v>
      </c>
      <c r="L963" s="210">
        <v>45232</v>
      </c>
      <c r="M963" s="210"/>
      <c r="N963" s="210">
        <f>'Danh sách máy'!F1008</f>
        <v>0</v>
      </c>
      <c r="O963" s="211" t="str" cm="1">
        <f t="array" ref="O963">IF(L963&lt;&gt;0,IF(L963&lt;I963,"OK","NG"),Blank)</f>
        <v>NG</v>
      </c>
      <c r="P963" s="211" t="e" cm="1">
        <f t="array" ref="P963">IF(M963&lt;&gt;0,IF(M963&lt;J963,"OK","NG"),Blank)</f>
        <v>#NAME?</v>
      </c>
      <c r="Q963" s="211" t="e" cm="1">
        <f t="array" ref="Q963">IF(H963&lt;&gt;"Stop",IF(N963&lt;&gt;0,IF(N963&lt;=K963,"OK","NG"),Blank),"-")</f>
        <v>#REF!</v>
      </c>
      <c r="R963" s="326" t="e" cm="1">
        <f t="array" ref="R963">IF(H963&lt;&gt;"Stop",IF(E963&lt;&gt;0,IF(E963&lt;=K963,"OK","NG"),Blank),"-")</f>
        <v>#REF!</v>
      </c>
    </row>
    <row r="964" spans="1:18" ht="30" hidden="1" x14ac:dyDescent="0.3">
      <c r="A964" s="318" t="e">
        <f>#REF!</f>
        <v>#REF!</v>
      </c>
      <c r="B964" s="305" t="e">
        <f>#REF!</f>
        <v>#REF!</v>
      </c>
      <c r="C964" s="305" t="str">
        <f>'Danh sách máy'!C1009</f>
        <v>OUT</v>
      </c>
      <c r="D964" s="90" t="e">
        <f>#REF!</f>
        <v>#REF!</v>
      </c>
      <c r="E964" s="97">
        <f>'Danh sách máy'!E1009</f>
        <v>0</v>
      </c>
      <c r="F964" s="206" t="e">
        <f>#REF!</f>
        <v>#REF!</v>
      </c>
      <c r="G964" s="102" t="e">
        <f>#REF!</f>
        <v>#REF!</v>
      </c>
      <c r="H964" s="102" t="e">
        <f>#REF!</f>
        <v>#REF!</v>
      </c>
      <c r="K964" s="210" t="e">
        <f>#REF!</f>
        <v>#REF!</v>
      </c>
      <c r="L964" s="210">
        <v>45233</v>
      </c>
      <c r="M964" s="210"/>
      <c r="N964" s="210">
        <f>'Danh sách máy'!F1009</f>
        <v>0</v>
      </c>
      <c r="O964" s="211" t="str" cm="1">
        <f t="array" ref="O964">IF(L964&lt;&gt;0,IF(L964&lt;I964,"OK","NG"),Blank)</f>
        <v>NG</v>
      </c>
      <c r="P964" s="211" t="e" cm="1">
        <f t="array" ref="P964">IF(M964&lt;&gt;0,IF(M964&lt;J964,"OK","NG"),Blank)</f>
        <v>#NAME?</v>
      </c>
      <c r="Q964" s="211" t="e" cm="1">
        <f t="array" ref="Q964">IF(H964&lt;&gt;"Stop",IF(N964&lt;&gt;0,IF(N964&lt;=K964,"OK","NG"),Blank),"-")</f>
        <v>#REF!</v>
      </c>
      <c r="R964" s="326" t="e" cm="1">
        <f t="array" ref="R964">IF(H964&lt;&gt;"Stop",IF(E964&lt;&gt;0,IF(E964&lt;=K964,"OK","NG"),Blank),"-")</f>
        <v>#REF!</v>
      </c>
    </row>
    <row r="965" spans="1:18" ht="15" hidden="1" x14ac:dyDescent="0.3">
      <c r="A965" s="318" t="e">
        <f>#REF!</f>
        <v>#REF!</v>
      </c>
      <c r="B965" s="305" t="e">
        <f>#REF!</f>
        <v>#REF!</v>
      </c>
      <c r="C965" s="305" t="e">
        <f>'Danh sách máy'!#REF!</f>
        <v>#REF!</v>
      </c>
      <c r="D965" s="90" t="e">
        <f>#REF!</f>
        <v>#REF!</v>
      </c>
      <c r="E965" s="97" t="e">
        <f>'Danh sách máy'!#REF!</f>
        <v>#REF!</v>
      </c>
      <c r="F965" s="206" t="e">
        <f>#REF!</f>
        <v>#REF!</v>
      </c>
      <c r="G965" s="102" t="e">
        <f>#REF!</f>
        <v>#REF!</v>
      </c>
      <c r="H965" s="102" t="e">
        <f>#REF!</f>
        <v>#REF!</v>
      </c>
      <c r="K965" s="210" t="e">
        <f>#REF!</f>
        <v>#REF!</v>
      </c>
      <c r="L965" s="210">
        <v>45234</v>
      </c>
      <c r="M965" s="210"/>
      <c r="N965" s="210" t="e">
        <f>'Danh sách máy'!#REF!</f>
        <v>#REF!</v>
      </c>
      <c r="O965" s="211" t="str" cm="1">
        <f t="array" ref="O965">IF(L965&lt;&gt;0,IF(L965&lt;I965,"OK","NG"),Blank)</f>
        <v>NG</v>
      </c>
      <c r="P965" s="211" t="e" cm="1">
        <f t="array" ref="P965">IF(M965&lt;&gt;0,IF(M965&lt;J965,"OK","NG"),Blank)</f>
        <v>#NAME?</v>
      </c>
      <c r="Q965" s="211" t="e" cm="1">
        <f t="array" ref="Q965">IF(H965&lt;&gt;"Stop",IF(N965&lt;&gt;0,IF(N965&lt;=K965,"OK","NG"),Blank),"-")</f>
        <v>#REF!</v>
      </c>
      <c r="R965" s="326" t="e" cm="1">
        <f t="array" ref="R965">IF(H965&lt;&gt;"Stop",IF(E965&lt;&gt;0,IF(E965&lt;=K965,"OK","NG"),Blank),"-")</f>
        <v>#REF!</v>
      </c>
    </row>
    <row r="966" spans="1:18" ht="15" hidden="1" x14ac:dyDescent="0.3">
      <c r="A966" s="318" t="e">
        <f>#REF!</f>
        <v>#REF!</v>
      </c>
      <c r="B966" s="305" t="e">
        <f>#REF!</f>
        <v>#REF!</v>
      </c>
      <c r="C966" s="305" t="e">
        <f>'Danh sách máy'!#REF!</f>
        <v>#REF!</v>
      </c>
      <c r="D966" s="90" t="e">
        <f>#REF!</f>
        <v>#REF!</v>
      </c>
      <c r="E966" s="97" t="e">
        <f>'Danh sách máy'!#REF!</f>
        <v>#REF!</v>
      </c>
      <c r="F966" s="206" t="e">
        <f>#REF!</f>
        <v>#REF!</v>
      </c>
      <c r="G966" s="102" t="e">
        <f>#REF!</f>
        <v>#REF!</v>
      </c>
      <c r="H966" s="102" t="e">
        <f>#REF!</f>
        <v>#REF!</v>
      </c>
      <c r="K966" s="210" t="e">
        <f>#REF!</f>
        <v>#REF!</v>
      </c>
      <c r="L966" s="210">
        <v>45235</v>
      </c>
      <c r="M966" s="210"/>
      <c r="N966" s="210" t="e">
        <f>'Danh sách máy'!#REF!</f>
        <v>#REF!</v>
      </c>
      <c r="O966" s="211" t="str" cm="1">
        <f t="array" ref="O966">IF(L966&lt;&gt;0,IF(L966&lt;I966,"OK","NG"),Blank)</f>
        <v>NG</v>
      </c>
      <c r="P966" s="211" t="e" cm="1">
        <f t="array" ref="P966">IF(M966&lt;&gt;0,IF(M966&lt;J966,"OK","NG"),Blank)</f>
        <v>#NAME?</v>
      </c>
      <c r="Q966" s="211" t="e" cm="1">
        <f t="array" ref="Q966">IF(H966&lt;&gt;"Stop",IF(N966&lt;&gt;0,IF(N966&lt;=K966,"OK","NG"),Blank),"-")</f>
        <v>#REF!</v>
      </c>
      <c r="R966" s="326" t="e" cm="1">
        <f t="array" ref="R966">IF(H966&lt;&gt;"Stop",IF(E966&lt;&gt;0,IF(E966&lt;=K966,"OK","NG"),Blank),"-")</f>
        <v>#REF!</v>
      </c>
    </row>
    <row r="967" spans="1:18" ht="30" hidden="1" x14ac:dyDescent="0.3">
      <c r="A967" s="318" t="e">
        <f>#REF!</f>
        <v>#REF!</v>
      </c>
      <c r="B967" s="305" t="e">
        <f>#REF!</f>
        <v>#REF!</v>
      </c>
      <c r="C967" s="305" t="str">
        <f>'Danh sách máy'!C1010</f>
        <v>OUT</v>
      </c>
      <c r="D967" s="90" t="e">
        <f>#REF!</f>
        <v>#REF!</v>
      </c>
      <c r="E967" s="97">
        <f>'Danh sách máy'!E1010</f>
        <v>0</v>
      </c>
      <c r="F967" s="206" t="e">
        <f>#REF!</f>
        <v>#REF!</v>
      </c>
      <c r="G967" s="102" t="e">
        <f>#REF!</f>
        <v>#REF!</v>
      </c>
      <c r="H967" s="102" t="e">
        <f>#REF!</f>
        <v>#REF!</v>
      </c>
      <c r="K967" s="210" t="e">
        <f>#REF!</f>
        <v>#REF!</v>
      </c>
      <c r="L967" s="210">
        <v>45236</v>
      </c>
      <c r="M967" s="210"/>
      <c r="N967" s="210">
        <f>'Danh sách máy'!F1010</f>
        <v>0</v>
      </c>
      <c r="O967" s="211" t="str" cm="1">
        <f t="array" ref="O967">IF(L967&lt;&gt;0,IF(L967&lt;I967,"OK","NG"),Blank)</f>
        <v>NG</v>
      </c>
      <c r="P967" s="211" t="e" cm="1">
        <f t="array" ref="P967">IF(M967&lt;&gt;0,IF(M967&lt;J967,"OK","NG"),Blank)</f>
        <v>#NAME?</v>
      </c>
      <c r="Q967" s="211" t="e" cm="1">
        <f t="array" ref="Q967">IF(H967&lt;&gt;"Stop",IF(N967&lt;&gt;0,IF(N967&lt;=K967,"OK","NG"),Blank),"-")</f>
        <v>#REF!</v>
      </c>
      <c r="R967" s="326" t="e" cm="1">
        <f t="array" ref="R967">IF(H967&lt;&gt;"Stop",IF(E967&lt;&gt;0,IF(E967&lt;=K967,"OK","NG"),Blank),"-")</f>
        <v>#REF!</v>
      </c>
    </row>
    <row r="968" spans="1:18" ht="30" hidden="1" x14ac:dyDescent="0.3">
      <c r="A968" s="318" t="e">
        <f>#REF!</f>
        <v>#REF!</v>
      </c>
      <c r="B968" s="305" t="e">
        <f>#REF!</f>
        <v>#REF!</v>
      </c>
      <c r="C968" s="305" t="str">
        <f>'Danh sách máy'!C1011</f>
        <v>OUT</v>
      </c>
      <c r="D968" s="90" t="e">
        <f>#REF!</f>
        <v>#REF!</v>
      </c>
      <c r="E968" s="97">
        <f>'Danh sách máy'!E1011</f>
        <v>0</v>
      </c>
      <c r="F968" s="206" t="e">
        <f>#REF!</f>
        <v>#REF!</v>
      </c>
      <c r="G968" s="102" t="e">
        <f>#REF!</f>
        <v>#REF!</v>
      </c>
      <c r="H968" s="102" t="e">
        <f>#REF!</f>
        <v>#REF!</v>
      </c>
      <c r="K968" s="210" t="e">
        <f>#REF!</f>
        <v>#REF!</v>
      </c>
      <c r="L968" s="210">
        <v>45237</v>
      </c>
      <c r="M968" s="210"/>
      <c r="N968" s="210">
        <f>'Danh sách máy'!F1011</f>
        <v>0</v>
      </c>
      <c r="O968" s="211" t="str" cm="1">
        <f t="array" ref="O968">IF(L968&lt;&gt;0,IF(L968&lt;I968,"OK","NG"),Blank)</f>
        <v>NG</v>
      </c>
      <c r="P968" s="211" t="e" cm="1">
        <f t="array" ref="P968">IF(M968&lt;&gt;0,IF(M968&lt;J968,"OK","NG"),Blank)</f>
        <v>#NAME?</v>
      </c>
      <c r="Q968" s="211" t="e" cm="1">
        <f t="array" ref="Q968">IF(H968&lt;&gt;"Stop",IF(N968&lt;&gt;0,IF(N968&lt;=K968,"OK","NG"),Blank),"-")</f>
        <v>#REF!</v>
      </c>
      <c r="R968" s="326" t="e" cm="1">
        <f t="array" ref="R968">IF(H968&lt;&gt;"Stop",IF(E968&lt;&gt;0,IF(E968&lt;=K968,"OK","NG"),Blank),"-")</f>
        <v>#REF!</v>
      </c>
    </row>
    <row r="969" spans="1:18" ht="15" hidden="1" x14ac:dyDescent="0.3">
      <c r="A969" s="318" t="e">
        <f>#REF!</f>
        <v>#REF!</v>
      </c>
      <c r="B969" s="305" t="e">
        <f>#REF!</f>
        <v>#REF!</v>
      </c>
      <c r="C969" s="305" t="str">
        <f>'Danh sách máy'!C1012</f>
        <v>OUT</v>
      </c>
      <c r="D969" s="90" t="e">
        <f>#REF!</f>
        <v>#REF!</v>
      </c>
      <c r="E969" s="97">
        <f>'Danh sách máy'!E1012</f>
        <v>0</v>
      </c>
      <c r="F969" s="206" t="e">
        <f>#REF!</f>
        <v>#REF!</v>
      </c>
      <c r="G969" s="102" t="e">
        <f>#REF!</f>
        <v>#REF!</v>
      </c>
      <c r="H969" s="102" t="e">
        <f>#REF!</f>
        <v>#REF!</v>
      </c>
      <c r="K969" s="210" t="e">
        <f>#REF!</f>
        <v>#REF!</v>
      </c>
      <c r="L969" s="210">
        <v>45238</v>
      </c>
      <c r="M969" s="210"/>
      <c r="N969" s="210">
        <f>'Danh sách máy'!F1012</f>
        <v>0</v>
      </c>
      <c r="O969" s="211" t="str" cm="1">
        <f t="array" ref="O969">IF(L969&lt;&gt;0,IF(L969&lt;I969,"OK","NG"),Blank)</f>
        <v>NG</v>
      </c>
      <c r="P969" s="211" t="e" cm="1">
        <f t="array" ref="P969">IF(M969&lt;&gt;0,IF(M969&lt;J969,"OK","NG"),Blank)</f>
        <v>#NAME?</v>
      </c>
      <c r="Q969" s="211" t="e" cm="1">
        <f t="array" ref="Q969">IF(H969&lt;&gt;"Stop",IF(N969&lt;&gt;0,IF(N969&lt;=K969,"OK","NG"),Blank),"-")</f>
        <v>#REF!</v>
      </c>
      <c r="R969" s="326" t="e" cm="1">
        <f t="array" ref="R969">IF(H969&lt;&gt;"Stop",IF(E969&lt;&gt;0,IF(E969&lt;=K969,"OK","NG"),Blank),"-")</f>
        <v>#REF!</v>
      </c>
    </row>
    <row r="970" spans="1:18" ht="15" hidden="1" x14ac:dyDescent="0.3">
      <c r="A970" s="318" t="e">
        <f>#REF!</f>
        <v>#REF!</v>
      </c>
      <c r="B970" s="305" t="e">
        <f>#REF!</f>
        <v>#REF!</v>
      </c>
      <c r="C970" s="305" t="str">
        <f>'Danh sách máy'!C1013</f>
        <v>OUT</v>
      </c>
      <c r="D970" s="90" t="e">
        <f>#REF!</f>
        <v>#REF!</v>
      </c>
      <c r="E970" s="97">
        <f>'Danh sách máy'!E1013</f>
        <v>0</v>
      </c>
      <c r="F970" s="206" t="e">
        <f>#REF!</f>
        <v>#REF!</v>
      </c>
      <c r="G970" s="102" t="e">
        <f>#REF!</f>
        <v>#REF!</v>
      </c>
      <c r="H970" s="102" t="e">
        <f>#REF!</f>
        <v>#REF!</v>
      </c>
      <c r="K970" s="210" t="e">
        <f>#REF!</f>
        <v>#REF!</v>
      </c>
      <c r="L970" s="210">
        <v>45239</v>
      </c>
      <c r="M970" s="210"/>
      <c r="N970" s="210">
        <f>'Danh sách máy'!F1013</f>
        <v>0</v>
      </c>
      <c r="O970" s="211" t="str" cm="1">
        <f t="array" ref="O970">IF(L970&lt;&gt;0,IF(L970&lt;I970,"OK","NG"),Blank)</f>
        <v>NG</v>
      </c>
      <c r="P970" s="211" t="e" cm="1">
        <f t="array" ref="P970">IF(M970&lt;&gt;0,IF(M970&lt;J970,"OK","NG"),Blank)</f>
        <v>#NAME?</v>
      </c>
      <c r="Q970" s="211" t="e" cm="1">
        <f t="array" ref="Q970">IF(H970&lt;&gt;"Stop",IF(N970&lt;&gt;0,IF(N970&lt;=K970,"OK","NG"),Blank),"-")</f>
        <v>#REF!</v>
      </c>
      <c r="R970" s="326" t="e" cm="1">
        <f t="array" ref="R970">IF(H970&lt;&gt;"Stop",IF(E970&lt;&gt;0,IF(E970&lt;=K970,"OK","NG"),Blank),"-")</f>
        <v>#REF!</v>
      </c>
    </row>
    <row r="971" spans="1:18" ht="30" hidden="1" x14ac:dyDescent="0.3">
      <c r="A971" s="318" t="e">
        <f>#REF!</f>
        <v>#REF!</v>
      </c>
      <c r="B971" s="305" t="e">
        <f>#REF!</f>
        <v>#REF!</v>
      </c>
      <c r="C971" s="305" t="str">
        <f>'Danh sách máy'!C1014</f>
        <v>OUT</v>
      </c>
      <c r="D971" s="90" t="e">
        <f>#REF!</f>
        <v>#REF!</v>
      </c>
      <c r="E971" s="97">
        <f>'Danh sách máy'!E1014</f>
        <v>0</v>
      </c>
      <c r="F971" s="206" t="e">
        <f>#REF!</f>
        <v>#REF!</v>
      </c>
      <c r="G971" s="102" t="e">
        <f>#REF!</f>
        <v>#REF!</v>
      </c>
      <c r="H971" s="102" t="e">
        <f>#REF!</f>
        <v>#REF!</v>
      </c>
      <c r="K971" s="210" t="e">
        <f>#REF!</f>
        <v>#REF!</v>
      </c>
      <c r="L971" s="210">
        <v>45240</v>
      </c>
      <c r="M971" s="210"/>
      <c r="N971" s="210">
        <f>'Danh sách máy'!F1014</f>
        <v>0</v>
      </c>
      <c r="O971" s="211" t="str" cm="1">
        <f t="array" ref="O971">IF(L971&lt;&gt;0,IF(L971&lt;I971,"OK","NG"),Blank)</f>
        <v>NG</v>
      </c>
      <c r="P971" s="211" t="e" cm="1">
        <f t="array" ref="P971">IF(M971&lt;&gt;0,IF(M971&lt;J971,"OK","NG"),Blank)</f>
        <v>#NAME?</v>
      </c>
      <c r="Q971" s="211" t="e" cm="1">
        <f t="array" ref="Q971">IF(H971&lt;&gt;"Stop",IF(N971&lt;&gt;0,IF(N971&lt;=K971,"OK","NG"),Blank),"-")</f>
        <v>#REF!</v>
      </c>
      <c r="R971" s="326" t="e" cm="1">
        <f t="array" ref="R971">IF(H971&lt;&gt;"Stop",IF(E971&lt;&gt;0,IF(E971&lt;=K971,"OK","NG"),Blank),"-")</f>
        <v>#REF!</v>
      </c>
    </row>
    <row r="972" spans="1:18" ht="30" hidden="1" x14ac:dyDescent="0.3">
      <c r="A972" s="318" t="e">
        <f>#REF!</f>
        <v>#REF!</v>
      </c>
      <c r="B972" s="305" t="e">
        <f>#REF!</f>
        <v>#REF!</v>
      </c>
      <c r="C972" s="305" t="str">
        <f>'Danh sách máy'!C1015</f>
        <v>OUT</v>
      </c>
      <c r="D972" s="90" t="e">
        <f>#REF!</f>
        <v>#REF!</v>
      </c>
      <c r="E972" s="97">
        <f>'Danh sách máy'!E1015</f>
        <v>0</v>
      </c>
      <c r="F972" s="206" t="e">
        <f>#REF!</f>
        <v>#REF!</v>
      </c>
      <c r="G972" s="102" t="e">
        <f>#REF!</f>
        <v>#REF!</v>
      </c>
      <c r="H972" s="102" t="e">
        <f>#REF!</f>
        <v>#REF!</v>
      </c>
      <c r="K972" s="210" t="e">
        <f>#REF!</f>
        <v>#REF!</v>
      </c>
      <c r="L972" s="210">
        <v>45241</v>
      </c>
      <c r="M972" s="210"/>
      <c r="N972" s="210">
        <f>'Danh sách máy'!F1015</f>
        <v>0</v>
      </c>
      <c r="O972" s="211" t="str" cm="1">
        <f t="array" ref="O972">IF(L972&lt;&gt;0,IF(L972&lt;I972,"OK","NG"),Blank)</f>
        <v>NG</v>
      </c>
      <c r="P972" s="211" t="e" cm="1">
        <f t="array" ref="P972">IF(M972&lt;&gt;0,IF(M972&lt;J972,"OK","NG"),Blank)</f>
        <v>#NAME?</v>
      </c>
      <c r="Q972" s="211" t="e" cm="1">
        <f t="array" ref="Q972">IF(H972&lt;&gt;"Stop",IF(N972&lt;&gt;0,IF(N972&lt;=K972,"OK","NG"),Blank),"-")</f>
        <v>#REF!</v>
      </c>
      <c r="R972" s="326" t="e" cm="1">
        <f t="array" ref="R972">IF(H972&lt;&gt;"Stop",IF(E972&lt;&gt;0,IF(E972&lt;=K972,"OK","NG"),Blank),"-")</f>
        <v>#REF!</v>
      </c>
    </row>
    <row r="973" spans="1:18" ht="15" hidden="1" x14ac:dyDescent="0.3">
      <c r="A973" s="318" t="e">
        <f>#REF!</f>
        <v>#REF!</v>
      </c>
      <c r="B973" s="305" t="e">
        <f>#REF!</f>
        <v>#REF!</v>
      </c>
      <c r="C973" s="305" t="str">
        <f>'Danh sách máy'!C1016</f>
        <v>OUT</v>
      </c>
      <c r="D973" s="90" t="e">
        <f>#REF!</f>
        <v>#REF!</v>
      </c>
      <c r="E973" s="97">
        <f>'Danh sách máy'!E1016</f>
        <v>0</v>
      </c>
      <c r="F973" s="206" t="e">
        <f>#REF!</f>
        <v>#REF!</v>
      </c>
      <c r="G973" s="102" t="e">
        <f>#REF!</f>
        <v>#REF!</v>
      </c>
      <c r="H973" s="102" t="e">
        <f>#REF!</f>
        <v>#REF!</v>
      </c>
      <c r="K973" s="210" t="e">
        <f>#REF!</f>
        <v>#REF!</v>
      </c>
      <c r="L973" s="210">
        <v>45242</v>
      </c>
      <c r="M973" s="210"/>
      <c r="N973" s="210">
        <f>'Danh sách máy'!F1016</f>
        <v>0</v>
      </c>
      <c r="O973" s="211" t="str" cm="1">
        <f t="array" ref="O973">IF(L973&lt;&gt;0,IF(L973&lt;I973,"OK","NG"),Blank)</f>
        <v>NG</v>
      </c>
      <c r="P973" s="211" t="e" cm="1">
        <f t="array" ref="P973">IF(M973&lt;&gt;0,IF(M973&lt;J973,"OK","NG"),Blank)</f>
        <v>#NAME?</v>
      </c>
      <c r="Q973" s="211" t="e" cm="1">
        <f t="array" ref="Q973">IF(H973&lt;&gt;"Stop",IF(N973&lt;&gt;0,IF(N973&lt;=K973,"OK","NG"),Blank),"-")</f>
        <v>#REF!</v>
      </c>
      <c r="R973" s="326" t="e" cm="1">
        <f t="array" ref="R973">IF(H973&lt;&gt;"Stop",IF(E973&lt;&gt;0,IF(E973&lt;=K973,"OK","NG"),Blank),"-")</f>
        <v>#REF!</v>
      </c>
    </row>
    <row r="974" spans="1:18" ht="30" hidden="1" x14ac:dyDescent="0.3">
      <c r="A974" s="318" t="e">
        <f>#REF!</f>
        <v>#REF!</v>
      </c>
      <c r="B974" s="305" t="e">
        <f>#REF!</f>
        <v>#REF!</v>
      </c>
      <c r="C974" s="305" t="str">
        <f>'Danh sách máy'!C1017</f>
        <v>OUT</v>
      </c>
      <c r="D974" s="90" t="e">
        <f>#REF!</f>
        <v>#REF!</v>
      </c>
      <c r="E974" s="97">
        <f>'Danh sách máy'!E1017</f>
        <v>0</v>
      </c>
      <c r="F974" s="206" t="e">
        <f>#REF!</f>
        <v>#REF!</v>
      </c>
      <c r="G974" s="102" t="e">
        <f>#REF!</f>
        <v>#REF!</v>
      </c>
      <c r="H974" s="102" t="e">
        <f>#REF!</f>
        <v>#REF!</v>
      </c>
      <c r="K974" s="210" t="e">
        <f>#REF!</f>
        <v>#REF!</v>
      </c>
      <c r="L974" s="210">
        <v>45243</v>
      </c>
      <c r="M974" s="210"/>
      <c r="N974" s="210">
        <f>'Danh sách máy'!F1017</f>
        <v>0</v>
      </c>
      <c r="O974" s="211" t="str" cm="1">
        <f t="array" ref="O974">IF(L974&lt;&gt;0,IF(L974&lt;I974,"OK","NG"),Blank)</f>
        <v>NG</v>
      </c>
      <c r="P974" s="211" t="e" cm="1">
        <f t="array" ref="P974">IF(M974&lt;&gt;0,IF(M974&lt;J974,"OK","NG"),Blank)</f>
        <v>#NAME?</v>
      </c>
      <c r="Q974" s="211" t="e" cm="1">
        <f t="array" ref="Q974">IF(H974&lt;&gt;"Stop",IF(N974&lt;&gt;0,IF(N974&lt;=K974,"OK","NG"),Blank),"-")</f>
        <v>#REF!</v>
      </c>
      <c r="R974" s="326" t="e" cm="1">
        <f t="array" ref="R974">IF(H974&lt;&gt;"Stop",IF(E974&lt;&gt;0,IF(E974&lt;=K974,"OK","NG"),Blank),"-")</f>
        <v>#REF!</v>
      </c>
    </row>
    <row r="975" spans="1:18" ht="30" hidden="1" x14ac:dyDescent="0.3">
      <c r="A975" s="318" t="e">
        <f>#REF!</f>
        <v>#REF!</v>
      </c>
      <c r="B975" s="305" t="e">
        <f>#REF!</f>
        <v>#REF!</v>
      </c>
      <c r="C975" s="305" t="str">
        <f>'Danh sách máy'!C1018</f>
        <v>OUT</v>
      </c>
      <c r="D975" s="90" t="e">
        <f>#REF!</f>
        <v>#REF!</v>
      </c>
      <c r="E975" s="97">
        <f>'Danh sách máy'!E1018</f>
        <v>0</v>
      </c>
      <c r="F975" s="206" t="e">
        <f>#REF!</f>
        <v>#REF!</v>
      </c>
      <c r="G975" s="102" t="e">
        <f>#REF!</f>
        <v>#REF!</v>
      </c>
      <c r="H975" s="102" t="e">
        <f>#REF!</f>
        <v>#REF!</v>
      </c>
      <c r="K975" s="210" t="e">
        <f>#REF!</f>
        <v>#REF!</v>
      </c>
      <c r="L975" s="210">
        <v>45244</v>
      </c>
      <c r="M975" s="210"/>
      <c r="N975" s="210">
        <f>'Danh sách máy'!F1018</f>
        <v>0</v>
      </c>
      <c r="O975" s="211" t="str" cm="1">
        <f t="array" ref="O975">IF(L975&lt;&gt;0,IF(L975&lt;I975,"OK","NG"),Blank)</f>
        <v>NG</v>
      </c>
      <c r="P975" s="211" t="e" cm="1">
        <f t="array" ref="P975">IF(M975&lt;&gt;0,IF(M975&lt;J975,"OK","NG"),Blank)</f>
        <v>#NAME?</v>
      </c>
      <c r="Q975" s="211" t="e" cm="1">
        <f t="array" ref="Q975">IF(H975&lt;&gt;"Stop",IF(N975&lt;&gt;0,IF(N975&lt;=K975,"OK","NG"),Blank),"-")</f>
        <v>#REF!</v>
      </c>
      <c r="R975" s="326" t="e" cm="1">
        <f t="array" ref="R975">IF(H975&lt;&gt;"Stop",IF(E975&lt;&gt;0,IF(E975&lt;=K975,"OK","NG"),Blank),"-")</f>
        <v>#REF!</v>
      </c>
    </row>
    <row r="976" spans="1:18" ht="15" hidden="1" x14ac:dyDescent="0.3">
      <c r="A976" s="318" t="e">
        <f>#REF!</f>
        <v>#REF!</v>
      </c>
      <c r="B976" s="305" t="e">
        <f>#REF!</f>
        <v>#REF!</v>
      </c>
      <c r="C976" s="305" t="str">
        <f>'Danh sách máy'!C1019</f>
        <v>OUT</v>
      </c>
      <c r="D976" s="90" t="e">
        <f>#REF!</f>
        <v>#REF!</v>
      </c>
      <c r="E976" s="97">
        <f>'Danh sách máy'!E1019</f>
        <v>0</v>
      </c>
      <c r="F976" s="206" t="e">
        <f>#REF!</f>
        <v>#REF!</v>
      </c>
      <c r="G976" s="102" t="e">
        <f>#REF!</f>
        <v>#REF!</v>
      </c>
      <c r="H976" s="102" t="e">
        <f>#REF!</f>
        <v>#REF!</v>
      </c>
      <c r="K976" s="210" t="e">
        <f>#REF!</f>
        <v>#REF!</v>
      </c>
      <c r="L976" s="210">
        <v>45245</v>
      </c>
      <c r="M976" s="210"/>
      <c r="N976" s="210">
        <f>'Danh sách máy'!F1019</f>
        <v>0</v>
      </c>
      <c r="O976" s="211" t="str" cm="1">
        <f t="array" ref="O976">IF(L976&lt;&gt;0,IF(L976&lt;I976,"OK","NG"),Blank)</f>
        <v>NG</v>
      </c>
      <c r="P976" s="211" t="e" cm="1">
        <f t="array" ref="P976">IF(M976&lt;&gt;0,IF(M976&lt;J976,"OK","NG"),Blank)</f>
        <v>#NAME?</v>
      </c>
      <c r="Q976" s="211" t="e" cm="1">
        <f t="array" ref="Q976">IF(H976&lt;&gt;"Stop",IF(N976&lt;&gt;0,IF(N976&lt;=K976,"OK","NG"),Blank),"-")</f>
        <v>#REF!</v>
      </c>
      <c r="R976" s="326" t="e" cm="1">
        <f t="array" ref="R976">IF(H976&lt;&gt;"Stop",IF(E976&lt;&gt;0,IF(E976&lt;=K976,"OK","NG"),Blank),"-")</f>
        <v>#REF!</v>
      </c>
    </row>
    <row r="977" spans="1:18" ht="30" hidden="1" x14ac:dyDescent="0.3">
      <c r="A977" s="318" t="e">
        <f>#REF!</f>
        <v>#REF!</v>
      </c>
      <c r="B977" s="305" t="e">
        <f>#REF!</f>
        <v>#REF!</v>
      </c>
      <c r="C977" s="305" t="str">
        <f>'Danh sách máy'!C1020</f>
        <v>OUT</v>
      </c>
      <c r="D977" s="90" t="e">
        <f>#REF!</f>
        <v>#REF!</v>
      </c>
      <c r="E977" s="97">
        <f>'Danh sách máy'!E1020</f>
        <v>0</v>
      </c>
      <c r="F977" s="206" t="e">
        <f>#REF!</f>
        <v>#REF!</v>
      </c>
      <c r="G977" s="102" t="e">
        <f>#REF!</f>
        <v>#REF!</v>
      </c>
      <c r="H977" s="102" t="e">
        <f>#REF!</f>
        <v>#REF!</v>
      </c>
      <c r="K977" s="210" t="e">
        <f>#REF!</f>
        <v>#REF!</v>
      </c>
      <c r="L977" s="210">
        <v>45246</v>
      </c>
      <c r="M977" s="210"/>
      <c r="N977" s="210">
        <f>'Danh sách máy'!F1020</f>
        <v>0</v>
      </c>
      <c r="O977" s="211" t="str" cm="1">
        <f t="array" ref="O977">IF(L977&lt;&gt;0,IF(L977&lt;I977,"OK","NG"),Blank)</f>
        <v>NG</v>
      </c>
      <c r="P977" s="211" t="e" cm="1">
        <f t="array" ref="P977">IF(M977&lt;&gt;0,IF(M977&lt;J977,"OK","NG"),Blank)</f>
        <v>#NAME?</v>
      </c>
      <c r="Q977" s="211" t="e" cm="1">
        <f t="array" ref="Q977">IF(H977&lt;&gt;"Stop",IF(N977&lt;&gt;0,IF(N977&lt;=K977,"OK","NG"),Blank),"-")</f>
        <v>#REF!</v>
      </c>
      <c r="R977" s="326" t="e" cm="1">
        <f t="array" ref="R977">IF(H977&lt;&gt;"Stop",IF(E977&lt;&gt;0,IF(E977&lt;=K977,"OK","NG"),Blank),"-")</f>
        <v>#REF!</v>
      </c>
    </row>
    <row r="978" spans="1:18" ht="15" hidden="1" x14ac:dyDescent="0.3">
      <c r="A978" s="318" t="e">
        <f>#REF!</f>
        <v>#REF!</v>
      </c>
      <c r="B978" s="305" t="e">
        <f>#REF!</f>
        <v>#REF!</v>
      </c>
      <c r="C978" s="305" t="str">
        <f>'Danh sách máy'!C1021</f>
        <v>OUT</v>
      </c>
      <c r="D978" s="90" t="e">
        <f>#REF!</f>
        <v>#REF!</v>
      </c>
      <c r="E978" s="97">
        <f>'Danh sách máy'!E1021</f>
        <v>0</v>
      </c>
      <c r="F978" s="206" t="e">
        <f>#REF!</f>
        <v>#REF!</v>
      </c>
      <c r="G978" s="102" t="e">
        <f>#REF!</f>
        <v>#REF!</v>
      </c>
      <c r="H978" s="102" t="e">
        <f>#REF!</f>
        <v>#REF!</v>
      </c>
      <c r="K978" s="210" t="e">
        <f>#REF!</f>
        <v>#REF!</v>
      </c>
      <c r="L978" s="210">
        <v>45247</v>
      </c>
      <c r="M978" s="210"/>
      <c r="N978" s="210">
        <f>'Danh sách máy'!F1021</f>
        <v>0</v>
      </c>
      <c r="O978" s="211" t="str" cm="1">
        <f t="array" ref="O978">IF(L978&lt;&gt;0,IF(L978&lt;I978,"OK","NG"),Blank)</f>
        <v>NG</v>
      </c>
      <c r="P978" s="211" t="e" cm="1">
        <f t="array" ref="P978">IF(M978&lt;&gt;0,IF(M978&lt;J978,"OK","NG"),Blank)</f>
        <v>#NAME?</v>
      </c>
      <c r="Q978" s="211" t="e" cm="1">
        <f t="array" ref="Q978">IF(H978&lt;&gt;"Stop",IF(N978&lt;&gt;0,IF(N978&lt;=K978,"OK","NG"),Blank),"-")</f>
        <v>#REF!</v>
      </c>
      <c r="R978" s="326" t="e" cm="1">
        <f t="array" ref="R978">IF(H978&lt;&gt;"Stop",IF(E978&lt;&gt;0,IF(E978&lt;=K978,"OK","NG"),Blank),"-")</f>
        <v>#REF!</v>
      </c>
    </row>
    <row r="979" spans="1:18" ht="15" hidden="1" x14ac:dyDescent="0.3">
      <c r="A979" s="318" t="e">
        <f>#REF!</f>
        <v>#REF!</v>
      </c>
      <c r="B979" s="305" t="e">
        <f>#REF!</f>
        <v>#REF!</v>
      </c>
      <c r="C979" s="305" t="str">
        <f>'Danh sách máy'!C1022</f>
        <v>OUT</v>
      </c>
      <c r="D979" s="90" t="e">
        <f>#REF!</f>
        <v>#REF!</v>
      </c>
      <c r="E979" s="97">
        <f>'Danh sách máy'!E1022</f>
        <v>0</v>
      </c>
      <c r="F979" s="206" t="e">
        <f>#REF!</f>
        <v>#REF!</v>
      </c>
      <c r="G979" s="102" t="e">
        <f>#REF!</f>
        <v>#REF!</v>
      </c>
      <c r="H979" s="102" t="e">
        <f>#REF!</f>
        <v>#REF!</v>
      </c>
      <c r="K979" s="210" t="e">
        <f>#REF!</f>
        <v>#REF!</v>
      </c>
      <c r="L979" s="210">
        <v>45248</v>
      </c>
      <c r="M979" s="210"/>
      <c r="N979" s="210">
        <f>'Danh sách máy'!F1022</f>
        <v>0</v>
      </c>
      <c r="O979" s="211" t="str" cm="1">
        <f t="array" ref="O979">IF(L979&lt;&gt;0,IF(L979&lt;I979,"OK","NG"),Blank)</f>
        <v>NG</v>
      </c>
      <c r="P979" s="211" t="e" cm="1">
        <f t="array" ref="P979">IF(M979&lt;&gt;0,IF(M979&lt;J979,"OK","NG"),Blank)</f>
        <v>#NAME?</v>
      </c>
      <c r="Q979" s="211" t="e" cm="1">
        <f t="array" ref="Q979">IF(H979&lt;&gt;"Stop",IF(N979&lt;&gt;0,IF(N979&lt;=K979,"OK","NG"),Blank),"-")</f>
        <v>#REF!</v>
      </c>
      <c r="R979" s="326" t="e" cm="1">
        <f t="array" ref="R979">IF(H979&lt;&gt;"Stop",IF(E979&lt;&gt;0,IF(E979&lt;=K979,"OK","NG"),Blank),"-")</f>
        <v>#REF!</v>
      </c>
    </row>
    <row r="980" spans="1:18" ht="15" hidden="1" x14ac:dyDescent="0.3">
      <c r="A980" s="318" t="e">
        <f>#REF!</f>
        <v>#REF!</v>
      </c>
      <c r="B980" s="305" t="e">
        <f>#REF!</f>
        <v>#REF!</v>
      </c>
      <c r="C980" s="305" t="str">
        <f>'Danh sách máy'!C1023</f>
        <v>OUT</v>
      </c>
      <c r="D980" s="90" t="e">
        <f>#REF!</f>
        <v>#REF!</v>
      </c>
      <c r="E980" s="97">
        <f>'Danh sách máy'!E1023</f>
        <v>0</v>
      </c>
      <c r="F980" s="206" t="e">
        <f>#REF!</f>
        <v>#REF!</v>
      </c>
      <c r="G980" s="102" t="e">
        <f>#REF!</f>
        <v>#REF!</v>
      </c>
      <c r="H980" s="102" t="e">
        <f>#REF!</f>
        <v>#REF!</v>
      </c>
      <c r="K980" s="210" t="e">
        <f>#REF!</f>
        <v>#REF!</v>
      </c>
      <c r="L980" s="210">
        <v>45249</v>
      </c>
      <c r="M980" s="210"/>
      <c r="N980" s="210">
        <f>'Danh sách máy'!F1023</f>
        <v>0</v>
      </c>
      <c r="O980" s="211" t="str" cm="1">
        <f t="array" ref="O980">IF(L980&lt;&gt;0,IF(L980&lt;I980,"OK","NG"),Blank)</f>
        <v>NG</v>
      </c>
      <c r="P980" s="211" t="e" cm="1">
        <f t="array" ref="P980">IF(M980&lt;&gt;0,IF(M980&lt;J980,"OK","NG"),Blank)</f>
        <v>#NAME?</v>
      </c>
      <c r="Q980" s="211" t="e" cm="1">
        <f t="array" ref="Q980">IF(H980&lt;&gt;"Stop",IF(N980&lt;&gt;0,IF(N980&lt;=K980,"OK","NG"),Blank),"-")</f>
        <v>#REF!</v>
      </c>
      <c r="R980" s="326" t="e" cm="1">
        <f t="array" ref="R980">IF(H980&lt;&gt;"Stop",IF(E980&lt;&gt;0,IF(E980&lt;=K980,"OK","NG"),Blank),"-")</f>
        <v>#REF!</v>
      </c>
    </row>
    <row r="981" spans="1:18" ht="15" hidden="1" x14ac:dyDescent="0.3">
      <c r="A981" s="318" t="e">
        <f>#REF!</f>
        <v>#REF!</v>
      </c>
      <c r="B981" s="305" t="e">
        <f>#REF!</f>
        <v>#REF!</v>
      </c>
      <c r="C981" s="305" t="str">
        <f>'Danh sách máy'!C1024</f>
        <v>OUT</v>
      </c>
      <c r="D981" s="90" t="e">
        <f>#REF!</f>
        <v>#REF!</v>
      </c>
      <c r="E981" s="97">
        <f>'Danh sách máy'!E1024</f>
        <v>0</v>
      </c>
      <c r="F981" s="206" t="e">
        <f>#REF!</f>
        <v>#REF!</v>
      </c>
      <c r="G981" s="102" t="e">
        <f>#REF!</f>
        <v>#REF!</v>
      </c>
      <c r="H981" s="102" t="e">
        <f>#REF!</f>
        <v>#REF!</v>
      </c>
      <c r="K981" s="210" t="e">
        <f>#REF!</f>
        <v>#REF!</v>
      </c>
      <c r="L981" s="210">
        <v>45250</v>
      </c>
      <c r="M981" s="210"/>
      <c r="N981" s="210">
        <f>'Danh sách máy'!F1024</f>
        <v>0</v>
      </c>
      <c r="O981" s="211" t="str" cm="1">
        <f t="array" ref="O981">IF(L981&lt;&gt;0,IF(L981&lt;I981,"OK","NG"),Blank)</f>
        <v>NG</v>
      </c>
      <c r="P981" s="211" t="e" cm="1">
        <f t="array" ref="P981">IF(M981&lt;&gt;0,IF(M981&lt;J981,"OK","NG"),Blank)</f>
        <v>#NAME?</v>
      </c>
      <c r="Q981" s="211" t="e" cm="1">
        <f t="array" ref="Q981">IF(H981&lt;&gt;"Stop",IF(N981&lt;&gt;0,IF(N981&lt;=K981,"OK","NG"),Blank),"-")</f>
        <v>#REF!</v>
      </c>
      <c r="R981" s="326" t="e" cm="1">
        <f t="array" ref="R981">IF(H981&lt;&gt;"Stop",IF(E981&lt;&gt;0,IF(E981&lt;=K981,"OK","NG"),Blank),"-")</f>
        <v>#REF!</v>
      </c>
    </row>
    <row r="982" spans="1:18" ht="15" hidden="1" x14ac:dyDescent="0.3">
      <c r="A982" s="318" t="e">
        <f>#REF!</f>
        <v>#REF!</v>
      </c>
      <c r="B982" s="305" t="e">
        <f>#REF!</f>
        <v>#REF!</v>
      </c>
      <c r="C982" s="305" t="str">
        <f>'Danh sách máy'!C1025</f>
        <v>OUT</v>
      </c>
      <c r="D982" s="90" t="e">
        <f>#REF!</f>
        <v>#REF!</v>
      </c>
      <c r="E982" s="97">
        <f>'Danh sách máy'!E1025</f>
        <v>0</v>
      </c>
      <c r="F982" s="206" t="e">
        <f>#REF!</f>
        <v>#REF!</v>
      </c>
      <c r="G982" s="102" t="e">
        <f>#REF!</f>
        <v>#REF!</v>
      </c>
      <c r="H982" s="102" t="e">
        <f>#REF!</f>
        <v>#REF!</v>
      </c>
      <c r="K982" s="210" t="e">
        <f>#REF!</f>
        <v>#REF!</v>
      </c>
      <c r="L982" s="210">
        <v>45251</v>
      </c>
      <c r="M982" s="210"/>
      <c r="N982" s="210">
        <f>'Danh sách máy'!F1025</f>
        <v>0</v>
      </c>
      <c r="O982" s="211" t="str" cm="1">
        <f t="array" ref="O982">IF(L982&lt;&gt;0,IF(L982&lt;I982,"OK","NG"),Blank)</f>
        <v>NG</v>
      </c>
      <c r="P982" s="211" t="e" cm="1">
        <f t="array" ref="P982">IF(M982&lt;&gt;0,IF(M982&lt;J982,"OK","NG"),Blank)</f>
        <v>#NAME?</v>
      </c>
      <c r="Q982" s="211" t="e" cm="1">
        <f t="array" ref="Q982">IF(H982&lt;&gt;"Stop",IF(N982&lt;&gt;0,IF(N982&lt;=K982,"OK","NG"),Blank),"-")</f>
        <v>#REF!</v>
      </c>
      <c r="R982" s="326" t="e" cm="1">
        <f t="array" ref="R982">IF(H982&lt;&gt;"Stop",IF(E982&lt;&gt;0,IF(E982&lt;=K982,"OK","NG"),Blank),"-")</f>
        <v>#REF!</v>
      </c>
    </row>
    <row r="983" spans="1:18" ht="15" hidden="1" x14ac:dyDescent="0.3">
      <c r="A983" s="318" t="e">
        <f>#REF!</f>
        <v>#REF!</v>
      </c>
      <c r="B983" s="305" t="e">
        <f>#REF!</f>
        <v>#REF!</v>
      </c>
      <c r="C983" s="305" t="str">
        <f>'Danh sách máy'!C1026</f>
        <v>OUT</v>
      </c>
      <c r="D983" s="90" t="e">
        <f>#REF!</f>
        <v>#REF!</v>
      </c>
      <c r="E983" s="97">
        <f>'Danh sách máy'!E1026</f>
        <v>0</v>
      </c>
      <c r="F983" s="206" t="e">
        <f>#REF!</f>
        <v>#REF!</v>
      </c>
      <c r="G983" s="102" t="e">
        <f>#REF!</f>
        <v>#REF!</v>
      </c>
      <c r="H983" s="102" t="e">
        <f>#REF!</f>
        <v>#REF!</v>
      </c>
      <c r="K983" s="210" t="e">
        <f>#REF!</f>
        <v>#REF!</v>
      </c>
      <c r="L983" s="210">
        <v>45252</v>
      </c>
      <c r="M983" s="210"/>
      <c r="N983" s="210">
        <f>'Danh sách máy'!F1026</f>
        <v>0</v>
      </c>
      <c r="O983" s="211" t="str" cm="1">
        <f t="array" ref="O983">IF(L983&lt;&gt;0,IF(L983&lt;I983,"OK","NG"),Blank)</f>
        <v>NG</v>
      </c>
      <c r="P983" s="211" t="e" cm="1">
        <f t="array" ref="P983">IF(M983&lt;&gt;0,IF(M983&lt;J983,"OK","NG"),Blank)</f>
        <v>#NAME?</v>
      </c>
      <c r="Q983" s="211" t="e" cm="1">
        <f t="array" ref="Q983">IF(H983&lt;&gt;"Stop",IF(N983&lt;&gt;0,IF(N983&lt;=K983,"OK","NG"),Blank),"-")</f>
        <v>#REF!</v>
      </c>
      <c r="R983" s="326" t="e" cm="1">
        <f t="array" ref="R983">IF(H983&lt;&gt;"Stop",IF(E983&lt;&gt;0,IF(E983&lt;=K983,"OK","NG"),Blank),"-")</f>
        <v>#REF!</v>
      </c>
    </row>
    <row r="984" spans="1:18" ht="15" hidden="1" x14ac:dyDescent="0.3">
      <c r="A984" s="318" t="e">
        <f>#REF!</f>
        <v>#REF!</v>
      </c>
      <c r="B984" s="305" t="e">
        <f>#REF!</f>
        <v>#REF!</v>
      </c>
      <c r="C984" s="305" t="str">
        <f>'Danh sách máy'!C1027</f>
        <v>OUT</v>
      </c>
      <c r="D984" s="90" t="e">
        <f>#REF!</f>
        <v>#REF!</v>
      </c>
      <c r="E984" s="97">
        <f>'Danh sách máy'!E1027</f>
        <v>0</v>
      </c>
      <c r="F984" s="206" t="e">
        <f>#REF!</f>
        <v>#REF!</v>
      </c>
      <c r="G984" s="102" t="e">
        <f>#REF!</f>
        <v>#REF!</v>
      </c>
      <c r="H984" s="102" t="e">
        <f>#REF!</f>
        <v>#REF!</v>
      </c>
      <c r="K984" s="210" t="e">
        <f>#REF!</f>
        <v>#REF!</v>
      </c>
      <c r="L984" s="210">
        <v>45253</v>
      </c>
      <c r="M984" s="210"/>
      <c r="N984" s="210">
        <f>'Danh sách máy'!F1027</f>
        <v>0</v>
      </c>
      <c r="O984" s="211" t="str" cm="1">
        <f t="array" ref="O984">IF(L984&lt;&gt;0,IF(L984&lt;I984,"OK","NG"),Blank)</f>
        <v>NG</v>
      </c>
      <c r="P984" s="211" t="e" cm="1">
        <f t="array" ref="P984">IF(M984&lt;&gt;0,IF(M984&lt;J984,"OK","NG"),Blank)</f>
        <v>#NAME?</v>
      </c>
      <c r="Q984" s="211" t="e" cm="1">
        <f t="array" ref="Q984">IF(H984&lt;&gt;"Stop",IF(N984&lt;&gt;0,IF(N984&lt;=K984,"OK","NG"),Blank),"-")</f>
        <v>#REF!</v>
      </c>
      <c r="R984" s="326" t="e" cm="1">
        <f t="array" ref="R984">IF(H984&lt;&gt;"Stop",IF(E984&lt;&gt;0,IF(E984&lt;=K984,"OK","NG"),Blank),"-")</f>
        <v>#REF!</v>
      </c>
    </row>
    <row r="985" spans="1:18" ht="15" hidden="1" x14ac:dyDescent="0.3">
      <c r="A985" s="318" t="e">
        <f>#REF!</f>
        <v>#REF!</v>
      </c>
      <c r="B985" s="305" t="e">
        <f>#REF!</f>
        <v>#REF!</v>
      </c>
      <c r="C985" s="305" t="str">
        <f>'Danh sách máy'!C1028</f>
        <v>OUT</v>
      </c>
      <c r="D985" s="90" t="e">
        <f>#REF!</f>
        <v>#REF!</v>
      </c>
      <c r="E985" s="97">
        <f>'Danh sách máy'!E1028</f>
        <v>0</v>
      </c>
      <c r="F985" s="206" t="e">
        <f>#REF!</f>
        <v>#REF!</v>
      </c>
      <c r="G985" s="102" t="e">
        <f>#REF!</f>
        <v>#REF!</v>
      </c>
      <c r="H985" s="102" t="e">
        <f>#REF!</f>
        <v>#REF!</v>
      </c>
      <c r="K985" s="210" t="e">
        <f>#REF!</f>
        <v>#REF!</v>
      </c>
      <c r="L985" s="210">
        <v>45254</v>
      </c>
      <c r="M985" s="210"/>
      <c r="N985" s="210">
        <f>'Danh sách máy'!F1028</f>
        <v>0</v>
      </c>
      <c r="O985" s="211" t="str" cm="1">
        <f t="array" ref="O985">IF(L985&lt;&gt;0,IF(L985&lt;I985,"OK","NG"),Blank)</f>
        <v>NG</v>
      </c>
      <c r="P985" s="211" t="e" cm="1">
        <f t="array" ref="P985">IF(M985&lt;&gt;0,IF(M985&lt;J985,"OK","NG"),Blank)</f>
        <v>#NAME?</v>
      </c>
      <c r="Q985" s="211" t="e" cm="1">
        <f t="array" ref="Q985">IF(H985&lt;&gt;"Stop",IF(N985&lt;&gt;0,IF(N985&lt;=K985,"OK","NG"),Blank),"-")</f>
        <v>#REF!</v>
      </c>
      <c r="R985" s="326" t="e" cm="1">
        <f t="array" ref="R985">IF(H985&lt;&gt;"Stop",IF(E985&lt;&gt;0,IF(E985&lt;=K985,"OK","NG"),Blank),"-")</f>
        <v>#REF!</v>
      </c>
    </row>
    <row r="986" spans="1:18" ht="15" hidden="1" x14ac:dyDescent="0.3">
      <c r="A986" s="318" t="e">
        <f>#REF!</f>
        <v>#REF!</v>
      </c>
      <c r="B986" s="305" t="e">
        <f>#REF!</f>
        <v>#REF!</v>
      </c>
      <c r="C986" s="305" t="str">
        <f>'Danh sách máy'!C1029</f>
        <v>OUT</v>
      </c>
      <c r="D986" s="90" t="e">
        <f>#REF!</f>
        <v>#REF!</v>
      </c>
      <c r="E986" s="97">
        <f>'Danh sách máy'!E1029</f>
        <v>0</v>
      </c>
      <c r="F986" s="206" t="e">
        <f>#REF!</f>
        <v>#REF!</v>
      </c>
      <c r="G986" s="102" t="e">
        <f>#REF!</f>
        <v>#REF!</v>
      </c>
      <c r="H986" s="102" t="e">
        <f>#REF!</f>
        <v>#REF!</v>
      </c>
      <c r="K986" s="210" t="e">
        <f>#REF!</f>
        <v>#REF!</v>
      </c>
      <c r="L986" s="210">
        <v>45255</v>
      </c>
      <c r="M986" s="210"/>
      <c r="N986" s="210">
        <f>'Danh sách máy'!F1029</f>
        <v>0</v>
      </c>
      <c r="O986" s="211" t="str" cm="1">
        <f t="array" ref="O986">IF(L986&lt;&gt;0,IF(L986&lt;I986,"OK","NG"),Blank)</f>
        <v>NG</v>
      </c>
      <c r="P986" s="211" t="e" cm="1">
        <f t="array" ref="P986">IF(M986&lt;&gt;0,IF(M986&lt;J986,"OK","NG"),Blank)</f>
        <v>#NAME?</v>
      </c>
      <c r="Q986" s="211" t="e" cm="1">
        <f t="array" ref="Q986">IF(H986&lt;&gt;"Stop",IF(N986&lt;&gt;0,IF(N986&lt;=K986,"OK","NG"),Blank),"-")</f>
        <v>#REF!</v>
      </c>
      <c r="R986" s="326" t="e" cm="1">
        <f t="array" ref="R986">IF(H986&lt;&gt;"Stop",IF(E986&lt;&gt;0,IF(E986&lt;=K986,"OK","NG"),Blank),"-")</f>
        <v>#REF!</v>
      </c>
    </row>
    <row r="987" spans="1:18" ht="15" hidden="1" x14ac:dyDescent="0.3">
      <c r="A987" s="318" t="e">
        <f>#REF!</f>
        <v>#REF!</v>
      </c>
      <c r="B987" s="305" t="e">
        <f>#REF!</f>
        <v>#REF!</v>
      </c>
      <c r="C987" s="305" t="str">
        <f>'Danh sách máy'!C1030</f>
        <v>OUT</v>
      </c>
      <c r="D987" s="90" t="e">
        <f>#REF!</f>
        <v>#REF!</v>
      </c>
      <c r="E987" s="97">
        <f>'Danh sách máy'!E1030</f>
        <v>0</v>
      </c>
      <c r="F987" s="206" t="e">
        <f>#REF!</f>
        <v>#REF!</v>
      </c>
      <c r="G987" s="102" t="e">
        <f>#REF!</f>
        <v>#REF!</v>
      </c>
      <c r="H987" s="102" t="e">
        <f>#REF!</f>
        <v>#REF!</v>
      </c>
      <c r="K987" s="210" t="e">
        <f>#REF!</f>
        <v>#REF!</v>
      </c>
      <c r="L987" s="210">
        <v>45256</v>
      </c>
      <c r="M987" s="210"/>
      <c r="N987" s="210">
        <f>'Danh sách máy'!F1030</f>
        <v>0</v>
      </c>
      <c r="O987" s="211" t="str" cm="1">
        <f t="array" ref="O987">IF(L987&lt;&gt;0,IF(L987&lt;I987,"OK","NG"),Blank)</f>
        <v>NG</v>
      </c>
      <c r="P987" s="211" t="e" cm="1">
        <f t="array" ref="P987">IF(M987&lt;&gt;0,IF(M987&lt;J987,"OK","NG"),Blank)</f>
        <v>#NAME?</v>
      </c>
      <c r="Q987" s="211" t="e" cm="1">
        <f t="array" ref="Q987">IF(H987&lt;&gt;"Stop",IF(N987&lt;&gt;0,IF(N987&lt;=K987,"OK","NG"),Blank),"-")</f>
        <v>#REF!</v>
      </c>
      <c r="R987" s="326" t="e" cm="1">
        <f t="array" ref="R987">IF(H987&lt;&gt;"Stop",IF(E987&lt;&gt;0,IF(E987&lt;=K987,"OK","NG"),Blank),"-")</f>
        <v>#REF!</v>
      </c>
    </row>
    <row r="988" spans="1:18" ht="15" hidden="1" x14ac:dyDescent="0.3">
      <c r="A988" s="318" t="e">
        <f>#REF!</f>
        <v>#REF!</v>
      </c>
      <c r="B988" s="305" t="e">
        <f>#REF!</f>
        <v>#REF!</v>
      </c>
      <c r="C988" s="305" t="str">
        <f>'Danh sách máy'!C1031</f>
        <v>OUT</v>
      </c>
      <c r="D988" s="90" t="e">
        <f>#REF!</f>
        <v>#REF!</v>
      </c>
      <c r="E988" s="97">
        <f>'Danh sách máy'!E1031</f>
        <v>0</v>
      </c>
      <c r="F988" s="206" t="e">
        <f>#REF!</f>
        <v>#REF!</v>
      </c>
      <c r="G988" s="102" t="e">
        <f>#REF!</f>
        <v>#REF!</v>
      </c>
      <c r="H988" s="102" t="e">
        <f>#REF!</f>
        <v>#REF!</v>
      </c>
      <c r="K988" s="210" t="e">
        <f>#REF!</f>
        <v>#REF!</v>
      </c>
      <c r="L988" s="210">
        <v>45257</v>
      </c>
      <c r="M988" s="210"/>
      <c r="N988" s="210">
        <f>'Danh sách máy'!F1031</f>
        <v>0</v>
      </c>
      <c r="O988" s="211" t="str" cm="1">
        <f t="array" ref="O988">IF(L988&lt;&gt;0,IF(L988&lt;I988,"OK","NG"),Blank)</f>
        <v>NG</v>
      </c>
      <c r="P988" s="211" t="e" cm="1">
        <f t="array" ref="P988">IF(M988&lt;&gt;0,IF(M988&lt;J988,"OK","NG"),Blank)</f>
        <v>#NAME?</v>
      </c>
      <c r="Q988" s="211" t="e" cm="1">
        <f t="array" ref="Q988">IF(H988&lt;&gt;"Stop",IF(N988&lt;&gt;0,IF(N988&lt;=K988,"OK","NG"),Blank),"-")</f>
        <v>#REF!</v>
      </c>
      <c r="R988" s="326" t="e" cm="1">
        <f t="array" ref="R988">IF(H988&lt;&gt;"Stop",IF(E988&lt;&gt;0,IF(E988&lt;=K988,"OK","NG"),Blank),"-")</f>
        <v>#REF!</v>
      </c>
    </row>
    <row r="989" spans="1:18" ht="15" hidden="1" x14ac:dyDescent="0.3">
      <c r="A989" s="318" t="e">
        <f>#REF!</f>
        <v>#REF!</v>
      </c>
      <c r="B989" s="305" t="e">
        <f>#REF!</f>
        <v>#REF!</v>
      </c>
      <c r="C989" s="305" t="str">
        <f>'Danh sách máy'!C1032</f>
        <v>OUT</v>
      </c>
      <c r="D989" s="90" t="e">
        <f>#REF!</f>
        <v>#REF!</v>
      </c>
      <c r="E989" s="97">
        <f>'Danh sách máy'!E1032</f>
        <v>0</v>
      </c>
      <c r="F989" s="206" t="e">
        <f>#REF!</f>
        <v>#REF!</v>
      </c>
      <c r="G989" s="102" t="e">
        <f>#REF!</f>
        <v>#REF!</v>
      </c>
      <c r="H989" s="102" t="e">
        <f>#REF!</f>
        <v>#REF!</v>
      </c>
      <c r="K989" s="210" t="e">
        <f>#REF!</f>
        <v>#REF!</v>
      </c>
      <c r="L989" s="210">
        <v>45258</v>
      </c>
      <c r="M989" s="210"/>
      <c r="N989" s="210">
        <f>'Danh sách máy'!F1032</f>
        <v>0</v>
      </c>
      <c r="O989" s="211" t="str" cm="1">
        <f t="array" ref="O989">IF(L989&lt;&gt;0,IF(L989&lt;I989,"OK","NG"),Blank)</f>
        <v>NG</v>
      </c>
      <c r="P989" s="211" t="e" cm="1">
        <f t="array" ref="P989">IF(M989&lt;&gt;0,IF(M989&lt;J989,"OK","NG"),Blank)</f>
        <v>#NAME?</v>
      </c>
      <c r="Q989" s="211" t="e" cm="1">
        <f t="array" ref="Q989">IF(H989&lt;&gt;"Stop",IF(N989&lt;&gt;0,IF(N989&lt;=K989,"OK","NG"),Blank),"-")</f>
        <v>#REF!</v>
      </c>
      <c r="R989" s="326" t="e" cm="1">
        <f t="array" ref="R989">IF(H989&lt;&gt;"Stop",IF(E989&lt;&gt;0,IF(E989&lt;=K989,"OK","NG"),Blank),"-")</f>
        <v>#REF!</v>
      </c>
    </row>
    <row r="990" spans="1:18" ht="15" hidden="1" x14ac:dyDescent="0.3">
      <c r="A990" s="318" t="e">
        <f>#REF!</f>
        <v>#REF!</v>
      </c>
      <c r="B990" s="305" t="e">
        <f>#REF!</f>
        <v>#REF!</v>
      </c>
      <c r="C990" s="305" t="str">
        <f>'Danh sách máy'!C1033</f>
        <v>OUT</v>
      </c>
      <c r="D990" s="90" t="e">
        <f>#REF!</f>
        <v>#REF!</v>
      </c>
      <c r="E990" s="97">
        <f>'Danh sách máy'!E1033</f>
        <v>0</v>
      </c>
      <c r="F990" s="206" t="e">
        <f>#REF!</f>
        <v>#REF!</v>
      </c>
      <c r="G990" s="102" t="e">
        <f>#REF!</f>
        <v>#REF!</v>
      </c>
      <c r="H990" s="102" t="e">
        <f>#REF!</f>
        <v>#REF!</v>
      </c>
      <c r="K990" s="210" t="e">
        <f>#REF!</f>
        <v>#REF!</v>
      </c>
      <c r="L990" s="210">
        <v>45259</v>
      </c>
      <c r="M990" s="210"/>
      <c r="N990" s="210">
        <f>'Danh sách máy'!F1033</f>
        <v>0</v>
      </c>
      <c r="O990" s="211" t="str" cm="1">
        <f t="array" ref="O990">IF(L990&lt;&gt;0,IF(L990&lt;I990,"OK","NG"),Blank)</f>
        <v>NG</v>
      </c>
      <c r="P990" s="211" t="e" cm="1">
        <f t="array" ref="P990">IF(M990&lt;&gt;0,IF(M990&lt;J990,"OK","NG"),Blank)</f>
        <v>#NAME?</v>
      </c>
      <c r="Q990" s="211" t="e" cm="1">
        <f t="array" ref="Q990">IF(H990&lt;&gt;"Stop",IF(N990&lt;&gt;0,IF(N990&lt;=K990,"OK","NG"),Blank),"-")</f>
        <v>#REF!</v>
      </c>
      <c r="R990" s="326" t="e" cm="1">
        <f t="array" ref="R990">IF(H990&lt;&gt;"Stop",IF(E990&lt;&gt;0,IF(E990&lt;=K990,"OK","NG"),Blank),"-")</f>
        <v>#REF!</v>
      </c>
    </row>
    <row r="991" spans="1:18" ht="15" hidden="1" x14ac:dyDescent="0.3">
      <c r="A991" s="318" t="e">
        <f>#REF!</f>
        <v>#REF!</v>
      </c>
      <c r="B991" s="305" t="e">
        <f>#REF!</f>
        <v>#REF!</v>
      </c>
      <c r="C991" s="305" t="str">
        <f>'Danh sách máy'!C1034</f>
        <v>OUT</v>
      </c>
      <c r="D991" s="90" t="e">
        <f>#REF!</f>
        <v>#REF!</v>
      </c>
      <c r="E991" s="97">
        <f>'Danh sách máy'!E1034</f>
        <v>0</v>
      </c>
      <c r="F991" s="206" t="e">
        <f>#REF!</f>
        <v>#REF!</v>
      </c>
      <c r="G991" s="102" t="e">
        <f>#REF!</f>
        <v>#REF!</v>
      </c>
      <c r="H991" s="102" t="e">
        <f>#REF!</f>
        <v>#REF!</v>
      </c>
      <c r="K991" s="210" t="e">
        <f>#REF!</f>
        <v>#REF!</v>
      </c>
      <c r="L991" s="210">
        <v>45260</v>
      </c>
      <c r="M991" s="210"/>
      <c r="N991" s="210">
        <f>'Danh sách máy'!F1034</f>
        <v>0</v>
      </c>
      <c r="O991" s="211" t="str" cm="1">
        <f t="array" ref="O991">IF(L991&lt;&gt;0,IF(L991&lt;I991,"OK","NG"),Blank)</f>
        <v>NG</v>
      </c>
      <c r="P991" s="211" t="e" cm="1">
        <f t="array" ref="P991">IF(M991&lt;&gt;0,IF(M991&lt;J991,"OK","NG"),Blank)</f>
        <v>#NAME?</v>
      </c>
      <c r="Q991" s="211" t="e" cm="1">
        <f t="array" ref="Q991">IF(H991&lt;&gt;"Stop",IF(N991&lt;&gt;0,IF(N991&lt;=K991,"OK","NG"),Blank),"-")</f>
        <v>#REF!</v>
      </c>
      <c r="R991" s="326" t="e" cm="1">
        <f t="array" ref="R991">IF(H991&lt;&gt;"Stop",IF(E991&lt;&gt;0,IF(E991&lt;=K991,"OK","NG"),Blank),"-")</f>
        <v>#REF!</v>
      </c>
    </row>
    <row r="992" spans="1:18" ht="15" hidden="1" x14ac:dyDescent="0.3">
      <c r="A992" s="318" t="e">
        <f>#REF!</f>
        <v>#REF!</v>
      </c>
      <c r="B992" s="305" t="e">
        <f>#REF!</f>
        <v>#REF!</v>
      </c>
      <c r="C992" s="305" t="str">
        <f>'Danh sách máy'!C1035</f>
        <v>OUT</v>
      </c>
      <c r="D992" s="90" t="e">
        <f>#REF!</f>
        <v>#REF!</v>
      </c>
      <c r="E992" s="97">
        <f>'Danh sách máy'!E1035</f>
        <v>0</v>
      </c>
      <c r="F992" s="206" t="e">
        <f>#REF!</f>
        <v>#REF!</v>
      </c>
      <c r="G992" s="102" t="e">
        <f>#REF!</f>
        <v>#REF!</v>
      </c>
      <c r="H992" s="102" t="e">
        <f>#REF!</f>
        <v>#REF!</v>
      </c>
      <c r="K992" s="210" t="e">
        <f>#REF!</f>
        <v>#REF!</v>
      </c>
      <c r="L992" s="210">
        <v>45261</v>
      </c>
      <c r="M992" s="210"/>
      <c r="N992" s="210">
        <f>'Danh sách máy'!F1035</f>
        <v>0</v>
      </c>
      <c r="O992" s="211" t="str" cm="1">
        <f t="array" ref="O992">IF(L992&lt;&gt;0,IF(L992&lt;I992,"OK","NG"),Blank)</f>
        <v>NG</v>
      </c>
      <c r="P992" s="211" t="e" cm="1">
        <f t="array" ref="P992">IF(M992&lt;&gt;0,IF(M992&lt;J992,"OK","NG"),Blank)</f>
        <v>#NAME?</v>
      </c>
      <c r="Q992" s="211" t="e" cm="1">
        <f t="array" ref="Q992">IF(H992&lt;&gt;"Stop",IF(N992&lt;&gt;0,IF(N992&lt;=K992,"OK","NG"),Blank),"-")</f>
        <v>#REF!</v>
      </c>
      <c r="R992" s="326" t="e" cm="1">
        <f t="array" ref="R992">IF(H992&lt;&gt;"Stop",IF(E992&lt;&gt;0,IF(E992&lt;=K992,"OK","NG"),Blank),"-")</f>
        <v>#REF!</v>
      </c>
    </row>
    <row r="993" spans="1:18" ht="15" hidden="1" x14ac:dyDescent="0.3">
      <c r="A993" s="318" t="e">
        <f>#REF!</f>
        <v>#REF!</v>
      </c>
      <c r="B993" s="305" t="e">
        <f>#REF!</f>
        <v>#REF!</v>
      </c>
      <c r="C993" s="305" t="str">
        <f>'Danh sách máy'!C1036</f>
        <v>OUT</v>
      </c>
      <c r="D993" s="90" t="e">
        <f>#REF!</f>
        <v>#REF!</v>
      </c>
      <c r="E993" s="97">
        <f>'Danh sách máy'!E1036</f>
        <v>0</v>
      </c>
      <c r="F993" s="206" t="e">
        <f>#REF!</f>
        <v>#REF!</v>
      </c>
      <c r="G993" s="102" t="e">
        <f>#REF!</f>
        <v>#REF!</v>
      </c>
      <c r="H993" s="102" t="e">
        <f>#REF!</f>
        <v>#REF!</v>
      </c>
      <c r="K993" s="210" t="e">
        <f>#REF!</f>
        <v>#REF!</v>
      </c>
      <c r="L993" s="210">
        <v>45262</v>
      </c>
      <c r="M993" s="210"/>
      <c r="N993" s="210">
        <f>'Danh sách máy'!F1036</f>
        <v>0</v>
      </c>
      <c r="O993" s="211" t="str" cm="1">
        <f t="array" ref="O993">IF(L993&lt;&gt;0,IF(L993&lt;I993,"OK","NG"),Blank)</f>
        <v>NG</v>
      </c>
      <c r="P993" s="211" t="e" cm="1">
        <f t="array" ref="P993">IF(M993&lt;&gt;0,IF(M993&lt;J993,"OK","NG"),Blank)</f>
        <v>#NAME?</v>
      </c>
      <c r="Q993" s="211" t="e" cm="1">
        <f t="array" ref="Q993">IF(H993&lt;&gt;"Stop",IF(N993&lt;&gt;0,IF(N993&lt;=K993,"OK","NG"),Blank),"-")</f>
        <v>#REF!</v>
      </c>
      <c r="R993" s="326" t="e" cm="1">
        <f t="array" ref="R993">IF(H993&lt;&gt;"Stop",IF(E993&lt;&gt;0,IF(E993&lt;=K993,"OK","NG"),Blank),"-")</f>
        <v>#REF!</v>
      </c>
    </row>
    <row r="994" spans="1:18" ht="15" hidden="1" x14ac:dyDescent="0.3">
      <c r="A994" s="318" t="e">
        <f>#REF!</f>
        <v>#REF!</v>
      </c>
      <c r="B994" s="305" t="e">
        <f>#REF!</f>
        <v>#REF!</v>
      </c>
      <c r="C994" s="305" t="str">
        <f>'Danh sách máy'!C1037</f>
        <v>OUT</v>
      </c>
      <c r="D994" s="90" t="e">
        <f>#REF!</f>
        <v>#REF!</v>
      </c>
      <c r="E994" s="97">
        <f>'Danh sách máy'!E1037</f>
        <v>0</v>
      </c>
      <c r="F994" s="206" t="e">
        <f>#REF!</f>
        <v>#REF!</v>
      </c>
      <c r="G994" s="102" t="e">
        <f>#REF!</f>
        <v>#REF!</v>
      </c>
      <c r="H994" s="102" t="e">
        <f>#REF!</f>
        <v>#REF!</v>
      </c>
      <c r="K994" s="210" t="e">
        <f>#REF!</f>
        <v>#REF!</v>
      </c>
      <c r="L994" s="210">
        <v>45263</v>
      </c>
      <c r="M994" s="210"/>
      <c r="N994" s="210">
        <f>'Danh sách máy'!F1037</f>
        <v>0</v>
      </c>
      <c r="O994" s="211" t="str" cm="1">
        <f t="array" ref="O994">IF(L994&lt;&gt;0,IF(L994&lt;I994,"OK","NG"),Blank)</f>
        <v>NG</v>
      </c>
      <c r="P994" s="211" t="e" cm="1">
        <f t="array" ref="P994">IF(M994&lt;&gt;0,IF(M994&lt;J994,"OK","NG"),Blank)</f>
        <v>#NAME?</v>
      </c>
      <c r="Q994" s="211" t="e" cm="1">
        <f t="array" ref="Q994">IF(H994&lt;&gt;"Stop",IF(N994&lt;&gt;0,IF(N994&lt;=K994,"OK","NG"),Blank),"-")</f>
        <v>#REF!</v>
      </c>
      <c r="R994" s="326" t="e" cm="1">
        <f t="array" ref="R994">IF(H994&lt;&gt;"Stop",IF(E994&lt;&gt;0,IF(E994&lt;=K994,"OK","NG"),Blank),"-")</f>
        <v>#REF!</v>
      </c>
    </row>
    <row r="995" spans="1:18" ht="15" hidden="1" x14ac:dyDescent="0.3">
      <c r="A995" s="318" t="e">
        <f>#REF!</f>
        <v>#REF!</v>
      </c>
      <c r="B995" s="305" t="e">
        <f>#REF!</f>
        <v>#REF!</v>
      </c>
      <c r="C995" s="305" t="str">
        <f>'Danh sách máy'!C1038</f>
        <v>OUT</v>
      </c>
      <c r="D995" s="90" t="e">
        <f>#REF!</f>
        <v>#REF!</v>
      </c>
      <c r="E995" s="97">
        <f>'Danh sách máy'!E1038</f>
        <v>0</v>
      </c>
      <c r="F995" s="206" t="e">
        <f>#REF!</f>
        <v>#REF!</v>
      </c>
      <c r="G995" s="102" t="e">
        <f>#REF!</f>
        <v>#REF!</v>
      </c>
      <c r="H995" s="102" t="e">
        <f>#REF!</f>
        <v>#REF!</v>
      </c>
      <c r="K995" s="210" t="e">
        <f>#REF!</f>
        <v>#REF!</v>
      </c>
      <c r="L995" s="210">
        <v>45264</v>
      </c>
      <c r="M995" s="210"/>
      <c r="N995" s="210">
        <f>'Danh sách máy'!F1038</f>
        <v>0</v>
      </c>
      <c r="O995" s="211" t="str" cm="1">
        <f t="array" ref="O995">IF(L995&lt;&gt;0,IF(L995&lt;I995,"OK","NG"),Blank)</f>
        <v>NG</v>
      </c>
      <c r="P995" s="211" t="e" cm="1">
        <f t="array" ref="P995">IF(M995&lt;&gt;0,IF(M995&lt;J995,"OK","NG"),Blank)</f>
        <v>#NAME?</v>
      </c>
      <c r="Q995" s="211" t="e" cm="1">
        <f t="array" ref="Q995">IF(H995&lt;&gt;"Stop",IF(N995&lt;&gt;0,IF(N995&lt;=K995,"OK","NG"),Blank),"-")</f>
        <v>#REF!</v>
      </c>
      <c r="R995" s="326" t="e" cm="1">
        <f t="array" ref="R995">IF(H995&lt;&gt;"Stop",IF(E995&lt;&gt;0,IF(E995&lt;=K995,"OK","NG"),Blank),"-")</f>
        <v>#REF!</v>
      </c>
    </row>
    <row r="996" spans="1:18" ht="15" hidden="1" x14ac:dyDescent="0.3">
      <c r="A996" s="318" t="e">
        <f>#REF!</f>
        <v>#REF!</v>
      </c>
      <c r="B996" s="305" t="e">
        <f>#REF!</f>
        <v>#REF!</v>
      </c>
      <c r="C996" s="305" t="str">
        <f>'Danh sách máy'!C1039</f>
        <v>OUT</v>
      </c>
      <c r="D996" s="90" t="e">
        <f>#REF!</f>
        <v>#REF!</v>
      </c>
      <c r="E996" s="97">
        <f>'Danh sách máy'!E1039</f>
        <v>0</v>
      </c>
      <c r="F996" s="206" t="e">
        <f>#REF!</f>
        <v>#REF!</v>
      </c>
      <c r="G996" s="102" t="e">
        <f>#REF!</f>
        <v>#REF!</v>
      </c>
      <c r="H996" s="102" t="e">
        <f>#REF!</f>
        <v>#REF!</v>
      </c>
      <c r="K996" s="210" t="e">
        <f>#REF!</f>
        <v>#REF!</v>
      </c>
      <c r="L996" s="210">
        <v>45265</v>
      </c>
      <c r="M996" s="210"/>
      <c r="N996" s="210">
        <f>'Danh sách máy'!F1039</f>
        <v>0</v>
      </c>
      <c r="O996" s="211" t="str" cm="1">
        <f t="array" ref="O996">IF(L996&lt;&gt;0,IF(L996&lt;I996,"OK","NG"),Blank)</f>
        <v>NG</v>
      </c>
      <c r="P996" s="211" t="e" cm="1">
        <f t="array" ref="P996">IF(M996&lt;&gt;0,IF(M996&lt;J996,"OK","NG"),Blank)</f>
        <v>#NAME?</v>
      </c>
      <c r="Q996" s="211" t="e" cm="1">
        <f t="array" ref="Q996">IF(H996&lt;&gt;"Stop",IF(N996&lt;&gt;0,IF(N996&lt;=K996,"OK","NG"),Blank),"-")</f>
        <v>#REF!</v>
      </c>
      <c r="R996" s="326" t="e" cm="1">
        <f t="array" ref="R996">IF(H996&lt;&gt;"Stop",IF(E996&lt;&gt;0,IF(E996&lt;=K996,"OK","NG"),Blank),"-")</f>
        <v>#REF!</v>
      </c>
    </row>
    <row r="997" spans="1:18" ht="15" hidden="1" x14ac:dyDescent="0.3">
      <c r="A997" s="318" t="e">
        <f>#REF!</f>
        <v>#REF!</v>
      </c>
      <c r="B997" s="305" t="e">
        <f>#REF!</f>
        <v>#REF!</v>
      </c>
      <c r="C997" s="305" t="str">
        <f>'Danh sách máy'!C1040</f>
        <v>OUT</v>
      </c>
      <c r="D997" s="90" t="e">
        <f>#REF!</f>
        <v>#REF!</v>
      </c>
      <c r="E997" s="97">
        <f>'Danh sách máy'!E1040</f>
        <v>0</v>
      </c>
      <c r="F997" s="206" t="e">
        <f>#REF!</f>
        <v>#REF!</v>
      </c>
      <c r="G997" s="102" t="e">
        <f>#REF!</f>
        <v>#REF!</v>
      </c>
      <c r="H997" s="102" t="e">
        <f>#REF!</f>
        <v>#REF!</v>
      </c>
      <c r="K997" s="210" t="e">
        <f>#REF!</f>
        <v>#REF!</v>
      </c>
      <c r="L997" s="210">
        <v>45266</v>
      </c>
      <c r="M997" s="210"/>
      <c r="N997" s="210">
        <f>'Danh sách máy'!F1040</f>
        <v>0</v>
      </c>
      <c r="O997" s="211" t="str" cm="1">
        <f t="array" ref="O997">IF(L997&lt;&gt;0,IF(L997&lt;I997,"OK","NG"),Blank)</f>
        <v>NG</v>
      </c>
      <c r="P997" s="211" t="e" cm="1">
        <f t="array" ref="P997">IF(M997&lt;&gt;0,IF(M997&lt;J997,"OK","NG"),Blank)</f>
        <v>#NAME?</v>
      </c>
      <c r="Q997" s="211" t="e" cm="1">
        <f t="array" ref="Q997">IF(H997&lt;&gt;"Stop",IF(N997&lt;&gt;0,IF(N997&lt;=K997,"OK","NG"),Blank),"-")</f>
        <v>#REF!</v>
      </c>
      <c r="R997" s="326" t="e" cm="1">
        <f t="array" ref="R997">IF(H997&lt;&gt;"Stop",IF(E997&lt;&gt;0,IF(E997&lt;=K997,"OK","NG"),Blank),"-")</f>
        <v>#REF!</v>
      </c>
    </row>
    <row r="998" spans="1:18" ht="15" hidden="1" x14ac:dyDescent="0.3">
      <c r="A998" s="318" t="e">
        <f>#REF!</f>
        <v>#REF!</v>
      </c>
      <c r="B998" s="305" t="e">
        <f>#REF!</f>
        <v>#REF!</v>
      </c>
      <c r="C998" s="305" t="str">
        <f>'Danh sách máy'!C1041</f>
        <v>OUT</v>
      </c>
      <c r="D998" s="90" t="e">
        <f>#REF!</f>
        <v>#REF!</v>
      </c>
      <c r="E998" s="97">
        <f>'Danh sách máy'!E1041</f>
        <v>0</v>
      </c>
      <c r="F998" s="206" t="e">
        <f>#REF!</f>
        <v>#REF!</v>
      </c>
      <c r="G998" s="102" t="e">
        <f>#REF!</f>
        <v>#REF!</v>
      </c>
      <c r="H998" s="102" t="e">
        <f>#REF!</f>
        <v>#REF!</v>
      </c>
      <c r="K998" s="210" t="e">
        <f>#REF!</f>
        <v>#REF!</v>
      </c>
      <c r="L998" s="210">
        <v>45267</v>
      </c>
      <c r="M998" s="210"/>
      <c r="N998" s="210">
        <f>'Danh sách máy'!F1041</f>
        <v>0</v>
      </c>
      <c r="O998" s="211" t="str" cm="1">
        <f t="array" ref="O998">IF(L998&lt;&gt;0,IF(L998&lt;I998,"OK","NG"),Blank)</f>
        <v>NG</v>
      </c>
      <c r="P998" s="211" t="e" cm="1">
        <f t="array" ref="P998">IF(M998&lt;&gt;0,IF(M998&lt;J998,"OK","NG"),Blank)</f>
        <v>#NAME?</v>
      </c>
      <c r="Q998" s="211" t="e" cm="1">
        <f t="array" ref="Q998">IF(H998&lt;&gt;"Stop",IF(N998&lt;&gt;0,IF(N998&lt;=K998,"OK","NG"),Blank),"-")</f>
        <v>#REF!</v>
      </c>
      <c r="R998" s="326" t="e" cm="1">
        <f t="array" ref="R998">IF(H998&lt;&gt;"Stop",IF(E998&lt;&gt;0,IF(E998&lt;=K998,"OK","NG"),Blank),"-")</f>
        <v>#REF!</v>
      </c>
    </row>
    <row r="999" spans="1:18" ht="15" hidden="1" x14ac:dyDescent="0.3">
      <c r="A999" s="318" t="e">
        <f>#REF!</f>
        <v>#REF!</v>
      </c>
      <c r="B999" s="305" t="e">
        <f>#REF!</f>
        <v>#REF!</v>
      </c>
      <c r="C999" s="305" t="str">
        <f>'Danh sách máy'!C1042</f>
        <v>OUT</v>
      </c>
      <c r="D999" s="90" t="e">
        <f>#REF!</f>
        <v>#REF!</v>
      </c>
      <c r="E999" s="97">
        <f>'Danh sách máy'!E1042</f>
        <v>0</v>
      </c>
      <c r="F999" s="206" t="e">
        <f>#REF!</f>
        <v>#REF!</v>
      </c>
      <c r="G999" s="102" t="e">
        <f>#REF!</f>
        <v>#REF!</v>
      </c>
      <c r="H999" s="102" t="e">
        <f>#REF!</f>
        <v>#REF!</v>
      </c>
      <c r="K999" s="210" t="e">
        <f>#REF!</f>
        <v>#REF!</v>
      </c>
      <c r="L999" s="210">
        <v>45268</v>
      </c>
      <c r="M999" s="210"/>
      <c r="N999" s="210">
        <f>'Danh sách máy'!F1042</f>
        <v>0</v>
      </c>
      <c r="O999" s="211" t="str" cm="1">
        <f t="array" ref="O999">IF(L999&lt;&gt;0,IF(L999&lt;I999,"OK","NG"),Blank)</f>
        <v>NG</v>
      </c>
      <c r="P999" s="211" t="e" cm="1">
        <f t="array" ref="P999">IF(M999&lt;&gt;0,IF(M999&lt;J999,"OK","NG"),Blank)</f>
        <v>#NAME?</v>
      </c>
      <c r="Q999" s="211" t="e" cm="1">
        <f t="array" ref="Q999">IF(H999&lt;&gt;"Stop",IF(N999&lt;&gt;0,IF(N999&lt;=K999,"OK","NG"),Blank),"-")</f>
        <v>#REF!</v>
      </c>
      <c r="R999" s="326" t="e" cm="1">
        <f t="array" ref="R999">IF(H999&lt;&gt;"Stop",IF(E999&lt;&gt;0,IF(E999&lt;=K999,"OK","NG"),Blank),"-")</f>
        <v>#REF!</v>
      </c>
    </row>
    <row r="1000" spans="1:18" ht="15" hidden="1" x14ac:dyDescent="0.3">
      <c r="A1000" s="318" t="e">
        <f>#REF!</f>
        <v>#REF!</v>
      </c>
      <c r="B1000" s="305" t="e">
        <f>#REF!</f>
        <v>#REF!</v>
      </c>
      <c r="C1000" s="305" t="str">
        <f>'Danh sách máy'!C1043</f>
        <v>OUT</v>
      </c>
      <c r="D1000" s="90" t="e">
        <f>#REF!</f>
        <v>#REF!</v>
      </c>
      <c r="E1000" s="97">
        <f>'Danh sách máy'!E1043</f>
        <v>0</v>
      </c>
      <c r="F1000" s="206" t="e">
        <f>#REF!</f>
        <v>#REF!</v>
      </c>
      <c r="G1000" s="102" t="e">
        <f>#REF!</f>
        <v>#REF!</v>
      </c>
      <c r="H1000" s="102" t="e">
        <f>#REF!</f>
        <v>#REF!</v>
      </c>
      <c r="K1000" s="210" t="e">
        <f>#REF!</f>
        <v>#REF!</v>
      </c>
      <c r="L1000" s="210">
        <v>45269</v>
      </c>
      <c r="M1000" s="210"/>
      <c r="N1000" s="210">
        <f>'Danh sách máy'!F1043</f>
        <v>0</v>
      </c>
      <c r="O1000" s="211" t="str" cm="1">
        <f t="array" ref="O1000">IF(L1000&lt;&gt;0,IF(L1000&lt;I1000,"OK","NG"),Blank)</f>
        <v>NG</v>
      </c>
      <c r="P1000" s="211" t="e" cm="1">
        <f t="array" ref="P1000">IF(M1000&lt;&gt;0,IF(M1000&lt;J1000,"OK","NG"),Blank)</f>
        <v>#NAME?</v>
      </c>
      <c r="Q1000" s="211" t="e" cm="1">
        <f t="array" ref="Q1000">IF(H1000&lt;&gt;"Stop",IF(N1000&lt;&gt;0,IF(N1000&lt;=K1000,"OK","NG"),Blank),"-")</f>
        <v>#REF!</v>
      </c>
      <c r="R1000" s="326" t="e" cm="1">
        <f t="array" ref="R1000">IF(H1000&lt;&gt;"Stop",IF(E1000&lt;&gt;0,IF(E1000&lt;=K1000,"OK","NG"),Blank),"-")</f>
        <v>#REF!</v>
      </c>
    </row>
    <row r="1001" spans="1:18" ht="15" hidden="1" x14ac:dyDescent="0.3">
      <c r="A1001" s="318" t="e">
        <f>#REF!</f>
        <v>#REF!</v>
      </c>
      <c r="B1001" s="305" t="e">
        <f>#REF!</f>
        <v>#REF!</v>
      </c>
      <c r="C1001" s="305" t="str">
        <f>'Danh sách máy'!C1044</f>
        <v>OUT</v>
      </c>
      <c r="D1001" s="90" t="e">
        <f>#REF!</f>
        <v>#REF!</v>
      </c>
      <c r="E1001" s="97">
        <f>'Danh sách máy'!E1044</f>
        <v>0</v>
      </c>
      <c r="F1001" s="206" t="e">
        <f>#REF!</f>
        <v>#REF!</v>
      </c>
      <c r="G1001" s="102" t="e">
        <f>#REF!</f>
        <v>#REF!</v>
      </c>
      <c r="H1001" s="102" t="e">
        <f>#REF!</f>
        <v>#REF!</v>
      </c>
      <c r="K1001" s="210" t="e">
        <f>#REF!</f>
        <v>#REF!</v>
      </c>
      <c r="L1001" s="210">
        <v>45270</v>
      </c>
      <c r="M1001" s="210"/>
      <c r="N1001" s="210">
        <f>'Danh sách máy'!F1044</f>
        <v>0</v>
      </c>
      <c r="O1001" s="211" t="str" cm="1">
        <f t="array" ref="O1001">IF(L1001&lt;&gt;0,IF(L1001&lt;I1001,"OK","NG"),Blank)</f>
        <v>NG</v>
      </c>
      <c r="P1001" s="211" t="e" cm="1">
        <f t="array" ref="P1001">IF(M1001&lt;&gt;0,IF(M1001&lt;J1001,"OK","NG"),Blank)</f>
        <v>#NAME?</v>
      </c>
      <c r="Q1001" s="211" t="e" cm="1">
        <f t="array" ref="Q1001">IF(H1001&lt;&gt;"Stop",IF(N1001&lt;&gt;0,IF(N1001&lt;=K1001,"OK","NG"),Blank),"-")</f>
        <v>#REF!</v>
      </c>
      <c r="R1001" s="326" t="e" cm="1">
        <f t="array" ref="R1001">IF(H1001&lt;&gt;"Stop",IF(E1001&lt;&gt;0,IF(E1001&lt;=K1001,"OK","NG"),Blank),"-")</f>
        <v>#REF!</v>
      </c>
    </row>
    <row r="1002" spans="1:18" ht="15" hidden="1" x14ac:dyDescent="0.3">
      <c r="A1002" s="318" t="e">
        <f>#REF!</f>
        <v>#REF!</v>
      </c>
      <c r="B1002" s="305" t="e">
        <f>#REF!</f>
        <v>#REF!</v>
      </c>
      <c r="C1002" s="305" t="str">
        <f>'Danh sách máy'!C1045</f>
        <v>OUT</v>
      </c>
      <c r="D1002" s="90" t="e">
        <f>#REF!</f>
        <v>#REF!</v>
      </c>
      <c r="E1002" s="97">
        <f>'Danh sách máy'!E1045</f>
        <v>0</v>
      </c>
      <c r="F1002" s="206" t="e">
        <f>#REF!</f>
        <v>#REF!</v>
      </c>
      <c r="G1002" s="102" t="e">
        <f>#REF!</f>
        <v>#REF!</v>
      </c>
      <c r="H1002" s="102" t="e">
        <f>#REF!</f>
        <v>#REF!</v>
      </c>
      <c r="K1002" s="210" t="e">
        <f>#REF!</f>
        <v>#REF!</v>
      </c>
      <c r="L1002" s="210">
        <v>45271</v>
      </c>
      <c r="M1002" s="210"/>
      <c r="N1002" s="210">
        <f>'Danh sách máy'!F1045</f>
        <v>0</v>
      </c>
      <c r="O1002" s="211" t="str" cm="1">
        <f t="array" ref="O1002">IF(L1002&lt;&gt;0,IF(L1002&lt;I1002,"OK","NG"),Blank)</f>
        <v>NG</v>
      </c>
      <c r="P1002" s="211" t="e" cm="1">
        <f t="array" ref="P1002">IF(M1002&lt;&gt;0,IF(M1002&lt;J1002,"OK","NG"),Blank)</f>
        <v>#NAME?</v>
      </c>
      <c r="Q1002" s="211" t="e" cm="1">
        <f t="array" ref="Q1002">IF(H1002&lt;&gt;"Stop",IF(N1002&lt;&gt;0,IF(N1002&lt;=K1002,"OK","NG"),Blank),"-")</f>
        <v>#REF!</v>
      </c>
      <c r="R1002" s="326" t="e" cm="1">
        <f t="array" ref="R1002">IF(H1002&lt;&gt;"Stop",IF(E1002&lt;&gt;0,IF(E1002&lt;=K1002,"OK","NG"),Blank),"-")</f>
        <v>#REF!</v>
      </c>
    </row>
    <row r="1003" spans="1:18" ht="15" hidden="1" x14ac:dyDescent="0.3">
      <c r="A1003" s="318" t="e">
        <f>#REF!</f>
        <v>#REF!</v>
      </c>
      <c r="B1003" s="305" t="e">
        <f>#REF!</f>
        <v>#REF!</v>
      </c>
      <c r="C1003" s="305" t="str">
        <f>'Danh sách máy'!C1046</f>
        <v>OUT</v>
      </c>
      <c r="D1003" s="90" t="e">
        <f>#REF!</f>
        <v>#REF!</v>
      </c>
      <c r="E1003" s="97">
        <f>'Danh sách máy'!E1046</f>
        <v>0</v>
      </c>
      <c r="F1003" s="206" t="e">
        <f>#REF!</f>
        <v>#REF!</v>
      </c>
      <c r="G1003" s="102" t="e">
        <f>#REF!</f>
        <v>#REF!</v>
      </c>
      <c r="H1003" s="102" t="e">
        <f>#REF!</f>
        <v>#REF!</v>
      </c>
      <c r="K1003" s="210" t="e">
        <f>#REF!</f>
        <v>#REF!</v>
      </c>
      <c r="L1003" s="210">
        <v>45272</v>
      </c>
      <c r="M1003" s="210"/>
      <c r="N1003" s="210">
        <f>'Danh sách máy'!F1046</f>
        <v>0</v>
      </c>
      <c r="O1003" s="211" t="str" cm="1">
        <f t="array" ref="O1003">IF(L1003&lt;&gt;0,IF(L1003&lt;I1003,"OK","NG"),Blank)</f>
        <v>NG</v>
      </c>
      <c r="P1003" s="211" t="e" cm="1">
        <f t="array" ref="P1003">IF(M1003&lt;&gt;0,IF(M1003&lt;J1003,"OK","NG"),Blank)</f>
        <v>#NAME?</v>
      </c>
      <c r="Q1003" s="211" t="e" cm="1">
        <f t="array" ref="Q1003">IF(H1003&lt;&gt;"Stop",IF(N1003&lt;&gt;0,IF(N1003&lt;=K1003,"OK","NG"),Blank),"-")</f>
        <v>#REF!</v>
      </c>
      <c r="R1003" s="326" t="e" cm="1">
        <f t="array" ref="R1003">IF(H1003&lt;&gt;"Stop",IF(E1003&lt;&gt;0,IF(E1003&lt;=K1003,"OK","NG"),Blank),"-")</f>
        <v>#REF!</v>
      </c>
    </row>
    <row r="1004" spans="1:18" ht="30" hidden="1" x14ac:dyDescent="0.3">
      <c r="A1004" s="318" t="e">
        <f>#REF!</f>
        <v>#REF!</v>
      </c>
      <c r="B1004" s="305" t="e">
        <f>#REF!</f>
        <v>#REF!</v>
      </c>
      <c r="C1004" s="305">
        <f>'Danh sách máy'!C1047</f>
        <v>0</v>
      </c>
      <c r="D1004" s="90" t="e">
        <f>#REF!</f>
        <v>#REF!</v>
      </c>
      <c r="E1004" s="97">
        <f>'Danh sách máy'!E1047</f>
        <v>0</v>
      </c>
      <c r="F1004" s="206" t="e">
        <f>#REF!</f>
        <v>#REF!</v>
      </c>
      <c r="G1004" s="102" t="e">
        <f>#REF!</f>
        <v>#REF!</v>
      </c>
      <c r="H1004" s="102" t="e">
        <f>#REF!</f>
        <v>#REF!</v>
      </c>
      <c r="K1004" s="210" t="e">
        <f>#REF!</f>
        <v>#REF!</v>
      </c>
      <c r="L1004" s="210">
        <v>45273</v>
      </c>
      <c r="M1004" s="210"/>
      <c r="N1004" s="210">
        <f>'Danh sách máy'!F1047</f>
        <v>0</v>
      </c>
      <c r="O1004" s="211" t="str" cm="1">
        <f t="array" ref="O1004">IF(L1004&lt;&gt;0,IF(L1004&lt;I1004,"OK","NG"),Blank)</f>
        <v>NG</v>
      </c>
      <c r="P1004" s="211" t="e" cm="1">
        <f t="array" ref="P1004">IF(M1004&lt;&gt;0,IF(M1004&lt;J1004,"OK","NG"),Blank)</f>
        <v>#NAME?</v>
      </c>
      <c r="Q1004" s="211" t="e" cm="1">
        <f t="array" ref="Q1004">IF(H1004&lt;&gt;"Stop",IF(N1004&lt;&gt;0,IF(N1004&lt;=K1004,"OK","NG"),Blank),"-")</f>
        <v>#REF!</v>
      </c>
      <c r="R1004" s="326" t="e" cm="1">
        <f t="array" ref="R1004">IF(H1004&lt;&gt;"Stop",IF(E1004&lt;&gt;0,IF(E1004&lt;=K1004,"OK","NG"),Blank),"-")</f>
        <v>#REF!</v>
      </c>
    </row>
    <row r="1005" spans="1:18" ht="30" hidden="1" x14ac:dyDescent="0.3">
      <c r="A1005" s="318" t="e">
        <f>#REF!</f>
        <v>#REF!</v>
      </c>
      <c r="B1005" s="305" t="e">
        <f>#REF!</f>
        <v>#REF!</v>
      </c>
      <c r="C1005" s="305" t="str">
        <f>'Danh sách máy'!C1048</f>
        <v>MKQC</v>
      </c>
      <c r="D1005" s="90" t="e">
        <f>#REF!</f>
        <v>#REF!</v>
      </c>
      <c r="E1005" s="97">
        <f>'Danh sách máy'!E1048</f>
        <v>0</v>
      </c>
      <c r="F1005" s="206" t="e">
        <f>#REF!</f>
        <v>#REF!</v>
      </c>
      <c r="G1005" s="102" t="e">
        <f>#REF!</f>
        <v>#REF!</v>
      </c>
      <c r="H1005" s="102" t="e">
        <f>#REF!</f>
        <v>#REF!</v>
      </c>
      <c r="K1005" s="210" t="e">
        <f>#REF!</f>
        <v>#REF!</v>
      </c>
      <c r="L1005" s="210">
        <v>45274</v>
      </c>
      <c r="M1005" s="210"/>
      <c r="N1005" s="210">
        <f>'Danh sách máy'!F1048</f>
        <v>0</v>
      </c>
      <c r="O1005" s="211" t="str" cm="1">
        <f t="array" ref="O1005">IF(L1005&lt;&gt;0,IF(L1005&lt;I1005,"OK","NG"),Blank)</f>
        <v>NG</v>
      </c>
      <c r="P1005" s="211" t="e" cm="1">
        <f t="array" ref="P1005">IF(M1005&lt;&gt;0,IF(M1005&lt;J1005,"OK","NG"),Blank)</f>
        <v>#NAME?</v>
      </c>
      <c r="Q1005" s="211" t="e" cm="1">
        <f t="array" ref="Q1005">IF(H1005&lt;&gt;"Stop",IF(N1005&lt;&gt;0,IF(N1005&lt;=K1005,"OK","NG"),Blank),"-")</f>
        <v>#REF!</v>
      </c>
      <c r="R1005" s="326" t="e" cm="1">
        <f t="array" ref="R1005">IF(H1005&lt;&gt;"Stop",IF(E1005&lt;&gt;0,IF(E1005&lt;=K1005,"OK","NG"),Blank),"-")</f>
        <v>#REF!</v>
      </c>
    </row>
    <row r="1006" spans="1:18" ht="30" hidden="1" x14ac:dyDescent="0.3">
      <c r="A1006" s="318" t="e">
        <f>#REF!</f>
        <v>#REF!</v>
      </c>
      <c r="B1006" s="305" t="e">
        <f>#REF!</f>
        <v>#REF!</v>
      </c>
      <c r="C1006" s="305" t="str">
        <f>'Danh sách máy'!C1049</f>
        <v>MKQC</v>
      </c>
      <c r="D1006" s="90" t="e">
        <f>#REF!</f>
        <v>#REF!</v>
      </c>
      <c r="E1006" s="97">
        <f>'Danh sách máy'!E1049</f>
        <v>0</v>
      </c>
      <c r="F1006" s="206" t="e">
        <f>#REF!</f>
        <v>#REF!</v>
      </c>
      <c r="G1006" s="102" t="e">
        <f>#REF!</f>
        <v>#REF!</v>
      </c>
      <c r="H1006" s="102" t="e">
        <f>#REF!</f>
        <v>#REF!</v>
      </c>
      <c r="K1006" s="210" t="e">
        <f>#REF!</f>
        <v>#REF!</v>
      </c>
      <c r="L1006" s="210">
        <v>45275</v>
      </c>
      <c r="M1006" s="210"/>
      <c r="N1006" s="210">
        <f>'Danh sách máy'!F1049</f>
        <v>0</v>
      </c>
      <c r="O1006" s="211" t="str" cm="1">
        <f t="array" ref="O1006">IF(L1006&lt;&gt;0,IF(L1006&lt;I1006,"OK","NG"),Blank)</f>
        <v>NG</v>
      </c>
      <c r="P1006" s="211" t="e" cm="1">
        <f t="array" ref="P1006">IF(M1006&lt;&gt;0,IF(M1006&lt;J1006,"OK","NG"),Blank)</f>
        <v>#NAME?</v>
      </c>
      <c r="Q1006" s="211" t="e" cm="1">
        <f t="array" ref="Q1006">IF(H1006&lt;&gt;"Stop",IF(N1006&lt;&gt;0,IF(N1006&lt;=K1006,"OK","NG"),Blank),"-")</f>
        <v>#REF!</v>
      </c>
      <c r="R1006" s="326" t="e" cm="1">
        <f t="array" ref="R1006">IF(H1006&lt;&gt;"Stop",IF(E1006&lt;&gt;0,IF(E1006&lt;=K1006,"OK","NG"),Blank),"-")</f>
        <v>#REF!</v>
      </c>
    </row>
    <row r="1007" spans="1:18" ht="30" hidden="1" x14ac:dyDescent="0.3">
      <c r="A1007" s="318" t="e">
        <f>#REF!</f>
        <v>#REF!</v>
      </c>
      <c r="B1007" s="305" t="e">
        <f>#REF!</f>
        <v>#REF!</v>
      </c>
      <c r="C1007" s="305" t="str">
        <f>'Danh sách máy'!C1050</f>
        <v>MKQC</v>
      </c>
      <c r="D1007" s="90" t="e">
        <f>#REF!</f>
        <v>#REF!</v>
      </c>
      <c r="E1007" s="97">
        <f>'Danh sách máy'!E1050</f>
        <v>0</v>
      </c>
      <c r="F1007" s="206" t="e">
        <f>#REF!</f>
        <v>#REF!</v>
      </c>
      <c r="G1007" s="102" t="e">
        <f>#REF!</f>
        <v>#REF!</v>
      </c>
      <c r="H1007" s="102" t="e">
        <f>#REF!</f>
        <v>#REF!</v>
      </c>
      <c r="K1007" s="210" t="e">
        <f>#REF!</f>
        <v>#REF!</v>
      </c>
      <c r="L1007" s="210">
        <v>45276</v>
      </c>
      <c r="M1007" s="210"/>
      <c r="N1007" s="210">
        <f>'Danh sách máy'!F1050</f>
        <v>0</v>
      </c>
      <c r="O1007" s="211" t="str" cm="1">
        <f t="array" ref="O1007">IF(L1007&lt;&gt;0,IF(L1007&lt;I1007,"OK","NG"),Blank)</f>
        <v>NG</v>
      </c>
      <c r="P1007" s="211" t="e" cm="1">
        <f t="array" ref="P1007">IF(M1007&lt;&gt;0,IF(M1007&lt;J1007,"OK","NG"),Blank)</f>
        <v>#NAME?</v>
      </c>
      <c r="Q1007" s="211" t="e" cm="1">
        <f t="array" ref="Q1007">IF(H1007&lt;&gt;"Stop",IF(N1007&lt;&gt;0,IF(N1007&lt;=K1007,"OK","NG"),Blank),"-")</f>
        <v>#REF!</v>
      </c>
      <c r="R1007" s="326" t="e" cm="1">
        <f t="array" ref="R1007">IF(H1007&lt;&gt;"Stop",IF(E1007&lt;&gt;0,IF(E1007&lt;=K1007,"OK","NG"),Blank),"-")</f>
        <v>#REF!</v>
      </c>
    </row>
    <row r="1008" spans="1:18" ht="30" hidden="1" x14ac:dyDescent="0.3">
      <c r="A1008" s="318" t="e">
        <f>#REF!</f>
        <v>#REF!</v>
      </c>
      <c r="B1008" s="305" t="e">
        <f>#REF!</f>
        <v>#REF!</v>
      </c>
      <c r="C1008" s="305" t="str">
        <f>'Danh sách máy'!C1051</f>
        <v>MKQC</v>
      </c>
      <c r="D1008" s="90" t="e">
        <f>#REF!</f>
        <v>#REF!</v>
      </c>
      <c r="E1008" s="97">
        <f>'Danh sách máy'!E1051</f>
        <v>0</v>
      </c>
      <c r="F1008" s="206" t="e">
        <f>#REF!</f>
        <v>#REF!</v>
      </c>
      <c r="G1008" s="102" t="e">
        <f>#REF!</f>
        <v>#REF!</v>
      </c>
      <c r="H1008" s="102" t="e">
        <f>#REF!</f>
        <v>#REF!</v>
      </c>
      <c r="K1008" s="210" t="e">
        <f>#REF!</f>
        <v>#REF!</v>
      </c>
      <c r="L1008" s="210">
        <v>45277</v>
      </c>
      <c r="M1008" s="210"/>
      <c r="N1008" s="210">
        <f>'Danh sách máy'!F1051</f>
        <v>0</v>
      </c>
      <c r="O1008" s="211" t="str" cm="1">
        <f t="array" ref="O1008">IF(L1008&lt;&gt;0,IF(L1008&lt;I1008,"OK","NG"),Blank)</f>
        <v>NG</v>
      </c>
      <c r="P1008" s="211" t="e" cm="1">
        <f t="array" ref="P1008">IF(M1008&lt;&gt;0,IF(M1008&lt;J1008,"OK","NG"),Blank)</f>
        <v>#NAME?</v>
      </c>
      <c r="Q1008" s="211" t="e" cm="1">
        <f t="array" ref="Q1008">IF(H1008&lt;&gt;"Stop",IF(N1008&lt;&gt;0,IF(N1008&lt;=K1008,"OK","NG"),Blank),"-")</f>
        <v>#REF!</v>
      </c>
      <c r="R1008" s="326" t="e" cm="1">
        <f t="array" ref="R1008">IF(H1008&lt;&gt;"Stop",IF(E1008&lt;&gt;0,IF(E1008&lt;=K1008,"OK","NG"),Blank),"-")</f>
        <v>#REF!</v>
      </c>
    </row>
    <row r="1009" spans="1:18" ht="30" hidden="1" x14ac:dyDescent="0.3">
      <c r="A1009" s="318" t="e">
        <f>#REF!</f>
        <v>#REF!</v>
      </c>
      <c r="B1009" s="305" t="e">
        <f>#REF!</f>
        <v>#REF!</v>
      </c>
      <c r="C1009" s="305" t="str">
        <f>'Danh sách máy'!C1052</f>
        <v>MKQC</v>
      </c>
      <c r="D1009" s="90" t="e">
        <f>#REF!</f>
        <v>#REF!</v>
      </c>
      <c r="E1009" s="97">
        <f>'Danh sách máy'!E1052</f>
        <v>0</v>
      </c>
      <c r="F1009" s="206" t="e">
        <f>#REF!</f>
        <v>#REF!</v>
      </c>
      <c r="G1009" s="102" t="e">
        <f>#REF!</f>
        <v>#REF!</v>
      </c>
      <c r="H1009" s="102" t="e">
        <f>#REF!</f>
        <v>#REF!</v>
      </c>
      <c r="K1009" s="210" t="e">
        <f>#REF!</f>
        <v>#REF!</v>
      </c>
      <c r="L1009" s="210">
        <v>45278</v>
      </c>
      <c r="M1009" s="210"/>
      <c r="N1009" s="210">
        <f>'Danh sách máy'!F1052</f>
        <v>0</v>
      </c>
      <c r="O1009" s="211" t="str" cm="1">
        <f t="array" ref="O1009">IF(L1009&lt;&gt;0,IF(L1009&lt;I1009,"OK","NG"),Blank)</f>
        <v>NG</v>
      </c>
      <c r="P1009" s="211" t="e" cm="1">
        <f t="array" ref="P1009">IF(M1009&lt;&gt;0,IF(M1009&lt;J1009,"OK","NG"),Blank)</f>
        <v>#NAME?</v>
      </c>
      <c r="Q1009" s="211" t="e" cm="1">
        <f t="array" ref="Q1009">IF(H1009&lt;&gt;"Stop",IF(N1009&lt;&gt;0,IF(N1009&lt;=K1009,"OK","NG"),Blank),"-")</f>
        <v>#REF!</v>
      </c>
      <c r="R1009" s="326" t="e" cm="1">
        <f t="array" ref="R1009">IF(H1009&lt;&gt;"Stop",IF(E1009&lt;&gt;0,IF(E1009&lt;=K1009,"OK","NG"),Blank),"-")</f>
        <v>#REF!</v>
      </c>
    </row>
    <row r="1010" spans="1:18" ht="30" hidden="1" x14ac:dyDescent="0.3">
      <c r="A1010" s="318" t="e">
        <f>#REF!</f>
        <v>#REF!</v>
      </c>
      <c r="B1010" s="305" t="e">
        <f>#REF!</f>
        <v>#REF!</v>
      </c>
      <c r="C1010" s="305" t="str">
        <f>'Danh sách máy'!C1053</f>
        <v>MKQC</v>
      </c>
      <c r="D1010" s="90" t="e">
        <f>#REF!</f>
        <v>#REF!</v>
      </c>
      <c r="E1010" s="97">
        <f>'Danh sách máy'!E1053</f>
        <v>0</v>
      </c>
      <c r="F1010" s="206" t="e">
        <f>#REF!</f>
        <v>#REF!</v>
      </c>
      <c r="G1010" s="102" t="e">
        <f>#REF!</f>
        <v>#REF!</v>
      </c>
      <c r="H1010" s="102" t="e">
        <f>#REF!</f>
        <v>#REF!</v>
      </c>
      <c r="K1010" s="210" t="e">
        <f>#REF!</f>
        <v>#REF!</v>
      </c>
      <c r="L1010" s="210">
        <v>45279</v>
      </c>
      <c r="M1010" s="210"/>
      <c r="N1010" s="210">
        <f>'Danh sách máy'!F1053</f>
        <v>0</v>
      </c>
      <c r="O1010" s="211" t="str" cm="1">
        <f t="array" ref="O1010">IF(L1010&lt;&gt;0,IF(L1010&lt;I1010,"OK","NG"),Blank)</f>
        <v>NG</v>
      </c>
      <c r="P1010" s="211" t="e" cm="1">
        <f t="array" ref="P1010">IF(M1010&lt;&gt;0,IF(M1010&lt;J1010,"OK","NG"),Blank)</f>
        <v>#NAME?</v>
      </c>
      <c r="Q1010" s="211" t="e" cm="1">
        <f t="array" ref="Q1010">IF(H1010&lt;&gt;"Stop",IF(N1010&lt;&gt;0,IF(N1010&lt;=K1010,"OK","NG"),Blank),"-")</f>
        <v>#REF!</v>
      </c>
      <c r="R1010" s="326" t="e" cm="1">
        <f t="array" ref="R1010">IF(H1010&lt;&gt;"Stop",IF(E1010&lt;&gt;0,IF(E1010&lt;=K1010,"OK","NG"),Blank),"-")</f>
        <v>#REF!</v>
      </c>
    </row>
    <row r="1011" spans="1:18" ht="30" hidden="1" x14ac:dyDescent="0.3">
      <c r="A1011" s="318" t="e">
        <f>#REF!</f>
        <v>#REF!</v>
      </c>
      <c r="B1011" s="305" t="e">
        <f>#REF!</f>
        <v>#REF!</v>
      </c>
      <c r="C1011" s="305" t="str">
        <f>'Danh sách máy'!C1054</f>
        <v>MKQC</v>
      </c>
      <c r="D1011" s="90" t="e">
        <f>#REF!</f>
        <v>#REF!</v>
      </c>
      <c r="E1011" s="97">
        <f>'Danh sách máy'!E1054</f>
        <v>0</v>
      </c>
      <c r="F1011" s="206" t="e">
        <f>#REF!</f>
        <v>#REF!</v>
      </c>
      <c r="G1011" s="102" t="e">
        <f>#REF!</f>
        <v>#REF!</v>
      </c>
      <c r="H1011" s="102" t="e">
        <f>#REF!</f>
        <v>#REF!</v>
      </c>
      <c r="K1011" s="210" t="e">
        <f>#REF!</f>
        <v>#REF!</v>
      </c>
      <c r="L1011" s="210">
        <v>45280</v>
      </c>
      <c r="M1011" s="210"/>
      <c r="N1011" s="210">
        <f>'Danh sách máy'!F1054</f>
        <v>0</v>
      </c>
      <c r="O1011" s="211" t="str" cm="1">
        <f t="array" ref="O1011">IF(L1011&lt;&gt;0,IF(L1011&lt;I1011,"OK","NG"),Blank)</f>
        <v>NG</v>
      </c>
      <c r="P1011" s="211" t="e" cm="1">
        <f t="array" ref="P1011">IF(M1011&lt;&gt;0,IF(M1011&lt;J1011,"OK","NG"),Blank)</f>
        <v>#NAME?</v>
      </c>
      <c r="Q1011" s="211" t="e" cm="1">
        <f t="array" ref="Q1011">IF(H1011&lt;&gt;"Stop",IF(N1011&lt;&gt;0,IF(N1011&lt;=K1011,"OK","NG"),Blank),"-")</f>
        <v>#REF!</v>
      </c>
      <c r="R1011" s="326" t="e" cm="1">
        <f t="array" ref="R1011">IF(H1011&lt;&gt;"Stop",IF(E1011&lt;&gt;0,IF(E1011&lt;=K1011,"OK","NG"),Blank),"-")</f>
        <v>#REF!</v>
      </c>
    </row>
    <row r="1012" spans="1:18" ht="30" hidden="1" x14ac:dyDescent="0.3">
      <c r="A1012" s="318" t="e">
        <f>#REF!</f>
        <v>#REF!</v>
      </c>
      <c r="B1012" s="305" t="e">
        <f>#REF!</f>
        <v>#REF!</v>
      </c>
      <c r="C1012" s="305" t="str">
        <f>'Danh sách máy'!C1055</f>
        <v>MKQC</v>
      </c>
      <c r="D1012" s="90" t="e">
        <f>#REF!</f>
        <v>#REF!</v>
      </c>
      <c r="E1012" s="97">
        <f>'Danh sách máy'!E1055</f>
        <v>0</v>
      </c>
      <c r="F1012" s="206" t="e">
        <f>#REF!</f>
        <v>#REF!</v>
      </c>
      <c r="G1012" s="102" t="e">
        <f>#REF!</f>
        <v>#REF!</v>
      </c>
      <c r="H1012" s="102" t="e">
        <f>#REF!</f>
        <v>#REF!</v>
      </c>
      <c r="K1012" s="210" t="e">
        <f>#REF!</f>
        <v>#REF!</v>
      </c>
      <c r="L1012" s="210">
        <v>45281</v>
      </c>
      <c r="M1012" s="210"/>
      <c r="N1012" s="210">
        <f>'Danh sách máy'!F1055</f>
        <v>0</v>
      </c>
      <c r="O1012" s="211" t="str" cm="1">
        <f t="array" ref="O1012">IF(L1012&lt;&gt;0,IF(L1012&lt;I1012,"OK","NG"),Blank)</f>
        <v>NG</v>
      </c>
      <c r="P1012" s="211" t="e" cm="1">
        <f t="array" ref="P1012">IF(M1012&lt;&gt;0,IF(M1012&lt;J1012,"OK","NG"),Blank)</f>
        <v>#NAME?</v>
      </c>
      <c r="Q1012" s="211" t="e" cm="1">
        <f t="array" ref="Q1012">IF(H1012&lt;&gt;"Stop",IF(N1012&lt;&gt;0,IF(N1012&lt;=K1012,"OK","NG"),Blank),"-")</f>
        <v>#REF!</v>
      </c>
      <c r="R1012" s="326" t="e" cm="1">
        <f t="array" ref="R1012">IF(H1012&lt;&gt;"Stop",IF(E1012&lt;&gt;0,IF(E1012&lt;=K1012,"OK","NG"),Blank),"-")</f>
        <v>#REF!</v>
      </c>
    </row>
    <row r="1013" spans="1:18" ht="30" hidden="1" x14ac:dyDescent="0.3">
      <c r="A1013" s="318" t="e">
        <f>#REF!</f>
        <v>#REF!</v>
      </c>
      <c r="B1013" s="305" t="e">
        <f>#REF!</f>
        <v>#REF!</v>
      </c>
      <c r="C1013" s="305" t="str">
        <f>'Danh sách máy'!C1056</f>
        <v>MKQC</v>
      </c>
      <c r="D1013" s="90" t="e">
        <f>#REF!</f>
        <v>#REF!</v>
      </c>
      <c r="E1013" s="97">
        <f>'Danh sách máy'!E1056</f>
        <v>0</v>
      </c>
      <c r="F1013" s="206" t="e">
        <f>#REF!</f>
        <v>#REF!</v>
      </c>
      <c r="G1013" s="102" t="e">
        <f>#REF!</f>
        <v>#REF!</v>
      </c>
      <c r="H1013" s="102" t="e">
        <f>#REF!</f>
        <v>#REF!</v>
      </c>
      <c r="K1013" s="210" t="e">
        <f>#REF!</f>
        <v>#REF!</v>
      </c>
      <c r="L1013" s="210">
        <v>45282</v>
      </c>
      <c r="M1013" s="210"/>
      <c r="N1013" s="210">
        <f>'Danh sách máy'!F1056</f>
        <v>0</v>
      </c>
      <c r="O1013" s="211" t="str" cm="1">
        <f t="array" ref="O1013">IF(L1013&lt;&gt;0,IF(L1013&lt;I1013,"OK","NG"),Blank)</f>
        <v>NG</v>
      </c>
      <c r="P1013" s="211" t="e" cm="1">
        <f t="array" ref="P1013">IF(M1013&lt;&gt;0,IF(M1013&lt;J1013,"OK","NG"),Blank)</f>
        <v>#NAME?</v>
      </c>
      <c r="Q1013" s="211" t="e" cm="1">
        <f t="array" ref="Q1013">IF(H1013&lt;&gt;"Stop",IF(N1013&lt;&gt;0,IF(N1013&lt;=K1013,"OK","NG"),Blank),"-")</f>
        <v>#REF!</v>
      </c>
      <c r="R1013" s="326" t="e" cm="1">
        <f t="array" ref="R1013">IF(H1013&lt;&gt;"Stop",IF(E1013&lt;&gt;0,IF(E1013&lt;=K1013,"OK","NG"),Blank),"-")</f>
        <v>#REF!</v>
      </c>
    </row>
    <row r="1014" spans="1:18" ht="30" hidden="1" x14ac:dyDescent="0.3">
      <c r="A1014" s="318" t="e">
        <f>#REF!</f>
        <v>#REF!</v>
      </c>
      <c r="B1014" s="305" t="e">
        <f>#REF!</f>
        <v>#REF!</v>
      </c>
      <c r="C1014" s="305" t="str">
        <f>'Danh sách máy'!C1057</f>
        <v>MKQC</v>
      </c>
      <c r="D1014" s="90" t="e">
        <f>#REF!</f>
        <v>#REF!</v>
      </c>
      <c r="E1014" s="97">
        <f>'Danh sách máy'!E1057</f>
        <v>0</v>
      </c>
      <c r="F1014" s="206" t="e">
        <f>#REF!</f>
        <v>#REF!</v>
      </c>
      <c r="G1014" s="102" t="e">
        <f>#REF!</f>
        <v>#REF!</v>
      </c>
      <c r="H1014" s="102" t="e">
        <f>#REF!</f>
        <v>#REF!</v>
      </c>
      <c r="K1014" s="210" t="e">
        <f>#REF!</f>
        <v>#REF!</v>
      </c>
      <c r="L1014" s="210">
        <v>45283</v>
      </c>
      <c r="M1014" s="210"/>
      <c r="N1014" s="210">
        <f>'Danh sách máy'!F1057</f>
        <v>0</v>
      </c>
      <c r="O1014" s="211" t="str" cm="1">
        <f t="array" ref="O1014">IF(L1014&lt;&gt;0,IF(L1014&lt;I1014,"OK","NG"),Blank)</f>
        <v>NG</v>
      </c>
      <c r="P1014" s="211" t="e" cm="1">
        <f t="array" ref="P1014">IF(M1014&lt;&gt;0,IF(M1014&lt;J1014,"OK","NG"),Blank)</f>
        <v>#NAME?</v>
      </c>
      <c r="Q1014" s="211" t="e" cm="1">
        <f t="array" ref="Q1014">IF(H1014&lt;&gt;"Stop",IF(N1014&lt;&gt;0,IF(N1014&lt;=K1014,"OK","NG"),Blank),"-")</f>
        <v>#REF!</v>
      </c>
      <c r="R1014" s="326" t="e" cm="1">
        <f t="array" ref="R1014">IF(H1014&lt;&gt;"Stop",IF(E1014&lt;&gt;0,IF(E1014&lt;=K1014,"OK","NG"),Blank),"-")</f>
        <v>#REF!</v>
      </c>
    </row>
    <row r="1015" spans="1:18" ht="30" hidden="1" x14ac:dyDescent="0.3">
      <c r="A1015" s="318" t="e">
        <f>#REF!</f>
        <v>#REF!</v>
      </c>
      <c r="B1015" s="305" t="e">
        <f>#REF!</f>
        <v>#REF!</v>
      </c>
      <c r="C1015" s="305" t="str">
        <f>'Danh sách máy'!C1058</f>
        <v>MKQC</v>
      </c>
      <c r="D1015" s="90" t="e">
        <f>#REF!</f>
        <v>#REF!</v>
      </c>
      <c r="E1015" s="97">
        <f>'Danh sách máy'!E1058</f>
        <v>0</v>
      </c>
      <c r="F1015" s="206" t="e">
        <f>#REF!</f>
        <v>#REF!</v>
      </c>
      <c r="G1015" s="102" t="e">
        <f>#REF!</f>
        <v>#REF!</v>
      </c>
      <c r="H1015" s="102" t="e">
        <f>#REF!</f>
        <v>#REF!</v>
      </c>
      <c r="K1015" s="210" t="e">
        <f>#REF!</f>
        <v>#REF!</v>
      </c>
      <c r="L1015" s="210">
        <v>45284</v>
      </c>
      <c r="M1015" s="210"/>
      <c r="N1015" s="210">
        <f>'Danh sách máy'!F1058</f>
        <v>0</v>
      </c>
      <c r="O1015" s="211" t="str" cm="1">
        <f t="array" ref="O1015">IF(L1015&lt;&gt;0,IF(L1015&lt;I1015,"OK","NG"),Blank)</f>
        <v>NG</v>
      </c>
      <c r="P1015" s="211" t="e" cm="1">
        <f t="array" ref="P1015">IF(M1015&lt;&gt;0,IF(M1015&lt;J1015,"OK","NG"),Blank)</f>
        <v>#NAME?</v>
      </c>
      <c r="Q1015" s="211" t="e" cm="1">
        <f t="array" ref="Q1015">IF(H1015&lt;&gt;"Stop",IF(N1015&lt;&gt;0,IF(N1015&lt;=K1015,"OK","NG"),Blank),"-")</f>
        <v>#REF!</v>
      </c>
      <c r="R1015" s="326" t="e" cm="1">
        <f t="array" ref="R1015">IF(H1015&lt;&gt;"Stop",IF(E1015&lt;&gt;0,IF(E1015&lt;=K1015,"OK","NG"),Blank),"-")</f>
        <v>#REF!</v>
      </c>
    </row>
    <row r="1016" spans="1:18" ht="30" hidden="1" x14ac:dyDescent="0.3">
      <c r="A1016" s="318" t="e">
        <f>#REF!</f>
        <v>#REF!</v>
      </c>
      <c r="B1016" s="305" t="e">
        <f>#REF!</f>
        <v>#REF!</v>
      </c>
      <c r="C1016" s="305" t="str">
        <f>'Danh sách máy'!C1059</f>
        <v>MKQC</v>
      </c>
      <c r="D1016" s="90" t="e">
        <f>#REF!</f>
        <v>#REF!</v>
      </c>
      <c r="E1016" s="97">
        <f>'Danh sách máy'!E1059</f>
        <v>0</v>
      </c>
      <c r="F1016" s="206" t="e">
        <f>#REF!</f>
        <v>#REF!</v>
      </c>
      <c r="G1016" s="102" t="e">
        <f>#REF!</f>
        <v>#REF!</v>
      </c>
      <c r="H1016" s="102" t="e">
        <f>#REF!</f>
        <v>#REF!</v>
      </c>
      <c r="K1016" s="210" t="e">
        <f>#REF!</f>
        <v>#REF!</v>
      </c>
      <c r="L1016" s="210">
        <v>45285</v>
      </c>
      <c r="M1016" s="210"/>
      <c r="N1016" s="210">
        <f>'Danh sách máy'!F1059</f>
        <v>0</v>
      </c>
      <c r="O1016" s="211" t="str" cm="1">
        <f t="array" ref="O1016">IF(L1016&lt;&gt;0,IF(L1016&lt;I1016,"OK","NG"),Blank)</f>
        <v>NG</v>
      </c>
      <c r="P1016" s="211" t="e" cm="1">
        <f t="array" ref="P1016">IF(M1016&lt;&gt;0,IF(M1016&lt;J1016,"OK","NG"),Blank)</f>
        <v>#NAME?</v>
      </c>
      <c r="Q1016" s="211" t="e" cm="1">
        <f t="array" ref="Q1016">IF(H1016&lt;&gt;"Stop",IF(N1016&lt;&gt;0,IF(N1016&lt;=K1016,"OK","NG"),Blank),"-")</f>
        <v>#REF!</v>
      </c>
      <c r="R1016" s="326" t="e" cm="1">
        <f t="array" ref="R1016">IF(H1016&lt;&gt;"Stop",IF(E1016&lt;&gt;0,IF(E1016&lt;=K1016,"OK","NG"),Blank),"-")</f>
        <v>#REF!</v>
      </c>
    </row>
    <row r="1017" spans="1:18" ht="30" hidden="1" x14ac:dyDescent="0.3">
      <c r="A1017" s="318" t="e">
        <f>#REF!</f>
        <v>#REF!</v>
      </c>
      <c r="B1017" s="305" t="e">
        <f>#REF!</f>
        <v>#REF!</v>
      </c>
      <c r="C1017" s="305" t="str">
        <f>'Danh sách máy'!C1060</f>
        <v>MKQC</v>
      </c>
      <c r="D1017" s="90" t="e">
        <f>#REF!</f>
        <v>#REF!</v>
      </c>
      <c r="E1017" s="97">
        <f>'Danh sách máy'!E1060</f>
        <v>0</v>
      </c>
      <c r="F1017" s="206" t="e">
        <f>#REF!</f>
        <v>#REF!</v>
      </c>
      <c r="G1017" s="102" t="e">
        <f>#REF!</f>
        <v>#REF!</v>
      </c>
      <c r="H1017" s="102" t="e">
        <f>#REF!</f>
        <v>#REF!</v>
      </c>
      <c r="K1017" s="210" t="e">
        <f>#REF!</f>
        <v>#REF!</v>
      </c>
      <c r="L1017" s="210">
        <v>45286</v>
      </c>
      <c r="M1017" s="210"/>
      <c r="N1017" s="210">
        <f>'Danh sách máy'!F1060</f>
        <v>0</v>
      </c>
      <c r="O1017" s="211" t="str" cm="1">
        <f t="array" ref="O1017">IF(L1017&lt;&gt;0,IF(L1017&lt;I1017,"OK","NG"),Blank)</f>
        <v>NG</v>
      </c>
      <c r="P1017" s="211" t="e" cm="1">
        <f t="array" ref="P1017">IF(M1017&lt;&gt;0,IF(M1017&lt;J1017,"OK","NG"),Blank)</f>
        <v>#NAME?</v>
      </c>
      <c r="Q1017" s="211" t="e" cm="1">
        <f t="array" ref="Q1017">IF(H1017&lt;&gt;"Stop",IF(N1017&lt;&gt;0,IF(N1017&lt;=K1017,"OK","NG"),Blank),"-")</f>
        <v>#REF!</v>
      </c>
      <c r="R1017" s="326" t="e" cm="1">
        <f t="array" ref="R1017">IF(H1017&lt;&gt;"Stop",IF(E1017&lt;&gt;0,IF(E1017&lt;=K1017,"OK","NG"),Blank),"-")</f>
        <v>#REF!</v>
      </c>
    </row>
    <row r="1018" spans="1:18" ht="30" hidden="1" x14ac:dyDescent="0.3">
      <c r="A1018" s="318" t="e">
        <f>#REF!</f>
        <v>#REF!</v>
      </c>
      <c r="B1018" s="305" t="e">
        <f>#REF!</f>
        <v>#REF!</v>
      </c>
      <c r="C1018" s="305" t="str">
        <f>'Danh sách máy'!C1061</f>
        <v>MKQC</v>
      </c>
      <c r="D1018" s="90" t="e">
        <f>#REF!</f>
        <v>#REF!</v>
      </c>
      <c r="E1018" s="97">
        <f>'Danh sách máy'!E1061</f>
        <v>0</v>
      </c>
      <c r="F1018" s="206" t="e">
        <f>#REF!</f>
        <v>#REF!</v>
      </c>
      <c r="G1018" s="102" t="e">
        <f>#REF!</f>
        <v>#REF!</v>
      </c>
      <c r="H1018" s="102" t="e">
        <f>#REF!</f>
        <v>#REF!</v>
      </c>
      <c r="K1018" s="210" t="e">
        <f>#REF!</f>
        <v>#REF!</v>
      </c>
      <c r="L1018" s="210">
        <v>45287</v>
      </c>
      <c r="M1018" s="210"/>
      <c r="N1018" s="210">
        <f>'Danh sách máy'!F1061</f>
        <v>0</v>
      </c>
      <c r="O1018" s="211" t="str" cm="1">
        <f t="array" ref="O1018">IF(L1018&lt;&gt;0,IF(L1018&lt;I1018,"OK","NG"),Blank)</f>
        <v>NG</v>
      </c>
      <c r="P1018" s="211" t="e" cm="1">
        <f t="array" ref="P1018">IF(M1018&lt;&gt;0,IF(M1018&lt;J1018,"OK","NG"),Blank)</f>
        <v>#NAME?</v>
      </c>
      <c r="Q1018" s="211" t="e" cm="1">
        <f t="array" ref="Q1018">IF(H1018&lt;&gt;"Stop",IF(N1018&lt;&gt;0,IF(N1018&lt;=K1018,"OK","NG"),Blank),"-")</f>
        <v>#REF!</v>
      </c>
      <c r="R1018" s="326" t="e" cm="1">
        <f t="array" ref="R1018">IF(H1018&lt;&gt;"Stop",IF(E1018&lt;&gt;0,IF(E1018&lt;=K1018,"OK","NG"),Blank),"-")</f>
        <v>#REF!</v>
      </c>
    </row>
    <row r="1019" spans="1:18" ht="30" hidden="1" x14ac:dyDescent="0.3">
      <c r="A1019" s="318" t="e">
        <f>#REF!</f>
        <v>#REF!</v>
      </c>
      <c r="B1019" s="305" t="e">
        <f>#REF!</f>
        <v>#REF!</v>
      </c>
      <c r="C1019" s="305" t="str">
        <f>'Danh sách máy'!C1062</f>
        <v>MKQC</v>
      </c>
      <c r="D1019" s="90" t="e">
        <f>#REF!</f>
        <v>#REF!</v>
      </c>
      <c r="E1019" s="97">
        <f>'Danh sách máy'!E1062</f>
        <v>0</v>
      </c>
      <c r="F1019" s="206" t="e">
        <f>#REF!</f>
        <v>#REF!</v>
      </c>
      <c r="G1019" s="102" t="e">
        <f>#REF!</f>
        <v>#REF!</v>
      </c>
      <c r="H1019" s="102" t="e">
        <f>#REF!</f>
        <v>#REF!</v>
      </c>
      <c r="K1019" s="210" t="e">
        <f>#REF!</f>
        <v>#REF!</v>
      </c>
      <c r="L1019" s="210">
        <v>45288</v>
      </c>
      <c r="M1019" s="210"/>
      <c r="N1019" s="210">
        <f>'Danh sách máy'!F1062</f>
        <v>0</v>
      </c>
      <c r="O1019" s="211" t="str" cm="1">
        <f t="array" ref="O1019">IF(L1019&lt;&gt;0,IF(L1019&lt;I1019,"OK","NG"),Blank)</f>
        <v>NG</v>
      </c>
      <c r="P1019" s="211" t="e" cm="1">
        <f t="array" ref="P1019">IF(M1019&lt;&gt;0,IF(M1019&lt;J1019,"OK","NG"),Blank)</f>
        <v>#NAME?</v>
      </c>
      <c r="Q1019" s="211" t="e" cm="1">
        <f t="array" ref="Q1019">IF(H1019&lt;&gt;"Stop",IF(N1019&lt;&gt;0,IF(N1019&lt;=K1019,"OK","NG"),Blank),"-")</f>
        <v>#REF!</v>
      </c>
      <c r="R1019" s="326" t="e" cm="1">
        <f t="array" ref="R1019">IF(H1019&lt;&gt;"Stop",IF(E1019&lt;&gt;0,IF(E1019&lt;=K1019,"OK","NG"),Blank),"-")</f>
        <v>#REF!</v>
      </c>
    </row>
    <row r="1020" spans="1:18" ht="30" hidden="1" x14ac:dyDescent="0.3">
      <c r="A1020" s="318" t="e">
        <f>#REF!</f>
        <v>#REF!</v>
      </c>
      <c r="B1020" s="305" t="e">
        <f>#REF!</f>
        <v>#REF!</v>
      </c>
      <c r="C1020" s="305" t="str">
        <f>'Danh sách máy'!C1063</f>
        <v>MKQC</v>
      </c>
      <c r="D1020" s="90" t="e">
        <f>#REF!</f>
        <v>#REF!</v>
      </c>
      <c r="E1020" s="97">
        <f>'Danh sách máy'!E1063</f>
        <v>0</v>
      </c>
      <c r="F1020" s="206" t="e">
        <f>#REF!</f>
        <v>#REF!</v>
      </c>
      <c r="G1020" s="102" t="e">
        <f>#REF!</f>
        <v>#REF!</v>
      </c>
      <c r="H1020" s="102" t="e">
        <f>#REF!</f>
        <v>#REF!</v>
      </c>
      <c r="K1020" s="210" t="e">
        <f>#REF!</f>
        <v>#REF!</v>
      </c>
      <c r="L1020" s="210">
        <v>45289</v>
      </c>
      <c r="M1020" s="210"/>
      <c r="N1020" s="210">
        <f>'Danh sách máy'!F1063</f>
        <v>0</v>
      </c>
      <c r="O1020" s="211" t="str" cm="1">
        <f t="array" ref="O1020">IF(L1020&lt;&gt;0,IF(L1020&lt;I1020,"OK","NG"),Blank)</f>
        <v>NG</v>
      </c>
      <c r="P1020" s="211" t="e" cm="1">
        <f t="array" ref="P1020">IF(M1020&lt;&gt;0,IF(M1020&lt;J1020,"OK","NG"),Blank)</f>
        <v>#NAME?</v>
      </c>
      <c r="Q1020" s="211" t="e" cm="1">
        <f t="array" ref="Q1020">IF(H1020&lt;&gt;"Stop",IF(N1020&lt;&gt;0,IF(N1020&lt;=K1020,"OK","NG"),Blank),"-")</f>
        <v>#REF!</v>
      </c>
      <c r="R1020" s="326" t="e" cm="1">
        <f t="array" ref="R1020">IF(H1020&lt;&gt;"Stop",IF(E1020&lt;&gt;0,IF(E1020&lt;=K1020,"OK","NG"),Blank),"-")</f>
        <v>#REF!</v>
      </c>
    </row>
    <row r="1021" spans="1:18" ht="30" hidden="1" x14ac:dyDescent="0.3">
      <c r="A1021" s="318" t="e">
        <f>#REF!</f>
        <v>#REF!</v>
      </c>
      <c r="B1021" s="305" t="e">
        <f>#REF!</f>
        <v>#REF!</v>
      </c>
      <c r="C1021" s="305" t="str">
        <f>'Danh sách máy'!C1064</f>
        <v>MKQC</v>
      </c>
      <c r="D1021" s="90" t="e">
        <f>#REF!</f>
        <v>#REF!</v>
      </c>
      <c r="E1021" s="97">
        <f>'Danh sách máy'!E1064</f>
        <v>0</v>
      </c>
      <c r="F1021" s="206" t="e">
        <f>#REF!</f>
        <v>#REF!</v>
      </c>
      <c r="G1021" s="102" t="e">
        <f>#REF!</f>
        <v>#REF!</v>
      </c>
      <c r="H1021" s="102" t="e">
        <f>#REF!</f>
        <v>#REF!</v>
      </c>
      <c r="K1021" s="210" t="e">
        <f>#REF!</f>
        <v>#REF!</v>
      </c>
      <c r="L1021" s="210">
        <v>45290</v>
      </c>
      <c r="M1021" s="210"/>
      <c r="N1021" s="210">
        <f>'Danh sách máy'!F1064</f>
        <v>0</v>
      </c>
      <c r="O1021" s="211" t="str" cm="1">
        <f t="array" ref="O1021">IF(L1021&lt;&gt;0,IF(L1021&lt;I1021,"OK","NG"),Blank)</f>
        <v>NG</v>
      </c>
      <c r="P1021" s="211" t="e" cm="1">
        <f t="array" ref="P1021">IF(M1021&lt;&gt;0,IF(M1021&lt;J1021,"OK","NG"),Blank)</f>
        <v>#NAME?</v>
      </c>
      <c r="Q1021" s="211" t="e" cm="1">
        <f t="array" ref="Q1021">IF(H1021&lt;&gt;"Stop",IF(N1021&lt;&gt;0,IF(N1021&lt;=K1021,"OK","NG"),Blank),"-")</f>
        <v>#REF!</v>
      </c>
      <c r="R1021" s="326" t="e" cm="1">
        <f t="array" ref="R1021">IF(H1021&lt;&gt;"Stop",IF(E1021&lt;&gt;0,IF(E1021&lt;=K1021,"OK","NG"),Blank),"-")</f>
        <v>#REF!</v>
      </c>
    </row>
    <row r="1022" spans="1:18" ht="30" hidden="1" x14ac:dyDescent="0.3">
      <c r="A1022" s="318" t="e">
        <f>#REF!</f>
        <v>#REF!</v>
      </c>
      <c r="B1022" s="305" t="e">
        <f>#REF!</f>
        <v>#REF!</v>
      </c>
      <c r="C1022" s="305" t="str">
        <f>'Danh sách máy'!C1065</f>
        <v>MKQC</v>
      </c>
      <c r="D1022" s="90" t="e">
        <f>#REF!</f>
        <v>#REF!</v>
      </c>
      <c r="E1022" s="97">
        <f>'Danh sách máy'!E1065</f>
        <v>0</v>
      </c>
      <c r="F1022" s="206" t="e">
        <f>#REF!</f>
        <v>#REF!</v>
      </c>
      <c r="G1022" s="102" t="e">
        <f>#REF!</f>
        <v>#REF!</v>
      </c>
      <c r="H1022" s="102" t="e">
        <f>#REF!</f>
        <v>#REF!</v>
      </c>
      <c r="K1022" s="210" t="e">
        <f>#REF!</f>
        <v>#REF!</v>
      </c>
      <c r="L1022" s="210">
        <v>45291</v>
      </c>
      <c r="M1022" s="210"/>
      <c r="N1022" s="210">
        <f>'Danh sách máy'!F1065</f>
        <v>0</v>
      </c>
      <c r="O1022" s="211" t="str" cm="1">
        <f t="array" ref="O1022">IF(L1022&lt;&gt;0,IF(L1022&lt;I1022,"OK","NG"),Blank)</f>
        <v>NG</v>
      </c>
      <c r="P1022" s="211" t="e" cm="1">
        <f t="array" ref="P1022">IF(M1022&lt;&gt;0,IF(M1022&lt;J1022,"OK","NG"),Blank)</f>
        <v>#NAME?</v>
      </c>
      <c r="Q1022" s="211" t="e" cm="1">
        <f t="array" ref="Q1022">IF(H1022&lt;&gt;"Stop",IF(N1022&lt;&gt;0,IF(N1022&lt;=K1022,"OK","NG"),Blank),"-")</f>
        <v>#REF!</v>
      </c>
      <c r="R1022" s="326" t="e" cm="1">
        <f t="array" ref="R1022">IF(H1022&lt;&gt;"Stop",IF(E1022&lt;&gt;0,IF(E1022&lt;=K1022,"OK","NG"),Blank),"-")</f>
        <v>#REF!</v>
      </c>
    </row>
    <row r="1023" spans="1:18" ht="30" hidden="1" x14ac:dyDescent="0.3">
      <c r="A1023" s="318" t="e">
        <f>#REF!</f>
        <v>#REF!</v>
      </c>
      <c r="B1023" s="305" t="e">
        <f>#REF!</f>
        <v>#REF!</v>
      </c>
      <c r="C1023" s="305" t="str">
        <f>'Danh sách máy'!C1066</f>
        <v>MKQC</v>
      </c>
      <c r="D1023" s="90" t="e">
        <f>#REF!</f>
        <v>#REF!</v>
      </c>
      <c r="E1023" s="97">
        <f>'Danh sách máy'!E1066</f>
        <v>0</v>
      </c>
      <c r="F1023" s="206" t="e">
        <f>#REF!</f>
        <v>#REF!</v>
      </c>
      <c r="G1023" s="102" t="e">
        <f>#REF!</f>
        <v>#REF!</v>
      </c>
      <c r="H1023" s="102" t="e">
        <f>#REF!</f>
        <v>#REF!</v>
      </c>
      <c r="K1023" s="210" t="e">
        <f>#REF!</f>
        <v>#REF!</v>
      </c>
      <c r="L1023" s="210">
        <v>45292</v>
      </c>
      <c r="M1023" s="210"/>
      <c r="N1023" s="210">
        <f>'Danh sách máy'!F1066</f>
        <v>0</v>
      </c>
      <c r="O1023" s="211" t="str" cm="1">
        <f t="array" ref="O1023">IF(L1023&lt;&gt;0,IF(L1023&lt;I1023,"OK","NG"),Blank)</f>
        <v>NG</v>
      </c>
      <c r="P1023" s="211" t="e" cm="1">
        <f t="array" ref="P1023">IF(M1023&lt;&gt;0,IF(M1023&lt;J1023,"OK","NG"),Blank)</f>
        <v>#NAME?</v>
      </c>
      <c r="Q1023" s="211" t="e" cm="1">
        <f t="array" ref="Q1023">IF(H1023&lt;&gt;"Stop",IF(N1023&lt;&gt;0,IF(N1023&lt;=K1023,"OK","NG"),Blank),"-")</f>
        <v>#REF!</v>
      </c>
      <c r="R1023" s="326" t="e" cm="1">
        <f t="array" ref="R1023">IF(H1023&lt;&gt;"Stop",IF(E1023&lt;&gt;0,IF(E1023&lt;=K1023,"OK","NG"),Blank),"-")</f>
        <v>#REF!</v>
      </c>
    </row>
    <row r="1024" spans="1:18" ht="30" hidden="1" x14ac:dyDescent="0.3">
      <c r="A1024" s="318" t="e">
        <f>#REF!</f>
        <v>#REF!</v>
      </c>
      <c r="B1024" s="305" t="e">
        <f>#REF!</f>
        <v>#REF!</v>
      </c>
      <c r="C1024" s="305" t="str">
        <f>'Danh sách máy'!C1067</f>
        <v>MKQC</v>
      </c>
      <c r="D1024" s="90" t="e">
        <f>#REF!</f>
        <v>#REF!</v>
      </c>
      <c r="E1024" s="97">
        <f>'Danh sách máy'!E1067</f>
        <v>0</v>
      </c>
      <c r="F1024" s="206" t="e">
        <f>#REF!</f>
        <v>#REF!</v>
      </c>
      <c r="G1024" s="102" t="e">
        <f>#REF!</f>
        <v>#REF!</v>
      </c>
      <c r="H1024" s="102" t="e">
        <f>#REF!</f>
        <v>#REF!</v>
      </c>
      <c r="K1024" s="210" t="e">
        <f>#REF!</f>
        <v>#REF!</v>
      </c>
      <c r="L1024" s="210">
        <v>45293</v>
      </c>
      <c r="M1024" s="210"/>
      <c r="N1024" s="210">
        <f>'Danh sách máy'!F1067</f>
        <v>0</v>
      </c>
      <c r="O1024" s="211" t="str" cm="1">
        <f t="array" ref="O1024">IF(L1024&lt;&gt;0,IF(L1024&lt;I1024,"OK","NG"),Blank)</f>
        <v>NG</v>
      </c>
      <c r="P1024" s="211" t="e" cm="1">
        <f t="array" ref="P1024">IF(M1024&lt;&gt;0,IF(M1024&lt;J1024,"OK","NG"),Blank)</f>
        <v>#NAME?</v>
      </c>
      <c r="Q1024" s="211" t="e" cm="1">
        <f t="array" ref="Q1024">IF(H1024&lt;&gt;"Stop",IF(N1024&lt;&gt;0,IF(N1024&lt;=K1024,"OK","NG"),Blank),"-")</f>
        <v>#REF!</v>
      </c>
      <c r="R1024" s="326" t="e" cm="1">
        <f t="array" ref="R1024">IF(H1024&lt;&gt;"Stop",IF(E1024&lt;&gt;0,IF(E1024&lt;=K1024,"OK","NG"),Blank),"-")</f>
        <v>#REF!</v>
      </c>
    </row>
    <row r="1025" spans="1:18" ht="30" hidden="1" x14ac:dyDescent="0.3">
      <c r="A1025" s="318" t="e">
        <f>#REF!</f>
        <v>#REF!</v>
      </c>
      <c r="B1025" s="305" t="e">
        <f>#REF!</f>
        <v>#REF!</v>
      </c>
      <c r="C1025" s="305" t="str">
        <f>'Danh sách máy'!C1068</f>
        <v>MKQC</v>
      </c>
      <c r="D1025" s="90" t="e">
        <f>#REF!</f>
        <v>#REF!</v>
      </c>
      <c r="E1025" s="97">
        <f>'Danh sách máy'!E1068</f>
        <v>0</v>
      </c>
      <c r="F1025" s="206" t="e">
        <f>#REF!</f>
        <v>#REF!</v>
      </c>
      <c r="G1025" s="102" t="e">
        <f>#REF!</f>
        <v>#REF!</v>
      </c>
      <c r="H1025" s="102" t="e">
        <f>#REF!</f>
        <v>#REF!</v>
      </c>
      <c r="K1025" s="210" t="e">
        <f>#REF!</f>
        <v>#REF!</v>
      </c>
      <c r="L1025" s="210">
        <v>45294</v>
      </c>
      <c r="M1025" s="210"/>
      <c r="N1025" s="210">
        <f>'Danh sách máy'!F1068</f>
        <v>0</v>
      </c>
      <c r="O1025" s="211" t="str" cm="1">
        <f t="array" ref="O1025">IF(L1025&lt;&gt;0,IF(L1025&lt;I1025,"OK","NG"),Blank)</f>
        <v>NG</v>
      </c>
      <c r="P1025" s="211" t="e" cm="1">
        <f t="array" ref="P1025">IF(M1025&lt;&gt;0,IF(M1025&lt;J1025,"OK","NG"),Blank)</f>
        <v>#NAME?</v>
      </c>
      <c r="Q1025" s="211" t="e" cm="1">
        <f t="array" ref="Q1025">IF(H1025&lt;&gt;"Stop",IF(N1025&lt;&gt;0,IF(N1025&lt;=K1025,"OK","NG"),Blank),"-")</f>
        <v>#REF!</v>
      </c>
      <c r="R1025" s="326" t="e" cm="1">
        <f t="array" ref="R1025">IF(H1025&lt;&gt;"Stop",IF(E1025&lt;&gt;0,IF(E1025&lt;=K1025,"OK","NG"),Blank),"-")</f>
        <v>#REF!</v>
      </c>
    </row>
    <row r="1026" spans="1:18" ht="30" hidden="1" x14ac:dyDescent="0.3">
      <c r="A1026" s="318" t="e">
        <f>#REF!</f>
        <v>#REF!</v>
      </c>
      <c r="B1026" s="305" t="e">
        <f>#REF!</f>
        <v>#REF!</v>
      </c>
      <c r="C1026" s="305" t="str">
        <f>'Danh sách máy'!C1069</f>
        <v>MKQC</v>
      </c>
      <c r="D1026" s="90" t="e">
        <f>#REF!</f>
        <v>#REF!</v>
      </c>
      <c r="E1026" s="97">
        <f>'Danh sách máy'!E1069</f>
        <v>0</v>
      </c>
      <c r="F1026" s="206" t="e">
        <f>#REF!</f>
        <v>#REF!</v>
      </c>
      <c r="G1026" s="102" t="e">
        <f>#REF!</f>
        <v>#REF!</v>
      </c>
      <c r="H1026" s="102" t="e">
        <f>#REF!</f>
        <v>#REF!</v>
      </c>
      <c r="K1026" s="210" t="e">
        <f>#REF!</f>
        <v>#REF!</v>
      </c>
      <c r="L1026" s="210">
        <v>45295</v>
      </c>
      <c r="M1026" s="210"/>
      <c r="N1026" s="210">
        <f>'Danh sách máy'!F1069</f>
        <v>0</v>
      </c>
      <c r="O1026" s="211" t="str" cm="1">
        <f t="array" ref="O1026">IF(L1026&lt;&gt;0,IF(L1026&lt;I1026,"OK","NG"),Blank)</f>
        <v>NG</v>
      </c>
      <c r="P1026" s="211" t="e" cm="1">
        <f t="array" ref="P1026">IF(M1026&lt;&gt;0,IF(M1026&lt;J1026,"OK","NG"),Blank)</f>
        <v>#NAME?</v>
      </c>
      <c r="Q1026" s="211" t="e" cm="1">
        <f t="array" ref="Q1026">IF(H1026&lt;&gt;"Stop",IF(N1026&lt;&gt;0,IF(N1026&lt;=K1026,"OK","NG"),Blank),"-")</f>
        <v>#REF!</v>
      </c>
      <c r="R1026" s="326" t="e" cm="1">
        <f t="array" ref="R1026">IF(H1026&lt;&gt;"Stop",IF(E1026&lt;&gt;0,IF(E1026&lt;=K1026,"OK","NG"),Blank),"-")</f>
        <v>#REF!</v>
      </c>
    </row>
    <row r="1027" spans="1:18" ht="30" hidden="1" x14ac:dyDescent="0.3">
      <c r="A1027" s="318" t="e">
        <f>#REF!</f>
        <v>#REF!</v>
      </c>
      <c r="B1027" s="305" t="e">
        <f>#REF!</f>
        <v>#REF!</v>
      </c>
      <c r="C1027" s="305" t="str">
        <f>'Danh sách máy'!C1070</f>
        <v>MKQC</v>
      </c>
      <c r="D1027" s="90" t="e">
        <f>#REF!</f>
        <v>#REF!</v>
      </c>
      <c r="E1027" s="97">
        <f>'Danh sách máy'!E1070</f>
        <v>0</v>
      </c>
      <c r="F1027" s="206" t="e">
        <f>#REF!</f>
        <v>#REF!</v>
      </c>
      <c r="G1027" s="102" t="e">
        <f>#REF!</f>
        <v>#REF!</v>
      </c>
      <c r="H1027" s="102" t="e">
        <f>#REF!</f>
        <v>#REF!</v>
      </c>
      <c r="K1027" s="210" t="e">
        <f>#REF!</f>
        <v>#REF!</v>
      </c>
      <c r="L1027" s="210">
        <v>45296</v>
      </c>
      <c r="M1027" s="210"/>
      <c r="N1027" s="210">
        <f>'Danh sách máy'!F1070</f>
        <v>0</v>
      </c>
      <c r="O1027" s="211" t="str" cm="1">
        <f t="array" ref="O1027">IF(L1027&lt;&gt;0,IF(L1027&lt;I1027,"OK","NG"),Blank)</f>
        <v>NG</v>
      </c>
      <c r="P1027" s="211" t="e" cm="1">
        <f t="array" ref="P1027">IF(M1027&lt;&gt;0,IF(M1027&lt;J1027,"OK","NG"),Blank)</f>
        <v>#NAME?</v>
      </c>
      <c r="Q1027" s="211" t="e" cm="1">
        <f t="array" ref="Q1027">IF(H1027&lt;&gt;"Stop",IF(N1027&lt;&gt;0,IF(N1027&lt;=K1027,"OK","NG"),Blank),"-")</f>
        <v>#REF!</v>
      </c>
      <c r="R1027" s="326" t="e" cm="1">
        <f t="array" ref="R1027">IF(H1027&lt;&gt;"Stop",IF(E1027&lt;&gt;0,IF(E1027&lt;=K1027,"OK","NG"),Blank),"-")</f>
        <v>#REF!</v>
      </c>
    </row>
    <row r="1028" spans="1:18" ht="30" hidden="1" x14ac:dyDescent="0.3">
      <c r="A1028" s="318" t="e">
        <f>#REF!</f>
        <v>#REF!</v>
      </c>
      <c r="B1028" s="305" t="e">
        <f>#REF!</f>
        <v>#REF!</v>
      </c>
      <c r="C1028" s="305" t="str">
        <f>'Danh sách máy'!C1071</f>
        <v>MKQC</v>
      </c>
      <c r="D1028" s="90" t="e">
        <f>#REF!</f>
        <v>#REF!</v>
      </c>
      <c r="E1028" s="97">
        <f>'Danh sách máy'!E1071</f>
        <v>0</v>
      </c>
      <c r="F1028" s="206" t="e">
        <f>#REF!</f>
        <v>#REF!</v>
      </c>
      <c r="G1028" s="102" t="e">
        <f>#REF!</f>
        <v>#REF!</v>
      </c>
      <c r="H1028" s="102" t="e">
        <f>#REF!</f>
        <v>#REF!</v>
      </c>
      <c r="K1028" s="210" t="e">
        <f>#REF!</f>
        <v>#REF!</v>
      </c>
      <c r="L1028" s="210">
        <v>45297</v>
      </c>
      <c r="M1028" s="210"/>
      <c r="N1028" s="210">
        <f>'Danh sách máy'!F1071</f>
        <v>0</v>
      </c>
      <c r="O1028" s="211" t="str" cm="1">
        <f t="array" ref="O1028">IF(L1028&lt;&gt;0,IF(L1028&lt;I1028,"OK","NG"),Blank)</f>
        <v>NG</v>
      </c>
      <c r="P1028" s="211" t="e" cm="1">
        <f t="array" ref="P1028">IF(M1028&lt;&gt;0,IF(M1028&lt;J1028,"OK","NG"),Blank)</f>
        <v>#NAME?</v>
      </c>
      <c r="Q1028" s="211" t="e" cm="1">
        <f t="array" ref="Q1028">IF(H1028&lt;&gt;"Stop",IF(N1028&lt;&gt;0,IF(N1028&lt;=K1028,"OK","NG"),Blank),"-")</f>
        <v>#REF!</v>
      </c>
      <c r="R1028" s="326" t="e" cm="1">
        <f t="array" ref="R1028">IF(H1028&lt;&gt;"Stop",IF(E1028&lt;&gt;0,IF(E1028&lt;=K1028,"OK","NG"),Blank),"-")</f>
        <v>#REF!</v>
      </c>
    </row>
    <row r="1029" spans="1:18" ht="30" hidden="1" x14ac:dyDescent="0.3">
      <c r="A1029" s="318" t="e">
        <f>#REF!</f>
        <v>#REF!</v>
      </c>
      <c r="B1029" s="305" t="e">
        <f>#REF!</f>
        <v>#REF!</v>
      </c>
      <c r="C1029" s="305" t="str">
        <f>'Danh sách máy'!C1072</f>
        <v>MKQC</v>
      </c>
      <c r="D1029" s="90" t="e">
        <f>#REF!</f>
        <v>#REF!</v>
      </c>
      <c r="E1029" s="97">
        <f>'Danh sách máy'!E1072</f>
        <v>0</v>
      </c>
      <c r="F1029" s="206" t="e">
        <f>#REF!</f>
        <v>#REF!</v>
      </c>
      <c r="G1029" s="102" t="e">
        <f>#REF!</f>
        <v>#REF!</v>
      </c>
      <c r="H1029" s="102" t="e">
        <f>#REF!</f>
        <v>#REF!</v>
      </c>
      <c r="K1029" s="210" t="e">
        <f>#REF!</f>
        <v>#REF!</v>
      </c>
      <c r="L1029" s="210">
        <v>45298</v>
      </c>
      <c r="M1029" s="210"/>
      <c r="N1029" s="210">
        <f>'Danh sách máy'!F1072</f>
        <v>0</v>
      </c>
      <c r="O1029" s="211" t="str" cm="1">
        <f t="array" ref="O1029">IF(L1029&lt;&gt;0,IF(L1029&lt;I1029,"OK","NG"),Blank)</f>
        <v>NG</v>
      </c>
      <c r="P1029" s="211" t="e" cm="1">
        <f t="array" ref="P1029">IF(M1029&lt;&gt;0,IF(M1029&lt;J1029,"OK","NG"),Blank)</f>
        <v>#NAME?</v>
      </c>
      <c r="Q1029" s="211" t="e" cm="1">
        <f t="array" ref="Q1029">IF(H1029&lt;&gt;"Stop",IF(N1029&lt;&gt;0,IF(N1029&lt;=K1029,"OK","NG"),Blank),"-")</f>
        <v>#REF!</v>
      </c>
      <c r="R1029" s="326" t="e" cm="1">
        <f t="array" ref="R1029">IF(H1029&lt;&gt;"Stop",IF(E1029&lt;&gt;0,IF(E1029&lt;=K1029,"OK","NG"),Blank),"-")</f>
        <v>#REF!</v>
      </c>
    </row>
    <row r="1030" spans="1:18" ht="30" hidden="1" x14ac:dyDescent="0.3">
      <c r="A1030" s="318" t="e">
        <f>#REF!</f>
        <v>#REF!</v>
      </c>
      <c r="B1030" s="305" t="e">
        <f>#REF!</f>
        <v>#REF!</v>
      </c>
      <c r="C1030" s="305" t="str">
        <f>'Danh sách máy'!C1073</f>
        <v>MKQC</v>
      </c>
      <c r="D1030" s="90" t="e">
        <f>#REF!</f>
        <v>#REF!</v>
      </c>
      <c r="E1030" s="97">
        <f>'Danh sách máy'!E1073</f>
        <v>0</v>
      </c>
      <c r="F1030" s="206" t="e">
        <f>#REF!</f>
        <v>#REF!</v>
      </c>
      <c r="G1030" s="102" t="e">
        <f>#REF!</f>
        <v>#REF!</v>
      </c>
      <c r="H1030" s="102" t="e">
        <f>#REF!</f>
        <v>#REF!</v>
      </c>
      <c r="K1030" s="210" t="e">
        <f>#REF!</f>
        <v>#REF!</v>
      </c>
      <c r="L1030" s="210">
        <v>45299</v>
      </c>
      <c r="M1030" s="210"/>
      <c r="N1030" s="210">
        <f>'Danh sách máy'!F1073</f>
        <v>0</v>
      </c>
      <c r="O1030" s="211" t="str" cm="1">
        <f t="array" ref="O1030">IF(L1030&lt;&gt;0,IF(L1030&lt;I1030,"OK","NG"),Blank)</f>
        <v>NG</v>
      </c>
      <c r="P1030" s="211" t="e" cm="1">
        <f t="array" ref="P1030">IF(M1030&lt;&gt;0,IF(M1030&lt;J1030,"OK","NG"),Blank)</f>
        <v>#NAME?</v>
      </c>
      <c r="Q1030" s="211" t="e" cm="1">
        <f t="array" ref="Q1030">IF(H1030&lt;&gt;"Stop",IF(N1030&lt;&gt;0,IF(N1030&lt;=K1030,"OK","NG"),Blank),"-")</f>
        <v>#REF!</v>
      </c>
      <c r="R1030" s="326" t="e" cm="1">
        <f t="array" ref="R1030">IF(H1030&lt;&gt;"Stop",IF(E1030&lt;&gt;0,IF(E1030&lt;=K1030,"OK","NG"),Blank),"-")</f>
        <v>#REF!</v>
      </c>
    </row>
    <row r="1031" spans="1:18" ht="30" hidden="1" x14ac:dyDescent="0.3">
      <c r="A1031" s="318" t="e">
        <f>#REF!</f>
        <v>#REF!</v>
      </c>
      <c r="B1031" s="305" t="e">
        <f>#REF!</f>
        <v>#REF!</v>
      </c>
      <c r="C1031" s="305" t="str">
        <f>'Danh sách máy'!C1074</f>
        <v>MKQC</v>
      </c>
      <c r="D1031" s="90" t="e">
        <f>#REF!</f>
        <v>#REF!</v>
      </c>
      <c r="E1031" s="97">
        <f>'Danh sách máy'!E1074</f>
        <v>0</v>
      </c>
      <c r="F1031" s="206" t="e">
        <f>#REF!</f>
        <v>#REF!</v>
      </c>
      <c r="G1031" s="102" t="e">
        <f>#REF!</f>
        <v>#REF!</v>
      </c>
      <c r="H1031" s="102" t="e">
        <f>#REF!</f>
        <v>#REF!</v>
      </c>
      <c r="K1031" s="210" t="e">
        <f>#REF!</f>
        <v>#REF!</v>
      </c>
      <c r="L1031" s="210">
        <v>45300</v>
      </c>
      <c r="M1031" s="210"/>
      <c r="N1031" s="210">
        <f>'Danh sách máy'!F1074</f>
        <v>0</v>
      </c>
      <c r="O1031" s="211" t="str" cm="1">
        <f t="array" ref="O1031">IF(L1031&lt;&gt;0,IF(L1031&lt;I1031,"OK","NG"),Blank)</f>
        <v>NG</v>
      </c>
      <c r="P1031" s="211" t="e" cm="1">
        <f t="array" ref="P1031">IF(M1031&lt;&gt;0,IF(M1031&lt;J1031,"OK","NG"),Blank)</f>
        <v>#NAME?</v>
      </c>
      <c r="Q1031" s="211" t="e" cm="1">
        <f t="array" ref="Q1031">IF(H1031&lt;&gt;"Stop",IF(N1031&lt;&gt;0,IF(N1031&lt;=K1031,"OK","NG"),Blank),"-")</f>
        <v>#REF!</v>
      </c>
      <c r="R1031" s="326" t="e" cm="1">
        <f t="array" ref="R1031">IF(H1031&lt;&gt;"Stop",IF(E1031&lt;&gt;0,IF(E1031&lt;=K1031,"OK","NG"),Blank),"-")</f>
        <v>#REF!</v>
      </c>
    </row>
    <row r="1032" spans="1:18" ht="30" hidden="1" x14ac:dyDescent="0.3">
      <c r="A1032" s="318" t="e">
        <f>#REF!</f>
        <v>#REF!</v>
      </c>
      <c r="B1032" s="305" t="e">
        <f>#REF!</f>
        <v>#REF!</v>
      </c>
      <c r="C1032" s="305" t="str">
        <f>'Danh sách máy'!C1075</f>
        <v>MKQC</v>
      </c>
      <c r="D1032" s="90" t="e">
        <f>#REF!</f>
        <v>#REF!</v>
      </c>
      <c r="E1032" s="97">
        <f>'Danh sách máy'!E1075</f>
        <v>0</v>
      </c>
      <c r="F1032" s="206" t="e">
        <f>#REF!</f>
        <v>#REF!</v>
      </c>
      <c r="G1032" s="102" t="e">
        <f>#REF!</f>
        <v>#REF!</v>
      </c>
      <c r="H1032" s="102" t="e">
        <f>#REF!</f>
        <v>#REF!</v>
      </c>
      <c r="K1032" s="210" t="e">
        <f>#REF!</f>
        <v>#REF!</v>
      </c>
      <c r="L1032" s="210">
        <v>45301</v>
      </c>
      <c r="M1032" s="210"/>
      <c r="N1032" s="210">
        <f>'Danh sách máy'!F1075</f>
        <v>0</v>
      </c>
      <c r="O1032" s="211" t="str" cm="1">
        <f t="array" ref="O1032">IF(L1032&lt;&gt;0,IF(L1032&lt;I1032,"OK","NG"),Blank)</f>
        <v>NG</v>
      </c>
      <c r="P1032" s="211" t="e" cm="1">
        <f t="array" ref="P1032">IF(M1032&lt;&gt;0,IF(M1032&lt;J1032,"OK","NG"),Blank)</f>
        <v>#NAME?</v>
      </c>
      <c r="Q1032" s="211" t="e" cm="1">
        <f t="array" ref="Q1032">IF(H1032&lt;&gt;"Stop",IF(N1032&lt;&gt;0,IF(N1032&lt;=K1032,"OK","NG"),Blank),"-")</f>
        <v>#REF!</v>
      </c>
      <c r="R1032" s="326" t="e" cm="1">
        <f t="array" ref="R1032">IF(H1032&lt;&gt;"Stop",IF(E1032&lt;&gt;0,IF(E1032&lt;=K1032,"OK","NG"),Blank),"-")</f>
        <v>#REF!</v>
      </c>
    </row>
    <row r="1033" spans="1:18" ht="30" hidden="1" x14ac:dyDescent="0.3">
      <c r="A1033" s="318" t="e">
        <f>#REF!</f>
        <v>#REF!</v>
      </c>
      <c r="B1033" s="305" t="e">
        <f>#REF!</f>
        <v>#REF!</v>
      </c>
      <c r="C1033" s="305" t="str">
        <f>'Danh sách máy'!C1076</f>
        <v>MKQC</v>
      </c>
      <c r="D1033" s="90" t="e">
        <f>#REF!</f>
        <v>#REF!</v>
      </c>
      <c r="E1033" s="97">
        <f>'Danh sách máy'!E1076</f>
        <v>0</v>
      </c>
      <c r="F1033" s="206" t="e">
        <f>#REF!</f>
        <v>#REF!</v>
      </c>
      <c r="G1033" s="102" t="e">
        <f>#REF!</f>
        <v>#REF!</v>
      </c>
      <c r="H1033" s="102" t="e">
        <f>#REF!</f>
        <v>#REF!</v>
      </c>
      <c r="K1033" s="210" t="e">
        <f>#REF!</f>
        <v>#REF!</v>
      </c>
      <c r="L1033" s="210">
        <v>45302</v>
      </c>
      <c r="M1033" s="210"/>
      <c r="N1033" s="210">
        <f>'Danh sách máy'!F1076</f>
        <v>0</v>
      </c>
      <c r="O1033" s="211" t="str" cm="1">
        <f t="array" ref="O1033">IF(L1033&lt;&gt;0,IF(L1033&lt;I1033,"OK","NG"),Blank)</f>
        <v>NG</v>
      </c>
      <c r="P1033" s="211" t="e" cm="1">
        <f t="array" ref="P1033">IF(M1033&lt;&gt;0,IF(M1033&lt;J1033,"OK","NG"),Blank)</f>
        <v>#NAME?</v>
      </c>
      <c r="Q1033" s="211" t="e" cm="1">
        <f t="array" ref="Q1033">IF(H1033&lt;&gt;"Stop",IF(N1033&lt;&gt;0,IF(N1033&lt;=K1033,"OK","NG"),Blank),"-")</f>
        <v>#REF!</v>
      </c>
      <c r="R1033" s="326" t="e" cm="1">
        <f t="array" ref="R1033">IF(H1033&lt;&gt;"Stop",IF(E1033&lt;&gt;0,IF(E1033&lt;=K1033,"OK","NG"),Blank),"-")</f>
        <v>#REF!</v>
      </c>
    </row>
    <row r="1034" spans="1:18" ht="30" hidden="1" x14ac:dyDescent="0.3">
      <c r="A1034" s="318" t="e">
        <f>#REF!</f>
        <v>#REF!</v>
      </c>
      <c r="B1034" s="305" t="e">
        <f>#REF!</f>
        <v>#REF!</v>
      </c>
      <c r="C1034" s="305" t="str">
        <f>'Danh sách máy'!C1077</f>
        <v>MKQC</v>
      </c>
      <c r="D1034" s="90" t="e">
        <f>#REF!</f>
        <v>#REF!</v>
      </c>
      <c r="E1034" s="97">
        <f>'Danh sách máy'!E1077</f>
        <v>0</v>
      </c>
      <c r="F1034" s="206" t="e">
        <f>#REF!</f>
        <v>#REF!</v>
      </c>
      <c r="G1034" s="102" t="e">
        <f>#REF!</f>
        <v>#REF!</v>
      </c>
      <c r="H1034" s="102" t="e">
        <f>#REF!</f>
        <v>#REF!</v>
      </c>
      <c r="K1034" s="210" t="e">
        <f>#REF!</f>
        <v>#REF!</v>
      </c>
      <c r="L1034" s="210">
        <v>45303</v>
      </c>
      <c r="M1034" s="210"/>
      <c r="N1034" s="210">
        <f>'Danh sách máy'!F1077</f>
        <v>0</v>
      </c>
      <c r="O1034" s="211" t="str" cm="1">
        <f t="array" ref="O1034">IF(L1034&lt;&gt;0,IF(L1034&lt;I1034,"OK","NG"),Blank)</f>
        <v>NG</v>
      </c>
      <c r="P1034" s="211" t="e" cm="1">
        <f t="array" ref="P1034">IF(M1034&lt;&gt;0,IF(M1034&lt;J1034,"OK","NG"),Blank)</f>
        <v>#NAME?</v>
      </c>
      <c r="Q1034" s="211" t="e" cm="1">
        <f t="array" ref="Q1034">IF(H1034&lt;&gt;"Stop",IF(N1034&lt;&gt;0,IF(N1034&lt;=K1034,"OK","NG"),Blank),"-")</f>
        <v>#REF!</v>
      </c>
      <c r="R1034" s="326" t="e" cm="1">
        <f t="array" ref="R1034">IF(H1034&lt;&gt;"Stop",IF(E1034&lt;&gt;0,IF(E1034&lt;=K1034,"OK","NG"),Blank),"-")</f>
        <v>#REF!</v>
      </c>
    </row>
    <row r="1035" spans="1:18" ht="30" hidden="1" x14ac:dyDescent="0.3">
      <c r="A1035" s="318" t="e">
        <f>#REF!</f>
        <v>#REF!</v>
      </c>
      <c r="B1035" s="305" t="e">
        <f>#REF!</f>
        <v>#REF!</v>
      </c>
      <c r="C1035" s="305" t="str">
        <f>'Danh sách máy'!C1078</f>
        <v>MKQC</v>
      </c>
      <c r="D1035" s="90" t="e">
        <f>#REF!</f>
        <v>#REF!</v>
      </c>
      <c r="E1035" s="97">
        <f>'Danh sách máy'!E1078</f>
        <v>0</v>
      </c>
      <c r="F1035" s="206" t="e">
        <f>#REF!</f>
        <v>#REF!</v>
      </c>
      <c r="G1035" s="102" t="e">
        <f>#REF!</f>
        <v>#REF!</v>
      </c>
      <c r="H1035" s="102" t="e">
        <f>#REF!</f>
        <v>#REF!</v>
      </c>
      <c r="K1035" s="210" t="e">
        <f>#REF!</f>
        <v>#REF!</v>
      </c>
      <c r="L1035" s="210">
        <v>45304</v>
      </c>
      <c r="M1035" s="210"/>
      <c r="N1035" s="210">
        <f>'Danh sách máy'!F1078</f>
        <v>0</v>
      </c>
      <c r="O1035" s="211" t="str" cm="1">
        <f t="array" ref="O1035">IF(L1035&lt;&gt;0,IF(L1035&lt;I1035,"OK","NG"),Blank)</f>
        <v>NG</v>
      </c>
      <c r="P1035" s="211" t="e" cm="1">
        <f t="array" ref="P1035">IF(M1035&lt;&gt;0,IF(M1035&lt;J1035,"OK","NG"),Blank)</f>
        <v>#NAME?</v>
      </c>
      <c r="Q1035" s="211" t="e" cm="1">
        <f t="array" ref="Q1035">IF(H1035&lt;&gt;"Stop",IF(N1035&lt;&gt;0,IF(N1035&lt;=K1035,"OK","NG"),Blank),"-")</f>
        <v>#REF!</v>
      </c>
      <c r="R1035" s="326" t="e" cm="1">
        <f t="array" ref="R1035">IF(H1035&lt;&gt;"Stop",IF(E1035&lt;&gt;0,IF(E1035&lt;=K1035,"OK","NG"),Blank),"-")</f>
        <v>#REF!</v>
      </c>
    </row>
    <row r="1036" spans="1:18" ht="30" hidden="1" x14ac:dyDescent="0.3">
      <c r="A1036" s="318" t="e">
        <f>#REF!</f>
        <v>#REF!</v>
      </c>
      <c r="B1036" s="305" t="e">
        <f>#REF!</f>
        <v>#REF!</v>
      </c>
      <c r="C1036" s="305" t="str">
        <f>'Danh sách máy'!C1079</f>
        <v>MKQC</v>
      </c>
      <c r="D1036" s="90" t="e">
        <f>#REF!</f>
        <v>#REF!</v>
      </c>
      <c r="E1036" s="97">
        <f>'Danh sách máy'!E1079</f>
        <v>0</v>
      </c>
      <c r="F1036" s="206" t="e">
        <f>#REF!</f>
        <v>#REF!</v>
      </c>
      <c r="G1036" s="102" t="e">
        <f>#REF!</f>
        <v>#REF!</v>
      </c>
      <c r="H1036" s="102" t="e">
        <f>#REF!</f>
        <v>#REF!</v>
      </c>
      <c r="K1036" s="210" t="e">
        <f>#REF!</f>
        <v>#REF!</v>
      </c>
      <c r="L1036" s="210">
        <v>45305</v>
      </c>
      <c r="M1036" s="210"/>
      <c r="N1036" s="210">
        <f>'Danh sách máy'!F1079</f>
        <v>0</v>
      </c>
      <c r="O1036" s="211" t="str" cm="1">
        <f t="array" ref="O1036">IF(L1036&lt;&gt;0,IF(L1036&lt;I1036,"OK","NG"),Blank)</f>
        <v>NG</v>
      </c>
      <c r="P1036" s="211" t="e" cm="1">
        <f t="array" ref="P1036">IF(M1036&lt;&gt;0,IF(M1036&lt;J1036,"OK","NG"),Blank)</f>
        <v>#NAME?</v>
      </c>
      <c r="Q1036" s="211" t="e" cm="1">
        <f t="array" ref="Q1036">IF(H1036&lt;&gt;"Stop",IF(N1036&lt;&gt;0,IF(N1036&lt;=K1036,"OK","NG"),Blank),"-")</f>
        <v>#REF!</v>
      </c>
      <c r="R1036" s="326" t="e" cm="1">
        <f t="array" ref="R1036">IF(H1036&lt;&gt;"Stop",IF(E1036&lt;&gt;0,IF(E1036&lt;=K1036,"OK","NG"),Blank),"-")</f>
        <v>#REF!</v>
      </c>
    </row>
    <row r="1037" spans="1:18" ht="30" hidden="1" x14ac:dyDescent="0.3">
      <c r="A1037" s="318" t="e">
        <f>#REF!</f>
        <v>#REF!</v>
      </c>
      <c r="B1037" s="305" t="e">
        <f>#REF!</f>
        <v>#REF!</v>
      </c>
      <c r="C1037" s="305" t="str">
        <f>'Danh sách máy'!C1080</f>
        <v>MKQC</v>
      </c>
      <c r="D1037" s="90" t="e">
        <f>#REF!</f>
        <v>#REF!</v>
      </c>
      <c r="E1037" s="97">
        <f>'Danh sách máy'!E1080</f>
        <v>0</v>
      </c>
      <c r="F1037" s="206" t="e">
        <f>#REF!</f>
        <v>#REF!</v>
      </c>
      <c r="G1037" s="102" t="e">
        <f>#REF!</f>
        <v>#REF!</v>
      </c>
      <c r="H1037" s="102" t="e">
        <f>#REF!</f>
        <v>#REF!</v>
      </c>
      <c r="K1037" s="210" t="e">
        <f>#REF!</f>
        <v>#REF!</v>
      </c>
      <c r="L1037" s="210">
        <v>45306</v>
      </c>
      <c r="M1037" s="210"/>
      <c r="N1037" s="210">
        <f>'Danh sách máy'!F1080</f>
        <v>0</v>
      </c>
      <c r="O1037" s="211" t="str" cm="1">
        <f t="array" ref="O1037">IF(L1037&lt;&gt;0,IF(L1037&lt;I1037,"OK","NG"),Blank)</f>
        <v>NG</v>
      </c>
      <c r="P1037" s="211" t="e" cm="1">
        <f t="array" ref="P1037">IF(M1037&lt;&gt;0,IF(M1037&lt;J1037,"OK","NG"),Blank)</f>
        <v>#NAME?</v>
      </c>
      <c r="Q1037" s="211" t="e" cm="1">
        <f t="array" ref="Q1037">IF(H1037&lt;&gt;"Stop",IF(N1037&lt;&gt;0,IF(N1037&lt;=K1037,"OK","NG"),Blank),"-")</f>
        <v>#REF!</v>
      </c>
      <c r="R1037" s="326" t="e" cm="1">
        <f t="array" ref="R1037">IF(H1037&lt;&gt;"Stop",IF(E1037&lt;&gt;0,IF(E1037&lt;=K1037,"OK","NG"),Blank),"-")</f>
        <v>#REF!</v>
      </c>
    </row>
    <row r="1038" spans="1:18" ht="30" hidden="1" x14ac:dyDescent="0.3">
      <c r="A1038" s="318" t="e">
        <f>#REF!</f>
        <v>#REF!</v>
      </c>
      <c r="B1038" s="305" t="e">
        <f>#REF!</f>
        <v>#REF!</v>
      </c>
      <c r="C1038" s="305" t="str">
        <f>'Danh sách máy'!C1081</f>
        <v>MKQC</v>
      </c>
      <c r="D1038" s="90" t="e">
        <f>#REF!</f>
        <v>#REF!</v>
      </c>
      <c r="E1038" s="97">
        <f>'Danh sách máy'!E1081</f>
        <v>0</v>
      </c>
      <c r="F1038" s="206" t="e">
        <f>#REF!</f>
        <v>#REF!</v>
      </c>
      <c r="G1038" s="102" t="e">
        <f>#REF!</f>
        <v>#REF!</v>
      </c>
      <c r="H1038" s="102" t="e">
        <f>#REF!</f>
        <v>#REF!</v>
      </c>
      <c r="K1038" s="210" t="e">
        <f>#REF!</f>
        <v>#REF!</v>
      </c>
      <c r="L1038" s="210">
        <v>45307</v>
      </c>
      <c r="M1038" s="210"/>
      <c r="N1038" s="210">
        <f>'Danh sách máy'!F1081</f>
        <v>0</v>
      </c>
      <c r="O1038" s="211" t="str" cm="1">
        <f t="array" ref="O1038">IF(L1038&lt;&gt;0,IF(L1038&lt;I1038,"OK","NG"),Blank)</f>
        <v>NG</v>
      </c>
      <c r="P1038" s="211" t="e" cm="1">
        <f t="array" ref="P1038">IF(M1038&lt;&gt;0,IF(M1038&lt;J1038,"OK","NG"),Blank)</f>
        <v>#NAME?</v>
      </c>
      <c r="Q1038" s="211" t="e" cm="1">
        <f t="array" ref="Q1038">IF(H1038&lt;&gt;"Stop",IF(N1038&lt;&gt;0,IF(N1038&lt;=K1038,"OK","NG"),Blank),"-")</f>
        <v>#REF!</v>
      </c>
      <c r="R1038" s="326" t="e" cm="1">
        <f t="array" ref="R1038">IF(H1038&lt;&gt;"Stop",IF(E1038&lt;&gt;0,IF(E1038&lt;=K1038,"OK","NG"),Blank),"-")</f>
        <v>#REF!</v>
      </c>
    </row>
    <row r="1039" spans="1:18" ht="30" hidden="1" x14ac:dyDescent="0.3">
      <c r="A1039" s="318" t="e">
        <f>#REF!</f>
        <v>#REF!</v>
      </c>
      <c r="B1039" s="305" t="e">
        <f>#REF!</f>
        <v>#REF!</v>
      </c>
      <c r="C1039" s="305" t="str">
        <f>'Danh sách máy'!C1082</f>
        <v>MKQC</v>
      </c>
      <c r="D1039" s="90" t="e">
        <f>#REF!</f>
        <v>#REF!</v>
      </c>
      <c r="E1039" s="97">
        <f>'Danh sách máy'!E1082</f>
        <v>0</v>
      </c>
      <c r="F1039" s="206" t="e">
        <f>#REF!</f>
        <v>#REF!</v>
      </c>
      <c r="G1039" s="102" t="e">
        <f>#REF!</f>
        <v>#REF!</v>
      </c>
      <c r="H1039" s="102" t="e">
        <f>#REF!</f>
        <v>#REF!</v>
      </c>
      <c r="K1039" s="210" t="e">
        <f>#REF!</f>
        <v>#REF!</v>
      </c>
      <c r="L1039" s="210">
        <v>45308</v>
      </c>
      <c r="M1039" s="210"/>
      <c r="N1039" s="210">
        <f>'Danh sách máy'!F1082</f>
        <v>0</v>
      </c>
      <c r="O1039" s="211" t="str" cm="1">
        <f t="array" ref="O1039">IF(L1039&lt;&gt;0,IF(L1039&lt;I1039,"OK","NG"),Blank)</f>
        <v>NG</v>
      </c>
      <c r="P1039" s="211" t="e" cm="1">
        <f t="array" ref="P1039">IF(M1039&lt;&gt;0,IF(M1039&lt;J1039,"OK","NG"),Blank)</f>
        <v>#NAME?</v>
      </c>
      <c r="Q1039" s="211" t="e" cm="1">
        <f t="array" ref="Q1039">IF(H1039&lt;&gt;"Stop",IF(N1039&lt;&gt;0,IF(N1039&lt;=K1039,"OK","NG"),Blank),"-")</f>
        <v>#REF!</v>
      </c>
      <c r="R1039" s="326" t="e" cm="1">
        <f t="array" ref="R1039">IF(H1039&lt;&gt;"Stop",IF(E1039&lt;&gt;0,IF(E1039&lt;=K1039,"OK","NG"),Blank),"-")</f>
        <v>#REF!</v>
      </c>
    </row>
    <row r="1040" spans="1:18" ht="30" hidden="1" x14ac:dyDescent="0.3">
      <c r="A1040" s="318" t="e">
        <f>#REF!</f>
        <v>#REF!</v>
      </c>
      <c r="B1040" s="305" t="e">
        <f>#REF!</f>
        <v>#REF!</v>
      </c>
      <c r="C1040" s="305" t="str">
        <f>'Danh sách máy'!C1083</f>
        <v>MKQC</v>
      </c>
      <c r="D1040" s="90" t="e">
        <f>#REF!</f>
        <v>#REF!</v>
      </c>
      <c r="E1040" s="97">
        <f>'Danh sách máy'!E1083</f>
        <v>0</v>
      </c>
      <c r="F1040" s="206" t="e">
        <f>#REF!</f>
        <v>#REF!</v>
      </c>
      <c r="G1040" s="102" t="e">
        <f>#REF!</f>
        <v>#REF!</v>
      </c>
      <c r="H1040" s="102" t="e">
        <f>#REF!</f>
        <v>#REF!</v>
      </c>
      <c r="K1040" s="210" t="e">
        <f>#REF!</f>
        <v>#REF!</v>
      </c>
      <c r="L1040" s="210">
        <v>45309</v>
      </c>
      <c r="M1040" s="210"/>
      <c r="N1040" s="210">
        <f>'Danh sách máy'!F1083</f>
        <v>0</v>
      </c>
      <c r="O1040" s="211" t="str" cm="1">
        <f t="array" ref="O1040">IF(L1040&lt;&gt;0,IF(L1040&lt;I1040,"OK","NG"),Blank)</f>
        <v>NG</v>
      </c>
      <c r="P1040" s="211" t="e" cm="1">
        <f t="array" ref="P1040">IF(M1040&lt;&gt;0,IF(M1040&lt;J1040,"OK","NG"),Blank)</f>
        <v>#NAME?</v>
      </c>
      <c r="Q1040" s="211" t="e" cm="1">
        <f t="array" ref="Q1040">IF(H1040&lt;&gt;"Stop",IF(N1040&lt;&gt;0,IF(N1040&lt;=K1040,"OK","NG"),Blank),"-")</f>
        <v>#REF!</v>
      </c>
      <c r="R1040" s="326" t="e" cm="1">
        <f t="array" ref="R1040">IF(H1040&lt;&gt;"Stop",IF(E1040&lt;&gt;0,IF(E1040&lt;=K1040,"OK","NG"),Blank),"-")</f>
        <v>#REF!</v>
      </c>
    </row>
    <row r="1041" spans="1:18" ht="30" hidden="1" x14ac:dyDescent="0.3">
      <c r="A1041" s="318" t="e">
        <f>#REF!</f>
        <v>#REF!</v>
      </c>
      <c r="B1041" s="305" t="e">
        <f>#REF!</f>
        <v>#REF!</v>
      </c>
      <c r="C1041" s="305" t="str">
        <f>'Danh sách máy'!C1084</f>
        <v>MKQC</v>
      </c>
      <c r="D1041" s="90" t="e">
        <f>#REF!</f>
        <v>#REF!</v>
      </c>
      <c r="E1041" s="97">
        <f>'Danh sách máy'!E1084</f>
        <v>0</v>
      </c>
      <c r="F1041" s="206" t="e">
        <f>#REF!</f>
        <v>#REF!</v>
      </c>
      <c r="G1041" s="102" t="e">
        <f>#REF!</f>
        <v>#REF!</v>
      </c>
      <c r="H1041" s="102" t="e">
        <f>#REF!</f>
        <v>#REF!</v>
      </c>
      <c r="K1041" s="210" t="e">
        <f>#REF!</f>
        <v>#REF!</v>
      </c>
      <c r="L1041" s="210">
        <v>45310</v>
      </c>
      <c r="M1041" s="210"/>
      <c r="N1041" s="210">
        <f>'Danh sách máy'!F1084</f>
        <v>0</v>
      </c>
      <c r="O1041" s="211" t="str" cm="1">
        <f t="array" ref="O1041">IF(L1041&lt;&gt;0,IF(L1041&lt;I1041,"OK","NG"),Blank)</f>
        <v>NG</v>
      </c>
      <c r="P1041" s="211" t="e" cm="1">
        <f t="array" ref="P1041">IF(M1041&lt;&gt;0,IF(M1041&lt;J1041,"OK","NG"),Blank)</f>
        <v>#NAME?</v>
      </c>
      <c r="Q1041" s="211" t="e" cm="1">
        <f t="array" ref="Q1041">IF(H1041&lt;&gt;"Stop",IF(N1041&lt;&gt;0,IF(N1041&lt;=K1041,"OK","NG"),Blank),"-")</f>
        <v>#REF!</v>
      </c>
      <c r="R1041" s="326" t="e" cm="1">
        <f t="array" ref="R1041">IF(H1041&lt;&gt;"Stop",IF(E1041&lt;&gt;0,IF(E1041&lt;=K1041,"OK","NG"),Blank),"-")</f>
        <v>#REF!</v>
      </c>
    </row>
    <row r="1042" spans="1:18" ht="30" hidden="1" x14ac:dyDescent="0.3">
      <c r="A1042" s="318" t="e">
        <f>#REF!</f>
        <v>#REF!</v>
      </c>
      <c r="B1042" s="305" t="e">
        <f>#REF!</f>
        <v>#REF!</v>
      </c>
      <c r="C1042" s="305" t="str">
        <f>'Danh sách máy'!C1085</f>
        <v>MKQC</v>
      </c>
      <c r="D1042" s="90" t="e">
        <f>#REF!</f>
        <v>#REF!</v>
      </c>
      <c r="E1042" s="97">
        <f>'Danh sách máy'!E1085</f>
        <v>0</v>
      </c>
      <c r="F1042" s="206" t="e">
        <f>#REF!</f>
        <v>#REF!</v>
      </c>
      <c r="G1042" s="102" t="e">
        <f>#REF!</f>
        <v>#REF!</v>
      </c>
      <c r="H1042" s="102" t="e">
        <f>#REF!</f>
        <v>#REF!</v>
      </c>
      <c r="K1042" s="210" t="e">
        <f>#REF!</f>
        <v>#REF!</v>
      </c>
      <c r="L1042" s="210">
        <v>45311</v>
      </c>
      <c r="M1042" s="210"/>
      <c r="N1042" s="210">
        <f>'Danh sách máy'!F1085</f>
        <v>0</v>
      </c>
      <c r="O1042" s="211" t="str" cm="1">
        <f t="array" ref="O1042">IF(L1042&lt;&gt;0,IF(L1042&lt;I1042,"OK","NG"),Blank)</f>
        <v>NG</v>
      </c>
      <c r="P1042" s="211" t="e" cm="1">
        <f t="array" ref="P1042">IF(M1042&lt;&gt;0,IF(M1042&lt;J1042,"OK","NG"),Blank)</f>
        <v>#NAME?</v>
      </c>
      <c r="Q1042" s="211" t="e" cm="1">
        <f t="array" ref="Q1042">IF(H1042&lt;&gt;"Stop",IF(N1042&lt;&gt;0,IF(N1042&lt;=K1042,"OK","NG"),Blank),"-")</f>
        <v>#REF!</v>
      </c>
      <c r="R1042" s="326" t="e" cm="1">
        <f t="array" ref="R1042">IF(H1042&lt;&gt;"Stop",IF(E1042&lt;&gt;0,IF(E1042&lt;=K1042,"OK","NG"),Blank),"-")</f>
        <v>#REF!</v>
      </c>
    </row>
    <row r="1043" spans="1:18" ht="45" hidden="1" x14ac:dyDescent="0.3">
      <c r="A1043" s="318" t="e">
        <f>#REF!</f>
        <v>#REF!</v>
      </c>
      <c r="B1043" s="305" t="e">
        <f>#REF!</f>
        <v>#REF!</v>
      </c>
      <c r="C1043" s="305" t="str">
        <f>'Danh sách máy'!C1086</f>
        <v>MKQC</v>
      </c>
      <c r="D1043" s="90" t="e">
        <f>#REF!</f>
        <v>#REF!</v>
      </c>
      <c r="E1043" s="97">
        <f>'Danh sách máy'!E1086</f>
        <v>0</v>
      </c>
      <c r="F1043" s="206" t="e">
        <f>#REF!</f>
        <v>#REF!</v>
      </c>
      <c r="G1043" s="102" t="e">
        <f>#REF!</f>
        <v>#REF!</v>
      </c>
      <c r="H1043" s="102" t="e">
        <f>#REF!</f>
        <v>#REF!</v>
      </c>
      <c r="K1043" s="210" t="e">
        <f>#REF!</f>
        <v>#REF!</v>
      </c>
      <c r="L1043" s="210">
        <v>45312</v>
      </c>
      <c r="M1043" s="210"/>
      <c r="N1043" s="210">
        <f>'Danh sách máy'!F1086</f>
        <v>0</v>
      </c>
      <c r="O1043" s="211" t="str" cm="1">
        <f t="array" ref="O1043">IF(L1043&lt;&gt;0,IF(L1043&lt;I1043,"OK","NG"),Blank)</f>
        <v>NG</v>
      </c>
      <c r="P1043" s="211" t="e" cm="1">
        <f t="array" ref="P1043">IF(M1043&lt;&gt;0,IF(M1043&lt;J1043,"OK","NG"),Blank)</f>
        <v>#NAME?</v>
      </c>
      <c r="Q1043" s="211" t="e" cm="1">
        <f t="array" ref="Q1043">IF(H1043&lt;&gt;"Stop",IF(N1043&lt;&gt;0,IF(N1043&lt;=K1043,"OK","NG"),Blank),"-")</f>
        <v>#REF!</v>
      </c>
      <c r="R1043" s="326" t="e" cm="1">
        <f t="array" ref="R1043">IF(H1043&lt;&gt;"Stop",IF(E1043&lt;&gt;0,IF(E1043&lt;=K1043,"OK","NG"),Blank),"-")</f>
        <v>#REF!</v>
      </c>
    </row>
    <row r="1044" spans="1:18" ht="30" hidden="1" x14ac:dyDescent="0.3">
      <c r="A1044" s="318" t="e">
        <f>#REF!</f>
        <v>#REF!</v>
      </c>
      <c r="B1044" s="305" t="e">
        <f>#REF!</f>
        <v>#REF!</v>
      </c>
      <c r="C1044" s="305" t="str">
        <f>'Danh sách máy'!C1087</f>
        <v>MKQC</v>
      </c>
      <c r="D1044" s="90" t="e">
        <f>#REF!</f>
        <v>#REF!</v>
      </c>
      <c r="E1044" s="97">
        <f>'Danh sách máy'!E1087</f>
        <v>0</v>
      </c>
      <c r="F1044" s="206" t="e">
        <f>#REF!</f>
        <v>#REF!</v>
      </c>
      <c r="G1044" s="102" t="e">
        <f>#REF!</f>
        <v>#REF!</v>
      </c>
      <c r="H1044" s="102" t="e">
        <f>#REF!</f>
        <v>#REF!</v>
      </c>
      <c r="K1044" s="210" t="e">
        <f>#REF!</f>
        <v>#REF!</v>
      </c>
      <c r="L1044" s="210">
        <v>45313</v>
      </c>
      <c r="M1044" s="210"/>
      <c r="N1044" s="210">
        <f>'Danh sách máy'!F1087</f>
        <v>0</v>
      </c>
      <c r="O1044" s="211" t="str" cm="1">
        <f t="array" ref="O1044">IF(L1044&lt;&gt;0,IF(L1044&lt;I1044,"OK","NG"),Blank)</f>
        <v>NG</v>
      </c>
      <c r="P1044" s="211" t="e" cm="1">
        <f t="array" ref="P1044">IF(M1044&lt;&gt;0,IF(M1044&lt;J1044,"OK","NG"),Blank)</f>
        <v>#NAME?</v>
      </c>
      <c r="Q1044" s="211" t="e" cm="1">
        <f t="array" ref="Q1044">IF(H1044&lt;&gt;"Stop",IF(N1044&lt;&gt;0,IF(N1044&lt;=K1044,"OK","NG"),Blank),"-")</f>
        <v>#REF!</v>
      </c>
      <c r="R1044" s="326" t="e" cm="1">
        <f t="array" ref="R1044">IF(H1044&lt;&gt;"Stop",IF(E1044&lt;&gt;0,IF(E1044&lt;=K1044,"OK","NG"),Blank),"-")</f>
        <v>#REF!</v>
      </c>
    </row>
    <row r="1045" spans="1:18" ht="45" hidden="1" x14ac:dyDescent="0.3">
      <c r="A1045" s="318" t="e">
        <f>#REF!</f>
        <v>#REF!</v>
      </c>
      <c r="B1045" s="305" t="e">
        <f>#REF!</f>
        <v>#REF!</v>
      </c>
      <c r="C1045" s="305" t="str">
        <f>'Danh sách máy'!C1088</f>
        <v>MKQC</v>
      </c>
      <c r="D1045" s="90" t="e">
        <f>#REF!</f>
        <v>#REF!</v>
      </c>
      <c r="E1045" s="97">
        <f>'Danh sách máy'!E1088</f>
        <v>0</v>
      </c>
      <c r="F1045" s="206" t="e">
        <f>#REF!</f>
        <v>#REF!</v>
      </c>
      <c r="G1045" s="102" t="e">
        <f>#REF!</f>
        <v>#REF!</v>
      </c>
      <c r="H1045" s="102" t="e">
        <f>#REF!</f>
        <v>#REF!</v>
      </c>
      <c r="K1045" s="210" t="e">
        <f>#REF!</f>
        <v>#REF!</v>
      </c>
      <c r="L1045" s="210">
        <v>45314</v>
      </c>
      <c r="M1045" s="210"/>
      <c r="N1045" s="210">
        <f>'Danh sách máy'!F1088</f>
        <v>0</v>
      </c>
      <c r="O1045" s="211" t="str" cm="1">
        <f t="array" ref="O1045">IF(L1045&lt;&gt;0,IF(L1045&lt;I1045,"OK","NG"),Blank)</f>
        <v>NG</v>
      </c>
      <c r="P1045" s="211" t="e" cm="1">
        <f t="array" ref="P1045">IF(M1045&lt;&gt;0,IF(M1045&lt;J1045,"OK","NG"),Blank)</f>
        <v>#NAME?</v>
      </c>
      <c r="Q1045" s="211" t="e" cm="1">
        <f t="array" ref="Q1045">IF(H1045&lt;&gt;"Stop",IF(N1045&lt;&gt;0,IF(N1045&lt;=K1045,"OK","NG"),Blank),"-")</f>
        <v>#REF!</v>
      </c>
      <c r="R1045" s="326" t="e" cm="1">
        <f t="array" ref="R1045">IF(H1045&lt;&gt;"Stop",IF(E1045&lt;&gt;0,IF(E1045&lt;=K1045,"OK","NG"),Blank),"-")</f>
        <v>#REF!</v>
      </c>
    </row>
    <row r="1046" spans="1:18" ht="45" hidden="1" x14ac:dyDescent="0.3">
      <c r="A1046" s="318" t="e">
        <f>#REF!</f>
        <v>#REF!</v>
      </c>
      <c r="B1046" s="305" t="e">
        <f>#REF!</f>
        <v>#REF!</v>
      </c>
      <c r="C1046" s="305" t="str">
        <f>'Danh sách máy'!C1089</f>
        <v>MKQC</v>
      </c>
      <c r="D1046" s="90" t="e">
        <f>#REF!</f>
        <v>#REF!</v>
      </c>
      <c r="E1046" s="97">
        <f>'Danh sách máy'!E1089</f>
        <v>0</v>
      </c>
      <c r="F1046" s="206" t="e">
        <f>#REF!</f>
        <v>#REF!</v>
      </c>
      <c r="G1046" s="102" t="e">
        <f>#REF!</f>
        <v>#REF!</v>
      </c>
      <c r="H1046" s="102" t="e">
        <f>#REF!</f>
        <v>#REF!</v>
      </c>
      <c r="K1046" s="210" t="e">
        <f>#REF!</f>
        <v>#REF!</v>
      </c>
      <c r="L1046" s="210">
        <v>45315</v>
      </c>
      <c r="M1046" s="210"/>
      <c r="N1046" s="210">
        <f>'Danh sách máy'!F1089</f>
        <v>0</v>
      </c>
      <c r="O1046" s="211" t="str" cm="1">
        <f t="array" ref="O1046">IF(L1046&lt;&gt;0,IF(L1046&lt;I1046,"OK","NG"),Blank)</f>
        <v>NG</v>
      </c>
      <c r="P1046" s="211" t="e" cm="1">
        <f t="array" ref="P1046">IF(M1046&lt;&gt;0,IF(M1046&lt;J1046,"OK","NG"),Blank)</f>
        <v>#NAME?</v>
      </c>
      <c r="Q1046" s="211" t="e" cm="1">
        <f t="array" ref="Q1046">IF(H1046&lt;&gt;"Stop",IF(N1046&lt;&gt;0,IF(N1046&lt;=K1046,"OK","NG"),Blank),"-")</f>
        <v>#REF!</v>
      </c>
      <c r="R1046" s="326" t="e" cm="1">
        <f t="array" ref="R1046">IF(H1046&lt;&gt;"Stop",IF(E1046&lt;&gt;0,IF(E1046&lt;=K1046,"OK","NG"),Blank),"-")</f>
        <v>#REF!</v>
      </c>
    </row>
    <row r="1047" spans="1:18" ht="30" hidden="1" x14ac:dyDescent="0.3">
      <c r="A1047" s="318" t="e">
        <f>#REF!</f>
        <v>#REF!</v>
      </c>
      <c r="B1047" s="305" t="e">
        <f>#REF!</f>
        <v>#REF!</v>
      </c>
      <c r="C1047" s="305" t="str">
        <f>'Danh sách máy'!C1090</f>
        <v>MKQC</v>
      </c>
      <c r="D1047" s="90" t="e">
        <f>#REF!</f>
        <v>#REF!</v>
      </c>
      <c r="E1047" s="97">
        <f>'Danh sách máy'!E1090</f>
        <v>0</v>
      </c>
      <c r="F1047" s="206" t="e">
        <f>#REF!</f>
        <v>#REF!</v>
      </c>
      <c r="G1047" s="102" t="e">
        <f>#REF!</f>
        <v>#REF!</v>
      </c>
      <c r="H1047" s="102" t="e">
        <f>#REF!</f>
        <v>#REF!</v>
      </c>
      <c r="K1047" s="210" t="e">
        <f>#REF!</f>
        <v>#REF!</v>
      </c>
      <c r="L1047" s="210">
        <v>45316</v>
      </c>
      <c r="M1047" s="210"/>
      <c r="N1047" s="210">
        <f>'Danh sách máy'!F1090</f>
        <v>0</v>
      </c>
      <c r="O1047" s="211" t="str" cm="1">
        <f t="array" ref="O1047">IF(L1047&lt;&gt;0,IF(L1047&lt;I1047,"OK","NG"),Blank)</f>
        <v>NG</v>
      </c>
      <c r="P1047" s="211" t="e" cm="1">
        <f t="array" ref="P1047">IF(M1047&lt;&gt;0,IF(M1047&lt;J1047,"OK","NG"),Blank)</f>
        <v>#NAME?</v>
      </c>
      <c r="Q1047" s="211" t="e" cm="1">
        <f t="array" ref="Q1047">IF(H1047&lt;&gt;"Stop",IF(N1047&lt;&gt;0,IF(N1047&lt;=K1047,"OK","NG"),Blank),"-")</f>
        <v>#REF!</v>
      </c>
      <c r="R1047" s="326" t="e" cm="1">
        <f t="array" ref="R1047">IF(H1047&lt;&gt;"Stop",IF(E1047&lt;&gt;0,IF(E1047&lt;=K1047,"OK","NG"),Blank),"-")</f>
        <v>#REF!</v>
      </c>
    </row>
    <row r="1048" spans="1:18" ht="45" hidden="1" x14ac:dyDescent="0.3">
      <c r="A1048" s="318" t="e">
        <f>#REF!</f>
        <v>#REF!</v>
      </c>
      <c r="B1048" s="305" t="e">
        <f>#REF!</f>
        <v>#REF!</v>
      </c>
      <c r="C1048" s="305" t="str">
        <f>'Danh sách máy'!C1091</f>
        <v>MKQC</v>
      </c>
      <c r="D1048" s="90" t="e">
        <f>#REF!</f>
        <v>#REF!</v>
      </c>
      <c r="E1048" s="97">
        <f>'Danh sách máy'!E1091</f>
        <v>0</v>
      </c>
      <c r="F1048" s="206" t="e">
        <f>#REF!</f>
        <v>#REF!</v>
      </c>
      <c r="G1048" s="102" t="e">
        <f>#REF!</f>
        <v>#REF!</v>
      </c>
      <c r="H1048" s="102" t="e">
        <f>#REF!</f>
        <v>#REF!</v>
      </c>
      <c r="K1048" s="210" t="e">
        <f>#REF!</f>
        <v>#REF!</v>
      </c>
      <c r="L1048" s="210">
        <v>45317</v>
      </c>
      <c r="M1048" s="210"/>
      <c r="N1048" s="210">
        <f>'Danh sách máy'!F1091</f>
        <v>0</v>
      </c>
      <c r="O1048" s="211" t="str" cm="1">
        <f t="array" ref="O1048">IF(L1048&lt;&gt;0,IF(L1048&lt;I1048,"OK","NG"),Blank)</f>
        <v>NG</v>
      </c>
      <c r="P1048" s="211" t="e" cm="1">
        <f t="array" ref="P1048">IF(M1048&lt;&gt;0,IF(M1048&lt;J1048,"OK","NG"),Blank)</f>
        <v>#NAME?</v>
      </c>
      <c r="Q1048" s="211" t="e" cm="1">
        <f t="array" ref="Q1048">IF(H1048&lt;&gt;"Stop",IF(N1048&lt;&gt;0,IF(N1048&lt;=K1048,"OK","NG"),Blank),"-")</f>
        <v>#REF!</v>
      </c>
      <c r="R1048" s="326" t="e" cm="1">
        <f t="array" ref="R1048">IF(H1048&lt;&gt;"Stop",IF(E1048&lt;&gt;0,IF(E1048&lt;=K1048,"OK","NG"),Blank),"-")</f>
        <v>#REF!</v>
      </c>
    </row>
    <row r="1049" spans="1:18" ht="30" hidden="1" x14ac:dyDescent="0.3">
      <c r="A1049" s="318" t="e">
        <f>#REF!</f>
        <v>#REF!</v>
      </c>
      <c r="B1049" s="305" t="e">
        <f>#REF!</f>
        <v>#REF!</v>
      </c>
      <c r="C1049" s="305" t="str">
        <f>'Danh sách máy'!C1092</f>
        <v>MKQC</v>
      </c>
      <c r="D1049" s="90" t="e">
        <f>#REF!</f>
        <v>#REF!</v>
      </c>
      <c r="E1049" s="97">
        <f>'Danh sách máy'!E1092</f>
        <v>0</v>
      </c>
      <c r="F1049" s="206" t="e">
        <f>#REF!</f>
        <v>#REF!</v>
      </c>
      <c r="G1049" s="102" t="e">
        <f>#REF!</f>
        <v>#REF!</v>
      </c>
      <c r="H1049" s="102" t="e">
        <f>#REF!</f>
        <v>#REF!</v>
      </c>
      <c r="K1049" s="210" t="e">
        <f>#REF!</f>
        <v>#REF!</v>
      </c>
      <c r="L1049" s="210">
        <v>45318</v>
      </c>
      <c r="M1049" s="210"/>
      <c r="N1049" s="210">
        <f>'Danh sách máy'!F1092</f>
        <v>0</v>
      </c>
      <c r="O1049" s="211" t="str" cm="1">
        <f t="array" ref="O1049">IF(L1049&lt;&gt;0,IF(L1049&lt;I1049,"OK","NG"),Blank)</f>
        <v>NG</v>
      </c>
      <c r="P1049" s="211" t="e" cm="1">
        <f t="array" ref="P1049">IF(M1049&lt;&gt;0,IF(M1049&lt;J1049,"OK","NG"),Blank)</f>
        <v>#NAME?</v>
      </c>
      <c r="Q1049" s="211" t="e" cm="1">
        <f t="array" ref="Q1049">IF(H1049&lt;&gt;"Stop",IF(N1049&lt;&gt;0,IF(N1049&lt;=K1049,"OK","NG"),Blank),"-")</f>
        <v>#REF!</v>
      </c>
      <c r="R1049" s="326" t="e" cm="1">
        <f t="array" ref="R1049">IF(H1049&lt;&gt;"Stop",IF(E1049&lt;&gt;0,IF(E1049&lt;=K1049,"OK","NG"),Blank),"-")</f>
        <v>#REF!</v>
      </c>
    </row>
    <row r="1050" spans="1:18" ht="30" hidden="1" x14ac:dyDescent="0.3">
      <c r="A1050" s="318" t="e">
        <f>#REF!</f>
        <v>#REF!</v>
      </c>
      <c r="B1050" s="305" t="e">
        <f>#REF!</f>
        <v>#REF!</v>
      </c>
      <c r="C1050" s="305" t="str">
        <f>'Danh sách máy'!C1093</f>
        <v>MKQC</v>
      </c>
      <c r="D1050" s="90" t="e">
        <f>#REF!</f>
        <v>#REF!</v>
      </c>
      <c r="E1050" s="97">
        <f>'Danh sách máy'!E1093</f>
        <v>0</v>
      </c>
      <c r="F1050" s="206" t="e">
        <f>#REF!</f>
        <v>#REF!</v>
      </c>
      <c r="G1050" s="102" t="e">
        <f>#REF!</f>
        <v>#REF!</v>
      </c>
      <c r="H1050" s="102" t="e">
        <f>#REF!</f>
        <v>#REF!</v>
      </c>
      <c r="K1050" s="210" t="e">
        <f>#REF!</f>
        <v>#REF!</v>
      </c>
      <c r="L1050" s="210">
        <v>45319</v>
      </c>
      <c r="M1050" s="210"/>
      <c r="N1050" s="210">
        <f>'Danh sách máy'!F1093</f>
        <v>0</v>
      </c>
      <c r="O1050" s="211" t="str" cm="1">
        <f t="array" ref="O1050">IF(L1050&lt;&gt;0,IF(L1050&lt;I1050,"OK","NG"),Blank)</f>
        <v>NG</v>
      </c>
      <c r="P1050" s="211" t="e" cm="1">
        <f t="array" ref="P1050">IF(M1050&lt;&gt;0,IF(M1050&lt;J1050,"OK","NG"),Blank)</f>
        <v>#NAME?</v>
      </c>
      <c r="Q1050" s="211" t="e" cm="1">
        <f t="array" ref="Q1050">IF(H1050&lt;&gt;"Stop",IF(N1050&lt;&gt;0,IF(N1050&lt;=K1050,"OK","NG"),Blank),"-")</f>
        <v>#REF!</v>
      </c>
      <c r="R1050" s="326" t="e" cm="1">
        <f t="array" ref="R1050">IF(H1050&lt;&gt;"Stop",IF(E1050&lt;&gt;0,IF(E1050&lt;=K1050,"OK","NG"),Blank),"-")</f>
        <v>#REF!</v>
      </c>
    </row>
    <row r="1051" spans="1:18" ht="30" hidden="1" x14ac:dyDescent="0.3">
      <c r="A1051" s="318" t="e">
        <f>#REF!</f>
        <v>#REF!</v>
      </c>
      <c r="B1051" s="305" t="e">
        <f>#REF!</f>
        <v>#REF!</v>
      </c>
      <c r="C1051" s="305" t="str">
        <f>'Danh sách máy'!C1094</f>
        <v>MKQC</v>
      </c>
      <c r="D1051" s="90" t="e">
        <f>#REF!</f>
        <v>#REF!</v>
      </c>
      <c r="E1051" s="97">
        <f>'Danh sách máy'!E1094</f>
        <v>0</v>
      </c>
      <c r="F1051" s="206" t="e">
        <f>#REF!</f>
        <v>#REF!</v>
      </c>
      <c r="G1051" s="102" t="e">
        <f>#REF!</f>
        <v>#REF!</v>
      </c>
      <c r="H1051" s="102" t="e">
        <f>#REF!</f>
        <v>#REF!</v>
      </c>
      <c r="K1051" s="210" t="e">
        <f>#REF!</f>
        <v>#REF!</v>
      </c>
      <c r="L1051" s="210">
        <v>45320</v>
      </c>
      <c r="M1051" s="210"/>
      <c r="N1051" s="210">
        <f>'Danh sách máy'!F1094</f>
        <v>0</v>
      </c>
      <c r="O1051" s="211" t="str" cm="1">
        <f t="array" ref="O1051">IF(L1051&lt;&gt;0,IF(L1051&lt;I1051,"OK","NG"),Blank)</f>
        <v>NG</v>
      </c>
      <c r="P1051" s="211" t="e" cm="1">
        <f t="array" ref="P1051">IF(M1051&lt;&gt;0,IF(M1051&lt;J1051,"OK","NG"),Blank)</f>
        <v>#NAME?</v>
      </c>
      <c r="Q1051" s="211" t="e" cm="1">
        <f t="array" ref="Q1051">IF(H1051&lt;&gt;"Stop",IF(N1051&lt;&gt;0,IF(N1051&lt;=K1051,"OK","NG"),Blank),"-")</f>
        <v>#REF!</v>
      </c>
      <c r="R1051" s="326" t="e" cm="1">
        <f t="array" ref="R1051">IF(H1051&lt;&gt;"Stop",IF(E1051&lt;&gt;0,IF(E1051&lt;=K1051,"OK","NG"),Blank),"-")</f>
        <v>#REF!</v>
      </c>
    </row>
    <row r="1052" spans="1:18" ht="15" hidden="1" x14ac:dyDescent="0.3">
      <c r="A1052" s="318" t="e">
        <f>#REF!</f>
        <v>#REF!</v>
      </c>
      <c r="B1052" s="305" t="e">
        <f>#REF!</f>
        <v>#REF!</v>
      </c>
      <c r="C1052" s="305" t="str">
        <f>'Danh sách máy'!C1095</f>
        <v>MKQC</v>
      </c>
      <c r="D1052" s="90" t="e">
        <f>#REF!</f>
        <v>#REF!</v>
      </c>
      <c r="E1052" s="97">
        <f>'Danh sách máy'!E1095</f>
        <v>0</v>
      </c>
      <c r="F1052" s="206" t="e">
        <f>#REF!</f>
        <v>#REF!</v>
      </c>
      <c r="G1052" s="102" t="e">
        <f>#REF!</f>
        <v>#REF!</v>
      </c>
      <c r="H1052" s="102" t="e">
        <f>#REF!</f>
        <v>#REF!</v>
      </c>
      <c r="K1052" s="210" t="e">
        <f>#REF!</f>
        <v>#REF!</v>
      </c>
      <c r="L1052" s="210">
        <v>45321</v>
      </c>
      <c r="M1052" s="210"/>
      <c r="N1052" s="210">
        <f>'Danh sách máy'!F1095</f>
        <v>0</v>
      </c>
      <c r="O1052" s="211" t="str" cm="1">
        <f t="array" ref="O1052">IF(L1052&lt;&gt;0,IF(L1052&lt;I1052,"OK","NG"),Blank)</f>
        <v>NG</v>
      </c>
      <c r="P1052" s="211" t="e" cm="1">
        <f t="array" ref="P1052">IF(M1052&lt;&gt;0,IF(M1052&lt;J1052,"OK","NG"),Blank)</f>
        <v>#NAME?</v>
      </c>
      <c r="Q1052" s="211" t="e" cm="1">
        <f t="array" ref="Q1052">IF(H1052&lt;&gt;"Stop",IF(N1052&lt;&gt;0,IF(N1052&lt;=K1052,"OK","NG"),Blank),"-")</f>
        <v>#REF!</v>
      </c>
      <c r="R1052" s="326" t="e" cm="1">
        <f t="array" ref="R1052">IF(H1052&lt;&gt;"Stop",IF(E1052&lt;&gt;0,IF(E1052&lt;=K1052,"OK","NG"),Blank),"-")</f>
        <v>#REF!</v>
      </c>
    </row>
    <row r="1053" spans="1:18" ht="15" hidden="1" x14ac:dyDescent="0.3">
      <c r="A1053" s="318" t="e">
        <f>#REF!</f>
        <v>#REF!</v>
      </c>
      <c r="B1053" s="305" t="e">
        <f>#REF!</f>
        <v>#REF!</v>
      </c>
      <c r="C1053" s="305" t="str">
        <f>'Danh sách máy'!C1096</f>
        <v>MKQC</v>
      </c>
      <c r="D1053" s="90" t="e">
        <f>#REF!</f>
        <v>#REF!</v>
      </c>
      <c r="E1053" s="97">
        <f>'Danh sách máy'!E1096</f>
        <v>0</v>
      </c>
      <c r="F1053" s="206" t="e">
        <f>#REF!</f>
        <v>#REF!</v>
      </c>
      <c r="G1053" s="102" t="e">
        <f>#REF!</f>
        <v>#REF!</v>
      </c>
      <c r="H1053" s="102" t="e">
        <f>#REF!</f>
        <v>#REF!</v>
      </c>
      <c r="K1053" s="210" t="e">
        <f>#REF!</f>
        <v>#REF!</v>
      </c>
      <c r="L1053" s="210">
        <v>45322</v>
      </c>
      <c r="M1053" s="210"/>
      <c r="N1053" s="210">
        <f>'Danh sách máy'!F1096</f>
        <v>0</v>
      </c>
      <c r="O1053" s="211" t="str" cm="1">
        <f t="array" ref="O1053">IF(L1053&lt;&gt;0,IF(L1053&lt;I1053,"OK","NG"),Blank)</f>
        <v>NG</v>
      </c>
      <c r="P1053" s="211" t="e" cm="1">
        <f t="array" ref="P1053">IF(M1053&lt;&gt;0,IF(M1053&lt;J1053,"OK","NG"),Blank)</f>
        <v>#NAME?</v>
      </c>
      <c r="Q1053" s="211" t="e" cm="1">
        <f t="array" ref="Q1053">IF(H1053&lt;&gt;"Stop",IF(N1053&lt;&gt;0,IF(N1053&lt;=K1053,"OK","NG"),Blank),"-")</f>
        <v>#REF!</v>
      </c>
      <c r="R1053" s="326" t="e" cm="1">
        <f t="array" ref="R1053">IF(H1053&lt;&gt;"Stop",IF(E1053&lt;&gt;0,IF(E1053&lt;=K1053,"OK","NG"),Blank),"-")</f>
        <v>#REF!</v>
      </c>
    </row>
    <row r="1054" spans="1:18" ht="15" hidden="1" x14ac:dyDescent="0.3">
      <c r="A1054" s="318" t="e">
        <f>#REF!</f>
        <v>#REF!</v>
      </c>
      <c r="B1054" s="305" t="e">
        <f>#REF!</f>
        <v>#REF!</v>
      </c>
      <c r="C1054" s="305" t="str">
        <f>'Danh sách máy'!C1097</f>
        <v>MKQC</v>
      </c>
      <c r="D1054" s="90" t="e">
        <f>#REF!</f>
        <v>#REF!</v>
      </c>
      <c r="E1054" s="97">
        <f>'Danh sách máy'!E1097</f>
        <v>0</v>
      </c>
      <c r="F1054" s="206" t="e">
        <f>#REF!</f>
        <v>#REF!</v>
      </c>
      <c r="G1054" s="102" t="e">
        <f>#REF!</f>
        <v>#REF!</v>
      </c>
      <c r="H1054" s="102" t="e">
        <f>#REF!</f>
        <v>#REF!</v>
      </c>
      <c r="K1054" s="210" t="e">
        <f>#REF!</f>
        <v>#REF!</v>
      </c>
      <c r="L1054" s="210">
        <v>45323</v>
      </c>
      <c r="M1054" s="210"/>
      <c r="N1054" s="210">
        <f>'Danh sách máy'!F1097</f>
        <v>0</v>
      </c>
      <c r="O1054" s="211" t="str" cm="1">
        <f t="array" ref="O1054">IF(L1054&lt;&gt;0,IF(L1054&lt;I1054,"OK","NG"),Blank)</f>
        <v>NG</v>
      </c>
      <c r="P1054" s="211" t="e" cm="1">
        <f t="array" ref="P1054">IF(M1054&lt;&gt;0,IF(M1054&lt;J1054,"OK","NG"),Blank)</f>
        <v>#NAME?</v>
      </c>
      <c r="Q1054" s="211" t="e" cm="1">
        <f t="array" ref="Q1054">IF(H1054&lt;&gt;"Stop",IF(N1054&lt;&gt;0,IF(N1054&lt;=K1054,"OK","NG"),Blank),"-")</f>
        <v>#REF!</v>
      </c>
      <c r="R1054" s="326" t="e" cm="1">
        <f t="array" ref="R1054">IF(H1054&lt;&gt;"Stop",IF(E1054&lt;&gt;0,IF(E1054&lt;=K1054,"OK","NG"),Blank),"-")</f>
        <v>#REF!</v>
      </c>
    </row>
    <row r="1055" spans="1:18" ht="15" hidden="1" x14ac:dyDescent="0.3">
      <c r="A1055" s="318" t="e">
        <f>#REF!</f>
        <v>#REF!</v>
      </c>
      <c r="B1055" s="305" t="e">
        <f>#REF!</f>
        <v>#REF!</v>
      </c>
      <c r="C1055" s="305" t="str">
        <f>'Danh sách máy'!C1098</f>
        <v>MKQC</v>
      </c>
      <c r="D1055" s="90" t="e">
        <f>#REF!</f>
        <v>#REF!</v>
      </c>
      <c r="E1055" s="97">
        <f>'Danh sách máy'!E1098</f>
        <v>0</v>
      </c>
      <c r="F1055" s="206" t="e">
        <f>#REF!</f>
        <v>#REF!</v>
      </c>
      <c r="G1055" s="102" t="e">
        <f>#REF!</f>
        <v>#REF!</v>
      </c>
      <c r="H1055" s="102" t="e">
        <f>#REF!</f>
        <v>#REF!</v>
      </c>
      <c r="K1055" s="210" t="e">
        <f>#REF!</f>
        <v>#REF!</v>
      </c>
      <c r="L1055" s="210">
        <v>45324</v>
      </c>
      <c r="M1055" s="210"/>
      <c r="N1055" s="210">
        <f>'Danh sách máy'!F1098</f>
        <v>0</v>
      </c>
      <c r="O1055" s="211" t="str" cm="1">
        <f t="array" ref="O1055">IF(L1055&lt;&gt;0,IF(L1055&lt;I1055,"OK","NG"),Blank)</f>
        <v>NG</v>
      </c>
      <c r="P1055" s="211" t="e" cm="1">
        <f t="array" ref="P1055">IF(M1055&lt;&gt;0,IF(M1055&lt;J1055,"OK","NG"),Blank)</f>
        <v>#NAME?</v>
      </c>
      <c r="Q1055" s="211" t="e" cm="1">
        <f t="array" ref="Q1055">IF(H1055&lt;&gt;"Stop",IF(N1055&lt;&gt;0,IF(N1055&lt;=K1055,"OK","NG"),Blank),"-")</f>
        <v>#REF!</v>
      </c>
      <c r="R1055" s="326" t="e" cm="1">
        <f t="array" ref="R1055">IF(H1055&lt;&gt;"Stop",IF(E1055&lt;&gt;0,IF(E1055&lt;=K1055,"OK","NG"),Blank),"-")</f>
        <v>#REF!</v>
      </c>
    </row>
    <row r="1056" spans="1:18" ht="15" hidden="1" x14ac:dyDescent="0.3">
      <c r="A1056" s="318" t="e">
        <f>#REF!</f>
        <v>#REF!</v>
      </c>
      <c r="B1056" s="305" t="e">
        <f>#REF!</f>
        <v>#REF!</v>
      </c>
      <c r="C1056" s="305" t="str">
        <f>'Danh sách máy'!C1099</f>
        <v>MKQC</v>
      </c>
      <c r="D1056" s="90" t="e">
        <f>#REF!</f>
        <v>#REF!</v>
      </c>
      <c r="E1056" s="97">
        <f>'Danh sách máy'!E1099</f>
        <v>0</v>
      </c>
      <c r="F1056" s="206" t="e">
        <f>#REF!</f>
        <v>#REF!</v>
      </c>
      <c r="G1056" s="102" t="e">
        <f>#REF!</f>
        <v>#REF!</v>
      </c>
      <c r="H1056" s="102" t="e">
        <f>#REF!</f>
        <v>#REF!</v>
      </c>
      <c r="K1056" s="210" t="e">
        <f>#REF!</f>
        <v>#REF!</v>
      </c>
      <c r="L1056" s="210">
        <v>45325</v>
      </c>
      <c r="M1056" s="210"/>
      <c r="N1056" s="210">
        <f>'Danh sách máy'!F1099</f>
        <v>0</v>
      </c>
      <c r="O1056" s="211" t="str" cm="1">
        <f t="array" ref="O1056">IF(L1056&lt;&gt;0,IF(L1056&lt;I1056,"OK","NG"),Blank)</f>
        <v>NG</v>
      </c>
      <c r="P1056" s="211" t="e" cm="1">
        <f t="array" ref="P1056">IF(M1056&lt;&gt;0,IF(M1056&lt;J1056,"OK","NG"),Blank)</f>
        <v>#NAME?</v>
      </c>
      <c r="Q1056" s="211" t="e" cm="1">
        <f t="array" ref="Q1056">IF(H1056&lt;&gt;"Stop",IF(N1056&lt;&gt;0,IF(N1056&lt;=K1056,"OK","NG"),Blank),"-")</f>
        <v>#REF!</v>
      </c>
      <c r="R1056" s="326" t="e" cm="1">
        <f t="array" ref="R1056">IF(H1056&lt;&gt;"Stop",IF(E1056&lt;&gt;0,IF(E1056&lt;=K1056,"OK","NG"),Blank),"-")</f>
        <v>#REF!</v>
      </c>
    </row>
    <row r="1057" spans="1:18" ht="15" hidden="1" x14ac:dyDescent="0.3">
      <c r="A1057" s="318" t="e">
        <f>#REF!</f>
        <v>#REF!</v>
      </c>
      <c r="B1057" s="305" t="e">
        <f>#REF!</f>
        <v>#REF!</v>
      </c>
      <c r="C1057" s="305" t="str">
        <f>'Danh sách máy'!C1100</f>
        <v>MKQC</v>
      </c>
      <c r="D1057" s="90" t="e">
        <f>#REF!</f>
        <v>#REF!</v>
      </c>
      <c r="E1057" s="97">
        <f>'Danh sách máy'!E1100</f>
        <v>0</v>
      </c>
      <c r="F1057" s="206" t="e">
        <f>#REF!</f>
        <v>#REF!</v>
      </c>
      <c r="G1057" s="102" t="e">
        <f>#REF!</f>
        <v>#REF!</v>
      </c>
      <c r="H1057" s="102" t="e">
        <f>#REF!</f>
        <v>#REF!</v>
      </c>
      <c r="K1057" s="210" t="e">
        <f>#REF!</f>
        <v>#REF!</v>
      </c>
      <c r="L1057" s="210">
        <v>45326</v>
      </c>
      <c r="M1057" s="210"/>
      <c r="N1057" s="210">
        <f>'Danh sách máy'!F1100</f>
        <v>0</v>
      </c>
      <c r="O1057" s="211" t="str" cm="1">
        <f t="array" ref="O1057">IF(L1057&lt;&gt;0,IF(L1057&lt;I1057,"OK","NG"),Blank)</f>
        <v>NG</v>
      </c>
      <c r="P1057" s="211" t="e" cm="1">
        <f t="array" ref="P1057">IF(M1057&lt;&gt;0,IF(M1057&lt;J1057,"OK","NG"),Blank)</f>
        <v>#NAME?</v>
      </c>
      <c r="Q1057" s="211" t="e" cm="1">
        <f t="array" ref="Q1057">IF(H1057&lt;&gt;"Stop",IF(N1057&lt;&gt;0,IF(N1057&lt;=K1057,"OK","NG"),Blank),"-")</f>
        <v>#REF!</v>
      </c>
      <c r="R1057" s="326" t="e" cm="1">
        <f t="array" ref="R1057">IF(H1057&lt;&gt;"Stop",IF(E1057&lt;&gt;0,IF(E1057&lt;=K1057,"OK","NG"),Blank),"-")</f>
        <v>#REF!</v>
      </c>
    </row>
    <row r="1058" spans="1:18" ht="15" hidden="1" x14ac:dyDescent="0.3">
      <c r="A1058" s="318" t="e">
        <f>#REF!</f>
        <v>#REF!</v>
      </c>
      <c r="B1058" s="305" t="e">
        <f>#REF!</f>
        <v>#REF!</v>
      </c>
      <c r="C1058" s="305" t="str">
        <f>'Danh sách máy'!C1101</f>
        <v>MKQC</v>
      </c>
      <c r="D1058" s="90" t="e">
        <f>#REF!</f>
        <v>#REF!</v>
      </c>
      <c r="E1058" s="97">
        <f>'Danh sách máy'!E1101</f>
        <v>0</v>
      </c>
      <c r="F1058" s="206" t="e">
        <f>#REF!</f>
        <v>#REF!</v>
      </c>
      <c r="G1058" s="102" t="e">
        <f>#REF!</f>
        <v>#REF!</v>
      </c>
      <c r="H1058" s="102" t="e">
        <f>#REF!</f>
        <v>#REF!</v>
      </c>
      <c r="K1058" s="210" t="e">
        <f>#REF!</f>
        <v>#REF!</v>
      </c>
      <c r="L1058" s="210">
        <v>45327</v>
      </c>
      <c r="M1058" s="210"/>
      <c r="N1058" s="210">
        <f>'Danh sách máy'!F1101</f>
        <v>0</v>
      </c>
      <c r="O1058" s="211" t="str" cm="1">
        <f t="array" ref="O1058">IF(L1058&lt;&gt;0,IF(L1058&lt;I1058,"OK","NG"),Blank)</f>
        <v>NG</v>
      </c>
      <c r="P1058" s="211" t="e" cm="1">
        <f t="array" ref="P1058">IF(M1058&lt;&gt;0,IF(M1058&lt;J1058,"OK","NG"),Blank)</f>
        <v>#NAME?</v>
      </c>
      <c r="Q1058" s="211" t="e" cm="1">
        <f t="array" ref="Q1058">IF(H1058&lt;&gt;"Stop",IF(N1058&lt;&gt;0,IF(N1058&lt;=K1058,"OK","NG"),Blank),"-")</f>
        <v>#REF!</v>
      </c>
      <c r="R1058" s="326" t="e" cm="1">
        <f t="array" ref="R1058">IF(H1058&lt;&gt;"Stop",IF(E1058&lt;&gt;0,IF(E1058&lt;=K1058,"OK","NG"),Blank),"-")</f>
        <v>#REF!</v>
      </c>
    </row>
    <row r="1059" spans="1:18" ht="15" hidden="1" x14ac:dyDescent="0.3">
      <c r="A1059" s="318" t="e">
        <f>#REF!</f>
        <v>#REF!</v>
      </c>
      <c r="B1059" s="305" t="e">
        <f>#REF!</f>
        <v>#REF!</v>
      </c>
      <c r="C1059" s="305" t="str">
        <f>'Danh sách máy'!C1102</f>
        <v>MKQC</v>
      </c>
      <c r="D1059" s="90" t="e">
        <f>#REF!</f>
        <v>#REF!</v>
      </c>
      <c r="E1059" s="97">
        <f>'Danh sách máy'!E1102</f>
        <v>0</v>
      </c>
      <c r="F1059" s="206" t="e">
        <f>#REF!</f>
        <v>#REF!</v>
      </c>
      <c r="G1059" s="102" t="e">
        <f>#REF!</f>
        <v>#REF!</v>
      </c>
      <c r="H1059" s="102" t="e">
        <f>#REF!</f>
        <v>#REF!</v>
      </c>
      <c r="K1059" s="210" t="e">
        <f>#REF!</f>
        <v>#REF!</v>
      </c>
      <c r="L1059" s="210">
        <v>45328</v>
      </c>
      <c r="M1059" s="210"/>
      <c r="N1059" s="210">
        <f>'Danh sách máy'!F1102</f>
        <v>0</v>
      </c>
      <c r="O1059" s="211" t="str" cm="1">
        <f t="array" ref="O1059">IF(L1059&lt;&gt;0,IF(L1059&lt;I1059,"OK","NG"),Blank)</f>
        <v>NG</v>
      </c>
      <c r="P1059" s="211" t="e" cm="1">
        <f t="array" ref="P1059">IF(M1059&lt;&gt;0,IF(M1059&lt;J1059,"OK","NG"),Blank)</f>
        <v>#NAME?</v>
      </c>
      <c r="Q1059" s="211" t="e" cm="1">
        <f t="array" ref="Q1059">IF(H1059&lt;&gt;"Stop",IF(N1059&lt;&gt;0,IF(N1059&lt;=K1059,"OK","NG"),Blank),"-")</f>
        <v>#REF!</v>
      </c>
      <c r="R1059" s="326" t="e" cm="1">
        <f t="array" ref="R1059">IF(H1059&lt;&gt;"Stop",IF(E1059&lt;&gt;0,IF(E1059&lt;=K1059,"OK","NG"),Blank),"-")</f>
        <v>#REF!</v>
      </c>
    </row>
    <row r="1060" spans="1:18" ht="15" hidden="1" x14ac:dyDescent="0.3">
      <c r="A1060" s="318" t="e">
        <f>#REF!</f>
        <v>#REF!</v>
      </c>
      <c r="B1060" s="305" t="e">
        <f>#REF!</f>
        <v>#REF!</v>
      </c>
      <c r="C1060" s="305" t="str">
        <f>'Danh sách máy'!C1103</f>
        <v>MKQC</v>
      </c>
      <c r="D1060" s="90" t="e">
        <f>#REF!</f>
        <v>#REF!</v>
      </c>
      <c r="E1060" s="97">
        <f>'Danh sách máy'!E1103</f>
        <v>0</v>
      </c>
      <c r="F1060" s="206" t="e">
        <f>#REF!</f>
        <v>#REF!</v>
      </c>
      <c r="G1060" s="102" t="e">
        <f>#REF!</f>
        <v>#REF!</v>
      </c>
      <c r="H1060" s="102" t="e">
        <f>#REF!</f>
        <v>#REF!</v>
      </c>
      <c r="K1060" s="210" t="e">
        <f>#REF!</f>
        <v>#REF!</v>
      </c>
      <c r="L1060" s="210">
        <v>45329</v>
      </c>
      <c r="M1060" s="210"/>
      <c r="N1060" s="210">
        <f>'Danh sách máy'!F1103</f>
        <v>0</v>
      </c>
      <c r="O1060" s="211" t="str" cm="1">
        <f t="array" ref="O1060">IF(L1060&lt;&gt;0,IF(L1060&lt;I1060,"OK","NG"),Blank)</f>
        <v>NG</v>
      </c>
      <c r="P1060" s="211" t="e" cm="1">
        <f t="array" ref="P1060">IF(M1060&lt;&gt;0,IF(M1060&lt;J1060,"OK","NG"),Blank)</f>
        <v>#NAME?</v>
      </c>
      <c r="Q1060" s="211" t="e" cm="1">
        <f t="array" ref="Q1060">IF(H1060&lt;&gt;"Stop",IF(N1060&lt;&gt;0,IF(N1060&lt;=K1060,"OK","NG"),Blank),"-")</f>
        <v>#REF!</v>
      </c>
      <c r="R1060" s="326" t="e" cm="1">
        <f t="array" ref="R1060">IF(H1060&lt;&gt;"Stop",IF(E1060&lt;&gt;0,IF(E1060&lt;=K1060,"OK","NG"),Blank),"-")</f>
        <v>#REF!</v>
      </c>
    </row>
    <row r="1061" spans="1:18" ht="15" hidden="1" x14ac:dyDescent="0.3">
      <c r="A1061" s="318" t="e">
        <f>#REF!</f>
        <v>#REF!</v>
      </c>
      <c r="B1061" s="305" t="e">
        <f>#REF!</f>
        <v>#REF!</v>
      </c>
      <c r="C1061" s="305" t="str">
        <f>'Danh sách máy'!C1104</f>
        <v>MKQC</v>
      </c>
      <c r="D1061" s="90" t="e">
        <f>#REF!</f>
        <v>#REF!</v>
      </c>
      <c r="E1061" s="97">
        <f>'Danh sách máy'!E1104</f>
        <v>0</v>
      </c>
      <c r="F1061" s="206" t="e">
        <f>#REF!</f>
        <v>#REF!</v>
      </c>
      <c r="G1061" s="102" t="e">
        <f>#REF!</f>
        <v>#REF!</v>
      </c>
      <c r="H1061" s="102" t="e">
        <f>#REF!</f>
        <v>#REF!</v>
      </c>
      <c r="K1061" s="210" t="e">
        <f>#REF!</f>
        <v>#REF!</v>
      </c>
      <c r="L1061" s="210">
        <v>45330</v>
      </c>
      <c r="M1061" s="210"/>
      <c r="N1061" s="210">
        <f>'Danh sách máy'!F1104</f>
        <v>0</v>
      </c>
      <c r="O1061" s="211" t="str" cm="1">
        <f t="array" ref="O1061">IF(L1061&lt;&gt;0,IF(L1061&lt;I1061,"OK","NG"),Blank)</f>
        <v>NG</v>
      </c>
      <c r="P1061" s="211" t="e" cm="1">
        <f t="array" ref="P1061">IF(M1061&lt;&gt;0,IF(M1061&lt;J1061,"OK","NG"),Blank)</f>
        <v>#NAME?</v>
      </c>
      <c r="Q1061" s="211" t="e" cm="1">
        <f t="array" ref="Q1061">IF(H1061&lt;&gt;"Stop",IF(N1061&lt;&gt;0,IF(N1061&lt;=K1061,"OK","NG"),Blank),"-")</f>
        <v>#REF!</v>
      </c>
      <c r="R1061" s="326" t="e" cm="1">
        <f t="array" ref="R1061">IF(H1061&lt;&gt;"Stop",IF(E1061&lt;&gt;0,IF(E1061&lt;=K1061,"OK","NG"),Blank),"-")</f>
        <v>#REF!</v>
      </c>
    </row>
    <row r="1062" spans="1:18" ht="15" hidden="1" x14ac:dyDescent="0.3">
      <c r="A1062" s="318" t="e">
        <f>#REF!</f>
        <v>#REF!</v>
      </c>
      <c r="B1062" s="305" t="e">
        <f>#REF!</f>
        <v>#REF!</v>
      </c>
      <c r="C1062" s="305" t="str">
        <f>'Danh sách máy'!C1105</f>
        <v>MKQC</v>
      </c>
      <c r="D1062" s="90" t="e">
        <f>#REF!</f>
        <v>#REF!</v>
      </c>
      <c r="E1062" s="97">
        <f>'Danh sách máy'!E1105</f>
        <v>0</v>
      </c>
      <c r="F1062" s="206" t="e">
        <f>#REF!</f>
        <v>#REF!</v>
      </c>
      <c r="G1062" s="102" t="e">
        <f>#REF!</f>
        <v>#REF!</v>
      </c>
      <c r="H1062" s="102" t="e">
        <f>#REF!</f>
        <v>#REF!</v>
      </c>
      <c r="K1062" s="210" t="e">
        <f>#REF!</f>
        <v>#REF!</v>
      </c>
      <c r="L1062" s="210">
        <v>45331</v>
      </c>
      <c r="M1062" s="210"/>
      <c r="N1062" s="210">
        <f>'Danh sách máy'!F1105</f>
        <v>0</v>
      </c>
      <c r="O1062" s="211" t="str" cm="1">
        <f t="array" ref="O1062">IF(L1062&lt;&gt;0,IF(L1062&lt;I1062,"OK","NG"),Blank)</f>
        <v>NG</v>
      </c>
      <c r="P1062" s="211" t="e" cm="1">
        <f t="array" ref="P1062">IF(M1062&lt;&gt;0,IF(M1062&lt;J1062,"OK","NG"),Blank)</f>
        <v>#NAME?</v>
      </c>
      <c r="Q1062" s="211" t="e" cm="1">
        <f t="array" ref="Q1062">IF(H1062&lt;&gt;"Stop",IF(N1062&lt;&gt;0,IF(N1062&lt;=K1062,"OK","NG"),Blank),"-")</f>
        <v>#REF!</v>
      </c>
      <c r="R1062" s="326" t="e" cm="1">
        <f t="array" ref="R1062">IF(H1062&lt;&gt;"Stop",IF(E1062&lt;&gt;0,IF(E1062&lt;=K1062,"OK","NG"),Blank),"-")</f>
        <v>#REF!</v>
      </c>
    </row>
    <row r="1063" spans="1:18" ht="15" hidden="1" x14ac:dyDescent="0.3">
      <c r="A1063" s="318" t="e">
        <f>#REF!</f>
        <v>#REF!</v>
      </c>
      <c r="B1063" s="305" t="e">
        <f>#REF!</f>
        <v>#REF!</v>
      </c>
      <c r="C1063" s="305" t="str">
        <f>'Danh sách máy'!C1106</f>
        <v>MKQC</v>
      </c>
      <c r="D1063" s="90" t="e">
        <f>#REF!</f>
        <v>#REF!</v>
      </c>
      <c r="E1063" s="97">
        <f>'Danh sách máy'!E1106</f>
        <v>0</v>
      </c>
      <c r="F1063" s="206" t="e">
        <f>#REF!</f>
        <v>#REF!</v>
      </c>
      <c r="G1063" s="102" t="e">
        <f>#REF!</f>
        <v>#REF!</v>
      </c>
      <c r="H1063" s="102" t="e">
        <f>#REF!</f>
        <v>#REF!</v>
      </c>
      <c r="K1063" s="210" t="e">
        <f>#REF!</f>
        <v>#REF!</v>
      </c>
      <c r="L1063" s="210">
        <v>45332</v>
      </c>
      <c r="M1063" s="210"/>
      <c r="N1063" s="210">
        <f>'Danh sách máy'!F1106</f>
        <v>0</v>
      </c>
      <c r="O1063" s="211" t="str" cm="1">
        <f t="array" ref="O1063">IF(L1063&lt;&gt;0,IF(L1063&lt;I1063,"OK","NG"),Blank)</f>
        <v>NG</v>
      </c>
      <c r="P1063" s="211" t="e" cm="1">
        <f t="array" ref="P1063">IF(M1063&lt;&gt;0,IF(M1063&lt;J1063,"OK","NG"),Blank)</f>
        <v>#NAME?</v>
      </c>
      <c r="Q1063" s="211" t="e" cm="1">
        <f t="array" ref="Q1063">IF(H1063&lt;&gt;"Stop",IF(N1063&lt;&gt;0,IF(N1063&lt;=K1063,"OK","NG"),Blank),"-")</f>
        <v>#REF!</v>
      </c>
      <c r="R1063" s="326" t="e" cm="1">
        <f t="array" ref="R1063">IF(H1063&lt;&gt;"Stop",IF(E1063&lt;&gt;0,IF(E1063&lt;=K1063,"OK","NG"),Blank),"-")</f>
        <v>#REF!</v>
      </c>
    </row>
    <row r="1064" spans="1:18" ht="15" hidden="1" x14ac:dyDescent="0.3">
      <c r="A1064" s="318" t="e">
        <f>#REF!</f>
        <v>#REF!</v>
      </c>
      <c r="B1064" s="305" t="e">
        <f>#REF!</f>
        <v>#REF!</v>
      </c>
      <c r="C1064" s="305" t="str">
        <f>'Danh sách máy'!C1107</f>
        <v>MKQC</v>
      </c>
      <c r="D1064" s="90" t="e">
        <f>#REF!</f>
        <v>#REF!</v>
      </c>
      <c r="E1064" s="97">
        <f>'Danh sách máy'!E1107</f>
        <v>0</v>
      </c>
      <c r="F1064" s="206" t="e">
        <f>#REF!</f>
        <v>#REF!</v>
      </c>
      <c r="G1064" s="102" t="e">
        <f>#REF!</f>
        <v>#REF!</v>
      </c>
      <c r="H1064" s="102" t="e">
        <f>#REF!</f>
        <v>#REF!</v>
      </c>
      <c r="K1064" s="210" t="e">
        <f>#REF!</f>
        <v>#REF!</v>
      </c>
      <c r="L1064" s="210">
        <v>45333</v>
      </c>
      <c r="M1064" s="210"/>
      <c r="N1064" s="210">
        <f>'Danh sách máy'!F1107</f>
        <v>0</v>
      </c>
      <c r="O1064" s="211" t="str" cm="1">
        <f t="array" ref="O1064">IF(L1064&lt;&gt;0,IF(L1064&lt;I1064,"OK","NG"),Blank)</f>
        <v>NG</v>
      </c>
      <c r="P1064" s="211" t="e" cm="1">
        <f t="array" ref="P1064">IF(M1064&lt;&gt;0,IF(M1064&lt;J1064,"OK","NG"),Blank)</f>
        <v>#NAME?</v>
      </c>
      <c r="Q1064" s="211" t="e" cm="1">
        <f t="array" ref="Q1064">IF(H1064&lt;&gt;"Stop",IF(N1064&lt;&gt;0,IF(N1064&lt;=K1064,"OK","NG"),Blank),"-")</f>
        <v>#REF!</v>
      </c>
      <c r="R1064" s="326" t="e" cm="1">
        <f t="array" ref="R1064">IF(H1064&lt;&gt;"Stop",IF(E1064&lt;&gt;0,IF(E1064&lt;=K1064,"OK","NG"),Blank),"-")</f>
        <v>#REF!</v>
      </c>
    </row>
    <row r="1065" spans="1:18" ht="15" hidden="1" x14ac:dyDescent="0.3">
      <c r="A1065" s="318" t="e">
        <f>#REF!</f>
        <v>#REF!</v>
      </c>
      <c r="B1065" s="305" t="e">
        <f>#REF!</f>
        <v>#REF!</v>
      </c>
      <c r="C1065" s="305" t="str">
        <f>'Danh sách máy'!C1108</f>
        <v>MKQC</v>
      </c>
      <c r="D1065" s="90" t="e">
        <f>#REF!</f>
        <v>#REF!</v>
      </c>
      <c r="E1065" s="97">
        <f>'Danh sách máy'!E1108</f>
        <v>0</v>
      </c>
      <c r="F1065" s="206" t="e">
        <f>#REF!</f>
        <v>#REF!</v>
      </c>
      <c r="G1065" s="102" t="e">
        <f>#REF!</f>
        <v>#REF!</v>
      </c>
      <c r="H1065" s="102" t="e">
        <f>#REF!</f>
        <v>#REF!</v>
      </c>
      <c r="K1065" s="210" t="e">
        <f>#REF!</f>
        <v>#REF!</v>
      </c>
      <c r="L1065" s="210">
        <v>45334</v>
      </c>
      <c r="M1065" s="210"/>
      <c r="N1065" s="210">
        <f>'Danh sách máy'!F1108</f>
        <v>0</v>
      </c>
      <c r="O1065" s="211" t="str" cm="1">
        <f t="array" ref="O1065">IF(L1065&lt;&gt;0,IF(L1065&lt;I1065,"OK","NG"),Blank)</f>
        <v>NG</v>
      </c>
      <c r="P1065" s="211" t="e" cm="1">
        <f t="array" ref="P1065">IF(M1065&lt;&gt;0,IF(M1065&lt;J1065,"OK","NG"),Blank)</f>
        <v>#NAME?</v>
      </c>
      <c r="Q1065" s="211" t="e" cm="1">
        <f t="array" ref="Q1065">IF(H1065&lt;&gt;"Stop",IF(N1065&lt;&gt;0,IF(N1065&lt;=K1065,"OK","NG"),Blank),"-")</f>
        <v>#REF!</v>
      </c>
      <c r="R1065" s="326" t="e" cm="1">
        <f t="array" ref="R1065">IF(H1065&lt;&gt;"Stop",IF(E1065&lt;&gt;0,IF(E1065&lt;=K1065,"OK","NG"),Blank),"-")</f>
        <v>#REF!</v>
      </c>
    </row>
    <row r="1066" spans="1:18" ht="15" hidden="1" x14ac:dyDescent="0.3">
      <c r="A1066" s="318" t="e">
        <f>#REF!</f>
        <v>#REF!</v>
      </c>
      <c r="B1066" s="305" t="e">
        <f>#REF!</f>
        <v>#REF!</v>
      </c>
      <c r="C1066" s="305" t="str">
        <f>'Danh sách máy'!C1109</f>
        <v>MKQC</v>
      </c>
      <c r="D1066" s="90" t="e">
        <f>#REF!</f>
        <v>#REF!</v>
      </c>
      <c r="E1066" s="97">
        <f>'Danh sách máy'!E1109</f>
        <v>0</v>
      </c>
      <c r="F1066" s="206" t="e">
        <f>#REF!</f>
        <v>#REF!</v>
      </c>
      <c r="G1066" s="102" t="e">
        <f>#REF!</f>
        <v>#REF!</v>
      </c>
      <c r="H1066" s="102" t="e">
        <f>#REF!</f>
        <v>#REF!</v>
      </c>
      <c r="K1066" s="210" t="e">
        <f>#REF!</f>
        <v>#REF!</v>
      </c>
      <c r="L1066" s="210">
        <v>45335</v>
      </c>
      <c r="M1066" s="210"/>
      <c r="N1066" s="210">
        <f>'Danh sách máy'!F1109</f>
        <v>0</v>
      </c>
      <c r="O1066" s="211" t="str" cm="1">
        <f t="array" ref="O1066">IF(L1066&lt;&gt;0,IF(L1066&lt;I1066,"OK","NG"),Blank)</f>
        <v>NG</v>
      </c>
      <c r="P1066" s="211" t="e" cm="1">
        <f t="array" ref="P1066">IF(M1066&lt;&gt;0,IF(M1066&lt;J1066,"OK","NG"),Blank)</f>
        <v>#NAME?</v>
      </c>
      <c r="Q1066" s="211" t="e" cm="1">
        <f t="array" ref="Q1066">IF(H1066&lt;&gt;"Stop",IF(N1066&lt;&gt;0,IF(N1066&lt;=K1066,"OK","NG"),Blank),"-")</f>
        <v>#REF!</v>
      </c>
      <c r="R1066" s="326" t="e" cm="1">
        <f t="array" ref="R1066">IF(H1066&lt;&gt;"Stop",IF(E1066&lt;&gt;0,IF(E1066&lt;=K1066,"OK","NG"),Blank),"-")</f>
        <v>#REF!</v>
      </c>
    </row>
    <row r="1067" spans="1:18" ht="15" hidden="1" x14ac:dyDescent="0.3">
      <c r="A1067" s="318" t="e">
        <f>#REF!</f>
        <v>#REF!</v>
      </c>
      <c r="B1067" s="305" t="e">
        <f>#REF!</f>
        <v>#REF!</v>
      </c>
      <c r="C1067" s="305" t="str">
        <f>'Danh sách máy'!C1110</f>
        <v>MKQC</v>
      </c>
      <c r="D1067" s="90" t="e">
        <f>#REF!</f>
        <v>#REF!</v>
      </c>
      <c r="E1067" s="97">
        <f>'Danh sách máy'!E1110</f>
        <v>0</v>
      </c>
      <c r="F1067" s="206" t="e">
        <f>#REF!</f>
        <v>#REF!</v>
      </c>
      <c r="G1067" s="102" t="e">
        <f>#REF!</f>
        <v>#REF!</v>
      </c>
      <c r="H1067" s="102" t="e">
        <f>#REF!</f>
        <v>#REF!</v>
      </c>
      <c r="K1067" s="210" t="e">
        <f>#REF!</f>
        <v>#REF!</v>
      </c>
      <c r="L1067" s="210">
        <v>45336</v>
      </c>
      <c r="M1067" s="210"/>
      <c r="N1067" s="210">
        <f>'Danh sách máy'!F1110</f>
        <v>0</v>
      </c>
      <c r="O1067" s="211" t="str" cm="1">
        <f t="array" ref="O1067">IF(L1067&lt;&gt;0,IF(L1067&lt;I1067,"OK","NG"),Blank)</f>
        <v>NG</v>
      </c>
      <c r="P1067" s="211" t="e" cm="1">
        <f t="array" ref="P1067">IF(M1067&lt;&gt;0,IF(M1067&lt;J1067,"OK","NG"),Blank)</f>
        <v>#NAME?</v>
      </c>
      <c r="Q1067" s="211" t="e" cm="1">
        <f t="array" ref="Q1067">IF(H1067&lt;&gt;"Stop",IF(N1067&lt;&gt;0,IF(N1067&lt;=K1067,"OK","NG"),Blank),"-")</f>
        <v>#REF!</v>
      </c>
      <c r="R1067" s="326" t="e" cm="1">
        <f t="array" ref="R1067">IF(H1067&lt;&gt;"Stop",IF(E1067&lt;&gt;0,IF(E1067&lt;=K1067,"OK","NG"),Blank),"-")</f>
        <v>#REF!</v>
      </c>
    </row>
    <row r="1068" spans="1:18" ht="15" hidden="1" x14ac:dyDescent="0.3">
      <c r="A1068" s="318" t="e">
        <f>#REF!</f>
        <v>#REF!</v>
      </c>
      <c r="B1068" s="305" t="e">
        <f>#REF!</f>
        <v>#REF!</v>
      </c>
      <c r="C1068" s="305" t="str">
        <f>'Danh sách máy'!C1111</f>
        <v>MKQC</v>
      </c>
      <c r="D1068" s="90" t="e">
        <f>#REF!</f>
        <v>#REF!</v>
      </c>
      <c r="E1068" s="97">
        <f>'Danh sách máy'!E1111</f>
        <v>0</v>
      </c>
      <c r="F1068" s="206" t="e">
        <f>#REF!</f>
        <v>#REF!</v>
      </c>
      <c r="G1068" s="102" t="e">
        <f>#REF!</f>
        <v>#REF!</v>
      </c>
      <c r="H1068" s="102" t="e">
        <f>#REF!</f>
        <v>#REF!</v>
      </c>
      <c r="K1068" s="210" t="e">
        <f>#REF!</f>
        <v>#REF!</v>
      </c>
      <c r="L1068" s="210">
        <v>45337</v>
      </c>
      <c r="M1068" s="210"/>
      <c r="N1068" s="210">
        <f>'Danh sách máy'!F1111</f>
        <v>0</v>
      </c>
      <c r="O1068" s="211" t="str" cm="1">
        <f t="array" ref="O1068">IF(L1068&lt;&gt;0,IF(L1068&lt;I1068,"OK","NG"),Blank)</f>
        <v>NG</v>
      </c>
      <c r="P1068" s="211" t="e" cm="1">
        <f t="array" ref="P1068">IF(M1068&lt;&gt;0,IF(M1068&lt;J1068,"OK","NG"),Blank)</f>
        <v>#NAME?</v>
      </c>
      <c r="Q1068" s="211" t="e" cm="1">
        <f t="array" ref="Q1068">IF(H1068&lt;&gt;"Stop",IF(N1068&lt;&gt;0,IF(N1068&lt;=K1068,"OK","NG"),Blank),"-")</f>
        <v>#REF!</v>
      </c>
      <c r="R1068" s="326" t="e" cm="1">
        <f t="array" ref="R1068">IF(H1068&lt;&gt;"Stop",IF(E1068&lt;&gt;0,IF(E1068&lt;=K1068,"OK","NG"),Blank),"-")</f>
        <v>#REF!</v>
      </c>
    </row>
    <row r="1069" spans="1:18" ht="15" hidden="1" x14ac:dyDescent="0.3">
      <c r="A1069" s="318" t="e">
        <f>#REF!</f>
        <v>#REF!</v>
      </c>
      <c r="B1069" s="305" t="e">
        <f>#REF!</f>
        <v>#REF!</v>
      </c>
      <c r="C1069" s="305" t="str">
        <f>'Danh sách máy'!C1112</f>
        <v>MKQC</v>
      </c>
      <c r="D1069" s="90" t="e">
        <f>#REF!</f>
        <v>#REF!</v>
      </c>
      <c r="E1069" s="97">
        <f>'Danh sách máy'!E1112</f>
        <v>0</v>
      </c>
      <c r="F1069" s="206" t="e">
        <f>#REF!</f>
        <v>#REF!</v>
      </c>
      <c r="G1069" s="102" t="e">
        <f>#REF!</f>
        <v>#REF!</v>
      </c>
      <c r="H1069" s="102" t="e">
        <f>#REF!</f>
        <v>#REF!</v>
      </c>
      <c r="K1069" s="210" t="e">
        <f>#REF!</f>
        <v>#REF!</v>
      </c>
      <c r="L1069" s="210">
        <v>45338</v>
      </c>
      <c r="M1069" s="210"/>
      <c r="N1069" s="210">
        <f>'Danh sách máy'!F1112</f>
        <v>0</v>
      </c>
      <c r="O1069" s="211" t="str" cm="1">
        <f t="array" ref="O1069">IF(L1069&lt;&gt;0,IF(L1069&lt;I1069,"OK","NG"),Blank)</f>
        <v>NG</v>
      </c>
      <c r="P1069" s="211" t="e" cm="1">
        <f t="array" ref="P1069">IF(M1069&lt;&gt;0,IF(M1069&lt;J1069,"OK","NG"),Blank)</f>
        <v>#NAME?</v>
      </c>
      <c r="Q1069" s="211" t="e" cm="1">
        <f t="array" ref="Q1069">IF(H1069&lt;&gt;"Stop",IF(N1069&lt;&gt;0,IF(N1069&lt;=K1069,"OK","NG"),Blank),"-")</f>
        <v>#REF!</v>
      </c>
      <c r="R1069" s="326" t="e" cm="1">
        <f t="array" ref="R1069">IF(H1069&lt;&gt;"Stop",IF(E1069&lt;&gt;0,IF(E1069&lt;=K1069,"OK","NG"),Blank),"-")</f>
        <v>#REF!</v>
      </c>
    </row>
    <row r="1070" spans="1:18" ht="15" hidden="1" x14ac:dyDescent="0.3">
      <c r="A1070" s="318" t="e">
        <f>#REF!</f>
        <v>#REF!</v>
      </c>
      <c r="B1070" s="305" t="e">
        <f>#REF!</f>
        <v>#REF!</v>
      </c>
      <c r="C1070" s="305" t="str">
        <f>'Danh sách máy'!C1113</f>
        <v>MKQC</v>
      </c>
      <c r="D1070" s="90" t="e">
        <f>#REF!</f>
        <v>#REF!</v>
      </c>
      <c r="E1070" s="97">
        <f>'Danh sách máy'!E1113</f>
        <v>0</v>
      </c>
      <c r="F1070" s="206" t="e">
        <f>#REF!</f>
        <v>#REF!</v>
      </c>
      <c r="G1070" s="102" t="e">
        <f>#REF!</f>
        <v>#REF!</v>
      </c>
      <c r="H1070" s="102" t="e">
        <f>#REF!</f>
        <v>#REF!</v>
      </c>
      <c r="K1070" s="210" t="e">
        <f>#REF!</f>
        <v>#REF!</v>
      </c>
      <c r="L1070" s="210">
        <v>45339</v>
      </c>
      <c r="M1070" s="210"/>
      <c r="N1070" s="210">
        <f>'Danh sách máy'!F1113</f>
        <v>0</v>
      </c>
      <c r="O1070" s="211" t="str" cm="1">
        <f t="array" ref="O1070">IF(L1070&lt;&gt;0,IF(L1070&lt;I1070,"OK","NG"),Blank)</f>
        <v>NG</v>
      </c>
      <c r="P1070" s="211" t="e" cm="1">
        <f t="array" ref="P1070">IF(M1070&lt;&gt;0,IF(M1070&lt;J1070,"OK","NG"),Blank)</f>
        <v>#NAME?</v>
      </c>
      <c r="Q1070" s="211" t="e" cm="1">
        <f t="array" ref="Q1070">IF(H1070&lt;&gt;"Stop",IF(N1070&lt;&gt;0,IF(N1070&lt;=K1070,"OK","NG"),Blank),"-")</f>
        <v>#REF!</v>
      </c>
      <c r="R1070" s="326" t="e" cm="1">
        <f t="array" ref="R1070">IF(H1070&lt;&gt;"Stop",IF(E1070&lt;&gt;0,IF(E1070&lt;=K1070,"OK","NG"),Blank),"-")</f>
        <v>#REF!</v>
      </c>
    </row>
    <row r="1071" spans="1:18" ht="15" hidden="1" x14ac:dyDescent="0.3">
      <c r="A1071" s="318" t="e">
        <f>#REF!</f>
        <v>#REF!</v>
      </c>
      <c r="B1071" s="305" t="e">
        <f>#REF!</f>
        <v>#REF!</v>
      </c>
      <c r="C1071" s="305" t="str">
        <f>'Danh sách máy'!C1114</f>
        <v>MKQC</v>
      </c>
      <c r="D1071" s="90" t="e">
        <f>#REF!</f>
        <v>#REF!</v>
      </c>
      <c r="E1071" s="97">
        <f>'Danh sách máy'!E1114</f>
        <v>0</v>
      </c>
      <c r="F1071" s="206" t="e">
        <f>#REF!</f>
        <v>#REF!</v>
      </c>
      <c r="G1071" s="102" t="e">
        <f>#REF!</f>
        <v>#REF!</v>
      </c>
      <c r="H1071" s="102" t="e">
        <f>#REF!</f>
        <v>#REF!</v>
      </c>
      <c r="K1071" s="210" t="e">
        <f>#REF!</f>
        <v>#REF!</v>
      </c>
      <c r="L1071" s="210">
        <v>45340</v>
      </c>
      <c r="M1071" s="210"/>
      <c r="N1071" s="210">
        <f>'Danh sách máy'!F1114</f>
        <v>0</v>
      </c>
      <c r="O1071" s="211" t="str" cm="1">
        <f t="array" ref="O1071">IF(L1071&lt;&gt;0,IF(L1071&lt;I1071,"OK","NG"),Blank)</f>
        <v>NG</v>
      </c>
      <c r="P1071" s="211" t="e" cm="1">
        <f t="array" ref="P1071">IF(M1071&lt;&gt;0,IF(M1071&lt;J1071,"OK","NG"),Blank)</f>
        <v>#NAME?</v>
      </c>
      <c r="Q1071" s="211" t="e" cm="1">
        <f t="array" ref="Q1071">IF(H1071&lt;&gt;"Stop",IF(N1071&lt;&gt;0,IF(N1071&lt;=K1071,"OK","NG"),Blank),"-")</f>
        <v>#REF!</v>
      </c>
      <c r="R1071" s="326" t="e" cm="1">
        <f t="array" ref="R1071">IF(H1071&lt;&gt;"Stop",IF(E1071&lt;&gt;0,IF(E1071&lt;=K1071,"OK","NG"),Blank),"-")</f>
        <v>#REF!</v>
      </c>
    </row>
    <row r="1072" spans="1:18" ht="15" hidden="1" x14ac:dyDescent="0.3">
      <c r="A1072" s="318" t="e">
        <f>#REF!</f>
        <v>#REF!</v>
      </c>
      <c r="B1072" s="305" t="e">
        <f>#REF!</f>
        <v>#REF!</v>
      </c>
      <c r="C1072" s="305" t="str">
        <f>'Danh sách máy'!C1115</f>
        <v>MKQC</v>
      </c>
      <c r="D1072" s="90" t="e">
        <f>#REF!</f>
        <v>#REF!</v>
      </c>
      <c r="E1072" s="97">
        <f>'Danh sách máy'!E1115</f>
        <v>0</v>
      </c>
      <c r="F1072" s="206" t="e">
        <f>#REF!</f>
        <v>#REF!</v>
      </c>
      <c r="G1072" s="102" t="e">
        <f>#REF!</f>
        <v>#REF!</v>
      </c>
      <c r="H1072" s="102" t="e">
        <f>#REF!</f>
        <v>#REF!</v>
      </c>
      <c r="K1072" s="210" t="e">
        <f>#REF!</f>
        <v>#REF!</v>
      </c>
      <c r="L1072" s="210">
        <v>45341</v>
      </c>
      <c r="M1072" s="210"/>
      <c r="N1072" s="210">
        <f>'Danh sách máy'!F1115</f>
        <v>0</v>
      </c>
      <c r="O1072" s="211" t="str" cm="1">
        <f t="array" ref="O1072">IF(L1072&lt;&gt;0,IF(L1072&lt;I1072,"OK","NG"),Blank)</f>
        <v>NG</v>
      </c>
      <c r="P1072" s="211" t="e" cm="1">
        <f t="array" ref="P1072">IF(M1072&lt;&gt;0,IF(M1072&lt;J1072,"OK","NG"),Blank)</f>
        <v>#NAME?</v>
      </c>
      <c r="Q1072" s="211" t="e" cm="1">
        <f t="array" ref="Q1072">IF(H1072&lt;&gt;"Stop",IF(N1072&lt;&gt;0,IF(N1072&lt;=K1072,"OK","NG"),Blank),"-")</f>
        <v>#REF!</v>
      </c>
      <c r="R1072" s="326" t="e" cm="1">
        <f t="array" ref="R1072">IF(H1072&lt;&gt;"Stop",IF(E1072&lt;&gt;0,IF(E1072&lt;=K1072,"OK","NG"),Blank),"-")</f>
        <v>#REF!</v>
      </c>
    </row>
    <row r="1073" spans="1:18" ht="15" hidden="1" x14ac:dyDescent="0.3">
      <c r="A1073" s="318" t="e">
        <f>#REF!</f>
        <v>#REF!</v>
      </c>
      <c r="B1073" s="305" t="e">
        <f>#REF!</f>
        <v>#REF!</v>
      </c>
      <c r="C1073" s="305" t="str">
        <f>'Danh sách máy'!C1116</f>
        <v>MKQC</v>
      </c>
      <c r="D1073" s="90" t="e">
        <f>#REF!</f>
        <v>#REF!</v>
      </c>
      <c r="E1073" s="97">
        <f>'Danh sách máy'!E1116</f>
        <v>0</v>
      </c>
      <c r="F1073" s="206" t="e">
        <f>#REF!</f>
        <v>#REF!</v>
      </c>
      <c r="G1073" s="102" t="e">
        <f>#REF!</f>
        <v>#REF!</v>
      </c>
      <c r="H1073" s="102" t="e">
        <f>#REF!</f>
        <v>#REF!</v>
      </c>
      <c r="K1073" s="210" t="e">
        <f>#REF!</f>
        <v>#REF!</v>
      </c>
      <c r="L1073" s="210">
        <v>45342</v>
      </c>
      <c r="M1073" s="210"/>
      <c r="N1073" s="210">
        <f>'Danh sách máy'!F1116</f>
        <v>0</v>
      </c>
      <c r="O1073" s="211" t="str" cm="1">
        <f t="array" ref="O1073">IF(L1073&lt;&gt;0,IF(L1073&lt;I1073,"OK","NG"),Blank)</f>
        <v>NG</v>
      </c>
      <c r="P1073" s="211" t="e" cm="1">
        <f t="array" ref="P1073">IF(M1073&lt;&gt;0,IF(M1073&lt;J1073,"OK","NG"),Blank)</f>
        <v>#NAME?</v>
      </c>
      <c r="Q1073" s="211" t="e" cm="1">
        <f t="array" ref="Q1073">IF(H1073&lt;&gt;"Stop",IF(N1073&lt;&gt;0,IF(N1073&lt;=K1073,"OK","NG"),Blank),"-")</f>
        <v>#REF!</v>
      </c>
      <c r="R1073" s="326" t="e" cm="1">
        <f t="array" ref="R1073">IF(H1073&lt;&gt;"Stop",IF(E1073&lt;&gt;0,IF(E1073&lt;=K1073,"OK","NG"),Blank),"-")</f>
        <v>#REF!</v>
      </c>
    </row>
    <row r="1074" spans="1:18" ht="15" hidden="1" x14ac:dyDescent="0.3">
      <c r="A1074" s="318" t="e">
        <f>#REF!</f>
        <v>#REF!</v>
      </c>
      <c r="B1074" s="305" t="e">
        <f>#REF!</f>
        <v>#REF!</v>
      </c>
      <c r="C1074" s="305" t="str">
        <f>'Danh sách máy'!C1117</f>
        <v>MKQC</v>
      </c>
      <c r="D1074" s="90" t="e">
        <f>#REF!</f>
        <v>#REF!</v>
      </c>
      <c r="E1074" s="97">
        <f>'Danh sách máy'!E1117</f>
        <v>0</v>
      </c>
      <c r="F1074" s="206" t="e">
        <f>#REF!</f>
        <v>#REF!</v>
      </c>
      <c r="G1074" s="102" t="e">
        <f>#REF!</f>
        <v>#REF!</v>
      </c>
      <c r="H1074" s="102" t="e">
        <f>#REF!</f>
        <v>#REF!</v>
      </c>
      <c r="K1074" s="210" t="e">
        <f>#REF!</f>
        <v>#REF!</v>
      </c>
      <c r="L1074" s="210">
        <v>45343</v>
      </c>
      <c r="M1074" s="210"/>
      <c r="N1074" s="210">
        <f>'Danh sách máy'!F1117</f>
        <v>0</v>
      </c>
      <c r="O1074" s="211" t="str" cm="1">
        <f t="array" ref="O1074">IF(L1074&lt;&gt;0,IF(L1074&lt;I1074,"OK","NG"),Blank)</f>
        <v>NG</v>
      </c>
      <c r="P1074" s="211" t="e" cm="1">
        <f t="array" ref="P1074">IF(M1074&lt;&gt;0,IF(M1074&lt;J1074,"OK","NG"),Blank)</f>
        <v>#NAME?</v>
      </c>
      <c r="Q1074" s="211" t="e" cm="1">
        <f t="array" ref="Q1074">IF(H1074&lt;&gt;"Stop",IF(N1074&lt;&gt;0,IF(N1074&lt;=K1074,"OK","NG"),Blank),"-")</f>
        <v>#REF!</v>
      </c>
      <c r="R1074" s="326" t="e" cm="1">
        <f t="array" ref="R1074">IF(H1074&lt;&gt;"Stop",IF(E1074&lt;&gt;0,IF(E1074&lt;=K1074,"OK","NG"),Blank),"-")</f>
        <v>#REF!</v>
      </c>
    </row>
    <row r="1075" spans="1:18" ht="15" hidden="1" x14ac:dyDescent="0.3">
      <c r="A1075" s="318" t="e">
        <f>#REF!</f>
        <v>#REF!</v>
      </c>
      <c r="B1075" s="305" t="e">
        <f>#REF!</f>
        <v>#REF!</v>
      </c>
      <c r="C1075" s="305" t="str">
        <f>'Danh sách máy'!C1118</f>
        <v>MKQC</v>
      </c>
      <c r="D1075" s="90" t="e">
        <f>#REF!</f>
        <v>#REF!</v>
      </c>
      <c r="E1075" s="97">
        <f>'Danh sách máy'!E1118</f>
        <v>0</v>
      </c>
      <c r="F1075" s="206" t="e">
        <f>#REF!</f>
        <v>#REF!</v>
      </c>
      <c r="G1075" s="102" t="e">
        <f>#REF!</f>
        <v>#REF!</v>
      </c>
      <c r="H1075" s="102" t="e">
        <f>#REF!</f>
        <v>#REF!</v>
      </c>
      <c r="K1075" s="210" t="e">
        <f>#REF!</f>
        <v>#REF!</v>
      </c>
      <c r="L1075" s="210">
        <v>45344</v>
      </c>
      <c r="M1075" s="210"/>
      <c r="N1075" s="210">
        <f>'Danh sách máy'!F1118</f>
        <v>0</v>
      </c>
      <c r="O1075" s="211" t="str" cm="1">
        <f t="array" ref="O1075">IF(L1075&lt;&gt;0,IF(L1075&lt;I1075,"OK","NG"),Blank)</f>
        <v>NG</v>
      </c>
      <c r="P1075" s="211" t="e" cm="1">
        <f t="array" ref="P1075">IF(M1075&lt;&gt;0,IF(M1075&lt;J1075,"OK","NG"),Blank)</f>
        <v>#NAME?</v>
      </c>
      <c r="Q1075" s="211" t="e" cm="1">
        <f t="array" ref="Q1075">IF(H1075&lt;&gt;"Stop",IF(N1075&lt;&gt;0,IF(N1075&lt;=K1075,"OK","NG"),Blank),"-")</f>
        <v>#REF!</v>
      </c>
      <c r="R1075" s="326" t="e" cm="1">
        <f t="array" ref="R1075">IF(H1075&lt;&gt;"Stop",IF(E1075&lt;&gt;0,IF(E1075&lt;=K1075,"OK","NG"),Blank),"-")</f>
        <v>#REF!</v>
      </c>
    </row>
    <row r="1076" spans="1:18" ht="15" hidden="1" x14ac:dyDescent="0.3">
      <c r="A1076" s="318" t="e">
        <f>#REF!</f>
        <v>#REF!</v>
      </c>
      <c r="B1076" s="305" t="e">
        <f>#REF!</f>
        <v>#REF!</v>
      </c>
      <c r="C1076" s="305" t="str">
        <f>'Danh sách máy'!C1119</f>
        <v>MKQC</v>
      </c>
      <c r="D1076" s="90" t="e">
        <f>#REF!</f>
        <v>#REF!</v>
      </c>
      <c r="E1076" s="97">
        <f>'Danh sách máy'!E1119</f>
        <v>0</v>
      </c>
      <c r="F1076" s="206" t="e">
        <f>#REF!</f>
        <v>#REF!</v>
      </c>
      <c r="G1076" s="102" t="e">
        <f>#REF!</f>
        <v>#REF!</v>
      </c>
      <c r="H1076" s="102" t="e">
        <f>#REF!</f>
        <v>#REF!</v>
      </c>
      <c r="K1076" s="210" t="e">
        <f>#REF!</f>
        <v>#REF!</v>
      </c>
      <c r="L1076" s="210">
        <v>45345</v>
      </c>
      <c r="M1076" s="210"/>
      <c r="N1076" s="210">
        <f>'Danh sách máy'!F1119</f>
        <v>0</v>
      </c>
      <c r="O1076" s="211" t="str" cm="1">
        <f t="array" ref="O1076">IF(L1076&lt;&gt;0,IF(L1076&lt;I1076,"OK","NG"),Blank)</f>
        <v>NG</v>
      </c>
      <c r="P1076" s="211" t="e" cm="1">
        <f t="array" ref="P1076">IF(M1076&lt;&gt;0,IF(M1076&lt;J1076,"OK","NG"),Blank)</f>
        <v>#NAME?</v>
      </c>
      <c r="Q1076" s="211" t="e" cm="1">
        <f t="array" ref="Q1076">IF(H1076&lt;&gt;"Stop",IF(N1076&lt;&gt;0,IF(N1076&lt;=K1076,"OK","NG"),Blank),"-")</f>
        <v>#REF!</v>
      </c>
      <c r="R1076" s="326" t="e" cm="1">
        <f t="array" ref="R1076">IF(H1076&lt;&gt;"Stop",IF(E1076&lt;&gt;0,IF(E1076&lt;=K1076,"OK","NG"),Blank),"-")</f>
        <v>#REF!</v>
      </c>
    </row>
    <row r="1077" spans="1:18" ht="15" hidden="1" x14ac:dyDescent="0.3">
      <c r="A1077" s="318" t="e">
        <f>#REF!</f>
        <v>#REF!</v>
      </c>
      <c r="B1077" s="305" t="e">
        <f>#REF!</f>
        <v>#REF!</v>
      </c>
      <c r="C1077" s="305" t="str">
        <f>'Danh sách máy'!C1120</f>
        <v>MKQC</v>
      </c>
      <c r="D1077" s="90" t="e">
        <f>#REF!</f>
        <v>#REF!</v>
      </c>
      <c r="E1077" s="97">
        <f>'Danh sách máy'!E1120</f>
        <v>0</v>
      </c>
      <c r="F1077" s="206" t="e">
        <f>#REF!</f>
        <v>#REF!</v>
      </c>
      <c r="G1077" s="102" t="e">
        <f>#REF!</f>
        <v>#REF!</v>
      </c>
      <c r="H1077" s="102" t="e">
        <f>#REF!</f>
        <v>#REF!</v>
      </c>
      <c r="K1077" s="210" t="e">
        <f>#REF!</f>
        <v>#REF!</v>
      </c>
      <c r="L1077" s="210">
        <v>45346</v>
      </c>
      <c r="M1077" s="210"/>
      <c r="N1077" s="210">
        <f>'Danh sách máy'!F1120</f>
        <v>0</v>
      </c>
      <c r="O1077" s="211" t="str" cm="1">
        <f t="array" ref="O1077">IF(L1077&lt;&gt;0,IF(L1077&lt;I1077,"OK","NG"),Blank)</f>
        <v>NG</v>
      </c>
      <c r="P1077" s="211" t="e" cm="1">
        <f t="array" ref="P1077">IF(M1077&lt;&gt;0,IF(M1077&lt;J1077,"OK","NG"),Blank)</f>
        <v>#NAME?</v>
      </c>
      <c r="Q1077" s="211" t="e" cm="1">
        <f t="array" ref="Q1077">IF(H1077&lt;&gt;"Stop",IF(N1077&lt;&gt;0,IF(N1077&lt;=K1077,"OK","NG"),Blank),"-")</f>
        <v>#REF!</v>
      </c>
      <c r="R1077" s="326" t="e" cm="1">
        <f t="array" ref="R1077">IF(H1077&lt;&gt;"Stop",IF(E1077&lt;&gt;0,IF(E1077&lt;=K1077,"OK","NG"),Blank),"-")</f>
        <v>#REF!</v>
      </c>
    </row>
    <row r="1078" spans="1:18" ht="15" hidden="1" x14ac:dyDescent="0.3">
      <c r="A1078" s="318" t="e">
        <f>#REF!</f>
        <v>#REF!</v>
      </c>
      <c r="B1078" s="305" t="e">
        <f>#REF!</f>
        <v>#REF!</v>
      </c>
      <c r="C1078" s="305" t="str">
        <f>'Danh sách máy'!C1121</f>
        <v>MKQC</v>
      </c>
      <c r="D1078" s="90" t="e">
        <f>#REF!</f>
        <v>#REF!</v>
      </c>
      <c r="E1078" s="97">
        <f>'Danh sách máy'!E1121</f>
        <v>0</v>
      </c>
      <c r="F1078" s="206" t="e">
        <f>#REF!</f>
        <v>#REF!</v>
      </c>
      <c r="G1078" s="102" t="e">
        <f>#REF!</f>
        <v>#REF!</v>
      </c>
      <c r="H1078" s="102" t="e">
        <f>#REF!</f>
        <v>#REF!</v>
      </c>
      <c r="K1078" s="210" t="e">
        <f>#REF!</f>
        <v>#REF!</v>
      </c>
      <c r="L1078" s="210">
        <v>45347</v>
      </c>
      <c r="M1078" s="210"/>
      <c r="N1078" s="210">
        <f>'Danh sách máy'!F1121</f>
        <v>0</v>
      </c>
      <c r="O1078" s="211" t="str" cm="1">
        <f t="array" ref="O1078">IF(L1078&lt;&gt;0,IF(L1078&lt;I1078,"OK","NG"),Blank)</f>
        <v>NG</v>
      </c>
      <c r="P1078" s="211" t="e" cm="1">
        <f t="array" ref="P1078">IF(M1078&lt;&gt;0,IF(M1078&lt;J1078,"OK","NG"),Blank)</f>
        <v>#NAME?</v>
      </c>
      <c r="Q1078" s="211" t="e" cm="1">
        <f t="array" ref="Q1078">IF(H1078&lt;&gt;"Stop",IF(N1078&lt;&gt;0,IF(N1078&lt;=K1078,"OK","NG"),Blank),"-")</f>
        <v>#REF!</v>
      </c>
      <c r="R1078" s="326" t="e" cm="1">
        <f t="array" ref="R1078">IF(H1078&lt;&gt;"Stop",IF(E1078&lt;&gt;0,IF(E1078&lt;=K1078,"OK","NG"),Blank),"-")</f>
        <v>#REF!</v>
      </c>
    </row>
    <row r="1079" spans="1:18" ht="15" hidden="1" x14ac:dyDescent="0.3">
      <c r="A1079" s="318" t="e">
        <f>#REF!</f>
        <v>#REF!</v>
      </c>
      <c r="B1079" s="305" t="e">
        <f>#REF!</f>
        <v>#REF!</v>
      </c>
      <c r="C1079" s="305" t="str">
        <f>'Danh sách máy'!C1122</f>
        <v>MKQC</v>
      </c>
      <c r="D1079" s="90" t="e">
        <f>#REF!</f>
        <v>#REF!</v>
      </c>
      <c r="E1079" s="97">
        <f>'Danh sách máy'!E1122</f>
        <v>0</v>
      </c>
      <c r="F1079" s="206" t="e">
        <f>#REF!</f>
        <v>#REF!</v>
      </c>
      <c r="G1079" s="102" t="e">
        <f>#REF!</f>
        <v>#REF!</v>
      </c>
      <c r="H1079" s="102" t="e">
        <f>#REF!</f>
        <v>#REF!</v>
      </c>
      <c r="K1079" s="210" t="e">
        <f>#REF!</f>
        <v>#REF!</v>
      </c>
      <c r="L1079" s="210">
        <v>45348</v>
      </c>
      <c r="M1079" s="210"/>
      <c r="N1079" s="210">
        <f>'Danh sách máy'!F1122</f>
        <v>0</v>
      </c>
      <c r="O1079" s="211" t="str" cm="1">
        <f t="array" ref="O1079">IF(L1079&lt;&gt;0,IF(L1079&lt;I1079,"OK","NG"),Blank)</f>
        <v>NG</v>
      </c>
      <c r="P1079" s="211" t="e" cm="1">
        <f t="array" ref="P1079">IF(M1079&lt;&gt;0,IF(M1079&lt;J1079,"OK","NG"),Blank)</f>
        <v>#NAME?</v>
      </c>
      <c r="Q1079" s="211" t="e" cm="1">
        <f t="array" ref="Q1079">IF(H1079&lt;&gt;"Stop",IF(N1079&lt;&gt;0,IF(N1079&lt;=K1079,"OK","NG"),Blank),"-")</f>
        <v>#REF!</v>
      </c>
      <c r="R1079" s="326" t="e" cm="1">
        <f t="array" ref="R1079">IF(H1079&lt;&gt;"Stop",IF(E1079&lt;&gt;0,IF(E1079&lt;=K1079,"OK","NG"),Blank),"-")</f>
        <v>#REF!</v>
      </c>
    </row>
    <row r="1080" spans="1:18" ht="15" hidden="1" x14ac:dyDescent="0.3">
      <c r="A1080" s="318" t="e">
        <f>#REF!</f>
        <v>#REF!</v>
      </c>
      <c r="B1080" s="305" t="e">
        <f>#REF!</f>
        <v>#REF!</v>
      </c>
      <c r="C1080" s="305" t="str">
        <f>'Danh sách máy'!C1123</f>
        <v>MKQC</v>
      </c>
      <c r="D1080" s="90" t="e">
        <f>#REF!</f>
        <v>#REF!</v>
      </c>
      <c r="E1080" s="97">
        <f>'Danh sách máy'!E1123</f>
        <v>0</v>
      </c>
      <c r="F1080" s="206" t="e">
        <f>#REF!</f>
        <v>#REF!</v>
      </c>
      <c r="G1080" s="102" t="e">
        <f>#REF!</f>
        <v>#REF!</v>
      </c>
      <c r="H1080" s="102" t="e">
        <f>#REF!</f>
        <v>#REF!</v>
      </c>
      <c r="K1080" s="210" t="e">
        <f>#REF!</f>
        <v>#REF!</v>
      </c>
      <c r="L1080" s="210">
        <v>45349</v>
      </c>
      <c r="M1080" s="210"/>
      <c r="N1080" s="210">
        <f>'Danh sách máy'!F1123</f>
        <v>0</v>
      </c>
      <c r="O1080" s="211" t="str" cm="1">
        <f t="array" ref="O1080">IF(L1080&lt;&gt;0,IF(L1080&lt;I1080,"OK","NG"),Blank)</f>
        <v>NG</v>
      </c>
      <c r="P1080" s="211" t="e" cm="1">
        <f t="array" ref="P1080">IF(M1080&lt;&gt;0,IF(M1080&lt;J1080,"OK","NG"),Blank)</f>
        <v>#NAME?</v>
      </c>
      <c r="Q1080" s="211" t="e" cm="1">
        <f t="array" ref="Q1080">IF(H1080&lt;&gt;"Stop",IF(N1080&lt;&gt;0,IF(N1080&lt;=K1080,"OK","NG"),Blank),"-")</f>
        <v>#REF!</v>
      </c>
      <c r="R1080" s="326" t="e" cm="1">
        <f t="array" ref="R1080">IF(H1080&lt;&gt;"Stop",IF(E1080&lt;&gt;0,IF(E1080&lt;=K1080,"OK","NG"),Blank),"-")</f>
        <v>#REF!</v>
      </c>
    </row>
    <row r="1081" spans="1:18" ht="15" hidden="1" x14ac:dyDescent="0.3">
      <c r="A1081" s="318" t="e">
        <f>#REF!</f>
        <v>#REF!</v>
      </c>
      <c r="B1081" s="305" t="e">
        <f>#REF!</f>
        <v>#REF!</v>
      </c>
      <c r="C1081" s="305" t="str">
        <f>'Danh sách máy'!C1124</f>
        <v>MKQC</v>
      </c>
      <c r="D1081" s="90" t="e">
        <f>#REF!</f>
        <v>#REF!</v>
      </c>
      <c r="E1081" s="97">
        <f>'Danh sách máy'!E1124</f>
        <v>0</v>
      </c>
      <c r="F1081" s="206" t="e">
        <f>#REF!</f>
        <v>#REF!</v>
      </c>
      <c r="G1081" s="102" t="e">
        <f>#REF!</f>
        <v>#REF!</v>
      </c>
      <c r="H1081" s="102" t="e">
        <f>#REF!</f>
        <v>#REF!</v>
      </c>
      <c r="K1081" s="210" t="e">
        <f>#REF!</f>
        <v>#REF!</v>
      </c>
      <c r="L1081" s="210">
        <v>45350</v>
      </c>
      <c r="M1081" s="210"/>
      <c r="N1081" s="210">
        <f>'Danh sách máy'!F1124</f>
        <v>0</v>
      </c>
      <c r="O1081" s="211" t="str" cm="1">
        <f t="array" ref="O1081">IF(L1081&lt;&gt;0,IF(L1081&lt;I1081,"OK","NG"),Blank)</f>
        <v>NG</v>
      </c>
      <c r="P1081" s="211" t="e" cm="1">
        <f t="array" ref="P1081">IF(M1081&lt;&gt;0,IF(M1081&lt;J1081,"OK","NG"),Blank)</f>
        <v>#NAME?</v>
      </c>
      <c r="Q1081" s="211" t="e" cm="1">
        <f t="array" ref="Q1081">IF(H1081&lt;&gt;"Stop",IF(N1081&lt;&gt;0,IF(N1081&lt;=K1081,"OK","NG"),Blank),"-")</f>
        <v>#REF!</v>
      </c>
      <c r="R1081" s="326" t="e" cm="1">
        <f t="array" ref="R1081">IF(H1081&lt;&gt;"Stop",IF(E1081&lt;&gt;0,IF(E1081&lt;=K1081,"OK","NG"),Blank),"-")</f>
        <v>#REF!</v>
      </c>
    </row>
    <row r="1082" spans="1:18" ht="15" hidden="1" x14ac:dyDescent="0.3">
      <c r="A1082" s="318" t="e">
        <f>#REF!</f>
        <v>#REF!</v>
      </c>
      <c r="B1082" s="305" t="e">
        <f>#REF!</f>
        <v>#REF!</v>
      </c>
      <c r="C1082" s="305" t="str">
        <f>'Danh sách máy'!C1125</f>
        <v>MKQC</v>
      </c>
      <c r="D1082" s="90" t="e">
        <f>#REF!</f>
        <v>#REF!</v>
      </c>
      <c r="E1082" s="97">
        <f>'Danh sách máy'!E1125</f>
        <v>0</v>
      </c>
      <c r="F1082" s="206" t="e">
        <f>#REF!</f>
        <v>#REF!</v>
      </c>
      <c r="G1082" s="102" t="e">
        <f>#REF!</f>
        <v>#REF!</v>
      </c>
      <c r="H1082" s="102" t="e">
        <f>#REF!</f>
        <v>#REF!</v>
      </c>
      <c r="K1082" s="210" t="e">
        <f>#REF!</f>
        <v>#REF!</v>
      </c>
      <c r="L1082" s="210">
        <v>45351</v>
      </c>
      <c r="M1082" s="210"/>
      <c r="N1082" s="210">
        <f>'Danh sách máy'!F1125</f>
        <v>0</v>
      </c>
      <c r="O1082" s="211" t="str" cm="1">
        <f t="array" ref="O1082">IF(L1082&lt;&gt;0,IF(L1082&lt;I1082,"OK","NG"),Blank)</f>
        <v>NG</v>
      </c>
      <c r="P1082" s="211" t="e" cm="1">
        <f t="array" ref="P1082">IF(M1082&lt;&gt;0,IF(M1082&lt;J1082,"OK","NG"),Blank)</f>
        <v>#NAME?</v>
      </c>
      <c r="Q1082" s="211" t="e" cm="1">
        <f t="array" ref="Q1082">IF(H1082&lt;&gt;"Stop",IF(N1082&lt;&gt;0,IF(N1082&lt;=K1082,"OK","NG"),Blank),"-")</f>
        <v>#REF!</v>
      </c>
      <c r="R1082" s="326" t="e" cm="1">
        <f t="array" ref="R1082">IF(H1082&lt;&gt;"Stop",IF(E1082&lt;&gt;0,IF(E1082&lt;=K1082,"OK","NG"),Blank),"-")</f>
        <v>#REF!</v>
      </c>
    </row>
    <row r="1083" spans="1:18" ht="15" hidden="1" x14ac:dyDescent="0.3">
      <c r="A1083" s="318" t="e">
        <f>#REF!</f>
        <v>#REF!</v>
      </c>
      <c r="B1083" s="305" t="e">
        <f>#REF!</f>
        <v>#REF!</v>
      </c>
      <c r="C1083" s="305" t="str">
        <f>'Danh sách máy'!C1126</f>
        <v>MKQC</v>
      </c>
      <c r="D1083" s="90" t="e">
        <f>#REF!</f>
        <v>#REF!</v>
      </c>
      <c r="E1083" s="97">
        <f>'Danh sách máy'!E1126</f>
        <v>0</v>
      </c>
      <c r="F1083" s="206" t="e">
        <f>#REF!</f>
        <v>#REF!</v>
      </c>
      <c r="G1083" s="102" t="e">
        <f>#REF!</f>
        <v>#REF!</v>
      </c>
      <c r="H1083" s="102" t="e">
        <f>#REF!</f>
        <v>#REF!</v>
      </c>
      <c r="K1083" s="210" t="e">
        <f>#REF!</f>
        <v>#REF!</v>
      </c>
      <c r="L1083" s="210">
        <v>45352</v>
      </c>
      <c r="M1083" s="210"/>
      <c r="N1083" s="210">
        <f>'Danh sách máy'!F1126</f>
        <v>0</v>
      </c>
      <c r="O1083" s="211" t="str" cm="1">
        <f t="array" ref="O1083">IF(L1083&lt;&gt;0,IF(L1083&lt;I1083,"OK","NG"),Blank)</f>
        <v>NG</v>
      </c>
      <c r="P1083" s="211" t="e" cm="1">
        <f t="array" ref="P1083">IF(M1083&lt;&gt;0,IF(M1083&lt;J1083,"OK","NG"),Blank)</f>
        <v>#NAME?</v>
      </c>
      <c r="Q1083" s="211" t="e" cm="1">
        <f t="array" ref="Q1083">IF(H1083&lt;&gt;"Stop",IF(N1083&lt;&gt;0,IF(N1083&lt;=K1083,"OK","NG"),Blank),"-")</f>
        <v>#REF!</v>
      </c>
      <c r="R1083" s="326" t="e" cm="1">
        <f t="array" ref="R1083">IF(H1083&lt;&gt;"Stop",IF(E1083&lt;&gt;0,IF(E1083&lt;=K1083,"OK","NG"),Blank),"-")</f>
        <v>#REF!</v>
      </c>
    </row>
    <row r="1084" spans="1:18" ht="15" hidden="1" x14ac:dyDescent="0.3">
      <c r="A1084" s="318" t="e">
        <f>#REF!</f>
        <v>#REF!</v>
      </c>
      <c r="B1084" s="305" t="e">
        <f>#REF!</f>
        <v>#REF!</v>
      </c>
      <c r="C1084" s="305" t="str">
        <f>'Danh sách máy'!C1127</f>
        <v>MKQC</v>
      </c>
      <c r="D1084" s="90" t="e">
        <f>#REF!</f>
        <v>#REF!</v>
      </c>
      <c r="E1084" s="97">
        <f>'Danh sách máy'!E1127</f>
        <v>0</v>
      </c>
      <c r="F1084" s="206" t="e">
        <f>#REF!</f>
        <v>#REF!</v>
      </c>
      <c r="G1084" s="102" t="e">
        <f>#REF!</f>
        <v>#REF!</v>
      </c>
      <c r="H1084" s="102" t="e">
        <f>#REF!</f>
        <v>#REF!</v>
      </c>
      <c r="K1084" s="210" t="e">
        <f>#REF!</f>
        <v>#REF!</v>
      </c>
      <c r="L1084" s="210">
        <v>45353</v>
      </c>
      <c r="M1084" s="210"/>
      <c r="N1084" s="210">
        <f>'Danh sách máy'!F1127</f>
        <v>0</v>
      </c>
      <c r="O1084" s="211" t="str" cm="1">
        <f t="array" ref="O1084">IF(L1084&lt;&gt;0,IF(L1084&lt;I1084,"OK","NG"),Blank)</f>
        <v>NG</v>
      </c>
      <c r="P1084" s="211" t="e" cm="1">
        <f t="array" ref="P1084">IF(M1084&lt;&gt;0,IF(M1084&lt;J1084,"OK","NG"),Blank)</f>
        <v>#NAME?</v>
      </c>
      <c r="Q1084" s="211" t="e" cm="1">
        <f t="array" ref="Q1084">IF(H1084&lt;&gt;"Stop",IF(N1084&lt;&gt;0,IF(N1084&lt;=K1084,"OK","NG"),Blank),"-")</f>
        <v>#REF!</v>
      </c>
      <c r="R1084" s="326" t="e" cm="1">
        <f t="array" ref="R1084">IF(H1084&lt;&gt;"Stop",IF(E1084&lt;&gt;0,IF(E1084&lt;=K1084,"OK","NG"),Blank),"-")</f>
        <v>#REF!</v>
      </c>
    </row>
    <row r="1085" spans="1:18" ht="15" hidden="1" x14ac:dyDescent="0.3">
      <c r="A1085" s="318" t="e">
        <f>#REF!</f>
        <v>#REF!</v>
      </c>
      <c r="B1085" s="305" t="e">
        <f>#REF!</f>
        <v>#REF!</v>
      </c>
      <c r="C1085" s="305" t="str">
        <f>'Danh sách máy'!C1128</f>
        <v>MKQC</v>
      </c>
      <c r="D1085" s="90" t="e">
        <f>#REF!</f>
        <v>#REF!</v>
      </c>
      <c r="E1085" s="97">
        <f>'Danh sách máy'!E1128</f>
        <v>0</v>
      </c>
      <c r="F1085" s="206" t="e">
        <f>#REF!</f>
        <v>#REF!</v>
      </c>
      <c r="G1085" s="102" t="e">
        <f>#REF!</f>
        <v>#REF!</v>
      </c>
      <c r="H1085" s="102" t="e">
        <f>#REF!</f>
        <v>#REF!</v>
      </c>
      <c r="K1085" s="210" t="e">
        <f>#REF!</f>
        <v>#REF!</v>
      </c>
      <c r="L1085" s="210">
        <v>45354</v>
      </c>
      <c r="M1085" s="210"/>
      <c r="N1085" s="210">
        <f>'Danh sách máy'!F1128</f>
        <v>0</v>
      </c>
      <c r="O1085" s="211" t="str" cm="1">
        <f t="array" ref="O1085">IF(L1085&lt;&gt;0,IF(L1085&lt;I1085,"OK","NG"),Blank)</f>
        <v>NG</v>
      </c>
      <c r="P1085" s="211" t="e" cm="1">
        <f t="array" ref="P1085">IF(M1085&lt;&gt;0,IF(M1085&lt;J1085,"OK","NG"),Blank)</f>
        <v>#NAME?</v>
      </c>
      <c r="Q1085" s="211" t="e" cm="1">
        <f t="array" ref="Q1085">IF(H1085&lt;&gt;"Stop",IF(N1085&lt;&gt;0,IF(N1085&lt;=K1085,"OK","NG"),Blank),"-")</f>
        <v>#REF!</v>
      </c>
      <c r="R1085" s="326" t="e" cm="1">
        <f t="array" ref="R1085">IF(H1085&lt;&gt;"Stop",IF(E1085&lt;&gt;0,IF(E1085&lt;=K1085,"OK","NG"),Blank),"-")</f>
        <v>#REF!</v>
      </c>
    </row>
    <row r="1086" spans="1:18" ht="15" hidden="1" x14ac:dyDescent="0.3">
      <c r="A1086" s="318" t="e">
        <f>#REF!</f>
        <v>#REF!</v>
      </c>
      <c r="B1086" s="305" t="e">
        <f>#REF!</f>
        <v>#REF!</v>
      </c>
      <c r="C1086" s="305" t="str">
        <f>'Danh sách máy'!C1129</f>
        <v>MKQC</v>
      </c>
      <c r="D1086" s="90" t="e">
        <f>#REF!</f>
        <v>#REF!</v>
      </c>
      <c r="E1086" s="97">
        <f>'Danh sách máy'!E1129</f>
        <v>0</v>
      </c>
      <c r="F1086" s="206" t="e">
        <f>#REF!</f>
        <v>#REF!</v>
      </c>
      <c r="G1086" s="102" t="e">
        <f>#REF!</f>
        <v>#REF!</v>
      </c>
      <c r="H1086" s="102" t="e">
        <f>#REF!</f>
        <v>#REF!</v>
      </c>
      <c r="K1086" s="210" t="e">
        <f>#REF!</f>
        <v>#REF!</v>
      </c>
      <c r="L1086" s="210">
        <v>45355</v>
      </c>
      <c r="M1086" s="210"/>
      <c r="N1086" s="210">
        <f>'Danh sách máy'!F1129</f>
        <v>0</v>
      </c>
      <c r="O1086" s="211" t="str" cm="1">
        <f t="array" ref="O1086">IF(L1086&lt;&gt;0,IF(L1086&lt;I1086,"OK","NG"),Blank)</f>
        <v>NG</v>
      </c>
      <c r="P1086" s="211" t="e" cm="1">
        <f t="array" ref="P1086">IF(M1086&lt;&gt;0,IF(M1086&lt;J1086,"OK","NG"),Blank)</f>
        <v>#NAME?</v>
      </c>
      <c r="Q1086" s="211" t="e" cm="1">
        <f t="array" ref="Q1086">IF(H1086&lt;&gt;"Stop",IF(N1086&lt;&gt;0,IF(N1086&lt;=K1086,"OK","NG"),Blank),"-")</f>
        <v>#REF!</v>
      </c>
      <c r="R1086" s="326" t="e" cm="1">
        <f t="array" ref="R1086">IF(H1086&lt;&gt;"Stop",IF(E1086&lt;&gt;0,IF(E1086&lt;=K1086,"OK","NG"),Blank),"-")</f>
        <v>#REF!</v>
      </c>
    </row>
    <row r="1087" spans="1:18" ht="15" hidden="1" x14ac:dyDescent="0.3">
      <c r="A1087" s="318" t="e">
        <f>#REF!</f>
        <v>#REF!</v>
      </c>
      <c r="B1087" s="305" t="e">
        <f>#REF!</f>
        <v>#REF!</v>
      </c>
      <c r="C1087" s="305" t="str">
        <f>'Danh sách máy'!C1130</f>
        <v>MKQC</v>
      </c>
      <c r="D1087" s="90" t="e">
        <f>#REF!</f>
        <v>#REF!</v>
      </c>
      <c r="E1087" s="97">
        <f>'Danh sách máy'!E1130</f>
        <v>0</v>
      </c>
      <c r="F1087" s="206" t="e">
        <f>#REF!</f>
        <v>#REF!</v>
      </c>
      <c r="G1087" s="102" t="e">
        <f>#REF!</f>
        <v>#REF!</v>
      </c>
      <c r="H1087" s="102" t="e">
        <f>#REF!</f>
        <v>#REF!</v>
      </c>
      <c r="K1087" s="210" t="e">
        <f>#REF!</f>
        <v>#REF!</v>
      </c>
      <c r="L1087" s="210">
        <v>45356</v>
      </c>
      <c r="M1087" s="210"/>
      <c r="N1087" s="210">
        <f>'Danh sách máy'!F1130</f>
        <v>0</v>
      </c>
      <c r="O1087" s="211" t="str" cm="1">
        <f t="array" ref="O1087">IF(L1087&lt;&gt;0,IF(L1087&lt;I1087,"OK","NG"),Blank)</f>
        <v>NG</v>
      </c>
      <c r="P1087" s="211" t="e" cm="1">
        <f t="array" ref="P1087">IF(M1087&lt;&gt;0,IF(M1087&lt;J1087,"OK","NG"),Blank)</f>
        <v>#NAME?</v>
      </c>
      <c r="Q1087" s="211" t="e" cm="1">
        <f t="array" ref="Q1087">IF(H1087&lt;&gt;"Stop",IF(N1087&lt;&gt;0,IF(N1087&lt;=K1087,"OK","NG"),Blank),"-")</f>
        <v>#REF!</v>
      </c>
      <c r="R1087" s="326" t="e" cm="1">
        <f t="array" ref="R1087">IF(H1087&lt;&gt;"Stop",IF(E1087&lt;&gt;0,IF(E1087&lt;=K1087,"OK","NG"),Blank),"-")</f>
        <v>#REF!</v>
      </c>
    </row>
    <row r="1088" spans="1:18" ht="15" hidden="1" x14ac:dyDescent="0.3">
      <c r="A1088" s="318" t="e">
        <f>#REF!</f>
        <v>#REF!</v>
      </c>
      <c r="B1088" s="305" t="e">
        <f>#REF!</f>
        <v>#REF!</v>
      </c>
      <c r="C1088" s="305" t="str">
        <f>'Danh sách máy'!C1131</f>
        <v>MKQC</v>
      </c>
      <c r="D1088" s="90" t="e">
        <f>#REF!</f>
        <v>#REF!</v>
      </c>
      <c r="E1088" s="97">
        <f>'Danh sách máy'!E1131</f>
        <v>0</v>
      </c>
      <c r="F1088" s="206" t="e">
        <f>#REF!</f>
        <v>#REF!</v>
      </c>
      <c r="G1088" s="102" t="e">
        <f>#REF!</f>
        <v>#REF!</v>
      </c>
      <c r="H1088" s="102" t="e">
        <f>#REF!</f>
        <v>#REF!</v>
      </c>
      <c r="K1088" s="210" t="e">
        <f>#REF!</f>
        <v>#REF!</v>
      </c>
      <c r="L1088" s="210">
        <v>45357</v>
      </c>
      <c r="M1088" s="210"/>
      <c r="N1088" s="210">
        <f>'Danh sách máy'!F1131</f>
        <v>0</v>
      </c>
      <c r="O1088" s="211" t="str" cm="1">
        <f t="array" ref="O1088">IF(L1088&lt;&gt;0,IF(L1088&lt;I1088,"OK","NG"),Blank)</f>
        <v>NG</v>
      </c>
      <c r="P1088" s="211" t="e" cm="1">
        <f t="array" ref="P1088">IF(M1088&lt;&gt;0,IF(M1088&lt;J1088,"OK","NG"),Blank)</f>
        <v>#NAME?</v>
      </c>
      <c r="Q1088" s="211" t="e" cm="1">
        <f t="array" ref="Q1088">IF(H1088&lt;&gt;"Stop",IF(N1088&lt;&gt;0,IF(N1088&lt;=K1088,"OK","NG"),Blank),"-")</f>
        <v>#REF!</v>
      </c>
      <c r="R1088" s="326" t="e" cm="1">
        <f t="array" ref="R1088">IF(H1088&lt;&gt;"Stop",IF(E1088&lt;&gt;0,IF(E1088&lt;=K1088,"OK","NG"),Blank),"-")</f>
        <v>#REF!</v>
      </c>
    </row>
    <row r="1089" spans="1:18" ht="15" hidden="1" x14ac:dyDescent="0.3">
      <c r="A1089" s="318" t="e">
        <f>#REF!</f>
        <v>#REF!</v>
      </c>
      <c r="B1089" s="305" t="e">
        <f>#REF!</f>
        <v>#REF!</v>
      </c>
      <c r="C1089" s="305" t="str">
        <f>'Danh sách máy'!C1132</f>
        <v>MKQC</v>
      </c>
      <c r="D1089" s="90" t="e">
        <f>#REF!</f>
        <v>#REF!</v>
      </c>
      <c r="E1089" s="97">
        <f>'Danh sách máy'!E1132</f>
        <v>0</v>
      </c>
      <c r="F1089" s="206" t="e">
        <f>#REF!</f>
        <v>#REF!</v>
      </c>
      <c r="G1089" s="102" t="e">
        <f>#REF!</f>
        <v>#REF!</v>
      </c>
      <c r="H1089" s="102" t="e">
        <f>#REF!</f>
        <v>#REF!</v>
      </c>
      <c r="K1089" s="210" t="e">
        <f>#REF!</f>
        <v>#REF!</v>
      </c>
      <c r="L1089" s="210">
        <v>45358</v>
      </c>
      <c r="M1089" s="210"/>
      <c r="N1089" s="210">
        <f>'Danh sách máy'!F1132</f>
        <v>0</v>
      </c>
      <c r="O1089" s="211" t="str" cm="1">
        <f t="array" ref="O1089">IF(L1089&lt;&gt;0,IF(L1089&lt;I1089,"OK","NG"),Blank)</f>
        <v>NG</v>
      </c>
      <c r="P1089" s="211" t="e" cm="1">
        <f t="array" ref="P1089">IF(M1089&lt;&gt;0,IF(M1089&lt;J1089,"OK","NG"),Blank)</f>
        <v>#NAME?</v>
      </c>
      <c r="Q1089" s="211" t="e" cm="1">
        <f t="array" ref="Q1089">IF(H1089&lt;&gt;"Stop",IF(N1089&lt;&gt;0,IF(N1089&lt;=K1089,"OK","NG"),Blank),"-")</f>
        <v>#REF!</v>
      </c>
      <c r="R1089" s="326" t="e" cm="1">
        <f t="array" ref="R1089">IF(H1089&lt;&gt;"Stop",IF(E1089&lt;&gt;0,IF(E1089&lt;=K1089,"OK","NG"),Blank),"-")</f>
        <v>#REF!</v>
      </c>
    </row>
    <row r="1090" spans="1:18" ht="15" hidden="1" x14ac:dyDescent="0.3">
      <c r="A1090" s="318" t="e">
        <f>#REF!</f>
        <v>#REF!</v>
      </c>
      <c r="B1090" s="305" t="e">
        <f>#REF!</f>
        <v>#REF!</v>
      </c>
      <c r="C1090" s="305" t="str">
        <f>'Danh sách máy'!C1133</f>
        <v>MKQC</v>
      </c>
      <c r="D1090" s="90" t="e">
        <f>#REF!</f>
        <v>#REF!</v>
      </c>
      <c r="E1090" s="97">
        <f>'Danh sách máy'!E1133</f>
        <v>0</v>
      </c>
      <c r="F1090" s="206" t="e">
        <f>#REF!</f>
        <v>#REF!</v>
      </c>
      <c r="G1090" s="102" t="e">
        <f>#REF!</f>
        <v>#REF!</v>
      </c>
      <c r="H1090" s="102" t="e">
        <f>#REF!</f>
        <v>#REF!</v>
      </c>
      <c r="K1090" s="210" t="e">
        <f>#REF!</f>
        <v>#REF!</v>
      </c>
      <c r="L1090" s="210">
        <v>45359</v>
      </c>
      <c r="M1090" s="210"/>
      <c r="N1090" s="210">
        <f>'Danh sách máy'!F1133</f>
        <v>0</v>
      </c>
      <c r="O1090" s="211" t="str" cm="1">
        <f t="array" ref="O1090">IF(L1090&lt;&gt;0,IF(L1090&lt;I1090,"OK","NG"),Blank)</f>
        <v>NG</v>
      </c>
      <c r="P1090" s="211" t="e" cm="1">
        <f t="array" ref="P1090">IF(M1090&lt;&gt;0,IF(M1090&lt;J1090,"OK","NG"),Blank)</f>
        <v>#NAME?</v>
      </c>
      <c r="Q1090" s="211" t="e" cm="1">
        <f t="array" ref="Q1090">IF(H1090&lt;&gt;"Stop",IF(N1090&lt;&gt;0,IF(N1090&lt;=K1090,"OK","NG"),Blank),"-")</f>
        <v>#REF!</v>
      </c>
      <c r="R1090" s="326" t="e" cm="1">
        <f t="array" ref="R1090">IF(H1090&lt;&gt;"Stop",IF(E1090&lt;&gt;0,IF(E1090&lt;=K1090,"OK","NG"),Blank),"-")</f>
        <v>#REF!</v>
      </c>
    </row>
    <row r="1091" spans="1:18" ht="15" hidden="1" x14ac:dyDescent="0.3">
      <c r="A1091" s="318" t="e">
        <f>#REF!</f>
        <v>#REF!</v>
      </c>
      <c r="B1091" s="305" t="e">
        <f>#REF!</f>
        <v>#REF!</v>
      </c>
      <c r="C1091" s="305" t="str">
        <f>'Danh sách máy'!C1134</f>
        <v>MKQC</v>
      </c>
      <c r="D1091" s="90" t="e">
        <f>#REF!</f>
        <v>#REF!</v>
      </c>
      <c r="E1091" s="97">
        <f>'Danh sách máy'!E1134</f>
        <v>0</v>
      </c>
      <c r="F1091" s="206" t="e">
        <f>#REF!</f>
        <v>#REF!</v>
      </c>
      <c r="G1091" s="102" t="e">
        <f>#REF!</f>
        <v>#REF!</v>
      </c>
      <c r="H1091" s="102" t="e">
        <f>#REF!</f>
        <v>#REF!</v>
      </c>
      <c r="K1091" s="210" t="e">
        <f>#REF!</f>
        <v>#REF!</v>
      </c>
      <c r="L1091" s="210">
        <v>45360</v>
      </c>
      <c r="M1091" s="210"/>
      <c r="N1091" s="210">
        <f>'Danh sách máy'!F1134</f>
        <v>0</v>
      </c>
      <c r="O1091" s="211" t="str" cm="1">
        <f t="array" ref="O1091">IF(L1091&lt;&gt;0,IF(L1091&lt;I1091,"OK","NG"),Blank)</f>
        <v>NG</v>
      </c>
      <c r="P1091" s="211" t="e" cm="1">
        <f t="array" ref="P1091">IF(M1091&lt;&gt;0,IF(M1091&lt;J1091,"OK","NG"),Blank)</f>
        <v>#NAME?</v>
      </c>
      <c r="Q1091" s="211" t="e" cm="1">
        <f t="array" ref="Q1091">IF(H1091&lt;&gt;"Stop",IF(N1091&lt;&gt;0,IF(N1091&lt;=K1091,"OK","NG"),Blank),"-")</f>
        <v>#REF!</v>
      </c>
      <c r="R1091" s="326" t="e" cm="1">
        <f t="array" ref="R1091">IF(H1091&lt;&gt;"Stop",IF(E1091&lt;&gt;0,IF(E1091&lt;=K1091,"OK","NG"),Blank),"-")</f>
        <v>#REF!</v>
      </c>
    </row>
    <row r="1092" spans="1:18" ht="15" hidden="1" x14ac:dyDescent="0.3">
      <c r="A1092" s="318" t="e">
        <f>#REF!</f>
        <v>#REF!</v>
      </c>
      <c r="B1092" s="305" t="e">
        <f>#REF!</f>
        <v>#REF!</v>
      </c>
      <c r="C1092" s="305" t="str">
        <f>'Danh sách máy'!C1135</f>
        <v>MKQC</v>
      </c>
      <c r="D1092" s="90" t="e">
        <f>#REF!</f>
        <v>#REF!</v>
      </c>
      <c r="E1092" s="97">
        <f>'Danh sách máy'!E1135</f>
        <v>0</v>
      </c>
      <c r="F1092" s="206" t="e">
        <f>#REF!</f>
        <v>#REF!</v>
      </c>
      <c r="G1092" s="102" t="e">
        <f>#REF!</f>
        <v>#REF!</v>
      </c>
      <c r="H1092" s="102" t="e">
        <f>#REF!</f>
        <v>#REF!</v>
      </c>
      <c r="K1092" s="210" t="e">
        <f>#REF!</f>
        <v>#REF!</v>
      </c>
      <c r="L1092" s="210">
        <v>45361</v>
      </c>
      <c r="M1092" s="210"/>
      <c r="N1092" s="210">
        <f>'Danh sách máy'!F1135</f>
        <v>0</v>
      </c>
      <c r="O1092" s="211" t="str" cm="1">
        <f t="array" ref="O1092">IF(L1092&lt;&gt;0,IF(L1092&lt;I1092,"OK","NG"),Blank)</f>
        <v>NG</v>
      </c>
      <c r="P1092" s="211" t="e" cm="1">
        <f t="array" ref="P1092">IF(M1092&lt;&gt;0,IF(M1092&lt;J1092,"OK","NG"),Blank)</f>
        <v>#NAME?</v>
      </c>
      <c r="Q1092" s="211" t="e" cm="1">
        <f t="array" ref="Q1092">IF(H1092&lt;&gt;"Stop",IF(N1092&lt;&gt;0,IF(N1092&lt;=K1092,"OK","NG"),Blank),"-")</f>
        <v>#REF!</v>
      </c>
      <c r="R1092" s="326" t="e" cm="1">
        <f t="array" ref="R1092">IF(H1092&lt;&gt;"Stop",IF(E1092&lt;&gt;0,IF(E1092&lt;=K1092,"OK","NG"),Blank),"-")</f>
        <v>#REF!</v>
      </c>
    </row>
    <row r="1093" spans="1:18" ht="15" hidden="1" x14ac:dyDescent="0.3">
      <c r="A1093" s="318" t="e">
        <f>#REF!</f>
        <v>#REF!</v>
      </c>
      <c r="B1093" s="305" t="e">
        <f>#REF!</f>
        <v>#REF!</v>
      </c>
      <c r="C1093" s="305" t="str">
        <f>'Danh sách máy'!C1136</f>
        <v>MKQC</v>
      </c>
      <c r="D1093" s="90" t="e">
        <f>#REF!</f>
        <v>#REF!</v>
      </c>
      <c r="E1093" s="97">
        <f>'Danh sách máy'!E1136</f>
        <v>0</v>
      </c>
      <c r="F1093" s="206" t="e">
        <f>#REF!</f>
        <v>#REF!</v>
      </c>
      <c r="G1093" s="102" t="e">
        <f>#REF!</f>
        <v>#REF!</v>
      </c>
      <c r="H1093" s="102" t="e">
        <f>#REF!</f>
        <v>#REF!</v>
      </c>
      <c r="K1093" s="210" t="e">
        <f>#REF!</f>
        <v>#REF!</v>
      </c>
      <c r="L1093" s="210">
        <v>45362</v>
      </c>
      <c r="M1093" s="210"/>
      <c r="N1093" s="210">
        <f>'Danh sách máy'!F1136</f>
        <v>0</v>
      </c>
      <c r="O1093" s="211" t="str" cm="1">
        <f t="array" ref="O1093">IF(L1093&lt;&gt;0,IF(L1093&lt;I1093,"OK","NG"),Blank)</f>
        <v>NG</v>
      </c>
      <c r="P1093" s="211" t="e" cm="1">
        <f t="array" ref="P1093">IF(M1093&lt;&gt;0,IF(M1093&lt;J1093,"OK","NG"),Blank)</f>
        <v>#NAME?</v>
      </c>
      <c r="Q1093" s="211" t="e" cm="1">
        <f t="array" ref="Q1093">IF(H1093&lt;&gt;"Stop",IF(N1093&lt;&gt;0,IF(N1093&lt;=K1093,"OK","NG"),Blank),"-")</f>
        <v>#REF!</v>
      </c>
      <c r="R1093" s="326" t="e" cm="1">
        <f t="array" ref="R1093">IF(H1093&lt;&gt;"Stop",IF(E1093&lt;&gt;0,IF(E1093&lt;=K1093,"OK","NG"),Blank),"-")</f>
        <v>#REF!</v>
      </c>
    </row>
    <row r="1094" spans="1:18" ht="15" hidden="1" x14ac:dyDescent="0.3">
      <c r="A1094" s="318" t="e">
        <f>#REF!</f>
        <v>#REF!</v>
      </c>
      <c r="B1094" s="305" t="e">
        <f>#REF!</f>
        <v>#REF!</v>
      </c>
      <c r="C1094" s="305" t="str">
        <f>'Danh sách máy'!C1137</f>
        <v>MKQC</v>
      </c>
      <c r="D1094" s="90" t="e">
        <f>#REF!</f>
        <v>#REF!</v>
      </c>
      <c r="E1094" s="97">
        <f>'Danh sách máy'!E1137</f>
        <v>0</v>
      </c>
      <c r="F1094" s="206" t="e">
        <f>#REF!</f>
        <v>#REF!</v>
      </c>
      <c r="G1094" s="102" t="e">
        <f>#REF!</f>
        <v>#REF!</v>
      </c>
      <c r="H1094" s="102" t="e">
        <f>#REF!</f>
        <v>#REF!</v>
      </c>
      <c r="K1094" s="210" t="e">
        <f>#REF!</f>
        <v>#REF!</v>
      </c>
      <c r="L1094" s="210">
        <v>45363</v>
      </c>
      <c r="M1094" s="210"/>
      <c r="N1094" s="210">
        <f>'Danh sách máy'!F1137</f>
        <v>0</v>
      </c>
      <c r="O1094" s="211" t="str" cm="1">
        <f t="array" ref="O1094">IF(L1094&lt;&gt;0,IF(L1094&lt;I1094,"OK","NG"),Blank)</f>
        <v>NG</v>
      </c>
      <c r="P1094" s="211" t="e" cm="1">
        <f t="array" ref="P1094">IF(M1094&lt;&gt;0,IF(M1094&lt;J1094,"OK","NG"),Blank)</f>
        <v>#NAME?</v>
      </c>
      <c r="Q1094" s="211" t="e" cm="1">
        <f t="array" ref="Q1094">IF(H1094&lt;&gt;"Stop",IF(N1094&lt;&gt;0,IF(N1094&lt;=K1094,"OK","NG"),Blank),"-")</f>
        <v>#REF!</v>
      </c>
      <c r="R1094" s="326" t="e" cm="1">
        <f t="array" ref="R1094">IF(H1094&lt;&gt;"Stop",IF(E1094&lt;&gt;0,IF(E1094&lt;=K1094,"OK","NG"),Blank),"-")</f>
        <v>#REF!</v>
      </c>
    </row>
    <row r="1095" spans="1:18" ht="15" hidden="1" x14ac:dyDescent="0.3">
      <c r="A1095" s="318" t="e">
        <f>#REF!</f>
        <v>#REF!</v>
      </c>
      <c r="B1095" s="305" t="e">
        <f>#REF!</f>
        <v>#REF!</v>
      </c>
      <c r="C1095" s="305" t="str">
        <f>'Danh sách máy'!C1138</f>
        <v>MKQC</v>
      </c>
      <c r="D1095" s="90" t="e">
        <f>#REF!</f>
        <v>#REF!</v>
      </c>
      <c r="E1095" s="97">
        <f>'Danh sách máy'!E1138</f>
        <v>0</v>
      </c>
      <c r="F1095" s="206" t="e">
        <f>#REF!</f>
        <v>#REF!</v>
      </c>
      <c r="G1095" s="102" t="e">
        <f>#REF!</f>
        <v>#REF!</v>
      </c>
      <c r="H1095" s="102" t="e">
        <f>#REF!</f>
        <v>#REF!</v>
      </c>
      <c r="K1095" s="210" t="e">
        <f>#REF!</f>
        <v>#REF!</v>
      </c>
      <c r="L1095" s="210">
        <v>45364</v>
      </c>
      <c r="M1095" s="210"/>
      <c r="N1095" s="210">
        <f>'Danh sách máy'!F1138</f>
        <v>0</v>
      </c>
      <c r="O1095" s="211" t="str" cm="1">
        <f t="array" ref="O1095">IF(L1095&lt;&gt;0,IF(L1095&lt;I1095,"OK","NG"),Blank)</f>
        <v>NG</v>
      </c>
      <c r="P1095" s="211" t="e" cm="1">
        <f t="array" ref="P1095">IF(M1095&lt;&gt;0,IF(M1095&lt;J1095,"OK","NG"),Blank)</f>
        <v>#NAME?</v>
      </c>
      <c r="Q1095" s="211" t="e" cm="1">
        <f t="array" ref="Q1095">IF(H1095&lt;&gt;"Stop",IF(N1095&lt;&gt;0,IF(N1095&lt;=K1095,"OK","NG"),Blank),"-")</f>
        <v>#REF!</v>
      </c>
      <c r="R1095" s="326" t="e" cm="1">
        <f t="array" ref="R1095">IF(H1095&lt;&gt;"Stop",IF(E1095&lt;&gt;0,IF(E1095&lt;=K1095,"OK","NG"),Blank),"-")</f>
        <v>#REF!</v>
      </c>
    </row>
    <row r="1096" spans="1:18" ht="15" hidden="1" x14ac:dyDescent="0.3">
      <c r="A1096" s="318" t="e">
        <f>#REF!</f>
        <v>#REF!</v>
      </c>
      <c r="B1096" s="305" t="e">
        <f>#REF!</f>
        <v>#REF!</v>
      </c>
      <c r="C1096" s="305" t="str">
        <f>'Danh sách máy'!C1139</f>
        <v>MKQC</v>
      </c>
      <c r="D1096" s="90" t="e">
        <f>#REF!</f>
        <v>#REF!</v>
      </c>
      <c r="E1096" s="97">
        <f>'Danh sách máy'!E1139</f>
        <v>0</v>
      </c>
      <c r="F1096" s="206" t="e">
        <f>#REF!</f>
        <v>#REF!</v>
      </c>
      <c r="G1096" s="102" t="e">
        <f>#REF!</f>
        <v>#REF!</v>
      </c>
      <c r="H1096" s="102" t="e">
        <f>#REF!</f>
        <v>#REF!</v>
      </c>
      <c r="K1096" s="210" t="e">
        <f>#REF!</f>
        <v>#REF!</v>
      </c>
      <c r="L1096" s="210">
        <v>45365</v>
      </c>
      <c r="M1096" s="210"/>
      <c r="N1096" s="210">
        <f>'Danh sách máy'!F1139</f>
        <v>0</v>
      </c>
      <c r="O1096" s="211" t="str" cm="1">
        <f t="array" ref="O1096">IF(L1096&lt;&gt;0,IF(L1096&lt;I1096,"OK","NG"),Blank)</f>
        <v>NG</v>
      </c>
      <c r="P1096" s="211" t="e" cm="1">
        <f t="array" ref="P1096">IF(M1096&lt;&gt;0,IF(M1096&lt;J1096,"OK","NG"),Blank)</f>
        <v>#NAME?</v>
      </c>
      <c r="Q1096" s="211" t="e" cm="1">
        <f t="array" ref="Q1096">IF(H1096&lt;&gt;"Stop",IF(N1096&lt;&gt;0,IF(N1096&lt;=K1096,"OK","NG"),Blank),"-")</f>
        <v>#REF!</v>
      </c>
      <c r="R1096" s="326" t="e" cm="1">
        <f t="array" ref="R1096">IF(H1096&lt;&gt;"Stop",IF(E1096&lt;&gt;0,IF(E1096&lt;=K1096,"OK","NG"),Blank),"-")</f>
        <v>#REF!</v>
      </c>
    </row>
    <row r="1097" spans="1:18" ht="15" hidden="1" x14ac:dyDescent="0.3">
      <c r="A1097" s="318" t="e">
        <f>#REF!</f>
        <v>#REF!</v>
      </c>
      <c r="B1097" s="305" t="e">
        <f>#REF!</f>
        <v>#REF!</v>
      </c>
      <c r="C1097" s="305" t="str">
        <f>'Danh sách máy'!C1140</f>
        <v>MKQC</v>
      </c>
      <c r="D1097" s="90" t="e">
        <f>#REF!</f>
        <v>#REF!</v>
      </c>
      <c r="E1097" s="97">
        <f>'Danh sách máy'!E1140</f>
        <v>0</v>
      </c>
      <c r="F1097" s="206" t="e">
        <f>#REF!</f>
        <v>#REF!</v>
      </c>
      <c r="G1097" s="102" t="e">
        <f>#REF!</f>
        <v>#REF!</v>
      </c>
      <c r="H1097" s="102" t="e">
        <f>#REF!</f>
        <v>#REF!</v>
      </c>
      <c r="K1097" s="210" t="e">
        <f>#REF!</f>
        <v>#REF!</v>
      </c>
      <c r="L1097" s="210">
        <v>45366</v>
      </c>
      <c r="M1097" s="210"/>
      <c r="N1097" s="210">
        <f>'Danh sách máy'!F1140</f>
        <v>0</v>
      </c>
      <c r="O1097" s="211" t="str" cm="1">
        <f t="array" ref="O1097">IF(L1097&lt;&gt;0,IF(L1097&lt;I1097,"OK","NG"),Blank)</f>
        <v>NG</v>
      </c>
      <c r="P1097" s="211" t="e" cm="1">
        <f t="array" ref="P1097">IF(M1097&lt;&gt;0,IF(M1097&lt;J1097,"OK","NG"),Blank)</f>
        <v>#NAME?</v>
      </c>
      <c r="Q1097" s="211" t="e" cm="1">
        <f t="array" ref="Q1097">IF(H1097&lt;&gt;"Stop",IF(N1097&lt;&gt;0,IF(N1097&lt;=K1097,"OK","NG"),Blank),"-")</f>
        <v>#REF!</v>
      </c>
      <c r="R1097" s="326" t="e" cm="1">
        <f t="array" ref="R1097">IF(H1097&lt;&gt;"Stop",IF(E1097&lt;&gt;0,IF(E1097&lt;=K1097,"OK","NG"),Blank),"-")</f>
        <v>#REF!</v>
      </c>
    </row>
    <row r="1098" spans="1:18" ht="15" hidden="1" x14ac:dyDescent="0.3">
      <c r="A1098" s="318" t="e">
        <f>#REF!</f>
        <v>#REF!</v>
      </c>
      <c r="B1098" s="305" t="e">
        <f>#REF!</f>
        <v>#REF!</v>
      </c>
      <c r="C1098" s="305" t="str">
        <f>'Danh sách máy'!C1141</f>
        <v>MKQC</v>
      </c>
      <c r="D1098" s="90" t="e">
        <f>#REF!</f>
        <v>#REF!</v>
      </c>
      <c r="E1098" s="97">
        <f>'Danh sách máy'!E1141</f>
        <v>0</v>
      </c>
      <c r="F1098" s="206" t="e">
        <f>#REF!</f>
        <v>#REF!</v>
      </c>
      <c r="G1098" s="102" t="e">
        <f>#REF!</f>
        <v>#REF!</v>
      </c>
      <c r="H1098" s="102" t="e">
        <f>#REF!</f>
        <v>#REF!</v>
      </c>
      <c r="K1098" s="210" t="e">
        <f>#REF!</f>
        <v>#REF!</v>
      </c>
      <c r="L1098" s="210">
        <v>45367</v>
      </c>
      <c r="M1098" s="210"/>
      <c r="N1098" s="210">
        <f>'Danh sách máy'!F1141</f>
        <v>0</v>
      </c>
      <c r="O1098" s="211" t="str" cm="1">
        <f t="array" ref="O1098">IF(L1098&lt;&gt;0,IF(L1098&lt;I1098,"OK","NG"),Blank)</f>
        <v>NG</v>
      </c>
      <c r="P1098" s="211" t="e" cm="1">
        <f t="array" ref="P1098">IF(M1098&lt;&gt;0,IF(M1098&lt;J1098,"OK","NG"),Blank)</f>
        <v>#NAME?</v>
      </c>
      <c r="Q1098" s="211" t="e" cm="1">
        <f t="array" ref="Q1098">IF(H1098&lt;&gt;"Stop",IF(N1098&lt;&gt;0,IF(N1098&lt;=K1098,"OK","NG"),Blank),"-")</f>
        <v>#REF!</v>
      </c>
      <c r="R1098" s="326" t="e" cm="1">
        <f t="array" ref="R1098">IF(H1098&lt;&gt;"Stop",IF(E1098&lt;&gt;0,IF(E1098&lt;=K1098,"OK","NG"),Blank),"-")</f>
        <v>#REF!</v>
      </c>
    </row>
    <row r="1099" spans="1:18" ht="15" hidden="1" x14ac:dyDescent="0.3">
      <c r="A1099" s="318" t="e">
        <f>#REF!</f>
        <v>#REF!</v>
      </c>
      <c r="B1099" s="305" t="e">
        <f>#REF!</f>
        <v>#REF!</v>
      </c>
      <c r="C1099" s="305" t="str">
        <f>'Danh sách máy'!C1142</f>
        <v>MKQC</v>
      </c>
      <c r="D1099" s="90" t="e">
        <f>#REF!</f>
        <v>#REF!</v>
      </c>
      <c r="E1099" s="97">
        <f>'Danh sách máy'!E1142</f>
        <v>0</v>
      </c>
      <c r="F1099" s="206" t="e">
        <f>#REF!</f>
        <v>#REF!</v>
      </c>
      <c r="G1099" s="102" t="e">
        <f>#REF!</f>
        <v>#REF!</v>
      </c>
      <c r="H1099" s="102" t="e">
        <f>#REF!</f>
        <v>#REF!</v>
      </c>
      <c r="K1099" s="210" t="e">
        <f>#REF!</f>
        <v>#REF!</v>
      </c>
      <c r="L1099" s="210">
        <v>45368</v>
      </c>
      <c r="M1099" s="210"/>
      <c r="N1099" s="210">
        <f>'Danh sách máy'!F1142</f>
        <v>0</v>
      </c>
      <c r="O1099" s="211" t="str" cm="1">
        <f t="array" ref="O1099">IF(L1099&lt;&gt;0,IF(L1099&lt;I1099,"OK","NG"),Blank)</f>
        <v>NG</v>
      </c>
      <c r="P1099" s="211" t="e" cm="1">
        <f t="array" ref="P1099">IF(M1099&lt;&gt;0,IF(M1099&lt;J1099,"OK","NG"),Blank)</f>
        <v>#NAME?</v>
      </c>
      <c r="Q1099" s="211" t="e" cm="1">
        <f t="array" ref="Q1099">IF(H1099&lt;&gt;"Stop",IF(N1099&lt;&gt;0,IF(N1099&lt;=K1099,"OK","NG"),Blank),"-")</f>
        <v>#REF!</v>
      </c>
      <c r="R1099" s="326" t="e" cm="1">
        <f t="array" ref="R1099">IF(H1099&lt;&gt;"Stop",IF(E1099&lt;&gt;0,IF(E1099&lt;=K1099,"OK","NG"),Blank),"-")</f>
        <v>#REF!</v>
      </c>
    </row>
    <row r="1100" spans="1:18" ht="15" hidden="1" x14ac:dyDescent="0.3">
      <c r="A1100" s="318" t="e">
        <f>#REF!</f>
        <v>#REF!</v>
      </c>
      <c r="B1100" s="305" t="e">
        <f>#REF!</f>
        <v>#REF!</v>
      </c>
      <c r="C1100" s="305" t="str">
        <f>'Danh sách máy'!C1143</f>
        <v>MKQC</v>
      </c>
      <c r="D1100" s="90" t="e">
        <f>#REF!</f>
        <v>#REF!</v>
      </c>
      <c r="E1100" s="97">
        <f>'Danh sách máy'!E1143</f>
        <v>0</v>
      </c>
      <c r="F1100" s="206" t="e">
        <f>#REF!</f>
        <v>#REF!</v>
      </c>
      <c r="G1100" s="102" t="e">
        <f>#REF!</f>
        <v>#REF!</v>
      </c>
      <c r="H1100" s="102" t="e">
        <f>#REF!</f>
        <v>#REF!</v>
      </c>
      <c r="K1100" s="210" t="e">
        <f>#REF!</f>
        <v>#REF!</v>
      </c>
      <c r="L1100" s="210">
        <v>45369</v>
      </c>
      <c r="M1100" s="210"/>
      <c r="N1100" s="210">
        <f>'Danh sách máy'!F1143</f>
        <v>0</v>
      </c>
      <c r="O1100" s="211" t="str" cm="1">
        <f t="array" ref="O1100">IF(L1100&lt;&gt;0,IF(L1100&lt;I1100,"OK","NG"),Blank)</f>
        <v>NG</v>
      </c>
      <c r="P1100" s="211" t="e" cm="1">
        <f t="array" ref="P1100">IF(M1100&lt;&gt;0,IF(M1100&lt;J1100,"OK","NG"),Blank)</f>
        <v>#NAME?</v>
      </c>
      <c r="Q1100" s="211" t="e" cm="1">
        <f t="array" ref="Q1100">IF(H1100&lt;&gt;"Stop",IF(N1100&lt;&gt;0,IF(N1100&lt;=K1100,"OK","NG"),Blank),"-")</f>
        <v>#REF!</v>
      </c>
      <c r="R1100" s="326" t="e" cm="1">
        <f t="array" ref="R1100">IF(H1100&lt;&gt;"Stop",IF(E1100&lt;&gt;0,IF(E1100&lt;=K1100,"OK","NG"),Blank),"-")</f>
        <v>#REF!</v>
      </c>
    </row>
    <row r="1101" spans="1:18" ht="15" hidden="1" x14ac:dyDescent="0.3">
      <c r="A1101" s="318" t="e">
        <f>#REF!</f>
        <v>#REF!</v>
      </c>
      <c r="B1101" s="305" t="e">
        <f>#REF!</f>
        <v>#REF!</v>
      </c>
      <c r="C1101" s="305" t="str">
        <f>'Danh sách máy'!C1144</f>
        <v>MKQC</v>
      </c>
      <c r="D1101" s="90" t="e">
        <f>#REF!</f>
        <v>#REF!</v>
      </c>
      <c r="E1101" s="97">
        <f>'Danh sách máy'!E1144</f>
        <v>0</v>
      </c>
      <c r="F1101" s="206" t="e">
        <f>#REF!</f>
        <v>#REF!</v>
      </c>
      <c r="G1101" s="102" t="e">
        <f>#REF!</f>
        <v>#REF!</v>
      </c>
      <c r="H1101" s="102" t="e">
        <f>#REF!</f>
        <v>#REF!</v>
      </c>
      <c r="K1101" s="210" t="e">
        <f>#REF!</f>
        <v>#REF!</v>
      </c>
      <c r="L1101" s="210">
        <v>45370</v>
      </c>
      <c r="M1101" s="210"/>
      <c r="N1101" s="210">
        <f>'Danh sách máy'!F1144</f>
        <v>0</v>
      </c>
      <c r="O1101" s="211" t="str" cm="1">
        <f t="array" ref="O1101">IF(L1101&lt;&gt;0,IF(L1101&lt;I1101,"OK","NG"),Blank)</f>
        <v>NG</v>
      </c>
      <c r="P1101" s="211" t="e" cm="1">
        <f t="array" ref="P1101">IF(M1101&lt;&gt;0,IF(M1101&lt;J1101,"OK","NG"),Blank)</f>
        <v>#NAME?</v>
      </c>
      <c r="Q1101" s="211" t="e" cm="1">
        <f t="array" ref="Q1101">IF(H1101&lt;&gt;"Stop",IF(N1101&lt;&gt;0,IF(N1101&lt;=K1101,"OK","NG"),Blank),"-")</f>
        <v>#REF!</v>
      </c>
      <c r="R1101" s="326" t="e" cm="1">
        <f t="array" ref="R1101">IF(H1101&lt;&gt;"Stop",IF(E1101&lt;&gt;0,IF(E1101&lt;=K1101,"OK","NG"),Blank),"-")</f>
        <v>#REF!</v>
      </c>
    </row>
    <row r="1102" spans="1:18" ht="15" hidden="1" x14ac:dyDescent="0.3">
      <c r="A1102" s="318" t="e">
        <f>#REF!</f>
        <v>#REF!</v>
      </c>
      <c r="B1102" s="305" t="e">
        <f>#REF!</f>
        <v>#REF!</v>
      </c>
      <c r="C1102" s="305" t="str">
        <f>'Danh sách máy'!C1145</f>
        <v>MKQC</v>
      </c>
      <c r="D1102" s="90" t="e">
        <f>#REF!</f>
        <v>#REF!</v>
      </c>
      <c r="E1102" s="97">
        <f>'Danh sách máy'!E1145</f>
        <v>0</v>
      </c>
      <c r="F1102" s="206" t="e">
        <f>#REF!</f>
        <v>#REF!</v>
      </c>
      <c r="G1102" s="102" t="e">
        <f>#REF!</f>
        <v>#REF!</v>
      </c>
      <c r="H1102" s="102" t="e">
        <f>#REF!</f>
        <v>#REF!</v>
      </c>
      <c r="K1102" s="210" t="e">
        <f>#REF!</f>
        <v>#REF!</v>
      </c>
      <c r="L1102" s="210">
        <v>45371</v>
      </c>
      <c r="M1102" s="210"/>
      <c r="N1102" s="210">
        <f>'Danh sách máy'!F1145</f>
        <v>0</v>
      </c>
      <c r="O1102" s="211" t="str" cm="1">
        <f t="array" ref="O1102">IF(L1102&lt;&gt;0,IF(L1102&lt;I1102,"OK","NG"),Blank)</f>
        <v>NG</v>
      </c>
      <c r="P1102" s="211" t="e" cm="1">
        <f t="array" ref="P1102">IF(M1102&lt;&gt;0,IF(M1102&lt;J1102,"OK","NG"),Blank)</f>
        <v>#NAME?</v>
      </c>
      <c r="Q1102" s="211" t="e" cm="1">
        <f t="array" ref="Q1102">IF(H1102&lt;&gt;"Stop",IF(N1102&lt;&gt;0,IF(N1102&lt;=K1102,"OK","NG"),Blank),"-")</f>
        <v>#REF!</v>
      </c>
      <c r="R1102" s="326" t="e" cm="1">
        <f t="array" ref="R1102">IF(H1102&lt;&gt;"Stop",IF(E1102&lt;&gt;0,IF(E1102&lt;=K1102,"OK","NG"),Blank),"-")</f>
        <v>#REF!</v>
      </c>
    </row>
    <row r="1103" spans="1:18" ht="15" hidden="1" x14ac:dyDescent="0.3">
      <c r="A1103" s="318" t="e">
        <f>#REF!</f>
        <v>#REF!</v>
      </c>
      <c r="B1103" s="305" t="e">
        <f>#REF!</f>
        <v>#REF!</v>
      </c>
      <c r="C1103" s="305" t="str">
        <f>'Danh sách máy'!C1146</f>
        <v>MKQC</v>
      </c>
      <c r="D1103" s="90" t="e">
        <f>#REF!</f>
        <v>#REF!</v>
      </c>
      <c r="E1103" s="97">
        <f>'Danh sách máy'!E1146</f>
        <v>0</v>
      </c>
      <c r="F1103" s="206" t="e">
        <f>#REF!</f>
        <v>#REF!</v>
      </c>
      <c r="G1103" s="102" t="e">
        <f>#REF!</f>
        <v>#REF!</v>
      </c>
      <c r="H1103" s="102" t="e">
        <f>#REF!</f>
        <v>#REF!</v>
      </c>
      <c r="K1103" s="210" t="e">
        <f>#REF!</f>
        <v>#REF!</v>
      </c>
      <c r="L1103" s="210">
        <v>45372</v>
      </c>
      <c r="M1103" s="210"/>
      <c r="N1103" s="210">
        <f>'Danh sách máy'!F1146</f>
        <v>0</v>
      </c>
      <c r="O1103" s="211" t="str" cm="1">
        <f t="array" ref="O1103">IF(L1103&lt;&gt;0,IF(L1103&lt;I1103,"OK","NG"),Blank)</f>
        <v>NG</v>
      </c>
      <c r="P1103" s="211" t="e" cm="1">
        <f t="array" ref="P1103">IF(M1103&lt;&gt;0,IF(M1103&lt;J1103,"OK","NG"),Blank)</f>
        <v>#NAME?</v>
      </c>
      <c r="Q1103" s="211" t="e" cm="1">
        <f t="array" ref="Q1103">IF(H1103&lt;&gt;"Stop",IF(N1103&lt;&gt;0,IF(N1103&lt;=K1103,"OK","NG"),Blank),"-")</f>
        <v>#REF!</v>
      </c>
      <c r="R1103" s="326" t="e" cm="1">
        <f t="array" ref="R1103">IF(H1103&lt;&gt;"Stop",IF(E1103&lt;&gt;0,IF(E1103&lt;=K1103,"OK","NG"),Blank),"-")</f>
        <v>#REF!</v>
      </c>
    </row>
    <row r="1104" spans="1:18" ht="15" hidden="1" x14ac:dyDescent="0.3">
      <c r="A1104" s="318" t="e">
        <f>#REF!</f>
        <v>#REF!</v>
      </c>
      <c r="B1104" s="305" t="e">
        <f>#REF!</f>
        <v>#REF!</v>
      </c>
      <c r="C1104" s="305" t="str">
        <f>'Danh sách máy'!C1147</f>
        <v>MKQC</v>
      </c>
      <c r="D1104" s="90" t="e">
        <f>#REF!</f>
        <v>#REF!</v>
      </c>
      <c r="E1104" s="97">
        <f>'Danh sách máy'!E1147</f>
        <v>0</v>
      </c>
      <c r="F1104" s="206" t="e">
        <f>#REF!</f>
        <v>#REF!</v>
      </c>
      <c r="G1104" s="102" t="e">
        <f>#REF!</f>
        <v>#REF!</v>
      </c>
      <c r="H1104" s="102" t="e">
        <f>#REF!</f>
        <v>#REF!</v>
      </c>
      <c r="K1104" s="210" t="e">
        <f>#REF!</f>
        <v>#REF!</v>
      </c>
      <c r="L1104" s="210">
        <v>45373</v>
      </c>
      <c r="M1104" s="210"/>
      <c r="N1104" s="210">
        <f>'Danh sách máy'!F1147</f>
        <v>0</v>
      </c>
      <c r="O1104" s="211" t="str" cm="1">
        <f t="array" ref="O1104">IF(L1104&lt;&gt;0,IF(L1104&lt;I1104,"OK","NG"),Blank)</f>
        <v>NG</v>
      </c>
      <c r="P1104" s="211" t="e" cm="1">
        <f t="array" ref="P1104">IF(M1104&lt;&gt;0,IF(M1104&lt;J1104,"OK","NG"),Blank)</f>
        <v>#NAME?</v>
      </c>
      <c r="Q1104" s="211" t="e" cm="1">
        <f t="array" ref="Q1104">IF(H1104&lt;&gt;"Stop",IF(N1104&lt;&gt;0,IF(N1104&lt;=K1104,"OK","NG"),Blank),"-")</f>
        <v>#REF!</v>
      </c>
      <c r="R1104" s="326" t="e" cm="1">
        <f t="array" ref="R1104">IF(H1104&lt;&gt;"Stop",IF(E1104&lt;&gt;0,IF(E1104&lt;=K1104,"OK","NG"),Blank),"-")</f>
        <v>#REF!</v>
      </c>
    </row>
    <row r="1105" spans="1:18" ht="15" hidden="1" x14ac:dyDescent="0.3">
      <c r="A1105" s="318" t="e">
        <f>#REF!</f>
        <v>#REF!</v>
      </c>
      <c r="B1105" s="305" t="e">
        <f>#REF!</f>
        <v>#REF!</v>
      </c>
      <c r="C1105" s="305" t="str">
        <f>'Danh sách máy'!C1148</f>
        <v>MKQC</v>
      </c>
      <c r="D1105" s="90" t="e">
        <f>#REF!</f>
        <v>#REF!</v>
      </c>
      <c r="E1105" s="97">
        <f>'Danh sách máy'!E1148</f>
        <v>0</v>
      </c>
      <c r="F1105" s="206" t="e">
        <f>#REF!</f>
        <v>#REF!</v>
      </c>
      <c r="G1105" s="102" t="e">
        <f>#REF!</f>
        <v>#REF!</v>
      </c>
      <c r="H1105" s="102" t="e">
        <f>#REF!</f>
        <v>#REF!</v>
      </c>
      <c r="K1105" s="210" t="e">
        <f>#REF!</f>
        <v>#REF!</v>
      </c>
      <c r="L1105" s="210">
        <v>45374</v>
      </c>
      <c r="M1105" s="210"/>
      <c r="N1105" s="210">
        <f>'Danh sách máy'!F1148</f>
        <v>0</v>
      </c>
      <c r="O1105" s="211" t="str" cm="1">
        <f t="array" ref="O1105">IF(L1105&lt;&gt;0,IF(L1105&lt;I1105,"OK","NG"),Blank)</f>
        <v>NG</v>
      </c>
      <c r="P1105" s="211" t="e" cm="1">
        <f t="array" ref="P1105">IF(M1105&lt;&gt;0,IF(M1105&lt;J1105,"OK","NG"),Blank)</f>
        <v>#NAME?</v>
      </c>
      <c r="Q1105" s="211" t="e" cm="1">
        <f t="array" ref="Q1105">IF(H1105&lt;&gt;"Stop",IF(N1105&lt;&gt;0,IF(N1105&lt;=K1105,"OK","NG"),Blank),"-")</f>
        <v>#REF!</v>
      </c>
      <c r="R1105" s="326" t="e" cm="1">
        <f t="array" ref="R1105">IF(H1105&lt;&gt;"Stop",IF(E1105&lt;&gt;0,IF(E1105&lt;=K1105,"OK","NG"),Blank),"-")</f>
        <v>#REF!</v>
      </c>
    </row>
    <row r="1106" spans="1:18" ht="15" hidden="1" x14ac:dyDescent="0.3">
      <c r="A1106" s="318" t="e">
        <f>#REF!</f>
        <v>#REF!</v>
      </c>
      <c r="B1106" s="305" t="e">
        <f>#REF!</f>
        <v>#REF!</v>
      </c>
      <c r="C1106" s="305" t="str">
        <f>'Danh sách máy'!C1149</f>
        <v>MKQC</v>
      </c>
      <c r="D1106" s="90" t="e">
        <f>#REF!</f>
        <v>#REF!</v>
      </c>
      <c r="E1106" s="97">
        <f>'Danh sách máy'!E1149</f>
        <v>0</v>
      </c>
      <c r="F1106" s="206" t="e">
        <f>#REF!</f>
        <v>#REF!</v>
      </c>
      <c r="G1106" s="102" t="e">
        <f>#REF!</f>
        <v>#REF!</v>
      </c>
      <c r="H1106" s="102" t="e">
        <f>#REF!</f>
        <v>#REF!</v>
      </c>
      <c r="K1106" s="210" t="e">
        <f>#REF!</f>
        <v>#REF!</v>
      </c>
      <c r="L1106" s="210">
        <v>45375</v>
      </c>
      <c r="M1106" s="210"/>
      <c r="N1106" s="210">
        <f>'Danh sách máy'!F1149</f>
        <v>0</v>
      </c>
      <c r="O1106" s="211" t="str" cm="1">
        <f t="array" ref="O1106">IF(L1106&lt;&gt;0,IF(L1106&lt;I1106,"OK","NG"),Blank)</f>
        <v>NG</v>
      </c>
      <c r="P1106" s="211" t="e" cm="1">
        <f t="array" ref="P1106">IF(M1106&lt;&gt;0,IF(M1106&lt;J1106,"OK","NG"),Blank)</f>
        <v>#NAME?</v>
      </c>
      <c r="Q1106" s="211" t="e" cm="1">
        <f t="array" ref="Q1106">IF(H1106&lt;&gt;"Stop",IF(N1106&lt;&gt;0,IF(N1106&lt;=K1106,"OK","NG"),Blank),"-")</f>
        <v>#REF!</v>
      </c>
      <c r="R1106" s="326" t="e" cm="1">
        <f t="array" ref="R1106">IF(H1106&lt;&gt;"Stop",IF(E1106&lt;&gt;0,IF(E1106&lt;=K1106,"OK","NG"),Blank),"-")</f>
        <v>#REF!</v>
      </c>
    </row>
    <row r="1107" spans="1:18" ht="15" hidden="1" x14ac:dyDescent="0.3">
      <c r="A1107" s="318" t="e">
        <f>#REF!</f>
        <v>#REF!</v>
      </c>
      <c r="B1107" s="305" t="e">
        <f>#REF!</f>
        <v>#REF!</v>
      </c>
      <c r="C1107" s="305" t="str">
        <f>'Danh sách máy'!C1150</f>
        <v>MKQC</v>
      </c>
      <c r="D1107" s="90" t="e">
        <f>#REF!</f>
        <v>#REF!</v>
      </c>
      <c r="E1107" s="97">
        <f>'Danh sách máy'!E1150</f>
        <v>0</v>
      </c>
      <c r="F1107" s="206" t="e">
        <f>#REF!</f>
        <v>#REF!</v>
      </c>
      <c r="G1107" s="102" t="e">
        <f>#REF!</f>
        <v>#REF!</v>
      </c>
      <c r="H1107" s="102" t="e">
        <f>#REF!</f>
        <v>#REF!</v>
      </c>
      <c r="K1107" s="210" t="e">
        <f>#REF!</f>
        <v>#REF!</v>
      </c>
      <c r="L1107" s="210">
        <v>45376</v>
      </c>
      <c r="M1107" s="210"/>
      <c r="N1107" s="210">
        <f>'Danh sách máy'!F1150</f>
        <v>0</v>
      </c>
      <c r="O1107" s="211" t="str" cm="1">
        <f t="array" ref="O1107">IF(L1107&lt;&gt;0,IF(L1107&lt;I1107,"OK","NG"),Blank)</f>
        <v>NG</v>
      </c>
      <c r="P1107" s="211" t="e" cm="1">
        <f t="array" ref="P1107">IF(M1107&lt;&gt;0,IF(M1107&lt;J1107,"OK","NG"),Blank)</f>
        <v>#NAME?</v>
      </c>
      <c r="Q1107" s="211" t="e" cm="1">
        <f t="array" ref="Q1107">IF(H1107&lt;&gt;"Stop",IF(N1107&lt;&gt;0,IF(N1107&lt;=K1107,"OK","NG"),Blank),"-")</f>
        <v>#REF!</v>
      </c>
      <c r="R1107" s="326" t="e" cm="1">
        <f t="array" ref="R1107">IF(H1107&lt;&gt;"Stop",IF(E1107&lt;&gt;0,IF(E1107&lt;=K1107,"OK","NG"),Blank),"-")</f>
        <v>#REF!</v>
      </c>
    </row>
    <row r="1108" spans="1:18" ht="15" hidden="1" x14ac:dyDescent="0.3">
      <c r="A1108" s="318" t="e">
        <f>#REF!</f>
        <v>#REF!</v>
      </c>
      <c r="B1108" s="305" t="e">
        <f>#REF!</f>
        <v>#REF!</v>
      </c>
      <c r="C1108" s="305" t="str">
        <f>'Danh sách máy'!C1151</f>
        <v>MKQC</v>
      </c>
      <c r="D1108" s="90" t="e">
        <f>#REF!</f>
        <v>#REF!</v>
      </c>
      <c r="E1108" s="97">
        <f>'Danh sách máy'!E1151</f>
        <v>0</v>
      </c>
      <c r="F1108" s="206" t="e">
        <f>#REF!</f>
        <v>#REF!</v>
      </c>
      <c r="G1108" s="102" t="e">
        <f>#REF!</f>
        <v>#REF!</v>
      </c>
      <c r="H1108" s="102" t="e">
        <f>#REF!</f>
        <v>#REF!</v>
      </c>
      <c r="K1108" s="210" t="e">
        <f>#REF!</f>
        <v>#REF!</v>
      </c>
      <c r="L1108" s="210">
        <v>45377</v>
      </c>
      <c r="M1108" s="210"/>
      <c r="N1108" s="210">
        <f>'Danh sách máy'!F1151</f>
        <v>0</v>
      </c>
      <c r="O1108" s="211" t="str" cm="1">
        <f t="array" ref="O1108">IF(L1108&lt;&gt;0,IF(L1108&lt;I1108,"OK","NG"),Blank)</f>
        <v>NG</v>
      </c>
      <c r="P1108" s="211" t="e" cm="1">
        <f t="array" ref="P1108">IF(M1108&lt;&gt;0,IF(M1108&lt;J1108,"OK","NG"),Blank)</f>
        <v>#NAME?</v>
      </c>
      <c r="Q1108" s="211" t="e" cm="1">
        <f t="array" ref="Q1108">IF(H1108&lt;&gt;"Stop",IF(N1108&lt;&gt;0,IF(N1108&lt;=K1108,"OK","NG"),Blank),"-")</f>
        <v>#REF!</v>
      </c>
      <c r="R1108" s="326" t="e" cm="1">
        <f t="array" ref="R1108">IF(H1108&lt;&gt;"Stop",IF(E1108&lt;&gt;0,IF(E1108&lt;=K1108,"OK","NG"),Blank),"-")</f>
        <v>#REF!</v>
      </c>
    </row>
    <row r="1109" spans="1:18" ht="15" hidden="1" x14ac:dyDescent="0.3">
      <c r="A1109" s="318" t="e">
        <f>#REF!</f>
        <v>#REF!</v>
      </c>
      <c r="B1109" s="305" t="e">
        <f>#REF!</f>
        <v>#REF!</v>
      </c>
      <c r="C1109" s="305" t="str">
        <f>'Danh sách máy'!C1152</f>
        <v>MKQC</v>
      </c>
      <c r="D1109" s="90" t="e">
        <f>#REF!</f>
        <v>#REF!</v>
      </c>
      <c r="E1109" s="97">
        <f>'Danh sách máy'!E1152</f>
        <v>0</v>
      </c>
      <c r="F1109" s="206" t="e">
        <f>#REF!</f>
        <v>#REF!</v>
      </c>
      <c r="G1109" s="102" t="e">
        <f>#REF!</f>
        <v>#REF!</v>
      </c>
      <c r="H1109" s="102" t="e">
        <f>#REF!</f>
        <v>#REF!</v>
      </c>
      <c r="K1109" s="210" t="e">
        <f>#REF!</f>
        <v>#REF!</v>
      </c>
      <c r="L1109" s="210">
        <v>45378</v>
      </c>
      <c r="M1109" s="210"/>
      <c r="N1109" s="210">
        <f>'Danh sách máy'!F1152</f>
        <v>0</v>
      </c>
      <c r="O1109" s="211" t="str" cm="1">
        <f t="array" ref="O1109">IF(L1109&lt;&gt;0,IF(L1109&lt;I1109,"OK","NG"),Blank)</f>
        <v>NG</v>
      </c>
      <c r="P1109" s="211" t="e" cm="1">
        <f t="array" ref="P1109">IF(M1109&lt;&gt;0,IF(M1109&lt;J1109,"OK","NG"),Blank)</f>
        <v>#NAME?</v>
      </c>
      <c r="Q1109" s="211" t="e" cm="1">
        <f t="array" ref="Q1109">IF(H1109&lt;&gt;"Stop",IF(N1109&lt;&gt;0,IF(N1109&lt;=K1109,"OK","NG"),Blank),"-")</f>
        <v>#REF!</v>
      </c>
      <c r="R1109" s="326" t="e" cm="1">
        <f t="array" ref="R1109">IF(H1109&lt;&gt;"Stop",IF(E1109&lt;&gt;0,IF(E1109&lt;=K1109,"OK","NG"),Blank),"-")</f>
        <v>#REF!</v>
      </c>
    </row>
    <row r="1110" spans="1:18" ht="15" hidden="1" x14ac:dyDescent="0.3">
      <c r="A1110" s="318" t="e">
        <f>#REF!</f>
        <v>#REF!</v>
      </c>
      <c r="B1110" s="305" t="e">
        <f>#REF!</f>
        <v>#REF!</v>
      </c>
      <c r="C1110" s="305" t="str">
        <f>'Danh sách máy'!C1153</f>
        <v>MKQC</v>
      </c>
      <c r="D1110" s="90" t="e">
        <f>#REF!</f>
        <v>#REF!</v>
      </c>
      <c r="E1110" s="97">
        <f>'Danh sách máy'!E1153</f>
        <v>0</v>
      </c>
      <c r="F1110" s="206" t="e">
        <f>#REF!</f>
        <v>#REF!</v>
      </c>
      <c r="G1110" s="102" t="e">
        <f>#REF!</f>
        <v>#REF!</v>
      </c>
      <c r="H1110" s="102" t="e">
        <f>#REF!</f>
        <v>#REF!</v>
      </c>
      <c r="K1110" s="210" t="e">
        <f>#REF!</f>
        <v>#REF!</v>
      </c>
      <c r="L1110" s="210">
        <v>45379</v>
      </c>
      <c r="M1110" s="210"/>
      <c r="N1110" s="210">
        <f>'Danh sách máy'!F1153</f>
        <v>0</v>
      </c>
      <c r="O1110" s="211" t="str" cm="1">
        <f t="array" ref="O1110">IF(L1110&lt;&gt;0,IF(L1110&lt;I1110,"OK","NG"),Blank)</f>
        <v>NG</v>
      </c>
      <c r="P1110" s="211" t="e" cm="1">
        <f t="array" ref="P1110">IF(M1110&lt;&gt;0,IF(M1110&lt;J1110,"OK","NG"),Blank)</f>
        <v>#NAME?</v>
      </c>
      <c r="Q1110" s="211" t="e" cm="1">
        <f t="array" ref="Q1110">IF(H1110&lt;&gt;"Stop",IF(N1110&lt;&gt;0,IF(N1110&lt;=K1110,"OK","NG"),Blank),"-")</f>
        <v>#REF!</v>
      </c>
      <c r="R1110" s="326" t="e" cm="1">
        <f t="array" ref="R1110">IF(H1110&lt;&gt;"Stop",IF(E1110&lt;&gt;0,IF(E1110&lt;=K1110,"OK","NG"),Blank),"-")</f>
        <v>#REF!</v>
      </c>
    </row>
    <row r="1111" spans="1:18" ht="15" hidden="1" x14ac:dyDescent="0.3">
      <c r="A1111" s="318" t="e">
        <f>#REF!</f>
        <v>#REF!</v>
      </c>
      <c r="B1111" s="305" t="e">
        <f>#REF!</f>
        <v>#REF!</v>
      </c>
      <c r="C1111" s="305" t="str">
        <f>'Danh sách máy'!C1154</f>
        <v>MKQC</v>
      </c>
      <c r="D1111" s="90" t="e">
        <f>#REF!</f>
        <v>#REF!</v>
      </c>
      <c r="E1111" s="97">
        <f>'Danh sách máy'!E1154</f>
        <v>0</v>
      </c>
      <c r="F1111" s="206" t="e">
        <f>#REF!</f>
        <v>#REF!</v>
      </c>
      <c r="G1111" s="102" t="e">
        <f>#REF!</f>
        <v>#REF!</v>
      </c>
      <c r="H1111" s="102" t="e">
        <f>#REF!</f>
        <v>#REF!</v>
      </c>
      <c r="K1111" s="210" t="e">
        <f>#REF!</f>
        <v>#REF!</v>
      </c>
      <c r="L1111" s="210">
        <v>45380</v>
      </c>
      <c r="M1111" s="210"/>
      <c r="N1111" s="210">
        <f>'Danh sách máy'!F1154</f>
        <v>0</v>
      </c>
      <c r="O1111" s="211" t="str" cm="1">
        <f t="array" ref="O1111">IF(L1111&lt;&gt;0,IF(L1111&lt;I1111,"OK","NG"),Blank)</f>
        <v>NG</v>
      </c>
      <c r="P1111" s="211" t="e" cm="1">
        <f t="array" ref="P1111">IF(M1111&lt;&gt;0,IF(M1111&lt;J1111,"OK","NG"),Blank)</f>
        <v>#NAME?</v>
      </c>
      <c r="Q1111" s="211" t="e" cm="1">
        <f t="array" ref="Q1111">IF(H1111&lt;&gt;"Stop",IF(N1111&lt;&gt;0,IF(N1111&lt;=K1111,"OK","NG"),Blank),"-")</f>
        <v>#REF!</v>
      </c>
      <c r="R1111" s="326" t="e" cm="1">
        <f t="array" ref="R1111">IF(H1111&lt;&gt;"Stop",IF(E1111&lt;&gt;0,IF(E1111&lt;=K1111,"OK","NG"),Blank),"-")</f>
        <v>#REF!</v>
      </c>
    </row>
    <row r="1112" spans="1:18" ht="15" hidden="1" x14ac:dyDescent="0.3">
      <c r="A1112" s="318" t="e">
        <f>#REF!</f>
        <v>#REF!</v>
      </c>
      <c r="B1112" s="305" t="e">
        <f>#REF!</f>
        <v>#REF!</v>
      </c>
      <c r="C1112" s="305" t="str">
        <f>'Danh sách máy'!C1155</f>
        <v>MKQC</v>
      </c>
      <c r="D1112" s="90" t="e">
        <f>#REF!</f>
        <v>#REF!</v>
      </c>
      <c r="E1112" s="97">
        <f>'Danh sách máy'!E1155</f>
        <v>0</v>
      </c>
      <c r="F1112" s="206" t="e">
        <f>#REF!</f>
        <v>#REF!</v>
      </c>
      <c r="G1112" s="102" t="e">
        <f>#REF!</f>
        <v>#REF!</v>
      </c>
      <c r="H1112" s="102" t="e">
        <f>#REF!</f>
        <v>#REF!</v>
      </c>
      <c r="K1112" s="210" t="e">
        <f>#REF!</f>
        <v>#REF!</v>
      </c>
      <c r="L1112" s="210">
        <v>45381</v>
      </c>
      <c r="M1112" s="210"/>
      <c r="N1112" s="210">
        <f>'Danh sách máy'!F1155</f>
        <v>0</v>
      </c>
      <c r="O1112" s="211" t="str" cm="1">
        <f t="array" ref="O1112">IF(L1112&lt;&gt;0,IF(L1112&lt;I1112,"OK","NG"),Blank)</f>
        <v>NG</v>
      </c>
      <c r="P1112" s="211" t="e" cm="1">
        <f t="array" ref="P1112">IF(M1112&lt;&gt;0,IF(M1112&lt;J1112,"OK","NG"),Blank)</f>
        <v>#NAME?</v>
      </c>
      <c r="Q1112" s="211" t="e" cm="1">
        <f t="array" ref="Q1112">IF(H1112&lt;&gt;"Stop",IF(N1112&lt;&gt;0,IF(N1112&lt;=K1112,"OK","NG"),Blank),"-")</f>
        <v>#REF!</v>
      </c>
      <c r="R1112" s="326" t="e" cm="1">
        <f t="array" ref="R1112">IF(H1112&lt;&gt;"Stop",IF(E1112&lt;&gt;0,IF(E1112&lt;=K1112,"OK","NG"),Blank),"-")</f>
        <v>#REF!</v>
      </c>
    </row>
    <row r="1113" spans="1:18" ht="15" hidden="1" x14ac:dyDescent="0.3">
      <c r="A1113" s="318" t="e">
        <f>#REF!</f>
        <v>#REF!</v>
      </c>
      <c r="B1113" s="305" t="e">
        <f>#REF!</f>
        <v>#REF!</v>
      </c>
      <c r="C1113" s="305" t="str">
        <f>'Danh sách máy'!C1156</f>
        <v>MKQC</v>
      </c>
      <c r="D1113" s="90" t="e">
        <f>#REF!</f>
        <v>#REF!</v>
      </c>
      <c r="E1113" s="97">
        <f>'Danh sách máy'!E1156</f>
        <v>0</v>
      </c>
      <c r="F1113" s="206" t="e">
        <f>#REF!</f>
        <v>#REF!</v>
      </c>
      <c r="G1113" s="102" t="e">
        <f>#REF!</f>
        <v>#REF!</v>
      </c>
      <c r="H1113" s="102" t="e">
        <f>#REF!</f>
        <v>#REF!</v>
      </c>
      <c r="K1113" s="210" t="e">
        <f>#REF!</f>
        <v>#REF!</v>
      </c>
      <c r="L1113" s="210">
        <v>45382</v>
      </c>
      <c r="M1113" s="210"/>
      <c r="N1113" s="210">
        <f>'Danh sách máy'!F1156</f>
        <v>0</v>
      </c>
      <c r="O1113" s="211" t="str" cm="1">
        <f t="array" ref="O1113">IF(L1113&lt;&gt;0,IF(L1113&lt;I1113,"OK","NG"),Blank)</f>
        <v>NG</v>
      </c>
      <c r="P1113" s="211" t="e" cm="1">
        <f t="array" ref="P1113">IF(M1113&lt;&gt;0,IF(M1113&lt;J1113,"OK","NG"),Blank)</f>
        <v>#NAME?</v>
      </c>
      <c r="Q1113" s="211" t="e" cm="1">
        <f t="array" ref="Q1113">IF(H1113&lt;&gt;"Stop",IF(N1113&lt;&gt;0,IF(N1113&lt;=K1113,"OK","NG"),Blank),"-")</f>
        <v>#REF!</v>
      </c>
      <c r="R1113" s="326" t="e" cm="1">
        <f t="array" ref="R1113">IF(H1113&lt;&gt;"Stop",IF(E1113&lt;&gt;0,IF(E1113&lt;=K1113,"OK","NG"),Blank),"-")</f>
        <v>#REF!</v>
      </c>
    </row>
    <row r="1114" spans="1:18" ht="15" hidden="1" x14ac:dyDescent="0.3">
      <c r="A1114" s="318" t="e">
        <f>#REF!</f>
        <v>#REF!</v>
      </c>
      <c r="B1114" s="305" t="e">
        <f>#REF!</f>
        <v>#REF!</v>
      </c>
      <c r="C1114" s="305" t="str">
        <f>'Danh sách máy'!C1157</f>
        <v>MKQC</v>
      </c>
      <c r="D1114" s="90" t="e">
        <f>#REF!</f>
        <v>#REF!</v>
      </c>
      <c r="E1114" s="97">
        <f>'Danh sách máy'!E1157</f>
        <v>0</v>
      </c>
      <c r="F1114" s="206" t="e">
        <f>#REF!</f>
        <v>#REF!</v>
      </c>
      <c r="G1114" s="102" t="e">
        <f>#REF!</f>
        <v>#REF!</v>
      </c>
      <c r="H1114" s="102" t="e">
        <f>#REF!</f>
        <v>#REF!</v>
      </c>
      <c r="K1114" s="210" t="e">
        <f>#REF!</f>
        <v>#REF!</v>
      </c>
      <c r="L1114" s="210">
        <v>45383</v>
      </c>
      <c r="M1114" s="210"/>
      <c r="N1114" s="210">
        <f>'Danh sách máy'!F1157</f>
        <v>0</v>
      </c>
      <c r="O1114" s="211" t="str" cm="1">
        <f t="array" ref="O1114">IF(L1114&lt;&gt;0,IF(L1114&lt;I1114,"OK","NG"),Blank)</f>
        <v>NG</v>
      </c>
      <c r="P1114" s="211" t="e" cm="1">
        <f t="array" ref="P1114">IF(M1114&lt;&gt;0,IF(M1114&lt;J1114,"OK","NG"),Blank)</f>
        <v>#NAME?</v>
      </c>
      <c r="Q1114" s="211" t="e" cm="1">
        <f t="array" ref="Q1114">IF(H1114&lt;&gt;"Stop",IF(N1114&lt;&gt;0,IF(N1114&lt;=K1114,"OK","NG"),Blank),"-")</f>
        <v>#REF!</v>
      </c>
      <c r="R1114" s="326" t="e" cm="1">
        <f t="array" ref="R1114">IF(H1114&lt;&gt;"Stop",IF(E1114&lt;&gt;0,IF(E1114&lt;=K1114,"OK","NG"),Blank),"-")</f>
        <v>#REF!</v>
      </c>
    </row>
    <row r="1115" spans="1:18" ht="15" hidden="1" x14ac:dyDescent="0.3">
      <c r="A1115" s="318" t="e">
        <f>#REF!</f>
        <v>#REF!</v>
      </c>
      <c r="B1115" s="305" t="e">
        <f>#REF!</f>
        <v>#REF!</v>
      </c>
      <c r="C1115" s="305" t="str">
        <f>'Danh sách máy'!C1158</f>
        <v>MKQC</v>
      </c>
      <c r="D1115" s="90" t="e">
        <f>#REF!</f>
        <v>#REF!</v>
      </c>
      <c r="E1115" s="97">
        <f>'Danh sách máy'!E1158</f>
        <v>0</v>
      </c>
      <c r="F1115" s="206" t="e">
        <f>#REF!</f>
        <v>#REF!</v>
      </c>
      <c r="G1115" s="102" t="e">
        <f>#REF!</f>
        <v>#REF!</v>
      </c>
      <c r="H1115" s="102" t="e">
        <f>#REF!</f>
        <v>#REF!</v>
      </c>
      <c r="K1115" s="210" t="e">
        <f>#REF!</f>
        <v>#REF!</v>
      </c>
      <c r="L1115" s="210">
        <v>45384</v>
      </c>
      <c r="M1115" s="210"/>
      <c r="N1115" s="210">
        <f>'Danh sách máy'!F1158</f>
        <v>0</v>
      </c>
      <c r="O1115" s="211" t="str" cm="1">
        <f t="array" ref="O1115">IF(L1115&lt;&gt;0,IF(L1115&lt;I1115,"OK","NG"),Blank)</f>
        <v>NG</v>
      </c>
      <c r="P1115" s="211" t="e" cm="1">
        <f t="array" ref="P1115">IF(M1115&lt;&gt;0,IF(M1115&lt;J1115,"OK","NG"),Blank)</f>
        <v>#NAME?</v>
      </c>
      <c r="Q1115" s="211" t="e" cm="1">
        <f t="array" ref="Q1115">IF(H1115&lt;&gt;"Stop",IF(N1115&lt;&gt;0,IF(N1115&lt;=K1115,"OK","NG"),Blank),"-")</f>
        <v>#REF!</v>
      </c>
      <c r="R1115" s="326" t="e" cm="1">
        <f t="array" ref="R1115">IF(H1115&lt;&gt;"Stop",IF(E1115&lt;&gt;0,IF(E1115&lt;=K1115,"OK","NG"),Blank),"-")</f>
        <v>#REF!</v>
      </c>
    </row>
    <row r="1116" spans="1:18" ht="15" hidden="1" x14ac:dyDescent="0.3">
      <c r="A1116" s="318" t="e">
        <f>#REF!</f>
        <v>#REF!</v>
      </c>
      <c r="B1116" s="305" t="e">
        <f>#REF!</f>
        <v>#REF!</v>
      </c>
      <c r="C1116" s="305" t="str">
        <f>'Danh sách máy'!C1159</f>
        <v>MKQC</v>
      </c>
      <c r="D1116" s="90" t="e">
        <f>#REF!</f>
        <v>#REF!</v>
      </c>
      <c r="E1116" s="97">
        <f>'Danh sách máy'!E1159</f>
        <v>0</v>
      </c>
      <c r="F1116" s="206" t="e">
        <f>#REF!</f>
        <v>#REF!</v>
      </c>
      <c r="G1116" s="102" t="e">
        <f>#REF!</f>
        <v>#REF!</v>
      </c>
      <c r="H1116" s="102" t="e">
        <f>#REF!</f>
        <v>#REF!</v>
      </c>
      <c r="K1116" s="210" t="e">
        <f>#REF!</f>
        <v>#REF!</v>
      </c>
      <c r="L1116" s="210">
        <v>45385</v>
      </c>
      <c r="M1116" s="210"/>
      <c r="N1116" s="210">
        <f>'Danh sách máy'!F1159</f>
        <v>0</v>
      </c>
      <c r="O1116" s="211" t="str" cm="1">
        <f t="array" ref="O1116">IF(L1116&lt;&gt;0,IF(L1116&lt;I1116,"OK","NG"),Blank)</f>
        <v>NG</v>
      </c>
      <c r="P1116" s="211" t="e" cm="1">
        <f t="array" ref="P1116">IF(M1116&lt;&gt;0,IF(M1116&lt;J1116,"OK","NG"),Blank)</f>
        <v>#NAME?</v>
      </c>
      <c r="Q1116" s="211" t="e" cm="1">
        <f t="array" ref="Q1116">IF(H1116&lt;&gt;"Stop",IF(N1116&lt;&gt;0,IF(N1116&lt;=K1116,"OK","NG"),Blank),"-")</f>
        <v>#REF!</v>
      </c>
      <c r="R1116" s="326" t="e" cm="1">
        <f t="array" ref="R1116">IF(H1116&lt;&gt;"Stop",IF(E1116&lt;&gt;0,IF(E1116&lt;=K1116,"OK","NG"),Blank),"-")</f>
        <v>#REF!</v>
      </c>
    </row>
    <row r="1117" spans="1:18" ht="15" hidden="1" x14ac:dyDescent="0.3">
      <c r="A1117" s="318" t="e">
        <f>#REF!</f>
        <v>#REF!</v>
      </c>
      <c r="B1117" s="305" t="e">
        <f>#REF!</f>
        <v>#REF!</v>
      </c>
      <c r="C1117" s="305" t="str">
        <f>'Danh sách máy'!C1160</f>
        <v>MKQC</v>
      </c>
      <c r="D1117" s="90" t="e">
        <f>#REF!</f>
        <v>#REF!</v>
      </c>
      <c r="E1117" s="97">
        <f>'Danh sách máy'!E1160</f>
        <v>0</v>
      </c>
      <c r="F1117" s="206" t="e">
        <f>#REF!</f>
        <v>#REF!</v>
      </c>
      <c r="G1117" s="102" t="e">
        <f>#REF!</f>
        <v>#REF!</v>
      </c>
      <c r="H1117" s="102" t="e">
        <f>#REF!</f>
        <v>#REF!</v>
      </c>
      <c r="K1117" s="210" t="e">
        <f>#REF!</f>
        <v>#REF!</v>
      </c>
      <c r="L1117" s="210">
        <v>45386</v>
      </c>
      <c r="M1117" s="210"/>
      <c r="N1117" s="210">
        <f>'Danh sách máy'!F1160</f>
        <v>0</v>
      </c>
      <c r="O1117" s="211" t="str" cm="1">
        <f t="array" ref="O1117">IF(L1117&lt;&gt;0,IF(L1117&lt;I1117,"OK","NG"),Blank)</f>
        <v>NG</v>
      </c>
      <c r="P1117" s="211" t="e" cm="1">
        <f t="array" ref="P1117">IF(M1117&lt;&gt;0,IF(M1117&lt;J1117,"OK","NG"),Blank)</f>
        <v>#NAME?</v>
      </c>
      <c r="Q1117" s="211" t="e" cm="1">
        <f t="array" ref="Q1117">IF(H1117&lt;&gt;"Stop",IF(N1117&lt;&gt;0,IF(N1117&lt;=K1117,"OK","NG"),Blank),"-")</f>
        <v>#REF!</v>
      </c>
      <c r="R1117" s="326" t="e" cm="1">
        <f t="array" ref="R1117">IF(H1117&lt;&gt;"Stop",IF(E1117&lt;&gt;0,IF(E1117&lt;=K1117,"OK","NG"),Blank),"-")</f>
        <v>#REF!</v>
      </c>
    </row>
    <row r="1118" spans="1:18" ht="15" hidden="1" x14ac:dyDescent="0.3">
      <c r="A1118" s="318" t="e">
        <f>#REF!</f>
        <v>#REF!</v>
      </c>
      <c r="B1118" s="305" t="e">
        <f>#REF!</f>
        <v>#REF!</v>
      </c>
      <c r="C1118" s="305" t="str">
        <f>'Danh sách máy'!C1161</f>
        <v>MKQC</v>
      </c>
      <c r="D1118" s="90" t="e">
        <f>#REF!</f>
        <v>#REF!</v>
      </c>
      <c r="E1118" s="97">
        <f>'Danh sách máy'!E1161</f>
        <v>0</v>
      </c>
      <c r="F1118" s="206" t="e">
        <f>#REF!</f>
        <v>#REF!</v>
      </c>
      <c r="G1118" s="102" t="e">
        <f>#REF!</f>
        <v>#REF!</v>
      </c>
      <c r="H1118" s="102" t="e">
        <f>#REF!</f>
        <v>#REF!</v>
      </c>
      <c r="K1118" s="210" t="e">
        <f>#REF!</f>
        <v>#REF!</v>
      </c>
      <c r="L1118" s="210">
        <v>45387</v>
      </c>
      <c r="M1118" s="210"/>
      <c r="N1118" s="210">
        <f>'Danh sách máy'!F1161</f>
        <v>0</v>
      </c>
      <c r="O1118" s="211" t="str" cm="1">
        <f t="array" ref="O1118">IF(L1118&lt;&gt;0,IF(L1118&lt;I1118,"OK","NG"),Blank)</f>
        <v>NG</v>
      </c>
      <c r="P1118" s="211" t="e" cm="1">
        <f t="array" ref="P1118">IF(M1118&lt;&gt;0,IF(M1118&lt;J1118,"OK","NG"),Blank)</f>
        <v>#NAME?</v>
      </c>
      <c r="Q1118" s="211" t="e" cm="1">
        <f t="array" ref="Q1118">IF(H1118&lt;&gt;"Stop",IF(N1118&lt;&gt;0,IF(N1118&lt;=K1118,"OK","NG"),Blank),"-")</f>
        <v>#REF!</v>
      </c>
      <c r="R1118" s="326" t="e" cm="1">
        <f t="array" ref="R1118">IF(H1118&lt;&gt;"Stop",IF(E1118&lt;&gt;0,IF(E1118&lt;=K1118,"OK","NG"),Blank),"-")</f>
        <v>#REF!</v>
      </c>
    </row>
    <row r="1119" spans="1:18" ht="15" hidden="1" x14ac:dyDescent="0.3">
      <c r="A1119" s="318" t="e">
        <f>#REF!</f>
        <v>#REF!</v>
      </c>
      <c r="B1119" s="305" t="e">
        <f>#REF!</f>
        <v>#REF!</v>
      </c>
      <c r="C1119" s="305" t="str">
        <f>'Danh sách máy'!C1162</f>
        <v>MKQC</v>
      </c>
      <c r="D1119" s="90" t="e">
        <f>#REF!</f>
        <v>#REF!</v>
      </c>
      <c r="E1119" s="97">
        <f>'Danh sách máy'!E1162</f>
        <v>0</v>
      </c>
      <c r="F1119" s="206" t="e">
        <f>#REF!</f>
        <v>#REF!</v>
      </c>
      <c r="G1119" s="102" t="e">
        <f>#REF!</f>
        <v>#REF!</v>
      </c>
      <c r="H1119" s="102" t="e">
        <f>#REF!</f>
        <v>#REF!</v>
      </c>
      <c r="K1119" s="210" t="e">
        <f>#REF!</f>
        <v>#REF!</v>
      </c>
      <c r="L1119" s="210">
        <v>45388</v>
      </c>
      <c r="M1119" s="210"/>
      <c r="N1119" s="210">
        <f>'Danh sách máy'!F1162</f>
        <v>0</v>
      </c>
      <c r="O1119" s="211" t="str" cm="1">
        <f t="array" ref="O1119">IF(L1119&lt;&gt;0,IF(L1119&lt;I1119,"OK","NG"),Blank)</f>
        <v>NG</v>
      </c>
      <c r="P1119" s="211" t="e" cm="1">
        <f t="array" ref="P1119">IF(M1119&lt;&gt;0,IF(M1119&lt;J1119,"OK","NG"),Blank)</f>
        <v>#NAME?</v>
      </c>
      <c r="Q1119" s="211" t="e" cm="1">
        <f t="array" ref="Q1119">IF(H1119&lt;&gt;"Stop",IF(N1119&lt;&gt;0,IF(N1119&lt;=K1119,"OK","NG"),Blank),"-")</f>
        <v>#REF!</v>
      </c>
      <c r="R1119" s="326" t="e" cm="1">
        <f t="array" ref="R1119">IF(H1119&lt;&gt;"Stop",IF(E1119&lt;&gt;0,IF(E1119&lt;=K1119,"OK","NG"),Blank),"-")</f>
        <v>#REF!</v>
      </c>
    </row>
    <row r="1120" spans="1:18" ht="15" hidden="1" x14ac:dyDescent="0.3">
      <c r="A1120" s="318" t="e">
        <f>#REF!</f>
        <v>#REF!</v>
      </c>
      <c r="B1120" s="305" t="e">
        <f>#REF!</f>
        <v>#REF!</v>
      </c>
      <c r="C1120" s="305" t="str">
        <f>'Danh sách máy'!C1163</f>
        <v>MKQC</v>
      </c>
      <c r="D1120" s="90" t="e">
        <f>#REF!</f>
        <v>#REF!</v>
      </c>
      <c r="E1120" s="97">
        <f>'Danh sách máy'!E1163</f>
        <v>0</v>
      </c>
      <c r="F1120" s="206" t="e">
        <f>#REF!</f>
        <v>#REF!</v>
      </c>
      <c r="G1120" s="102" t="e">
        <f>#REF!</f>
        <v>#REF!</v>
      </c>
      <c r="H1120" s="102" t="e">
        <f>#REF!</f>
        <v>#REF!</v>
      </c>
      <c r="K1120" s="210" t="e">
        <f>#REF!</f>
        <v>#REF!</v>
      </c>
      <c r="L1120" s="210">
        <v>45389</v>
      </c>
      <c r="M1120" s="210"/>
      <c r="N1120" s="210">
        <f>'Danh sách máy'!F1163</f>
        <v>0</v>
      </c>
      <c r="O1120" s="211" t="str" cm="1">
        <f t="array" ref="O1120">IF(L1120&lt;&gt;0,IF(L1120&lt;I1120,"OK","NG"),Blank)</f>
        <v>NG</v>
      </c>
      <c r="P1120" s="211" t="e" cm="1">
        <f t="array" ref="P1120">IF(M1120&lt;&gt;0,IF(M1120&lt;J1120,"OK","NG"),Blank)</f>
        <v>#NAME?</v>
      </c>
      <c r="Q1120" s="211" t="e" cm="1">
        <f t="array" ref="Q1120">IF(H1120&lt;&gt;"Stop",IF(N1120&lt;&gt;0,IF(N1120&lt;=K1120,"OK","NG"),Blank),"-")</f>
        <v>#REF!</v>
      </c>
      <c r="R1120" s="326" t="e" cm="1">
        <f t="array" ref="R1120">IF(H1120&lt;&gt;"Stop",IF(E1120&lt;&gt;0,IF(E1120&lt;=K1120,"OK","NG"),Blank),"-")</f>
        <v>#REF!</v>
      </c>
    </row>
    <row r="1121" spans="1:18" ht="15" hidden="1" x14ac:dyDescent="0.3">
      <c r="A1121" s="318" t="e">
        <f>#REF!</f>
        <v>#REF!</v>
      </c>
      <c r="B1121" s="305" t="e">
        <f>#REF!</f>
        <v>#REF!</v>
      </c>
      <c r="C1121" s="305" t="str">
        <f>'Danh sách máy'!C1164</f>
        <v>MKQC</v>
      </c>
      <c r="D1121" s="90" t="e">
        <f>#REF!</f>
        <v>#REF!</v>
      </c>
      <c r="E1121" s="97">
        <f>'Danh sách máy'!E1164</f>
        <v>0</v>
      </c>
      <c r="F1121" s="206" t="e">
        <f>#REF!</f>
        <v>#REF!</v>
      </c>
      <c r="G1121" s="102" t="e">
        <f>#REF!</f>
        <v>#REF!</v>
      </c>
      <c r="H1121" s="102" t="e">
        <f>#REF!</f>
        <v>#REF!</v>
      </c>
      <c r="K1121" s="210" t="e">
        <f>#REF!</f>
        <v>#REF!</v>
      </c>
      <c r="L1121" s="210">
        <v>45390</v>
      </c>
      <c r="M1121" s="210"/>
      <c r="N1121" s="210">
        <f>'Danh sách máy'!F1164</f>
        <v>0</v>
      </c>
      <c r="O1121" s="211" t="str" cm="1">
        <f t="array" ref="O1121">IF(L1121&lt;&gt;0,IF(L1121&lt;I1121,"OK","NG"),Blank)</f>
        <v>NG</v>
      </c>
      <c r="P1121" s="211" t="e" cm="1">
        <f t="array" ref="P1121">IF(M1121&lt;&gt;0,IF(M1121&lt;J1121,"OK","NG"),Blank)</f>
        <v>#NAME?</v>
      </c>
      <c r="Q1121" s="211" t="e" cm="1">
        <f t="array" ref="Q1121">IF(H1121&lt;&gt;"Stop",IF(N1121&lt;&gt;0,IF(N1121&lt;=K1121,"OK","NG"),Blank),"-")</f>
        <v>#REF!</v>
      </c>
      <c r="R1121" s="326" t="e" cm="1">
        <f t="array" ref="R1121">IF(H1121&lt;&gt;"Stop",IF(E1121&lt;&gt;0,IF(E1121&lt;=K1121,"OK","NG"),Blank),"-")</f>
        <v>#REF!</v>
      </c>
    </row>
    <row r="1122" spans="1:18" ht="15" hidden="1" x14ac:dyDescent="0.3">
      <c r="A1122" s="318" t="e">
        <f>#REF!</f>
        <v>#REF!</v>
      </c>
      <c r="B1122" s="305" t="e">
        <f>#REF!</f>
        <v>#REF!</v>
      </c>
      <c r="C1122" s="305" t="str">
        <f>'Danh sách máy'!C1165</f>
        <v>MKQC</v>
      </c>
      <c r="D1122" s="90" t="e">
        <f>#REF!</f>
        <v>#REF!</v>
      </c>
      <c r="E1122" s="97">
        <f>'Danh sách máy'!E1165</f>
        <v>0</v>
      </c>
      <c r="F1122" s="206" t="e">
        <f>#REF!</f>
        <v>#REF!</v>
      </c>
      <c r="G1122" s="102" t="e">
        <f>#REF!</f>
        <v>#REF!</v>
      </c>
      <c r="H1122" s="102" t="e">
        <f>#REF!</f>
        <v>#REF!</v>
      </c>
      <c r="K1122" s="210" t="e">
        <f>#REF!</f>
        <v>#REF!</v>
      </c>
      <c r="L1122" s="210">
        <v>45391</v>
      </c>
      <c r="M1122" s="210"/>
      <c r="N1122" s="210">
        <f>'Danh sách máy'!F1165</f>
        <v>0</v>
      </c>
      <c r="O1122" s="211" t="str" cm="1">
        <f t="array" ref="O1122">IF(L1122&lt;&gt;0,IF(L1122&lt;I1122,"OK","NG"),Blank)</f>
        <v>NG</v>
      </c>
      <c r="P1122" s="211" t="e" cm="1">
        <f t="array" ref="P1122">IF(M1122&lt;&gt;0,IF(M1122&lt;J1122,"OK","NG"),Blank)</f>
        <v>#NAME?</v>
      </c>
      <c r="Q1122" s="211" t="e" cm="1">
        <f t="array" ref="Q1122">IF(H1122&lt;&gt;"Stop",IF(N1122&lt;&gt;0,IF(N1122&lt;=K1122,"OK","NG"),Blank),"-")</f>
        <v>#REF!</v>
      </c>
      <c r="R1122" s="326" t="e" cm="1">
        <f t="array" ref="R1122">IF(H1122&lt;&gt;"Stop",IF(E1122&lt;&gt;0,IF(E1122&lt;=K1122,"OK","NG"),Blank),"-")</f>
        <v>#REF!</v>
      </c>
    </row>
    <row r="1123" spans="1:18" ht="15" hidden="1" x14ac:dyDescent="0.3">
      <c r="A1123" s="318" t="e">
        <f>#REF!</f>
        <v>#REF!</v>
      </c>
      <c r="B1123" s="305" t="e">
        <f>#REF!</f>
        <v>#REF!</v>
      </c>
      <c r="C1123" s="305" t="str">
        <f>'Danh sách máy'!C1166</f>
        <v>MKQC</v>
      </c>
      <c r="D1123" s="90" t="e">
        <f>#REF!</f>
        <v>#REF!</v>
      </c>
      <c r="E1123" s="97">
        <f>'Danh sách máy'!E1166</f>
        <v>0</v>
      </c>
      <c r="F1123" s="206" t="e">
        <f>#REF!</f>
        <v>#REF!</v>
      </c>
      <c r="G1123" s="102" t="e">
        <f>#REF!</f>
        <v>#REF!</v>
      </c>
      <c r="H1123" s="102" t="e">
        <f>#REF!</f>
        <v>#REF!</v>
      </c>
      <c r="K1123" s="210" t="e">
        <f>#REF!</f>
        <v>#REF!</v>
      </c>
      <c r="L1123" s="210">
        <v>45392</v>
      </c>
      <c r="M1123" s="210"/>
      <c r="N1123" s="210">
        <f>'Danh sách máy'!F1166</f>
        <v>0</v>
      </c>
      <c r="O1123" s="211" t="str" cm="1">
        <f t="array" ref="O1123">IF(L1123&lt;&gt;0,IF(L1123&lt;I1123,"OK","NG"),Blank)</f>
        <v>NG</v>
      </c>
      <c r="P1123" s="211" t="e" cm="1">
        <f t="array" ref="P1123">IF(M1123&lt;&gt;0,IF(M1123&lt;J1123,"OK","NG"),Blank)</f>
        <v>#NAME?</v>
      </c>
      <c r="Q1123" s="211" t="e" cm="1">
        <f t="array" ref="Q1123">IF(H1123&lt;&gt;"Stop",IF(N1123&lt;&gt;0,IF(N1123&lt;=K1123,"OK","NG"),Blank),"-")</f>
        <v>#REF!</v>
      </c>
      <c r="R1123" s="326" t="e" cm="1">
        <f t="array" ref="R1123">IF(H1123&lt;&gt;"Stop",IF(E1123&lt;&gt;0,IF(E1123&lt;=K1123,"OK","NG"),Blank),"-")</f>
        <v>#REF!</v>
      </c>
    </row>
    <row r="1124" spans="1:18" ht="15" hidden="1" x14ac:dyDescent="0.3">
      <c r="A1124" s="318" t="e">
        <f>#REF!</f>
        <v>#REF!</v>
      </c>
      <c r="B1124" s="305" t="e">
        <f>#REF!</f>
        <v>#REF!</v>
      </c>
      <c r="C1124" s="305" t="str">
        <f>'Danh sách máy'!C1167</f>
        <v>MKQC</v>
      </c>
      <c r="D1124" s="90" t="e">
        <f>#REF!</f>
        <v>#REF!</v>
      </c>
      <c r="E1124" s="97">
        <f>'Danh sách máy'!E1167</f>
        <v>0</v>
      </c>
      <c r="F1124" s="206" t="e">
        <f>#REF!</f>
        <v>#REF!</v>
      </c>
      <c r="G1124" s="102" t="e">
        <f>#REF!</f>
        <v>#REF!</v>
      </c>
      <c r="H1124" s="102" t="e">
        <f>#REF!</f>
        <v>#REF!</v>
      </c>
      <c r="K1124" s="210" t="e">
        <f>#REF!</f>
        <v>#REF!</v>
      </c>
      <c r="L1124" s="210">
        <v>45393</v>
      </c>
      <c r="M1124" s="210"/>
      <c r="N1124" s="210">
        <f>'Danh sách máy'!F1167</f>
        <v>0</v>
      </c>
      <c r="O1124" s="211" t="str" cm="1">
        <f t="array" ref="O1124">IF(L1124&lt;&gt;0,IF(L1124&lt;I1124,"OK","NG"),Blank)</f>
        <v>NG</v>
      </c>
      <c r="P1124" s="211" t="e" cm="1">
        <f t="array" ref="P1124">IF(M1124&lt;&gt;0,IF(M1124&lt;J1124,"OK","NG"),Blank)</f>
        <v>#NAME?</v>
      </c>
      <c r="Q1124" s="211" t="e" cm="1">
        <f t="array" ref="Q1124">IF(H1124&lt;&gt;"Stop",IF(N1124&lt;&gt;0,IF(N1124&lt;=K1124,"OK","NG"),Blank),"-")</f>
        <v>#REF!</v>
      </c>
      <c r="R1124" s="326" t="e" cm="1">
        <f t="array" ref="R1124">IF(H1124&lt;&gt;"Stop",IF(E1124&lt;&gt;0,IF(E1124&lt;=K1124,"OK","NG"),Blank),"-")</f>
        <v>#REF!</v>
      </c>
    </row>
    <row r="1125" spans="1:18" ht="15" hidden="1" x14ac:dyDescent="0.3">
      <c r="A1125" s="318" t="e">
        <f>#REF!</f>
        <v>#REF!</v>
      </c>
      <c r="B1125" s="305" t="e">
        <f>#REF!</f>
        <v>#REF!</v>
      </c>
      <c r="C1125" s="305" t="str">
        <f>'Danh sách máy'!C1168</f>
        <v>MKQC</v>
      </c>
      <c r="D1125" s="90" t="e">
        <f>#REF!</f>
        <v>#REF!</v>
      </c>
      <c r="E1125" s="97">
        <f>'Danh sách máy'!E1168</f>
        <v>0</v>
      </c>
      <c r="F1125" s="206" t="e">
        <f>#REF!</f>
        <v>#REF!</v>
      </c>
      <c r="G1125" s="102" t="e">
        <f>#REF!</f>
        <v>#REF!</v>
      </c>
      <c r="H1125" s="102" t="e">
        <f>#REF!</f>
        <v>#REF!</v>
      </c>
      <c r="K1125" s="210" t="e">
        <f>#REF!</f>
        <v>#REF!</v>
      </c>
      <c r="L1125" s="210">
        <v>45394</v>
      </c>
      <c r="M1125" s="210"/>
      <c r="N1125" s="210">
        <f>'Danh sách máy'!F1168</f>
        <v>0</v>
      </c>
      <c r="O1125" s="211" t="str" cm="1">
        <f t="array" ref="O1125">IF(L1125&lt;&gt;0,IF(L1125&lt;I1125,"OK","NG"),Blank)</f>
        <v>NG</v>
      </c>
      <c r="P1125" s="211" t="e" cm="1">
        <f t="array" ref="P1125">IF(M1125&lt;&gt;0,IF(M1125&lt;J1125,"OK","NG"),Blank)</f>
        <v>#NAME?</v>
      </c>
      <c r="Q1125" s="211" t="e" cm="1">
        <f t="array" ref="Q1125">IF(H1125&lt;&gt;"Stop",IF(N1125&lt;&gt;0,IF(N1125&lt;=K1125,"OK","NG"),Blank),"-")</f>
        <v>#REF!</v>
      </c>
      <c r="R1125" s="326" t="e" cm="1">
        <f t="array" ref="R1125">IF(H1125&lt;&gt;"Stop",IF(E1125&lt;&gt;0,IF(E1125&lt;=K1125,"OK","NG"),Blank),"-")</f>
        <v>#REF!</v>
      </c>
    </row>
    <row r="1126" spans="1:18" ht="15" hidden="1" x14ac:dyDescent="0.3">
      <c r="A1126" s="318" t="e">
        <f>#REF!</f>
        <v>#REF!</v>
      </c>
      <c r="B1126" s="305" t="e">
        <f>#REF!</f>
        <v>#REF!</v>
      </c>
      <c r="C1126" s="305" t="str">
        <f>'Danh sách máy'!C1169</f>
        <v>MKQC</v>
      </c>
      <c r="D1126" s="90" t="e">
        <f>#REF!</f>
        <v>#REF!</v>
      </c>
      <c r="E1126" s="97">
        <f>'Danh sách máy'!E1169</f>
        <v>0</v>
      </c>
      <c r="F1126" s="206" t="e">
        <f>#REF!</f>
        <v>#REF!</v>
      </c>
      <c r="G1126" s="102" t="e">
        <f>#REF!</f>
        <v>#REF!</v>
      </c>
      <c r="H1126" s="102" t="e">
        <f>#REF!</f>
        <v>#REF!</v>
      </c>
      <c r="K1126" s="210" t="e">
        <f>#REF!</f>
        <v>#REF!</v>
      </c>
      <c r="L1126" s="210">
        <v>45395</v>
      </c>
      <c r="M1126" s="210"/>
      <c r="N1126" s="210">
        <f>'Danh sách máy'!F1169</f>
        <v>0</v>
      </c>
      <c r="O1126" s="211" t="str" cm="1">
        <f t="array" ref="O1126">IF(L1126&lt;&gt;0,IF(L1126&lt;I1126,"OK","NG"),Blank)</f>
        <v>NG</v>
      </c>
      <c r="P1126" s="211" t="e" cm="1">
        <f t="array" ref="P1126">IF(M1126&lt;&gt;0,IF(M1126&lt;J1126,"OK","NG"),Blank)</f>
        <v>#NAME?</v>
      </c>
      <c r="Q1126" s="211" t="e" cm="1">
        <f t="array" ref="Q1126">IF(H1126&lt;&gt;"Stop",IF(N1126&lt;&gt;0,IF(N1126&lt;=K1126,"OK","NG"),Blank),"-")</f>
        <v>#REF!</v>
      </c>
      <c r="R1126" s="326" t="e" cm="1">
        <f t="array" ref="R1126">IF(H1126&lt;&gt;"Stop",IF(E1126&lt;&gt;0,IF(E1126&lt;=K1126,"OK","NG"),Blank),"-")</f>
        <v>#REF!</v>
      </c>
    </row>
    <row r="1127" spans="1:18" ht="15" hidden="1" x14ac:dyDescent="0.3">
      <c r="A1127" s="318" t="e">
        <f>#REF!</f>
        <v>#REF!</v>
      </c>
      <c r="B1127" s="305" t="e">
        <f>#REF!</f>
        <v>#REF!</v>
      </c>
      <c r="C1127" s="305" t="str">
        <f>'Danh sách máy'!C1170</f>
        <v>MKQC</v>
      </c>
      <c r="D1127" s="90" t="e">
        <f>#REF!</f>
        <v>#REF!</v>
      </c>
      <c r="E1127" s="97">
        <f>'Danh sách máy'!E1170</f>
        <v>0</v>
      </c>
      <c r="F1127" s="206" t="e">
        <f>#REF!</f>
        <v>#REF!</v>
      </c>
      <c r="G1127" s="102" t="e">
        <f>#REF!</f>
        <v>#REF!</v>
      </c>
      <c r="H1127" s="102" t="e">
        <f>#REF!</f>
        <v>#REF!</v>
      </c>
      <c r="K1127" s="210" t="e">
        <f>#REF!</f>
        <v>#REF!</v>
      </c>
      <c r="L1127" s="210">
        <v>45396</v>
      </c>
      <c r="M1127" s="210"/>
      <c r="N1127" s="210">
        <f>'Danh sách máy'!F1170</f>
        <v>0</v>
      </c>
      <c r="O1127" s="211" t="str" cm="1">
        <f t="array" ref="O1127">IF(L1127&lt;&gt;0,IF(L1127&lt;I1127,"OK","NG"),Blank)</f>
        <v>NG</v>
      </c>
      <c r="P1127" s="211" t="e" cm="1">
        <f t="array" ref="P1127">IF(M1127&lt;&gt;0,IF(M1127&lt;J1127,"OK","NG"),Blank)</f>
        <v>#NAME?</v>
      </c>
      <c r="Q1127" s="211" t="e" cm="1">
        <f t="array" ref="Q1127">IF(H1127&lt;&gt;"Stop",IF(N1127&lt;&gt;0,IF(N1127&lt;=K1127,"OK","NG"),Blank),"-")</f>
        <v>#REF!</v>
      </c>
      <c r="R1127" s="326" t="e" cm="1">
        <f t="array" ref="R1127">IF(H1127&lt;&gt;"Stop",IF(E1127&lt;&gt;0,IF(E1127&lt;=K1127,"OK","NG"),Blank),"-")</f>
        <v>#REF!</v>
      </c>
    </row>
    <row r="1128" spans="1:18" ht="15" hidden="1" x14ac:dyDescent="0.3">
      <c r="A1128" s="318" t="e">
        <f>#REF!</f>
        <v>#REF!</v>
      </c>
      <c r="B1128" s="305" t="e">
        <f>#REF!</f>
        <v>#REF!</v>
      </c>
      <c r="C1128" s="305" t="str">
        <f>'Danh sách máy'!C1171</f>
        <v>MKQC</v>
      </c>
      <c r="D1128" s="90" t="e">
        <f>#REF!</f>
        <v>#REF!</v>
      </c>
      <c r="E1128" s="97">
        <f>'Danh sách máy'!E1171</f>
        <v>0</v>
      </c>
      <c r="F1128" s="206" t="e">
        <f>#REF!</f>
        <v>#REF!</v>
      </c>
      <c r="G1128" s="102" t="e">
        <f>#REF!</f>
        <v>#REF!</v>
      </c>
      <c r="H1128" s="102" t="e">
        <f>#REF!</f>
        <v>#REF!</v>
      </c>
      <c r="K1128" s="210" t="e">
        <f>#REF!</f>
        <v>#REF!</v>
      </c>
      <c r="L1128" s="210">
        <v>45397</v>
      </c>
      <c r="M1128" s="210"/>
      <c r="N1128" s="210">
        <f>'Danh sách máy'!F1171</f>
        <v>0</v>
      </c>
      <c r="O1128" s="211" t="str" cm="1">
        <f t="array" ref="O1128">IF(L1128&lt;&gt;0,IF(L1128&lt;I1128,"OK","NG"),Blank)</f>
        <v>NG</v>
      </c>
      <c r="P1128" s="211" t="e" cm="1">
        <f t="array" ref="P1128">IF(M1128&lt;&gt;0,IF(M1128&lt;J1128,"OK","NG"),Blank)</f>
        <v>#NAME?</v>
      </c>
      <c r="Q1128" s="211" t="e" cm="1">
        <f t="array" ref="Q1128">IF(H1128&lt;&gt;"Stop",IF(N1128&lt;&gt;0,IF(N1128&lt;=K1128,"OK","NG"),Blank),"-")</f>
        <v>#REF!</v>
      </c>
      <c r="R1128" s="326" t="e" cm="1">
        <f t="array" ref="R1128">IF(H1128&lt;&gt;"Stop",IF(E1128&lt;&gt;0,IF(E1128&lt;=K1128,"OK","NG"),Blank),"-")</f>
        <v>#REF!</v>
      </c>
    </row>
    <row r="1129" spans="1:18" ht="15" hidden="1" x14ac:dyDescent="0.3">
      <c r="A1129" s="318" t="e">
        <f>#REF!</f>
        <v>#REF!</v>
      </c>
      <c r="B1129" s="305" t="e">
        <f>#REF!</f>
        <v>#REF!</v>
      </c>
      <c r="C1129" s="305" t="str">
        <f>'Danh sách máy'!C1172</f>
        <v>MKQC</v>
      </c>
      <c r="D1129" s="90" t="e">
        <f>#REF!</f>
        <v>#REF!</v>
      </c>
      <c r="E1129" s="97">
        <f>'Danh sách máy'!E1172</f>
        <v>0</v>
      </c>
      <c r="F1129" s="206" t="e">
        <f>#REF!</f>
        <v>#REF!</v>
      </c>
      <c r="G1129" s="102" t="e">
        <f>#REF!</f>
        <v>#REF!</v>
      </c>
      <c r="H1129" s="102" t="e">
        <f>#REF!</f>
        <v>#REF!</v>
      </c>
      <c r="K1129" s="210" t="e">
        <f>#REF!</f>
        <v>#REF!</v>
      </c>
      <c r="L1129" s="210">
        <v>45398</v>
      </c>
      <c r="M1129" s="210"/>
      <c r="N1129" s="210">
        <f>'Danh sách máy'!F1172</f>
        <v>0</v>
      </c>
      <c r="O1129" s="211" t="str" cm="1">
        <f t="array" ref="O1129">IF(L1129&lt;&gt;0,IF(L1129&lt;I1129,"OK","NG"),Blank)</f>
        <v>NG</v>
      </c>
      <c r="P1129" s="211" t="e" cm="1">
        <f t="array" ref="P1129">IF(M1129&lt;&gt;0,IF(M1129&lt;J1129,"OK","NG"),Blank)</f>
        <v>#NAME?</v>
      </c>
      <c r="Q1129" s="211" t="e" cm="1">
        <f t="array" ref="Q1129">IF(H1129&lt;&gt;"Stop",IF(N1129&lt;&gt;0,IF(N1129&lt;=K1129,"OK","NG"),Blank),"-")</f>
        <v>#REF!</v>
      </c>
      <c r="R1129" s="326" t="e" cm="1">
        <f t="array" ref="R1129">IF(H1129&lt;&gt;"Stop",IF(E1129&lt;&gt;0,IF(E1129&lt;=K1129,"OK","NG"),Blank),"-")</f>
        <v>#REF!</v>
      </c>
    </row>
    <row r="1130" spans="1:18" ht="15" hidden="1" x14ac:dyDescent="0.3">
      <c r="A1130" s="318" t="e">
        <f>#REF!</f>
        <v>#REF!</v>
      </c>
      <c r="B1130" s="305" t="e">
        <f>#REF!</f>
        <v>#REF!</v>
      </c>
      <c r="C1130" s="305" t="str">
        <f>'Danh sách máy'!C1173</f>
        <v>MKQC</v>
      </c>
      <c r="D1130" s="90" t="e">
        <f>#REF!</f>
        <v>#REF!</v>
      </c>
      <c r="E1130" s="97">
        <f>'Danh sách máy'!E1173</f>
        <v>0</v>
      </c>
      <c r="F1130" s="206" t="e">
        <f>#REF!</f>
        <v>#REF!</v>
      </c>
      <c r="G1130" s="102" t="e">
        <f>#REF!</f>
        <v>#REF!</v>
      </c>
      <c r="H1130" s="102" t="e">
        <f>#REF!</f>
        <v>#REF!</v>
      </c>
      <c r="K1130" s="210" t="e">
        <f>#REF!</f>
        <v>#REF!</v>
      </c>
      <c r="L1130" s="210">
        <v>45399</v>
      </c>
      <c r="M1130" s="210"/>
      <c r="N1130" s="210">
        <f>'Danh sách máy'!F1173</f>
        <v>0</v>
      </c>
      <c r="O1130" s="211" t="str" cm="1">
        <f t="array" ref="O1130">IF(L1130&lt;&gt;0,IF(L1130&lt;I1130,"OK","NG"),Blank)</f>
        <v>NG</v>
      </c>
      <c r="P1130" s="211" t="e" cm="1">
        <f t="array" ref="P1130">IF(M1130&lt;&gt;0,IF(M1130&lt;J1130,"OK","NG"),Blank)</f>
        <v>#NAME?</v>
      </c>
      <c r="Q1130" s="211" t="e" cm="1">
        <f t="array" ref="Q1130">IF(H1130&lt;&gt;"Stop",IF(N1130&lt;&gt;0,IF(N1130&lt;=K1130,"OK","NG"),Blank),"-")</f>
        <v>#REF!</v>
      </c>
      <c r="R1130" s="326" t="e" cm="1">
        <f t="array" ref="R1130">IF(H1130&lt;&gt;"Stop",IF(E1130&lt;&gt;0,IF(E1130&lt;=K1130,"OK","NG"),Blank),"-")</f>
        <v>#REF!</v>
      </c>
    </row>
    <row r="1131" spans="1:18" ht="15" hidden="1" x14ac:dyDescent="0.3">
      <c r="A1131" s="318" t="e">
        <f>#REF!</f>
        <v>#REF!</v>
      </c>
      <c r="B1131" s="305" t="e">
        <f>#REF!</f>
        <v>#REF!</v>
      </c>
      <c r="C1131" s="305" t="str">
        <f>'Danh sách máy'!C1174</f>
        <v>MKQC</v>
      </c>
      <c r="D1131" s="90" t="e">
        <f>#REF!</f>
        <v>#REF!</v>
      </c>
      <c r="E1131" s="97">
        <f>'Danh sách máy'!E1174</f>
        <v>0</v>
      </c>
      <c r="F1131" s="206" t="e">
        <f>#REF!</f>
        <v>#REF!</v>
      </c>
      <c r="G1131" s="102" t="e">
        <f>#REF!</f>
        <v>#REF!</v>
      </c>
      <c r="H1131" s="102" t="e">
        <f>#REF!</f>
        <v>#REF!</v>
      </c>
      <c r="K1131" s="210" t="e">
        <f>#REF!</f>
        <v>#REF!</v>
      </c>
      <c r="L1131" s="210">
        <v>45400</v>
      </c>
      <c r="M1131" s="210"/>
      <c r="N1131" s="210">
        <f>'Danh sách máy'!F1174</f>
        <v>0</v>
      </c>
      <c r="O1131" s="211" t="str" cm="1">
        <f t="array" ref="O1131">IF(L1131&lt;&gt;0,IF(L1131&lt;I1131,"OK","NG"),Blank)</f>
        <v>NG</v>
      </c>
      <c r="P1131" s="211" t="e" cm="1">
        <f t="array" ref="P1131">IF(M1131&lt;&gt;0,IF(M1131&lt;J1131,"OK","NG"),Blank)</f>
        <v>#NAME?</v>
      </c>
      <c r="Q1131" s="211" t="e" cm="1">
        <f t="array" ref="Q1131">IF(H1131&lt;&gt;"Stop",IF(N1131&lt;&gt;0,IF(N1131&lt;=K1131,"OK","NG"),Blank),"-")</f>
        <v>#REF!</v>
      </c>
      <c r="R1131" s="326" t="e" cm="1">
        <f t="array" ref="R1131">IF(H1131&lt;&gt;"Stop",IF(E1131&lt;&gt;0,IF(E1131&lt;=K1131,"OK","NG"),Blank),"-")</f>
        <v>#REF!</v>
      </c>
    </row>
    <row r="1132" spans="1:18" ht="15" hidden="1" x14ac:dyDescent="0.3">
      <c r="A1132" s="318" t="e">
        <f>#REF!</f>
        <v>#REF!</v>
      </c>
      <c r="B1132" s="305" t="e">
        <f>#REF!</f>
        <v>#REF!</v>
      </c>
      <c r="C1132" s="305" t="str">
        <f>'Danh sách máy'!C1175</f>
        <v>MKQC</v>
      </c>
      <c r="D1132" s="90" t="e">
        <f>#REF!</f>
        <v>#REF!</v>
      </c>
      <c r="E1132" s="97">
        <f>'Danh sách máy'!E1175</f>
        <v>0</v>
      </c>
      <c r="F1132" s="206" t="e">
        <f>#REF!</f>
        <v>#REF!</v>
      </c>
      <c r="G1132" s="102" t="e">
        <f>#REF!</f>
        <v>#REF!</v>
      </c>
      <c r="H1132" s="102" t="e">
        <f>#REF!</f>
        <v>#REF!</v>
      </c>
      <c r="K1132" s="210" t="e">
        <f>#REF!</f>
        <v>#REF!</v>
      </c>
      <c r="L1132" s="210">
        <v>45401</v>
      </c>
      <c r="M1132" s="210"/>
      <c r="N1132" s="210">
        <f>'Danh sách máy'!F1175</f>
        <v>0</v>
      </c>
      <c r="O1132" s="211" t="str" cm="1">
        <f t="array" ref="O1132">IF(L1132&lt;&gt;0,IF(L1132&lt;I1132,"OK","NG"),Blank)</f>
        <v>NG</v>
      </c>
      <c r="P1132" s="211" t="e" cm="1">
        <f t="array" ref="P1132">IF(M1132&lt;&gt;0,IF(M1132&lt;J1132,"OK","NG"),Blank)</f>
        <v>#NAME?</v>
      </c>
      <c r="Q1132" s="211" t="e" cm="1">
        <f t="array" ref="Q1132">IF(H1132&lt;&gt;"Stop",IF(N1132&lt;&gt;0,IF(N1132&lt;=K1132,"OK","NG"),Blank),"-")</f>
        <v>#REF!</v>
      </c>
      <c r="R1132" s="326" t="e" cm="1">
        <f t="array" ref="R1132">IF(H1132&lt;&gt;"Stop",IF(E1132&lt;&gt;0,IF(E1132&lt;=K1132,"OK","NG"),Blank),"-")</f>
        <v>#REF!</v>
      </c>
    </row>
    <row r="1133" spans="1:18" ht="15" hidden="1" x14ac:dyDescent="0.3">
      <c r="A1133" s="318" t="e">
        <f>#REF!</f>
        <v>#REF!</v>
      </c>
      <c r="B1133" s="305" t="e">
        <f>#REF!</f>
        <v>#REF!</v>
      </c>
      <c r="C1133" s="305" t="str">
        <f>'Danh sách máy'!C1176</f>
        <v>MKQC</v>
      </c>
      <c r="D1133" s="90" t="e">
        <f>#REF!</f>
        <v>#REF!</v>
      </c>
      <c r="E1133" s="97">
        <f>'Danh sách máy'!E1176</f>
        <v>0</v>
      </c>
      <c r="F1133" s="206" t="e">
        <f>#REF!</f>
        <v>#REF!</v>
      </c>
      <c r="G1133" s="102" t="e">
        <f>#REF!</f>
        <v>#REF!</v>
      </c>
      <c r="H1133" s="102" t="e">
        <f>#REF!</f>
        <v>#REF!</v>
      </c>
      <c r="K1133" s="210" t="e">
        <f>#REF!</f>
        <v>#REF!</v>
      </c>
      <c r="L1133" s="210">
        <v>45402</v>
      </c>
      <c r="M1133" s="210"/>
      <c r="N1133" s="210">
        <f>'Danh sách máy'!F1176</f>
        <v>0</v>
      </c>
      <c r="O1133" s="211" t="str" cm="1">
        <f t="array" ref="O1133">IF(L1133&lt;&gt;0,IF(L1133&lt;I1133,"OK","NG"),Blank)</f>
        <v>NG</v>
      </c>
      <c r="P1133" s="211" t="e" cm="1">
        <f t="array" ref="P1133">IF(M1133&lt;&gt;0,IF(M1133&lt;J1133,"OK","NG"),Blank)</f>
        <v>#NAME?</v>
      </c>
      <c r="Q1133" s="211" t="e" cm="1">
        <f t="array" ref="Q1133">IF(H1133&lt;&gt;"Stop",IF(N1133&lt;&gt;0,IF(N1133&lt;=K1133,"OK","NG"),Blank),"-")</f>
        <v>#REF!</v>
      </c>
      <c r="R1133" s="326" t="e" cm="1">
        <f t="array" ref="R1133">IF(H1133&lt;&gt;"Stop",IF(E1133&lt;&gt;0,IF(E1133&lt;=K1133,"OK","NG"),Blank),"-")</f>
        <v>#REF!</v>
      </c>
    </row>
    <row r="1134" spans="1:18" ht="15" hidden="1" x14ac:dyDescent="0.3">
      <c r="A1134" s="318" t="e">
        <f>#REF!</f>
        <v>#REF!</v>
      </c>
      <c r="B1134" s="305" t="e">
        <f>#REF!</f>
        <v>#REF!</v>
      </c>
      <c r="C1134" s="305" t="str">
        <f>'Danh sách máy'!C1177</f>
        <v>MKQC</v>
      </c>
      <c r="D1134" s="90" t="e">
        <f>#REF!</f>
        <v>#REF!</v>
      </c>
      <c r="E1134" s="97">
        <f>'Danh sách máy'!E1177</f>
        <v>0</v>
      </c>
      <c r="F1134" s="206" t="e">
        <f>#REF!</f>
        <v>#REF!</v>
      </c>
      <c r="G1134" s="102" t="e">
        <f>#REF!</f>
        <v>#REF!</v>
      </c>
      <c r="H1134" s="102" t="e">
        <f>#REF!</f>
        <v>#REF!</v>
      </c>
      <c r="K1134" s="210" t="e">
        <f>#REF!</f>
        <v>#REF!</v>
      </c>
      <c r="L1134" s="210">
        <v>45403</v>
      </c>
      <c r="M1134" s="210"/>
      <c r="N1134" s="210">
        <f>'Danh sách máy'!F1177</f>
        <v>0</v>
      </c>
      <c r="O1134" s="211" t="str" cm="1">
        <f t="array" ref="O1134">IF(L1134&lt;&gt;0,IF(L1134&lt;I1134,"OK","NG"),Blank)</f>
        <v>NG</v>
      </c>
      <c r="P1134" s="211" t="e" cm="1">
        <f t="array" ref="P1134">IF(M1134&lt;&gt;0,IF(M1134&lt;J1134,"OK","NG"),Blank)</f>
        <v>#NAME?</v>
      </c>
      <c r="Q1134" s="211" t="e" cm="1">
        <f t="array" ref="Q1134">IF(H1134&lt;&gt;"Stop",IF(N1134&lt;&gt;0,IF(N1134&lt;=K1134,"OK","NG"),Blank),"-")</f>
        <v>#REF!</v>
      </c>
      <c r="R1134" s="326" t="e" cm="1">
        <f t="array" ref="R1134">IF(H1134&lt;&gt;"Stop",IF(E1134&lt;&gt;0,IF(E1134&lt;=K1134,"OK","NG"),Blank),"-")</f>
        <v>#REF!</v>
      </c>
    </row>
    <row r="1135" spans="1:18" ht="15" hidden="1" x14ac:dyDescent="0.3">
      <c r="A1135" s="318" t="e">
        <f>#REF!</f>
        <v>#REF!</v>
      </c>
      <c r="B1135" s="305" t="e">
        <f>#REF!</f>
        <v>#REF!</v>
      </c>
      <c r="C1135" s="305" t="str">
        <f>'Danh sách máy'!C1178</f>
        <v>MKQC</v>
      </c>
      <c r="D1135" s="90" t="e">
        <f>#REF!</f>
        <v>#REF!</v>
      </c>
      <c r="E1135" s="97">
        <f>'Danh sách máy'!E1178</f>
        <v>0</v>
      </c>
      <c r="F1135" s="206" t="e">
        <f>#REF!</f>
        <v>#REF!</v>
      </c>
      <c r="G1135" s="102" t="e">
        <f>#REF!</f>
        <v>#REF!</v>
      </c>
      <c r="H1135" s="102" t="e">
        <f>#REF!</f>
        <v>#REF!</v>
      </c>
      <c r="K1135" s="210" t="e">
        <f>#REF!</f>
        <v>#REF!</v>
      </c>
      <c r="L1135" s="210">
        <v>45404</v>
      </c>
      <c r="M1135" s="210"/>
      <c r="N1135" s="210">
        <f>'Danh sách máy'!F1178</f>
        <v>0</v>
      </c>
      <c r="O1135" s="211" t="str" cm="1">
        <f t="array" ref="O1135">IF(L1135&lt;&gt;0,IF(L1135&lt;I1135,"OK","NG"),Blank)</f>
        <v>NG</v>
      </c>
      <c r="P1135" s="211" t="e" cm="1">
        <f t="array" ref="P1135">IF(M1135&lt;&gt;0,IF(M1135&lt;J1135,"OK","NG"),Blank)</f>
        <v>#NAME?</v>
      </c>
      <c r="Q1135" s="211" t="e" cm="1">
        <f t="array" ref="Q1135">IF(H1135&lt;&gt;"Stop",IF(N1135&lt;&gt;0,IF(N1135&lt;=K1135,"OK","NG"),Blank),"-")</f>
        <v>#REF!</v>
      </c>
      <c r="R1135" s="326" t="e" cm="1">
        <f t="array" ref="R1135">IF(H1135&lt;&gt;"Stop",IF(E1135&lt;&gt;0,IF(E1135&lt;=K1135,"OK","NG"),Blank),"-")</f>
        <v>#REF!</v>
      </c>
    </row>
    <row r="1136" spans="1:18" ht="15" hidden="1" x14ac:dyDescent="0.3">
      <c r="A1136" s="318" t="e">
        <f>#REF!</f>
        <v>#REF!</v>
      </c>
      <c r="B1136" s="305" t="e">
        <f>#REF!</f>
        <v>#REF!</v>
      </c>
      <c r="C1136" s="305" t="str">
        <f>'Danh sách máy'!C1179</f>
        <v>MKQC</v>
      </c>
      <c r="D1136" s="90" t="e">
        <f>#REF!</f>
        <v>#REF!</v>
      </c>
      <c r="E1136" s="97">
        <f>'Danh sách máy'!E1179</f>
        <v>0</v>
      </c>
      <c r="F1136" s="206" t="e">
        <f>#REF!</f>
        <v>#REF!</v>
      </c>
      <c r="G1136" s="102" t="e">
        <f>#REF!</f>
        <v>#REF!</v>
      </c>
      <c r="H1136" s="102" t="e">
        <f>#REF!</f>
        <v>#REF!</v>
      </c>
      <c r="K1136" s="210" t="e">
        <f>#REF!</f>
        <v>#REF!</v>
      </c>
      <c r="L1136" s="210">
        <v>45405</v>
      </c>
      <c r="M1136" s="210"/>
      <c r="N1136" s="210">
        <f>'Danh sách máy'!F1179</f>
        <v>0</v>
      </c>
      <c r="O1136" s="211" t="str" cm="1">
        <f t="array" ref="O1136">IF(L1136&lt;&gt;0,IF(L1136&lt;I1136,"OK","NG"),Blank)</f>
        <v>NG</v>
      </c>
      <c r="P1136" s="211" t="e" cm="1">
        <f t="array" ref="P1136">IF(M1136&lt;&gt;0,IF(M1136&lt;J1136,"OK","NG"),Blank)</f>
        <v>#NAME?</v>
      </c>
      <c r="Q1136" s="211" t="e" cm="1">
        <f t="array" ref="Q1136">IF(H1136&lt;&gt;"Stop",IF(N1136&lt;&gt;0,IF(N1136&lt;=K1136,"OK","NG"),Blank),"-")</f>
        <v>#REF!</v>
      </c>
      <c r="R1136" s="326" t="e" cm="1">
        <f t="array" ref="R1136">IF(H1136&lt;&gt;"Stop",IF(E1136&lt;&gt;0,IF(E1136&lt;=K1136,"OK","NG"),Blank),"-")</f>
        <v>#REF!</v>
      </c>
    </row>
    <row r="1137" spans="1:18" ht="15" hidden="1" x14ac:dyDescent="0.3">
      <c r="A1137" s="318" t="e">
        <f>#REF!</f>
        <v>#REF!</v>
      </c>
      <c r="B1137" s="305" t="e">
        <f>#REF!</f>
        <v>#REF!</v>
      </c>
      <c r="C1137" s="305" t="str">
        <f>'Danh sách máy'!C1180</f>
        <v>MKQC</v>
      </c>
      <c r="D1137" s="90" t="e">
        <f>#REF!</f>
        <v>#REF!</v>
      </c>
      <c r="E1137" s="97">
        <f>'Danh sách máy'!E1180</f>
        <v>0</v>
      </c>
      <c r="F1137" s="206" t="e">
        <f>#REF!</f>
        <v>#REF!</v>
      </c>
      <c r="G1137" s="102" t="e">
        <f>#REF!</f>
        <v>#REF!</v>
      </c>
      <c r="H1137" s="102" t="e">
        <f>#REF!</f>
        <v>#REF!</v>
      </c>
      <c r="K1137" s="210" t="e">
        <f>#REF!</f>
        <v>#REF!</v>
      </c>
      <c r="L1137" s="210">
        <v>45406</v>
      </c>
      <c r="M1137" s="210"/>
      <c r="N1137" s="210">
        <f>'Danh sách máy'!F1180</f>
        <v>0</v>
      </c>
      <c r="O1137" s="211" t="str" cm="1">
        <f t="array" ref="O1137">IF(L1137&lt;&gt;0,IF(L1137&lt;I1137,"OK","NG"),Blank)</f>
        <v>NG</v>
      </c>
      <c r="P1137" s="211" t="e" cm="1">
        <f t="array" ref="P1137">IF(M1137&lt;&gt;0,IF(M1137&lt;J1137,"OK","NG"),Blank)</f>
        <v>#NAME?</v>
      </c>
      <c r="Q1137" s="211" t="e" cm="1">
        <f t="array" ref="Q1137">IF(H1137&lt;&gt;"Stop",IF(N1137&lt;&gt;0,IF(N1137&lt;=K1137,"OK","NG"),Blank),"-")</f>
        <v>#REF!</v>
      </c>
      <c r="R1137" s="326" t="e" cm="1">
        <f t="array" ref="R1137">IF(H1137&lt;&gt;"Stop",IF(E1137&lt;&gt;0,IF(E1137&lt;=K1137,"OK","NG"),Blank),"-")</f>
        <v>#REF!</v>
      </c>
    </row>
    <row r="1138" spans="1:18" ht="15" hidden="1" x14ac:dyDescent="0.3">
      <c r="A1138" s="318" t="e">
        <f>#REF!</f>
        <v>#REF!</v>
      </c>
      <c r="B1138" s="305" t="e">
        <f>#REF!</f>
        <v>#REF!</v>
      </c>
      <c r="C1138" s="305" t="str">
        <f>'Danh sách máy'!C1181</f>
        <v>MKQC</v>
      </c>
      <c r="D1138" s="90" t="e">
        <f>#REF!</f>
        <v>#REF!</v>
      </c>
      <c r="E1138" s="97">
        <f>'Danh sách máy'!E1181</f>
        <v>0</v>
      </c>
      <c r="F1138" s="206" t="e">
        <f>#REF!</f>
        <v>#REF!</v>
      </c>
      <c r="G1138" s="102" t="e">
        <f>#REF!</f>
        <v>#REF!</v>
      </c>
      <c r="H1138" s="102" t="e">
        <f>#REF!</f>
        <v>#REF!</v>
      </c>
      <c r="K1138" s="210" t="e">
        <f>#REF!</f>
        <v>#REF!</v>
      </c>
      <c r="L1138" s="210">
        <v>45407</v>
      </c>
      <c r="M1138" s="210"/>
      <c r="N1138" s="210">
        <f>'Danh sách máy'!F1181</f>
        <v>0</v>
      </c>
      <c r="O1138" s="211" t="str" cm="1">
        <f t="array" ref="O1138">IF(L1138&lt;&gt;0,IF(L1138&lt;I1138,"OK","NG"),Blank)</f>
        <v>NG</v>
      </c>
      <c r="P1138" s="211" t="e" cm="1">
        <f t="array" ref="P1138">IF(M1138&lt;&gt;0,IF(M1138&lt;J1138,"OK","NG"),Blank)</f>
        <v>#NAME?</v>
      </c>
      <c r="Q1138" s="211" t="e" cm="1">
        <f t="array" ref="Q1138">IF(H1138&lt;&gt;"Stop",IF(N1138&lt;&gt;0,IF(N1138&lt;=K1138,"OK","NG"),Blank),"-")</f>
        <v>#REF!</v>
      </c>
      <c r="R1138" s="326" t="e" cm="1">
        <f t="array" ref="R1138">IF(H1138&lt;&gt;"Stop",IF(E1138&lt;&gt;0,IF(E1138&lt;=K1138,"OK","NG"),Blank),"-")</f>
        <v>#REF!</v>
      </c>
    </row>
    <row r="1139" spans="1:18" ht="15" hidden="1" x14ac:dyDescent="0.3">
      <c r="A1139" s="318" t="e">
        <f>#REF!</f>
        <v>#REF!</v>
      </c>
      <c r="B1139" s="305" t="e">
        <f>#REF!</f>
        <v>#REF!</v>
      </c>
      <c r="C1139" s="305" t="str">
        <f>'Danh sách máy'!C1182</f>
        <v>MKQC</v>
      </c>
      <c r="D1139" s="90" t="e">
        <f>#REF!</f>
        <v>#REF!</v>
      </c>
      <c r="E1139" s="97">
        <f>'Danh sách máy'!E1182</f>
        <v>0</v>
      </c>
      <c r="F1139" s="206" t="e">
        <f>#REF!</f>
        <v>#REF!</v>
      </c>
      <c r="G1139" s="102" t="e">
        <f>#REF!</f>
        <v>#REF!</v>
      </c>
      <c r="H1139" s="102" t="e">
        <f>#REF!</f>
        <v>#REF!</v>
      </c>
      <c r="K1139" s="210" t="e">
        <f>#REF!</f>
        <v>#REF!</v>
      </c>
      <c r="L1139" s="210">
        <v>45408</v>
      </c>
      <c r="M1139" s="210"/>
      <c r="N1139" s="210">
        <f>'Danh sách máy'!F1182</f>
        <v>0</v>
      </c>
      <c r="O1139" s="211" t="str" cm="1">
        <f t="array" ref="O1139">IF(L1139&lt;&gt;0,IF(L1139&lt;I1139,"OK","NG"),Blank)</f>
        <v>NG</v>
      </c>
      <c r="P1139" s="211" t="e" cm="1">
        <f t="array" ref="P1139">IF(M1139&lt;&gt;0,IF(M1139&lt;J1139,"OK","NG"),Blank)</f>
        <v>#NAME?</v>
      </c>
      <c r="Q1139" s="211" t="e" cm="1">
        <f t="array" ref="Q1139">IF(H1139&lt;&gt;"Stop",IF(N1139&lt;&gt;0,IF(N1139&lt;=K1139,"OK","NG"),Blank),"-")</f>
        <v>#REF!</v>
      </c>
      <c r="R1139" s="326" t="e" cm="1">
        <f t="array" ref="R1139">IF(H1139&lt;&gt;"Stop",IF(E1139&lt;&gt;0,IF(E1139&lt;=K1139,"OK","NG"),Blank),"-")</f>
        <v>#REF!</v>
      </c>
    </row>
    <row r="1140" spans="1:18" ht="15" hidden="1" x14ac:dyDescent="0.3">
      <c r="A1140" s="318" t="e">
        <f>#REF!</f>
        <v>#REF!</v>
      </c>
      <c r="B1140" s="305" t="e">
        <f>#REF!</f>
        <v>#REF!</v>
      </c>
      <c r="C1140" s="305" t="str">
        <f>'Danh sách máy'!C1183</f>
        <v>MKQC</v>
      </c>
      <c r="D1140" s="90" t="e">
        <f>#REF!</f>
        <v>#REF!</v>
      </c>
      <c r="E1140" s="97">
        <f>'Danh sách máy'!E1183</f>
        <v>0</v>
      </c>
      <c r="F1140" s="206" t="e">
        <f>#REF!</f>
        <v>#REF!</v>
      </c>
      <c r="G1140" s="102" t="e">
        <f>#REF!</f>
        <v>#REF!</v>
      </c>
      <c r="H1140" s="102" t="e">
        <f>#REF!</f>
        <v>#REF!</v>
      </c>
      <c r="K1140" s="210" t="e">
        <f>#REF!</f>
        <v>#REF!</v>
      </c>
      <c r="L1140" s="210">
        <v>45409</v>
      </c>
      <c r="M1140" s="210"/>
      <c r="N1140" s="210">
        <f>'Danh sách máy'!F1183</f>
        <v>0</v>
      </c>
      <c r="O1140" s="211" t="str" cm="1">
        <f t="array" ref="O1140">IF(L1140&lt;&gt;0,IF(L1140&lt;I1140,"OK","NG"),Blank)</f>
        <v>NG</v>
      </c>
      <c r="P1140" s="211" t="e" cm="1">
        <f t="array" ref="P1140">IF(M1140&lt;&gt;0,IF(M1140&lt;J1140,"OK","NG"),Blank)</f>
        <v>#NAME?</v>
      </c>
      <c r="Q1140" s="211" t="e" cm="1">
        <f t="array" ref="Q1140">IF(H1140&lt;&gt;"Stop",IF(N1140&lt;&gt;0,IF(N1140&lt;=K1140,"OK","NG"),Blank),"-")</f>
        <v>#REF!</v>
      </c>
      <c r="R1140" s="326" t="e" cm="1">
        <f t="array" ref="R1140">IF(H1140&lt;&gt;"Stop",IF(E1140&lt;&gt;0,IF(E1140&lt;=K1140,"OK","NG"),Blank),"-")</f>
        <v>#REF!</v>
      </c>
    </row>
    <row r="1141" spans="1:18" ht="15" hidden="1" x14ac:dyDescent="0.3">
      <c r="A1141" s="318" t="e">
        <f>#REF!</f>
        <v>#REF!</v>
      </c>
      <c r="B1141" s="305" t="e">
        <f>#REF!</f>
        <v>#REF!</v>
      </c>
      <c r="C1141" s="305" t="str">
        <f>'Danh sách máy'!C1184</f>
        <v>MKQC</v>
      </c>
      <c r="D1141" s="90" t="e">
        <f>#REF!</f>
        <v>#REF!</v>
      </c>
      <c r="E1141" s="97">
        <f>'Danh sách máy'!E1184</f>
        <v>0</v>
      </c>
      <c r="F1141" s="206" t="e">
        <f>#REF!</f>
        <v>#REF!</v>
      </c>
      <c r="G1141" s="102" t="e">
        <f>#REF!</f>
        <v>#REF!</v>
      </c>
      <c r="H1141" s="102" t="e">
        <f>#REF!</f>
        <v>#REF!</v>
      </c>
      <c r="K1141" s="210" t="e">
        <f>#REF!</f>
        <v>#REF!</v>
      </c>
      <c r="L1141" s="210">
        <v>45410</v>
      </c>
      <c r="M1141" s="210"/>
      <c r="N1141" s="210">
        <f>'Danh sách máy'!F1184</f>
        <v>0</v>
      </c>
      <c r="O1141" s="211" t="str" cm="1">
        <f t="array" ref="O1141">IF(L1141&lt;&gt;0,IF(L1141&lt;I1141,"OK","NG"),Blank)</f>
        <v>NG</v>
      </c>
      <c r="P1141" s="211" t="e" cm="1">
        <f t="array" ref="P1141">IF(M1141&lt;&gt;0,IF(M1141&lt;J1141,"OK","NG"),Blank)</f>
        <v>#NAME?</v>
      </c>
      <c r="Q1141" s="211" t="e" cm="1">
        <f t="array" ref="Q1141">IF(H1141&lt;&gt;"Stop",IF(N1141&lt;&gt;0,IF(N1141&lt;=K1141,"OK","NG"),Blank),"-")</f>
        <v>#REF!</v>
      </c>
      <c r="R1141" s="326" t="e" cm="1">
        <f t="array" ref="R1141">IF(H1141&lt;&gt;"Stop",IF(E1141&lt;&gt;0,IF(E1141&lt;=K1141,"OK","NG"),Blank),"-")</f>
        <v>#REF!</v>
      </c>
    </row>
    <row r="1142" spans="1:18" ht="15" hidden="1" x14ac:dyDescent="0.3">
      <c r="A1142" s="318" t="e">
        <f>#REF!</f>
        <v>#REF!</v>
      </c>
      <c r="B1142" s="305" t="e">
        <f>#REF!</f>
        <v>#REF!</v>
      </c>
      <c r="C1142" s="305" t="str">
        <f>'Danh sách máy'!C1185</f>
        <v>MKQC</v>
      </c>
      <c r="D1142" s="90" t="e">
        <f>#REF!</f>
        <v>#REF!</v>
      </c>
      <c r="E1142" s="97">
        <f>'Danh sách máy'!E1185</f>
        <v>0</v>
      </c>
      <c r="F1142" s="206" t="e">
        <f>#REF!</f>
        <v>#REF!</v>
      </c>
      <c r="G1142" s="102" t="e">
        <f>#REF!</f>
        <v>#REF!</v>
      </c>
      <c r="H1142" s="102" t="e">
        <f>#REF!</f>
        <v>#REF!</v>
      </c>
      <c r="K1142" s="210" t="e">
        <f>#REF!</f>
        <v>#REF!</v>
      </c>
      <c r="L1142" s="210">
        <v>45411</v>
      </c>
      <c r="M1142" s="210"/>
      <c r="N1142" s="210">
        <f>'Danh sách máy'!F1185</f>
        <v>0</v>
      </c>
      <c r="O1142" s="211" t="str" cm="1">
        <f t="array" ref="O1142">IF(L1142&lt;&gt;0,IF(L1142&lt;I1142,"OK","NG"),Blank)</f>
        <v>NG</v>
      </c>
      <c r="P1142" s="211" t="e" cm="1">
        <f t="array" ref="P1142">IF(M1142&lt;&gt;0,IF(M1142&lt;J1142,"OK","NG"),Blank)</f>
        <v>#NAME?</v>
      </c>
      <c r="Q1142" s="211" t="e" cm="1">
        <f t="array" ref="Q1142">IF(H1142&lt;&gt;"Stop",IF(N1142&lt;&gt;0,IF(N1142&lt;=K1142,"OK","NG"),Blank),"-")</f>
        <v>#REF!</v>
      </c>
      <c r="R1142" s="326" t="e" cm="1">
        <f t="array" ref="R1142">IF(H1142&lt;&gt;"Stop",IF(E1142&lt;&gt;0,IF(E1142&lt;=K1142,"OK","NG"),Blank),"-")</f>
        <v>#REF!</v>
      </c>
    </row>
    <row r="1143" spans="1:18" ht="15" hidden="1" x14ac:dyDescent="0.3">
      <c r="A1143" s="318" t="e">
        <f>#REF!</f>
        <v>#REF!</v>
      </c>
      <c r="B1143" s="305" t="e">
        <f>#REF!</f>
        <v>#REF!</v>
      </c>
      <c r="C1143" s="305" t="str">
        <f>'Danh sách máy'!C1186</f>
        <v>MKQC</v>
      </c>
      <c r="D1143" s="90" t="e">
        <f>#REF!</f>
        <v>#REF!</v>
      </c>
      <c r="E1143" s="97">
        <f>'Danh sách máy'!E1186</f>
        <v>0</v>
      </c>
      <c r="F1143" s="206" t="e">
        <f>#REF!</f>
        <v>#REF!</v>
      </c>
      <c r="G1143" s="102" t="e">
        <f>#REF!</f>
        <v>#REF!</v>
      </c>
      <c r="H1143" s="102" t="e">
        <f>#REF!</f>
        <v>#REF!</v>
      </c>
      <c r="K1143" s="210" t="e">
        <f>#REF!</f>
        <v>#REF!</v>
      </c>
      <c r="L1143" s="210">
        <v>45412</v>
      </c>
      <c r="M1143" s="210"/>
      <c r="N1143" s="210">
        <f>'Danh sách máy'!F1186</f>
        <v>0</v>
      </c>
      <c r="O1143" s="211" t="str" cm="1">
        <f t="array" ref="O1143">IF(L1143&lt;&gt;0,IF(L1143&lt;I1143,"OK","NG"),Blank)</f>
        <v>NG</v>
      </c>
      <c r="P1143" s="211" t="e" cm="1">
        <f t="array" ref="P1143">IF(M1143&lt;&gt;0,IF(M1143&lt;J1143,"OK","NG"),Blank)</f>
        <v>#NAME?</v>
      </c>
      <c r="Q1143" s="211" t="e" cm="1">
        <f t="array" ref="Q1143">IF(H1143&lt;&gt;"Stop",IF(N1143&lt;&gt;0,IF(N1143&lt;=K1143,"OK","NG"),Blank),"-")</f>
        <v>#REF!</v>
      </c>
      <c r="R1143" s="326" t="e" cm="1">
        <f t="array" ref="R1143">IF(H1143&lt;&gt;"Stop",IF(E1143&lt;&gt;0,IF(E1143&lt;=K1143,"OK","NG"),Blank),"-")</f>
        <v>#REF!</v>
      </c>
    </row>
    <row r="1144" spans="1:18" ht="15" hidden="1" x14ac:dyDescent="0.3">
      <c r="A1144" s="318" t="e">
        <f>#REF!</f>
        <v>#REF!</v>
      </c>
      <c r="B1144" s="305" t="e">
        <f>#REF!</f>
        <v>#REF!</v>
      </c>
      <c r="C1144" s="305" t="str">
        <f>'Danh sách máy'!C1187</f>
        <v>MKQC</v>
      </c>
      <c r="D1144" s="90" t="e">
        <f>#REF!</f>
        <v>#REF!</v>
      </c>
      <c r="E1144" s="97">
        <f>'Danh sách máy'!E1187</f>
        <v>0</v>
      </c>
      <c r="F1144" s="206" t="e">
        <f>#REF!</f>
        <v>#REF!</v>
      </c>
      <c r="G1144" s="102" t="e">
        <f>#REF!</f>
        <v>#REF!</v>
      </c>
      <c r="H1144" s="102" t="e">
        <f>#REF!</f>
        <v>#REF!</v>
      </c>
      <c r="K1144" s="210" t="e">
        <f>#REF!</f>
        <v>#REF!</v>
      </c>
      <c r="L1144" s="210">
        <v>45413</v>
      </c>
      <c r="M1144" s="210"/>
      <c r="N1144" s="210">
        <f>'Danh sách máy'!F1187</f>
        <v>0</v>
      </c>
      <c r="O1144" s="211" t="str" cm="1">
        <f t="array" ref="O1144">IF(L1144&lt;&gt;0,IF(L1144&lt;I1144,"OK","NG"),Blank)</f>
        <v>NG</v>
      </c>
      <c r="P1144" s="211" t="e" cm="1">
        <f t="array" ref="P1144">IF(M1144&lt;&gt;0,IF(M1144&lt;J1144,"OK","NG"),Blank)</f>
        <v>#NAME?</v>
      </c>
      <c r="Q1144" s="211" t="e" cm="1">
        <f t="array" ref="Q1144">IF(H1144&lt;&gt;"Stop",IF(N1144&lt;&gt;0,IF(N1144&lt;=K1144,"OK","NG"),Blank),"-")</f>
        <v>#REF!</v>
      </c>
      <c r="R1144" s="326" t="e" cm="1">
        <f t="array" ref="R1144">IF(H1144&lt;&gt;"Stop",IF(E1144&lt;&gt;0,IF(E1144&lt;=K1144,"OK","NG"),Blank),"-")</f>
        <v>#REF!</v>
      </c>
    </row>
    <row r="1145" spans="1:18" ht="15" hidden="1" x14ac:dyDescent="0.3">
      <c r="A1145" s="318" t="e">
        <f>#REF!</f>
        <v>#REF!</v>
      </c>
      <c r="B1145" s="305" t="e">
        <f>#REF!</f>
        <v>#REF!</v>
      </c>
      <c r="C1145" s="305" t="str">
        <f>'Danh sách máy'!C1188</f>
        <v>MKQC</v>
      </c>
      <c r="D1145" s="90" t="e">
        <f>#REF!</f>
        <v>#REF!</v>
      </c>
      <c r="E1145" s="97">
        <f>'Danh sách máy'!E1188</f>
        <v>0</v>
      </c>
      <c r="F1145" s="206" t="e">
        <f>#REF!</f>
        <v>#REF!</v>
      </c>
      <c r="G1145" s="102" t="e">
        <f>#REF!</f>
        <v>#REF!</v>
      </c>
      <c r="H1145" s="102" t="e">
        <f>#REF!</f>
        <v>#REF!</v>
      </c>
      <c r="K1145" s="210" t="e">
        <f>#REF!</f>
        <v>#REF!</v>
      </c>
      <c r="L1145" s="210">
        <v>45414</v>
      </c>
      <c r="M1145" s="210"/>
      <c r="N1145" s="210">
        <f>'Danh sách máy'!F1188</f>
        <v>0</v>
      </c>
      <c r="O1145" s="211" t="str" cm="1">
        <f t="array" ref="O1145">IF(L1145&lt;&gt;0,IF(L1145&lt;I1145,"OK","NG"),Blank)</f>
        <v>NG</v>
      </c>
      <c r="P1145" s="211" t="e" cm="1">
        <f t="array" ref="P1145">IF(M1145&lt;&gt;0,IF(M1145&lt;J1145,"OK","NG"),Blank)</f>
        <v>#NAME?</v>
      </c>
      <c r="Q1145" s="211" t="e" cm="1">
        <f t="array" ref="Q1145">IF(H1145&lt;&gt;"Stop",IF(N1145&lt;&gt;0,IF(N1145&lt;=K1145,"OK","NG"),Blank),"-")</f>
        <v>#REF!</v>
      </c>
      <c r="R1145" s="326" t="e" cm="1">
        <f t="array" ref="R1145">IF(H1145&lt;&gt;"Stop",IF(E1145&lt;&gt;0,IF(E1145&lt;=K1145,"OK","NG"),Blank),"-")</f>
        <v>#REF!</v>
      </c>
    </row>
    <row r="1146" spans="1:18" ht="15" hidden="1" x14ac:dyDescent="0.3">
      <c r="A1146" s="318" t="e">
        <f>#REF!</f>
        <v>#REF!</v>
      </c>
      <c r="B1146" s="305" t="e">
        <f>#REF!</f>
        <v>#REF!</v>
      </c>
      <c r="C1146" s="305" t="str">
        <f>'Danh sách máy'!C1189</f>
        <v>MKQC</v>
      </c>
      <c r="D1146" s="90" t="e">
        <f>#REF!</f>
        <v>#REF!</v>
      </c>
      <c r="E1146" s="97">
        <f>'Danh sách máy'!E1189</f>
        <v>0</v>
      </c>
      <c r="F1146" s="206" t="e">
        <f>#REF!</f>
        <v>#REF!</v>
      </c>
      <c r="G1146" s="102" t="e">
        <f>#REF!</f>
        <v>#REF!</v>
      </c>
      <c r="H1146" s="102" t="e">
        <f>#REF!</f>
        <v>#REF!</v>
      </c>
      <c r="K1146" s="210" t="e">
        <f>#REF!</f>
        <v>#REF!</v>
      </c>
      <c r="L1146" s="210">
        <v>45415</v>
      </c>
      <c r="M1146" s="210"/>
      <c r="N1146" s="210">
        <f>'Danh sách máy'!F1189</f>
        <v>0</v>
      </c>
      <c r="O1146" s="211" t="str" cm="1">
        <f t="array" ref="O1146">IF(L1146&lt;&gt;0,IF(L1146&lt;I1146,"OK","NG"),Blank)</f>
        <v>NG</v>
      </c>
      <c r="P1146" s="211" t="e" cm="1">
        <f t="array" ref="P1146">IF(M1146&lt;&gt;0,IF(M1146&lt;J1146,"OK","NG"),Blank)</f>
        <v>#NAME?</v>
      </c>
      <c r="Q1146" s="211" t="e" cm="1">
        <f t="array" ref="Q1146">IF(H1146&lt;&gt;"Stop",IF(N1146&lt;&gt;0,IF(N1146&lt;=K1146,"OK","NG"),Blank),"-")</f>
        <v>#REF!</v>
      </c>
      <c r="R1146" s="326" t="e" cm="1">
        <f t="array" ref="R1146">IF(H1146&lt;&gt;"Stop",IF(E1146&lt;&gt;0,IF(E1146&lt;=K1146,"OK","NG"),Blank),"-")</f>
        <v>#REF!</v>
      </c>
    </row>
    <row r="1147" spans="1:18" ht="15" hidden="1" x14ac:dyDescent="0.3">
      <c r="A1147" s="318" t="e">
        <f>#REF!</f>
        <v>#REF!</v>
      </c>
      <c r="B1147" s="305" t="e">
        <f>#REF!</f>
        <v>#REF!</v>
      </c>
      <c r="C1147" s="305" t="str">
        <f>'Danh sách máy'!C1190</f>
        <v>MKQC</v>
      </c>
      <c r="D1147" s="90" t="e">
        <f>#REF!</f>
        <v>#REF!</v>
      </c>
      <c r="E1147" s="97">
        <f>'Danh sách máy'!E1190</f>
        <v>0</v>
      </c>
      <c r="F1147" s="206" t="e">
        <f>#REF!</f>
        <v>#REF!</v>
      </c>
      <c r="G1147" s="102" t="e">
        <f>#REF!</f>
        <v>#REF!</v>
      </c>
      <c r="H1147" s="102" t="e">
        <f>#REF!</f>
        <v>#REF!</v>
      </c>
      <c r="K1147" s="210" t="e">
        <f>#REF!</f>
        <v>#REF!</v>
      </c>
      <c r="L1147" s="210">
        <v>45416</v>
      </c>
      <c r="M1147" s="210"/>
      <c r="N1147" s="210">
        <f>'Danh sách máy'!F1190</f>
        <v>0</v>
      </c>
      <c r="O1147" s="211" t="str" cm="1">
        <f t="array" ref="O1147">IF(L1147&lt;&gt;0,IF(L1147&lt;I1147,"OK","NG"),Blank)</f>
        <v>NG</v>
      </c>
      <c r="P1147" s="211" t="e" cm="1">
        <f t="array" ref="P1147">IF(M1147&lt;&gt;0,IF(M1147&lt;J1147,"OK","NG"),Blank)</f>
        <v>#NAME?</v>
      </c>
      <c r="Q1147" s="211" t="e" cm="1">
        <f t="array" ref="Q1147">IF(H1147&lt;&gt;"Stop",IF(N1147&lt;&gt;0,IF(N1147&lt;=K1147,"OK","NG"),Blank),"-")</f>
        <v>#REF!</v>
      </c>
      <c r="R1147" s="326" t="e" cm="1">
        <f t="array" ref="R1147">IF(H1147&lt;&gt;"Stop",IF(E1147&lt;&gt;0,IF(E1147&lt;=K1147,"OK","NG"),Blank),"-")</f>
        <v>#REF!</v>
      </c>
    </row>
    <row r="1148" spans="1:18" ht="15" hidden="1" x14ac:dyDescent="0.3">
      <c r="A1148" s="318" t="e">
        <f>#REF!</f>
        <v>#REF!</v>
      </c>
      <c r="B1148" s="305" t="e">
        <f>#REF!</f>
        <v>#REF!</v>
      </c>
      <c r="C1148" s="305" t="str">
        <f>'Danh sách máy'!C1191</f>
        <v>MKQC</v>
      </c>
      <c r="D1148" s="90" t="e">
        <f>#REF!</f>
        <v>#REF!</v>
      </c>
      <c r="E1148" s="97">
        <f>'Danh sách máy'!E1191</f>
        <v>0</v>
      </c>
      <c r="F1148" s="206" t="e">
        <f>#REF!</f>
        <v>#REF!</v>
      </c>
      <c r="G1148" s="102" t="e">
        <f>#REF!</f>
        <v>#REF!</v>
      </c>
      <c r="H1148" s="102" t="e">
        <f>#REF!</f>
        <v>#REF!</v>
      </c>
      <c r="K1148" s="210" t="e">
        <f>#REF!</f>
        <v>#REF!</v>
      </c>
      <c r="L1148" s="210">
        <v>45417</v>
      </c>
      <c r="M1148" s="210"/>
      <c r="N1148" s="210">
        <f>'Danh sách máy'!F1191</f>
        <v>0</v>
      </c>
      <c r="O1148" s="211" t="str" cm="1">
        <f t="array" ref="O1148">IF(L1148&lt;&gt;0,IF(L1148&lt;I1148,"OK","NG"),Blank)</f>
        <v>NG</v>
      </c>
      <c r="P1148" s="211" t="e" cm="1">
        <f t="array" ref="P1148">IF(M1148&lt;&gt;0,IF(M1148&lt;J1148,"OK","NG"),Blank)</f>
        <v>#NAME?</v>
      </c>
      <c r="Q1148" s="211" t="e" cm="1">
        <f t="array" ref="Q1148">IF(H1148&lt;&gt;"Stop",IF(N1148&lt;&gt;0,IF(N1148&lt;=K1148,"OK","NG"),Blank),"-")</f>
        <v>#REF!</v>
      </c>
      <c r="R1148" s="326" t="e" cm="1">
        <f t="array" ref="R1148">IF(H1148&lt;&gt;"Stop",IF(E1148&lt;&gt;0,IF(E1148&lt;=K1148,"OK","NG"),Blank),"-")</f>
        <v>#REF!</v>
      </c>
    </row>
    <row r="1149" spans="1:18" ht="15" hidden="1" x14ac:dyDescent="0.3">
      <c r="A1149" s="318" t="e">
        <f>#REF!</f>
        <v>#REF!</v>
      </c>
      <c r="B1149" s="305" t="e">
        <f>#REF!</f>
        <v>#REF!</v>
      </c>
      <c r="C1149" s="305" t="str">
        <f>'Danh sách máy'!C1192</f>
        <v>MKQC</v>
      </c>
      <c r="D1149" s="90" t="e">
        <f>#REF!</f>
        <v>#REF!</v>
      </c>
      <c r="E1149" s="97">
        <f>'Danh sách máy'!E1192</f>
        <v>0</v>
      </c>
      <c r="F1149" s="206" t="e">
        <f>#REF!</f>
        <v>#REF!</v>
      </c>
      <c r="G1149" s="102" t="e">
        <f>#REF!</f>
        <v>#REF!</v>
      </c>
      <c r="H1149" s="102" t="e">
        <f>#REF!</f>
        <v>#REF!</v>
      </c>
      <c r="K1149" s="210" t="e">
        <f>#REF!</f>
        <v>#REF!</v>
      </c>
      <c r="L1149" s="210">
        <v>45418</v>
      </c>
      <c r="M1149" s="210"/>
      <c r="N1149" s="210">
        <f>'Danh sách máy'!F1192</f>
        <v>0</v>
      </c>
      <c r="O1149" s="211" t="str" cm="1">
        <f t="array" ref="O1149">IF(L1149&lt;&gt;0,IF(L1149&lt;I1149,"OK","NG"),Blank)</f>
        <v>NG</v>
      </c>
      <c r="P1149" s="211" t="e" cm="1">
        <f t="array" ref="P1149">IF(M1149&lt;&gt;0,IF(M1149&lt;J1149,"OK","NG"),Blank)</f>
        <v>#NAME?</v>
      </c>
      <c r="Q1149" s="211" t="e" cm="1">
        <f t="array" ref="Q1149">IF(H1149&lt;&gt;"Stop",IF(N1149&lt;&gt;0,IF(N1149&lt;=K1149,"OK","NG"),Blank),"-")</f>
        <v>#REF!</v>
      </c>
      <c r="R1149" s="326" t="e" cm="1">
        <f t="array" ref="R1149">IF(H1149&lt;&gt;"Stop",IF(E1149&lt;&gt;0,IF(E1149&lt;=K1149,"OK","NG"),Blank),"-")</f>
        <v>#REF!</v>
      </c>
    </row>
    <row r="1150" spans="1:18" ht="15" hidden="1" x14ac:dyDescent="0.3">
      <c r="A1150" s="318" t="e">
        <f>#REF!</f>
        <v>#REF!</v>
      </c>
      <c r="B1150" s="305" t="e">
        <f>#REF!</f>
        <v>#REF!</v>
      </c>
      <c r="C1150" s="305" t="str">
        <f>'Danh sách máy'!C1193</f>
        <v>MKQC</v>
      </c>
      <c r="D1150" s="90" t="e">
        <f>#REF!</f>
        <v>#REF!</v>
      </c>
      <c r="E1150" s="97">
        <f>'Danh sách máy'!E1193</f>
        <v>0</v>
      </c>
      <c r="F1150" s="206" t="e">
        <f>#REF!</f>
        <v>#REF!</v>
      </c>
      <c r="G1150" s="102" t="e">
        <f>#REF!</f>
        <v>#REF!</v>
      </c>
      <c r="H1150" s="102" t="e">
        <f>#REF!</f>
        <v>#REF!</v>
      </c>
      <c r="K1150" s="210" t="e">
        <f>#REF!</f>
        <v>#REF!</v>
      </c>
      <c r="L1150" s="210">
        <v>45419</v>
      </c>
      <c r="M1150" s="210"/>
      <c r="N1150" s="210">
        <f>'Danh sách máy'!F1193</f>
        <v>0</v>
      </c>
      <c r="O1150" s="211" t="str" cm="1">
        <f t="array" ref="O1150">IF(L1150&lt;&gt;0,IF(L1150&lt;I1150,"OK","NG"),Blank)</f>
        <v>NG</v>
      </c>
      <c r="P1150" s="211" t="e" cm="1">
        <f t="array" ref="P1150">IF(M1150&lt;&gt;0,IF(M1150&lt;J1150,"OK","NG"),Blank)</f>
        <v>#NAME?</v>
      </c>
      <c r="Q1150" s="211" t="e" cm="1">
        <f t="array" ref="Q1150">IF(H1150&lt;&gt;"Stop",IF(N1150&lt;&gt;0,IF(N1150&lt;=K1150,"OK","NG"),Blank),"-")</f>
        <v>#REF!</v>
      </c>
      <c r="R1150" s="326" t="e" cm="1">
        <f t="array" ref="R1150">IF(H1150&lt;&gt;"Stop",IF(E1150&lt;&gt;0,IF(E1150&lt;=K1150,"OK","NG"),Blank),"-")</f>
        <v>#REF!</v>
      </c>
    </row>
    <row r="1151" spans="1:18" ht="15" hidden="1" x14ac:dyDescent="0.3">
      <c r="A1151" s="318" t="e">
        <f>#REF!</f>
        <v>#REF!</v>
      </c>
      <c r="B1151" s="305" t="e">
        <f>#REF!</f>
        <v>#REF!</v>
      </c>
      <c r="C1151" s="305" t="str">
        <f>'Danh sách máy'!C1194</f>
        <v>MKQC</v>
      </c>
      <c r="D1151" s="90" t="e">
        <f>#REF!</f>
        <v>#REF!</v>
      </c>
      <c r="E1151" s="97">
        <f>'Danh sách máy'!E1194</f>
        <v>0</v>
      </c>
      <c r="F1151" s="206" t="e">
        <f>#REF!</f>
        <v>#REF!</v>
      </c>
      <c r="G1151" s="102" t="e">
        <f>#REF!</f>
        <v>#REF!</v>
      </c>
      <c r="H1151" s="102" t="e">
        <f>#REF!</f>
        <v>#REF!</v>
      </c>
      <c r="K1151" s="210" t="e">
        <f>#REF!</f>
        <v>#REF!</v>
      </c>
      <c r="L1151" s="210">
        <v>45420</v>
      </c>
      <c r="M1151" s="210"/>
      <c r="N1151" s="210">
        <f>'Danh sách máy'!F1194</f>
        <v>0</v>
      </c>
      <c r="O1151" s="211" t="str" cm="1">
        <f t="array" ref="O1151">IF(L1151&lt;&gt;0,IF(L1151&lt;I1151,"OK","NG"),Blank)</f>
        <v>NG</v>
      </c>
      <c r="P1151" s="211" t="e" cm="1">
        <f t="array" ref="P1151">IF(M1151&lt;&gt;0,IF(M1151&lt;J1151,"OK","NG"),Blank)</f>
        <v>#NAME?</v>
      </c>
      <c r="Q1151" s="211" t="e" cm="1">
        <f t="array" ref="Q1151">IF(H1151&lt;&gt;"Stop",IF(N1151&lt;&gt;0,IF(N1151&lt;=K1151,"OK","NG"),Blank),"-")</f>
        <v>#REF!</v>
      </c>
      <c r="R1151" s="326" t="e" cm="1">
        <f t="array" ref="R1151">IF(H1151&lt;&gt;"Stop",IF(E1151&lt;&gt;0,IF(E1151&lt;=K1151,"OK","NG"),Blank),"-")</f>
        <v>#REF!</v>
      </c>
    </row>
    <row r="1152" spans="1:18" ht="15" hidden="1" x14ac:dyDescent="0.3">
      <c r="A1152" s="318" t="e">
        <f>#REF!</f>
        <v>#REF!</v>
      </c>
      <c r="B1152" s="305" t="e">
        <f>#REF!</f>
        <v>#REF!</v>
      </c>
      <c r="C1152" s="305" t="str">
        <f>'Danh sách máy'!C1195</f>
        <v>MKQC</v>
      </c>
      <c r="D1152" s="90" t="e">
        <f>#REF!</f>
        <v>#REF!</v>
      </c>
      <c r="E1152" s="97">
        <f>'Danh sách máy'!E1195</f>
        <v>0</v>
      </c>
      <c r="F1152" s="206" t="e">
        <f>#REF!</f>
        <v>#REF!</v>
      </c>
      <c r="G1152" s="102" t="e">
        <f>#REF!</f>
        <v>#REF!</v>
      </c>
      <c r="H1152" s="102" t="e">
        <f>#REF!</f>
        <v>#REF!</v>
      </c>
      <c r="K1152" s="210" t="e">
        <f>#REF!</f>
        <v>#REF!</v>
      </c>
      <c r="L1152" s="210">
        <v>45421</v>
      </c>
      <c r="M1152" s="210"/>
      <c r="N1152" s="210">
        <f>'Danh sách máy'!F1195</f>
        <v>0</v>
      </c>
      <c r="O1152" s="211" t="str" cm="1">
        <f t="array" ref="O1152">IF(L1152&lt;&gt;0,IF(L1152&lt;I1152,"OK","NG"),Blank)</f>
        <v>NG</v>
      </c>
      <c r="P1152" s="211" t="e" cm="1">
        <f t="array" ref="P1152">IF(M1152&lt;&gt;0,IF(M1152&lt;J1152,"OK","NG"),Blank)</f>
        <v>#NAME?</v>
      </c>
      <c r="Q1152" s="211" t="e" cm="1">
        <f t="array" ref="Q1152">IF(H1152&lt;&gt;"Stop",IF(N1152&lt;&gt;0,IF(N1152&lt;=K1152,"OK","NG"),Blank),"-")</f>
        <v>#REF!</v>
      </c>
      <c r="R1152" s="326" t="e" cm="1">
        <f t="array" ref="R1152">IF(H1152&lt;&gt;"Stop",IF(E1152&lt;&gt;0,IF(E1152&lt;=K1152,"OK","NG"),Blank),"-")</f>
        <v>#REF!</v>
      </c>
    </row>
    <row r="1153" spans="1:18" ht="15" hidden="1" x14ac:dyDescent="0.3">
      <c r="A1153" s="318" t="e">
        <f>#REF!</f>
        <v>#REF!</v>
      </c>
      <c r="B1153" s="305" t="e">
        <f>#REF!</f>
        <v>#REF!</v>
      </c>
      <c r="C1153" s="305" t="str">
        <f>'Danh sách máy'!C1196</f>
        <v>MKQC</v>
      </c>
      <c r="D1153" s="90" t="e">
        <f>#REF!</f>
        <v>#REF!</v>
      </c>
      <c r="E1153" s="97">
        <f>'Danh sách máy'!E1196</f>
        <v>0</v>
      </c>
      <c r="F1153" s="206" t="e">
        <f>#REF!</f>
        <v>#REF!</v>
      </c>
      <c r="G1153" s="102" t="e">
        <f>#REF!</f>
        <v>#REF!</v>
      </c>
      <c r="H1153" s="102" t="e">
        <f>#REF!</f>
        <v>#REF!</v>
      </c>
      <c r="K1153" s="210" t="e">
        <f>#REF!</f>
        <v>#REF!</v>
      </c>
      <c r="L1153" s="210">
        <v>45422</v>
      </c>
      <c r="M1153" s="210"/>
      <c r="N1153" s="210">
        <f>'Danh sách máy'!F1196</f>
        <v>0</v>
      </c>
      <c r="O1153" s="211" t="str" cm="1">
        <f t="array" ref="O1153">IF(L1153&lt;&gt;0,IF(L1153&lt;I1153,"OK","NG"),Blank)</f>
        <v>NG</v>
      </c>
      <c r="P1153" s="211" t="e" cm="1">
        <f t="array" ref="P1153">IF(M1153&lt;&gt;0,IF(M1153&lt;J1153,"OK","NG"),Blank)</f>
        <v>#NAME?</v>
      </c>
      <c r="Q1153" s="211" t="e" cm="1">
        <f t="array" ref="Q1153">IF(H1153&lt;&gt;"Stop",IF(N1153&lt;&gt;0,IF(N1153&lt;=K1153,"OK","NG"),Blank),"-")</f>
        <v>#REF!</v>
      </c>
      <c r="R1153" s="326" t="e" cm="1">
        <f t="array" ref="R1153">IF(H1153&lt;&gt;"Stop",IF(E1153&lt;&gt;0,IF(E1153&lt;=K1153,"OK","NG"),Blank),"-")</f>
        <v>#REF!</v>
      </c>
    </row>
    <row r="1154" spans="1:18" ht="15" hidden="1" x14ac:dyDescent="0.3">
      <c r="A1154" s="318" t="e">
        <f>#REF!</f>
        <v>#REF!</v>
      </c>
      <c r="B1154" s="305" t="e">
        <f>#REF!</f>
        <v>#REF!</v>
      </c>
      <c r="C1154" s="305" t="str">
        <f>'Danh sách máy'!C1197</f>
        <v>MKQC</v>
      </c>
      <c r="D1154" s="90" t="e">
        <f>#REF!</f>
        <v>#REF!</v>
      </c>
      <c r="E1154" s="97">
        <f>'Danh sách máy'!E1197</f>
        <v>0</v>
      </c>
      <c r="F1154" s="206" t="e">
        <f>#REF!</f>
        <v>#REF!</v>
      </c>
      <c r="G1154" s="102" t="e">
        <f>#REF!</f>
        <v>#REF!</v>
      </c>
      <c r="H1154" s="102" t="e">
        <f>#REF!</f>
        <v>#REF!</v>
      </c>
      <c r="K1154" s="210" t="e">
        <f>#REF!</f>
        <v>#REF!</v>
      </c>
      <c r="L1154" s="210">
        <v>45423</v>
      </c>
      <c r="M1154" s="210"/>
      <c r="N1154" s="210">
        <f>'Danh sách máy'!F1197</f>
        <v>0</v>
      </c>
      <c r="O1154" s="211" t="str" cm="1">
        <f t="array" ref="O1154">IF(L1154&lt;&gt;0,IF(L1154&lt;I1154,"OK","NG"),Blank)</f>
        <v>NG</v>
      </c>
      <c r="P1154" s="211" t="e" cm="1">
        <f t="array" ref="P1154">IF(M1154&lt;&gt;0,IF(M1154&lt;J1154,"OK","NG"),Blank)</f>
        <v>#NAME?</v>
      </c>
      <c r="Q1154" s="211" t="e" cm="1">
        <f t="array" ref="Q1154">IF(H1154&lt;&gt;"Stop",IF(N1154&lt;&gt;0,IF(N1154&lt;=K1154,"OK","NG"),Blank),"-")</f>
        <v>#REF!</v>
      </c>
      <c r="R1154" s="326" t="e" cm="1">
        <f t="array" ref="R1154">IF(H1154&lt;&gt;"Stop",IF(E1154&lt;&gt;0,IF(E1154&lt;=K1154,"OK","NG"),Blank),"-")</f>
        <v>#REF!</v>
      </c>
    </row>
    <row r="1155" spans="1:18" ht="15" hidden="1" x14ac:dyDescent="0.3">
      <c r="A1155" s="318" t="e">
        <f>#REF!</f>
        <v>#REF!</v>
      </c>
      <c r="B1155" s="305" t="e">
        <f>#REF!</f>
        <v>#REF!</v>
      </c>
      <c r="C1155" s="305" t="str">
        <f>'Danh sách máy'!C1198</f>
        <v>MKQC</v>
      </c>
      <c r="D1155" s="90" t="e">
        <f>#REF!</f>
        <v>#REF!</v>
      </c>
      <c r="E1155" s="97">
        <f>'Danh sách máy'!E1198</f>
        <v>0</v>
      </c>
      <c r="F1155" s="206" t="e">
        <f>#REF!</f>
        <v>#REF!</v>
      </c>
      <c r="G1155" s="102" t="e">
        <f>#REF!</f>
        <v>#REF!</v>
      </c>
      <c r="H1155" s="102" t="e">
        <f>#REF!</f>
        <v>#REF!</v>
      </c>
      <c r="K1155" s="210" t="e">
        <f>#REF!</f>
        <v>#REF!</v>
      </c>
      <c r="L1155" s="210">
        <v>45424</v>
      </c>
      <c r="M1155" s="210"/>
      <c r="N1155" s="210">
        <f>'Danh sách máy'!F1198</f>
        <v>0</v>
      </c>
      <c r="O1155" s="211" t="str" cm="1">
        <f t="array" ref="O1155">IF(L1155&lt;&gt;0,IF(L1155&lt;I1155,"OK","NG"),Blank)</f>
        <v>NG</v>
      </c>
      <c r="P1155" s="211" t="e" cm="1">
        <f t="array" ref="P1155">IF(M1155&lt;&gt;0,IF(M1155&lt;J1155,"OK","NG"),Blank)</f>
        <v>#NAME?</v>
      </c>
      <c r="Q1155" s="211" t="e" cm="1">
        <f t="array" ref="Q1155">IF(H1155&lt;&gt;"Stop",IF(N1155&lt;&gt;0,IF(N1155&lt;=K1155,"OK","NG"),Blank),"-")</f>
        <v>#REF!</v>
      </c>
      <c r="R1155" s="326" t="e" cm="1">
        <f t="array" ref="R1155">IF(H1155&lt;&gt;"Stop",IF(E1155&lt;&gt;0,IF(E1155&lt;=K1155,"OK","NG"),Blank),"-")</f>
        <v>#REF!</v>
      </c>
    </row>
    <row r="1156" spans="1:18" ht="15" hidden="1" x14ac:dyDescent="0.3">
      <c r="A1156" s="318" t="e">
        <f>#REF!</f>
        <v>#REF!</v>
      </c>
      <c r="B1156" s="305" t="e">
        <f>#REF!</f>
        <v>#REF!</v>
      </c>
      <c r="C1156" s="305" t="str">
        <f>'Danh sách máy'!C1199</f>
        <v>MKQC</v>
      </c>
      <c r="D1156" s="90" t="e">
        <f>#REF!</f>
        <v>#REF!</v>
      </c>
      <c r="E1156" s="97">
        <f>'Danh sách máy'!E1199</f>
        <v>0</v>
      </c>
      <c r="F1156" s="206" t="e">
        <f>#REF!</f>
        <v>#REF!</v>
      </c>
      <c r="G1156" s="102" t="e">
        <f>#REF!</f>
        <v>#REF!</v>
      </c>
      <c r="H1156" s="102" t="e">
        <f>#REF!</f>
        <v>#REF!</v>
      </c>
      <c r="K1156" s="210" t="e">
        <f>#REF!</f>
        <v>#REF!</v>
      </c>
      <c r="L1156" s="210">
        <v>45425</v>
      </c>
      <c r="M1156" s="210"/>
      <c r="N1156" s="210">
        <f>'Danh sách máy'!F1199</f>
        <v>0</v>
      </c>
      <c r="O1156" s="211" t="str" cm="1">
        <f t="array" ref="O1156">IF(L1156&lt;&gt;0,IF(L1156&lt;I1156,"OK","NG"),Blank)</f>
        <v>NG</v>
      </c>
      <c r="P1156" s="211" t="e" cm="1">
        <f t="array" ref="P1156">IF(M1156&lt;&gt;0,IF(M1156&lt;J1156,"OK","NG"),Blank)</f>
        <v>#NAME?</v>
      </c>
      <c r="Q1156" s="211" t="e" cm="1">
        <f t="array" ref="Q1156">IF(H1156&lt;&gt;"Stop",IF(N1156&lt;&gt;0,IF(N1156&lt;=K1156,"OK","NG"),Blank),"-")</f>
        <v>#REF!</v>
      </c>
      <c r="R1156" s="326" t="e" cm="1">
        <f t="array" ref="R1156">IF(H1156&lt;&gt;"Stop",IF(E1156&lt;&gt;0,IF(E1156&lt;=K1156,"OK","NG"),Blank),"-")</f>
        <v>#REF!</v>
      </c>
    </row>
    <row r="1157" spans="1:18" ht="15" hidden="1" x14ac:dyDescent="0.3">
      <c r="A1157" s="318" t="e">
        <f>#REF!</f>
        <v>#REF!</v>
      </c>
      <c r="B1157" s="305" t="e">
        <f>#REF!</f>
        <v>#REF!</v>
      </c>
      <c r="C1157" s="305" t="str">
        <f>'Danh sách máy'!C1200</f>
        <v>MKQC</v>
      </c>
      <c r="D1157" s="90" t="e">
        <f>#REF!</f>
        <v>#REF!</v>
      </c>
      <c r="E1157" s="97">
        <f>'Danh sách máy'!E1200</f>
        <v>0</v>
      </c>
      <c r="F1157" s="206" t="e">
        <f>#REF!</f>
        <v>#REF!</v>
      </c>
      <c r="G1157" s="102" t="e">
        <f>#REF!</f>
        <v>#REF!</v>
      </c>
      <c r="H1157" s="102" t="e">
        <f>#REF!</f>
        <v>#REF!</v>
      </c>
      <c r="K1157" s="210" t="e">
        <f>#REF!</f>
        <v>#REF!</v>
      </c>
      <c r="L1157" s="210">
        <v>45426</v>
      </c>
      <c r="M1157" s="210"/>
      <c r="N1157" s="210">
        <f>'Danh sách máy'!F1200</f>
        <v>0</v>
      </c>
      <c r="O1157" s="211" t="str" cm="1">
        <f t="array" ref="O1157">IF(L1157&lt;&gt;0,IF(L1157&lt;I1157,"OK","NG"),Blank)</f>
        <v>NG</v>
      </c>
      <c r="P1157" s="211" t="e" cm="1">
        <f t="array" ref="P1157">IF(M1157&lt;&gt;0,IF(M1157&lt;J1157,"OK","NG"),Blank)</f>
        <v>#NAME?</v>
      </c>
      <c r="Q1157" s="211" t="e" cm="1">
        <f t="array" ref="Q1157">IF(H1157&lt;&gt;"Stop",IF(N1157&lt;&gt;0,IF(N1157&lt;=K1157,"OK","NG"),Blank),"-")</f>
        <v>#REF!</v>
      </c>
      <c r="R1157" s="326" t="e" cm="1">
        <f t="array" ref="R1157">IF(H1157&lt;&gt;"Stop",IF(E1157&lt;&gt;0,IF(E1157&lt;=K1157,"OK","NG"),Blank),"-")</f>
        <v>#REF!</v>
      </c>
    </row>
    <row r="1158" spans="1:18" ht="15" hidden="1" x14ac:dyDescent="0.3">
      <c r="A1158" s="318" t="e">
        <f>#REF!</f>
        <v>#REF!</v>
      </c>
      <c r="B1158" s="305" t="e">
        <f>#REF!</f>
        <v>#REF!</v>
      </c>
      <c r="C1158" s="305" t="str">
        <f>'Danh sách máy'!C1201</f>
        <v>MKQC</v>
      </c>
      <c r="D1158" s="90" t="e">
        <f>#REF!</f>
        <v>#REF!</v>
      </c>
      <c r="E1158" s="97">
        <f>'Danh sách máy'!E1201</f>
        <v>0</v>
      </c>
      <c r="F1158" s="206" t="e">
        <f>#REF!</f>
        <v>#REF!</v>
      </c>
      <c r="G1158" s="102" t="e">
        <f>#REF!</f>
        <v>#REF!</v>
      </c>
      <c r="H1158" s="102" t="e">
        <f>#REF!</f>
        <v>#REF!</v>
      </c>
      <c r="K1158" s="210" t="e">
        <f>#REF!</f>
        <v>#REF!</v>
      </c>
      <c r="L1158" s="210">
        <v>45427</v>
      </c>
      <c r="M1158" s="210"/>
      <c r="N1158" s="210">
        <f>'Danh sách máy'!F1201</f>
        <v>0</v>
      </c>
      <c r="O1158" s="211" t="str" cm="1">
        <f t="array" ref="O1158">IF(L1158&lt;&gt;0,IF(L1158&lt;I1158,"OK","NG"),Blank)</f>
        <v>NG</v>
      </c>
      <c r="P1158" s="211" t="e" cm="1">
        <f t="array" ref="P1158">IF(M1158&lt;&gt;0,IF(M1158&lt;J1158,"OK","NG"),Blank)</f>
        <v>#NAME?</v>
      </c>
      <c r="Q1158" s="211" t="e" cm="1">
        <f t="array" ref="Q1158">IF(H1158&lt;&gt;"Stop",IF(N1158&lt;&gt;0,IF(N1158&lt;=K1158,"OK","NG"),Blank),"-")</f>
        <v>#REF!</v>
      </c>
      <c r="R1158" s="326" t="e" cm="1">
        <f t="array" ref="R1158">IF(H1158&lt;&gt;"Stop",IF(E1158&lt;&gt;0,IF(E1158&lt;=K1158,"OK","NG"),Blank),"-")</f>
        <v>#REF!</v>
      </c>
    </row>
    <row r="1159" spans="1:18" ht="15" hidden="1" x14ac:dyDescent="0.3">
      <c r="A1159" s="318" t="e">
        <f>#REF!</f>
        <v>#REF!</v>
      </c>
      <c r="B1159" s="305" t="e">
        <f>#REF!</f>
        <v>#REF!</v>
      </c>
      <c r="C1159" s="305" t="str">
        <f>'Danh sách máy'!C1202</f>
        <v>MKQC</v>
      </c>
      <c r="D1159" s="90" t="e">
        <f>#REF!</f>
        <v>#REF!</v>
      </c>
      <c r="E1159" s="97">
        <f>'Danh sách máy'!E1202</f>
        <v>0</v>
      </c>
      <c r="F1159" s="206" t="e">
        <f>#REF!</f>
        <v>#REF!</v>
      </c>
      <c r="G1159" s="102" t="e">
        <f>#REF!</f>
        <v>#REF!</v>
      </c>
      <c r="H1159" s="102" t="e">
        <f>#REF!</f>
        <v>#REF!</v>
      </c>
      <c r="K1159" s="210" t="e">
        <f>#REF!</f>
        <v>#REF!</v>
      </c>
      <c r="L1159" s="210">
        <v>45428</v>
      </c>
      <c r="M1159" s="210"/>
      <c r="N1159" s="210">
        <f>'Danh sách máy'!F1202</f>
        <v>0</v>
      </c>
      <c r="O1159" s="211" t="str" cm="1">
        <f t="array" ref="O1159">IF(L1159&lt;&gt;0,IF(L1159&lt;I1159,"OK","NG"),Blank)</f>
        <v>NG</v>
      </c>
      <c r="P1159" s="211" t="e" cm="1">
        <f t="array" ref="P1159">IF(M1159&lt;&gt;0,IF(M1159&lt;J1159,"OK","NG"),Blank)</f>
        <v>#NAME?</v>
      </c>
      <c r="Q1159" s="211" t="e" cm="1">
        <f t="array" ref="Q1159">IF(H1159&lt;&gt;"Stop",IF(N1159&lt;&gt;0,IF(N1159&lt;=K1159,"OK","NG"),Blank),"-")</f>
        <v>#REF!</v>
      </c>
      <c r="R1159" s="326" t="e" cm="1">
        <f t="array" ref="R1159">IF(H1159&lt;&gt;"Stop",IF(E1159&lt;&gt;0,IF(E1159&lt;=K1159,"OK","NG"),Blank),"-")</f>
        <v>#REF!</v>
      </c>
    </row>
    <row r="1160" spans="1:18" ht="15" hidden="1" x14ac:dyDescent="0.3">
      <c r="A1160" s="318" t="e">
        <f>#REF!</f>
        <v>#REF!</v>
      </c>
      <c r="B1160" s="305" t="e">
        <f>#REF!</f>
        <v>#REF!</v>
      </c>
      <c r="C1160" s="305" t="str">
        <f>'Danh sách máy'!C1203</f>
        <v>MKQC</v>
      </c>
      <c r="D1160" s="90" t="e">
        <f>#REF!</f>
        <v>#REF!</v>
      </c>
      <c r="E1160" s="97">
        <f>'Danh sách máy'!E1203</f>
        <v>0</v>
      </c>
      <c r="F1160" s="206" t="e">
        <f>#REF!</f>
        <v>#REF!</v>
      </c>
      <c r="G1160" s="102" t="e">
        <f>#REF!</f>
        <v>#REF!</v>
      </c>
      <c r="H1160" s="102" t="e">
        <f>#REF!</f>
        <v>#REF!</v>
      </c>
      <c r="K1160" s="210" t="e">
        <f>#REF!</f>
        <v>#REF!</v>
      </c>
      <c r="L1160" s="210">
        <v>45429</v>
      </c>
      <c r="M1160" s="210"/>
      <c r="N1160" s="210">
        <f>'Danh sách máy'!F1203</f>
        <v>0</v>
      </c>
      <c r="O1160" s="211" t="str" cm="1">
        <f t="array" ref="O1160">IF(L1160&lt;&gt;0,IF(L1160&lt;I1160,"OK","NG"),Blank)</f>
        <v>NG</v>
      </c>
      <c r="P1160" s="211" t="e" cm="1">
        <f t="array" ref="P1160">IF(M1160&lt;&gt;0,IF(M1160&lt;J1160,"OK","NG"),Blank)</f>
        <v>#NAME?</v>
      </c>
      <c r="Q1160" s="211" t="e" cm="1">
        <f t="array" ref="Q1160">IF(H1160&lt;&gt;"Stop",IF(N1160&lt;&gt;0,IF(N1160&lt;=K1160,"OK","NG"),Blank),"-")</f>
        <v>#REF!</v>
      </c>
      <c r="R1160" s="326" t="e" cm="1">
        <f t="array" ref="R1160">IF(H1160&lt;&gt;"Stop",IF(E1160&lt;&gt;0,IF(E1160&lt;=K1160,"OK","NG"),Blank),"-")</f>
        <v>#REF!</v>
      </c>
    </row>
    <row r="1161" spans="1:18" ht="15" hidden="1" x14ac:dyDescent="0.3">
      <c r="A1161" s="318" t="e">
        <f>#REF!</f>
        <v>#REF!</v>
      </c>
      <c r="B1161" s="305" t="e">
        <f>#REF!</f>
        <v>#REF!</v>
      </c>
      <c r="C1161" s="305" t="str">
        <f>'Danh sách máy'!C1204</f>
        <v>MKQC</v>
      </c>
      <c r="D1161" s="90" t="e">
        <f>#REF!</f>
        <v>#REF!</v>
      </c>
      <c r="E1161" s="97">
        <f>'Danh sách máy'!E1204</f>
        <v>0</v>
      </c>
      <c r="F1161" s="206" t="e">
        <f>#REF!</f>
        <v>#REF!</v>
      </c>
      <c r="G1161" s="102" t="e">
        <f>#REF!</f>
        <v>#REF!</v>
      </c>
      <c r="H1161" s="102" t="e">
        <f>#REF!</f>
        <v>#REF!</v>
      </c>
      <c r="K1161" s="210" t="e">
        <f>#REF!</f>
        <v>#REF!</v>
      </c>
      <c r="L1161" s="210">
        <v>45430</v>
      </c>
      <c r="M1161" s="210"/>
      <c r="N1161" s="210">
        <f>'Danh sách máy'!F1204</f>
        <v>0</v>
      </c>
      <c r="O1161" s="211" t="str" cm="1">
        <f t="array" ref="O1161">IF(L1161&lt;&gt;0,IF(L1161&lt;I1161,"OK","NG"),Blank)</f>
        <v>NG</v>
      </c>
      <c r="P1161" s="211" t="e" cm="1">
        <f t="array" ref="P1161">IF(M1161&lt;&gt;0,IF(M1161&lt;J1161,"OK","NG"),Blank)</f>
        <v>#NAME?</v>
      </c>
      <c r="Q1161" s="211" t="e" cm="1">
        <f t="array" ref="Q1161">IF(H1161&lt;&gt;"Stop",IF(N1161&lt;&gt;0,IF(N1161&lt;=K1161,"OK","NG"),Blank),"-")</f>
        <v>#REF!</v>
      </c>
      <c r="R1161" s="326" t="e" cm="1">
        <f t="array" ref="R1161">IF(H1161&lt;&gt;"Stop",IF(E1161&lt;&gt;0,IF(E1161&lt;=K1161,"OK","NG"),Blank),"-")</f>
        <v>#REF!</v>
      </c>
    </row>
    <row r="1162" spans="1:18" ht="15" hidden="1" x14ac:dyDescent="0.3">
      <c r="A1162" s="318" t="e">
        <f>#REF!</f>
        <v>#REF!</v>
      </c>
      <c r="B1162" s="305" t="e">
        <f>#REF!</f>
        <v>#REF!</v>
      </c>
      <c r="C1162" s="305" t="str">
        <f>'Danh sách máy'!C1205</f>
        <v>MKQC</v>
      </c>
      <c r="D1162" s="90" t="e">
        <f>#REF!</f>
        <v>#REF!</v>
      </c>
      <c r="E1162" s="97">
        <f>'Danh sách máy'!E1205</f>
        <v>0</v>
      </c>
      <c r="F1162" s="206" t="e">
        <f>#REF!</f>
        <v>#REF!</v>
      </c>
      <c r="G1162" s="102" t="e">
        <f>#REF!</f>
        <v>#REF!</v>
      </c>
      <c r="H1162" s="102" t="e">
        <f>#REF!</f>
        <v>#REF!</v>
      </c>
      <c r="K1162" s="210" t="e">
        <f>#REF!</f>
        <v>#REF!</v>
      </c>
      <c r="L1162" s="210">
        <v>45431</v>
      </c>
      <c r="M1162" s="210"/>
      <c r="N1162" s="210">
        <f>'Danh sách máy'!F1205</f>
        <v>0</v>
      </c>
      <c r="O1162" s="211" t="str" cm="1">
        <f t="array" ref="O1162">IF(L1162&lt;&gt;0,IF(L1162&lt;I1162,"OK","NG"),Blank)</f>
        <v>NG</v>
      </c>
      <c r="P1162" s="211" t="e" cm="1">
        <f t="array" ref="P1162">IF(M1162&lt;&gt;0,IF(M1162&lt;J1162,"OK","NG"),Blank)</f>
        <v>#NAME?</v>
      </c>
      <c r="Q1162" s="211" t="e" cm="1">
        <f t="array" ref="Q1162">IF(H1162&lt;&gt;"Stop",IF(N1162&lt;&gt;0,IF(N1162&lt;=K1162,"OK","NG"),Blank),"-")</f>
        <v>#REF!</v>
      </c>
      <c r="R1162" s="326" t="e" cm="1">
        <f t="array" ref="R1162">IF(H1162&lt;&gt;"Stop",IF(E1162&lt;&gt;0,IF(E1162&lt;=K1162,"OK","NG"),Blank),"-")</f>
        <v>#REF!</v>
      </c>
    </row>
    <row r="1163" spans="1:18" ht="15" hidden="1" x14ac:dyDescent="0.3">
      <c r="A1163" s="318" t="e">
        <f>#REF!</f>
        <v>#REF!</v>
      </c>
      <c r="B1163" s="305" t="e">
        <f>#REF!</f>
        <v>#REF!</v>
      </c>
      <c r="C1163" s="305" t="str">
        <f>'Danh sách máy'!C1206</f>
        <v>MKQC</v>
      </c>
      <c r="D1163" s="90" t="e">
        <f>#REF!</f>
        <v>#REF!</v>
      </c>
      <c r="E1163" s="97">
        <f>'Danh sách máy'!E1206</f>
        <v>0</v>
      </c>
      <c r="F1163" s="206" t="e">
        <f>#REF!</f>
        <v>#REF!</v>
      </c>
      <c r="G1163" s="102" t="e">
        <f>#REF!</f>
        <v>#REF!</v>
      </c>
      <c r="H1163" s="102" t="e">
        <f>#REF!</f>
        <v>#REF!</v>
      </c>
      <c r="K1163" s="210" t="e">
        <f>#REF!</f>
        <v>#REF!</v>
      </c>
      <c r="L1163" s="210">
        <v>45432</v>
      </c>
      <c r="M1163" s="210"/>
      <c r="N1163" s="210">
        <f>'Danh sách máy'!F1206</f>
        <v>0</v>
      </c>
      <c r="O1163" s="211" t="str" cm="1">
        <f t="array" ref="O1163">IF(L1163&lt;&gt;0,IF(L1163&lt;I1163,"OK","NG"),Blank)</f>
        <v>NG</v>
      </c>
      <c r="P1163" s="211" t="e" cm="1">
        <f t="array" ref="P1163">IF(M1163&lt;&gt;0,IF(M1163&lt;J1163,"OK","NG"),Blank)</f>
        <v>#NAME?</v>
      </c>
      <c r="Q1163" s="211" t="e" cm="1">
        <f t="array" ref="Q1163">IF(H1163&lt;&gt;"Stop",IF(N1163&lt;&gt;0,IF(N1163&lt;=K1163,"OK","NG"),Blank),"-")</f>
        <v>#REF!</v>
      </c>
      <c r="R1163" s="326" t="e" cm="1">
        <f t="array" ref="R1163">IF(H1163&lt;&gt;"Stop",IF(E1163&lt;&gt;0,IF(E1163&lt;=K1163,"OK","NG"),Blank),"-")</f>
        <v>#REF!</v>
      </c>
    </row>
    <row r="1164" spans="1:18" ht="15" hidden="1" x14ac:dyDescent="0.3">
      <c r="A1164" s="318" t="e">
        <f>#REF!</f>
        <v>#REF!</v>
      </c>
      <c r="B1164" s="305" t="e">
        <f>#REF!</f>
        <v>#REF!</v>
      </c>
      <c r="C1164" s="305" t="str">
        <f>'Danh sách máy'!C1207</f>
        <v>MKQC</v>
      </c>
      <c r="D1164" s="90" t="e">
        <f>#REF!</f>
        <v>#REF!</v>
      </c>
      <c r="E1164" s="97">
        <f>'Danh sách máy'!E1207</f>
        <v>0</v>
      </c>
      <c r="F1164" s="206" t="e">
        <f>#REF!</f>
        <v>#REF!</v>
      </c>
      <c r="G1164" s="102" t="e">
        <f>#REF!</f>
        <v>#REF!</v>
      </c>
      <c r="H1164" s="102" t="e">
        <f>#REF!</f>
        <v>#REF!</v>
      </c>
      <c r="K1164" s="210" t="e">
        <f>#REF!</f>
        <v>#REF!</v>
      </c>
      <c r="L1164" s="210">
        <v>45433</v>
      </c>
      <c r="M1164" s="210"/>
      <c r="N1164" s="210">
        <f>'Danh sách máy'!F1207</f>
        <v>0</v>
      </c>
      <c r="O1164" s="211" t="str" cm="1">
        <f t="array" ref="O1164">IF(L1164&lt;&gt;0,IF(L1164&lt;I1164,"OK","NG"),Blank)</f>
        <v>NG</v>
      </c>
      <c r="P1164" s="211" t="e" cm="1">
        <f t="array" ref="P1164">IF(M1164&lt;&gt;0,IF(M1164&lt;J1164,"OK","NG"),Blank)</f>
        <v>#NAME?</v>
      </c>
      <c r="Q1164" s="211" t="e" cm="1">
        <f t="array" ref="Q1164">IF(H1164&lt;&gt;"Stop",IF(N1164&lt;&gt;0,IF(N1164&lt;=K1164,"OK","NG"),Blank),"-")</f>
        <v>#REF!</v>
      </c>
      <c r="R1164" s="326" t="e" cm="1">
        <f t="array" ref="R1164">IF(H1164&lt;&gt;"Stop",IF(E1164&lt;&gt;0,IF(E1164&lt;=K1164,"OK","NG"),Blank),"-")</f>
        <v>#REF!</v>
      </c>
    </row>
    <row r="1165" spans="1:18" ht="15" hidden="1" x14ac:dyDescent="0.3">
      <c r="A1165" s="318" t="e">
        <f>#REF!</f>
        <v>#REF!</v>
      </c>
      <c r="B1165" s="305" t="e">
        <f>#REF!</f>
        <v>#REF!</v>
      </c>
      <c r="C1165" s="305" t="str">
        <f>'Danh sách máy'!C1208</f>
        <v>MKQC</v>
      </c>
      <c r="D1165" s="90" t="e">
        <f>#REF!</f>
        <v>#REF!</v>
      </c>
      <c r="E1165" s="97">
        <f>'Danh sách máy'!E1208</f>
        <v>0</v>
      </c>
      <c r="F1165" s="206" t="e">
        <f>#REF!</f>
        <v>#REF!</v>
      </c>
      <c r="G1165" s="102" t="e">
        <f>#REF!</f>
        <v>#REF!</v>
      </c>
      <c r="H1165" s="102" t="e">
        <f>#REF!</f>
        <v>#REF!</v>
      </c>
      <c r="K1165" s="210" t="e">
        <f>#REF!</f>
        <v>#REF!</v>
      </c>
      <c r="L1165" s="210">
        <v>45434</v>
      </c>
      <c r="M1165" s="210"/>
      <c r="N1165" s="210">
        <f>'Danh sách máy'!F1208</f>
        <v>0</v>
      </c>
      <c r="O1165" s="211" t="str" cm="1">
        <f t="array" ref="O1165">IF(L1165&lt;&gt;0,IF(L1165&lt;I1165,"OK","NG"),Blank)</f>
        <v>NG</v>
      </c>
      <c r="P1165" s="211" t="e" cm="1">
        <f t="array" ref="P1165">IF(M1165&lt;&gt;0,IF(M1165&lt;J1165,"OK","NG"),Blank)</f>
        <v>#NAME?</v>
      </c>
      <c r="Q1165" s="211" t="e" cm="1">
        <f t="array" ref="Q1165">IF(H1165&lt;&gt;"Stop",IF(N1165&lt;&gt;0,IF(N1165&lt;=K1165,"OK","NG"),Blank),"-")</f>
        <v>#REF!</v>
      </c>
      <c r="R1165" s="326" t="e" cm="1">
        <f t="array" ref="R1165">IF(H1165&lt;&gt;"Stop",IF(E1165&lt;&gt;0,IF(E1165&lt;=K1165,"OK","NG"),Blank),"-")</f>
        <v>#REF!</v>
      </c>
    </row>
    <row r="1166" spans="1:18" ht="15" hidden="1" x14ac:dyDescent="0.3">
      <c r="A1166" s="318" t="e">
        <f>#REF!</f>
        <v>#REF!</v>
      </c>
      <c r="B1166" s="305" t="e">
        <f>#REF!</f>
        <v>#REF!</v>
      </c>
      <c r="C1166" s="305" t="str">
        <f>'Danh sách máy'!C1209</f>
        <v>MKQC</v>
      </c>
      <c r="D1166" s="90" t="e">
        <f>#REF!</f>
        <v>#REF!</v>
      </c>
      <c r="E1166" s="97">
        <f>'Danh sách máy'!E1209</f>
        <v>0</v>
      </c>
      <c r="F1166" s="206" t="e">
        <f>#REF!</f>
        <v>#REF!</v>
      </c>
      <c r="G1166" s="102" t="e">
        <f>#REF!</f>
        <v>#REF!</v>
      </c>
      <c r="H1166" s="102" t="e">
        <f>#REF!</f>
        <v>#REF!</v>
      </c>
      <c r="K1166" s="210" t="e">
        <f>#REF!</f>
        <v>#REF!</v>
      </c>
      <c r="L1166" s="210">
        <v>45435</v>
      </c>
      <c r="M1166" s="210"/>
      <c r="N1166" s="210">
        <f>'Danh sách máy'!F1209</f>
        <v>0</v>
      </c>
      <c r="O1166" s="211" t="str" cm="1">
        <f t="array" ref="O1166">IF(L1166&lt;&gt;0,IF(L1166&lt;I1166,"OK","NG"),Blank)</f>
        <v>NG</v>
      </c>
      <c r="P1166" s="211" t="e" cm="1">
        <f t="array" ref="P1166">IF(M1166&lt;&gt;0,IF(M1166&lt;J1166,"OK","NG"),Blank)</f>
        <v>#NAME?</v>
      </c>
      <c r="Q1166" s="211" t="e" cm="1">
        <f t="array" ref="Q1166">IF(H1166&lt;&gt;"Stop",IF(N1166&lt;&gt;0,IF(N1166&lt;=K1166,"OK","NG"),Blank),"-")</f>
        <v>#REF!</v>
      </c>
      <c r="R1166" s="326" t="e" cm="1">
        <f t="array" ref="R1166">IF(H1166&lt;&gt;"Stop",IF(E1166&lt;&gt;0,IF(E1166&lt;=K1166,"OK","NG"),Blank),"-")</f>
        <v>#REF!</v>
      </c>
    </row>
    <row r="1167" spans="1:18" ht="15" hidden="1" x14ac:dyDescent="0.3">
      <c r="A1167" s="318" t="e">
        <f>#REF!</f>
        <v>#REF!</v>
      </c>
      <c r="B1167" s="305" t="e">
        <f>#REF!</f>
        <v>#REF!</v>
      </c>
      <c r="C1167" s="305" t="str">
        <f>'Danh sách máy'!C1210</f>
        <v>MKQC</v>
      </c>
      <c r="D1167" s="90" t="e">
        <f>#REF!</f>
        <v>#REF!</v>
      </c>
      <c r="E1167" s="97">
        <f>'Danh sách máy'!E1210</f>
        <v>0</v>
      </c>
      <c r="F1167" s="206" t="e">
        <f>#REF!</f>
        <v>#REF!</v>
      </c>
      <c r="G1167" s="102" t="e">
        <f>#REF!</f>
        <v>#REF!</v>
      </c>
      <c r="H1167" s="102" t="e">
        <f>#REF!</f>
        <v>#REF!</v>
      </c>
      <c r="K1167" s="210" t="e">
        <f>#REF!</f>
        <v>#REF!</v>
      </c>
      <c r="L1167" s="210">
        <v>45436</v>
      </c>
      <c r="M1167" s="210"/>
      <c r="N1167" s="210">
        <f>'Danh sách máy'!F1210</f>
        <v>0</v>
      </c>
      <c r="O1167" s="211" t="str" cm="1">
        <f t="array" ref="O1167">IF(L1167&lt;&gt;0,IF(L1167&lt;I1167,"OK","NG"),Blank)</f>
        <v>NG</v>
      </c>
      <c r="P1167" s="211" t="e" cm="1">
        <f t="array" ref="P1167">IF(M1167&lt;&gt;0,IF(M1167&lt;J1167,"OK","NG"),Blank)</f>
        <v>#NAME?</v>
      </c>
      <c r="Q1167" s="211" t="e" cm="1">
        <f t="array" ref="Q1167">IF(H1167&lt;&gt;"Stop",IF(N1167&lt;&gt;0,IF(N1167&lt;=K1167,"OK","NG"),Blank),"-")</f>
        <v>#REF!</v>
      </c>
      <c r="R1167" s="326" t="e" cm="1">
        <f t="array" ref="R1167">IF(H1167&lt;&gt;"Stop",IF(E1167&lt;&gt;0,IF(E1167&lt;=K1167,"OK","NG"),Blank),"-")</f>
        <v>#REF!</v>
      </c>
    </row>
    <row r="1168" spans="1:18" ht="15" hidden="1" x14ac:dyDescent="0.3">
      <c r="A1168" s="318" t="e">
        <f>#REF!</f>
        <v>#REF!</v>
      </c>
      <c r="B1168" s="305" t="e">
        <f>#REF!</f>
        <v>#REF!</v>
      </c>
      <c r="C1168" s="305" t="str">
        <f>'Danh sách máy'!C1211</f>
        <v>MKQC</v>
      </c>
      <c r="D1168" s="90" t="e">
        <f>#REF!</f>
        <v>#REF!</v>
      </c>
      <c r="E1168" s="97">
        <f>'Danh sách máy'!E1211</f>
        <v>0</v>
      </c>
      <c r="F1168" s="206" t="e">
        <f>#REF!</f>
        <v>#REF!</v>
      </c>
      <c r="G1168" s="102" t="e">
        <f>#REF!</f>
        <v>#REF!</v>
      </c>
      <c r="H1168" s="102" t="e">
        <f>#REF!</f>
        <v>#REF!</v>
      </c>
      <c r="K1168" s="210" t="e">
        <f>#REF!</f>
        <v>#REF!</v>
      </c>
      <c r="L1168" s="210">
        <v>45437</v>
      </c>
      <c r="M1168" s="210"/>
      <c r="N1168" s="210">
        <f>'Danh sách máy'!F1211</f>
        <v>0</v>
      </c>
      <c r="O1168" s="211" t="str" cm="1">
        <f t="array" ref="O1168">IF(L1168&lt;&gt;0,IF(L1168&lt;I1168,"OK","NG"),Blank)</f>
        <v>NG</v>
      </c>
      <c r="P1168" s="211" t="e" cm="1">
        <f t="array" ref="P1168">IF(M1168&lt;&gt;0,IF(M1168&lt;J1168,"OK","NG"),Blank)</f>
        <v>#NAME?</v>
      </c>
      <c r="Q1168" s="211" t="e" cm="1">
        <f t="array" ref="Q1168">IF(H1168&lt;&gt;"Stop",IF(N1168&lt;&gt;0,IF(N1168&lt;=K1168,"OK","NG"),Blank),"-")</f>
        <v>#REF!</v>
      </c>
      <c r="R1168" s="326" t="e" cm="1">
        <f t="array" ref="R1168">IF(H1168&lt;&gt;"Stop",IF(E1168&lt;&gt;0,IF(E1168&lt;=K1168,"OK","NG"),Blank),"-")</f>
        <v>#REF!</v>
      </c>
    </row>
    <row r="1169" spans="1:18" ht="15" hidden="1" x14ac:dyDescent="0.3">
      <c r="A1169" s="318" t="e">
        <f>#REF!</f>
        <v>#REF!</v>
      </c>
      <c r="B1169" s="305" t="e">
        <f>#REF!</f>
        <v>#REF!</v>
      </c>
      <c r="C1169" s="305" t="str">
        <f>'Danh sách máy'!C1212</f>
        <v>MKQC</v>
      </c>
      <c r="D1169" s="90" t="e">
        <f>#REF!</f>
        <v>#REF!</v>
      </c>
      <c r="E1169" s="97">
        <f>'Danh sách máy'!E1212</f>
        <v>0</v>
      </c>
      <c r="F1169" s="206" t="e">
        <f>#REF!</f>
        <v>#REF!</v>
      </c>
      <c r="G1169" s="102" t="e">
        <f>#REF!</f>
        <v>#REF!</v>
      </c>
      <c r="H1169" s="102" t="e">
        <f>#REF!</f>
        <v>#REF!</v>
      </c>
      <c r="K1169" s="210" t="e">
        <f>#REF!</f>
        <v>#REF!</v>
      </c>
      <c r="L1169" s="210">
        <v>45438</v>
      </c>
      <c r="M1169" s="210"/>
      <c r="N1169" s="210">
        <f>'Danh sách máy'!F1212</f>
        <v>0</v>
      </c>
      <c r="O1169" s="211" t="str" cm="1">
        <f t="array" ref="O1169">IF(L1169&lt;&gt;0,IF(L1169&lt;I1169,"OK","NG"),Blank)</f>
        <v>NG</v>
      </c>
      <c r="P1169" s="211" t="e" cm="1">
        <f t="array" ref="P1169">IF(M1169&lt;&gt;0,IF(M1169&lt;J1169,"OK","NG"),Blank)</f>
        <v>#NAME?</v>
      </c>
      <c r="Q1169" s="211" t="e" cm="1">
        <f t="array" ref="Q1169">IF(H1169&lt;&gt;"Stop",IF(N1169&lt;&gt;0,IF(N1169&lt;=K1169,"OK","NG"),Blank),"-")</f>
        <v>#REF!</v>
      </c>
      <c r="R1169" s="326" t="e" cm="1">
        <f t="array" ref="R1169">IF(H1169&lt;&gt;"Stop",IF(E1169&lt;&gt;0,IF(E1169&lt;=K1169,"OK","NG"),Blank),"-")</f>
        <v>#REF!</v>
      </c>
    </row>
    <row r="1170" spans="1:18" ht="15" hidden="1" x14ac:dyDescent="0.3">
      <c r="A1170" s="318" t="e">
        <f>#REF!</f>
        <v>#REF!</v>
      </c>
      <c r="B1170" s="305" t="e">
        <f>#REF!</f>
        <v>#REF!</v>
      </c>
      <c r="C1170" s="305" t="str">
        <f>'Danh sách máy'!C1213</f>
        <v>MKQC</v>
      </c>
      <c r="D1170" s="90" t="e">
        <f>#REF!</f>
        <v>#REF!</v>
      </c>
      <c r="E1170" s="97">
        <f>'Danh sách máy'!E1213</f>
        <v>0</v>
      </c>
      <c r="F1170" s="206" t="e">
        <f>#REF!</f>
        <v>#REF!</v>
      </c>
      <c r="G1170" s="102" t="e">
        <f>#REF!</f>
        <v>#REF!</v>
      </c>
      <c r="H1170" s="102" t="e">
        <f>#REF!</f>
        <v>#REF!</v>
      </c>
      <c r="K1170" s="210" t="e">
        <f>#REF!</f>
        <v>#REF!</v>
      </c>
      <c r="L1170" s="210">
        <v>45439</v>
      </c>
      <c r="M1170" s="210"/>
      <c r="N1170" s="210">
        <f>'Danh sách máy'!F1213</f>
        <v>0</v>
      </c>
      <c r="O1170" s="211" t="str" cm="1">
        <f t="array" ref="O1170">IF(L1170&lt;&gt;0,IF(L1170&lt;I1170,"OK","NG"),Blank)</f>
        <v>NG</v>
      </c>
      <c r="P1170" s="211" t="e" cm="1">
        <f t="array" ref="P1170">IF(M1170&lt;&gt;0,IF(M1170&lt;J1170,"OK","NG"),Blank)</f>
        <v>#NAME?</v>
      </c>
      <c r="Q1170" s="211" t="e" cm="1">
        <f t="array" ref="Q1170">IF(H1170&lt;&gt;"Stop",IF(N1170&lt;&gt;0,IF(N1170&lt;=K1170,"OK","NG"),Blank),"-")</f>
        <v>#REF!</v>
      </c>
      <c r="R1170" s="326" t="e" cm="1">
        <f t="array" ref="R1170">IF(H1170&lt;&gt;"Stop",IF(E1170&lt;&gt;0,IF(E1170&lt;=K1170,"OK","NG"),Blank),"-")</f>
        <v>#REF!</v>
      </c>
    </row>
    <row r="1171" spans="1:18" ht="15" hidden="1" x14ac:dyDescent="0.3">
      <c r="A1171" s="318" t="e">
        <f>#REF!</f>
        <v>#REF!</v>
      </c>
      <c r="B1171" s="305" t="e">
        <f>#REF!</f>
        <v>#REF!</v>
      </c>
      <c r="C1171" s="305" t="str">
        <f>'Danh sách máy'!C1214</f>
        <v>MKQC</v>
      </c>
      <c r="D1171" s="90" t="e">
        <f>#REF!</f>
        <v>#REF!</v>
      </c>
      <c r="E1171" s="97">
        <f>'Danh sách máy'!E1214</f>
        <v>0</v>
      </c>
      <c r="F1171" s="206" t="e">
        <f>#REF!</f>
        <v>#REF!</v>
      </c>
      <c r="G1171" s="102" t="e">
        <f>#REF!</f>
        <v>#REF!</v>
      </c>
      <c r="H1171" s="102" t="e">
        <f>#REF!</f>
        <v>#REF!</v>
      </c>
      <c r="K1171" s="210" t="e">
        <f>#REF!</f>
        <v>#REF!</v>
      </c>
      <c r="L1171" s="210">
        <v>45440</v>
      </c>
      <c r="M1171" s="210"/>
      <c r="N1171" s="210">
        <f>'Danh sách máy'!F1214</f>
        <v>0</v>
      </c>
      <c r="O1171" s="211" t="str" cm="1">
        <f t="array" ref="O1171">IF(L1171&lt;&gt;0,IF(L1171&lt;I1171,"OK","NG"),Blank)</f>
        <v>NG</v>
      </c>
      <c r="P1171" s="211" t="e" cm="1">
        <f t="array" ref="P1171">IF(M1171&lt;&gt;0,IF(M1171&lt;J1171,"OK","NG"),Blank)</f>
        <v>#NAME?</v>
      </c>
      <c r="Q1171" s="211" t="e" cm="1">
        <f t="array" ref="Q1171">IF(H1171&lt;&gt;"Stop",IF(N1171&lt;&gt;0,IF(N1171&lt;=K1171,"OK","NG"),Blank),"-")</f>
        <v>#REF!</v>
      </c>
      <c r="R1171" s="326" t="e" cm="1">
        <f t="array" ref="R1171">IF(H1171&lt;&gt;"Stop",IF(E1171&lt;&gt;0,IF(E1171&lt;=K1171,"OK","NG"),Blank),"-")</f>
        <v>#REF!</v>
      </c>
    </row>
    <row r="1172" spans="1:18" ht="15" hidden="1" x14ac:dyDescent="0.3">
      <c r="A1172" s="318" t="e">
        <f>#REF!</f>
        <v>#REF!</v>
      </c>
      <c r="B1172" s="305" t="e">
        <f>#REF!</f>
        <v>#REF!</v>
      </c>
      <c r="C1172" s="305" t="str">
        <f>'Danh sách máy'!C1215</f>
        <v>MKQC</v>
      </c>
      <c r="D1172" s="90" t="e">
        <f>#REF!</f>
        <v>#REF!</v>
      </c>
      <c r="E1172" s="97">
        <f>'Danh sách máy'!E1215</f>
        <v>0</v>
      </c>
      <c r="F1172" s="206" t="e">
        <f>#REF!</f>
        <v>#REF!</v>
      </c>
      <c r="G1172" s="102" t="e">
        <f>#REF!</f>
        <v>#REF!</v>
      </c>
      <c r="H1172" s="102" t="e">
        <f>#REF!</f>
        <v>#REF!</v>
      </c>
      <c r="K1172" s="210" t="e">
        <f>#REF!</f>
        <v>#REF!</v>
      </c>
      <c r="L1172" s="210">
        <v>45441</v>
      </c>
      <c r="M1172" s="210"/>
      <c r="N1172" s="210">
        <f>'Danh sách máy'!F1215</f>
        <v>0</v>
      </c>
      <c r="O1172" s="211" t="str" cm="1">
        <f t="array" ref="O1172">IF(L1172&lt;&gt;0,IF(L1172&lt;I1172,"OK","NG"),Blank)</f>
        <v>NG</v>
      </c>
      <c r="P1172" s="211" t="e" cm="1">
        <f t="array" ref="P1172">IF(M1172&lt;&gt;0,IF(M1172&lt;J1172,"OK","NG"),Blank)</f>
        <v>#NAME?</v>
      </c>
      <c r="Q1172" s="211" t="e" cm="1">
        <f t="array" ref="Q1172">IF(H1172&lt;&gt;"Stop",IF(N1172&lt;&gt;0,IF(N1172&lt;=K1172,"OK","NG"),Blank),"-")</f>
        <v>#REF!</v>
      </c>
      <c r="R1172" s="326" t="e" cm="1">
        <f t="array" ref="R1172">IF(H1172&lt;&gt;"Stop",IF(E1172&lt;&gt;0,IF(E1172&lt;=K1172,"OK","NG"),Blank),"-")</f>
        <v>#REF!</v>
      </c>
    </row>
    <row r="1173" spans="1:18" ht="15" hidden="1" x14ac:dyDescent="0.3">
      <c r="A1173" s="318" t="e">
        <f>#REF!</f>
        <v>#REF!</v>
      </c>
      <c r="B1173" s="305" t="e">
        <f>#REF!</f>
        <v>#REF!</v>
      </c>
      <c r="C1173" s="305" t="str">
        <f>'Danh sách máy'!C1216</f>
        <v>MKQC</v>
      </c>
      <c r="D1173" s="90" t="e">
        <f>#REF!</f>
        <v>#REF!</v>
      </c>
      <c r="E1173" s="97">
        <f>'Danh sách máy'!E1216</f>
        <v>0</v>
      </c>
      <c r="F1173" s="206" t="e">
        <f>#REF!</f>
        <v>#REF!</v>
      </c>
      <c r="G1173" s="102" t="e">
        <f>#REF!</f>
        <v>#REF!</v>
      </c>
      <c r="H1173" s="102" t="e">
        <f>#REF!</f>
        <v>#REF!</v>
      </c>
      <c r="K1173" s="210" t="e">
        <f>#REF!</f>
        <v>#REF!</v>
      </c>
      <c r="L1173" s="210">
        <v>45442</v>
      </c>
      <c r="M1173" s="210"/>
      <c r="N1173" s="210">
        <f>'Danh sách máy'!F1216</f>
        <v>0</v>
      </c>
      <c r="O1173" s="211" t="str" cm="1">
        <f t="array" ref="O1173">IF(L1173&lt;&gt;0,IF(L1173&lt;I1173,"OK","NG"),Blank)</f>
        <v>NG</v>
      </c>
      <c r="P1173" s="211" t="e" cm="1">
        <f t="array" ref="P1173">IF(M1173&lt;&gt;0,IF(M1173&lt;J1173,"OK","NG"),Blank)</f>
        <v>#NAME?</v>
      </c>
      <c r="Q1173" s="211" t="e" cm="1">
        <f t="array" ref="Q1173">IF(H1173&lt;&gt;"Stop",IF(N1173&lt;&gt;0,IF(N1173&lt;=K1173,"OK","NG"),Blank),"-")</f>
        <v>#REF!</v>
      </c>
      <c r="R1173" s="326" t="e" cm="1">
        <f t="array" ref="R1173">IF(H1173&lt;&gt;"Stop",IF(E1173&lt;&gt;0,IF(E1173&lt;=K1173,"OK","NG"),Blank),"-")</f>
        <v>#REF!</v>
      </c>
    </row>
    <row r="1174" spans="1:18" ht="15" hidden="1" x14ac:dyDescent="0.3">
      <c r="A1174" s="318" t="e">
        <f>#REF!</f>
        <v>#REF!</v>
      </c>
      <c r="B1174" s="305" t="e">
        <f>#REF!</f>
        <v>#REF!</v>
      </c>
      <c r="C1174" s="305" t="str">
        <f>'Danh sách máy'!C1217</f>
        <v>MKQC</v>
      </c>
      <c r="D1174" s="90" t="e">
        <f>#REF!</f>
        <v>#REF!</v>
      </c>
      <c r="E1174" s="97">
        <f>'Danh sách máy'!E1217</f>
        <v>0</v>
      </c>
      <c r="F1174" s="206" t="e">
        <f>#REF!</f>
        <v>#REF!</v>
      </c>
      <c r="G1174" s="102" t="e">
        <f>#REF!</f>
        <v>#REF!</v>
      </c>
      <c r="H1174" s="102" t="e">
        <f>#REF!</f>
        <v>#REF!</v>
      </c>
      <c r="K1174" s="210" t="e">
        <f>#REF!</f>
        <v>#REF!</v>
      </c>
      <c r="L1174" s="210">
        <v>45443</v>
      </c>
      <c r="M1174" s="210"/>
      <c r="N1174" s="210">
        <f>'Danh sách máy'!F1217</f>
        <v>0</v>
      </c>
      <c r="O1174" s="211" t="str" cm="1">
        <f t="array" ref="O1174">IF(L1174&lt;&gt;0,IF(L1174&lt;I1174,"OK","NG"),Blank)</f>
        <v>NG</v>
      </c>
      <c r="P1174" s="211" t="e" cm="1">
        <f t="array" ref="P1174">IF(M1174&lt;&gt;0,IF(M1174&lt;J1174,"OK","NG"),Blank)</f>
        <v>#NAME?</v>
      </c>
      <c r="Q1174" s="211" t="e" cm="1">
        <f t="array" ref="Q1174">IF(H1174&lt;&gt;"Stop",IF(N1174&lt;&gt;0,IF(N1174&lt;=K1174,"OK","NG"),Blank),"-")</f>
        <v>#REF!</v>
      </c>
      <c r="R1174" s="326" t="e" cm="1">
        <f t="array" ref="R1174">IF(H1174&lt;&gt;"Stop",IF(E1174&lt;&gt;0,IF(E1174&lt;=K1174,"OK","NG"),Blank),"-")</f>
        <v>#REF!</v>
      </c>
    </row>
    <row r="1175" spans="1:18" ht="15" hidden="1" x14ac:dyDescent="0.3">
      <c r="A1175" s="318" t="e">
        <f>#REF!</f>
        <v>#REF!</v>
      </c>
      <c r="B1175" s="305" t="e">
        <f>#REF!</f>
        <v>#REF!</v>
      </c>
      <c r="C1175" s="305" t="str">
        <f>'Danh sách máy'!C1218</f>
        <v>MKQC</v>
      </c>
      <c r="D1175" s="90" t="e">
        <f>#REF!</f>
        <v>#REF!</v>
      </c>
      <c r="E1175" s="97">
        <f>'Danh sách máy'!E1218</f>
        <v>0</v>
      </c>
      <c r="F1175" s="206" t="e">
        <f>#REF!</f>
        <v>#REF!</v>
      </c>
      <c r="G1175" s="102" t="e">
        <f>#REF!</f>
        <v>#REF!</v>
      </c>
      <c r="H1175" s="102" t="e">
        <f>#REF!</f>
        <v>#REF!</v>
      </c>
      <c r="K1175" s="210" t="e">
        <f>#REF!</f>
        <v>#REF!</v>
      </c>
      <c r="L1175" s="210">
        <v>45444</v>
      </c>
      <c r="M1175" s="210"/>
      <c r="N1175" s="210">
        <f>'Danh sách máy'!F1218</f>
        <v>0</v>
      </c>
      <c r="O1175" s="211" t="str" cm="1">
        <f t="array" ref="O1175">IF(L1175&lt;&gt;0,IF(L1175&lt;I1175,"OK","NG"),Blank)</f>
        <v>NG</v>
      </c>
      <c r="P1175" s="211" t="e" cm="1">
        <f t="array" ref="P1175">IF(M1175&lt;&gt;0,IF(M1175&lt;J1175,"OK","NG"),Blank)</f>
        <v>#NAME?</v>
      </c>
      <c r="Q1175" s="211" t="e" cm="1">
        <f t="array" ref="Q1175">IF(H1175&lt;&gt;"Stop",IF(N1175&lt;&gt;0,IF(N1175&lt;=K1175,"OK","NG"),Blank),"-")</f>
        <v>#REF!</v>
      </c>
      <c r="R1175" s="326" t="e" cm="1">
        <f t="array" ref="R1175">IF(H1175&lt;&gt;"Stop",IF(E1175&lt;&gt;0,IF(E1175&lt;=K1175,"OK","NG"),Blank),"-")</f>
        <v>#REF!</v>
      </c>
    </row>
    <row r="1176" spans="1:18" ht="15" hidden="1" x14ac:dyDescent="0.3">
      <c r="A1176" s="318" t="e">
        <f>#REF!</f>
        <v>#REF!</v>
      </c>
      <c r="B1176" s="305" t="e">
        <f>#REF!</f>
        <v>#REF!</v>
      </c>
      <c r="C1176" s="305" t="str">
        <f>'Danh sách máy'!C1219</f>
        <v>MKQC</v>
      </c>
      <c r="D1176" s="90" t="e">
        <f>#REF!</f>
        <v>#REF!</v>
      </c>
      <c r="E1176" s="97">
        <f>'Danh sách máy'!E1219</f>
        <v>0</v>
      </c>
      <c r="F1176" s="206" t="e">
        <f>#REF!</f>
        <v>#REF!</v>
      </c>
      <c r="G1176" s="102" t="e">
        <f>#REF!</f>
        <v>#REF!</v>
      </c>
      <c r="H1176" s="102" t="e">
        <f>#REF!</f>
        <v>#REF!</v>
      </c>
      <c r="K1176" s="210" t="e">
        <f>#REF!</f>
        <v>#REF!</v>
      </c>
      <c r="L1176" s="210">
        <v>45445</v>
      </c>
      <c r="M1176" s="210"/>
      <c r="N1176" s="210">
        <f>'Danh sách máy'!F1219</f>
        <v>0</v>
      </c>
      <c r="O1176" s="211" t="str" cm="1">
        <f t="array" ref="O1176">IF(L1176&lt;&gt;0,IF(L1176&lt;I1176,"OK","NG"),Blank)</f>
        <v>NG</v>
      </c>
      <c r="P1176" s="211" t="e" cm="1">
        <f t="array" ref="P1176">IF(M1176&lt;&gt;0,IF(M1176&lt;J1176,"OK","NG"),Blank)</f>
        <v>#NAME?</v>
      </c>
      <c r="Q1176" s="211" t="e" cm="1">
        <f t="array" ref="Q1176">IF(H1176&lt;&gt;"Stop",IF(N1176&lt;&gt;0,IF(N1176&lt;=K1176,"OK","NG"),Blank),"-")</f>
        <v>#REF!</v>
      </c>
      <c r="R1176" s="326" t="e" cm="1">
        <f t="array" ref="R1176">IF(H1176&lt;&gt;"Stop",IF(E1176&lt;&gt;0,IF(E1176&lt;=K1176,"OK","NG"),Blank),"-")</f>
        <v>#REF!</v>
      </c>
    </row>
    <row r="1177" spans="1:18" ht="15" hidden="1" x14ac:dyDescent="0.3">
      <c r="A1177" s="318" t="e">
        <f>#REF!</f>
        <v>#REF!</v>
      </c>
      <c r="B1177" s="305" t="e">
        <f>#REF!</f>
        <v>#REF!</v>
      </c>
      <c r="C1177" s="305" t="str">
        <f>'Danh sách máy'!C1220</f>
        <v>MKQC</v>
      </c>
      <c r="D1177" s="90" t="e">
        <f>#REF!</f>
        <v>#REF!</v>
      </c>
      <c r="E1177" s="97">
        <f>'Danh sách máy'!E1220</f>
        <v>0</v>
      </c>
      <c r="F1177" s="206" t="e">
        <f>#REF!</f>
        <v>#REF!</v>
      </c>
      <c r="G1177" s="102" t="e">
        <f>#REF!</f>
        <v>#REF!</v>
      </c>
      <c r="H1177" s="102" t="e">
        <f>#REF!</f>
        <v>#REF!</v>
      </c>
      <c r="K1177" s="210" t="e">
        <f>#REF!</f>
        <v>#REF!</v>
      </c>
      <c r="L1177" s="210">
        <v>45446</v>
      </c>
      <c r="M1177" s="210"/>
      <c r="N1177" s="210">
        <f>'Danh sách máy'!F1220</f>
        <v>0</v>
      </c>
      <c r="O1177" s="211" t="str" cm="1">
        <f t="array" ref="O1177">IF(L1177&lt;&gt;0,IF(L1177&lt;I1177,"OK","NG"),Blank)</f>
        <v>NG</v>
      </c>
      <c r="P1177" s="211" t="e" cm="1">
        <f t="array" ref="P1177">IF(M1177&lt;&gt;0,IF(M1177&lt;J1177,"OK","NG"),Blank)</f>
        <v>#NAME?</v>
      </c>
      <c r="Q1177" s="211" t="e" cm="1">
        <f t="array" ref="Q1177">IF(H1177&lt;&gt;"Stop",IF(N1177&lt;&gt;0,IF(N1177&lt;=K1177,"OK","NG"),Blank),"-")</f>
        <v>#REF!</v>
      </c>
      <c r="R1177" s="326" t="e" cm="1">
        <f t="array" ref="R1177">IF(H1177&lt;&gt;"Stop",IF(E1177&lt;&gt;0,IF(E1177&lt;=K1177,"OK","NG"),Blank),"-")</f>
        <v>#REF!</v>
      </c>
    </row>
    <row r="1178" spans="1:18" ht="15" hidden="1" x14ac:dyDescent="0.3">
      <c r="A1178" s="318" t="e">
        <f>#REF!</f>
        <v>#REF!</v>
      </c>
      <c r="B1178" s="305" t="e">
        <f>#REF!</f>
        <v>#REF!</v>
      </c>
      <c r="C1178" s="305" t="str">
        <f>'Danh sách máy'!C1221</f>
        <v>MKQC</v>
      </c>
      <c r="D1178" s="90" t="e">
        <f>#REF!</f>
        <v>#REF!</v>
      </c>
      <c r="E1178" s="97">
        <f>'Danh sách máy'!E1221</f>
        <v>0</v>
      </c>
      <c r="F1178" s="206" t="e">
        <f>#REF!</f>
        <v>#REF!</v>
      </c>
      <c r="G1178" s="102" t="e">
        <f>#REF!</f>
        <v>#REF!</v>
      </c>
      <c r="H1178" s="102" t="e">
        <f>#REF!</f>
        <v>#REF!</v>
      </c>
      <c r="K1178" s="210" t="e">
        <f>#REF!</f>
        <v>#REF!</v>
      </c>
      <c r="L1178" s="210">
        <v>45447</v>
      </c>
      <c r="M1178" s="210"/>
      <c r="N1178" s="210">
        <f>'Danh sách máy'!F1221</f>
        <v>0</v>
      </c>
      <c r="O1178" s="211" t="str" cm="1">
        <f t="array" ref="O1178">IF(L1178&lt;&gt;0,IF(L1178&lt;I1178,"OK","NG"),Blank)</f>
        <v>NG</v>
      </c>
      <c r="P1178" s="211" t="e" cm="1">
        <f t="array" ref="P1178">IF(M1178&lt;&gt;0,IF(M1178&lt;J1178,"OK","NG"),Blank)</f>
        <v>#NAME?</v>
      </c>
      <c r="Q1178" s="211" t="e" cm="1">
        <f t="array" ref="Q1178">IF(H1178&lt;&gt;"Stop",IF(N1178&lt;&gt;0,IF(N1178&lt;=K1178,"OK","NG"),Blank),"-")</f>
        <v>#REF!</v>
      </c>
      <c r="R1178" s="326" t="e" cm="1">
        <f t="array" ref="R1178">IF(H1178&lt;&gt;"Stop",IF(E1178&lt;&gt;0,IF(E1178&lt;=K1178,"OK","NG"),Blank),"-")</f>
        <v>#REF!</v>
      </c>
    </row>
    <row r="1179" spans="1:18" ht="15" hidden="1" x14ac:dyDescent="0.3">
      <c r="A1179" s="318" t="e">
        <f>#REF!</f>
        <v>#REF!</v>
      </c>
      <c r="B1179" s="305" t="e">
        <f>#REF!</f>
        <v>#REF!</v>
      </c>
      <c r="C1179" s="305" t="str">
        <f>'Danh sách máy'!C1222</f>
        <v>MKQC</v>
      </c>
      <c r="D1179" s="90" t="e">
        <f>#REF!</f>
        <v>#REF!</v>
      </c>
      <c r="E1179" s="97">
        <f>'Danh sách máy'!E1222</f>
        <v>0</v>
      </c>
      <c r="F1179" s="206" t="e">
        <f>#REF!</f>
        <v>#REF!</v>
      </c>
      <c r="G1179" s="102" t="e">
        <f>#REF!</f>
        <v>#REF!</v>
      </c>
      <c r="H1179" s="102" t="e">
        <f>#REF!</f>
        <v>#REF!</v>
      </c>
      <c r="K1179" s="210" t="e">
        <f>#REF!</f>
        <v>#REF!</v>
      </c>
      <c r="L1179" s="210">
        <v>45448</v>
      </c>
      <c r="M1179" s="210"/>
      <c r="N1179" s="210">
        <f>'Danh sách máy'!F1222</f>
        <v>0</v>
      </c>
      <c r="O1179" s="211" t="str" cm="1">
        <f t="array" ref="O1179">IF(L1179&lt;&gt;0,IF(L1179&lt;I1179,"OK","NG"),Blank)</f>
        <v>NG</v>
      </c>
      <c r="P1179" s="211" t="e" cm="1">
        <f t="array" ref="P1179">IF(M1179&lt;&gt;0,IF(M1179&lt;J1179,"OK","NG"),Blank)</f>
        <v>#NAME?</v>
      </c>
      <c r="Q1179" s="211" t="e" cm="1">
        <f t="array" ref="Q1179">IF(H1179&lt;&gt;"Stop",IF(N1179&lt;&gt;0,IF(N1179&lt;=K1179,"OK","NG"),Blank),"-")</f>
        <v>#REF!</v>
      </c>
      <c r="R1179" s="326" t="e" cm="1">
        <f t="array" ref="R1179">IF(H1179&lt;&gt;"Stop",IF(E1179&lt;&gt;0,IF(E1179&lt;=K1179,"OK","NG"),Blank),"-")</f>
        <v>#REF!</v>
      </c>
    </row>
    <row r="1180" spans="1:18" ht="15" hidden="1" x14ac:dyDescent="0.3">
      <c r="A1180" s="318" t="e">
        <f>#REF!</f>
        <v>#REF!</v>
      </c>
      <c r="B1180" s="305" t="e">
        <f>#REF!</f>
        <v>#REF!</v>
      </c>
      <c r="C1180" s="305" t="str">
        <f>'Danh sách máy'!C1223</f>
        <v>MKQC</v>
      </c>
      <c r="D1180" s="90" t="e">
        <f>#REF!</f>
        <v>#REF!</v>
      </c>
      <c r="E1180" s="97">
        <f>'Danh sách máy'!E1223</f>
        <v>0</v>
      </c>
      <c r="F1180" s="206" t="e">
        <f>#REF!</f>
        <v>#REF!</v>
      </c>
      <c r="G1180" s="102" t="e">
        <f>#REF!</f>
        <v>#REF!</v>
      </c>
      <c r="H1180" s="102" t="e">
        <f>#REF!</f>
        <v>#REF!</v>
      </c>
      <c r="K1180" s="210" t="e">
        <f>#REF!</f>
        <v>#REF!</v>
      </c>
      <c r="L1180" s="210">
        <v>45449</v>
      </c>
      <c r="M1180" s="210"/>
      <c r="N1180" s="210">
        <f>'Danh sách máy'!F1223</f>
        <v>0</v>
      </c>
      <c r="O1180" s="211" t="str" cm="1">
        <f t="array" ref="O1180">IF(L1180&lt;&gt;0,IF(L1180&lt;I1180,"OK","NG"),Blank)</f>
        <v>NG</v>
      </c>
      <c r="P1180" s="211" t="e" cm="1">
        <f t="array" ref="P1180">IF(M1180&lt;&gt;0,IF(M1180&lt;J1180,"OK","NG"),Blank)</f>
        <v>#NAME?</v>
      </c>
      <c r="Q1180" s="211" t="e" cm="1">
        <f t="array" ref="Q1180">IF(H1180&lt;&gt;"Stop",IF(N1180&lt;&gt;0,IF(N1180&lt;=K1180,"OK","NG"),Blank),"-")</f>
        <v>#REF!</v>
      </c>
      <c r="R1180" s="326" t="e" cm="1">
        <f t="array" ref="R1180">IF(H1180&lt;&gt;"Stop",IF(E1180&lt;&gt;0,IF(E1180&lt;=K1180,"OK","NG"),Blank),"-")</f>
        <v>#REF!</v>
      </c>
    </row>
    <row r="1181" spans="1:18" ht="15" hidden="1" x14ac:dyDescent="0.3">
      <c r="A1181" s="318" t="e">
        <f>#REF!</f>
        <v>#REF!</v>
      </c>
      <c r="B1181" s="305" t="e">
        <f>#REF!</f>
        <v>#REF!</v>
      </c>
      <c r="C1181" s="305" t="str">
        <f>'Danh sách máy'!C1224</f>
        <v>MKQC</v>
      </c>
      <c r="D1181" s="90" t="e">
        <f>#REF!</f>
        <v>#REF!</v>
      </c>
      <c r="E1181" s="97">
        <f>'Danh sách máy'!E1224</f>
        <v>0</v>
      </c>
      <c r="F1181" s="206" t="e">
        <f>#REF!</f>
        <v>#REF!</v>
      </c>
      <c r="G1181" s="102" t="e">
        <f>#REF!</f>
        <v>#REF!</v>
      </c>
      <c r="H1181" s="102" t="e">
        <f>#REF!</f>
        <v>#REF!</v>
      </c>
      <c r="K1181" s="210" t="e">
        <f>#REF!</f>
        <v>#REF!</v>
      </c>
      <c r="L1181" s="210">
        <v>45450</v>
      </c>
      <c r="M1181" s="210"/>
      <c r="N1181" s="210">
        <f>'Danh sách máy'!F1224</f>
        <v>0</v>
      </c>
      <c r="O1181" s="211" t="str" cm="1">
        <f t="array" ref="O1181">IF(L1181&lt;&gt;0,IF(L1181&lt;I1181,"OK","NG"),Blank)</f>
        <v>NG</v>
      </c>
      <c r="P1181" s="211" t="e" cm="1">
        <f t="array" ref="P1181">IF(M1181&lt;&gt;0,IF(M1181&lt;J1181,"OK","NG"),Blank)</f>
        <v>#NAME?</v>
      </c>
      <c r="Q1181" s="211" t="e" cm="1">
        <f t="array" ref="Q1181">IF(H1181&lt;&gt;"Stop",IF(N1181&lt;&gt;0,IF(N1181&lt;=K1181,"OK","NG"),Blank),"-")</f>
        <v>#REF!</v>
      </c>
      <c r="R1181" s="326" t="e" cm="1">
        <f t="array" ref="R1181">IF(H1181&lt;&gt;"Stop",IF(E1181&lt;&gt;0,IF(E1181&lt;=K1181,"OK","NG"),Blank),"-")</f>
        <v>#REF!</v>
      </c>
    </row>
    <row r="1182" spans="1:18" ht="15" hidden="1" x14ac:dyDescent="0.3">
      <c r="A1182" s="318" t="e">
        <f>#REF!</f>
        <v>#REF!</v>
      </c>
      <c r="B1182" s="305" t="e">
        <f>#REF!</f>
        <v>#REF!</v>
      </c>
      <c r="C1182" s="305" t="str">
        <f>'Danh sách máy'!C1225</f>
        <v>MKQC</v>
      </c>
      <c r="D1182" s="90" t="e">
        <f>#REF!</f>
        <v>#REF!</v>
      </c>
      <c r="E1182" s="97">
        <f>'Danh sách máy'!E1225</f>
        <v>0</v>
      </c>
      <c r="F1182" s="206" t="e">
        <f>#REF!</f>
        <v>#REF!</v>
      </c>
      <c r="G1182" s="102" t="e">
        <f>#REF!</f>
        <v>#REF!</v>
      </c>
      <c r="H1182" s="102" t="e">
        <f>#REF!</f>
        <v>#REF!</v>
      </c>
      <c r="K1182" s="210" t="e">
        <f>#REF!</f>
        <v>#REF!</v>
      </c>
      <c r="L1182" s="210">
        <v>45451</v>
      </c>
      <c r="M1182" s="210"/>
      <c r="N1182" s="210">
        <f>'Danh sách máy'!F1225</f>
        <v>0</v>
      </c>
      <c r="O1182" s="211" t="str" cm="1">
        <f t="array" ref="O1182">IF(L1182&lt;&gt;0,IF(L1182&lt;I1182,"OK","NG"),Blank)</f>
        <v>NG</v>
      </c>
      <c r="P1182" s="211" t="e" cm="1">
        <f t="array" ref="P1182">IF(M1182&lt;&gt;0,IF(M1182&lt;J1182,"OK","NG"),Blank)</f>
        <v>#NAME?</v>
      </c>
      <c r="Q1182" s="211" t="e" cm="1">
        <f t="array" ref="Q1182">IF(H1182&lt;&gt;"Stop",IF(N1182&lt;&gt;0,IF(N1182&lt;=K1182,"OK","NG"),Blank),"-")</f>
        <v>#REF!</v>
      </c>
      <c r="R1182" s="326" t="e" cm="1">
        <f t="array" ref="R1182">IF(H1182&lt;&gt;"Stop",IF(E1182&lt;&gt;0,IF(E1182&lt;=K1182,"OK","NG"),Blank),"-")</f>
        <v>#REF!</v>
      </c>
    </row>
    <row r="1183" spans="1:18" ht="15" hidden="1" x14ac:dyDescent="0.3">
      <c r="A1183" s="318" t="e">
        <f>#REF!</f>
        <v>#REF!</v>
      </c>
      <c r="B1183" s="305" t="e">
        <f>#REF!</f>
        <v>#REF!</v>
      </c>
      <c r="C1183" s="305" t="str">
        <f>'Danh sách máy'!C1226</f>
        <v>MKQC</v>
      </c>
      <c r="D1183" s="90" t="e">
        <f>#REF!</f>
        <v>#REF!</v>
      </c>
      <c r="E1183" s="97">
        <f>'Danh sách máy'!E1226</f>
        <v>0</v>
      </c>
      <c r="F1183" s="206" t="e">
        <f>#REF!</f>
        <v>#REF!</v>
      </c>
      <c r="G1183" s="102" t="e">
        <f>#REF!</f>
        <v>#REF!</v>
      </c>
      <c r="H1183" s="102" t="e">
        <f>#REF!</f>
        <v>#REF!</v>
      </c>
      <c r="K1183" s="210" t="e">
        <f>#REF!</f>
        <v>#REF!</v>
      </c>
      <c r="L1183" s="210">
        <v>45452</v>
      </c>
      <c r="M1183" s="210"/>
      <c r="N1183" s="210">
        <f>'Danh sách máy'!F1226</f>
        <v>0</v>
      </c>
      <c r="O1183" s="211" t="str" cm="1">
        <f t="array" ref="O1183">IF(L1183&lt;&gt;0,IF(L1183&lt;I1183,"OK","NG"),Blank)</f>
        <v>NG</v>
      </c>
      <c r="P1183" s="211" t="e" cm="1">
        <f t="array" ref="P1183">IF(M1183&lt;&gt;0,IF(M1183&lt;J1183,"OK","NG"),Blank)</f>
        <v>#NAME?</v>
      </c>
      <c r="Q1183" s="211" t="e" cm="1">
        <f t="array" ref="Q1183">IF(H1183&lt;&gt;"Stop",IF(N1183&lt;&gt;0,IF(N1183&lt;=K1183,"OK","NG"),Blank),"-")</f>
        <v>#REF!</v>
      </c>
      <c r="R1183" s="326" t="e" cm="1">
        <f t="array" ref="R1183">IF(H1183&lt;&gt;"Stop",IF(E1183&lt;&gt;0,IF(E1183&lt;=K1183,"OK","NG"),Blank),"-")</f>
        <v>#REF!</v>
      </c>
    </row>
    <row r="1184" spans="1:18" ht="15" hidden="1" x14ac:dyDescent="0.3">
      <c r="A1184" s="318" t="e">
        <f>#REF!</f>
        <v>#REF!</v>
      </c>
      <c r="B1184" s="305" t="e">
        <f>#REF!</f>
        <v>#REF!</v>
      </c>
      <c r="C1184" s="305" t="str">
        <f>'Danh sách máy'!C1227</f>
        <v>MKQC</v>
      </c>
      <c r="D1184" s="90" t="e">
        <f>#REF!</f>
        <v>#REF!</v>
      </c>
      <c r="E1184" s="97">
        <f>'Danh sách máy'!E1227</f>
        <v>0</v>
      </c>
      <c r="F1184" s="206" t="e">
        <f>#REF!</f>
        <v>#REF!</v>
      </c>
      <c r="G1184" s="102" t="e">
        <f>#REF!</f>
        <v>#REF!</v>
      </c>
      <c r="H1184" s="102" t="e">
        <f>#REF!</f>
        <v>#REF!</v>
      </c>
      <c r="K1184" s="210" t="e">
        <f>#REF!</f>
        <v>#REF!</v>
      </c>
      <c r="L1184" s="210">
        <v>45453</v>
      </c>
      <c r="M1184" s="210"/>
      <c r="N1184" s="210">
        <f>'Danh sách máy'!F1227</f>
        <v>0</v>
      </c>
      <c r="O1184" s="211" t="str" cm="1">
        <f t="array" ref="O1184">IF(L1184&lt;&gt;0,IF(L1184&lt;I1184,"OK","NG"),Blank)</f>
        <v>NG</v>
      </c>
      <c r="P1184" s="211" t="e" cm="1">
        <f t="array" ref="P1184">IF(M1184&lt;&gt;0,IF(M1184&lt;J1184,"OK","NG"),Blank)</f>
        <v>#NAME?</v>
      </c>
      <c r="Q1184" s="211" t="e" cm="1">
        <f t="array" ref="Q1184">IF(H1184&lt;&gt;"Stop",IF(N1184&lt;&gt;0,IF(N1184&lt;=K1184,"OK","NG"),Blank),"-")</f>
        <v>#REF!</v>
      </c>
      <c r="R1184" s="326" t="e" cm="1">
        <f t="array" ref="R1184">IF(H1184&lt;&gt;"Stop",IF(E1184&lt;&gt;0,IF(E1184&lt;=K1184,"OK","NG"),Blank),"-")</f>
        <v>#REF!</v>
      </c>
    </row>
    <row r="1185" spans="1:18" ht="15" hidden="1" x14ac:dyDescent="0.3">
      <c r="A1185" s="318" t="e">
        <f>#REF!</f>
        <v>#REF!</v>
      </c>
      <c r="B1185" s="305" t="e">
        <f>#REF!</f>
        <v>#REF!</v>
      </c>
      <c r="C1185" s="305" t="str">
        <f>'Danh sách máy'!C1228</f>
        <v>MKQC</v>
      </c>
      <c r="D1185" s="90" t="e">
        <f>#REF!</f>
        <v>#REF!</v>
      </c>
      <c r="E1185" s="97">
        <f>'Danh sách máy'!E1228</f>
        <v>0</v>
      </c>
      <c r="F1185" s="206" t="e">
        <f>#REF!</f>
        <v>#REF!</v>
      </c>
      <c r="G1185" s="102" t="e">
        <f>#REF!</f>
        <v>#REF!</v>
      </c>
      <c r="H1185" s="102" t="e">
        <f>#REF!</f>
        <v>#REF!</v>
      </c>
      <c r="K1185" s="210" t="e">
        <f>#REF!</f>
        <v>#REF!</v>
      </c>
      <c r="L1185" s="210">
        <v>45454</v>
      </c>
      <c r="M1185" s="210"/>
      <c r="N1185" s="210">
        <f>'Danh sách máy'!F1228</f>
        <v>0</v>
      </c>
      <c r="O1185" s="211" t="str" cm="1">
        <f t="array" ref="O1185">IF(L1185&lt;&gt;0,IF(L1185&lt;I1185,"OK","NG"),Blank)</f>
        <v>NG</v>
      </c>
      <c r="P1185" s="211" t="e" cm="1">
        <f t="array" ref="P1185">IF(M1185&lt;&gt;0,IF(M1185&lt;J1185,"OK","NG"),Blank)</f>
        <v>#NAME?</v>
      </c>
      <c r="Q1185" s="211" t="e" cm="1">
        <f t="array" ref="Q1185">IF(H1185&lt;&gt;"Stop",IF(N1185&lt;&gt;0,IF(N1185&lt;=K1185,"OK","NG"),Blank),"-")</f>
        <v>#REF!</v>
      </c>
      <c r="R1185" s="326" t="e" cm="1">
        <f t="array" ref="R1185">IF(H1185&lt;&gt;"Stop",IF(E1185&lt;&gt;0,IF(E1185&lt;=K1185,"OK","NG"),Blank),"-")</f>
        <v>#REF!</v>
      </c>
    </row>
    <row r="1186" spans="1:18" ht="15" hidden="1" x14ac:dyDescent="0.3">
      <c r="A1186" s="318" t="e">
        <f>#REF!</f>
        <v>#REF!</v>
      </c>
      <c r="B1186" s="305" t="e">
        <f>#REF!</f>
        <v>#REF!</v>
      </c>
      <c r="C1186" s="305" t="str">
        <f>'Danh sách máy'!C1229</f>
        <v>MKQC</v>
      </c>
      <c r="D1186" s="90" t="e">
        <f>#REF!</f>
        <v>#REF!</v>
      </c>
      <c r="E1186" s="97">
        <f>'Danh sách máy'!E1229</f>
        <v>0</v>
      </c>
      <c r="F1186" s="206" t="e">
        <f>#REF!</f>
        <v>#REF!</v>
      </c>
      <c r="G1186" s="102" t="e">
        <f>#REF!</f>
        <v>#REF!</v>
      </c>
      <c r="H1186" s="102" t="e">
        <f>#REF!</f>
        <v>#REF!</v>
      </c>
      <c r="K1186" s="210" t="e">
        <f>#REF!</f>
        <v>#REF!</v>
      </c>
      <c r="L1186" s="210">
        <v>45455</v>
      </c>
      <c r="M1186" s="210"/>
      <c r="N1186" s="210">
        <f>'Danh sách máy'!F1229</f>
        <v>0</v>
      </c>
      <c r="O1186" s="211" t="str" cm="1">
        <f t="array" ref="O1186">IF(L1186&lt;&gt;0,IF(L1186&lt;I1186,"OK","NG"),Blank)</f>
        <v>NG</v>
      </c>
      <c r="P1186" s="211" t="e" cm="1">
        <f t="array" ref="P1186">IF(M1186&lt;&gt;0,IF(M1186&lt;J1186,"OK","NG"),Blank)</f>
        <v>#NAME?</v>
      </c>
      <c r="Q1186" s="211" t="e" cm="1">
        <f t="array" ref="Q1186">IF(H1186&lt;&gt;"Stop",IF(N1186&lt;&gt;0,IF(N1186&lt;=K1186,"OK","NG"),Blank),"-")</f>
        <v>#REF!</v>
      </c>
      <c r="R1186" s="326" t="e" cm="1">
        <f t="array" ref="R1186">IF(H1186&lt;&gt;"Stop",IF(E1186&lt;&gt;0,IF(E1186&lt;=K1186,"OK","NG"),Blank),"-")</f>
        <v>#REF!</v>
      </c>
    </row>
    <row r="1187" spans="1:18" ht="15" hidden="1" x14ac:dyDescent="0.3">
      <c r="A1187" s="318" t="e">
        <f>#REF!</f>
        <v>#REF!</v>
      </c>
      <c r="B1187" s="305" t="e">
        <f>#REF!</f>
        <v>#REF!</v>
      </c>
      <c r="C1187" s="305" t="str">
        <f>'Danh sách máy'!C1230</f>
        <v>MKQC</v>
      </c>
      <c r="D1187" s="90" t="e">
        <f>#REF!</f>
        <v>#REF!</v>
      </c>
      <c r="E1187" s="97">
        <f>'Danh sách máy'!E1230</f>
        <v>0</v>
      </c>
      <c r="F1187" s="206" t="e">
        <f>#REF!</f>
        <v>#REF!</v>
      </c>
      <c r="G1187" s="102" t="e">
        <f>#REF!</f>
        <v>#REF!</v>
      </c>
      <c r="H1187" s="102" t="e">
        <f>#REF!</f>
        <v>#REF!</v>
      </c>
      <c r="K1187" s="210" t="e">
        <f>#REF!</f>
        <v>#REF!</v>
      </c>
      <c r="L1187" s="210">
        <v>45456</v>
      </c>
      <c r="M1187" s="210"/>
      <c r="N1187" s="210">
        <f>'Danh sách máy'!F1230</f>
        <v>0</v>
      </c>
      <c r="O1187" s="211" t="str" cm="1">
        <f t="array" ref="O1187">IF(L1187&lt;&gt;0,IF(L1187&lt;I1187,"OK","NG"),Blank)</f>
        <v>NG</v>
      </c>
      <c r="P1187" s="211" t="e" cm="1">
        <f t="array" ref="P1187">IF(M1187&lt;&gt;0,IF(M1187&lt;J1187,"OK","NG"),Blank)</f>
        <v>#NAME?</v>
      </c>
      <c r="Q1187" s="211" t="e" cm="1">
        <f t="array" ref="Q1187">IF(H1187&lt;&gt;"Stop",IF(N1187&lt;&gt;0,IF(N1187&lt;=K1187,"OK","NG"),Blank),"-")</f>
        <v>#REF!</v>
      </c>
      <c r="R1187" s="326" t="e" cm="1">
        <f t="array" ref="R1187">IF(H1187&lt;&gt;"Stop",IF(E1187&lt;&gt;0,IF(E1187&lt;=K1187,"OK","NG"),Blank),"-")</f>
        <v>#REF!</v>
      </c>
    </row>
    <row r="1188" spans="1:18" ht="15" hidden="1" x14ac:dyDescent="0.3">
      <c r="A1188" s="318" t="e">
        <f>#REF!</f>
        <v>#REF!</v>
      </c>
      <c r="B1188" s="305" t="e">
        <f>#REF!</f>
        <v>#REF!</v>
      </c>
      <c r="C1188" s="305" t="str">
        <f>'Danh sách máy'!C1231</f>
        <v>MKQC</v>
      </c>
      <c r="D1188" s="90" t="e">
        <f>#REF!</f>
        <v>#REF!</v>
      </c>
      <c r="E1188" s="97">
        <f>'Danh sách máy'!E1231</f>
        <v>0</v>
      </c>
      <c r="F1188" s="206" t="e">
        <f>#REF!</f>
        <v>#REF!</v>
      </c>
      <c r="G1188" s="102" t="e">
        <f>#REF!</f>
        <v>#REF!</v>
      </c>
      <c r="H1188" s="102" t="e">
        <f>#REF!</f>
        <v>#REF!</v>
      </c>
      <c r="K1188" s="210" t="e">
        <f>#REF!</f>
        <v>#REF!</v>
      </c>
      <c r="L1188" s="210">
        <v>45457</v>
      </c>
      <c r="M1188" s="210"/>
      <c r="N1188" s="210">
        <f>'Danh sách máy'!F1231</f>
        <v>0</v>
      </c>
      <c r="O1188" s="211" t="str" cm="1">
        <f t="array" ref="O1188">IF(L1188&lt;&gt;0,IF(L1188&lt;I1188,"OK","NG"),Blank)</f>
        <v>NG</v>
      </c>
      <c r="P1188" s="211" t="e" cm="1">
        <f t="array" ref="P1188">IF(M1188&lt;&gt;0,IF(M1188&lt;J1188,"OK","NG"),Blank)</f>
        <v>#NAME?</v>
      </c>
      <c r="Q1188" s="211" t="e" cm="1">
        <f t="array" ref="Q1188">IF(H1188&lt;&gt;"Stop",IF(N1188&lt;&gt;0,IF(N1188&lt;=K1188,"OK","NG"),Blank),"-")</f>
        <v>#REF!</v>
      </c>
      <c r="R1188" s="326" t="e" cm="1">
        <f t="array" ref="R1188">IF(H1188&lt;&gt;"Stop",IF(E1188&lt;&gt;0,IF(E1188&lt;=K1188,"OK","NG"),Blank),"-")</f>
        <v>#REF!</v>
      </c>
    </row>
    <row r="1189" spans="1:18" ht="15" hidden="1" x14ac:dyDescent="0.3">
      <c r="A1189" s="318" t="e">
        <f>#REF!</f>
        <v>#REF!</v>
      </c>
      <c r="B1189" s="305" t="e">
        <f>#REF!</f>
        <v>#REF!</v>
      </c>
      <c r="C1189" s="305" t="str">
        <f>'Danh sách máy'!C1232</f>
        <v>MKQC</v>
      </c>
      <c r="D1189" s="90" t="e">
        <f>#REF!</f>
        <v>#REF!</v>
      </c>
      <c r="E1189" s="97">
        <f>'Danh sách máy'!E1232</f>
        <v>0</v>
      </c>
      <c r="F1189" s="206" t="e">
        <f>#REF!</f>
        <v>#REF!</v>
      </c>
      <c r="G1189" s="102" t="e">
        <f>#REF!</f>
        <v>#REF!</v>
      </c>
      <c r="H1189" s="102" t="e">
        <f>#REF!</f>
        <v>#REF!</v>
      </c>
      <c r="K1189" s="210" t="e">
        <f>#REF!</f>
        <v>#REF!</v>
      </c>
      <c r="L1189" s="210">
        <v>45458</v>
      </c>
      <c r="M1189" s="210"/>
      <c r="N1189" s="210">
        <f>'Danh sách máy'!F1232</f>
        <v>0</v>
      </c>
      <c r="O1189" s="211" t="str" cm="1">
        <f t="array" ref="O1189">IF(L1189&lt;&gt;0,IF(L1189&lt;I1189,"OK","NG"),Blank)</f>
        <v>NG</v>
      </c>
      <c r="P1189" s="211" t="e" cm="1">
        <f t="array" ref="P1189">IF(M1189&lt;&gt;0,IF(M1189&lt;J1189,"OK","NG"),Blank)</f>
        <v>#NAME?</v>
      </c>
      <c r="Q1189" s="211" t="e" cm="1">
        <f t="array" ref="Q1189">IF(H1189&lt;&gt;"Stop",IF(N1189&lt;&gt;0,IF(N1189&lt;=K1189,"OK","NG"),Blank),"-")</f>
        <v>#REF!</v>
      </c>
      <c r="R1189" s="326" t="e" cm="1">
        <f t="array" ref="R1189">IF(H1189&lt;&gt;"Stop",IF(E1189&lt;&gt;0,IF(E1189&lt;=K1189,"OK","NG"),Blank),"-")</f>
        <v>#REF!</v>
      </c>
    </row>
    <row r="1190" spans="1:18" ht="15" hidden="1" x14ac:dyDescent="0.3">
      <c r="A1190" s="318" t="e">
        <f>#REF!</f>
        <v>#REF!</v>
      </c>
      <c r="B1190" s="305" t="e">
        <f>#REF!</f>
        <v>#REF!</v>
      </c>
      <c r="C1190" s="305" t="str">
        <f>'Danh sách máy'!C1233</f>
        <v>MKQC</v>
      </c>
      <c r="D1190" s="90" t="e">
        <f>#REF!</f>
        <v>#REF!</v>
      </c>
      <c r="E1190" s="97">
        <f>'Danh sách máy'!E1233</f>
        <v>0</v>
      </c>
      <c r="F1190" s="206" t="e">
        <f>#REF!</f>
        <v>#REF!</v>
      </c>
      <c r="G1190" s="102" t="e">
        <f>#REF!</f>
        <v>#REF!</v>
      </c>
      <c r="H1190" s="102" t="e">
        <f>#REF!</f>
        <v>#REF!</v>
      </c>
      <c r="K1190" s="210" t="e">
        <f>#REF!</f>
        <v>#REF!</v>
      </c>
      <c r="L1190" s="210">
        <v>45459</v>
      </c>
      <c r="M1190" s="210"/>
      <c r="N1190" s="210">
        <f>'Danh sách máy'!F1233</f>
        <v>0</v>
      </c>
      <c r="O1190" s="211" t="str" cm="1">
        <f t="array" ref="O1190">IF(L1190&lt;&gt;0,IF(L1190&lt;I1190,"OK","NG"),Blank)</f>
        <v>NG</v>
      </c>
      <c r="P1190" s="211" t="e" cm="1">
        <f t="array" ref="P1190">IF(M1190&lt;&gt;0,IF(M1190&lt;J1190,"OK","NG"),Blank)</f>
        <v>#NAME?</v>
      </c>
      <c r="Q1190" s="211" t="e" cm="1">
        <f t="array" ref="Q1190">IF(H1190&lt;&gt;"Stop",IF(N1190&lt;&gt;0,IF(N1190&lt;=K1190,"OK","NG"),Blank),"-")</f>
        <v>#REF!</v>
      </c>
      <c r="R1190" s="326" t="e" cm="1">
        <f t="array" ref="R1190">IF(H1190&lt;&gt;"Stop",IF(E1190&lt;&gt;0,IF(E1190&lt;=K1190,"OK","NG"),Blank),"-")</f>
        <v>#REF!</v>
      </c>
    </row>
    <row r="1191" spans="1:18" ht="15" hidden="1" x14ac:dyDescent="0.3">
      <c r="A1191" s="318" t="e">
        <f>#REF!</f>
        <v>#REF!</v>
      </c>
      <c r="B1191" s="305" t="e">
        <f>#REF!</f>
        <v>#REF!</v>
      </c>
      <c r="C1191" s="305" t="str">
        <f>'Danh sách máy'!C1234</f>
        <v>MKQC</v>
      </c>
      <c r="D1191" s="90" t="e">
        <f>#REF!</f>
        <v>#REF!</v>
      </c>
      <c r="E1191" s="97">
        <f>'Danh sách máy'!E1234</f>
        <v>0</v>
      </c>
      <c r="F1191" s="206" t="e">
        <f>#REF!</f>
        <v>#REF!</v>
      </c>
      <c r="G1191" s="102" t="e">
        <f>#REF!</f>
        <v>#REF!</v>
      </c>
      <c r="H1191" s="102" t="e">
        <f>#REF!</f>
        <v>#REF!</v>
      </c>
      <c r="K1191" s="210" t="e">
        <f>#REF!</f>
        <v>#REF!</v>
      </c>
      <c r="L1191" s="210">
        <v>45460</v>
      </c>
      <c r="M1191" s="210"/>
      <c r="N1191" s="210">
        <f>'Danh sách máy'!F1234</f>
        <v>0</v>
      </c>
      <c r="O1191" s="211" t="str" cm="1">
        <f t="array" ref="O1191">IF(L1191&lt;&gt;0,IF(L1191&lt;I1191,"OK","NG"),Blank)</f>
        <v>NG</v>
      </c>
      <c r="P1191" s="211" t="e" cm="1">
        <f t="array" ref="P1191">IF(M1191&lt;&gt;0,IF(M1191&lt;J1191,"OK","NG"),Blank)</f>
        <v>#NAME?</v>
      </c>
      <c r="Q1191" s="211" t="e" cm="1">
        <f t="array" ref="Q1191">IF(H1191&lt;&gt;"Stop",IF(N1191&lt;&gt;0,IF(N1191&lt;=K1191,"OK","NG"),Blank),"-")</f>
        <v>#REF!</v>
      </c>
      <c r="R1191" s="326" t="e" cm="1">
        <f t="array" ref="R1191">IF(H1191&lt;&gt;"Stop",IF(E1191&lt;&gt;0,IF(E1191&lt;=K1191,"OK","NG"),Blank),"-")</f>
        <v>#REF!</v>
      </c>
    </row>
    <row r="1192" spans="1:18" ht="15" hidden="1" x14ac:dyDescent="0.3">
      <c r="A1192" s="318" t="e">
        <f>#REF!</f>
        <v>#REF!</v>
      </c>
      <c r="B1192" s="305" t="e">
        <f>#REF!</f>
        <v>#REF!</v>
      </c>
      <c r="C1192" s="305" t="str">
        <f>'Danh sách máy'!C1235</f>
        <v>MKQC</v>
      </c>
      <c r="D1192" s="90" t="e">
        <f>#REF!</f>
        <v>#REF!</v>
      </c>
      <c r="E1192" s="97">
        <f>'Danh sách máy'!E1235</f>
        <v>0</v>
      </c>
      <c r="F1192" s="206" t="e">
        <f>#REF!</f>
        <v>#REF!</v>
      </c>
      <c r="G1192" s="102" t="e">
        <f>#REF!</f>
        <v>#REF!</v>
      </c>
      <c r="H1192" s="102" t="e">
        <f>#REF!</f>
        <v>#REF!</v>
      </c>
      <c r="K1192" s="210" t="e">
        <f>#REF!</f>
        <v>#REF!</v>
      </c>
      <c r="L1192" s="210">
        <v>45461</v>
      </c>
      <c r="M1192" s="210"/>
      <c r="N1192" s="210">
        <f>'Danh sách máy'!F1235</f>
        <v>0</v>
      </c>
      <c r="O1192" s="211" t="str" cm="1">
        <f t="array" ref="O1192">IF(L1192&lt;&gt;0,IF(L1192&lt;I1192,"OK","NG"),Blank)</f>
        <v>NG</v>
      </c>
      <c r="P1192" s="211" t="e" cm="1">
        <f t="array" ref="P1192">IF(M1192&lt;&gt;0,IF(M1192&lt;J1192,"OK","NG"),Blank)</f>
        <v>#NAME?</v>
      </c>
      <c r="Q1192" s="211" t="e" cm="1">
        <f t="array" ref="Q1192">IF(H1192&lt;&gt;"Stop",IF(N1192&lt;&gt;0,IF(N1192&lt;=K1192,"OK","NG"),Blank),"-")</f>
        <v>#REF!</v>
      </c>
      <c r="R1192" s="326" t="e" cm="1">
        <f t="array" ref="R1192">IF(H1192&lt;&gt;"Stop",IF(E1192&lt;&gt;0,IF(E1192&lt;=K1192,"OK","NG"),Blank),"-")</f>
        <v>#REF!</v>
      </c>
    </row>
    <row r="1193" spans="1:18" ht="15" hidden="1" x14ac:dyDescent="0.3">
      <c r="A1193" s="318" t="e">
        <f>#REF!</f>
        <v>#REF!</v>
      </c>
      <c r="B1193" s="305" t="e">
        <f>#REF!</f>
        <v>#REF!</v>
      </c>
      <c r="C1193" s="305" t="str">
        <f>'Danh sách máy'!C1236</f>
        <v>MKQC</v>
      </c>
      <c r="D1193" s="90" t="e">
        <f>#REF!</f>
        <v>#REF!</v>
      </c>
      <c r="E1193" s="97">
        <f>'Danh sách máy'!E1236</f>
        <v>0</v>
      </c>
      <c r="F1193" s="206" t="e">
        <f>#REF!</f>
        <v>#REF!</v>
      </c>
      <c r="G1193" s="102" t="e">
        <f>#REF!</f>
        <v>#REF!</v>
      </c>
      <c r="H1193" s="102" t="e">
        <f>#REF!</f>
        <v>#REF!</v>
      </c>
      <c r="K1193" s="210" t="e">
        <f>#REF!</f>
        <v>#REF!</v>
      </c>
      <c r="L1193" s="210">
        <v>45462</v>
      </c>
      <c r="M1193" s="210"/>
      <c r="N1193" s="210">
        <f>'Danh sách máy'!F1236</f>
        <v>0</v>
      </c>
      <c r="O1193" s="211" t="str" cm="1">
        <f t="array" ref="O1193">IF(L1193&lt;&gt;0,IF(L1193&lt;I1193,"OK","NG"),Blank)</f>
        <v>NG</v>
      </c>
      <c r="P1193" s="211" t="e" cm="1">
        <f t="array" ref="P1193">IF(M1193&lt;&gt;0,IF(M1193&lt;J1193,"OK","NG"),Blank)</f>
        <v>#NAME?</v>
      </c>
      <c r="Q1193" s="211" t="e" cm="1">
        <f t="array" ref="Q1193">IF(H1193&lt;&gt;"Stop",IF(N1193&lt;&gt;0,IF(N1193&lt;=K1193,"OK","NG"),Blank),"-")</f>
        <v>#REF!</v>
      </c>
      <c r="R1193" s="326" t="e" cm="1">
        <f t="array" ref="R1193">IF(H1193&lt;&gt;"Stop",IF(E1193&lt;&gt;0,IF(E1193&lt;=K1193,"OK","NG"),Blank),"-")</f>
        <v>#REF!</v>
      </c>
    </row>
    <row r="1194" spans="1:18" ht="15" hidden="1" x14ac:dyDescent="0.3">
      <c r="A1194" s="318" t="e">
        <f>#REF!</f>
        <v>#REF!</v>
      </c>
      <c r="B1194" s="305" t="e">
        <f>#REF!</f>
        <v>#REF!</v>
      </c>
      <c r="C1194" s="305" t="str">
        <f>'Danh sách máy'!C1237</f>
        <v>MKQC</v>
      </c>
      <c r="D1194" s="90" t="e">
        <f>#REF!</f>
        <v>#REF!</v>
      </c>
      <c r="E1194" s="97">
        <f>'Danh sách máy'!E1237</f>
        <v>0</v>
      </c>
      <c r="F1194" s="206" t="e">
        <f>#REF!</f>
        <v>#REF!</v>
      </c>
      <c r="G1194" s="102" t="e">
        <f>#REF!</f>
        <v>#REF!</v>
      </c>
      <c r="H1194" s="102" t="e">
        <f>#REF!</f>
        <v>#REF!</v>
      </c>
      <c r="K1194" s="210" t="e">
        <f>#REF!</f>
        <v>#REF!</v>
      </c>
      <c r="L1194" s="210">
        <v>45463</v>
      </c>
      <c r="M1194" s="210"/>
      <c r="N1194" s="210">
        <f>'Danh sách máy'!F1237</f>
        <v>0</v>
      </c>
      <c r="O1194" s="211" t="str" cm="1">
        <f t="array" ref="O1194">IF(L1194&lt;&gt;0,IF(L1194&lt;I1194,"OK","NG"),Blank)</f>
        <v>NG</v>
      </c>
      <c r="P1194" s="211" t="e" cm="1">
        <f t="array" ref="P1194">IF(M1194&lt;&gt;0,IF(M1194&lt;J1194,"OK","NG"),Blank)</f>
        <v>#NAME?</v>
      </c>
      <c r="Q1194" s="211" t="e" cm="1">
        <f t="array" ref="Q1194">IF(H1194&lt;&gt;"Stop",IF(N1194&lt;&gt;0,IF(N1194&lt;=K1194,"OK","NG"),Blank),"-")</f>
        <v>#REF!</v>
      </c>
      <c r="R1194" s="326" t="e" cm="1">
        <f t="array" ref="R1194">IF(H1194&lt;&gt;"Stop",IF(E1194&lt;&gt;0,IF(E1194&lt;=K1194,"OK","NG"),Blank),"-")</f>
        <v>#REF!</v>
      </c>
    </row>
    <row r="1195" spans="1:18" ht="15" hidden="1" x14ac:dyDescent="0.3">
      <c r="A1195" s="318" t="e">
        <f>#REF!</f>
        <v>#REF!</v>
      </c>
      <c r="B1195" s="305" t="e">
        <f>#REF!</f>
        <v>#REF!</v>
      </c>
      <c r="C1195" s="305" t="str">
        <f>'Danh sách máy'!C1238</f>
        <v>MKQC</v>
      </c>
      <c r="D1195" s="90" t="e">
        <f>#REF!</f>
        <v>#REF!</v>
      </c>
      <c r="E1195" s="97">
        <f>'Danh sách máy'!E1238</f>
        <v>0</v>
      </c>
      <c r="F1195" s="206" t="e">
        <f>#REF!</f>
        <v>#REF!</v>
      </c>
      <c r="G1195" s="102" t="e">
        <f>#REF!</f>
        <v>#REF!</v>
      </c>
      <c r="H1195" s="102" t="e">
        <f>#REF!</f>
        <v>#REF!</v>
      </c>
      <c r="K1195" s="210" t="e">
        <f>#REF!</f>
        <v>#REF!</v>
      </c>
      <c r="L1195" s="210">
        <v>45464</v>
      </c>
      <c r="M1195" s="210"/>
      <c r="N1195" s="210">
        <f>'Danh sách máy'!F1238</f>
        <v>0</v>
      </c>
      <c r="O1195" s="211" t="str" cm="1">
        <f t="array" ref="O1195">IF(L1195&lt;&gt;0,IF(L1195&lt;I1195,"OK","NG"),Blank)</f>
        <v>NG</v>
      </c>
      <c r="P1195" s="211" t="e" cm="1">
        <f t="array" ref="P1195">IF(M1195&lt;&gt;0,IF(M1195&lt;J1195,"OK","NG"),Blank)</f>
        <v>#NAME?</v>
      </c>
      <c r="Q1195" s="211" t="e" cm="1">
        <f t="array" ref="Q1195">IF(H1195&lt;&gt;"Stop",IF(N1195&lt;&gt;0,IF(N1195&lt;=K1195,"OK","NG"),Blank),"-")</f>
        <v>#REF!</v>
      </c>
      <c r="R1195" s="326" t="e" cm="1">
        <f t="array" ref="R1195">IF(H1195&lt;&gt;"Stop",IF(E1195&lt;&gt;0,IF(E1195&lt;=K1195,"OK","NG"),Blank),"-")</f>
        <v>#REF!</v>
      </c>
    </row>
    <row r="1196" spans="1:18" ht="15" hidden="1" x14ac:dyDescent="0.3">
      <c r="A1196" s="318" t="e">
        <f>#REF!</f>
        <v>#REF!</v>
      </c>
      <c r="B1196" s="305" t="e">
        <f>#REF!</f>
        <v>#REF!</v>
      </c>
      <c r="C1196" s="305" t="str">
        <f>'Danh sách máy'!C1239</f>
        <v>MKQC</v>
      </c>
      <c r="D1196" s="90" t="e">
        <f>#REF!</f>
        <v>#REF!</v>
      </c>
      <c r="E1196" s="97">
        <f>'Danh sách máy'!E1239</f>
        <v>0</v>
      </c>
      <c r="F1196" s="206" t="e">
        <f>#REF!</f>
        <v>#REF!</v>
      </c>
      <c r="G1196" s="102" t="e">
        <f>#REF!</f>
        <v>#REF!</v>
      </c>
      <c r="H1196" s="102" t="e">
        <f>#REF!</f>
        <v>#REF!</v>
      </c>
      <c r="K1196" s="210" t="e">
        <f>#REF!</f>
        <v>#REF!</v>
      </c>
      <c r="L1196" s="210">
        <v>45465</v>
      </c>
      <c r="M1196" s="210"/>
      <c r="N1196" s="210">
        <f>'Danh sách máy'!F1239</f>
        <v>0</v>
      </c>
      <c r="O1196" s="211" t="str" cm="1">
        <f t="array" ref="O1196">IF(L1196&lt;&gt;0,IF(L1196&lt;I1196,"OK","NG"),Blank)</f>
        <v>NG</v>
      </c>
      <c r="P1196" s="211" t="e" cm="1">
        <f t="array" ref="P1196">IF(M1196&lt;&gt;0,IF(M1196&lt;J1196,"OK","NG"),Blank)</f>
        <v>#NAME?</v>
      </c>
      <c r="Q1196" s="211" t="e" cm="1">
        <f t="array" ref="Q1196">IF(H1196&lt;&gt;"Stop",IF(N1196&lt;&gt;0,IF(N1196&lt;=K1196,"OK","NG"),Blank),"-")</f>
        <v>#REF!</v>
      </c>
      <c r="R1196" s="326" t="e" cm="1">
        <f t="array" ref="R1196">IF(H1196&lt;&gt;"Stop",IF(E1196&lt;&gt;0,IF(E1196&lt;=K1196,"OK","NG"),Blank),"-")</f>
        <v>#REF!</v>
      </c>
    </row>
    <row r="1197" spans="1:18" ht="15" hidden="1" x14ac:dyDescent="0.3">
      <c r="A1197" s="318" t="e">
        <f>#REF!</f>
        <v>#REF!</v>
      </c>
      <c r="B1197" s="305" t="e">
        <f>#REF!</f>
        <v>#REF!</v>
      </c>
      <c r="C1197" s="305" t="str">
        <f>'Danh sách máy'!C1240</f>
        <v>MKQC</v>
      </c>
      <c r="D1197" s="90" t="e">
        <f>#REF!</f>
        <v>#REF!</v>
      </c>
      <c r="E1197" s="97">
        <f>'Danh sách máy'!E1240</f>
        <v>0</v>
      </c>
      <c r="F1197" s="206" t="e">
        <f>#REF!</f>
        <v>#REF!</v>
      </c>
      <c r="G1197" s="102" t="e">
        <f>#REF!</f>
        <v>#REF!</v>
      </c>
      <c r="H1197" s="102" t="e">
        <f>#REF!</f>
        <v>#REF!</v>
      </c>
      <c r="K1197" s="210" t="e">
        <f>#REF!</f>
        <v>#REF!</v>
      </c>
      <c r="L1197" s="210">
        <v>45466</v>
      </c>
      <c r="M1197" s="210"/>
      <c r="N1197" s="210">
        <f>'Danh sách máy'!F1240</f>
        <v>0</v>
      </c>
      <c r="O1197" s="211" t="str" cm="1">
        <f t="array" ref="O1197">IF(L1197&lt;&gt;0,IF(L1197&lt;I1197,"OK","NG"),Blank)</f>
        <v>NG</v>
      </c>
      <c r="P1197" s="211" t="e" cm="1">
        <f t="array" ref="P1197">IF(M1197&lt;&gt;0,IF(M1197&lt;J1197,"OK","NG"),Blank)</f>
        <v>#NAME?</v>
      </c>
      <c r="Q1197" s="211" t="e" cm="1">
        <f t="array" ref="Q1197">IF(H1197&lt;&gt;"Stop",IF(N1197&lt;&gt;0,IF(N1197&lt;=K1197,"OK","NG"),Blank),"-")</f>
        <v>#REF!</v>
      </c>
      <c r="R1197" s="326" t="e" cm="1">
        <f t="array" ref="R1197">IF(H1197&lt;&gt;"Stop",IF(E1197&lt;&gt;0,IF(E1197&lt;=K1197,"OK","NG"),Blank),"-")</f>
        <v>#REF!</v>
      </c>
    </row>
    <row r="1198" spans="1:18" ht="15" hidden="1" x14ac:dyDescent="0.3">
      <c r="A1198" s="318" t="e">
        <f>#REF!</f>
        <v>#REF!</v>
      </c>
      <c r="B1198" s="305" t="e">
        <f>#REF!</f>
        <v>#REF!</v>
      </c>
      <c r="C1198" s="305" t="str">
        <f>'Danh sách máy'!C1241</f>
        <v>MKQC</v>
      </c>
      <c r="D1198" s="90" t="e">
        <f>#REF!</f>
        <v>#REF!</v>
      </c>
      <c r="E1198" s="97">
        <f>'Danh sách máy'!E1241</f>
        <v>0</v>
      </c>
      <c r="F1198" s="206" t="e">
        <f>#REF!</f>
        <v>#REF!</v>
      </c>
      <c r="G1198" s="102" t="e">
        <f>#REF!</f>
        <v>#REF!</v>
      </c>
      <c r="H1198" s="102" t="e">
        <f>#REF!</f>
        <v>#REF!</v>
      </c>
      <c r="K1198" s="210" t="e">
        <f>#REF!</f>
        <v>#REF!</v>
      </c>
      <c r="L1198" s="210">
        <v>45467</v>
      </c>
      <c r="M1198" s="210"/>
      <c r="N1198" s="210">
        <f>'Danh sách máy'!F1241</f>
        <v>0</v>
      </c>
      <c r="O1198" s="211" t="str" cm="1">
        <f t="array" ref="O1198">IF(L1198&lt;&gt;0,IF(L1198&lt;I1198,"OK","NG"),Blank)</f>
        <v>NG</v>
      </c>
      <c r="P1198" s="211" t="e" cm="1">
        <f t="array" ref="P1198">IF(M1198&lt;&gt;0,IF(M1198&lt;J1198,"OK","NG"),Blank)</f>
        <v>#NAME?</v>
      </c>
      <c r="Q1198" s="211" t="e" cm="1">
        <f t="array" ref="Q1198">IF(H1198&lt;&gt;"Stop",IF(N1198&lt;&gt;0,IF(N1198&lt;=K1198,"OK","NG"),Blank),"-")</f>
        <v>#REF!</v>
      </c>
      <c r="R1198" s="326" t="e" cm="1">
        <f t="array" ref="R1198">IF(H1198&lt;&gt;"Stop",IF(E1198&lt;&gt;0,IF(E1198&lt;=K1198,"OK","NG"),Blank),"-")</f>
        <v>#REF!</v>
      </c>
    </row>
    <row r="1199" spans="1:18" ht="15" hidden="1" x14ac:dyDescent="0.3">
      <c r="A1199" s="318" t="e">
        <f>#REF!</f>
        <v>#REF!</v>
      </c>
      <c r="B1199" s="305" t="e">
        <f>#REF!</f>
        <v>#REF!</v>
      </c>
      <c r="C1199" s="305" t="str">
        <f>'Danh sách máy'!C1242</f>
        <v>MKQC</v>
      </c>
      <c r="D1199" s="90" t="e">
        <f>#REF!</f>
        <v>#REF!</v>
      </c>
      <c r="E1199" s="97">
        <f>'Danh sách máy'!E1242</f>
        <v>0</v>
      </c>
      <c r="F1199" s="206" t="e">
        <f>#REF!</f>
        <v>#REF!</v>
      </c>
      <c r="G1199" s="102" t="e">
        <f>#REF!</f>
        <v>#REF!</v>
      </c>
      <c r="H1199" s="102" t="e">
        <f>#REF!</f>
        <v>#REF!</v>
      </c>
      <c r="K1199" s="210" t="e">
        <f>#REF!</f>
        <v>#REF!</v>
      </c>
      <c r="L1199" s="210">
        <v>45468</v>
      </c>
      <c r="M1199" s="210"/>
      <c r="N1199" s="210">
        <f>'Danh sách máy'!F1242</f>
        <v>0</v>
      </c>
      <c r="O1199" s="211" t="str" cm="1">
        <f t="array" ref="O1199">IF(L1199&lt;&gt;0,IF(L1199&lt;I1199,"OK","NG"),Blank)</f>
        <v>NG</v>
      </c>
      <c r="P1199" s="211" t="e" cm="1">
        <f t="array" ref="P1199">IF(M1199&lt;&gt;0,IF(M1199&lt;J1199,"OK","NG"),Blank)</f>
        <v>#NAME?</v>
      </c>
      <c r="Q1199" s="211" t="e" cm="1">
        <f t="array" ref="Q1199">IF(H1199&lt;&gt;"Stop",IF(N1199&lt;&gt;0,IF(N1199&lt;=K1199,"OK","NG"),Blank),"-")</f>
        <v>#REF!</v>
      </c>
      <c r="R1199" s="326" t="e" cm="1">
        <f t="array" ref="R1199">IF(H1199&lt;&gt;"Stop",IF(E1199&lt;&gt;0,IF(E1199&lt;=K1199,"OK","NG"),Blank),"-")</f>
        <v>#REF!</v>
      </c>
    </row>
    <row r="1200" spans="1:18" ht="15" hidden="1" x14ac:dyDescent="0.3">
      <c r="A1200" s="318" t="e">
        <f>#REF!</f>
        <v>#REF!</v>
      </c>
      <c r="B1200" s="305" t="e">
        <f>#REF!</f>
        <v>#REF!</v>
      </c>
      <c r="C1200" s="305" t="str">
        <f>'Danh sách máy'!C1243</f>
        <v>MKQC</v>
      </c>
      <c r="D1200" s="90" t="e">
        <f>#REF!</f>
        <v>#REF!</v>
      </c>
      <c r="E1200" s="97">
        <f>'Danh sách máy'!E1243</f>
        <v>0</v>
      </c>
      <c r="F1200" s="206" t="e">
        <f>#REF!</f>
        <v>#REF!</v>
      </c>
      <c r="G1200" s="102" t="e">
        <f>#REF!</f>
        <v>#REF!</v>
      </c>
      <c r="H1200" s="102" t="e">
        <f>#REF!</f>
        <v>#REF!</v>
      </c>
      <c r="K1200" s="210" t="e">
        <f>#REF!</f>
        <v>#REF!</v>
      </c>
      <c r="L1200" s="210">
        <v>45469</v>
      </c>
      <c r="M1200" s="210"/>
      <c r="N1200" s="210">
        <f>'Danh sách máy'!F1243</f>
        <v>0</v>
      </c>
      <c r="O1200" s="211" t="str" cm="1">
        <f t="array" ref="O1200">IF(L1200&lt;&gt;0,IF(L1200&lt;I1200,"OK","NG"),Blank)</f>
        <v>NG</v>
      </c>
      <c r="P1200" s="211" t="e" cm="1">
        <f t="array" ref="P1200">IF(M1200&lt;&gt;0,IF(M1200&lt;J1200,"OK","NG"),Blank)</f>
        <v>#NAME?</v>
      </c>
      <c r="Q1200" s="211" t="e" cm="1">
        <f t="array" ref="Q1200">IF(H1200&lt;&gt;"Stop",IF(N1200&lt;&gt;0,IF(N1200&lt;=K1200,"OK","NG"),Blank),"-")</f>
        <v>#REF!</v>
      </c>
      <c r="R1200" s="326" t="e" cm="1">
        <f t="array" ref="R1200">IF(H1200&lt;&gt;"Stop",IF(E1200&lt;&gt;0,IF(E1200&lt;=K1200,"OK","NG"),Blank),"-")</f>
        <v>#REF!</v>
      </c>
    </row>
    <row r="1201" spans="1:18" ht="15" hidden="1" x14ac:dyDescent="0.3">
      <c r="A1201" s="318" t="e">
        <f>#REF!</f>
        <v>#REF!</v>
      </c>
      <c r="B1201" s="305" t="e">
        <f>#REF!</f>
        <v>#REF!</v>
      </c>
      <c r="C1201" s="305" t="str">
        <f>'Danh sách máy'!C1244</f>
        <v>MKQC</v>
      </c>
      <c r="D1201" s="90" t="e">
        <f>#REF!</f>
        <v>#REF!</v>
      </c>
      <c r="E1201" s="97">
        <f>'Danh sách máy'!E1244</f>
        <v>0</v>
      </c>
      <c r="F1201" s="206" t="e">
        <f>#REF!</f>
        <v>#REF!</v>
      </c>
      <c r="G1201" s="102" t="e">
        <f>#REF!</f>
        <v>#REF!</v>
      </c>
      <c r="H1201" s="102" t="e">
        <f>#REF!</f>
        <v>#REF!</v>
      </c>
      <c r="K1201" s="210" t="e">
        <f>#REF!</f>
        <v>#REF!</v>
      </c>
      <c r="L1201" s="210">
        <v>45470</v>
      </c>
      <c r="M1201" s="210"/>
      <c r="N1201" s="210">
        <f>'Danh sách máy'!F1244</f>
        <v>0</v>
      </c>
      <c r="O1201" s="211" t="str" cm="1">
        <f t="array" ref="O1201">IF(L1201&lt;&gt;0,IF(L1201&lt;I1201,"OK","NG"),Blank)</f>
        <v>NG</v>
      </c>
      <c r="P1201" s="211" t="e" cm="1">
        <f t="array" ref="P1201">IF(M1201&lt;&gt;0,IF(M1201&lt;J1201,"OK","NG"),Blank)</f>
        <v>#NAME?</v>
      </c>
      <c r="Q1201" s="211" t="e" cm="1">
        <f t="array" ref="Q1201">IF(H1201&lt;&gt;"Stop",IF(N1201&lt;&gt;0,IF(N1201&lt;=K1201,"OK","NG"),Blank),"-")</f>
        <v>#REF!</v>
      </c>
      <c r="R1201" s="326" t="e" cm="1">
        <f t="array" ref="R1201">IF(H1201&lt;&gt;"Stop",IF(E1201&lt;&gt;0,IF(E1201&lt;=K1201,"OK","NG"),Blank),"-")</f>
        <v>#REF!</v>
      </c>
    </row>
    <row r="1202" spans="1:18" ht="15" hidden="1" x14ac:dyDescent="0.3">
      <c r="A1202" s="318" t="e">
        <f>#REF!</f>
        <v>#REF!</v>
      </c>
      <c r="B1202" s="305" t="e">
        <f>#REF!</f>
        <v>#REF!</v>
      </c>
      <c r="C1202" s="305" t="str">
        <f>'Danh sách máy'!C1245</f>
        <v>MKQC</v>
      </c>
      <c r="D1202" s="90" t="e">
        <f>#REF!</f>
        <v>#REF!</v>
      </c>
      <c r="E1202" s="97">
        <f>'Danh sách máy'!E1245</f>
        <v>0</v>
      </c>
      <c r="F1202" s="206" t="e">
        <f>#REF!</f>
        <v>#REF!</v>
      </c>
      <c r="G1202" s="102" t="e">
        <f>#REF!</f>
        <v>#REF!</v>
      </c>
      <c r="H1202" s="102" t="e">
        <f>#REF!</f>
        <v>#REF!</v>
      </c>
      <c r="K1202" s="210" t="e">
        <f>#REF!</f>
        <v>#REF!</v>
      </c>
      <c r="L1202" s="210">
        <v>45471</v>
      </c>
      <c r="M1202" s="210"/>
      <c r="N1202" s="210">
        <f>'Danh sách máy'!F1245</f>
        <v>0</v>
      </c>
      <c r="O1202" s="211" t="str" cm="1">
        <f t="array" ref="O1202">IF(L1202&lt;&gt;0,IF(L1202&lt;I1202,"OK","NG"),Blank)</f>
        <v>NG</v>
      </c>
      <c r="P1202" s="211" t="e" cm="1">
        <f t="array" ref="P1202">IF(M1202&lt;&gt;0,IF(M1202&lt;J1202,"OK","NG"),Blank)</f>
        <v>#NAME?</v>
      </c>
      <c r="Q1202" s="211" t="e" cm="1">
        <f t="array" ref="Q1202">IF(H1202&lt;&gt;"Stop",IF(N1202&lt;&gt;0,IF(N1202&lt;=K1202,"OK","NG"),Blank),"-")</f>
        <v>#REF!</v>
      </c>
      <c r="R1202" s="326" t="e" cm="1">
        <f t="array" ref="R1202">IF(H1202&lt;&gt;"Stop",IF(E1202&lt;&gt;0,IF(E1202&lt;=K1202,"OK","NG"),Blank),"-")</f>
        <v>#REF!</v>
      </c>
    </row>
    <row r="1203" spans="1:18" ht="15" hidden="1" x14ac:dyDescent="0.3">
      <c r="A1203" s="318" t="e">
        <f>#REF!</f>
        <v>#REF!</v>
      </c>
      <c r="B1203" s="305" t="e">
        <f>#REF!</f>
        <v>#REF!</v>
      </c>
      <c r="C1203" s="305" t="str">
        <f>'Danh sách máy'!C1246</f>
        <v>MKQC</v>
      </c>
      <c r="D1203" s="90" t="e">
        <f>#REF!</f>
        <v>#REF!</v>
      </c>
      <c r="E1203" s="97">
        <f>'Danh sách máy'!E1246</f>
        <v>0</v>
      </c>
      <c r="F1203" s="206" t="e">
        <f>#REF!</f>
        <v>#REF!</v>
      </c>
      <c r="G1203" s="102" t="e">
        <f>#REF!</f>
        <v>#REF!</v>
      </c>
      <c r="H1203" s="102" t="e">
        <f>#REF!</f>
        <v>#REF!</v>
      </c>
      <c r="K1203" s="210" t="e">
        <f>#REF!</f>
        <v>#REF!</v>
      </c>
      <c r="L1203" s="210">
        <v>45472</v>
      </c>
      <c r="M1203" s="210"/>
      <c r="N1203" s="210">
        <f>'Danh sách máy'!F1246</f>
        <v>0</v>
      </c>
      <c r="O1203" s="211" t="str" cm="1">
        <f t="array" ref="O1203">IF(L1203&lt;&gt;0,IF(L1203&lt;I1203,"OK","NG"),Blank)</f>
        <v>NG</v>
      </c>
      <c r="P1203" s="211" t="e" cm="1">
        <f t="array" ref="P1203">IF(M1203&lt;&gt;0,IF(M1203&lt;J1203,"OK","NG"),Blank)</f>
        <v>#NAME?</v>
      </c>
      <c r="Q1203" s="211" t="e" cm="1">
        <f t="array" ref="Q1203">IF(H1203&lt;&gt;"Stop",IF(N1203&lt;&gt;0,IF(N1203&lt;=K1203,"OK","NG"),Blank),"-")</f>
        <v>#REF!</v>
      </c>
      <c r="R1203" s="326" t="e" cm="1">
        <f t="array" ref="R1203">IF(H1203&lt;&gt;"Stop",IF(E1203&lt;&gt;0,IF(E1203&lt;=K1203,"OK","NG"),Blank),"-")</f>
        <v>#REF!</v>
      </c>
    </row>
    <row r="1204" spans="1:18" ht="15" hidden="1" x14ac:dyDescent="0.3">
      <c r="A1204" s="318" t="e">
        <f>#REF!</f>
        <v>#REF!</v>
      </c>
      <c r="B1204" s="305" t="e">
        <f>#REF!</f>
        <v>#REF!</v>
      </c>
      <c r="C1204" s="305" t="str">
        <f>'Danh sách máy'!C1247</f>
        <v>MKQC</v>
      </c>
      <c r="D1204" s="90" t="e">
        <f>#REF!</f>
        <v>#REF!</v>
      </c>
      <c r="E1204" s="97">
        <f>'Danh sách máy'!E1247</f>
        <v>0</v>
      </c>
      <c r="F1204" s="206" t="e">
        <f>#REF!</f>
        <v>#REF!</v>
      </c>
      <c r="G1204" s="102" t="e">
        <f>#REF!</f>
        <v>#REF!</v>
      </c>
      <c r="H1204" s="102" t="e">
        <f>#REF!</f>
        <v>#REF!</v>
      </c>
      <c r="K1204" s="210" t="e">
        <f>#REF!</f>
        <v>#REF!</v>
      </c>
      <c r="L1204" s="210">
        <v>45473</v>
      </c>
      <c r="M1204" s="210"/>
      <c r="N1204" s="210">
        <f>'Danh sách máy'!F1247</f>
        <v>0</v>
      </c>
      <c r="O1204" s="211" t="str" cm="1">
        <f t="array" ref="O1204">IF(L1204&lt;&gt;0,IF(L1204&lt;I1204,"OK","NG"),Blank)</f>
        <v>NG</v>
      </c>
      <c r="P1204" s="211" t="e" cm="1">
        <f t="array" ref="P1204">IF(M1204&lt;&gt;0,IF(M1204&lt;J1204,"OK","NG"),Blank)</f>
        <v>#NAME?</v>
      </c>
      <c r="Q1204" s="211" t="e" cm="1">
        <f t="array" ref="Q1204">IF(H1204&lt;&gt;"Stop",IF(N1204&lt;&gt;0,IF(N1204&lt;=K1204,"OK","NG"),Blank),"-")</f>
        <v>#REF!</v>
      </c>
      <c r="R1204" s="326" t="e" cm="1">
        <f t="array" ref="R1204">IF(H1204&lt;&gt;"Stop",IF(E1204&lt;&gt;0,IF(E1204&lt;=K1204,"OK","NG"),Blank),"-")</f>
        <v>#REF!</v>
      </c>
    </row>
    <row r="1205" spans="1:18" ht="15" hidden="1" x14ac:dyDescent="0.3">
      <c r="A1205" s="318" t="e">
        <f>#REF!</f>
        <v>#REF!</v>
      </c>
      <c r="B1205" s="305" t="e">
        <f>#REF!</f>
        <v>#REF!</v>
      </c>
      <c r="C1205" s="305" t="str">
        <f>'Danh sách máy'!C1248</f>
        <v>MKQC</v>
      </c>
      <c r="D1205" s="90" t="e">
        <f>#REF!</f>
        <v>#REF!</v>
      </c>
      <c r="E1205" s="97">
        <f>'Danh sách máy'!E1248</f>
        <v>0</v>
      </c>
      <c r="F1205" s="206" t="e">
        <f>#REF!</f>
        <v>#REF!</v>
      </c>
      <c r="G1205" s="102" t="e">
        <f>#REF!</f>
        <v>#REF!</v>
      </c>
      <c r="H1205" s="102" t="e">
        <f>#REF!</f>
        <v>#REF!</v>
      </c>
      <c r="K1205" s="210" t="e">
        <f>#REF!</f>
        <v>#REF!</v>
      </c>
      <c r="L1205" s="210">
        <v>45474</v>
      </c>
      <c r="M1205" s="210"/>
      <c r="N1205" s="210">
        <f>'Danh sách máy'!F1248</f>
        <v>0</v>
      </c>
      <c r="O1205" s="211" t="str" cm="1">
        <f t="array" ref="O1205">IF(L1205&lt;&gt;0,IF(L1205&lt;I1205,"OK","NG"),Blank)</f>
        <v>NG</v>
      </c>
      <c r="P1205" s="211" t="e" cm="1">
        <f t="array" ref="P1205">IF(M1205&lt;&gt;0,IF(M1205&lt;J1205,"OK","NG"),Blank)</f>
        <v>#NAME?</v>
      </c>
      <c r="Q1205" s="211" t="e" cm="1">
        <f t="array" ref="Q1205">IF(H1205&lt;&gt;"Stop",IF(N1205&lt;&gt;0,IF(N1205&lt;=K1205,"OK","NG"),Blank),"-")</f>
        <v>#REF!</v>
      </c>
      <c r="R1205" s="326" t="e" cm="1">
        <f t="array" ref="R1205">IF(H1205&lt;&gt;"Stop",IF(E1205&lt;&gt;0,IF(E1205&lt;=K1205,"OK","NG"),Blank),"-")</f>
        <v>#REF!</v>
      </c>
    </row>
    <row r="1206" spans="1:18" ht="15" hidden="1" x14ac:dyDescent="0.3">
      <c r="A1206" s="318" t="e">
        <f>#REF!</f>
        <v>#REF!</v>
      </c>
      <c r="B1206" s="305" t="e">
        <f>#REF!</f>
        <v>#REF!</v>
      </c>
      <c r="C1206" s="305" t="str">
        <f>'Danh sách máy'!C1249</f>
        <v>MKQC</v>
      </c>
      <c r="D1206" s="90" t="e">
        <f>#REF!</f>
        <v>#REF!</v>
      </c>
      <c r="E1206" s="97">
        <f>'Danh sách máy'!E1249</f>
        <v>0</v>
      </c>
      <c r="F1206" s="206" t="e">
        <f>#REF!</f>
        <v>#REF!</v>
      </c>
      <c r="G1206" s="102" t="e">
        <f>#REF!</f>
        <v>#REF!</v>
      </c>
      <c r="H1206" s="102" t="e">
        <f>#REF!</f>
        <v>#REF!</v>
      </c>
      <c r="K1206" s="210" t="e">
        <f>#REF!</f>
        <v>#REF!</v>
      </c>
      <c r="L1206" s="210">
        <v>45475</v>
      </c>
      <c r="M1206" s="210"/>
      <c r="N1206" s="210">
        <f>'Danh sách máy'!F1249</f>
        <v>0</v>
      </c>
      <c r="O1206" s="211" t="str" cm="1">
        <f t="array" ref="O1206">IF(L1206&lt;&gt;0,IF(L1206&lt;I1206,"OK","NG"),Blank)</f>
        <v>NG</v>
      </c>
      <c r="P1206" s="211" t="e" cm="1">
        <f t="array" ref="P1206">IF(M1206&lt;&gt;0,IF(M1206&lt;J1206,"OK","NG"),Blank)</f>
        <v>#NAME?</v>
      </c>
      <c r="Q1206" s="211" t="e" cm="1">
        <f t="array" ref="Q1206">IF(H1206&lt;&gt;"Stop",IF(N1206&lt;&gt;0,IF(N1206&lt;=K1206,"OK","NG"),Blank),"-")</f>
        <v>#REF!</v>
      </c>
      <c r="R1206" s="326" t="e" cm="1">
        <f t="array" ref="R1206">IF(H1206&lt;&gt;"Stop",IF(E1206&lt;&gt;0,IF(E1206&lt;=K1206,"OK","NG"),Blank),"-")</f>
        <v>#REF!</v>
      </c>
    </row>
    <row r="1207" spans="1:18" ht="15" hidden="1" x14ac:dyDescent="0.3">
      <c r="A1207" s="318" t="e">
        <f>#REF!</f>
        <v>#REF!</v>
      </c>
      <c r="B1207" s="305" t="e">
        <f>#REF!</f>
        <v>#REF!</v>
      </c>
      <c r="C1207" s="305" t="str">
        <f>'Danh sách máy'!C1250</f>
        <v>MKQC</v>
      </c>
      <c r="D1207" s="90" t="e">
        <f>#REF!</f>
        <v>#REF!</v>
      </c>
      <c r="E1207" s="97">
        <f>'Danh sách máy'!E1250</f>
        <v>0</v>
      </c>
      <c r="F1207" s="206" t="e">
        <f>#REF!</f>
        <v>#REF!</v>
      </c>
      <c r="G1207" s="102" t="e">
        <f>#REF!</f>
        <v>#REF!</v>
      </c>
      <c r="H1207" s="102" t="e">
        <f>#REF!</f>
        <v>#REF!</v>
      </c>
      <c r="K1207" s="210" t="e">
        <f>#REF!</f>
        <v>#REF!</v>
      </c>
      <c r="L1207" s="210">
        <v>45476</v>
      </c>
      <c r="M1207" s="210"/>
      <c r="N1207" s="210">
        <f>'Danh sách máy'!F1250</f>
        <v>0</v>
      </c>
      <c r="O1207" s="211" t="str" cm="1">
        <f t="array" ref="O1207">IF(L1207&lt;&gt;0,IF(L1207&lt;I1207,"OK","NG"),Blank)</f>
        <v>NG</v>
      </c>
      <c r="P1207" s="211" t="e" cm="1">
        <f t="array" ref="P1207">IF(M1207&lt;&gt;0,IF(M1207&lt;J1207,"OK","NG"),Blank)</f>
        <v>#NAME?</v>
      </c>
      <c r="Q1207" s="211" t="e" cm="1">
        <f t="array" ref="Q1207">IF(H1207&lt;&gt;"Stop",IF(N1207&lt;&gt;0,IF(N1207&lt;=K1207,"OK","NG"),Blank),"-")</f>
        <v>#REF!</v>
      </c>
      <c r="R1207" s="326" t="e" cm="1">
        <f t="array" ref="R1207">IF(H1207&lt;&gt;"Stop",IF(E1207&lt;&gt;0,IF(E1207&lt;=K1207,"OK","NG"),Blank),"-")</f>
        <v>#REF!</v>
      </c>
    </row>
    <row r="1208" spans="1:18" ht="15" hidden="1" x14ac:dyDescent="0.3">
      <c r="A1208" s="318" t="e">
        <f>#REF!</f>
        <v>#REF!</v>
      </c>
      <c r="B1208" s="305" t="e">
        <f>#REF!</f>
        <v>#REF!</v>
      </c>
      <c r="C1208" s="305" t="str">
        <f>'Danh sách máy'!C1251</f>
        <v>MKQC</v>
      </c>
      <c r="D1208" s="90" t="e">
        <f>#REF!</f>
        <v>#REF!</v>
      </c>
      <c r="E1208" s="97">
        <f>'Danh sách máy'!E1251</f>
        <v>0</v>
      </c>
      <c r="F1208" s="206" t="e">
        <f>#REF!</f>
        <v>#REF!</v>
      </c>
      <c r="G1208" s="102" t="e">
        <f>#REF!</f>
        <v>#REF!</v>
      </c>
      <c r="H1208" s="102" t="e">
        <f>#REF!</f>
        <v>#REF!</v>
      </c>
      <c r="K1208" s="210" t="e">
        <f>#REF!</f>
        <v>#REF!</v>
      </c>
      <c r="L1208" s="210">
        <v>45477</v>
      </c>
      <c r="M1208" s="210"/>
      <c r="N1208" s="210">
        <f>'Danh sách máy'!F1251</f>
        <v>0</v>
      </c>
      <c r="O1208" s="211" t="str" cm="1">
        <f t="array" ref="O1208">IF(L1208&lt;&gt;0,IF(L1208&lt;I1208,"OK","NG"),Blank)</f>
        <v>NG</v>
      </c>
      <c r="P1208" s="211" t="e" cm="1">
        <f t="array" ref="P1208">IF(M1208&lt;&gt;0,IF(M1208&lt;J1208,"OK","NG"),Blank)</f>
        <v>#NAME?</v>
      </c>
      <c r="Q1208" s="211" t="e" cm="1">
        <f t="array" ref="Q1208">IF(H1208&lt;&gt;"Stop",IF(N1208&lt;&gt;0,IF(N1208&lt;=K1208,"OK","NG"),Blank),"-")</f>
        <v>#REF!</v>
      </c>
      <c r="R1208" s="326" t="e" cm="1">
        <f t="array" ref="R1208">IF(H1208&lt;&gt;"Stop",IF(E1208&lt;&gt;0,IF(E1208&lt;=K1208,"OK","NG"),Blank),"-")</f>
        <v>#REF!</v>
      </c>
    </row>
    <row r="1209" spans="1:18" ht="15" hidden="1" x14ac:dyDescent="0.3">
      <c r="A1209" s="318" t="e">
        <f>#REF!</f>
        <v>#REF!</v>
      </c>
      <c r="B1209" s="305" t="e">
        <f>#REF!</f>
        <v>#REF!</v>
      </c>
      <c r="C1209" s="305" t="str">
        <f>'Danh sách máy'!C1252</f>
        <v>MKQC</v>
      </c>
      <c r="D1209" s="90" t="e">
        <f>#REF!</f>
        <v>#REF!</v>
      </c>
      <c r="E1209" s="97">
        <f>'Danh sách máy'!E1252</f>
        <v>0</v>
      </c>
      <c r="F1209" s="206" t="e">
        <f>#REF!</f>
        <v>#REF!</v>
      </c>
      <c r="G1209" s="102" t="e">
        <f>#REF!</f>
        <v>#REF!</v>
      </c>
      <c r="H1209" s="102" t="e">
        <f>#REF!</f>
        <v>#REF!</v>
      </c>
      <c r="K1209" s="210" t="e">
        <f>#REF!</f>
        <v>#REF!</v>
      </c>
      <c r="L1209" s="210">
        <v>45478</v>
      </c>
      <c r="M1209" s="210"/>
      <c r="N1209" s="210">
        <f>'Danh sách máy'!F1252</f>
        <v>0</v>
      </c>
      <c r="O1209" s="211" t="str" cm="1">
        <f t="array" ref="O1209">IF(L1209&lt;&gt;0,IF(L1209&lt;I1209,"OK","NG"),Blank)</f>
        <v>NG</v>
      </c>
      <c r="P1209" s="211" t="e" cm="1">
        <f t="array" ref="P1209">IF(M1209&lt;&gt;0,IF(M1209&lt;J1209,"OK","NG"),Blank)</f>
        <v>#NAME?</v>
      </c>
      <c r="Q1209" s="211" t="e" cm="1">
        <f t="array" ref="Q1209">IF(H1209&lt;&gt;"Stop",IF(N1209&lt;&gt;0,IF(N1209&lt;=K1209,"OK","NG"),Blank),"-")</f>
        <v>#REF!</v>
      </c>
      <c r="R1209" s="326" t="e" cm="1">
        <f t="array" ref="R1209">IF(H1209&lt;&gt;"Stop",IF(E1209&lt;&gt;0,IF(E1209&lt;=K1209,"OK","NG"),Blank),"-")</f>
        <v>#REF!</v>
      </c>
    </row>
    <row r="1210" spans="1:18" ht="15" hidden="1" x14ac:dyDescent="0.3">
      <c r="A1210" s="318" t="e">
        <f>#REF!</f>
        <v>#REF!</v>
      </c>
      <c r="B1210" s="305" t="e">
        <f>#REF!</f>
        <v>#REF!</v>
      </c>
      <c r="C1210" s="305" t="str">
        <f>'Danh sách máy'!C1253</f>
        <v>MKQC</v>
      </c>
      <c r="D1210" s="90" t="e">
        <f>#REF!</f>
        <v>#REF!</v>
      </c>
      <c r="E1210" s="97">
        <f>'Danh sách máy'!E1253</f>
        <v>0</v>
      </c>
      <c r="F1210" s="206" t="e">
        <f>#REF!</f>
        <v>#REF!</v>
      </c>
      <c r="G1210" s="102" t="e">
        <f>#REF!</f>
        <v>#REF!</v>
      </c>
      <c r="H1210" s="102" t="e">
        <f>#REF!</f>
        <v>#REF!</v>
      </c>
      <c r="K1210" s="210" t="e">
        <f>#REF!</f>
        <v>#REF!</v>
      </c>
      <c r="L1210" s="210">
        <v>45479</v>
      </c>
      <c r="M1210" s="210"/>
      <c r="N1210" s="210">
        <f>'Danh sách máy'!F1253</f>
        <v>0</v>
      </c>
      <c r="O1210" s="211" t="str" cm="1">
        <f t="array" ref="O1210">IF(L1210&lt;&gt;0,IF(L1210&lt;I1210,"OK","NG"),Blank)</f>
        <v>NG</v>
      </c>
      <c r="P1210" s="211" t="e" cm="1">
        <f t="array" ref="P1210">IF(M1210&lt;&gt;0,IF(M1210&lt;J1210,"OK","NG"),Blank)</f>
        <v>#NAME?</v>
      </c>
      <c r="Q1210" s="211" t="e" cm="1">
        <f t="array" ref="Q1210">IF(H1210&lt;&gt;"Stop",IF(N1210&lt;&gt;0,IF(N1210&lt;=K1210,"OK","NG"),Blank),"-")</f>
        <v>#REF!</v>
      </c>
      <c r="R1210" s="326" t="e" cm="1">
        <f t="array" ref="R1210">IF(H1210&lt;&gt;"Stop",IF(E1210&lt;&gt;0,IF(E1210&lt;=K1210,"OK","NG"),Blank),"-")</f>
        <v>#REF!</v>
      </c>
    </row>
    <row r="1211" spans="1:18" ht="15" hidden="1" x14ac:dyDescent="0.3">
      <c r="A1211" s="318" t="e">
        <f>#REF!</f>
        <v>#REF!</v>
      </c>
      <c r="B1211" s="305" t="e">
        <f>#REF!</f>
        <v>#REF!</v>
      </c>
      <c r="C1211" s="305" t="str">
        <f>'Danh sách máy'!C1254</f>
        <v>MKQC</v>
      </c>
      <c r="D1211" s="90" t="e">
        <f>#REF!</f>
        <v>#REF!</v>
      </c>
      <c r="E1211" s="97">
        <f>'Danh sách máy'!E1254</f>
        <v>0</v>
      </c>
      <c r="F1211" s="206" t="e">
        <f>#REF!</f>
        <v>#REF!</v>
      </c>
      <c r="G1211" s="102" t="e">
        <f>#REF!</f>
        <v>#REF!</v>
      </c>
      <c r="H1211" s="102" t="e">
        <f>#REF!</f>
        <v>#REF!</v>
      </c>
      <c r="K1211" s="210" t="e">
        <f>#REF!</f>
        <v>#REF!</v>
      </c>
      <c r="L1211" s="210">
        <v>45480</v>
      </c>
      <c r="M1211" s="210"/>
      <c r="N1211" s="210">
        <f>'Danh sách máy'!F1254</f>
        <v>0</v>
      </c>
      <c r="O1211" s="211" t="str" cm="1">
        <f t="array" ref="O1211">IF(L1211&lt;&gt;0,IF(L1211&lt;I1211,"OK","NG"),Blank)</f>
        <v>NG</v>
      </c>
      <c r="P1211" s="211" t="e" cm="1">
        <f t="array" ref="P1211">IF(M1211&lt;&gt;0,IF(M1211&lt;J1211,"OK","NG"),Blank)</f>
        <v>#NAME?</v>
      </c>
      <c r="Q1211" s="211" t="e" cm="1">
        <f t="array" ref="Q1211">IF(H1211&lt;&gt;"Stop",IF(N1211&lt;&gt;0,IF(N1211&lt;=K1211,"OK","NG"),Blank),"-")</f>
        <v>#REF!</v>
      </c>
      <c r="R1211" s="326" t="e" cm="1">
        <f t="array" ref="R1211">IF(H1211&lt;&gt;"Stop",IF(E1211&lt;&gt;0,IF(E1211&lt;=K1211,"OK","NG"),Blank),"-")</f>
        <v>#REF!</v>
      </c>
    </row>
    <row r="1212" spans="1:18" ht="15" hidden="1" x14ac:dyDescent="0.3">
      <c r="A1212" s="318" t="e">
        <f>#REF!</f>
        <v>#REF!</v>
      </c>
      <c r="B1212" s="305" t="e">
        <f>#REF!</f>
        <v>#REF!</v>
      </c>
      <c r="C1212" s="305" t="str">
        <f>'Danh sách máy'!C1255</f>
        <v>MKQC</v>
      </c>
      <c r="D1212" s="90" t="e">
        <f>#REF!</f>
        <v>#REF!</v>
      </c>
      <c r="E1212" s="97">
        <f>'Danh sách máy'!E1255</f>
        <v>0</v>
      </c>
      <c r="F1212" s="206" t="e">
        <f>#REF!</f>
        <v>#REF!</v>
      </c>
      <c r="G1212" s="102" t="e">
        <f>#REF!</f>
        <v>#REF!</v>
      </c>
      <c r="H1212" s="102" t="e">
        <f>#REF!</f>
        <v>#REF!</v>
      </c>
      <c r="K1212" s="210" t="e">
        <f>#REF!</f>
        <v>#REF!</v>
      </c>
      <c r="L1212" s="210">
        <v>45481</v>
      </c>
      <c r="M1212" s="210"/>
      <c r="N1212" s="210">
        <f>'Danh sách máy'!F1255</f>
        <v>0</v>
      </c>
      <c r="O1212" s="211" t="str" cm="1">
        <f t="array" ref="O1212">IF(L1212&lt;&gt;0,IF(L1212&lt;I1212,"OK","NG"),Blank)</f>
        <v>NG</v>
      </c>
      <c r="P1212" s="211" t="e" cm="1">
        <f t="array" ref="P1212">IF(M1212&lt;&gt;0,IF(M1212&lt;J1212,"OK","NG"),Blank)</f>
        <v>#NAME?</v>
      </c>
      <c r="Q1212" s="211" t="e" cm="1">
        <f t="array" ref="Q1212">IF(H1212&lt;&gt;"Stop",IF(N1212&lt;&gt;0,IF(N1212&lt;=K1212,"OK","NG"),Blank),"-")</f>
        <v>#REF!</v>
      </c>
      <c r="R1212" s="326" t="e" cm="1">
        <f t="array" ref="R1212">IF(H1212&lt;&gt;"Stop",IF(E1212&lt;&gt;0,IF(E1212&lt;=K1212,"OK","NG"),Blank),"-")</f>
        <v>#REF!</v>
      </c>
    </row>
    <row r="1213" spans="1:18" ht="15" hidden="1" x14ac:dyDescent="0.3">
      <c r="A1213" s="318" t="e">
        <f>#REF!</f>
        <v>#REF!</v>
      </c>
      <c r="B1213" s="305" t="e">
        <f>#REF!</f>
        <v>#REF!</v>
      </c>
      <c r="C1213" s="305" t="str">
        <f>'Danh sách máy'!C1256</f>
        <v>MKQC</v>
      </c>
      <c r="D1213" s="90" t="e">
        <f>#REF!</f>
        <v>#REF!</v>
      </c>
      <c r="E1213" s="97">
        <f>'Danh sách máy'!E1256</f>
        <v>0</v>
      </c>
      <c r="F1213" s="206" t="e">
        <f>#REF!</f>
        <v>#REF!</v>
      </c>
      <c r="G1213" s="102" t="e">
        <f>#REF!</f>
        <v>#REF!</v>
      </c>
      <c r="H1213" s="102" t="e">
        <f>#REF!</f>
        <v>#REF!</v>
      </c>
      <c r="K1213" s="210" t="e">
        <f>#REF!</f>
        <v>#REF!</v>
      </c>
      <c r="L1213" s="210">
        <v>45482</v>
      </c>
      <c r="M1213" s="210"/>
      <c r="N1213" s="210">
        <f>'Danh sách máy'!F1256</f>
        <v>0</v>
      </c>
      <c r="O1213" s="211" t="str" cm="1">
        <f t="array" ref="O1213">IF(L1213&lt;&gt;0,IF(L1213&lt;I1213,"OK","NG"),Blank)</f>
        <v>NG</v>
      </c>
      <c r="P1213" s="211" t="e" cm="1">
        <f t="array" ref="P1213">IF(M1213&lt;&gt;0,IF(M1213&lt;J1213,"OK","NG"),Blank)</f>
        <v>#NAME?</v>
      </c>
      <c r="Q1213" s="211" t="e" cm="1">
        <f t="array" ref="Q1213">IF(H1213&lt;&gt;"Stop",IF(N1213&lt;&gt;0,IF(N1213&lt;=K1213,"OK","NG"),Blank),"-")</f>
        <v>#REF!</v>
      </c>
      <c r="R1213" s="326" t="e" cm="1">
        <f t="array" ref="R1213">IF(H1213&lt;&gt;"Stop",IF(E1213&lt;&gt;0,IF(E1213&lt;=K1213,"OK","NG"),Blank),"-")</f>
        <v>#REF!</v>
      </c>
    </row>
    <row r="1214" spans="1:18" ht="15" hidden="1" x14ac:dyDescent="0.3">
      <c r="A1214" s="318" t="e">
        <f>#REF!</f>
        <v>#REF!</v>
      </c>
      <c r="B1214" s="305" t="e">
        <f>#REF!</f>
        <v>#REF!</v>
      </c>
      <c r="C1214" s="305" t="str">
        <f>'Danh sách máy'!C1257</f>
        <v>MKQC</v>
      </c>
      <c r="D1214" s="90" t="e">
        <f>#REF!</f>
        <v>#REF!</v>
      </c>
      <c r="E1214" s="97">
        <f>'Danh sách máy'!E1257</f>
        <v>0</v>
      </c>
      <c r="F1214" s="206" t="e">
        <f>#REF!</f>
        <v>#REF!</v>
      </c>
      <c r="G1214" s="102" t="e">
        <f>#REF!</f>
        <v>#REF!</v>
      </c>
      <c r="H1214" s="102" t="e">
        <f>#REF!</f>
        <v>#REF!</v>
      </c>
      <c r="K1214" s="210" t="e">
        <f>#REF!</f>
        <v>#REF!</v>
      </c>
      <c r="L1214" s="210">
        <v>45483</v>
      </c>
      <c r="M1214" s="210"/>
      <c r="N1214" s="210">
        <f>'Danh sách máy'!F1257</f>
        <v>0</v>
      </c>
      <c r="O1214" s="211" t="str" cm="1">
        <f t="array" ref="O1214">IF(L1214&lt;&gt;0,IF(L1214&lt;I1214,"OK","NG"),Blank)</f>
        <v>NG</v>
      </c>
      <c r="P1214" s="211" t="e" cm="1">
        <f t="array" ref="P1214">IF(M1214&lt;&gt;0,IF(M1214&lt;J1214,"OK","NG"),Blank)</f>
        <v>#NAME?</v>
      </c>
      <c r="Q1214" s="211" t="e" cm="1">
        <f t="array" ref="Q1214">IF(H1214&lt;&gt;"Stop",IF(N1214&lt;&gt;0,IF(N1214&lt;=K1214,"OK","NG"),Blank),"-")</f>
        <v>#REF!</v>
      </c>
      <c r="R1214" s="326" t="e" cm="1">
        <f t="array" ref="R1214">IF(H1214&lt;&gt;"Stop",IF(E1214&lt;&gt;0,IF(E1214&lt;=K1214,"OK","NG"),Blank),"-")</f>
        <v>#REF!</v>
      </c>
    </row>
    <row r="1215" spans="1:18" ht="15" hidden="1" x14ac:dyDescent="0.3">
      <c r="A1215" s="318" t="e">
        <f>#REF!</f>
        <v>#REF!</v>
      </c>
      <c r="B1215" s="305" t="e">
        <f>#REF!</f>
        <v>#REF!</v>
      </c>
      <c r="C1215" s="305" t="str">
        <f>'Danh sách máy'!C1258</f>
        <v>MKQC</v>
      </c>
      <c r="D1215" s="90" t="e">
        <f>#REF!</f>
        <v>#REF!</v>
      </c>
      <c r="E1215" s="97">
        <f>'Danh sách máy'!E1258</f>
        <v>0</v>
      </c>
      <c r="F1215" s="206" t="e">
        <f>#REF!</f>
        <v>#REF!</v>
      </c>
      <c r="G1215" s="102" t="e">
        <f>#REF!</f>
        <v>#REF!</v>
      </c>
      <c r="H1215" s="102" t="e">
        <f>#REF!</f>
        <v>#REF!</v>
      </c>
      <c r="K1215" s="210" t="e">
        <f>#REF!</f>
        <v>#REF!</v>
      </c>
      <c r="L1215" s="210">
        <v>45484</v>
      </c>
      <c r="M1215" s="210"/>
      <c r="N1215" s="210">
        <f>'Danh sách máy'!F1258</f>
        <v>0</v>
      </c>
      <c r="O1215" s="211" t="str" cm="1">
        <f t="array" ref="O1215">IF(L1215&lt;&gt;0,IF(L1215&lt;I1215,"OK","NG"),Blank)</f>
        <v>NG</v>
      </c>
      <c r="P1215" s="211" t="e" cm="1">
        <f t="array" ref="P1215">IF(M1215&lt;&gt;0,IF(M1215&lt;J1215,"OK","NG"),Blank)</f>
        <v>#NAME?</v>
      </c>
      <c r="Q1215" s="211" t="e" cm="1">
        <f t="array" ref="Q1215">IF(H1215&lt;&gt;"Stop",IF(N1215&lt;&gt;0,IF(N1215&lt;=K1215,"OK","NG"),Blank),"-")</f>
        <v>#REF!</v>
      </c>
      <c r="R1215" s="326" t="e" cm="1">
        <f t="array" ref="R1215">IF(H1215&lt;&gt;"Stop",IF(E1215&lt;&gt;0,IF(E1215&lt;=K1215,"OK","NG"),Blank),"-")</f>
        <v>#REF!</v>
      </c>
    </row>
    <row r="1216" spans="1:18" ht="15" hidden="1" x14ac:dyDescent="0.3">
      <c r="A1216" s="318" t="e">
        <f>#REF!</f>
        <v>#REF!</v>
      </c>
      <c r="B1216" s="305" t="e">
        <f>#REF!</f>
        <v>#REF!</v>
      </c>
      <c r="C1216" s="305" t="str">
        <f>'Danh sách máy'!C1259</f>
        <v>MKQC</v>
      </c>
      <c r="D1216" s="90" t="e">
        <f>#REF!</f>
        <v>#REF!</v>
      </c>
      <c r="E1216" s="97">
        <f>'Danh sách máy'!E1259</f>
        <v>0</v>
      </c>
      <c r="F1216" s="206" t="e">
        <f>#REF!</f>
        <v>#REF!</v>
      </c>
      <c r="G1216" s="102" t="e">
        <f>#REF!</f>
        <v>#REF!</v>
      </c>
      <c r="H1216" s="102" t="e">
        <f>#REF!</f>
        <v>#REF!</v>
      </c>
      <c r="K1216" s="210" t="e">
        <f>#REF!</f>
        <v>#REF!</v>
      </c>
      <c r="L1216" s="210">
        <v>45485</v>
      </c>
      <c r="M1216" s="210"/>
      <c r="N1216" s="210">
        <f>'Danh sách máy'!F1259</f>
        <v>0</v>
      </c>
      <c r="O1216" s="211" t="str" cm="1">
        <f t="array" ref="O1216">IF(L1216&lt;&gt;0,IF(L1216&lt;I1216,"OK","NG"),Blank)</f>
        <v>NG</v>
      </c>
      <c r="P1216" s="211" t="e" cm="1">
        <f t="array" ref="P1216">IF(M1216&lt;&gt;0,IF(M1216&lt;J1216,"OK","NG"),Blank)</f>
        <v>#NAME?</v>
      </c>
      <c r="Q1216" s="211" t="e" cm="1">
        <f t="array" ref="Q1216">IF(H1216&lt;&gt;"Stop",IF(N1216&lt;&gt;0,IF(N1216&lt;=K1216,"OK","NG"),Blank),"-")</f>
        <v>#REF!</v>
      </c>
      <c r="R1216" s="326" t="e" cm="1">
        <f t="array" ref="R1216">IF(H1216&lt;&gt;"Stop",IF(E1216&lt;&gt;0,IF(E1216&lt;=K1216,"OK","NG"),Blank),"-")</f>
        <v>#REF!</v>
      </c>
    </row>
    <row r="1217" spans="1:18" ht="15" hidden="1" x14ac:dyDescent="0.3">
      <c r="A1217" s="318" t="e">
        <f>#REF!</f>
        <v>#REF!</v>
      </c>
      <c r="B1217" s="305" t="e">
        <f>#REF!</f>
        <v>#REF!</v>
      </c>
      <c r="C1217" s="305" t="str">
        <f>'Danh sách máy'!C1260</f>
        <v>MKQC</v>
      </c>
      <c r="D1217" s="90" t="e">
        <f>#REF!</f>
        <v>#REF!</v>
      </c>
      <c r="E1217" s="97">
        <f>'Danh sách máy'!E1260</f>
        <v>0</v>
      </c>
      <c r="F1217" s="206" t="e">
        <f>#REF!</f>
        <v>#REF!</v>
      </c>
      <c r="G1217" s="102" t="e">
        <f>#REF!</f>
        <v>#REF!</v>
      </c>
      <c r="H1217" s="102" t="e">
        <f>#REF!</f>
        <v>#REF!</v>
      </c>
      <c r="K1217" s="210" t="e">
        <f>#REF!</f>
        <v>#REF!</v>
      </c>
      <c r="L1217" s="210">
        <v>45486</v>
      </c>
      <c r="M1217" s="210"/>
      <c r="N1217" s="210">
        <f>'Danh sách máy'!F1260</f>
        <v>0</v>
      </c>
      <c r="O1217" s="211" t="str" cm="1">
        <f t="array" ref="O1217">IF(L1217&lt;&gt;0,IF(L1217&lt;I1217,"OK","NG"),Blank)</f>
        <v>NG</v>
      </c>
      <c r="P1217" s="211" t="e" cm="1">
        <f t="array" ref="P1217">IF(M1217&lt;&gt;0,IF(M1217&lt;J1217,"OK","NG"),Blank)</f>
        <v>#NAME?</v>
      </c>
      <c r="Q1217" s="211" t="e" cm="1">
        <f t="array" ref="Q1217">IF(H1217&lt;&gt;"Stop",IF(N1217&lt;&gt;0,IF(N1217&lt;=K1217,"OK","NG"),Blank),"-")</f>
        <v>#REF!</v>
      </c>
      <c r="R1217" s="326" t="e" cm="1">
        <f t="array" ref="R1217">IF(H1217&lt;&gt;"Stop",IF(E1217&lt;&gt;0,IF(E1217&lt;=K1217,"OK","NG"),Blank),"-")</f>
        <v>#REF!</v>
      </c>
    </row>
    <row r="1218" spans="1:18" ht="15" hidden="1" x14ac:dyDescent="0.3">
      <c r="A1218" s="318" t="e">
        <f>#REF!</f>
        <v>#REF!</v>
      </c>
      <c r="B1218" s="305" t="e">
        <f>#REF!</f>
        <v>#REF!</v>
      </c>
      <c r="C1218" s="305" t="str">
        <f>'Danh sách máy'!C1261</f>
        <v>MKQC</v>
      </c>
      <c r="D1218" s="90" t="e">
        <f>#REF!</f>
        <v>#REF!</v>
      </c>
      <c r="E1218" s="97">
        <f>'Danh sách máy'!E1261</f>
        <v>0</v>
      </c>
      <c r="F1218" s="206" t="e">
        <f>#REF!</f>
        <v>#REF!</v>
      </c>
      <c r="G1218" s="102" t="e">
        <f>#REF!</f>
        <v>#REF!</v>
      </c>
      <c r="H1218" s="102" t="e">
        <f>#REF!</f>
        <v>#REF!</v>
      </c>
      <c r="K1218" s="210" t="e">
        <f>#REF!</f>
        <v>#REF!</v>
      </c>
      <c r="L1218" s="210">
        <v>45487</v>
      </c>
      <c r="M1218" s="210"/>
      <c r="N1218" s="210">
        <f>'Danh sách máy'!F1261</f>
        <v>0</v>
      </c>
      <c r="O1218" s="211" t="str" cm="1">
        <f t="array" ref="O1218">IF(L1218&lt;&gt;0,IF(L1218&lt;I1218,"OK","NG"),Blank)</f>
        <v>NG</v>
      </c>
      <c r="P1218" s="211" t="e" cm="1">
        <f t="array" ref="P1218">IF(M1218&lt;&gt;0,IF(M1218&lt;J1218,"OK","NG"),Blank)</f>
        <v>#NAME?</v>
      </c>
      <c r="Q1218" s="211" t="e" cm="1">
        <f t="array" ref="Q1218">IF(H1218&lt;&gt;"Stop",IF(N1218&lt;&gt;0,IF(N1218&lt;=K1218,"OK","NG"),Blank),"-")</f>
        <v>#REF!</v>
      </c>
      <c r="R1218" s="326" t="e" cm="1">
        <f t="array" ref="R1218">IF(H1218&lt;&gt;"Stop",IF(E1218&lt;&gt;0,IF(E1218&lt;=K1218,"OK","NG"),Blank),"-")</f>
        <v>#REF!</v>
      </c>
    </row>
    <row r="1219" spans="1:18" ht="15" hidden="1" x14ac:dyDescent="0.3">
      <c r="A1219" s="318" t="e">
        <f>#REF!</f>
        <v>#REF!</v>
      </c>
      <c r="B1219" s="305" t="e">
        <f>#REF!</f>
        <v>#REF!</v>
      </c>
      <c r="C1219" s="305" t="str">
        <f>'Danh sách máy'!C1262</f>
        <v>MKQC</v>
      </c>
      <c r="D1219" s="90" t="e">
        <f>#REF!</f>
        <v>#REF!</v>
      </c>
      <c r="E1219" s="97">
        <f>'Danh sách máy'!E1262</f>
        <v>0</v>
      </c>
      <c r="F1219" s="206" t="e">
        <f>#REF!</f>
        <v>#REF!</v>
      </c>
      <c r="G1219" s="102" t="e">
        <f>#REF!</f>
        <v>#REF!</v>
      </c>
      <c r="H1219" s="102" t="e">
        <f>#REF!</f>
        <v>#REF!</v>
      </c>
      <c r="K1219" s="210" t="e">
        <f>#REF!</f>
        <v>#REF!</v>
      </c>
      <c r="L1219" s="210">
        <v>45488</v>
      </c>
      <c r="M1219" s="210"/>
      <c r="N1219" s="210">
        <f>'Danh sách máy'!F1262</f>
        <v>0</v>
      </c>
      <c r="O1219" s="211" t="str" cm="1">
        <f t="array" ref="O1219">IF(L1219&lt;&gt;0,IF(L1219&lt;I1219,"OK","NG"),Blank)</f>
        <v>NG</v>
      </c>
      <c r="P1219" s="211" t="e" cm="1">
        <f t="array" ref="P1219">IF(M1219&lt;&gt;0,IF(M1219&lt;J1219,"OK","NG"),Blank)</f>
        <v>#NAME?</v>
      </c>
      <c r="Q1219" s="211" t="e" cm="1">
        <f t="array" ref="Q1219">IF(H1219&lt;&gt;"Stop",IF(N1219&lt;&gt;0,IF(N1219&lt;=K1219,"OK","NG"),Blank),"-")</f>
        <v>#REF!</v>
      </c>
      <c r="R1219" s="326" t="e" cm="1">
        <f t="array" ref="R1219">IF(H1219&lt;&gt;"Stop",IF(E1219&lt;&gt;0,IF(E1219&lt;=K1219,"OK","NG"),Blank),"-")</f>
        <v>#REF!</v>
      </c>
    </row>
    <row r="1220" spans="1:18" ht="15" hidden="1" x14ac:dyDescent="0.3">
      <c r="A1220" s="318" t="e">
        <f>#REF!</f>
        <v>#REF!</v>
      </c>
      <c r="B1220" s="305" t="e">
        <f>#REF!</f>
        <v>#REF!</v>
      </c>
      <c r="C1220" s="305" t="str">
        <f>'Danh sách máy'!C1263</f>
        <v>MKQC</v>
      </c>
      <c r="D1220" s="90" t="e">
        <f>#REF!</f>
        <v>#REF!</v>
      </c>
      <c r="E1220" s="97">
        <f>'Danh sách máy'!E1263</f>
        <v>0</v>
      </c>
      <c r="F1220" s="206" t="e">
        <f>#REF!</f>
        <v>#REF!</v>
      </c>
      <c r="G1220" s="102" t="e">
        <f>#REF!</f>
        <v>#REF!</v>
      </c>
      <c r="H1220" s="102" t="e">
        <f>#REF!</f>
        <v>#REF!</v>
      </c>
      <c r="K1220" s="210" t="e">
        <f>#REF!</f>
        <v>#REF!</v>
      </c>
      <c r="L1220" s="210">
        <v>45489</v>
      </c>
      <c r="M1220" s="210"/>
      <c r="N1220" s="210">
        <f>'Danh sách máy'!F1263</f>
        <v>0</v>
      </c>
      <c r="O1220" s="211" t="str" cm="1">
        <f t="array" ref="O1220">IF(L1220&lt;&gt;0,IF(L1220&lt;I1220,"OK","NG"),Blank)</f>
        <v>NG</v>
      </c>
      <c r="P1220" s="211" t="e" cm="1">
        <f t="array" ref="P1220">IF(M1220&lt;&gt;0,IF(M1220&lt;J1220,"OK","NG"),Blank)</f>
        <v>#NAME?</v>
      </c>
      <c r="Q1220" s="211" t="e" cm="1">
        <f t="array" ref="Q1220">IF(H1220&lt;&gt;"Stop",IF(N1220&lt;&gt;0,IF(N1220&lt;=K1220,"OK","NG"),Blank),"-")</f>
        <v>#REF!</v>
      </c>
      <c r="R1220" s="326" t="e" cm="1">
        <f t="array" ref="R1220">IF(H1220&lt;&gt;"Stop",IF(E1220&lt;&gt;0,IF(E1220&lt;=K1220,"OK","NG"),Blank),"-")</f>
        <v>#REF!</v>
      </c>
    </row>
    <row r="1221" spans="1:18" ht="15" hidden="1" x14ac:dyDescent="0.3">
      <c r="A1221" s="318" t="e">
        <f>#REF!</f>
        <v>#REF!</v>
      </c>
      <c r="B1221" s="305" t="e">
        <f>#REF!</f>
        <v>#REF!</v>
      </c>
      <c r="C1221" s="305" t="str">
        <f>'Danh sách máy'!C1264</f>
        <v>MKQC</v>
      </c>
      <c r="D1221" s="90" t="e">
        <f>#REF!</f>
        <v>#REF!</v>
      </c>
      <c r="E1221" s="97">
        <f>'Danh sách máy'!E1264</f>
        <v>0</v>
      </c>
      <c r="F1221" s="206" t="e">
        <f>#REF!</f>
        <v>#REF!</v>
      </c>
      <c r="G1221" s="102" t="e">
        <f>#REF!</f>
        <v>#REF!</v>
      </c>
      <c r="H1221" s="102" t="e">
        <f>#REF!</f>
        <v>#REF!</v>
      </c>
      <c r="K1221" s="210" t="e">
        <f>#REF!</f>
        <v>#REF!</v>
      </c>
      <c r="L1221" s="210">
        <v>45490</v>
      </c>
      <c r="M1221" s="210"/>
      <c r="N1221" s="210">
        <f>'Danh sách máy'!F1264</f>
        <v>0</v>
      </c>
      <c r="O1221" s="211" t="str" cm="1">
        <f t="array" ref="O1221">IF(L1221&lt;&gt;0,IF(L1221&lt;I1221,"OK","NG"),Blank)</f>
        <v>NG</v>
      </c>
      <c r="P1221" s="211" t="e" cm="1">
        <f t="array" ref="P1221">IF(M1221&lt;&gt;0,IF(M1221&lt;J1221,"OK","NG"),Blank)</f>
        <v>#NAME?</v>
      </c>
      <c r="Q1221" s="211" t="e" cm="1">
        <f t="array" ref="Q1221">IF(H1221&lt;&gt;"Stop",IF(N1221&lt;&gt;0,IF(N1221&lt;=K1221,"OK","NG"),Blank),"-")</f>
        <v>#REF!</v>
      </c>
      <c r="R1221" s="326" t="e" cm="1">
        <f t="array" ref="R1221">IF(H1221&lt;&gt;"Stop",IF(E1221&lt;&gt;0,IF(E1221&lt;=K1221,"OK","NG"),Blank),"-")</f>
        <v>#REF!</v>
      </c>
    </row>
    <row r="1222" spans="1:18" ht="15" hidden="1" x14ac:dyDescent="0.3">
      <c r="A1222" s="318" t="e">
        <f>#REF!</f>
        <v>#REF!</v>
      </c>
      <c r="B1222" s="305" t="e">
        <f>#REF!</f>
        <v>#REF!</v>
      </c>
      <c r="C1222" s="305" t="str">
        <f>'Danh sách máy'!C1265</f>
        <v>MKQC</v>
      </c>
      <c r="D1222" s="90" t="e">
        <f>#REF!</f>
        <v>#REF!</v>
      </c>
      <c r="E1222" s="97">
        <f>'Danh sách máy'!E1265</f>
        <v>0</v>
      </c>
      <c r="F1222" s="206" t="e">
        <f>#REF!</f>
        <v>#REF!</v>
      </c>
      <c r="G1222" s="102" t="e">
        <f>#REF!</f>
        <v>#REF!</v>
      </c>
      <c r="H1222" s="102" t="e">
        <f>#REF!</f>
        <v>#REF!</v>
      </c>
      <c r="K1222" s="210" t="e">
        <f>#REF!</f>
        <v>#REF!</v>
      </c>
      <c r="L1222" s="210">
        <v>45491</v>
      </c>
      <c r="M1222" s="210"/>
      <c r="N1222" s="210">
        <f>'Danh sách máy'!F1265</f>
        <v>0</v>
      </c>
      <c r="O1222" s="211" t="str" cm="1">
        <f t="array" ref="O1222">IF(L1222&lt;&gt;0,IF(L1222&lt;I1222,"OK","NG"),Blank)</f>
        <v>NG</v>
      </c>
      <c r="P1222" s="211" t="e" cm="1">
        <f t="array" ref="P1222">IF(M1222&lt;&gt;0,IF(M1222&lt;J1222,"OK","NG"),Blank)</f>
        <v>#NAME?</v>
      </c>
      <c r="Q1222" s="211" t="e" cm="1">
        <f t="array" ref="Q1222">IF(H1222&lt;&gt;"Stop",IF(N1222&lt;&gt;0,IF(N1222&lt;=K1222,"OK","NG"),Blank),"-")</f>
        <v>#REF!</v>
      </c>
      <c r="R1222" s="326" t="e" cm="1">
        <f t="array" ref="R1222">IF(H1222&lt;&gt;"Stop",IF(E1222&lt;&gt;0,IF(E1222&lt;=K1222,"OK","NG"),Blank),"-")</f>
        <v>#REF!</v>
      </c>
    </row>
    <row r="1223" spans="1:18" ht="15" hidden="1" x14ac:dyDescent="0.3">
      <c r="A1223" s="318" t="e">
        <f>#REF!</f>
        <v>#REF!</v>
      </c>
      <c r="B1223" s="305" t="e">
        <f>#REF!</f>
        <v>#REF!</v>
      </c>
      <c r="C1223" s="305" t="str">
        <f>'Danh sách máy'!C1266</f>
        <v>MKQC</v>
      </c>
      <c r="D1223" s="90" t="e">
        <f>#REF!</f>
        <v>#REF!</v>
      </c>
      <c r="E1223" s="97">
        <f>'Danh sách máy'!E1266</f>
        <v>0</v>
      </c>
      <c r="F1223" s="206" t="e">
        <f>#REF!</f>
        <v>#REF!</v>
      </c>
      <c r="G1223" s="102" t="e">
        <f>#REF!</f>
        <v>#REF!</v>
      </c>
      <c r="H1223" s="102" t="e">
        <f>#REF!</f>
        <v>#REF!</v>
      </c>
      <c r="K1223" s="210" t="e">
        <f>#REF!</f>
        <v>#REF!</v>
      </c>
      <c r="L1223" s="210">
        <v>45492</v>
      </c>
      <c r="M1223" s="210"/>
      <c r="N1223" s="210">
        <f>'Danh sách máy'!F1266</f>
        <v>0</v>
      </c>
      <c r="O1223" s="211" t="str" cm="1">
        <f t="array" ref="O1223">IF(L1223&lt;&gt;0,IF(L1223&lt;I1223,"OK","NG"),Blank)</f>
        <v>NG</v>
      </c>
      <c r="P1223" s="211" t="e" cm="1">
        <f t="array" ref="P1223">IF(M1223&lt;&gt;0,IF(M1223&lt;J1223,"OK","NG"),Blank)</f>
        <v>#NAME?</v>
      </c>
      <c r="Q1223" s="211" t="e" cm="1">
        <f t="array" ref="Q1223">IF(H1223&lt;&gt;"Stop",IF(N1223&lt;&gt;0,IF(N1223&lt;=K1223,"OK","NG"),Blank),"-")</f>
        <v>#REF!</v>
      </c>
      <c r="R1223" s="326" t="e" cm="1">
        <f t="array" ref="R1223">IF(H1223&lt;&gt;"Stop",IF(E1223&lt;&gt;0,IF(E1223&lt;=K1223,"OK","NG"),Blank),"-")</f>
        <v>#REF!</v>
      </c>
    </row>
    <row r="1224" spans="1:18" ht="15" hidden="1" x14ac:dyDescent="0.3">
      <c r="A1224" s="318" t="e">
        <f>#REF!</f>
        <v>#REF!</v>
      </c>
      <c r="B1224" s="305" t="e">
        <f>#REF!</f>
        <v>#REF!</v>
      </c>
      <c r="C1224" s="305" t="str">
        <f>'Danh sách máy'!C1267</f>
        <v>MKQC</v>
      </c>
      <c r="D1224" s="90" t="e">
        <f>#REF!</f>
        <v>#REF!</v>
      </c>
      <c r="E1224" s="97">
        <f>'Danh sách máy'!E1267</f>
        <v>0</v>
      </c>
      <c r="F1224" s="206" t="e">
        <f>#REF!</f>
        <v>#REF!</v>
      </c>
      <c r="G1224" s="102" t="e">
        <f>#REF!</f>
        <v>#REF!</v>
      </c>
      <c r="H1224" s="102" t="e">
        <f>#REF!</f>
        <v>#REF!</v>
      </c>
      <c r="K1224" s="210" t="e">
        <f>#REF!</f>
        <v>#REF!</v>
      </c>
      <c r="L1224" s="210">
        <v>45493</v>
      </c>
      <c r="M1224" s="210"/>
      <c r="N1224" s="210">
        <f>'Danh sách máy'!F1267</f>
        <v>0</v>
      </c>
      <c r="O1224" s="211" t="str" cm="1">
        <f t="array" ref="O1224">IF(L1224&lt;&gt;0,IF(L1224&lt;I1224,"OK","NG"),Blank)</f>
        <v>NG</v>
      </c>
      <c r="P1224" s="211" t="e" cm="1">
        <f t="array" ref="P1224">IF(M1224&lt;&gt;0,IF(M1224&lt;J1224,"OK","NG"),Blank)</f>
        <v>#NAME?</v>
      </c>
      <c r="Q1224" s="211" t="e" cm="1">
        <f t="array" ref="Q1224">IF(H1224&lt;&gt;"Stop",IF(N1224&lt;&gt;0,IF(N1224&lt;=K1224,"OK","NG"),Blank),"-")</f>
        <v>#REF!</v>
      </c>
      <c r="R1224" s="326" t="e" cm="1">
        <f t="array" ref="R1224">IF(H1224&lt;&gt;"Stop",IF(E1224&lt;&gt;0,IF(E1224&lt;=K1224,"OK","NG"),Blank),"-")</f>
        <v>#REF!</v>
      </c>
    </row>
    <row r="1225" spans="1:18" ht="15" hidden="1" x14ac:dyDescent="0.3">
      <c r="A1225" s="318" t="e">
        <f>#REF!</f>
        <v>#REF!</v>
      </c>
      <c r="B1225" s="305" t="e">
        <f>#REF!</f>
        <v>#REF!</v>
      </c>
      <c r="C1225" s="305" t="str">
        <f>'Danh sách máy'!C1268</f>
        <v>MKQC</v>
      </c>
      <c r="D1225" s="90" t="e">
        <f>#REF!</f>
        <v>#REF!</v>
      </c>
      <c r="E1225" s="97">
        <f>'Danh sách máy'!E1268</f>
        <v>0</v>
      </c>
      <c r="F1225" s="206" t="e">
        <f>#REF!</f>
        <v>#REF!</v>
      </c>
      <c r="G1225" s="102" t="e">
        <f>#REF!</f>
        <v>#REF!</v>
      </c>
      <c r="H1225" s="102" t="e">
        <f>#REF!</f>
        <v>#REF!</v>
      </c>
      <c r="K1225" s="210" t="e">
        <f>#REF!</f>
        <v>#REF!</v>
      </c>
      <c r="L1225" s="210">
        <v>45494</v>
      </c>
      <c r="M1225" s="210"/>
      <c r="N1225" s="210">
        <f>'Danh sách máy'!F1268</f>
        <v>0</v>
      </c>
      <c r="O1225" s="211" t="str" cm="1">
        <f t="array" ref="O1225">IF(L1225&lt;&gt;0,IF(L1225&lt;I1225,"OK","NG"),Blank)</f>
        <v>NG</v>
      </c>
      <c r="P1225" s="211" t="e" cm="1">
        <f t="array" ref="P1225">IF(M1225&lt;&gt;0,IF(M1225&lt;J1225,"OK","NG"),Blank)</f>
        <v>#NAME?</v>
      </c>
      <c r="Q1225" s="211" t="e" cm="1">
        <f t="array" ref="Q1225">IF(H1225&lt;&gt;"Stop",IF(N1225&lt;&gt;0,IF(N1225&lt;=K1225,"OK","NG"),Blank),"-")</f>
        <v>#REF!</v>
      </c>
      <c r="R1225" s="326" t="e" cm="1">
        <f t="array" ref="R1225">IF(H1225&lt;&gt;"Stop",IF(E1225&lt;&gt;0,IF(E1225&lt;=K1225,"OK","NG"),Blank),"-")</f>
        <v>#REF!</v>
      </c>
    </row>
    <row r="1226" spans="1:18" ht="15" hidden="1" x14ac:dyDescent="0.3">
      <c r="A1226" s="318" t="e">
        <f>#REF!</f>
        <v>#REF!</v>
      </c>
      <c r="B1226" s="305" t="e">
        <f>#REF!</f>
        <v>#REF!</v>
      </c>
      <c r="C1226" s="305" t="str">
        <f>'Danh sách máy'!C1269</f>
        <v>MKQC</v>
      </c>
      <c r="D1226" s="90" t="e">
        <f>#REF!</f>
        <v>#REF!</v>
      </c>
      <c r="E1226" s="97">
        <f>'Danh sách máy'!E1269</f>
        <v>0</v>
      </c>
      <c r="F1226" s="206" t="e">
        <f>#REF!</f>
        <v>#REF!</v>
      </c>
      <c r="G1226" s="102" t="e">
        <f>#REF!</f>
        <v>#REF!</v>
      </c>
      <c r="H1226" s="102" t="e">
        <f>#REF!</f>
        <v>#REF!</v>
      </c>
      <c r="K1226" s="210" t="e">
        <f>#REF!</f>
        <v>#REF!</v>
      </c>
      <c r="L1226" s="210">
        <v>45495</v>
      </c>
      <c r="M1226" s="210"/>
      <c r="N1226" s="210">
        <f>'Danh sách máy'!F1269</f>
        <v>0</v>
      </c>
      <c r="O1226" s="211" t="str" cm="1">
        <f t="array" ref="O1226">IF(L1226&lt;&gt;0,IF(L1226&lt;I1226,"OK","NG"),Blank)</f>
        <v>NG</v>
      </c>
      <c r="P1226" s="211" t="e" cm="1">
        <f t="array" ref="P1226">IF(M1226&lt;&gt;0,IF(M1226&lt;J1226,"OK","NG"),Blank)</f>
        <v>#NAME?</v>
      </c>
      <c r="Q1226" s="211" t="e" cm="1">
        <f t="array" ref="Q1226">IF(H1226&lt;&gt;"Stop",IF(N1226&lt;&gt;0,IF(N1226&lt;=K1226,"OK","NG"),Blank),"-")</f>
        <v>#REF!</v>
      </c>
      <c r="R1226" s="326" t="e" cm="1">
        <f t="array" ref="R1226">IF(H1226&lt;&gt;"Stop",IF(E1226&lt;&gt;0,IF(E1226&lt;=K1226,"OK","NG"),Blank),"-")</f>
        <v>#REF!</v>
      </c>
    </row>
    <row r="1227" spans="1:18" ht="15" hidden="1" x14ac:dyDescent="0.3">
      <c r="A1227" s="318" t="e">
        <f>#REF!</f>
        <v>#REF!</v>
      </c>
      <c r="B1227" s="305" t="e">
        <f>#REF!</f>
        <v>#REF!</v>
      </c>
      <c r="C1227" s="305" t="str">
        <f>'Danh sách máy'!C1270</f>
        <v>MKQC</v>
      </c>
      <c r="D1227" s="90" t="e">
        <f>#REF!</f>
        <v>#REF!</v>
      </c>
      <c r="E1227" s="97">
        <f>'Danh sách máy'!E1270</f>
        <v>0</v>
      </c>
      <c r="F1227" s="206" t="e">
        <f>#REF!</f>
        <v>#REF!</v>
      </c>
      <c r="G1227" s="102" t="e">
        <f>#REF!</f>
        <v>#REF!</v>
      </c>
      <c r="H1227" s="102" t="e">
        <f>#REF!</f>
        <v>#REF!</v>
      </c>
      <c r="K1227" s="210" t="e">
        <f>#REF!</f>
        <v>#REF!</v>
      </c>
      <c r="L1227" s="210">
        <v>45496</v>
      </c>
      <c r="M1227" s="210"/>
      <c r="N1227" s="210">
        <f>'Danh sách máy'!F1270</f>
        <v>0</v>
      </c>
      <c r="O1227" s="211" t="str" cm="1">
        <f t="array" ref="O1227">IF(L1227&lt;&gt;0,IF(L1227&lt;I1227,"OK","NG"),Blank)</f>
        <v>NG</v>
      </c>
      <c r="P1227" s="211" t="e" cm="1">
        <f t="array" ref="P1227">IF(M1227&lt;&gt;0,IF(M1227&lt;J1227,"OK","NG"),Blank)</f>
        <v>#NAME?</v>
      </c>
      <c r="Q1227" s="211" t="e" cm="1">
        <f t="array" ref="Q1227">IF(H1227&lt;&gt;"Stop",IF(N1227&lt;&gt;0,IF(N1227&lt;=K1227,"OK","NG"),Blank),"-")</f>
        <v>#REF!</v>
      </c>
      <c r="R1227" s="326" t="e" cm="1">
        <f t="array" ref="R1227">IF(H1227&lt;&gt;"Stop",IF(E1227&lt;&gt;0,IF(E1227&lt;=K1227,"OK","NG"),Blank),"-")</f>
        <v>#REF!</v>
      </c>
    </row>
    <row r="1228" spans="1:18" ht="15" hidden="1" x14ac:dyDescent="0.3">
      <c r="A1228" s="318" t="e">
        <f>#REF!</f>
        <v>#REF!</v>
      </c>
      <c r="B1228" s="305" t="e">
        <f>#REF!</f>
        <v>#REF!</v>
      </c>
      <c r="C1228" s="305" t="str">
        <f>'Danh sách máy'!C1271</f>
        <v>MKQC</v>
      </c>
      <c r="D1228" s="90" t="e">
        <f>#REF!</f>
        <v>#REF!</v>
      </c>
      <c r="E1228" s="97">
        <f>'Danh sách máy'!E1271</f>
        <v>0</v>
      </c>
      <c r="F1228" s="206" t="e">
        <f>#REF!</f>
        <v>#REF!</v>
      </c>
      <c r="G1228" s="102" t="e">
        <f>#REF!</f>
        <v>#REF!</v>
      </c>
      <c r="H1228" s="102" t="e">
        <f>#REF!</f>
        <v>#REF!</v>
      </c>
      <c r="K1228" s="210" t="e">
        <f>#REF!</f>
        <v>#REF!</v>
      </c>
      <c r="L1228" s="210">
        <v>45497</v>
      </c>
      <c r="M1228" s="210"/>
      <c r="N1228" s="210">
        <f>'Danh sách máy'!F1271</f>
        <v>0</v>
      </c>
      <c r="O1228" s="211" t="str" cm="1">
        <f t="array" ref="O1228">IF(L1228&lt;&gt;0,IF(L1228&lt;I1228,"OK","NG"),Blank)</f>
        <v>NG</v>
      </c>
      <c r="P1228" s="211" t="e" cm="1">
        <f t="array" ref="P1228">IF(M1228&lt;&gt;0,IF(M1228&lt;J1228,"OK","NG"),Blank)</f>
        <v>#NAME?</v>
      </c>
      <c r="Q1228" s="211" t="e" cm="1">
        <f t="array" ref="Q1228">IF(H1228&lt;&gt;"Stop",IF(N1228&lt;&gt;0,IF(N1228&lt;=K1228,"OK","NG"),Blank),"-")</f>
        <v>#REF!</v>
      </c>
      <c r="R1228" s="326" t="e" cm="1">
        <f t="array" ref="R1228">IF(H1228&lt;&gt;"Stop",IF(E1228&lt;&gt;0,IF(E1228&lt;=K1228,"OK","NG"),Blank),"-")</f>
        <v>#REF!</v>
      </c>
    </row>
    <row r="1229" spans="1:18" ht="15" hidden="1" x14ac:dyDescent="0.3">
      <c r="A1229" s="318" t="e">
        <f>#REF!</f>
        <v>#REF!</v>
      </c>
      <c r="B1229" s="305" t="e">
        <f>#REF!</f>
        <v>#REF!</v>
      </c>
      <c r="C1229" s="305" t="str">
        <f>'Danh sách máy'!C1272</f>
        <v>MKQC</v>
      </c>
      <c r="D1229" s="90" t="e">
        <f>#REF!</f>
        <v>#REF!</v>
      </c>
      <c r="E1229" s="97">
        <f>'Danh sách máy'!E1272</f>
        <v>0</v>
      </c>
      <c r="F1229" s="206" t="e">
        <f>#REF!</f>
        <v>#REF!</v>
      </c>
      <c r="G1229" s="102" t="e">
        <f>#REF!</f>
        <v>#REF!</v>
      </c>
      <c r="H1229" s="102" t="e">
        <f>#REF!</f>
        <v>#REF!</v>
      </c>
      <c r="K1229" s="210" t="e">
        <f>#REF!</f>
        <v>#REF!</v>
      </c>
      <c r="L1229" s="210">
        <v>45498</v>
      </c>
      <c r="M1229" s="210"/>
      <c r="N1229" s="210">
        <f>'Danh sách máy'!F1272</f>
        <v>0</v>
      </c>
      <c r="O1229" s="211" t="str" cm="1">
        <f t="array" ref="O1229">IF(L1229&lt;&gt;0,IF(L1229&lt;I1229,"OK","NG"),Blank)</f>
        <v>NG</v>
      </c>
      <c r="P1229" s="211" t="e" cm="1">
        <f t="array" ref="P1229">IF(M1229&lt;&gt;0,IF(M1229&lt;J1229,"OK","NG"),Blank)</f>
        <v>#NAME?</v>
      </c>
      <c r="Q1229" s="211" t="e" cm="1">
        <f t="array" ref="Q1229">IF(H1229&lt;&gt;"Stop",IF(N1229&lt;&gt;0,IF(N1229&lt;=K1229,"OK","NG"),Blank),"-")</f>
        <v>#REF!</v>
      </c>
      <c r="R1229" s="326" t="e" cm="1">
        <f t="array" ref="R1229">IF(H1229&lt;&gt;"Stop",IF(E1229&lt;&gt;0,IF(E1229&lt;=K1229,"OK","NG"),Blank),"-")</f>
        <v>#REF!</v>
      </c>
    </row>
    <row r="1230" spans="1:18" ht="15" hidden="1" x14ac:dyDescent="0.3">
      <c r="A1230" s="318" t="e">
        <f>#REF!</f>
        <v>#REF!</v>
      </c>
      <c r="B1230" s="305" t="e">
        <f>#REF!</f>
        <v>#REF!</v>
      </c>
      <c r="C1230" s="305" t="str">
        <f>'Danh sách máy'!C1273</f>
        <v>MKQC</v>
      </c>
      <c r="D1230" s="90" t="e">
        <f>#REF!</f>
        <v>#REF!</v>
      </c>
      <c r="E1230" s="97">
        <f>'Danh sách máy'!E1273</f>
        <v>0</v>
      </c>
      <c r="F1230" s="206" t="e">
        <f>#REF!</f>
        <v>#REF!</v>
      </c>
      <c r="G1230" s="102" t="e">
        <f>#REF!</f>
        <v>#REF!</v>
      </c>
      <c r="H1230" s="102" t="e">
        <f>#REF!</f>
        <v>#REF!</v>
      </c>
      <c r="K1230" s="210" t="e">
        <f>#REF!</f>
        <v>#REF!</v>
      </c>
      <c r="L1230" s="210">
        <v>45499</v>
      </c>
      <c r="M1230" s="210"/>
      <c r="N1230" s="210">
        <f>'Danh sách máy'!F1273</f>
        <v>0</v>
      </c>
      <c r="O1230" s="211" t="str" cm="1">
        <f t="array" ref="O1230">IF(L1230&lt;&gt;0,IF(L1230&lt;I1230,"OK","NG"),Blank)</f>
        <v>NG</v>
      </c>
      <c r="P1230" s="211" t="e" cm="1">
        <f t="array" ref="P1230">IF(M1230&lt;&gt;0,IF(M1230&lt;J1230,"OK","NG"),Blank)</f>
        <v>#NAME?</v>
      </c>
      <c r="Q1230" s="211" t="e" cm="1">
        <f t="array" ref="Q1230">IF(H1230&lt;&gt;"Stop",IF(N1230&lt;&gt;0,IF(N1230&lt;=K1230,"OK","NG"),Blank),"-")</f>
        <v>#REF!</v>
      </c>
      <c r="R1230" s="326" t="e" cm="1">
        <f t="array" ref="R1230">IF(H1230&lt;&gt;"Stop",IF(E1230&lt;&gt;0,IF(E1230&lt;=K1230,"OK","NG"),Blank),"-")</f>
        <v>#REF!</v>
      </c>
    </row>
    <row r="1231" spans="1:18" ht="15" hidden="1" x14ac:dyDescent="0.3">
      <c r="A1231" s="318" t="e">
        <f>#REF!</f>
        <v>#REF!</v>
      </c>
      <c r="B1231" s="305" t="e">
        <f>#REF!</f>
        <v>#REF!</v>
      </c>
      <c r="C1231" s="305" t="str">
        <f>'Danh sách máy'!C1274</f>
        <v>MKQC</v>
      </c>
      <c r="D1231" s="90" t="e">
        <f>#REF!</f>
        <v>#REF!</v>
      </c>
      <c r="E1231" s="97">
        <f>'Danh sách máy'!E1274</f>
        <v>0</v>
      </c>
      <c r="F1231" s="206" t="e">
        <f>#REF!</f>
        <v>#REF!</v>
      </c>
      <c r="G1231" s="102" t="e">
        <f>#REF!</f>
        <v>#REF!</v>
      </c>
      <c r="H1231" s="102" t="e">
        <f>#REF!</f>
        <v>#REF!</v>
      </c>
      <c r="K1231" s="210" t="e">
        <f>#REF!</f>
        <v>#REF!</v>
      </c>
      <c r="L1231" s="210">
        <v>45500</v>
      </c>
      <c r="M1231" s="210"/>
      <c r="N1231" s="210">
        <f>'Danh sách máy'!F1274</f>
        <v>0</v>
      </c>
      <c r="O1231" s="211" t="str" cm="1">
        <f t="array" ref="O1231">IF(L1231&lt;&gt;0,IF(L1231&lt;I1231,"OK","NG"),Blank)</f>
        <v>NG</v>
      </c>
      <c r="P1231" s="211" t="e" cm="1">
        <f t="array" ref="P1231">IF(M1231&lt;&gt;0,IF(M1231&lt;J1231,"OK","NG"),Blank)</f>
        <v>#NAME?</v>
      </c>
      <c r="Q1231" s="211" t="e" cm="1">
        <f t="array" ref="Q1231">IF(H1231&lt;&gt;"Stop",IF(N1231&lt;&gt;0,IF(N1231&lt;=K1231,"OK","NG"),Blank),"-")</f>
        <v>#REF!</v>
      </c>
      <c r="R1231" s="326" t="e" cm="1">
        <f t="array" ref="R1231">IF(H1231&lt;&gt;"Stop",IF(E1231&lt;&gt;0,IF(E1231&lt;=K1231,"OK","NG"),Blank),"-")</f>
        <v>#REF!</v>
      </c>
    </row>
    <row r="1232" spans="1:18" ht="15" hidden="1" x14ac:dyDescent="0.3">
      <c r="A1232" s="318" t="e">
        <f>#REF!</f>
        <v>#REF!</v>
      </c>
      <c r="B1232" s="305" t="e">
        <f>#REF!</f>
        <v>#REF!</v>
      </c>
      <c r="C1232" s="305" t="str">
        <f>'Danh sách máy'!C1275</f>
        <v>MKQC</v>
      </c>
      <c r="D1232" s="90" t="e">
        <f>#REF!</f>
        <v>#REF!</v>
      </c>
      <c r="E1232" s="97">
        <f>'Danh sách máy'!E1275</f>
        <v>0</v>
      </c>
      <c r="F1232" s="206" t="e">
        <f>#REF!</f>
        <v>#REF!</v>
      </c>
      <c r="G1232" s="102" t="e">
        <f>#REF!</f>
        <v>#REF!</v>
      </c>
      <c r="H1232" s="102" t="e">
        <f>#REF!</f>
        <v>#REF!</v>
      </c>
      <c r="K1232" s="210" t="e">
        <f>#REF!</f>
        <v>#REF!</v>
      </c>
      <c r="L1232" s="210">
        <v>45501</v>
      </c>
      <c r="M1232" s="210"/>
      <c r="N1232" s="210">
        <f>'Danh sách máy'!F1275</f>
        <v>0</v>
      </c>
      <c r="O1232" s="211" t="str" cm="1">
        <f t="array" ref="O1232">IF(L1232&lt;&gt;0,IF(L1232&lt;I1232,"OK","NG"),Blank)</f>
        <v>NG</v>
      </c>
      <c r="P1232" s="211" t="e" cm="1">
        <f t="array" ref="P1232">IF(M1232&lt;&gt;0,IF(M1232&lt;J1232,"OK","NG"),Blank)</f>
        <v>#NAME?</v>
      </c>
      <c r="Q1232" s="211" t="e" cm="1">
        <f t="array" ref="Q1232">IF(H1232&lt;&gt;"Stop",IF(N1232&lt;&gt;0,IF(N1232&lt;=K1232,"OK","NG"),Blank),"-")</f>
        <v>#REF!</v>
      </c>
      <c r="R1232" s="326" t="e" cm="1">
        <f t="array" ref="R1232">IF(H1232&lt;&gt;"Stop",IF(E1232&lt;&gt;0,IF(E1232&lt;=K1232,"OK","NG"),Blank),"-")</f>
        <v>#REF!</v>
      </c>
    </row>
    <row r="1233" spans="1:18" ht="15" hidden="1" x14ac:dyDescent="0.3">
      <c r="A1233" s="318" t="e">
        <f>#REF!</f>
        <v>#REF!</v>
      </c>
      <c r="B1233" s="305" t="e">
        <f>#REF!</f>
        <v>#REF!</v>
      </c>
      <c r="C1233" s="305" t="str">
        <f>'Danh sách máy'!C1276</f>
        <v>MKQC</v>
      </c>
      <c r="D1233" s="90" t="e">
        <f>#REF!</f>
        <v>#REF!</v>
      </c>
      <c r="E1233" s="97">
        <f>'Danh sách máy'!E1276</f>
        <v>0</v>
      </c>
      <c r="F1233" s="206" t="e">
        <f>#REF!</f>
        <v>#REF!</v>
      </c>
      <c r="G1233" s="102" t="e">
        <f>#REF!</f>
        <v>#REF!</v>
      </c>
      <c r="H1233" s="102" t="e">
        <f>#REF!</f>
        <v>#REF!</v>
      </c>
      <c r="K1233" s="210" t="e">
        <f>#REF!</f>
        <v>#REF!</v>
      </c>
      <c r="L1233" s="210">
        <v>45502</v>
      </c>
      <c r="M1233" s="210"/>
      <c r="N1233" s="210">
        <f>'Danh sách máy'!F1276</f>
        <v>0</v>
      </c>
      <c r="O1233" s="211" t="str" cm="1">
        <f t="array" ref="O1233">IF(L1233&lt;&gt;0,IF(L1233&lt;I1233,"OK","NG"),Blank)</f>
        <v>NG</v>
      </c>
      <c r="P1233" s="211" t="e" cm="1">
        <f t="array" ref="P1233">IF(M1233&lt;&gt;0,IF(M1233&lt;J1233,"OK","NG"),Blank)</f>
        <v>#NAME?</v>
      </c>
      <c r="Q1233" s="211" t="e" cm="1">
        <f t="array" ref="Q1233">IF(H1233&lt;&gt;"Stop",IF(N1233&lt;&gt;0,IF(N1233&lt;=K1233,"OK","NG"),Blank),"-")</f>
        <v>#REF!</v>
      </c>
      <c r="R1233" s="326" t="e" cm="1">
        <f t="array" ref="R1233">IF(H1233&lt;&gt;"Stop",IF(E1233&lt;&gt;0,IF(E1233&lt;=K1233,"OK","NG"),Blank),"-")</f>
        <v>#REF!</v>
      </c>
    </row>
    <row r="1234" spans="1:18" ht="15" hidden="1" x14ac:dyDescent="0.3">
      <c r="A1234" s="318" t="e">
        <f>#REF!</f>
        <v>#REF!</v>
      </c>
      <c r="B1234" s="305" t="e">
        <f>#REF!</f>
        <v>#REF!</v>
      </c>
      <c r="C1234" s="305" t="str">
        <f>'Danh sách máy'!C1277</f>
        <v>MKQC</v>
      </c>
      <c r="D1234" s="90" t="e">
        <f>#REF!</f>
        <v>#REF!</v>
      </c>
      <c r="E1234" s="97">
        <f>'Danh sách máy'!E1277</f>
        <v>0</v>
      </c>
      <c r="F1234" s="206" t="e">
        <f>#REF!</f>
        <v>#REF!</v>
      </c>
      <c r="G1234" s="102" t="e">
        <f>#REF!</f>
        <v>#REF!</v>
      </c>
      <c r="H1234" s="102" t="e">
        <f>#REF!</f>
        <v>#REF!</v>
      </c>
      <c r="K1234" s="210" t="e">
        <f>#REF!</f>
        <v>#REF!</v>
      </c>
      <c r="L1234" s="210">
        <v>45503</v>
      </c>
      <c r="M1234" s="210"/>
      <c r="N1234" s="210">
        <f>'Danh sách máy'!F1277</f>
        <v>0</v>
      </c>
      <c r="O1234" s="211" t="str" cm="1">
        <f t="array" ref="O1234">IF(L1234&lt;&gt;0,IF(L1234&lt;I1234,"OK","NG"),Blank)</f>
        <v>NG</v>
      </c>
      <c r="P1234" s="211" t="e" cm="1">
        <f t="array" ref="P1234">IF(M1234&lt;&gt;0,IF(M1234&lt;J1234,"OK","NG"),Blank)</f>
        <v>#NAME?</v>
      </c>
      <c r="Q1234" s="211" t="e" cm="1">
        <f t="array" ref="Q1234">IF(H1234&lt;&gt;"Stop",IF(N1234&lt;&gt;0,IF(N1234&lt;=K1234,"OK","NG"),Blank),"-")</f>
        <v>#REF!</v>
      </c>
      <c r="R1234" s="326" t="e" cm="1">
        <f t="array" ref="R1234">IF(H1234&lt;&gt;"Stop",IF(E1234&lt;&gt;0,IF(E1234&lt;=K1234,"OK","NG"),Blank),"-")</f>
        <v>#REF!</v>
      </c>
    </row>
    <row r="1235" spans="1:18" ht="15" hidden="1" x14ac:dyDescent="0.3">
      <c r="A1235" s="318" t="e">
        <f>#REF!</f>
        <v>#REF!</v>
      </c>
      <c r="B1235" s="305" t="e">
        <f>#REF!</f>
        <v>#REF!</v>
      </c>
      <c r="C1235" s="305" t="str">
        <f>'Danh sách máy'!C1278</f>
        <v>MKQC</v>
      </c>
      <c r="D1235" s="90" t="e">
        <f>#REF!</f>
        <v>#REF!</v>
      </c>
      <c r="E1235" s="97">
        <f>'Danh sách máy'!E1278</f>
        <v>0</v>
      </c>
      <c r="F1235" s="206" t="e">
        <f>#REF!</f>
        <v>#REF!</v>
      </c>
      <c r="G1235" s="102" t="e">
        <f>#REF!</f>
        <v>#REF!</v>
      </c>
      <c r="H1235" s="102" t="e">
        <f>#REF!</f>
        <v>#REF!</v>
      </c>
      <c r="K1235" s="210" t="e">
        <f>#REF!</f>
        <v>#REF!</v>
      </c>
      <c r="L1235" s="210">
        <v>45504</v>
      </c>
      <c r="M1235" s="210"/>
      <c r="N1235" s="210">
        <f>'Danh sách máy'!F1278</f>
        <v>0</v>
      </c>
      <c r="O1235" s="211" t="str" cm="1">
        <f t="array" ref="O1235">IF(L1235&lt;&gt;0,IF(L1235&lt;I1235,"OK","NG"),Blank)</f>
        <v>NG</v>
      </c>
      <c r="P1235" s="211" t="e" cm="1">
        <f t="array" ref="P1235">IF(M1235&lt;&gt;0,IF(M1235&lt;J1235,"OK","NG"),Blank)</f>
        <v>#NAME?</v>
      </c>
      <c r="Q1235" s="211" t="e" cm="1">
        <f t="array" ref="Q1235">IF(H1235&lt;&gt;"Stop",IF(N1235&lt;&gt;0,IF(N1235&lt;=K1235,"OK","NG"),Blank),"-")</f>
        <v>#REF!</v>
      </c>
      <c r="R1235" s="326" t="e" cm="1">
        <f t="array" ref="R1235">IF(H1235&lt;&gt;"Stop",IF(E1235&lt;&gt;0,IF(E1235&lt;=K1235,"OK","NG"),Blank),"-")</f>
        <v>#REF!</v>
      </c>
    </row>
    <row r="1236" spans="1:18" ht="15" hidden="1" x14ac:dyDescent="0.3">
      <c r="A1236" s="318" t="e">
        <f>#REF!</f>
        <v>#REF!</v>
      </c>
      <c r="B1236" s="305" t="e">
        <f>#REF!</f>
        <v>#REF!</v>
      </c>
      <c r="C1236" s="305" t="str">
        <f>'Danh sách máy'!C1279</f>
        <v>MKQC</v>
      </c>
      <c r="D1236" s="90" t="e">
        <f>#REF!</f>
        <v>#REF!</v>
      </c>
      <c r="E1236" s="97">
        <f>'Danh sách máy'!E1279</f>
        <v>0</v>
      </c>
      <c r="F1236" s="206" t="e">
        <f>#REF!</f>
        <v>#REF!</v>
      </c>
      <c r="G1236" s="102" t="e">
        <f>#REF!</f>
        <v>#REF!</v>
      </c>
      <c r="H1236" s="102" t="e">
        <f>#REF!</f>
        <v>#REF!</v>
      </c>
      <c r="K1236" s="210" t="e">
        <f>#REF!</f>
        <v>#REF!</v>
      </c>
      <c r="L1236" s="210">
        <v>45505</v>
      </c>
      <c r="M1236" s="210"/>
      <c r="N1236" s="210">
        <f>'Danh sách máy'!F1279</f>
        <v>0</v>
      </c>
      <c r="O1236" s="211" t="str" cm="1">
        <f t="array" ref="O1236">IF(L1236&lt;&gt;0,IF(L1236&lt;I1236,"OK","NG"),Blank)</f>
        <v>NG</v>
      </c>
      <c r="P1236" s="211" t="e" cm="1">
        <f t="array" ref="P1236">IF(M1236&lt;&gt;0,IF(M1236&lt;J1236,"OK","NG"),Blank)</f>
        <v>#NAME?</v>
      </c>
      <c r="Q1236" s="211" t="e" cm="1">
        <f t="array" ref="Q1236">IF(H1236&lt;&gt;"Stop",IF(N1236&lt;&gt;0,IF(N1236&lt;=K1236,"OK","NG"),Blank),"-")</f>
        <v>#REF!</v>
      </c>
      <c r="R1236" s="326" t="e" cm="1">
        <f t="array" ref="R1236">IF(H1236&lt;&gt;"Stop",IF(E1236&lt;&gt;0,IF(E1236&lt;=K1236,"OK","NG"),Blank),"-")</f>
        <v>#REF!</v>
      </c>
    </row>
    <row r="1237" spans="1:18" ht="15" hidden="1" x14ac:dyDescent="0.3">
      <c r="A1237" s="318" t="e">
        <f>#REF!</f>
        <v>#REF!</v>
      </c>
      <c r="B1237" s="305" t="e">
        <f>#REF!</f>
        <v>#REF!</v>
      </c>
      <c r="C1237" s="305" t="str">
        <f>'Danh sách máy'!C1280</f>
        <v>MKQC</v>
      </c>
      <c r="D1237" s="90" t="e">
        <f>#REF!</f>
        <v>#REF!</v>
      </c>
      <c r="E1237" s="97">
        <f>'Danh sách máy'!E1280</f>
        <v>0</v>
      </c>
      <c r="F1237" s="206" t="e">
        <f>#REF!</f>
        <v>#REF!</v>
      </c>
      <c r="G1237" s="102" t="e">
        <f>#REF!</f>
        <v>#REF!</v>
      </c>
      <c r="H1237" s="102" t="e">
        <f>#REF!</f>
        <v>#REF!</v>
      </c>
      <c r="K1237" s="210" t="e">
        <f>#REF!</f>
        <v>#REF!</v>
      </c>
      <c r="L1237" s="210">
        <v>45506</v>
      </c>
      <c r="M1237" s="210"/>
      <c r="N1237" s="210">
        <f>'Danh sách máy'!F1280</f>
        <v>0</v>
      </c>
      <c r="O1237" s="211" t="str" cm="1">
        <f t="array" ref="O1237">IF(L1237&lt;&gt;0,IF(L1237&lt;I1237,"OK","NG"),Blank)</f>
        <v>NG</v>
      </c>
      <c r="P1237" s="211" t="e" cm="1">
        <f t="array" ref="P1237">IF(M1237&lt;&gt;0,IF(M1237&lt;J1237,"OK","NG"),Blank)</f>
        <v>#NAME?</v>
      </c>
      <c r="Q1237" s="211" t="e" cm="1">
        <f t="array" ref="Q1237">IF(H1237&lt;&gt;"Stop",IF(N1237&lt;&gt;0,IF(N1237&lt;=K1237,"OK","NG"),Blank),"-")</f>
        <v>#REF!</v>
      </c>
      <c r="R1237" s="326" t="e" cm="1">
        <f t="array" ref="R1237">IF(H1237&lt;&gt;"Stop",IF(E1237&lt;&gt;0,IF(E1237&lt;=K1237,"OK","NG"),Blank),"-")</f>
        <v>#REF!</v>
      </c>
    </row>
    <row r="1238" spans="1:18" ht="15" hidden="1" x14ac:dyDescent="0.3">
      <c r="A1238" s="318" t="e">
        <f>#REF!</f>
        <v>#REF!</v>
      </c>
      <c r="B1238" s="305" t="e">
        <f>#REF!</f>
        <v>#REF!</v>
      </c>
      <c r="C1238" s="305" t="str">
        <f>'Danh sách máy'!C1281</f>
        <v>MKQC</v>
      </c>
      <c r="D1238" s="90" t="e">
        <f>#REF!</f>
        <v>#REF!</v>
      </c>
      <c r="E1238" s="97">
        <f>'Danh sách máy'!E1281</f>
        <v>0</v>
      </c>
      <c r="F1238" s="206" t="e">
        <f>#REF!</f>
        <v>#REF!</v>
      </c>
      <c r="G1238" s="102" t="e">
        <f>#REF!</f>
        <v>#REF!</v>
      </c>
      <c r="H1238" s="102" t="e">
        <f>#REF!</f>
        <v>#REF!</v>
      </c>
      <c r="K1238" s="210" t="e">
        <f>#REF!</f>
        <v>#REF!</v>
      </c>
      <c r="L1238" s="210">
        <v>45507</v>
      </c>
      <c r="M1238" s="210"/>
      <c r="N1238" s="210">
        <f>'Danh sách máy'!F1281</f>
        <v>0</v>
      </c>
      <c r="O1238" s="211" t="str" cm="1">
        <f t="array" ref="O1238">IF(L1238&lt;&gt;0,IF(L1238&lt;I1238,"OK","NG"),Blank)</f>
        <v>NG</v>
      </c>
      <c r="P1238" s="211" t="e" cm="1">
        <f t="array" ref="P1238">IF(M1238&lt;&gt;0,IF(M1238&lt;J1238,"OK","NG"),Blank)</f>
        <v>#NAME?</v>
      </c>
      <c r="Q1238" s="211" t="e" cm="1">
        <f t="array" ref="Q1238">IF(H1238&lt;&gt;"Stop",IF(N1238&lt;&gt;0,IF(N1238&lt;=K1238,"OK","NG"),Blank),"-")</f>
        <v>#REF!</v>
      </c>
      <c r="R1238" s="326" t="e" cm="1">
        <f t="array" ref="R1238">IF(H1238&lt;&gt;"Stop",IF(E1238&lt;&gt;0,IF(E1238&lt;=K1238,"OK","NG"),Blank),"-")</f>
        <v>#REF!</v>
      </c>
    </row>
    <row r="1239" spans="1:18" ht="15" hidden="1" x14ac:dyDescent="0.3">
      <c r="A1239" s="318" t="e">
        <f>#REF!</f>
        <v>#REF!</v>
      </c>
      <c r="B1239" s="305" t="e">
        <f>#REF!</f>
        <v>#REF!</v>
      </c>
      <c r="C1239" s="305" t="str">
        <f>'Danh sách máy'!C1282</f>
        <v>MKQC</v>
      </c>
      <c r="D1239" s="90" t="e">
        <f>#REF!</f>
        <v>#REF!</v>
      </c>
      <c r="E1239" s="97">
        <f>'Danh sách máy'!E1282</f>
        <v>0</v>
      </c>
      <c r="F1239" s="206" t="e">
        <f>#REF!</f>
        <v>#REF!</v>
      </c>
      <c r="G1239" s="102" t="e">
        <f>#REF!</f>
        <v>#REF!</v>
      </c>
      <c r="H1239" s="102" t="e">
        <f>#REF!</f>
        <v>#REF!</v>
      </c>
      <c r="K1239" s="210" t="e">
        <f>#REF!</f>
        <v>#REF!</v>
      </c>
      <c r="L1239" s="210">
        <v>45508</v>
      </c>
      <c r="M1239" s="210"/>
      <c r="N1239" s="210">
        <f>'Danh sách máy'!F1282</f>
        <v>0</v>
      </c>
      <c r="O1239" s="211" t="str" cm="1">
        <f t="array" ref="O1239">IF(L1239&lt;&gt;0,IF(L1239&lt;I1239,"OK","NG"),Blank)</f>
        <v>NG</v>
      </c>
      <c r="P1239" s="211" t="e" cm="1">
        <f t="array" ref="P1239">IF(M1239&lt;&gt;0,IF(M1239&lt;J1239,"OK","NG"),Blank)</f>
        <v>#NAME?</v>
      </c>
      <c r="Q1239" s="211" t="e" cm="1">
        <f t="array" ref="Q1239">IF(H1239&lt;&gt;"Stop",IF(N1239&lt;&gt;0,IF(N1239&lt;=K1239,"OK","NG"),Blank),"-")</f>
        <v>#REF!</v>
      </c>
      <c r="R1239" s="326" t="e" cm="1">
        <f t="array" ref="R1239">IF(H1239&lt;&gt;"Stop",IF(E1239&lt;&gt;0,IF(E1239&lt;=K1239,"OK","NG"),Blank),"-")</f>
        <v>#REF!</v>
      </c>
    </row>
    <row r="1240" spans="1:18" ht="15" hidden="1" x14ac:dyDescent="0.3">
      <c r="A1240" s="318" t="e">
        <f>#REF!</f>
        <v>#REF!</v>
      </c>
      <c r="B1240" s="305" t="e">
        <f>#REF!</f>
        <v>#REF!</v>
      </c>
      <c r="C1240" s="305" t="str">
        <f>'Danh sách máy'!C1283</f>
        <v>MKQC</v>
      </c>
      <c r="D1240" s="90" t="e">
        <f>#REF!</f>
        <v>#REF!</v>
      </c>
      <c r="E1240" s="97">
        <f>'Danh sách máy'!E1283</f>
        <v>0</v>
      </c>
      <c r="F1240" s="206" t="e">
        <f>#REF!</f>
        <v>#REF!</v>
      </c>
      <c r="G1240" s="102" t="e">
        <f>#REF!</f>
        <v>#REF!</v>
      </c>
      <c r="H1240" s="102" t="e">
        <f>#REF!</f>
        <v>#REF!</v>
      </c>
      <c r="K1240" s="210" t="e">
        <f>#REF!</f>
        <v>#REF!</v>
      </c>
      <c r="L1240" s="210">
        <v>45509</v>
      </c>
      <c r="M1240" s="210"/>
      <c r="N1240" s="210">
        <f>'Danh sách máy'!F1283</f>
        <v>0</v>
      </c>
      <c r="O1240" s="211" t="str" cm="1">
        <f t="array" ref="O1240">IF(L1240&lt;&gt;0,IF(L1240&lt;I1240,"OK","NG"),Blank)</f>
        <v>NG</v>
      </c>
      <c r="P1240" s="211" t="e" cm="1">
        <f t="array" ref="P1240">IF(M1240&lt;&gt;0,IF(M1240&lt;J1240,"OK","NG"),Blank)</f>
        <v>#NAME?</v>
      </c>
      <c r="Q1240" s="211" t="e" cm="1">
        <f t="array" ref="Q1240">IF(H1240&lt;&gt;"Stop",IF(N1240&lt;&gt;0,IF(N1240&lt;=K1240,"OK","NG"),Blank),"-")</f>
        <v>#REF!</v>
      </c>
      <c r="R1240" s="326" t="e" cm="1">
        <f t="array" ref="R1240">IF(H1240&lt;&gt;"Stop",IF(E1240&lt;&gt;0,IF(E1240&lt;=K1240,"OK","NG"),Blank),"-")</f>
        <v>#REF!</v>
      </c>
    </row>
    <row r="1241" spans="1:18" ht="15" hidden="1" x14ac:dyDescent="0.3">
      <c r="A1241" s="318" t="e">
        <f>#REF!</f>
        <v>#REF!</v>
      </c>
      <c r="B1241" s="305" t="e">
        <f>#REF!</f>
        <v>#REF!</v>
      </c>
      <c r="C1241" s="305" t="str">
        <f>'Danh sách máy'!C1284</f>
        <v>MKQC</v>
      </c>
      <c r="D1241" s="90" t="e">
        <f>#REF!</f>
        <v>#REF!</v>
      </c>
      <c r="E1241" s="97">
        <f>'Danh sách máy'!E1284</f>
        <v>0</v>
      </c>
      <c r="F1241" s="206" t="e">
        <f>#REF!</f>
        <v>#REF!</v>
      </c>
      <c r="G1241" s="102" t="e">
        <f>#REF!</f>
        <v>#REF!</v>
      </c>
      <c r="H1241" s="102" t="e">
        <f>#REF!</f>
        <v>#REF!</v>
      </c>
      <c r="K1241" s="210" t="e">
        <f>#REF!</f>
        <v>#REF!</v>
      </c>
      <c r="L1241" s="210">
        <v>45510</v>
      </c>
      <c r="M1241" s="210"/>
      <c r="N1241" s="210">
        <f>'Danh sách máy'!F1284</f>
        <v>0</v>
      </c>
      <c r="O1241" s="211" t="str" cm="1">
        <f t="array" ref="O1241">IF(L1241&lt;&gt;0,IF(L1241&lt;I1241,"OK","NG"),Blank)</f>
        <v>NG</v>
      </c>
      <c r="P1241" s="211" t="e" cm="1">
        <f t="array" ref="P1241">IF(M1241&lt;&gt;0,IF(M1241&lt;J1241,"OK","NG"),Blank)</f>
        <v>#NAME?</v>
      </c>
      <c r="Q1241" s="211" t="e" cm="1">
        <f t="array" ref="Q1241">IF(H1241&lt;&gt;"Stop",IF(N1241&lt;&gt;0,IF(N1241&lt;=K1241,"OK","NG"),Blank),"-")</f>
        <v>#REF!</v>
      </c>
      <c r="R1241" s="326" t="e" cm="1">
        <f t="array" ref="R1241">IF(H1241&lt;&gt;"Stop",IF(E1241&lt;&gt;0,IF(E1241&lt;=K1241,"OK","NG"),Blank),"-")</f>
        <v>#REF!</v>
      </c>
    </row>
    <row r="1242" spans="1:18" ht="15" hidden="1" x14ac:dyDescent="0.3">
      <c r="A1242" s="318" t="e">
        <f>#REF!</f>
        <v>#REF!</v>
      </c>
      <c r="B1242" s="305" t="e">
        <f>#REF!</f>
        <v>#REF!</v>
      </c>
      <c r="C1242" s="305" t="str">
        <f>'Danh sách máy'!C1285</f>
        <v>MKQC</v>
      </c>
      <c r="D1242" s="90" t="e">
        <f>#REF!</f>
        <v>#REF!</v>
      </c>
      <c r="E1242" s="97">
        <f>'Danh sách máy'!E1285</f>
        <v>0</v>
      </c>
      <c r="F1242" s="206" t="e">
        <f>#REF!</f>
        <v>#REF!</v>
      </c>
      <c r="G1242" s="102" t="e">
        <f>#REF!</f>
        <v>#REF!</v>
      </c>
      <c r="H1242" s="102" t="e">
        <f>#REF!</f>
        <v>#REF!</v>
      </c>
      <c r="K1242" s="210" t="e">
        <f>#REF!</f>
        <v>#REF!</v>
      </c>
      <c r="L1242" s="210">
        <v>45511</v>
      </c>
      <c r="M1242" s="210"/>
      <c r="N1242" s="210">
        <f>'Danh sách máy'!F1285</f>
        <v>0</v>
      </c>
      <c r="O1242" s="211" t="str" cm="1">
        <f t="array" ref="O1242">IF(L1242&lt;&gt;0,IF(L1242&lt;I1242,"OK","NG"),Blank)</f>
        <v>NG</v>
      </c>
      <c r="P1242" s="211" t="e" cm="1">
        <f t="array" ref="P1242">IF(M1242&lt;&gt;0,IF(M1242&lt;J1242,"OK","NG"),Blank)</f>
        <v>#NAME?</v>
      </c>
      <c r="Q1242" s="211" t="e" cm="1">
        <f t="array" ref="Q1242">IF(H1242&lt;&gt;"Stop",IF(N1242&lt;&gt;0,IF(N1242&lt;=K1242,"OK","NG"),Blank),"-")</f>
        <v>#REF!</v>
      </c>
      <c r="R1242" s="326" t="e" cm="1">
        <f t="array" ref="R1242">IF(H1242&lt;&gt;"Stop",IF(E1242&lt;&gt;0,IF(E1242&lt;=K1242,"OK","NG"),Blank),"-")</f>
        <v>#REF!</v>
      </c>
    </row>
    <row r="1243" spans="1:18" ht="15" hidden="1" x14ac:dyDescent="0.3">
      <c r="A1243" s="318" t="e">
        <f>#REF!</f>
        <v>#REF!</v>
      </c>
      <c r="B1243" s="305" t="e">
        <f>#REF!</f>
        <v>#REF!</v>
      </c>
      <c r="C1243" s="305" t="str">
        <f>'Danh sách máy'!C1286</f>
        <v>MKQC</v>
      </c>
      <c r="D1243" s="90" t="e">
        <f>#REF!</f>
        <v>#REF!</v>
      </c>
      <c r="E1243" s="97">
        <f>'Danh sách máy'!E1286</f>
        <v>0</v>
      </c>
      <c r="F1243" s="206" t="e">
        <f>#REF!</f>
        <v>#REF!</v>
      </c>
      <c r="G1243" s="102" t="e">
        <f>#REF!</f>
        <v>#REF!</v>
      </c>
      <c r="H1243" s="102" t="e">
        <f>#REF!</f>
        <v>#REF!</v>
      </c>
      <c r="K1243" s="210" t="e">
        <f>#REF!</f>
        <v>#REF!</v>
      </c>
      <c r="L1243" s="210">
        <v>45512</v>
      </c>
      <c r="M1243" s="210"/>
      <c r="N1243" s="210">
        <f>'Danh sách máy'!F1286</f>
        <v>0</v>
      </c>
      <c r="O1243" s="211" t="str" cm="1">
        <f t="array" ref="O1243">IF(L1243&lt;&gt;0,IF(L1243&lt;I1243,"OK","NG"),Blank)</f>
        <v>NG</v>
      </c>
      <c r="P1243" s="211" t="e" cm="1">
        <f t="array" ref="P1243">IF(M1243&lt;&gt;0,IF(M1243&lt;J1243,"OK","NG"),Blank)</f>
        <v>#NAME?</v>
      </c>
      <c r="Q1243" s="211" t="e" cm="1">
        <f t="array" ref="Q1243">IF(H1243&lt;&gt;"Stop",IF(N1243&lt;&gt;0,IF(N1243&lt;=K1243,"OK","NG"),Blank),"-")</f>
        <v>#REF!</v>
      </c>
      <c r="R1243" s="326" t="e" cm="1">
        <f t="array" ref="R1243">IF(H1243&lt;&gt;"Stop",IF(E1243&lt;&gt;0,IF(E1243&lt;=K1243,"OK","NG"),Blank),"-")</f>
        <v>#REF!</v>
      </c>
    </row>
    <row r="1244" spans="1:18" ht="15" hidden="1" x14ac:dyDescent="0.3">
      <c r="A1244" s="318" t="e">
        <f>#REF!</f>
        <v>#REF!</v>
      </c>
      <c r="B1244" s="305" t="e">
        <f>#REF!</f>
        <v>#REF!</v>
      </c>
      <c r="C1244" s="305" t="str">
        <f>'Danh sách máy'!C1287</f>
        <v>MKQC</v>
      </c>
      <c r="D1244" s="90" t="e">
        <f>#REF!</f>
        <v>#REF!</v>
      </c>
      <c r="E1244" s="97">
        <f>'Danh sách máy'!E1287</f>
        <v>0</v>
      </c>
      <c r="F1244" s="206" t="e">
        <f>#REF!</f>
        <v>#REF!</v>
      </c>
      <c r="G1244" s="102" t="e">
        <f>#REF!</f>
        <v>#REF!</v>
      </c>
      <c r="H1244" s="102" t="e">
        <f>#REF!</f>
        <v>#REF!</v>
      </c>
      <c r="K1244" s="210" t="e">
        <f>#REF!</f>
        <v>#REF!</v>
      </c>
      <c r="L1244" s="210">
        <v>45513</v>
      </c>
      <c r="M1244" s="210"/>
      <c r="N1244" s="210">
        <f>'Danh sách máy'!F1287</f>
        <v>0</v>
      </c>
      <c r="O1244" s="211" t="str" cm="1">
        <f t="array" ref="O1244">IF(L1244&lt;&gt;0,IF(L1244&lt;I1244,"OK","NG"),Blank)</f>
        <v>NG</v>
      </c>
      <c r="P1244" s="211" t="e" cm="1">
        <f t="array" ref="P1244">IF(M1244&lt;&gt;0,IF(M1244&lt;J1244,"OK","NG"),Blank)</f>
        <v>#NAME?</v>
      </c>
      <c r="Q1244" s="211" t="e" cm="1">
        <f t="array" ref="Q1244">IF(H1244&lt;&gt;"Stop",IF(N1244&lt;&gt;0,IF(N1244&lt;=K1244,"OK","NG"),Blank),"-")</f>
        <v>#REF!</v>
      </c>
      <c r="R1244" s="326" t="e" cm="1">
        <f t="array" ref="R1244">IF(H1244&lt;&gt;"Stop",IF(E1244&lt;&gt;0,IF(E1244&lt;=K1244,"OK","NG"),Blank),"-")</f>
        <v>#REF!</v>
      </c>
    </row>
    <row r="1245" spans="1:18" ht="15" hidden="1" x14ac:dyDescent="0.3">
      <c r="A1245" s="318" t="e">
        <f>#REF!</f>
        <v>#REF!</v>
      </c>
      <c r="B1245" s="305" t="e">
        <f>#REF!</f>
        <v>#REF!</v>
      </c>
      <c r="C1245" s="305" t="str">
        <f>'Danh sách máy'!C1288</f>
        <v>MKQC</v>
      </c>
      <c r="D1245" s="90" t="e">
        <f>#REF!</f>
        <v>#REF!</v>
      </c>
      <c r="E1245" s="97">
        <f>'Danh sách máy'!E1288</f>
        <v>0</v>
      </c>
      <c r="F1245" s="206" t="e">
        <f>#REF!</f>
        <v>#REF!</v>
      </c>
      <c r="G1245" s="102" t="e">
        <f>#REF!</f>
        <v>#REF!</v>
      </c>
      <c r="H1245" s="102" t="e">
        <f>#REF!</f>
        <v>#REF!</v>
      </c>
      <c r="K1245" s="210" t="e">
        <f>#REF!</f>
        <v>#REF!</v>
      </c>
      <c r="L1245" s="210">
        <v>45514</v>
      </c>
      <c r="M1245" s="210"/>
      <c r="N1245" s="210">
        <f>'Danh sách máy'!F1288</f>
        <v>0</v>
      </c>
      <c r="O1245" s="211" t="str" cm="1">
        <f t="array" ref="O1245">IF(L1245&lt;&gt;0,IF(L1245&lt;I1245,"OK","NG"),Blank)</f>
        <v>NG</v>
      </c>
      <c r="P1245" s="211" t="e" cm="1">
        <f t="array" ref="P1245">IF(M1245&lt;&gt;0,IF(M1245&lt;J1245,"OK","NG"),Blank)</f>
        <v>#NAME?</v>
      </c>
      <c r="Q1245" s="211" t="e" cm="1">
        <f t="array" ref="Q1245">IF(H1245&lt;&gt;"Stop",IF(N1245&lt;&gt;0,IF(N1245&lt;=K1245,"OK","NG"),Blank),"-")</f>
        <v>#REF!</v>
      </c>
      <c r="R1245" s="326" t="e" cm="1">
        <f t="array" ref="R1245">IF(H1245&lt;&gt;"Stop",IF(E1245&lt;&gt;0,IF(E1245&lt;=K1245,"OK","NG"),Blank),"-")</f>
        <v>#REF!</v>
      </c>
    </row>
    <row r="1246" spans="1:18" ht="15" hidden="1" x14ac:dyDescent="0.3">
      <c r="A1246" s="318" t="e">
        <f>#REF!</f>
        <v>#REF!</v>
      </c>
      <c r="B1246" s="305" t="e">
        <f>#REF!</f>
        <v>#REF!</v>
      </c>
      <c r="C1246" s="305" t="str">
        <f>'Danh sách máy'!C1289</f>
        <v>MKQC</v>
      </c>
      <c r="D1246" s="90" t="e">
        <f>#REF!</f>
        <v>#REF!</v>
      </c>
      <c r="E1246" s="97">
        <f>'Danh sách máy'!E1289</f>
        <v>0</v>
      </c>
      <c r="F1246" s="206" t="e">
        <f>#REF!</f>
        <v>#REF!</v>
      </c>
      <c r="G1246" s="102" t="e">
        <f>#REF!</f>
        <v>#REF!</v>
      </c>
      <c r="H1246" s="102" t="e">
        <f>#REF!</f>
        <v>#REF!</v>
      </c>
      <c r="K1246" s="210" t="e">
        <f>#REF!</f>
        <v>#REF!</v>
      </c>
      <c r="L1246" s="210">
        <v>45515</v>
      </c>
      <c r="M1246" s="210"/>
      <c r="N1246" s="210">
        <f>'Danh sách máy'!F1289</f>
        <v>0</v>
      </c>
      <c r="O1246" s="211" t="str" cm="1">
        <f t="array" ref="O1246">IF(L1246&lt;&gt;0,IF(L1246&lt;I1246,"OK","NG"),Blank)</f>
        <v>NG</v>
      </c>
      <c r="P1246" s="211" t="e" cm="1">
        <f t="array" ref="P1246">IF(M1246&lt;&gt;0,IF(M1246&lt;J1246,"OK","NG"),Blank)</f>
        <v>#NAME?</v>
      </c>
      <c r="Q1246" s="211" t="e" cm="1">
        <f t="array" ref="Q1246">IF(H1246&lt;&gt;"Stop",IF(N1246&lt;&gt;0,IF(N1246&lt;=K1246,"OK","NG"),Blank),"-")</f>
        <v>#REF!</v>
      </c>
      <c r="R1246" s="326" t="e" cm="1">
        <f t="array" ref="R1246">IF(H1246&lt;&gt;"Stop",IF(E1246&lt;&gt;0,IF(E1246&lt;=K1246,"OK","NG"),Blank),"-")</f>
        <v>#REF!</v>
      </c>
    </row>
    <row r="1247" spans="1:18" ht="15" hidden="1" x14ac:dyDescent="0.3">
      <c r="A1247" s="318" t="e">
        <f>#REF!</f>
        <v>#REF!</v>
      </c>
      <c r="B1247" s="305" t="e">
        <f>#REF!</f>
        <v>#REF!</v>
      </c>
      <c r="C1247" s="305" t="str">
        <f>'Danh sách máy'!C1290</f>
        <v>MKQC</v>
      </c>
      <c r="D1247" s="90" t="e">
        <f>#REF!</f>
        <v>#REF!</v>
      </c>
      <c r="E1247" s="97">
        <f>'Danh sách máy'!E1290</f>
        <v>0</v>
      </c>
      <c r="F1247" s="206" t="e">
        <f>#REF!</f>
        <v>#REF!</v>
      </c>
      <c r="G1247" s="102" t="e">
        <f>#REF!</f>
        <v>#REF!</v>
      </c>
      <c r="H1247" s="102" t="e">
        <f>#REF!</f>
        <v>#REF!</v>
      </c>
      <c r="K1247" s="210" t="e">
        <f>#REF!</f>
        <v>#REF!</v>
      </c>
      <c r="L1247" s="210">
        <v>45516</v>
      </c>
      <c r="M1247" s="210"/>
      <c r="N1247" s="210">
        <f>'Danh sách máy'!F1290</f>
        <v>0</v>
      </c>
      <c r="O1247" s="211" t="str" cm="1">
        <f t="array" ref="O1247">IF(L1247&lt;&gt;0,IF(L1247&lt;I1247,"OK","NG"),Blank)</f>
        <v>NG</v>
      </c>
      <c r="P1247" s="211" t="e" cm="1">
        <f t="array" ref="P1247">IF(M1247&lt;&gt;0,IF(M1247&lt;J1247,"OK","NG"),Blank)</f>
        <v>#NAME?</v>
      </c>
      <c r="Q1247" s="211" t="e" cm="1">
        <f t="array" ref="Q1247">IF(H1247&lt;&gt;"Stop",IF(N1247&lt;&gt;0,IF(N1247&lt;=K1247,"OK","NG"),Blank),"-")</f>
        <v>#REF!</v>
      </c>
      <c r="R1247" s="326" t="e" cm="1">
        <f t="array" ref="R1247">IF(H1247&lt;&gt;"Stop",IF(E1247&lt;&gt;0,IF(E1247&lt;=K1247,"OK","NG"),Blank),"-")</f>
        <v>#REF!</v>
      </c>
    </row>
    <row r="1248" spans="1:18" ht="15" hidden="1" x14ac:dyDescent="0.3">
      <c r="A1248" s="318" t="e">
        <f>#REF!</f>
        <v>#REF!</v>
      </c>
      <c r="B1248" s="305" t="e">
        <f>#REF!</f>
        <v>#REF!</v>
      </c>
      <c r="C1248" s="305" t="str">
        <f>'Danh sách máy'!C1291</f>
        <v>MKQC</v>
      </c>
      <c r="D1248" s="90" t="e">
        <f>#REF!</f>
        <v>#REF!</v>
      </c>
      <c r="E1248" s="97">
        <f>'Danh sách máy'!E1291</f>
        <v>0</v>
      </c>
      <c r="F1248" s="206" t="e">
        <f>#REF!</f>
        <v>#REF!</v>
      </c>
      <c r="G1248" s="102" t="e">
        <f>#REF!</f>
        <v>#REF!</v>
      </c>
      <c r="H1248" s="102" t="e">
        <f>#REF!</f>
        <v>#REF!</v>
      </c>
      <c r="K1248" s="210" t="e">
        <f>#REF!</f>
        <v>#REF!</v>
      </c>
      <c r="L1248" s="210">
        <v>45517</v>
      </c>
      <c r="M1248" s="210"/>
      <c r="N1248" s="210">
        <f>'Danh sách máy'!F1291</f>
        <v>0</v>
      </c>
      <c r="O1248" s="211" t="str" cm="1">
        <f t="array" ref="O1248">IF(L1248&lt;&gt;0,IF(L1248&lt;I1248,"OK","NG"),Blank)</f>
        <v>NG</v>
      </c>
      <c r="P1248" s="211" t="e" cm="1">
        <f t="array" ref="P1248">IF(M1248&lt;&gt;0,IF(M1248&lt;J1248,"OK","NG"),Blank)</f>
        <v>#NAME?</v>
      </c>
      <c r="Q1248" s="211" t="e" cm="1">
        <f t="array" ref="Q1248">IF(H1248&lt;&gt;"Stop",IF(N1248&lt;&gt;0,IF(N1248&lt;=K1248,"OK","NG"),Blank),"-")</f>
        <v>#REF!</v>
      </c>
      <c r="R1248" s="326" t="e" cm="1">
        <f t="array" ref="R1248">IF(H1248&lt;&gt;"Stop",IF(E1248&lt;&gt;0,IF(E1248&lt;=K1248,"OK","NG"),Blank),"-")</f>
        <v>#REF!</v>
      </c>
    </row>
    <row r="1249" spans="1:18" ht="15" hidden="1" x14ac:dyDescent="0.3">
      <c r="A1249" s="318" t="e">
        <f>#REF!</f>
        <v>#REF!</v>
      </c>
      <c r="B1249" s="305" t="e">
        <f>#REF!</f>
        <v>#REF!</v>
      </c>
      <c r="C1249" s="305" t="str">
        <f>'Danh sách máy'!C1292</f>
        <v>MKQC</v>
      </c>
      <c r="D1249" s="90" t="e">
        <f>#REF!</f>
        <v>#REF!</v>
      </c>
      <c r="E1249" s="97">
        <f>'Danh sách máy'!E1292</f>
        <v>0</v>
      </c>
      <c r="F1249" s="206" t="e">
        <f>#REF!</f>
        <v>#REF!</v>
      </c>
      <c r="G1249" s="102" t="e">
        <f>#REF!</f>
        <v>#REF!</v>
      </c>
      <c r="H1249" s="102" t="e">
        <f>#REF!</f>
        <v>#REF!</v>
      </c>
      <c r="K1249" s="210" t="e">
        <f>#REF!</f>
        <v>#REF!</v>
      </c>
      <c r="L1249" s="210">
        <v>45518</v>
      </c>
      <c r="M1249" s="210"/>
      <c r="N1249" s="210">
        <f>'Danh sách máy'!F1292</f>
        <v>0</v>
      </c>
      <c r="O1249" s="211" t="str" cm="1">
        <f t="array" ref="O1249">IF(L1249&lt;&gt;0,IF(L1249&lt;I1249,"OK","NG"),Blank)</f>
        <v>NG</v>
      </c>
      <c r="P1249" s="211" t="e" cm="1">
        <f t="array" ref="P1249">IF(M1249&lt;&gt;0,IF(M1249&lt;J1249,"OK","NG"),Blank)</f>
        <v>#NAME?</v>
      </c>
      <c r="Q1249" s="211" t="e" cm="1">
        <f t="array" ref="Q1249">IF(H1249&lt;&gt;"Stop",IF(N1249&lt;&gt;0,IF(N1249&lt;=K1249,"OK","NG"),Blank),"-")</f>
        <v>#REF!</v>
      </c>
      <c r="R1249" s="326" t="e" cm="1">
        <f t="array" ref="R1249">IF(H1249&lt;&gt;"Stop",IF(E1249&lt;&gt;0,IF(E1249&lt;=K1249,"OK","NG"),Blank),"-")</f>
        <v>#REF!</v>
      </c>
    </row>
    <row r="1250" spans="1:18" ht="15" hidden="1" x14ac:dyDescent="0.3">
      <c r="A1250" s="318" t="e">
        <f>#REF!</f>
        <v>#REF!</v>
      </c>
      <c r="B1250" s="305" t="e">
        <f>#REF!</f>
        <v>#REF!</v>
      </c>
      <c r="C1250" s="305" t="str">
        <f>'Danh sách máy'!C1293</f>
        <v>MKQC</v>
      </c>
      <c r="D1250" s="90" t="e">
        <f>#REF!</f>
        <v>#REF!</v>
      </c>
      <c r="E1250" s="97">
        <f>'Danh sách máy'!E1293</f>
        <v>0</v>
      </c>
      <c r="F1250" s="206" t="e">
        <f>#REF!</f>
        <v>#REF!</v>
      </c>
      <c r="G1250" s="102" t="e">
        <f>#REF!</f>
        <v>#REF!</v>
      </c>
      <c r="H1250" s="102" t="e">
        <f>#REF!</f>
        <v>#REF!</v>
      </c>
      <c r="K1250" s="210" t="e">
        <f>#REF!</f>
        <v>#REF!</v>
      </c>
      <c r="L1250" s="210">
        <v>45519</v>
      </c>
      <c r="M1250" s="210"/>
      <c r="N1250" s="210">
        <f>'Danh sách máy'!F1293</f>
        <v>0</v>
      </c>
      <c r="O1250" s="211" t="str" cm="1">
        <f t="array" ref="O1250">IF(L1250&lt;&gt;0,IF(L1250&lt;I1250,"OK","NG"),Blank)</f>
        <v>NG</v>
      </c>
      <c r="P1250" s="211" t="e" cm="1">
        <f t="array" ref="P1250">IF(M1250&lt;&gt;0,IF(M1250&lt;J1250,"OK","NG"),Blank)</f>
        <v>#NAME?</v>
      </c>
      <c r="Q1250" s="211" t="e" cm="1">
        <f t="array" ref="Q1250">IF(H1250&lt;&gt;"Stop",IF(N1250&lt;&gt;0,IF(N1250&lt;=K1250,"OK","NG"),Blank),"-")</f>
        <v>#REF!</v>
      </c>
      <c r="R1250" s="326" t="e" cm="1">
        <f t="array" ref="R1250">IF(H1250&lt;&gt;"Stop",IF(E1250&lt;&gt;0,IF(E1250&lt;=K1250,"OK","NG"),Blank),"-")</f>
        <v>#REF!</v>
      </c>
    </row>
    <row r="1251" spans="1:18" ht="15" hidden="1" x14ac:dyDescent="0.3">
      <c r="A1251" s="318" t="e">
        <f>#REF!</f>
        <v>#REF!</v>
      </c>
      <c r="B1251" s="305" t="e">
        <f>#REF!</f>
        <v>#REF!</v>
      </c>
      <c r="C1251" s="305" t="str">
        <f>'Danh sách máy'!C1294</f>
        <v>MKQC</v>
      </c>
      <c r="D1251" s="90" t="e">
        <f>#REF!</f>
        <v>#REF!</v>
      </c>
      <c r="E1251" s="97">
        <f>'Danh sách máy'!E1294</f>
        <v>0</v>
      </c>
      <c r="F1251" s="206" t="e">
        <f>#REF!</f>
        <v>#REF!</v>
      </c>
      <c r="G1251" s="102" t="e">
        <f>#REF!</f>
        <v>#REF!</v>
      </c>
      <c r="H1251" s="102" t="e">
        <f>#REF!</f>
        <v>#REF!</v>
      </c>
      <c r="K1251" s="210" t="e">
        <f>#REF!</f>
        <v>#REF!</v>
      </c>
      <c r="L1251" s="210">
        <v>45520</v>
      </c>
      <c r="M1251" s="210"/>
      <c r="N1251" s="210">
        <f>'Danh sách máy'!F1294</f>
        <v>0</v>
      </c>
      <c r="O1251" s="211" t="str" cm="1">
        <f t="array" ref="O1251">IF(L1251&lt;&gt;0,IF(L1251&lt;I1251,"OK","NG"),Blank)</f>
        <v>NG</v>
      </c>
      <c r="P1251" s="211" t="e" cm="1">
        <f t="array" ref="P1251">IF(M1251&lt;&gt;0,IF(M1251&lt;J1251,"OK","NG"),Blank)</f>
        <v>#NAME?</v>
      </c>
      <c r="Q1251" s="211" t="e" cm="1">
        <f t="array" ref="Q1251">IF(H1251&lt;&gt;"Stop",IF(N1251&lt;&gt;0,IF(N1251&lt;=K1251,"OK","NG"),Blank),"-")</f>
        <v>#REF!</v>
      </c>
      <c r="R1251" s="326" t="e" cm="1">
        <f t="array" ref="R1251">IF(H1251&lt;&gt;"Stop",IF(E1251&lt;&gt;0,IF(E1251&lt;=K1251,"OK","NG"),Blank),"-")</f>
        <v>#REF!</v>
      </c>
    </row>
    <row r="1252" spans="1:18" ht="15" hidden="1" x14ac:dyDescent="0.3">
      <c r="A1252" s="318" t="e">
        <f>#REF!</f>
        <v>#REF!</v>
      </c>
      <c r="B1252" s="305" t="e">
        <f>#REF!</f>
        <v>#REF!</v>
      </c>
      <c r="C1252" s="305" t="str">
        <f>'Danh sách máy'!C1295</f>
        <v>MKQC</v>
      </c>
      <c r="D1252" s="90" t="e">
        <f>#REF!</f>
        <v>#REF!</v>
      </c>
      <c r="E1252" s="97">
        <f>'Danh sách máy'!E1295</f>
        <v>0</v>
      </c>
      <c r="F1252" s="206" t="e">
        <f>#REF!</f>
        <v>#REF!</v>
      </c>
      <c r="G1252" s="102" t="e">
        <f>#REF!</f>
        <v>#REF!</v>
      </c>
      <c r="H1252" s="102" t="e">
        <f>#REF!</f>
        <v>#REF!</v>
      </c>
      <c r="K1252" s="210" t="e">
        <f>#REF!</f>
        <v>#REF!</v>
      </c>
      <c r="L1252" s="210">
        <v>45521</v>
      </c>
      <c r="M1252" s="210"/>
      <c r="N1252" s="210">
        <f>'Danh sách máy'!F1295</f>
        <v>0</v>
      </c>
      <c r="O1252" s="211" t="str" cm="1">
        <f t="array" ref="O1252">IF(L1252&lt;&gt;0,IF(L1252&lt;I1252,"OK","NG"),Blank)</f>
        <v>NG</v>
      </c>
      <c r="P1252" s="211" t="e" cm="1">
        <f t="array" ref="P1252">IF(M1252&lt;&gt;0,IF(M1252&lt;J1252,"OK","NG"),Blank)</f>
        <v>#NAME?</v>
      </c>
      <c r="Q1252" s="211" t="e" cm="1">
        <f t="array" ref="Q1252">IF(H1252&lt;&gt;"Stop",IF(N1252&lt;&gt;0,IF(N1252&lt;=K1252,"OK","NG"),Blank),"-")</f>
        <v>#REF!</v>
      </c>
      <c r="R1252" s="326" t="e" cm="1">
        <f t="array" ref="R1252">IF(H1252&lt;&gt;"Stop",IF(E1252&lt;&gt;0,IF(E1252&lt;=K1252,"OK","NG"),Blank),"-")</f>
        <v>#REF!</v>
      </c>
    </row>
    <row r="1253" spans="1:18" ht="15" hidden="1" x14ac:dyDescent="0.3">
      <c r="A1253" s="318" t="e">
        <f>#REF!</f>
        <v>#REF!</v>
      </c>
      <c r="B1253" s="305" t="e">
        <f>#REF!</f>
        <v>#REF!</v>
      </c>
      <c r="C1253" s="305" t="str">
        <f>'Danh sách máy'!C1296</f>
        <v>MKQC</v>
      </c>
      <c r="D1253" s="90" t="e">
        <f>#REF!</f>
        <v>#REF!</v>
      </c>
      <c r="E1253" s="97">
        <f>'Danh sách máy'!E1296</f>
        <v>0</v>
      </c>
      <c r="F1253" s="206" t="e">
        <f>#REF!</f>
        <v>#REF!</v>
      </c>
      <c r="G1253" s="102" t="e">
        <f>#REF!</f>
        <v>#REF!</v>
      </c>
      <c r="H1253" s="102" t="e">
        <f>#REF!</f>
        <v>#REF!</v>
      </c>
      <c r="K1253" s="210" t="e">
        <f>#REF!</f>
        <v>#REF!</v>
      </c>
      <c r="L1253" s="210">
        <v>45522</v>
      </c>
      <c r="M1253" s="210"/>
      <c r="N1253" s="210">
        <f>'Danh sách máy'!F1296</f>
        <v>0</v>
      </c>
      <c r="O1253" s="211" t="str" cm="1">
        <f t="array" ref="O1253">IF(L1253&lt;&gt;0,IF(L1253&lt;I1253,"OK","NG"),Blank)</f>
        <v>NG</v>
      </c>
      <c r="P1253" s="211" t="e" cm="1">
        <f t="array" ref="P1253">IF(M1253&lt;&gt;0,IF(M1253&lt;J1253,"OK","NG"),Blank)</f>
        <v>#NAME?</v>
      </c>
      <c r="Q1253" s="211" t="e" cm="1">
        <f t="array" ref="Q1253">IF(H1253&lt;&gt;"Stop",IF(N1253&lt;&gt;0,IF(N1253&lt;=K1253,"OK","NG"),Blank),"-")</f>
        <v>#REF!</v>
      </c>
      <c r="R1253" s="326" t="e" cm="1">
        <f t="array" ref="R1253">IF(H1253&lt;&gt;"Stop",IF(E1253&lt;&gt;0,IF(E1253&lt;=K1253,"OK","NG"),Blank),"-")</f>
        <v>#REF!</v>
      </c>
    </row>
    <row r="1254" spans="1:18" ht="15" hidden="1" x14ac:dyDescent="0.3">
      <c r="A1254" s="318" t="e">
        <f>#REF!</f>
        <v>#REF!</v>
      </c>
      <c r="B1254" s="305" t="e">
        <f>#REF!</f>
        <v>#REF!</v>
      </c>
      <c r="C1254" s="305" t="str">
        <f>'Danh sách máy'!C1297</f>
        <v>MKQC</v>
      </c>
      <c r="D1254" s="90" t="e">
        <f>#REF!</f>
        <v>#REF!</v>
      </c>
      <c r="E1254" s="97">
        <f>'Danh sách máy'!E1297</f>
        <v>0</v>
      </c>
      <c r="F1254" s="206" t="e">
        <f>#REF!</f>
        <v>#REF!</v>
      </c>
      <c r="G1254" s="102" t="e">
        <f>#REF!</f>
        <v>#REF!</v>
      </c>
      <c r="H1254" s="102" t="e">
        <f>#REF!</f>
        <v>#REF!</v>
      </c>
      <c r="K1254" s="210" t="e">
        <f>#REF!</f>
        <v>#REF!</v>
      </c>
      <c r="L1254" s="210">
        <v>45523</v>
      </c>
      <c r="M1254" s="210"/>
      <c r="N1254" s="210">
        <f>'Danh sách máy'!F1297</f>
        <v>0</v>
      </c>
      <c r="O1254" s="211" t="str" cm="1">
        <f t="array" ref="O1254">IF(L1254&lt;&gt;0,IF(L1254&lt;I1254,"OK","NG"),Blank)</f>
        <v>NG</v>
      </c>
      <c r="P1254" s="211" t="e" cm="1">
        <f t="array" ref="P1254">IF(M1254&lt;&gt;0,IF(M1254&lt;J1254,"OK","NG"),Blank)</f>
        <v>#NAME?</v>
      </c>
      <c r="Q1254" s="211" t="e" cm="1">
        <f t="array" ref="Q1254">IF(H1254&lt;&gt;"Stop",IF(N1254&lt;&gt;0,IF(N1254&lt;=K1254,"OK","NG"),Blank),"-")</f>
        <v>#REF!</v>
      </c>
      <c r="R1254" s="326" t="e" cm="1">
        <f t="array" ref="R1254">IF(H1254&lt;&gt;"Stop",IF(E1254&lt;&gt;0,IF(E1254&lt;=K1254,"OK","NG"),Blank),"-")</f>
        <v>#REF!</v>
      </c>
    </row>
    <row r="1255" spans="1:18" ht="15" hidden="1" x14ac:dyDescent="0.3">
      <c r="A1255" s="318" t="e">
        <f>#REF!</f>
        <v>#REF!</v>
      </c>
      <c r="B1255" s="305" t="e">
        <f>#REF!</f>
        <v>#REF!</v>
      </c>
      <c r="C1255" s="305" t="str">
        <f>'Danh sách máy'!C1298</f>
        <v>MKQC</v>
      </c>
      <c r="D1255" s="90" t="e">
        <f>#REF!</f>
        <v>#REF!</v>
      </c>
      <c r="E1255" s="97">
        <f>'Danh sách máy'!E1298</f>
        <v>0</v>
      </c>
      <c r="F1255" s="206" t="e">
        <f>#REF!</f>
        <v>#REF!</v>
      </c>
      <c r="G1255" s="102" t="e">
        <f>#REF!</f>
        <v>#REF!</v>
      </c>
      <c r="H1255" s="102" t="e">
        <f>#REF!</f>
        <v>#REF!</v>
      </c>
      <c r="K1255" s="210" t="e">
        <f>#REF!</f>
        <v>#REF!</v>
      </c>
      <c r="L1255" s="210">
        <v>45524</v>
      </c>
      <c r="M1255" s="210"/>
      <c r="N1255" s="210">
        <f>'Danh sách máy'!F1298</f>
        <v>0</v>
      </c>
      <c r="O1255" s="211" t="str" cm="1">
        <f t="array" ref="O1255">IF(L1255&lt;&gt;0,IF(L1255&lt;I1255,"OK","NG"),Blank)</f>
        <v>NG</v>
      </c>
      <c r="P1255" s="211" t="e" cm="1">
        <f t="array" ref="P1255">IF(M1255&lt;&gt;0,IF(M1255&lt;J1255,"OK","NG"),Blank)</f>
        <v>#NAME?</v>
      </c>
      <c r="Q1255" s="211" t="e" cm="1">
        <f t="array" ref="Q1255">IF(H1255&lt;&gt;"Stop",IF(N1255&lt;&gt;0,IF(N1255&lt;=K1255,"OK","NG"),Blank),"-")</f>
        <v>#REF!</v>
      </c>
      <c r="R1255" s="326" t="e" cm="1">
        <f t="array" ref="R1255">IF(H1255&lt;&gt;"Stop",IF(E1255&lt;&gt;0,IF(E1255&lt;=K1255,"OK","NG"),Blank),"-")</f>
        <v>#REF!</v>
      </c>
    </row>
    <row r="1256" spans="1:18" ht="15" hidden="1" x14ac:dyDescent="0.3">
      <c r="A1256" s="318" t="e">
        <f>#REF!</f>
        <v>#REF!</v>
      </c>
      <c r="B1256" s="305" t="e">
        <f>#REF!</f>
        <v>#REF!</v>
      </c>
      <c r="C1256" s="305" t="str">
        <f>'Danh sách máy'!C1299</f>
        <v>MKQC</v>
      </c>
      <c r="D1256" s="90" t="e">
        <f>#REF!</f>
        <v>#REF!</v>
      </c>
      <c r="E1256" s="97">
        <f>'Danh sách máy'!E1299</f>
        <v>0</v>
      </c>
      <c r="F1256" s="206" t="e">
        <f>#REF!</f>
        <v>#REF!</v>
      </c>
      <c r="G1256" s="102" t="e">
        <f>#REF!</f>
        <v>#REF!</v>
      </c>
      <c r="H1256" s="102" t="e">
        <f>#REF!</f>
        <v>#REF!</v>
      </c>
      <c r="K1256" s="210" t="e">
        <f>#REF!</f>
        <v>#REF!</v>
      </c>
      <c r="L1256" s="210">
        <v>45525</v>
      </c>
      <c r="M1256" s="210"/>
      <c r="N1256" s="210">
        <f>'Danh sách máy'!F1299</f>
        <v>0</v>
      </c>
      <c r="O1256" s="211" t="str" cm="1">
        <f t="array" ref="O1256">IF(L1256&lt;&gt;0,IF(L1256&lt;I1256,"OK","NG"),Blank)</f>
        <v>NG</v>
      </c>
      <c r="P1256" s="211" t="e" cm="1">
        <f t="array" ref="P1256">IF(M1256&lt;&gt;0,IF(M1256&lt;J1256,"OK","NG"),Blank)</f>
        <v>#NAME?</v>
      </c>
      <c r="Q1256" s="211" t="e" cm="1">
        <f t="array" ref="Q1256">IF(H1256&lt;&gt;"Stop",IF(N1256&lt;&gt;0,IF(N1256&lt;=K1256,"OK","NG"),Blank),"-")</f>
        <v>#REF!</v>
      </c>
      <c r="R1256" s="326" t="e" cm="1">
        <f t="array" ref="R1256">IF(H1256&lt;&gt;"Stop",IF(E1256&lt;&gt;0,IF(E1256&lt;=K1256,"OK","NG"),Blank),"-")</f>
        <v>#REF!</v>
      </c>
    </row>
    <row r="1257" spans="1:18" ht="15" hidden="1" x14ac:dyDescent="0.3">
      <c r="A1257" s="318" t="e">
        <f>#REF!</f>
        <v>#REF!</v>
      </c>
      <c r="B1257" s="305" t="e">
        <f>#REF!</f>
        <v>#REF!</v>
      </c>
      <c r="C1257" s="305" t="str">
        <f>'Danh sách máy'!C1300</f>
        <v>MKQC</v>
      </c>
      <c r="D1257" s="90" t="e">
        <f>#REF!</f>
        <v>#REF!</v>
      </c>
      <c r="E1257" s="97">
        <f>'Danh sách máy'!E1300</f>
        <v>0</v>
      </c>
      <c r="F1257" s="206" t="e">
        <f>#REF!</f>
        <v>#REF!</v>
      </c>
      <c r="G1257" s="102" t="e">
        <f>#REF!</f>
        <v>#REF!</v>
      </c>
      <c r="H1257" s="102" t="e">
        <f>#REF!</f>
        <v>#REF!</v>
      </c>
      <c r="K1257" s="210" t="e">
        <f>#REF!</f>
        <v>#REF!</v>
      </c>
      <c r="L1257" s="210">
        <v>45526</v>
      </c>
      <c r="M1257" s="210"/>
      <c r="N1257" s="210">
        <f>'Danh sách máy'!F1300</f>
        <v>0</v>
      </c>
      <c r="O1257" s="211" t="str" cm="1">
        <f t="array" ref="O1257">IF(L1257&lt;&gt;0,IF(L1257&lt;I1257,"OK","NG"),Blank)</f>
        <v>NG</v>
      </c>
      <c r="P1257" s="211" t="e" cm="1">
        <f t="array" ref="P1257">IF(M1257&lt;&gt;0,IF(M1257&lt;J1257,"OK","NG"),Blank)</f>
        <v>#NAME?</v>
      </c>
      <c r="Q1257" s="211" t="e" cm="1">
        <f t="array" ref="Q1257">IF(H1257&lt;&gt;"Stop",IF(N1257&lt;&gt;0,IF(N1257&lt;=K1257,"OK","NG"),Blank),"-")</f>
        <v>#REF!</v>
      </c>
      <c r="R1257" s="326" t="e" cm="1">
        <f t="array" ref="R1257">IF(H1257&lt;&gt;"Stop",IF(E1257&lt;&gt;0,IF(E1257&lt;=K1257,"OK","NG"),Blank),"-")</f>
        <v>#REF!</v>
      </c>
    </row>
    <row r="1258" spans="1:18" ht="15" hidden="1" x14ac:dyDescent="0.3">
      <c r="A1258" s="318" t="e">
        <f>#REF!</f>
        <v>#REF!</v>
      </c>
      <c r="B1258" s="305" t="e">
        <f>#REF!</f>
        <v>#REF!</v>
      </c>
      <c r="C1258" s="305" t="str">
        <f>'Danh sách máy'!C1301</f>
        <v>MKQC</v>
      </c>
      <c r="D1258" s="90" t="e">
        <f>#REF!</f>
        <v>#REF!</v>
      </c>
      <c r="E1258" s="97">
        <f>'Danh sách máy'!E1301</f>
        <v>0</v>
      </c>
      <c r="F1258" s="206" t="e">
        <f>#REF!</f>
        <v>#REF!</v>
      </c>
      <c r="G1258" s="102" t="e">
        <f>#REF!</f>
        <v>#REF!</v>
      </c>
      <c r="H1258" s="102" t="e">
        <f>#REF!</f>
        <v>#REF!</v>
      </c>
      <c r="K1258" s="210" t="e">
        <f>#REF!</f>
        <v>#REF!</v>
      </c>
      <c r="L1258" s="210">
        <v>45527</v>
      </c>
      <c r="M1258" s="210"/>
      <c r="N1258" s="210">
        <f>'Danh sách máy'!F1301</f>
        <v>0</v>
      </c>
      <c r="O1258" s="211" t="str" cm="1">
        <f t="array" ref="O1258">IF(L1258&lt;&gt;0,IF(L1258&lt;I1258,"OK","NG"),Blank)</f>
        <v>NG</v>
      </c>
      <c r="P1258" s="211" t="e" cm="1">
        <f t="array" ref="P1258">IF(M1258&lt;&gt;0,IF(M1258&lt;J1258,"OK","NG"),Blank)</f>
        <v>#NAME?</v>
      </c>
      <c r="Q1258" s="211" t="e" cm="1">
        <f t="array" ref="Q1258">IF(H1258&lt;&gt;"Stop",IF(N1258&lt;&gt;0,IF(N1258&lt;=K1258,"OK","NG"),Blank),"-")</f>
        <v>#REF!</v>
      </c>
      <c r="R1258" s="326" t="e" cm="1">
        <f t="array" ref="R1258">IF(H1258&lt;&gt;"Stop",IF(E1258&lt;&gt;0,IF(E1258&lt;=K1258,"OK","NG"),Blank),"-")</f>
        <v>#REF!</v>
      </c>
    </row>
    <row r="1259" spans="1:18" ht="15" hidden="1" x14ac:dyDescent="0.3">
      <c r="A1259" s="318" t="e">
        <f>#REF!</f>
        <v>#REF!</v>
      </c>
      <c r="B1259" s="305" t="e">
        <f>#REF!</f>
        <v>#REF!</v>
      </c>
      <c r="C1259" s="305" t="str">
        <f>'Danh sách máy'!C1302</f>
        <v>MKQC</v>
      </c>
      <c r="D1259" s="90" t="e">
        <f>#REF!</f>
        <v>#REF!</v>
      </c>
      <c r="E1259" s="97">
        <f>'Danh sách máy'!E1302</f>
        <v>0</v>
      </c>
      <c r="F1259" s="206" t="e">
        <f>#REF!</f>
        <v>#REF!</v>
      </c>
      <c r="G1259" s="102" t="e">
        <f>#REF!</f>
        <v>#REF!</v>
      </c>
      <c r="H1259" s="102" t="e">
        <f>#REF!</f>
        <v>#REF!</v>
      </c>
      <c r="K1259" s="210" t="e">
        <f>#REF!</f>
        <v>#REF!</v>
      </c>
      <c r="L1259" s="210">
        <v>45528</v>
      </c>
      <c r="M1259" s="210"/>
      <c r="N1259" s="210">
        <f>'Danh sách máy'!F1302</f>
        <v>0</v>
      </c>
      <c r="O1259" s="211" t="str" cm="1">
        <f t="array" ref="O1259">IF(L1259&lt;&gt;0,IF(L1259&lt;I1259,"OK","NG"),Blank)</f>
        <v>NG</v>
      </c>
      <c r="P1259" s="211" t="e" cm="1">
        <f t="array" ref="P1259">IF(M1259&lt;&gt;0,IF(M1259&lt;J1259,"OK","NG"),Blank)</f>
        <v>#NAME?</v>
      </c>
      <c r="Q1259" s="211" t="e" cm="1">
        <f t="array" ref="Q1259">IF(H1259&lt;&gt;"Stop",IF(N1259&lt;&gt;0,IF(N1259&lt;=K1259,"OK","NG"),Blank),"-")</f>
        <v>#REF!</v>
      </c>
      <c r="R1259" s="326" t="e" cm="1">
        <f t="array" ref="R1259">IF(H1259&lt;&gt;"Stop",IF(E1259&lt;&gt;0,IF(E1259&lt;=K1259,"OK","NG"),Blank),"-")</f>
        <v>#REF!</v>
      </c>
    </row>
    <row r="1260" spans="1:18" ht="15" hidden="1" x14ac:dyDescent="0.3">
      <c r="A1260" s="318" t="e">
        <f>#REF!</f>
        <v>#REF!</v>
      </c>
      <c r="B1260" s="305" t="e">
        <f>#REF!</f>
        <v>#REF!</v>
      </c>
      <c r="C1260" s="305" t="str">
        <f>'Danh sách máy'!C1303</f>
        <v>MKQC</v>
      </c>
      <c r="D1260" s="90" t="e">
        <f>#REF!</f>
        <v>#REF!</v>
      </c>
      <c r="E1260" s="97">
        <f>'Danh sách máy'!E1303</f>
        <v>0</v>
      </c>
      <c r="F1260" s="206" t="e">
        <f>#REF!</f>
        <v>#REF!</v>
      </c>
      <c r="G1260" s="102" t="e">
        <f>#REF!</f>
        <v>#REF!</v>
      </c>
      <c r="H1260" s="102" t="e">
        <f>#REF!</f>
        <v>#REF!</v>
      </c>
      <c r="K1260" s="210" t="e">
        <f>#REF!</f>
        <v>#REF!</v>
      </c>
      <c r="L1260" s="210">
        <v>45529</v>
      </c>
      <c r="M1260" s="210"/>
      <c r="N1260" s="210">
        <f>'Danh sách máy'!F1303</f>
        <v>0</v>
      </c>
      <c r="O1260" s="211" t="str" cm="1">
        <f t="array" ref="O1260">IF(L1260&lt;&gt;0,IF(L1260&lt;I1260,"OK","NG"),Blank)</f>
        <v>NG</v>
      </c>
      <c r="P1260" s="211" t="e" cm="1">
        <f t="array" ref="P1260">IF(M1260&lt;&gt;0,IF(M1260&lt;J1260,"OK","NG"),Blank)</f>
        <v>#NAME?</v>
      </c>
      <c r="Q1260" s="211" t="e" cm="1">
        <f t="array" ref="Q1260">IF(H1260&lt;&gt;"Stop",IF(N1260&lt;&gt;0,IF(N1260&lt;=K1260,"OK","NG"),Blank),"-")</f>
        <v>#REF!</v>
      </c>
      <c r="R1260" s="326" t="e" cm="1">
        <f t="array" ref="R1260">IF(H1260&lt;&gt;"Stop",IF(E1260&lt;&gt;0,IF(E1260&lt;=K1260,"OK","NG"),Blank),"-")</f>
        <v>#REF!</v>
      </c>
    </row>
    <row r="1261" spans="1:18" ht="15" hidden="1" x14ac:dyDescent="0.3">
      <c r="A1261" s="318" t="e">
        <f>#REF!</f>
        <v>#REF!</v>
      </c>
      <c r="B1261" s="305" t="e">
        <f>#REF!</f>
        <v>#REF!</v>
      </c>
      <c r="C1261" s="305" t="str">
        <f>'Danh sách máy'!C1304</f>
        <v>MKQC</v>
      </c>
      <c r="D1261" s="90" t="e">
        <f>#REF!</f>
        <v>#REF!</v>
      </c>
      <c r="E1261" s="97">
        <f>'Danh sách máy'!E1304</f>
        <v>0</v>
      </c>
      <c r="F1261" s="206" t="e">
        <f>#REF!</f>
        <v>#REF!</v>
      </c>
      <c r="G1261" s="102" t="e">
        <f>#REF!</f>
        <v>#REF!</v>
      </c>
      <c r="H1261" s="102" t="e">
        <f>#REF!</f>
        <v>#REF!</v>
      </c>
      <c r="K1261" s="210" t="e">
        <f>#REF!</f>
        <v>#REF!</v>
      </c>
      <c r="L1261" s="210">
        <v>45530</v>
      </c>
      <c r="M1261" s="210"/>
      <c r="N1261" s="210">
        <f>'Danh sách máy'!F1304</f>
        <v>0</v>
      </c>
      <c r="O1261" s="211" t="str" cm="1">
        <f t="array" ref="O1261">IF(L1261&lt;&gt;0,IF(L1261&lt;I1261,"OK","NG"),Blank)</f>
        <v>NG</v>
      </c>
      <c r="P1261" s="211" t="e" cm="1">
        <f t="array" ref="P1261">IF(M1261&lt;&gt;0,IF(M1261&lt;J1261,"OK","NG"),Blank)</f>
        <v>#NAME?</v>
      </c>
      <c r="Q1261" s="211" t="e" cm="1">
        <f t="array" ref="Q1261">IF(H1261&lt;&gt;"Stop",IF(N1261&lt;&gt;0,IF(N1261&lt;=K1261,"OK","NG"),Blank),"-")</f>
        <v>#REF!</v>
      </c>
      <c r="R1261" s="326" t="e" cm="1">
        <f t="array" ref="R1261">IF(H1261&lt;&gt;"Stop",IF(E1261&lt;&gt;0,IF(E1261&lt;=K1261,"OK","NG"),Blank),"-")</f>
        <v>#REF!</v>
      </c>
    </row>
    <row r="1262" spans="1:18" ht="15" hidden="1" x14ac:dyDescent="0.3">
      <c r="A1262" s="318" t="e">
        <f>#REF!</f>
        <v>#REF!</v>
      </c>
      <c r="B1262" s="305" t="e">
        <f>#REF!</f>
        <v>#REF!</v>
      </c>
      <c r="C1262" s="305" t="str">
        <f>'Danh sách máy'!C1305</f>
        <v>MKQC</v>
      </c>
      <c r="D1262" s="90" t="e">
        <f>#REF!</f>
        <v>#REF!</v>
      </c>
      <c r="E1262" s="97">
        <f>'Danh sách máy'!E1305</f>
        <v>0</v>
      </c>
      <c r="F1262" s="206" t="e">
        <f>#REF!</f>
        <v>#REF!</v>
      </c>
      <c r="G1262" s="102" t="e">
        <f>#REF!</f>
        <v>#REF!</v>
      </c>
      <c r="H1262" s="102" t="e">
        <f>#REF!</f>
        <v>#REF!</v>
      </c>
      <c r="K1262" s="210" t="e">
        <f>#REF!</f>
        <v>#REF!</v>
      </c>
      <c r="L1262" s="210">
        <v>45531</v>
      </c>
      <c r="M1262" s="210"/>
      <c r="N1262" s="210">
        <f>'Danh sách máy'!F1305</f>
        <v>0</v>
      </c>
      <c r="O1262" s="211" t="str" cm="1">
        <f t="array" ref="O1262">IF(L1262&lt;&gt;0,IF(L1262&lt;I1262,"OK","NG"),Blank)</f>
        <v>NG</v>
      </c>
      <c r="P1262" s="211" t="e" cm="1">
        <f t="array" ref="P1262">IF(M1262&lt;&gt;0,IF(M1262&lt;J1262,"OK","NG"),Blank)</f>
        <v>#NAME?</v>
      </c>
      <c r="Q1262" s="211" t="e" cm="1">
        <f t="array" ref="Q1262">IF(H1262&lt;&gt;"Stop",IF(N1262&lt;&gt;0,IF(N1262&lt;=K1262,"OK","NG"),Blank),"-")</f>
        <v>#REF!</v>
      </c>
      <c r="R1262" s="326" t="e" cm="1">
        <f t="array" ref="R1262">IF(H1262&lt;&gt;"Stop",IF(E1262&lt;&gt;0,IF(E1262&lt;=K1262,"OK","NG"),Blank),"-")</f>
        <v>#REF!</v>
      </c>
    </row>
    <row r="1263" spans="1:18" ht="15" hidden="1" x14ac:dyDescent="0.3">
      <c r="A1263" s="318" t="e">
        <f>#REF!</f>
        <v>#REF!</v>
      </c>
      <c r="B1263" s="305" t="e">
        <f>#REF!</f>
        <v>#REF!</v>
      </c>
      <c r="C1263" s="305">
        <f>'Danh sách máy'!C1306</f>
        <v>0</v>
      </c>
      <c r="D1263" s="90" t="e">
        <f>#REF!</f>
        <v>#REF!</v>
      </c>
      <c r="E1263" s="97">
        <f>'Danh sách máy'!E1306</f>
        <v>0</v>
      </c>
      <c r="F1263" s="206" t="e">
        <f>#REF!</f>
        <v>#REF!</v>
      </c>
      <c r="G1263" s="102" t="e">
        <f>#REF!</f>
        <v>#REF!</v>
      </c>
      <c r="H1263" s="102" t="e">
        <f>#REF!</f>
        <v>#REF!</v>
      </c>
      <c r="K1263" s="210" t="e">
        <f>#REF!</f>
        <v>#REF!</v>
      </c>
      <c r="L1263" s="210">
        <v>45532</v>
      </c>
      <c r="M1263" s="210"/>
      <c r="N1263" s="210">
        <f>'Danh sách máy'!F1306</f>
        <v>0</v>
      </c>
      <c r="O1263" s="211" t="str" cm="1">
        <f t="array" ref="O1263">IF(L1263&lt;&gt;0,IF(L1263&lt;I1263,"OK","NG"),Blank)</f>
        <v>NG</v>
      </c>
      <c r="P1263" s="211" t="e" cm="1">
        <f t="array" ref="P1263">IF(M1263&lt;&gt;0,IF(M1263&lt;J1263,"OK","NG"),Blank)</f>
        <v>#NAME?</v>
      </c>
      <c r="Q1263" s="211" t="e" cm="1">
        <f t="array" ref="Q1263">IF(H1263&lt;&gt;"Stop",IF(N1263&lt;&gt;0,IF(N1263&lt;=K1263,"OK","NG"),Blank),"-")</f>
        <v>#REF!</v>
      </c>
      <c r="R1263" s="326" t="e" cm="1">
        <f t="array" ref="R1263">IF(H1263&lt;&gt;"Stop",IF(E1263&lt;&gt;0,IF(E1263&lt;=K1263,"OK","NG"),Blank),"-")</f>
        <v>#REF!</v>
      </c>
    </row>
    <row r="1264" spans="1:18" ht="15" hidden="1" x14ac:dyDescent="0.3">
      <c r="A1264" s="318" t="e">
        <f>#REF!</f>
        <v>#REF!</v>
      </c>
      <c r="B1264" s="305" t="e">
        <f>#REF!</f>
        <v>#REF!</v>
      </c>
      <c r="C1264" s="305" t="str">
        <f>'Danh sách máy'!C1307</f>
        <v>Fact.4</v>
      </c>
      <c r="D1264" s="90" t="e">
        <f>#REF!</f>
        <v>#REF!</v>
      </c>
      <c r="E1264" s="97">
        <f>'Danh sách máy'!E1307</f>
        <v>0</v>
      </c>
      <c r="F1264" s="206" t="e">
        <f>#REF!</f>
        <v>#REF!</v>
      </c>
      <c r="G1264" s="102" t="e">
        <f>#REF!</f>
        <v>#REF!</v>
      </c>
      <c r="H1264" s="102" t="e">
        <f>#REF!</f>
        <v>#REF!</v>
      </c>
      <c r="K1264" s="210" t="e">
        <f>#REF!</f>
        <v>#REF!</v>
      </c>
      <c r="L1264" s="210">
        <v>45533</v>
      </c>
      <c r="M1264" s="210"/>
      <c r="N1264" s="210">
        <f>'Danh sách máy'!F1307</f>
        <v>0</v>
      </c>
      <c r="O1264" s="211" t="str" cm="1">
        <f t="array" ref="O1264">IF(L1264&lt;&gt;0,IF(L1264&lt;I1264,"OK","NG"),Blank)</f>
        <v>NG</v>
      </c>
      <c r="P1264" s="211" t="e" cm="1">
        <f t="array" ref="P1264">IF(M1264&lt;&gt;0,IF(M1264&lt;J1264,"OK","NG"),Blank)</f>
        <v>#NAME?</v>
      </c>
      <c r="Q1264" s="211" t="e" cm="1">
        <f t="array" ref="Q1264">IF(H1264&lt;&gt;"Stop",IF(N1264&lt;&gt;0,IF(N1264&lt;=K1264,"OK","NG"),Blank),"-")</f>
        <v>#REF!</v>
      </c>
      <c r="R1264" s="326" t="e" cm="1">
        <f t="array" ref="R1264">IF(H1264&lt;&gt;"Stop",IF(E1264&lt;&gt;0,IF(E1264&lt;=K1264,"OK","NG"),Blank),"-")</f>
        <v>#REF!</v>
      </c>
    </row>
    <row r="1265" spans="1:18" ht="15" hidden="1" x14ac:dyDescent="0.3">
      <c r="A1265" s="318" t="e">
        <f>#REF!</f>
        <v>#REF!</v>
      </c>
      <c r="B1265" s="305" t="e">
        <f>#REF!</f>
        <v>#REF!</v>
      </c>
      <c r="C1265" s="305" t="str">
        <f>'Danh sách máy'!C1308</f>
        <v>Fact.4</v>
      </c>
      <c r="D1265" s="90" t="e">
        <f>#REF!</f>
        <v>#REF!</v>
      </c>
      <c r="E1265" s="97">
        <f>'Danh sách máy'!E1308</f>
        <v>0</v>
      </c>
      <c r="F1265" s="206" t="e">
        <f>#REF!</f>
        <v>#REF!</v>
      </c>
      <c r="G1265" s="102" t="e">
        <f>#REF!</f>
        <v>#REF!</v>
      </c>
      <c r="H1265" s="102" t="e">
        <f>#REF!</f>
        <v>#REF!</v>
      </c>
      <c r="K1265" s="210" t="e">
        <f>#REF!</f>
        <v>#REF!</v>
      </c>
      <c r="L1265" s="210">
        <v>45534</v>
      </c>
      <c r="M1265" s="210"/>
      <c r="N1265" s="210">
        <f>'Danh sách máy'!F1308</f>
        <v>0</v>
      </c>
      <c r="O1265" s="211" t="str" cm="1">
        <f t="array" ref="O1265">IF(L1265&lt;&gt;0,IF(L1265&lt;I1265,"OK","NG"),Blank)</f>
        <v>NG</v>
      </c>
      <c r="P1265" s="211" t="e" cm="1">
        <f t="array" ref="P1265">IF(M1265&lt;&gt;0,IF(M1265&lt;J1265,"OK","NG"),Blank)</f>
        <v>#NAME?</v>
      </c>
      <c r="Q1265" s="211" t="e" cm="1">
        <f t="array" ref="Q1265">IF(H1265&lt;&gt;"Stop",IF(N1265&lt;&gt;0,IF(N1265&lt;=K1265,"OK","NG"),Blank),"-")</f>
        <v>#REF!</v>
      </c>
      <c r="R1265" s="326" t="e" cm="1">
        <f t="array" ref="R1265">IF(H1265&lt;&gt;"Stop",IF(E1265&lt;&gt;0,IF(E1265&lt;=K1265,"OK","NG"),Blank),"-")</f>
        <v>#REF!</v>
      </c>
    </row>
    <row r="1266" spans="1:18" ht="15" hidden="1" x14ac:dyDescent="0.3">
      <c r="A1266" s="318" t="e">
        <f>#REF!</f>
        <v>#REF!</v>
      </c>
      <c r="B1266" s="305" t="e">
        <f>#REF!</f>
        <v>#REF!</v>
      </c>
      <c r="C1266" s="305" t="str">
        <f>'Danh sách máy'!C1309</f>
        <v>Fact.4</v>
      </c>
      <c r="D1266" s="90" t="e">
        <f>#REF!</f>
        <v>#REF!</v>
      </c>
      <c r="E1266" s="97">
        <f>'Danh sách máy'!E1309</f>
        <v>0</v>
      </c>
      <c r="F1266" s="206" t="e">
        <f>#REF!</f>
        <v>#REF!</v>
      </c>
      <c r="G1266" s="102" t="e">
        <f>#REF!</f>
        <v>#REF!</v>
      </c>
      <c r="H1266" s="102" t="e">
        <f>#REF!</f>
        <v>#REF!</v>
      </c>
      <c r="K1266" s="210" t="e">
        <f>#REF!</f>
        <v>#REF!</v>
      </c>
      <c r="L1266" s="210">
        <v>45535</v>
      </c>
      <c r="M1266" s="210"/>
      <c r="N1266" s="210">
        <f>'Danh sách máy'!F1309</f>
        <v>0</v>
      </c>
      <c r="O1266" s="211" t="str" cm="1">
        <f t="array" ref="O1266">IF(L1266&lt;&gt;0,IF(L1266&lt;I1266,"OK","NG"),Blank)</f>
        <v>NG</v>
      </c>
      <c r="P1266" s="211" t="e" cm="1">
        <f t="array" ref="P1266">IF(M1266&lt;&gt;0,IF(M1266&lt;J1266,"OK","NG"),Blank)</f>
        <v>#NAME?</v>
      </c>
      <c r="Q1266" s="211" t="e" cm="1">
        <f t="array" ref="Q1266">IF(H1266&lt;&gt;"Stop",IF(N1266&lt;&gt;0,IF(N1266&lt;=K1266,"OK","NG"),Blank),"-")</f>
        <v>#REF!</v>
      </c>
      <c r="R1266" s="326" t="e" cm="1">
        <f t="array" ref="R1266">IF(H1266&lt;&gt;"Stop",IF(E1266&lt;&gt;0,IF(E1266&lt;=K1266,"OK","NG"),Blank),"-")</f>
        <v>#REF!</v>
      </c>
    </row>
    <row r="1267" spans="1:18" ht="15" hidden="1" x14ac:dyDescent="0.3">
      <c r="A1267" s="318" t="e">
        <f>#REF!</f>
        <v>#REF!</v>
      </c>
      <c r="B1267" s="305" t="e">
        <f>#REF!</f>
        <v>#REF!</v>
      </c>
      <c r="C1267" s="305" t="str">
        <f>'Danh sách máy'!C1310</f>
        <v>Fact.4</v>
      </c>
      <c r="D1267" s="90" t="e">
        <f>#REF!</f>
        <v>#REF!</v>
      </c>
      <c r="E1267" s="97">
        <f>'Danh sách máy'!E1310</f>
        <v>0</v>
      </c>
      <c r="F1267" s="206" t="e">
        <f>#REF!</f>
        <v>#REF!</v>
      </c>
      <c r="G1267" s="102" t="e">
        <f>#REF!</f>
        <v>#REF!</v>
      </c>
      <c r="H1267" s="102" t="e">
        <f>#REF!</f>
        <v>#REF!</v>
      </c>
      <c r="K1267" s="210" t="e">
        <f>#REF!</f>
        <v>#REF!</v>
      </c>
      <c r="L1267" s="210">
        <v>45536</v>
      </c>
      <c r="M1267" s="210"/>
      <c r="N1267" s="210">
        <f>'Danh sách máy'!F1310</f>
        <v>0</v>
      </c>
      <c r="O1267" s="211" t="str" cm="1">
        <f t="array" ref="O1267">IF(L1267&lt;&gt;0,IF(L1267&lt;I1267,"OK","NG"),Blank)</f>
        <v>NG</v>
      </c>
      <c r="P1267" s="211" t="e" cm="1">
        <f t="array" ref="P1267">IF(M1267&lt;&gt;0,IF(M1267&lt;J1267,"OK","NG"),Blank)</f>
        <v>#NAME?</v>
      </c>
      <c r="Q1267" s="211" t="e" cm="1">
        <f t="array" ref="Q1267">IF(H1267&lt;&gt;"Stop",IF(N1267&lt;&gt;0,IF(N1267&lt;=K1267,"OK","NG"),Blank),"-")</f>
        <v>#REF!</v>
      </c>
      <c r="R1267" s="326" t="e" cm="1">
        <f t="array" ref="R1267">IF(H1267&lt;&gt;"Stop",IF(E1267&lt;&gt;0,IF(E1267&lt;=K1267,"OK","NG"),Blank),"-")</f>
        <v>#REF!</v>
      </c>
    </row>
    <row r="1268" spans="1:18" ht="15" hidden="1" x14ac:dyDescent="0.3">
      <c r="A1268" s="318" t="e">
        <f>#REF!</f>
        <v>#REF!</v>
      </c>
      <c r="B1268" s="305" t="e">
        <f>#REF!</f>
        <v>#REF!</v>
      </c>
      <c r="C1268" s="305" t="str">
        <f>'Danh sách máy'!C1311</f>
        <v>Fact.4</v>
      </c>
      <c r="D1268" s="90" t="e">
        <f>#REF!</f>
        <v>#REF!</v>
      </c>
      <c r="E1268" s="97">
        <f>'Danh sách máy'!E1311</f>
        <v>0</v>
      </c>
      <c r="F1268" s="206" t="e">
        <f>#REF!</f>
        <v>#REF!</v>
      </c>
      <c r="G1268" s="102" t="e">
        <f>#REF!</f>
        <v>#REF!</v>
      </c>
      <c r="H1268" s="102" t="e">
        <f>#REF!</f>
        <v>#REF!</v>
      </c>
      <c r="K1268" s="210" t="e">
        <f>#REF!</f>
        <v>#REF!</v>
      </c>
      <c r="L1268" s="210">
        <v>45537</v>
      </c>
      <c r="M1268" s="210"/>
      <c r="N1268" s="210">
        <f>'Danh sách máy'!F1311</f>
        <v>0</v>
      </c>
      <c r="O1268" s="211" t="str" cm="1">
        <f t="array" ref="O1268">IF(L1268&lt;&gt;0,IF(L1268&lt;I1268,"OK","NG"),Blank)</f>
        <v>NG</v>
      </c>
      <c r="P1268" s="211" t="e" cm="1">
        <f t="array" ref="P1268">IF(M1268&lt;&gt;0,IF(M1268&lt;J1268,"OK","NG"),Blank)</f>
        <v>#NAME?</v>
      </c>
      <c r="Q1268" s="211" t="e" cm="1">
        <f t="array" ref="Q1268">IF(H1268&lt;&gt;"Stop",IF(N1268&lt;&gt;0,IF(N1268&lt;=K1268,"OK","NG"),Blank),"-")</f>
        <v>#REF!</v>
      </c>
      <c r="R1268" s="326" t="e" cm="1">
        <f t="array" ref="R1268">IF(H1268&lt;&gt;"Stop",IF(E1268&lt;&gt;0,IF(E1268&lt;=K1268,"OK","NG"),Blank),"-")</f>
        <v>#REF!</v>
      </c>
    </row>
    <row r="1269" spans="1:18" ht="15" hidden="1" x14ac:dyDescent="0.3">
      <c r="A1269" s="318" t="e">
        <f>#REF!</f>
        <v>#REF!</v>
      </c>
      <c r="B1269" s="305" t="e">
        <f>#REF!</f>
        <v>#REF!</v>
      </c>
      <c r="C1269" s="305" t="str">
        <f>'Danh sách máy'!C1312</f>
        <v>Fact.4</v>
      </c>
      <c r="D1269" s="90" t="e">
        <f>#REF!</f>
        <v>#REF!</v>
      </c>
      <c r="E1269" s="97">
        <f>'Danh sách máy'!E1312</f>
        <v>0</v>
      </c>
      <c r="F1269" s="206" t="e">
        <f>#REF!</f>
        <v>#REF!</v>
      </c>
      <c r="G1269" s="102" t="e">
        <f>#REF!</f>
        <v>#REF!</v>
      </c>
      <c r="H1269" s="102" t="e">
        <f>#REF!</f>
        <v>#REF!</v>
      </c>
      <c r="K1269" s="210" t="e">
        <f>#REF!</f>
        <v>#REF!</v>
      </c>
      <c r="L1269" s="210">
        <v>45538</v>
      </c>
      <c r="M1269" s="210"/>
      <c r="N1269" s="210">
        <f>'Danh sách máy'!F1312</f>
        <v>0</v>
      </c>
      <c r="O1269" s="211" t="str" cm="1">
        <f t="array" ref="O1269">IF(L1269&lt;&gt;0,IF(L1269&lt;I1269,"OK","NG"),Blank)</f>
        <v>NG</v>
      </c>
      <c r="P1269" s="211" t="e" cm="1">
        <f t="array" ref="P1269">IF(M1269&lt;&gt;0,IF(M1269&lt;J1269,"OK","NG"),Blank)</f>
        <v>#NAME?</v>
      </c>
      <c r="Q1269" s="211" t="e" cm="1">
        <f t="array" ref="Q1269">IF(H1269&lt;&gt;"Stop",IF(N1269&lt;&gt;0,IF(N1269&lt;=K1269,"OK","NG"),Blank),"-")</f>
        <v>#REF!</v>
      </c>
      <c r="R1269" s="326" t="e" cm="1">
        <f t="array" ref="R1269">IF(H1269&lt;&gt;"Stop",IF(E1269&lt;&gt;0,IF(E1269&lt;=K1269,"OK","NG"),Blank),"-")</f>
        <v>#REF!</v>
      </c>
    </row>
    <row r="1270" spans="1:18" ht="15" hidden="1" x14ac:dyDescent="0.3">
      <c r="A1270" s="318" t="e">
        <f>#REF!</f>
        <v>#REF!</v>
      </c>
      <c r="B1270" s="305" t="e">
        <f>#REF!</f>
        <v>#REF!</v>
      </c>
      <c r="C1270" s="305" t="str">
        <f>'Danh sách máy'!C1313</f>
        <v>Fact.4</v>
      </c>
      <c r="D1270" s="90" t="e">
        <f>#REF!</f>
        <v>#REF!</v>
      </c>
      <c r="E1270" s="97">
        <f>'Danh sách máy'!E1313</f>
        <v>0</v>
      </c>
      <c r="F1270" s="206" t="e">
        <f>#REF!</f>
        <v>#REF!</v>
      </c>
      <c r="G1270" s="102" t="e">
        <f>#REF!</f>
        <v>#REF!</v>
      </c>
      <c r="H1270" s="102" t="e">
        <f>#REF!</f>
        <v>#REF!</v>
      </c>
      <c r="K1270" s="210" t="e">
        <f>#REF!</f>
        <v>#REF!</v>
      </c>
      <c r="L1270" s="210">
        <v>45539</v>
      </c>
      <c r="M1270" s="210"/>
      <c r="N1270" s="210">
        <f>'Danh sách máy'!F1313</f>
        <v>0</v>
      </c>
      <c r="O1270" s="211" t="str" cm="1">
        <f t="array" ref="O1270">IF(L1270&lt;&gt;0,IF(L1270&lt;I1270,"OK","NG"),Blank)</f>
        <v>NG</v>
      </c>
      <c r="P1270" s="211" t="e" cm="1">
        <f t="array" ref="P1270">IF(M1270&lt;&gt;0,IF(M1270&lt;J1270,"OK","NG"),Blank)</f>
        <v>#NAME?</v>
      </c>
      <c r="Q1270" s="211" t="e" cm="1">
        <f t="array" ref="Q1270">IF(H1270&lt;&gt;"Stop",IF(N1270&lt;&gt;0,IF(N1270&lt;=K1270,"OK","NG"),Blank),"-")</f>
        <v>#REF!</v>
      </c>
      <c r="R1270" s="326" t="e" cm="1">
        <f t="array" ref="R1270">IF(H1270&lt;&gt;"Stop",IF(E1270&lt;&gt;0,IF(E1270&lt;=K1270,"OK","NG"),Blank),"-")</f>
        <v>#REF!</v>
      </c>
    </row>
    <row r="1271" spans="1:18" ht="15" hidden="1" x14ac:dyDescent="0.3">
      <c r="A1271" s="318" t="e">
        <f>#REF!</f>
        <v>#REF!</v>
      </c>
      <c r="B1271" s="305" t="e">
        <f>#REF!</f>
        <v>#REF!</v>
      </c>
      <c r="C1271" s="305" t="str">
        <f>'Danh sách máy'!C1314</f>
        <v>Fact.4</v>
      </c>
      <c r="D1271" s="90" t="e">
        <f>#REF!</f>
        <v>#REF!</v>
      </c>
      <c r="E1271" s="97">
        <f>'Danh sách máy'!E1314</f>
        <v>0</v>
      </c>
      <c r="F1271" s="206" t="e">
        <f>#REF!</f>
        <v>#REF!</v>
      </c>
      <c r="G1271" s="102" t="e">
        <f>#REF!</f>
        <v>#REF!</v>
      </c>
      <c r="H1271" s="102" t="e">
        <f>#REF!</f>
        <v>#REF!</v>
      </c>
      <c r="K1271" s="210" t="e">
        <f>#REF!</f>
        <v>#REF!</v>
      </c>
      <c r="L1271" s="210">
        <v>45540</v>
      </c>
      <c r="M1271" s="210"/>
      <c r="N1271" s="210">
        <f>'Danh sách máy'!F1314</f>
        <v>0</v>
      </c>
      <c r="O1271" s="211" t="str" cm="1">
        <f t="array" ref="O1271">IF(L1271&lt;&gt;0,IF(L1271&lt;I1271,"OK","NG"),Blank)</f>
        <v>NG</v>
      </c>
      <c r="P1271" s="211" t="e" cm="1">
        <f t="array" ref="P1271">IF(M1271&lt;&gt;0,IF(M1271&lt;J1271,"OK","NG"),Blank)</f>
        <v>#NAME?</v>
      </c>
      <c r="Q1271" s="211" t="e" cm="1">
        <f t="array" ref="Q1271">IF(H1271&lt;&gt;"Stop",IF(N1271&lt;&gt;0,IF(N1271&lt;=K1271,"OK","NG"),Blank),"-")</f>
        <v>#REF!</v>
      </c>
      <c r="R1271" s="326" t="e" cm="1">
        <f t="array" ref="R1271">IF(H1271&lt;&gt;"Stop",IF(E1271&lt;&gt;0,IF(E1271&lt;=K1271,"OK","NG"),Blank),"-")</f>
        <v>#REF!</v>
      </c>
    </row>
    <row r="1272" spans="1:18" ht="15" hidden="1" x14ac:dyDescent="0.3">
      <c r="A1272" s="318" t="e">
        <f>#REF!</f>
        <v>#REF!</v>
      </c>
      <c r="B1272" s="305" t="e">
        <f>#REF!</f>
        <v>#REF!</v>
      </c>
      <c r="C1272" s="305" t="str">
        <f>'Danh sách máy'!C1315</f>
        <v>Fact.4</v>
      </c>
      <c r="D1272" s="90" t="e">
        <f>#REF!</f>
        <v>#REF!</v>
      </c>
      <c r="E1272" s="97">
        <f>'Danh sách máy'!E1315</f>
        <v>46183</v>
      </c>
      <c r="F1272" s="206" t="e">
        <f>#REF!</f>
        <v>#REF!</v>
      </c>
      <c r="G1272" s="102" t="e">
        <f>#REF!</f>
        <v>#REF!</v>
      </c>
      <c r="H1272" s="102" t="e">
        <f>#REF!</f>
        <v>#REF!</v>
      </c>
      <c r="K1272" s="210" t="e">
        <f>#REF!</f>
        <v>#REF!</v>
      </c>
      <c r="L1272" s="210">
        <v>45541</v>
      </c>
      <c r="M1272" s="210"/>
      <c r="N1272" s="210">
        <f>'Danh sách máy'!F1315</f>
        <v>46186</v>
      </c>
      <c r="O1272" s="211" t="str" cm="1">
        <f t="array" ref="O1272">IF(L1272&lt;&gt;0,IF(L1272&lt;I1272,"OK","NG"),Blank)</f>
        <v>NG</v>
      </c>
      <c r="P1272" s="211" t="e" cm="1">
        <f t="array" ref="P1272">IF(M1272&lt;&gt;0,IF(M1272&lt;J1272,"OK","NG"),Blank)</f>
        <v>#NAME?</v>
      </c>
      <c r="Q1272" s="211" t="e" cm="1">
        <f t="array" ref="Q1272">IF(H1272&lt;&gt;"Stop",IF(N1272&lt;&gt;0,IF(N1272&lt;=K1272,"OK","NG"),Blank),"-")</f>
        <v>#REF!</v>
      </c>
      <c r="R1272" s="326" t="e" cm="1">
        <f t="array" ref="R1272">IF(H1272&lt;&gt;"Stop",IF(E1272&lt;&gt;0,IF(E1272&lt;=K1272,"OK","NG"),Blank),"-")</f>
        <v>#REF!</v>
      </c>
    </row>
    <row r="1273" spans="1:18" ht="15" hidden="1" x14ac:dyDescent="0.3">
      <c r="A1273" s="318" t="e">
        <f>#REF!</f>
        <v>#REF!</v>
      </c>
      <c r="B1273" s="305" t="e">
        <f>#REF!</f>
        <v>#REF!</v>
      </c>
      <c r="C1273" s="305" t="str">
        <f>'Danh sách máy'!C1316</f>
        <v>Fact.4</v>
      </c>
      <c r="D1273" s="90" t="e">
        <f>#REF!</f>
        <v>#REF!</v>
      </c>
      <c r="E1273" s="97">
        <f>'Danh sách máy'!E1316</f>
        <v>0</v>
      </c>
      <c r="F1273" s="206" t="e">
        <f>#REF!</f>
        <v>#REF!</v>
      </c>
      <c r="G1273" s="102" t="e">
        <f>#REF!</f>
        <v>#REF!</v>
      </c>
      <c r="H1273" s="102" t="e">
        <f>#REF!</f>
        <v>#REF!</v>
      </c>
      <c r="K1273" s="210" t="e">
        <f>#REF!</f>
        <v>#REF!</v>
      </c>
      <c r="L1273" s="210">
        <v>45542</v>
      </c>
      <c r="M1273" s="210"/>
      <c r="N1273" s="210">
        <f>'Danh sách máy'!F1316</f>
        <v>0</v>
      </c>
      <c r="O1273" s="211" t="str" cm="1">
        <f t="array" ref="O1273">IF(L1273&lt;&gt;0,IF(L1273&lt;I1273,"OK","NG"),Blank)</f>
        <v>NG</v>
      </c>
      <c r="P1273" s="211" t="e" cm="1">
        <f t="array" ref="P1273">IF(M1273&lt;&gt;0,IF(M1273&lt;J1273,"OK","NG"),Blank)</f>
        <v>#NAME?</v>
      </c>
      <c r="Q1273" s="211" t="e" cm="1">
        <f t="array" ref="Q1273">IF(H1273&lt;&gt;"Stop",IF(N1273&lt;&gt;0,IF(N1273&lt;=K1273,"OK","NG"),Blank),"-")</f>
        <v>#REF!</v>
      </c>
      <c r="R1273" s="326" t="e" cm="1">
        <f t="array" ref="R1273">IF(H1273&lt;&gt;"Stop",IF(E1273&lt;&gt;0,IF(E1273&lt;=K1273,"OK","NG"),Blank),"-")</f>
        <v>#REF!</v>
      </c>
    </row>
    <row r="1274" spans="1:18" ht="15" hidden="1" x14ac:dyDescent="0.3">
      <c r="A1274" s="318" t="e">
        <f>#REF!</f>
        <v>#REF!</v>
      </c>
      <c r="B1274" s="305" t="e">
        <f>#REF!</f>
        <v>#REF!</v>
      </c>
      <c r="C1274" s="305" t="str">
        <f>'Danh sách máy'!C1317</f>
        <v>Fact.4</v>
      </c>
      <c r="D1274" s="90" t="e">
        <f>#REF!</f>
        <v>#REF!</v>
      </c>
      <c r="E1274" s="97">
        <f>'Danh sách máy'!E1317</f>
        <v>0</v>
      </c>
      <c r="F1274" s="206" t="e">
        <f>#REF!</f>
        <v>#REF!</v>
      </c>
      <c r="G1274" s="102" t="e">
        <f>#REF!</f>
        <v>#REF!</v>
      </c>
      <c r="H1274" s="102" t="e">
        <f>#REF!</f>
        <v>#REF!</v>
      </c>
      <c r="K1274" s="210" t="e">
        <f>#REF!</f>
        <v>#REF!</v>
      </c>
      <c r="L1274" s="210">
        <v>45543</v>
      </c>
      <c r="M1274" s="210"/>
      <c r="N1274" s="210">
        <f>'Danh sách máy'!F1317</f>
        <v>0</v>
      </c>
      <c r="O1274" s="211" t="str" cm="1">
        <f t="array" ref="O1274">IF(L1274&lt;&gt;0,IF(L1274&lt;I1274,"OK","NG"),Blank)</f>
        <v>NG</v>
      </c>
      <c r="P1274" s="211" t="e" cm="1">
        <f t="array" ref="P1274">IF(M1274&lt;&gt;0,IF(M1274&lt;J1274,"OK","NG"),Blank)</f>
        <v>#NAME?</v>
      </c>
      <c r="Q1274" s="211" t="e" cm="1">
        <f t="array" ref="Q1274">IF(H1274&lt;&gt;"Stop",IF(N1274&lt;&gt;0,IF(N1274&lt;=K1274,"OK","NG"),Blank),"-")</f>
        <v>#REF!</v>
      </c>
      <c r="R1274" s="326" t="e" cm="1">
        <f t="array" ref="R1274">IF(H1274&lt;&gt;"Stop",IF(E1274&lt;&gt;0,IF(E1274&lt;=K1274,"OK","NG"),Blank),"-")</f>
        <v>#REF!</v>
      </c>
    </row>
    <row r="1275" spans="1:18" ht="15" hidden="1" x14ac:dyDescent="0.3">
      <c r="A1275" s="318" t="e">
        <f>#REF!</f>
        <v>#REF!</v>
      </c>
      <c r="B1275" s="305" t="e">
        <f>#REF!</f>
        <v>#REF!</v>
      </c>
      <c r="C1275" s="305" t="str">
        <f>'Danh sách máy'!C1318</f>
        <v>Fact.4</v>
      </c>
      <c r="D1275" s="90" t="e">
        <f>#REF!</f>
        <v>#REF!</v>
      </c>
      <c r="E1275" s="97">
        <f>'Danh sách máy'!E1318</f>
        <v>0</v>
      </c>
      <c r="F1275" s="206" t="e">
        <f>#REF!</f>
        <v>#REF!</v>
      </c>
      <c r="G1275" s="102" t="e">
        <f>#REF!</f>
        <v>#REF!</v>
      </c>
      <c r="H1275" s="102" t="e">
        <f>#REF!</f>
        <v>#REF!</v>
      </c>
      <c r="K1275" s="210" t="e">
        <f>#REF!</f>
        <v>#REF!</v>
      </c>
      <c r="L1275" s="210">
        <v>45544</v>
      </c>
      <c r="M1275" s="210"/>
      <c r="N1275" s="210">
        <f>'Danh sách máy'!F1318</f>
        <v>0</v>
      </c>
      <c r="O1275" s="211" t="str" cm="1">
        <f t="array" ref="O1275">IF(L1275&lt;&gt;0,IF(L1275&lt;I1275,"OK","NG"),Blank)</f>
        <v>NG</v>
      </c>
      <c r="P1275" s="211" t="e" cm="1">
        <f t="array" ref="P1275">IF(M1275&lt;&gt;0,IF(M1275&lt;J1275,"OK","NG"),Blank)</f>
        <v>#NAME?</v>
      </c>
      <c r="Q1275" s="211" t="e" cm="1">
        <f t="array" ref="Q1275">IF(H1275&lt;&gt;"Stop",IF(N1275&lt;&gt;0,IF(N1275&lt;=K1275,"OK","NG"),Blank),"-")</f>
        <v>#REF!</v>
      </c>
      <c r="R1275" s="326" t="e" cm="1">
        <f t="array" ref="R1275">IF(H1275&lt;&gt;"Stop",IF(E1275&lt;&gt;0,IF(E1275&lt;=K1275,"OK","NG"),Blank),"-")</f>
        <v>#REF!</v>
      </c>
    </row>
    <row r="1276" spans="1:18" ht="15" hidden="1" x14ac:dyDescent="0.3">
      <c r="A1276" s="318" t="e">
        <f>#REF!</f>
        <v>#REF!</v>
      </c>
      <c r="B1276" s="305" t="e">
        <f>#REF!</f>
        <v>#REF!</v>
      </c>
      <c r="C1276" s="305" t="str">
        <f>'Danh sách máy'!C1319</f>
        <v>Fact.4</v>
      </c>
      <c r="D1276" s="90" t="e">
        <f>#REF!</f>
        <v>#REF!</v>
      </c>
      <c r="E1276" s="97">
        <f>'Danh sách máy'!E1319</f>
        <v>0</v>
      </c>
      <c r="F1276" s="206" t="e">
        <f>#REF!</f>
        <v>#REF!</v>
      </c>
      <c r="G1276" s="102" t="e">
        <f>#REF!</f>
        <v>#REF!</v>
      </c>
      <c r="H1276" s="102" t="e">
        <f>#REF!</f>
        <v>#REF!</v>
      </c>
      <c r="K1276" s="210" t="e">
        <f>#REF!</f>
        <v>#REF!</v>
      </c>
      <c r="L1276" s="210">
        <v>45545</v>
      </c>
      <c r="M1276" s="210"/>
      <c r="N1276" s="210">
        <f>'Danh sách máy'!F1319</f>
        <v>0</v>
      </c>
      <c r="O1276" s="211" t="str" cm="1">
        <f t="array" ref="O1276">IF(L1276&lt;&gt;0,IF(L1276&lt;I1276,"OK","NG"),Blank)</f>
        <v>NG</v>
      </c>
      <c r="P1276" s="211" t="e" cm="1">
        <f t="array" ref="P1276">IF(M1276&lt;&gt;0,IF(M1276&lt;J1276,"OK","NG"),Blank)</f>
        <v>#NAME?</v>
      </c>
      <c r="Q1276" s="211" t="e" cm="1">
        <f t="array" ref="Q1276">IF(H1276&lt;&gt;"Stop",IF(N1276&lt;&gt;0,IF(N1276&lt;=K1276,"OK","NG"),Blank),"-")</f>
        <v>#REF!</v>
      </c>
      <c r="R1276" s="326" t="e" cm="1">
        <f t="array" ref="R1276">IF(H1276&lt;&gt;"Stop",IF(E1276&lt;&gt;0,IF(E1276&lt;=K1276,"OK","NG"),Blank),"-")</f>
        <v>#REF!</v>
      </c>
    </row>
    <row r="1277" spans="1:18" ht="15" hidden="1" x14ac:dyDescent="0.3">
      <c r="A1277" s="318" t="e">
        <f>#REF!</f>
        <v>#REF!</v>
      </c>
      <c r="B1277" s="305" t="e">
        <f>#REF!</f>
        <v>#REF!</v>
      </c>
      <c r="C1277" s="305" t="str">
        <f>'Danh sách máy'!C1320</f>
        <v>Fact.4</v>
      </c>
      <c r="D1277" s="90" t="e">
        <f>#REF!</f>
        <v>#REF!</v>
      </c>
      <c r="E1277" s="97">
        <f>'Danh sách máy'!E1320</f>
        <v>0</v>
      </c>
      <c r="F1277" s="206" t="e">
        <f>#REF!</f>
        <v>#REF!</v>
      </c>
      <c r="G1277" s="102" t="e">
        <f>#REF!</f>
        <v>#REF!</v>
      </c>
      <c r="H1277" s="102" t="e">
        <f>#REF!</f>
        <v>#REF!</v>
      </c>
      <c r="K1277" s="210" t="e">
        <f>#REF!</f>
        <v>#REF!</v>
      </c>
      <c r="L1277" s="210">
        <v>45546</v>
      </c>
      <c r="M1277" s="210"/>
      <c r="N1277" s="210">
        <f>'Danh sách máy'!F1320</f>
        <v>0</v>
      </c>
      <c r="O1277" s="211" t="str" cm="1">
        <f t="array" ref="O1277">IF(L1277&lt;&gt;0,IF(L1277&lt;I1277,"OK","NG"),Blank)</f>
        <v>NG</v>
      </c>
      <c r="P1277" s="211" t="e" cm="1">
        <f t="array" ref="P1277">IF(M1277&lt;&gt;0,IF(M1277&lt;J1277,"OK","NG"),Blank)</f>
        <v>#NAME?</v>
      </c>
      <c r="Q1277" s="211" t="e" cm="1">
        <f t="array" ref="Q1277">IF(H1277&lt;&gt;"Stop",IF(N1277&lt;&gt;0,IF(N1277&lt;=K1277,"OK","NG"),Blank),"-")</f>
        <v>#REF!</v>
      </c>
      <c r="R1277" s="326" t="e" cm="1">
        <f t="array" ref="R1277">IF(H1277&lt;&gt;"Stop",IF(E1277&lt;&gt;0,IF(E1277&lt;=K1277,"OK","NG"),Blank),"-")</f>
        <v>#REF!</v>
      </c>
    </row>
    <row r="1278" spans="1:18" ht="15" hidden="1" x14ac:dyDescent="0.3">
      <c r="A1278" s="318" t="e">
        <f>#REF!</f>
        <v>#REF!</v>
      </c>
      <c r="B1278" s="305" t="e">
        <f>#REF!</f>
        <v>#REF!</v>
      </c>
      <c r="C1278" s="305" t="str">
        <f>'Danh sách máy'!C1321</f>
        <v>Fact.4</v>
      </c>
      <c r="D1278" s="90" t="e">
        <f>#REF!</f>
        <v>#REF!</v>
      </c>
      <c r="E1278" s="97">
        <f>'Danh sách máy'!E1321</f>
        <v>0</v>
      </c>
      <c r="F1278" s="206" t="e">
        <f>#REF!</f>
        <v>#REF!</v>
      </c>
      <c r="G1278" s="102" t="e">
        <f>#REF!</f>
        <v>#REF!</v>
      </c>
      <c r="H1278" s="102" t="e">
        <f>#REF!</f>
        <v>#REF!</v>
      </c>
      <c r="K1278" s="210" t="e">
        <f>#REF!</f>
        <v>#REF!</v>
      </c>
      <c r="L1278" s="210">
        <v>45547</v>
      </c>
      <c r="M1278" s="210"/>
      <c r="N1278" s="210">
        <f>'Danh sách máy'!F1321</f>
        <v>0</v>
      </c>
      <c r="O1278" s="211" t="str" cm="1">
        <f t="array" ref="O1278">IF(L1278&lt;&gt;0,IF(L1278&lt;I1278,"OK","NG"),Blank)</f>
        <v>NG</v>
      </c>
      <c r="P1278" s="211" t="e" cm="1">
        <f t="array" ref="P1278">IF(M1278&lt;&gt;0,IF(M1278&lt;J1278,"OK","NG"),Blank)</f>
        <v>#NAME?</v>
      </c>
      <c r="Q1278" s="211" t="e" cm="1">
        <f t="array" ref="Q1278">IF(H1278&lt;&gt;"Stop",IF(N1278&lt;&gt;0,IF(N1278&lt;=K1278,"OK","NG"),Blank),"-")</f>
        <v>#REF!</v>
      </c>
      <c r="R1278" s="326" t="e" cm="1">
        <f t="array" ref="R1278">IF(H1278&lt;&gt;"Stop",IF(E1278&lt;&gt;0,IF(E1278&lt;=K1278,"OK","NG"),Blank),"-")</f>
        <v>#REF!</v>
      </c>
    </row>
    <row r="1279" spans="1:18" ht="15" hidden="1" x14ac:dyDescent="0.3">
      <c r="A1279" s="318" t="e">
        <f>#REF!</f>
        <v>#REF!</v>
      </c>
      <c r="B1279" s="305" t="e">
        <f>#REF!</f>
        <v>#REF!</v>
      </c>
      <c r="C1279" s="305" t="str">
        <f>'Danh sách máy'!C1322</f>
        <v>QZ</v>
      </c>
      <c r="D1279" s="90" t="e">
        <f>#REF!</f>
        <v>#REF!</v>
      </c>
      <c r="E1279" s="97">
        <f>'Danh sách máy'!E1322</f>
        <v>0</v>
      </c>
      <c r="F1279" s="206" t="e">
        <f>#REF!</f>
        <v>#REF!</v>
      </c>
      <c r="G1279" s="102" t="e">
        <f>#REF!</f>
        <v>#REF!</v>
      </c>
      <c r="H1279" s="102" t="e">
        <f>#REF!</f>
        <v>#REF!</v>
      </c>
      <c r="K1279" s="210" t="e">
        <f>#REF!</f>
        <v>#REF!</v>
      </c>
      <c r="L1279" s="210">
        <v>45548</v>
      </c>
      <c r="M1279" s="210"/>
      <c r="N1279" s="210">
        <f>'Danh sách máy'!F1322</f>
        <v>0</v>
      </c>
      <c r="O1279" s="211" t="str" cm="1">
        <f t="array" ref="O1279">IF(L1279&lt;&gt;0,IF(L1279&lt;I1279,"OK","NG"),Blank)</f>
        <v>NG</v>
      </c>
      <c r="P1279" s="211" t="e" cm="1">
        <f t="array" ref="P1279">IF(M1279&lt;&gt;0,IF(M1279&lt;J1279,"OK","NG"),Blank)</f>
        <v>#NAME?</v>
      </c>
      <c r="Q1279" s="211" t="e" cm="1">
        <f t="array" ref="Q1279">IF(H1279&lt;&gt;"Stop",IF(N1279&lt;&gt;0,IF(N1279&lt;=K1279,"OK","NG"),Blank),"-")</f>
        <v>#REF!</v>
      </c>
      <c r="R1279" s="326" t="e" cm="1">
        <f t="array" ref="R1279">IF(H1279&lt;&gt;"Stop",IF(E1279&lt;&gt;0,IF(E1279&lt;=K1279,"OK","NG"),Blank),"-")</f>
        <v>#REF!</v>
      </c>
    </row>
    <row r="1280" spans="1:18" ht="15" hidden="1" x14ac:dyDescent="0.3">
      <c r="A1280" s="318" t="e">
        <f>#REF!</f>
        <v>#REF!</v>
      </c>
      <c r="B1280" s="305" t="e">
        <f>#REF!</f>
        <v>#REF!</v>
      </c>
      <c r="C1280" s="305" t="str">
        <f>'Danh sách máy'!C1323</f>
        <v>Fact.4</v>
      </c>
      <c r="D1280" s="90" t="e">
        <f>#REF!</f>
        <v>#REF!</v>
      </c>
      <c r="E1280" s="97">
        <f>'Danh sách máy'!E1323</f>
        <v>0</v>
      </c>
      <c r="F1280" s="206" t="e">
        <f>#REF!</f>
        <v>#REF!</v>
      </c>
      <c r="G1280" s="102" t="e">
        <f>#REF!</f>
        <v>#REF!</v>
      </c>
      <c r="H1280" s="102" t="e">
        <f>#REF!</f>
        <v>#REF!</v>
      </c>
      <c r="K1280" s="210" t="e">
        <f>#REF!</f>
        <v>#REF!</v>
      </c>
      <c r="L1280" s="210">
        <v>45549</v>
      </c>
      <c r="M1280" s="210"/>
      <c r="N1280" s="210">
        <f>'Danh sách máy'!F1323</f>
        <v>0</v>
      </c>
      <c r="O1280" s="211" t="str" cm="1">
        <f t="array" ref="O1280">IF(L1280&lt;&gt;0,IF(L1280&lt;I1280,"OK","NG"),Blank)</f>
        <v>NG</v>
      </c>
      <c r="P1280" s="211" t="e" cm="1">
        <f t="array" ref="P1280">IF(M1280&lt;&gt;0,IF(M1280&lt;J1280,"OK","NG"),Blank)</f>
        <v>#NAME?</v>
      </c>
      <c r="Q1280" s="211" t="e" cm="1">
        <f t="array" ref="Q1280">IF(H1280&lt;&gt;"Stop",IF(N1280&lt;&gt;0,IF(N1280&lt;=K1280,"OK","NG"),Blank),"-")</f>
        <v>#REF!</v>
      </c>
      <c r="R1280" s="326" t="e" cm="1">
        <f t="array" ref="R1280">IF(H1280&lt;&gt;"Stop",IF(E1280&lt;&gt;0,IF(E1280&lt;=K1280,"OK","NG"),Blank),"-")</f>
        <v>#REF!</v>
      </c>
    </row>
    <row r="1281" spans="1:18" ht="15" hidden="1" x14ac:dyDescent="0.3">
      <c r="A1281" s="318" t="e">
        <f>#REF!</f>
        <v>#REF!</v>
      </c>
      <c r="B1281" s="305" t="e">
        <f>#REF!</f>
        <v>#REF!</v>
      </c>
      <c r="C1281" s="305" t="str">
        <f>'Danh sách máy'!C1324</f>
        <v>Fact.4</v>
      </c>
      <c r="D1281" s="90" t="e">
        <f>#REF!</f>
        <v>#REF!</v>
      </c>
      <c r="E1281" s="97">
        <f>'Danh sách máy'!E1324</f>
        <v>0</v>
      </c>
      <c r="F1281" s="206" t="e">
        <f>#REF!</f>
        <v>#REF!</v>
      </c>
      <c r="G1281" s="102" t="e">
        <f>#REF!</f>
        <v>#REF!</v>
      </c>
      <c r="H1281" s="102" t="e">
        <f>#REF!</f>
        <v>#REF!</v>
      </c>
      <c r="K1281" s="210" t="e">
        <f>#REF!</f>
        <v>#REF!</v>
      </c>
      <c r="L1281" s="210">
        <v>45550</v>
      </c>
      <c r="M1281" s="210"/>
      <c r="N1281" s="210">
        <f>'Danh sách máy'!F1324</f>
        <v>0</v>
      </c>
      <c r="O1281" s="211" t="str" cm="1">
        <f t="array" ref="O1281">IF(L1281&lt;&gt;0,IF(L1281&lt;I1281,"OK","NG"),Blank)</f>
        <v>NG</v>
      </c>
      <c r="P1281" s="211" t="e" cm="1">
        <f t="array" ref="P1281">IF(M1281&lt;&gt;0,IF(M1281&lt;J1281,"OK","NG"),Blank)</f>
        <v>#NAME?</v>
      </c>
      <c r="Q1281" s="211" t="e" cm="1">
        <f t="array" ref="Q1281">IF(H1281&lt;&gt;"Stop",IF(N1281&lt;&gt;0,IF(N1281&lt;=K1281,"OK","NG"),Blank),"-")</f>
        <v>#REF!</v>
      </c>
      <c r="R1281" s="326" t="e" cm="1">
        <f t="array" ref="R1281">IF(H1281&lt;&gt;"Stop",IF(E1281&lt;&gt;0,IF(E1281&lt;=K1281,"OK","NG"),Blank),"-")</f>
        <v>#REF!</v>
      </c>
    </row>
    <row r="1282" spans="1:18" ht="15" hidden="1" x14ac:dyDescent="0.3">
      <c r="A1282" s="318" t="e">
        <f>#REF!</f>
        <v>#REF!</v>
      </c>
      <c r="B1282" s="305" t="e">
        <f>#REF!</f>
        <v>#REF!</v>
      </c>
      <c r="C1282" s="305" t="str">
        <f>'Danh sách máy'!C1325</f>
        <v>MKHC</v>
      </c>
      <c r="D1282" s="90" t="e">
        <f>#REF!</f>
        <v>#REF!</v>
      </c>
      <c r="E1282" s="97">
        <f>'Danh sách máy'!E1325</f>
        <v>0</v>
      </c>
      <c r="F1282" s="206" t="e">
        <f>#REF!</f>
        <v>#REF!</v>
      </c>
      <c r="G1282" s="102" t="e">
        <f>#REF!</f>
        <v>#REF!</v>
      </c>
      <c r="H1282" s="102" t="e">
        <f>#REF!</f>
        <v>#REF!</v>
      </c>
      <c r="K1282" s="210" t="e">
        <f>#REF!</f>
        <v>#REF!</v>
      </c>
      <c r="L1282" s="210">
        <v>45551</v>
      </c>
      <c r="M1282" s="210"/>
      <c r="N1282" s="210">
        <f>'Danh sách máy'!F1325</f>
        <v>0</v>
      </c>
      <c r="O1282" s="211" t="str" cm="1">
        <f t="array" ref="O1282">IF(L1282&lt;&gt;0,IF(L1282&lt;I1282,"OK","NG"),Blank)</f>
        <v>NG</v>
      </c>
      <c r="P1282" s="211" t="e" cm="1">
        <f t="array" ref="P1282">IF(M1282&lt;&gt;0,IF(M1282&lt;J1282,"OK","NG"),Blank)</f>
        <v>#NAME?</v>
      </c>
      <c r="Q1282" s="211" t="e" cm="1">
        <f t="array" ref="Q1282">IF(H1282&lt;&gt;"Stop",IF(N1282&lt;&gt;0,IF(N1282&lt;=K1282,"OK","NG"),Blank),"-")</f>
        <v>#REF!</v>
      </c>
      <c r="R1282" s="326" t="e" cm="1">
        <f t="array" ref="R1282">IF(H1282&lt;&gt;"Stop",IF(E1282&lt;&gt;0,IF(E1282&lt;=K1282,"OK","NG"),Blank),"-")</f>
        <v>#REF!</v>
      </c>
    </row>
    <row r="1283" spans="1:18" ht="15" hidden="1" x14ac:dyDescent="0.3">
      <c r="A1283" s="318" t="e">
        <f>#REF!</f>
        <v>#REF!</v>
      </c>
      <c r="B1283" s="305" t="e">
        <f>#REF!</f>
        <v>#REF!</v>
      </c>
      <c r="C1283" s="305">
        <f>'Danh sách máy'!C1326</f>
        <v>0</v>
      </c>
      <c r="D1283" s="90" t="e">
        <f>#REF!</f>
        <v>#REF!</v>
      </c>
      <c r="E1283" s="97">
        <f>'Danh sách máy'!E1326</f>
        <v>0</v>
      </c>
      <c r="F1283" s="206" t="e">
        <f>#REF!</f>
        <v>#REF!</v>
      </c>
      <c r="G1283" s="102" t="e">
        <f>#REF!</f>
        <v>#REF!</v>
      </c>
      <c r="H1283" s="102" t="e">
        <f>#REF!</f>
        <v>#REF!</v>
      </c>
      <c r="K1283" s="210" t="e">
        <f>#REF!</f>
        <v>#REF!</v>
      </c>
      <c r="L1283" s="210">
        <v>45552</v>
      </c>
      <c r="M1283" s="210"/>
      <c r="N1283" s="210">
        <f>'Danh sách máy'!F1326</f>
        <v>0</v>
      </c>
      <c r="O1283" s="211" t="str" cm="1">
        <f t="array" ref="O1283">IF(L1283&lt;&gt;0,IF(L1283&lt;I1283,"OK","NG"),Blank)</f>
        <v>NG</v>
      </c>
      <c r="P1283" s="211" t="e" cm="1">
        <f t="array" ref="P1283">IF(M1283&lt;&gt;0,IF(M1283&lt;J1283,"OK","NG"),Blank)</f>
        <v>#NAME?</v>
      </c>
      <c r="Q1283" s="211" t="e" cm="1">
        <f t="array" ref="Q1283">IF(H1283&lt;&gt;"Stop",IF(N1283&lt;&gt;0,IF(N1283&lt;=K1283,"OK","NG"),Blank),"-")</f>
        <v>#REF!</v>
      </c>
      <c r="R1283" s="326" t="e" cm="1">
        <f t="array" ref="R1283">IF(H1283&lt;&gt;"Stop",IF(E1283&lt;&gt;0,IF(E1283&lt;=K1283,"OK","NG"),Blank),"-")</f>
        <v>#REF!</v>
      </c>
    </row>
    <row r="1284" spans="1:18" ht="15" hidden="1" x14ac:dyDescent="0.3">
      <c r="A1284" s="318" t="e">
        <f>#REF!</f>
        <v>#REF!</v>
      </c>
      <c r="B1284" s="305" t="e">
        <f>#REF!</f>
        <v>#REF!</v>
      </c>
      <c r="C1284" s="305">
        <f>'Danh sách máy'!C1327</f>
        <v>0</v>
      </c>
      <c r="D1284" s="90" t="e">
        <f>#REF!</f>
        <v>#REF!</v>
      </c>
      <c r="E1284" s="97">
        <f>'Danh sách máy'!E1327</f>
        <v>0</v>
      </c>
      <c r="F1284" s="206" t="e">
        <f>#REF!</f>
        <v>#REF!</v>
      </c>
      <c r="G1284" s="102" t="e">
        <f>#REF!</f>
        <v>#REF!</v>
      </c>
      <c r="H1284" s="102" t="e">
        <f>#REF!</f>
        <v>#REF!</v>
      </c>
      <c r="K1284" s="210" t="e">
        <f>#REF!</f>
        <v>#REF!</v>
      </c>
      <c r="L1284" s="210">
        <v>45553</v>
      </c>
      <c r="M1284" s="210"/>
      <c r="N1284" s="210">
        <f>'Danh sách máy'!F1327</f>
        <v>0</v>
      </c>
      <c r="O1284" s="211" t="str" cm="1">
        <f t="array" ref="O1284">IF(L1284&lt;&gt;0,IF(L1284&lt;I1284,"OK","NG"),Blank)</f>
        <v>NG</v>
      </c>
      <c r="P1284" s="211" t="e" cm="1">
        <f t="array" ref="P1284">IF(M1284&lt;&gt;0,IF(M1284&lt;J1284,"OK","NG"),Blank)</f>
        <v>#NAME?</v>
      </c>
      <c r="Q1284" s="211" t="e" cm="1">
        <f t="array" ref="Q1284">IF(H1284&lt;&gt;"Stop",IF(N1284&lt;&gt;0,IF(N1284&lt;=K1284,"OK","NG"),Blank),"-")</f>
        <v>#REF!</v>
      </c>
      <c r="R1284" s="326" t="e" cm="1">
        <f t="array" ref="R1284">IF(H1284&lt;&gt;"Stop",IF(E1284&lt;&gt;0,IF(E1284&lt;=K1284,"OK","NG"),Blank),"-")</f>
        <v>#REF!</v>
      </c>
    </row>
    <row r="1285" spans="1:18" ht="15" hidden="1" x14ac:dyDescent="0.3">
      <c r="A1285" s="318" t="e">
        <f>#REF!</f>
        <v>#REF!</v>
      </c>
      <c r="B1285" s="305" t="e">
        <f>#REF!</f>
        <v>#REF!</v>
      </c>
      <c r="C1285" s="305" t="str">
        <f>'Danh sách máy'!C1328</f>
        <v>Fact.4</v>
      </c>
      <c r="D1285" s="90" t="e">
        <f>#REF!</f>
        <v>#REF!</v>
      </c>
      <c r="E1285" s="97">
        <f>'Danh sách máy'!E1328</f>
        <v>0</v>
      </c>
      <c r="F1285" s="206" t="e">
        <f>#REF!</f>
        <v>#REF!</v>
      </c>
      <c r="G1285" s="102" t="e">
        <f>#REF!</f>
        <v>#REF!</v>
      </c>
      <c r="H1285" s="102" t="e">
        <f>#REF!</f>
        <v>#REF!</v>
      </c>
      <c r="K1285" s="210" t="e">
        <f>#REF!</f>
        <v>#REF!</v>
      </c>
      <c r="L1285" s="210">
        <v>45554</v>
      </c>
      <c r="M1285" s="210"/>
      <c r="N1285" s="210">
        <f>'Danh sách máy'!F1328</f>
        <v>0</v>
      </c>
      <c r="O1285" s="211" t="str" cm="1">
        <f t="array" ref="O1285">IF(L1285&lt;&gt;0,IF(L1285&lt;I1285,"OK","NG"),Blank)</f>
        <v>NG</v>
      </c>
      <c r="P1285" s="211" t="e" cm="1">
        <f t="array" ref="P1285">IF(M1285&lt;&gt;0,IF(M1285&lt;J1285,"OK","NG"),Blank)</f>
        <v>#NAME?</v>
      </c>
      <c r="Q1285" s="211" t="e" cm="1">
        <f t="array" ref="Q1285">IF(H1285&lt;&gt;"Stop",IF(N1285&lt;&gt;0,IF(N1285&lt;=K1285,"OK","NG"),Blank),"-")</f>
        <v>#REF!</v>
      </c>
      <c r="R1285" s="326" t="e" cm="1">
        <f t="array" ref="R1285">IF(H1285&lt;&gt;"Stop",IF(E1285&lt;&gt;0,IF(E1285&lt;=K1285,"OK","NG"),Blank),"-")</f>
        <v>#REF!</v>
      </c>
    </row>
    <row r="1286" spans="1:18" ht="15" hidden="1" x14ac:dyDescent="0.3">
      <c r="A1286" s="318" t="e">
        <f>#REF!</f>
        <v>#REF!</v>
      </c>
      <c r="B1286" s="305" t="e">
        <f>#REF!</f>
        <v>#REF!</v>
      </c>
      <c r="C1286" s="305" t="str">
        <f>'Danh sách máy'!C1329</f>
        <v>Fact.4</v>
      </c>
      <c r="D1286" s="90" t="e">
        <f>#REF!</f>
        <v>#REF!</v>
      </c>
      <c r="E1286" s="97">
        <f>'Danh sách máy'!E1329</f>
        <v>0</v>
      </c>
      <c r="F1286" s="206" t="e">
        <f>#REF!</f>
        <v>#REF!</v>
      </c>
      <c r="G1286" s="102" t="e">
        <f>#REF!</f>
        <v>#REF!</v>
      </c>
      <c r="H1286" s="102" t="e">
        <f>#REF!</f>
        <v>#REF!</v>
      </c>
      <c r="K1286" s="210" t="e">
        <f>#REF!</f>
        <v>#REF!</v>
      </c>
      <c r="L1286" s="210">
        <v>45555</v>
      </c>
      <c r="M1286" s="210"/>
      <c r="N1286" s="210">
        <f>'Danh sách máy'!F1329</f>
        <v>0</v>
      </c>
      <c r="O1286" s="211" t="str" cm="1">
        <f t="array" ref="O1286">IF(L1286&lt;&gt;0,IF(L1286&lt;I1286,"OK","NG"),Blank)</f>
        <v>NG</v>
      </c>
      <c r="P1286" s="211" t="e" cm="1">
        <f t="array" ref="P1286">IF(M1286&lt;&gt;0,IF(M1286&lt;J1286,"OK","NG"),Blank)</f>
        <v>#NAME?</v>
      </c>
      <c r="Q1286" s="211" t="e" cm="1">
        <f t="array" ref="Q1286">IF(H1286&lt;&gt;"Stop",IF(N1286&lt;&gt;0,IF(N1286&lt;=K1286,"OK","NG"),Blank),"-")</f>
        <v>#REF!</v>
      </c>
      <c r="R1286" s="326" t="e" cm="1">
        <f t="array" ref="R1286">IF(H1286&lt;&gt;"Stop",IF(E1286&lt;&gt;0,IF(E1286&lt;=K1286,"OK","NG"),Blank),"-")</f>
        <v>#REF!</v>
      </c>
    </row>
    <row r="1287" spans="1:18" ht="15" hidden="1" x14ac:dyDescent="0.3">
      <c r="A1287" s="318" t="e">
        <f>#REF!</f>
        <v>#REF!</v>
      </c>
      <c r="B1287" s="305" t="e">
        <f>#REF!</f>
        <v>#REF!</v>
      </c>
      <c r="C1287" s="305" t="str">
        <f>'Danh sách máy'!C1330</f>
        <v>Fact.4</v>
      </c>
      <c r="D1287" s="90" t="e">
        <f>#REF!</f>
        <v>#REF!</v>
      </c>
      <c r="E1287" s="97">
        <f>'Danh sách máy'!E1330</f>
        <v>0</v>
      </c>
      <c r="F1287" s="206" t="e">
        <f>#REF!</f>
        <v>#REF!</v>
      </c>
      <c r="G1287" s="102" t="e">
        <f>#REF!</f>
        <v>#REF!</v>
      </c>
      <c r="H1287" s="102" t="e">
        <f>#REF!</f>
        <v>#REF!</v>
      </c>
      <c r="K1287" s="210" t="e">
        <f>#REF!</f>
        <v>#REF!</v>
      </c>
      <c r="L1287" s="210">
        <v>45556</v>
      </c>
      <c r="M1287" s="210"/>
      <c r="N1287" s="210">
        <f>'Danh sách máy'!F1330</f>
        <v>0</v>
      </c>
      <c r="O1287" s="211" t="str" cm="1">
        <f t="array" ref="O1287">IF(L1287&lt;&gt;0,IF(L1287&lt;I1287,"OK","NG"),Blank)</f>
        <v>NG</v>
      </c>
      <c r="P1287" s="211" t="e" cm="1">
        <f t="array" ref="P1287">IF(M1287&lt;&gt;0,IF(M1287&lt;J1287,"OK","NG"),Blank)</f>
        <v>#NAME?</v>
      </c>
      <c r="Q1287" s="211" t="e" cm="1">
        <f t="array" ref="Q1287">IF(H1287&lt;&gt;"Stop",IF(N1287&lt;&gt;0,IF(N1287&lt;=K1287,"OK","NG"),Blank),"-")</f>
        <v>#REF!</v>
      </c>
      <c r="R1287" s="326" t="e" cm="1">
        <f t="array" ref="R1287">IF(H1287&lt;&gt;"Stop",IF(E1287&lt;&gt;0,IF(E1287&lt;=K1287,"OK","NG"),Blank),"-")</f>
        <v>#REF!</v>
      </c>
    </row>
    <row r="1288" spans="1:18" ht="15" hidden="1" x14ac:dyDescent="0.3">
      <c r="A1288" s="318" t="e">
        <f>#REF!</f>
        <v>#REF!</v>
      </c>
      <c r="B1288" s="305" t="e">
        <f>#REF!</f>
        <v>#REF!</v>
      </c>
      <c r="C1288" s="305" t="str">
        <f>'Danh sách máy'!C1331</f>
        <v>Fact.4</v>
      </c>
      <c r="D1288" s="90" t="e">
        <f>#REF!</f>
        <v>#REF!</v>
      </c>
      <c r="E1288" s="97">
        <f>'Danh sách máy'!E1331</f>
        <v>0</v>
      </c>
      <c r="F1288" s="206" t="e">
        <f>#REF!</f>
        <v>#REF!</v>
      </c>
      <c r="G1288" s="102" t="e">
        <f>#REF!</f>
        <v>#REF!</v>
      </c>
      <c r="H1288" s="102" t="e">
        <f>#REF!</f>
        <v>#REF!</v>
      </c>
      <c r="K1288" s="210" t="e">
        <f>#REF!</f>
        <v>#REF!</v>
      </c>
      <c r="L1288" s="210">
        <v>45557</v>
      </c>
      <c r="M1288" s="210"/>
      <c r="N1288" s="210">
        <f>'Danh sách máy'!F1331</f>
        <v>0</v>
      </c>
      <c r="O1288" s="211" t="str" cm="1">
        <f t="array" ref="O1288">IF(L1288&lt;&gt;0,IF(L1288&lt;I1288,"OK","NG"),Blank)</f>
        <v>NG</v>
      </c>
      <c r="P1288" s="211" t="e" cm="1">
        <f t="array" ref="P1288">IF(M1288&lt;&gt;0,IF(M1288&lt;J1288,"OK","NG"),Blank)</f>
        <v>#NAME?</v>
      </c>
      <c r="Q1288" s="211" t="e" cm="1">
        <f t="array" ref="Q1288">IF(H1288&lt;&gt;"Stop",IF(N1288&lt;&gt;0,IF(N1288&lt;=K1288,"OK","NG"),Blank),"-")</f>
        <v>#REF!</v>
      </c>
      <c r="R1288" s="326" t="e" cm="1">
        <f t="array" ref="R1288">IF(H1288&lt;&gt;"Stop",IF(E1288&lt;&gt;0,IF(E1288&lt;=K1288,"OK","NG"),Blank),"-")</f>
        <v>#REF!</v>
      </c>
    </row>
    <row r="1289" spans="1:18" ht="15" hidden="1" x14ac:dyDescent="0.3">
      <c r="A1289" s="318" t="e">
        <f>#REF!</f>
        <v>#REF!</v>
      </c>
      <c r="B1289" s="305" t="e">
        <f>#REF!</f>
        <v>#REF!</v>
      </c>
      <c r="C1289" s="305" t="str">
        <f>'Danh sách máy'!C1332</f>
        <v>MKHC</v>
      </c>
      <c r="D1289" s="90" t="e">
        <f>#REF!</f>
        <v>#REF!</v>
      </c>
      <c r="E1289" s="97">
        <f>'Danh sách máy'!E1332</f>
        <v>0</v>
      </c>
      <c r="F1289" s="206" t="e">
        <f>#REF!</f>
        <v>#REF!</v>
      </c>
      <c r="G1289" s="102" t="e">
        <f>#REF!</f>
        <v>#REF!</v>
      </c>
      <c r="H1289" s="102" t="e">
        <f>#REF!</f>
        <v>#REF!</v>
      </c>
      <c r="K1289" s="210" t="e">
        <f>#REF!</f>
        <v>#REF!</v>
      </c>
      <c r="L1289" s="210">
        <v>45558</v>
      </c>
      <c r="M1289" s="210"/>
      <c r="N1289" s="210">
        <f>'Danh sách máy'!F1332</f>
        <v>0</v>
      </c>
      <c r="O1289" s="211" t="str" cm="1">
        <f t="array" ref="O1289">IF(L1289&lt;&gt;0,IF(L1289&lt;I1289,"OK","NG"),Blank)</f>
        <v>NG</v>
      </c>
      <c r="P1289" s="211" t="e" cm="1">
        <f t="array" ref="P1289">IF(M1289&lt;&gt;0,IF(M1289&lt;J1289,"OK","NG"),Blank)</f>
        <v>#NAME?</v>
      </c>
      <c r="Q1289" s="211" t="e" cm="1">
        <f t="array" ref="Q1289">IF(H1289&lt;&gt;"Stop",IF(N1289&lt;&gt;0,IF(N1289&lt;=K1289,"OK","NG"),Blank),"-")</f>
        <v>#REF!</v>
      </c>
      <c r="R1289" s="326" t="e" cm="1">
        <f t="array" ref="R1289">IF(H1289&lt;&gt;"Stop",IF(E1289&lt;&gt;0,IF(E1289&lt;=K1289,"OK","NG"),Blank),"-")</f>
        <v>#REF!</v>
      </c>
    </row>
    <row r="1290" spans="1:18" ht="15" hidden="1" x14ac:dyDescent="0.3">
      <c r="A1290" s="318" t="e">
        <f>#REF!</f>
        <v>#REF!</v>
      </c>
      <c r="B1290" s="305" t="e">
        <f>#REF!</f>
        <v>#REF!</v>
      </c>
      <c r="C1290" s="305" t="str">
        <f>'Danh sách máy'!C1333</f>
        <v>MKHC</v>
      </c>
      <c r="D1290" s="90" t="e">
        <f>#REF!</f>
        <v>#REF!</v>
      </c>
      <c r="E1290" s="97">
        <f>'Danh sách máy'!E1333</f>
        <v>0</v>
      </c>
      <c r="F1290" s="206" t="e">
        <f>#REF!</f>
        <v>#REF!</v>
      </c>
      <c r="G1290" s="102" t="e">
        <f>#REF!</f>
        <v>#REF!</v>
      </c>
      <c r="H1290" s="102" t="e">
        <f>#REF!</f>
        <v>#REF!</v>
      </c>
      <c r="K1290" s="210" t="e">
        <f>#REF!</f>
        <v>#REF!</v>
      </c>
      <c r="L1290" s="210">
        <v>45559</v>
      </c>
      <c r="M1290" s="210"/>
      <c r="N1290" s="210">
        <f>'Danh sách máy'!F1333</f>
        <v>0</v>
      </c>
      <c r="O1290" s="211" t="str" cm="1">
        <f t="array" ref="O1290">IF(L1290&lt;&gt;0,IF(L1290&lt;I1290,"OK","NG"),Blank)</f>
        <v>NG</v>
      </c>
      <c r="P1290" s="211" t="e" cm="1">
        <f t="array" ref="P1290">IF(M1290&lt;&gt;0,IF(M1290&lt;J1290,"OK","NG"),Blank)</f>
        <v>#NAME?</v>
      </c>
      <c r="Q1290" s="211" t="e" cm="1">
        <f t="array" ref="Q1290">IF(H1290&lt;&gt;"Stop",IF(N1290&lt;&gt;0,IF(N1290&lt;=K1290,"OK","NG"),Blank),"-")</f>
        <v>#REF!</v>
      </c>
      <c r="R1290" s="326" t="e" cm="1">
        <f t="array" ref="R1290">IF(H1290&lt;&gt;"Stop",IF(E1290&lt;&gt;0,IF(E1290&lt;=K1290,"OK","NG"),Blank),"-")</f>
        <v>#REF!</v>
      </c>
    </row>
    <row r="1291" spans="1:18" ht="15" hidden="1" x14ac:dyDescent="0.3">
      <c r="A1291" s="318" t="e">
        <f>#REF!</f>
        <v>#REF!</v>
      </c>
      <c r="B1291" s="305" t="e">
        <f>#REF!</f>
        <v>#REF!</v>
      </c>
      <c r="C1291" s="305" t="str">
        <f>'Danh sách máy'!C1334</f>
        <v>MKHC</v>
      </c>
      <c r="D1291" s="90" t="e">
        <f>#REF!</f>
        <v>#REF!</v>
      </c>
      <c r="E1291" s="97">
        <f>'Danh sách máy'!E1334</f>
        <v>0</v>
      </c>
      <c r="F1291" s="206" t="e">
        <f>#REF!</f>
        <v>#REF!</v>
      </c>
      <c r="G1291" s="102" t="e">
        <f>#REF!</f>
        <v>#REF!</v>
      </c>
      <c r="H1291" s="102" t="e">
        <f>#REF!</f>
        <v>#REF!</v>
      </c>
      <c r="K1291" s="210" t="e">
        <f>#REF!</f>
        <v>#REF!</v>
      </c>
      <c r="L1291" s="210">
        <v>45560</v>
      </c>
      <c r="M1291" s="210"/>
      <c r="N1291" s="210">
        <f>'Danh sách máy'!F1334</f>
        <v>0</v>
      </c>
      <c r="O1291" s="211" t="str" cm="1">
        <f t="array" ref="O1291">IF(L1291&lt;&gt;0,IF(L1291&lt;I1291,"OK","NG"),Blank)</f>
        <v>NG</v>
      </c>
      <c r="P1291" s="211" t="e" cm="1">
        <f t="array" ref="P1291">IF(M1291&lt;&gt;0,IF(M1291&lt;J1291,"OK","NG"),Blank)</f>
        <v>#NAME?</v>
      </c>
      <c r="Q1291" s="211" t="e" cm="1">
        <f t="array" ref="Q1291">IF(H1291&lt;&gt;"Stop",IF(N1291&lt;&gt;0,IF(N1291&lt;=K1291,"OK","NG"),Blank),"-")</f>
        <v>#REF!</v>
      </c>
      <c r="R1291" s="326" t="e" cm="1">
        <f t="array" ref="R1291">IF(H1291&lt;&gt;"Stop",IF(E1291&lt;&gt;0,IF(E1291&lt;=K1291,"OK","NG"),Blank),"-")</f>
        <v>#REF!</v>
      </c>
    </row>
    <row r="1292" spans="1:18" ht="15" hidden="1" x14ac:dyDescent="0.3">
      <c r="A1292" s="318" t="e">
        <f>#REF!</f>
        <v>#REF!</v>
      </c>
      <c r="B1292" s="305" t="e">
        <f>#REF!</f>
        <v>#REF!</v>
      </c>
      <c r="C1292" s="305" t="str">
        <f>'Danh sách máy'!C1335</f>
        <v>MKHC</v>
      </c>
      <c r="D1292" s="90" t="e">
        <f>#REF!</f>
        <v>#REF!</v>
      </c>
      <c r="E1292" s="97">
        <f>'Danh sách máy'!E1335</f>
        <v>0</v>
      </c>
      <c r="F1292" s="206" t="e">
        <f>#REF!</f>
        <v>#REF!</v>
      </c>
      <c r="G1292" s="102" t="e">
        <f>#REF!</f>
        <v>#REF!</v>
      </c>
      <c r="H1292" s="102" t="e">
        <f>#REF!</f>
        <v>#REF!</v>
      </c>
      <c r="K1292" s="210" t="e">
        <f>#REF!</f>
        <v>#REF!</v>
      </c>
      <c r="L1292" s="210">
        <v>45561</v>
      </c>
      <c r="M1292" s="210"/>
      <c r="N1292" s="210">
        <f>'Danh sách máy'!F1335</f>
        <v>0</v>
      </c>
      <c r="O1292" s="211" t="str" cm="1">
        <f t="array" ref="O1292">IF(L1292&lt;&gt;0,IF(L1292&lt;I1292,"OK","NG"),Blank)</f>
        <v>NG</v>
      </c>
      <c r="P1292" s="211" t="e" cm="1">
        <f t="array" ref="P1292">IF(M1292&lt;&gt;0,IF(M1292&lt;J1292,"OK","NG"),Blank)</f>
        <v>#NAME?</v>
      </c>
      <c r="Q1292" s="211" t="e" cm="1">
        <f t="array" ref="Q1292">IF(H1292&lt;&gt;"Stop",IF(N1292&lt;&gt;0,IF(N1292&lt;=K1292,"OK","NG"),Blank),"-")</f>
        <v>#REF!</v>
      </c>
      <c r="R1292" s="326" t="e" cm="1">
        <f t="array" ref="R1292">IF(H1292&lt;&gt;"Stop",IF(E1292&lt;&gt;0,IF(E1292&lt;=K1292,"OK","NG"),Blank),"-")</f>
        <v>#REF!</v>
      </c>
    </row>
    <row r="1293" spans="1:18" ht="15" hidden="1" x14ac:dyDescent="0.3">
      <c r="A1293" s="318" t="e">
        <f>#REF!</f>
        <v>#REF!</v>
      </c>
      <c r="B1293" s="305" t="e">
        <f>#REF!</f>
        <v>#REF!</v>
      </c>
      <c r="C1293" s="305" t="str">
        <f>'Danh sách máy'!C1336</f>
        <v>MKHC</v>
      </c>
      <c r="D1293" s="90" t="e">
        <f>#REF!</f>
        <v>#REF!</v>
      </c>
      <c r="E1293" s="97">
        <f>'Danh sách máy'!E1336</f>
        <v>0</v>
      </c>
      <c r="F1293" s="206" t="e">
        <f>#REF!</f>
        <v>#REF!</v>
      </c>
      <c r="G1293" s="102" t="e">
        <f>#REF!</f>
        <v>#REF!</v>
      </c>
      <c r="H1293" s="102" t="e">
        <f>#REF!</f>
        <v>#REF!</v>
      </c>
      <c r="K1293" s="210" t="e">
        <f>#REF!</f>
        <v>#REF!</v>
      </c>
      <c r="L1293" s="210">
        <v>45562</v>
      </c>
      <c r="M1293" s="210"/>
      <c r="N1293" s="210">
        <f>'Danh sách máy'!F1336</f>
        <v>0</v>
      </c>
      <c r="O1293" s="211" t="str" cm="1">
        <f t="array" ref="O1293">IF(L1293&lt;&gt;0,IF(L1293&lt;I1293,"OK","NG"),Blank)</f>
        <v>NG</v>
      </c>
      <c r="P1293" s="211" t="e" cm="1">
        <f t="array" ref="P1293">IF(M1293&lt;&gt;0,IF(M1293&lt;J1293,"OK","NG"),Blank)</f>
        <v>#NAME?</v>
      </c>
      <c r="Q1293" s="211" t="e" cm="1">
        <f t="array" ref="Q1293">IF(H1293&lt;&gt;"Stop",IF(N1293&lt;&gt;0,IF(N1293&lt;=K1293,"OK","NG"),Blank),"-")</f>
        <v>#REF!</v>
      </c>
      <c r="R1293" s="326" t="e" cm="1">
        <f t="array" ref="R1293">IF(H1293&lt;&gt;"Stop",IF(E1293&lt;&gt;0,IF(E1293&lt;=K1293,"OK","NG"),Blank),"-")</f>
        <v>#REF!</v>
      </c>
    </row>
    <row r="1294" spans="1:18" ht="15" hidden="1" x14ac:dyDescent="0.3">
      <c r="A1294" s="318" t="e">
        <f>#REF!</f>
        <v>#REF!</v>
      </c>
      <c r="B1294" s="305" t="e">
        <f>#REF!</f>
        <v>#REF!</v>
      </c>
      <c r="C1294" s="305" t="str">
        <f>'Danh sách máy'!C1337</f>
        <v>MKHC</v>
      </c>
      <c r="D1294" s="90" t="e">
        <f>#REF!</f>
        <v>#REF!</v>
      </c>
      <c r="E1294" s="97">
        <f>'Danh sách máy'!E1337</f>
        <v>0</v>
      </c>
      <c r="F1294" s="206" t="e">
        <f>#REF!</f>
        <v>#REF!</v>
      </c>
      <c r="G1294" s="102" t="e">
        <f>#REF!</f>
        <v>#REF!</v>
      </c>
      <c r="H1294" s="102" t="e">
        <f>#REF!</f>
        <v>#REF!</v>
      </c>
      <c r="K1294" s="210" t="e">
        <f>#REF!</f>
        <v>#REF!</v>
      </c>
      <c r="L1294" s="210">
        <v>45563</v>
      </c>
      <c r="M1294" s="210"/>
      <c r="N1294" s="210">
        <f>'Danh sách máy'!F1337</f>
        <v>0</v>
      </c>
      <c r="O1294" s="211" t="str" cm="1">
        <f t="array" ref="O1294">IF(L1294&lt;&gt;0,IF(L1294&lt;I1294,"OK","NG"),Blank)</f>
        <v>NG</v>
      </c>
      <c r="P1294" s="211" t="e" cm="1">
        <f t="array" ref="P1294">IF(M1294&lt;&gt;0,IF(M1294&lt;J1294,"OK","NG"),Blank)</f>
        <v>#NAME?</v>
      </c>
      <c r="Q1294" s="211" t="e" cm="1">
        <f t="array" ref="Q1294">IF(H1294&lt;&gt;"Stop",IF(N1294&lt;&gt;0,IF(N1294&lt;=K1294,"OK","NG"),Blank),"-")</f>
        <v>#REF!</v>
      </c>
      <c r="R1294" s="326" t="e" cm="1">
        <f t="array" ref="R1294">IF(H1294&lt;&gt;"Stop",IF(E1294&lt;&gt;0,IF(E1294&lt;=K1294,"OK","NG"),Blank),"-")</f>
        <v>#REF!</v>
      </c>
    </row>
    <row r="1295" spans="1:18" ht="15" hidden="1" x14ac:dyDescent="0.3">
      <c r="A1295" s="318" t="e">
        <f>#REF!</f>
        <v>#REF!</v>
      </c>
      <c r="B1295" s="305" t="e">
        <f>#REF!</f>
        <v>#REF!</v>
      </c>
      <c r="C1295" s="305" t="str">
        <f>'Danh sách máy'!C1338</f>
        <v>TEN</v>
      </c>
      <c r="D1295" s="90" t="e">
        <f>#REF!</f>
        <v>#REF!</v>
      </c>
      <c r="E1295" s="97">
        <f>'Danh sách máy'!E1338</f>
        <v>0</v>
      </c>
      <c r="F1295" s="206" t="e">
        <f>#REF!</f>
        <v>#REF!</v>
      </c>
      <c r="G1295" s="102" t="e">
        <f>#REF!</f>
        <v>#REF!</v>
      </c>
      <c r="H1295" s="102" t="e">
        <f>#REF!</f>
        <v>#REF!</v>
      </c>
      <c r="K1295" s="210" t="e">
        <f>#REF!</f>
        <v>#REF!</v>
      </c>
      <c r="L1295" s="210">
        <v>45564</v>
      </c>
      <c r="M1295" s="210"/>
      <c r="N1295" s="210">
        <f>'Danh sách máy'!F1338</f>
        <v>0</v>
      </c>
      <c r="O1295" s="211" t="str" cm="1">
        <f t="array" ref="O1295">IF(L1295&lt;&gt;0,IF(L1295&lt;I1295,"OK","NG"),Blank)</f>
        <v>NG</v>
      </c>
      <c r="P1295" s="211" t="e" cm="1">
        <f t="array" ref="P1295">IF(M1295&lt;&gt;0,IF(M1295&lt;J1295,"OK","NG"),Blank)</f>
        <v>#NAME?</v>
      </c>
      <c r="Q1295" s="211" t="e" cm="1">
        <f t="array" ref="Q1295">IF(H1295&lt;&gt;"Stop",IF(N1295&lt;&gt;0,IF(N1295&lt;=K1295,"OK","NG"),Blank),"-")</f>
        <v>#REF!</v>
      </c>
      <c r="R1295" s="326" t="e" cm="1">
        <f t="array" ref="R1295">IF(H1295&lt;&gt;"Stop",IF(E1295&lt;&gt;0,IF(E1295&lt;=K1295,"OK","NG"),Blank),"-")</f>
        <v>#REF!</v>
      </c>
    </row>
    <row r="1296" spans="1:18" ht="15" hidden="1" x14ac:dyDescent="0.3">
      <c r="A1296" s="318" t="e">
        <f>#REF!</f>
        <v>#REF!</v>
      </c>
      <c r="B1296" s="305" t="e">
        <f>#REF!</f>
        <v>#REF!</v>
      </c>
      <c r="C1296" s="305" t="str">
        <f>'Danh sách máy'!C1339</f>
        <v>TEN</v>
      </c>
      <c r="D1296" s="90" t="e">
        <f>#REF!</f>
        <v>#REF!</v>
      </c>
      <c r="E1296" s="97">
        <f>'Danh sách máy'!E1339</f>
        <v>0</v>
      </c>
      <c r="F1296" s="206" t="e">
        <f>#REF!</f>
        <v>#REF!</v>
      </c>
      <c r="G1296" s="102" t="e">
        <f>#REF!</f>
        <v>#REF!</v>
      </c>
      <c r="H1296" s="102" t="e">
        <f>#REF!</f>
        <v>#REF!</v>
      </c>
      <c r="K1296" s="210" t="e">
        <f>#REF!</f>
        <v>#REF!</v>
      </c>
      <c r="L1296" s="210">
        <v>45565</v>
      </c>
      <c r="M1296" s="210"/>
      <c r="N1296" s="210">
        <f>'Danh sách máy'!F1339</f>
        <v>0</v>
      </c>
      <c r="O1296" s="211" t="str" cm="1">
        <f t="array" ref="O1296">IF(L1296&lt;&gt;0,IF(L1296&lt;I1296,"OK","NG"),Blank)</f>
        <v>NG</v>
      </c>
      <c r="P1296" s="211" t="e" cm="1">
        <f t="array" ref="P1296">IF(M1296&lt;&gt;0,IF(M1296&lt;J1296,"OK","NG"),Blank)</f>
        <v>#NAME?</v>
      </c>
      <c r="Q1296" s="211" t="e" cm="1">
        <f t="array" ref="Q1296">IF(H1296&lt;&gt;"Stop",IF(N1296&lt;&gt;0,IF(N1296&lt;=K1296,"OK","NG"),Blank),"-")</f>
        <v>#REF!</v>
      </c>
      <c r="R1296" s="326" t="e" cm="1">
        <f t="array" ref="R1296">IF(H1296&lt;&gt;"Stop",IF(E1296&lt;&gt;0,IF(E1296&lt;=K1296,"OK","NG"),Blank),"-")</f>
        <v>#REF!</v>
      </c>
    </row>
    <row r="1297" spans="1:18" ht="15" hidden="1" x14ac:dyDescent="0.3">
      <c r="A1297" s="318" t="e">
        <f>#REF!</f>
        <v>#REF!</v>
      </c>
      <c r="B1297" s="305" t="e">
        <f>#REF!</f>
        <v>#REF!</v>
      </c>
      <c r="C1297" s="305" t="str">
        <f>'Danh sách máy'!C1340</f>
        <v>Fact.4</v>
      </c>
      <c r="D1297" s="90" t="e">
        <f>#REF!</f>
        <v>#REF!</v>
      </c>
      <c r="E1297" s="97">
        <f>'Danh sách máy'!E1340</f>
        <v>0</v>
      </c>
      <c r="F1297" s="206" t="e">
        <f>#REF!</f>
        <v>#REF!</v>
      </c>
      <c r="G1297" s="102" t="e">
        <f>#REF!</f>
        <v>#REF!</v>
      </c>
      <c r="H1297" s="102" t="e">
        <f>#REF!</f>
        <v>#REF!</v>
      </c>
      <c r="K1297" s="210" t="e">
        <f>#REF!</f>
        <v>#REF!</v>
      </c>
      <c r="L1297" s="210">
        <v>45566</v>
      </c>
      <c r="M1297" s="210"/>
      <c r="N1297" s="210">
        <f>'Danh sách máy'!F1340</f>
        <v>0</v>
      </c>
      <c r="O1297" s="211" t="str" cm="1">
        <f t="array" ref="O1297">IF(L1297&lt;&gt;0,IF(L1297&lt;I1297,"OK","NG"),Blank)</f>
        <v>NG</v>
      </c>
      <c r="P1297" s="211" t="e" cm="1">
        <f t="array" ref="P1297">IF(M1297&lt;&gt;0,IF(M1297&lt;J1297,"OK","NG"),Blank)</f>
        <v>#NAME?</v>
      </c>
      <c r="Q1297" s="211" t="e" cm="1">
        <f t="array" ref="Q1297">IF(H1297&lt;&gt;"Stop",IF(N1297&lt;&gt;0,IF(N1297&lt;=K1297,"OK","NG"),Blank),"-")</f>
        <v>#REF!</v>
      </c>
      <c r="R1297" s="326" t="e" cm="1">
        <f t="array" ref="R1297">IF(H1297&lt;&gt;"Stop",IF(E1297&lt;&gt;0,IF(E1297&lt;=K1297,"OK","NG"),Blank),"-")</f>
        <v>#REF!</v>
      </c>
    </row>
    <row r="1298" spans="1:18" ht="15" hidden="1" x14ac:dyDescent="0.3">
      <c r="A1298" s="318" t="e">
        <f>#REF!</f>
        <v>#REF!</v>
      </c>
      <c r="B1298" s="305" t="e">
        <f>#REF!</f>
        <v>#REF!</v>
      </c>
      <c r="C1298" s="305" t="str">
        <f>'Danh sách máy'!C1341</f>
        <v>Fact.4</v>
      </c>
      <c r="D1298" s="90" t="e">
        <f>#REF!</f>
        <v>#REF!</v>
      </c>
      <c r="E1298" s="97">
        <f>'Danh sách máy'!E1341</f>
        <v>0</v>
      </c>
      <c r="F1298" s="206" t="e">
        <f>#REF!</f>
        <v>#REF!</v>
      </c>
      <c r="G1298" s="102" t="e">
        <f>#REF!</f>
        <v>#REF!</v>
      </c>
      <c r="H1298" s="102" t="e">
        <f>#REF!</f>
        <v>#REF!</v>
      </c>
      <c r="K1298" s="210" t="e">
        <f>#REF!</f>
        <v>#REF!</v>
      </c>
      <c r="L1298" s="210">
        <v>45567</v>
      </c>
      <c r="M1298" s="210"/>
      <c r="N1298" s="210">
        <f>'Danh sách máy'!F1341</f>
        <v>0</v>
      </c>
      <c r="O1298" s="211" t="str" cm="1">
        <f t="array" ref="O1298">IF(L1298&lt;&gt;0,IF(L1298&lt;I1298,"OK","NG"),Blank)</f>
        <v>NG</v>
      </c>
      <c r="P1298" s="211" t="e" cm="1">
        <f t="array" ref="P1298">IF(M1298&lt;&gt;0,IF(M1298&lt;J1298,"OK","NG"),Blank)</f>
        <v>#NAME?</v>
      </c>
      <c r="Q1298" s="211" t="e" cm="1">
        <f t="array" ref="Q1298">IF(H1298&lt;&gt;"Stop",IF(N1298&lt;&gt;0,IF(N1298&lt;=K1298,"OK","NG"),Blank),"-")</f>
        <v>#REF!</v>
      </c>
      <c r="R1298" s="326" t="e" cm="1">
        <f t="array" ref="R1298">IF(H1298&lt;&gt;"Stop",IF(E1298&lt;&gt;0,IF(E1298&lt;=K1298,"OK","NG"),Blank),"-")</f>
        <v>#REF!</v>
      </c>
    </row>
    <row r="1299" spans="1:18" ht="15" hidden="1" x14ac:dyDescent="0.3">
      <c r="A1299" s="318" t="e">
        <f>#REF!</f>
        <v>#REF!</v>
      </c>
      <c r="B1299" s="305" t="e">
        <f>#REF!</f>
        <v>#REF!</v>
      </c>
      <c r="C1299" s="305" t="str">
        <f>'Danh sách máy'!C1342</f>
        <v>TEN</v>
      </c>
      <c r="D1299" s="90" t="e">
        <f>#REF!</f>
        <v>#REF!</v>
      </c>
      <c r="E1299" s="97">
        <f>'Danh sách máy'!E1342</f>
        <v>0</v>
      </c>
      <c r="F1299" s="206" t="e">
        <f>#REF!</f>
        <v>#REF!</v>
      </c>
      <c r="G1299" s="102" t="e">
        <f>#REF!</f>
        <v>#REF!</v>
      </c>
      <c r="H1299" s="102" t="e">
        <f>#REF!</f>
        <v>#REF!</v>
      </c>
      <c r="K1299" s="210" t="e">
        <f>#REF!</f>
        <v>#REF!</v>
      </c>
      <c r="L1299" s="210">
        <v>45568</v>
      </c>
      <c r="M1299" s="210"/>
      <c r="N1299" s="210">
        <f>'Danh sách máy'!F1342</f>
        <v>0</v>
      </c>
      <c r="O1299" s="211" t="str" cm="1">
        <f t="array" ref="O1299">IF(L1299&lt;&gt;0,IF(L1299&lt;I1299,"OK","NG"),Blank)</f>
        <v>NG</v>
      </c>
      <c r="P1299" s="211" t="e" cm="1">
        <f t="array" ref="P1299">IF(M1299&lt;&gt;0,IF(M1299&lt;J1299,"OK","NG"),Blank)</f>
        <v>#NAME?</v>
      </c>
      <c r="Q1299" s="211" t="e" cm="1">
        <f t="array" ref="Q1299">IF(H1299&lt;&gt;"Stop",IF(N1299&lt;&gt;0,IF(N1299&lt;=K1299,"OK","NG"),Blank),"-")</f>
        <v>#REF!</v>
      </c>
      <c r="R1299" s="326" t="e" cm="1">
        <f t="array" ref="R1299">IF(H1299&lt;&gt;"Stop",IF(E1299&lt;&gt;0,IF(E1299&lt;=K1299,"OK","NG"),Blank),"-")</f>
        <v>#REF!</v>
      </c>
    </row>
    <row r="1300" spans="1:18" ht="15" hidden="1" x14ac:dyDescent="0.3">
      <c r="A1300" s="318" t="e">
        <f>#REF!</f>
        <v>#REF!</v>
      </c>
      <c r="B1300" s="305" t="e">
        <f>#REF!</f>
        <v>#REF!</v>
      </c>
      <c r="C1300" s="305" t="str">
        <f>'Danh sách máy'!C1343</f>
        <v>TEN</v>
      </c>
      <c r="D1300" s="90" t="e">
        <f>#REF!</f>
        <v>#REF!</v>
      </c>
      <c r="E1300" s="97">
        <f>'Danh sách máy'!E1343</f>
        <v>0</v>
      </c>
      <c r="F1300" s="206" t="e">
        <f>#REF!</f>
        <v>#REF!</v>
      </c>
      <c r="G1300" s="102" t="e">
        <f>#REF!</f>
        <v>#REF!</v>
      </c>
      <c r="H1300" s="102" t="e">
        <f>#REF!</f>
        <v>#REF!</v>
      </c>
      <c r="K1300" s="210" t="e">
        <f>#REF!</f>
        <v>#REF!</v>
      </c>
      <c r="L1300" s="210">
        <v>45569</v>
      </c>
      <c r="M1300" s="210"/>
      <c r="N1300" s="210">
        <f>'Danh sách máy'!F1343</f>
        <v>0</v>
      </c>
      <c r="O1300" s="211" t="str" cm="1">
        <f t="array" ref="O1300">IF(L1300&lt;&gt;0,IF(L1300&lt;I1300,"OK","NG"),Blank)</f>
        <v>NG</v>
      </c>
      <c r="P1300" s="211" t="e" cm="1">
        <f t="array" ref="P1300">IF(M1300&lt;&gt;0,IF(M1300&lt;J1300,"OK","NG"),Blank)</f>
        <v>#NAME?</v>
      </c>
      <c r="Q1300" s="211" t="e" cm="1">
        <f t="array" ref="Q1300">IF(H1300&lt;&gt;"Stop",IF(N1300&lt;&gt;0,IF(N1300&lt;=K1300,"OK","NG"),Blank),"-")</f>
        <v>#REF!</v>
      </c>
      <c r="R1300" s="326" t="e" cm="1">
        <f t="array" ref="R1300">IF(H1300&lt;&gt;"Stop",IF(E1300&lt;&gt;0,IF(E1300&lt;=K1300,"OK","NG"),Blank),"-")</f>
        <v>#REF!</v>
      </c>
    </row>
    <row r="1301" spans="1:18" ht="15" hidden="1" x14ac:dyDescent="0.3">
      <c r="A1301" s="318" t="e">
        <f>#REF!</f>
        <v>#REF!</v>
      </c>
      <c r="B1301" s="305" t="e">
        <f>#REF!</f>
        <v>#REF!</v>
      </c>
      <c r="C1301" s="305" t="str">
        <f>'Danh sách máy'!C1344</f>
        <v>MKHC</v>
      </c>
      <c r="D1301" s="90" t="e">
        <f>#REF!</f>
        <v>#REF!</v>
      </c>
      <c r="E1301" s="97">
        <f>'Danh sách máy'!E1344</f>
        <v>0</v>
      </c>
      <c r="F1301" s="206" t="e">
        <f>#REF!</f>
        <v>#REF!</v>
      </c>
      <c r="G1301" s="102" t="e">
        <f>#REF!</f>
        <v>#REF!</v>
      </c>
      <c r="H1301" s="102" t="e">
        <f>#REF!</f>
        <v>#REF!</v>
      </c>
      <c r="K1301" s="210" t="e">
        <f>#REF!</f>
        <v>#REF!</v>
      </c>
      <c r="L1301" s="210">
        <v>45570</v>
      </c>
      <c r="M1301" s="210"/>
      <c r="N1301" s="210">
        <f>'Danh sách máy'!F1344</f>
        <v>0</v>
      </c>
      <c r="O1301" s="211" t="str" cm="1">
        <f t="array" ref="O1301">IF(L1301&lt;&gt;0,IF(L1301&lt;I1301,"OK","NG"),Blank)</f>
        <v>NG</v>
      </c>
      <c r="P1301" s="211" t="e" cm="1">
        <f t="array" ref="P1301">IF(M1301&lt;&gt;0,IF(M1301&lt;J1301,"OK","NG"),Blank)</f>
        <v>#NAME?</v>
      </c>
      <c r="Q1301" s="211" t="e" cm="1">
        <f t="array" ref="Q1301">IF(H1301&lt;&gt;"Stop",IF(N1301&lt;&gt;0,IF(N1301&lt;=K1301,"OK","NG"),Blank),"-")</f>
        <v>#REF!</v>
      </c>
      <c r="R1301" s="326" t="e" cm="1">
        <f t="array" ref="R1301">IF(H1301&lt;&gt;"Stop",IF(E1301&lt;&gt;0,IF(E1301&lt;=K1301,"OK","NG"),Blank),"-")</f>
        <v>#REF!</v>
      </c>
    </row>
    <row r="1302" spans="1:18" ht="15" hidden="1" x14ac:dyDescent="0.3">
      <c r="A1302" s="318" t="e">
        <f>#REF!</f>
        <v>#REF!</v>
      </c>
      <c r="B1302" s="305" t="e">
        <f>#REF!</f>
        <v>#REF!</v>
      </c>
      <c r="C1302" s="305" t="str">
        <f>'Danh sách máy'!C1345</f>
        <v>MKHC</v>
      </c>
      <c r="D1302" s="90" t="e">
        <f>#REF!</f>
        <v>#REF!</v>
      </c>
      <c r="E1302" s="97">
        <f>'Danh sách máy'!E1345</f>
        <v>0</v>
      </c>
      <c r="F1302" s="206" t="e">
        <f>#REF!</f>
        <v>#REF!</v>
      </c>
      <c r="G1302" s="102" t="e">
        <f>#REF!</f>
        <v>#REF!</v>
      </c>
      <c r="H1302" s="102" t="e">
        <f>#REF!</f>
        <v>#REF!</v>
      </c>
      <c r="K1302" s="210" t="e">
        <f>#REF!</f>
        <v>#REF!</v>
      </c>
      <c r="L1302" s="210">
        <v>45571</v>
      </c>
      <c r="M1302" s="210"/>
      <c r="N1302" s="210">
        <f>'Danh sách máy'!F1345</f>
        <v>0</v>
      </c>
      <c r="O1302" s="211" t="str" cm="1">
        <f t="array" ref="O1302">IF(L1302&lt;&gt;0,IF(L1302&lt;I1302,"OK","NG"),Blank)</f>
        <v>NG</v>
      </c>
      <c r="P1302" s="211" t="e" cm="1">
        <f t="array" ref="P1302">IF(M1302&lt;&gt;0,IF(M1302&lt;J1302,"OK","NG"),Blank)</f>
        <v>#NAME?</v>
      </c>
      <c r="Q1302" s="211" t="e" cm="1">
        <f t="array" ref="Q1302">IF(H1302&lt;&gt;"Stop",IF(N1302&lt;&gt;0,IF(N1302&lt;=K1302,"OK","NG"),Blank),"-")</f>
        <v>#REF!</v>
      </c>
      <c r="R1302" s="326" t="e" cm="1">
        <f t="array" ref="R1302">IF(H1302&lt;&gt;"Stop",IF(E1302&lt;&gt;0,IF(E1302&lt;=K1302,"OK","NG"),Blank),"-")</f>
        <v>#REF!</v>
      </c>
    </row>
    <row r="1303" spans="1:18" ht="15" hidden="1" x14ac:dyDescent="0.3">
      <c r="A1303" s="318" t="e">
        <f>#REF!</f>
        <v>#REF!</v>
      </c>
      <c r="B1303" s="305" t="e">
        <f>#REF!</f>
        <v>#REF!</v>
      </c>
      <c r="C1303" s="305" t="str">
        <f>'Danh sách máy'!C1346</f>
        <v>MKHC</v>
      </c>
      <c r="D1303" s="90" t="e">
        <f>#REF!</f>
        <v>#REF!</v>
      </c>
      <c r="E1303" s="97">
        <f>'Danh sách máy'!E1346</f>
        <v>0</v>
      </c>
      <c r="F1303" s="206" t="e">
        <f>#REF!</f>
        <v>#REF!</v>
      </c>
      <c r="G1303" s="102" t="e">
        <f>#REF!</f>
        <v>#REF!</v>
      </c>
      <c r="H1303" s="102" t="e">
        <f>#REF!</f>
        <v>#REF!</v>
      </c>
      <c r="K1303" s="210" t="e">
        <f>#REF!</f>
        <v>#REF!</v>
      </c>
      <c r="L1303" s="210">
        <v>45572</v>
      </c>
      <c r="M1303" s="210"/>
      <c r="N1303" s="210">
        <f>'Danh sách máy'!F1346</f>
        <v>0</v>
      </c>
      <c r="O1303" s="211" t="str" cm="1">
        <f t="array" ref="O1303">IF(L1303&lt;&gt;0,IF(L1303&lt;I1303,"OK","NG"),Blank)</f>
        <v>NG</v>
      </c>
      <c r="P1303" s="211" t="e" cm="1">
        <f t="array" ref="P1303">IF(M1303&lt;&gt;0,IF(M1303&lt;J1303,"OK","NG"),Blank)</f>
        <v>#NAME?</v>
      </c>
      <c r="Q1303" s="211" t="e" cm="1">
        <f t="array" ref="Q1303">IF(H1303&lt;&gt;"Stop",IF(N1303&lt;&gt;0,IF(N1303&lt;=K1303,"OK","NG"),Blank),"-")</f>
        <v>#REF!</v>
      </c>
      <c r="R1303" s="326" t="e" cm="1">
        <f t="array" ref="R1303">IF(H1303&lt;&gt;"Stop",IF(E1303&lt;&gt;0,IF(E1303&lt;=K1303,"OK","NG"),Blank),"-")</f>
        <v>#REF!</v>
      </c>
    </row>
    <row r="1304" spans="1:18" ht="15" hidden="1" x14ac:dyDescent="0.3">
      <c r="A1304" s="318" t="e">
        <f>#REF!</f>
        <v>#REF!</v>
      </c>
      <c r="B1304" s="305" t="e">
        <f>#REF!</f>
        <v>#REF!</v>
      </c>
      <c r="C1304" s="305" t="str">
        <f>'Danh sách máy'!C1347</f>
        <v>Fact.4</v>
      </c>
      <c r="D1304" s="90" t="e">
        <f>#REF!</f>
        <v>#REF!</v>
      </c>
      <c r="E1304" s="97">
        <f>'Danh sách máy'!E1347</f>
        <v>0</v>
      </c>
      <c r="F1304" s="206" t="e">
        <f>#REF!</f>
        <v>#REF!</v>
      </c>
      <c r="G1304" s="102" t="e">
        <f>#REF!</f>
        <v>#REF!</v>
      </c>
      <c r="H1304" s="102" t="e">
        <f>#REF!</f>
        <v>#REF!</v>
      </c>
      <c r="K1304" s="210" t="e">
        <f>#REF!</f>
        <v>#REF!</v>
      </c>
      <c r="L1304" s="210">
        <v>45573</v>
      </c>
      <c r="M1304" s="210"/>
      <c r="N1304" s="210">
        <f>'Danh sách máy'!F1347</f>
        <v>0</v>
      </c>
      <c r="O1304" s="211" t="str" cm="1">
        <f t="array" ref="O1304">IF(L1304&lt;&gt;0,IF(L1304&lt;I1304,"OK","NG"),Blank)</f>
        <v>NG</v>
      </c>
      <c r="P1304" s="211" t="e" cm="1">
        <f t="array" ref="P1304">IF(M1304&lt;&gt;0,IF(M1304&lt;J1304,"OK","NG"),Blank)</f>
        <v>#NAME?</v>
      </c>
      <c r="Q1304" s="211" t="e" cm="1">
        <f t="array" ref="Q1304">IF(H1304&lt;&gt;"Stop",IF(N1304&lt;&gt;0,IF(N1304&lt;=K1304,"OK","NG"),Blank),"-")</f>
        <v>#REF!</v>
      </c>
      <c r="R1304" s="326" t="e" cm="1">
        <f t="array" ref="R1304">IF(H1304&lt;&gt;"Stop",IF(E1304&lt;&gt;0,IF(E1304&lt;=K1304,"OK","NG"),Blank),"-")</f>
        <v>#REF!</v>
      </c>
    </row>
    <row r="1305" spans="1:18" ht="15" hidden="1" x14ac:dyDescent="0.3">
      <c r="A1305" s="318" t="e">
        <f>#REF!</f>
        <v>#REF!</v>
      </c>
      <c r="B1305" s="305" t="e">
        <f>#REF!</f>
        <v>#REF!</v>
      </c>
      <c r="C1305" s="305" t="str">
        <f>'Danh sách máy'!C1348</f>
        <v>Fact.4</v>
      </c>
      <c r="D1305" s="90" t="e">
        <f>#REF!</f>
        <v>#REF!</v>
      </c>
      <c r="E1305" s="97">
        <f>'Danh sách máy'!E1348</f>
        <v>0</v>
      </c>
      <c r="F1305" s="206" t="e">
        <f>#REF!</f>
        <v>#REF!</v>
      </c>
      <c r="G1305" s="102" t="e">
        <f>#REF!</f>
        <v>#REF!</v>
      </c>
      <c r="H1305" s="102" t="e">
        <f>#REF!</f>
        <v>#REF!</v>
      </c>
      <c r="K1305" s="210" t="e">
        <f>#REF!</f>
        <v>#REF!</v>
      </c>
      <c r="L1305" s="210">
        <v>45574</v>
      </c>
      <c r="M1305" s="210"/>
      <c r="N1305" s="210">
        <f>'Danh sách máy'!F1348</f>
        <v>0</v>
      </c>
      <c r="O1305" s="211" t="str" cm="1">
        <f t="array" ref="O1305">IF(L1305&lt;&gt;0,IF(L1305&lt;I1305,"OK","NG"),Blank)</f>
        <v>NG</v>
      </c>
      <c r="P1305" s="211" t="e" cm="1">
        <f t="array" ref="P1305">IF(M1305&lt;&gt;0,IF(M1305&lt;J1305,"OK","NG"),Blank)</f>
        <v>#NAME?</v>
      </c>
      <c r="Q1305" s="211" t="e" cm="1">
        <f t="array" ref="Q1305">IF(H1305&lt;&gt;"Stop",IF(N1305&lt;&gt;0,IF(N1305&lt;=K1305,"OK","NG"),Blank),"-")</f>
        <v>#REF!</v>
      </c>
      <c r="R1305" s="326" t="e" cm="1">
        <f t="array" ref="R1305">IF(H1305&lt;&gt;"Stop",IF(E1305&lt;&gt;0,IF(E1305&lt;=K1305,"OK","NG"),Blank),"-")</f>
        <v>#REF!</v>
      </c>
    </row>
    <row r="1306" spans="1:18" ht="15" hidden="1" x14ac:dyDescent="0.3">
      <c r="A1306" s="318" t="e">
        <f>#REF!</f>
        <v>#REF!</v>
      </c>
      <c r="B1306" s="305" t="e">
        <f>#REF!</f>
        <v>#REF!</v>
      </c>
      <c r="C1306" s="305" t="str">
        <f>'Danh sách máy'!C1349</f>
        <v>Fact.4</v>
      </c>
      <c r="D1306" s="90" t="e">
        <f>#REF!</f>
        <v>#REF!</v>
      </c>
      <c r="E1306" s="97">
        <f>'Danh sách máy'!E1349</f>
        <v>0</v>
      </c>
      <c r="F1306" s="206" t="e">
        <f>#REF!</f>
        <v>#REF!</v>
      </c>
      <c r="G1306" s="102" t="e">
        <f>#REF!</f>
        <v>#REF!</v>
      </c>
      <c r="H1306" s="102" t="e">
        <f>#REF!</f>
        <v>#REF!</v>
      </c>
      <c r="K1306" s="210" t="e">
        <f>#REF!</f>
        <v>#REF!</v>
      </c>
      <c r="L1306" s="210">
        <v>45575</v>
      </c>
      <c r="M1306" s="210"/>
      <c r="N1306" s="210">
        <f>'Danh sách máy'!F1349</f>
        <v>0</v>
      </c>
      <c r="O1306" s="211" t="str" cm="1">
        <f t="array" ref="O1306">IF(L1306&lt;&gt;0,IF(L1306&lt;I1306,"OK","NG"),Blank)</f>
        <v>NG</v>
      </c>
      <c r="P1306" s="211" t="e" cm="1">
        <f t="array" ref="P1306">IF(M1306&lt;&gt;0,IF(M1306&lt;J1306,"OK","NG"),Blank)</f>
        <v>#NAME?</v>
      </c>
      <c r="Q1306" s="211" t="e" cm="1">
        <f t="array" ref="Q1306">IF(H1306&lt;&gt;"Stop",IF(N1306&lt;&gt;0,IF(N1306&lt;=K1306,"OK","NG"),Blank),"-")</f>
        <v>#REF!</v>
      </c>
      <c r="R1306" s="326" t="e" cm="1">
        <f t="array" ref="R1306">IF(H1306&lt;&gt;"Stop",IF(E1306&lt;&gt;0,IF(E1306&lt;=K1306,"OK","NG"),Blank),"-")</f>
        <v>#REF!</v>
      </c>
    </row>
    <row r="1307" spans="1:18" ht="15" hidden="1" x14ac:dyDescent="0.3">
      <c r="A1307" s="318" t="e">
        <f>#REF!</f>
        <v>#REF!</v>
      </c>
      <c r="B1307" s="305" t="e">
        <f>#REF!</f>
        <v>#REF!</v>
      </c>
      <c r="C1307" s="305" t="str">
        <f>'Danh sách máy'!C1350</f>
        <v>Fact.4</v>
      </c>
      <c r="D1307" s="90" t="e">
        <f>#REF!</f>
        <v>#REF!</v>
      </c>
      <c r="E1307" s="97">
        <f>'Danh sách máy'!E1350</f>
        <v>0</v>
      </c>
      <c r="F1307" s="206" t="e">
        <f>#REF!</f>
        <v>#REF!</v>
      </c>
      <c r="G1307" s="102" t="e">
        <f>#REF!</f>
        <v>#REF!</v>
      </c>
      <c r="H1307" s="102" t="e">
        <f>#REF!</f>
        <v>#REF!</v>
      </c>
      <c r="K1307" s="210" t="e">
        <f>#REF!</f>
        <v>#REF!</v>
      </c>
      <c r="L1307" s="210">
        <v>45576</v>
      </c>
      <c r="M1307" s="210"/>
      <c r="N1307" s="210">
        <f>'Danh sách máy'!F1350</f>
        <v>0</v>
      </c>
      <c r="O1307" s="211" t="str" cm="1">
        <f t="array" ref="O1307">IF(L1307&lt;&gt;0,IF(L1307&lt;I1307,"OK","NG"),Blank)</f>
        <v>NG</v>
      </c>
      <c r="P1307" s="211" t="e" cm="1">
        <f t="array" ref="P1307">IF(M1307&lt;&gt;0,IF(M1307&lt;J1307,"OK","NG"),Blank)</f>
        <v>#NAME?</v>
      </c>
      <c r="Q1307" s="211" t="e" cm="1">
        <f t="array" ref="Q1307">IF(H1307&lt;&gt;"Stop",IF(N1307&lt;&gt;0,IF(N1307&lt;=K1307,"OK","NG"),Blank),"-")</f>
        <v>#REF!</v>
      </c>
      <c r="R1307" s="326" t="e" cm="1">
        <f t="array" ref="R1307">IF(H1307&lt;&gt;"Stop",IF(E1307&lt;&gt;0,IF(E1307&lt;=K1307,"OK","NG"),Blank),"-")</f>
        <v>#REF!</v>
      </c>
    </row>
    <row r="1308" spans="1:18" ht="15" hidden="1" x14ac:dyDescent="0.3">
      <c r="A1308" s="318" t="e">
        <f>#REF!</f>
        <v>#REF!</v>
      </c>
      <c r="B1308" s="305" t="e">
        <f>#REF!</f>
        <v>#REF!</v>
      </c>
      <c r="C1308" s="305" t="str">
        <f>'Danh sách máy'!C1351</f>
        <v>Fact.4</v>
      </c>
      <c r="D1308" s="90" t="e">
        <f>#REF!</f>
        <v>#REF!</v>
      </c>
      <c r="E1308" s="97">
        <f>'Danh sách máy'!E1351</f>
        <v>0</v>
      </c>
      <c r="F1308" s="206" t="e">
        <f>#REF!</f>
        <v>#REF!</v>
      </c>
      <c r="G1308" s="102" t="e">
        <f>#REF!</f>
        <v>#REF!</v>
      </c>
      <c r="H1308" s="102" t="e">
        <f>#REF!</f>
        <v>#REF!</v>
      </c>
      <c r="K1308" s="210" t="e">
        <f>#REF!</f>
        <v>#REF!</v>
      </c>
      <c r="L1308" s="210">
        <v>45577</v>
      </c>
      <c r="M1308" s="210"/>
      <c r="N1308" s="210">
        <f>'Danh sách máy'!F1351</f>
        <v>0</v>
      </c>
      <c r="O1308" s="211" t="str" cm="1">
        <f t="array" ref="O1308">IF(L1308&lt;&gt;0,IF(L1308&lt;I1308,"OK","NG"),Blank)</f>
        <v>NG</v>
      </c>
      <c r="P1308" s="211" t="e" cm="1">
        <f t="array" ref="P1308">IF(M1308&lt;&gt;0,IF(M1308&lt;J1308,"OK","NG"),Blank)</f>
        <v>#NAME?</v>
      </c>
      <c r="Q1308" s="211" t="e" cm="1">
        <f t="array" ref="Q1308">IF(H1308&lt;&gt;"Stop",IF(N1308&lt;&gt;0,IF(N1308&lt;=K1308,"OK","NG"),Blank),"-")</f>
        <v>#REF!</v>
      </c>
      <c r="R1308" s="326" t="e" cm="1">
        <f t="array" ref="R1308">IF(H1308&lt;&gt;"Stop",IF(E1308&lt;&gt;0,IF(E1308&lt;=K1308,"OK","NG"),Blank),"-")</f>
        <v>#REF!</v>
      </c>
    </row>
    <row r="1309" spans="1:18" ht="15" hidden="1" x14ac:dyDescent="0.3">
      <c r="A1309" s="318" t="e">
        <f>#REF!</f>
        <v>#REF!</v>
      </c>
      <c r="B1309" s="305" t="e">
        <f>#REF!</f>
        <v>#REF!</v>
      </c>
      <c r="C1309" s="305" t="str">
        <f>'Danh sách máy'!C1352</f>
        <v>Fact.4</v>
      </c>
      <c r="D1309" s="90" t="e">
        <f>#REF!</f>
        <v>#REF!</v>
      </c>
      <c r="E1309" s="97">
        <f>'Danh sách máy'!E1352</f>
        <v>0</v>
      </c>
      <c r="F1309" s="206" t="e">
        <f>#REF!</f>
        <v>#REF!</v>
      </c>
      <c r="G1309" s="102" t="e">
        <f>#REF!</f>
        <v>#REF!</v>
      </c>
      <c r="H1309" s="102" t="e">
        <f>#REF!</f>
        <v>#REF!</v>
      </c>
      <c r="K1309" s="210" t="e">
        <f>#REF!</f>
        <v>#REF!</v>
      </c>
      <c r="L1309" s="210">
        <v>45578</v>
      </c>
      <c r="M1309" s="210"/>
      <c r="N1309" s="210">
        <f>'Danh sách máy'!F1352</f>
        <v>0</v>
      </c>
      <c r="O1309" s="211" t="str" cm="1">
        <f t="array" ref="O1309">IF(L1309&lt;&gt;0,IF(L1309&lt;I1309,"OK","NG"),Blank)</f>
        <v>NG</v>
      </c>
      <c r="P1309" s="211" t="e" cm="1">
        <f t="array" ref="P1309">IF(M1309&lt;&gt;0,IF(M1309&lt;J1309,"OK","NG"),Blank)</f>
        <v>#NAME?</v>
      </c>
      <c r="Q1309" s="211" t="e" cm="1">
        <f t="array" ref="Q1309">IF(H1309&lt;&gt;"Stop",IF(N1309&lt;&gt;0,IF(N1309&lt;=K1309,"OK","NG"),Blank),"-")</f>
        <v>#REF!</v>
      </c>
      <c r="R1309" s="326" t="e" cm="1">
        <f t="array" ref="R1309">IF(H1309&lt;&gt;"Stop",IF(E1309&lt;&gt;0,IF(E1309&lt;=K1309,"OK","NG"),Blank),"-")</f>
        <v>#REF!</v>
      </c>
    </row>
    <row r="1310" spans="1:18" ht="15" hidden="1" x14ac:dyDescent="0.3">
      <c r="A1310" s="318" t="e">
        <f>#REF!</f>
        <v>#REF!</v>
      </c>
      <c r="B1310" s="305" t="e">
        <f>#REF!</f>
        <v>#REF!</v>
      </c>
      <c r="C1310" s="305" t="str">
        <f>'Danh sách máy'!C1353</f>
        <v>Fact.4</v>
      </c>
      <c r="D1310" s="90" t="e">
        <f>#REF!</f>
        <v>#REF!</v>
      </c>
      <c r="E1310" s="97">
        <f>'Danh sách máy'!E1353</f>
        <v>0</v>
      </c>
      <c r="F1310" s="206" t="e">
        <f>#REF!</f>
        <v>#REF!</v>
      </c>
      <c r="G1310" s="102" t="e">
        <f>#REF!</f>
        <v>#REF!</v>
      </c>
      <c r="H1310" s="102" t="e">
        <f>#REF!</f>
        <v>#REF!</v>
      </c>
      <c r="K1310" s="210" t="e">
        <f>#REF!</f>
        <v>#REF!</v>
      </c>
      <c r="L1310" s="210">
        <v>45579</v>
      </c>
      <c r="M1310" s="210"/>
      <c r="N1310" s="210">
        <f>'Danh sách máy'!F1353</f>
        <v>0</v>
      </c>
      <c r="O1310" s="211" t="str" cm="1">
        <f t="array" ref="O1310">IF(L1310&lt;&gt;0,IF(L1310&lt;I1310,"OK","NG"),Blank)</f>
        <v>NG</v>
      </c>
      <c r="P1310" s="211" t="e" cm="1">
        <f t="array" ref="P1310">IF(M1310&lt;&gt;0,IF(M1310&lt;J1310,"OK","NG"),Blank)</f>
        <v>#NAME?</v>
      </c>
      <c r="Q1310" s="211" t="e" cm="1">
        <f t="array" ref="Q1310">IF(H1310&lt;&gt;"Stop",IF(N1310&lt;&gt;0,IF(N1310&lt;=K1310,"OK","NG"),Blank),"-")</f>
        <v>#REF!</v>
      </c>
      <c r="R1310" s="326" t="e" cm="1">
        <f t="array" ref="R1310">IF(H1310&lt;&gt;"Stop",IF(E1310&lt;&gt;0,IF(E1310&lt;=K1310,"OK","NG"),Blank),"-")</f>
        <v>#REF!</v>
      </c>
    </row>
    <row r="1311" spans="1:18" ht="15" hidden="1" x14ac:dyDescent="0.3">
      <c r="A1311" s="318" t="e">
        <f>#REF!</f>
        <v>#REF!</v>
      </c>
      <c r="B1311" s="305" t="e">
        <f>#REF!</f>
        <v>#REF!</v>
      </c>
      <c r="C1311" s="305" t="str">
        <f>'Danh sách máy'!C1354</f>
        <v>Fact.4</v>
      </c>
      <c r="D1311" s="90" t="e">
        <f>#REF!</f>
        <v>#REF!</v>
      </c>
      <c r="E1311" s="97">
        <f>'Danh sách máy'!E1354</f>
        <v>0</v>
      </c>
      <c r="F1311" s="206" t="e">
        <f>#REF!</f>
        <v>#REF!</v>
      </c>
      <c r="G1311" s="102" t="e">
        <f>#REF!</f>
        <v>#REF!</v>
      </c>
      <c r="H1311" s="102" t="e">
        <f>#REF!</f>
        <v>#REF!</v>
      </c>
      <c r="K1311" s="210" t="e">
        <f>#REF!</f>
        <v>#REF!</v>
      </c>
      <c r="L1311" s="210">
        <v>45580</v>
      </c>
      <c r="M1311" s="210"/>
      <c r="N1311" s="210">
        <f>'Danh sách máy'!F1354</f>
        <v>0</v>
      </c>
      <c r="O1311" s="211" t="str" cm="1">
        <f t="array" ref="O1311">IF(L1311&lt;&gt;0,IF(L1311&lt;I1311,"OK","NG"),Blank)</f>
        <v>NG</v>
      </c>
      <c r="P1311" s="211" t="e" cm="1">
        <f t="array" ref="P1311">IF(M1311&lt;&gt;0,IF(M1311&lt;J1311,"OK","NG"),Blank)</f>
        <v>#NAME?</v>
      </c>
      <c r="Q1311" s="211" t="e" cm="1">
        <f t="array" ref="Q1311">IF(H1311&lt;&gt;"Stop",IF(N1311&lt;&gt;0,IF(N1311&lt;=K1311,"OK","NG"),Blank),"-")</f>
        <v>#REF!</v>
      </c>
      <c r="R1311" s="326" t="e" cm="1">
        <f t="array" ref="R1311">IF(H1311&lt;&gt;"Stop",IF(E1311&lt;&gt;0,IF(E1311&lt;=K1311,"OK","NG"),Blank),"-")</f>
        <v>#REF!</v>
      </c>
    </row>
    <row r="1312" spans="1:18" ht="15" hidden="1" x14ac:dyDescent="0.3">
      <c r="A1312" s="318" t="e">
        <f>#REF!</f>
        <v>#REF!</v>
      </c>
      <c r="B1312" s="305" t="e">
        <f>#REF!</f>
        <v>#REF!</v>
      </c>
      <c r="C1312" s="305" t="str">
        <f>'Danh sách máy'!C1355</f>
        <v>Fact.4</v>
      </c>
      <c r="D1312" s="90" t="e">
        <f>#REF!</f>
        <v>#REF!</v>
      </c>
      <c r="E1312" s="97">
        <f>'Danh sách máy'!E1355</f>
        <v>0</v>
      </c>
      <c r="F1312" s="206" t="e">
        <f>#REF!</f>
        <v>#REF!</v>
      </c>
      <c r="G1312" s="102" t="e">
        <f>#REF!</f>
        <v>#REF!</v>
      </c>
      <c r="H1312" s="102" t="e">
        <f>#REF!</f>
        <v>#REF!</v>
      </c>
      <c r="K1312" s="210" t="e">
        <f>#REF!</f>
        <v>#REF!</v>
      </c>
      <c r="L1312" s="210">
        <v>45581</v>
      </c>
      <c r="M1312" s="210"/>
      <c r="N1312" s="210">
        <f>'Danh sách máy'!F1355</f>
        <v>0</v>
      </c>
      <c r="O1312" s="211" t="str" cm="1">
        <f t="array" ref="O1312">IF(L1312&lt;&gt;0,IF(L1312&lt;I1312,"OK","NG"),Blank)</f>
        <v>NG</v>
      </c>
      <c r="P1312" s="211" t="e" cm="1">
        <f t="array" ref="P1312">IF(M1312&lt;&gt;0,IF(M1312&lt;J1312,"OK","NG"),Blank)</f>
        <v>#NAME?</v>
      </c>
      <c r="Q1312" s="211" t="e" cm="1">
        <f t="array" ref="Q1312">IF(H1312&lt;&gt;"Stop",IF(N1312&lt;&gt;0,IF(N1312&lt;=K1312,"OK","NG"),Blank),"-")</f>
        <v>#REF!</v>
      </c>
      <c r="R1312" s="326" t="e" cm="1">
        <f t="array" ref="R1312">IF(H1312&lt;&gt;"Stop",IF(E1312&lt;&gt;0,IF(E1312&lt;=K1312,"OK","NG"),Blank),"-")</f>
        <v>#REF!</v>
      </c>
    </row>
    <row r="1313" spans="1:18" ht="15" hidden="1" x14ac:dyDescent="0.3">
      <c r="A1313" s="318" t="e">
        <f>#REF!</f>
        <v>#REF!</v>
      </c>
      <c r="B1313" s="305" t="e">
        <f>#REF!</f>
        <v>#REF!</v>
      </c>
      <c r="C1313" s="305" t="str">
        <f>'Danh sách máy'!C1356</f>
        <v>Fact.4</v>
      </c>
      <c r="D1313" s="90" t="e">
        <f>#REF!</f>
        <v>#REF!</v>
      </c>
      <c r="E1313" s="97">
        <f>'Danh sách máy'!E1356</f>
        <v>0</v>
      </c>
      <c r="F1313" s="206" t="e">
        <f>#REF!</f>
        <v>#REF!</v>
      </c>
      <c r="G1313" s="102" t="e">
        <f>#REF!</f>
        <v>#REF!</v>
      </c>
      <c r="H1313" s="102" t="e">
        <f>#REF!</f>
        <v>#REF!</v>
      </c>
      <c r="K1313" s="210" t="e">
        <f>#REF!</f>
        <v>#REF!</v>
      </c>
      <c r="L1313" s="210">
        <v>45582</v>
      </c>
      <c r="M1313" s="210"/>
      <c r="N1313" s="210">
        <f>'Danh sách máy'!F1356</f>
        <v>0</v>
      </c>
      <c r="O1313" s="211" t="str" cm="1">
        <f t="array" ref="O1313">IF(L1313&lt;&gt;0,IF(L1313&lt;I1313,"OK","NG"),Blank)</f>
        <v>NG</v>
      </c>
      <c r="P1313" s="211" t="e" cm="1">
        <f t="array" ref="P1313">IF(M1313&lt;&gt;0,IF(M1313&lt;J1313,"OK","NG"),Blank)</f>
        <v>#NAME?</v>
      </c>
      <c r="Q1313" s="211" t="e" cm="1">
        <f t="array" ref="Q1313">IF(H1313&lt;&gt;"Stop",IF(N1313&lt;&gt;0,IF(N1313&lt;=K1313,"OK","NG"),Blank),"-")</f>
        <v>#REF!</v>
      </c>
      <c r="R1313" s="326" t="e" cm="1">
        <f t="array" ref="R1313">IF(H1313&lt;&gt;"Stop",IF(E1313&lt;&gt;0,IF(E1313&lt;=K1313,"OK","NG"),Blank),"-")</f>
        <v>#REF!</v>
      </c>
    </row>
    <row r="1314" spans="1:18" ht="15" hidden="1" x14ac:dyDescent="0.3">
      <c r="A1314" s="318" t="e">
        <f>#REF!</f>
        <v>#REF!</v>
      </c>
      <c r="B1314" s="305" t="e">
        <f>#REF!</f>
        <v>#REF!</v>
      </c>
      <c r="C1314" s="305" t="str">
        <f>'Danh sách máy'!C1357</f>
        <v>Fact.4</v>
      </c>
      <c r="D1314" s="90" t="e">
        <f>#REF!</f>
        <v>#REF!</v>
      </c>
      <c r="E1314" s="97">
        <f>'Danh sách máy'!E1357</f>
        <v>0</v>
      </c>
      <c r="F1314" s="206" t="e">
        <f>#REF!</f>
        <v>#REF!</v>
      </c>
      <c r="G1314" s="102" t="e">
        <f>#REF!</f>
        <v>#REF!</v>
      </c>
      <c r="H1314" s="102" t="e">
        <f>#REF!</f>
        <v>#REF!</v>
      </c>
      <c r="K1314" s="210" t="e">
        <f>#REF!</f>
        <v>#REF!</v>
      </c>
      <c r="L1314" s="210">
        <v>45583</v>
      </c>
      <c r="M1314" s="210"/>
      <c r="N1314" s="210">
        <f>'Danh sách máy'!F1357</f>
        <v>0</v>
      </c>
      <c r="O1314" s="211" t="str" cm="1">
        <f t="array" ref="O1314">IF(L1314&lt;&gt;0,IF(L1314&lt;I1314,"OK","NG"),Blank)</f>
        <v>NG</v>
      </c>
      <c r="P1314" s="211" t="e" cm="1">
        <f t="array" ref="P1314">IF(M1314&lt;&gt;0,IF(M1314&lt;J1314,"OK","NG"),Blank)</f>
        <v>#NAME?</v>
      </c>
      <c r="Q1314" s="211" t="e" cm="1">
        <f t="array" ref="Q1314">IF(H1314&lt;&gt;"Stop",IF(N1314&lt;&gt;0,IF(N1314&lt;=K1314,"OK","NG"),Blank),"-")</f>
        <v>#REF!</v>
      </c>
      <c r="R1314" s="326" t="e" cm="1">
        <f t="array" ref="R1314">IF(H1314&lt;&gt;"Stop",IF(E1314&lt;&gt;0,IF(E1314&lt;=K1314,"OK","NG"),Blank),"-")</f>
        <v>#REF!</v>
      </c>
    </row>
    <row r="1315" spans="1:18" ht="15" hidden="1" x14ac:dyDescent="0.3">
      <c r="A1315" s="318" t="e">
        <f>#REF!</f>
        <v>#REF!</v>
      </c>
      <c r="B1315" s="305" t="e">
        <f>#REF!</f>
        <v>#REF!</v>
      </c>
      <c r="C1315" s="305" t="str">
        <f>'Danh sách máy'!C1358</f>
        <v>Fact.4</v>
      </c>
      <c r="D1315" s="90" t="e">
        <f>#REF!</f>
        <v>#REF!</v>
      </c>
      <c r="E1315" s="97">
        <f>'Danh sách máy'!E1358</f>
        <v>0</v>
      </c>
      <c r="F1315" s="206" t="e">
        <f>#REF!</f>
        <v>#REF!</v>
      </c>
      <c r="G1315" s="102" t="e">
        <f>#REF!</f>
        <v>#REF!</v>
      </c>
      <c r="H1315" s="102" t="e">
        <f>#REF!</f>
        <v>#REF!</v>
      </c>
      <c r="K1315" s="210" t="e">
        <f>#REF!</f>
        <v>#REF!</v>
      </c>
      <c r="L1315" s="210">
        <v>45584</v>
      </c>
      <c r="M1315" s="210"/>
      <c r="N1315" s="210">
        <f>'Danh sách máy'!F1358</f>
        <v>0</v>
      </c>
      <c r="O1315" s="211" t="str" cm="1">
        <f t="array" ref="O1315">IF(L1315&lt;&gt;0,IF(L1315&lt;I1315,"OK","NG"),Blank)</f>
        <v>NG</v>
      </c>
      <c r="P1315" s="211" t="e" cm="1">
        <f t="array" ref="P1315">IF(M1315&lt;&gt;0,IF(M1315&lt;J1315,"OK","NG"),Blank)</f>
        <v>#NAME?</v>
      </c>
      <c r="Q1315" s="211" t="e" cm="1">
        <f t="array" ref="Q1315">IF(H1315&lt;&gt;"Stop",IF(N1315&lt;&gt;0,IF(N1315&lt;=K1315,"OK","NG"),Blank),"-")</f>
        <v>#REF!</v>
      </c>
      <c r="R1315" s="326" t="e" cm="1">
        <f t="array" ref="R1315">IF(H1315&lt;&gt;"Stop",IF(E1315&lt;&gt;0,IF(E1315&lt;=K1315,"OK","NG"),Blank),"-")</f>
        <v>#REF!</v>
      </c>
    </row>
    <row r="1316" spans="1:18" ht="15" hidden="1" x14ac:dyDescent="0.3">
      <c r="A1316" s="318" t="e">
        <f>#REF!</f>
        <v>#REF!</v>
      </c>
      <c r="B1316" s="305" t="e">
        <f>#REF!</f>
        <v>#REF!</v>
      </c>
      <c r="C1316" s="305" t="str">
        <f>'Danh sách máy'!C1359</f>
        <v>Fact.4</v>
      </c>
      <c r="D1316" s="90" t="e">
        <f>#REF!</f>
        <v>#REF!</v>
      </c>
      <c r="E1316" s="97">
        <f>'Danh sách máy'!E1359</f>
        <v>0</v>
      </c>
      <c r="F1316" s="206" t="e">
        <f>#REF!</f>
        <v>#REF!</v>
      </c>
      <c r="G1316" s="102" t="e">
        <f>#REF!</f>
        <v>#REF!</v>
      </c>
      <c r="H1316" s="102" t="e">
        <f>#REF!</f>
        <v>#REF!</v>
      </c>
      <c r="K1316" s="210" t="e">
        <f>#REF!</f>
        <v>#REF!</v>
      </c>
      <c r="L1316" s="210">
        <v>45585</v>
      </c>
      <c r="M1316" s="210"/>
      <c r="N1316" s="210">
        <f>'Danh sách máy'!F1359</f>
        <v>0</v>
      </c>
      <c r="O1316" s="211" t="str" cm="1">
        <f t="array" ref="O1316">IF(L1316&lt;&gt;0,IF(L1316&lt;I1316,"OK","NG"),Blank)</f>
        <v>NG</v>
      </c>
      <c r="P1316" s="211" t="e" cm="1">
        <f t="array" ref="P1316">IF(M1316&lt;&gt;0,IF(M1316&lt;J1316,"OK","NG"),Blank)</f>
        <v>#NAME?</v>
      </c>
      <c r="Q1316" s="211" t="e" cm="1">
        <f t="array" ref="Q1316">IF(H1316&lt;&gt;"Stop",IF(N1316&lt;&gt;0,IF(N1316&lt;=K1316,"OK","NG"),Blank),"-")</f>
        <v>#REF!</v>
      </c>
      <c r="R1316" s="326" t="e" cm="1">
        <f t="array" ref="R1316">IF(H1316&lt;&gt;"Stop",IF(E1316&lt;&gt;0,IF(E1316&lt;=K1316,"OK","NG"),Blank),"-")</f>
        <v>#REF!</v>
      </c>
    </row>
    <row r="1317" spans="1:18" ht="15" hidden="1" x14ac:dyDescent="0.3">
      <c r="A1317" s="318" t="e">
        <f>#REF!</f>
        <v>#REF!</v>
      </c>
      <c r="B1317" s="305" t="e">
        <f>#REF!</f>
        <v>#REF!</v>
      </c>
      <c r="C1317" s="305" t="str">
        <f>'Danh sách máy'!C1360</f>
        <v>Fact.4</v>
      </c>
      <c r="D1317" s="90" t="e">
        <f>#REF!</f>
        <v>#REF!</v>
      </c>
      <c r="E1317" s="97">
        <f>'Danh sách máy'!E1360</f>
        <v>0</v>
      </c>
      <c r="F1317" s="206" t="e">
        <f>#REF!</f>
        <v>#REF!</v>
      </c>
      <c r="G1317" s="102" t="e">
        <f>#REF!</f>
        <v>#REF!</v>
      </c>
      <c r="H1317" s="102" t="e">
        <f>#REF!</f>
        <v>#REF!</v>
      </c>
      <c r="K1317" s="210" t="e">
        <f>#REF!</f>
        <v>#REF!</v>
      </c>
      <c r="L1317" s="210">
        <v>45586</v>
      </c>
      <c r="M1317" s="210"/>
      <c r="N1317" s="210">
        <f>'Danh sách máy'!F1360</f>
        <v>0</v>
      </c>
      <c r="O1317" s="211" t="str" cm="1">
        <f t="array" ref="O1317">IF(L1317&lt;&gt;0,IF(L1317&lt;I1317,"OK","NG"),Blank)</f>
        <v>NG</v>
      </c>
      <c r="P1317" s="211" t="e" cm="1">
        <f t="array" ref="P1317">IF(M1317&lt;&gt;0,IF(M1317&lt;J1317,"OK","NG"),Blank)</f>
        <v>#NAME?</v>
      </c>
      <c r="Q1317" s="211" t="e" cm="1">
        <f t="array" ref="Q1317">IF(H1317&lt;&gt;"Stop",IF(N1317&lt;&gt;0,IF(N1317&lt;=K1317,"OK","NG"),Blank),"-")</f>
        <v>#REF!</v>
      </c>
      <c r="R1317" s="326" t="e" cm="1">
        <f t="array" ref="R1317">IF(H1317&lt;&gt;"Stop",IF(E1317&lt;&gt;0,IF(E1317&lt;=K1317,"OK","NG"),Blank),"-")</f>
        <v>#REF!</v>
      </c>
    </row>
    <row r="1318" spans="1:18" ht="15" hidden="1" x14ac:dyDescent="0.3">
      <c r="A1318" s="318" t="e">
        <f>#REF!</f>
        <v>#REF!</v>
      </c>
      <c r="B1318" s="305" t="e">
        <f>#REF!</f>
        <v>#REF!</v>
      </c>
      <c r="C1318" s="305" t="str">
        <f>'Danh sách máy'!C1361</f>
        <v>Fact.4</v>
      </c>
      <c r="D1318" s="90" t="e">
        <f>#REF!</f>
        <v>#REF!</v>
      </c>
      <c r="E1318" s="97">
        <f>'Danh sách máy'!E1361</f>
        <v>0</v>
      </c>
      <c r="F1318" s="206" t="e">
        <f>#REF!</f>
        <v>#REF!</v>
      </c>
      <c r="G1318" s="102" t="e">
        <f>#REF!</f>
        <v>#REF!</v>
      </c>
      <c r="H1318" s="102" t="e">
        <f>#REF!</f>
        <v>#REF!</v>
      </c>
      <c r="K1318" s="210" t="e">
        <f>#REF!</f>
        <v>#REF!</v>
      </c>
      <c r="L1318" s="210">
        <v>45587</v>
      </c>
      <c r="M1318" s="210"/>
      <c r="N1318" s="210">
        <f>'Danh sách máy'!F1361</f>
        <v>0</v>
      </c>
      <c r="O1318" s="211" t="str" cm="1">
        <f t="array" ref="O1318">IF(L1318&lt;&gt;0,IF(L1318&lt;I1318,"OK","NG"),Blank)</f>
        <v>NG</v>
      </c>
      <c r="P1318" s="211" t="e" cm="1">
        <f t="array" ref="P1318">IF(M1318&lt;&gt;0,IF(M1318&lt;J1318,"OK","NG"),Blank)</f>
        <v>#NAME?</v>
      </c>
      <c r="Q1318" s="211" t="e" cm="1">
        <f t="array" ref="Q1318">IF(H1318&lt;&gt;"Stop",IF(N1318&lt;&gt;0,IF(N1318&lt;=K1318,"OK","NG"),Blank),"-")</f>
        <v>#REF!</v>
      </c>
      <c r="R1318" s="326" t="e" cm="1">
        <f t="array" ref="R1318">IF(H1318&lt;&gt;"Stop",IF(E1318&lt;&gt;0,IF(E1318&lt;=K1318,"OK","NG"),Blank),"-")</f>
        <v>#REF!</v>
      </c>
    </row>
    <row r="1319" spans="1:18" ht="15" hidden="1" x14ac:dyDescent="0.3">
      <c r="A1319" s="318" t="e">
        <f>#REF!</f>
        <v>#REF!</v>
      </c>
      <c r="B1319" s="305" t="e">
        <f>#REF!</f>
        <v>#REF!</v>
      </c>
      <c r="C1319" s="305" t="str">
        <f>'Danh sách máy'!C1362</f>
        <v>Fact.4</v>
      </c>
      <c r="D1319" s="90" t="e">
        <f>#REF!</f>
        <v>#REF!</v>
      </c>
      <c r="E1319" s="97">
        <f>'Danh sách máy'!E1362</f>
        <v>0</v>
      </c>
      <c r="F1319" s="206" t="e">
        <f>#REF!</f>
        <v>#REF!</v>
      </c>
      <c r="G1319" s="102" t="e">
        <f>#REF!</f>
        <v>#REF!</v>
      </c>
      <c r="H1319" s="102" t="e">
        <f>#REF!</f>
        <v>#REF!</v>
      </c>
      <c r="K1319" s="210" t="e">
        <f>#REF!</f>
        <v>#REF!</v>
      </c>
      <c r="L1319" s="210">
        <v>45588</v>
      </c>
      <c r="M1319" s="210"/>
      <c r="N1319" s="210">
        <f>'Danh sách máy'!F1362</f>
        <v>0</v>
      </c>
      <c r="O1319" s="211" t="str" cm="1">
        <f t="array" ref="O1319">IF(L1319&lt;&gt;0,IF(L1319&lt;I1319,"OK","NG"),Blank)</f>
        <v>NG</v>
      </c>
      <c r="P1319" s="211" t="e" cm="1">
        <f t="array" ref="P1319">IF(M1319&lt;&gt;0,IF(M1319&lt;J1319,"OK","NG"),Blank)</f>
        <v>#NAME?</v>
      </c>
      <c r="Q1319" s="211" t="e" cm="1">
        <f t="array" ref="Q1319">IF(H1319&lt;&gt;"Stop",IF(N1319&lt;&gt;0,IF(N1319&lt;=K1319,"OK","NG"),Blank),"-")</f>
        <v>#REF!</v>
      </c>
      <c r="R1319" s="326" t="e" cm="1">
        <f t="array" ref="R1319">IF(H1319&lt;&gt;"Stop",IF(E1319&lt;&gt;0,IF(E1319&lt;=K1319,"OK","NG"),Blank),"-")</f>
        <v>#REF!</v>
      </c>
    </row>
    <row r="1320" spans="1:18" ht="15" hidden="1" x14ac:dyDescent="0.3">
      <c r="A1320" s="318" t="e">
        <f>#REF!</f>
        <v>#REF!</v>
      </c>
      <c r="B1320" s="305" t="e">
        <f>#REF!</f>
        <v>#REF!</v>
      </c>
      <c r="C1320" s="305" t="str">
        <f>'Danh sách máy'!C1363</f>
        <v>Fact.4</v>
      </c>
      <c r="D1320" s="90" t="e">
        <f>#REF!</f>
        <v>#REF!</v>
      </c>
      <c r="E1320" s="97">
        <f>'Danh sách máy'!E1363</f>
        <v>0</v>
      </c>
      <c r="F1320" s="206" t="e">
        <f>#REF!</f>
        <v>#REF!</v>
      </c>
      <c r="G1320" s="102" t="e">
        <f>#REF!</f>
        <v>#REF!</v>
      </c>
      <c r="H1320" s="102" t="e">
        <f>#REF!</f>
        <v>#REF!</v>
      </c>
      <c r="K1320" s="210" t="e">
        <f>#REF!</f>
        <v>#REF!</v>
      </c>
      <c r="L1320" s="210">
        <v>45589</v>
      </c>
      <c r="M1320" s="210"/>
      <c r="N1320" s="210">
        <f>'Danh sách máy'!F1363</f>
        <v>0</v>
      </c>
      <c r="O1320" s="211" t="str" cm="1">
        <f t="array" ref="O1320">IF(L1320&lt;&gt;0,IF(L1320&lt;I1320,"OK","NG"),Blank)</f>
        <v>NG</v>
      </c>
      <c r="P1320" s="211" t="e" cm="1">
        <f t="array" ref="P1320">IF(M1320&lt;&gt;0,IF(M1320&lt;J1320,"OK","NG"),Blank)</f>
        <v>#NAME?</v>
      </c>
      <c r="Q1320" s="211" t="e" cm="1">
        <f t="array" ref="Q1320">IF(H1320&lt;&gt;"Stop",IF(N1320&lt;&gt;0,IF(N1320&lt;=K1320,"OK","NG"),Blank),"-")</f>
        <v>#REF!</v>
      </c>
      <c r="R1320" s="326" t="e" cm="1">
        <f t="array" ref="R1320">IF(H1320&lt;&gt;"Stop",IF(E1320&lt;&gt;0,IF(E1320&lt;=K1320,"OK","NG"),Blank),"-")</f>
        <v>#REF!</v>
      </c>
    </row>
    <row r="1321" spans="1:18" ht="15" hidden="1" x14ac:dyDescent="0.3">
      <c r="A1321" s="318" t="e">
        <f>#REF!</f>
        <v>#REF!</v>
      </c>
      <c r="B1321" s="305" t="e">
        <f>#REF!</f>
        <v>#REF!</v>
      </c>
      <c r="C1321" s="305" t="str">
        <f>'Danh sách máy'!C1364</f>
        <v>Fact.4</v>
      </c>
      <c r="D1321" s="90" t="e">
        <f>#REF!</f>
        <v>#REF!</v>
      </c>
      <c r="E1321" s="97">
        <f>'Danh sách máy'!E1364</f>
        <v>0</v>
      </c>
      <c r="F1321" s="206" t="e">
        <f>#REF!</f>
        <v>#REF!</v>
      </c>
      <c r="G1321" s="102" t="e">
        <f>#REF!</f>
        <v>#REF!</v>
      </c>
      <c r="H1321" s="102" t="e">
        <f>#REF!</f>
        <v>#REF!</v>
      </c>
      <c r="K1321" s="210" t="e">
        <f>#REF!</f>
        <v>#REF!</v>
      </c>
      <c r="L1321" s="210">
        <v>45590</v>
      </c>
      <c r="M1321" s="210"/>
      <c r="N1321" s="210">
        <f>'Danh sách máy'!F1364</f>
        <v>0</v>
      </c>
      <c r="O1321" s="211" t="str" cm="1">
        <f t="array" ref="O1321">IF(L1321&lt;&gt;0,IF(L1321&lt;I1321,"OK","NG"),Blank)</f>
        <v>NG</v>
      </c>
      <c r="P1321" s="211" t="e" cm="1">
        <f t="array" ref="P1321">IF(M1321&lt;&gt;0,IF(M1321&lt;J1321,"OK","NG"),Blank)</f>
        <v>#NAME?</v>
      </c>
      <c r="Q1321" s="211" t="e" cm="1">
        <f t="array" ref="Q1321">IF(H1321&lt;&gt;"Stop",IF(N1321&lt;&gt;0,IF(N1321&lt;=K1321,"OK","NG"),Blank),"-")</f>
        <v>#REF!</v>
      </c>
      <c r="R1321" s="326" t="e" cm="1">
        <f t="array" ref="R1321">IF(H1321&lt;&gt;"Stop",IF(E1321&lt;&gt;0,IF(E1321&lt;=K1321,"OK","NG"),Blank),"-")</f>
        <v>#REF!</v>
      </c>
    </row>
    <row r="1322" spans="1:18" ht="15" hidden="1" x14ac:dyDescent="0.3">
      <c r="A1322" s="318" t="e">
        <f>#REF!</f>
        <v>#REF!</v>
      </c>
      <c r="B1322" s="305" t="e">
        <f>#REF!</f>
        <v>#REF!</v>
      </c>
      <c r="C1322" s="305" t="str">
        <f>'Danh sách máy'!C1365</f>
        <v>Fact.4</v>
      </c>
      <c r="D1322" s="90" t="e">
        <f>#REF!</f>
        <v>#REF!</v>
      </c>
      <c r="E1322" s="97">
        <f>'Danh sách máy'!E1365</f>
        <v>0</v>
      </c>
      <c r="F1322" s="206" t="e">
        <f>#REF!</f>
        <v>#REF!</v>
      </c>
      <c r="G1322" s="102" t="e">
        <f>#REF!</f>
        <v>#REF!</v>
      </c>
      <c r="H1322" s="102" t="e">
        <f>#REF!</f>
        <v>#REF!</v>
      </c>
      <c r="K1322" s="210" t="e">
        <f>#REF!</f>
        <v>#REF!</v>
      </c>
      <c r="L1322" s="210">
        <v>45591</v>
      </c>
      <c r="M1322" s="210"/>
      <c r="N1322" s="210">
        <f>'Danh sách máy'!F1365</f>
        <v>0</v>
      </c>
      <c r="O1322" s="211" t="str" cm="1">
        <f t="array" ref="O1322">IF(L1322&lt;&gt;0,IF(L1322&lt;I1322,"OK","NG"),Blank)</f>
        <v>NG</v>
      </c>
      <c r="P1322" s="211" t="e" cm="1">
        <f t="array" ref="P1322">IF(M1322&lt;&gt;0,IF(M1322&lt;J1322,"OK","NG"),Blank)</f>
        <v>#NAME?</v>
      </c>
      <c r="Q1322" s="211" t="e" cm="1">
        <f t="array" ref="Q1322">IF(H1322&lt;&gt;"Stop",IF(N1322&lt;&gt;0,IF(N1322&lt;=K1322,"OK","NG"),Blank),"-")</f>
        <v>#REF!</v>
      </c>
      <c r="R1322" s="326" t="e" cm="1">
        <f t="array" ref="R1322">IF(H1322&lt;&gt;"Stop",IF(E1322&lt;&gt;0,IF(E1322&lt;=K1322,"OK","NG"),Blank),"-")</f>
        <v>#REF!</v>
      </c>
    </row>
    <row r="1323" spans="1:18" ht="15" hidden="1" x14ac:dyDescent="0.3">
      <c r="A1323" s="318" t="e">
        <f>#REF!</f>
        <v>#REF!</v>
      </c>
      <c r="B1323" s="305" t="e">
        <f>#REF!</f>
        <v>#REF!</v>
      </c>
      <c r="C1323" s="305" t="str">
        <f>'Danh sách máy'!C1366</f>
        <v>Fact.4</v>
      </c>
      <c r="D1323" s="90" t="e">
        <f>#REF!</f>
        <v>#REF!</v>
      </c>
      <c r="E1323" s="97">
        <f>'Danh sách máy'!E1366</f>
        <v>0</v>
      </c>
      <c r="F1323" s="206" t="e">
        <f>#REF!</f>
        <v>#REF!</v>
      </c>
      <c r="G1323" s="102" t="e">
        <f>#REF!</f>
        <v>#REF!</v>
      </c>
      <c r="H1323" s="102" t="e">
        <f>#REF!</f>
        <v>#REF!</v>
      </c>
      <c r="K1323" s="210" t="e">
        <f>#REF!</f>
        <v>#REF!</v>
      </c>
      <c r="L1323" s="210">
        <v>45592</v>
      </c>
      <c r="M1323" s="210"/>
      <c r="N1323" s="210">
        <f>'Danh sách máy'!F1366</f>
        <v>0</v>
      </c>
      <c r="O1323" s="211" t="str" cm="1">
        <f t="array" ref="O1323">IF(L1323&lt;&gt;0,IF(L1323&lt;I1323,"OK","NG"),Blank)</f>
        <v>NG</v>
      </c>
      <c r="P1323" s="211" t="e" cm="1">
        <f t="array" ref="P1323">IF(M1323&lt;&gt;0,IF(M1323&lt;J1323,"OK","NG"),Blank)</f>
        <v>#NAME?</v>
      </c>
      <c r="Q1323" s="211" t="e" cm="1">
        <f t="array" ref="Q1323">IF(H1323&lt;&gt;"Stop",IF(N1323&lt;&gt;0,IF(N1323&lt;=K1323,"OK","NG"),Blank),"-")</f>
        <v>#REF!</v>
      </c>
      <c r="R1323" s="326" t="e" cm="1">
        <f t="array" ref="R1323">IF(H1323&lt;&gt;"Stop",IF(E1323&lt;&gt;0,IF(E1323&lt;=K1323,"OK","NG"),Blank),"-")</f>
        <v>#REF!</v>
      </c>
    </row>
    <row r="1324" spans="1:18" ht="15" hidden="1" x14ac:dyDescent="0.3">
      <c r="A1324" s="318" t="e">
        <f>#REF!</f>
        <v>#REF!</v>
      </c>
      <c r="B1324" s="305" t="e">
        <f>#REF!</f>
        <v>#REF!</v>
      </c>
      <c r="C1324" s="305" t="str">
        <f>'Danh sách máy'!C1367</f>
        <v>Fact.4</v>
      </c>
      <c r="D1324" s="90" t="e">
        <f>#REF!</f>
        <v>#REF!</v>
      </c>
      <c r="E1324" s="97">
        <f>'Danh sách máy'!E1367</f>
        <v>0</v>
      </c>
      <c r="F1324" s="206" t="e">
        <f>#REF!</f>
        <v>#REF!</v>
      </c>
      <c r="G1324" s="102" t="e">
        <f>#REF!</f>
        <v>#REF!</v>
      </c>
      <c r="H1324" s="102" t="e">
        <f>#REF!</f>
        <v>#REF!</v>
      </c>
      <c r="K1324" s="210" t="e">
        <f>#REF!</f>
        <v>#REF!</v>
      </c>
      <c r="L1324" s="210">
        <v>45593</v>
      </c>
      <c r="M1324" s="210"/>
      <c r="N1324" s="210">
        <f>'Danh sách máy'!F1367</f>
        <v>0</v>
      </c>
      <c r="O1324" s="211" t="str" cm="1">
        <f t="array" ref="O1324">IF(L1324&lt;&gt;0,IF(L1324&lt;I1324,"OK","NG"),Blank)</f>
        <v>NG</v>
      </c>
      <c r="P1324" s="211" t="e" cm="1">
        <f t="array" ref="P1324">IF(M1324&lt;&gt;0,IF(M1324&lt;J1324,"OK","NG"),Blank)</f>
        <v>#NAME?</v>
      </c>
      <c r="Q1324" s="211" t="e" cm="1">
        <f t="array" ref="Q1324">IF(H1324&lt;&gt;"Stop",IF(N1324&lt;&gt;0,IF(N1324&lt;=K1324,"OK","NG"),Blank),"-")</f>
        <v>#REF!</v>
      </c>
      <c r="R1324" s="326" t="e" cm="1">
        <f t="array" ref="R1324">IF(H1324&lt;&gt;"Stop",IF(E1324&lt;&gt;0,IF(E1324&lt;=K1324,"OK","NG"),Blank),"-")</f>
        <v>#REF!</v>
      </c>
    </row>
    <row r="1325" spans="1:18" ht="15" hidden="1" x14ac:dyDescent="0.3">
      <c r="A1325" s="318" t="e">
        <f>#REF!</f>
        <v>#REF!</v>
      </c>
      <c r="B1325" s="305" t="e">
        <f>#REF!</f>
        <v>#REF!</v>
      </c>
      <c r="C1325" s="305" t="str">
        <f>'Danh sách máy'!C1368</f>
        <v>Fact.4</v>
      </c>
      <c r="D1325" s="90" t="e">
        <f>#REF!</f>
        <v>#REF!</v>
      </c>
      <c r="E1325" s="97">
        <f>'Danh sách máy'!E1368</f>
        <v>0</v>
      </c>
      <c r="F1325" s="206" t="e">
        <f>#REF!</f>
        <v>#REF!</v>
      </c>
      <c r="G1325" s="102" t="e">
        <f>#REF!</f>
        <v>#REF!</v>
      </c>
      <c r="H1325" s="102" t="e">
        <f>#REF!</f>
        <v>#REF!</v>
      </c>
      <c r="K1325" s="210" t="e">
        <f>#REF!</f>
        <v>#REF!</v>
      </c>
      <c r="L1325" s="210">
        <v>45594</v>
      </c>
      <c r="M1325" s="210"/>
      <c r="N1325" s="210">
        <f>'Danh sách máy'!F1368</f>
        <v>0</v>
      </c>
      <c r="O1325" s="211" t="str" cm="1">
        <f t="array" ref="O1325">IF(L1325&lt;&gt;0,IF(L1325&lt;I1325,"OK","NG"),Blank)</f>
        <v>NG</v>
      </c>
      <c r="P1325" s="211" t="e" cm="1">
        <f t="array" ref="P1325">IF(M1325&lt;&gt;0,IF(M1325&lt;J1325,"OK","NG"),Blank)</f>
        <v>#NAME?</v>
      </c>
      <c r="Q1325" s="211" t="e" cm="1">
        <f t="array" ref="Q1325">IF(H1325&lt;&gt;"Stop",IF(N1325&lt;&gt;0,IF(N1325&lt;=K1325,"OK","NG"),Blank),"-")</f>
        <v>#REF!</v>
      </c>
      <c r="R1325" s="326" t="e" cm="1">
        <f t="array" ref="R1325">IF(H1325&lt;&gt;"Stop",IF(E1325&lt;&gt;0,IF(E1325&lt;=K1325,"OK","NG"),Blank),"-")</f>
        <v>#REF!</v>
      </c>
    </row>
    <row r="1326" spans="1:18" ht="15" hidden="1" x14ac:dyDescent="0.3">
      <c r="A1326" s="318" t="e">
        <f>#REF!</f>
        <v>#REF!</v>
      </c>
      <c r="B1326" s="305" t="e">
        <f>#REF!</f>
        <v>#REF!</v>
      </c>
      <c r="C1326" s="305" t="str">
        <f>'Danh sách máy'!C1369</f>
        <v>Fact.4</v>
      </c>
      <c r="D1326" s="90" t="e">
        <f>#REF!</f>
        <v>#REF!</v>
      </c>
      <c r="E1326" s="97">
        <f>'Danh sách máy'!E1369</f>
        <v>0</v>
      </c>
      <c r="F1326" s="206" t="e">
        <f>#REF!</f>
        <v>#REF!</v>
      </c>
      <c r="G1326" s="102" t="e">
        <f>#REF!</f>
        <v>#REF!</v>
      </c>
      <c r="H1326" s="102" t="e">
        <f>#REF!</f>
        <v>#REF!</v>
      </c>
      <c r="K1326" s="210" t="e">
        <f>#REF!</f>
        <v>#REF!</v>
      </c>
      <c r="L1326" s="210">
        <v>45595</v>
      </c>
      <c r="M1326" s="210"/>
      <c r="N1326" s="210" t="e">
        <f>'Danh sách máy'!#REF!</f>
        <v>#REF!</v>
      </c>
      <c r="O1326" s="211" t="str" cm="1">
        <f t="array" ref="O1326">IF(L1326&lt;&gt;0,IF(L1326&lt;I1326,"OK","NG"),Blank)</f>
        <v>NG</v>
      </c>
      <c r="P1326" s="211" t="e" cm="1">
        <f t="array" ref="P1326">IF(M1326&lt;&gt;0,IF(M1326&lt;J1326,"OK","NG"),Blank)</f>
        <v>#NAME?</v>
      </c>
      <c r="Q1326" s="211" t="e" cm="1">
        <f t="array" ref="Q1326">IF(H1326&lt;&gt;"Stop",IF(N1326&lt;&gt;0,IF(N1326&lt;=K1326,"OK","NG"),Blank),"-")</f>
        <v>#REF!</v>
      </c>
      <c r="R1326" s="326" t="e" cm="1">
        <f t="array" ref="R1326">IF(H1326&lt;&gt;"Stop",IF(E1326&lt;&gt;0,IF(E1326&lt;=K1326,"OK","NG"),Blank),"-")</f>
        <v>#REF!</v>
      </c>
    </row>
    <row r="1327" spans="1:18" ht="15" hidden="1" x14ac:dyDescent="0.3">
      <c r="A1327" s="318" t="e">
        <f>#REF!</f>
        <v>#REF!</v>
      </c>
      <c r="B1327" s="305" t="e">
        <f>#REF!</f>
        <v>#REF!</v>
      </c>
      <c r="C1327" s="305" t="str">
        <f>'Danh sách máy'!C1370</f>
        <v>Fact.4</v>
      </c>
      <c r="D1327" s="90" t="e">
        <f>#REF!</f>
        <v>#REF!</v>
      </c>
      <c r="E1327" s="97">
        <f>'Danh sách máy'!E1370</f>
        <v>0</v>
      </c>
      <c r="F1327" s="206" t="e">
        <f>#REF!</f>
        <v>#REF!</v>
      </c>
      <c r="G1327" s="102" t="e">
        <f>#REF!</f>
        <v>#REF!</v>
      </c>
      <c r="H1327" s="102" t="e">
        <f>#REF!</f>
        <v>#REF!</v>
      </c>
      <c r="K1327" s="210" t="e">
        <f>#REF!</f>
        <v>#REF!</v>
      </c>
      <c r="L1327" s="210">
        <v>45596</v>
      </c>
      <c r="M1327" s="210"/>
      <c r="N1327" s="210">
        <f>'Danh sách máy'!F1369</f>
        <v>0</v>
      </c>
      <c r="O1327" s="211" t="str" cm="1">
        <f t="array" ref="O1327">IF(L1327&lt;&gt;0,IF(L1327&lt;I1327,"OK","NG"),Blank)</f>
        <v>NG</v>
      </c>
      <c r="P1327" s="211" t="e" cm="1">
        <f t="array" ref="P1327">IF(M1327&lt;&gt;0,IF(M1327&lt;J1327,"OK","NG"),Blank)</f>
        <v>#NAME?</v>
      </c>
      <c r="Q1327" s="211" t="e" cm="1">
        <f t="array" ref="Q1327">IF(H1327&lt;&gt;"Stop",IF(N1327&lt;&gt;0,IF(N1327&lt;=K1327,"OK","NG"),Blank),"-")</f>
        <v>#REF!</v>
      </c>
      <c r="R1327" s="326" t="e" cm="1">
        <f t="array" ref="R1327">IF(H1327&lt;&gt;"Stop",IF(E1327&lt;&gt;0,IF(E1327&lt;=K1327,"OK","NG"),Blank),"-")</f>
        <v>#REF!</v>
      </c>
    </row>
    <row r="1328" spans="1:18" ht="15" hidden="1" x14ac:dyDescent="0.3">
      <c r="A1328" s="318" t="e">
        <f>#REF!</f>
        <v>#REF!</v>
      </c>
      <c r="B1328" s="305" t="e">
        <f>#REF!</f>
        <v>#REF!</v>
      </c>
      <c r="C1328" s="305" t="str">
        <f>'Danh sách máy'!C1371</f>
        <v>MKTC</v>
      </c>
      <c r="D1328" s="90" t="e">
        <f>#REF!</f>
        <v>#REF!</v>
      </c>
      <c r="E1328" s="97">
        <f>'Danh sách máy'!E1371</f>
        <v>0</v>
      </c>
      <c r="F1328" s="206" t="e">
        <f>#REF!</f>
        <v>#REF!</v>
      </c>
      <c r="G1328" s="102" t="e">
        <f>#REF!</f>
        <v>#REF!</v>
      </c>
      <c r="H1328" s="102" t="e">
        <f>#REF!</f>
        <v>#REF!</v>
      </c>
      <c r="K1328" s="210" t="e">
        <f>#REF!</f>
        <v>#REF!</v>
      </c>
      <c r="L1328" s="210">
        <v>45597</v>
      </c>
      <c r="M1328" s="210"/>
      <c r="N1328" s="210">
        <f>'Danh sách máy'!F1371</f>
        <v>0</v>
      </c>
      <c r="O1328" s="211" t="str" cm="1">
        <f t="array" ref="O1328">IF(L1328&lt;&gt;0,IF(L1328&lt;I1328,"OK","NG"),Blank)</f>
        <v>NG</v>
      </c>
      <c r="P1328" s="211" t="e" cm="1">
        <f t="array" ref="P1328">IF(M1328&lt;&gt;0,IF(M1328&lt;J1328,"OK","NG"),Blank)</f>
        <v>#NAME?</v>
      </c>
      <c r="Q1328" s="211" t="e" cm="1">
        <f t="array" ref="Q1328">IF(H1328&lt;&gt;"Stop",IF(N1328&lt;&gt;0,IF(N1328&lt;=K1328,"OK","NG"),Blank),"-")</f>
        <v>#REF!</v>
      </c>
      <c r="R1328" s="326" t="e" cm="1">
        <f t="array" ref="R1328">IF(H1328&lt;&gt;"Stop",IF(E1328&lt;&gt;0,IF(E1328&lt;=K1328,"OK","NG"),Blank),"-")</f>
        <v>#REF!</v>
      </c>
    </row>
    <row r="1329" spans="1:18" ht="15" hidden="1" x14ac:dyDescent="0.3">
      <c r="A1329" s="318" t="e">
        <f>#REF!</f>
        <v>#REF!</v>
      </c>
      <c r="B1329" s="305" t="e">
        <f>#REF!</f>
        <v>#REF!</v>
      </c>
      <c r="C1329" s="305" t="str">
        <f>'Danh sách máy'!C1372</f>
        <v>MKTC</v>
      </c>
      <c r="D1329" s="90" t="e">
        <f>#REF!</f>
        <v>#REF!</v>
      </c>
      <c r="E1329" s="97">
        <f>'Danh sách máy'!E1372</f>
        <v>0</v>
      </c>
      <c r="F1329" s="206" t="e">
        <f>#REF!</f>
        <v>#REF!</v>
      </c>
      <c r="G1329" s="102" t="e">
        <f>#REF!</f>
        <v>#REF!</v>
      </c>
      <c r="H1329" s="102" t="e">
        <f>#REF!</f>
        <v>#REF!</v>
      </c>
      <c r="K1329" s="210" t="e">
        <f>#REF!</f>
        <v>#REF!</v>
      </c>
      <c r="L1329" s="210">
        <v>45598</v>
      </c>
      <c r="M1329" s="210"/>
      <c r="N1329" s="210">
        <f>'Danh sách máy'!F1372</f>
        <v>0</v>
      </c>
      <c r="O1329" s="211" t="str" cm="1">
        <f t="array" ref="O1329">IF(L1329&lt;&gt;0,IF(L1329&lt;I1329,"OK","NG"),Blank)</f>
        <v>NG</v>
      </c>
      <c r="P1329" s="211" t="e" cm="1">
        <f t="array" ref="P1329">IF(M1329&lt;&gt;0,IF(M1329&lt;J1329,"OK","NG"),Blank)</f>
        <v>#NAME?</v>
      </c>
      <c r="Q1329" s="211" t="e" cm="1">
        <f t="array" ref="Q1329">IF(H1329&lt;&gt;"Stop",IF(N1329&lt;&gt;0,IF(N1329&lt;=K1329,"OK","NG"),Blank),"-")</f>
        <v>#REF!</v>
      </c>
      <c r="R1329" s="326" t="e" cm="1">
        <f t="array" ref="R1329">IF(H1329&lt;&gt;"Stop",IF(E1329&lt;&gt;0,IF(E1329&lt;=K1329,"OK","NG"),Blank),"-")</f>
        <v>#REF!</v>
      </c>
    </row>
    <row r="1330" spans="1:18" ht="15" hidden="1" x14ac:dyDescent="0.3">
      <c r="A1330" s="318" t="e">
        <f>#REF!</f>
        <v>#REF!</v>
      </c>
      <c r="B1330" s="305" t="e">
        <f>#REF!</f>
        <v>#REF!</v>
      </c>
      <c r="C1330" s="305" t="str">
        <f>'Danh sách máy'!C1373</f>
        <v>MKTC</v>
      </c>
      <c r="D1330" s="90" t="e">
        <f>#REF!</f>
        <v>#REF!</v>
      </c>
      <c r="E1330" s="97">
        <f>'Danh sách máy'!E1373</f>
        <v>0</v>
      </c>
      <c r="F1330" s="206" t="e">
        <f>#REF!</f>
        <v>#REF!</v>
      </c>
      <c r="G1330" s="102" t="e">
        <f>#REF!</f>
        <v>#REF!</v>
      </c>
      <c r="H1330" s="102" t="e">
        <f>#REF!</f>
        <v>#REF!</v>
      </c>
      <c r="K1330" s="210" t="e">
        <f>#REF!</f>
        <v>#REF!</v>
      </c>
      <c r="L1330" s="210">
        <v>45599</v>
      </c>
      <c r="M1330" s="210"/>
      <c r="N1330" s="210">
        <f>'Danh sách máy'!F1373</f>
        <v>0</v>
      </c>
      <c r="O1330" s="211" t="str" cm="1">
        <f t="array" ref="O1330">IF(L1330&lt;&gt;0,IF(L1330&lt;I1330,"OK","NG"),Blank)</f>
        <v>NG</v>
      </c>
      <c r="P1330" s="211" t="e" cm="1">
        <f t="array" ref="P1330">IF(M1330&lt;&gt;0,IF(M1330&lt;J1330,"OK","NG"),Blank)</f>
        <v>#NAME?</v>
      </c>
      <c r="Q1330" s="211" t="e" cm="1">
        <f t="array" ref="Q1330">IF(H1330&lt;&gt;"Stop",IF(N1330&lt;&gt;0,IF(N1330&lt;=K1330,"OK","NG"),Blank),"-")</f>
        <v>#REF!</v>
      </c>
      <c r="R1330" s="326" t="e" cm="1">
        <f t="array" ref="R1330">IF(H1330&lt;&gt;"Stop",IF(E1330&lt;&gt;0,IF(E1330&lt;=K1330,"OK","NG"),Blank),"-")</f>
        <v>#REF!</v>
      </c>
    </row>
    <row r="1331" spans="1:18" ht="15" hidden="1" x14ac:dyDescent="0.3">
      <c r="A1331" s="318" t="e">
        <f>#REF!</f>
        <v>#REF!</v>
      </c>
      <c r="B1331" s="305" t="e">
        <f>#REF!</f>
        <v>#REF!</v>
      </c>
      <c r="C1331" s="305" t="str">
        <f>'Danh sách máy'!C1374</f>
        <v>Fact.4</v>
      </c>
      <c r="D1331" s="90" t="e">
        <f>#REF!</f>
        <v>#REF!</v>
      </c>
      <c r="E1331" s="97">
        <f>'Danh sách máy'!E1374</f>
        <v>0</v>
      </c>
      <c r="F1331" s="206" t="e">
        <f>#REF!</f>
        <v>#REF!</v>
      </c>
      <c r="G1331" s="102" t="e">
        <f>#REF!</f>
        <v>#REF!</v>
      </c>
      <c r="H1331" s="102" t="e">
        <f>#REF!</f>
        <v>#REF!</v>
      </c>
      <c r="K1331" s="210" t="e">
        <f>#REF!</f>
        <v>#REF!</v>
      </c>
      <c r="L1331" s="210">
        <v>45600</v>
      </c>
      <c r="M1331" s="210"/>
      <c r="N1331" s="210">
        <f>'Danh sách máy'!F1374</f>
        <v>0</v>
      </c>
      <c r="O1331" s="211" t="str" cm="1">
        <f t="array" ref="O1331">IF(L1331&lt;&gt;0,IF(L1331&lt;I1331,"OK","NG"),Blank)</f>
        <v>NG</v>
      </c>
      <c r="P1331" s="211" t="e" cm="1">
        <f t="array" ref="P1331">IF(M1331&lt;&gt;0,IF(M1331&lt;J1331,"OK","NG"),Blank)</f>
        <v>#NAME?</v>
      </c>
      <c r="Q1331" s="211" t="e" cm="1">
        <f t="array" ref="Q1331">IF(H1331&lt;&gt;"Stop",IF(N1331&lt;&gt;0,IF(N1331&lt;=K1331,"OK","NG"),Blank),"-")</f>
        <v>#REF!</v>
      </c>
      <c r="R1331" s="326" t="e" cm="1">
        <f t="array" ref="R1331">IF(H1331&lt;&gt;"Stop",IF(E1331&lt;&gt;0,IF(E1331&lt;=K1331,"OK","NG"),Blank),"-")</f>
        <v>#REF!</v>
      </c>
    </row>
    <row r="1332" spans="1:18" ht="15" hidden="1" x14ac:dyDescent="0.3">
      <c r="A1332" s="318" t="e">
        <f>#REF!</f>
        <v>#REF!</v>
      </c>
      <c r="B1332" s="305" t="e">
        <f>#REF!</f>
        <v>#REF!</v>
      </c>
      <c r="C1332" s="305" t="str">
        <f>'Danh sách máy'!C1375</f>
        <v>Fact.4</v>
      </c>
      <c r="D1332" s="90" t="e">
        <f>#REF!</f>
        <v>#REF!</v>
      </c>
      <c r="E1332" s="97">
        <f>'Danh sách máy'!E1375</f>
        <v>0</v>
      </c>
      <c r="F1332" s="206" t="e">
        <f>#REF!</f>
        <v>#REF!</v>
      </c>
      <c r="G1332" s="102" t="e">
        <f>#REF!</f>
        <v>#REF!</v>
      </c>
      <c r="H1332" s="102" t="e">
        <f>#REF!</f>
        <v>#REF!</v>
      </c>
      <c r="K1332" s="210" t="e">
        <f>#REF!</f>
        <v>#REF!</v>
      </c>
      <c r="L1332" s="210">
        <v>45601</v>
      </c>
      <c r="M1332" s="210"/>
      <c r="N1332" s="210">
        <f>'Danh sách máy'!F1375</f>
        <v>0</v>
      </c>
      <c r="O1332" s="211" t="str" cm="1">
        <f t="array" ref="O1332">IF(L1332&lt;&gt;0,IF(L1332&lt;I1332,"OK","NG"),Blank)</f>
        <v>NG</v>
      </c>
      <c r="P1332" s="211" t="e" cm="1">
        <f t="array" ref="P1332">IF(M1332&lt;&gt;0,IF(M1332&lt;J1332,"OK","NG"),Blank)</f>
        <v>#NAME?</v>
      </c>
      <c r="Q1332" s="211" t="e" cm="1">
        <f t="array" ref="Q1332">IF(H1332&lt;&gt;"Stop",IF(N1332&lt;&gt;0,IF(N1332&lt;=K1332,"OK","NG"),Blank),"-")</f>
        <v>#REF!</v>
      </c>
      <c r="R1332" s="326" t="e" cm="1">
        <f t="array" ref="R1332">IF(H1332&lt;&gt;"Stop",IF(E1332&lt;&gt;0,IF(E1332&lt;=K1332,"OK","NG"),Blank),"-")</f>
        <v>#REF!</v>
      </c>
    </row>
    <row r="1333" spans="1:18" ht="15" hidden="1" x14ac:dyDescent="0.3">
      <c r="A1333" s="318" t="e">
        <f>#REF!</f>
        <v>#REF!</v>
      </c>
      <c r="B1333" s="305" t="e">
        <f>#REF!</f>
        <v>#REF!</v>
      </c>
      <c r="C1333" s="305" t="str">
        <f>'Danh sách máy'!C1376</f>
        <v>OUT</v>
      </c>
      <c r="D1333" s="90" t="e">
        <f>#REF!</f>
        <v>#REF!</v>
      </c>
      <c r="E1333" s="97">
        <f>'Danh sách máy'!E1376</f>
        <v>0</v>
      </c>
      <c r="F1333" s="206" t="e">
        <f>#REF!</f>
        <v>#REF!</v>
      </c>
      <c r="G1333" s="102" t="e">
        <f>#REF!</f>
        <v>#REF!</v>
      </c>
      <c r="H1333" s="102" t="e">
        <f>#REF!</f>
        <v>#REF!</v>
      </c>
      <c r="K1333" s="210" t="e">
        <f>#REF!</f>
        <v>#REF!</v>
      </c>
      <c r="L1333" s="210">
        <v>45602</v>
      </c>
      <c r="M1333" s="210"/>
      <c r="N1333" s="210">
        <f>'Danh sách máy'!F1376</f>
        <v>0</v>
      </c>
      <c r="O1333" s="211" t="str" cm="1">
        <f t="array" ref="O1333">IF(L1333&lt;&gt;0,IF(L1333&lt;I1333,"OK","NG"),Blank)</f>
        <v>NG</v>
      </c>
      <c r="P1333" s="211" t="e" cm="1">
        <f t="array" ref="P1333">IF(M1333&lt;&gt;0,IF(M1333&lt;J1333,"OK","NG"),Blank)</f>
        <v>#NAME?</v>
      </c>
      <c r="Q1333" s="211" t="e" cm="1">
        <f t="array" ref="Q1333">IF(H1333&lt;&gt;"Stop",IF(N1333&lt;&gt;0,IF(N1333&lt;=K1333,"OK","NG"),Blank),"-")</f>
        <v>#REF!</v>
      </c>
      <c r="R1333" s="326" t="e" cm="1">
        <f t="array" ref="R1333">IF(H1333&lt;&gt;"Stop",IF(E1333&lt;&gt;0,IF(E1333&lt;=K1333,"OK","NG"),Blank),"-")</f>
        <v>#REF!</v>
      </c>
    </row>
    <row r="1334" spans="1:18" ht="15" hidden="1" x14ac:dyDescent="0.3">
      <c r="A1334" s="318" t="e">
        <f>#REF!</f>
        <v>#REF!</v>
      </c>
      <c r="B1334" s="305" t="e">
        <f>#REF!</f>
        <v>#REF!</v>
      </c>
      <c r="C1334" s="305" t="str">
        <f>'Danh sách máy'!C1377</f>
        <v>OUT</v>
      </c>
      <c r="D1334" s="90" t="e">
        <f>#REF!</f>
        <v>#REF!</v>
      </c>
      <c r="E1334" s="97">
        <f>'Danh sách máy'!E1377</f>
        <v>0</v>
      </c>
      <c r="F1334" s="206" t="e">
        <f>#REF!</f>
        <v>#REF!</v>
      </c>
      <c r="G1334" s="102" t="e">
        <f>#REF!</f>
        <v>#REF!</v>
      </c>
      <c r="H1334" s="102" t="e">
        <f>#REF!</f>
        <v>#REF!</v>
      </c>
      <c r="K1334" s="210" t="e">
        <f>#REF!</f>
        <v>#REF!</v>
      </c>
      <c r="L1334" s="210">
        <v>45603</v>
      </c>
      <c r="M1334" s="210"/>
      <c r="N1334" s="210">
        <f>'Danh sách máy'!F1377</f>
        <v>0</v>
      </c>
      <c r="O1334" s="211" t="str" cm="1">
        <f t="array" ref="O1334">IF(L1334&lt;&gt;0,IF(L1334&lt;I1334,"OK","NG"),Blank)</f>
        <v>NG</v>
      </c>
      <c r="P1334" s="211" t="e" cm="1">
        <f t="array" ref="P1334">IF(M1334&lt;&gt;0,IF(M1334&lt;J1334,"OK","NG"),Blank)</f>
        <v>#NAME?</v>
      </c>
      <c r="Q1334" s="211" t="e" cm="1">
        <f t="array" ref="Q1334">IF(H1334&lt;&gt;"Stop",IF(N1334&lt;&gt;0,IF(N1334&lt;=K1334,"OK","NG"),Blank),"-")</f>
        <v>#REF!</v>
      </c>
      <c r="R1334" s="326" t="e" cm="1">
        <f t="array" ref="R1334">IF(H1334&lt;&gt;"Stop",IF(E1334&lt;&gt;0,IF(E1334&lt;=K1334,"OK","NG"),Blank),"-")</f>
        <v>#REF!</v>
      </c>
    </row>
    <row r="1335" spans="1:18" ht="30" hidden="1" x14ac:dyDescent="0.3">
      <c r="A1335" s="318" t="e">
        <f>#REF!</f>
        <v>#REF!</v>
      </c>
      <c r="B1335" s="305" t="e">
        <f>#REF!</f>
        <v>#REF!</v>
      </c>
      <c r="C1335" s="305" t="str">
        <f>'Danh sách máy'!C1378</f>
        <v>OUT</v>
      </c>
      <c r="D1335" s="90" t="e">
        <f>#REF!</f>
        <v>#REF!</v>
      </c>
      <c r="E1335" s="97">
        <f>'Danh sách máy'!E1378</f>
        <v>0</v>
      </c>
      <c r="F1335" s="206" t="e">
        <f>#REF!</f>
        <v>#REF!</v>
      </c>
      <c r="G1335" s="102" t="e">
        <f>#REF!</f>
        <v>#REF!</v>
      </c>
      <c r="H1335" s="102" t="e">
        <f>#REF!</f>
        <v>#REF!</v>
      </c>
      <c r="K1335" s="210" t="e">
        <f>#REF!</f>
        <v>#REF!</v>
      </c>
      <c r="L1335" s="210">
        <v>45604</v>
      </c>
      <c r="M1335" s="210"/>
      <c r="N1335" s="210">
        <f>'Danh sách máy'!F1378</f>
        <v>0</v>
      </c>
      <c r="O1335" s="211" t="str" cm="1">
        <f t="array" ref="O1335">IF(L1335&lt;&gt;0,IF(L1335&lt;I1335,"OK","NG"),Blank)</f>
        <v>NG</v>
      </c>
      <c r="P1335" s="211" t="e" cm="1">
        <f t="array" ref="P1335">IF(M1335&lt;&gt;0,IF(M1335&lt;J1335,"OK","NG"),Blank)</f>
        <v>#NAME?</v>
      </c>
      <c r="Q1335" s="211" t="e" cm="1">
        <f t="array" ref="Q1335">IF(H1335&lt;&gt;"Stop",IF(N1335&lt;&gt;0,IF(N1335&lt;=K1335,"OK","NG"),Blank),"-")</f>
        <v>#REF!</v>
      </c>
      <c r="R1335" s="326" t="e" cm="1">
        <f t="array" ref="R1335">IF(H1335&lt;&gt;"Stop",IF(E1335&lt;&gt;0,IF(E1335&lt;=K1335,"OK","NG"),Blank),"-")</f>
        <v>#REF!</v>
      </c>
    </row>
    <row r="1336" spans="1:18" ht="30" hidden="1" x14ac:dyDescent="0.3">
      <c r="A1336" s="318" t="e">
        <f>#REF!</f>
        <v>#REF!</v>
      </c>
      <c r="B1336" s="305" t="e">
        <f>#REF!</f>
        <v>#REF!</v>
      </c>
      <c r="C1336" s="305" t="str">
        <f>'Danh sách máy'!C1379</f>
        <v>OUT</v>
      </c>
      <c r="D1336" s="90" t="e">
        <f>#REF!</f>
        <v>#REF!</v>
      </c>
      <c r="E1336" s="97">
        <f>'Danh sách máy'!E1379</f>
        <v>0</v>
      </c>
      <c r="F1336" s="206" t="e">
        <f>#REF!</f>
        <v>#REF!</v>
      </c>
      <c r="G1336" s="102" t="e">
        <f>#REF!</f>
        <v>#REF!</v>
      </c>
      <c r="H1336" s="102" t="e">
        <f>#REF!</f>
        <v>#REF!</v>
      </c>
      <c r="K1336" s="210" t="e">
        <f>#REF!</f>
        <v>#REF!</v>
      </c>
      <c r="L1336" s="210">
        <v>45605</v>
      </c>
      <c r="M1336" s="210"/>
      <c r="N1336" s="210">
        <f>'Danh sách máy'!F1379</f>
        <v>0</v>
      </c>
      <c r="O1336" s="211" t="str" cm="1">
        <f t="array" ref="O1336">IF(L1336&lt;&gt;0,IF(L1336&lt;I1336,"OK","NG"),Blank)</f>
        <v>NG</v>
      </c>
      <c r="P1336" s="211" t="e" cm="1">
        <f t="array" ref="P1336">IF(M1336&lt;&gt;0,IF(M1336&lt;J1336,"OK","NG"),Blank)</f>
        <v>#NAME?</v>
      </c>
      <c r="Q1336" s="211" t="e" cm="1">
        <f t="array" ref="Q1336">IF(H1336&lt;&gt;"Stop",IF(N1336&lt;&gt;0,IF(N1336&lt;=K1336,"OK","NG"),Blank),"-")</f>
        <v>#REF!</v>
      </c>
      <c r="R1336" s="326" t="e" cm="1">
        <f t="array" ref="R1336">IF(H1336&lt;&gt;"Stop",IF(E1336&lt;&gt;0,IF(E1336&lt;=K1336,"OK","NG"),Blank),"-")</f>
        <v>#REF!</v>
      </c>
    </row>
    <row r="1337" spans="1:18" ht="30" hidden="1" x14ac:dyDescent="0.3">
      <c r="A1337" s="318" t="e">
        <f>#REF!</f>
        <v>#REF!</v>
      </c>
      <c r="B1337" s="305" t="e">
        <f>#REF!</f>
        <v>#REF!</v>
      </c>
      <c r="C1337" s="305" t="str">
        <f>'Danh sách máy'!C1380</f>
        <v>OUT</v>
      </c>
      <c r="D1337" s="90" t="e">
        <f>#REF!</f>
        <v>#REF!</v>
      </c>
      <c r="E1337" s="97">
        <f>'Danh sách máy'!E1380</f>
        <v>0</v>
      </c>
      <c r="F1337" s="206" t="e">
        <f>#REF!</f>
        <v>#REF!</v>
      </c>
      <c r="G1337" s="102" t="e">
        <f>#REF!</f>
        <v>#REF!</v>
      </c>
      <c r="H1337" s="102" t="e">
        <f>#REF!</f>
        <v>#REF!</v>
      </c>
      <c r="K1337" s="210" t="e">
        <f>#REF!</f>
        <v>#REF!</v>
      </c>
      <c r="L1337" s="210">
        <v>45606</v>
      </c>
      <c r="M1337" s="210"/>
      <c r="N1337" s="210">
        <f>'Danh sách máy'!F1380</f>
        <v>0</v>
      </c>
      <c r="O1337" s="211" t="str" cm="1">
        <f t="array" ref="O1337">IF(L1337&lt;&gt;0,IF(L1337&lt;I1337,"OK","NG"),Blank)</f>
        <v>NG</v>
      </c>
      <c r="P1337" s="211" t="e" cm="1">
        <f t="array" ref="P1337">IF(M1337&lt;&gt;0,IF(M1337&lt;J1337,"OK","NG"),Blank)</f>
        <v>#NAME?</v>
      </c>
      <c r="Q1337" s="211" t="e" cm="1">
        <f t="array" ref="Q1337">IF(H1337&lt;&gt;"Stop",IF(N1337&lt;&gt;0,IF(N1337&lt;=K1337,"OK","NG"),Blank),"-")</f>
        <v>#REF!</v>
      </c>
      <c r="R1337" s="326" t="e" cm="1">
        <f t="array" ref="R1337">IF(H1337&lt;&gt;"Stop",IF(E1337&lt;&gt;0,IF(E1337&lt;=K1337,"OK","NG"),Blank),"-")</f>
        <v>#REF!</v>
      </c>
    </row>
    <row r="1338" spans="1:18" ht="30" hidden="1" x14ac:dyDescent="0.3">
      <c r="A1338" s="318" t="e">
        <f>#REF!</f>
        <v>#REF!</v>
      </c>
      <c r="B1338" s="305" t="e">
        <f>#REF!</f>
        <v>#REF!</v>
      </c>
      <c r="C1338" s="305" t="str">
        <f>'Danh sách máy'!C1381</f>
        <v>OUT</v>
      </c>
      <c r="D1338" s="90" t="e">
        <f>#REF!</f>
        <v>#REF!</v>
      </c>
      <c r="E1338" s="97">
        <f>'Danh sách máy'!E1381</f>
        <v>0</v>
      </c>
      <c r="F1338" s="206" t="e">
        <f>#REF!</f>
        <v>#REF!</v>
      </c>
      <c r="G1338" s="102" t="e">
        <f>#REF!</f>
        <v>#REF!</v>
      </c>
      <c r="H1338" s="102" t="e">
        <f>#REF!</f>
        <v>#REF!</v>
      </c>
      <c r="K1338" s="210" t="e">
        <f>#REF!</f>
        <v>#REF!</v>
      </c>
      <c r="L1338" s="210">
        <v>45607</v>
      </c>
      <c r="M1338" s="210"/>
      <c r="N1338" s="210">
        <f>'Danh sách máy'!F1381</f>
        <v>0</v>
      </c>
      <c r="O1338" s="211" t="str" cm="1">
        <f t="array" ref="O1338">IF(L1338&lt;&gt;0,IF(L1338&lt;I1338,"OK","NG"),Blank)</f>
        <v>NG</v>
      </c>
      <c r="P1338" s="211" t="e" cm="1">
        <f t="array" ref="P1338">IF(M1338&lt;&gt;0,IF(M1338&lt;J1338,"OK","NG"),Blank)</f>
        <v>#NAME?</v>
      </c>
      <c r="Q1338" s="211" t="e" cm="1">
        <f t="array" ref="Q1338">IF(H1338&lt;&gt;"Stop",IF(N1338&lt;&gt;0,IF(N1338&lt;=K1338,"OK","NG"),Blank),"-")</f>
        <v>#REF!</v>
      </c>
      <c r="R1338" s="326" t="e" cm="1">
        <f t="array" ref="R1338">IF(H1338&lt;&gt;"Stop",IF(E1338&lt;&gt;0,IF(E1338&lt;=K1338,"OK","NG"),Blank),"-")</f>
        <v>#REF!</v>
      </c>
    </row>
    <row r="1339" spans="1:18" ht="45" hidden="1" x14ac:dyDescent="0.3">
      <c r="A1339" s="318" t="e">
        <f>#REF!</f>
        <v>#REF!</v>
      </c>
      <c r="B1339" s="305" t="e">
        <f>#REF!</f>
        <v>#REF!</v>
      </c>
      <c r="C1339" s="305" t="str">
        <f>'Danh sách máy'!C1382</f>
        <v>OUT</v>
      </c>
      <c r="D1339" s="90" t="e">
        <f>#REF!</f>
        <v>#REF!</v>
      </c>
      <c r="E1339" s="97">
        <f>'Danh sách máy'!E1382</f>
        <v>0</v>
      </c>
      <c r="F1339" s="206" t="e">
        <f>#REF!</f>
        <v>#REF!</v>
      </c>
      <c r="G1339" s="102" t="e">
        <f>#REF!</f>
        <v>#REF!</v>
      </c>
      <c r="H1339" s="102" t="e">
        <f>#REF!</f>
        <v>#REF!</v>
      </c>
      <c r="K1339" s="210" t="e">
        <f>#REF!</f>
        <v>#REF!</v>
      </c>
      <c r="L1339" s="210">
        <v>45608</v>
      </c>
      <c r="M1339" s="210"/>
      <c r="N1339" s="210">
        <f>'Danh sách máy'!F1382</f>
        <v>0</v>
      </c>
      <c r="O1339" s="211" t="str" cm="1">
        <f t="array" ref="O1339">IF(L1339&lt;&gt;0,IF(L1339&lt;I1339,"OK","NG"),Blank)</f>
        <v>NG</v>
      </c>
      <c r="P1339" s="211" t="e" cm="1">
        <f t="array" ref="P1339">IF(M1339&lt;&gt;0,IF(M1339&lt;J1339,"OK","NG"),Blank)</f>
        <v>#NAME?</v>
      </c>
      <c r="Q1339" s="211" t="e" cm="1">
        <f t="array" ref="Q1339">IF(H1339&lt;&gt;"Stop",IF(N1339&lt;&gt;0,IF(N1339&lt;=K1339,"OK","NG"),Blank),"-")</f>
        <v>#REF!</v>
      </c>
      <c r="R1339" s="326" t="e" cm="1">
        <f t="array" ref="R1339">IF(H1339&lt;&gt;"Stop",IF(E1339&lt;&gt;0,IF(E1339&lt;=K1339,"OK","NG"),Blank),"-")</f>
        <v>#REF!</v>
      </c>
    </row>
    <row r="1340" spans="1:18" ht="45" hidden="1" x14ac:dyDescent="0.3">
      <c r="A1340" s="318" t="e">
        <f>#REF!</f>
        <v>#REF!</v>
      </c>
      <c r="B1340" s="305" t="e">
        <f>#REF!</f>
        <v>#REF!</v>
      </c>
      <c r="C1340" s="305" t="str">
        <f>'Danh sách máy'!C1383</f>
        <v>OUT</v>
      </c>
      <c r="D1340" s="90" t="e">
        <f>#REF!</f>
        <v>#REF!</v>
      </c>
      <c r="E1340" s="97">
        <f>'Danh sách máy'!E1383</f>
        <v>0</v>
      </c>
      <c r="F1340" s="206" t="e">
        <f>#REF!</f>
        <v>#REF!</v>
      </c>
      <c r="G1340" s="102" t="e">
        <f>#REF!</f>
        <v>#REF!</v>
      </c>
      <c r="H1340" s="102" t="e">
        <f>#REF!</f>
        <v>#REF!</v>
      </c>
      <c r="K1340" s="210" t="e">
        <f>#REF!</f>
        <v>#REF!</v>
      </c>
      <c r="L1340" s="210">
        <v>45609</v>
      </c>
      <c r="M1340" s="210"/>
      <c r="N1340" s="210">
        <f>'Danh sách máy'!F1383</f>
        <v>0</v>
      </c>
      <c r="O1340" s="211" t="str" cm="1">
        <f t="array" ref="O1340">IF(L1340&lt;&gt;0,IF(L1340&lt;I1340,"OK","NG"),Blank)</f>
        <v>NG</v>
      </c>
      <c r="P1340" s="211" t="e" cm="1">
        <f t="array" ref="P1340">IF(M1340&lt;&gt;0,IF(M1340&lt;J1340,"OK","NG"),Blank)</f>
        <v>#NAME?</v>
      </c>
      <c r="Q1340" s="211" t="e" cm="1">
        <f t="array" ref="Q1340">IF(H1340&lt;&gt;"Stop",IF(N1340&lt;&gt;0,IF(N1340&lt;=K1340,"OK","NG"),Blank),"-")</f>
        <v>#REF!</v>
      </c>
      <c r="R1340" s="326" t="e" cm="1">
        <f t="array" ref="R1340">IF(H1340&lt;&gt;"Stop",IF(E1340&lt;&gt;0,IF(E1340&lt;=K1340,"OK","NG"),Blank),"-")</f>
        <v>#REF!</v>
      </c>
    </row>
    <row r="1341" spans="1:18" ht="30" hidden="1" x14ac:dyDescent="0.3">
      <c r="A1341" s="318" t="e">
        <f>#REF!</f>
        <v>#REF!</v>
      </c>
      <c r="B1341" s="305" t="e">
        <f>#REF!</f>
        <v>#REF!</v>
      </c>
      <c r="C1341" s="305" t="str">
        <f>'Danh sách máy'!C1384</f>
        <v>OUT</v>
      </c>
      <c r="D1341" s="90" t="e">
        <f>#REF!</f>
        <v>#REF!</v>
      </c>
      <c r="E1341" s="97">
        <f>'Danh sách máy'!E1384</f>
        <v>0</v>
      </c>
      <c r="F1341" s="206" t="e">
        <f>#REF!</f>
        <v>#REF!</v>
      </c>
      <c r="G1341" s="102" t="e">
        <f>#REF!</f>
        <v>#REF!</v>
      </c>
      <c r="H1341" s="102" t="e">
        <f>#REF!</f>
        <v>#REF!</v>
      </c>
      <c r="K1341" s="210" t="e">
        <f>#REF!</f>
        <v>#REF!</v>
      </c>
      <c r="L1341" s="210">
        <v>45610</v>
      </c>
      <c r="M1341" s="210"/>
      <c r="N1341" s="210">
        <f>'Danh sách máy'!F1384</f>
        <v>0</v>
      </c>
      <c r="O1341" s="211" t="str" cm="1">
        <f t="array" ref="O1341">IF(L1341&lt;&gt;0,IF(L1341&lt;I1341,"OK","NG"),Blank)</f>
        <v>NG</v>
      </c>
      <c r="P1341" s="211" t="e" cm="1">
        <f t="array" ref="P1341">IF(M1341&lt;&gt;0,IF(M1341&lt;J1341,"OK","NG"),Blank)</f>
        <v>#NAME?</v>
      </c>
      <c r="Q1341" s="211" t="e" cm="1">
        <f t="array" ref="Q1341">IF(H1341&lt;&gt;"Stop",IF(N1341&lt;&gt;0,IF(N1341&lt;=K1341,"OK","NG"),Blank),"-")</f>
        <v>#REF!</v>
      </c>
      <c r="R1341" s="326" t="e" cm="1">
        <f t="array" ref="R1341">IF(H1341&lt;&gt;"Stop",IF(E1341&lt;&gt;0,IF(E1341&lt;=K1341,"OK","NG"),Blank),"-")</f>
        <v>#REF!</v>
      </c>
    </row>
    <row r="1342" spans="1:18" ht="30" hidden="1" x14ac:dyDescent="0.3">
      <c r="A1342" s="318" t="e">
        <f>#REF!</f>
        <v>#REF!</v>
      </c>
      <c r="B1342" s="305" t="e">
        <f>#REF!</f>
        <v>#REF!</v>
      </c>
      <c r="C1342" s="305" t="str">
        <f>'Danh sách máy'!C1385</f>
        <v>OUT</v>
      </c>
      <c r="D1342" s="90" t="e">
        <f>#REF!</f>
        <v>#REF!</v>
      </c>
      <c r="E1342" s="97">
        <f>'Danh sách máy'!E1385</f>
        <v>0</v>
      </c>
      <c r="F1342" s="206" t="e">
        <f>#REF!</f>
        <v>#REF!</v>
      </c>
      <c r="G1342" s="102" t="e">
        <f>#REF!</f>
        <v>#REF!</v>
      </c>
      <c r="H1342" s="102" t="e">
        <f>#REF!</f>
        <v>#REF!</v>
      </c>
      <c r="K1342" s="210" t="e">
        <f>#REF!</f>
        <v>#REF!</v>
      </c>
      <c r="L1342" s="210">
        <v>45611</v>
      </c>
      <c r="M1342" s="210"/>
      <c r="N1342" s="210">
        <f>'Danh sách máy'!F1385</f>
        <v>0</v>
      </c>
      <c r="O1342" s="211" t="str" cm="1">
        <f t="array" ref="O1342">IF(L1342&lt;&gt;0,IF(L1342&lt;I1342,"OK","NG"),Blank)</f>
        <v>NG</v>
      </c>
      <c r="P1342" s="211" t="e" cm="1">
        <f t="array" ref="P1342">IF(M1342&lt;&gt;0,IF(M1342&lt;J1342,"OK","NG"),Blank)</f>
        <v>#NAME?</v>
      </c>
      <c r="Q1342" s="211" t="e" cm="1">
        <f t="array" ref="Q1342">IF(H1342&lt;&gt;"Stop",IF(N1342&lt;&gt;0,IF(N1342&lt;=K1342,"OK","NG"),Blank),"-")</f>
        <v>#REF!</v>
      </c>
      <c r="R1342" s="326" t="e" cm="1">
        <f t="array" ref="R1342">IF(H1342&lt;&gt;"Stop",IF(E1342&lt;&gt;0,IF(E1342&lt;=K1342,"OK","NG"),Blank),"-")</f>
        <v>#REF!</v>
      </c>
    </row>
    <row r="1343" spans="1:18" ht="30" hidden="1" x14ac:dyDescent="0.3">
      <c r="A1343" s="318" t="e">
        <f>#REF!</f>
        <v>#REF!</v>
      </c>
      <c r="B1343" s="305" t="e">
        <f>#REF!</f>
        <v>#REF!</v>
      </c>
      <c r="C1343" s="305" t="str">
        <f>'Danh sách máy'!C1386</f>
        <v>OUT</v>
      </c>
      <c r="D1343" s="90" t="e">
        <f>#REF!</f>
        <v>#REF!</v>
      </c>
      <c r="E1343" s="97">
        <f>'Danh sách máy'!E1386</f>
        <v>0</v>
      </c>
      <c r="F1343" s="206" t="e">
        <f>#REF!</f>
        <v>#REF!</v>
      </c>
      <c r="G1343" s="102" t="e">
        <f>#REF!</f>
        <v>#REF!</v>
      </c>
      <c r="H1343" s="102" t="e">
        <f>#REF!</f>
        <v>#REF!</v>
      </c>
      <c r="K1343" s="210" t="e">
        <f>#REF!</f>
        <v>#REF!</v>
      </c>
      <c r="L1343" s="210">
        <v>45612</v>
      </c>
      <c r="M1343" s="210"/>
      <c r="N1343" s="210">
        <f>'Danh sách máy'!F1386</f>
        <v>0</v>
      </c>
      <c r="O1343" s="211" t="str" cm="1">
        <f t="array" ref="O1343">IF(L1343&lt;&gt;0,IF(L1343&lt;I1343,"OK","NG"),Blank)</f>
        <v>NG</v>
      </c>
      <c r="P1343" s="211" t="e" cm="1">
        <f t="array" ref="P1343">IF(M1343&lt;&gt;0,IF(M1343&lt;J1343,"OK","NG"),Blank)</f>
        <v>#NAME?</v>
      </c>
      <c r="Q1343" s="211" t="e" cm="1">
        <f t="array" ref="Q1343">IF(H1343&lt;&gt;"Stop",IF(N1343&lt;&gt;0,IF(N1343&lt;=K1343,"OK","NG"),Blank),"-")</f>
        <v>#REF!</v>
      </c>
      <c r="R1343" s="326" t="e" cm="1">
        <f t="array" ref="R1343">IF(H1343&lt;&gt;"Stop",IF(E1343&lt;&gt;0,IF(E1343&lt;=K1343,"OK","NG"),Blank),"-")</f>
        <v>#REF!</v>
      </c>
    </row>
    <row r="1344" spans="1:18" ht="30" hidden="1" x14ac:dyDescent="0.3">
      <c r="A1344" s="318" t="e">
        <f>#REF!</f>
        <v>#REF!</v>
      </c>
      <c r="B1344" s="305" t="e">
        <f>#REF!</f>
        <v>#REF!</v>
      </c>
      <c r="C1344" s="305" t="str">
        <f>'Danh sách máy'!C1387</f>
        <v>OUT</v>
      </c>
      <c r="D1344" s="90" t="e">
        <f>#REF!</f>
        <v>#REF!</v>
      </c>
      <c r="E1344" s="97">
        <f>'Danh sách máy'!E1387</f>
        <v>0</v>
      </c>
      <c r="F1344" s="206" t="e">
        <f>#REF!</f>
        <v>#REF!</v>
      </c>
      <c r="G1344" s="102" t="e">
        <f>#REF!</f>
        <v>#REF!</v>
      </c>
      <c r="H1344" s="102" t="e">
        <f>#REF!</f>
        <v>#REF!</v>
      </c>
      <c r="K1344" s="210" t="e">
        <f>#REF!</f>
        <v>#REF!</v>
      </c>
      <c r="L1344" s="210">
        <v>45613</v>
      </c>
      <c r="M1344" s="210"/>
      <c r="N1344" s="210">
        <f>'Danh sách máy'!F1387</f>
        <v>0</v>
      </c>
      <c r="O1344" s="211" t="str" cm="1">
        <f t="array" ref="O1344">IF(L1344&lt;&gt;0,IF(L1344&lt;I1344,"OK","NG"),Blank)</f>
        <v>NG</v>
      </c>
      <c r="P1344" s="211" t="e" cm="1">
        <f t="array" ref="P1344">IF(M1344&lt;&gt;0,IF(M1344&lt;J1344,"OK","NG"),Blank)</f>
        <v>#NAME?</v>
      </c>
      <c r="Q1344" s="211" t="e" cm="1">
        <f t="array" ref="Q1344">IF(H1344&lt;&gt;"Stop",IF(N1344&lt;&gt;0,IF(N1344&lt;=K1344,"OK","NG"),Blank),"-")</f>
        <v>#REF!</v>
      </c>
      <c r="R1344" s="326" t="e" cm="1">
        <f t="array" ref="R1344">IF(H1344&lt;&gt;"Stop",IF(E1344&lt;&gt;0,IF(E1344&lt;=K1344,"OK","NG"),Blank),"-")</f>
        <v>#REF!</v>
      </c>
    </row>
    <row r="1345" spans="1:18" ht="15" hidden="1" x14ac:dyDescent="0.3">
      <c r="A1345" s="318" t="e">
        <f>#REF!</f>
        <v>#REF!</v>
      </c>
      <c r="B1345" s="305" t="e">
        <f>#REF!</f>
        <v>#REF!</v>
      </c>
      <c r="C1345" s="305" t="str">
        <f>'Danh sách máy'!C1388</f>
        <v>OUT</v>
      </c>
      <c r="D1345" s="90" t="e">
        <f>#REF!</f>
        <v>#REF!</v>
      </c>
      <c r="E1345" s="97">
        <f>'Danh sách máy'!E1388</f>
        <v>0</v>
      </c>
      <c r="F1345" s="206" t="e">
        <f>#REF!</f>
        <v>#REF!</v>
      </c>
      <c r="G1345" s="102" t="e">
        <f>#REF!</f>
        <v>#REF!</v>
      </c>
      <c r="H1345" s="102" t="e">
        <f>#REF!</f>
        <v>#REF!</v>
      </c>
      <c r="K1345" s="210" t="e">
        <f>#REF!</f>
        <v>#REF!</v>
      </c>
      <c r="L1345" s="210">
        <v>45614</v>
      </c>
      <c r="M1345" s="210"/>
      <c r="N1345" s="210">
        <f>'Danh sách máy'!F1388</f>
        <v>0</v>
      </c>
      <c r="O1345" s="211" t="str" cm="1">
        <f t="array" ref="O1345">IF(L1345&lt;&gt;0,IF(L1345&lt;I1345,"OK","NG"),Blank)</f>
        <v>NG</v>
      </c>
      <c r="P1345" s="211" t="e" cm="1">
        <f t="array" ref="P1345">IF(M1345&lt;&gt;0,IF(M1345&lt;J1345,"OK","NG"),Blank)</f>
        <v>#NAME?</v>
      </c>
      <c r="Q1345" s="211" t="e" cm="1">
        <f t="array" ref="Q1345">IF(H1345&lt;&gt;"Stop",IF(N1345&lt;&gt;0,IF(N1345&lt;=K1345,"OK","NG"),Blank),"-")</f>
        <v>#REF!</v>
      </c>
      <c r="R1345" s="326" t="e" cm="1">
        <f t="array" ref="R1345">IF(H1345&lt;&gt;"Stop",IF(E1345&lt;&gt;0,IF(E1345&lt;=K1345,"OK","NG"),Blank),"-")</f>
        <v>#REF!</v>
      </c>
    </row>
    <row r="1346" spans="1:18" ht="15" hidden="1" x14ac:dyDescent="0.3">
      <c r="A1346" s="318" t="e">
        <f>#REF!</f>
        <v>#REF!</v>
      </c>
      <c r="B1346" s="305" t="e">
        <f>#REF!</f>
        <v>#REF!</v>
      </c>
      <c r="C1346" s="305" t="str">
        <f>'Danh sách máy'!C1389</f>
        <v>OUT</v>
      </c>
      <c r="D1346" s="90" t="e">
        <f>#REF!</f>
        <v>#REF!</v>
      </c>
      <c r="E1346" s="97">
        <f>'Danh sách máy'!E1389</f>
        <v>0</v>
      </c>
      <c r="F1346" s="206" t="e">
        <f>#REF!</f>
        <v>#REF!</v>
      </c>
      <c r="G1346" s="102" t="e">
        <f>#REF!</f>
        <v>#REF!</v>
      </c>
      <c r="H1346" s="102" t="e">
        <f>#REF!</f>
        <v>#REF!</v>
      </c>
      <c r="K1346" s="210" t="e">
        <f>#REF!</f>
        <v>#REF!</v>
      </c>
      <c r="L1346" s="210">
        <v>45615</v>
      </c>
      <c r="M1346" s="210"/>
      <c r="N1346" s="210">
        <f>'Danh sách máy'!F1389</f>
        <v>0</v>
      </c>
      <c r="O1346" s="211" t="str" cm="1">
        <f t="array" ref="O1346">IF(L1346&lt;&gt;0,IF(L1346&lt;I1346,"OK","NG"),Blank)</f>
        <v>NG</v>
      </c>
      <c r="P1346" s="211" t="e" cm="1">
        <f t="array" ref="P1346">IF(M1346&lt;&gt;0,IF(M1346&lt;J1346,"OK","NG"),Blank)</f>
        <v>#NAME?</v>
      </c>
      <c r="Q1346" s="211" t="e" cm="1">
        <f t="array" ref="Q1346">IF(H1346&lt;&gt;"Stop",IF(N1346&lt;&gt;0,IF(N1346&lt;=K1346,"OK","NG"),Blank),"-")</f>
        <v>#REF!</v>
      </c>
      <c r="R1346" s="326" t="e" cm="1">
        <f t="array" ref="R1346">IF(H1346&lt;&gt;"Stop",IF(E1346&lt;&gt;0,IF(E1346&lt;=K1346,"OK","NG"),Blank),"-")</f>
        <v>#REF!</v>
      </c>
    </row>
    <row r="1347" spans="1:18" ht="30" hidden="1" x14ac:dyDescent="0.3">
      <c r="A1347" s="318" t="e">
        <f>#REF!</f>
        <v>#REF!</v>
      </c>
      <c r="B1347" s="305" t="e">
        <f>#REF!</f>
        <v>#REF!</v>
      </c>
      <c r="C1347" s="305" t="str">
        <f>'Danh sách máy'!C1390</f>
        <v>OUT</v>
      </c>
      <c r="D1347" s="90" t="e">
        <f>#REF!</f>
        <v>#REF!</v>
      </c>
      <c r="E1347" s="97">
        <f>'Danh sách máy'!E1390</f>
        <v>0</v>
      </c>
      <c r="F1347" s="206" t="e">
        <f>#REF!</f>
        <v>#REF!</v>
      </c>
      <c r="G1347" s="102" t="e">
        <f>#REF!</f>
        <v>#REF!</v>
      </c>
      <c r="H1347" s="102" t="e">
        <f>#REF!</f>
        <v>#REF!</v>
      </c>
      <c r="K1347" s="210" t="e">
        <f>#REF!</f>
        <v>#REF!</v>
      </c>
      <c r="L1347" s="210">
        <v>45616</v>
      </c>
      <c r="M1347" s="210"/>
      <c r="N1347" s="210">
        <f>'Danh sách máy'!F1390</f>
        <v>0</v>
      </c>
      <c r="O1347" s="211" t="str" cm="1">
        <f t="array" ref="O1347">IF(L1347&lt;&gt;0,IF(L1347&lt;I1347,"OK","NG"),Blank)</f>
        <v>NG</v>
      </c>
      <c r="P1347" s="211" t="e" cm="1">
        <f t="array" ref="P1347">IF(M1347&lt;&gt;0,IF(M1347&lt;J1347,"OK","NG"),Blank)</f>
        <v>#NAME?</v>
      </c>
      <c r="Q1347" s="211" t="e" cm="1">
        <f t="array" ref="Q1347">IF(H1347&lt;&gt;"Stop",IF(N1347&lt;&gt;0,IF(N1347&lt;=K1347,"OK","NG"),Blank),"-")</f>
        <v>#REF!</v>
      </c>
      <c r="R1347" s="326" t="e" cm="1">
        <f t="array" ref="R1347">IF(H1347&lt;&gt;"Stop",IF(E1347&lt;&gt;0,IF(E1347&lt;=K1347,"OK","NG"),Blank),"-")</f>
        <v>#REF!</v>
      </c>
    </row>
    <row r="1348" spans="1:18" ht="30" hidden="1" x14ac:dyDescent="0.3">
      <c r="A1348" s="318" t="e">
        <f>#REF!</f>
        <v>#REF!</v>
      </c>
      <c r="B1348" s="305" t="e">
        <f>#REF!</f>
        <v>#REF!</v>
      </c>
      <c r="C1348" s="305" t="str">
        <f>'Danh sách máy'!C1391</f>
        <v>OUT</v>
      </c>
      <c r="D1348" s="90" t="e">
        <f>#REF!</f>
        <v>#REF!</v>
      </c>
      <c r="E1348" s="97">
        <f>'Danh sách máy'!E1391</f>
        <v>0</v>
      </c>
      <c r="F1348" s="206" t="e">
        <f>#REF!</f>
        <v>#REF!</v>
      </c>
      <c r="G1348" s="102" t="e">
        <f>#REF!</f>
        <v>#REF!</v>
      </c>
      <c r="H1348" s="102" t="e">
        <f>#REF!</f>
        <v>#REF!</v>
      </c>
      <c r="K1348" s="210" t="e">
        <f>#REF!</f>
        <v>#REF!</v>
      </c>
      <c r="L1348" s="210">
        <v>45617</v>
      </c>
      <c r="M1348" s="210"/>
      <c r="N1348" s="210">
        <f>'Danh sách máy'!F1391</f>
        <v>0</v>
      </c>
      <c r="O1348" s="211" t="str" cm="1">
        <f t="array" ref="O1348">IF(L1348&lt;&gt;0,IF(L1348&lt;I1348,"OK","NG"),Blank)</f>
        <v>NG</v>
      </c>
      <c r="P1348" s="211" t="e" cm="1">
        <f t="array" ref="P1348">IF(M1348&lt;&gt;0,IF(M1348&lt;J1348,"OK","NG"),Blank)</f>
        <v>#NAME?</v>
      </c>
      <c r="Q1348" s="211" t="e" cm="1">
        <f t="array" ref="Q1348">IF(H1348&lt;&gt;"Stop",IF(N1348&lt;&gt;0,IF(N1348&lt;=K1348,"OK","NG"),Blank),"-")</f>
        <v>#REF!</v>
      </c>
      <c r="R1348" s="326" t="e" cm="1">
        <f t="array" ref="R1348">IF(H1348&lt;&gt;"Stop",IF(E1348&lt;&gt;0,IF(E1348&lt;=K1348,"OK","NG"),Blank),"-")</f>
        <v>#REF!</v>
      </c>
    </row>
    <row r="1349" spans="1:18" ht="15" hidden="1" x14ac:dyDescent="0.3">
      <c r="A1349" s="318" t="e">
        <f>#REF!</f>
        <v>#REF!</v>
      </c>
      <c r="B1349" s="305" t="e">
        <f>#REF!</f>
        <v>#REF!</v>
      </c>
      <c r="C1349" s="305" t="str">
        <f>'Danh sách máy'!C1392</f>
        <v>OUT</v>
      </c>
      <c r="D1349" s="90" t="e">
        <f>#REF!</f>
        <v>#REF!</v>
      </c>
      <c r="E1349" s="97">
        <f>'Danh sách máy'!E1392</f>
        <v>0</v>
      </c>
      <c r="F1349" s="206" t="e">
        <f>#REF!</f>
        <v>#REF!</v>
      </c>
      <c r="G1349" s="102" t="e">
        <f>#REF!</f>
        <v>#REF!</v>
      </c>
      <c r="H1349" s="102" t="e">
        <f>#REF!</f>
        <v>#REF!</v>
      </c>
      <c r="K1349" s="210" t="e">
        <f>#REF!</f>
        <v>#REF!</v>
      </c>
      <c r="L1349" s="210">
        <v>45618</v>
      </c>
      <c r="M1349" s="210"/>
      <c r="N1349" s="210">
        <f>'Danh sách máy'!F1392</f>
        <v>0</v>
      </c>
      <c r="O1349" s="211" t="str" cm="1">
        <f t="array" ref="O1349">IF(L1349&lt;&gt;0,IF(L1349&lt;I1349,"OK","NG"),Blank)</f>
        <v>NG</v>
      </c>
      <c r="P1349" s="211" t="e" cm="1">
        <f t="array" ref="P1349">IF(M1349&lt;&gt;0,IF(M1349&lt;J1349,"OK","NG"),Blank)</f>
        <v>#NAME?</v>
      </c>
      <c r="Q1349" s="211" t="e" cm="1">
        <f t="array" ref="Q1349">IF(H1349&lt;&gt;"Stop",IF(N1349&lt;&gt;0,IF(N1349&lt;=K1349,"OK","NG"),Blank),"-")</f>
        <v>#REF!</v>
      </c>
      <c r="R1349" s="326" t="e" cm="1">
        <f t="array" ref="R1349">IF(H1349&lt;&gt;"Stop",IF(E1349&lt;&gt;0,IF(E1349&lt;=K1349,"OK","NG"),Blank),"-")</f>
        <v>#REF!</v>
      </c>
    </row>
    <row r="1350" spans="1:18" ht="15" hidden="1" x14ac:dyDescent="0.3">
      <c r="A1350" s="318" t="e">
        <f>#REF!</f>
        <v>#REF!</v>
      </c>
      <c r="B1350" s="305" t="e">
        <f>#REF!</f>
        <v>#REF!</v>
      </c>
      <c r="C1350" s="305" t="str">
        <f>'Danh sách máy'!C1393</f>
        <v>OUT</v>
      </c>
      <c r="D1350" s="90" t="e">
        <f>#REF!</f>
        <v>#REF!</v>
      </c>
      <c r="E1350" s="97">
        <f>'Danh sách máy'!E1393</f>
        <v>0</v>
      </c>
      <c r="F1350" s="206" t="e">
        <f>#REF!</f>
        <v>#REF!</v>
      </c>
      <c r="G1350" s="102" t="e">
        <f>#REF!</f>
        <v>#REF!</v>
      </c>
      <c r="H1350" s="102" t="e">
        <f>#REF!</f>
        <v>#REF!</v>
      </c>
      <c r="K1350" s="210" t="e">
        <f>#REF!</f>
        <v>#REF!</v>
      </c>
      <c r="L1350" s="210">
        <v>45619</v>
      </c>
      <c r="M1350" s="210"/>
      <c r="N1350" s="210">
        <f>'Danh sách máy'!F1393</f>
        <v>0</v>
      </c>
      <c r="O1350" s="211" t="str" cm="1">
        <f t="array" ref="O1350">IF(L1350&lt;&gt;0,IF(L1350&lt;I1350,"OK","NG"),Blank)</f>
        <v>NG</v>
      </c>
      <c r="P1350" s="211" t="e" cm="1">
        <f t="array" ref="P1350">IF(M1350&lt;&gt;0,IF(M1350&lt;J1350,"OK","NG"),Blank)</f>
        <v>#NAME?</v>
      </c>
      <c r="Q1350" s="211" t="e" cm="1">
        <f t="array" ref="Q1350">IF(H1350&lt;&gt;"Stop",IF(N1350&lt;&gt;0,IF(N1350&lt;=K1350,"OK","NG"),Blank),"-")</f>
        <v>#REF!</v>
      </c>
      <c r="R1350" s="326" t="e" cm="1">
        <f t="array" ref="R1350">IF(H1350&lt;&gt;"Stop",IF(E1350&lt;&gt;0,IF(E1350&lt;=K1350,"OK","NG"),Blank),"-")</f>
        <v>#REF!</v>
      </c>
    </row>
    <row r="1351" spans="1:18" ht="15" hidden="1" x14ac:dyDescent="0.3">
      <c r="A1351" s="318" t="e">
        <f>#REF!</f>
        <v>#REF!</v>
      </c>
      <c r="B1351" s="305" t="e">
        <f>#REF!</f>
        <v>#REF!</v>
      </c>
      <c r="C1351" s="305" t="str">
        <f>'Danh sách máy'!C1394</f>
        <v>OUT</v>
      </c>
      <c r="D1351" s="90" t="e">
        <f>#REF!</f>
        <v>#REF!</v>
      </c>
      <c r="E1351" s="97">
        <f>'Danh sách máy'!E1394</f>
        <v>0</v>
      </c>
      <c r="F1351" s="206" t="e">
        <f>#REF!</f>
        <v>#REF!</v>
      </c>
      <c r="G1351" s="102" t="e">
        <f>#REF!</f>
        <v>#REF!</v>
      </c>
      <c r="H1351" s="102" t="e">
        <f>#REF!</f>
        <v>#REF!</v>
      </c>
      <c r="K1351" s="210" t="e">
        <f>#REF!</f>
        <v>#REF!</v>
      </c>
      <c r="L1351" s="210">
        <v>45620</v>
      </c>
      <c r="M1351" s="210"/>
      <c r="N1351" s="210">
        <f>'Danh sách máy'!F1394</f>
        <v>0</v>
      </c>
      <c r="O1351" s="211" t="str" cm="1">
        <f t="array" ref="O1351">IF(L1351&lt;&gt;0,IF(L1351&lt;I1351,"OK","NG"),Blank)</f>
        <v>NG</v>
      </c>
      <c r="P1351" s="211" t="e" cm="1">
        <f t="array" ref="P1351">IF(M1351&lt;&gt;0,IF(M1351&lt;J1351,"OK","NG"),Blank)</f>
        <v>#NAME?</v>
      </c>
      <c r="Q1351" s="211" t="e" cm="1">
        <f t="array" ref="Q1351">IF(H1351&lt;&gt;"Stop",IF(N1351&lt;&gt;0,IF(N1351&lt;=K1351,"OK","NG"),Blank),"-")</f>
        <v>#REF!</v>
      </c>
      <c r="R1351" s="326" t="e" cm="1">
        <f t="array" ref="R1351">IF(H1351&lt;&gt;"Stop",IF(E1351&lt;&gt;0,IF(E1351&lt;=K1351,"OK","NG"),Blank),"-")</f>
        <v>#REF!</v>
      </c>
    </row>
    <row r="1352" spans="1:18" ht="15" hidden="1" x14ac:dyDescent="0.3">
      <c r="A1352" s="318" t="e">
        <f>#REF!</f>
        <v>#REF!</v>
      </c>
      <c r="B1352" s="305" t="e">
        <f>#REF!</f>
        <v>#REF!</v>
      </c>
      <c r="C1352" s="305" t="str">
        <f>'Danh sách máy'!C1395</f>
        <v>OUT</v>
      </c>
      <c r="D1352" s="90" t="e">
        <f>#REF!</f>
        <v>#REF!</v>
      </c>
      <c r="E1352" s="97">
        <f>'Danh sách máy'!E1395</f>
        <v>0</v>
      </c>
      <c r="F1352" s="206" t="e">
        <f>#REF!</f>
        <v>#REF!</v>
      </c>
      <c r="G1352" s="102" t="e">
        <f>#REF!</f>
        <v>#REF!</v>
      </c>
      <c r="H1352" s="102" t="e">
        <f>#REF!</f>
        <v>#REF!</v>
      </c>
      <c r="K1352" s="210" t="e">
        <f>#REF!</f>
        <v>#REF!</v>
      </c>
      <c r="L1352" s="210">
        <v>45621</v>
      </c>
      <c r="M1352" s="210"/>
      <c r="N1352" s="210">
        <f>'Danh sách máy'!F1395</f>
        <v>0</v>
      </c>
      <c r="O1352" s="211" t="str" cm="1">
        <f t="array" ref="O1352">IF(L1352&lt;&gt;0,IF(L1352&lt;I1352,"OK","NG"),Blank)</f>
        <v>NG</v>
      </c>
      <c r="P1352" s="211" t="e" cm="1">
        <f t="array" ref="P1352">IF(M1352&lt;&gt;0,IF(M1352&lt;J1352,"OK","NG"),Blank)</f>
        <v>#NAME?</v>
      </c>
      <c r="Q1352" s="211" t="e" cm="1">
        <f t="array" ref="Q1352">IF(H1352&lt;&gt;"Stop",IF(N1352&lt;&gt;0,IF(N1352&lt;=K1352,"OK","NG"),Blank),"-")</f>
        <v>#REF!</v>
      </c>
      <c r="R1352" s="326" t="e" cm="1">
        <f t="array" ref="R1352">IF(H1352&lt;&gt;"Stop",IF(E1352&lt;&gt;0,IF(E1352&lt;=K1352,"OK","NG"),Blank),"-")</f>
        <v>#REF!</v>
      </c>
    </row>
    <row r="1353" spans="1:18" ht="15" hidden="1" x14ac:dyDescent="0.3">
      <c r="A1353" s="318" t="e">
        <f>#REF!</f>
        <v>#REF!</v>
      </c>
      <c r="B1353" s="305" t="e">
        <f>#REF!</f>
        <v>#REF!</v>
      </c>
      <c r="C1353" s="305" t="str">
        <f>'Danh sách máy'!C1396</f>
        <v>OUT</v>
      </c>
      <c r="D1353" s="90" t="e">
        <f>#REF!</f>
        <v>#REF!</v>
      </c>
      <c r="E1353" s="97">
        <f>'Danh sách máy'!E1396</f>
        <v>0</v>
      </c>
      <c r="F1353" s="206" t="e">
        <f>#REF!</f>
        <v>#REF!</v>
      </c>
      <c r="G1353" s="102" t="e">
        <f>#REF!</f>
        <v>#REF!</v>
      </c>
      <c r="H1353" s="102" t="e">
        <f>#REF!</f>
        <v>#REF!</v>
      </c>
      <c r="K1353" s="210" t="e">
        <f>#REF!</f>
        <v>#REF!</v>
      </c>
      <c r="L1353" s="210">
        <v>45622</v>
      </c>
      <c r="M1353" s="210"/>
      <c r="N1353" s="210">
        <f>'Danh sách máy'!F1396</f>
        <v>0</v>
      </c>
      <c r="O1353" s="211" t="str" cm="1">
        <f t="array" ref="O1353">IF(L1353&lt;&gt;0,IF(L1353&lt;I1353,"OK","NG"),Blank)</f>
        <v>NG</v>
      </c>
      <c r="P1353" s="211" t="e" cm="1">
        <f t="array" ref="P1353">IF(M1353&lt;&gt;0,IF(M1353&lt;J1353,"OK","NG"),Blank)</f>
        <v>#NAME?</v>
      </c>
      <c r="Q1353" s="211" t="e" cm="1">
        <f t="array" ref="Q1353">IF(H1353&lt;&gt;"Stop",IF(N1353&lt;&gt;0,IF(N1353&lt;=K1353,"OK","NG"),Blank),"-")</f>
        <v>#REF!</v>
      </c>
      <c r="R1353" s="326" t="e" cm="1">
        <f t="array" ref="R1353">IF(H1353&lt;&gt;"Stop",IF(E1353&lt;&gt;0,IF(E1353&lt;=K1353,"OK","NG"),Blank),"-")</f>
        <v>#REF!</v>
      </c>
    </row>
    <row r="1354" spans="1:18" ht="15" hidden="1" x14ac:dyDescent="0.3">
      <c r="A1354" s="318" t="e">
        <f>#REF!</f>
        <v>#REF!</v>
      </c>
      <c r="B1354" s="305" t="e">
        <f>#REF!</f>
        <v>#REF!</v>
      </c>
      <c r="C1354" s="305" t="str">
        <f>'Danh sách máy'!C1397</f>
        <v>OUT</v>
      </c>
      <c r="D1354" s="90" t="e">
        <f>#REF!</f>
        <v>#REF!</v>
      </c>
      <c r="E1354" s="97">
        <f>'Danh sách máy'!E1397</f>
        <v>0</v>
      </c>
      <c r="F1354" s="206" t="e">
        <f>#REF!</f>
        <v>#REF!</v>
      </c>
      <c r="G1354" s="102" t="e">
        <f>#REF!</f>
        <v>#REF!</v>
      </c>
      <c r="H1354" s="102" t="e">
        <f>#REF!</f>
        <v>#REF!</v>
      </c>
      <c r="K1354" s="210" t="e">
        <f>#REF!</f>
        <v>#REF!</v>
      </c>
      <c r="L1354" s="210">
        <v>45623</v>
      </c>
      <c r="M1354" s="210"/>
      <c r="N1354" s="210">
        <f>'Danh sách máy'!F1397</f>
        <v>0</v>
      </c>
      <c r="O1354" s="211" t="str" cm="1">
        <f t="array" ref="O1354">IF(L1354&lt;&gt;0,IF(L1354&lt;I1354,"OK","NG"),Blank)</f>
        <v>NG</v>
      </c>
      <c r="P1354" s="211" t="e" cm="1">
        <f t="array" ref="P1354">IF(M1354&lt;&gt;0,IF(M1354&lt;J1354,"OK","NG"),Blank)</f>
        <v>#NAME?</v>
      </c>
      <c r="Q1354" s="211" t="e" cm="1">
        <f t="array" ref="Q1354">IF(H1354&lt;&gt;"Stop",IF(N1354&lt;&gt;0,IF(N1354&lt;=K1354,"OK","NG"),Blank),"-")</f>
        <v>#REF!</v>
      </c>
      <c r="R1354" s="326" t="e" cm="1">
        <f t="array" ref="R1354">IF(H1354&lt;&gt;"Stop",IF(E1354&lt;&gt;0,IF(E1354&lt;=K1354,"OK","NG"),Blank),"-")</f>
        <v>#REF!</v>
      </c>
    </row>
    <row r="1355" spans="1:18" ht="15" hidden="1" x14ac:dyDescent="0.3">
      <c r="A1355" s="318" t="e">
        <f>#REF!</f>
        <v>#REF!</v>
      </c>
      <c r="B1355" s="305" t="e">
        <f>#REF!</f>
        <v>#REF!</v>
      </c>
      <c r="C1355" s="305" t="str">
        <f>'Danh sách máy'!C1398</f>
        <v>OUT</v>
      </c>
      <c r="D1355" s="90" t="e">
        <f>#REF!</f>
        <v>#REF!</v>
      </c>
      <c r="E1355" s="97">
        <f>'Danh sách máy'!E1398</f>
        <v>0</v>
      </c>
      <c r="F1355" s="206" t="e">
        <f>#REF!</f>
        <v>#REF!</v>
      </c>
      <c r="G1355" s="102" t="e">
        <f>#REF!</f>
        <v>#REF!</v>
      </c>
      <c r="H1355" s="102" t="e">
        <f>#REF!</f>
        <v>#REF!</v>
      </c>
      <c r="K1355" s="210" t="e">
        <f>#REF!</f>
        <v>#REF!</v>
      </c>
      <c r="L1355" s="210">
        <v>45624</v>
      </c>
      <c r="M1355" s="210"/>
      <c r="N1355" s="210">
        <f>'Danh sách máy'!F1398</f>
        <v>0</v>
      </c>
      <c r="O1355" s="211" t="str" cm="1">
        <f t="array" ref="O1355">IF(L1355&lt;&gt;0,IF(L1355&lt;I1355,"OK","NG"),Blank)</f>
        <v>NG</v>
      </c>
      <c r="P1355" s="211" t="e" cm="1">
        <f t="array" ref="P1355">IF(M1355&lt;&gt;0,IF(M1355&lt;J1355,"OK","NG"),Blank)</f>
        <v>#NAME?</v>
      </c>
      <c r="Q1355" s="211" t="e" cm="1">
        <f t="array" ref="Q1355">IF(H1355&lt;&gt;"Stop",IF(N1355&lt;&gt;0,IF(N1355&lt;=K1355,"OK","NG"),Blank),"-")</f>
        <v>#REF!</v>
      </c>
      <c r="R1355" s="326" t="e" cm="1">
        <f t="array" ref="R1355">IF(H1355&lt;&gt;"Stop",IF(E1355&lt;&gt;0,IF(E1355&lt;=K1355,"OK","NG"),Blank),"-")</f>
        <v>#REF!</v>
      </c>
    </row>
    <row r="1356" spans="1:18" ht="15" hidden="1" x14ac:dyDescent="0.3">
      <c r="A1356" s="318" t="e">
        <f>#REF!</f>
        <v>#REF!</v>
      </c>
      <c r="B1356" s="305" t="e">
        <f>#REF!</f>
        <v>#REF!</v>
      </c>
      <c r="C1356" s="305" t="str">
        <f>'Danh sách máy'!C1399</f>
        <v>OUT</v>
      </c>
      <c r="D1356" s="90" t="e">
        <f>#REF!</f>
        <v>#REF!</v>
      </c>
      <c r="E1356" s="97">
        <f>'Danh sách máy'!E1399</f>
        <v>0</v>
      </c>
      <c r="F1356" s="206" t="e">
        <f>#REF!</f>
        <v>#REF!</v>
      </c>
      <c r="G1356" s="102" t="e">
        <f>#REF!</f>
        <v>#REF!</v>
      </c>
      <c r="H1356" s="102" t="e">
        <f>#REF!</f>
        <v>#REF!</v>
      </c>
      <c r="K1356" s="210" t="e">
        <f>#REF!</f>
        <v>#REF!</v>
      </c>
      <c r="L1356" s="210">
        <v>45625</v>
      </c>
      <c r="M1356" s="210"/>
      <c r="N1356" s="210">
        <f>'Danh sách máy'!F1399</f>
        <v>0</v>
      </c>
      <c r="O1356" s="211" t="str" cm="1">
        <f t="array" ref="O1356">IF(L1356&lt;&gt;0,IF(L1356&lt;I1356,"OK","NG"),Blank)</f>
        <v>NG</v>
      </c>
      <c r="P1356" s="211" t="e" cm="1">
        <f t="array" ref="P1356">IF(M1356&lt;&gt;0,IF(M1356&lt;J1356,"OK","NG"),Blank)</f>
        <v>#NAME?</v>
      </c>
      <c r="Q1356" s="211" t="e" cm="1">
        <f t="array" ref="Q1356">IF(H1356&lt;&gt;"Stop",IF(N1356&lt;&gt;0,IF(N1356&lt;=K1356,"OK","NG"),Blank),"-")</f>
        <v>#REF!</v>
      </c>
      <c r="R1356" s="326" t="e" cm="1">
        <f t="array" ref="R1356">IF(H1356&lt;&gt;"Stop",IF(E1356&lt;&gt;0,IF(E1356&lt;=K1356,"OK","NG"),Blank),"-")</f>
        <v>#REF!</v>
      </c>
    </row>
    <row r="1357" spans="1:18" ht="15" hidden="1" x14ac:dyDescent="0.3">
      <c r="A1357" s="318" t="e">
        <f>#REF!</f>
        <v>#REF!</v>
      </c>
      <c r="B1357" s="305" t="e">
        <f>#REF!</f>
        <v>#REF!</v>
      </c>
      <c r="C1357" s="305" t="str">
        <f>'Danh sách máy'!C1400</f>
        <v>OUT</v>
      </c>
      <c r="D1357" s="90" t="e">
        <f>#REF!</f>
        <v>#REF!</v>
      </c>
      <c r="E1357" s="97">
        <f>'Danh sách máy'!E1400</f>
        <v>0</v>
      </c>
      <c r="F1357" s="206" t="e">
        <f>#REF!</f>
        <v>#REF!</v>
      </c>
      <c r="G1357" s="102" t="e">
        <f>#REF!</f>
        <v>#REF!</v>
      </c>
      <c r="H1357" s="102" t="e">
        <f>#REF!</f>
        <v>#REF!</v>
      </c>
      <c r="K1357" s="210" t="e">
        <f>#REF!</f>
        <v>#REF!</v>
      </c>
      <c r="L1357" s="210">
        <v>45626</v>
      </c>
      <c r="M1357" s="210"/>
      <c r="N1357" s="210">
        <f>'Danh sách máy'!F1400</f>
        <v>0</v>
      </c>
      <c r="O1357" s="211" t="str" cm="1">
        <f t="array" ref="O1357">IF(L1357&lt;&gt;0,IF(L1357&lt;I1357,"OK","NG"),Blank)</f>
        <v>NG</v>
      </c>
      <c r="P1357" s="211" t="e" cm="1">
        <f t="array" ref="P1357">IF(M1357&lt;&gt;0,IF(M1357&lt;J1357,"OK","NG"),Blank)</f>
        <v>#NAME?</v>
      </c>
      <c r="Q1357" s="211" t="e" cm="1">
        <f t="array" ref="Q1357">IF(H1357&lt;&gt;"Stop",IF(N1357&lt;&gt;0,IF(N1357&lt;=K1357,"OK","NG"),Blank),"-")</f>
        <v>#REF!</v>
      </c>
      <c r="R1357" s="326" t="e" cm="1">
        <f t="array" ref="R1357">IF(H1357&lt;&gt;"Stop",IF(E1357&lt;&gt;0,IF(E1357&lt;=K1357,"OK","NG"),Blank),"-")</f>
        <v>#REF!</v>
      </c>
    </row>
    <row r="1358" spans="1:18" ht="15" hidden="1" x14ac:dyDescent="0.3">
      <c r="A1358" s="318" t="e">
        <f>#REF!</f>
        <v>#REF!</v>
      </c>
      <c r="B1358" s="305" t="e">
        <f>#REF!</f>
        <v>#REF!</v>
      </c>
      <c r="C1358" s="305" t="str">
        <f>'Danh sách máy'!C1401</f>
        <v>OUT</v>
      </c>
      <c r="D1358" s="90" t="e">
        <f>#REF!</f>
        <v>#REF!</v>
      </c>
      <c r="E1358" s="97">
        <f>'Danh sách máy'!E1401</f>
        <v>0</v>
      </c>
      <c r="F1358" s="206" t="e">
        <f>#REF!</f>
        <v>#REF!</v>
      </c>
      <c r="G1358" s="102" t="e">
        <f>#REF!</f>
        <v>#REF!</v>
      </c>
      <c r="H1358" s="102" t="e">
        <f>#REF!</f>
        <v>#REF!</v>
      </c>
      <c r="K1358" s="210" t="e">
        <f>#REF!</f>
        <v>#REF!</v>
      </c>
      <c r="L1358" s="210">
        <v>45627</v>
      </c>
      <c r="M1358" s="210"/>
      <c r="N1358" s="210">
        <f>'Danh sách máy'!F1401</f>
        <v>0</v>
      </c>
      <c r="O1358" s="211" t="str" cm="1">
        <f t="array" ref="O1358">IF(L1358&lt;&gt;0,IF(L1358&lt;I1358,"OK","NG"),Blank)</f>
        <v>NG</v>
      </c>
      <c r="P1358" s="211" t="e" cm="1">
        <f t="array" ref="P1358">IF(M1358&lt;&gt;0,IF(M1358&lt;J1358,"OK","NG"),Blank)</f>
        <v>#NAME?</v>
      </c>
      <c r="Q1358" s="211" t="e" cm="1">
        <f t="array" ref="Q1358">IF(H1358&lt;&gt;"Stop",IF(N1358&lt;&gt;0,IF(N1358&lt;=K1358,"OK","NG"),Blank),"-")</f>
        <v>#REF!</v>
      </c>
      <c r="R1358" s="326" t="e" cm="1">
        <f t="array" ref="R1358">IF(H1358&lt;&gt;"Stop",IF(E1358&lt;&gt;0,IF(E1358&lt;=K1358,"OK","NG"),Blank),"-")</f>
        <v>#REF!</v>
      </c>
    </row>
    <row r="1359" spans="1:18" ht="15" hidden="1" x14ac:dyDescent="0.3">
      <c r="A1359" s="318" t="e">
        <f>#REF!</f>
        <v>#REF!</v>
      </c>
      <c r="B1359" s="305" t="e">
        <f>#REF!</f>
        <v>#REF!</v>
      </c>
      <c r="C1359" s="305" t="str">
        <f>'Danh sách máy'!C1402</f>
        <v>OUT</v>
      </c>
      <c r="D1359" s="90" t="e">
        <f>#REF!</f>
        <v>#REF!</v>
      </c>
      <c r="E1359" s="97">
        <f>'Danh sách máy'!E1402</f>
        <v>0</v>
      </c>
      <c r="F1359" s="206" t="e">
        <f>#REF!</f>
        <v>#REF!</v>
      </c>
      <c r="G1359" s="102" t="e">
        <f>#REF!</f>
        <v>#REF!</v>
      </c>
      <c r="H1359" s="102" t="e">
        <f>#REF!</f>
        <v>#REF!</v>
      </c>
      <c r="K1359" s="210" t="e">
        <f>#REF!</f>
        <v>#REF!</v>
      </c>
      <c r="L1359" s="210">
        <v>45628</v>
      </c>
      <c r="M1359" s="210"/>
      <c r="N1359" s="210">
        <f>'Danh sách máy'!F1402</f>
        <v>0</v>
      </c>
      <c r="O1359" s="211" t="str" cm="1">
        <f t="array" ref="O1359">IF(L1359&lt;&gt;0,IF(L1359&lt;I1359,"OK","NG"),Blank)</f>
        <v>NG</v>
      </c>
      <c r="P1359" s="211" t="e" cm="1">
        <f t="array" ref="P1359">IF(M1359&lt;&gt;0,IF(M1359&lt;J1359,"OK","NG"),Blank)</f>
        <v>#NAME?</v>
      </c>
      <c r="Q1359" s="211" t="e" cm="1">
        <f t="array" ref="Q1359">IF(H1359&lt;&gt;"Stop",IF(N1359&lt;&gt;0,IF(N1359&lt;=K1359,"OK","NG"),Blank),"-")</f>
        <v>#REF!</v>
      </c>
      <c r="R1359" s="326" t="e" cm="1">
        <f t="array" ref="R1359">IF(H1359&lt;&gt;"Stop",IF(E1359&lt;&gt;0,IF(E1359&lt;=K1359,"OK","NG"),Blank),"-")</f>
        <v>#REF!</v>
      </c>
    </row>
    <row r="1360" spans="1:18" ht="15" hidden="1" x14ac:dyDescent="0.3">
      <c r="A1360" s="318" t="e">
        <f>#REF!</f>
        <v>#REF!</v>
      </c>
      <c r="B1360" s="305" t="e">
        <f>#REF!</f>
        <v>#REF!</v>
      </c>
      <c r="C1360" s="305" t="str">
        <f>'Danh sách máy'!C1403</f>
        <v>OUT</v>
      </c>
      <c r="D1360" s="90" t="e">
        <f>#REF!</f>
        <v>#REF!</v>
      </c>
      <c r="E1360" s="97">
        <f>'Danh sách máy'!E1403</f>
        <v>0</v>
      </c>
      <c r="F1360" s="206" t="e">
        <f>#REF!</f>
        <v>#REF!</v>
      </c>
      <c r="G1360" s="102" t="e">
        <f>#REF!</f>
        <v>#REF!</v>
      </c>
      <c r="H1360" s="102" t="e">
        <f>#REF!</f>
        <v>#REF!</v>
      </c>
      <c r="K1360" s="210" t="e">
        <f>#REF!</f>
        <v>#REF!</v>
      </c>
      <c r="L1360" s="210">
        <v>45629</v>
      </c>
      <c r="M1360" s="210"/>
      <c r="N1360" s="210">
        <f>'Danh sách máy'!F1403</f>
        <v>0</v>
      </c>
      <c r="O1360" s="211" t="str" cm="1">
        <f t="array" ref="O1360">IF(L1360&lt;&gt;0,IF(L1360&lt;I1360,"OK","NG"),Blank)</f>
        <v>NG</v>
      </c>
      <c r="P1360" s="211" t="e" cm="1">
        <f t="array" ref="P1360">IF(M1360&lt;&gt;0,IF(M1360&lt;J1360,"OK","NG"),Blank)</f>
        <v>#NAME?</v>
      </c>
      <c r="Q1360" s="211" t="e" cm="1">
        <f t="array" ref="Q1360">IF(H1360&lt;&gt;"Stop",IF(N1360&lt;&gt;0,IF(N1360&lt;=K1360,"OK","NG"),Blank),"-")</f>
        <v>#REF!</v>
      </c>
      <c r="R1360" s="326" t="e" cm="1">
        <f t="array" ref="R1360">IF(H1360&lt;&gt;"Stop",IF(E1360&lt;&gt;0,IF(E1360&lt;=K1360,"OK","NG"),Blank),"-")</f>
        <v>#REF!</v>
      </c>
    </row>
    <row r="1361" spans="1:18" ht="15" hidden="1" x14ac:dyDescent="0.3">
      <c r="A1361" s="318" t="e">
        <f>#REF!</f>
        <v>#REF!</v>
      </c>
      <c r="B1361" s="305" t="e">
        <f>#REF!</f>
        <v>#REF!</v>
      </c>
      <c r="C1361" s="305" t="str">
        <f>'Danh sách máy'!C1404</f>
        <v>OUT</v>
      </c>
      <c r="D1361" s="90" t="e">
        <f>#REF!</f>
        <v>#REF!</v>
      </c>
      <c r="E1361" s="97">
        <f>'Danh sách máy'!E1404</f>
        <v>0</v>
      </c>
      <c r="F1361" s="206" t="e">
        <f>#REF!</f>
        <v>#REF!</v>
      </c>
      <c r="G1361" s="102" t="e">
        <f>#REF!</f>
        <v>#REF!</v>
      </c>
      <c r="H1361" s="102" t="e">
        <f>#REF!</f>
        <v>#REF!</v>
      </c>
      <c r="K1361" s="210" t="e">
        <f>#REF!</f>
        <v>#REF!</v>
      </c>
      <c r="L1361" s="210">
        <v>45630</v>
      </c>
      <c r="M1361" s="210"/>
      <c r="N1361" s="210">
        <f>'Danh sách máy'!F1404</f>
        <v>0</v>
      </c>
      <c r="O1361" s="211" t="str" cm="1">
        <f t="array" ref="O1361">IF(L1361&lt;&gt;0,IF(L1361&lt;I1361,"OK","NG"),Blank)</f>
        <v>NG</v>
      </c>
      <c r="P1361" s="211" t="e" cm="1">
        <f t="array" ref="P1361">IF(M1361&lt;&gt;0,IF(M1361&lt;J1361,"OK","NG"),Blank)</f>
        <v>#NAME?</v>
      </c>
      <c r="Q1361" s="211" t="e" cm="1">
        <f t="array" ref="Q1361">IF(H1361&lt;&gt;"Stop",IF(N1361&lt;&gt;0,IF(N1361&lt;=K1361,"OK","NG"),Blank),"-")</f>
        <v>#REF!</v>
      </c>
      <c r="R1361" s="326" t="e" cm="1">
        <f t="array" ref="R1361">IF(H1361&lt;&gt;"Stop",IF(E1361&lt;&gt;0,IF(E1361&lt;=K1361,"OK","NG"),Blank),"-")</f>
        <v>#REF!</v>
      </c>
    </row>
    <row r="1362" spans="1:18" ht="30" hidden="1" x14ac:dyDescent="0.3">
      <c r="A1362" s="318" t="e">
        <f>#REF!</f>
        <v>#REF!</v>
      </c>
      <c r="B1362" s="305" t="e">
        <f>#REF!</f>
        <v>#REF!</v>
      </c>
      <c r="C1362" s="305" t="str">
        <f>'Danh sách máy'!C1405</f>
        <v>OUT</v>
      </c>
      <c r="D1362" s="90" t="e">
        <f>#REF!</f>
        <v>#REF!</v>
      </c>
      <c r="E1362" s="97">
        <f>'Danh sách máy'!E1405</f>
        <v>0</v>
      </c>
      <c r="F1362" s="206" t="e">
        <f>#REF!</f>
        <v>#REF!</v>
      </c>
      <c r="G1362" s="102" t="e">
        <f>#REF!</f>
        <v>#REF!</v>
      </c>
      <c r="H1362" s="102" t="e">
        <f>#REF!</f>
        <v>#REF!</v>
      </c>
      <c r="K1362" s="210" t="e">
        <f>#REF!</f>
        <v>#REF!</v>
      </c>
      <c r="L1362" s="210">
        <v>45631</v>
      </c>
      <c r="M1362" s="210"/>
      <c r="N1362" s="210">
        <f>'Danh sách máy'!F1405</f>
        <v>0</v>
      </c>
      <c r="O1362" s="211" t="str" cm="1">
        <f t="array" ref="O1362">IF(L1362&lt;&gt;0,IF(L1362&lt;I1362,"OK","NG"),Blank)</f>
        <v>NG</v>
      </c>
      <c r="P1362" s="211" t="e" cm="1">
        <f t="array" ref="P1362">IF(M1362&lt;&gt;0,IF(M1362&lt;J1362,"OK","NG"),Blank)</f>
        <v>#NAME?</v>
      </c>
      <c r="Q1362" s="211" t="e" cm="1">
        <f t="array" ref="Q1362">IF(H1362&lt;&gt;"Stop",IF(N1362&lt;&gt;0,IF(N1362&lt;=K1362,"OK","NG"),Blank),"-")</f>
        <v>#REF!</v>
      </c>
      <c r="R1362" s="326" t="e" cm="1">
        <f t="array" ref="R1362">IF(H1362&lt;&gt;"Stop",IF(E1362&lt;&gt;0,IF(E1362&lt;=K1362,"OK","NG"),Blank),"-")</f>
        <v>#REF!</v>
      </c>
    </row>
    <row r="1363" spans="1:18" ht="30" hidden="1" x14ac:dyDescent="0.3">
      <c r="A1363" s="318" t="e">
        <f>#REF!</f>
        <v>#REF!</v>
      </c>
      <c r="B1363" s="305" t="e">
        <f>#REF!</f>
        <v>#REF!</v>
      </c>
      <c r="C1363" s="305" t="str">
        <f>'Danh sách máy'!C1406</f>
        <v>Fact.4</v>
      </c>
      <c r="D1363" s="90" t="e">
        <f>#REF!</f>
        <v>#REF!</v>
      </c>
      <c r="E1363" s="97">
        <f>'Danh sách máy'!E1406</f>
        <v>0</v>
      </c>
      <c r="F1363" s="206" t="e">
        <f>#REF!</f>
        <v>#REF!</v>
      </c>
      <c r="G1363" s="102" t="e">
        <f>#REF!</f>
        <v>#REF!</v>
      </c>
      <c r="H1363" s="102" t="e">
        <f>#REF!</f>
        <v>#REF!</v>
      </c>
      <c r="K1363" s="210" t="e">
        <f>#REF!</f>
        <v>#REF!</v>
      </c>
      <c r="L1363" s="210">
        <v>45632</v>
      </c>
      <c r="M1363" s="210"/>
      <c r="N1363" s="210">
        <f>'Danh sách máy'!F1406</f>
        <v>0</v>
      </c>
      <c r="O1363" s="211" t="str" cm="1">
        <f t="array" ref="O1363">IF(L1363&lt;&gt;0,IF(L1363&lt;I1363,"OK","NG"),Blank)</f>
        <v>NG</v>
      </c>
      <c r="P1363" s="211" t="e" cm="1">
        <f t="array" ref="P1363">IF(M1363&lt;&gt;0,IF(M1363&lt;J1363,"OK","NG"),Blank)</f>
        <v>#NAME?</v>
      </c>
      <c r="Q1363" s="211" t="e" cm="1">
        <f t="array" ref="Q1363">IF(H1363&lt;&gt;"Stop",IF(N1363&lt;&gt;0,IF(N1363&lt;=K1363,"OK","NG"),Blank),"-")</f>
        <v>#REF!</v>
      </c>
      <c r="R1363" s="326" t="e" cm="1">
        <f t="array" ref="R1363">IF(H1363&lt;&gt;"Stop",IF(E1363&lt;&gt;0,IF(E1363&lt;=K1363,"OK","NG"),Blank),"-")</f>
        <v>#REF!</v>
      </c>
    </row>
    <row r="1364" spans="1:18" ht="30" hidden="1" x14ac:dyDescent="0.3">
      <c r="A1364" s="318" t="e">
        <f>#REF!</f>
        <v>#REF!</v>
      </c>
      <c r="B1364" s="305" t="e">
        <f>#REF!</f>
        <v>#REF!</v>
      </c>
      <c r="C1364" s="305" t="str">
        <f>'Danh sách máy'!C1407</f>
        <v>Fact.4</v>
      </c>
      <c r="D1364" s="90" t="e">
        <f>#REF!</f>
        <v>#REF!</v>
      </c>
      <c r="E1364" s="97">
        <f>'Danh sách máy'!E1407</f>
        <v>0</v>
      </c>
      <c r="F1364" s="206" t="e">
        <f>#REF!</f>
        <v>#REF!</v>
      </c>
      <c r="G1364" s="102" t="e">
        <f>#REF!</f>
        <v>#REF!</v>
      </c>
      <c r="H1364" s="102" t="e">
        <f>#REF!</f>
        <v>#REF!</v>
      </c>
      <c r="K1364" s="210" t="e">
        <f>#REF!</f>
        <v>#REF!</v>
      </c>
      <c r="L1364" s="210">
        <v>45633</v>
      </c>
      <c r="M1364" s="210"/>
      <c r="N1364" s="210">
        <f>'Danh sách máy'!F1407</f>
        <v>0</v>
      </c>
      <c r="O1364" s="211" t="str" cm="1">
        <f t="array" ref="O1364">IF(L1364&lt;&gt;0,IF(L1364&lt;I1364,"OK","NG"),Blank)</f>
        <v>NG</v>
      </c>
      <c r="P1364" s="211" t="e" cm="1">
        <f t="array" ref="P1364">IF(M1364&lt;&gt;0,IF(M1364&lt;J1364,"OK","NG"),Blank)</f>
        <v>#NAME?</v>
      </c>
      <c r="Q1364" s="211" t="e" cm="1">
        <f t="array" ref="Q1364">IF(H1364&lt;&gt;"Stop",IF(N1364&lt;&gt;0,IF(N1364&lt;=K1364,"OK","NG"),Blank),"-")</f>
        <v>#REF!</v>
      </c>
      <c r="R1364" s="326" t="e" cm="1">
        <f t="array" ref="R1364">IF(H1364&lt;&gt;"Stop",IF(E1364&lt;&gt;0,IF(E1364&lt;=K1364,"OK","NG"),Blank),"-")</f>
        <v>#REF!</v>
      </c>
    </row>
    <row r="1365" spans="1:18" ht="30" hidden="1" x14ac:dyDescent="0.3">
      <c r="A1365" s="318" t="e">
        <f>#REF!</f>
        <v>#REF!</v>
      </c>
      <c r="B1365" s="305" t="e">
        <f>#REF!</f>
        <v>#REF!</v>
      </c>
      <c r="C1365" s="305" t="str">
        <f>'Danh sách máy'!C1408</f>
        <v>Fact.4</v>
      </c>
      <c r="D1365" s="90" t="e">
        <f>#REF!</f>
        <v>#REF!</v>
      </c>
      <c r="E1365" s="97">
        <f>'Danh sách máy'!E1408</f>
        <v>0</v>
      </c>
      <c r="F1365" s="206" t="e">
        <f>#REF!</f>
        <v>#REF!</v>
      </c>
      <c r="G1365" s="102" t="e">
        <f>#REF!</f>
        <v>#REF!</v>
      </c>
      <c r="H1365" s="102" t="e">
        <f>#REF!</f>
        <v>#REF!</v>
      </c>
      <c r="K1365" s="210" t="e">
        <f>#REF!</f>
        <v>#REF!</v>
      </c>
      <c r="L1365" s="210">
        <v>45634</v>
      </c>
      <c r="M1365" s="210"/>
      <c r="N1365" s="210">
        <f>'Danh sách máy'!F1408</f>
        <v>0</v>
      </c>
      <c r="O1365" s="211" t="str" cm="1">
        <f t="array" ref="O1365">IF(L1365&lt;&gt;0,IF(L1365&lt;I1365,"OK","NG"),Blank)</f>
        <v>NG</v>
      </c>
      <c r="P1365" s="211" t="e" cm="1">
        <f t="array" ref="P1365">IF(M1365&lt;&gt;0,IF(M1365&lt;J1365,"OK","NG"),Blank)</f>
        <v>#NAME?</v>
      </c>
      <c r="Q1365" s="211" t="e" cm="1">
        <f t="array" ref="Q1365">IF(H1365&lt;&gt;"Stop",IF(N1365&lt;&gt;0,IF(N1365&lt;=K1365,"OK","NG"),Blank),"-")</f>
        <v>#REF!</v>
      </c>
      <c r="R1365" s="326" t="e" cm="1">
        <f t="array" ref="R1365">IF(H1365&lt;&gt;"Stop",IF(E1365&lt;&gt;0,IF(E1365&lt;=K1365,"OK","NG"),Blank),"-")</f>
        <v>#REF!</v>
      </c>
    </row>
    <row r="1366" spans="1:18" ht="15" hidden="1" x14ac:dyDescent="0.3">
      <c r="A1366" s="318" t="e">
        <f>#REF!</f>
        <v>#REF!</v>
      </c>
      <c r="B1366" s="305" t="e">
        <f>#REF!</f>
        <v>#REF!</v>
      </c>
      <c r="C1366" s="305" t="str">
        <f>'Danh sách máy'!C1409</f>
        <v>Fact.4</v>
      </c>
      <c r="D1366" s="90" t="e">
        <f>#REF!</f>
        <v>#REF!</v>
      </c>
      <c r="E1366" s="97">
        <f>'Danh sách máy'!E1409</f>
        <v>0</v>
      </c>
      <c r="F1366" s="206" t="e">
        <f>#REF!</f>
        <v>#REF!</v>
      </c>
      <c r="G1366" s="102" t="e">
        <f>#REF!</f>
        <v>#REF!</v>
      </c>
      <c r="H1366" s="102" t="e">
        <f>#REF!</f>
        <v>#REF!</v>
      </c>
      <c r="K1366" s="210" t="e">
        <f>#REF!</f>
        <v>#REF!</v>
      </c>
      <c r="L1366" s="210">
        <v>45635</v>
      </c>
      <c r="M1366" s="210"/>
      <c r="N1366" s="210">
        <f>'Danh sách máy'!F1409</f>
        <v>0</v>
      </c>
      <c r="O1366" s="211" t="str" cm="1">
        <f t="array" ref="O1366">IF(L1366&lt;&gt;0,IF(L1366&lt;I1366,"OK","NG"),Blank)</f>
        <v>NG</v>
      </c>
      <c r="P1366" s="211" t="e" cm="1">
        <f t="array" ref="P1366">IF(M1366&lt;&gt;0,IF(M1366&lt;J1366,"OK","NG"),Blank)</f>
        <v>#NAME?</v>
      </c>
      <c r="Q1366" s="211" t="e" cm="1">
        <f t="array" ref="Q1366">IF(H1366&lt;&gt;"Stop",IF(N1366&lt;&gt;0,IF(N1366&lt;=K1366,"OK","NG"),Blank),"-")</f>
        <v>#REF!</v>
      </c>
      <c r="R1366" s="326" t="e" cm="1">
        <f t="array" ref="R1366">IF(H1366&lt;&gt;"Stop",IF(E1366&lt;&gt;0,IF(E1366&lt;=K1366,"OK","NG"),Blank),"-")</f>
        <v>#REF!</v>
      </c>
    </row>
    <row r="1367" spans="1:18" ht="15" hidden="1" x14ac:dyDescent="0.3">
      <c r="A1367" s="318" t="e">
        <f>#REF!</f>
        <v>#REF!</v>
      </c>
      <c r="B1367" s="305" t="e">
        <f>#REF!</f>
        <v>#REF!</v>
      </c>
      <c r="C1367" s="305" t="str">
        <f>'Danh sách máy'!C1410</f>
        <v>Fact.4</v>
      </c>
      <c r="D1367" s="90" t="e">
        <f>#REF!</f>
        <v>#REF!</v>
      </c>
      <c r="E1367" s="97">
        <f>'Danh sách máy'!E1410</f>
        <v>0</v>
      </c>
      <c r="F1367" s="206" t="e">
        <f>#REF!</f>
        <v>#REF!</v>
      </c>
      <c r="G1367" s="102" t="e">
        <f>#REF!</f>
        <v>#REF!</v>
      </c>
      <c r="H1367" s="102" t="e">
        <f>#REF!</f>
        <v>#REF!</v>
      </c>
      <c r="K1367" s="210" t="e">
        <f>#REF!</f>
        <v>#REF!</v>
      </c>
      <c r="L1367" s="210">
        <v>45636</v>
      </c>
      <c r="M1367" s="210"/>
      <c r="N1367" s="210">
        <f>'Danh sách máy'!F1410</f>
        <v>0</v>
      </c>
      <c r="O1367" s="211" t="str" cm="1">
        <f t="array" ref="O1367">IF(L1367&lt;&gt;0,IF(L1367&lt;I1367,"OK","NG"),Blank)</f>
        <v>NG</v>
      </c>
      <c r="P1367" s="211" t="e" cm="1">
        <f t="array" ref="P1367">IF(M1367&lt;&gt;0,IF(M1367&lt;J1367,"OK","NG"),Blank)</f>
        <v>#NAME?</v>
      </c>
      <c r="Q1367" s="211" t="e" cm="1">
        <f t="array" ref="Q1367">IF(H1367&lt;&gt;"Stop",IF(N1367&lt;&gt;0,IF(N1367&lt;=K1367,"OK","NG"),Blank),"-")</f>
        <v>#REF!</v>
      </c>
      <c r="R1367" s="326" t="e" cm="1">
        <f t="array" ref="R1367">IF(H1367&lt;&gt;"Stop",IF(E1367&lt;&gt;0,IF(E1367&lt;=K1367,"OK","NG"),Blank),"-")</f>
        <v>#REF!</v>
      </c>
    </row>
    <row r="1368" spans="1:18" ht="15" hidden="1" x14ac:dyDescent="0.3">
      <c r="A1368" s="318" t="e">
        <f>#REF!</f>
        <v>#REF!</v>
      </c>
      <c r="B1368" s="305" t="e">
        <f>#REF!</f>
        <v>#REF!</v>
      </c>
      <c r="C1368" s="305" t="str">
        <f>'Danh sách máy'!C1411</f>
        <v>Fact.4</v>
      </c>
      <c r="D1368" s="90" t="e">
        <f>#REF!</f>
        <v>#REF!</v>
      </c>
      <c r="E1368" s="97">
        <f>'Danh sách máy'!E1411</f>
        <v>0</v>
      </c>
      <c r="F1368" s="206" t="e">
        <f>#REF!</f>
        <v>#REF!</v>
      </c>
      <c r="G1368" s="102" t="e">
        <f>#REF!</f>
        <v>#REF!</v>
      </c>
      <c r="H1368" s="102" t="e">
        <f>#REF!</f>
        <v>#REF!</v>
      </c>
      <c r="K1368" s="210" t="e">
        <f>#REF!</f>
        <v>#REF!</v>
      </c>
      <c r="L1368" s="210">
        <v>45637</v>
      </c>
      <c r="M1368" s="210"/>
      <c r="N1368" s="210">
        <f>'Danh sách máy'!F1411</f>
        <v>0</v>
      </c>
      <c r="O1368" s="211" t="str" cm="1">
        <f t="array" ref="O1368">IF(L1368&lt;&gt;0,IF(L1368&lt;I1368,"OK","NG"),Blank)</f>
        <v>NG</v>
      </c>
      <c r="P1368" s="211" t="e" cm="1">
        <f t="array" ref="P1368">IF(M1368&lt;&gt;0,IF(M1368&lt;J1368,"OK","NG"),Blank)</f>
        <v>#NAME?</v>
      </c>
      <c r="Q1368" s="211" t="e" cm="1">
        <f t="array" ref="Q1368">IF(H1368&lt;&gt;"Stop",IF(N1368&lt;&gt;0,IF(N1368&lt;=K1368,"OK","NG"),Blank),"-")</f>
        <v>#REF!</v>
      </c>
      <c r="R1368" s="326" t="e" cm="1">
        <f t="array" ref="R1368">IF(H1368&lt;&gt;"Stop",IF(E1368&lt;&gt;0,IF(E1368&lt;=K1368,"OK","NG"),Blank),"-")</f>
        <v>#REF!</v>
      </c>
    </row>
    <row r="1369" spans="1:18" ht="15" hidden="1" x14ac:dyDescent="0.3">
      <c r="A1369" s="318" t="e">
        <f>#REF!</f>
        <v>#REF!</v>
      </c>
      <c r="B1369" s="305" t="e">
        <f>#REF!</f>
        <v>#REF!</v>
      </c>
      <c r="C1369" s="305" t="str">
        <f>'Danh sách máy'!C1412</f>
        <v xml:space="preserve">Fact.3 </v>
      </c>
      <c r="D1369" s="90" t="e">
        <f>#REF!</f>
        <v>#REF!</v>
      </c>
      <c r="E1369" s="97">
        <f>'Danh sách máy'!E1412</f>
        <v>0</v>
      </c>
      <c r="F1369" s="206" t="e">
        <f>#REF!</f>
        <v>#REF!</v>
      </c>
      <c r="G1369" s="102" t="e">
        <f>#REF!</f>
        <v>#REF!</v>
      </c>
      <c r="H1369" s="102" t="e">
        <f>#REF!</f>
        <v>#REF!</v>
      </c>
      <c r="K1369" s="210" t="e">
        <f>#REF!</f>
        <v>#REF!</v>
      </c>
      <c r="L1369" s="210">
        <v>45638</v>
      </c>
      <c r="M1369" s="210"/>
      <c r="N1369" s="210">
        <f>'Danh sách máy'!F1412</f>
        <v>0</v>
      </c>
      <c r="O1369" s="211" t="str" cm="1">
        <f t="array" ref="O1369">IF(L1369&lt;&gt;0,IF(L1369&lt;I1369,"OK","NG"),Blank)</f>
        <v>NG</v>
      </c>
      <c r="P1369" s="211" t="e" cm="1">
        <f t="array" ref="P1369">IF(M1369&lt;&gt;0,IF(M1369&lt;J1369,"OK","NG"),Blank)</f>
        <v>#NAME?</v>
      </c>
      <c r="Q1369" s="211" t="e" cm="1">
        <f t="array" ref="Q1369">IF(H1369&lt;&gt;"Stop",IF(N1369&lt;&gt;0,IF(N1369&lt;=K1369,"OK","NG"),Blank),"-")</f>
        <v>#REF!</v>
      </c>
      <c r="R1369" s="326" t="e" cm="1">
        <f t="array" ref="R1369">IF(H1369&lt;&gt;"Stop",IF(E1369&lt;&gt;0,IF(E1369&lt;=K1369,"OK","NG"),Blank),"-")</f>
        <v>#REF!</v>
      </c>
    </row>
    <row r="1370" spans="1:18" ht="15" hidden="1" x14ac:dyDescent="0.3">
      <c r="A1370" s="318" t="e">
        <f>#REF!</f>
        <v>#REF!</v>
      </c>
      <c r="B1370" s="305" t="e">
        <f>#REF!</f>
        <v>#REF!</v>
      </c>
      <c r="C1370" s="305" t="str">
        <f>'Danh sách máy'!C1413</f>
        <v xml:space="preserve">Fact.3 </v>
      </c>
      <c r="D1370" s="90" t="e">
        <f>#REF!</f>
        <v>#REF!</v>
      </c>
      <c r="E1370" s="97">
        <f>'Danh sách máy'!E1413</f>
        <v>0</v>
      </c>
      <c r="F1370" s="206" t="e">
        <f>#REF!</f>
        <v>#REF!</v>
      </c>
      <c r="G1370" s="102" t="e">
        <f>#REF!</f>
        <v>#REF!</v>
      </c>
      <c r="H1370" s="102" t="e">
        <f>#REF!</f>
        <v>#REF!</v>
      </c>
      <c r="K1370" s="210" t="e">
        <f>#REF!</f>
        <v>#REF!</v>
      </c>
      <c r="L1370" s="210">
        <v>45639</v>
      </c>
      <c r="M1370" s="210"/>
      <c r="N1370" s="210">
        <f>'Danh sách máy'!F1413</f>
        <v>0</v>
      </c>
      <c r="O1370" s="211" t="str" cm="1">
        <f t="array" ref="O1370">IF(L1370&lt;&gt;0,IF(L1370&lt;I1370,"OK","NG"),Blank)</f>
        <v>NG</v>
      </c>
      <c r="P1370" s="211" t="e" cm="1">
        <f t="array" ref="P1370">IF(M1370&lt;&gt;0,IF(M1370&lt;J1370,"OK","NG"),Blank)</f>
        <v>#NAME?</v>
      </c>
      <c r="Q1370" s="211" t="e" cm="1">
        <f t="array" ref="Q1370">IF(H1370&lt;&gt;"Stop",IF(N1370&lt;&gt;0,IF(N1370&lt;=K1370,"OK","NG"),Blank),"-")</f>
        <v>#REF!</v>
      </c>
      <c r="R1370" s="326" t="e" cm="1">
        <f t="array" ref="R1370">IF(H1370&lt;&gt;"Stop",IF(E1370&lt;&gt;0,IF(E1370&lt;=K1370,"OK","NG"),Blank),"-")</f>
        <v>#REF!</v>
      </c>
    </row>
    <row r="1371" spans="1:18" ht="15" hidden="1" x14ac:dyDescent="0.3">
      <c r="A1371" s="318" t="e">
        <f>#REF!</f>
        <v>#REF!</v>
      </c>
      <c r="B1371" s="305" t="e">
        <f>#REF!</f>
        <v>#REF!</v>
      </c>
      <c r="C1371" s="305" t="str">
        <f>'Danh sách máy'!C1414</f>
        <v xml:space="preserve">Fact.3 </v>
      </c>
      <c r="D1371" s="90" t="e">
        <f>#REF!</f>
        <v>#REF!</v>
      </c>
      <c r="E1371" s="97">
        <f>'Danh sách máy'!E1414</f>
        <v>0</v>
      </c>
      <c r="F1371" s="206" t="e">
        <f>#REF!</f>
        <v>#REF!</v>
      </c>
      <c r="G1371" s="102" t="e">
        <f>#REF!</f>
        <v>#REF!</v>
      </c>
      <c r="H1371" s="102" t="e">
        <f>#REF!</f>
        <v>#REF!</v>
      </c>
      <c r="K1371" s="210" t="e">
        <f>#REF!</f>
        <v>#REF!</v>
      </c>
      <c r="L1371" s="210">
        <v>45640</v>
      </c>
      <c r="M1371" s="210"/>
      <c r="N1371" s="210">
        <f>'Danh sách máy'!F1414</f>
        <v>0</v>
      </c>
      <c r="O1371" s="211" t="str" cm="1">
        <f t="array" ref="O1371">IF(L1371&lt;&gt;0,IF(L1371&lt;I1371,"OK","NG"),Blank)</f>
        <v>NG</v>
      </c>
      <c r="P1371" s="211" t="e" cm="1">
        <f t="array" ref="P1371">IF(M1371&lt;&gt;0,IF(M1371&lt;J1371,"OK","NG"),Blank)</f>
        <v>#NAME?</v>
      </c>
      <c r="Q1371" s="211" t="e" cm="1">
        <f t="array" ref="Q1371">IF(H1371&lt;&gt;"Stop",IF(N1371&lt;&gt;0,IF(N1371&lt;=K1371,"OK","NG"),Blank),"-")</f>
        <v>#REF!</v>
      </c>
      <c r="R1371" s="326" t="e" cm="1">
        <f t="array" ref="R1371">IF(H1371&lt;&gt;"Stop",IF(E1371&lt;&gt;0,IF(E1371&lt;=K1371,"OK","NG"),Blank),"-")</f>
        <v>#REF!</v>
      </c>
    </row>
    <row r="1372" spans="1:18" ht="15" hidden="1" x14ac:dyDescent="0.3">
      <c r="A1372" s="318" t="e">
        <f>#REF!</f>
        <v>#REF!</v>
      </c>
      <c r="B1372" s="305" t="e">
        <f>#REF!</f>
        <v>#REF!</v>
      </c>
      <c r="C1372" s="305" t="str">
        <f>'Danh sách máy'!C1415</f>
        <v xml:space="preserve">Fact.3 </v>
      </c>
      <c r="D1372" s="90" t="e">
        <f>#REF!</f>
        <v>#REF!</v>
      </c>
      <c r="E1372" s="97">
        <f>'Danh sách máy'!E1415</f>
        <v>0</v>
      </c>
      <c r="F1372" s="206" t="e">
        <f>#REF!</f>
        <v>#REF!</v>
      </c>
      <c r="G1372" s="102" t="e">
        <f>#REF!</f>
        <v>#REF!</v>
      </c>
      <c r="H1372" s="102" t="e">
        <f>#REF!</f>
        <v>#REF!</v>
      </c>
      <c r="K1372" s="210" t="e">
        <f>#REF!</f>
        <v>#REF!</v>
      </c>
      <c r="L1372" s="210">
        <v>45641</v>
      </c>
      <c r="M1372" s="210"/>
      <c r="N1372" s="210">
        <f>'Danh sách máy'!F1415</f>
        <v>0</v>
      </c>
      <c r="O1372" s="211" t="str" cm="1">
        <f t="array" ref="O1372">IF(L1372&lt;&gt;0,IF(L1372&lt;I1372,"OK","NG"),Blank)</f>
        <v>NG</v>
      </c>
      <c r="P1372" s="211" t="e" cm="1">
        <f t="array" ref="P1372">IF(M1372&lt;&gt;0,IF(M1372&lt;J1372,"OK","NG"),Blank)</f>
        <v>#NAME?</v>
      </c>
      <c r="Q1372" s="211" t="e" cm="1">
        <f t="array" ref="Q1372">IF(H1372&lt;&gt;"Stop",IF(N1372&lt;&gt;0,IF(N1372&lt;=K1372,"OK","NG"),Blank),"-")</f>
        <v>#REF!</v>
      </c>
      <c r="R1372" s="326" t="e" cm="1">
        <f t="array" ref="R1372">IF(H1372&lt;&gt;"Stop",IF(E1372&lt;&gt;0,IF(E1372&lt;=K1372,"OK","NG"),Blank),"-")</f>
        <v>#REF!</v>
      </c>
    </row>
    <row r="1373" spans="1:18" ht="15" hidden="1" x14ac:dyDescent="0.3">
      <c r="A1373" s="318" t="e">
        <f>#REF!</f>
        <v>#REF!</v>
      </c>
      <c r="B1373" s="305" t="e">
        <f>#REF!</f>
        <v>#REF!</v>
      </c>
      <c r="C1373" s="305" t="str">
        <f>'Danh sách máy'!C1416</f>
        <v xml:space="preserve">Fact.3 </v>
      </c>
      <c r="D1373" s="90" t="e">
        <f>#REF!</f>
        <v>#REF!</v>
      </c>
      <c r="E1373" s="97">
        <f>'Danh sách máy'!E1416</f>
        <v>0</v>
      </c>
      <c r="F1373" s="206" t="e">
        <f>#REF!</f>
        <v>#REF!</v>
      </c>
      <c r="G1373" s="102" t="e">
        <f>#REF!</f>
        <v>#REF!</v>
      </c>
      <c r="H1373" s="102" t="e">
        <f>#REF!</f>
        <v>#REF!</v>
      </c>
      <c r="K1373" s="210" t="e">
        <f>#REF!</f>
        <v>#REF!</v>
      </c>
      <c r="L1373" s="210">
        <v>45642</v>
      </c>
      <c r="M1373" s="210"/>
      <c r="N1373" s="210">
        <f>'Danh sách máy'!F1416</f>
        <v>0</v>
      </c>
      <c r="O1373" s="211" t="str" cm="1">
        <f t="array" ref="O1373">IF(L1373&lt;&gt;0,IF(L1373&lt;I1373,"OK","NG"),Blank)</f>
        <v>NG</v>
      </c>
      <c r="P1373" s="211" t="e" cm="1">
        <f t="array" ref="P1373">IF(M1373&lt;&gt;0,IF(M1373&lt;J1373,"OK","NG"),Blank)</f>
        <v>#NAME?</v>
      </c>
      <c r="Q1373" s="211" t="e" cm="1">
        <f t="array" ref="Q1373">IF(H1373&lt;&gt;"Stop",IF(N1373&lt;&gt;0,IF(N1373&lt;=K1373,"OK","NG"),Blank),"-")</f>
        <v>#REF!</v>
      </c>
      <c r="R1373" s="326" t="e" cm="1">
        <f t="array" ref="R1373">IF(H1373&lt;&gt;"Stop",IF(E1373&lt;&gt;0,IF(E1373&lt;=K1373,"OK","NG"),Blank),"-")</f>
        <v>#REF!</v>
      </c>
    </row>
    <row r="1374" spans="1:18" ht="15" hidden="1" x14ac:dyDescent="0.3">
      <c r="A1374" s="318" t="e">
        <f>#REF!</f>
        <v>#REF!</v>
      </c>
      <c r="B1374" s="305" t="e">
        <f>#REF!</f>
        <v>#REF!</v>
      </c>
      <c r="C1374" s="305" t="str">
        <f>'Danh sách máy'!C1417</f>
        <v xml:space="preserve">Fact.3 </v>
      </c>
      <c r="D1374" s="90" t="e">
        <f>#REF!</f>
        <v>#REF!</v>
      </c>
      <c r="E1374" s="97">
        <f>'Danh sách máy'!E1417</f>
        <v>0</v>
      </c>
      <c r="F1374" s="206" t="e">
        <f>#REF!</f>
        <v>#REF!</v>
      </c>
      <c r="G1374" s="102" t="e">
        <f>#REF!</f>
        <v>#REF!</v>
      </c>
      <c r="H1374" s="102" t="e">
        <f>#REF!</f>
        <v>#REF!</v>
      </c>
      <c r="K1374" s="210" t="e">
        <f>#REF!</f>
        <v>#REF!</v>
      </c>
      <c r="L1374" s="210">
        <v>45643</v>
      </c>
      <c r="M1374" s="210"/>
      <c r="N1374" s="210">
        <f>'Danh sách máy'!F1417</f>
        <v>0</v>
      </c>
      <c r="O1374" s="211" t="str" cm="1">
        <f t="array" ref="O1374">IF(L1374&lt;&gt;0,IF(L1374&lt;I1374,"OK","NG"),Blank)</f>
        <v>NG</v>
      </c>
      <c r="P1374" s="211" t="e" cm="1">
        <f t="array" ref="P1374">IF(M1374&lt;&gt;0,IF(M1374&lt;J1374,"OK","NG"),Blank)</f>
        <v>#NAME?</v>
      </c>
      <c r="Q1374" s="211" t="e" cm="1">
        <f t="array" ref="Q1374">IF(H1374&lt;&gt;"Stop",IF(N1374&lt;&gt;0,IF(N1374&lt;=K1374,"OK","NG"),Blank),"-")</f>
        <v>#REF!</v>
      </c>
      <c r="R1374" s="326" t="e" cm="1">
        <f t="array" ref="R1374">IF(H1374&lt;&gt;"Stop",IF(E1374&lt;&gt;0,IF(E1374&lt;=K1374,"OK","NG"),Blank),"-")</f>
        <v>#REF!</v>
      </c>
    </row>
    <row r="1375" spans="1:18" ht="15" hidden="1" x14ac:dyDescent="0.3">
      <c r="A1375" s="318" t="e">
        <f>#REF!</f>
        <v>#REF!</v>
      </c>
      <c r="B1375" s="305" t="e">
        <f>#REF!</f>
        <v>#REF!</v>
      </c>
      <c r="C1375" s="305" t="str">
        <f>'Danh sách máy'!C1418</f>
        <v xml:space="preserve">Fact.3 </v>
      </c>
      <c r="D1375" s="90" t="e">
        <f>#REF!</f>
        <v>#REF!</v>
      </c>
      <c r="E1375" s="97">
        <f>'Danh sách máy'!E1418</f>
        <v>0</v>
      </c>
      <c r="F1375" s="206" t="e">
        <f>#REF!</f>
        <v>#REF!</v>
      </c>
      <c r="G1375" s="102" t="e">
        <f>#REF!</f>
        <v>#REF!</v>
      </c>
      <c r="H1375" s="102" t="e">
        <f>#REF!</f>
        <v>#REF!</v>
      </c>
      <c r="K1375" s="210" t="e">
        <f>#REF!</f>
        <v>#REF!</v>
      </c>
      <c r="L1375" s="210">
        <v>45644</v>
      </c>
      <c r="M1375" s="210"/>
      <c r="N1375" s="210">
        <f>'Danh sách máy'!F1418</f>
        <v>0</v>
      </c>
      <c r="O1375" s="211" t="str" cm="1">
        <f t="array" ref="O1375">IF(L1375&lt;&gt;0,IF(L1375&lt;I1375,"OK","NG"),Blank)</f>
        <v>NG</v>
      </c>
      <c r="P1375" s="211" t="e" cm="1">
        <f t="array" ref="P1375">IF(M1375&lt;&gt;0,IF(M1375&lt;J1375,"OK","NG"),Blank)</f>
        <v>#NAME?</v>
      </c>
      <c r="Q1375" s="211" t="e" cm="1">
        <f t="array" ref="Q1375">IF(H1375&lt;&gt;"Stop",IF(N1375&lt;&gt;0,IF(N1375&lt;=K1375,"OK","NG"),Blank),"-")</f>
        <v>#REF!</v>
      </c>
      <c r="R1375" s="326" t="e" cm="1">
        <f t="array" ref="R1375">IF(H1375&lt;&gt;"Stop",IF(E1375&lt;&gt;0,IF(E1375&lt;=K1375,"OK","NG"),Blank),"-")</f>
        <v>#REF!</v>
      </c>
    </row>
    <row r="1376" spans="1:18" ht="30" hidden="1" x14ac:dyDescent="0.3">
      <c r="A1376" s="318" t="e">
        <f>#REF!</f>
        <v>#REF!</v>
      </c>
      <c r="B1376" s="305" t="e">
        <f>#REF!</f>
        <v>#REF!</v>
      </c>
      <c r="C1376" s="305" t="str">
        <f>'Danh sách máy'!C1419</f>
        <v xml:space="preserve">Fact.3 </v>
      </c>
      <c r="D1376" s="90" t="e">
        <f>#REF!</f>
        <v>#REF!</v>
      </c>
      <c r="E1376" s="97">
        <f>'Danh sách máy'!E1419</f>
        <v>0</v>
      </c>
      <c r="F1376" s="206" t="e">
        <f>#REF!</f>
        <v>#REF!</v>
      </c>
      <c r="G1376" s="102" t="e">
        <f>#REF!</f>
        <v>#REF!</v>
      </c>
      <c r="H1376" s="102" t="e">
        <f>#REF!</f>
        <v>#REF!</v>
      </c>
      <c r="K1376" s="210" t="e">
        <f>#REF!</f>
        <v>#REF!</v>
      </c>
      <c r="L1376" s="210">
        <v>45645</v>
      </c>
      <c r="M1376" s="210"/>
      <c r="N1376" s="210">
        <f>'Danh sách máy'!F1419</f>
        <v>0</v>
      </c>
      <c r="O1376" s="211" t="str" cm="1">
        <f t="array" ref="O1376">IF(L1376&lt;&gt;0,IF(L1376&lt;I1376,"OK","NG"),Blank)</f>
        <v>NG</v>
      </c>
      <c r="P1376" s="211" t="e" cm="1">
        <f t="array" ref="P1376">IF(M1376&lt;&gt;0,IF(M1376&lt;J1376,"OK","NG"),Blank)</f>
        <v>#NAME?</v>
      </c>
      <c r="Q1376" s="211" t="e" cm="1">
        <f t="array" ref="Q1376">IF(H1376&lt;&gt;"Stop",IF(N1376&lt;&gt;0,IF(N1376&lt;=K1376,"OK","NG"),Blank),"-")</f>
        <v>#REF!</v>
      </c>
      <c r="R1376" s="326" t="e" cm="1">
        <f t="array" ref="R1376">IF(H1376&lt;&gt;"Stop",IF(E1376&lt;&gt;0,IF(E1376&lt;=K1376,"OK","NG"),Blank),"-")</f>
        <v>#REF!</v>
      </c>
    </row>
    <row r="1377" spans="1:18" ht="30" hidden="1" x14ac:dyDescent="0.3">
      <c r="A1377" s="318" t="e">
        <f>#REF!</f>
        <v>#REF!</v>
      </c>
      <c r="B1377" s="305" t="e">
        <f>#REF!</f>
        <v>#REF!</v>
      </c>
      <c r="C1377" s="305" t="str">
        <f>'Danh sách máy'!C1420</f>
        <v>Fact.4</v>
      </c>
      <c r="D1377" s="90" t="e">
        <f>#REF!</f>
        <v>#REF!</v>
      </c>
      <c r="E1377" s="97">
        <f>'Danh sách máy'!E1420</f>
        <v>0</v>
      </c>
      <c r="F1377" s="206" t="e">
        <f>#REF!</f>
        <v>#REF!</v>
      </c>
      <c r="G1377" s="102" t="e">
        <f>#REF!</f>
        <v>#REF!</v>
      </c>
      <c r="H1377" s="102" t="e">
        <f>#REF!</f>
        <v>#REF!</v>
      </c>
      <c r="K1377" s="210" t="e">
        <f>#REF!</f>
        <v>#REF!</v>
      </c>
      <c r="L1377" s="210">
        <v>45646</v>
      </c>
      <c r="M1377" s="210"/>
      <c r="N1377" s="210">
        <f>'Danh sách máy'!F1420</f>
        <v>0</v>
      </c>
      <c r="O1377" s="211" t="str" cm="1">
        <f t="array" ref="O1377">IF(L1377&lt;&gt;0,IF(L1377&lt;I1377,"OK","NG"),Blank)</f>
        <v>NG</v>
      </c>
      <c r="P1377" s="211" t="e" cm="1">
        <f t="array" ref="P1377">IF(M1377&lt;&gt;0,IF(M1377&lt;J1377,"OK","NG"),Blank)</f>
        <v>#NAME?</v>
      </c>
      <c r="Q1377" s="211" t="e" cm="1">
        <f t="array" ref="Q1377">IF(H1377&lt;&gt;"Stop",IF(N1377&lt;&gt;0,IF(N1377&lt;=K1377,"OK","NG"),Blank),"-")</f>
        <v>#REF!</v>
      </c>
      <c r="R1377" s="326" t="e" cm="1">
        <f t="array" ref="R1377">IF(H1377&lt;&gt;"Stop",IF(E1377&lt;&gt;0,IF(E1377&lt;=K1377,"OK","NG"),Blank),"-")</f>
        <v>#REF!</v>
      </c>
    </row>
    <row r="1378" spans="1:18" ht="30" hidden="1" x14ac:dyDescent="0.3">
      <c r="A1378" s="318" t="e">
        <f>#REF!</f>
        <v>#REF!</v>
      </c>
      <c r="B1378" s="305" t="e">
        <f>#REF!</f>
        <v>#REF!</v>
      </c>
      <c r="C1378" s="305" t="str">
        <f>'Danh sách máy'!C1421</f>
        <v>Fact.4</v>
      </c>
      <c r="D1378" s="90" t="e">
        <f>#REF!</f>
        <v>#REF!</v>
      </c>
      <c r="E1378" s="97">
        <f>'Danh sách máy'!E1421</f>
        <v>0</v>
      </c>
      <c r="F1378" s="206" t="e">
        <f>#REF!</f>
        <v>#REF!</v>
      </c>
      <c r="G1378" s="102" t="e">
        <f>#REF!</f>
        <v>#REF!</v>
      </c>
      <c r="H1378" s="102" t="e">
        <f>#REF!</f>
        <v>#REF!</v>
      </c>
      <c r="K1378" s="210" t="e">
        <f>#REF!</f>
        <v>#REF!</v>
      </c>
      <c r="L1378" s="210">
        <v>45647</v>
      </c>
      <c r="M1378" s="210"/>
      <c r="N1378" s="210">
        <f>'Danh sách máy'!F1421</f>
        <v>0</v>
      </c>
      <c r="O1378" s="211" t="str" cm="1">
        <f t="array" ref="O1378">IF(L1378&lt;&gt;0,IF(L1378&lt;I1378,"OK","NG"),Blank)</f>
        <v>NG</v>
      </c>
      <c r="P1378" s="211" t="e" cm="1">
        <f t="array" ref="P1378">IF(M1378&lt;&gt;0,IF(M1378&lt;J1378,"OK","NG"),Blank)</f>
        <v>#NAME?</v>
      </c>
      <c r="Q1378" s="211" t="e" cm="1">
        <f t="array" ref="Q1378">IF(H1378&lt;&gt;"Stop",IF(N1378&lt;&gt;0,IF(N1378&lt;=K1378,"OK","NG"),Blank),"-")</f>
        <v>#REF!</v>
      </c>
      <c r="R1378" s="326" t="e" cm="1">
        <f t="array" ref="R1378">IF(H1378&lt;&gt;"Stop",IF(E1378&lt;&gt;0,IF(E1378&lt;=K1378,"OK","NG"),Blank),"-")</f>
        <v>#REF!</v>
      </c>
    </row>
    <row r="1379" spans="1:18" ht="30" hidden="1" x14ac:dyDescent="0.3">
      <c r="A1379" s="318" t="e">
        <f>#REF!</f>
        <v>#REF!</v>
      </c>
      <c r="B1379" s="305" t="e">
        <f>#REF!</f>
        <v>#REF!</v>
      </c>
      <c r="C1379" s="305" t="str">
        <f>'Danh sách máy'!C1422</f>
        <v>Fact.4</v>
      </c>
      <c r="D1379" s="90" t="e">
        <f>#REF!</f>
        <v>#REF!</v>
      </c>
      <c r="E1379" s="97">
        <f>'Danh sách máy'!E1422</f>
        <v>0</v>
      </c>
      <c r="F1379" s="206" t="e">
        <f>#REF!</f>
        <v>#REF!</v>
      </c>
      <c r="G1379" s="102" t="e">
        <f>#REF!</f>
        <v>#REF!</v>
      </c>
      <c r="H1379" s="102" t="e">
        <f>#REF!</f>
        <v>#REF!</v>
      </c>
      <c r="K1379" s="210" t="e">
        <f>#REF!</f>
        <v>#REF!</v>
      </c>
      <c r="L1379" s="210">
        <v>45648</v>
      </c>
      <c r="M1379" s="210"/>
      <c r="N1379" s="210">
        <f>'Danh sách máy'!F1422</f>
        <v>0</v>
      </c>
      <c r="O1379" s="211" t="str" cm="1">
        <f t="array" ref="O1379">IF(L1379&lt;&gt;0,IF(L1379&lt;I1379,"OK","NG"),Blank)</f>
        <v>NG</v>
      </c>
      <c r="P1379" s="211" t="e" cm="1">
        <f t="array" ref="P1379">IF(M1379&lt;&gt;0,IF(M1379&lt;J1379,"OK","NG"),Blank)</f>
        <v>#NAME?</v>
      </c>
      <c r="Q1379" s="211" t="e" cm="1">
        <f t="array" ref="Q1379">IF(H1379&lt;&gt;"Stop",IF(N1379&lt;&gt;0,IF(N1379&lt;=K1379,"OK","NG"),Blank),"-")</f>
        <v>#REF!</v>
      </c>
      <c r="R1379" s="326" t="e" cm="1">
        <f t="array" ref="R1379">IF(H1379&lt;&gt;"Stop",IF(E1379&lt;&gt;0,IF(E1379&lt;=K1379,"OK","NG"),Blank),"-")</f>
        <v>#REF!</v>
      </c>
    </row>
    <row r="1380" spans="1:18" ht="15" hidden="1" x14ac:dyDescent="0.3">
      <c r="A1380" s="318" t="e">
        <f>#REF!</f>
        <v>#REF!</v>
      </c>
      <c r="B1380" s="305" t="e">
        <f>#REF!</f>
        <v>#REF!</v>
      </c>
      <c r="C1380" s="305" t="str">
        <f>'Danh sách máy'!C1423</f>
        <v>Fact.4</v>
      </c>
      <c r="D1380" s="90" t="e">
        <f>#REF!</f>
        <v>#REF!</v>
      </c>
      <c r="E1380" s="97">
        <f>'Danh sách máy'!E1423</f>
        <v>0</v>
      </c>
      <c r="F1380" s="206" t="e">
        <f>#REF!</f>
        <v>#REF!</v>
      </c>
      <c r="G1380" s="102" t="e">
        <f>#REF!</f>
        <v>#REF!</v>
      </c>
      <c r="H1380" s="102" t="e">
        <f>#REF!</f>
        <v>#REF!</v>
      </c>
      <c r="K1380" s="210" t="e">
        <f>#REF!</f>
        <v>#REF!</v>
      </c>
      <c r="L1380" s="210">
        <v>45649</v>
      </c>
      <c r="M1380" s="210"/>
      <c r="N1380" s="210">
        <f>'Danh sách máy'!F1423</f>
        <v>0</v>
      </c>
      <c r="O1380" s="211" t="str" cm="1">
        <f t="array" ref="O1380">IF(L1380&lt;&gt;0,IF(L1380&lt;I1380,"OK","NG"),Blank)</f>
        <v>NG</v>
      </c>
      <c r="P1380" s="211" t="e" cm="1">
        <f t="array" ref="P1380">IF(M1380&lt;&gt;0,IF(M1380&lt;J1380,"OK","NG"),Blank)</f>
        <v>#NAME?</v>
      </c>
      <c r="Q1380" s="211" t="e" cm="1">
        <f t="array" ref="Q1380">IF(H1380&lt;&gt;"Stop",IF(N1380&lt;&gt;0,IF(N1380&lt;=K1380,"OK","NG"),Blank),"-")</f>
        <v>#REF!</v>
      </c>
      <c r="R1380" s="326" t="e" cm="1">
        <f t="array" ref="R1380">IF(H1380&lt;&gt;"Stop",IF(E1380&lt;&gt;0,IF(E1380&lt;=K1380,"OK","NG"),Blank),"-")</f>
        <v>#REF!</v>
      </c>
    </row>
    <row r="1381" spans="1:18" ht="30" hidden="1" x14ac:dyDescent="0.3">
      <c r="A1381" s="318" t="e">
        <f>#REF!</f>
        <v>#REF!</v>
      </c>
      <c r="B1381" s="305" t="e">
        <f>#REF!</f>
        <v>#REF!</v>
      </c>
      <c r="C1381" s="305" t="str">
        <f>'Danh sách máy'!C1424</f>
        <v>Fact.4</v>
      </c>
      <c r="D1381" s="90" t="e">
        <f>#REF!</f>
        <v>#REF!</v>
      </c>
      <c r="E1381" s="97">
        <f>'Danh sách máy'!E1424</f>
        <v>0</v>
      </c>
      <c r="F1381" s="206" t="e">
        <f>#REF!</f>
        <v>#REF!</v>
      </c>
      <c r="G1381" s="102" t="e">
        <f>#REF!</f>
        <v>#REF!</v>
      </c>
      <c r="H1381" s="102" t="e">
        <f>#REF!</f>
        <v>#REF!</v>
      </c>
      <c r="K1381" s="210" t="e">
        <f>#REF!</f>
        <v>#REF!</v>
      </c>
      <c r="L1381" s="210">
        <v>45650</v>
      </c>
      <c r="M1381" s="210"/>
      <c r="N1381" s="210">
        <f>'Danh sách máy'!F1424</f>
        <v>0</v>
      </c>
      <c r="O1381" s="211" t="str" cm="1">
        <f t="array" ref="O1381">IF(L1381&lt;&gt;0,IF(L1381&lt;I1381,"OK","NG"),Blank)</f>
        <v>NG</v>
      </c>
      <c r="P1381" s="211" t="e" cm="1">
        <f t="array" ref="P1381">IF(M1381&lt;&gt;0,IF(M1381&lt;J1381,"OK","NG"),Blank)</f>
        <v>#NAME?</v>
      </c>
      <c r="Q1381" s="211" t="e" cm="1">
        <f t="array" ref="Q1381">IF(H1381&lt;&gt;"Stop",IF(N1381&lt;&gt;0,IF(N1381&lt;=K1381,"OK","NG"),Blank),"-")</f>
        <v>#REF!</v>
      </c>
      <c r="R1381" s="326" t="e" cm="1">
        <f t="array" ref="R1381">IF(H1381&lt;&gt;"Stop",IF(E1381&lt;&gt;0,IF(E1381&lt;=K1381,"OK","NG"),Blank),"-")</f>
        <v>#REF!</v>
      </c>
    </row>
    <row r="1382" spans="1:18" ht="30" hidden="1" x14ac:dyDescent="0.3">
      <c r="A1382" s="318" t="e">
        <f>#REF!</f>
        <v>#REF!</v>
      </c>
      <c r="B1382" s="305" t="e">
        <f>#REF!</f>
        <v>#REF!</v>
      </c>
      <c r="C1382" s="305" t="str">
        <f>'Danh sách máy'!C1425</f>
        <v>Fact.4</v>
      </c>
      <c r="D1382" s="90" t="e">
        <f>#REF!</f>
        <v>#REF!</v>
      </c>
      <c r="E1382" s="97">
        <f>'Danh sách máy'!E1425</f>
        <v>0</v>
      </c>
      <c r="F1382" s="206" t="e">
        <f>#REF!</f>
        <v>#REF!</v>
      </c>
      <c r="G1382" s="102" t="e">
        <f>#REF!</f>
        <v>#REF!</v>
      </c>
      <c r="H1382" s="102" t="e">
        <f>#REF!</f>
        <v>#REF!</v>
      </c>
      <c r="K1382" s="210" t="e">
        <f>#REF!</f>
        <v>#REF!</v>
      </c>
      <c r="L1382" s="210">
        <v>45651</v>
      </c>
      <c r="M1382" s="210"/>
      <c r="N1382" s="210">
        <f>'Danh sách máy'!F1425</f>
        <v>0</v>
      </c>
      <c r="O1382" s="211" t="str" cm="1">
        <f t="array" ref="O1382">IF(L1382&lt;&gt;0,IF(L1382&lt;I1382,"OK","NG"),Blank)</f>
        <v>NG</v>
      </c>
      <c r="P1382" s="211" t="e" cm="1">
        <f t="array" ref="P1382">IF(M1382&lt;&gt;0,IF(M1382&lt;J1382,"OK","NG"),Blank)</f>
        <v>#NAME?</v>
      </c>
      <c r="Q1382" s="211" t="e" cm="1">
        <f t="array" ref="Q1382">IF(H1382&lt;&gt;"Stop",IF(N1382&lt;&gt;0,IF(N1382&lt;=K1382,"OK","NG"),Blank),"-")</f>
        <v>#REF!</v>
      </c>
      <c r="R1382" s="326" t="e" cm="1">
        <f t="array" ref="R1382">IF(H1382&lt;&gt;"Stop",IF(E1382&lt;&gt;0,IF(E1382&lt;=K1382,"OK","NG"),Blank),"-")</f>
        <v>#REF!</v>
      </c>
    </row>
    <row r="1383" spans="1:18" ht="30" hidden="1" x14ac:dyDescent="0.3">
      <c r="A1383" s="318" t="e">
        <f>#REF!</f>
        <v>#REF!</v>
      </c>
      <c r="B1383" s="305" t="e">
        <f>#REF!</f>
        <v>#REF!</v>
      </c>
      <c r="C1383" s="305" t="str">
        <f>'Danh sách máy'!C1426</f>
        <v>Fact.4</v>
      </c>
      <c r="D1383" s="90" t="e">
        <f>#REF!</f>
        <v>#REF!</v>
      </c>
      <c r="E1383" s="97">
        <f>'Danh sách máy'!E1426</f>
        <v>0</v>
      </c>
      <c r="F1383" s="206" t="e">
        <f>#REF!</f>
        <v>#REF!</v>
      </c>
      <c r="G1383" s="102" t="e">
        <f>#REF!</f>
        <v>#REF!</v>
      </c>
      <c r="H1383" s="102" t="e">
        <f>#REF!</f>
        <v>#REF!</v>
      </c>
      <c r="K1383" s="210" t="e">
        <f>#REF!</f>
        <v>#REF!</v>
      </c>
      <c r="L1383" s="210">
        <v>45652</v>
      </c>
      <c r="M1383" s="210"/>
      <c r="N1383" s="210">
        <f>'Danh sách máy'!F1426</f>
        <v>0</v>
      </c>
      <c r="O1383" s="211" t="str" cm="1">
        <f t="array" ref="O1383">IF(L1383&lt;&gt;0,IF(L1383&lt;I1383,"OK","NG"),Blank)</f>
        <v>NG</v>
      </c>
      <c r="P1383" s="211" t="e" cm="1">
        <f t="array" ref="P1383">IF(M1383&lt;&gt;0,IF(M1383&lt;J1383,"OK","NG"),Blank)</f>
        <v>#NAME?</v>
      </c>
      <c r="Q1383" s="211" t="e" cm="1">
        <f t="array" ref="Q1383">IF(H1383&lt;&gt;"Stop",IF(N1383&lt;&gt;0,IF(N1383&lt;=K1383,"OK","NG"),Blank),"-")</f>
        <v>#REF!</v>
      </c>
      <c r="R1383" s="326" t="e" cm="1">
        <f t="array" ref="R1383">IF(H1383&lt;&gt;"Stop",IF(E1383&lt;&gt;0,IF(E1383&lt;=K1383,"OK","NG"),Blank),"-")</f>
        <v>#REF!</v>
      </c>
    </row>
    <row r="1384" spans="1:18" ht="30" hidden="1" x14ac:dyDescent="0.3">
      <c r="A1384" s="318" t="e">
        <f>#REF!</f>
        <v>#REF!</v>
      </c>
      <c r="B1384" s="305" t="e">
        <f>#REF!</f>
        <v>#REF!</v>
      </c>
      <c r="C1384" s="305" t="str">
        <f>'Danh sách máy'!C1427</f>
        <v>Fact.4</v>
      </c>
      <c r="D1384" s="90" t="e">
        <f>#REF!</f>
        <v>#REF!</v>
      </c>
      <c r="E1384" s="97">
        <f>'Danh sách máy'!E1427</f>
        <v>0</v>
      </c>
      <c r="F1384" s="206" t="e">
        <f>#REF!</f>
        <v>#REF!</v>
      </c>
      <c r="G1384" s="102" t="e">
        <f>#REF!</f>
        <v>#REF!</v>
      </c>
      <c r="H1384" s="102" t="e">
        <f>#REF!</f>
        <v>#REF!</v>
      </c>
      <c r="K1384" s="210" t="e">
        <f>#REF!</f>
        <v>#REF!</v>
      </c>
      <c r="L1384" s="210">
        <v>45653</v>
      </c>
      <c r="M1384" s="210"/>
      <c r="N1384" s="210">
        <f>'Danh sách máy'!F1427</f>
        <v>0</v>
      </c>
      <c r="O1384" s="211" t="str" cm="1">
        <f t="array" ref="O1384">IF(L1384&lt;&gt;0,IF(L1384&lt;I1384,"OK","NG"),Blank)</f>
        <v>NG</v>
      </c>
      <c r="P1384" s="211" t="e" cm="1">
        <f t="array" ref="P1384">IF(M1384&lt;&gt;0,IF(M1384&lt;J1384,"OK","NG"),Blank)</f>
        <v>#NAME?</v>
      </c>
      <c r="Q1384" s="211" t="e" cm="1">
        <f t="array" ref="Q1384">IF(H1384&lt;&gt;"Stop",IF(N1384&lt;&gt;0,IF(N1384&lt;=K1384,"OK","NG"),Blank),"-")</f>
        <v>#REF!</v>
      </c>
      <c r="R1384" s="326" t="e" cm="1">
        <f t="array" ref="R1384">IF(H1384&lt;&gt;"Stop",IF(E1384&lt;&gt;0,IF(E1384&lt;=K1384,"OK","NG"),Blank),"-")</f>
        <v>#REF!</v>
      </c>
    </row>
    <row r="1385" spans="1:18" ht="30" hidden="1" x14ac:dyDescent="0.3">
      <c r="A1385" s="318" t="e">
        <f>#REF!</f>
        <v>#REF!</v>
      </c>
      <c r="B1385" s="305" t="e">
        <f>#REF!</f>
        <v>#REF!</v>
      </c>
      <c r="C1385" s="305" t="str">
        <f>'Danh sách máy'!C1428</f>
        <v>Fact.4</v>
      </c>
      <c r="D1385" s="90" t="e">
        <f>#REF!</f>
        <v>#REF!</v>
      </c>
      <c r="E1385" s="97">
        <f>'Danh sách máy'!E1428</f>
        <v>0</v>
      </c>
      <c r="F1385" s="206" t="e">
        <f>#REF!</f>
        <v>#REF!</v>
      </c>
      <c r="G1385" s="102" t="e">
        <f>#REF!</f>
        <v>#REF!</v>
      </c>
      <c r="H1385" s="102" t="e">
        <f>#REF!</f>
        <v>#REF!</v>
      </c>
      <c r="K1385" s="210" t="e">
        <f>#REF!</f>
        <v>#REF!</v>
      </c>
      <c r="L1385" s="210">
        <v>45654</v>
      </c>
      <c r="M1385" s="210"/>
      <c r="N1385" s="210">
        <f>'Danh sách máy'!F1428</f>
        <v>0</v>
      </c>
      <c r="O1385" s="211" t="str" cm="1">
        <f t="array" ref="O1385">IF(L1385&lt;&gt;0,IF(L1385&lt;I1385,"OK","NG"),Blank)</f>
        <v>NG</v>
      </c>
      <c r="P1385" s="211" t="e" cm="1">
        <f t="array" ref="P1385">IF(M1385&lt;&gt;0,IF(M1385&lt;J1385,"OK","NG"),Blank)</f>
        <v>#NAME?</v>
      </c>
      <c r="Q1385" s="211" t="e" cm="1">
        <f t="array" ref="Q1385">IF(H1385&lt;&gt;"Stop",IF(N1385&lt;&gt;0,IF(N1385&lt;=K1385,"OK","NG"),Blank),"-")</f>
        <v>#REF!</v>
      </c>
      <c r="R1385" s="326" t="e" cm="1">
        <f t="array" ref="R1385">IF(H1385&lt;&gt;"Stop",IF(E1385&lt;&gt;0,IF(E1385&lt;=K1385,"OK","NG"),Blank),"-")</f>
        <v>#REF!</v>
      </c>
    </row>
    <row r="1386" spans="1:18" ht="30" hidden="1" x14ac:dyDescent="0.3">
      <c r="A1386" s="318" t="e">
        <f>#REF!</f>
        <v>#REF!</v>
      </c>
      <c r="B1386" s="305" t="e">
        <f>#REF!</f>
        <v>#REF!</v>
      </c>
      <c r="C1386" s="305" t="str">
        <f>'Danh sách máy'!C1429</f>
        <v>Fact.4</v>
      </c>
      <c r="D1386" s="90" t="e">
        <f>#REF!</f>
        <v>#REF!</v>
      </c>
      <c r="E1386" s="97">
        <f>'Danh sách máy'!E1429</f>
        <v>0</v>
      </c>
      <c r="F1386" s="206" t="e">
        <f>#REF!</f>
        <v>#REF!</v>
      </c>
      <c r="G1386" s="102" t="e">
        <f>#REF!</f>
        <v>#REF!</v>
      </c>
      <c r="H1386" s="102" t="e">
        <f>#REF!</f>
        <v>#REF!</v>
      </c>
      <c r="K1386" s="210" t="e">
        <f>#REF!</f>
        <v>#REF!</v>
      </c>
      <c r="L1386" s="210">
        <v>45655</v>
      </c>
      <c r="M1386" s="210"/>
      <c r="N1386" s="210">
        <f>'Danh sách máy'!F1429</f>
        <v>0</v>
      </c>
      <c r="O1386" s="211" t="str" cm="1">
        <f t="array" ref="O1386">IF(L1386&lt;&gt;0,IF(L1386&lt;I1386,"OK","NG"),Blank)</f>
        <v>NG</v>
      </c>
      <c r="P1386" s="211" t="e" cm="1">
        <f t="array" ref="P1386">IF(M1386&lt;&gt;0,IF(M1386&lt;J1386,"OK","NG"),Blank)</f>
        <v>#NAME?</v>
      </c>
      <c r="Q1386" s="211" t="e" cm="1">
        <f t="array" ref="Q1386">IF(H1386&lt;&gt;"Stop",IF(N1386&lt;&gt;0,IF(N1386&lt;=K1386,"OK","NG"),Blank),"-")</f>
        <v>#REF!</v>
      </c>
      <c r="R1386" s="326" t="e" cm="1">
        <f t="array" ref="R1386">IF(H1386&lt;&gt;"Stop",IF(E1386&lt;&gt;0,IF(E1386&lt;=K1386,"OK","NG"),Blank),"-")</f>
        <v>#REF!</v>
      </c>
    </row>
    <row r="1387" spans="1:18" ht="30" hidden="1" x14ac:dyDescent="0.3">
      <c r="A1387" s="318" t="e">
        <f>#REF!</f>
        <v>#REF!</v>
      </c>
      <c r="B1387" s="305" t="e">
        <f>#REF!</f>
        <v>#REF!</v>
      </c>
      <c r="C1387" s="305" t="str">
        <f>'Danh sách máy'!C1430</f>
        <v>Fact.4</v>
      </c>
      <c r="D1387" s="90" t="e">
        <f>#REF!</f>
        <v>#REF!</v>
      </c>
      <c r="E1387" s="97">
        <f>'Danh sách máy'!E1430</f>
        <v>0</v>
      </c>
      <c r="F1387" s="206" t="e">
        <f>#REF!</f>
        <v>#REF!</v>
      </c>
      <c r="G1387" s="102" t="e">
        <f>#REF!</f>
        <v>#REF!</v>
      </c>
      <c r="H1387" s="102" t="e">
        <f>#REF!</f>
        <v>#REF!</v>
      </c>
      <c r="K1387" s="210" t="e">
        <f>#REF!</f>
        <v>#REF!</v>
      </c>
      <c r="L1387" s="210">
        <v>45656</v>
      </c>
      <c r="M1387" s="210"/>
      <c r="N1387" s="210">
        <f>'Danh sách máy'!F1430</f>
        <v>0</v>
      </c>
      <c r="O1387" s="211" t="str" cm="1">
        <f t="array" ref="O1387">IF(L1387&lt;&gt;0,IF(L1387&lt;I1387,"OK","NG"),Blank)</f>
        <v>NG</v>
      </c>
      <c r="P1387" s="211" t="e" cm="1">
        <f t="array" ref="P1387">IF(M1387&lt;&gt;0,IF(M1387&lt;J1387,"OK","NG"),Blank)</f>
        <v>#NAME?</v>
      </c>
      <c r="Q1387" s="211" t="e" cm="1">
        <f t="array" ref="Q1387">IF(H1387&lt;&gt;"Stop",IF(N1387&lt;&gt;0,IF(N1387&lt;=K1387,"OK","NG"),Blank),"-")</f>
        <v>#REF!</v>
      </c>
      <c r="R1387" s="326" t="e" cm="1">
        <f t="array" ref="R1387">IF(H1387&lt;&gt;"Stop",IF(E1387&lt;&gt;0,IF(E1387&lt;=K1387,"OK","NG"),Blank),"-")</f>
        <v>#REF!</v>
      </c>
    </row>
    <row r="1388" spans="1:18" ht="30" hidden="1" x14ac:dyDescent="0.3">
      <c r="A1388" s="318" t="e">
        <f>#REF!</f>
        <v>#REF!</v>
      </c>
      <c r="B1388" s="305" t="e">
        <f>#REF!</f>
        <v>#REF!</v>
      </c>
      <c r="C1388" s="305" t="str">
        <f>'Danh sách máy'!C1431</f>
        <v>Fact.4</v>
      </c>
      <c r="D1388" s="90" t="e">
        <f>#REF!</f>
        <v>#REF!</v>
      </c>
      <c r="E1388" s="97">
        <f>'Danh sách máy'!E1431</f>
        <v>0</v>
      </c>
      <c r="F1388" s="206" t="e">
        <f>#REF!</f>
        <v>#REF!</v>
      </c>
      <c r="G1388" s="102" t="e">
        <f>#REF!</f>
        <v>#REF!</v>
      </c>
      <c r="H1388" s="102" t="e">
        <f>#REF!</f>
        <v>#REF!</v>
      </c>
      <c r="K1388" s="210" t="e">
        <f>#REF!</f>
        <v>#REF!</v>
      </c>
      <c r="L1388" s="210">
        <v>45657</v>
      </c>
      <c r="M1388" s="210"/>
      <c r="N1388" s="210">
        <f>'Danh sách máy'!F1431</f>
        <v>0</v>
      </c>
      <c r="O1388" s="211" t="str" cm="1">
        <f t="array" ref="O1388">IF(L1388&lt;&gt;0,IF(L1388&lt;I1388,"OK","NG"),Blank)</f>
        <v>NG</v>
      </c>
      <c r="P1388" s="211" t="e" cm="1">
        <f t="array" ref="P1388">IF(M1388&lt;&gt;0,IF(M1388&lt;J1388,"OK","NG"),Blank)</f>
        <v>#NAME?</v>
      </c>
      <c r="Q1388" s="211" t="e" cm="1">
        <f t="array" ref="Q1388">IF(H1388&lt;&gt;"Stop",IF(N1388&lt;&gt;0,IF(N1388&lt;=K1388,"OK","NG"),Blank),"-")</f>
        <v>#REF!</v>
      </c>
      <c r="R1388" s="326" t="e" cm="1">
        <f t="array" ref="R1388">IF(H1388&lt;&gt;"Stop",IF(E1388&lt;&gt;0,IF(E1388&lt;=K1388,"OK","NG"),Blank),"-")</f>
        <v>#REF!</v>
      </c>
    </row>
    <row r="1389" spans="1:18" ht="30" hidden="1" x14ac:dyDescent="0.3">
      <c r="A1389" s="318" t="e">
        <f>#REF!</f>
        <v>#REF!</v>
      </c>
      <c r="B1389" s="305" t="e">
        <f>#REF!</f>
        <v>#REF!</v>
      </c>
      <c r="C1389" s="305" t="str">
        <f>'Danh sách máy'!C1432</f>
        <v>Fact.4</v>
      </c>
      <c r="D1389" s="90" t="e">
        <f>#REF!</f>
        <v>#REF!</v>
      </c>
      <c r="E1389" s="97">
        <f>'Danh sách máy'!E1432</f>
        <v>0</v>
      </c>
      <c r="F1389" s="206" t="e">
        <f>#REF!</f>
        <v>#REF!</v>
      </c>
      <c r="G1389" s="102" t="e">
        <f>#REF!</f>
        <v>#REF!</v>
      </c>
      <c r="H1389" s="102" t="e">
        <f>#REF!</f>
        <v>#REF!</v>
      </c>
      <c r="K1389" s="210" t="e">
        <f>#REF!</f>
        <v>#REF!</v>
      </c>
      <c r="L1389" s="210">
        <v>45658</v>
      </c>
      <c r="M1389" s="210"/>
      <c r="N1389" s="210">
        <f>'Danh sách máy'!F1432</f>
        <v>0</v>
      </c>
      <c r="O1389" s="211" t="str" cm="1">
        <f t="array" ref="O1389">IF(L1389&lt;&gt;0,IF(L1389&lt;I1389,"OK","NG"),Blank)</f>
        <v>NG</v>
      </c>
      <c r="P1389" s="211" t="e" cm="1">
        <f t="array" ref="P1389">IF(M1389&lt;&gt;0,IF(M1389&lt;J1389,"OK","NG"),Blank)</f>
        <v>#NAME?</v>
      </c>
      <c r="Q1389" s="211" t="e" cm="1">
        <f t="array" ref="Q1389">IF(H1389&lt;&gt;"Stop",IF(N1389&lt;&gt;0,IF(N1389&lt;=K1389,"OK","NG"),Blank),"-")</f>
        <v>#REF!</v>
      </c>
      <c r="R1389" s="326" t="e" cm="1">
        <f t="array" ref="R1389">IF(H1389&lt;&gt;"Stop",IF(E1389&lt;&gt;0,IF(E1389&lt;=K1389,"OK","NG"),Blank),"-")</f>
        <v>#REF!</v>
      </c>
    </row>
    <row r="1390" spans="1:18" ht="30" hidden="1" x14ac:dyDescent="0.3">
      <c r="A1390" s="318" t="e">
        <f>#REF!</f>
        <v>#REF!</v>
      </c>
      <c r="B1390" s="305" t="e">
        <f>#REF!</f>
        <v>#REF!</v>
      </c>
      <c r="C1390" s="305" t="str">
        <f>'Danh sách máy'!C1433</f>
        <v>Fact.4</v>
      </c>
      <c r="D1390" s="90" t="e">
        <f>#REF!</f>
        <v>#REF!</v>
      </c>
      <c r="E1390" s="97">
        <f>'Danh sách máy'!E1433</f>
        <v>0</v>
      </c>
      <c r="F1390" s="206" t="e">
        <f>#REF!</f>
        <v>#REF!</v>
      </c>
      <c r="G1390" s="102" t="e">
        <f>#REF!</f>
        <v>#REF!</v>
      </c>
      <c r="H1390" s="102" t="e">
        <f>#REF!</f>
        <v>#REF!</v>
      </c>
      <c r="K1390" s="210" t="e">
        <f>#REF!</f>
        <v>#REF!</v>
      </c>
      <c r="L1390" s="210">
        <v>45659</v>
      </c>
      <c r="M1390" s="210"/>
      <c r="N1390" s="210">
        <f>'Danh sách máy'!F1433</f>
        <v>0</v>
      </c>
      <c r="O1390" s="211" t="str" cm="1">
        <f t="array" ref="O1390">IF(L1390&lt;&gt;0,IF(L1390&lt;I1390,"OK","NG"),Blank)</f>
        <v>NG</v>
      </c>
      <c r="P1390" s="211" t="e" cm="1">
        <f t="array" ref="P1390">IF(M1390&lt;&gt;0,IF(M1390&lt;J1390,"OK","NG"),Blank)</f>
        <v>#NAME?</v>
      </c>
      <c r="Q1390" s="211" t="e" cm="1">
        <f t="array" ref="Q1390">IF(H1390&lt;&gt;"Stop",IF(N1390&lt;&gt;0,IF(N1390&lt;=K1390,"OK","NG"),Blank),"-")</f>
        <v>#REF!</v>
      </c>
      <c r="R1390" s="326" t="e" cm="1">
        <f t="array" ref="R1390">IF(H1390&lt;&gt;"Stop",IF(E1390&lt;&gt;0,IF(E1390&lt;=K1390,"OK","NG"),Blank),"-")</f>
        <v>#REF!</v>
      </c>
    </row>
    <row r="1391" spans="1:18" ht="30" hidden="1" x14ac:dyDescent="0.3">
      <c r="A1391" s="318" t="e">
        <f>#REF!</f>
        <v>#REF!</v>
      </c>
      <c r="B1391" s="305" t="e">
        <f>#REF!</f>
        <v>#REF!</v>
      </c>
      <c r="C1391" s="305" t="str">
        <f>'Danh sách máy'!C1434</f>
        <v>Fact.4</v>
      </c>
      <c r="D1391" s="90" t="e">
        <f>#REF!</f>
        <v>#REF!</v>
      </c>
      <c r="E1391" s="97">
        <f>'Danh sách máy'!E1434</f>
        <v>0</v>
      </c>
      <c r="F1391" s="206" t="e">
        <f>#REF!</f>
        <v>#REF!</v>
      </c>
      <c r="G1391" s="102" t="e">
        <f>#REF!</f>
        <v>#REF!</v>
      </c>
      <c r="H1391" s="102" t="e">
        <f>#REF!</f>
        <v>#REF!</v>
      </c>
      <c r="K1391" s="210" t="e">
        <f>#REF!</f>
        <v>#REF!</v>
      </c>
      <c r="L1391" s="210">
        <v>45660</v>
      </c>
      <c r="M1391" s="210"/>
      <c r="N1391" s="210">
        <f>'Danh sách máy'!F1434</f>
        <v>0</v>
      </c>
      <c r="O1391" s="211" t="str" cm="1">
        <f t="array" ref="O1391">IF(L1391&lt;&gt;0,IF(L1391&lt;I1391,"OK","NG"),Blank)</f>
        <v>NG</v>
      </c>
      <c r="P1391" s="211" t="e" cm="1">
        <f t="array" ref="P1391">IF(M1391&lt;&gt;0,IF(M1391&lt;J1391,"OK","NG"),Blank)</f>
        <v>#NAME?</v>
      </c>
      <c r="Q1391" s="211" t="e" cm="1">
        <f t="array" ref="Q1391">IF(H1391&lt;&gt;"Stop",IF(N1391&lt;&gt;0,IF(N1391&lt;=K1391,"OK","NG"),Blank),"-")</f>
        <v>#REF!</v>
      </c>
      <c r="R1391" s="326" t="e" cm="1">
        <f t="array" ref="R1391">IF(H1391&lt;&gt;"Stop",IF(E1391&lt;&gt;0,IF(E1391&lt;=K1391,"OK","NG"),Blank),"-")</f>
        <v>#REF!</v>
      </c>
    </row>
    <row r="1392" spans="1:18" ht="30" hidden="1" x14ac:dyDescent="0.3">
      <c r="A1392" s="318" t="e">
        <f>#REF!</f>
        <v>#REF!</v>
      </c>
      <c r="B1392" s="305" t="e">
        <f>#REF!</f>
        <v>#REF!</v>
      </c>
      <c r="C1392" s="305" t="str">
        <f>'Danh sách máy'!C1435</f>
        <v>Fact.4</v>
      </c>
      <c r="D1392" s="90" t="e">
        <f>#REF!</f>
        <v>#REF!</v>
      </c>
      <c r="E1392" s="97">
        <f>'Danh sách máy'!E1435</f>
        <v>0</v>
      </c>
      <c r="F1392" s="206" t="e">
        <f>#REF!</f>
        <v>#REF!</v>
      </c>
      <c r="G1392" s="102" t="e">
        <f>#REF!</f>
        <v>#REF!</v>
      </c>
      <c r="H1392" s="102" t="e">
        <f>#REF!</f>
        <v>#REF!</v>
      </c>
      <c r="K1392" s="210" t="e">
        <f>#REF!</f>
        <v>#REF!</v>
      </c>
      <c r="L1392" s="210">
        <v>45661</v>
      </c>
      <c r="M1392" s="210"/>
      <c r="N1392" s="210">
        <f>'Danh sách máy'!F1435</f>
        <v>0</v>
      </c>
      <c r="O1392" s="211" t="str" cm="1">
        <f t="array" ref="O1392">IF(L1392&lt;&gt;0,IF(L1392&lt;I1392,"OK","NG"),Blank)</f>
        <v>NG</v>
      </c>
      <c r="P1392" s="211" t="e" cm="1">
        <f t="array" ref="P1392">IF(M1392&lt;&gt;0,IF(M1392&lt;J1392,"OK","NG"),Blank)</f>
        <v>#NAME?</v>
      </c>
      <c r="Q1392" s="211" t="e" cm="1">
        <f t="array" ref="Q1392">IF(H1392&lt;&gt;"Stop",IF(N1392&lt;&gt;0,IF(N1392&lt;=K1392,"OK","NG"),Blank),"-")</f>
        <v>#REF!</v>
      </c>
      <c r="R1392" s="326" t="e" cm="1">
        <f t="array" ref="R1392">IF(H1392&lt;&gt;"Stop",IF(E1392&lt;&gt;0,IF(E1392&lt;=K1392,"OK","NG"),Blank),"-")</f>
        <v>#REF!</v>
      </c>
    </row>
    <row r="1393" spans="1:18" ht="30" hidden="1" x14ac:dyDescent="0.3">
      <c r="A1393" s="318" t="e">
        <f>#REF!</f>
        <v>#REF!</v>
      </c>
      <c r="B1393" s="305" t="e">
        <f>#REF!</f>
        <v>#REF!</v>
      </c>
      <c r="C1393" s="305" t="str">
        <f>'Danh sách máy'!C1436</f>
        <v>Fact.4</v>
      </c>
      <c r="D1393" s="90" t="e">
        <f>#REF!</f>
        <v>#REF!</v>
      </c>
      <c r="E1393" s="97">
        <f>'Danh sách máy'!E1436</f>
        <v>0</v>
      </c>
      <c r="F1393" s="206" t="e">
        <f>#REF!</f>
        <v>#REF!</v>
      </c>
      <c r="G1393" s="102" t="e">
        <f>#REF!</f>
        <v>#REF!</v>
      </c>
      <c r="H1393" s="102" t="e">
        <f>#REF!</f>
        <v>#REF!</v>
      </c>
      <c r="K1393" s="210" t="e">
        <f>#REF!</f>
        <v>#REF!</v>
      </c>
      <c r="L1393" s="210">
        <v>45662</v>
      </c>
      <c r="M1393" s="210"/>
      <c r="N1393" s="210">
        <f>'Danh sách máy'!F1436</f>
        <v>0</v>
      </c>
      <c r="O1393" s="211" t="str" cm="1">
        <f t="array" ref="O1393">IF(L1393&lt;&gt;0,IF(L1393&lt;I1393,"OK","NG"),Blank)</f>
        <v>NG</v>
      </c>
      <c r="P1393" s="211" t="e" cm="1">
        <f t="array" ref="P1393">IF(M1393&lt;&gt;0,IF(M1393&lt;J1393,"OK","NG"),Blank)</f>
        <v>#NAME?</v>
      </c>
      <c r="Q1393" s="211" t="e" cm="1">
        <f t="array" ref="Q1393">IF(H1393&lt;&gt;"Stop",IF(N1393&lt;&gt;0,IF(N1393&lt;=K1393,"OK","NG"),Blank),"-")</f>
        <v>#REF!</v>
      </c>
      <c r="R1393" s="326" t="e" cm="1">
        <f t="array" ref="R1393">IF(H1393&lt;&gt;"Stop",IF(E1393&lt;&gt;0,IF(E1393&lt;=K1393,"OK","NG"),Blank),"-")</f>
        <v>#REF!</v>
      </c>
    </row>
    <row r="1394" spans="1:18" ht="30" hidden="1" x14ac:dyDescent="0.3">
      <c r="A1394" s="318" t="e">
        <f>#REF!</f>
        <v>#REF!</v>
      </c>
      <c r="B1394" s="305" t="e">
        <f>#REF!</f>
        <v>#REF!</v>
      </c>
      <c r="C1394" s="305" t="str">
        <f>'Danh sách máy'!C1437</f>
        <v>Fact.4</v>
      </c>
      <c r="D1394" s="90" t="e">
        <f>#REF!</f>
        <v>#REF!</v>
      </c>
      <c r="E1394" s="97">
        <f>'Danh sách máy'!E1437</f>
        <v>0</v>
      </c>
      <c r="F1394" s="206" t="e">
        <f>#REF!</f>
        <v>#REF!</v>
      </c>
      <c r="G1394" s="102" t="e">
        <f>#REF!</f>
        <v>#REF!</v>
      </c>
      <c r="H1394" s="102" t="e">
        <f>#REF!</f>
        <v>#REF!</v>
      </c>
      <c r="K1394" s="210" t="e">
        <f>#REF!</f>
        <v>#REF!</v>
      </c>
      <c r="L1394" s="210">
        <v>45663</v>
      </c>
      <c r="M1394" s="210"/>
      <c r="N1394" s="210">
        <f>'Danh sách máy'!F1437</f>
        <v>0</v>
      </c>
      <c r="O1394" s="211" t="str" cm="1">
        <f t="array" ref="O1394">IF(L1394&lt;&gt;0,IF(L1394&lt;I1394,"OK","NG"),Blank)</f>
        <v>NG</v>
      </c>
      <c r="P1394" s="211" t="e" cm="1">
        <f t="array" ref="P1394">IF(M1394&lt;&gt;0,IF(M1394&lt;J1394,"OK","NG"),Blank)</f>
        <v>#NAME?</v>
      </c>
      <c r="Q1394" s="211" t="e" cm="1">
        <f t="array" ref="Q1394">IF(H1394&lt;&gt;"Stop",IF(N1394&lt;&gt;0,IF(N1394&lt;=K1394,"OK","NG"),Blank),"-")</f>
        <v>#REF!</v>
      </c>
      <c r="R1394" s="326" t="e" cm="1">
        <f t="array" ref="R1394">IF(H1394&lt;&gt;"Stop",IF(E1394&lt;&gt;0,IF(E1394&lt;=K1394,"OK","NG"),Blank),"-")</f>
        <v>#REF!</v>
      </c>
    </row>
    <row r="1395" spans="1:18" ht="30" hidden="1" x14ac:dyDescent="0.3">
      <c r="A1395" s="318" t="e">
        <f>#REF!</f>
        <v>#REF!</v>
      </c>
      <c r="B1395" s="305" t="e">
        <f>#REF!</f>
        <v>#REF!</v>
      </c>
      <c r="C1395" s="305" t="str">
        <f>'Danh sách máy'!C1438</f>
        <v>Fact.4</v>
      </c>
      <c r="D1395" s="90" t="e">
        <f>#REF!</f>
        <v>#REF!</v>
      </c>
      <c r="E1395" s="97">
        <f>'Danh sách máy'!E1438</f>
        <v>0</v>
      </c>
      <c r="F1395" s="206" t="e">
        <f>#REF!</f>
        <v>#REF!</v>
      </c>
      <c r="G1395" s="102" t="e">
        <f>#REF!</f>
        <v>#REF!</v>
      </c>
      <c r="H1395" s="102" t="e">
        <f>#REF!</f>
        <v>#REF!</v>
      </c>
      <c r="K1395" s="210" t="e">
        <f>#REF!</f>
        <v>#REF!</v>
      </c>
      <c r="L1395" s="210">
        <v>45664</v>
      </c>
      <c r="M1395" s="210"/>
      <c r="N1395" s="210">
        <f>'Danh sách máy'!F1438</f>
        <v>0</v>
      </c>
      <c r="O1395" s="211" t="str" cm="1">
        <f t="array" ref="O1395">IF(L1395&lt;&gt;0,IF(L1395&lt;I1395,"OK","NG"),Blank)</f>
        <v>NG</v>
      </c>
      <c r="P1395" s="211" t="e" cm="1">
        <f t="array" ref="P1395">IF(M1395&lt;&gt;0,IF(M1395&lt;J1395,"OK","NG"),Blank)</f>
        <v>#NAME?</v>
      </c>
      <c r="Q1395" s="211" t="e" cm="1">
        <f t="array" ref="Q1395">IF(H1395&lt;&gt;"Stop",IF(N1395&lt;&gt;0,IF(N1395&lt;=K1395,"OK","NG"),Blank),"-")</f>
        <v>#REF!</v>
      </c>
      <c r="R1395" s="326" t="e" cm="1">
        <f t="array" ref="R1395">IF(H1395&lt;&gt;"Stop",IF(E1395&lt;&gt;0,IF(E1395&lt;=K1395,"OK","NG"),Blank),"-")</f>
        <v>#REF!</v>
      </c>
    </row>
    <row r="1396" spans="1:18" ht="30" hidden="1" x14ac:dyDescent="0.3">
      <c r="A1396" s="318" t="e">
        <f>#REF!</f>
        <v>#REF!</v>
      </c>
      <c r="B1396" s="305" t="e">
        <f>#REF!</f>
        <v>#REF!</v>
      </c>
      <c r="C1396" s="305" t="str">
        <f>'Danh sách máy'!C1439</f>
        <v>Fact.4</v>
      </c>
      <c r="D1396" s="90" t="e">
        <f>#REF!</f>
        <v>#REF!</v>
      </c>
      <c r="E1396" s="97">
        <f>'Danh sách máy'!E1439</f>
        <v>0</v>
      </c>
      <c r="F1396" s="206" t="e">
        <f>#REF!</f>
        <v>#REF!</v>
      </c>
      <c r="G1396" s="102" t="e">
        <f>#REF!</f>
        <v>#REF!</v>
      </c>
      <c r="H1396" s="102" t="e">
        <f>#REF!</f>
        <v>#REF!</v>
      </c>
      <c r="K1396" s="210" t="e">
        <f>#REF!</f>
        <v>#REF!</v>
      </c>
      <c r="L1396" s="210">
        <v>45665</v>
      </c>
      <c r="M1396" s="210"/>
      <c r="N1396" s="210">
        <f>'Danh sách máy'!F1439</f>
        <v>0</v>
      </c>
      <c r="O1396" s="211" t="str" cm="1">
        <f t="array" ref="O1396">IF(L1396&lt;&gt;0,IF(L1396&lt;I1396,"OK","NG"),Blank)</f>
        <v>NG</v>
      </c>
      <c r="P1396" s="211" t="e" cm="1">
        <f t="array" ref="P1396">IF(M1396&lt;&gt;0,IF(M1396&lt;J1396,"OK","NG"),Blank)</f>
        <v>#NAME?</v>
      </c>
      <c r="Q1396" s="211" t="e" cm="1">
        <f t="array" ref="Q1396">IF(H1396&lt;&gt;"Stop",IF(N1396&lt;&gt;0,IF(N1396&lt;=K1396,"OK","NG"),Blank),"-")</f>
        <v>#REF!</v>
      </c>
      <c r="R1396" s="326" t="e" cm="1">
        <f t="array" ref="R1396">IF(H1396&lt;&gt;"Stop",IF(E1396&lt;&gt;0,IF(E1396&lt;=K1396,"OK","NG"),Blank),"-")</f>
        <v>#REF!</v>
      </c>
    </row>
    <row r="1397" spans="1:18" ht="30" hidden="1" x14ac:dyDescent="0.3">
      <c r="A1397" s="318" t="e">
        <f>#REF!</f>
        <v>#REF!</v>
      </c>
      <c r="B1397" s="305" t="e">
        <f>#REF!</f>
        <v>#REF!</v>
      </c>
      <c r="C1397" s="305" t="str">
        <f>'Danh sách máy'!C1440</f>
        <v>Fact.4</v>
      </c>
      <c r="D1397" s="90" t="e">
        <f>#REF!</f>
        <v>#REF!</v>
      </c>
      <c r="E1397" s="97">
        <f>'Danh sách máy'!E1440</f>
        <v>0</v>
      </c>
      <c r="F1397" s="206" t="e">
        <f>#REF!</f>
        <v>#REF!</v>
      </c>
      <c r="G1397" s="102" t="e">
        <f>#REF!</f>
        <v>#REF!</v>
      </c>
      <c r="H1397" s="102" t="e">
        <f>#REF!</f>
        <v>#REF!</v>
      </c>
      <c r="K1397" s="210" t="e">
        <f>#REF!</f>
        <v>#REF!</v>
      </c>
      <c r="L1397" s="210">
        <v>45666</v>
      </c>
      <c r="M1397" s="210"/>
      <c r="N1397" s="210">
        <f>'Danh sách máy'!F1440</f>
        <v>0</v>
      </c>
      <c r="O1397" s="211" t="str" cm="1">
        <f t="array" ref="O1397">IF(L1397&lt;&gt;0,IF(L1397&lt;I1397,"OK","NG"),Blank)</f>
        <v>NG</v>
      </c>
      <c r="P1397" s="211" t="e" cm="1">
        <f t="array" ref="P1397">IF(M1397&lt;&gt;0,IF(M1397&lt;J1397,"OK","NG"),Blank)</f>
        <v>#NAME?</v>
      </c>
      <c r="Q1397" s="211" t="e" cm="1">
        <f t="array" ref="Q1397">IF(H1397&lt;&gt;"Stop",IF(N1397&lt;&gt;0,IF(N1397&lt;=K1397,"OK","NG"),Blank),"-")</f>
        <v>#REF!</v>
      </c>
      <c r="R1397" s="326" t="e" cm="1">
        <f t="array" ref="R1397">IF(H1397&lt;&gt;"Stop",IF(E1397&lt;&gt;0,IF(E1397&lt;=K1397,"OK","NG"),Blank),"-")</f>
        <v>#REF!</v>
      </c>
    </row>
    <row r="1398" spans="1:18" ht="30" hidden="1" x14ac:dyDescent="0.3">
      <c r="A1398" s="318" t="e">
        <f>#REF!</f>
        <v>#REF!</v>
      </c>
      <c r="B1398" s="305" t="e">
        <f>#REF!</f>
        <v>#REF!</v>
      </c>
      <c r="C1398" s="305" t="str">
        <f>'Danh sách máy'!C1441</f>
        <v>Fact.4</v>
      </c>
      <c r="D1398" s="90" t="e">
        <f>#REF!</f>
        <v>#REF!</v>
      </c>
      <c r="E1398" s="97">
        <f>'Danh sách máy'!E1441</f>
        <v>0</v>
      </c>
      <c r="F1398" s="206" t="e">
        <f>#REF!</f>
        <v>#REF!</v>
      </c>
      <c r="G1398" s="102" t="e">
        <f>#REF!</f>
        <v>#REF!</v>
      </c>
      <c r="H1398" s="102" t="e">
        <f>#REF!</f>
        <v>#REF!</v>
      </c>
      <c r="K1398" s="210" t="e">
        <f>#REF!</f>
        <v>#REF!</v>
      </c>
      <c r="L1398" s="210">
        <v>45667</v>
      </c>
      <c r="M1398" s="210"/>
      <c r="N1398" s="210">
        <f>'Danh sách máy'!F1441</f>
        <v>0</v>
      </c>
      <c r="O1398" s="211" t="str" cm="1">
        <f t="array" ref="O1398">IF(L1398&lt;&gt;0,IF(L1398&lt;I1398,"OK","NG"),Blank)</f>
        <v>NG</v>
      </c>
      <c r="P1398" s="211" t="e" cm="1">
        <f t="array" ref="P1398">IF(M1398&lt;&gt;0,IF(M1398&lt;J1398,"OK","NG"),Blank)</f>
        <v>#NAME?</v>
      </c>
      <c r="Q1398" s="211" t="e" cm="1">
        <f t="array" ref="Q1398">IF(H1398&lt;&gt;"Stop",IF(N1398&lt;&gt;0,IF(N1398&lt;=K1398,"OK","NG"),Blank),"-")</f>
        <v>#REF!</v>
      </c>
      <c r="R1398" s="326" t="e" cm="1">
        <f t="array" ref="R1398">IF(H1398&lt;&gt;"Stop",IF(E1398&lt;&gt;0,IF(E1398&lt;=K1398,"OK","NG"),Blank),"-")</f>
        <v>#REF!</v>
      </c>
    </row>
    <row r="1399" spans="1:18" ht="30" hidden="1" x14ac:dyDescent="0.3">
      <c r="A1399" s="318" t="e">
        <f>#REF!</f>
        <v>#REF!</v>
      </c>
      <c r="B1399" s="305" t="e">
        <f>#REF!</f>
        <v>#REF!</v>
      </c>
      <c r="C1399" s="305" t="str">
        <f>'Danh sách máy'!C1442</f>
        <v>Fact.4</v>
      </c>
      <c r="D1399" s="90" t="e">
        <f>#REF!</f>
        <v>#REF!</v>
      </c>
      <c r="E1399" s="97">
        <f>'Danh sách máy'!E1442</f>
        <v>0</v>
      </c>
      <c r="F1399" s="206" t="e">
        <f>#REF!</f>
        <v>#REF!</v>
      </c>
      <c r="G1399" s="102" t="e">
        <f>#REF!</f>
        <v>#REF!</v>
      </c>
      <c r="H1399" s="102" t="e">
        <f>#REF!</f>
        <v>#REF!</v>
      </c>
      <c r="K1399" s="210" t="e">
        <f>#REF!</f>
        <v>#REF!</v>
      </c>
      <c r="L1399" s="210">
        <v>45668</v>
      </c>
      <c r="M1399" s="210"/>
      <c r="N1399" s="210">
        <f>'Danh sách máy'!F1442</f>
        <v>0</v>
      </c>
      <c r="O1399" s="211" t="str" cm="1">
        <f t="array" ref="O1399">IF(L1399&lt;&gt;0,IF(L1399&lt;I1399,"OK","NG"),Blank)</f>
        <v>NG</v>
      </c>
      <c r="P1399" s="211" t="e" cm="1">
        <f t="array" ref="P1399">IF(M1399&lt;&gt;0,IF(M1399&lt;J1399,"OK","NG"),Blank)</f>
        <v>#NAME?</v>
      </c>
      <c r="Q1399" s="211" t="e" cm="1">
        <f t="array" ref="Q1399">IF(H1399&lt;&gt;"Stop",IF(N1399&lt;&gt;0,IF(N1399&lt;=K1399,"OK","NG"),Blank),"-")</f>
        <v>#REF!</v>
      </c>
      <c r="R1399" s="326" t="e" cm="1">
        <f t="array" ref="R1399">IF(H1399&lt;&gt;"Stop",IF(E1399&lt;&gt;0,IF(E1399&lt;=K1399,"OK","NG"),Blank),"-")</f>
        <v>#REF!</v>
      </c>
    </row>
    <row r="1400" spans="1:18" ht="30" hidden="1" x14ac:dyDescent="0.3">
      <c r="A1400" s="318" t="e">
        <f>#REF!</f>
        <v>#REF!</v>
      </c>
      <c r="B1400" s="305" t="e">
        <f>#REF!</f>
        <v>#REF!</v>
      </c>
      <c r="C1400" s="305" t="str">
        <f>'Danh sách máy'!C1443</f>
        <v>Fact.4</v>
      </c>
      <c r="D1400" s="90" t="e">
        <f>#REF!</f>
        <v>#REF!</v>
      </c>
      <c r="E1400" s="97">
        <f>'Danh sách máy'!E1443</f>
        <v>0</v>
      </c>
      <c r="F1400" s="206" t="e">
        <f>#REF!</f>
        <v>#REF!</v>
      </c>
      <c r="G1400" s="102" t="e">
        <f>#REF!</f>
        <v>#REF!</v>
      </c>
      <c r="H1400" s="102" t="e">
        <f>#REF!</f>
        <v>#REF!</v>
      </c>
      <c r="K1400" s="210" t="e">
        <f>#REF!</f>
        <v>#REF!</v>
      </c>
      <c r="L1400" s="210">
        <v>45669</v>
      </c>
      <c r="M1400" s="210"/>
      <c r="N1400" s="210">
        <f>'Danh sách máy'!F1443</f>
        <v>0</v>
      </c>
      <c r="O1400" s="211" t="str" cm="1">
        <f t="array" ref="O1400">IF(L1400&lt;&gt;0,IF(L1400&lt;I1400,"OK","NG"),Blank)</f>
        <v>NG</v>
      </c>
      <c r="P1400" s="211" t="e" cm="1">
        <f t="array" ref="P1400">IF(M1400&lt;&gt;0,IF(M1400&lt;J1400,"OK","NG"),Blank)</f>
        <v>#NAME?</v>
      </c>
      <c r="Q1400" s="211" t="e" cm="1">
        <f t="array" ref="Q1400">IF(H1400&lt;&gt;"Stop",IF(N1400&lt;&gt;0,IF(N1400&lt;=K1400,"OK","NG"),Blank),"-")</f>
        <v>#REF!</v>
      </c>
      <c r="R1400" s="326" t="e" cm="1">
        <f t="array" ref="R1400">IF(H1400&lt;&gt;"Stop",IF(E1400&lt;&gt;0,IF(E1400&lt;=K1400,"OK","NG"),Blank),"-")</f>
        <v>#REF!</v>
      </c>
    </row>
    <row r="1401" spans="1:18" ht="30" hidden="1" x14ac:dyDescent="0.3">
      <c r="A1401" s="318" t="e">
        <f>#REF!</f>
        <v>#REF!</v>
      </c>
      <c r="B1401" s="305" t="e">
        <f>#REF!</f>
        <v>#REF!</v>
      </c>
      <c r="C1401" s="305" t="str">
        <f>'Danh sách máy'!C1444</f>
        <v>Fact.4</v>
      </c>
      <c r="D1401" s="90" t="e">
        <f>#REF!</f>
        <v>#REF!</v>
      </c>
      <c r="E1401" s="97" t="str">
        <f>'Danh sách máy'!E1444</f>
        <v>STI</v>
      </c>
      <c r="F1401" s="206" t="e">
        <f>#REF!</f>
        <v>#REF!</v>
      </c>
      <c r="G1401" s="102" t="e">
        <f>#REF!</f>
        <v>#REF!</v>
      </c>
      <c r="H1401" s="102" t="e">
        <f>#REF!</f>
        <v>#REF!</v>
      </c>
      <c r="K1401" s="210" t="e">
        <f>#REF!</f>
        <v>#REF!</v>
      </c>
      <c r="L1401" s="210">
        <v>45670</v>
      </c>
      <c r="M1401" s="210"/>
      <c r="N1401" s="210">
        <f>'Danh sách máy'!F1444</f>
        <v>0</v>
      </c>
      <c r="O1401" s="211" t="str" cm="1">
        <f t="array" ref="O1401">IF(L1401&lt;&gt;0,IF(L1401&lt;I1401,"OK","NG"),Blank)</f>
        <v>NG</v>
      </c>
      <c r="P1401" s="211" t="e" cm="1">
        <f t="array" ref="P1401">IF(M1401&lt;&gt;0,IF(M1401&lt;J1401,"OK","NG"),Blank)</f>
        <v>#NAME?</v>
      </c>
      <c r="Q1401" s="211" t="e" cm="1">
        <f t="array" ref="Q1401">IF(H1401&lt;&gt;"Stop",IF(N1401&lt;&gt;0,IF(N1401&lt;=K1401,"OK","NG"),Blank),"-")</f>
        <v>#REF!</v>
      </c>
      <c r="R1401" s="326" t="e" cm="1">
        <f t="array" ref="R1401">IF(H1401&lt;&gt;"Stop",IF(E1401&lt;&gt;0,IF(E1401&lt;=K1401,"OK","NG"),Blank),"-")</f>
        <v>#REF!</v>
      </c>
    </row>
    <row r="1402" spans="1:18" ht="30" hidden="1" x14ac:dyDescent="0.3">
      <c r="A1402" s="318" t="e">
        <f>#REF!</f>
        <v>#REF!</v>
      </c>
      <c r="B1402" s="305" t="e">
        <f>#REF!</f>
        <v>#REF!</v>
      </c>
      <c r="C1402" s="305" t="str">
        <f>'Danh sách máy'!C1445</f>
        <v>Fact.4</v>
      </c>
      <c r="D1402" s="90" t="e">
        <f>#REF!</f>
        <v>#REF!</v>
      </c>
      <c r="E1402" s="97">
        <f>'Danh sách máy'!E1445</f>
        <v>0</v>
      </c>
      <c r="F1402" s="206" t="e">
        <f>#REF!</f>
        <v>#REF!</v>
      </c>
      <c r="G1402" s="102" t="e">
        <f>#REF!</f>
        <v>#REF!</v>
      </c>
      <c r="H1402" s="102" t="e">
        <f>#REF!</f>
        <v>#REF!</v>
      </c>
      <c r="K1402" s="210" t="e">
        <f>#REF!</f>
        <v>#REF!</v>
      </c>
      <c r="L1402" s="210">
        <v>45671</v>
      </c>
      <c r="M1402" s="210"/>
      <c r="N1402" s="210">
        <f>'Danh sách máy'!F1445</f>
        <v>0</v>
      </c>
      <c r="O1402" s="211" t="str" cm="1">
        <f t="array" ref="O1402">IF(L1402&lt;&gt;0,IF(L1402&lt;I1402,"OK","NG"),Blank)</f>
        <v>NG</v>
      </c>
      <c r="P1402" s="211" t="e" cm="1">
        <f t="array" ref="P1402">IF(M1402&lt;&gt;0,IF(M1402&lt;J1402,"OK","NG"),Blank)</f>
        <v>#NAME?</v>
      </c>
      <c r="Q1402" s="211" t="e" cm="1">
        <f t="array" ref="Q1402">IF(H1402&lt;&gt;"Stop",IF(N1402&lt;&gt;0,IF(N1402&lt;=K1402,"OK","NG"),Blank),"-")</f>
        <v>#REF!</v>
      </c>
      <c r="R1402" s="326" t="e" cm="1">
        <f t="array" ref="R1402">IF(H1402&lt;&gt;"Stop",IF(E1402&lt;&gt;0,IF(E1402&lt;=K1402,"OK","NG"),Blank),"-")</f>
        <v>#REF!</v>
      </c>
    </row>
    <row r="1403" spans="1:18" ht="30" hidden="1" x14ac:dyDescent="0.3">
      <c r="A1403" s="318" t="e">
        <f>#REF!</f>
        <v>#REF!</v>
      </c>
      <c r="B1403" s="305" t="e">
        <f>#REF!</f>
        <v>#REF!</v>
      </c>
      <c r="C1403" s="305" t="str">
        <f>'Danh sách máy'!C1446</f>
        <v>Fact.4</v>
      </c>
      <c r="D1403" s="90" t="e">
        <f>#REF!</f>
        <v>#REF!</v>
      </c>
      <c r="E1403" s="97">
        <f>'Danh sách máy'!E1446</f>
        <v>0</v>
      </c>
      <c r="F1403" s="206" t="e">
        <f>#REF!</f>
        <v>#REF!</v>
      </c>
      <c r="G1403" s="102" t="e">
        <f>#REF!</f>
        <v>#REF!</v>
      </c>
      <c r="H1403" s="102" t="e">
        <f>#REF!</f>
        <v>#REF!</v>
      </c>
      <c r="K1403" s="210" t="e">
        <f>#REF!</f>
        <v>#REF!</v>
      </c>
      <c r="L1403" s="210">
        <v>45672</v>
      </c>
      <c r="M1403" s="210"/>
      <c r="N1403" s="210">
        <f>'Danh sách máy'!F1446</f>
        <v>0</v>
      </c>
      <c r="O1403" s="211" t="str" cm="1">
        <f t="array" ref="O1403">IF(L1403&lt;&gt;0,IF(L1403&lt;I1403,"OK","NG"),Blank)</f>
        <v>NG</v>
      </c>
      <c r="P1403" s="211" t="e" cm="1">
        <f t="array" ref="P1403">IF(M1403&lt;&gt;0,IF(M1403&lt;J1403,"OK","NG"),Blank)</f>
        <v>#NAME?</v>
      </c>
      <c r="Q1403" s="211" t="e" cm="1">
        <f t="array" ref="Q1403">IF(H1403&lt;&gt;"Stop",IF(N1403&lt;&gt;0,IF(N1403&lt;=K1403,"OK","NG"),Blank),"-")</f>
        <v>#REF!</v>
      </c>
      <c r="R1403" s="326" t="e" cm="1">
        <f t="array" ref="R1403">IF(H1403&lt;&gt;"Stop",IF(E1403&lt;&gt;0,IF(E1403&lt;=K1403,"OK","NG"),Blank),"-")</f>
        <v>#REF!</v>
      </c>
    </row>
    <row r="1404" spans="1:18" ht="30" hidden="1" x14ac:dyDescent="0.3">
      <c r="A1404" s="318" t="e">
        <f>#REF!</f>
        <v>#REF!</v>
      </c>
      <c r="B1404" s="305" t="e">
        <f>#REF!</f>
        <v>#REF!</v>
      </c>
      <c r="C1404" s="305" t="str">
        <f>'Danh sách máy'!C1447</f>
        <v>Fact.4</v>
      </c>
      <c r="D1404" s="90" t="e">
        <f>#REF!</f>
        <v>#REF!</v>
      </c>
      <c r="E1404" s="97">
        <f>'Danh sách máy'!E1447</f>
        <v>0</v>
      </c>
      <c r="F1404" s="206" t="e">
        <f>#REF!</f>
        <v>#REF!</v>
      </c>
      <c r="G1404" s="102" t="e">
        <f>#REF!</f>
        <v>#REF!</v>
      </c>
      <c r="H1404" s="102" t="e">
        <f>#REF!</f>
        <v>#REF!</v>
      </c>
      <c r="K1404" s="210" t="e">
        <f>#REF!</f>
        <v>#REF!</v>
      </c>
      <c r="L1404" s="210">
        <v>45673</v>
      </c>
      <c r="M1404" s="210"/>
      <c r="N1404" s="210">
        <f>'Danh sách máy'!F1447</f>
        <v>0</v>
      </c>
      <c r="O1404" s="211" t="str" cm="1">
        <f t="array" ref="O1404">IF(L1404&lt;&gt;0,IF(L1404&lt;I1404,"OK","NG"),Blank)</f>
        <v>NG</v>
      </c>
      <c r="P1404" s="211" t="e" cm="1">
        <f t="array" ref="P1404">IF(M1404&lt;&gt;0,IF(M1404&lt;J1404,"OK","NG"),Blank)</f>
        <v>#NAME?</v>
      </c>
      <c r="Q1404" s="211" t="e" cm="1">
        <f t="array" ref="Q1404">IF(H1404&lt;&gt;"Stop",IF(N1404&lt;&gt;0,IF(N1404&lt;=K1404,"OK","NG"),Blank),"-")</f>
        <v>#REF!</v>
      </c>
      <c r="R1404" s="326" t="e" cm="1">
        <f t="array" ref="R1404">IF(H1404&lt;&gt;"Stop",IF(E1404&lt;&gt;0,IF(E1404&lt;=K1404,"OK","NG"),Blank),"-")</f>
        <v>#REF!</v>
      </c>
    </row>
    <row r="1405" spans="1:18" ht="30" hidden="1" x14ac:dyDescent="0.3">
      <c r="A1405" s="318" t="e">
        <f>#REF!</f>
        <v>#REF!</v>
      </c>
      <c r="B1405" s="305" t="e">
        <f>#REF!</f>
        <v>#REF!</v>
      </c>
      <c r="C1405" s="305" t="str">
        <f>'Danh sách máy'!C1448</f>
        <v>Fact.4</v>
      </c>
      <c r="D1405" s="90" t="e">
        <f>#REF!</f>
        <v>#REF!</v>
      </c>
      <c r="E1405" s="97">
        <f>'Danh sách máy'!E1448</f>
        <v>0</v>
      </c>
      <c r="F1405" s="206" t="e">
        <f>#REF!</f>
        <v>#REF!</v>
      </c>
      <c r="G1405" s="102" t="e">
        <f>#REF!</f>
        <v>#REF!</v>
      </c>
      <c r="H1405" s="102" t="e">
        <f>#REF!</f>
        <v>#REF!</v>
      </c>
      <c r="K1405" s="210" t="e">
        <f>#REF!</f>
        <v>#REF!</v>
      </c>
      <c r="L1405" s="210">
        <v>45674</v>
      </c>
      <c r="M1405" s="210"/>
      <c r="N1405" s="210">
        <f>'Danh sách máy'!F1448</f>
        <v>0</v>
      </c>
      <c r="O1405" s="211" t="str" cm="1">
        <f t="array" ref="O1405">IF(L1405&lt;&gt;0,IF(L1405&lt;I1405,"OK","NG"),Blank)</f>
        <v>NG</v>
      </c>
      <c r="P1405" s="211" t="e" cm="1">
        <f t="array" ref="P1405">IF(M1405&lt;&gt;0,IF(M1405&lt;J1405,"OK","NG"),Blank)</f>
        <v>#NAME?</v>
      </c>
      <c r="Q1405" s="211" t="e" cm="1">
        <f t="array" ref="Q1405">IF(H1405&lt;&gt;"Stop",IF(N1405&lt;&gt;0,IF(N1405&lt;=K1405,"OK","NG"),Blank),"-")</f>
        <v>#REF!</v>
      </c>
      <c r="R1405" s="326" t="e" cm="1">
        <f t="array" ref="R1405">IF(H1405&lt;&gt;"Stop",IF(E1405&lt;&gt;0,IF(E1405&lt;=K1405,"OK","NG"),Blank),"-")</f>
        <v>#REF!</v>
      </c>
    </row>
    <row r="1406" spans="1:18" ht="30" hidden="1" x14ac:dyDescent="0.3">
      <c r="A1406" s="318" t="e">
        <f>#REF!</f>
        <v>#REF!</v>
      </c>
      <c r="B1406" s="305" t="e">
        <f>#REF!</f>
        <v>#REF!</v>
      </c>
      <c r="C1406" s="305" t="str">
        <f>'Danh sách máy'!C1449</f>
        <v>Fact.4</v>
      </c>
      <c r="D1406" s="90" t="e">
        <f>#REF!</f>
        <v>#REF!</v>
      </c>
      <c r="E1406" s="97">
        <f>'Danh sách máy'!E1449</f>
        <v>0</v>
      </c>
      <c r="F1406" s="206" t="e">
        <f>#REF!</f>
        <v>#REF!</v>
      </c>
      <c r="G1406" s="102" t="e">
        <f>#REF!</f>
        <v>#REF!</v>
      </c>
      <c r="H1406" s="102" t="e">
        <f>#REF!</f>
        <v>#REF!</v>
      </c>
      <c r="K1406" s="210" t="e">
        <f>#REF!</f>
        <v>#REF!</v>
      </c>
      <c r="L1406" s="210">
        <v>45675</v>
      </c>
      <c r="M1406" s="210"/>
      <c r="N1406" s="210">
        <f>'Danh sách máy'!F1449</f>
        <v>0</v>
      </c>
      <c r="O1406" s="211" t="str" cm="1">
        <f t="array" ref="O1406">IF(L1406&lt;&gt;0,IF(L1406&lt;I1406,"OK","NG"),Blank)</f>
        <v>NG</v>
      </c>
      <c r="P1406" s="211" t="e" cm="1">
        <f t="array" ref="P1406">IF(M1406&lt;&gt;0,IF(M1406&lt;J1406,"OK","NG"),Blank)</f>
        <v>#NAME?</v>
      </c>
      <c r="Q1406" s="211" t="e" cm="1">
        <f t="array" ref="Q1406">IF(H1406&lt;&gt;"Stop",IF(N1406&lt;&gt;0,IF(N1406&lt;=K1406,"OK","NG"),Blank),"-")</f>
        <v>#REF!</v>
      </c>
      <c r="R1406" s="326" t="e" cm="1">
        <f t="array" ref="R1406">IF(H1406&lt;&gt;"Stop",IF(E1406&lt;&gt;0,IF(E1406&lt;=K1406,"OK","NG"),Blank),"-")</f>
        <v>#REF!</v>
      </c>
    </row>
    <row r="1407" spans="1:18" ht="30" hidden="1" x14ac:dyDescent="0.3">
      <c r="A1407" s="318" t="e">
        <f>#REF!</f>
        <v>#REF!</v>
      </c>
      <c r="B1407" s="305" t="e">
        <f>#REF!</f>
        <v>#REF!</v>
      </c>
      <c r="C1407" s="305" t="str">
        <f>'Danh sách máy'!C1450</f>
        <v>Fact.4</v>
      </c>
      <c r="D1407" s="90" t="e">
        <f>#REF!</f>
        <v>#REF!</v>
      </c>
      <c r="E1407" s="97">
        <f>'Danh sách máy'!E1450</f>
        <v>0</v>
      </c>
      <c r="F1407" s="206" t="e">
        <f>#REF!</f>
        <v>#REF!</v>
      </c>
      <c r="G1407" s="102" t="e">
        <f>#REF!</f>
        <v>#REF!</v>
      </c>
      <c r="H1407" s="102" t="e">
        <f>#REF!</f>
        <v>#REF!</v>
      </c>
      <c r="K1407" s="210" t="e">
        <f>#REF!</f>
        <v>#REF!</v>
      </c>
      <c r="L1407" s="210">
        <v>45676</v>
      </c>
      <c r="M1407" s="210"/>
      <c r="N1407" s="210">
        <f>'Danh sách máy'!F1450</f>
        <v>0</v>
      </c>
      <c r="O1407" s="211" t="str" cm="1">
        <f t="array" ref="O1407">IF(L1407&lt;&gt;0,IF(L1407&lt;I1407,"OK","NG"),Blank)</f>
        <v>NG</v>
      </c>
      <c r="P1407" s="211" t="e" cm="1">
        <f t="array" ref="P1407">IF(M1407&lt;&gt;0,IF(M1407&lt;J1407,"OK","NG"),Blank)</f>
        <v>#NAME?</v>
      </c>
      <c r="Q1407" s="211" t="e" cm="1">
        <f t="array" ref="Q1407">IF(H1407&lt;&gt;"Stop",IF(N1407&lt;&gt;0,IF(N1407&lt;=K1407,"OK","NG"),Blank),"-")</f>
        <v>#REF!</v>
      </c>
      <c r="R1407" s="326" t="e" cm="1">
        <f t="array" ref="R1407">IF(H1407&lt;&gt;"Stop",IF(E1407&lt;&gt;0,IF(E1407&lt;=K1407,"OK","NG"),Blank),"-")</f>
        <v>#REF!</v>
      </c>
    </row>
    <row r="1408" spans="1:18" ht="30" hidden="1" x14ac:dyDescent="0.3">
      <c r="A1408" s="318" t="e">
        <f>#REF!</f>
        <v>#REF!</v>
      </c>
      <c r="B1408" s="305" t="e">
        <f>#REF!</f>
        <v>#REF!</v>
      </c>
      <c r="C1408" s="305" t="str">
        <f>'Danh sách máy'!C1451</f>
        <v>Fact.4</v>
      </c>
      <c r="D1408" s="90" t="e">
        <f>#REF!</f>
        <v>#REF!</v>
      </c>
      <c r="E1408" s="97">
        <f>'Danh sách máy'!E1451</f>
        <v>0</v>
      </c>
      <c r="F1408" s="206" t="e">
        <f>#REF!</f>
        <v>#REF!</v>
      </c>
      <c r="G1408" s="102" t="e">
        <f>#REF!</f>
        <v>#REF!</v>
      </c>
      <c r="H1408" s="102" t="e">
        <f>#REF!</f>
        <v>#REF!</v>
      </c>
      <c r="K1408" s="210" t="e">
        <f>#REF!</f>
        <v>#REF!</v>
      </c>
      <c r="L1408" s="210">
        <v>45677</v>
      </c>
      <c r="M1408" s="210"/>
      <c r="N1408" s="210">
        <f>'Danh sách máy'!F1451</f>
        <v>0</v>
      </c>
      <c r="O1408" s="211" t="str" cm="1">
        <f t="array" ref="O1408">IF(L1408&lt;&gt;0,IF(L1408&lt;I1408,"OK","NG"),Blank)</f>
        <v>NG</v>
      </c>
      <c r="P1408" s="211" t="e" cm="1">
        <f t="array" ref="P1408">IF(M1408&lt;&gt;0,IF(M1408&lt;J1408,"OK","NG"),Blank)</f>
        <v>#NAME?</v>
      </c>
      <c r="Q1408" s="211" t="e" cm="1">
        <f t="array" ref="Q1408">IF(H1408&lt;&gt;"Stop",IF(N1408&lt;&gt;0,IF(N1408&lt;=K1408,"OK","NG"),Blank),"-")</f>
        <v>#REF!</v>
      </c>
      <c r="R1408" s="326" t="e" cm="1">
        <f t="array" ref="R1408">IF(H1408&lt;&gt;"Stop",IF(E1408&lt;&gt;0,IF(E1408&lt;=K1408,"OK","NG"),Blank),"-")</f>
        <v>#REF!</v>
      </c>
    </row>
    <row r="1409" spans="1:18" ht="30" hidden="1" x14ac:dyDescent="0.3">
      <c r="A1409" s="318" t="e">
        <f>#REF!</f>
        <v>#REF!</v>
      </c>
      <c r="B1409" s="305" t="e">
        <f>#REF!</f>
        <v>#REF!</v>
      </c>
      <c r="C1409" s="305" t="str">
        <f>'Danh sách máy'!C1452</f>
        <v>Fact.4</v>
      </c>
      <c r="D1409" s="90" t="e">
        <f>#REF!</f>
        <v>#REF!</v>
      </c>
      <c r="E1409" s="97">
        <f>'Danh sách máy'!E1452</f>
        <v>0</v>
      </c>
      <c r="F1409" s="206" t="e">
        <f>#REF!</f>
        <v>#REF!</v>
      </c>
      <c r="G1409" s="102" t="e">
        <f>#REF!</f>
        <v>#REF!</v>
      </c>
      <c r="H1409" s="102" t="e">
        <f>#REF!</f>
        <v>#REF!</v>
      </c>
      <c r="K1409" s="210" t="e">
        <f>#REF!</f>
        <v>#REF!</v>
      </c>
      <c r="L1409" s="210">
        <v>45678</v>
      </c>
      <c r="M1409" s="210"/>
      <c r="N1409" s="210">
        <f>'Danh sách máy'!F1452</f>
        <v>0</v>
      </c>
      <c r="O1409" s="211" t="str" cm="1">
        <f t="array" ref="O1409">IF(L1409&lt;&gt;0,IF(L1409&lt;I1409,"OK","NG"),Blank)</f>
        <v>NG</v>
      </c>
      <c r="P1409" s="211" t="e" cm="1">
        <f t="array" ref="P1409">IF(M1409&lt;&gt;0,IF(M1409&lt;J1409,"OK","NG"),Blank)</f>
        <v>#NAME?</v>
      </c>
      <c r="Q1409" s="211" t="e" cm="1">
        <f t="array" ref="Q1409">IF(H1409&lt;&gt;"Stop",IF(N1409&lt;&gt;0,IF(N1409&lt;=K1409,"OK","NG"),Blank),"-")</f>
        <v>#REF!</v>
      </c>
      <c r="R1409" s="326" t="e" cm="1">
        <f t="array" ref="R1409">IF(H1409&lt;&gt;"Stop",IF(E1409&lt;&gt;0,IF(E1409&lt;=K1409,"OK","NG"),Blank),"-")</f>
        <v>#REF!</v>
      </c>
    </row>
    <row r="1410" spans="1:18" ht="30" hidden="1" x14ac:dyDescent="0.3">
      <c r="A1410" s="318" t="e">
        <f>#REF!</f>
        <v>#REF!</v>
      </c>
      <c r="B1410" s="305" t="e">
        <f>#REF!</f>
        <v>#REF!</v>
      </c>
      <c r="C1410" s="305" t="str">
        <f>'Danh sách máy'!C1453</f>
        <v>Fact.4</v>
      </c>
      <c r="D1410" s="90" t="e">
        <f>#REF!</f>
        <v>#REF!</v>
      </c>
      <c r="E1410" s="97">
        <f>'Danh sách máy'!E1453</f>
        <v>0</v>
      </c>
      <c r="F1410" s="206" t="e">
        <f>#REF!</f>
        <v>#REF!</v>
      </c>
      <c r="G1410" s="102" t="e">
        <f>#REF!</f>
        <v>#REF!</v>
      </c>
      <c r="H1410" s="102" t="e">
        <f>#REF!</f>
        <v>#REF!</v>
      </c>
      <c r="K1410" s="210" t="e">
        <f>#REF!</f>
        <v>#REF!</v>
      </c>
      <c r="L1410" s="210">
        <v>45679</v>
      </c>
      <c r="M1410" s="210"/>
      <c r="N1410" s="210">
        <f>'Danh sách máy'!F1453</f>
        <v>0</v>
      </c>
      <c r="O1410" s="211" t="str" cm="1">
        <f t="array" ref="O1410">IF(L1410&lt;&gt;0,IF(L1410&lt;I1410,"OK","NG"),Blank)</f>
        <v>NG</v>
      </c>
      <c r="P1410" s="211" t="e" cm="1">
        <f t="array" ref="P1410">IF(M1410&lt;&gt;0,IF(M1410&lt;J1410,"OK","NG"),Blank)</f>
        <v>#NAME?</v>
      </c>
      <c r="Q1410" s="211" t="e" cm="1">
        <f t="array" ref="Q1410">IF(H1410&lt;&gt;"Stop",IF(N1410&lt;&gt;0,IF(N1410&lt;=K1410,"OK","NG"),Blank),"-")</f>
        <v>#REF!</v>
      </c>
      <c r="R1410" s="326" t="e" cm="1">
        <f t="array" ref="R1410">IF(H1410&lt;&gt;"Stop",IF(E1410&lt;&gt;0,IF(E1410&lt;=K1410,"OK","NG"),Blank),"-")</f>
        <v>#REF!</v>
      </c>
    </row>
    <row r="1411" spans="1:18" ht="15" hidden="1" x14ac:dyDescent="0.3">
      <c r="A1411" s="318" t="e">
        <f>#REF!</f>
        <v>#REF!</v>
      </c>
      <c r="B1411" s="305" t="e">
        <f>#REF!</f>
        <v>#REF!</v>
      </c>
      <c r="C1411" s="305" t="str">
        <f>'Danh sách máy'!C1454</f>
        <v>Fact.4</v>
      </c>
      <c r="D1411" s="90" t="e">
        <f>#REF!</f>
        <v>#REF!</v>
      </c>
      <c r="E1411" s="97">
        <f>'Danh sách máy'!E1454</f>
        <v>0</v>
      </c>
      <c r="F1411" s="206" t="e">
        <f>#REF!</f>
        <v>#REF!</v>
      </c>
      <c r="G1411" s="102" t="e">
        <f>#REF!</f>
        <v>#REF!</v>
      </c>
      <c r="H1411" s="102" t="e">
        <f>#REF!</f>
        <v>#REF!</v>
      </c>
      <c r="K1411" s="210" t="e">
        <f>#REF!</f>
        <v>#REF!</v>
      </c>
      <c r="L1411" s="210">
        <v>45680</v>
      </c>
      <c r="M1411" s="210"/>
      <c r="N1411" s="210">
        <f>'Danh sách máy'!F1454</f>
        <v>0</v>
      </c>
      <c r="O1411" s="211" t="str" cm="1">
        <f t="array" ref="O1411">IF(L1411&lt;&gt;0,IF(L1411&lt;I1411,"OK","NG"),Blank)</f>
        <v>NG</v>
      </c>
      <c r="P1411" s="211" t="e" cm="1">
        <f t="array" ref="P1411">IF(M1411&lt;&gt;0,IF(M1411&lt;J1411,"OK","NG"),Blank)</f>
        <v>#NAME?</v>
      </c>
      <c r="Q1411" s="211" t="e" cm="1">
        <f t="array" ref="Q1411">IF(H1411&lt;&gt;"Stop",IF(N1411&lt;&gt;0,IF(N1411&lt;=K1411,"OK","NG"),Blank),"-")</f>
        <v>#REF!</v>
      </c>
      <c r="R1411" s="326" t="e" cm="1">
        <f t="array" ref="R1411">IF(H1411&lt;&gt;"Stop",IF(E1411&lt;&gt;0,IF(E1411&lt;=K1411,"OK","NG"),Blank),"-")</f>
        <v>#REF!</v>
      </c>
    </row>
    <row r="1412" spans="1:18" ht="15" hidden="1" x14ac:dyDescent="0.3">
      <c r="A1412" s="318" t="e">
        <f>#REF!</f>
        <v>#REF!</v>
      </c>
      <c r="B1412" s="305" t="e">
        <f>#REF!</f>
        <v>#REF!</v>
      </c>
      <c r="C1412" s="305" t="str">
        <f>'Danh sách máy'!C1455</f>
        <v>Fact.4</v>
      </c>
      <c r="D1412" s="90" t="e">
        <f>#REF!</f>
        <v>#REF!</v>
      </c>
      <c r="E1412" s="97">
        <f>'Danh sách máy'!E1455</f>
        <v>0</v>
      </c>
      <c r="F1412" s="206" t="e">
        <f>#REF!</f>
        <v>#REF!</v>
      </c>
      <c r="G1412" s="102" t="e">
        <f>#REF!</f>
        <v>#REF!</v>
      </c>
      <c r="H1412" s="102" t="e">
        <f>#REF!</f>
        <v>#REF!</v>
      </c>
      <c r="K1412" s="210" t="e">
        <f>#REF!</f>
        <v>#REF!</v>
      </c>
      <c r="L1412" s="210">
        <v>45681</v>
      </c>
      <c r="M1412" s="210"/>
      <c r="N1412" s="210">
        <f>'Danh sách máy'!F1455</f>
        <v>0</v>
      </c>
      <c r="O1412" s="211" t="str" cm="1">
        <f t="array" ref="O1412">IF(L1412&lt;&gt;0,IF(L1412&lt;I1412,"OK","NG"),Blank)</f>
        <v>NG</v>
      </c>
      <c r="P1412" s="211" t="e" cm="1">
        <f t="array" ref="P1412">IF(M1412&lt;&gt;0,IF(M1412&lt;J1412,"OK","NG"),Blank)</f>
        <v>#NAME?</v>
      </c>
      <c r="Q1412" s="211" t="e" cm="1">
        <f t="array" ref="Q1412">IF(H1412&lt;&gt;"Stop",IF(N1412&lt;&gt;0,IF(N1412&lt;=K1412,"OK","NG"),Blank),"-")</f>
        <v>#REF!</v>
      </c>
      <c r="R1412" s="326" t="e" cm="1">
        <f t="array" ref="R1412">IF(H1412&lt;&gt;"Stop",IF(E1412&lt;&gt;0,IF(E1412&lt;=K1412,"OK","NG"),Blank),"-")</f>
        <v>#REF!</v>
      </c>
    </row>
    <row r="1413" spans="1:18" ht="15" hidden="1" x14ac:dyDescent="0.3">
      <c r="A1413" s="318" t="e">
        <f>#REF!</f>
        <v>#REF!</v>
      </c>
      <c r="B1413" s="305" t="e">
        <f>#REF!</f>
        <v>#REF!</v>
      </c>
      <c r="C1413" s="305" t="str">
        <f>'Danh sách máy'!C1456</f>
        <v>Fact.4</v>
      </c>
      <c r="D1413" s="90" t="e">
        <f>#REF!</f>
        <v>#REF!</v>
      </c>
      <c r="E1413" s="97">
        <f>'Danh sách máy'!E1456</f>
        <v>0</v>
      </c>
      <c r="F1413" s="206" t="e">
        <f>#REF!</f>
        <v>#REF!</v>
      </c>
      <c r="G1413" s="102" t="e">
        <f>#REF!</f>
        <v>#REF!</v>
      </c>
      <c r="H1413" s="102" t="e">
        <f>#REF!</f>
        <v>#REF!</v>
      </c>
      <c r="K1413" s="210" t="e">
        <f>#REF!</f>
        <v>#REF!</v>
      </c>
      <c r="L1413" s="210">
        <v>45682</v>
      </c>
      <c r="M1413" s="210"/>
      <c r="N1413" s="210">
        <f>'Danh sách máy'!F1456</f>
        <v>0</v>
      </c>
      <c r="O1413" s="211" t="str" cm="1">
        <f t="array" ref="O1413">IF(L1413&lt;&gt;0,IF(L1413&lt;I1413,"OK","NG"),Blank)</f>
        <v>NG</v>
      </c>
      <c r="P1413" s="211" t="e" cm="1">
        <f t="array" ref="P1413">IF(M1413&lt;&gt;0,IF(M1413&lt;J1413,"OK","NG"),Blank)</f>
        <v>#NAME?</v>
      </c>
      <c r="Q1413" s="211" t="e" cm="1">
        <f t="array" ref="Q1413">IF(H1413&lt;&gt;"Stop",IF(N1413&lt;&gt;0,IF(N1413&lt;=K1413,"OK","NG"),Blank),"-")</f>
        <v>#REF!</v>
      </c>
      <c r="R1413" s="326" t="e" cm="1">
        <f t="array" ref="R1413">IF(H1413&lt;&gt;"Stop",IF(E1413&lt;&gt;0,IF(E1413&lt;=K1413,"OK","NG"),Blank),"-")</f>
        <v>#REF!</v>
      </c>
    </row>
    <row r="1414" spans="1:18" ht="15" hidden="1" x14ac:dyDescent="0.3">
      <c r="A1414" s="318" t="e">
        <f>#REF!</f>
        <v>#REF!</v>
      </c>
      <c r="B1414" s="305" t="e">
        <f>#REF!</f>
        <v>#REF!</v>
      </c>
      <c r="C1414" s="305" t="str">
        <f>'Danh sách máy'!C1457</f>
        <v>Fact.4</v>
      </c>
      <c r="D1414" s="90" t="e">
        <f>#REF!</f>
        <v>#REF!</v>
      </c>
      <c r="E1414" s="97">
        <f>'Danh sách máy'!E1457</f>
        <v>0</v>
      </c>
      <c r="F1414" s="206" t="e">
        <f>#REF!</f>
        <v>#REF!</v>
      </c>
      <c r="G1414" s="102" t="e">
        <f>#REF!</f>
        <v>#REF!</v>
      </c>
      <c r="H1414" s="102" t="e">
        <f>#REF!</f>
        <v>#REF!</v>
      </c>
      <c r="K1414" s="210" t="e">
        <f>#REF!</f>
        <v>#REF!</v>
      </c>
      <c r="L1414" s="210">
        <v>45683</v>
      </c>
      <c r="M1414" s="210"/>
      <c r="N1414" s="210">
        <f>'Danh sách máy'!F1457</f>
        <v>0</v>
      </c>
      <c r="O1414" s="211" t="str" cm="1">
        <f t="array" ref="O1414">IF(L1414&lt;&gt;0,IF(L1414&lt;I1414,"OK","NG"),Blank)</f>
        <v>NG</v>
      </c>
      <c r="P1414" s="211" t="e" cm="1">
        <f t="array" ref="P1414">IF(M1414&lt;&gt;0,IF(M1414&lt;J1414,"OK","NG"),Blank)</f>
        <v>#NAME?</v>
      </c>
      <c r="Q1414" s="211" t="e" cm="1">
        <f t="array" ref="Q1414">IF(H1414&lt;&gt;"Stop",IF(N1414&lt;&gt;0,IF(N1414&lt;=K1414,"OK","NG"),Blank),"-")</f>
        <v>#REF!</v>
      </c>
      <c r="R1414" s="326" t="e" cm="1">
        <f t="array" ref="R1414">IF(H1414&lt;&gt;"Stop",IF(E1414&lt;&gt;0,IF(E1414&lt;=K1414,"OK","NG"),Blank),"-")</f>
        <v>#REF!</v>
      </c>
    </row>
    <row r="1415" spans="1:18" ht="15" hidden="1" x14ac:dyDescent="0.3">
      <c r="A1415" s="318" t="e">
        <f>#REF!</f>
        <v>#REF!</v>
      </c>
      <c r="B1415" s="305" t="e">
        <f>#REF!</f>
        <v>#REF!</v>
      </c>
      <c r="C1415" s="305" t="str">
        <f>'Danh sách máy'!C1458</f>
        <v>Fact.4</v>
      </c>
      <c r="D1415" s="90" t="e">
        <f>#REF!</f>
        <v>#REF!</v>
      </c>
      <c r="E1415" s="97">
        <f>'Danh sách máy'!E1458</f>
        <v>0</v>
      </c>
      <c r="F1415" s="206" t="e">
        <f>#REF!</f>
        <v>#REF!</v>
      </c>
      <c r="G1415" s="102" t="e">
        <f>#REF!</f>
        <v>#REF!</v>
      </c>
      <c r="H1415" s="102" t="e">
        <f>#REF!</f>
        <v>#REF!</v>
      </c>
      <c r="K1415" s="210" t="e">
        <f>#REF!</f>
        <v>#REF!</v>
      </c>
      <c r="L1415" s="210">
        <v>45684</v>
      </c>
      <c r="M1415" s="210"/>
      <c r="N1415" s="210">
        <f>'Danh sách máy'!F1458</f>
        <v>0</v>
      </c>
      <c r="O1415" s="211" t="str" cm="1">
        <f t="array" ref="O1415">IF(L1415&lt;&gt;0,IF(L1415&lt;I1415,"OK","NG"),Blank)</f>
        <v>NG</v>
      </c>
      <c r="P1415" s="211" t="e" cm="1">
        <f t="array" ref="P1415">IF(M1415&lt;&gt;0,IF(M1415&lt;J1415,"OK","NG"),Blank)</f>
        <v>#NAME?</v>
      </c>
      <c r="Q1415" s="211" t="e" cm="1">
        <f t="array" ref="Q1415">IF(H1415&lt;&gt;"Stop",IF(N1415&lt;&gt;0,IF(N1415&lt;=K1415,"OK","NG"),Blank),"-")</f>
        <v>#REF!</v>
      </c>
      <c r="R1415" s="326" t="e" cm="1">
        <f t="array" ref="R1415">IF(H1415&lt;&gt;"Stop",IF(E1415&lt;&gt;0,IF(E1415&lt;=K1415,"OK","NG"),Blank),"-")</f>
        <v>#REF!</v>
      </c>
    </row>
    <row r="1416" spans="1:18" ht="15" hidden="1" x14ac:dyDescent="0.3">
      <c r="A1416" s="318" t="e">
        <f>#REF!</f>
        <v>#REF!</v>
      </c>
      <c r="B1416" s="305" t="e">
        <f>#REF!</f>
        <v>#REF!</v>
      </c>
      <c r="C1416" s="305" t="str">
        <f>'Danh sách máy'!C1459</f>
        <v>Fact.4</v>
      </c>
      <c r="D1416" s="90" t="e">
        <f>#REF!</f>
        <v>#REF!</v>
      </c>
      <c r="E1416" s="97">
        <f>'Danh sách máy'!E1459</f>
        <v>0</v>
      </c>
      <c r="F1416" s="206" t="e">
        <f>#REF!</f>
        <v>#REF!</v>
      </c>
      <c r="G1416" s="102" t="e">
        <f>#REF!</f>
        <v>#REF!</v>
      </c>
      <c r="H1416" s="102" t="e">
        <f>#REF!</f>
        <v>#REF!</v>
      </c>
      <c r="K1416" s="210" t="e">
        <f>#REF!</f>
        <v>#REF!</v>
      </c>
      <c r="L1416" s="210">
        <v>45685</v>
      </c>
      <c r="M1416" s="210"/>
      <c r="N1416" s="210">
        <f>'Danh sách máy'!F1459</f>
        <v>0</v>
      </c>
      <c r="O1416" s="211" t="str" cm="1">
        <f t="array" ref="O1416">IF(L1416&lt;&gt;0,IF(L1416&lt;I1416,"OK","NG"),Blank)</f>
        <v>NG</v>
      </c>
      <c r="P1416" s="211" t="e" cm="1">
        <f t="array" ref="P1416">IF(M1416&lt;&gt;0,IF(M1416&lt;J1416,"OK","NG"),Blank)</f>
        <v>#NAME?</v>
      </c>
      <c r="Q1416" s="211" t="e" cm="1">
        <f t="array" ref="Q1416">IF(H1416&lt;&gt;"Stop",IF(N1416&lt;&gt;0,IF(N1416&lt;=K1416,"OK","NG"),Blank),"-")</f>
        <v>#REF!</v>
      </c>
      <c r="R1416" s="326" t="e" cm="1">
        <f t="array" ref="R1416">IF(H1416&lt;&gt;"Stop",IF(E1416&lt;&gt;0,IF(E1416&lt;=K1416,"OK","NG"),Blank),"-")</f>
        <v>#REF!</v>
      </c>
    </row>
    <row r="1417" spans="1:18" ht="15" hidden="1" x14ac:dyDescent="0.3">
      <c r="A1417" s="318" t="e">
        <f>#REF!</f>
        <v>#REF!</v>
      </c>
      <c r="B1417" s="305" t="e">
        <f>#REF!</f>
        <v>#REF!</v>
      </c>
      <c r="C1417" s="305" t="str">
        <f>'Danh sách máy'!C1460</f>
        <v>Fact.4</v>
      </c>
      <c r="D1417" s="90" t="e">
        <f>#REF!</f>
        <v>#REF!</v>
      </c>
      <c r="E1417" s="97">
        <f>'Danh sách máy'!E1460</f>
        <v>0</v>
      </c>
      <c r="F1417" s="206" t="e">
        <f>#REF!</f>
        <v>#REF!</v>
      </c>
      <c r="G1417" s="102" t="e">
        <f>#REF!</f>
        <v>#REF!</v>
      </c>
      <c r="H1417" s="102" t="e">
        <f>#REF!</f>
        <v>#REF!</v>
      </c>
      <c r="K1417" s="210" t="e">
        <f>#REF!</f>
        <v>#REF!</v>
      </c>
      <c r="L1417" s="210">
        <v>45686</v>
      </c>
      <c r="M1417" s="210"/>
      <c r="N1417" s="210">
        <f>'Danh sách máy'!F1460</f>
        <v>0</v>
      </c>
      <c r="O1417" s="211" t="str" cm="1">
        <f t="array" ref="O1417">IF(L1417&lt;&gt;0,IF(L1417&lt;I1417,"OK","NG"),Blank)</f>
        <v>NG</v>
      </c>
      <c r="P1417" s="211" t="e" cm="1">
        <f t="array" ref="P1417">IF(M1417&lt;&gt;0,IF(M1417&lt;J1417,"OK","NG"),Blank)</f>
        <v>#NAME?</v>
      </c>
      <c r="Q1417" s="211" t="e" cm="1">
        <f t="array" ref="Q1417">IF(H1417&lt;&gt;"Stop",IF(N1417&lt;&gt;0,IF(N1417&lt;=K1417,"OK","NG"),Blank),"-")</f>
        <v>#REF!</v>
      </c>
      <c r="R1417" s="326" t="e" cm="1">
        <f t="array" ref="R1417">IF(H1417&lt;&gt;"Stop",IF(E1417&lt;&gt;0,IF(E1417&lt;=K1417,"OK","NG"),Blank),"-")</f>
        <v>#REF!</v>
      </c>
    </row>
    <row r="1418" spans="1:18" ht="15" hidden="1" x14ac:dyDescent="0.3">
      <c r="A1418" s="318" t="e">
        <f>#REF!</f>
        <v>#REF!</v>
      </c>
      <c r="B1418" s="305" t="e">
        <f>#REF!</f>
        <v>#REF!</v>
      </c>
      <c r="C1418" s="305" t="str">
        <f>'Danh sách máy'!C1461</f>
        <v>Fact.4</v>
      </c>
      <c r="D1418" s="90" t="e">
        <f>#REF!</f>
        <v>#REF!</v>
      </c>
      <c r="E1418" s="97">
        <f>'Danh sách máy'!E1461</f>
        <v>0</v>
      </c>
      <c r="F1418" s="206" t="e">
        <f>#REF!</f>
        <v>#REF!</v>
      </c>
      <c r="G1418" s="102" t="e">
        <f>#REF!</f>
        <v>#REF!</v>
      </c>
      <c r="H1418" s="102" t="e">
        <f>#REF!</f>
        <v>#REF!</v>
      </c>
      <c r="K1418" s="210" t="e">
        <f>#REF!</f>
        <v>#REF!</v>
      </c>
      <c r="L1418" s="210">
        <v>45687</v>
      </c>
      <c r="M1418" s="210"/>
      <c r="N1418" s="210">
        <f>'Danh sách máy'!F1461</f>
        <v>0</v>
      </c>
      <c r="O1418" s="211" t="str" cm="1">
        <f t="array" ref="O1418">IF(L1418&lt;&gt;0,IF(L1418&lt;I1418,"OK","NG"),Blank)</f>
        <v>NG</v>
      </c>
      <c r="P1418" s="211" t="e" cm="1">
        <f t="array" ref="P1418">IF(M1418&lt;&gt;0,IF(M1418&lt;J1418,"OK","NG"),Blank)</f>
        <v>#NAME?</v>
      </c>
      <c r="Q1418" s="211" t="e" cm="1">
        <f t="array" ref="Q1418">IF(H1418&lt;&gt;"Stop",IF(N1418&lt;&gt;0,IF(N1418&lt;=K1418,"OK","NG"),Blank),"-")</f>
        <v>#REF!</v>
      </c>
      <c r="R1418" s="326" t="e" cm="1">
        <f t="array" ref="R1418">IF(H1418&lt;&gt;"Stop",IF(E1418&lt;&gt;0,IF(E1418&lt;=K1418,"OK","NG"),Blank),"-")</f>
        <v>#REF!</v>
      </c>
    </row>
    <row r="1419" spans="1:18" ht="15" hidden="1" x14ac:dyDescent="0.3">
      <c r="A1419" s="318" t="e">
        <f>#REF!</f>
        <v>#REF!</v>
      </c>
      <c r="B1419" s="305" t="e">
        <f>#REF!</f>
        <v>#REF!</v>
      </c>
      <c r="C1419" s="305" t="str">
        <f>'Danh sách máy'!C1462</f>
        <v>MKHC</v>
      </c>
      <c r="D1419" s="90" t="e">
        <f>#REF!</f>
        <v>#REF!</v>
      </c>
      <c r="E1419" s="97">
        <f>'Danh sách máy'!E1462</f>
        <v>0</v>
      </c>
      <c r="F1419" s="206" t="e">
        <f>#REF!</f>
        <v>#REF!</v>
      </c>
      <c r="G1419" s="102" t="e">
        <f>#REF!</f>
        <v>#REF!</v>
      </c>
      <c r="H1419" s="102" t="e">
        <f>#REF!</f>
        <v>#REF!</v>
      </c>
      <c r="K1419" s="210" t="e">
        <f>#REF!</f>
        <v>#REF!</v>
      </c>
      <c r="L1419" s="210">
        <v>45688</v>
      </c>
      <c r="M1419" s="210"/>
      <c r="N1419" s="210">
        <f>'Danh sách máy'!F1462</f>
        <v>0</v>
      </c>
      <c r="O1419" s="211" t="str" cm="1">
        <f t="array" ref="O1419">IF(L1419&lt;&gt;0,IF(L1419&lt;I1419,"OK","NG"),Blank)</f>
        <v>NG</v>
      </c>
      <c r="P1419" s="211" t="e" cm="1">
        <f t="array" ref="P1419">IF(M1419&lt;&gt;0,IF(M1419&lt;J1419,"OK","NG"),Blank)</f>
        <v>#NAME?</v>
      </c>
      <c r="Q1419" s="211" t="e" cm="1">
        <f t="array" ref="Q1419">IF(H1419&lt;&gt;"Stop",IF(N1419&lt;&gt;0,IF(N1419&lt;=K1419,"OK","NG"),Blank),"-")</f>
        <v>#REF!</v>
      </c>
      <c r="R1419" s="326" t="e" cm="1">
        <f t="array" ref="R1419">IF(H1419&lt;&gt;"Stop",IF(E1419&lt;&gt;0,IF(E1419&lt;=K1419,"OK","NG"),Blank),"-")</f>
        <v>#REF!</v>
      </c>
    </row>
    <row r="1420" spans="1:18" ht="15" hidden="1" x14ac:dyDescent="0.3">
      <c r="A1420" s="318" t="e">
        <f>#REF!</f>
        <v>#REF!</v>
      </c>
      <c r="B1420" s="305" t="e">
        <f>#REF!</f>
        <v>#REF!</v>
      </c>
      <c r="C1420" s="305" t="str">
        <f>'Danh sách máy'!C1463</f>
        <v>MKHC</v>
      </c>
      <c r="D1420" s="90" t="e">
        <f>#REF!</f>
        <v>#REF!</v>
      </c>
      <c r="E1420" s="97">
        <f>'Danh sách máy'!E1463</f>
        <v>0</v>
      </c>
      <c r="F1420" s="206" t="e">
        <f>#REF!</f>
        <v>#REF!</v>
      </c>
      <c r="G1420" s="102" t="e">
        <f>#REF!</f>
        <v>#REF!</v>
      </c>
      <c r="H1420" s="102" t="e">
        <f>#REF!</f>
        <v>#REF!</v>
      </c>
      <c r="K1420" s="210" t="e">
        <f>#REF!</f>
        <v>#REF!</v>
      </c>
      <c r="L1420" s="210">
        <v>45689</v>
      </c>
      <c r="M1420" s="210"/>
      <c r="N1420" s="210">
        <f>'Danh sách máy'!F1463</f>
        <v>0</v>
      </c>
      <c r="O1420" s="211" t="str" cm="1">
        <f t="array" ref="O1420">IF(L1420&lt;&gt;0,IF(L1420&lt;I1420,"OK","NG"),Blank)</f>
        <v>NG</v>
      </c>
      <c r="P1420" s="211" t="e" cm="1">
        <f t="array" ref="P1420">IF(M1420&lt;&gt;0,IF(M1420&lt;J1420,"OK","NG"),Blank)</f>
        <v>#NAME?</v>
      </c>
      <c r="Q1420" s="211" t="e" cm="1">
        <f t="array" ref="Q1420">IF(H1420&lt;&gt;"Stop",IF(N1420&lt;&gt;0,IF(N1420&lt;=K1420,"OK","NG"),Blank),"-")</f>
        <v>#REF!</v>
      </c>
      <c r="R1420" s="326" t="e" cm="1">
        <f t="array" ref="R1420">IF(H1420&lt;&gt;"Stop",IF(E1420&lt;&gt;0,IF(E1420&lt;=K1420,"OK","NG"),Blank),"-")</f>
        <v>#REF!</v>
      </c>
    </row>
    <row r="1421" spans="1:18" ht="15" hidden="1" x14ac:dyDescent="0.3">
      <c r="A1421" s="318" t="e">
        <f>#REF!</f>
        <v>#REF!</v>
      </c>
      <c r="B1421" s="305" t="e">
        <f>#REF!</f>
        <v>#REF!</v>
      </c>
      <c r="C1421" s="305" t="str">
        <f>'Danh sách máy'!C1464</f>
        <v>MKHC</v>
      </c>
      <c r="D1421" s="90" t="e">
        <f>#REF!</f>
        <v>#REF!</v>
      </c>
      <c r="E1421" s="97">
        <f>'Danh sách máy'!E1464</f>
        <v>0</v>
      </c>
      <c r="F1421" s="206" t="e">
        <f>#REF!</f>
        <v>#REF!</v>
      </c>
      <c r="G1421" s="102" t="e">
        <f>#REF!</f>
        <v>#REF!</v>
      </c>
      <c r="H1421" s="102" t="e">
        <f>#REF!</f>
        <v>#REF!</v>
      </c>
      <c r="K1421" s="210" t="e">
        <f>#REF!</f>
        <v>#REF!</v>
      </c>
      <c r="L1421" s="210">
        <v>45690</v>
      </c>
      <c r="M1421" s="210"/>
      <c r="N1421" s="210">
        <f>'Danh sách máy'!F1464</f>
        <v>0</v>
      </c>
      <c r="O1421" s="211" t="str" cm="1">
        <f t="array" ref="O1421">IF(L1421&lt;&gt;0,IF(L1421&lt;I1421,"OK","NG"),Blank)</f>
        <v>NG</v>
      </c>
      <c r="P1421" s="211" t="e" cm="1">
        <f t="array" ref="P1421">IF(M1421&lt;&gt;0,IF(M1421&lt;J1421,"OK","NG"),Blank)</f>
        <v>#NAME?</v>
      </c>
      <c r="Q1421" s="211" t="e" cm="1">
        <f t="array" ref="Q1421">IF(H1421&lt;&gt;"Stop",IF(N1421&lt;&gt;0,IF(N1421&lt;=K1421,"OK","NG"),Blank),"-")</f>
        <v>#REF!</v>
      </c>
      <c r="R1421" s="326" t="e" cm="1">
        <f t="array" ref="R1421">IF(H1421&lt;&gt;"Stop",IF(E1421&lt;&gt;0,IF(E1421&lt;=K1421,"OK","NG"),Blank),"-")</f>
        <v>#REF!</v>
      </c>
    </row>
    <row r="1422" spans="1:18" ht="15" hidden="1" x14ac:dyDescent="0.3">
      <c r="A1422" s="318" t="e">
        <f>#REF!</f>
        <v>#REF!</v>
      </c>
      <c r="B1422" s="305" t="e">
        <f>#REF!</f>
        <v>#REF!</v>
      </c>
      <c r="C1422" s="305" t="str">
        <f>'Danh sách máy'!C1465</f>
        <v>MKHC</v>
      </c>
      <c r="D1422" s="90" t="e">
        <f>#REF!</f>
        <v>#REF!</v>
      </c>
      <c r="E1422" s="97">
        <f>'Danh sách máy'!E1465</f>
        <v>0</v>
      </c>
      <c r="F1422" s="206" t="e">
        <f>#REF!</f>
        <v>#REF!</v>
      </c>
      <c r="G1422" s="102" t="e">
        <f>#REF!</f>
        <v>#REF!</v>
      </c>
      <c r="H1422" s="102" t="e">
        <f>#REF!</f>
        <v>#REF!</v>
      </c>
      <c r="K1422" s="210" t="e">
        <f>#REF!</f>
        <v>#REF!</v>
      </c>
      <c r="L1422" s="210">
        <v>45691</v>
      </c>
      <c r="M1422" s="210"/>
      <c r="N1422" s="210">
        <f>'Danh sách máy'!F1465</f>
        <v>0</v>
      </c>
      <c r="O1422" s="211" t="str" cm="1">
        <f t="array" ref="O1422">IF(L1422&lt;&gt;0,IF(L1422&lt;I1422,"OK","NG"),Blank)</f>
        <v>NG</v>
      </c>
      <c r="P1422" s="211" t="e" cm="1">
        <f t="array" ref="P1422">IF(M1422&lt;&gt;0,IF(M1422&lt;J1422,"OK","NG"),Blank)</f>
        <v>#NAME?</v>
      </c>
      <c r="Q1422" s="211" t="e" cm="1">
        <f t="array" ref="Q1422">IF(H1422&lt;&gt;"Stop",IF(N1422&lt;&gt;0,IF(N1422&lt;=K1422,"OK","NG"),Blank),"-")</f>
        <v>#REF!</v>
      </c>
      <c r="R1422" s="326" t="e" cm="1">
        <f t="array" ref="R1422">IF(H1422&lt;&gt;"Stop",IF(E1422&lt;&gt;0,IF(E1422&lt;=K1422,"OK","NG"),Blank),"-")</f>
        <v>#REF!</v>
      </c>
    </row>
    <row r="1423" spans="1:18" ht="15" hidden="1" x14ac:dyDescent="0.3">
      <c r="A1423" s="318" t="e">
        <f>#REF!</f>
        <v>#REF!</v>
      </c>
      <c r="B1423" s="305" t="e">
        <f>#REF!</f>
        <v>#REF!</v>
      </c>
      <c r="C1423" s="305" t="str">
        <f>'Danh sách máy'!C1466</f>
        <v>Fact.4</v>
      </c>
      <c r="D1423" s="90" t="e">
        <f>#REF!</f>
        <v>#REF!</v>
      </c>
      <c r="E1423" s="97">
        <f>'Danh sách máy'!E1466</f>
        <v>0</v>
      </c>
      <c r="F1423" s="206" t="e">
        <f>#REF!</f>
        <v>#REF!</v>
      </c>
      <c r="G1423" s="102" t="e">
        <f>#REF!</f>
        <v>#REF!</v>
      </c>
      <c r="H1423" s="102" t="e">
        <f>#REF!</f>
        <v>#REF!</v>
      </c>
      <c r="K1423" s="210" t="e">
        <f>#REF!</f>
        <v>#REF!</v>
      </c>
      <c r="L1423" s="210">
        <v>45692</v>
      </c>
      <c r="M1423" s="210"/>
      <c r="N1423" s="210">
        <f>'Danh sách máy'!F1466</f>
        <v>0</v>
      </c>
      <c r="O1423" s="211" t="str" cm="1">
        <f t="array" ref="O1423">IF(L1423&lt;&gt;0,IF(L1423&lt;I1423,"OK","NG"),Blank)</f>
        <v>NG</v>
      </c>
      <c r="P1423" s="211" t="e" cm="1">
        <f t="array" ref="P1423">IF(M1423&lt;&gt;0,IF(M1423&lt;J1423,"OK","NG"),Blank)</f>
        <v>#NAME?</v>
      </c>
      <c r="Q1423" s="211" t="e" cm="1">
        <f t="array" ref="Q1423">IF(H1423&lt;&gt;"Stop",IF(N1423&lt;&gt;0,IF(N1423&lt;=K1423,"OK","NG"),Blank),"-")</f>
        <v>#REF!</v>
      </c>
      <c r="R1423" s="326" t="e" cm="1">
        <f t="array" ref="R1423">IF(H1423&lt;&gt;"Stop",IF(E1423&lt;&gt;0,IF(E1423&lt;=K1423,"OK","NG"),Blank),"-")</f>
        <v>#REF!</v>
      </c>
    </row>
    <row r="1424" spans="1:18" ht="15" hidden="1" x14ac:dyDescent="0.3">
      <c r="A1424" s="318" t="e">
        <f>#REF!</f>
        <v>#REF!</v>
      </c>
      <c r="B1424" s="305" t="e">
        <f>#REF!</f>
        <v>#REF!</v>
      </c>
      <c r="C1424" s="305" t="str">
        <f>'Danh sách máy'!C1467</f>
        <v>Fact.4</v>
      </c>
      <c r="D1424" s="90" t="e">
        <f>#REF!</f>
        <v>#REF!</v>
      </c>
      <c r="E1424" s="97">
        <f>'Danh sách máy'!E1467</f>
        <v>0</v>
      </c>
      <c r="F1424" s="206" t="e">
        <f>#REF!</f>
        <v>#REF!</v>
      </c>
      <c r="G1424" s="102" t="e">
        <f>#REF!</f>
        <v>#REF!</v>
      </c>
      <c r="H1424" s="102" t="e">
        <f>#REF!</f>
        <v>#REF!</v>
      </c>
      <c r="K1424" s="210" t="e">
        <f>#REF!</f>
        <v>#REF!</v>
      </c>
      <c r="L1424" s="210">
        <v>45693</v>
      </c>
      <c r="M1424" s="210"/>
      <c r="N1424" s="210">
        <f>'Danh sách máy'!F1467</f>
        <v>0</v>
      </c>
      <c r="O1424" s="211" t="str" cm="1">
        <f t="array" ref="O1424">IF(L1424&lt;&gt;0,IF(L1424&lt;I1424,"OK","NG"),Blank)</f>
        <v>NG</v>
      </c>
      <c r="P1424" s="211" t="e" cm="1">
        <f t="array" ref="P1424">IF(M1424&lt;&gt;0,IF(M1424&lt;J1424,"OK","NG"),Blank)</f>
        <v>#NAME?</v>
      </c>
      <c r="Q1424" s="211" t="e" cm="1">
        <f t="array" ref="Q1424">IF(H1424&lt;&gt;"Stop",IF(N1424&lt;&gt;0,IF(N1424&lt;=K1424,"OK","NG"),Blank),"-")</f>
        <v>#REF!</v>
      </c>
      <c r="R1424" s="326" t="e" cm="1">
        <f t="array" ref="R1424">IF(H1424&lt;&gt;"Stop",IF(E1424&lt;&gt;0,IF(E1424&lt;=K1424,"OK","NG"),Blank),"-")</f>
        <v>#REF!</v>
      </c>
    </row>
    <row r="1425" spans="1:18" ht="15" hidden="1" x14ac:dyDescent="0.3">
      <c r="A1425" s="318" t="e">
        <f>#REF!</f>
        <v>#REF!</v>
      </c>
      <c r="B1425" s="305" t="e">
        <f>#REF!</f>
        <v>#REF!</v>
      </c>
      <c r="C1425" s="305" t="str">
        <f>'Danh sách máy'!C1468</f>
        <v>Fact.4</v>
      </c>
      <c r="D1425" s="90" t="e">
        <f>#REF!</f>
        <v>#REF!</v>
      </c>
      <c r="E1425" s="97">
        <f>'Danh sách máy'!E1468</f>
        <v>0</v>
      </c>
      <c r="F1425" s="206" t="e">
        <f>#REF!</f>
        <v>#REF!</v>
      </c>
      <c r="G1425" s="102" t="e">
        <f>#REF!</f>
        <v>#REF!</v>
      </c>
      <c r="H1425" s="102" t="e">
        <f>#REF!</f>
        <v>#REF!</v>
      </c>
      <c r="K1425" s="210" t="e">
        <f>#REF!</f>
        <v>#REF!</v>
      </c>
      <c r="L1425" s="210">
        <v>45694</v>
      </c>
      <c r="M1425" s="210"/>
      <c r="N1425" s="210">
        <f>'Danh sách máy'!F1468</f>
        <v>0</v>
      </c>
      <c r="O1425" s="211" t="str" cm="1">
        <f t="array" ref="O1425">IF(L1425&lt;&gt;0,IF(L1425&lt;I1425,"OK","NG"),Blank)</f>
        <v>NG</v>
      </c>
      <c r="P1425" s="211" t="e" cm="1">
        <f t="array" ref="P1425">IF(M1425&lt;&gt;0,IF(M1425&lt;J1425,"OK","NG"),Blank)</f>
        <v>#NAME?</v>
      </c>
      <c r="Q1425" s="211" t="e" cm="1">
        <f t="array" ref="Q1425">IF(H1425&lt;&gt;"Stop",IF(N1425&lt;&gt;0,IF(N1425&lt;=K1425,"OK","NG"),Blank),"-")</f>
        <v>#REF!</v>
      </c>
      <c r="R1425" s="326" t="e" cm="1">
        <f t="array" ref="R1425">IF(H1425&lt;&gt;"Stop",IF(E1425&lt;&gt;0,IF(E1425&lt;=K1425,"OK","NG"),Blank),"-")</f>
        <v>#REF!</v>
      </c>
    </row>
    <row r="1426" spans="1:18" ht="15" hidden="1" x14ac:dyDescent="0.3">
      <c r="A1426" s="318" t="e">
        <f>#REF!</f>
        <v>#REF!</v>
      </c>
      <c r="B1426" s="305" t="e">
        <f>#REF!</f>
        <v>#REF!</v>
      </c>
      <c r="C1426" s="305">
        <f>'Danh sách máy'!C1469</f>
        <v>0</v>
      </c>
      <c r="D1426" s="90" t="e">
        <f>#REF!</f>
        <v>#REF!</v>
      </c>
      <c r="E1426" s="97">
        <f>'Danh sách máy'!E1469</f>
        <v>0</v>
      </c>
      <c r="F1426" s="206" t="e">
        <f>#REF!</f>
        <v>#REF!</v>
      </c>
      <c r="G1426" s="102" t="e">
        <f>#REF!</f>
        <v>#REF!</v>
      </c>
      <c r="H1426" s="102" t="e">
        <f>#REF!</f>
        <v>#REF!</v>
      </c>
      <c r="K1426" s="210" t="e">
        <f>#REF!</f>
        <v>#REF!</v>
      </c>
      <c r="L1426" s="210">
        <v>45695</v>
      </c>
      <c r="M1426" s="210"/>
      <c r="N1426" s="210">
        <f>'Danh sách máy'!F1469</f>
        <v>0</v>
      </c>
      <c r="O1426" s="211" t="str" cm="1">
        <f t="array" ref="O1426">IF(L1426&lt;&gt;0,IF(L1426&lt;I1426,"OK","NG"),Blank)</f>
        <v>NG</v>
      </c>
      <c r="P1426" s="211" t="e" cm="1">
        <f t="array" ref="P1426">IF(M1426&lt;&gt;0,IF(M1426&lt;J1426,"OK","NG"),Blank)</f>
        <v>#NAME?</v>
      </c>
      <c r="Q1426" s="211" t="e" cm="1">
        <f t="array" ref="Q1426">IF(H1426&lt;&gt;"Stop",IF(N1426&lt;&gt;0,IF(N1426&lt;=K1426,"OK","NG"),Blank),"-")</f>
        <v>#REF!</v>
      </c>
      <c r="R1426" s="326" t="e" cm="1">
        <f t="array" ref="R1426">IF(H1426&lt;&gt;"Stop",IF(E1426&lt;&gt;0,IF(E1426&lt;=K1426,"OK","NG"),Blank),"-")</f>
        <v>#REF!</v>
      </c>
    </row>
    <row r="1427" spans="1:18" ht="15" hidden="1" x14ac:dyDescent="0.3">
      <c r="A1427" s="318" t="e">
        <f>#REF!</f>
        <v>#REF!</v>
      </c>
      <c r="B1427" s="305" t="e">
        <f>#REF!</f>
        <v>#REF!</v>
      </c>
      <c r="C1427" s="305">
        <f>'Danh sách máy'!C1470</f>
        <v>0</v>
      </c>
      <c r="D1427" s="90" t="e">
        <f>#REF!</f>
        <v>#REF!</v>
      </c>
      <c r="E1427" s="97">
        <f>'Danh sách máy'!E1470</f>
        <v>0</v>
      </c>
      <c r="F1427" s="206" t="e">
        <f>#REF!</f>
        <v>#REF!</v>
      </c>
      <c r="G1427" s="102" t="e">
        <f>#REF!</f>
        <v>#REF!</v>
      </c>
      <c r="H1427" s="102" t="e">
        <f>#REF!</f>
        <v>#REF!</v>
      </c>
      <c r="K1427" s="210" t="e">
        <f>#REF!</f>
        <v>#REF!</v>
      </c>
      <c r="L1427" s="210">
        <v>45696</v>
      </c>
      <c r="M1427" s="210"/>
      <c r="N1427" s="210">
        <f>'Danh sách máy'!F1470</f>
        <v>0</v>
      </c>
      <c r="O1427" s="211" t="str" cm="1">
        <f t="array" ref="O1427">IF(L1427&lt;&gt;0,IF(L1427&lt;I1427,"OK","NG"),Blank)</f>
        <v>NG</v>
      </c>
      <c r="P1427" s="211" t="e" cm="1">
        <f t="array" ref="P1427">IF(M1427&lt;&gt;0,IF(M1427&lt;J1427,"OK","NG"),Blank)</f>
        <v>#NAME?</v>
      </c>
      <c r="Q1427" s="211" t="e" cm="1">
        <f t="array" ref="Q1427">IF(H1427&lt;&gt;"Stop",IF(N1427&lt;&gt;0,IF(N1427&lt;=K1427,"OK","NG"),Blank),"-")</f>
        <v>#REF!</v>
      </c>
      <c r="R1427" s="326" t="e" cm="1">
        <f t="array" ref="R1427">IF(H1427&lt;&gt;"Stop",IF(E1427&lt;&gt;0,IF(E1427&lt;=K1427,"OK","NG"),Blank),"-")</f>
        <v>#REF!</v>
      </c>
    </row>
    <row r="1428" spans="1:18" ht="15" hidden="1" x14ac:dyDescent="0.3">
      <c r="A1428" s="318" t="e">
        <f>#REF!</f>
        <v>#REF!</v>
      </c>
      <c r="B1428" s="305" t="e">
        <f>#REF!</f>
        <v>#REF!</v>
      </c>
      <c r="C1428" s="305">
        <f>'Danh sách máy'!C1471</f>
        <v>0</v>
      </c>
      <c r="D1428" s="90" t="e">
        <f>#REF!</f>
        <v>#REF!</v>
      </c>
      <c r="E1428" s="97">
        <f>'Danh sách máy'!E1471</f>
        <v>0</v>
      </c>
      <c r="F1428" s="206" t="e">
        <f>#REF!</f>
        <v>#REF!</v>
      </c>
      <c r="G1428" s="102" t="e">
        <f>#REF!</f>
        <v>#REF!</v>
      </c>
      <c r="H1428" s="102" t="e">
        <f>#REF!</f>
        <v>#REF!</v>
      </c>
      <c r="K1428" s="210" t="e">
        <f>#REF!</f>
        <v>#REF!</v>
      </c>
      <c r="L1428" s="210">
        <v>45697</v>
      </c>
      <c r="M1428" s="210"/>
      <c r="N1428" s="210">
        <f>'Danh sách máy'!F1471</f>
        <v>0</v>
      </c>
      <c r="O1428" s="211" t="str" cm="1">
        <f t="array" ref="O1428">IF(L1428&lt;&gt;0,IF(L1428&lt;I1428,"OK","NG"),Blank)</f>
        <v>NG</v>
      </c>
      <c r="P1428" s="211" t="e" cm="1">
        <f t="array" ref="P1428">IF(M1428&lt;&gt;0,IF(M1428&lt;J1428,"OK","NG"),Blank)</f>
        <v>#NAME?</v>
      </c>
      <c r="Q1428" s="211" t="e" cm="1">
        <f t="array" ref="Q1428">IF(H1428&lt;&gt;"Stop",IF(N1428&lt;&gt;0,IF(N1428&lt;=K1428,"OK","NG"),Blank),"-")</f>
        <v>#REF!</v>
      </c>
      <c r="R1428" s="326" t="e" cm="1">
        <f t="array" ref="R1428">IF(H1428&lt;&gt;"Stop",IF(E1428&lt;&gt;0,IF(E1428&lt;=K1428,"OK","NG"),Blank),"-")</f>
        <v>#REF!</v>
      </c>
    </row>
    <row r="1429" spans="1:18" ht="15" hidden="1" x14ac:dyDescent="0.3">
      <c r="A1429" s="318" t="e">
        <f>#REF!</f>
        <v>#REF!</v>
      </c>
      <c r="B1429" s="305" t="e">
        <f>#REF!</f>
        <v>#REF!</v>
      </c>
      <c r="C1429" s="305">
        <f>'Danh sách máy'!C1472</f>
        <v>0</v>
      </c>
      <c r="D1429" s="90" t="e">
        <f>#REF!</f>
        <v>#REF!</v>
      </c>
      <c r="E1429" s="97">
        <f>'Danh sách máy'!E1472</f>
        <v>0</v>
      </c>
      <c r="F1429" s="206" t="e">
        <f>#REF!</f>
        <v>#REF!</v>
      </c>
      <c r="G1429" s="102" t="e">
        <f>#REF!</f>
        <v>#REF!</v>
      </c>
      <c r="H1429" s="102" t="e">
        <f>#REF!</f>
        <v>#REF!</v>
      </c>
      <c r="K1429" s="210" t="e">
        <f>#REF!</f>
        <v>#REF!</v>
      </c>
      <c r="L1429" s="210">
        <v>45698</v>
      </c>
      <c r="M1429" s="210"/>
      <c r="N1429" s="210">
        <f>'Danh sách máy'!F1472</f>
        <v>0</v>
      </c>
      <c r="O1429" s="211" t="str" cm="1">
        <f t="array" ref="O1429">IF(L1429&lt;&gt;0,IF(L1429&lt;I1429,"OK","NG"),Blank)</f>
        <v>NG</v>
      </c>
      <c r="P1429" s="211" t="e" cm="1">
        <f t="array" ref="P1429">IF(M1429&lt;&gt;0,IF(M1429&lt;J1429,"OK","NG"),Blank)</f>
        <v>#NAME?</v>
      </c>
      <c r="Q1429" s="211" t="e" cm="1">
        <f t="array" ref="Q1429">IF(H1429&lt;&gt;"Stop",IF(N1429&lt;&gt;0,IF(N1429&lt;=K1429,"OK","NG"),Blank),"-")</f>
        <v>#REF!</v>
      </c>
      <c r="R1429" s="326" t="e" cm="1">
        <f t="array" ref="R1429">IF(H1429&lt;&gt;"Stop",IF(E1429&lt;&gt;0,IF(E1429&lt;=K1429,"OK","NG"),Blank),"-")</f>
        <v>#REF!</v>
      </c>
    </row>
    <row r="1430" spans="1:18" ht="15" hidden="1" x14ac:dyDescent="0.3">
      <c r="A1430" s="318" t="e">
        <f>#REF!</f>
        <v>#REF!</v>
      </c>
      <c r="B1430" s="305" t="e">
        <f>#REF!</f>
        <v>#REF!</v>
      </c>
      <c r="C1430" s="305">
        <f>'Danh sách máy'!C1473</f>
        <v>0</v>
      </c>
      <c r="D1430" s="90" t="e">
        <f>#REF!</f>
        <v>#REF!</v>
      </c>
      <c r="E1430" s="97">
        <f>'Danh sách máy'!E1473</f>
        <v>0</v>
      </c>
      <c r="F1430" s="206" t="e">
        <f>#REF!</f>
        <v>#REF!</v>
      </c>
      <c r="G1430" s="102" t="e">
        <f>#REF!</f>
        <v>#REF!</v>
      </c>
      <c r="H1430" s="102" t="e">
        <f>#REF!</f>
        <v>#REF!</v>
      </c>
      <c r="K1430" s="210" t="e">
        <f>#REF!</f>
        <v>#REF!</v>
      </c>
      <c r="L1430" s="210">
        <v>45699</v>
      </c>
      <c r="M1430" s="210"/>
      <c r="N1430" s="210">
        <f>'Danh sách máy'!F1473</f>
        <v>0</v>
      </c>
      <c r="O1430" s="211" t="str" cm="1">
        <f t="array" ref="O1430">IF(L1430&lt;&gt;0,IF(L1430&lt;I1430,"OK","NG"),Blank)</f>
        <v>NG</v>
      </c>
      <c r="P1430" s="211" t="e" cm="1">
        <f t="array" ref="P1430">IF(M1430&lt;&gt;0,IF(M1430&lt;J1430,"OK","NG"),Blank)</f>
        <v>#NAME?</v>
      </c>
      <c r="Q1430" s="211" t="e" cm="1">
        <f t="array" ref="Q1430">IF(H1430&lt;&gt;"Stop",IF(N1430&lt;&gt;0,IF(N1430&lt;=K1430,"OK","NG"),Blank),"-")</f>
        <v>#REF!</v>
      </c>
      <c r="R1430" s="326" t="e" cm="1">
        <f t="array" ref="R1430">IF(H1430&lt;&gt;"Stop",IF(E1430&lt;&gt;0,IF(E1430&lt;=K1430,"OK","NG"),Blank),"-")</f>
        <v>#REF!</v>
      </c>
    </row>
    <row r="1431" spans="1:18" ht="15" hidden="1" x14ac:dyDescent="0.3">
      <c r="A1431" s="318" t="e">
        <f>#REF!</f>
        <v>#REF!</v>
      </c>
      <c r="B1431" s="305" t="e">
        <f>#REF!</f>
        <v>#REF!</v>
      </c>
      <c r="C1431" s="305">
        <f>'Danh sách máy'!C1474</f>
        <v>0</v>
      </c>
      <c r="D1431" s="90" t="e">
        <f>#REF!</f>
        <v>#REF!</v>
      </c>
      <c r="E1431" s="97">
        <f>'Danh sách máy'!E1474</f>
        <v>0</v>
      </c>
      <c r="F1431" s="206" t="e">
        <f>#REF!</f>
        <v>#REF!</v>
      </c>
      <c r="G1431" s="102" t="e">
        <f>#REF!</f>
        <v>#REF!</v>
      </c>
      <c r="H1431" s="102" t="e">
        <f>#REF!</f>
        <v>#REF!</v>
      </c>
      <c r="K1431" s="210" t="e">
        <f>#REF!</f>
        <v>#REF!</v>
      </c>
      <c r="L1431" s="210">
        <v>45700</v>
      </c>
      <c r="M1431" s="210"/>
      <c r="N1431" s="210">
        <f>'Danh sách máy'!F1474</f>
        <v>0</v>
      </c>
      <c r="O1431" s="211" t="str" cm="1">
        <f t="array" ref="O1431">IF(L1431&lt;&gt;0,IF(L1431&lt;I1431,"OK","NG"),Blank)</f>
        <v>NG</v>
      </c>
      <c r="P1431" s="211" t="e" cm="1">
        <f t="array" ref="P1431">IF(M1431&lt;&gt;0,IF(M1431&lt;J1431,"OK","NG"),Blank)</f>
        <v>#NAME?</v>
      </c>
      <c r="Q1431" s="211" t="e" cm="1">
        <f t="array" ref="Q1431">IF(H1431&lt;&gt;"Stop",IF(N1431&lt;&gt;0,IF(N1431&lt;=K1431,"OK","NG"),Blank),"-")</f>
        <v>#REF!</v>
      </c>
      <c r="R1431" s="326" t="e" cm="1">
        <f t="array" ref="R1431">IF(H1431&lt;&gt;"Stop",IF(E1431&lt;&gt;0,IF(E1431&lt;=K1431,"OK","NG"),Blank),"-")</f>
        <v>#REF!</v>
      </c>
    </row>
    <row r="1432" spans="1:18" ht="15" hidden="1" x14ac:dyDescent="0.3">
      <c r="A1432" s="318" t="e">
        <f>#REF!</f>
        <v>#REF!</v>
      </c>
      <c r="B1432" s="305" t="e">
        <f>#REF!</f>
        <v>#REF!</v>
      </c>
      <c r="C1432" s="305">
        <f>'Danh sách máy'!C1475</f>
        <v>0</v>
      </c>
      <c r="D1432" s="90" t="e">
        <f>#REF!</f>
        <v>#REF!</v>
      </c>
      <c r="E1432" s="97">
        <f>'Danh sách máy'!E1475</f>
        <v>0</v>
      </c>
      <c r="F1432" s="206" t="e">
        <f>#REF!</f>
        <v>#REF!</v>
      </c>
      <c r="G1432" s="102" t="e">
        <f>#REF!</f>
        <v>#REF!</v>
      </c>
      <c r="H1432" s="102" t="e">
        <f>#REF!</f>
        <v>#REF!</v>
      </c>
      <c r="K1432" s="210" t="e">
        <f>#REF!</f>
        <v>#REF!</v>
      </c>
      <c r="L1432" s="210">
        <v>45701</v>
      </c>
      <c r="M1432" s="210"/>
      <c r="N1432" s="210">
        <f>'Danh sách máy'!F1475</f>
        <v>0</v>
      </c>
      <c r="O1432" s="211" t="str" cm="1">
        <f t="array" ref="O1432">IF(L1432&lt;&gt;0,IF(L1432&lt;I1432,"OK","NG"),Blank)</f>
        <v>NG</v>
      </c>
      <c r="P1432" s="211" t="e" cm="1">
        <f t="array" ref="P1432">IF(M1432&lt;&gt;0,IF(M1432&lt;J1432,"OK","NG"),Blank)</f>
        <v>#NAME?</v>
      </c>
      <c r="Q1432" s="211" t="e" cm="1">
        <f t="array" ref="Q1432">IF(H1432&lt;&gt;"Stop",IF(N1432&lt;&gt;0,IF(N1432&lt;=K1432,"OK","NG"),Blank),"-")</f>
        <v>#REF!</v>
      </c>
      <c r="R1432" s="326" t="e" cm="1">
        <f t="array" ref="R1432">IF(H1432&lt;&gt;"Stop",IF(E1432&lt;&gt;0,IF(E1432&lt;=K1432,"OK","NG"),Blank),"-")</f>
        <v>#REF!</v>
      </c>
    </row>
    <row r="1433" spans="1:18" ht="30" hidden="1" x14ac:dyDescent="0.3">
      <c r="A1433" s="318" t="e">
        <f>#REF!</f>
        <v>#REF!</v>
      </c>
      <c r="B1433" s="305" t="e">
        <f>#REF!</f>
        <v>#REF!</v>
      </c>
      <c r="C1433" s="305">
        <f>'Danh sách máy'!C1476</f>
        <v>0</v>
      </c>
      <c r="D1433" s="90" t="e">
        <f>#REF!</f>
        <v>#REF!</v>
      </c>
      <c r="E1433" s="97">
        <f>'Danh sách máy'!E1476</f>
        <v>0</v>
      </c>
      <c r="F1433" s="206" t="e">
        <f>#REF!</f>
        <v>#REF!</v>
      </c>
      <c r="G1433" s="102" t="e">
        <f>#REF!</f>
        <v>#REF!</v>
      </c>
      <c r="H1433" s="102" t="e">
        <f>#REF!</f>
        <v>#REF!</v>
      </c>
      <c r="K1433" s="210" t="e">
        <f>#REF!</f>
        <v>#REF!</v>
      </c>
      <c r="L1433" s="210">
        <v>45702</v>
      </c>
      <c r="M1433" s="210"/>
      <c r="N1433" s="210">
        <f>'Danh sách máy'!F1476</f>
        <v>0</v>
      </c>
      <c r="O1433" s="211" t="str" cm="1">
        <f t="array" ref="O1433">IF(L1433&lt;&gt;0,IF(L1433&lt;I1433,"OK","NG"),Blank)</f>
        <v>NG</v>
      </c>
      <c r="P1433" s="211" t="e" cm="1">
        <f t="array" ref="P1433">IF(M1433&lt;&gt;0,IF(M1433&lt;J1433,"OK","NG"),Blank)</f>
        <v>#NAME?</v>
      </c>
      <c r="Q1433" s="211" t="e" cm="1">
        <f t="array" ref="Q1433">IF(H1433&lt;&gt;"Stop",IF(N1433&lt;&gt;0,IF(N1433&lt;=K1433,"OK","NG"),Blank),"-")</f>
        <v>#REF!</v>
      </c>
      <c r="R1433" s="326" t="e" cm="1">
        <f t="array" ref="R1433">IF(H1433&lt;&gt;"Stop",IF(E1433&lt;&gt;0,IF(E1433&lt;=K1433,"OK","NG"),Blank),"-")</f>
        <v>#REF!</v>
      </c>
    </row>
    <row r="1434" spans="1:18" ht="30" hidden="1" x14ac:dyDescent="0.3">
      <c r="A1434" s="318" t="e">
        <f>#REF!</f>
        <v>#REF!</v>
      </c>
      <c r="B1434" s="305" t="e">
        <f>#REF!</f>
        <v>#REF!</v>
      </c>
      <c r="C1434" s="305">
        <f>'Danh sách máy'!C1477</f>
        <v>0</v>
      </c>
      <c r="D1434" s="90" t="e">
        <f>#REF!</f>
        <v>#REF!</v>
      </c>
      <c r="E1434" s="97">
        <f>'Danh sách máy'!E1477</f>
        <v>0</v>
      </c>
      <c r="F1434" s="206" t="e">
        <f>#REF!</f>
        <v>#REF!</v>
      </c>
      <c r="G1434" s="102" t="e">
        <f>#REF!</f>
        <v>#REF!</v>
      </c>
      <c r="H1434" s="102" t="e">
        <f>#REF!</f>
        <v>#REF!</v>
      </c>
      <c r="K1434" s="210" t="e">
        <f>#REF!</f>
        <v>#REF!</v>
      </c>
      <c r="L1434" s="210">
        <v>45703</v>
      </c>
      <c r="M1434" s="210"/>
      <c r="N1434" s="210">
        <f>'Danh sách máy'!F1477</f>
        <v>0</v>
      </c>
      <c r="O1434" s="211" t="str" cm="1">
        <f t="array" ref="O1434">IF(L1434&lt;&gt;0,IF(L1434&lt;I1434,"OK","NG"),Blank)</f>
        <v>NG</v>
      </c>
      <c r="P1434" s="211" t="e" cm="1">
        <f t="array" ref="P1434">IF(M1434&lt;&gt;0,IF(M1434&lt;J1434,"OK","NG"),Blank)</f>
        <v>#NAME?</v>
      </c>
      <c r="Q1434" s="211" t="e" cm="1">
        <f t="array" ref="Q1434">IF(H1434&lt;&gt;"Stop",IF(N1434&lt;&gt;0,IF(N1434&lt;=K1434,"OK","NG"),Blank),"-")</f>
        <v>#REF!</v>
      </c>
      <c r="R1434" s="326" t="e" cm="1">
        <f t="array" ref="R1434">IF(H1434&lt;&gt;"Stop",IF(E1434&lt;&gt;0,IF(E1434&lt;=K1434,"OK","NG"),Blank),"-")</f>
        <v>#REF!</v>
      </c>
    </row>
    <row r="1435" spans="1:18" ht="15" hidden="1" x14ac:dyDescent="0.3">
      <c r="A1435" s="318" t="e">
        <f>#REF!</f>
        <v>#REF!</v>
      </c>
      <c r="B1435" s="305" t="e">
        <f>#REF!</f>
        <v>#REF!</v>
      </c>
      <c r="C1435" s="305">
        <f>'Danh sách máy'!C1478</f>
        <v>0</v>
      </c>
      <c r="D1435" s="90" t="e">
        <f>#REF!</f>
        <v>#REF!</v>
      </c>
      <c r="E1435" s="97">
        <f>'Danh sách máy'!E1478</f>
        <v>0</v>
      </c>
      <c r="F1435" s="206" t="e">
        <f>#REF!</f>
        <v>#REF!</v>
      </c>
      <c r="G1435" s="102" t="e">
        <f>#REF!</f>
        <v>#REF!</v>
      </c>
      <c r="H1435" s="102" t="e">
        <f>#REF!</f>
        <v>#REF!</v>
      </c>
      <c r="K1435" s="210" t="e">
        <f>#REF!</f>
        <v>#REF!</v>
      </c>
      <c r="L1435" s="210">
        <v>45704</v>
      </c>
      <c r="M1435" s="210"/>
      <c r="N1435" s="210">
        <f>'Danh sách máy'!F1478</f>
        <v>0</v>
      </c>
      <c r="O1435" s="211" t="str" cm="1">
        <f t="array" ref="O1435">IF(L1435&lt;&gt;0,IF(L1435&lt;I1435,"OK","NG"),Blank)</f>
        <v>NG</v>
      </c>
      <c r="P1435" s="211" t="e" cm="1">
        <f t="array" ref="P1435">IF(M1435&lt;&gt;0,IF(M1435&lt;J1435,"OK","NG"),Blank)</f>
        <v>#NAME?</v>
      </c>
      <c r="Q1435" s="211" t="e" cm="1">
        <f t="array" ref="Q1435">IF(H1435&lt;&gt;"Stop",IF(N1435&lt;&gt;0,IF(N1435&lt;=K1435,"OK","NG"),Blank),"-")</f>
        <v>#REF!</v>
      </c>
      <c r="R1435" s="326" t="e" cm="1">
        <f t="array" ref="R1435">IF(H1435&lt;&gt;"Stop",IF(E1435&lt;&gt;0,IF(E1435&lt;=K1435,"OK","NG"),Blank),"-")</f>
        <v>#REF!</v>
      </c>
    </row>
    <row r="1436" spans="1:18" ht="15" hidden="1" x14ac:dyDescent="0.3">
      <c r="A1436" s="318" t="e">
        <f>#REF!</f>
        <v>#REF!</v>
      </c>
      <c r="B1436" s="305" t="e">
        <f>#REF!</f>
        <v>#REF!</v>
      </c>
      <c r="C1436" s="305">
        <f>'Danh sách máy'!C1479</f>
        <v>0</v>
      </c>
      <c r="D1436" s="90" t="e">
        <f>#REF!</f>
        <v>#REF!</v>
      </c>
      <c r="E1436" s="97">
        <f>'Danh sách máy'!E1479</f>
        <v>0</v>
      </c>
      <c r="F1436" s="206" t="e">
        <f>#REF!</f>
        <v>#REF!</v>
      </c>
      <c r="G1436" s="102" t="e">
        <f>#REF!</f>
        <v>#REF!</v>
      </c>
      <c r="H1436" s="102" t="e">
        <f>#REF!</f>
        <v>#REF!</v>
      </c>
      <c r="K1436" s="210" t="e">
        <f>#REF!</f>
        <v>#REF!</v>
      </c>
      <c r="L1436" s="210">
        <v>45705</v>
      </c>
      <c r="M1436" s="210"/>
      <c r="N1436" s="210">
        <f>'Danh sách máy'!F1479</f>
        <v>0</v>
      </c>
      <c r="O1436" s="211" t="str" cm="1">
        <f t="array" ref="O1436">IF(L1436&lt;&gt;0,IF(L1436&lt;I1436,"OK","NG"),Blank)</f>
        <v>NG</v>
      </c>
      <c r="P1436" s="211" t="e" cm="1">
        <f t="array" ref="P1436">IF(M1436&lt;&gt;0,IF(M1436&lt;J1436,"OK","NG"),Blank)</f>
        <v>#NAME?</v>
      </c>
      <c r="Q1436" s="211" t="e" cm="1">
        <f t="array" ref="Q1436">IF(H1436&lt;&gt;"Stop",IF(N1436&lt;&gt;0,IF(N1436&lt;=K1436,"OK","NG"),Blank),"-")</f>
        <v>#REF!</v>
      </c>
      <c r="R1436" s="326" t="e" cm="1">
        <f t="array" ref="R1436">IF(H1436&lt;&gt;"Stop",IF(E1436&lt;&gt;0,IF(E1436&lt;=K1436,"OK","NG"),Blank),"-")</f>
        <v>#REF!</v>
      </c>
    </row>
    <row r="1437" spans="1:18" ht="15" hidden="1" x14ac:dyDescent="0.3">
      <c r="A1437" s="318" t="e">
        <f>#REF!</f>
        <v>#REF!</v>
      </c>
      <c r="B1437" s="305" t="e">
        <f>#REF!</f>
        <v>#REF!</v>
      </c>
      <c r="C1437" s="305">
        <f>'Danh sách máy'!C1480</f>
        <v>0</v>
      </c>
      <c r="D1437" s="90" t="e">
        <f>#REF!</f>
        <v>#REF!</v>
      </c>
      <c r="E1437" s="97">
        <f>'Danh sách máy'!E1480</f>
        <v>0</v>
      </c>
      <c r="F1437" s="206" t="e">
        <f>#REF!</f>
        <v>#REF!</v>
      </c>
      <c r="G1437" s="102" t="e">
        <f>#REF!</f>
        <v>#REF!</v>
      </c>
      <c r="H1437" s="102" t="e">
        <f>#REF!</f>
        <v>#REF!</v>
      </c>
      <c r="K1437" s="210" t="e">
        <f>#REF!</f>
        <v>#REF!</v>
      </c>
      <c r="L1437" s="210">
        <v>45706</v>
      </c>
      <c r="M1437" s="210"/>
      <c r="N1437" s="210">
        <f>'Danh sách máy'!F1480</f>
        <v>0</v>
      </c>
      <c r="O1437" s="211" t="str" cm="1">
        <f t="array" ref="O1437">IF(L1437&lt;&gt;0,IF(L1437&lt;I1437,"OK","NG"),Blank)</f>
        <v>NG</v>
      </c>
      <c r="P1437" s="211" t="e" cm="1">
        <f t="array" ref="P1437">IF(M1437&lt;&gt;0,IF(M1437&lt;J1437,"OK","NG"),Blank)</f>
        <v>#NAME?</v>
      </c>
      <c r="Q1437" s="211" t="e" cm="1">
        <f t="array" ref="Q1437">IF(H1437&lt;&gt;"Stop",IF(N1437&lt;&gt;0,IF(N1437&lt;=K1437,"OK","NG"),Blank),"-")</f>
        <v>#REF!</v>
      </c>
      <c r="R1437" s="326" t="e" cm="1">
        <f t="array" ref="R1437">IF(H1437&lt;&gt;"Stop",IF(E1437&lt;&gt;0,IF(E1437&lt;=K1437,"OK","NG"),Blank),"-")</f>
        <v>#REF!</v>
      </c>
    </row>
    <row r="1438" spans="1:18" ht="15" hidden="1" x14ac:dyDescent="0.3">
      <c r="A1438" s="318" t="e">
        <f>#REF!</f>
        <v>#REF!</v>
      </c>
      <c r="B1438" s="305" t="e">
        <f>#REF!</f>
        <v>#REF!</v>
      </c>
      <c r="C1438" s="305">
        <f>'Danh sách máy'!C1481</f>
        <v>0</v>
      </c>
      <c r="D1438" s="90" t="e">
        <f>#REF!</f>
        <v>#REF!</v>
      </c>
      <c r="E1438" s="97">
        <f>'Danh sách máy'!E1481</f>
        <v>0</v>
      </c>
      <c r="F1438" s="206" t="e">
        <f>#REF!</f>
        <v>#REF!</v>
      </c>
      <c r="G1438" s="102" t="e">
        <f>#REF!</f>
        <v>#REF!</v>
      </c>
      <c r="H1438" s="102" t="e">
        <f>#REF!</f>
        <v>#REF!</v>
      </c>
      <c r="K1438" s="210" t="e">
        <f>#REF!</f>
        <v>#REF!</v>
      </c>
      <c r="L1438" s="210">
        <v>45707</v>
      </c>
      <c r="M1438" s="210"/>
      <c r="N1438" s="210">
        <f>'Danh sách máy'!F1481</f>
        <v>0</v>
      </c>
      <c r="O1438" s="211" t="str" cm="1">
        <f t="array" ref="O1438">IF(L1438&lt;&gt;0,IF(L1438&lt;I1438,"OK","NG"),Blank)</f>
        <v>NG</v>
      </c>
      <c r="P1438" s="211" t="e" cm="1">
        <f t="array" ref="P1438">IF(M1438&lt;&gt;0,IF(M1438&lt;J1438,"OK","NG"),Blank)</f>
        <v>#NAME?</v>
      </c>
      <c r="Q1438" s="211" t="e" cm="1">
        <f t="array" ref="Q1438">IF(H1438&lt;&gt;"Stop",IF(N1438&lt;&gt;0,IF(N1438&lt;=K1438,"OK","NG"),Blank),"-")</f>
        <v>#REF!</v>
      </c>
      <c r="R1438" s="326" t="e" cm="1">
        <f t="array" ref="R1438">IF(H1438&lt;&gt;"Stop",IF(E1438&lt;&gt;0,IF(E1438&lt;=K1438,"OK","NG"),Blank),"-")</f>
        <v>#REF!</v>
      </c>
    </row>
    <row r="1439" spans="1:18" ht="15" hidden="1" x14ac:dyDescent="0.3">
      <c r="A1439" s="318" t="e">
        <f>#REF!</f>
        <v>#REF!</v>
      </c>
      <c r="B1439" s="305" t="e">
        <f>#REF!</f>
        <v>#REF!</v>
      </c>
      <c r="C1439" s="305">
        <f>'Danh sách máy'!C1482</f>
        <v>0</v>
      </c>
      <c r="D1439" s="90" t="e">
        <f>#REF!</f>
        <v>#REF!</v>
      </c>
      <c r="E1439" s="97">
        <f>'Danh sách máy'!E1482</f>
        <v>0</v>
      </c>
      <c r="F1439" s="206" t="e">
        <f>#REF!</f>
        <v>#REF!</v>
      </c>
      <c r="G1439" s="102" t="e">
        <f>#REF!</f>
        <v>#REF!</v>
      </c>
      <c r="H1439" s="102" t="e">
        <f>#REF!</f>
        <v>#REF!</v>
      </c>
      <c r="K1439" s="210" t="e">
        <f>#REF!</f>
        <v>#REF!</v>
      </c>
      <c r="L1439" s="210">
        <v>45708</v>
      </c>
      <c r="M1439" s="210"/>
      <c r="N1439" s="210">
        <f>'Danh sách máy'!F1482</f>
        <v>0</v>
      </c>
      <c r="O1439" s="211" t="str" cm="1">
        <f t="array" ref="O1439">IF(L1439&lt;&gt;0,IF(L1439&lt;I1439,"OK","NG"),Blank)</f>
        <v>NG</v>
      </c>
      <c r="P1439" s="211" t="e" cm="1">
        <f t="array" ref="P1439">IF(M1439&lt;&gt;0,IF(M1439&lt;J1439,"OK","NG"),Blank)</f>
        <v>#NAME?</v>
      </c>
      <c r="Q1439" s="211" t="e" cm="1">
        <f t="array" ref="Q1439">IF(H1439&lt;&gt;"Stop",IF(N1439&lt;&gt;0,IF(N1439&lt;=K1439,"OK","NG"),Blank),"-")</f>
        <v>#REF!</v>
      </c>
      <c r="R1439" s="326" t="e" cm="1">
        <f t="array" ref="R1439">IF(H1439&lt;&gt;"Stop",IF(E1439&lt;&gt;0,IF(E1439&lt;=K1439,"OK","NG"),Blank),"-")</f>
        <v>#REF!</v>
      </c>
    </row>
    <row r="1440" spans="1:18" ht="30" hidden="1" x14ac:dyDescent="0.3">
      <c r="A1440" s="318" t="e">
        <f>#REF!</f>
        <v>#REF!</v>
      </c>
      <c r="B1440" s="305" t="e">
        <f>#REF!</f>
        <v>#REF!</v>
      </c>
      <c r="C1440" s="305">
        <f>'Danh sách máy'!C1483</f>
        <v>0</v>
      </c>
      <c r="D1440" s="90" t="e">
        <f>#REF!</f>
        <v>#REF!</v>
      </c>
      <c r="E1440" s="97">
        <f>'Danh sách máy'!E1483</f>
        <v>0</v>
      </c>
      <c r="F1440" s="206" t="e">
        <f>#REF!</f>
        <v>#REF!</v>
      </c>
      <c r="G1440" s="102" t="e">
        <f>#REF!</f>
        <v>#REF!</v>
      </c>
      <c r="H1440" s="102" t="e">
        <f>#REF!</f>
        <v>#REF!</v>
      </c>
      <c r="K1440" s="210" t="e">
        <f>#REF!</f>
        <v>#REF!</v>
      </c>
      <c r="L1440" s="210">
        <v>45709</v>
      </c>
      <c r="M1440" s="210"/>
      <c r="N1440" s="210">
        <f>'Danh sách máy'!F1483</f>
        <v>0</v>
      </c>
      <c r="O1440" s="211" t="str" cm="1">
        <f t="array" ref="O1440">IF(L1440&lt;&gt;0,IF(L1440&lt;I1440,"OK","NG"),Blank)</f>
        <v>NG</v>
      </c>
      <c r="P1440" s="211" t="e" cm="1">
        <f t="array" ref="P1440">IF(M1440&lt;&gt;0,IF(M1440&lt;J1440,"OK","NG"),Blank)</f>
        <v>#NAME?</v>
      </c>
      <c r="Q1440" s="211" t="e" cm="1">
        <f t="array" ref="Q1440">IF(H1440&lt;&gt;"Stop",IF(N1440&lt;&gt;0,IF(N1440&lt;=K1440,"OK","NG"),Blank),"-")</f>
        <v>#REF!</v>
      </c>
      <c r="R1440" s="326" t="e" cm="1">
        <f t="array" ref="R1440">IF(H1440&lt;&gt;"Stop",IF(E1440&lt;&gt;0,IF(E1440&lt;=K1440,"OK","NG"),Blank),"-")</f>
        <v>#REF!</v>
      </c>
    </row>
    <row r="1441" spans="1:18" ht="15" hidden="1" x14ac:dyDescent="0.3">
      <c r="A1441" s="318" t="e">
        <f>#REF!</f>
        <v>#REF!</v>
      </c>
      <c r="B1441" s="305" t="e">
        <f>#REF!</f>
        <v>#REF!</v>
      </c>
      <c r="C1441" s="305">
        <f>'Danh sách máy'!C1484</f>
        <v>0</v>
      </c>
      <c r="D1441" s="90" t="e">
        <f>#REF!</f>
        <v>#REF!</v>
      </c>
      <c r="E1441" s="97">
        <f>'Danh sách máy'!E1484</f>
        <v>0</v>
      </c>
      <c r="F1441" s="206" t="e">
        <f>#REF!</f>
        <v>#REF!</v>
      </c>
      <c r="G1441" s="102" t="e">
        <f>#REF!</f>
        <v>#REF!</v>
      </c>
      <c r="H1441" s="102" t="e">
        <f>#REF!</f>
        <v>#REF!</v>
      </c>
      <c r="K1441" s="210" t="e">
        <f>#REF!</f>
        <v>#REF!</v>
      </c>
      <c r="L1441" s="210">
        <v>45710</v>
      </c>
      <c r="M1441" s="210"/>
      <c r="N1441" s="210">
        <f>'Danh sách máy'!F1484</f>
        <v>0</v>
      </c>
      <c r="O1441" s="211" t="str" cm="1">
        <f t="array" ref="O1441">IF(L1441&lt;&gt;0,IF(L1441&lt;I1441,"OK","NG"),Blank)</f>
        <v>NG</v>
      </c>
      <c r="P1441" s="211" t="e" cm="1">
        <f t="array" ref="P1441">IF(M1441&lt;&gt;0,IF(M1441&lt;J1441,"OK","NG"),Blank)</f>
        <v>#NAME?</v>
      </c>
      <c r="Q1441" s="211" t="e" cm="1">
        <f t="array" ref="Q1441">IF(H1441&lt;&gt;"Stop",IF(N1441&lt;&gt;0,IF(N1441&lt;=K1441,"OK","NG"),Blank),"-")</f>
        <v>#REF!</v>
      </c>
      <c r="R1441" s="326" t="e" cm="1">
        <f t="array" ref="R1441">IF(H1441&lt;&gt;"Stop",IF(E1441&lt;&gt;0,IF(E1441&lt;=K1441,"OK","NG"),Blank),"-")</f>
        <v>#REF!</v>
      </c>
    </row>
    <row r="1442" spans="1:18" ht="15" hidden="1" x14ac:dyDescent="0.3">
      <c r="A1442" s="318" t="e">
        <f>#REF!</f>
        <v>#REF!</v>
      </c>
      <c r="B1442" s="305" t="e">
        <f>#REF!</f>
        <v>#REF!</v>
      </c>
      <c r="C1442" s="305">
        <f>'Danh sách máy'!C1485</f>
        <v>0</v>
      </c>
      <c r="D1442" s="90" t="e">
        <f>#REF!</f>
        <v>#REF!</v>
      </c>
      <c r="E1442" s="97">
        <f>'Danh sách máy'!E1485</f>
        <v>0</v>
      </c>
      <c r="F1442" s="206" t="e">
        <f>#REF!</f>
        <v>#REF!</v>
      </c>
      <c r="G1442" s="102" t="e">
        <f>#REF!</f>
        <v>#REF!</v>
      </c>
      <c r="H1442" s="102" t="e">
        <f>#REF!</f>
        <v>#REF!</v>
      </c>
      <c r="K1442" s="210" t="e">
        <f>#REF!</f>
        <v>#REF!</v>
      </c>
      <c r="L1442" s="210">
        <v>45711</v>
      </c>
      <c r="M1442" s="210"/>
      <c r="N1442" s="210">
        <f>'Danh sách máy'!F1485</f>
        <v>0</v>
      </c>
      <c r="O1442" s="211" t="str" cm="1">
        <f t="array" ref="O1442">IF(L1442&lt;&gt;0,IF(L1442&lt;I1442,"OK","NG"),Blank)</f>
        <v>NG</v>
      </c>
      <c r="P1442" s="211" t="e" cm="1">
        <f t="array" ref="P1442">IF(M1442&lt;&gt;0,IF(M1442&lt;J1442,"OK","NG"),Blank)</f>
        <v>#NAME?</v>
      </c>
      <c r="Q1442" s="211" t="e" cm="1">
        <f t="array" ref="Q1442">IF(H1442&lt;&gt;"Stop",IF(N1442&lt;&gt;0,IF(N1442&lt;=K1442,"OK","NG"),Blank),"-")</f>
        <v>#REF!</v>
      </c>
      <c r="R1442" s="326" t="e" cm="1">
        <f t="array" ref="R1442">IF(H1442&lt;&gt;"Stop",IF(E1442&lt;&gt;0,IF(E1442&lt;=K1442,"OK","NG"),Blank),"-")</f>
        <v>#REF!</v>
      </c>
    </row>
    <row r="1443" spans="1:18" ht="15" hidden="1" x14ac:dyDescent="0.3">
      <c r="A1443" s="318" t="e">
        <f>#REF!</f>
        <v>#REF!</v>
      </c>
      <c r="B1443" s="305" t="e">
        <f>#REF!</f>
        <v>#REF!</v>
      </c>
      <c r="C1443" s="305">
        <f>'Danh sách máy'!C1486</f>
        <v>0</v>
      </c>
      <c r="D1443" s="90" t="e">
        <f>#REF!</f>
        <v>#REF!</v>
      </c>
      <c r="E1443" s="97">
        <f>'Danh sách máy'!E1486</f>
        <v>0</v>
      </c>
      <c r="F1443" s="206" t="e">
        <f>#REF!</f>
        <v>#REF!</v>
      </c>
      <c r="G1443" s="102" t="e">
        <f>#REF!</f>
        <v>#REF!</v>
      </c>
      <c r="H1443" s="102" t="e">
        <f>#REF!</f>
        <v>#REF!</v>
      </c>
      <c r="K1443" s="210" t="e">
        <f>#REF!</f>
        <v>#REF!</v>
      </c>
      <c r="L1443" s="210">
        <v>45712</v>
      </c>
      <c r="M1443" s="210"/>
      <c r="N1443" s="210">
        <f>'Danh sách máy'!F1486</f>
        <v>0</v>
      </c>
      <c r="O1443" s="211" t="str" cm="1">
        <f t="array" ref="O1443">IF(L1443&lt;&gt;0,IF(L1443&lt;I1443,"OK","NG"),Blank)</f>
        <v>NG</v>
      </c>
      <c r="P1443" s="211" t="e" cm="1">
        <f t="array" ref="P1443">IF(M1443&lt;&gt;0,IF(M1443&lt;J1443,"OK","NG"),Blank)</f>
        <v>#NAME?</v>
      </c>
      <c r="Q1443" s="211" t="e" cm="1">
        <f t="array" ref="Q1443">IF(H1443&lt;&gt;"Stop",IF(N1443&lt;&gt;0,IF(N1443&lt;=K1443,"OK","NG"),Blank),"-")</f>
        <v>#REF!</v>
      </c>
      <c r="R1443" s="326" t="e" cm="1">
        <f t="array" ref="R1443">IF(H1443&lt;&gt;"Stop",IF(E1443&lt;&gt;0,IF(E1443&lt;=K1443,"OK","NG"),Blank),"-")</f>
        <v>#REF!</v>
      </c>
    </row>
    <row r="1444" spans="1:18" ht="15" hidden="1" x14ac:dyDescent="0.3">
      <c r="A1444" s="318" t="e">
        <f>#REF!</f>
        <v>#REF!</v>
      </c>
      <c r="B1444" s="305" t="e">
        <f>#REF!</f>
        <v>#REF!</v>
      </c>
      <c r="C1444" s="305">
        <f>'Danh sách máy'!C1487</f>
        <v>0</v>
      </c>
      <c r="D1444" s="90" t="e">
        <f>#REF!</f>
        <v>#REF!</v>
      </c>
      <c r="E1444" s="97">
        <f>'Danh sách máy'!E1487</f>
        <v>0</v>
      </c>
      <c r="F1444" s="206" t="e">
        <f>#REF!</f>
        <v>#REF!</v>
      </c>
      <c r="G1444" s="102" t="e">
        <f>#REF!</f>
        <v>#REF!</v>
      </c>
      <c r="H1444" s="102" t="e">
        <f>#REF!</f>
        <v>#REF!</v>
      </c>
      <c r="K1444" s="210" t="e">
        <f>#REF!</f>
        <v>#REF!</v>
      </c>
      <c r="L1444" s="210">
        <v>45713</v>
      </c>
      <c r="M1444" s="210"/>
      <c r="N1444" s="210">
        <f>'Danh sách máy'!F1487</f>
        <v>0</v>
      </c>
      <c r="O1444" s="211" t="str" cm="1">
        <f t="array" ref="O1444">IF(L1444&lt;&gt;0,IF(L1444&lt;I1444,"OK","NG"),Blank)</f>
        <v>NG</v>
      </c>
      <c r="P1444" s="211" t="e" cm="1">
        <f t="array" ref="P1444">IF(M1444&lt;&gt;0,IF(M1444&lt;J1444,"OK","NG"),Blank)</f>
        <v>#NAME?</v>
      </c>
      <c r="Q1444" s="211" t="e" cm="1">
        <f t="array" ref="Q1444">IF(H1444&lt;&gt;"Stop",IF(N1444&lt;&gt;0,IF(N1444&lt;=K1444,"OK","NG"),Blank),"-")</f>
        <v>#REF!</v>
      </c>
      <c r="R1444" s="326" t="e" cm="1">
        <f t="array" ref="R1444">IF(H1444&lt;&gt;"Stop",IF(E1444&lt;&gt;0,IF(E1444&lt;=K1444,"OK","NG"),Blank),"-")</f>
        <v>#REF!</v>
      </c>
    </row>
    <row r="1445" spans="1:18" ht="15" hidden="1" x14ac:dyDescent="0.3">
      <c r="A1445" s="318" t="e">
        <f>#REF!</f>
        <v>#REF!</v>
      </c>
      <c r="B1445" s="305" t="e">
        <f>#REF!</f>
        <v>#REF!</v>
      </c>
      <c r="C1445" s="305">
        <f>'Danh sách máy'!C1488</f>
        <v>0</v>
      </c>
      <c r="D1445" s="90" t="e">
        <f>#REF!</f>
        <v>#REF!</v>
      </c>
      <c r="E1445" s="97">
        <f>'Danh sách máy'!E1488</f>
        <v>0</v>
      </c>
      <c r="F1445" s="206" t="e">
        <f>#REF!</f>
        <v>#REF!</v>
      </c>
      <c r="G1445" s="102" t="e">
        <f>#REF!</f>
        <v>#REF!</v>
      </c>
      <c r="H1445" s="102" t="e">
        <f>#REF!</f>
        <v>#REF!</v>
      </c>
      <c r="K1445" s="210" t="e">
        <f>#REF!</f>
        <v>#REF!</v>
      </c>
      <c r="L1445" s="210">
        <v>45714</v>
      </c>
      <c r="M1445" s="210"/>
      <c r="N1445" s="210">
        <f>'Danh sách máy'!F1488</f>
        <v>0</v>
      </c>
      <c r="O1445" s="211" t="str" cm="1">
        <f t="array" ref="O1445">IF(L1445&lt;&gt;0,IF(L1445&lt;I1445,"OK","NG"),Blank)</f>
        <v>NG</v>
      </c>
      <c r="P1445" s="211" t="e" cm="1">
        <f t="array" ref="P1445">IF(M1445&lt;&gt;0,IF(M1445&lt;J1445,"OK","NG"),Blank)</f>
        <v>#NAME?</v>
      </c>
      <c r="Q1445" s="211" t="e" cm="1">
        <f t="array" ref="Q1445">IF(H1445&lt;&gt;"Stop",IF(N1445&lt;&gt;0,IF(N1445&lt;=K1445,"OK","NG"),Blank),"-")</f>
        <v>#REF!</v>
      </c>
      <c r="R1445" s="326" t="e" cm="1">
        <f t="array" ref="R1445">IF(H1445&lt;&gt;"Stop",IF(E1445&lt;&gt;0,IF(E1445&lt;=K1445,"OK","NG"),Blank),"-")</f>
        <v>#REF!</v>
      </c>
    </row>
    <row r="1446" spans="1:18" ht="15" hidden="1" x14ac:dyDescent="0.3">
      <c r="A1446" s="318" t="e">
        <f>#REF!</f>
        <v>#REF!</v>
      </c>
      <c r="B1446" s="305" t="e">
        <f>#REF!</f>
        <v>#REF!</v>
      </c>
      <c r="C1446" s="305">
        <f>'Danh sách máy'!C1489</f>
        <v>0</v>
      </c>
      <c r="D1446" s="90" t="e">
        <f>#REF!</f>
        <v>#REF!</v>
      </c>
      <c r="E1446" s="97">
        <f>'Danh sách máy'!E1489</f>
        <v>0</v>
      </c>
      <c r="F1446" s="206" t="e">
        <f>#REF!</f>
        <v>#REF!</v>
      </c>
      <c r="G1446" s="102" t="e">
        <f>#REF!</f>
        <v>#REF!</v>
      </c>
      <c r="H1446" s="102" t="e">
        <f>#REF!</f>
        <v>#REF!</v>
      </c>
      <c r="K1446" s="210" t="e">
        <f>#REF!</f>
        <v>#REF!</v>
      </c>
      <c r="L1446" s="210">
        <v>45715</v>
      </c>
      <c r="M1446" s="210"/>
      <c r="N1446" s="210">
        <f>'Danh sách máy'!F1489</f>
        <v>0</v>
      </c>
      <c r="O1446" s="211" t="str" cm="1">
        <f t="array" ref="O1446">IF(L1446&lt;&gt;0,IF(L1446&lt;I1446,"OK","NG"),Blank)</f>
        <v>NG</v>
      </c>
      <c r="P1446" s="211" t="e" cm="1">
        <f t="array" ref="P1446">IF(M1446&lt;&gt;0,IF(M1446&lt;J1446,"OK","NG"),Blank)</f>
        <v>#NAME?</v>
      </c>
      <c r="Q1446" s="211" t="e" cm="1">
        <f t="array" ref="Q1446">IF(H1446&lt;&gt;"Stop",IF(N1446&lt;&gt;0,IF(N1446&lt;=K1446,"OK","NG"),Blank),"-")</f>
        <v>#REF!</v>
      </c>
      <c r="R1446" s="326" t="e" cm="1">
        <f t="array" ref="R1446">IF(H1446&lt;&gt;"Stop",IF(E1446&lt;&gt;0,IF(E1446&lt;=K1446,"OK","NG"),Blank),"-")</f>
        <v>#REF!</v>
      </c>
    </row>
    <row r="1447" spans="1:18" ht="30" hidden="1" x14ac:dyDescent="0.3">
      <c r="A1447" s="318" t="e">
        <f>#REF!</f>
        <v>#REF!</v>
      </c>
      <c r="B1447" s="305" t="e">
        <f>#REF!</f>
        <v>#REF!</v>
      </c>
      <c r="C1447" s="305">
        <f>'Danh sách máy'!C1490</f>
        <v>0</v>
      </c>
      <c r="D1447" s="90" t="e">
        <f>#REF!</f>
        <v>#REF!</v>
      </c>
      <c r="E1447" s="97">
        <f>'Danh sách máy'!E1490</f>
        <v>0</v>
      </c>
      <c r="F1447" s="206" t="e">
        <f>#REF!</f>
        <v>#REF!</v>
      </c>
      <c r="G1447" s="102" t="e">
        <f>#REF!</f>
        <v>#REF!</v>
      </c>
      <c r="H1447" s="102" t="e">
        <f>#REF!</f>
        <v>#REF!</v>
      </c>
      <c r="K1447" s="210" t="e">
        <f>#REF!</f>
        <v>#REF!</v>
      </c>
      <c r="L1447" s="210">
        <v>45716</v>
      </c>
      <c r="M1447" s="210"/>
      <c r="N1447" s="210">
        <f>'Danh sách máy'!F1490</f>
        <v>0</v>
      </c>
      <c r="O1447" s="211" t="str" cm="1">
        <f t="array" ref="O1447">IF(L1447&lt;&gt;0,IF(L1447&lt;I1447,"OK","NG"),Blank)</f>
        <v>NG</v>
      </c>
      <c r="P1447" s="211" t="e" cm="1">
        <f t="array" ref="P1447">IF(M1447&lt;&gt;0,IF(M1447&lt;J1447,"OK","NG"),Blank)</f>
        <v>#NAME?</v>
      </c>
      <c r="Q1447" s="211" t="e" cm="1">
        <f t="array" ref="Q1447">IF(H1447&lt;&gt;"Stop",IF(N1447&lt;&gt;0,IF(N1447&lt;=K1447,"OK","NG"),Blank),"-")</f>
        <v>#REF!</v>
      </c>
      <c r="R1447" s="326" t="e" cm="1">
        <f t="array" ref="R1447">IF(H1447&lt;&gt;"Stop",IF(E1447&lt;&gt;0,IF(E1447&lt;=K1447,"OK","NG"),Blank),"-")</f>
        <v>#REF!</v>
      </c>
    </row>
    <row r="1448" spans="1:18" ht="15" hidden="1" x14ac:dyDescent="0.3">
      <c r="A1448" s="318" t="e">
        <f>#REF!</f>
        <v>#REF!</v>
      </c>
      <c r="B1448" s="305" t="e">
        <f>#REF!</f>
        <v>#REF!</v>
      </c>
      <c r="C1448" s="305">
        <f>'Danh sách máy'!C1491</f>
        <v>0</v>
      </c>
      <c r="D1448" s="90" t="e">
        <f>#REF!</f>
        <v>#REF!</v>
      </c>
      <c r="E1448" s="97">
        <f>'Danh sách máy'!E1491</f>
        <v>0</v>
      </c>
      <c r="F1448" s="206" t="e">
        <f>#REF!</f>
        <v>#REF!</v>
      </c>
      <c r="G1448" s="102" t="e">
        <f>#REF!</f>
        <v>#REF!</v>
      </c>
      <c r="H1448" s="102" t="e">
        <f>#REF!</f>
        <v>#REF!</v>
      </c>
      <c r="K1448" s="210" t="e">
        <f>#REF!</f>
        <v>#REF!</v>
      </c>
      <c r="L1448" s="210">
        <v>45717</v>
      </c>
      <c r="M1448" s="210"/>
      <c r="N1448" s="210">
        <f>'Danh sách máy'!F1491</f>
        <v>0</v>
      </c>
      <c r="O1448" s="211" t="str" cm="1">
        <f t="array" ref="O1448">IF(L1448&lt;&gt;0,IF(L1448&lt;I1448,"OK","NG"),Blank)</f>
        <v>NG</v>
      </c>
      <c r="P1448" s="211" t="e" cm="1">
        <f t="array" ref="P1448">IF(M1448&lt;&gt;0,IF(M1448&lt;J1448,"OK","NG"),Blank)</f>
        <v>#NAME?</v>
      </c>
      <c r="Q1448" s="211" t="e" cm="1">
        <f t="array" ref="Q1448">IF(H1448&lt;&gt;"Stop",IF(N1448&lt;&gt;0,IF(N1448&lt;=K1448,"OK","NG"),Blank),"-")</f>
        <v>#REF!</v>
      </c>
      <c r="R1448" s="326" t="e" cm="1">
        <f t="array" ref="R1448">IF(H1448&lt;&gt;"Stop",IF(E1448&lt;&gt;0,IF(E1448&lt;=K1448,"OK","NG"),Blank),"-")</f>
        <v>#REF!</v>
      </c>
    </row>
    <row r="1449" spans="1:18" ht="15" hidden="1" x14ac:dyDescent="0.3">
      <c r="A1449" s="318" t="e">
        <f>#REF!</f>
        <v>#REF!</v>
      </c>
      <c r="B1449" s="305" t="e">
        <f>#REF!</f>
        <v>#REF!</v>
      </c>
      <c r="C1449" s="305">
        <f>'Danh sách máy'!C1492</f>
        <v>0</v>
      </c>
      <c r="D1449" s="90" t="e">
        <f>#REF!</f>
        <v>#REF!</v>
      </c>
      <c r="E1449" s="97">
        <f>'Danh sách máy'!E1492</f>
        <v>0</v>
      </c>
      <c r="F1449" s="206" t="e">
        <f>#REF!</f>
        <v>#REF!</v>
      </c>
      <c r="G1449" s="102" t="e">
        <f>#REF!</f>
        <v>#REF!</v>
      </c>
      <c r="H1449" s="102" t="e">
        <f>#REF!</f>
        <v>#REF!</v>
      </c>
      <c r="K1449" s="210" t="e">
        <f>#REF!</f>
        <v>#REF!</v>
      </c>
      <c r="L1449" s="210">
        <v>45718</v>
      </c>
      <c r="M1449" s="210"/>
      <c r="N1449" s="210">
        <f>'Danh sách máy'!F1492</f>
        <v>0</v>
      </c>
      <c r="O1449" s="211" t="str" cm="1">
        <f t="array" ref="O1449">IF(L1449&lt;&gt;0,IF(L1449&lt;I1449,"OK","NG"),Blank)</f>
        <v>NG</v>
      </c>
      <c r="P1449" s="211" t="e" cm="1">
        <f t="array" ref="P1449">IF(M1449&lt;&gt;0,IF(M1449&lt;J1449,"OK","NG"),Blank)</f>
        <v>#NAME?</v>
      </c>
      <c r="Q1449" s="211" t="e" cm="1">
        <f t="array" ref="Q1449">IF(H1449&lt;&gt;"Stop",IF(N1449&lt;&gt;0,IF(N1449&lt;=K1449,"OK","NG"),Blank),"-")</f>
        <v>#REF!</v>
      </c>
      <c r="R1449" s="326" t="e" cm="1">
        <f t="array" ref="R1449">IF(H1449&lt;&gt;"Stop",IF(E1449&lt;&gt;0,IF(E1449&lt;=K1449,"OK","NG"),Blank),"-")</f>
        <v>#REF!</v>
      </c>
    </row>
    <row r="1450" spans="1:18" ht="15" hidden="1" x14ac:dyDescent="0.3">
      <c r="A1450" s="318" t="e">
        <f>#REF!</f>
        <v>#REF!</v>
      </c>
      <c r="B1450" s="305" t="e">
        <f>#REF!</f>
        <v>#REF!</v>
      </c>
      <c r="C1450" s="305">
        <f>'Danh sách máy'!C1493</f>
        <v>0</v>
      </c>
      <c r="D1450" s="90" t="e">
        <f>#REF!</f>
        <v>#REF!</v>
      </c>
      <c r="E1450" s="97">
        <f>'Danh sách máy'!E1493</f>
        <v>0</v>
      </c>
      <c r="F1450" s="206" t="e">
        <f>#REF!</f>
        <v>#REF!</v>
      </c>
      <c r="G1450" s="102" t="e">
        <f>#REF!</f>
        <v>#REF!</v>
      </c>
      <c r="H1450" s="102" t="e">
        <f>#REF!</f>
        <v>#REF!</v>
      </c>
      <c r="K1450" s="210" t="e">
        <f>#REF!</f>
        <v>#REF!</v>
      </c>
      <c r="L1450" s="210">
        <v>45719</v>
      </c>
      <c r="M1450" s="210"/>
      <c r="N1450" s="210">
        <f>'Danh sách máy'!F1493</f>
        <v>0</v>
      </c>
      <c r="O1450" s="211" t="str" cm="1">
        <f t="array" ref="O1450">IF(L1450&lt;&gt;0,IF(L1450&lt;I1450,"OK","NG"),Blank)</f>
        <v>NG</v>
      </c>
      <c r="P1450" s="211" t="e" cm="1">
        <f t="array" ref="P1450">IF(M1450&lt;&gt;0,IF(M1450&lt;J1450,"OK","NG"),Blank)</f>
        <v>#NAME?</v>
      </c>
      <c r="Q1450" s="211" t="e" cm="1">
        <f t="array" ref="Q1450">IF(H1450&lt;&gt;"Stop",IF(N1450&lt;&gt;0,IF(N1450&lt;=K1450,"OK","NG"),Blank),"-")</f>
        <v>#REF!</v>
      </c>
      <c r="R1450" s="326" t="e" cm="1">
        <f t="array" ref="R1450">IF(H1450&lt;&gt;"Stop",IF(E1450&lt;&gt;0,IF(E1450&lt;=K1450,"OK","NG"),Blank),"-")</f>
        <v>#REF!</v>
      </c>
    </row>
    <row r="1451" spans="1:18" ht="30" hidden="1" x14ac:dyDescent="0.3">
      <c r="A1451" s="318" t="e">
        <f>#REF!</f>
        <v>#REF!</v>
      </c>
      <c r="B1451" s="305" t="e">
        <f>#REF!</f>
        <v>#REF!</v>
      </c>
      <c r="C1451" s="305">
        <f>'Danh sách máy'!C1494</f>
        <v>0</v>
      </c>
      <c r="D1451" s="90" t="e">
        <f>#REF!</f>
        <v>#REF!</v>
      </c>
      <c r="E1451" s="97">
        <f>'Danh sách máy'!E1494</f>
        <v>0</v>
      </c>
      <c r="F1451" s="206" t="e">
        <f>#REF!</f>
        <v>#REF!</v>
      </c>
      <c r="G1451" s="102" t="e">
        <f>#REF!</f>
        <v>#REF!</v>
      </c>
      <c r="H1451" s="102" t="e">
        <f>#REF!</f>
        <v>#REF!</v>
      </c>
      <c r="K1451" s="210" t="e">
        <f>#REF!</f>
        <v>#REF!</v>
      </c>
      <c r="L1451" s="210">
        <v>45720</v>
      </c>
      <c r="M1451" s="210"/>
      <c r="N1451" s="210">
        <f>'Danh sách máy'!F1494</f>
        <v>0</v>
      </c>
      <c r="O1451" s="211" t="str" cm="1">
        <f t="array" ref="O1451">IF(L1451&lt;&gt;0,IF(L1451&lt;I1451,"OK","NG"),Blank)</f>
        <v>NG</v>
      </c>
      <c r="P1451" s="211" t="e" cm="1">
        <f t="array" ref="P1451">IF(M1451&lt;&gt;0,IF(M1451&lt;J1451,"OK","NG"),Blank)</f>
        <v>#NAME?</v>
      </c>
      <c r="Q1451" s="211" t="e" cm="1">
        <f t="array" ref="Q1451">IF(H1451&lt;&gt;"Stop",IF(N1451&lt;&gt;0,IF(N1451&lt;=K1451,"OK","NG"),Blank),"-")</f>
        <v>#REF!</v>
      </c>
      <c r="R1451" s="326" t="e" cm="1">
        <f t="array" ref="R1451">IF(H1451&lt;&gt;"Stop",IF(E1451&lt;&gt;0,IF(E1451&lt;=K1451,"OK","NG"),Blank),"-")</f>
        <v>#REF!</v>
      </c>
    </row>
    <row r="1452" spans="1:18" ht="15" hidden="1" x14ac:dyDescent="0.3">
      <c r="A1452" s="318" t="e">
        <f>#REF!</f>
        <v>#REF!</v>
      </c>
      <c r="B1452" s="305" t="e">
        <f>#REF!</f>
        <v>#REF!</v>
      </c>
      <c r="C1452" s="305">
        <f>'Danh sách máy'!C1495</f>
        <v>0</v>
      </c>
      <c r="D1452" s="90" t="e">
        <f>#REF!</f>
        <v>#REF!</v>
      </c>
      <c r="E1452" s="97">
        <f>'Danh sách máy'!E1495</f>
        <v>0</v>
      </c>
      <c r="F1452" s="206" t="e">
        <f>#REF!</f>
        <v>#REF!</v>
      </c>
      <c r="G1452" s="102" t="e">
        <f>#REF!</f>
        <v>#REF!</v>
      </c>
      <c r="H1452" s="102" t="e">
        <f>#REF!</f>
        <v>#REF!</v>
      </c>
      <c r="K1452" s="210" t="e">
        <f>#REF!</f>
        <v>#REF!</v>
      </c>
      <c r="L1452" s="210">
        <v>45721</v>
      </c>
      <c r="M1452" s="210"/>
      <c r="N1452" s="210">
        <f>'Danh sách máy'!F1495</f>
        <v>0</v>
      </c>
      <c r="O1452" s="211" t="str" cm="1">
        <f t="array" ref="O1452">IF(L1452&lt;&gt;0,IF(L1452&lt;I1452,"OK","NG"),Blank)</f>
        <v>NG</v>
      </c>
      <c r="P1452" s="211" t="e" cm="1">
        <f t="array" ref="P1452">IF(M1452&lt;&gt;0,IF(M1452&lt;J1452,"OK","NG"),Blank)</f>
        <v>#NAME?</v>
      </c>
      <c r="Q1452" s="211" t="e" cm="1">
        <f t="array" ref="Q1452">IF(H1452&lt;&gt;"Stop",IF(N1452&lt;&gt;0,IF(N1452&lt;=K1452,"OK","NG"),Blank),"-")</f>
        <v>#REF!</v>
      </c>
      <c r="R1452" s="326" t="e" cm="1">
        <f t="array" ref="R1452">IF(H1452&lt;&gt;"Stop",IF(E1452&lt;&gt;0,IF(E1452&lt;=K1452,"OK","NG"),Blank),"-")</f>
        <v>#REF!</v>
      </c>
    </row>
    <row r="1453" spans="1:18" ht="15" hidden="1" x14ac:dyDescent="0.3">
      <c r="A1453" s="318" t="e">
        <f>#REF!</f>
        <v>#REF!</v>
      </c>
      <c r="B1453" s="305" t="e">
        <f>#REF!</f>
        <v>#REF!</v>
      </c>
      <c r="C1453" s="305">
        <f>'Danh sách máy'!C1496</f>
        <v>0</v>
      </c>
      <c r="D1453" s="90" t="e">
        <f>#REF!</f>
        <v>#REF!</v>
      </c>
      <c r="E1453" s="97">
        <f>'Danh sách máy'!E1496</f>
        <v>0</v>
      </c>
      <c r="F1453" s="206" t="e">
        <f>#REF!</f>
        <v>#REF!</v>
      </c>
      <c r="G1453" s="102" t="e">
        <f>#REF!</f>
        <v>#REF!</v>
      </c>
      <c r="H1453" s="102" t="e">
        <f>#REF!</f>
        <v>#REF!</v>
      </c>
      <c r="K1453" s="210" t="e">
        <f>#REF!</f>
        <v>#REF!</v>
      </c>
      <c r="L1453" s="210">
        <v>45722</v>
      </c>
      <c r="M1453" s="210"/>
      <c r="N1453" s="210">
        <f>'Danh sách máy'!F1496</f>
        <v>0</v>
      </c>
      <c r="O1453" s="211" t="str" cm="1">
        <f t="array" ref="O1453">IF(L1453&lt;&gt;0,IF(L1453&lt;I1453,"OK","NG"),Blank)</f>
        <v>NG</v>
      </c>
      <c r="P1453" s="211" t="e" cm="1">
        <f t="array" ref="P1453">IF(M1453&lt;&gt;0,IF(M1453&lt;J1453,"OK","NG"),Blank)</f>
        <v>#NAME?</v>
      </c>
      <c r="Q1453" s="211" t="e" cm="1">
        <f t="array" ref="Q1453">IF(H1453&lt;&gt;"Stop",IF(N1453&lt;&gt;0,IF(N1453&lt;=K1453,"OK","NG"),Blank),"-")</f>
        <v>#REF!</v>
      </c>
      <c r="R1453" s="326" t="e" cm="1">
        <f t="array" ref="R1453">IF(H1453&lt;&gt;"Stop",IF(E1453&lt;&gt;0,IF(E1453&lt;=K1453,"OK","NG"),Blank),"-")</f>
        <v>#REF!</v>
      </c>
    </row>
    <row r="1454" spans="1:18" ht="15" hidden="1" x14ac:dyDescent="0.3">
      <c r="A1454" s="318" t="e">
        <f>#REF!</f>
        <v>#REF!</v>
      </c>
      <c r="B1454" s="305" t="e">
        <f>#REF!</f>
        <v>#REF!</v>
      </c>
      <c r="C1454" s="305">
        <f>'Danh sách máy'!C1497</f>
        <v>0</v>
      </c>
      <c r="D1454" s="90" t="e">
        <f>#REF!</f>
        <v>#REF!</v>
      </c>
      <c r="E1454" s="97">
        <f>'Danh sách máy'!E1497</f>
        <v>0</v>
      </c>
      <c r="F1454" s="206" t="e">
        <f>#REF!</f>
        <v>#REF!</v>
      </c>
      <c r="G1454" s="102" t="e">
        <f>#REF!</f>
        <v>#REF!</v>
      </c>
      <c r="H1454" s="102" t="e">
        <f>#REF!</f>
        <v>#REF!</v>
      </c>
      <c r="K1454" s="210" t="e">
        <f>#REF!</f>
        <v>#REF!</v>
      </c>
      <c r="L1454" s="210">
        <v>45723</v>
      </c>
      <c r="M1454" s="210"/>
      <c r="N1454" s="210">
        <f>'Danh sách máy'!F1497</f>
        <v>0</v>
      </c>
      <c r="O1454" s="211" t="str" cm="1">
        <f t="array" ref="O1454">IF(L1454&lt;&gt;0,IF(L1454&lt;I1454,"OK","NG"),Blank)</f>
        <v>NG</v>
      </c>
      <c r="P1454" s="211" t="e" cm="1">
        <f t="array" ref="P1454">IF(M1454&lt;&gt;0,IF(M1454&lt;J1454,"OK","NG"),Blank)</f>
        <v>#NAME?</v>
      </c>
      <c r="Q1454" s="211" t="e" cm="1">
        <f t="array" ref="Q1454">IF(H1454&lt;&gt;"Stop",IF(N1454&lt;&gt;0,IF(N1454&lt;=K1454,"OK","NG"),Blank),"-")</f>
        <v>#REF!</v>
      </c>
      <c r="R1454" s="326" t="e" cm="1">
        <f t="array" ref="R1454">IF(H1454&lt;&gt;"Stop",IF(E1454&lt;&gt;0,IF(E1454&lt;=K1454,"OK","NG"),Blank),"-")</f>
        <v>#REF!</v>
      </c>
    </row>
    <row r="1455" spans="1:18" ht="15" hidden="1" x14ac:dyDescent="0.3">
      <c r="A1455" s="318" t="e">
        <f>#REF!</f>
        <v>#REF!</v>
      </c>
      <c r="B1455" s="305" t="e">
        <f>#REF!</f>
        <v>#REF!</v>
      </c>
      <c r="C1455" s="305">
        <f>'Danh sách máy'!C1498</f>
        <v>0</v>
      </c>
      <c r="D1455" s="90" t="e">
        <f>#REF!</f>
        <v>#REF!</v>
      </c>
      <c r="E1455" s="97">
        <f>'Danh sách máy'!E1498</f>
        <v>0</v>
      </c>
      <c r="F1455" s="206" t="e">
        <f>#REF!</f>
        <v>#REF!</v>
      </c>
      <c r="G1455" s="102" t="e">
        <f>#REF!</f>
        <v>#REF!</v>
      </c>
      <c r="H1455" s="102" t="e">
        <f>#REF!</f>
        <v>#REF!</v>
      </c>
      <c r="K1455" s="210" t="e">
        <f>#REF!</f>
        <v>#REF!</v>
      </c>
      <c r="L1455" s="210">
        <v>45724</v>
      </c>
      <c r="M1455" s="210"/>
      <c r="N1455" s="210">
        <f>'Danh sách máy'!F1498</f>
        <v>0</v>
      </c>
      <c r="O1455" s="211" t="str" cm="1">
        <f t="array" ref="O1455">IF(L1455&lt;&gt;0,IF(L1455&lt;I1455,"OK","NG"),Blank)</f>
        <v>NG</v>
      </c>
      <c r="P1455" s="211" t="e" cm="1">
        <f t="array" ref="P1455">IF(M1455&lt;&gt;0,IF(M1455&lt;J1455,"OK","NG"),Blank)</f>
        <v>#NAME?</v>
      </c>
      <c r="Q1455" s="211" t="e" cm="1">
        <f t="array" ref="Q1455">IF(H1455&lt;&gt;"Stop",IF(N1455&lt;&gt;0,IF(N1455&lt;=K1455,"OK","NG"),Blank),"-")</f>
        <v>#REF!</v>
      </c>
      <c r="R1455" s="326" t="e" cm="1">
        <f t="array" ref="R1455">IF(H1455&lt;&gt;"Stop",IF(E1455&lt;&gt;0,IF(E1455&lt;=K1455,"OK","NG"),Blank),"-")</f>
        <v>#REF!</v>
      </c>
    </row>
    <row r="1456" spans="1:18" ht="15" hidden="1" x14ac:dyDescent="0.3">
      <c r="A1456" s="318" t="e">
        <f>#REF!</f>
        <v>#REF!</v>
      </c>
      <c r="B1456" s="305" t="e">
        <f>#REF!</f>
        <v>#REF!</v>
      </c>
      <c r="C1456" s="305">
        <f>'Danh sách máy'!C1499</f>
        <v>0</v>
      </c>
      <c r="D1456" s="90" t="e">
        <f>#REF!</f>
        <v>#REF!</v>
      </c>
      <c r="E1456" s="97">
        <f>'Danh sách máy'!E1499</f>
        <v>0</v>
      </c>
      <c r="F1456" s="206" t="e">
        <f>#REF!</f>
        <v>#REF!</v>
      </c>
      <c r="G1456" s="102" t="e">
        <f>#REF!</f>
        <v>#REF!</v>
      </c>
      <c r="H1456" s="102" t="e">
        <f>#REF!</f>
        <v>#REF!</v>
      </c>
      <c r="K1456" s="210" t="e">
        <f>#REF!</f>
        <v>#REF!</v>
      </c>
      <c r="L1456" s="210">
        <v>45725</v>
      </c>
      <c r="M1456" s="210"/>
      <c r="N1456" s="210">
        <f>'Danh sách máy'!F1499</f>
        <v>0</v>
      </c>
      <c r="O1456" s="211" t="str" cm="1">
        <f t="array" ref="O1456">IF(L1456&lt;&gt;0,IF(L1456&lt;I1456,"OK","NG"),Blank)</f>
        <v>NG</v>
      </c>
      <c r="P1456" s="211" t="e" cm="1">
        <f t="array" ref="P1456">IF(M1456&lt;&gt;0,IF(M1456&lt;J1456,"OK","NG"),Blank)</f>
        <v>#NAME?</v>
      </c>
      <c r="Q1456" s="211" t="e" cm="1">
        <f t="array" ref="Q1456">IF(H1456&lt;&gt;"Stop",IF(N1456&lt;&gt;0,IF(N1456&lt;=K1456,"OK","NG"),Blank),"-")</f>
        <v>#REF!</v>
      </c>
      <c r="R1456" s="326" t="e" cm="1">
        <f t="array" ref="R1456">IF(H1456&lt;&gt;"Stop",IF(E1456&lt;&gt;0,IF(E1456&lt;=K1456,"OK","NG"),Blank),"-")</f>
        <v>#REF!</v>
      </c>
    </row>
    <row r="1457" spans="1:18" ht="30" hidden="1" x14ac:dyDescent="0.3">
      <c r="A1457" s="318" t="e">
        <f>#REF!</f>
        <v>#REF!</v>
      </c>
      <c r="B1457" s="305" t="e">
        <f>#REF!</f>
        <v>#REF!</v>
      </c>
      <c r="C1457" s="305">
        <f>'Danh sách máy'!C1500</f>
        <v>0</v>
      </c>
      <c r="D1457" s="90" t="e">
        <f>#REF!</f>
        <v>#REF!</v>
      </c>
      <c r="E1457" s="97">
        <f>'Danh sách máy'!E1500</f>
        <v>0</v>
      </c>
      <c r="F1457" s="206" t="e">
        <f>#REF!</f>
        <v>#REF!</v>
      </c>
      <c r="G1457" s="102" t="e">
        <f>#REF!</f>
        <v>#REF!</v>
      </c>
      <c r="H1457" s="102" t="e">
        <f>#REF!</f>
        <v>#REF!</v>
      </c>
      <c r="K1457" s="210" t="e">
        <f>#REF!</f>
        <v>#REF!</v>
      </c>
      <c r="L1457" s="210">
        <v>45726</v>
      </c>
      <c r="M1457" s="210"/>
      <c r="N1457" s="210">
        <f>'Danh sách máy'!F1500</f>
        <v>0</v>
      </c>
      <c r="O1457" s="211" t="str" cm="1">
        <f t="array" ref="O1457">IF(L1457&lt;&gt;0,IF(L1457&lt;I1457,"OK","NG"),Blank)</f>
        <v>NG</v>
      </c>
      <c r="P1457" s="211" t="e" cm="1">
        <f t="array" ref="P1457">IF(M1457&lt;&gt;0,IF(M1457&lt;J1457,"OK","NG"),Blank)</f>
        <v>#NAME?</v>
      </c>
      <c r="Q1457" s="211" t="e" cm="1">
        <f t="array" ref="Q1457">IF(H1457&lt;&gt;"Stop",IF(N1457&lt;&gt;0,IF(N1457&lt;=K1457,"OK","NG"),Blank),"-")</f>
        <v>#REF!</v>
      </c>
      <c r="R1457" s="326" t="e" cm="1">
        <f t="array" ref="R1457">IF(H1457&lt;&gt;"Stop",IF(E1457&lt;&gt;0,IF(E1457&lt;=K1457,"OK","NG"),Blank),"-")</f>
        <v>#REF!</v>
      </c>
    </row>
    <row r="1458" spans="1:18" ht="15" hidden="1" x14ac:dyDescent="0.3">
      <c r="A1458" s="318" t="e">
        <f>#REF!</f>
        <v>#REF!</v>
      </c>
      <c r="B1458" s="305" t="e">
        <f>#REF!</f>
        <v>#REF!</v>
      </c>
      <c r="C1458" s="305">
        <f>'Danh sách máy'!C1501</f>
        <v>0</v>
      </c>
      <c r="D1458" s="90" t="e">
        <f>#REF!</f>
        <v>#REF!</v>
      </c>
      <c r="E1458" s="97">
        <f>'Danh sách máy'!E1501</f>
        <v>0</v>
      </c>
      <c r="F1458" s="206" t="e">
        <f>#REF!</f>
        <v>#REF!</v>
      </c>
      <c r="G1458" s="102" t="e">
        <f>#REF!</f>
        <v>#REF!</v>
      </c>
      <c r="H1458" s="102" t="e">
        <f>#REF!</f>
        <v>#REF!</v>
      </c>
      <c r="K1458" s="210" t="e">
        <f>#REF!</f>
        <v>#REF!</v>
      </c>
      <c r="L1458" s="210">
        <v>45727</v>
      </c>
      <c r="M1458" s="210"/>
      <c r="N1458" s="210">
        <f>'Danh sách máy'!F1501</f>
        <v>0</v>
      </c>
      <c r="O1458" s="211" t="str" cm="1">
        <f t="array" ref="O1458">IF(L1458&lt;&gt;0,IF(L1458&lt;I1458,"OK","NG"),Blank)</f>
        <v>NG</v>
      </c>
      <c r="P1458" s="211" t="e" cm="1">
        <f t="array" ref="P1458">IF(M1458&lt;&gt;0,IF(M1458&lt;J1458,"OK","NG"),Blank)</f>
        <v>#NAME?</v>
      </c>
      <c r="Q1458" s="211" t="e" cm="1">
        <f t="array" ref="Q1458">IF(H1458&lt;&gt;"Stop",IF(N1458&lt;&gt;0,IF(N1458&lt;=K1458,"OK","NG"),Blank),"-")</f>
        <v>#REF!</v>
      </c>
      <c r="R1458" s="326" t="e" cm="1">
        <f t="array" ref="R1458">IF(H1458&lt;&gt;"Stop",IF(E1458&lt;&gt;0,IF(E1458&lt;=K1458,"OK","NG"),Blank),"-")</f>
        <v>#REF!</v>
      </c>
    </row>
    <row r="1459" spans="1:18" ht="15" hidden="1" x14ac:dyDescent="0.3">
      <c r="A1459" s="318" t="e">
        <f>#REF!</f>
        <v>#REF!</v>
      </c>
      <c r="B1459" s="305" t="e">
        <f>#REF!</f>
        <v>#REF!</v>
      </c>
      <c r="C1459" s="305">
        <f>'Danh sách máy'!C1502</f>
        <v>0</v>
      </c>
      <c r="D1459" s="90" t="e">
        <f>#REF!</f>
        <v>#REF!</v>
      </c>
      <c r="E1459" s="97">
        <f>'Danh sách máy'!E1502</f>
        <v>0</v>
      </c>
      <c r="F1459" s="206" t="e">
        <f>#REF!</f>
        <v>#REF!</v>
      </c>
      <c r="G1459" s="102" t="e">
        <f>#REF!</f>
        <v>#REF!</v>
      </c>
      <c r="H1459" s="102" t="e">
        <f>#REF!</f>
        <v>#REF!</v>
      </c>
      <c r="K1459" s="210" t="e">
        <f>#REF!</f>
        <v>#REF!</v>
      </c>
      <c r="L1459" s="210">
        <v>45728</v>
      </c>
      <c r="M1459" s="210"/>
      <c r="N1459" s="210">
        <f>'Danh sách máy'!F1502</f>
        <v>0</v>
      </c>
      <c r="O1459" s="211" t="str" cm="1">
        <f t="array" ref="O1459">IF(L1459&lt;&gt;0,IF(L1459&lt;I1459,"OK","NG"),Blank)</f>
        <v>NG</v>
      </c>
      <c r="P1459" s="211" t="e" cm="1">
        <f t="array" ref="P1459">IF(M1459&lt;&gt;0,IF(M1459&lt;J1459,"OK","NG"),Blank)</f>
        <v>#NAME?</v>
      </c>
      <c r="Q1459" s="211" t="e" cm="1">
        <f t="array" ref="Q1459">IF(H1459&lt;&gt;"Stop",IF(N1459&lt;&gt;0,IF(N1459&lt;=K1459,"OK","NG"),Blank),"-")</f>
        <v>#REF!</v>
      </c>
      <c r="R1459" s="326" t="e" cm="1">
        <f t="array" ref="R1459">IF(H1459&lt;&gt;"Stop",IF(E1459&lt;&gt;0,IF(E1459&lt;=K1459,"OK","NG"),Blank),"-")</f>
        <v>#REF!</v>
      </c>
    </row>
    <row r="1460" spans="1:18" ht="15" hidden="1" x14ac:dyDescent="0.3">
      <c r="A1460" s="318" t="e">
        <f>#REF!</f>
        <v>#REF!</v>
      </c>
      <c r="B1460" s="305" t="e">
        <f>#REF!</f>
        <v>#REF!</v>
      </c>
      <c r="C1460" s="305">
        <f>'Danh sách máy'!C1503</f>
        <v>0</v>
      </c>
      <c r="D1460" s="90" t="e">
        <f>#REF!</f>
        <v>#REF!</v>
      </c>
      <c r="E1460" s="97">
        <f>'Danh sách máy'!E1503</f>
        <v>0</v>
      </c>
      <c r="F1460" s="206" t="e">
        <f>#REF!</f>
        <v>#REF!</v>
      </c>
      <c r="G1460" s="102" t="e">
        <f>#REF!</f>
        <v>#REF!</v>
      </c>
      <c r="H1460" s="102" t="e">
        <f>#REF!</f>
        <v>#REF!</v>
      </c>
      <c r="K1460" s="210" t="e">
        <f>#REF!</f>
        <v>#REF!</v>
      </c>
      <c r="L1460" s="210">
        <v>45729</v>
      </c>
      <c r="M1460" s="210"/>
      <c r="N1460" s="210">
        <f>'Danh sách máy'!F1503</f>
        <v>0</v>
      </c>
      <c r="O1460" s="211" t="str" cm="1">
        <f t="array" ref="O1460">IF(L1460&lt;&gt;0,IF(L1460&lt;I1460,"OK","NG"),Blank)</f>
        <v>NG</v>
      </c>
      <c r="P1460" s="211" t="e" cm="1">
        <f t="array" ref="P1460">IF(M1460&lt;&gt;0,IF(M1460&lt;J1460,"OK","NG"),Blank)</f>
        <v>#NAME?</v>
      </c>
      <c r="Q1460" s="211" t="e" cm="1">
        <f t="array" ref="Q1460">IF(H1460&lt;&gt;"Stop",IF(N1460&lt;&gt;0,IF(N1460&lt;=K1460,"OK","NG"),Blank),"-")</f>
        <v>#REF!</v>
      </c>
      <c r="R1460" s="326" t="e" cm="1">
        <f t="array" ref="R1460">IF(H1460&lt;&gt;"Stop",IF(E1460&lt;&gt;0,IF(E1460&lt;=K1460,"OK","NG"),Blank),"-")</f>
        <v>#REF!</v>
      </c>
    </row>
    <row r="1461" spans="1:18" ht="15" hidden="1" x14ac:dyDescent="0.3">
      <c r="A1461" s="318" t="e">
        <f>#REF!</f>
        <v>#REF!</v>
      </c>
      <c r="B1461" s="305" t="e">
        <f>#REF!</f>
        <v>#REF!</v>
      </c>
      <c r="C1461" s="305">
        <f>'Danh sách máy'!C1504</f>
        <v>0</v>
      </c>
      <c r="D1461" s="90" t="e">
        <f>#REF!</f>
        <v>#REF!</v>
      </c>
      <c r="E1461" s="97">
        <f>'Danh sách máy'!E1504</f>
        <v>0</v>
      </c>
      <c r="F1461" s="206" t="e">
        <f>#REF!</f>
        <v>#REF!</v>
      </c>
      <c r="G1461" s="102" t="e">
        <f>#REF!</f>
        <v>#REF!</v>
      </c>
      <c r="H1461" s="102" t="e">
        <f>#REF!</f>
        <v>#REF!</v>
      </c>
      <c r="K1461" s="210" t="e">
        <f>#REF!</f>
        <v>#REF!</v>
      </c>
      <c r="L1461" s="210">
        <v>45730</v>
      </c>
      <c r="M1461" s="210"/>
      <c r="N1461" s="210">
        <f>'Danh sách máy'!F1504</f>
        <v>0</v>
      </c>
      <c r="O1461" s="211" t="str" cm="1">
        <f t="array" ref="O1461">IF(L1461&lt;&gt;0,IF(L1461&lt;I1461,"OK","NG"),Blank)</f>
        <v>NG</v>
      </c>
      <c r="P1461" s="211" t="e" cm="1">
        <f t="array" ref="P1461">IF(M1461&lt;&gt;0,IF(M1461&lt;J1461,"OK","NG"),Blank)</f>
        <v>#NAME?</v>
      </c>
      <c r="Q1461" s="211" t="e" cm="1">
        <f t="array" ref="Q1461">IF(H1461&lt;&gt;"Stop",IF(N1461&lt;&gt;0,IF(N1461&lt;=K1461,"OK","NG"),Blank),"-")</f>
        <v>#REF!</v>
      </c>
      <c r="R1461" s="326" t="e" cm="1">
        <f t="array" ref="R1461">IF(H1461&lt;&gt;"Stop",IF(E1461&lt;&gt;0,IF(E1461&lt;=K1461,"OK","NG"),Blank),"-")</f>
        <v>#REF!</v>
      </c>
    </row>
    <row r="1462" spans="1:18" ht="15" hidden="1" x14ac:dyDescent="0.3">
      <c r="A1462" s="318" t="e">
        <f>#REF!</f>
        <v>#REF!</v>
      </c>
      <c r="B1462" s="305" t="e">
        <f>#REF!</f>
        <v>#REF!</v>
      </c>
      <c r="C1462" s="305">
        <f>'Danh sách máy'!C1505</f>
        <v>0</v>
      </c>
      <c r="D1462" s="90" t="e">
        <f>#REF!</f>
        <v>#REF!</v>
      </c>
      <c r="E1462" s="97">
        <f>'Danh sách máy'!E1505</f>
        <v>0</v>
      </c>
      <c r="F1462" s="206" t="e">
        <f>#REF!</f>
        <v>#REF!</v>
      </c>
      <c r="G1462" s="102" t="e">
        <f>#REF!</f>
        <v>#REF!</v>
      </c>
      <c r="H1462" s="102" t="e">
        <f>#REF!</f>
        <v>#REF!</v>
      </c>
      <c r="K1462" s="210" t="e">
        <f>#REF!</f>
        <v>#REF!</v>
      </c>
      <c r="L1462" s="210">
        <v>45731</v>
      </c>
      <c r="M1462" s="210"/>
      <c r="N1462" s="210">
        <f>'Danh sách máy'!F1505</f>
        <v>0</v>
      </c>
      <c r="O1462" s="211" t="str" cm="1">
        <f t="array" ref="O1462">IF(L1462&lt;&gt;0,IF(L1462&lt;I1462,"OK","NG"),Blank)</f>
        <v>NG</v>
      </c>
      <c r="P1462" s="211" t="e" cm="1">
        <f t="array" ref="P1462">IF(M1462&lt;&gt;0,IF(M1462&lt;J1462,"OK","NG"),Blank)</f>
        <v>#NAME?</v>
      </c>
      <c r="Q1462" s="211" t="e" cm="1">
        <f t="array" ref="Q1462">IF(H1462&lt;&gt;"Stop",IF(N1462&lt;&gt;0,IF(N1462&lt;=K1462,"OK","NG"),Blank),"-")</f>
        <v>#REF!</v>
      </c>
      <c r="R1462" s="326" t="e" cm="1">
        <f t="array" ref="R1462">IF(H1462&lt;&gt;"Stop",IF(E1462&lt;&gt;0,IF(E1462&lt;=K1462,"OK","NG"),Blank),"-")</f>
        <v>#REF!</v>
      </c>
    </row>
    <row r="1463" spans="1:18" ht="15" hidden="1" x14ac:dyDescent="0.3">
      <c r="A1463" s="318" t="e">
        <f>#REF!</f>
        <v>#REF!</v>
      </c>
      <c r="B1463" s="305" t="e">
        <f>#REF!</f>
        <v>#REF!</v>
      </c>
      <c r="C1463" s="305">
        <f>'Danh sách máy'!C1506</f>
        <v>0</v>
      </c>
      <c r="D1463" s="90" t="e">
        <f>#REF!</f>
        <v>#REF!</v>
      </c>
      <c r="E1463" s="97">
        <f>'Danh sách máy'!E1506</f>
        <v>0</v>
      </c>
      <c r="F1463" s="206" t="e">
        <f>#REF!</f>
        <v>#REF!</v>
      </c>
      <c r="G1463" s="102" t="e">
        <f>#REF!</f>
        <v>#REF!</v>
      </c>
      <c r="H1463" s="102" t="e">
        <f>#REF!</f>
        <v>#REF!</v>
      </c>
      <c r="K1463" s="210" t="e">
        <f>#REF!</f>
        <v>#REF!</v>
      </c>
      <c r="L1463" s="210">
        <v>45732</v>
      </c>
      <c r="M1463" s="210"/>
      <c r="N1463" s="210">
        <f>'Danh sách máy'!F1506</f>
        <v>0</v>
      </c>
      <c r="O1463" s="211" t="str" cm="1">
        <f t="array" ref="O1463">IF(L1463&lt;&gt;0,IF(L1463&lt;I1463,"OK","NG"),Blank)</f>
        <v>NG</v>
      </c>
      <c r="P1463" s="211" t="e" cm="1">
        <f t="array" ref="P1463">IF(M1463&lt;&gt;0,IF(M1463&lt;J1463,"OK","NG"),Blank)</f>
        <v>#NAME?</v>
      </c>
      <c r="Q1463" s="211" t="e" cm="1">
        <f t="array" ref="Q1463">IF(H1463&lt;&gt;"Stop",IF(N1463&lt;&gt;0,IF(N1463&lt;=K1463,"OK","NG"),Blank),"-")</f>
        <v>#REF!</v>
      </c>
      <c r="R1463" s="326" t="e" cm="1">
        <f t="array" ref="R1463">IF(H1463&lt;&gt;"Stop",IF(E1463&lt;&gt;0,IF(E1463&lt;=K1463,"OK","NG"),Blank),"-")</f>
        <v>#REF!</v>
      </c>
    </row>
    <row r="1464" spans="1:18" ht="30" hidden="1" x14ac:dyDescent="0.3">
      <c r="A1464" s="318" t="e">
        <f>#REF!</f>
        <v>#REF!</v>
      </c>
      <c r="B1464" s="305" t="e">
        <f>#REF!</f>
        <v>#REF!</v>
      </c>
      <c r="C1464" s="305">
        <f>'Danh sách máy'!C1507</f>
        <v>0</v>
      </c>
      <c r="D1464" s="90" t="e">
        <f>#REF!</f>
        <v>#REF!</v>
      </c>
      <c r="E1464" s="97">
        <f>'Danh sách máy'!E1507</f>
        <v>0</v>
      </c>
      <c r="F1464" s="206" t="e">
        <f>#REF!</f>
        <v>#REF!</v>
      </c>
      <c r="G1464" s="102" t="e">
        <f>#REF!</f>
        <v>#REF!</v>
      </c>
      <c r="H1464" s="102" t="e">
        <f>#REF!</f>
        <v>#REF!</v>
      </c>
      <c r="K1464" s="210" t="e">
        <f>#REF!</f>
        <v>#REF!</v>
      </c>
      <c r="L1464" s="210">
        <v>45733</v>
      </c>
      <c r="M1464" s="210"/>
      <c r="N1464" s="210">
        <f>'Danh sách máy'!F1507</f>
        <v>0</v>
      </c>
      <c r="O1464" s="211" t="str" cm="1">
        <f t="array" ref="O1464">IF(L1464&lt;&gt;0,IF(L1464&lt;I1464,"OK","NG"),Blank)</f>
        <v>NG</v>
      </c>
      <c r="P1464" s="211" t="e" cm="1">
        <f t="array" ref="P1464">IF(M1464&lt;&gt;0,IF(M1464&lt;J1464,"OK","NG"),Blank)</f>
        <v>#NAME?</v>
      </c>
      <c r="Q1464" s="211" t="e" cm="1">
        <f t="array" ref="Q1464">IF(H1464&lt;&gt;"Stop",IF(N1464&lt;&gt;0,IF(N1464&lt;=K1464,"OK","NG"),Blank),"-")</f>
        <v>#REF!</v>
      </c>
      <c r="R1464" s="326" t="e" cm="1">
        <f t="array" ref="R1464">IF(H1464&lt;&gt;"Stop",IF(E1464&lt;&gt;0,IF(E1464&lt;=K1464,"OK","NG"),Blank),"-")</f>
        <v>#REF!</v>
      </c>
    </row>
    <row r="1465" spans="1:18" ht="15" hidden="1" x14ac:dyDescent="0.3">
      <c r="A1465" s="318" t="e">
        <f>#REF!</f>
        <v>#REF!</v>
      </c>
      <c r="B1465" s="305" t="e">
        <f>#REF!</f>
        <v>#REF!</v>
      </c>
      <c r="C1465" s="305">
        <f>'Danh sách máy'!C1508</f>
        <v>0</v>
      </c>
      <c r="D1465" s="90" t="e">
        <f>#REF!</f>
        <v>#REF!</v>
      </c>
      <c r="E1465" s="97">
        <f>'Danh sách máy'!E1508</f>
        <v>0</v>
      </c>
      <c r="F1465" s="206" t="e">
        <f>#REF!</f>
        <v>#REF!</v>
      </c>
      <c r="G1465" s="102" t="e">
        <f>#REF!</f>
        <v>#REF!</v>
      </c>
      <c r="H1465" s="102" t="e">
        <f>#REF!</f>
        <v>#REF!</v>
      </c>
      <c r="K1465" s="210" t="e">
        <f>#REF!</f>
        <v>#REF!</v>
      </c>
      <c r="L1465" s="210">
        <v>45734</v>
      </c>
      <c r="M1465" s="210"/>
      <c r="N1465" s="210">
        <f>'Danh sách máy'!F1508</f>
        <v>0</v>
      </c>
      <c r="O1465" s="211" t="str" cm="1">
        <f t="array" ref="O1465">IF(L1465&lt;&gt;0,IF(L1465&lt;I1465,"OK","NG"),Blank)</f>
        <v>NG</v>
      </c>
      <c r="P1465" s="211" t="e" cm="1">
        <f t="array" ref="P1465">IF(M1465&lt;&gt;0,IF(M1465&lt;J1465,"OK","NG"),Blank)</f>
        <v>#NAME?</v>
      </c>
      <c r="Q1465" s="211" t="e" cm="1">
        <f t="array" ref="Q1465">IF(H1465&lt;&gt;"Stop",IF(N1465&lt;&gt;0,IF(N1465&lt;=K1465,"OK","NG"),Blank),"-")</f>
        <v>#REF!</v>
      </c>
      <c r="R1465" s="326" t="e" cm="1">
        <f t="array" ref="R1465">IF(H1465&lt;&gt;"Stop",IF(E1465&lt;&gt;0,IF(E1465&lt;=K1465,"OK","NG"),Blank),"-")</f>
        <v>#REF!</v>
      </c>
    </row>
    <row r="1466" spans="1:18" ht="15" hidden="1" x14ac:dyDescent="0.3">
      <c r="A1466" s="318" t="e">
        <f>#REF!</f>
        <v>#REF!</v>
      </c>
      <c r="B1466" s="305" t="e">
        <f>#REF!</f>
        <v>#REF!</v>
      </c>
      <c r="C1466" s="305">
        <f>'Danh sách máy'!C1509</f>
        <v>0</v>
      </c>
      <c r="D1466" s="90" t="e">
        <f>#REF!</f>
        <v>#REF!</v>
      </c>
      <c r="E1466" s="97">
        <f>'Danh sách máy'!E1509</f>
        <v>0</v>
      </c>
      <c r="F1466" s="206" t="e">
        <f>#REF!</f>
        <v>#REF!</v>
      </c>
      <c r="G1466" s="102" t="e">
        <f>#REF!</f>
        <v>#REF!</v>
      </c>
      <c r="H1466" s="102" t="e">
        <f>#REF!</f>
        <v>#REF!</v>
      </c>
      <c r="K1466" s="210" t="e">
        <f>#REF!</f>
        <v>#REF!</v>
      </c>
      <c r="L1466" s="210">
        <v>45735</v>
      </c>
      <c r="M1466" s="210"/>
      <c r="N1466" s="210">
        <f>'Danh sách máy'!F1509</f>
        <v>0</v>
      </c>
      <c r="O1466" s="211" t="str" cm="1">
        <f t="array" ref="O1466">IF(L1466&lt;&gt;0,IF(L1466&lt;I1466,"OK","NG"),Blank)</f>
        <v>NG</v>
      </c>
      <c r="P1466" s="211" t="e" cm="1">
        <f t="array" ref="P1466">IF(M1466&lt;&gt;0,IF(M1466&lt;J1466,"OK","NG"),Blank)</f>
        <v>#NAME?</v>
      </c>
      <c r="Q1466" s="211" t="e" cm="1">
        <f t="array" ref="Q1466">IF(H1466&lt;&gt;"Stop",IF(N1466&lt;&gt;0,IF(N1466&lt;=K1466,"OK","NG"),Blank),"-")</f>
        <v>#REF!</v>
      </c>
      <c r="R1466" s="326" t="e" cm="1">
        <f t="array" ref="R1466">IF(H1466&lt;&gt;"Stop",IF(E1466&lt;&gt;0,IF(E1466&lt;=K1466,"OK","NG"),Blank),"-")</f>
        <v>#REF!</v>
      </c>
    </row>
    <row r="1467" spans="1:18" ht="15" hidden="1" x14ac:dyDescent="0.3">
      <c r="A1467" s="318" t="e">
        <f>#REF!</f>
        <v>#REF!</v>
      </c>
      <c r="B1467" s="305" t="e">
        <f>#REF!</f>
        <v>#REF!</v>
      </c>
      <c r="C1467" s="305">
        <f>'Danh sách máy'!C1510</f>
        <v>0</v>
      </c>
      <c r="D1467" s="90" t="e">
        <f>#REF!</f>
        <v>#REF!</v>
      </c>
      <c r="E1467" s="97">
        <f>'Danh sách máy'!E1510</f>
        <v>0</v>
      </c>
      <c r="F1467" s="206" t="e">
        <f>#REF!</f>
        <v>#REF!</v>
      </c>
      <c r="G1467" s="102" t="e">
        <f>#REF!</f>
        <v>#REF!</v>
      </c>
      <c r="H1467" s="102" t="e">
        <f>#REF!</f>
        <v>#REF!</v>
      </c>
      <c r="K1467" s="210" t="e">
        <f>#REF!</f>
        <v>#REF!</v>
      </c>
      <c r="L1467" s="210">
        <v>45736</v>
      </c>
      <c r="M1467" s="210"/>
      <c r="N1467" s="210">
        <f>'Danh sách máy'!F1510</f>
        <v>0</v>
      </c>
      <c r="O1467" s="211" t="str" cm="1">
        <f t="array" ref="O1467">IF(L1467&lt;&gt;0,IF(L1467&lt;I1467,"OK","NG"),Blank)</f>
        <v>NG</v>
      </c>
      <c r="P1467" s="211" t="e" cm="1">
        <f t="array" ref="P1467">IF(M1467&lt;&gt;0,IF(M1467&lt;J1467,"OK","NG"),Blank)</f>
        <v>#NAME?</v>
      </c>
      <c r="Q1467" s="211" t="e" cm="1">
        <f t="array" ref="Q1467">IF(H1467&lt;&gt;"Stop",IF(N1467&lt;&gt;0,IF(N1467&lt;=K1467,"OK","NG"),Blank),"-")</f>
        <v>#REF!</v>
      </c>
      <c r="R1467" s="326" t="e" cm="1">
        <f t="array" ref="R1467">IF(H1467&lt;&gt;"Stop",IF(E1467&lt;&gt;0,IF(E1467&lt;=K1467,"OK","NG"),Blank),"-")</f>
        <v>#REF!</v>
      </c>
    </row>
    <row r="1468" spans="1:18" ht="15" hidden="1" x14ac:dyDescent="0.3">
      <c r="A1468" s="318" t="e">
        <f>#REF!</f>
        <v>#REF!</v>
      </c>
      <c r="B1468" s="305" t="e">
        <f>#REF!</f>
        <v>#REF!</v>
      </c>
      <c r="C1468" s="305">
        <f>'Danh sách máy'!C1511</f>
        <v>0</v>
      </c>
      <c r="D1468" s="90" t="e">
        <f>#REF!</f>
        <v>#REF!</v>
      </c>
      <c r="E1468" s="97">
        <f>'Danh sách máy'!E1511</f>
        <v>0</v>
      </c>
      <c r="F1468" s="206" t="e">
        <f>#REF!</f>
        <v>#REF!</v>
      </c>
      <c r="G1468" s="102" t="e">
        <f>#REF!</f>
        <v>#REF!</v>
      </c>
      <c r="H1468" s="102" t="e">
        <f>#REF!</f>
        <v>#REF!</v>
      </c>
      <c r="K1468" s="210" t="e">
        <f>#REF!</f>
        <v>#REF!</v>
      </c>
      <c r="L1468" s="210">
        <v>45737</v>
      </c>
      <c r="M1468" s="210"/>
      <c r="N1468" s="210">
        <f>'Danh sách máy'!F1511</f>
        <v>0</v>
      </c>
      <c r="O1468" s="211" t="str" cm="1">
        <f t="array" ref="O1468">IF(L1468&lt;&gt;0,IF(L1468&lt;I1468,"OK","NG"),Blank)</f>
        <v>NG</v>
      </c>
      <c r="P1468" s="211" t="e" cm="1">
        <f t="array" ref="P1468">IF(M1468&lt;&gt;0,IF(M1468&lt;J1468,"OK","NG"),Blank)</f>
        <v>#NAME?</v>
      </c>
      <c r="Q1468" s="211" t="e" cm="1">
        <f t="array" ref="Q1468">IF(H1468&lt;&gt;"Stop",IF(N1468&lt;&gt;0,IF(N1468&lt;=K1468,"OK","NG"),Blank),"-")</f>
        <v>#REF!</v>
      </c>
      <c r="R1468" s="326" t="e" cm="1">
        <f t="array" ref="R1468">IF(H1468&lt;&gt;"Stop",IF(E1468&lt;&gt;0,IF(E1468&lt;=K1468,"OK","NG"),Blank),"-")</f>
        <v>#REF!</v>
      </c>
    </row>
    <row r="1469" spans="1:18" ht="15" hidden="1" x14ac:dyDescent="0.3">
      <c r="A1469" s="318" t="e">
        <f>#REF!</f>
        <v>#REF!</v>
      </c>
      <c r="B1469" s="305" t="e">
        <f>#REF!</f>
        <v>#REF!</v>
      </c>
      <c r="C1469" s="305">
        <f>'Danh sách máy'!C1512</f>
        <v>0</v>
      </c>
      <c r="D1469" s="90" t="e">
        <f>#REF!</f>
        <v>#REF!</v>
      </c>
      <c r="E1469" s="97">
        <f>'Danh sách máy'!E1512</f>
        <v>0</v>
      </c>
      <c r="F1469" s="206" t="e">
        <f>#REF!</f>
        <v>#REF!</v>
      </c>
      <c r="G1469" s="102" t="e">
        <f>#REF!</f>
        <v>#REF!</v>
      </c>
      <c r="H1469" s="102" t="e">
        <f>#REF!</f>
        <v>#REF!</v>
      </c>
      <c r="K1469" s="210" t="e">
        <f>#REF!</f>
        <v>#REF!</v>
      </c>
      <c r="L1469" s="210">
        <v>45738</v>
      </c>
      <c r="M1469" s="210"/>
      <c r="N1469" s="210">
        <f>'Danh sách máy'!F1512</f>
        <v>0</v>
      </c>
      <c r="O1469" s="211" t="str" cm="1">
        <f t="array" ref="O1469">IF(L1469&lt;&gt;0,IF(L1469&lt;I1469,"OK","NG"),Blank)</f>
        <v>NG</v>
      </c>
      <c r="P1469" s="211" t="e" cm="1">
        <f t="array" ref="P1469">IF(M1469&lt;&gt;0,IF(M1469&lt;J1469,"OK","NG"),Blank)</f>
        <v>#NAME?</v>
      </c>
      <c r="Q1469" s="211" t="e" cm="1">
        <f t="array" ref="Q1469">IF(H1469&lt;&gt;"Stop",IF(N1469&lt;&gt;0,IF(N1469&lt;=K1469,"OK","NG"),Blank),"-")</f>
        <v>#REF!</v>
      </c>
      <c r="R1469" s="326" t="e" cm="1">
        <f t="array" ref="R1469">IF(H1469&lt;&gt;"Stop",IF(E1469&lt;&gt;0,IF(E1469&lt;=K1469,"OK","NG"),Blank),"-")</f>
        <v>#REF!</v>
      </c>
    </row>
    <row r="1470" spans="1:18" ht="15" hidden="1" x14ac:dyDescent="0.3">
      <c r="A1470" s="318" t="e">
        <f>#REF!</f>
        <v>#REF!</v>
      </c>
      <c r="B1470" s="305" t="e">
        <f>#REF!</f>
        <v>#REF!</v>
      </c>
      <c r="C1470" s="305">
        <f>'Danh sách máy'!C1513</f>
        <v>0</v>
      </c>
      <c r="D1470" s="90" t="e">
        <f>#REF!</f>
        <v>#REF!</v>
      </c>
      <c r="E1470" s="97">
        <f>'Danh sách máy'!E1513</f>
        <v>0</v>
      </c>
      <c r="F1470" s="206" t="e">
        <f>#REF!</f>
        <v>#REF!</v>
      </c>
      <c r="G1470" s="102" t="e">
        <f>#REF!</f>
        <v>#REF!</v>
      </c>
      <c r="H1470" s="102" t="e">
        <f>#REF!</f>
        <v>#REF!</v>
      </c>
      <c r="K1470" s="210" t="e">
        <f>#REF!</f>
        <v>#REF!</v>
      </c>
      <c r="L1470" s="210">
        <v>45739</v>
      </c>
      <c r="M1470" s="210"/>
      <c r="N1470" s="210">
        <f>'Danh sách máy'!F1513</f>
        <v>0</v>
      </c>
      <c r="O1470" s="211" t="str" cm="1">
        <f t="array" ref="O1470">IF(L1470&lt;&gt;0,IF(L1470&lt;I1470,"OK","NG"),Blank)</f>
        <v>NG</v>
      </c>
      <c r="P1470" s="211" t="e" cm="1">
        <f t="array" ref="P1470">IF(M1470&lt;&gt;0,IF(M1470&lt;J1470,"OK","NG"),Blank)</f>
        <v>#NAME?</v>
      </c>
      <c r="Q1470" s="211" t="e" cm="1">
        <f t="array" ref="Q1470">IF(H1470&lt;&gt;"Stop",IF(N1470&lt;&gt;0,IF(N1470&lt;=K1470,"OK","NG"),Blank),"-")</f>
        <v>#REF!</v>
      </c>
      <c r="R1470" s="326" t="e" cm="1">
        <f t="array" ref="R1470">IF(H1470&lt;&gt;"Stop",IF(E1470&lt;&gt;0,IF(E1470&lt;=K1470,"OK","NG"),Blank),"-")</f>
        <v>#REF!</v>
      </c>
    </row>
    <row r="1471" spans="1:18" ht="15" hidden="1" x14ac:dyDescent="0.3">
      <c r="A1471" s="318" t="e">
        <f>#REF!</f>
        <v>#REF!</v>
      </c>
      <c r="B1471" s="305" t="e">
        <f>#REF!</f>
        <v>#REF!</v>
      </c>
      <c r="C1471" s="305">
        <f>'Danh sách máy'!C1514</f>
        <v>0</v>
      </c>
      <c r="D1471" s="90" t="e">
        <f>#REF!</f>
        <v>#REF!</v>
      </c>
      <c r="E1471" s="97">
        <f>'Danh sách máy'!E1514</f>
        <v>0</v>
      </c>
      <c r="F1471" s="206" t="e">
        <f>#REF!</f>
        <v>#REF!</v>
      </c>
      <c r="G1471" s="102" t="e">
        <f>#REF!</f>
        <v>#REF!</v>
      </c>
      <c r="H1471" s="102" t="e">
        <f>#REF!</f>
        <v>#REF!</v>
      </c>
      <c r="K1471" s="210" t="e">
        <f>#REF!</f>
        <v>#REF!</v>
      </c>
      <c r="L1471" s="210">
        <v>45740</v>
      </c>
      <c r="M1471" s="210"/>
      <c r="N1471" s="210">
        <f>'Danh sách máy'!F1514</f>
        <v>0</v>
      </c>
      <c r="O1471" s="211" t="str" cm="1">
        <f t="array" ref="O1471">IF(L1471&lt;&gt;0,IF(L1471&lt;I1471,"OK","NG"),Blank)</f>
        <v>NG</v>
      </c>
      <c r="P1471" s="211" t="e" cm="1">
        <f t="array" ref="P1471">IF(M1471&lt;&gt;0,IF(M1471&lt;J1471,"OK","NG"),Blank)</f>
        <v>#NAME?</v>
      </c>
      <c r="Q1471" s="211" t="e" cm="1">
        <f t="array" ref="Q1471">IF(H1471&lt;&gt;"Stop",IF(N1471&lt;&gt;0,IF(N1471&lt;=K1471,"OK","NG"),Blank),"-")</f>
        <v>#REF!</v>
      </c>
      <c r="R1471" s="326" t="e" cm="1">
        <f t="array" ref="R1471">IF(H1471&lt;&gt;"Stop",IF(E1471&lt;&gt;0,IF(E1471&lt;=K1471,"OK","NG"),Blank),"-")</f>
        <v>#REF!</v>
      </c>
    </row>
    <row r="1472" spans="1:18" ht="15" hidden="1" x14ac:dyDescent="0.3">
      <c r="A1472" s="318" t="e">
        <f>#REF!</f>
        <v>#REF!</v>
      </c>
      <c r="B1472" s="305" t="e">
        <f>#REF!</f>
        <v>#REF!</v>
      </c>
      <c r="C1472" s="305">
        <f>'Danh sách máy'!C1515</f>
        <v>0</v>
      </c>
      <c r="D1472" s="90" t="e">
        <f>#REF!</f>
        <v>#REF!</v>
      </c>
      <c r="E1472" s="97">
        <f>'Danh sách máy'!E1515</f>
        <v>0</v>
      </c>
      <c r="F1472" s="206" t="e">
        <f>#REF!</f>
        <v>#REF!</v>
      </c>
      <c r="G1472" s="102" t="e">
        <f>#REF!</f>
        <v>#REF!</v>
      </c>
      <c r="H1472" s="102" t="e">
        <f>#REF!</f>
        <v>#REF!</v>
      </c>
      <c r="K1472" s="210" t="e">
        <f>#REF!</f>
        <v>#REF!</v>
      </c>
      <c r="L1472" s="210">
        <v>45741</v>
      </c>
      <c r="M1472" s="210"/>
      <c r="N1472" s="210">
        <f>'Danh sách máy'!F1515</f>
        <v>0</v>
      </c>
      <c r="O1472" s="211" t="str" cm="1">
        <f t="array" ref="O1472">IF(L1472&lt;&gt;0,IF(L1472&lt;I1472,"OK","NG"),Blank)</f>
        <v>NG</v>
      </c>
      <c r="P1472" s="211" t="e" cm="1">
        <f t="array" ref="P1472">IF(M1472&lt;&gt;0,IF(M1472&lt;J1472,"OK","NG"),Blank)</f>
        <v>#NAME?</v>
      </c>
      <c r="Q1472" s="211" t="e" cm="1">
        <f t="array" ref="Q1472">IF(H1472&lt;&gt;"Stop",IF(N1472&lt;&gt;0,IF(N1472&lt;=K1472,"OK","NG"),Blank),"-")</f>
        <v>#REF!</v>
      </c>
      <c r="R1472" s="326" t="e" cm="1">
        <f t="array" ref="R1472">IF(H1472&lt;&gt;"Stop",IF(E1472&lt;&gt;0,IF(E1472&lt;=K1472,"OK","NG"),Blank),"-")</f>
        <v>#REF!</v>
      </c>
    </row>
    <row r="1473" spans="1:18" ht="15" hidden="1" x14ac:dyDescent="0.3">
      <c r="A1473" s="318" t="e">
        <f>#REF!</f>
        <v>#REF!</v>
      </c>
      <c r="B1473" s="305" t="e">
        <f>#REF!</f>
        <v>#REF!</v>
      </c>
      <c r="C1473" s="305">
        <f>'Danh sách máy'!C1516</f>
        <v>0</v>
      </c>
      <c r="D1473" s="90" t="e">
        <f>#REF!</f>
        <v>#REF!</v>
      </c>
      <c r="E1473" s="97">
        <f>'Danh sách máy'!E1516</f>
        <v>0</v>
      </c>
      <c r="F1473" s="206" t="e">
        <f>#REF!</f>
        <v>#REF!</v>
      </c>
      <c r="G1473" s="102" t="e">
        <f>#REF!</f>
        <v>#REF!</v>
      </c>
      <c r="H1473" s="102" t="e">
        <f>#REF!</f>
        <v>#REF!</v>
      </c>
      <c r="K1473" s="210" t="e">
        <f>#REF!</f>
        <v>#REF!</v>
      </c>
      <c r="L1473" s="210">
        <v>45742</v>
      </c>
      <c r="M1473" s="210"/>
      <c r="N1473" s="210">
        <f>'Danh sách máy'!F1516</f>
        <v>0</v>
      </c>
      <c r="O1473" s="211" t="str" cm="1">
        <f t="array" ref="O1473">IF(L1473&lt;&gt;0,IF(L1473&lt;I1473,"OK","NG"),Blank)</f>
        <v>NG</v>
      </c>
      <c r="P1473" s="211" t="e" cm="1">
        <f t="array" ref="P1473">IF(M1473&lt;&gt;0,IF(M1473&lt;J1473,"OK","NG"),Blank)</f>
        <v>#NAME?</v>
      </c>
      <c r="Q1473" s="211" t="e" cm="1">
        <f t="array" ref="Q1473">IF(H1473&lt;&gt;"Stop",IF(N1473&lt;&gt;0,IF(N1473&lt;=K1473,"OK","NG"),Blank),"-")</f>
        <v>#REF!</v>
      </c>
      <c r="R1473" s="326" t="e" cm="1">
        <f t="array" ref="R1473">IF(H1473&lt;&gt;"Stop",IF(E1473&lt;&gt;0,IF(E1473&lt;=K1473,"OK","NG"),Blank),"-")</f>
        <v>#REF!</v>
      </c>
    </row>
    <row r="1474" spans="1:18" ht="15" hidden="1" x14ac:dyDescent="0.3">
      <c r="A1474" s="318" t="e">
        <f>#REF!</f>
        <v>#REF!</v>
      </c>
      <c r="B1474" s="305" t="e">
        <f>#REF!</f>
        <v>#REF!</v>
      </c>
      <c r="C1474" s="305">
        <f>'Danh sách máy'!C1517</f>
        <v>0</v>
      </c>
      <c r="D1474" s="90" t="e">
        <f>#REF!</f>
        <v>#REF!</v>
      </c>
      <c r="E1474" s="97">
        <f>'Danh sách máy'!E1517</f>
        <v>0</v>
      </c>
      <c r="F1474" s="206" t="e">
        <f>#REF!</f>
        <v>#REF!</v>
      </c>
      <c r="G1474" s="102" t="e">
        <f>#REF!</f>
        <v>#REF!</v>
      </c>
      <c r="H1474" s="102" t="e">
        <f>#REF!</f>
        <v>#REF!</v>
      </c>
      <c r="K1474" s="210" t="e">
        <f>#REF!</f>
        <v>#REF!</v>
      </c>
      <c r="L1474" s="210">
        <v>45743</v>
      </c>
      <c r="M1474" s="210"/>
      <c r="N1474" s="210">
        <f>'Danh sách máy'!F1517</f>
        <v>0</v>
      </c>
      <c r="O1474" s="211" t="str" cm="1">
        <f t="array" ref="O1474">IF(L1474&lt;&gt;0,IF(L1474&lt;I1474,"OK","NG"),Blank)</f>
        <v>NG</v>
      </c>
      <c r="P1474" s="211" t="e" cm="1">
        <f t="array" ref="P1474">IF(M1474&lt;&gt;0,IF(M1474&lt;J1474,"OK","NG"),Blank)</f>
        <v>#NAME?</v>
      </c>
      <c r="Q1474" s="211" t="e" cm="1">
        <f t="array" ref="Q1474">IF(H1474&lt;&gt;"Stop",IF(N1474&lt;&gt;0,IF(N1474&lt;=K1474,"OK","NG"),Blank),"-")</f>
        <v>#REF!</v>
      </c>
      <c r="R1474" s="326" t="e" cm="1">
        <f t="array" ref="R1474">IF(H1474&lt;&gt;"Stop",IF(E1474&lt;&gt;0,IF(E1474&lt;=K1474,"OK","NG"),Blank),"-")</f>
        <v>#REF!</v>
      </c>
    </row>
    <row r="1475" spans="1:18" ht="15" hidden="1" x14ac:dyDescent="0.3">
      <c r="A1475" s="318" t="e">
        <f>#REF!</f>
        <v>#REF!</v>
      </c>
      <c r="B1475" s="305" t="e">
        <f>#REF!</f>
        <v>#REF!</v>
      </c>
      <c r="C1475" s="305">
        <f>'Danh sách máy'!C1518</f>
        <v>0</v>
      </c>
      <c r="D1475" s="90" t="e">
        <f>#REF!</f>
        <v>#REF!</v>
      </c>
      <c r="E1475" s="97">
        <f>'Danh sách máy'!E1518</f>
        <v>0</v>
      </c>
      <c r="F1475" s="206" t="e">
        <f>#REF!</f>
        <v>#REF!</v>
      </c>
      <c r="G1475" s="102" t="e">
        <f>#REF!</f>
        <v>#REF!</v>
      </c>
      <c r="H1475" s="102" t="e">
        <f>#REF!</f>
        <v>#REF!</v>
      </c>
      <c r="K1475" s="210" t="e">
        <f>#REF!</f>
        <v>#REF!</v>
      </c>
      <c r="L1475" s="210">
        <v>45744</v>
      </c>
      <c r="M1475" s="210"/>
      <c r="N1475" s="210">
        <f>'Danh sách máy'!F1518</f>
        <v>0</v>
      </c>
      <c r="O1475" s="211" t="str" cm="1">
        <f t="array" ref="O1475">IF(L1475&lt;&gt;0,IF(L1475&lt;I1475,"OK","NG"),Blank)</f>
        <v>NG</v>
      </c>
      <c r="P1475" s="211" t="e" cm="1">
        <f t="array" ref="P1475">IF(M1475&lt;&gt;0,IF(M1475&lt;J1475,"OK","NG"),Blank)</f>
        <v>#NAME?</v>
      </c>
      <c r="Q1475" s="211" t="e" cm="1">
        <f t="array" ref="Q1475">IF(H1475&lt;&gt;"Stop",IF(N1475&lt;&gt;0,IF(N1475&lt;=K1475,"OK","NG"),Blank),"-")</f>
        <v>#REF!</v>
      </c>
      <c r="R1475" s="326" t="e" cm="1">
        <f t="array" ref="R1475">IF(H1475&lt;&gt;"Stop",IF(E1475&lt;&gt;0,IF(E1475&lt;=K1475,"OK","NG"),Blank),"-")</f>
        <v>#REF!</v>
      </c>
    </row>
    <row r="1476" spans="1:18" ht="15" hidden="1" x14ac:dyDescent="0.3">
      <c r="A1476" s="318" t="e">
        <f>#REF!</f>
        <v>#REF!</v>
      </c>
      <c r="B1476" s="305" t="e">
        <f>#REF!</f>
        <v>#REF!</v>
      </c>
      <c r="C1476" s="305">
        <f>'Danh sách máy'!C1519</f>
        <v>0</v>
      </c>
      <c r="D1476" s="90" t="e">
        <f>#REF!</f>
        <v>#REF!</v>
      </c>
      <c r="E1476" s="97">
        <f>'Danh sách máy'!E1519</f>
        <v>0</v>
      </c>
      <c r="F1476" s="206" t="e">
        <f>#REF!</f>
        <v>#REF!</v>
      </c>
      <c r="G1476" s="102" t="e">
        <f>#REF!</f>
        <v>#REF!</v>
      </c>
      <c r="H1476" s="102" t="e">
        <f>#REF!</f>
        <v>#REF!</v>
      </c>
      <c r="K1476" s="210" t="e">
        <f>#REF!</f>
        <v>#REF!</v>
      </c>
      <c r="L1476" s="210">
        <v>45745</v>
      </c>
      <c r="M1476" s="210"/>
      <c r="N1476" s="210">
        <f>'Danh sách máy'!F1519</f>
        <v>0</v>
      </c>
      <c r="O1476" s="211" t="str" cm="1">
        <f t="array" ref="O1476">IF(L1476&lt;&gt;0,IF(L1476&lt;I1476,"OK","NG"),Blank)</f>
        <v>NG</v>
      </c>
      <c r="P1476" s="211" t="e" cm="1">
        <f t="array" ref="P1476">IF(M1476&lt;&gt;0,IF(M1476&lt;J1476,"OK","NG"),Blank)</f>
        <v>#NAME?</v>
      </c>
      <c r="Q1476" s="211" t="e" cm="1">
        <f t="array" ref="Q1476">IF(H1476&lt;&gt;"Stop",IF(N1476&lt;&gt;0,IF(N1476&lt;=K1476,"OK","NG"),Blank),"-")</f>
        <v>#REF!</v>
      </c>
      <c r="R1476" s="326" t="e" cm="1">
        <f t="array" ref="R1476">IF(H1476&lt;&gt;"Stop",IF(E1476&lt;&gt;0,IF(E1476&lt;=K1476,"OK","NG"),Blank),"-")</f>
        <v>#REF!</v>
      </c>
    </row>
    <row r="1477" spans="1:18" ht="15" hidden="1" x14ac:dyDescent="0.3">
      <c r="A1477" s="318" t="e">
        <f>#REF!</f>
        <v>#REF!</v>
      </c>
      <c r="B1477" s="305" t="e">
        <f>#REF!</f>
        <v>#REF!</v>
      </c>
      <c r="C1477" s="305">
        <f>'Danh sách máy'!C1520</f>
        <v>0</v>
      </c>
      <c r="D1477" s="90" t="e">
        <f>#REF!</f>
        <v>#REF!</v>
      </c>
      <c r="E1477" s="97">
        <f>'Danh sách máy'!E1520</f>
        <v>0</v>
      </c>
      <c r="F1477" s="206" t="e">
        <f>#REF!</f>
        <v>#REF!</v>
      </c>
      <c r="G1477" s="102" t="e">
        <f>#REF!</f>
        <v>#REF!</v>
      </c>
      <c r="H1477" s="102" t="e">
        <f>#REF!</f>
        <v>#REF!</v>
      </c>
      <c r="K1477" s="210" t="e">
        <f>#REF!</f>
        <v>#REF!</v>
      </c>
      <c r="L1477" s="210">
        <v>45746</v>
      </c>
      <c r="M1477" s="210"/>
      <c r="N1477" s="210">
        <f>'Danh sách máy'!F1520</f>
        <v>0</v>
      </c>
      <c r="O1477" s="211" t="str" cm="1">
        <f t="array" ref="O1477">IF(L1477&lt;&gt;0,IF(L1477&lt;I1477,"OK","NG"),Blank)</f>
        <v>NG</v>
      </c>
      <c r="P1477" s="211" t="e" cm="1">
        <f t="array" ref="P1477">IF(M1477&lt;&gt;0,IF(M1477&lt;J1477,"OK","NG"),Blank)</f>
        <v>#NAME?</v>
      </c>
      <c r="Q1477" s="211" t="e" cm="1">
        <f t="array" ref="Q1477">IF(H1477&lt;&gt;"Stop",IF(N1477&lt;&gt;0,IF(N1477&lt;=K1477,"OK","NG"),Blank),"-")</f>
        <v>#REF!</v>
      </c>
      <c r="R1477" s="326" t="e" cm="1">
        <f t="array" ref="R1477">IF(H1477&lt;&gt;"Stop",IF(E1477&lt;&gt;0,IF(E1477&lt;=K1477,"OK","NG"),Blank),"-")</f>
        <v>#REF!</v>
      </c>
    </row>
    <row r="1478" spans="1:18" ht="15" hidden="1" x14ac:dyDescent="0.3">
      <c r="A1478" s="318" t="e">
        <f>#REF!</f>
        <v>#REF!</v>
      </c>
      <c r="B1478" s="305" t="e">
        <f>#REF!</f>
        <v>#REF!</v>
      </c>
      <c r="C1478" s="305">
        <f>'Danh sách máy'!C1521</f>
        <v>0</v>
      </c>
      <c r="D1478" s="90" t="e">
        <f>#REF!</f>
        <v>#REF!</v>
      </c>
      <c r="E1478" s="97">
        <f>'Danh sách máy'!E1521</f>
        <v>0</v>
      </c>
      <c r="F1478" s="206" t="e">
        <f>#REF!</f>
        <v>#REF!</v>
      </c>
      <c r="G1478" s="102" t="e">
        <f>#REF!</f>
        <v>#REF!</v>
      </c>
      <c r="H1478" s="102" t="e">
        <f>#REF!</f>
        <v>#REF!</v>
      </c>
      <c r="K1478" s="210" t="e">
        <f>#REF!</f>
        <v>#REF!</v>
      </c>
      <c r="L1478" s="210">
        <v>45747</v>
      </c>
      <c r="M1478" s="210"/>
      <c r="N1478" s="210">
        <f>'Danh sách máy'!F1521</f>
        <v>0</v>
      </c>
      <c r="O1478" s="211" t="str" cm="1">
        <f t="array" ref="O1478">IF(L1478&lt;&gt;0,IF(L1478&lt;I1478,"OK","NG"),Blank)</f>
        <v>NG</v>
      </c>
      <c r="P1478" s="211" t="e" cm="1">
        <f t="array" ref="P1478">IF(M1478&lt;&gt;0,IF(M1478&lt;J1478,"OK","NG"),Blank)</f>
        <v>#NAME?</v>
      </c>
      <c r="Q1478" s="211" t="e" cm="1">
        <f t="array" ref="Q1478">IF(H1478&lt;&gt;"Stop",IF(N1478&lt;&gt;0,IF(N1478&lt;=K1478,"OK","NG"),Blank),"-")</f>
        <v>#REF!</v>
      </c>
      <c r="R1478" s="326" t="e" cm="1">
        <f t="array" ref="R1478">IF(H1478&lt;&gt;"Stop",IF(E1478&lt;&gt;0,IF(E1478&lt;=K1478,"OK","NG"),Blank),"-")</f>
        <v>#REF!</v>
      </c>
    </row>
    <row r="1479" spans="1:18" ht="15" hidden="1" x14ac:dyDescent="0.3">
      <c r="A1479" s="318" t="e">
        <f>#REF!</f>
        <v>#REF!</v>
      </c>
      <c r="B1479" s="305" t="e">
        <f>#REF!</f>
        <v>#REF!</v>
      </c>
      <c r="C1479" s="305">
        <f>'Danh sách máy'!C1522</f>
        <v>0</v>
      </c>
      <c r="D1479" s="90" t="e">
        <f>#REF!</f>
        <v>#REF!</v>
      </c>
      <c r="E1479" s="97">
        <f>'Danh sách máy'!E1522</f>
        <v>0</v>
      </c>
      <c r="F1479" s="206" t="e">
        <f>#REF!</f>
        <v>#REF!</v>
      </c>
      <c r="G1479" s="102" t="e">
        <f>#REF!</f>
        <v>#REF!</v>
      </c>
      <c r="H1479" s="102" t="e">
        <f>#REF!</f>
        <v>#REF!</v>
      </c>
      <c r="K1479" s="210" t="e">
        <f>#REF!</f>
        <v>#REF!</v>
      </c>
      <c r="L1479" s="210">
        <v>45748</v>
      </c>
      <c r="M1479" s="210"/>
      <c r="N1479" s="210">
        <f>'Danh sách máy'!F1522</f>
        <v>0</v>
      </c>
      <c r="O1479" s="211" t="str" cm="1">
        <f t="array" ref="O1479">IF(L1479&lt;&gt;0,IF(L1479&lt;I1479,"OK","NG"),Blank)</f>
        <v>NG</v>
      </c>
      <c r="P1479" s="211" t="e" cm="1">
        <f t="array" ref="P1479">IF(M1479&lt;&gt;0,IF(M1479&lt;J1479,"OK","NG"),Blank)</f>
        <v>#NAME?</v>
      </c>
      <c r="Q1479" s="211" t="e" cm="1">
        <f t="array" ref="Q1479">IF(H1479&lt;&gt;"Stop",IF(N1479&lt;&gt;0,IF(N1479&lt;=K1479,"OK","NG"),Blank),"-")</f>
        <v>#REF!</v>
      </c>
      <c r="R1479" s="326" t="e" cm="1">
        <f t="array" ref="R1479">IF(H1479&lt;&gt;"Stop",IF(E1479&lt;&gt;0,IF(E1479&lt;=K1479,"OK","NG"),Blank),"-")</f>
        <v>#REF!</v>
      </c>
    </row>
    <row r="1480" spans="1:18" ht="15" hidden="1" x14ac:dyDescent="0.3">
      <c r="A1480" s="318" t="e">
        <f>#REF!</f>
        <v>#REF!</v>
      </c>
      <c r="B1480" s="305" t="e">
        <f>#REF!</f>
        <v>#REF!</v>
      </c>
      <c r="C1480" s="305">
        <f>'Danh sách máy'!C1523</f>
        <v>0</v>
      </c>
      <c r="D1480" s="90" t="e">
        <f>#REF!</f>
        <v>#REF!</v>
      </c>
      <c r="E1480" s="97">
        <f>'Danh sách máy'!E1523</f>
        <v>0</v>
      </c>
      <c r="F1480" s="206" t="e">
        <f>#REF!</f>
        <v>#REF!</v>
      </c>
      <c r="G1480" s="102" t="e">
        <f>#REF!</f>
        <v>#REF!</v>
      </c>
      <c r="H1480" s="102" t="e">
        <f>#REF!</f>
        <v>#REF!</v>
      </c>
      <c r="K1480" s="210" t="e">
        <f>#REF!</f>
        <v>#REF!</v>
      </c>
      <c r="L1480" s="210">
        <v>45749</v>
      </c>
      <c r="M1480" s="210"/>
      <c r="N1480" s="210">
        <f>'Danh sách máy'!F1523</f>
        <v>0</v>
      </c>
      <c r="O1480" s="211" t="str" cm="1">
        <f t="array" ref="O1480">IF(L1480&lt;&gt;0,IF(L1480&lt;I1480,"OK","NG"),Blank)</f>
        <v>NG</v>
      </c>
      <c r="P1480" s="211" t="e" cm="1">
        <f t="array" ref="P1480">IF(M1480&lt;&gt;0,IF(M1480&lt;J1480,"OK","NG"),Blank)</f>
        <v>#NAME?</v>
      </c>
      <c r="Q1480" s="211" t="e" cm="1">
        <f t="array" ref="Q1480">IF(H1480&lt;&gt;"Stop",IF(N1480&lt;&gt;0,IF(N1480&lt;=K1480,"OK","NG"),Blank),"-")</f>
        <v>#REF!</v>
      </c>
      <c r="R1480" s="326" t="e" cm="1">
        <f t="array" ref="R1480">IF(H1480&lt;&gt;"Stop",IF(E1480&lt;&gt;0,IF(E1480&lt;=K1480,"OK","NG"),Blank),"-")</f>
        <v>#REF!</v>
      </c>
    </row>
    <row r="1481" spans="1:18" ht="15" hidden="1" x14ac:dyDescent="0.3">
      <c r="A1481" s="318" t="e">
        <f>#REF!</f>
        <v>#REF!</v>
      </c>
      <c r="B1481" s="305" t="e">
        <f>#REF!</f>
        <v>#REF!</v>
      </c>
      <c r="C1481" s="305">
        <f>'Danh sách máy'!C1524</f>
        <v>0</v>
      </c>
      <c r="D1481" s="90" t="e">
        <f>#REF!</f>
        <v>#REF!</v>
      </c>
      <c r="E1481" s="97">
        <f>'Danh sách máy'!E1524</f>
        <v>0</v>
      </c>
      <c r="F1481" s="206" t="e">
        <f>#REF!</f>
        <v>#REF!</v>
      </c>
      <c r="G1481" s="102" t="e">
        <f>#REF!</f>
        <v>#REF!</v>
      </c>
      <c r="H1481" s="102" t="e">
        <f>#REF!</f>
        <v>#REF!</v>
      </c>
      <c r="K1481" s="210" t="e">
        <f>#REF!</f>
        <v>#REF!</v>
      </c>
      <c r="L1481" s="210">
        <v>45750</v>
      </c>
      <c r="M1481" s="210"/>
      <c r="N1481" s="210">
        <f>'Danh sách máy'!F1524</f>
        <v>0</v>
      </c>
      <c r="O1481" s="211" t="str" cm="1">
        <f t="array" ref="O1481">IF(L1481&lt;&gt;0,IF(L1481&lt;I1481,"OK","NG"),Blank)</f>
        <v>NG</v>
      </c>
      <c r="P1481" s="211" t="e" cm="1">
        <f t="array" ref="P1481">IF(M1481&lt;&gt;0,IF(M1481&lt;J1481,"OK","NG"),Blank)</f>
        <v>#NAME?</v>
      </c>
      <c r="Q1481" s="211" t="e" cm="1">
        <f t="array" ref="Q1481">IF(H1481&lt;&gt;"Stop",IF(N1481&lt;&gt;0,IF(N1481&lt;=K1481,"OK","NG"),Blank),"-")</f>
        <v>#REF!</v>
      </c>
      <c r="R1481" s="326" t="e" cm="1">
        <f t="array" ref="R1481">IF(H1481&lt;&gt;"Stop",IF(E1481&lt;&gt;0,IF(E1481&lt;=K1481,"OK","NG"),Blank),"-")</f>
        <v>#REF!</v>
      </c>
    </row>
    <row r="1482" spans="1:18" ht="15" hidden="1" x14ac:dyDescent="0.3">
      <c r="A1482" s="318" t="e">
        <f>#REF!</f>
        <v>#REF!</v>
      </c>
      <c r="B1482" s="305" t="e">
        <f>#REF!</f>
        <v>#REF!</v>
      </c>
      <c r="C1482" s="305">
        <f>'Danh sách máy'!C1525</f>
        <v>0</v>
      </c>
      <c r="D1482" s="90" t="e">
        <f>#REF!</f>
        <v>#REF!</v>
      </c>
      <c r="E1482" s="97">
        <f>'Danh sách máy'!E1525</f>
        <v>0</v>
      </c>
      <c r="F1482" s="206" t="e">
        <f>#REF!</f>
        <v>#REF!</v>
      </c>
      <c r="G1482" s="102" t="e">
        <f>#REF!</f>
        <v>#REF!</v>
      </c>
      <c r="H1482" s="102" t="e">
        <f>#REF!</f>
        <v>#REF!</v>
      </c>
      <c r="K1482" s="210" t="e">
        <f>#REF!</f>
        <v>#REF!</v>
      </c>
      <c r="L1482" s="210">
        <v>45751</v>
      </c>
      <c r="M1482" s="210"/>
      <c r="N1482" s="210">
        <f>'Danh sách máy'!F1525</f>
        <v>0</v>
      </c>
      <c r="O1482" s="211" t="str" cm="1">
        <f t="array" ref="O1482">IF(L1482&lt;&gt;0,IF(L1482&lt;I1482,"OK","NG"),Blank)</f>
        <v>NG</v>
      </c>
      <c r="P1482" s="211" t="e" cm="1">
        <f t="array" ref="P1482">IF(M1482&lt;&gt;0,IF(M1482&lt;J1482,"OK","NG"),Blank)</f>
        <v>#NAME?</v>
      </c>
      <c r="Q1482" s="211" t="e" cm="1">
        <f t="array" ref="Q1482">IF(H1482&lt;&gt;"Stop",IF(N1482&lt;&gt;0,IF(N1482&lt;=K1482,"OK","NG"),Blank),"-")</f>
        <v>#REF!</v>
      </c>
      <c r="R1482" s="326" t="e" cm="1">
        <f t="array" ref="R1482">IF(H1482&lt;&gt;"Stop",IF(E1482&lt;&gt;0,IF(E1482&lt;=K1482,"OK","NG"),Blank),"-")</f>
        <v>#REF!</v>
      </c>
    </row>
    <row r="1483" spans="1:18" ht="15" hidden="1" x14ac:dyDescent="0.3">
      <c r="A1483" s="318" t="e">
        <f>#REF!</f>
        <v>#REF!</v>
      </c>
      <c r="B1483" s="305" t="e">
        <f>#REF!</f>
        <v>#REF!</v>
      </c>
      <c r="C1483" s="305">
        <f>'Danh sách máy'!C1526</f>
        <v>0</v>
      </c>
      <c r="D1483" s="90" t="e">
        <f>#REF!</f>
        <v>#REF!</v>
      </c>
      <c r="E1483" s="97">
        <f>'Danh sách máy'!E1526</f>
        <v>0</v>
      </c>
      <c r="F1483" s="206" t="e">
        <f>#REF!</f>
        <v>#REF!</v>
      </c>
      <c r="G1483" s="102" t="e">
        <f>#REF!</f>
        <v>#REF!</v>
      </c>
      <c r="H1483" s="102" t="e">
        <f>#REF!</f>
        <v>#REF!</v>
      </c>
      <c r="K1483" s="210" t="e">
        <f>#REF!</f>
        <v>#REF!</v>
      </c>
      <c r="L1483" s="210">
        <v>45752</v>
      </c>
      <c r="M1483" s="210"/>
      <c r="N1483" s="210">
        <f>'Danh sách máy'!F1526</f>
        <v>0</v>
      </c>
      <c r="O1483" s="211" t="str" cm="1">
        <f t="array" ref="O1483">IF(L1483&lt;&gt;0,IF(L1483&lt;I1483,"OK","NG"),Blank)</f>
        <v>NG</v>
      </c>
      <c r="P1483" s="211" t="e" cm="1">
        <f t="array" ref="P1483">IF(M1483&lt;&gt;0,IF(M1483&lt;J1483,"OK","NG"),Blank)</f>
        <v>#NAME?</v>
      </c>
      <c r="Q1483" s="211" t="e" cm="1">
        <f t="array" ref="Q1483">IF(H1483&lt;&gt;"Stop",IF(N1483&lt;&gt;0,IF(N1483&lt;=K1483,"OK","NG"),Blank),"-")</f>
        <v>#REF!</v>
      </c>
      <c r="R1483" s="326" t="e" cm="1">
        <f t="array" ref="R1483">IF(H1483&lt;&gt;"Stop",IF(E1483&lt;&gt;0,IF(E1483&lt;=K1483,"OK","NG"),Blank),"-")</f>
        <v>#REF!</v>
      </c>
    </row>
    <row r="1484" spans="1:18" ht="15" hidden="1" x14ac:dyDescent="0.3">
      <c r="A1484" s="318" t="e">
        <f>#REF!</f>
        <v>#REF!</v>
      </c>
      <c r="B1484" s="305" t="e">
        <f>#REF!</f>
        <v>#REF!</v>
      </c>
      <c r="C1484" s="305">
        <f>'Danh sách máy'!C1527</f>
        <v>0</v>
      </c>
      <c r="D1484" s="90" t="e">
        <f>#REF!</f>
        <v>#REF!</v>
      </c>
      <c r="E1484" s="97">
        <f>'Danh sách máy'!E1527</f>
        <v>0</v>
      </c>
      <c r="F1484" s="206" t="e">
        <f>#REF!</f>
        <v>#REF!</v>
      </c>
      <c r="G1484" s="102" t="e">
        <f>#REF!</f>
        <v>#REF!</v>
      </c>
      <c r="H1484" s="102" t="e">
        <f>#REF!</f>
        <v>#REF!</v>
      </c>
      <c r="K1484" s="210" t="e">
        <f>#REF!</f>
        <v>#REF!</v>
      </c>
      <c r="L1484" s="210">
        <v>45753</v>
      </c>
      <c r="M1484" s="210"/>
      <c r="N1484" s="210">
        <f>'Danh sách máy'!F1527</f>
        <v>0</v>
      </c>
      <c r="O1484" s="211" t="str" cm="1">
        <f t="array" ref="O1484">IF(L1484&lt;&gt;0,IF(L1484&lt;I1484,"OK","NG"),Blank)</f>
        <v>NG</v>
      </c>
      <c r="P1484" s="211" t="e" cm="1">
        <f t="array" ref="P1484">IF(M1484&lt;&gt;0,IF(M1484&lt;J1484,"OK","NG"),Blank)</f>
        <v>#NAME?</v>
      </c>
      <c r="Q1484" s="211" t="e" cm="1">
        <f t="array" ref="Q1484">IF(H1484&lt;&gt;"Stop",IF(N1484&lt;&gt;0,IF(N1484&lt;=K1484,"OK","NG"),Blank),"-")</f>
        <v>#REF!</v>
      </c>
      <c r="R1484" s="326" t="e" cm="1">
        <f t="array" ref="R1484">IF(H1484&lt;&gt;"Stop",IF(E1484&lt;&gt;0,IF(E1484&lt;=K1484,"OK","NG"),Blank),"-")</f>
        <v>#REF!</v>
      </c>
    </row>
    <row r="1485" spans="1:18" ht="15" hidden="1" x14ac:dyDescent="0.3">
      <c r="A1485" s="318" t="e">
        <f>#REF!</f>
        <v>#REF!</v>
      </c>
      <c r="B1485" s="305" t="e">
        <f>#REF!</f>
        <v>#REF!</v>
      </c>
      <c r="C1485" s="305">
        <f>'Danh sách máy'!C1528</f>
        <v>0</v>
      </c>
      <c r="D1485" s="90" t="e">
        <f>#REF!</f>
        <v>#REF!</v>
      </c>
      <c r="E1485" s="97">
        <f>'Danh sách máy'!E1528</f>
        <v>0</v>
      </c>
      <c r="F1485" s="206" t="e">
        <f>#REF!</f>
        <v>#REF!</v>
      </c>
      <c r="G1485" s="102" t="e">
        <f>#REF!</f>
        <v>#REF!</v>
      </c>
      <c r="H1485" s="102" t="e">
        <f>#REF!</f>
        <v>#REF!</v>
      </c>
      <c r="K1485" s="210" t="e">
        <f>#REF!</f>
        <v>#REF!</v>
      </c>
      <c r="L1485" s="210">
        <v>45754</v>
      </c>
      <c r="M1485" s="210"/>
      <c r="N1485" s="210">
        <f>'Danh sách máy'!F1528</f>
        <v>0</v>
      </c>
      <c r="O1485" s="211" t="str" cm="1">
        <f t="array" ref="O1485">IF(L1485&lt;&gt;0,IF(L1485&lt;I1485,"OK","NG"),Blank)</f>
        <v>NG</v>
      </c>
      <c r="P1485" s="211" t="e" cm="1">
        <f t="array" ref="P1485">IF(M1485&lt;&gt;0,IF(M1485&lt;J1485,"OK","NG"),Blank)</f>
        <v>#NAME?</v>
      </c>
      <c r="Q1485" s="211" t="e" cm="1">
        <f t="array" ref="Q1485">IF(H1485&lt;&gt;"Stop",IF(N1485&lt;&gt;0,IF(N1485&lt;=K1485,"OK","NG"),Blank),"-")</f>
        <v>#REF!</v>
      </c>
      <c r="R1485" s="326" t="e" cm="1">
        <f t="array" ref="R1485">IF(H1485&lt;&gt;"Stop",IF(E1485&lt;&gt;0,IF(E1485&lt;=K1485,"OK","NG"),Blank),"-")</f>
        <v>#REF!</v>
      </c>
    </row>
    <row r="1486" spans="1:18" ht="15" hidden="1" x14ac:dyDescent="0.3">
      <c r="A1486" s="318" t="e">
        <f>#REF!</f>
        <v>#REF!</v>
      </c>
      <c r="B1486" s="305" t="e">
        <f>#REF!</f>
        <v>#REF!</v>
      </c>
      <c r="C1486" s="305">
        <f>'Danh sách máy'!C1529</f>
        <v>0</v>
      </c>
      <c r="D1486" s="90" t="e">
        <f>#REF!</f>
        <v>#REF!</v>
      </c>
      <c r="E1486" s="97">
        <f>'Danh sách máy'!E1529</f>
        <v>0</v>
      </c>
      <c r="F1486" s="206" t="e">
        <f>#REF!</f>
        <v>#REF!</v>
      </c>
      <c r="G1486" s="102" t="e">
        <f>#REF!</f>
        <v>#REF!</v>
      </c>
      <c r="H1486" s="102" t="e">
        <f>#REF!</f>
        <v>#REF!</v>
      </c>
      <c r="K1486" s="210" t="e">
        <f>#REF!</f>
        <v>#REF!</v>
      </c>
      <c r="L1486" s="210">
        <v>45755</v>
      </c>
      <c r="M1486" s="210"/>
      <c r="N1486" s="210">
        <f>'Danh sách máy'!F1529</f>
        <v>0</v>
      </c>
      <c r="O1486" s="211" t="str" cm="1">
        <f t="array" ref="O1486">IF(L1486&lt;&gt;0,IF(L1486&lt;I1486,"OK","NG"),Blank)</f>
        <v>NG</v>
      </c>
      <c r="P1486" s="211" t="e" cm="1">
        <f t="array" ref="P1486">IF(M1486&lt;&gt;0,IF(M1486&lt;J1486,"OK","NG"),Blank)</f>
        <v>#NAME?</v>
      </c>
      <c r="Q1486" s="211" t="e" cm="1">
        <f t="array" ref="Q1486">IF(H1486&lt;&gt;"Stop",IF(N1486&lt;&gt;0,IF(N1486&lt;=K1486,"OK","NG"),Blank),"-")</f>
        <v>#REF!</v>
      </c>
      <c r="R1486" s="326" t="e" cm="1">
        <f t="array" ref="R1486">IF(H1486&lt;&gt;"Stop",IF(E1486&lt;&gt;0,IF(E1486&lt;=K1486,"OK","NG"),Blank),"-")</f>
        <v>#REF!</v>
      </c>
    </row>
    <row r="1487" spans="1:18" ht="15" hidden="1" x14ac:dyDescent="0.3">
      <c r="A1487" s="318" t="e">
        <f>#REF!</f>
        <v>#REF!</v>
      </c>
      <c r="B1487" s="305" t="e">
        <f>#REF!</f>
        <v>#REF!</v>
      </c>
      <c r="C1487" s="305">
        <f>'Danh sách máy'!C1530</f>
        <v>0</v>
      </c>
      <c r="D1487" s="90" t="e">
        <f>#REF!</f>
        <v>#REF!</v>
      </c>
      <c r="E1487" s="97">
        <f>'Danh sách máy'!E1530</f>
        <v>0</v>
      </c>
      <c r="F1487" s="206" t="e">
        <f>#REF!</f>
        <v>#REF!</v>
      </c>
      <c r="G1487" s="102" t="e">
        <f>#REF!</f>
        <v>#REF!</v>
      </c>
      <c r="H1487" s="102" t="e">
        <f>#REF!</f>
        <v>#REF!</v>
      </c>
      <c r="K1487" s="210" t="e">
        <f>#REF!</f>
        <v>#REF!</v>
      </c>
      <c r="L1487" s="210">
        <v>45756</v>
      </c>
      <c r="M1487" s="210"/>
      <c r="N1487" s="210">
        <f>'Danh sách máy'!F1530</f>
        <v>0</v>
      </c>
      <c r="O1487" s="211" t="str" cm="1">
        <f t="array" ref="O1487">IF(L1487&lt;&gt;0,IF(L1487&lt;I1487,"OK","NG"),Blank)</f>
        <v>NG</v>
      </c>
      <c r="P1487" s="211" t="e" cm="1">
        <f t="array" ref="P1487">IF(M1487&lt;&gt;0,IF(M1487&lt;J1487,"OK","NG"),Blank)</f>
        <v>#NAME?</v>
      </c>
      <c r="Q1487" s="211" t="e" cm="1">
        <f t="array" ref="Q1487">IF(H1487&lt;&gt;"Stop",IF(N1487&lt;&gt;0,IF(N1487&lt;=K1487,"OK","NG"),Blank),"-")</f>
        <v>#REF!</v>
      </c>
      <c r="R1487" s="326" t="e" cm="1">
        <f t="array" ref="R1487">IF(H1487&lt;&gt;"Stop",IF(E1487&lt;&gt;0,IF(E1487&lt;=K1487,"OK","NG"),Blank),"-")</f>
        <v>#REF!</v>
      </c>
    </row>
    <row r="1488" spans="1:18" ht="15" hidden="1" x14ac:dyDescent="0.3">
      <c r="A1488" s="318" t="e">
        <f>#REF!</f>
        <v>#REF!</v>
      </c>
      <c r="B1488" s="305" t="e">
        <f>#REF!</f>
        <v>#REF!</v>
      </c>
      <c r="C1488" s="305">
        <f>'Danh sách máy'!C1531</f>
        <v>0</v>
      </c>
      <c r="D1488" s="90" t="e">
        <f>#REF!</f>
        <v>#REF!</v>
      </c>
      <c r="E1488" s="97">
        <f>'Danh sách máy'!E1531</f>
        <v>0</v>
      </c>
      <c r="F1488" s="206" t="e">
        <f>#REF!</f>
        <v>#REF!</v>
      </c>
      <c r="G1488" s="102" t="e">
        <f>#REF!</f>
        <v>#REF!</v>
      </c>
      <c r="H1488" s="102" t="e">
        <f>#REF!</f>
        <v>#REF!</v>
      </c>
      <c r="K1488" s="210" t="e">
        <f>#REF!</f>
        <v>#REF!</v>
      </c>
      <c r="L1488" s="210">
        <v>45757</v>
      </c>
      <c r="M1488" s="210"/>
      <c r="N1488" s="210">
        <f>'Danh sách máy'!F1531</f>
        <v>0</v>
      </c>
      <c r="O1488" s="211" t="str" cm="1">
        <f t="array" ref="O1488">IF(L1488&lt;&gt;0,IF(L1488&lt;I1488,"OK","NG"),Blank)</f>
        <v>NG</v>
      </c>
      <c r="P1488" s="211" t="e" cm="1">
        <f t="array" ref="P1488">IF(M1488&lt;&gt;0,IF(M1488&lt;J1488,"OK","NG"),Blank)</f>
        <v>#NAME?</v>
      </c>
      <c r="Q1488" s="211" t="e" cm="1">
        <f t="array" ref="Q1488">IF(H1488&lt;&gt;"Stop",IF(N1488&lt;&gt;0,IF(N1488&lt;=K1488,"OK","NG"),Blank),"-")</f>
        <v>#REF!</v>
      </c>
      <c r="R1488" s="326" t="e" cm="1">
        <f t="array" ref="R1488">IF(H1488&lt;&gt;"Stop",IF(E1488&lt;&gt;0,IF(E1488&lt;=K1488,"OK","NG"),Blank),"-")</f>
        <v>#REF!</v>
      </c>
    </row>
    <row r="1489" spans="1:18" ht="15" hidden="1" x14ac:dyDescent="0.3">
      <c r="A1489" s="318" t="e">
        <f>#REF!</f>
        <v>#REF!</v>
      </c>
      <c r="B1489" s="305" t="e">
        <f>#REF!</f>
        <v>#REF!</v>
      </c>
      <c r="C1489" s="305">
        <f>'Danh sách máy'!C1532</f>
        <v>0</v>
      </c>
      <c r="D1489" s="90" t="e">
        <f>#REF!</f>
        <v>#REF!</v>
      </c>
      <c r="E1489" s="97">
        <f>'Danh sách máy'!E1532</f>
        <v>0</v>
      </c>
      <c r="F1489" s="206" t="e">
        <f>#REF!</f>
        <v>#REF!</v>
      </c>
      <c r="G1489" s="102" t="e">
        <f>#REF!</f>
        <v>#REF!</v>
      </c>
      <c r="H1489" s="102" t="e">
        <f>#REF!</f>
        <v>#REF!</v>
      </c>
      <c r="K1489" s="210" t="e">
        <f>#REF!</f>
        <v>#REF!</v>
      </c>
      <c r="L1489" s="210">
        <v>45758</v>
      </c>
      <c r="M1489" s="210"/>
      <c r="N1489" s="210">
        <f>'Danh sách máy'!F1532</f>
        <v>0</v>
      </c>
      <c r="O1489" s="211" t="str" cm="1">
        <f t="array" ref="O1489">IF(L1489&lt;&gt;0,IF(L1489&lt;I1489,"OK","NG"),Blank)</f>
        <v>NG</v>
      </c>
      <c r="P1489" s="211" t="e" cm="1">
        <f t="array" ref="P1489">IF(M1489&lt;&gt;0,IF(M1489&lt;J1489,"OK","NG"),Blank)</f>
        <v>#NAME?</v>
      </c>
      <c r="Q1489" s="211" t="e" cm="1">
        <f t="array" ref="Q1489">IF(H1489&lt;&gt;"Stop",IF(N1489&lt;&gt;0,IF(N1489&lt;=K1489,"OK","NG"),Blank),"-")</f>
        <v>#REF!</v>
      </c>
      <c r="R1489" s="326" t="e" cm="1">
        <f t="array" ref="R1489">IF(H1489&lt;&gt;"Stop",IF(E1489&lt;&gt;0,IF(E1489&lt;=K1489,"OK","NG"),Blank),"-")</f>
        <v>#REF!</v>
      </c>
    </row>
    <row r="1490" spans="1:18" ht="15" hidden="1" x14ac:dyDescent="0.3">
      <c r="A1490" s="318" t="e">
        <f>#REF!</f>
        <v>#REF!</v>
      </c>
      <c r="B1490" s="305" t="e">
        <f>#REF!</f>
        <v>#REF!</v>
      </c>
      <c r="C1490" s="305">
        <f>'Danh sách máy'!C1533</f>
        <v>0</v>
      </c>
      <c r="D1490" s="90" t="e">
        <f>#REF!</f>
        <v>#REF!</v>
      </c>
      <c r="E1490" s="97">
        <f>'Danh sách máy'!E1533</f>
        <v>0</v>
      </c>
      <c r="F1490" s="206" t="e">
        <f>#REF!</f>
        <v>#REF!</v>
      </c>
      <c r="G1490" s="102" t="e">
        <f>#REF!</f>
        <v>#REF!</v>
      </c>
      <c r="H1490" s="102" t="e">
        <f>#REF!</f>
        <v>#REF!</v>
      </c>
      <c r="K1490" s="210" t="e">
        <f>#REF!</f>
        <v>#REF!</v>
      </c>
      <c r="L1490" s="210">
        <v>45759</v>
      </c>
      <c r="M1490" s="210"/>
      <c r="N1490" s="210">
        <f>'Danh sách máy'!F1533</f>
        <v>0</v>
      </c>
      <c r="O1490" s="211" t="str" cm="1">
        <f t="array" ref="O1490">IF(L1490&lt;&gt;0,IF(L1490&lt;I1490,"OK","NG"),Blank)</f>
        <v>NG</v>
      </c>
      <c r="P1490" s="211" t="e" cm="1">
        <f t="array" ref="P1490">IF(M1490&lt;&gt;0,IF(M1490&lt;J1490,"OK","NG"),Blank)</f>
        <v>#NAME?</v>
      </c>
      <c r="Q1490" s="211" t="e" cm="1">
        <f t="array" ref="Q1490">IF(H1490&lt;&gt;"Stop",IF(N1490&lt;&gt;0,IF(N1490&lt;=K1490,"OK","NG"),Blank),"-")</f>
        <v>#REF!</v>
      </c>
      <c r="R1490" s="326" t="e" cm="1">
        <f t="array" ref="R1490">IF(H1490&lt;&gt;"Stop",IF(E1490&lt;&gt;0,IF(E1490&lt;=K1490,"OK","NG"),Blank),"-")</f>
        <v>#REF!</v>
      </c>
    </row>
    <row r="1491" spans="1:18" ht="15" hidden="1" x14ac:dyDescent="0.3">
      <c r="A1491" s="318" t="e">
        <f>#REF!</f>
        <v>#REF!</v>
      </c>
      <c r="B1491" s="305" t="e">
        <f>#REF!</f>
        <v>#REF!</v>
      </c>
      <c r="C1491" s="305">
        <f>'Danh sách máy'!C1534</f>
        <v>0</v>
      </c>
      <c r="D1491" s="90" t="e">
        <f>#REF!</f>
        <v>#REF!</v>
      </c>
      <c r="E1491" s="97">
        <f>'Danh sách máy'!E1534</f>
        <v>0</v>
      </c>
      <c r="F1491" s="206" t="e">
        <f>#REF!</f>
        <v>#REF!</v>
      </c>
      <c r="G1491" s="102" t="e">
        <f>#REF!</f>
        <v>#REF!</v>
      </c>
      <c r="H1491" s="102" t="e">
        <f>#REF!</f>
        <v>#REF!</v>
      </c>
      <c r="K1491" s="210" t="e">
        <f>#REF!</f>
        <v>#REF!</v>
      </c>
      <c r="L1491" s="210">
        <v>45760</v>
      </c>
      <c r="M1491" s="210"/>
      <c r="N1491" s="210">
        <f>'Danh sách máy'!F1534</f>
        <v>0</v>
      </c>
      <c r="O1491" s="211" t="str" cm="1">
        <f t="array" ref="O1491">IF(L1491&lt;&gt;0,IF(L1491&lt;I1491,"OK","NG"),Blank)</f>
        <v>NG</v>
      </c>
      <c r="P1491" s="211" t="e" cm="1">
        <f t="array" ref="P1491">IF(M1491&lt;&gt;0,IF(M1491&lt;J1491,"OK","NG"),Blank)</f>
        <v>#NAME?</v>
      </c>
      <c r="Q1491" s="211" t="e" cm="1">
        <f t="array" ref="Q1491">IF(H1491&lt;&gt;"Stop",IF(N1491&lt;&gt;0,IF(N1491&lt;=K1491,"OK","NG"),Blank),"-")</f>
        <v>#REF!</v>
      </c>
      <c r="R1491" s="326" t="e" cm="1">
        <f t="array" ref="R1491">IF(H1491&lt;&gt;"Stop",IF(E1491&lt;&gt;0,IF(E1491&lt;=K1491,"OK","NG"),Blank),"-")</f>
        <v>#REF!</v>
      </c>
    </row>
    <row r="1492" spans="1:18" ht="15" hidden="1" x14ac:dyDescent="0.3">
      <c r="A1492" s="318" t="e">
        <f>#REF!</f>
        <v>#REF!</v>
      </c>
      <c r="B1492" s="305" t="e">
        <f>#REF!</f>
        <v>#REF!</v>
      </c>
      <c r="C1492" s="305">
        <f>'Danh sách máy'!C1535</f>
        <v>0</v>
      </c>
      <c r="D1492" s="90" t="e">
        <f>#REF!</f>
        <v>#REF!</v>
      </c>
      <c r="E1492" s="97">
        <f>'Danh sách máy'!E1535</f>
        <v>0</v>
      </c>
      <c r="F1492" s="206" t="e">
        <f>#REF!</f>
        <v>#REF!</v>
      </c>
      <c r="G1492" s="102" t="e">
        <f>#REF!</f>
        <v>#REF!</v>
      </c>
      <c r="H1492" s="102" t="e">
        <f>#REF!</f>
        <v>#REF!</v>
      </c>
      <c r="K1492" s="210" t="e">
        <f>#REF!</f>
        <v>#REF!</v>
      </c>
      <c r="L1492" s="210">
        <v>45761</v>
      </c>
      <c r="M1492" s="210"/>
      <c r="N1492" s="210">
        <f>'Danh sách máy'!F1535</f>
        <v>0</v>
      </c>
      <c r="O1492" s="211" t="str" cm="1">
        <f t="array" ref="O1492">IF(L1492&lt;&gt;0,IF(L1492&lt;I1492,"OK","NG"),Blank)</f>
        <v>NG</v>
      </c>
      <c r="P1492" s="211" t="e" cm="1">
        <f t="array" ref="P1492">IF(M1492&lt;&gt;0,IF(M1492&lt;J1492,"OK","NG"),Blank)</f>
        <v>#NAME?</v>
      </c>
      <c r="Q1492" s="211" t="e" cm="1">
        <f t="array" ref="Q1492">IF(H1492&lt;&gt;"Stop",IF(N1492&lt;&gt;0,IF(N1492&lt;=K1492,"OK","NG"),Blank),"-")</f>
        <v>#REF!</v>
      </c>
      <c r="R1492" s="326" t="e" cm="1">
        <f t="array" ref="R1492">IF(H1492&lt;&gt;"Stop",IF(E1492&lt;&gt;0,IF(E1492&lt;=K1492,"OK","NG"),Blank),"-")</f>
        <v>#REF!</v>
      </c>
    </row>
    <row r="1493" spans="1:18" ht="15" hidden="1" x14ac:dyDescent="0.3">
      <c r="A1493" s="318" t="e">
        <f>#REF!</f>
        <v>#REF!</v>
      </c>
      <c r="B1493" s="305" t="e">
        <f>#REF!</f>
        <v>#REF!</v>
      </c>
      <c r="C1493" s="305">
        <f>'Danh sách máy'!C1536</f>
        <v>0</v>
      </c>
      <c r="D1493" s="90" t="e">
        <f>#REF!</f>
        <v>#REF!</v>
      </c>
      <c r="E1493" s="97">
        <f>'Danh sách máy'!E1536</f>
        <v>0</v>
      </c>
      <c r="F1493" s="206" t="e">
        <f>#REF!</f>
        <v>#REF!</v>
      </c>
      <c r="G1493" s="102" t="e">
        <f>#REF!</f>
        <v>#REF!</v>
      </c>
      <c r="H1493" s="102" t="e">
        <f>#REF!</f>
        <v>#REF!</v>
      </c>
      <c r="K1493" s="210" t="e">
        <f>#REF!</f>
        <v>#REF!</v>
      </c>
      <c r="L1493" s="210">
        <v>45762</v>
      </c>
      <c r="M1493" s="210"/>
      <c r="N1493" s="210">
        <f>'Danh sách máy'!F1536</f>
        <v>0</v>
      </c>
      <c r="O1493" s="211" t="str" cm="1">
        <f t="array" ref="O1493">IF(L1493&lt;&gt;0,IF(L1493&lt;I1493,"OK","NG"),Blank)</f>
        <v>NG</v>
      </c>
      <c r="P1493" s="211" t="e" cm="1">
        <f t="array" ref="P1493">IF(M1493&lt;&gt;0,IF(M1493&lt;J1493,"OK","NG"),Blank)</f>
        <v>#NAME?</v>
      </c>
      <c r="Q1493" s="211" t="e" cm="1">
        <f t="array" ref="Q1493">IF(H1493&lt;&gt;"Stop",IF(N1493&lt;&gt;0,IF(N1493&lt;=K1493,"OK","NG"),Blank),"-")</f>
        <v>#REF!</v>
      </c>
      <c r="R1493" s="326" t="e" cm="1">
        <f t="array" ref="R1493">IF(H1493&lt;&gt;"Stop",IF(E1493&lt;&gt;0,IF(E1493&lt;=K1493,"OK","NG"),Blank),"-")</f>
        <v>#REF!</v>
      </c>
    </row>
    <row r="1494" spans="1:18" ht="15" hidden="1" x14ac:dyDescent="0.3">
      <c r="A1494" s="318" t="e">
        <f>#REF!</f>
        <v>#REF!</v>
      </c>
      <c r="B1494" s="305" t="e">
        <f>#REF!</f>
        <v>#REF!</v>
      </c>
      <c r="C1494" s="305">
        <f>'Danh sách máy'!C1537</f>
        <v>0</v>
      </c>
      <c r="D1494" s="90" t="e">
        <f>#REF!</f>
        <v>#REF!</v>
      </c>
      <c r="E1494" s="97">
        <f>'Danh sách máy'!E1537</f>
        <v>0</v>
      </c>
      <c r="F1494" s="206" t="e">
        <f>#REF!</f>
        <v>#REF!</v>
      </c>
      <c r="G1494" s="102" t="e">
        <f>#REF!</f>
        <v>#REF!</v>
      </c>
      <c r="H1494" s="102" t="e">
        <f>#REF!</f>
        <v>#REF!</v>
      </c>
      <c r="K1494" s="210" t="e">
        <f>#REF!</f>
        <v>#REF!</v>
      </c>
      <c r="L1494" s="210">
        <v>45763</v>
      </c>
      <c r="M1494" s="210"/>
      <c r="N1494" s="210">
        <f>'Danh sách máy'!F1537</f>
        <v>0</v>
      </c>
      <c r="O1494" s="211" t="str" cm="1">
        <f t="array" ref="O1494">IF(L1494&lt;&gt;0,IF(L1494&lt;I1494,"OK","NG"),Blank)</f>
        <v>NG</v>
      </c>
      <c r="P1494" s="211" t="e" cm="1">
        <f t="array" ref="P1494">IF(M1494&lt;&gt;0,IF(M1494&lt;J1494,"OK","NG"),Blank)</f>
        <v>#NAME?</v>
      </c>
      <c r="Q1494" s="211" t="e" cm="1">
        <f t="array" ref="Q1494">IF(H1494&lt;&gt;"Stop",IF(N1494&lt;&gt;0,IF(N1494&lt;=K1494,"OK","NG"),Blank),"-")</f>
        <v>#REF!</v>
      </c>
      <c r="R1494" s="326" t="e" cm="1">
        <f t="array" ref="R1494">IF(H1494&lt;&gt;"Stop",IF(E1494&lt;&gt;0,IF(E1494&lt;=K1494,"OK","NG"),Blank),"-")</f>
        <v>#REF!</v>
      </c>
    </row>
    <row r="1495" spans="1:18" ht="15" hidden="1" x14ac:dyDescent="0.3">
      <c r="A1495" s="318" t="e">
        <f>#REF!</f>
        <v>#REF!</v>
      </c>
      <c r="B1495" s="305" t="e">
        <f>#REF!</f>
        <v>#REF!</v>
      </c>
      <c r="C1495" s="305">
        <f>'Danh sách máy'!C1538</f>
        <v>0</v>
      </c>
      <c r="D1495" s="90" t="e">
        <f>#REF!</f>
        <v>#REF!</v>
      </c>
      <c r="E1495" s="97">
        <f>'Danh sách máy'!E1538</f>
        <v>0</v>
      </c>
      <c r="F1495" s="206" t="e">
        <f>#REF!</f>
        <v>#REF!</v>
      </c>
      <c r="G1495" s="102" t="e">
        <f>#REF!</f>
        <v>#REF!</v>
      </c>
      <c r="H1495" s="102" t="e">
        <f>#REF!</f>
        <v>#REF!</v>
      </c>
      <c r="K1495" s="210" t="e">
        <f>#REF!</f>
        <v>#REF!</v>
      </c>
      <c r="L1495" s="210">
        <v>45764</v>
      </c>
      <c r="M1495" s="210"/>
      <c r="N1495" s="210">
        <f>'Danh sách máy'!F1538</f>
        <v>0</v>
      </c>
      <c r="O1495" s="211" t="str" cm="1">
        <f t="array" ref="O1495">IF(L1495&lt;&gt;0,IF(L1495&lt;I1495,"OK","NG"),Blank)</f>
        <v>NG</v>
      </c>
      <c r="P1495" s="211" t="e" cm="1">
        <f t="array" ref="P1495">IF(M1495&lt;&gt;0,IF(M1495&lt;J1495,"OK","NG"),Blank)</f>
        <v>#NAME?</v>
      </c>
      <c r="Q1495" s="211" t="e" cm="1">
        <f t="array" ref="Q1495">IF(H1495&lt;&gt;"Stop",IF(N1495&lt;&gt;0,IF(N1495&lt;=K1495,"OK","NG"),Blank),"-")</f>
        <v>#REF!</v>
      </c>
      <c r="R1495" s="326" t="e" cm="1">
        <f t="array" ref="R1495">IF(H1495&lt;&gt;"Stop",IF(E1495&lt;&gt;0,IF(E1495&lt;=K1495,"OK","NG"),Blank),"-")</f>
        <v>#REF!</v>
      </c>
    </row>
    <row r="1496" spans="1:18" ht="15" hidden="1" x14ac:dyDescent="0.3">
      <c r="A1496" s="318" t="e">
        <f>#REF!</f>
        <v>#REF!</v>
      </c>
      <c r="B1496" s="305" t="e">
        <f>#REF!</f>
        <v>#REF!</v>
      </c>
      <c r="C1496" s="305">
        <f>'Danh sách máy'!C1539</f>
        <v>0</v>
      </c>
      <c r="D1496" s="90" t="e">
        <f>#REF!</f>
        <v>#REF!</v>
      </c>
      <c r="E1496" s="97">
        <f>'Danh sách máy'!E1539</f>
        <v>0</v>
      </c>
      <c r="F1496" s="206" t="e">
        <f>#REF!</f>
        <v>#REF!</v>
      </c>
      <c r="G1496" s="102" t="e">
        <f>#REF!</f>
        <v>#REF!</v>
      </c>
      <c r="H1496" s="102" t="e">
        <f>#REF!</f>
        <v>#REF!</v>
      </c>
      <c r="K1496" s="210" t="e">
        <f>#REF!</f>
        <v>#REF!</v>
      </c>
      <c r="L1496" s="210">
        <v>45765</v>
      </c>
      <c r="M1496" s="210"/>
      <c r="N1496" s="210">
        <f>'Danh sách máy'!F1539</f>
        <v>0</v>
      </c>
      <c r="O1496" s="211" t="str" cm="1">
        <f t="array" ref="O1496">IF(L1496&lt;&gt;0,IF(L1496&lt;I1496,"OK","NG"),Blank)</f>
        <v>NG</v>
      </c>
      <c r="P1496" s="211" t="e" cm="1">
        <f t="array" ref="P1496">IF(M1496&lt;&gt;0,IF(M1496&lt;J1496,"OK","NG"),Blank)</f>
        <v>#NAME?</v>
      </c>
      <c r="Q1496" s="211" t="e" cm="1">
        <f t="array" ref="Q1496">IF(H1496&lt;&gt;"Stop",IF(N1496&lt;&gt;0,IF(N1496&lt;=K1496,"OK","NG"),Blank),"-")</f>
        <v>#REF!</v>
      </c>
      <c r="R1496" s="326" t="e" cm="1">
        <f t="array" ref="R1496">IF(H1496&lt;&gt;"Stop",IF(E1496&lt;&gt;0,IF(E1496&lt;=K1496,"OK","NG"),Blank),"-")</f>
        <v>#REF!</v>
      </c>
    </row>
    <row r="1497" spans="1:18" ht="15" hidden="1" x14ac:dyDescent="0.3">
      <c r="A1497" s="318" t="e">
        <f>#REF!</f>
        <v>#REF!</v>
      </c>
      <c r="B1497" s="305" t="e">
        <f>#REF!</f>
        <v>#REF!</v>
      </c>
      <c r="C1497" s="305">
        <f>'Danh sách máy'!C1540</f>
        <v>0</v>
      </c>
      <c r="D1497" s="90" t="e">
        <f>#REF!</f>
        <v>#REF!</v>
      </c>
      <c r="E1497" s="97">
        <f>'Danh sách máy'!E1540</f>
        <v>0</v>
      </c>
      <c r="F1497" s="206" t="e">
        <f>#REF!</f>
        <v>#REF!</v>
      </c>
      <c r="G1497" s="102" t="e">
        <f>#REF!</f>
        <v>#REF!</v>
      </c>
      <c r="H1497" s="102" t="e">
        <f>#REF!</f>
        <v>#REF!</v>
      </c>
      <c r="K1497" s="210" t="e">
        <f>#REF!</f>
        <v>#REF!</v>
      </c>
      <c r="L1497" s="210">
        <v>45766</v>
      </c>
      <c r="M1497" s="210"/>
      <c r="N1497" s="210">
        <f>'Danh sách máy'!F1540</f>
        <v>0</v>
      </c>
      <c r="O1497" s="211" t="str" cm="1">
        <f t="array" ref="O1497">IF(L1497&lt;&gt;0,IF(L1497&lt;I1497,"OK","NG"),Blank)</f>
        <v>NG</v>
      </c>
      <c r="P1497" s="211" t="e" cm="1">
        <f t="array" ref="P1497">IF(M1497&lt;&gt;0,IF(M1497&lt;J1497,"OK","NG"),Blank)</f>
        <v>#NAME?</v>
      </c>
      <c r="Q1497" s="211" t="e" cm="1">
        <f t="array" ref="Q1497">IF(H1497&lt;&gt;"Stop",IF(N1497&lt;&gt;0,IF(N1497&lt;=K1497,"OK","NG"),Blank),"-")</f>
        <v>#REF!</v>
      </c>
      <c r="R1497" s="326" t="e" cm="1">
        <f t="array" ref="R1497">IF(H1497&lt;&gt;"Stop",IF(E1497&lt;&gt;0,IF(E1497&lt;=K1497,"OK","NG"),Blank),"-")</f>
        <v>#REF!</v>
      </c>
    </row>
    <row r="1498" spans="1:18" ht="15" hidden="1" x14ac:dyDescent="0.3">
      <c r="A1498" s="318" t="e">
        <f>#REF!</f>
        <v>#REF!</v>
      </c>
      <c r="B1498" s="305" t="e">
        <f>#REF!</f>
        <v>#REF!</v>
      </c>
      <c r="C1498" s="305">
        <f>'Danh sách máy'!C1541</f>
        <v>0</v>
      </c>
      <c r="D1498" s="90" t="e">
        <f>#REF!</f>
        <v>#REF!</v>
      </c>
      <c r="E1498" s="97">
        <f>'Danh sách máy'!E1541</f>
        <v>0</v>
      </c>
      <c r="F1498" s="206" t="e">
        <f>#REF!</f>
        <v>#REF!</v>
      </c>
      <c r="G1498" s="102" t="e">
        <f>#REF!</f>
        <v>#REF!</v>
      </c>
      <c r="H1498" s="102" t="e">
        <f>#REF!</f>
        <v>#REF!</v>
      </c>
      <c r="K1498" s="210" t="e">
        <f>#REF!</f>
        <v>#REF!</v>
      </c>
      <c r="L1498" s="210">
        <v>45767</v>
      </c>
      <c r="M1498" s="210"/>
      <c r="N1498" s="210">
        <f>'Danh sách máy'!F1541</f>
        <v>0</v>
      </c>
      <c r="O1498" s="211" t="str" cm="1">
        <f t="array" ref="O1498">IF(L1498&lt;&gt;0,IF(L1498&lt;I1498,"OK","NG"),Blank)</f>
        <v>NG</v>
      </c>
      <c r="P1498" s="211" t="e" cm="1">
        <f t="array" ref="P1498">IF(M1498&lt;&gt;0,IF(M1498&lt;J1498,"OK","NG"),Blank)</f>
        <v>#NAME?</v>
      </c>
      <c r="Q1498" s="211" t="e" cm="1">
        <f t="array" ref="Q1498">IF(H1498&lt;&gt;"Stop",IF(N1498&lt;&gt;0,IF(N1498&lt;=K1498,"OK","NG"),Blank),"-")</f>
        <v>#REF!</v>
      </c>
      <c r="R1498" s="326" t="e" cm="1">
        <f t="array" ref="R1498">IF(H1498&lt;&gt;"Stop",IF(E1498&lt;&gt;0,IF(E1498&lt;=K1498,"OK","NG"),Blank),"-")</f>
        <v>#REF!</v>
      </c>
    </row>
    <row r="1499" spans="1:18" ht="15" hidden="1" x14ac:dyDescent="0.3">
      <c r="A1499" s="318" t="e">
        <f>#REF!</f>
        <v>#REF!</v>
      </c>
      <c r="B1499" s="305" t="e">
        <f>#REF!</f>
        <v>#REF!</v>
      </c>
      <c r="C1499" s="305">
        <f>'Danh sách máy'!C1542</f>
        <v>0</v>
      </c>
      <c r="D1499" s="90" t="e">
        <f>#REF!</f>
        <v>#REF!</v>
      </c>
      <c r="E1499" s="97">
        <f>'Danh sách máy'!E1542</f>
        <v>0</v>
      </c>
      <c r="F1499" s="206" t="e">
        <f>#REF!</f>
        <v>#REF!</v>
      </c>
      <c r="G1499" s="102" t="e">
        <f>#REF!</f>
        <v>#REF!</v>
      </c>
      <c r="H1499" s="102" t="e">
        <f>#REF!</f>
        <v>#REF!</v>
      </c>
      <c r="K1499" s="210" t="e">
        <f>#REF!</f>
        <v>#REF!</v>
      </c>
      <c r="L1499" s="210">
        <v>45768</v>
      </c>
      <c r="M1499" s="210"/>
      <c r="N1499" s="210">
        <f>'Danh sách máy'!F1542</f>
        <v>0</v>
      </c>
      <c r="O1499" s="211" t="str" cm="1">
        <f t="array" ref="O1499">IF(L1499&lt;&gt;0,IF(L1499&lt;I1499,"OK","NG"),Blank)</f>
        <v>NG</v>
      </c>
      <c r="P1499" s="211" t="e" cm="1">
        <f t="array" ref="P1499">IF(M1499&lt;&gt;0,IF(M1499&lt;J1499,"OK","NG"),Blank)</f>
        <v>#NAME?</v>
      </c>
      <c r="Q1499" s="211" t="e" cm="1">
        <f t="array" ref="Q1499">IF(H1499&lt;&gt;"Stop",IF(N1499&lt;&gt;0,IF(N1499&lt;=K1499,"OK","NG"),Blank),"-")</f>
        <v>#REF!</v>
      </c>
      <c r="R1499" s="326" t="e" cm="1">
        <f t="array" ref="R1499">IF(H1499&lt;&gt;"Stop",IF(E1499&lt;&gt;0,IF(E1499&lt;=K1499,"OK","NG"),Blank),"-")</f>
        <v>#REF!</v>
      </c>
    </row>
    <row r="1500" spans="1:18" ht="15" hidden="1" x14ac:dyDescent="0.3">
      <c r="A1500" s="318" t="e">
        <f>#REF!</f>
        <v>#REF!</v>
      </c>
      <c r="B1500" s="305" t="e">
        <f>#REF!</f>
        <v>#REF!</v>
      </c>
      <c r="C1500" s="305">
        <f>'Danh sách máy'!C1543</f>
        <v>0</v>
      </c>
      <c r="D1500" s="90" t="e">
        <f>#REF!</f>
        <v>#REF!</v>
      </c>
      <c r="E1500" s="97">
        <f>'Danh sách máy'!E1543</f>
        <v>0</v>
      </c>
      <c r="F1500" s="206" t="e">
        <f>#REF!</f>
        <v>#REF!</v>
      </c>
      <c r="G1500" s="102" t="e">
        <f>#REF!</f>
        <v>#REF!</v>
      </c>
      <c r="H1500" s="102" t="e">
        <f>#REF!</f>
        <v>#REF!</v>
      </c>
      <c r="K1500" s="210" t="e">
        <f>#REF!</f>
        <v>#REF!</v>
      </c>
      <c r="L1500" s="210">
        <v>45769</v>
      </c>
      <c r="M1500" s="210"/>
      <c r="N1500" s="210">
        <f>'Danh sách máy'!F1543</f>
        <v>0</v>
      </c>
      <c r="O1500" s="211" t="str" cm="1">
        <f t="array" ref="O1500">IF(L1500&lt;&gt;0,IF(L1500&lt;I1500,"OK","NG"),Blank)</f>
        <v>NG</v>
      </c>
      <c r="P1500" s="211" t="e" cm="1">
        <f t="array" ref="P1500">IF(M1500&lt;&gt;0,IF(M1500&lt;J1500,"OK","NG"),Blank)</f>
        <v>#NAME?</v>
      </c>
      <c r="Q1500" s="211" t="e" cm="1">
        <f t="array" ref="Q1500">IF(H1500&lt;&gt;"Stop",IF(N1500&lt;&gt;0,IF(N1500&lt;=K1500,"OK","NG"),Blank),"-")</f>
        <v>#REF!</v>
      </c>
      <c r="R1500" s="326" t="e" cm="1">
        <f t="array" ref="R1500">IF(H1500&lt;&gt;"Stop",IF(E1500&lt;&gt;0,IF(E1500&lt;=K1500,"OK","NG"),Blank),"-")</f>
        <v>#REF!</v>
      </c>
    </row>
  </sheetData>
  <autoFilter ref="A10:U1500" xr:uid="{F27B369A-DAD2-409B-89EA-DF7F3FB4E7FD}">
    <filterColumn colId="13">
      <filters>
        <dateGroupItem year="2026" dateTimeGrouping="year"/>
        <dateGroupItem year="2025" month="4" dateTimeGrouping="month"/>
        <dateGroupItem year="2025" month="5" dateTimeGrouping="month"/>
        <dateGroupItem year="2025" month="6" dateTimeGrouping="month"/>
        <dateGroupItem year="2025" month="7" dateTimeGrouping="month"/>
        <dateGroupItem year="2025" month="8" dateTimeGrouping="month"/>
        <dateGroupItem year="2025" month="9" dateTimeGrouping="month"/>
        <dateGroupItem year="2025" month="10" dateTimeGrouping="month"/>
        <dateGroupItem year="2025" month="11" dateTimeGrouping="month"/>
        <dateGroupItem year="2025" month="12" dateTimeGrouping="month"/>
      </filters>
    </filterColumn>
  </autoFilter>
  <mergeCells count="13">
    <mergeCell ref="N2:Q2"/>
    <mergeCell ref="I9:K9"/>
    <mergeCell ref="L9:N9"/>
    <mergeCell ref="T9:T10"/>
    <mergeCell ref="O9:R9"/>
    <mergeCell ref="G9:G10"/>
    <mergeCell ref="H9:H10"/>
    <mergeCell ref="A9:A10"/>
    <mergeCell ref="B9:B10"/>
    <mergeCell ref="D9:D10"/>
    <mergeCell ref="E9:E10"/>
    <mergeCell ref="F9:F10"/>
    <mergeCell ref="C9:C10"/>
  </mergeCells>
  <conditionalFormatting sqref="A11:H1500">
    <cfRule type="expression" dxfId="7" priority="628">
      <formula>$H11="Stop"</formula>
    </cfRule>
    <cfRule type="expression" dxfId="6" priority="629">
      <formula>$H11="Waiting"</formula>
    </cfRule>
    <cfRule type="expression" dxfId="5" priority="630" stopIfTrue="1">
      <formula>$H11="Finish"</formula>
    </cfRule>
    <cfRule type="expression" dxfId="4" priority="631">
      <formula>$H11="Setting"</formula>
    </cfRule>
    <cfRule type="expression" dxfId="3" priority="632">
      <formula>$H11="Cancel"</formula>
    </cfRule>
  </conditionalFormatting>
  <conditionalFormatting sqref="Q11:Q1500">
    <cfRule type="expression" dxfId="2" priority="3">
      <formula>$Q11="NG"</formula>
    </cfRule>
  </conditionalFormatting>
  <conditionalFormatting sqref="T11:T517">
    <cfRule type="cellIs" dxfId="1" priority="633" operator="lessThan">
      <formula>$T$3</formula>
    </cfRule>
  </conditionalFormatting>
  <conditionalFormatting sqref="R11:R1500">
    <cfRule type="expression" dxfId="0" priority="1">
      <formula>$R11="NG"</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Danh sách máy</vt:lpstr>
      <vt:lpstr>Layout chỗ ngồi</vt:lpstr>
      <vt:lpstr>Sheet1</vt:lpstr>
      <vt:lpstr>Họp tiến độ(old)</vt:lpstr>
      <vt:lpstr>ISO-9001</vt:lpstr>
      <vt:lpstr>KPI lắp ráp</vt:lpstr>
      <vt:lpstr>KPI TK cơ</vt:lpstr>
      <vt:lpstr>KPI TK điện</vt:lpstr>
      <vt:lpstr>Hoàn thành KH</vt:lpstr>
      <vt:lpstr>'Danh sách máy'!Print_Area</vt:lpstr>
      <vt:lpstr>Sheet1!Print_Area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VanTuan Nguyen</dc:creator>
  <cp:keywords/>
  <dc:description/>
  <cp:lastModifiedBy>Anh Nguyễn Trí Việt</cp:lastModifiedBy>
  <cp:revision/>
  <dcterms:created xsi:type="dcterms:W3CDTF">2015-06-05T18:17:20Z</dcterms:created>
  <dcterms:modified xsi:type="dcterms:W3CDTF">2026-06-18T08:14:58Z</dcterms:modified>
  <cp:category/>
  <cp:contentStatus/>
</cp:coreProperties>
</file>